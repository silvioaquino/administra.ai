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135.xml"/>
  <Override ContentType="application/vnd.openxmlformats-officedocument.spreadsheetml.table+xml" PartName="/xl/tables/table93.xml"/>
  <Override ContentType="application/vnd.openxmlformats-officedocument.spreadsheetml.table+xml" PartName="/xl/tables/table178.xml"/>
  <Override ContentType="application/vnd.openxmlformats-officedocument.spreadsheetml.table+xml" PartName="/xl/tables/table49.xml"/>
  <Override ContentType="application/vnd.openxmlformats-officedocument.spreadsheetml.table+xml" PartName="/xl/tables/table127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14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77.xml"/>
  <Override ContentType="application/vnd.openxmlformats-officedocument.spreadsheetml.table+xml" PartName="/xl/tables/table147.xml"/>
  <Override ContentType="application/vnd.openxmlformats-officedocument.spreadsheetml.table+xml" PartName="/xl/tables/table172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155.xml"/>
  <Override ContentType="application/vnd.openxmlformats-officedocument.spreadsheetml.table+xml" PartName="/xl/tables/table46.xml"/>
  <Override ContentType="application/vnd.openxmlformats-officedocument.spreadsheetml.table+xml" PartName="/xl/tables/table138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9.xml"/>
  <Override ContentType="application/vnd.openxmlformats-officedocument.spreadsheetml.table+xml" PartName="/xl/tables/table123.xml"/>
  <Override ContentType="application/vnd.openxmlformats-officedocument.spreadsheetml.table+xml" PartName="/xl/tables/table153.xml"/>
  <Override ContentType="application/vnd.openxmlformats-officedocument.spreadsheetml.table+xml" PartName="/xl/tables/table166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142.xml"/>
  <Override ContentType="application/vnd.openxmlformats-officedocument.spreadsheetml.table+xml" PartName="/xl/tables/table169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160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44.xml"/>
  <Override ContentType="application/vnd.openxmlformats-officedocument.spreadsheetml.table+xml" PartName="/xl/tables/table126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32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7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7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130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156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184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167.xml"/>
  <Override ContentType="application/vnd.openxmlformats-officedocument.spreadsheetml.table+xml" PartName="/xl/tables/table154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137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ro Diario - FC" sheetId="1" r:id="rId5"/>
    <sheet state="visible" name="Fluxo de Caixa" sheetId="2" r:id="rId6"/>
    <sheet state="visible" name="Contas" sheetId="3" r:id="rId7"/>
    <sheet state="visible" name="Fechamento Mensal" sheetId="4" r:id="rId8"/>
    <sheet state="visible" name="Planejamento" sheetId="5" r:id="rId9"/>
    <sheet state="visible" name="Precificação" sheetId="6" r:id="rId10"/>
    <sheet state="visible" name="Fichas Tecnicas" sheetId="7" r:id="rId11"/>
    <sheet state="visible" name="Fichas de Funcionarios" sheetId="8" r:id="rId12"/>
    <sheet state="visible" name="Plano Financ. Funcionarios" sheetId="9" r:id="rId13"/>
    <sheet state="visible" name="Auditoria" sheetId="10" r:id="rId14"/>
  </sheets>
  <definedNames>
    <definedName hidden="1" localSheetId="0" name="_xlnm._FilterDatabase">'Livro Diario - FC'!$C$10:$N$6320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KaminskiAvalca:
Análise Horizontal</t>
      </text>
    </comment>
    <comment authorId="0" ref="L9">
      <text>
        <t xml:space="preserve">KaminskiAvalca:
Análise Horizontal</t>
      </text>
    </comment>
    <comment authorId="0" ref="Q9">
      <text>
        <t xml:space="preserve">KaminskiAvalca:
Análise Horizontal</t>
      </text>
    </comment>
    <comment authorId="0" ref="V9">
      <text>
        <t xml:space="preserve">KaminskiAvalca:
Análise Horizontal</t>
      </text>
    </comment>
    <comment authorId="0" ref="AA9">
      <text>
        <t xml:space="preserve">KaminskiAvalca:
Análise Horizontal</t>
      </text>
    </comment>
    <comment authorId="0" ref="AF9">
      <text>
        <t xml:space="preserve">KaminskiAvalca:
Análise Horizontal</t>
      </text>
    </comment>
    <comment authorId="0" ref="AJ9">
      <text>
        <t xml:space="preserve">KaminskiAvalca:
Análise Horizontal</t>
      </text>
    </comment>
    <comment authorId="0" ref="AN9">
      <text>
        <t xml:space="preserve">KaminskiAvalca:
Análise Horizontal</t>
      </text>
    </comment>
    <comment authorId="0" ref="AR9">
      <text>
        <t xml:space="preserve">KaminskiAvalca:
Análise Horizontal</t>
      </text>
    </comment>
    <comment authorId="0" ref="AV9">
      <text>
        <t xml:space="preserve">KaminskiAvalca:
Análise Horizontal</t>
      </text>
    </comment>
    <comment authorId="0" ref="AZ9">
      <text>
        <t xml:space="preserve">KaminskiAvalca:
Análise Horizontal</t>
      </text>
    </comment>
    <comment authorId="0" ref="BD9">
      <text>
        <t xml:space="preserve">KaminskiAvalca:
Análise Horizontal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KaminskiAvalca:
Análise Horizontal</t>
      </text>
    </comment>
    <comment authorId="0" ref="M5">
      <text>
        <t xml:space="preserve">KaminskiAvalca:
Análise Horizontal</t>
      </text>
    </comment>
    <comment authorId="0" ref="S5">
      <text>
        <t xml:space="preserve">KaminskiAvalca:
Análise Horizontal</t>
      </text>
    </comment>
    <comment authorId="0" ref="Y5">
      <text>
        <t xml:space="preserve">KaminskiAvalca:
Análise Horizontal</t>
      </text>
    </comment>
    <comment authorId="0" ref="AE5">
      <text>
        <t xml:space="preserve">KaminskiAvalca:
Análise Horizontal</t>
      </text>
    </comment>
    <comment authorId="0" ref="AK5">
      <text>
        <t xml:space="preserve">KaminskiAvalca:
Análise Horizontal</t>
      </text>
    </comment>
    <comment authorId="0" ref="AQ5">
      <text>
        <t xml:space="preserve">KaminskiAvalca:
Análise Horizontal</t>
      </text>
    </comment>
    <comment authorId="0" ref="AW5">
      <text>
        <t xml:space="preserve">KaminskiAvalca:
Análise Horizontal</t>
      </text>
    </comment>
    <comment authorId="0" ref="BC5">
      <text>
        <t xml:space="preserve">KaminskiAvalca:
Análise Horizontal</t>
      </text>
    </comment>
    <comment authorId="0" ref="BI5">
      <text>
        <t xml:space="preserve">KaminskiAvalca:
Análise Horizontal</t>
      </text>
    </comment>
    <comment authorId="0" ref="BO5">
      <text>
        <t xml:space="preserve">KaminskiAvalca:
Análise Horizontal</t>
      </text>
    </comment>
    <comment authorId="0" ref="BU5">
      <text>
        <t xml:space="preserve">KaminskiAvalca:
Análise Horizontal</t>
      </text>
    </comment>
  </commentList>
</comments>
</file>

<file path=xl/sharedStrings.xml><?xml version="1.0" encoding="utf-8"?>
<sst xmlns="http://schemas.openxmlformats.org/spreadsheetml/2006/main" count="5904" uniqueCount="1050">
  <si>
    <t>Livro Diário - Lançamento das Contas</t>
  </si>
  <si>
    <t>ocultar</t>
  </si>
  <si>
    <t>Plano Contas</t>
  </si>
  <si>
    <t>Contas</t>
  </si>
  <si>
    <t>Status</t>
  </si>
  <si>
    <t>Data</t>
  </si>
  <si>
    <t>Volume da Embalagem</t>
  </si>
  <si>
    <t>Und. Medida</t>
  </si>
  <si>
    <t>Cliente / Fornecedor</t>
  </si>
  <si>
    <t>Histórico</t>
  </si>
  <si>
    <t>A Receber</t>
  </si>
  <si>
    <t>A Pagar</t>
  </si>
  <si>
    <t>Entrada</t>
  </si>
  <si>
    <t>Saída</t>
  </si>
  <si>
    <t>Orig/Dest</t>
  </si>
  <si>
    <t>Falta Receber</t>
  </si>
  <si>
    <t>Falta Pagar</t>
  </si>
  <si>
    <t>A pagar</t>
  </si>
  <si>
    <t>A receber</t>
  </si>
  <si>
    <t>3.1.1 Receita com Cash - Diaria</t>
  </si>
  <si>
    <t>.</t>
  </si>
  <si>
    <t>Vendas Diarias</t>
  </si>
  <si>
    <t>Deposito Dinheiro</t>
  </si>
  <si>
    <t>DINHEIRO</t>
  </si>
  <si>
    <t>3.1  Receita de Vendas</t>
  </si>
  <si>
    <t>3.1.2 Receita com Cartão (Caixa)</t>
  </si>
  <si>
    <t>Vendas Cartão</t>
  </si>
  <si>
    <t>Recebiveis Cartão</t>
  </si>
  <si>
    <t>CAIXA ECONOMICA</t>
  </si>
  <si>
    <t>Fundo de Investimento - Ifood</t>
  </si>
  <si>
    <t xml:space="preserve">3.1.3 Receita Ifood </t>
  </si>
  <si>
    <t>Vendas Ifood</t>
  </si>
  <si>
    <t>Recebimento Ifood</t>
  </si>
  <si>
    <t>IFOOD</t>
  </si>
  <si>
    <t>Capital de Giro - Caixa Economica</t>
  </si>
  <si>
    <t>3.1.4 Receita com Cartão - (Infinity Emp)</t>
  </si>
  <si>
    <t>Vendas na Infinity</t>
  </si>
  <si>
    <t>Recebiveis Cartão/Pix</t>
  </si>
  <si>
    <t>INFINITY EMPORIO</t>
  </si>
  <si>
    <t>Fundo de Reserva - Cash</t>
  </si>
  <si>
    <t>3.1.5 Receita com Cartão - (Infinity Sil)</t>
  </si>
  <si>
    <t>INFINITY SILVIO</t>
  </si>
  <si>
    <t>Toscana Frango</t>
  </si>
  <si>
    <t>3,030</t>
  </si>
  <si>
    <t>kg</t>
  </si>
  <si>
    <t>Só Frios</t>
  </si>
  <si>
    <t>Proteina</t>
  </si>
  <si>
    <t>Coxão Mole (Bife)</t>
  </si>
  <si>
    <t>2,816</t>
  </si>
  <si>
    <t>3.1.6 -</t>
  </si>
  <si>
    <t>Carne para Guisada (picadão)</t>
  </si>
  <si>
    <t>2,686</t>
  </si>
  <si>
    <t>3.1.7 -</t>
  </si>
  <si>
    <t>Figado Bovino</t>
  </si>
  <si>
    <t>0,992</t>
  </si>
  <si>
    <t>3.1.8 -</t>
  </si>
  <si>
    <t>-</t>
  </si>
  <si>
    <t>Compras Diversos</t>
  </si>
  <si>
    <t>Abacate</t>
  </si>
  <si>
    <t>3.1.9 .</t>
  </si>
  <si>
    <t>Maça</t>
  </si>
  <si>
    <t>3.1.10 Acerto</t>
  </si>
  <si>
    <t>Tomate</t>
  </si>
  <si>
    <t>23,000</t>
  </si>
  <si>
    <t>Ceasa</t>
  </si>
  <si>
    <t>Verduras</t>
  </si>
  <si>
    <t>3.1.11 -</t>
  </si>
  <si>
    <t>Cebola</t>
  </si>
  <si>
    <t>20,000</t>
  </si>
  <si>
    <t>3.1.12 -</t>
  </si>
  <si>
    <t>Batata Inglesa</t>
  </si>
  <si>
    <t>25,000</t>
  </si>
  <si>
    <t>3.1.13 -</t>
  </si>
  <si>
    <t>Pimenta Cheiro</t>
  </si>
  <si>
    <t>1,000</t>
  </si>
  <si>
    <t>Temperos</t>
  </si>
  <si>
    <t>3.1.14 -</t>
  </si>
  <si>
    <t>Cenoura</t>
  </si>
  <si>
    <t>10,000</t>
  </si>
  <si>
    <t>3.1.15 -</t>
  </si>
  <si>
    <t>Chuchu</t>
  </si>
  <si>
    <t>12,000</t>
  </si>
  <si>
    <t>DESPESAS/CUSTOS VARIÁVEIS</t>
  </si>
  <si>
    <t>Abobora</t>
  </si>
  <si>
    <t>7,000</t>
  </si>
  <si>
    <t>4.1 Custos Tributários e Financeiros</t>
  </si>
  <si>
    <t>Coentro</t>
  </si>
  <si>
    <t>6,000</t>
  </si>
  <si>
    <t>4.1.1 Simples Federal</t>
  </si>
  <si>
    <t>Limão</t>
  </si>
  <si>
    <t>100</t>
  </si>
  <si>
    <t>und</t>
  </si>
  <si>
    <t>Frutas</t>
  </si>
  <si>
    <t>4.1.2 Mercantil</t>
  </si>
  <si>
    <t>Laranja</t>
  </si>
  <si>
    <t>4.1.3 IPTU</t>
  </si>
  <si>
    <t>Pão ou Torrada</t>
  </si>
  <si>
    <t>30</t>
  </si>
  <si>
    <t>pct</t>
  </si>
  <si>
    <t>Insumos</t>
  </si>
  <si>
    <t>4.1.4 FGTS</t>
  </si>
  <si>
    <t>Bolo de Noiva</t>
  </si>
  <si>
    <t>SobreMesas</t>
  </si>
  <si>
    <t>4.1.5 INSS</t>
  </si>
  <si>
    <t>Cocada</t>
  </si>
  <si>
    <t>28</t>
  </si>
  <si>
    <t>4.1.6 Parcelamento Imposto</t>
  </si>
  <si>
    <t>Ovos de Galinha</t>
  </si>
  <si>
    <t>4.1.7 Parcelamento Imposto</t>
  </si>
  <si>
    <t>Macaxeira</t>
  </si>
  <si>
    <t>25</t>
  </si>
  <si>
    <t>Raiz</t>
  </si>
  <si>
    <t>4.1.8 .</t>
  </si>
  <si>
    <t>Inhame</t>
  </si>
  <si>
    <t>15</t>
  </si>
  <si>
    <t>4.1.9 .</t>
  </si>
  <si>
    <t>Bucha de Prato</t>
  </si>
  <si>
    <t>20</t>
  </si>
  <si>
    <t>Assaí</t>
  </si>
  <si>
    <t>Limpeza</t>
  </si>
  <si>
    <t>R$ 31,00</t>
  </si>
  <si>
    <t>CUSTOS COM PRODUTOS</t>
  </si>
  <si>
    <t>Desinfetante</t>
  </si>
  <si>
    <t>1</t>
  </si>
  <si>
    <t>R$ 6,89</t>
  </si>
  <si>
    <t>INSUMOS</t>
  </si>
  <si>
    <t>2</t>
  </si>
  <si>
    <t>R$ 11,38</t>
  </si>
  <si>
    <t>Macarrão</t>
  </si>
  <si>
    <t>R$ 4,60</t>
  </si>
  <si>
    <t>Arroz</t>
  </si>
  <si>
    <t>Sabão em Pó</t>
  </si>
  <si>
    <t>Feijão mulato</t>
  </si>
  <si>
    <t>Pastilha Banheiro</t>
  </si>
  <si>
    <t xml:space="preserve"> </t>
  </si>
  <si>
    <t>Feijão Preto</t>
  </si>
  <si>
    <t>Papel Higienico</t>
  </si>
  <si>
    <t>Feijão macassar</t>
  </si>
  <si>
    <t>9</t>
  </si>
  <si>
    <t>Sal</t>
  </si>
  <si>
    <t>Molho de Tomate (Pronto)</t>
  </si>
  <si>
    <t>Açúcar</t>
  </si>
  <si>
    <t>Café</t>
  </si>
  <si>
    <t>4</t>
  </si>
  <si>
    <t>Farinha</t>
  </si>
  <si>
    <t>Leite Condensado</t>
  </si>
  <si>
    <t>Leite em pó</t>
  </si>
  <si>
    <t>Molho Alho</t>
  </si>
  <si>
    <t>3</t>
  </si>
  <si>
    <t>Trigo Normal</t>
  </si>
  <si>
    <t>Margarina</t>
  </si>
  <si>
    <t>3,000</t>
  </si>
  <si>
    <t>Farinha de Rosca</t>
  </si>
  <si>
    <t>Molho Ingles</t>
  </si>
  <si>
    <t>Macarrão Lasanha</t>
  </si>
  <si>
    <t>Azeite</t>
  </si>
  <si>
    <t>Oleo</t>
  </si>
  <si>
    <t>Sprite Lata</t>
  </si>
  <si>
    <t>5</t>
  </si>
  <si>
    <t>Vinagre</t>
  </si>
  <si>
    <t>SacolaAssai</t>
  </si>
  <si>
    <t>56</t>
  </si>
  <si>
    <t>Fuba</t>
  </si>
  <si>
    <t>10</t>
  </si>
  <si>
    <t>Sal Grosso</t>
  </si>
  <si>
    <t>Creme de Leite</t>
  </si>
  <si>
    <t>Queijo Ralado</t>
  </si>
  <si>
    <t>Batata Palito</t>
  </si>
  <si>
    <t>Leite Integral</t>
  </si>
  <si>
    <t>Agua Sanitaria</t>
  </si>
  <si>
    <t>12</t>
  </si>
  <si>
    <t>Gelatina de Abacaxi</t>
  </si>
  <si>
    <t>27</t>
  </si>
  <si>
    <t>Pudim Baunilha</t>
  </si>
  <si>
    <t>24</t>
  </si>
  <si>
    <t>Batata Palha</t>
  </si>
  <si>
    <t>Coca-Cola 500ml</t>
  </si>
  <si>
    <t>14</t>
  </si>
  <si>
    <t>Fanta Lata</t>
  </si>
  <si>
    <t>Schweppes</t>
  </si>
  <si>
    <t>6</t>
  </si>
  <si>
    <t>Coca-Cola Lata</t>
  </si>
  <si>
    <t>Agua Mineral</t>
  </si>
  <si>
    <t>Alface</t>
  </si>
  <si>
    <t>h2o Limao</t>
  </si>
  <si>
    <t>H2o</t>
  </si>
  <si>
    <t>Abacaxi</t>
  </si>
  <si>
    <t>RC Frios</t>
  </si>
  <si>
    <t>Laticinios</t>
  </si>
  <si>
    <t>Costela de Charque</t>
  </si>
  <si>
    <t>5,000</t>
  </si>
  <si>
    <t>Coco Ralado</t>
  </si>
  <si>
    <t>Calabresa</t>
  </si>
  <si>
    <t>2,500</t>
  </si>
  <si>
    <t>Galinha (Coxa/sobrecoxa)</t>
  </si>
  <si>
    <t>Sobrecoxa Temperada</t>
  </si>
  <si>
    <t>Galinha (Peito)</t>
  </si>
  <si>
    <t>Queijo Mussarela</t>
  </si>
  <si>
    <t>Alho Triturado</t>
  </si>
  <si>
    <t>Tempero</t>
  </si>
  <si>
    <t>Queijo Coalho</t>
  </si>
  <si>
    <t>2,176</t>
  </si>
  <si>
    <t>Villa Frios</t>
  </si>
  <si>
    <t>Milho</t>
  </si>
  <si>
    <t>Coxão Mole (Sol)</t>
  </si>
  <si>
    <t>4,496</t>
  </si>
  <si>
    <t>Novilho Cevado</t>
  </si>
  <si>
    <t>Repolho</t>
  </si>
  <si>
    <t>Charque</t>
  </si>
  <si>
    <t>Gelo</t>
  </si>
  <si>
    <t>Mazid</t>
  </si>
  <si>
    <t>Sacolas Plastica branca (PP-P-M)</t>
  </si>
  <si>
    <t>Varejão das Embalagens</t>
  </si>
  <si>
    <t>Descartaveis</t>
  </si>
  <si>
    <t>Agua Cozinha</t>
  </si>
  <si>
    <t>17x17</t>
  </si>
  <si>
    <t>500</t>
  </si>
  <si>
    <t>Bolo de Rolo</t>
  </si>
  <si>
    <t>6x30</t>
  </si>
  <si>
    <t>Brownie</t>
  </si>
  <si>
    <t>Saco de Lixo</t>
  </si>
  <si>
    <t>Queijadinha</t>
  </si>
  <si>
    <t>Copo 200ml</t>
  </si>
  <si>
    <t>Massa de Wrap</t>
  </si>
  <si>
    <t>Saco Papel M</t>
  </si>
  <si>
    <t>50</t>
  </si>
  <si>
    <t>Bobina Termica Impressora</t>
  </si>
  <si>
    <t>Torta Chocolate</t>
  </si>
  <si>
    <t>Copo 50ml</t>
  </si>
  <si>
    <t>Salgados</t>
  </si>
  <si>
    <t>Plastico Filme</t>
  </si>
  <si>
    <t>Faca</t>
  </si>
  <si>
    <t>Empadinha Doce</t>
  </si>
  <si>
    <t xml:space="preserve">Garfo </t>
  </si>
  <si>
    <t>Ketchup Sache</t>
  </si>
  <si>
    <t>1,320</t>
  </si>
  <si>
    <t>Marron Glace</t>
  </si>
  <si>
    <t>SobreMesa</t>
  </si>
  <si>
    <t>Maionese</t>
  </si>
  <si>
    <t>Docinhos</t>
  </si>
  <si>
    <t>Ketchup</t>
  </si>
  <si>
    <t>Agua</t>
  </si>
  <si>
    <t>Requeijão</t>
  </si>
  <si>
    <t>15,000</t>
  </si>
  <si>
    <t>Comercial Querobim</t>
  </si>
  <si>
    <t>Barbecue</t>
  </si>
  <si>
    <t>Base Carne</t>
  </si>
  <si>
    <t>2,000</t>
  </si>
  <si>
    <t>Mel</t>
  </si>
  <si>
    <t>Base Galinha</t>
  </si>
  <si>
    <t>Molho Shoyo</t>
  </si>
  <si>
    <t>Maminha</t>
  </si>
  <si>
    <t>1,276</t>
  </si>
  <si>
    <t>MasterBoi</t>
  </si>
  <si>
    <t>Molho Pimenta</t>
  </si>
  <si>
    <t>sacola</t>
  </si>
  <si>
    <t>Mostarda</t>
  </si>
  <si>
    <t>M50</t>
  </si>
  <si>
    <t>300</t>
  </si>
  <si>
    <t>Central das Cestas</t>
  </si>
  <si>
    <t>Manteiga de Garrafa</t>
  </si>
  <si>
    <t>Papel Toalha int</t>
  </si>
  <si>
    <t>Azeite de Dende</t>
  </si>
  <si>
    <t>Palito de Dente</t>
  </si>
  <si>
    <t>Colorau</t>
  </si>
  <si>
    <t>Pote 500</t>
  </si>
  <si>
    <t>144</t>
  </si>
  <si>
    <t>Kinor Frango</t>
  </si>
  <si>
    <t>H1</t>
  </si>
  <si>
    <t>Kinor de Carne</t>
  </si>
  <si>
    <t>Perfex</t>
  </si>
  <si>
    <t>3,435</t>
  </si>
  <si>
    <t>Oregano</t>
  </si>
  <si>
    <t>Sazon camarão</t>
  </si>
  <si>
    <t>Padaria</t>
  </si>
  <si>
    <t>Sal Parrilha</t>
  </si>
  <si>
    <t>2,051</t>
  </si>
  <si>
    <t>2,568</t>
  </si>
  <si>
    <t>0,584</t>
  </si>
  <si>
    <t>Camarão sem Casca</t>
  </si>
  <si>
    <t>1,610</t>
  </si>
  <si>
    <t>BEBIDAS</t>
  </si>
  <si>
    <t>Limoneto</t>
  </si>
  <si>
    <t>18</t>
  </si>
  <si>
    <t>Antartica 1 Litro</t>
  </si>
  <si>
    <t>2,576</t>
  </si>
  <si>
    <t>Antartica lata</t>
  </si>
  <si>
    <t>0,622</t>
  </si>
  <si>
    <t>5,044</t>
  </si>
  <si>
    <t>6,495</t>
  </si>
  <si>
    <t>Agua com Gás</t>
  </si>
  <si>
    <t>POLPAS DE FRUTAS</t>
  </si>
  <si>
    <t>Polpas de Frutas</t>
  </si>
  <si>
    <t>Polpa acerola</t>
  </si>
  <si>
    <t>Polpa cajá</t>
  </si>
  <si>
    <t>Polpa Mangaba</t>
  </si>
  <si>
    <t>Polpa Abacaxi Hortela</t>
  </si>
  <si>
    <t>Polpa Caju</t>
  </si>
  <si>
    <t>Litro</t>
  </si>
  <si>
    <t>Polpa Abacaxi</t>
  </si>
  <si>
    <t>Menor Preço</t>
  </si>
  <si>
    <t>Polpa Graviola</t>
  </si>
  <si>
    <t>cereal</t>
  </si>
  <si>
    <t>Polpa maracujá</t>
  </si>
  <si>
    <t>barra cereal</t>
  </si>
  <si>
    <t>Polpa Pitanga</t>
  </si>
  <si>
    <t>6,485</t>
  </si>
  <si>
    <t>Polpa Uva</t>
  </si>
  <si>
    <t>Polpa Morango</t>
  </si>
  <si>
    <t>outros</t>
  </si>
  <si>
    <t>Detergente</t>
  </si>
  <si>
    <t>PROTEINAS</t>
  </si>
  <si>
    <t>Bacon</t>
  </si>
  <si>
    <t>Fraudinha</t>
  </si>
  <si>
    <t>Rabo Porco</t>
  </si>
  <si>
    <t>9,000</t>
  </si>
  <si>
    <t>Pe Porco</t>
  </si>
  <si>
    <t>Orelha Porco</t>
  </si>
  <si>
    <t>Bisteca</t>
  </si>
  <si>
    <t>Picanha</t>
  </si>
  <si>
    <t>1,144</t>
  </si>
  <si>
    <t>Charque Desfiada</t>
  </si>
  <si>
    <t>3,622</t>
  </si>
  <si>
    <t>Marisco</t>
  </si>
  <si>
    <t>File de Peito Frango</t>
  </si>
  <si>
    <t>2,429</t>
  </si>
  <si>
    <t>Sururu</t>
  </si>
  <si>
    <t>0,586</t>
  </si>
  <si>
    <t>Peixe Corvina</t>
  </si>
  <si>
    <t>2,086</t>
  </si>
  <si>
    <t>2,566</t>
  </si>
  <si>
    <t>Carne Costela Desfiada</t>
  </si>
  <si>
    <t>Carne Moida</t>
  </si>
  <si>
    <t>1,072</t>
  </si>
  <si>
    <t>1,576</t>
  </si>
  <si>
    <t xml:space="preserve">6.4.2 Outros </t>
  </si>
  <si>
    <t>Carne Cupim</t>
  </si>
  <si>
    <t>Mão de Vaca</t>
  </si>
  <si>
    <t>Presunto</t>
  </si>
  <si>
    <t>Atacarejo</t>
  </si>
  <si>
    <t>Coxa/Sobrecoxa Temperada</t>
  </si>
  <si>
    <t>2,874</t>
  </si>
  <si>
    <t>Frango Desfiado</t>
  </si>
  <si>
    <t>0,642</t>
  </si>
  <si>
    <t>Coxa Temperada</t>
  </si>
  <si>
    <t>2,828</t>
  </si>
  <si>
    <t>1,054</t>
  </si>
  <si>
    <t>2,512</t>
  </si>
  <si>
    <t>File Mignon</t>
  </si>
  <si>
    <t>Picanha de Porco</t>
  </si>
  <si>
    <t>Sol Desfiado</t>
  </si>
  <si>
    <t>LIMPEZA</t>
  </si>
  <si>
    <t>Betel</t>
  </si>
  <si>
    <t>Sapatos</t>
  </si>
  <si>
    <t>Alcool</t>
  </si>
  <si>
    <t>Ponto do Frango</t>
  </si>
  <si>
    <t>Mascaras</t>
  </si>
  <si>
    <t>Sabão Barra</t>
  </si>
  <si>
    <t>Bombril</t>
  </si>
  <si>
    <t>0,400</t>
  </si>
  <si>
    <t>2,084</t>
  </si>
  <si>
    <t>DESCARTAVEL</t>
  </si>
  <si>
    <t>5.2.6 Gasolina / Estacionamento / Táxi</t>
  </si>
  <si>
    <t>10,100</t>
  </si>
  <si>
    <t>Posto Combustivel</t>
  </si>
  <si>
    <t>Pote 140</t>
  </si>
  <si>
    <t xml:space="preserve">Touca </t>
  </si>
  <si>
    <t>Colher Grande</t>
  </si>
  <si>
    <t>Colher Sobremesa</t>
  </si>
  <si>
    <t>2,996</t>
  </si>
  <si>
    <t>Pote de Pudim</t>
  </si>
  <si>
    <t>Bobina picotada</t>
  </si>
  <si>
    <t>0,624</t>
  </si>
  <si>
    <t>2,208</t>
  </si>
  <si>
    <t>2,526</t>
  </si>
  <si>
    <t>Guardanapos</t>
  </si>
  <si>
    <t>3,980</t>
  </si>
  <si>
    <t>Canudo</t>
  </si>
  <si>
    <t>Bloquinho</t>
  </si>
  <si>
    <t>Garrafinhas 350ml</t>
  </si>
  <si>
    <t>DuGuga</t>
  </si>
  <si>
    <t>M65</t>
  </si>
  <si>
    <t>1,620</t>
  </si>
  <si>
    <t>MR500</t>
  </si>
  <si>
    <t>Box</t>
  </si>
  <si>
    <t>Vassoura</t>
  </si>
  <si>
    <t>Rodo</t>
  </si>
  <si>
    <t>2,008</t>
  </si>
  <si>
    <t>Papel Toalha Rolo</t>
  </si>
  <si>
    <t>Saco Papel GG</t>
  </si>
  <si>
    <t>Saco Papel P</t>
  </si>
  <si>
    <t>Inseticida</t>
  </si>
  <si>
    <t>ACERTO DESPESAS</t>
  </si>
  <si>
    <t>MARGEM DE CONTRIBUIÇÃO</t>
  </si>
  <si>
    <t>DESPESAS FIXAS</t>
  </si>
  <si>
    <t>5.1 Despesas Financeiras</t>
  </si>
  <si>
    <t>5.1.1 Tarifas Bancárias</t>
  </si>
  <si>
    <t>5.1.2 Aluguel e tarifas Operadora Cartão</t>
  </si>
  <si>
    <t>5.1.3 .</t>
  </si>
  <si>
    <t>5.1.4 Outros custos com despesas financeiras</t>
  </si>
  <si>
    <t>2,705</t>
  </si>
  <si>
    <t>5.1.5 Emprestimos</t>
  </si>
  <si>
    <t>2,115</t>
  </si>
  <si>
    <t>5.1.6 Imposto Bombeiros</t>
  </si>
  <si>
    <t>3,645</t>
  </si>
  <si>
    <t>5.2 Despesas Administrativas</t>
  </si>
  <si>
    <t>4,695</t>
  </si>
  <si>
    <t>5.2.1 Telefones</t>
  </si>
  <si>
    <t>1,120</t>
  </si>
  <si>
    <t>5.2.2 Celular</t>
  </si>
  <si>
    <t>1,074</t>
  </si>
  <si>
    <t>5.2.3 Energia Elétrica (CELPE)</t>
  </si>
  <si>
    <t>5.2.4 Aluguel</t>
  </si>
  <si>
    <t>2,110</t>
  </si>
  <si>
    <t>5.2.5 Água(COMPESA)</t>
  </si>
  <si>
    <t>5,392</t>
  </si>
  <si>
    <t>5.2.7 Taxa Antercipação Ifood</t>
  </si>
  <si>
    <t>5.2.8 .</t>
  </si>
  <si>
    <t>7</t>
  </si>
  <si>
    <t>5.2.9 Carro</t>
  </si>
  <si>
    <t>7,005</t>
  </si>
  <si>
    <t>5.2.10 Outras despesas administrativas</t>
  </si>
  <si>
    <t>0,660</t>
  </si>
  <si>
    <t>5.2.11 Internet</t>
  </si>
  <si>
    <t>2,558</t>
  </si>
  <si>
    <t>5.2.12 IPVA</t>
  </si>
  <si>
    <t>5.2.13 Botijão de gás</t>
  </si>
  <si>
    <t>5.3 Despesas com Pessoal</t>
  </si>
  <si>
    <t>5.3.1 Salário de Funcionários</t>
  </si>
  <si>
    <t>5.3.2 Bolsa de Estágio</t>
  </si>
  <si>
    <t>5.3.3 Vale Transporte (Passagem)</t>
  </si>
  <si>
    <t>5.3.4 Rescisão</t>
  </si>
  <si>
    <t>5.3.5 Pro-Labores</t>
  </si>
  <si>
    <t>5.3.6 Adianameno Salarios</t>
  </si>
  <si>
    <t>5.3.7 Outras despesas com pessoal</t>
  </si>
  <si>
    <t>5.3.8 Ferias Funcionarios</t>
  </si>
  <si>
    <t>5.4 Despesas com Serviços de Terceiros</t>
  </si>
  <si>
    <t>5.4.1 Contador</t>
  </si>
  <si>
    <t>5.4.2 TI</t>
  </si>
  <si>
    <t>5.4.3 Outras Despesas</t>
  </si>
  <si>
    <t>5.4.4 Outras despesas com serviços de terceiros</t>
  </si>
  <si>
    <t>5.5 Despesas com Materiais e Equipamentos</t>
  </si>
  <si>
    <t>5.5.1 Manutenção Equipamentos Informática</t>
  </si>
  <si>
    <t>5.5.2 Softwares</t>
  </si>
  <si>
    <t>5.5.3 Materiais de Expediente/Manutenção/Limpeza</t>
  </si>
  <si>
    <t>5.5.4 Manutenção Veículo</t>
  </si>
  <si>
    <t>60</t>
  </si>
  <si>
    <t>5.5.5 Outras despesas com materiais</t>
  </si>
  <si>
    <t>5.5.6 Material de Expediente</t>
  </si>
  <si>
    <t>5.6 OUTROS FORNECEDORES</t>
  </si>
  <si>
    <t>Assai</t>
  </si>
  <si>
    <t>5.6.1 Karne Keijo</t>
  </si>
  <si>
    <t>5.6.2 Natto</t>
  </si>
  <si>
    <t>limpeza</t>
  </si>
  <si>
    <t>5.6.3 Coca-Cola</t>
  </si>
  <si>
    <t>0,500</t>
  </si>
  <si>
    <t>5.6.4 .</t>
  </si>
  <si>
    <t>5.6.5 .</t>
  </si>
  <si>
    <t>INVESTIMENTOS</t>
  </si>
  <si>
    <t>6.1 Investimentos em Marketing</t>
  </si>
  <si>
    <t>6.1.1 Papelaria</t>
  </si>
  <si>
    <t>6.1.2 Site / internet</t>
  </si>
  <si>
    <t>6.1.3 Mídias/ Propaganda</t>
  </si>
  <si>
    <t>6.1.4 Eventos</t>
  </si>
  <si>
    <t>0,600</t>
  </si>
  <si>
    <t>6.1.5 Outros investimentos em marketing</t>
  </si>
  <si>
    <t>6.2 Investimentos em Bens Materiais</t>
  </si>
  <si>
    <t>6.2.1 Compra de Equipamentos de Informárica</t>
  </si>
  <si>
    <t>6.2.2 Reformas / Estrutura</t>
  </si>
  <si>
    <t>6.2.3 Mobiliário</t>
  </si>
  <si>
    <t>6.2.4 Outros investimentos em bens materiais</t>
  </si>
  <si>
    <t>6.3 Investimentos em Desenvolvimento Empresarial</t>
  </si>
  <si>
    <t>6.3.1 Consultoria</t>
  </si>
  <si>
    <t>Bebidas</t>
  </si>
  <si>
    <t>6.3.2 Treinamentos</t>
  </si>
  <si>
    <t>6.3.3 Outros investimentos desenv. empresarial</t>
  </si>
  <si>
    <t>6.3.4 .</t>
  </si>
  <si>
    <t>6.4 Outros investimentos</t>
  </si>
  <si>
    <t>6.4.1 Fardamentos</t>
  </si>
  <si>
    <t>6.4.3 Outros Diversos</t>
  </si>
  <si>
    <t>ENTRADAS E SAÍDAS NÃO OPERACIONAIS</t>
  </si>
  <si>
    <t>7.1 Entradas não operacionais</t>
  </si>
  <si>
    <t>7.1.1 Empréstimos obtidos</t>
  </si>
  <si>
    <t>7.1.2 Capitalização dos sócios</t>
  </si>
  <si>
    <t>7.1.3 Venda de equipamentos usados</t>
  </si>
  <si>
    <t>7.1.4 .</t>
  </si>
  <si>
    <t>64</t>
  </si>
  <si>
    <t>7.1.5 Outros entradas não operacionais</t>
  </si>
  <si>
    <t>7.2 Saídas não operacionais</t>
  </si>
  <si>
    <t>7.2.1 Pagamento de Empréstimos</t>
  </si>
  <si>
    <t>7.2.2 Juros Bancários e por Atraso</t>
  </si>
  <si>
    <t>7,599</t>
  </si>
  <si>
    <t>Mt</t>
  </si>
  <si>
    <t>GNV</t>
  </si>
  <si>
    <t>7.2.3 Pagamento de dívidas passadas</t>
  </si>
  <si>
    <t xml:space="preserve">7.2.4 Distribuição de Lucros </t>
  </si>
  <si>
    <t>7.2.5 Outras saídas não operacionais</t>
  </si>
  <si>
    <t>7.2.6 Equipamentos quebrados por funcionarios</t>
  </si>
  <si>
    <t>3,325</t>
  </si>
  <si>
    <t>Transferência entre Contas</t>
  </si>
  <si>
    <t>3,365</t>
  </si>
  <si>
    <t>Acerto de Caixa</t>
  </si>
  <si>
    <t>1,760</t>
  </si>
  <si>
    <t>1,044</t>
  </si>
  <si>
    <t>2,953</t>
  </si>
  <si>
    <t>6,540</t>
  </si>
  <si>
    <t>2,260</t>
  </si>
  <si>
    <t>1,235</t>
  </si>
  <si>
    <t>3,138</t>
  </si>
  <si>
    <t>3,054</t>
  </si>
  <si>
    <t>3,224</t>
  </si>
  <si>
    <t>2,170</t>
  </si>
  <si>
    <t>2,764</t>
  </si>
  <si>
    <t>0,628</t>
  </si>
  <si>
    <t>2,498</t>
  </si>
  <si>
    <t>6,945</t>
  </si>
  <si>
    <t>Alô Panelas</t>
  </si>
  <si>
    <t>Panelas de Pressão</t>
  </si>
  <si>
    <t>Meta de Lucro % = 15%</t>
  </si>
  <si>
    <t>Faturamento</t>
  </si>
  <si>
    <t>Meta de Faturamento dia = R$2.000,00</t>
  </si>
  <si>
    <t>Dispesas</t>
  </si>
  <si>
    <t>Meta de Despesas dia = R$1.700,00</t>
  </si>
  <si>
    <t>Lucro</t>
  </si>
  <si>
    <t>FLUXO DE CAIXA</t>
  </si>
  <si>
    <t>REAL</t>
  </si>
  <si>
    <t>Diferença</t>
  </si>
  <si>
    <t>MEDIA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</si>
  <si>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</si>
  <si>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</si>
  <si>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</si>
  <si>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</si>
  <si>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</si>
  <si>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</si>
  <si>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</si>
  <si>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</si>
  <si>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</si>
  <si>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</si>
  <si>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</si>
  <si>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</si>
  <si>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Ano</t>
  </si>
  <si>
    <t>POR PERÍODO</t>
  </si>
  <si>
    <t>PREVISÃO</t>
  </si>
  <si>
    <t>REALIZADO</t>
  </si>
  <si>
    <t>A. V.</t>
  </si>
  <si>
    <t>A.H.</t>
  </si>
  <si>
    <t>A. V. Total</t>
  </si>
  <si>
    <t>RECEITA / FATURAMENTO</t>
  </si>
  <si>
    <t>DESPESAS</t>
  </si>
  <si>
    <t>meses</t>
  </si>
  <si>
    <t>LUCRO OPERACIONAL ANTES DOS INVESTIMENTOS</t>
  </si>
  <si>
    <t>DESPESA OPERACIONAL TOTAL</t>
  </si>
  <si>
    <t>LUCRO OPERACIONAL</t>
  </si>
  <si>
    <t>RESULTADO LÍQUIDO</t>
  </si>
  <si>
    <t>SALDO INICIAL DISPONIBILIDADES</t>
  </si>
  <si>
    <t>CAIXA (Dinheiro)</t>
  </si>
  <si>
    <t>Caixa Economica</t>
  </si>
  <si>
    <t>Moderninha</t>
  </si>
  <si>
    <t>Ifood</t>
  </si>
  <si>
    <t>Fundo de Investimento - Pag</t>
  </si>
  <si>
    <t>SALDO FINAL DISPONIBILIDADES</t>
  </si>
  <si>
    <t>Contas - Lançamento das Contas Bancarias</t>
  </si>
  <si>
    <t>3.1.1 Receita com Almoço - Cash</t>
  </si>
  <si>
    <t>3.1.3 Receita com Janta - Cash</t>
  </si>
  <si>
    <t>3.1.4 Outras Receitas (Moderninha)</t>
  </si>
  <si>
    <t>3.1.5 Outras Receitas (Ifood)</t>
  </si>
  <si>
    <t>3.1.6 Outras Receitas (Empresas)</t>
  </si>
  <si>
    <t>3.1.8 Receita com Cartão (PIX)</t>
  </si>
  <si>
    <t>3.1.8 Outras Receitas (Stone)</t>
  </si>
  <si>
    <t>3.1.9 Nubank (Pix)</t>
  </si>
  <si>
    <t>3.1.11 Outras Receitas (Ifood Pix)</t>
  </si>
  <si>
    <t>SALDOS EM CONTAS (Movimentação Mês )</t>
  </si>
  <si>
    <t>Movimentação do Mês</t>
  </si>
  <si>
    <t>Caixa</t>
  </si>
  <si>
    <t>CASH</t>
  </si>
  <si>
    <t>Pag</t>
  </si>
  <si>
    <t>Stone</t>
  </si>
  <si>
    <t>Nubank (Pix)</t>
  </si>
  <si>
    <t>TOTAL:</t>
  </si>
  <si>
    <t>SALDOS EM CONTAS (Fechamento Mês )</t>
  </si>
  <si>
    <t>Conta</t>
  </si>
  <si>
    <t>Dezembro</t>
  </si>
  <si>
    <t>Janeiro</t>
  </si>
  <si>
    <t>Antes do Fecha</t>
  </si>
  <si>
    <t>Total Final</t>
  </si>
  <si>
    <t>Setembro</t>
  </si>
  <si>
    <t>Outubro</t>
  </si>
  <si>
    <t>Cash</t>
  </si>
  <si>
    <t>Nubank</t>
  </si>
  <si>
    <t>Emprestimo</t>
  </si>
  <si>
    <t>Total Caixa</t>
  </si>
  <si>
    <t>SALDOS - REAL x SISTEMA</t>
  </si>
  <si>
    <t>CONTAS</t>
  </si>
  <si>
    <t>Saldos Reais</t>
  </si>
  <si>
    <t>Saldo Sistema</t>
  </si>
  <si>
    <t xml:space="preserve">Caixa </t>
  </si>
  <si>
    <t>Pag Bank</t>
  </si>
  <si>
    <t>LANÇAMENTOS</t>
  </si>
  <si>
    <t>Valor +</t>
  </si>
  <si>
    <t>Valor -</t>
  </si>
  <si>
    <t>Valor</t>
  </si>
  <si>
    <t>Saida</t>
  </si>
  <si>
    <t>Assai acumulado 2024</t>
  </si>
  <si>
    <t>correção</t>
  </si>
  <si>
    <t>entrada</t>
  </si>
  <si>
    <t>;//////;/</t>
  </si>
  <si>
    <t>CALCULO DA FOLHA DE PAGAMENTO - Janeiro</t>
  </si>
  <si>
    <t>DATA</t>
  </si>
  <si>
    <t>SALARIO A PAGAR</t>
  </si>
  <si>
    <t>SALARIO</t>
  </si>
  <si>
    <t>TOTAL</t>
  </si>
  <si>
    <t>FUNCIONARIO</t>
  </si>
  <si>
    <t>Dia 15</t>
  </si>
  <si>
    <t>Desconto Dia 15</t>
  </si>
  <si>
    <t>Dia 30</t>
  </si>
  <si>
    <t>Desconto Dia 30</t>
  </si>
  <si>
    <t>Extra</t>
  </si>
  <si>
    <t>Salubridade 20%</t>
  </si>
  <si>
    <t>Desconto Passagem 6%</t>
  </si>
  <si>
    <t>Desconto INSS 8%</t>
  </si>
  <si>
    <t>Meiry</t>
  </si>
  <si>
    <t>Marilia</t>
  </si>
  <si>
    <t>Cozinheira 1 (Lene)</t>
  </si>
  <si>
    <t xml:space="preserve">Cozinheira 2 (Sandra) </t>
  </si>
  <si>
    <t>Aux - Silvio</t>
  </si>
  <si>
    <t>Saldo Atual</t>
  </si>
  <si>
    <t>Saldo antes do Fechamento</t>
  </si>
  <si>
    <t>Desp. Fechamento</t>
  </si>
  <si>
    <t>SOBRA</t>
  </si>
  <si>
    <t>Infinity Sil</t>
  </si>
  <si>
    <t>Infinity 1</t>
  </si>
  <si>
    <t>Infinity 2</t>
  </si>
  <si>
    <t>Infinity Emp</t>
  </si>
  <si>
    <t>Boletos Atrazados</t>
  </si>
  <si>
    <t>DESPESAS:</t>
  </si>
  <si>
    <t>Conta Pagamento</t>
  </si>
  <si>
    <t>Aluguel</t>
  </si>
  <si>
    <t>Salarios Marilia dia 05</t>
  </si>
  <si>
    <t>Adiantamento dia 20</t>
  </si>
  <si>
    <t>ok</t>
  </si>
  <si>
    <t>Contador</t>
  </si>
  <si>
    <t>Prolabore</t>
  </si>
  <si>
    <t>Salario Sandra dia 05</t>
  </si>
  <si>
    <t>Salario Lene dia 05</t>
  </si>
  <si>
    <t>Taxas Maquinetas Stone</t>
  </si>
  <si>
    <t>Aluguel Maquinetas</t>
  </si>
  <si>
    <t>Passagens</t>
  </si>
  <si>
    <t>Mercantil</t>
  </si>
  <si>
    <t>Simples</t>
  </si>
  <si>
    <t>Inss</t>
  </si>
  <si>
    <t>Fgts</t>
  </si>
  <si>
    <t>Boletos</t>
  </si>
  <si>
    <t>Carro</t>
  </si>
  <si>
    <t>Bombeiros</t>
  </si>
  <si>
    <t>IPTU</t>
  </si>
  <si>
    <t>Celpe</t>
  </si>
  <si>
    <t>Compesa</t>
  </si>
  <si>
    <t>Silvio - dia 20</t>
  </si>
  <si>
    <t>Silvio - dia 05</t>
  </si>
  <si>
    <t>Saldo Real</t>
  </si>
  <si>
    <t>Saldo em Cash</t>
  </si>
  <si>
    <t>Capital de Giro 10%</t>
  </si>
  <si>
    <t>Funde de investimento 10%</t>
  </si>
  <si>
    <t>Lucro liquido</t>
  </si>
  <si>
    <t>Prejuiso</t>
  </si>
  <si>
    <t>Dividendos do Lucro Liquido</t>
  </si>
  <si>
    <t>Valor Real Pago</t>
  </si>
  <si>
    <t>É separado R$1.000,00 para pagemento de Dividas</t>
  </si>
  <si>
    <t>MEIRY</t>
  </si>
  <si>
    <t>Fundo de Investimento</t>
  </si>
  <si>
    <t>Silvio</t>
  </si>
  <si>
    <t>Infinity</t>
  </si>
  <si>
    <t>Ifood+Pag+caixa(256)</t>
  </si>
  <si>
    <t>Capital de Giro</t>
  </si>
  <si>
    <t>Caixa(245,31)+cash(1414)</t>
  </si>
  <si>
    <t xml:space="preserve">Sobra de </t>
  </si>
  <si>
    <t>DIARISTAS</t>
  </si>
  <si>
    <t>Reserva</t>
  </si>
  <si>
    <t>Natalia</t>
  </si>
  <si>
    <t>Depositar na conta Silvio</t>
  </si>
  <si>
    <t>Pagamento Dividas</t>
  </si>
  <si>
    <t>Karol</t>
  </si>
  <si>
    <t>Total</t>
  </si>
  <si>
    <t>CALCULO DA FOLHA DE PAGAMENTO - Fevereiro</t>
  </si>
  <si>
    <t>Rescisão Rescisão Marilia 4x</t>
  </si>
  <si>
    <t>Obs: Saldos nas Contas</t>
  </si>
  <si>
    <t>Fevereiro</t>
  </si>
  <si>
    <t>Multa 40% Marilia</t>
  </si>
  <si>
    <t>FGTS Atrazado Marilia</t>
  </si>
  <si>
    <t>Stone --&gt; Ifood</t>
  </si>
  <si>
    <t>Salarios dia 05</t>
  </si>
  <si>
    <t>Conta Bancaria Caixa</t>
  </si>
  <si>
    <t>Salario Sandra Dia 05</t>
  </si>
  <si>
    <t>ENERGIA</t>
  </si>
  <si>
    <t>Transferencia p/ Ifood da Stone</t>
  </si>
  <si>
    <t>É separado R$0.000,00 para pagemento de Dividas</t>
  </si>
  <si>
    <t>PicPay - Meiry</t>
  </si>
  <si>
    <t>Conta Silvio</t>
  </si>
  <si>
    <t>Ifood + stone</t>
  </si>
  <si>
    <t>Desligadas</t>
  </si>
  <si>
    <t>Admitidas</t>
  </si>
  <si>
    <t>Depositar na conta Silvio - R$4.000,00</t>
  </si>
  <si>
    <t>CALCULO DA FOLHA DE PAGAMENTO - Março</t>
  </si>
  <si>
    <t>Compra Equipamentos</t>
  </si>
  <si>
    <t>Março</t>
  </si>
  <si>
    <t>Salarios Lene dia 05</t>
  </si>
  <si>
    <t>Salarios Sandra dia 05</t>
  </si>
  <si>
    <t>Transferencia p/ Caixa</t>
  </si>
  <si>
    <t>CALCULO DA FOLHA DE PAGAMENTO - ABRIL</t>
  </si>
  <si>
    <t>13 Sandra</t>
  </si>
  <si>
    <t>Abril</t>
  </si>
  <si>
    <t>PicPay</t>
  </si>
  <si>
    <t>PicPay(107,39) Silvio(726,52)</t>
  </si>
  <si>
    <t>picpay</t>
  </si>
  <si>
    <t>stone+Inifinity 1+Caixa+cash(107,39)</t>
  </si>
  <si>
    <t>CALCULO DA FOLHA DE PAGAMENTO - MAIO</t>
  </si>
  <si>
    <t>Maio</t>
  </si>
  <si>
    <t>CALCULO DA FOLHA DE PAGAMENTO - JUNHO</t>
  </si>
  <si>
    <t>Ferias Sandra</t>
  </si>
  <si>
    <t>Junho</t>
  </si>
  <si>
    <t>Feira</t>
  </si>
  <si>
    <t>INSS</t>
  </si>
  <si>
    <t>CALCULO DA FOLHA DE PAGAMENTO - JULHO</t>
  </si>
  <si>
    <t>junho</t>
  </si>
  <si>
    <t>Julho</t>
  </si>
  <si>
    <t>CALCULO DA FOLHA DE PAGAMENTO - AGOSTO</t>
  </si>
  <si>
    <t>Material Estoque</t>
  </si>
  <si>
    <t>Agosto</t>
  </si>
  <si>
    <t>CALCULO DA FOLHA DE PAGAMENTO - SETEMBRO</t>
  </si>
  <si>
    <t>Ferias Marilia</t>
  </si>
  <si>
    <t>CALCULO DA FOLHA DE PAGAMENTO - OUTUBRO</t>
  </si>
  <si>
    <t>IMPOSTOS ATRAZADO</t>
  </si>
  <si>
    <t>1ª Parc 13º</t>
  </si>
  <si>
    <t>Parcelamento atrazado</t>
  </si>
  <si>
    <t>CALCULO DA FOLHA DE PAGAMENTO - NOVEMBRO</t>
  </si>
  <si>
    <t>Novembro</t>
  </si>
  <si>
    <t>2ª Parc 13º</t>
  </si>
  <si>
    <t>CALCULO DA FOLHA DE PAGAMENTO - DEZEMBRO</t>
  </si>
  <si>
    <t>Nato</t>
  </si>
  <si>
    <t>deposito na loterica</t>
  </si>
  <si>
    <t>Frutá</t>
  </si>
  <si>
    <t>Saida para comprementar outra conta</t>
  </si>
  <si>
    <t>Inf 2</t>
  </si>
  <si>
    <t>ALMOÇO</t>
  </si>
  <si>
    <t>IDEAL</t>
  </si>
  <si>
    <t>Despesas Fixas</t>
  </si>
  <si>
    <t>Despesas Variáveis</t>
  </si>
  <si>
    <t>Mark up</t>
  </si>
  <si>
    <t>2 a 3,5</t>
  </si>
  <si>
    <t>Descrição</t>
  </si>
  <si>
    <t>R$</t>
  </si>
  <si>
    <t>%</t>
  </si>
  <si>
    <t>Lucro Desejado</t>
  </si>
  <si>
    <t>10 a 15</t>
  </si>
  <si>
    <t>Custos Real</t>
  </si>
  <si>
    <t>Faturamento Realizado no Ano</t>
  </si>
  <si>
    <t>ALUGUEL</t>
  </si>
  <si>
    <t>30 a 45</t>
  </si>
  <si>
    <t>Mês Faturamento</t>
  </si>
  <si>
    <t>Status Ifood</t>
  </si>
  <si>
    <t>Status Salão</t>
  </si>
  <si>
    <t>Despesas Váriáveis</t>
  </si>
  <si>
    <t xml:space="preserve">Janeiro </t>
  </si>
  <si>
    <t>CELPE</t>
  </si>
  <si>
    <t xml:space="preserve">tx cartão debito </t>
  </si>
  <si>
    <t>Custo Máx c/ Produção - CMV</t>
  </si>
  <si>
    <t>35 a 45</t>
  </si>
  <si>
    <t>COMPESA</t>
  </si>
  <si>
    <t>tx cartão credito</t>
  </si>
  <si>
    <t>TELEFONE</t>
  </si>
  <si>
    <t>manutenção equipamento</t>
  </si>
  <si>
    <t>INTERNET</t>
  </si>
  <si>
    <t>Tx Ifood</t>
  </si>
  <si>
    <t>CONTABILIDADE</t>
  </si>
  <si>
    <t>tx Voucher</t>
  </si>
  <si>
    <t>SOFTWARE GESTAO</t>
  </si>
  <si>
    <t>Sandra</t>
  </si>
  <si>
    <t>MANUT. BANCOS</t>
  </si>
  <si>
    <t>Lene</t>
  </si>
  <si>
    <t>SALARIO FUNCIONARIOS</t>
  </si>
  <si>
    <t>PASSAGEM FUNCIN.</t>
  </si>
  <si>
    <t>Diarista</t>
  </si>
  <si>
    <t>FGTS</t>
  </si>
  <si>
    <t xml:space="preserve">Total  </t>
  </si>
  <si>
    <t>Total Geral</t>
  </si>
  <si>
    <t>FERIAS</t>
  </si>
  <si>
    <t>ferias</t>
  </si>
  <si>
    <t>13º SALARIO</t>
  </si>
  <si>
    <t>MERCANTIL</t>
  </si>
  <si>
    <t>Previsão Faturamento no Ano</t>
  </si>
  <si>
    <t>MAQUINETAS</t>
  </si>
  <si>
    <t>CARRO</t>
  </si>
  <si>
    <t>COMBUSTIVEL</t>
  </si>
  <si>
    <t>BOMBEIROS</t>
  </si>
  <si>
    <t>Porcentagem Almoço:</t>
  </si>
  <si>
    <t>ANOTAI</t>
  </si>
  <si>
    <t>GAS</t>
  </si>
  <si>
    <t>CELULAR</t>
  </si>
  <si>
    <t>Meses de base</t>
  </si>
  <si>
    <t>PRO-LABORE</t>
  </si>
  <si>
    <t>Faturamento do Ano</t>
  </si>
  <si>
    <t>Dias Trabalhados</t>
  </si>
  <si>
    <t>Meta de Vendas Diaria</t>
  </si>
  <si>
    <t>Meta Realizada</t>
  </si>
  <si>
    <t>matheuslessa.com.br</t>
  </si>
  <si>
    <t>ingredientesdosucesso.com.br</t>
  </si>
  <si>
    <t>Cálculo para Despesas Variáveis</t>
  </si>
  <si>
    <t>Almoço</t>
  </si>
  <si>
    <t>Janta</t>
  </si>
  <si>
    <t>JANTA</t>
  </si>
  <si>
    <t>Porcentagem Janta:</t>
  </si>
  <si>
    <t>Forma de Recebimento</t>
  </si>
  <si>
    <t>Cartão de Crédito</t>
  </si>
  <si>
    <t>Como já é declarado as vendas nos cartões pessoa juridica, essa não mudará em nada.</t>
  </si>
  <si>
    <t>Cartão de Crédito American Express</t>
  </si>
  <si>
    <t>Cartão de Crédito Elo</t>
  </si>
  <si>
    <t>Cartão de Crédito Hipercard</t>
  </si>
  <si>
    <t>Cartão de Crédito Mastercard</t>
  </si>
  <si>
    <t>Cartão de Crédito Visa</t>
  </si>
  <si>
    <t>Cartão de Débito</t>
  </si>
  <si>
    <t>Cartão de Débito Elo</t>
  </si>
  <si>
    <t>Cartão de Débito Mastercard</t>
  </si>
  <si>
    <t>Cartão de Débito Visa</t>
  </si>
  <si>
    <t>Cheque</t>
  </si>
  <si>
    <t>Credito Moderninha Elo</t>
  </si>
  <si>
    <t>Os pagamentos na Moderninha não poderá passar dos R$4.000,00</t>
  </si>
  <si>
    <t>Credito Moderninha Hipercard</t>
  </si>
  <si>
    <t>O somatorio do CREDITO E DEBITO</t>
  </si>
  <si>
    <t>Credito Moderninha Mastercard</t>
  </si>
  <si>
    <t>Trocar a maquinha para o nome de Silvio e cancelar a de Meiry</t>
  </si>
  <si>
    <t>Credito Moderninha Visa</t>
  </si>
  <si>
    <t>Debito Moderninha</t>
  </si>
  <si>
    <t>Debito Moderninha Elo</t>
  </si>
  <si>
    <t>Debito Moderninha Mastercard</t>
  </si>
  <si>
    <t>Debito Moderninha Visa</t>
  </si>
  <si>
    <t>Dinheiro</t>
  </si>
  <si>
    <t>Pix Manual</t>
  </si>
  <si>
    <t>O Pix na pessoa fisica não deverá passar dos R$4.000,00</t>
  </si>
  <si>
    <t>Pix Manual Pix (Chave: 30569448000191 )</t>
  </si>
  <si>
    <t>O Pix no CNPJ nã deverá passar dos R$14.000,00</t>
  </si>
  <si>
    <t>Uma vez ultrapassado o limite em um unico mês, será transmitido para a receita o semestre vigente e todas as movimentações de todos os meses, mesmo os que não tenham ultrapassado os R$5.000,00</t>
  </si>
  <si>
    <t>Pix Online</t>
  </si>
  <si>
    <t>Se o PIX pessoa juridica ficar abaixo não precisará declarar, caso passe será necessario declarar,.</t>
  </si>
  <si>
    <t>Vale Alimentação Outros</t>
  </si>
  <si>
    <t>Vale Refeição Alelo</t>
  </si>
  <si>
    <t>Vale Refeição Outros</t>
  </si>
  <si>
    <t>Vale Refeição Sodexo</t>
  </si>
  <si>
    <t>Vale Refeição Ticket</t>
  </si>
  <si>
    <t>Vale Refeição VR</t>
  </si>
  <si>
    <t>Os pagamentos na Moderninha não poderá passar dos R$4.900,00</t>
  </si>
  <si>
    <t>O Pix na pessoa fisica não deverá passar dos R$4.900,00</t>
  </si>
  <si>
    <t>O Pix no CNPJ nã deverá passar dos R$14.900,00</t>
  </si>
  <si>
    <t>Vale Alimentação</t>
  </si>
  <si>
    <t>Credito Moderninha</t>
  </si>
  <si>
    <t>FICHA TÉCNICA GERENCIAL</t>
  </si>
  <si>
    <t>FICHA TÉCNICA OPERACIONAL</t>
  </si>
  <si>
    <t>Código do Produto</t>
  </si>
  <si>
    <t>Código do Produto:</t>
  </si>
  <si>
    <t>Categoria:</t>
  </si>
  <si>
    <t>Descrição do Produto</t>
  </si>
  <si>
    <t>Almoço sem Proteina</t>
  </si>
  <si>
    <t>Receita:</t>
  </si>
  <si>
    <t>Categoria</t>
  </si>
  <si>
    <t>Almoços</t>
  </si>
  <si>
    <t>Rendimento de Porções ou Kg</t>
  </si>
  <si>
    <t>Obs sobre Porção:</t>
  </si>
  <si>
    <t>Rendimento de Porções:</t>
  </si>
  <si>
    <t>Tempo de Preparo</t>
  </si>
  <si>
    <t>Data da última alteração</t>
  </si>
  <si>
    <t>IR PARA BASE DE DADOS</t>
  </si>
  <si>
    <t>Data da Criação:</t>
  </si>
  <si>
    <t>Data da Última Alteração:</t>
  </si>
  <si>
    <t>Equipamentos/Utensílios:</t>
  </si>
  <si>
    <t>Cód</t>
  </si>
  <si>
    <t>Produto / Insumo</t>
  </si>
  <si>
    <t>Medida Caseira</t>
  </si>
  <si>
    <t>Unid de
Medida</t>
  </si>
  <si>
    <t>Qtde.
Bruta</t>
  </si>
  <si>
    <t>Qtde.
Líquida</t>
  </si>
  <si>
    <t>Fator de
Correção</t>
  </si>
  <si>
    <t>R$ do Kg / Litro / Unidade</t>
  </si>
  <si>
    <t>Custo 
Total</t>
  </si>
  <si>
    <t>Item Insumo</t>
  </si>
  <si>
    <t>Und Medida</t>
  </si>
  <si>
    <t>Medida Caseira/Qtd Liquida</t>
  </si>
  <si>
    <t>Modo de Preparo:</t>
  </si>
  <si>
    <t>Preço Sugerido</t>
  </si>
  <si>
    <t>Custo total de insumos</t>
  </si>
  <si>
    <t>Preço Praticado</t>
  </si>
  <si>
    <t>Margem Segurança (10%)</t>
  </si>
  <si>
    <t>Custo da Receita</t>
  </si>
  <si>
    <t>Custo por Porção ou Kg</t>
  </si>
  <si>
    <t>Preço - Custo</t>
  </si>
  <si>
    <t>Nome</t>
  </si>
  <si>
    <t>Data Nasc</t>
  </si>
  <si>
    <t>RG</t>
  </si>
  <si>
    <t>CPF</t>
  </si>
  <si>
    <t>Função</t>
  </si>
  <si>
    <t>Salario</t>
  </si>
  <si>
    <t>Data Admissão</t>
  </si>
  <si>
    <t>Chave Pix/Conta</t>
  </si>
  <si>
    <t>Data Saida</t>
  </si>
  <si>
    <t>Ezilene Paulino Barbosa</t>
  </si>
  <si>
    <t>Cozinheira</t>
  </si>
  <si>
    <t>Sandra Gonçalves de Barros</t>
  </si>
  <si>
    <t>Marilyn Marilia Ferreira das Neves</t>
  </si>
  <si>
    <t>Gerente</t>
  </si>
  <si>
    <t>Diarista/Auxiliar</t>
  </si>
  <si>
    <t>Keloryne</t>
  </si>
  <si>
    <t>Rafaela</t>
  </si>
  <si>
    <t>Equipamentos/Utensilios</t>
  </si>
  <si>
    <t>Contagem Inicial</t>
  </si>
  <si>
    <t>Xicara Taça G</t>
  </si>
  <si>
    <t>Xicara Taça P</t>
  </si>
  <si>
    <t>Xicara Café G</t>
  </si>
  <si>
    <t>Xicara Café M</t>
  </si>
  <si>
    <t>Xicara Café P</t>
  </si>
  <si>
    <t>Taça Milk Shak</t>
  </si>
  <si>
    <t>Prato Sobremesa</t>
  </si>
  <si>
    <t>Pires G</t>
  </si>
  <si>
    <t>Pires P</t>
  </si>
  <si>
    <t>Copo Agua G</t>
  </si>
  <si>
    <t>Copo Agua M</t>
  </si>
  <si>
    <t>Copo Agua P</t>
  </si>
  <si>
    <t>Xicara P</t>
  </si>
  <si>
    <t>Xicara G</t>
  </si>
  <si>
    <t>Xicara Azul P</t>
  </si>
  <si>
    <t>Xicara Azul G</t>
  </si>
  <si>
    <t>Xicara Transparente P</t>
  </si>
  <si>
    <t>Xicara Verde</t>
  </si>
  <si>
    <t>Xicara Marrom</t>
  </si>
  <si>
    <t>Xicara P Branca Florida</t>
  </si>
  <si>
    <t>Prato Raso</t>
  </si>
  <si>
    <t>Prato Azul G</t>
  </si>
  <si>
    <t>Prato Azul M</t>
  </si>
  <si>
    <t>Prato Azul P</t>
  </si>
  <si>
    <t>Vazilha Retangular G</t>
  </si>
  <si>
    <t>Vazilha Retangular M</t>
  </si>
  <si>
    <t>Vazilha Retangular P</t>
  </si>
  <si>
    <t>Vazilha Carne G</t>
  </si>
  <si>
    <t>Vazilha Carne M</t>
  </si>
  <si>
    <t>Vazilha Carne P</t>
  </si>
  <si>
    <t>Tampa R G</t>
  </si>
  <si>
    <t>Tampa R M</t>
  </si>
  <si>
    <t>Tampa R +</t>
  </si>
  <si>
    <t>Tampa Q +</t>
  </si>
  <si>
    <t>Vazilha GG com Tampa</t>
  </si>
  <si>
    <t>Talba Carne G</t>
  </si>
  <si>
    <t>Talba Carne M</t>
  </si>
  <si>
    <t>Talba Mole</t>
  </si>
  <si>
    <t>Faca Salão</t>
  </si>
  <si>
    <t>Colher Salão</t>
  </si>
  <si>
    <t>Garfo Salão</t>
  </si>
  <si>
    <t>Colher Salão P</t>
  </si>
  <si>
    <t>Bailarina P</t>
  </si>
  <si>
    <t>Bailarina G</t>
  </si>
  <si>
    <t>Garfo Cabo Preto</t>
  </si>
  <si>
    <t>Faca Salão P</t>
  </si>
  <si>
    <t>Colher de Chá</t>
  </si>
  <si>
    <t>Pegador de Gelo P</t>
  </si>
  <si>
    <t>Concha Salão P</t>
  </si>
  <si>
    <t>Faca Cabo Laranja</t>
  </si>
  <si>
    <t>Garfo P Sobremesa</t>
  </si>
  <si>
    <t>Medidor Gelo Verde</t>
  </si>
  <si>
    <t>Copo Transparente G</t>
  </si>
  <si>
    <t>Copo Transparente P</t>
  </si>
  <si>
    <t>Copo Aluminio Gelo</t>
  </si>
  <si>
    <t>Copo Suco</t>
  </si>
  <si>
    <t>Panela G</t>
  </si>
  <si>
    <t>Panela Caçarola Funda</t>
  </si>
  <si>
    <t>Escorredor</t>
  </si>
  <si>
    <t>Panela M</t>
  </si>
  <si>
    <t>Panela Pressão</t>
  </si>
  <si>
    <t>Panela P</t>
  </si>
  <si>
    <t>Frigideira P</t>
  </si>
  <si>
    <t>Frigideira G</t>
  </si>
  <si>
    <t>Assadeira G</t>
  </si>
  <si>
    <t>Assadeira M</t>
  </si>
  <si>
    <t>Cuscuzeira P</t>
  </si>
  <si>
    <t>Conchas Aluminio</t>
  </si>
  <si>
    <t>Colheres de Pau</t>
  </si>
  <si>
    <t>Colher de Plastico</t>
  </si>
  <si>
    <t>Machadinho/Batedor</t>
  </si>
  <si>
    <t>Pegador Macarrão P</t>
  </si>
  <si>
    <t>Pegador Macarrão G</t>
  </si>
  <si>
    <t>Pegador de Carne G</t>
  </si>
  <si>
    <t>Amassador de Batata Aluminio</t>
  </si>
  <si>
    <t>Amassador de Batata Plastico</t>
  </si>
  <si>
    <t>Colheres de Aluminio G</t>
  </si>
  <si>
    <t>Colher Furadinha</t>
  </si>
  <si>
    <t>Espatulas de Plasticos</t>
  </si>
  <si>
    <t>Espatulas de Aluminio</t>
  </si>
  <si>
    <t>Tesoura de Cozinha</t>
  </si>
  <si>
    <t>Fuê G</t>
  </si>
  <si>
    <t>Colher Furadinha Aluminio</t>
  </si>
  <si>
    <t>Concha Macarrão</t>
  </si>
  <si>
    <t>Concha Furada</t>
  </si>
  <si>
    <t>Pegador de Batata P</t>
  </si>
  <si>
    <t>Pegador de Batata Frita</t>
  </si>
  <si>
    <t>Pegador de Gelo G</t>
  </si>
  <si>
    <t>Pegador de Macarrão Fino</t>
  </si>
  <si>
    <t>Fuê P</t>
  </si>
  <si>
    <t>Espatula Fina</t>
  </si>
  <si>
    <t>Cutelo</t>
  </si>
  <si>
    <t>Pexeira Cabo Branco G</t>
  </si>
  <si>
    <t>Pexeira Cabo Branco M</t>
  </si>
  <si>
    <t>Faca Serra Cabo Preto</t>
  </si>
  <si>
    <t>Faca Serra Cabo Branco</t>
  </si>
  <si>
    <t>Colher Silicone</t>
  </si>
  <si>
    <t>Descacador Legumes</t>
  </si>
  <si>
    <t>Medidor Azul 240ml</t>
  </si>
  <si>
    <t>Medidor Azul 160ml</t>
  </si>
  <si>
    <t>Medidor Azul 120ml</t>
  </si>
  <si>
    <t>Medidor Azul 60ml</t>
  </si>
  <si>
    <t>Medidor Azul 15ml</t>
  </si>
  <si>
    <t>1 Cup Azul G 15ml</t>
  </si>
  <si>
    <t>1 Cup Roxo M 5ml</t>
  </si>
  <si>
    <t>Medidor Xicara Branco 240ml</t>
  </si>
  <si>
    <t>Medidor Xicara Preto 240ml</t>
  </si>
  <si>
    <t>Medidor Colher Sopa Branco 15ml</t>
  </si>
  <si>
    <t>Medidor Colher Sopa Preto 15ml</t>
  </si>
  <si>
    <t>Forma Pudim</t>
  </si>
  <si>
    <t>Cuscuzeira Peitinho Base</t>
  </si>
  <si>
    <t>Cuscuzeira Peitinho Suporte</t>
  </si>
  <si>
    <t>Ralador G</t>
  </si>
  <si>
    <t>Ralador P</t>
  </si>
  <si>
    <t>Pincel Silicone</t>
  </si>
  <si>
    <t>Cuba P</t>
  </si>
  <si>
    <t>Cuba Folha</t>
  </si>
  <si>
    <t>Quadrado Preto</t>
  </si>
  <si>
    <t>Panelinha de Ovo</t>
  </si>
  <si>
    <t>Cubinha de Louça Branca</t>
  </si>
  <si>
    <t>Provinha Louça</t>
  </si>
  <si>
    <t>Provinha Plastico</t>
  </si>
  <si>
    <t>Cuba Quebrada</t>
  </si>
  <si>
    <t>Cuba de Plastico Preta P</t>
  </si>
  <si>
    <t>Cuba de Plastico Preta G</t>
  </si>
  <si>
    <t>Oval Pequena</t>
  </si>
  <si>
    <t>Jarra 750ml</t>
  </si>
  <si>
    <t>Jarra 1L</t>
  </si>
  <si>
    <t>Jarra 2L</t>
  </si>
  <si>
    <t>Cuba de Sopa</t>
  </si>
  <si>
    <t>Cuba Lasanha</t>
  </si>
  <si>
    <t>Cuba Lasanha P</t>
  </si>
  <si>
    <t>Oval G</t>
  </si>
  <si>
    <t>Travessa Azul</t>
  </si>
  <si>
    <t>Travessa Branca</t>
  </si>
  <si>
    <t>Prato Parmegiana</t>
  </si>
  <si>
    <t>Prato Fundo</t>
  </si>
  <si>
    <t>IMPRESSÃO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</si>
</sst>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[$R$ -416]#,##0.00"/>
    <numFmt numFmtId="165" formatCode="_(&quot;R$ &quot;* #,##0.00_);_(&quot;R$ &quot;* \(#,##0.00\);_(&quot;R$ &quot;* &quot;-&quot;??_);_(@_)"/>
    <numFmt numFmtId="166" formatCode="[$-416]d\-mmm"/>
    <numFmt numFmtId="167" formatCode="dd/MM/yyyy HH:mm:ss"/>
    <numFmt numFmtId="168" formatCode="&quot;R$ &quot;#,##0.00"/>
    <numFmt numFmtId="169" formatCode="&quot;R$ &quot;#,##0.00_);\(&quot;R$ &quot;#,##0.00\)"/>
    <numFmt numFmtId="170" formatCode="d/m"/>
    <numFmt numFmtId="171" formatCode="0.0%"/>
    <numFmt numFmtId="172" formatCode="_-&quot;R$&quot;\ * #,##0.00_-;\-&quot;R$&quot;\ * #,##0.00_-;_-&quot;R$&quot;\ * &quot;-&quot;??_-;_-@"/>
    <numFmt numFmtId="173" formatCode="_(* #,##0.00_);_(* \(#,##0.00\);_(* &quot;-&quot;??_);_(@_)"/>
    <numFmt numFmtId="174" formatCode="&quot;R$&quot;\ #,##0.00"/>
    <numFmt numFmtId="175" formatCode="mmmm - d"/>
    <numFmt numFmtId="176" formatCode="dd/MM/yyyy"/>
    <numFmt numFmtId="177" formatCode="dd/mm/yyyy"/>
    <numFmt numFmtId="178" formatCode="0.0000000"/>
    <numFmt numFmtId="179" formatCode="#,##0_ ;\-#,##0\ "/>
    <numFmt numFmtId="180" formatCode="mmmm yyyy"/>
    <numFmt numFmtId="181" formatCode="0.000"/>
  </numFmts>
  <fonts count="8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>
      <b/>
      <sz val="18.0"/>
      <color theme="1"/>
      <name val="Aparajita"/>
    </font>
    <font/>
    <font>
      <sz val="11.0"/>
      <color theme="1"/>
      <name val="Calibri"/>
    </font>
    <font>
      <b/>
      <sz val="12.0"/>
      <color rgb="FFFFFFFF"/>
      <name val="Cambria"/>
    </font>
    <font>
      <b/>
      <sz val="13.0"/>
      <color rgb="FFFFFFFF"/>
      <name val="Cambria"/>
    </font>
    <font>
      <b/>
      <sz val="13.0"/>
      <color rgb="FFFFFFFF"/>
      <name val="Arial"/>
    </font>
    <font>
      <b/>
      <color rgb="FFFFFFFF"/>
      <name val="Arial"/>
    </font>
    <font>
      <b/>
      <sz val="11.0"/>
      <color rgb="FFFFFFFF"/>
      <name val="Arial"/>
    </font>
    <font>
      <color theme="1"/>
      <name val="Cambria"/>
    </font>
    <font>
      <i/>
      <sz val="11.0"/>
      <color rgb="FF000000"/>
      <name val="Arial"/>
    </font>
    <font>
      <color theme="1"/>
      <name val="Arial"/>
      <scheme val="minor"/>
    </font>
    <font>
      <b/>
      <sz val="16.0"/>
      <color theme="1"/>
      <name val="Arial"/>
    </font>
    <font>
      <b/>
      <sz val="14.0"/>
      <color theme="1"/>
      <name val="Arial"/>
    </font>
    <font>
      <b/>
      <sz val="24.0"/>
      <color theme="1"/>
      <name val="Aparajita"/>
    </font>
    <font>
      <b/>
      <sz val="24.0"/>
      <color rgb="FF1F497D"/>
      <name val="Arial"/>
    </font>
    <font>
      <b/>
      <sz val="24.0"/>
      <color rgb="FF1F497D"/>
      <name val="Calibri"/>
    </font>
    <font>
      <sz val="18.0"/>
      <color rgb="FFFFFFFF"/>
      <name val="Calibri"/>
    </font>
    <font>
      <sz val="18.0"/>
      <color rgb="FFFFFFFF"/>
      <name val="Arial"/>
    </font>
    <font>
      <b/>
      <sz val="11.0"/>
      <color theme="1"/>
      <name val="Arial"/>
    </font>
    <font>
      <b/>
      <sz val="12.0"/>
      <color rgb="FFFFFFFF"/>
      <name val="Arial"/>
    </font>
    <font>
      <b/>
      <sz val="12.0"/>
      <color rgb="FFFFFFFF"/>
      <name val="Calibri"/>
    </font>
    <font>
      <b/>
      <sz val="16.0"/>
      <color rgb="FFFFFFFF"/>
      <name val="Calibri"/>
    </font>
    <font>
      <b/>
      <sz val="16.0"/>
      <color theme="1"/>
      <name val="Calibri"/>
    </font>
    <font>
      <b/>
      <i/>
      <sz val="11.0"/>
      <color theme="1"/>
      <name val="Calibri"/>
    </font>
    <font>
      <color rgb="FFFFFFFF"/>
      <name val="Arial"/>
    </font>
    <font>
      <b/>
      <sz val="11.0"/>
      <color theme="1"/>
      <name val="Calibri"/>
    </font>
    <font>
      <b/>
      <sz val="12.0"/>
      <color theme="1"/>
      <name val="Calibri"/>
    </font>
    <font>
      <i/>
      <sz val="11.0"/>
      <color theme="1"/>
      <name val="Calibri"/>
    </font>
    <font>
      <b/>
      <sz val="13.0"/>
      <color theme="1"/>
      <name val="Calibri"/>
    </font>
    <font>
      <sz val="13.0"/>
      <color theme="1"/>
      <name val="Arial"/>
    </font>
    <font>
      <sz val="9.0"/>
      <color rgb="FF000000"/>
      <name val="&quot;Google Sans Mono&quot;"/>
    </font>
    <font>
      <sz val="12.0"/>
      <color theme="1"/>
      <name val="Calibri"/>
    </font>
    <font>
      <i/>
      <sz val="12.0"/>
      <color theme="1"/>
      <name val="Calibri"/>
    </font>
    <font>
      <i/>
      <sz val="11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sz val="18.0"/>
      <color theme="1"/>
      <name val="Arial"/>
    </font>
    <font>
      <b/>
      <sz val="18.0"/>
      <color rgb="FF1F497D"/>
      <name val="Calibri"/>
    </font>
    <font>
      <b/>
      <sz val="12.0"/>
      <color theme="1"/>
      <name val="Arial"/>
    </font>
    <font>
      <b/>
      <sz val="11.0"/>
      <color rgb="FF000000"/>
      <name val="Calibri"/>
    </font>
    <font>
      <b/>
      <strike/>
      <sz val="11.0"/>
      <color theme="1"/>
      <name val="Calibri"/>
    </font>
    <font>
      <sz val="11.0"/>
      <color rgb="FF000000"/>
      <name val="Calibri"/>
    </font>
    <font>
      <strike/>
      <sz val="11.0"/>
      <color theme="1"/>
      <name val="Calibri"/>
    </font>
    <font>
      <color rgb="FF0000FF"/>
      <name val="Arial"/>
    </font>
    <font>
      <b/>
      <sz val="11.0"/>
      <color rgb="FF0000FF"/>
      <name val="Calibri"/>
    </font>
    <font>
      <b/>
      <sz val="24.0"/>
      <color rgb="FFFFFFFF"/>
      <name val="Arial"/>
    </font>
    <font>
      <strike/>
      <color theme="1"/>
      <name val="Arial"/>
    </font>
    <font>
      <b/>
      <sz val="14.0"/>
      <color rgb="FFFFFFFF"/>
      <name val="Arial"/>
    </font>
    <font>
      <color theme="1"/>
      <name val="Calibri"/>
    </font>
    <font>
      <strike/>
      <color theme="1"/>
      <name val="Calibri"/>
    </font>
    <font>
      <strike/>
      <color theme="1"/>
      <name val="Arial"/>
      <scheme val="minor"/>
    </font>
    <font>
      <sz val="18.0"/>
      <color theme="1"/>
      <name val="Calibri"/>
    </font>
    <font>
      <b/>
      <sz val="12.0"/>
      <color rgb="FF595959"/>
      <name val="Calibri"/>
    </font>
    <font>
      <b/>
      <sz val="14.0"/>
      <color rgb="FFFFFFFF"/>
      <name val="Calibri"/>
    </font>
    <font>
      <b/>
      <sz val="11.0"/>
      <color rgb="FF595959"/>
      <name val="Calibri"/>
    </font>
    <font>
      <b/>
      <sz val="14.0"/>
      <color rgb="FF595959"/>
      <name val="Calibri"/>
    </font>
    <font>
      <b/>
      <color rgb="FF3A3838"/>
      <name val="Calibri"/>
    </font>
    <font>
      <sz val="11.0"/>
      <color rgb="FF3A3838"/>
      <name val="Calibri"/>
    </font>
    <font>
      <color rgb="FF3A3838"/>
      <name val="Calibri"/>
    </font>
    <font>
      <b/>
      <color rgb="FF0070C0"/>
      <name val="Calibri"/>
    </font>
    <font>
      <b/>
      <color theme="1"/>
      <name val="Calibri"/>
    </font>
    <font>
      <color rgb="FFFFFFFF"/>
      <name val="Calibri"/>
    </font>
    <font>
      <color rgb="FF3F3F3F"/>
      <name val="Calibri"/>
    </font>
    <font>
      <u/>
      <sz val="11.0"/>
      <color rgb="FF3F3F3F"/>
      <name val="Calibri"/>
    </font>
    <font>
      <b/>
      <i/>
      <u/>
      <sz val="11.0"/>
      <color rgb="FF3F3F3F"/>
      <name val="Calibri"/>
    </font>
    <font>
      <b/>
      <color rgb="FFFFFFFF"/>
      <name val="Calibri"/>
    </font>
    <font>
      <sz val="11.0"/>
      <color rgb="FFFFFFFF"/>
      <name val="Calibri"/>
    </font>
    <font>
      <b/>
      <sz val="18.0"/>
      <color rgb="FFFFFFFF"/>
      <name val="Calibri"/>
    </font>
    <font>
      <b/>
      <sz val="12.0"/>
      <color rgb="FF3A3838"/>
      <name val="Calibri"/>
    </font>
    <font>
      <b/>
      <sz val="11.0"/>
      <color rgb="FF3A3838"/>
      <name val="Calibri"/>
    </font>
    <font>
      <b/>
      <sz val="14.0"/>
      <color rgb="FF3A3838"/>
      <name val="Calibri"/>
    </font>
    <font>
      <b/>
      <sz val="26.0"/>
      <color rgb="FF3A3838"/>
      <name val="Calibri"/>
    </font>
    <font>
      <sz val="14.0"/>
      <color rgb="FF3A3838"/>
      <name val="Calibri"/>
    </font>
    <font>
      <b/>
      <u/>
      <sz val="11.0"/>
      <color rgb="FF1155CC"/>
      <name val="Calibri"/>
    </font>
    <font>
      <b/>
      <sz val="12.0"/>
      <color rgb="FFC55A11"/>
      <name val="Calibri"/>
    </font>
    <font>
      <b/>
      <sz val="12.0"/>
      <color rgb="FF0000FF"/>
      <name val="Calibri"/>
    </font>
    <font>
      <sz val="12.0"/>
      <color rgb="FFFFFFCC"/>
      <name val="Calibri"/>
    </font>
    <font>
      <sz val="12.0"/>
      <color rgb="FF757070"/>
      <name val="Calibri"/>
    </font>
    <font>
      <b/>
      <sz val="12.0"/>
      <color rgb="FF548135"/>
      <name val="Calibri"/>
    </font>
    <font>
      <b/>
      <i/>
      <u/>
      <sz val="11.0"/>
      <color rgb="FF595959"/>
      <name val="Calibri"/>
    </font>
    <font>
      <b/>
      <sz val="24.0"/>
      <color theme="1"/>
      <name val="Arial"/>
      <scheme val="minor"/>
    </font>
  </fonts>
  <fills count="5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4F6128"/>
        <bgColor rgb="FF4F6128"/>
      </patternFill>
    </fill>
    <fill>
      <patternFill patternType="solid">
        <fgColor rgb="FFFFFF00"/>
        <bgColor rgb="FFFFFF00"/>
      </patternFill>
    </fill>
    <fill>
      <patternFill patternType="solid">
        <fgColor rgb="FF1F497D"/>
        <bgColor rgb="FF1F497D"/>
      </patternFill>
    </fill>
    <fill>
      <patternFill patternType="solid">
        <fgColor rgb="FF034306"/>
        <bgColor rgb="FF034306"/>
      </patternFill>
    </fill>
    <fill>
      <patternFill patternType="solid">
        <fgColor rgb="FFE8F0FE"/>
        <bgColor rgb="FFE8F0FE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DE9D9"/>
        <bgColor rgb="FFFDE9D9"/>
      </patternFill>
    </fill>
    <fill>
      <patternFill patternType="solid">
        <fgColor rgb="FF974806"/>
        <bgColor rgb="FF974806"/>
      </patternFill>
    </fill>
    <fill>
      <patternFill patternType="solid">
        <fgColor rgb="FFC4BD97"/>
        <bgColor rgb="FFC4BD97"/>
      </patternFill>
    </fill>
    <fill>
      <patternFill patternType="solid">
        <fgColor rgb="FF548DD4"/>
        <bgColor rgb="FF548DD4"/>
      </patternFill>
    </fill>
    <fill>
      <patternFill patternType="solid">
        <fgColor rgb="FFE36C09"/>
        <bgColor rgb="FFE36C09"/>
      </patternFill>
    </fill>
    <fill>
      <patternFill patternType="solid">
        <fgColor rgb="FFFFC757"/>
        <bgColor rgb="FFFFC757"/>
      </patternFill>
    </fill>
    <fill>
      <patternFill patternType="solid">
        <fgColor rgb="FFF79646"/>
        <bgColor rgb="FFF79646"/>
      </patternFill>
    </fill>
    <fill>
      <patternFill patternType="solid">
        <fgColor rgb="FFEFEFEF"/>
        <bgColor rgb="FFEFEFEF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0000FF"/>
        <bgColor rgb="FF0000FF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D5A6BD"/>
        <bgColor rgb="FFD5A6BD"/>
      </patternFill>
    </fill>
    <fill>
      <patternFill patternType="solid">
        <fgColor rgb="FFF4B083"/>
        <bgColor rgb="FFF4B083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FFD966"/>
        <bgColor rgb="FFFFD966"/>
      </patternFill>
    </fill>
    <fill>
      <patternFill patternType="solid">
        <fgColor rgb="FFD8D8D8"/>
        <bgColor rgb="FFD8D8D8"/>
      </patternFill>
    </fill>
    <fill>
      <patternFill patternType="solid">
        <fgColor rgb="FF008000"/>
        <bgColor rgb="FF008000"/>
      </patternFill>
    </fill>
    <fill>
      <patternFill patternType="solid">
        <fgColor rgb="FFFFD965"/>
        <bgColor rgb="FFFFD965"/>
      </patternFill>
    </fill>
    <fill>
      <patternFill patternType="solid">
        <fgColor rgb="FFA2C4C9"/>
        <bgColor rgb="FFA2C4C9"/>
      </patternFill>
    </fill>
    <fill>
      <patternFill patternType="solid">
        <fgColor rgb="FF6AA84F"/>
        <bgColor rgb="FF6AA84F"/>
      </patternFill>
    </fill>
    <fill>
      <patternFill patternType="solid">
        <fgColor rgb="FF7F7F7F"/>
        <bgColor rgb="FF7F7F7F"/>
      </patternFill>
    </fill>
    <fill>
      <patternFill patternType="solid">
        <fgColor rgb="FFFDEEED"/>
        <bgColor rgb="FFFDEEED"/>
      </patternFill>
    </fill>
    <fill>
      <patternFill patternType="solid">
        <fgColor rgb="FFECECEC"/>
        <bgColor rgb="FFECECEC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B7B7B7"/>
        <bgColor rgb="FFB7B7B7"/>
      </patternFill>
    </fill>
  </fills>
  <borders count="37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double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/>
      <top/>
      <bottom style="double">
        <color rgb="FF000000"/>
      </bottom>
    </border>
    <border>
      <left style="thin">
        <color rgb="FF000000"/>
      </left>
      <right/>
      <top/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dotted">
        <color rgb="FF000000"/>
      </bottom>
    </border>
    <border>
      <left style="thin">
        <color rgb="FF000000"/>
      </left>
      <right/>
      <top/>
      <bottom style="dotted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/>
      <top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ck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/>
      <top/>
    </border>
    <border>
      <left style="thick">
        <color rgb="FF000000"/>
      </left>
      <top style="thick">
        <color rgb="FF000000"/>
      </top>
      <bottom style="hair">
        <color rgb="FF000000"/>
      </bottom>
    </border>
    <border>
      <top style="thick">
        <color rgb="FF000000"/>
      </top>
      <bottom style="hair">
        <color rgb="FF000000"/>
      </bottom>
    </border>
    <border>
      <right style="thick">
        <color rgb="FF000000"/>
      </right>
      <top style="thick">
        <color rgb="FF000000"/>
      </top>
      <bottom style="hair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bottom/>
    </border>
    <border>
      <right/>
    </border>
    <border>
      <right/>
      <top/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right/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/>
      <bottom style="hair">
        <color rgb="FF000000"/>
      </bottom>
    </border>
    <border>
      <left style="thick">
        <color rgb="FF000000"/>
      </left>
      <bottom style="hair">
        <color rgb="FF000000"/>
      </bottom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right style="thick">
        <color rgb="FF000000"/>
      </right>
      <bottom style="hair">
        <color rgb="FF000000"/>
      </bottom>
    </border>
    <border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top/>
    </border>
    <border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ck">
        <color rgb="FF000000"/>
      </right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thick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/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bottom/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/>
      <top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top/>
    </border>
    <border>
      <right style="medium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thick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ck">
        <color rgb="FF000000"/>
      </right>
      <top style="hair">
        <color rgb="FF000000"/>
      </top>
    </border>
    <border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top style="hair">
        <color rgb="FF000000"/>
      </top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right/>
      <bottom/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/>
      <bottom style="hair">
        <color rgb="FF000000"/>
      </bottom>
    </border>
    <border>
      <right style="hair">
        <color rgb="FF000000"/>
      </right>
      <top/>
      <bottom style="hair">
        <color rgb="FF000000"/>
      </bottom>
    </border>
    <border>
      <right style="medium">
        <color rgb="FF000000"/>
      </right>
      <top/>
      <bottom style="hair">
        <color rgb="FF000000"/>
      </bottom>
    </border>
    <border>
      <left style="medium">
        <color rgb="FF000000"/>
      </left>
      <top/>
      <bottom style="hair">
        <color rgb="FF000000"/>
      </bottom>
    </border>
    <border>
      <left/>
    </border>
    <border>
      <left style="thick">
        <color rgb="FF000000"/>
      </left>
      <right style="hair">
        <color rgb="FF000000"/>
      </right>
    </border>
    <border>
      <right style="hair">
        <color rgb="FF000000"/>
      </right>
    </border>
    <border>
      <left style="medium">
        <color rgb="FF000000"/>
      </left>
      <right style="hair">
        <color rgb="FF000000"/>
      </right>
    </border>
    <border>
      <left style="medium">
        <color rgb="FF000000"/>
      </left>
      <right style="thin">
        <color rgb="FF000000"/>
      </right>
      <top/>
    </border>
    <border>
      <left style="thick">
        <color rgb="FF000000"/>
      </left>
      <right/>
      <top/>
      <bottom/>
    </border>
    <border>
      <left style="medium">
        <color rgb="FF000000"/>
      </left>
      <right style="thick">
        <color rgb="FF000000"/>
      </right>
      <top/>
      <bottom/>
    </border>
    <border>
      <left style="thick">
        <color rgb="FF000000"/>
      </left>
      <right style="hair">
        <color rgb="FF000000"/>
      </right>
      <top/>
    </border>
    <border>
      <right style="hair">
        <color rgb="FF000000"/>
      </right>
      <top/>
    </border>
    <border>
      <right style="thick">
        <color rgb="FF000000"/>
      </right>
      <top/>
    </border>
    <border>
      <left style="medium">
        <color rgb="FF000000"/>
      </left>
      <right style="hair">
        <color rgb="FF000000"/>
      </right>
      <top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right style="medium">
        <color rgb="FF000000"/>
      </right>
      <top/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thick">
        <color rgb="FF000000"/>
      </right>
      <top style="hair">
        <color rgb="FF000000"/>
      </top>
      <bottom/>
    </border>
    <border>
      <left style="hair">
        <color rgb="FF000000"/>
      </left>
      <top style="hair">
        <color rgb="FF000000"/>
      </top>
      <bottom/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ck">
        <color rgb="FF000000"/>
      </right>
      <top style="medium">
        <color rgb="FF000000"/>
      </top>
      <bottom/>
    </border>
    <border>
      <top style="medium">
        <color rgb="FF000000"/>
      </top>
    </border>
    <border>
      <left style="thick">
        <color rgb="FF000000"/>
      </left>
      <right style="medium">
        <color rgb="FF000000"/>
      </right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top/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/>
      <right style="thick">
        <color rgb="FF000000"/>
      </right>
      <top/>
      <bottom style="hair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/>
      <top/>
      <bottom style="medium">
        <color rgb="FF000000"/>
      </bottom>
    </border>
    <border>
      <left style="medium">
        <color rgb="FF000000"/>
      </left>
      <right style="thick">
        <color rgb="FF000000"/>
      </right>
      <bottom/>
    </border>
    <border>
      <left style="thick">
        <color rgb="FF000000"/>
      </left>
      <right/>
      <top/>
    </border>
    <border>
      <left style="medium">
        <color rgb="FF000000"/>
      </left>
      <right style="thick">
        <color rgb="FF000000"/>
      </right>
      <top/>
    </border>
    <border>
      <left/>
      <top/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/>
      <bottom style="thick">
        <color rgb="FF000000"/>
      </bottom>
    </border>
    <border>
      <left style="medium">
        <color rgb="FF000000"/>
      </left>
      <right style="thick">
        <color rgb="FF000000"/>
      </right>
      <top/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FF"/>
      </left>
      <top style="thick">
        <color rgb="FF0000FF"/>
      </top>
      <bottom style="thick">
        <color rgb="FF000000"/>
      </bottom>
    </border>
    <border>
      <top style="thick">
        <color rgb="FF0000FF"/>
      </top>
      <bottom style="thick">
        <color rgb="FF000000"/>
      </bottom>
    </border>
    <border>
      <right style="thick">
        <color rgb="FF0000FF"/>
      </right>
      <top style="thick">
        <color rgb="FF0000FF"/>
      </top>
      <bottom style="thick">
        <color rgb="FF000000"/>
      </bottom>
    </border>
    <border>
      <left style="thick">
        <color rgb="FF0000FF"/>
      </left>
    </border>
    <border>
      <left style="thick">
        <color rgb="FF000000"/>
      </left>
      <right style="thick">
        <color rgb="FF0D0D0D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ck">
        <color rgb="FF0D0D0D"/>
      </bottom>
    </border>
    <border>
      <right style="thick">
        <color rgb="FF0D0D0D"/>
      </right>
      <top style="thick">
        <color rgb="FF000000"/>
      </top>
      <bottom style="thick">
        <color rgb="FF0D0D0D"/>
      </bottom>
    </border>
    <border>
      <top style="thick">
        <color rgb="FF000000"/>
      </top>
      <bottom style="thin">
        <color rgb="FF000000"/>
      </bottom>
    </border>
    <border>
      <right style="thick">
        <color rgb="FF0000FF"/>
      </right>
    </border>
    <border>
      <left style="thick">
        <color rgb="FF000000"/>
      </left>
      <right style="thick">
        <color rgb="FF0D0D0D"/>
      </right>
      <bottom style="thin">
        <color rgb="FF000000"/>
      </bottom>
    </border>
    <border>
      <bottom style="thick">
        <color rgb="FFFFFFFF"/>
      </bottom>
    </border>
    <border>
      <right style="medium">
        <color rgb="FF000000"/>
      </right>
      <bottom style="thick">
        <color rgb="FFFFFFFF"/>
      </bottom>
    </border>
    <border>
      <left style="thick">
        <color rgb="FF000000"/>
      </left>
      <right style="thick">
        <color rgb="FF0D0D0D"/>
      </right>
      <bottom style="medium">
        <color rgb="FF000000"/>
      </bottom>
    </border>
    <border>
      <left style="thick">
        <color rgb="FFFFFFFF"/>
      </left>
      <right style="thick">
        <color rgb="FFFFFFFF"/>
      </right>
      <bottom style="medium">
        <color rgb="FF000000"/>
      </bottom>
    </border>
    <border>
      <right style="thick">
        <color rgb="FFFFFFFF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FFFFFF"/>
      </top>
      <bottom style="medium">
        <color rgb="FF000000"/>
      </bottom>
    </border>
    <border>
      <left style="thick">
        <color rgb="FFFFFFFF"/>
      </left>
      <right style="thick">
        <color rgb="FFFFFFFF"/>
      </right>
      <top style="medium">
        <color rgb="FFFFFFFF"/>
      </top>
      <bottom style="medium">
        <color rgb="FF000000"/>
      </bottom>
    </border>
    <border>
      <right style="thick">
        <color rgb="FFFFFFFF"/>
      </right>
      <top style="medium">
        <color rgb="FFFFFFFF"/>
      </top>
      <bottom style="medium">
        <color rgb="FF000000"/>
      </bottom>
    </border>
    <border>
      <right style="thick">
        <color rgb="FF0000FF"/>
      </right>
      <top style="medium">
        <color rgb="FFFFFFFF"/>
      </top>
      <bottom style="medium">
        <color rgb="FF000000"/>
      </bottom>
    </border>
    <border>
      <left style="thick">
        <color rgb="FFFFFFFF"/>
      </left>
      <right style="thick">
        <color rgb="FFFFFFFF"/>
      </right>
      <top style="medium">
        <color rgb="FF000000"/>
      </top>
      <bottom style="medium">
        <color rgb="FF000000"/>
      </bottom>
    </border>
    <border>
      <right style="thick">
        <color rgb="FFFFFFFF"/>
      </right>
      <top style="medium">
        <color rgb="FF000000"/>
      </top>
      <bottom style="medium">
        <color rgb="FF000000"/>
      </bottom>
    </border>
    <border>
      <right style="thick">
        <color rgb="FF0000FF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</border>
    <border>
      <right style="thick">
        <color rgb="FFFFFFFF"/>
      </right>
    </border>
    <border>
      <top style="medium">
        <color rgb="FF000000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medium">
        <color rgb="FF000000"/>
      </top>
      <bottom style="thick">
        <color rgb="FFFFFFFF"/>
      </bottom>
    </border>
    <border>
      <right style="thick">
        <color rgb="FFFFFFFF"/>
      </right>
      <top style="medium">
        <color rgb="FF000000"/>
      </top>
      <bottom style="thick">
        <color rgb="FFFFFFFF"/>
      </bottom>
    </border>
    <border>
      <right style="thick">
        <color rgb="FF0000FF"/>
      </right>
      <top style="medium">
        <color rgb="FF000000"/>
      </top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FF"/>
      </right>
      <bottom style="thick">
        <color rgb="FF000000"/>
      </bottom>
    </border>
    <border>
      <left style="thick">
        <color rgb="FF0000FF"/>
      </left>
      <top style="medium">
        <color rgb="FF000000"/>
      </top>
    </border>
    <border>
      <right style="thick">
        <color rgb="FF0000FF"/>
      </right>
      <top style="medium">
        <color rgb="FF000000"/>
      </top>
    </border>
    <border>
      <left style="thick">
        <color rgb="FF0000FF"/>
      </left>
      <bottom style="medium">
        <color rgb="FF000000"/>
      </bottom>
    </border>
    <border>
      <right style="thick">
        <color rgb="FF0000FF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FF"/>
      </right>
      <top style="medium">
        <color rgb="FF000000"/>
      </top>
      <bottom style="medium">
        <color rgb="FF000000"/>
      </bottom>
    </border>
    <border>
      <right style="medium">
        <color rgb="FF0D0D0D"/>
      </right>
    </border>
    <border>
      <right style="thick">
        <color rgb="FF0000FF"/>
      </right>
      <bottom style="thin">
        <color rgb="FF000000"/>
      </bottom>
    </border>
    <border>
      <left style="thin">
        <color rgb="FF000000"/>
      </left>
      <right style="thick">
        <color rgb="FF0000FF"/>
      </right>
      <top style="thin">
        <color rgb="FF000000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FF"/>
      </right>
      <top style="thin">
        <color rgb="FF000000"/>
      </top>
      <bottom style="medium">
        <color rgb="FF000000"/>
      </bottom>
    </border>
    <border>
      <left style="thick">
        <color rgb="FF0000FF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FF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D0D0D"/>
      </bottom>
    </border>
    <border>
      <right style="thin">
        <color rgb="FF000000"/>
      </right>
      <bottom style="thin">
        <color rgb="FF0D0D0D"/>
      </bottom>
    </border>
    <border>
      <right style="medium">
        <color rgb="FF000000"/>
      </right>
      <bottom style="thin">
        <color rgb="FF0D0D0D"/>
      </bottom>
    </border>
    <border>
      <left style="medium">
        <color rgb="FF000000"/>
      </left>
      <right style="thin">
        <color rgb="FF0D0D0D"/>
      </right>
      <bottom style="medium">
        <color rgb="FF000000"/>
      </bottom>
    </border>
    <border>
      <right style="thin">
        <color rgb="FF0D0D0D"/>
      </right>
      <bottom style="medium">
        <color rgb="FF000000"/>
      </bottom>
    </border>
    <border>
      <bottom style="thick">
        <color rgb="FF0D0D0D"/>
      </bottom>
    </border>
    <border>
      <left style="thick">
        <color rgb="FF0D0D0D"/>
      </left>
      <bottom style="medium">
        <color rgb="FF0D0D0D"/>
      </bottom>
    </border>
    <border>
      <bottom style="medium">
        <color rgb="FF0D0D0D"/>
      </bottom>
    </border>
    <border>
      <right style="thick">
        <color rgb="FF0D0D0D"/>
      </right>
      <bottom style="medium">
        <color rgb="FF0D0D0D"/>
      </bottom>
    </border>
    <border>
      <left style="medium">
        <color rgb="FF0D0D0D"/>
      </left>
      <bottom style="thin">
        <color rgb="FF0D0D0D"/>
      </bottom>
    </border>
    <border>
      <right style="medium">
        <color rgb="FF0D0D0D"/>
      </right>
      <bottom style="thin">
        <color rgb="FF0D0D0D"/>
      </bottom>
    </border>
    <border>
      <right style="thin">
        <color rgb="FF0D0D0D"/>
      </right>
      <bottom style="thin">
        <color rgb="FF0D0D0D"/>
      </bottom>
    </border>
    <border>
      <right style="thin">
        <color rgb="FF0D0D0D"/>
      </right>
    </border>
    <border>
      <bottom style="thin">
        <color rgb="FF0D0D0D"/>
      </bottom>
    </border>
    <border>
      <left style="thin">
        <color rgb="FF000000"/>
      </left>
      <right style="thin">
        <color rgb="FF0D0D0D"/>
      </right>
      <bottom style="thin">
        <color rgb="FF0D0D0D"/>
      </bottom>
    </border>
    <border>
      <left style="medium">
        <color rgb="FF0D0D0D"/>
      </left>
      <right style="thin">
        <color rgb="FF0D0D0D"/>
      </right>
      <bottom style="medium">
        <color rgb="FF0D0D0D"/>
      </bottom>
    </border>
    <border>
      <right style="thin">
        <color rgb="FF0D0D0D"/>
      </right>
      <bottom style="medium">
        <color rgb="FF0D0D0D"/>
      </bottom>
    </border>
    <border>
      <right style="medium">
        <color rgb="FF0D0D0D"/>
      </right>
      <bottom style="medium">
        <color rgb="FF0D0D0D"/>
      </bottom>
    </border>
    <border>
      <left style="medium">
        <color rgb="FF000000"/>
      </left>
      <bottom style="thin">
        <color rgb="FF0D0D0D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D0D0D"/>
      </bottom>
    </border>
    <border>
      <right style="medium">
        <color rgb="FF000000"/>
      </right>
      <bottom style="medium">
        <color rgb="FF0D0D0D"/>
      </bottom>
    </border>
    <border>
      <left style="thick">
        <color rgb="FF0000FF"/>
      </left>
      <bottom style="thick">
        <color rgb="FF0000FF"/>
      </bottom>
    </border>
    <border>
      <left style="medium">
        <color rgb="FF0D0D0D"/>
      </left>
      <bottom style="thick">
        <color rgb="FF0000FF"/>
      </bottom>
    </border>
    <border>
      <bottom style="thick">
        <color rgb="FF0000FF"/>
      </bottom>
    </border>
    <border>
      <right style="medium">
        <color rgb="FF0D0D0D"/>
      </right>
      <bottom style="thick">
        <color rgb="FF0000FF"/>
      </bottom>
    </border>
    <border>
      <right style="thick">
        <color rgb="FF0000FF"/>
      </right>
      <bottom style="thick">
        <color rgb="FF0000FF"/>
      </bottom>
    </border>
    <border>
      <left/>
      <top style="medium">
        <color rgb="FF757070"/>
      </top>
      <bottom style="medium">
        <color rgb="FFD8D8D8"/>
      </bottom>
    </border>
    <border>
      <left style="medium">
        <color rgb="FF757070"/>
      </left>
      <right/>
      <top style="medium">
        <color rgb="FF757070"/>
      </top>
      <bottom style="medium">
        <color theme="0"/>
      </bottom>
    </border>
    <border>
      <left/>
      <right style="medium">
        <color rgb="FF757070"/>
      </right>
      <top style="medium">
        <color rgb="FF757070"/>
      </top>
      <bottom style="medium">
        <color theme="0"/>
      </bottom>
    </border>
    <border>
      <top style="medium">
        <color rgb="FF757070"/>
      </top>
      <bottom style="medium">
        <color theme="0"/>
      </bottom>
    </border>
    <border>
      <left style="medium">
        <color rgb="FF757070"/>
      </left>
      <right/>
      <top style="medium">
        <color rgb="FF757070"/>
      </top>
      <bottom style="medium">
        <color rgb="FFD8D8D8"/>
      </bottom>
    </border>
    <border>
      <left/>
      <right style="medium">
        <color rgb="FF757070"/>
      </right>
      <top style="medium">
        <color rgb="FF757070"/>
      </top>
      <bottom style="medium">
        <color rgb="FFD8D8D8"/>
      </bottom>
    </border>
    <border>
      <left style="medium">
        <color rgb="FF757070"/>
      </left>
      <right/>
      <top/>
      <bottom/>
    </border>
    <border>
      <left/>
      <right style="medium">
        <color rgb="FF757070"/>
      </right>
      <top/>
      <bottom/>
    </border>
    <border>
      <left style="medium">
        <color rgb="FF757070"/>
      </left>
      <right/>
      <top style="medium">
        <color rgb="FFD8D8D8"/>
      </top>
      <bottom style="medium">
        <color rgb="FF757070"/>
      </bottom>
    </border>
    <border>
      <left/>
      <right style="medium">
        <color rgb="FF757070"/>
      </right>
      <top style="medium">
        <color rgb="FFD8D8D8"/>
      </top>
      <bottom style="medium">
        <color rgb="FF757070"/>
      </bottom>
    </border>
    <border>
      <left style="medium">
        <color rgb="FF757070"/>
      </left>
      <top style="medium">
        <color rgb="FF757070"/>
      </top>
      <bottom style="medium">
        <color theme="0"/>
      </bottom>
    </border>
    <border>
      <right/>
      <top style="medium">
        <color rgb="FF757070"/>
      </top>
      <bottom style="medium">
        <color theme="0"/>
      </bottom>
    </border>
    <border>
      <left style="medium">
        <color rgb="FF757070"/>
      </left>
    </border>
    <border>
      <right style="medium">
        <color rgb="FF757070"/>
      </right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right style="medium">
        <color rgb="FF757070"/>
      </right>
      <top style="medium">
        <color rgb="FF3D85C6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medium">
        <color rgb="FF757070"/>
      </left>
      <top style="medium">
        <color rgb="FF000000"/>
      </top>
    </border>
    <border>
      <right style="medium">
        <color rgb="FF757070"/>
      </right>
      <top style="medium">
        <color rgb="FF000000"/>
      </top>
    </border>
    <border>
      <left style="medium">
        <color rgb="FF757070"/>
      </left>
      <top style="medium">
        <color rgb="FF000000"/>
      </top>
      <bottom style="medium">
        <color rgb="FF757070"/>
      </bottom>
    </border>
    <border>
      <top style="medium">
        <color rgb="FF000000"/>
      </top>
      <bottom style="medium">
        <color rgb="FF757070"/>
      </bottom>
    </border>
    <border>
      <right style="medium">
        <color rgb="FF757070"/>
      </right>
      <top style="medium">
        <color rgb="FF000000"/>
      </top>
      <bottom style="medium">
        <color rgb="FF757070"/>
      </bottom>
    </border>
    <border>
      <left style="medium">
        <color rgb="FF757070"/>
      </left>
      <bottom style="medium">
        <color rgb="FF757070"/>
      </bottom>
    </border>
    <border>
      <bottom style="medium">
        <color rgb="FF757070"/>
      </bottom>
    </border>
    <border>
      <right style="medium">
        <color rgb="FF757070"/>
      </right>
      <bottom style="medium">
        <color rgb="FF757070"/>
      </bottom>
    </border>
    <border>
      <left style="medium">
        <color rgb="FF000000"/>
      </left>
      <right style="medium">
        <color rgb="FF757070"/>
      </right>
      <top style="medium">
        <color rgb="FF000000"/>
      </top>
      <bottom style="medium">
        <color theme="0"/>
      </bottom>
    </border>
    <border>
      <left/>
      <right style="medium">
        <color rgb="FF000000"/>
      </right>
      <top style="medium">
        <color rgb="FF000000"/>
      </top>
      <bottom style="medium">
        <color theme="0"/>
      </bottom>
    </border>
    <border>
      <left style="medium">
        <color rgb="FF757070"/>
      </left>
      <right/>
      <top style="medium">
        <color rgb="FF757070"/>
      </top>
      <bottom style="medium">
        <color rgb="FFF2F2F2"/>
      </bottom>
    </border>
    <border>
      <left/>
      <right style="medium">
        <color rgb="FF757070"/>
      </right>
      <top style="medium">
        <color rgb="FF757070"/>
      </top>
      <bottom style="medium">
        <color rgb="FFF2F2F2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757070"/>
      </left>
      <top style="medium">
        <color rgb="FF757070"/>
      </top>
      <bottom style="thin">
        <color rgb="FF757070"/>
      </bottom>
    </border>
    <border>
      <top style="medium">
        <color rgb="FF757070"/>
      </top>
      <bottom style="thin">
        <color rgb="FF757070"/>
      </bottom>
    </border>
    <border>
      <right style="medium">
        <color rgb="FF757070"/>
      </right>
      <top style="medium">
        <color rgb="FF757070"/>
      </top>
      <bottom style="thin">
        <color rgb="FF757070"/>
      </bottom>
    </border>
    <border>
      <left style="medium">
        <color rgb="FF757070"/>
      </left>
      <top style="thin">
        <color rgb="FF757070"/>
      </top>
      <bottom style="thin">
        <color rgb="FF757070"/>
      </bottom>
    </border>
    <border>
      <right style="thin">
        <color rgb="FF757070"/>
      </right>
      <top style="thin">
        <color rgb="FF757070"/>
      </top>
      <bottom style="thin">
        <color rgb="FF757070"/>
      </bottom>
    </border>
    <border>
      <left style="thin">
        <color rgb="FF757070"/>
      </left>
      <top style="thin">
        <color rgb="FF757070"/>
      </top>
      <bottom style="thin">
        <color rgb="FF757070"/>
      </bottom>
    </border>
    <border>
      <top style="thin">
        <color rgb="FF757070"/>
      </top>
      <bottom style="thin">
        <color rgb="FF757070"/>
      </bottom>
    </border>
    <border>
      <right style="medium">
        <color rgb="FF757070"/>
      </right>
      <top style="thin">
        <color rgb="FF757070"/>
      </top>
      <bottom style="thin">
        <color rgb="FF757070"/>
      </bottom>
    </border>
    <border>
      <left style="medium">
        <color rgb="FF000000"/>
      </left>
      <right style="hair">
        <color rgb="FF595959"/>
      </right>
      <top style="medium">
        <color rgb="FF000000"/>
      </top>
      <bottom style="hair">
        <color rgb="FF595959"/>
      </bottom>
    </border>
    <border>
      <top style="medium">
        <color rgb="FF000000"/>
      </top>
      <bottom style="hair">
        <color rgb="FF595959"/>
      </bottom>
    </border>
    <border>
      <right style="hair">
        <color rgb="FF595959"/>
      </right>
      <top style="medium">
        <color rgb="FF000000"/>
      </top>
      <bottom style="hair">
        <color rgb="FF595959"/>
      </bottom>
    </border>
    <border>
      <right style="medium">
        <color rgb="FF000000"/>
      </right>
      <top style="medium">
        <color rgb="FF000000"/>
      </top>
      <bottom style="hair">
        <color rgb="FF595959"/>
      </bottom>
    </border>
    <border>
      <left style="medium">
        <color rgb="FF000000"/>
      </left>
      <right style="hair">
        <color rgb="FF595959"/>
      </right>
    </border>
    <border>
      <left style="medium">
        <color rgb="FF000000"/>
      </left>
      <right style="hair">
        <color rgb="FF595959"/>
      </right>
      <bottom style="hair">
        <color rgb="FF595959"/>
      </bottom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</border>
    <border>
      <left style="medium">
        <color rgb="FF000000"/>
      </left>
      <bottom style="hair">
        <color rgb="FF595959"/>
      </bottom>
    </border>
    <border>
      <left style="hair">
        <color rgb="FF000000"/>
      </left>
      <top style="hair">
        <color rgb="FF000000"/>
      </top>
      <bottom style="hair">
        <color rgb="FF595959"/>
      </bottom>
    </border>
    <border>
      <top style="hair">
        <color rgb="FF000000"/>
      </top>
      <bottom style="hair">
        <color rgb="FF595959"/>
      </bottom>
    </border>
    <border>
      <right style="hair">
        <color rgb="FF595959"/>
      </right>
      <top style="hair">
        <color rgb="FF000000"/>
      </top>
      <bottom style="hair">
        <color rgb="FF595959"/>
      </bottom>
    </border>
    <border>
      <right style="medium">
        <color rgb="FF000000"/>
      </right>
      <top style="hair">
        <color rgb="FF000000"/>
      </top>
      <bottom style="hair">
        <color rgb="FF595959"/>
      </bottom>
    </border>
    <border>
      <left style="medium">
        <color rgb="FF757070"/>
      </left>
      <top style="thin">
        <color rgb="FF757070"/>
      </top>
      <bottom style="medium">
        <color rgb="FF757070"/>
      </bottom>
    </border>
    <border>
      <right style="thin">
        <color rgb="FF757070"/>
      </right>
      <top style="thin">
        <color rgb="FF757070"/>
      </top>
      <bottom style="medium">
        <color rgb="FF757070"/>
      </bottom>
    </border>
    <border>
      <left style="thin">
        <color rgb="FF757070"/>
      </left>
      <top style="thin">
        <color rgb="FF757070"/>
      </top>
      <bottom style="medium">
        <color rgb="FF757070"/>
      </bottom>
    </border>
    <border>
      <top style="thin">
        <color rgb="FF757070"/>
      </top>
      <bottom style="medium">
        <color rgb="FF757070"/>
      </bottom>
    </border>
    <border>
      <right style="medium">
        <color rgb="FF757070"/>
      </right>
      <top style="thin">
        <color rgb="FF757070"/>
      </top>
      <bottom style="medium">
        <color rgb="FF757070"/>
      </bottom>
    </border>
    <border>
      <bottom style="hair">
        <color rgb="FF595959"/>
      </bottom>
    </border>
    <border>
      <right style="hair">
        <color rgb="FF595959"/>
      </right>
      <bottom style="hair">
        <color rgb="FF595959"/>
      </bottom>
    </border>
    <border>
      <right style="medium">
        <color rgb="FF000000"/>
      </right>
      <bottom style="hair">
        <color rgb="FF595959"/>
      </bottom>
    </border>
    <border>
      <left style="medium">
        <color rgb="FF595959"/>
      </left>
      <right style="thin">
        <color rgb="FF757070"/>
      </right>
      <top style="medium">
        <color rgb="FF595959"/>
      </top>
      <bottom style="thin">
        <color rgb="FF757070"/>
      </bottom>
    </border>
    <border>
      <left/>
      <right style="thin">
        <color rgb="FF757070"/>
      </right>
      <top style="medium">
        <color rgb="FF595959"/>
      </top>
      <bottom style="thin">
        <color rgb="FF757070"/>
      </bottom>
    </border>
    <border>
      <left style="thin">
        <color rgb="FF757070"/>
      </left>
      <right style="thin">
        <color rgb="FF757070"/>
      </right>
      <top style="medium">
        <color rgb="FF595959"/>
      </top>
      <bottom style="thin">
        <color rgb="FF757070"/>
      </bottom>
    </border>
    <border>
      <left style="thin">
        <color rgb="FF757070"/>
      </left>
      <right style="medium">
        <color rgb="FF595959"/>
      </right>
      <top style="medium">
        <color rgb="FF595959"/>
      </top>
      <bottom style="thin">
        <color rgb="FF757070"/>
      </bottom>
    </border>
    <border>
      <left style="medium">
        <color rgb="FF595959"/>
      </left>
      <right style="thin">
        <color rgb="FF757070"/>
      </right>
      <top style="thin">
        <color rgb="FF757070"/>
      </top>
      <bottom style="thin">
        <color rgb="FF757070"/>
      </bottom>
    </border>
    <border>
      <left/>
      <right style="thin">
        <color rgb="FF757070"/>
      </right>
      <top style="thin">
        <color rgb="FF757070"/>
      </top>
      <bottom style="thin">
        <color rgb="FF757070"/>
      </bottom>
    </border>
    <border>
      <left style="thin">
        <color rgb="FF757070"/>
      </left>
      <right style="medium">
        <color rgb="FF595959"/>
      </right>
      <top style="thin">
        <color rgb="FF757070"/>
      </top>
      <bottom style="thin">
        <color rgb="FF757070"/>
      </bottom>
    </border>
    <border>
      <left style="medium">
        <color rgb="FF000000"/>
      </left>
      <top style="medium">
        <color rgb="FF000000"/>
      </top>
      <bottom style="medium">
        <color rgb="FF595959"/>
      </bottom>
    </border>
    <border>
      <right style="medium">
        <color rgb="FF595959"/>
      </right>
      <top style="medium">
        <color rgb="FF000000"/>
      </top>
      <bottom style="medium">
        <color rgb="FF595959"/>
      </bottom>
    </border>
    <border>
      <top style="medium">
        <color rgb="FF000000"/>
      </top>
      <bottom style="medium">
        <color rgb="FF595959"/>
      </bottom>
    </border>
    <border>
      <right style="thin">
        <color rgb="FF757070"/>
      </right>
      <top style="medium">
        <color rgb="FF000000"/>
      </top>
      <bottom style="medium">
        <color rgb="FF595959"/>
      </bottom>
    </border>
    <border>
      <right style="medium">
        <color rgb="FF595959"/>
      </right>
      <bottom style="hair">
        <color rgb="FF595959"/>
      </bottom>
    </border>
    <border>
      <right style="thin">
        <color rgb="FF595959"/>
      </right>
      <bottom style="hair">
        <color rgb="FF595959"/>
      </bottom>
    </border>
    <border>
      <right style="medium">
        <color rgb="FF595959"/>
      </right>
      <bottom style="medium">
        <color rgb="FF000000"/>
      </bottom>
    </border>
    <border>
      <right style="thin">
        <color rgb="FF595959"/>
      </right>
      <bottom style="medium">
        <color rgb="FF000000"/>
      </bottom>
    </border>
    <border>
      <left style="medium">
        <color rgb="FF595959"/>
      </left>
      <right style="thin">
        <color rgb="FF757070"/>
      </right>
      <top style="thin">
        <color rgb="FF757070"/>
      </top>
      <bottom style="medium">
        <color rgb="FF595959"/>
      </bottom>
    </border>
    <border>
      <left/>
      <right style="thin">
        <color rgb="FF757070"/>
      </right>
      <top style="thin">
        <color rgb="FF757070"/>
      </top>
      <bottom style="medium">
        <color rgb="FF595959"/>
      </bottom>
    </border>
    <border>
      <left style="thin">
        <color rgb="FF757070"/>
      </left>
      <right style="thin">
        <color rgb="FF757070"/>
      </right>
      <top style="thin">
        <color rgb="FF757070"/>
      </top>
      <bottom style="medium">
        <color rgb="FF595959"/>
      </bottom>
    </border>
    <border>
      <left style="thin">
        <color rgb="FF757070"/>
      </left>
      <right style="medium">
        <color rgb="FF595959"/>
      </right>
      <top style="thin">
        <color rgb="FF757070"/>
      </top>
      <bottom style="medium">
        <color rgb="FF595959"/>
      </bottom>
    </border>
    <border>
      <left style="medium">
        <color rgb="FF595959"/>
      </left>
      <top style="medium">
        <color rgb="FF595959"/>
      </top>
      <bottom/>
    </border>
    <border>
      <right/>
      <top style="medium">
        <color rgb="FF595959"/>
      </top>
      <bottom/>
    </border>
    <border>
      <left/>
      <right/>
      <top style="medium">
        <color rgb="FF595959"/>
      </top>
      <bottom/>
    </border>
    <border>
      <left/>
      <right style="medium">
        <color rgb="FF595959"/>
      </right>
      <top style="medium">
        <color rgb="FF595959"/>
      </top>
      <bottom/>
    </border>
    <border>
      <top style="medium">
        <color rgb="FF595959"/>
      </top>
      <bottom style="medium">
        <color rgb="FF595959"/>
      </bottom>
    </border>
    <border>
      <left style="medium">
        <color rgb="FF595959"/>
      </left>
      <top/>
      <bottom/>
    </border>
    <border>
      <left/>
      <right style="medium">
        <color rgb="FF595959"/>
      </right>
      <top/>
      <bottom/>
    </border>
    <border>
      <left/>
      <right/>
      <top style="medium">
        <color rgb="FF595959"/>
      </top>
      <bottom style="medium">
        <color rgb="FF595959"/>
      </bottom>
    </border>
    <border>
      <top style="medium">
        <color rgb="FF595959"/>
      </top>
    </border>
    <border>
      <left style="medium">
        <color rgb="FF595959"/>
      </left>
      <top/>
      <bottom style="medium">
        <color rgb="FF595959"/>
      </bottom>
    </border>
    <border>
      <right/>
      <top/>
      <bottom style="medium">
        <color rgb="FF595959"/>
      </bottom>
    </border>
    <border>
      <left/>
      <right/>
      <top/>
      <bottom style="medium">
        <color rgb="FF595959"/>
      </bottom>
    </border>
    <border>
      <left/>
      <right style="medium">
        <color rgb="FF595959"/>
      </right>
      <top/>
      <bottom style="medium">
        <color rgb="FF595959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Border="1" applyFont="1"/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1" numFmtId="49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vertical="bottom"/>
    </xf>
    <xf borderId="1" fillId="2" fontId="1" numFmtId="4" xfId="0" applyAlignment="1" applyBorder="1" applyFont="1" applyNumberFormat="1">
      <alignment vertical="bottom"/>
    </xf>
    <xf borderId="0" fillId="2" fontId="1" numFmtId="0" xfId="0" applyAlignment="1" applyFont="1">
      <alignment vertical="bottom"/>
    </xf>
    <xf borderId="1" fillId="2" fontId="1" numFmtId="14" xfId="0" applyAlignment="1" applyBorder="1" applyFont="1" applyNumberFormat="1">
      <alignment horizontal="center" vertical="center"/>
    </xf>
    <xf borderId="0" fillId="0" fontId="1" numFmtId="0" xfId="0" applyFont="1"/>
    <xf borderId="0" fillId="0" fontId="1" numFmtId="165" xfId="0" applyFont="1" applyNumberFormat="1"/>
    <xf borderId="0" fillId="0" fontId="1" numFmtId="0" xfId="0" applyAlignment="1" applyFont="1">
      <alignment vertical="top"/>
    </xf>
    <xf borderId="0" fillId="3" fontId="1" numFmtId="0" xfId="0" applyFill="1" applyFont="1"/>
    <xf borderId="2" fillId="3" fontId="3" numFmtId="0" xfId="0" applyAlignment="1" applyBorder="1" applyFont="1">
      <alignment horizontal="left" shrinkToFit="0" wrapText="0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4" fontId="1" numFmtId="0" xfId="0" applyBorder="1" applyFill="1" applyFont="1"/>
    <xf borderId="0" fillId="0" fontId="1" numFmtId="165" xfId="0" applyAlignment="1" applyFont="1" applyNumberFormat="1">
      <alignment vertical="bottom"/>
    </xf>
    <xf borderId="1" fillId="5" fontId="5" numFmtId="0" xfId="0" applyAlignment="1" applyBorder="1" applyFill="1" applyFont="1">
      <alignment vertical="bottom"/>
    </xf>
    <xf borderId="0" fillId="2" fontId="1" numFmtId="0" xfId="0" applyAlignment="1" applyFont="1">
      <alignment horizontal="center" vertical="center"/>
    </xf>
    <xf borderId="0" fillId="6" fontId="1" numFmtId="166" xfId="0" applyFill="1" applyFont="1" applyNumberFormat="1"/>
    <xf borderId="5" fillId="6" fontId="6" numFmtId="166" xfId="0" applyAlignment="1" applyBorder="1" applyFont="1" applyNumberFormat="1">
      <alignment horizontal="center"/>
    </xf>
    <xf borderId="1" fillId="2" fontId="1" numFmtId="167" xfId="0" applyAlignment="1" applyBorder="1" applyFont="1" applyNumberFormat="1">
      <alignment horizontal="center" vertical="center"/>
    </xf>
    <xf borderId="0" fillId="0" fontId="5" numFmtId="0" xfId="0" applyAlignment="1" applyFont="1">
      <alignment vertical="bottom"/>
    </xf>
    <xf borderId="0" fillId="6" fontId="1" numFmtId="15" xfId="0" applyAlignment="1" applyFont="1" applyNumberFormat="1">
      <alignment vertical="bottom"/>
    </xf>
    <xf borderId="6" fillId="6" fontId="7" numFmtId="15" xfId="0" applyAlignment="1" applyBorder="1" applyFont="1" applyNumberFormat="1">
      <alignment horizontal="center"/>
    </xf>
    <xf borderId="6" fillId="6" fontId="8" numFmtId="0" xfId="0" applyAlignment="1" applyBorder="1" applyFont="1">
      <alignment horizontal="center" vertical="center"/>
    </xf>
    <xf borderId="6" fillId="6" fontId="9" numFmtId="0" xfId="0" applyAlignment="1" applyBorder="1" applyFont="1">
      <alignment horizontal="center" vertical="center"/>
    </xf>
    <xf borderId="6" fillId="6" fontId="10" numFmtId="0" xfId="0" applyAlignment="1" applyBorder="1" applyFont="1">
      <alignment horizontal="center" vertical="center"/>
    </xf>
    <xf borderId="7" fillId="6" fontId="7" numFmtId="49" xfId="0" applyAlignment="1" applyBorder="1" applyFont="1" applyNumberFormat="1">
      <alignment horizontal="center" vertical="center"/>
    </xf>
    <xf borderId="8" fillId="6" fontId="8" numFmtId="164" xfId="0" applyAlignment="1" applyBorder="1" applyFont="1" applyNumberFormat="1">
      <alignment horizontal="center" vertical="center"/>
    </xf>
    <xf borderId="9" fillId="6" fontId="8" numFmtId="164" xfId="0" applyAlignment="1" applyBorder="1" applyFont="1" applyNumberFormat="1">
      <alignment horizontal="center" vertical="center"/>
    </xf>
    <xf borderId="7" fillId="6" fontId="8" numFmtId="165" xfId="0" applyAlignment="1" applyBorder="1" applyFont="1" applyNumberFormat="1">
      <alignment horizontal="center" vertical="center"/>
    </xf>
    <xf borderId="10" fillId="7" fontId="7" numFmtId="49" xfId="0" applyAlignment="1" applyBorder="1" applyFill="1" applyFont="1" applyNumberFormat="1">
      <alignment horizontal="center" vertical="bottom"/>
    </xf>
    <xf borderId="11" fillId="7" fontId="7" numFmtId="49" xfId="0" applyAlignment="1" applyBorder="1" applyFont="1" applyNumberFormat="1">
      <alignment horizontal="center" vertical="bottom"/>
    </xf>
    <xf borderId="12" fillId="7" fontId="7" numFmtId="49" xfId="0" applyAlignment="1" applyBorder="1" applyFont="1" applyNumberFormat="1">
      <alignment horizontal="center" vertical="bottom"/>
    </xf>
    <xf borderId="2" fillId="2" fontId="1" numFmtId="0" xfId="0" applyAlignment="1" applyBorder="1" applyFont="1">
      <alignment vertical="bottom"/>
    </xf>
    <xf borderId="5" fillId="3" fontId="1" numFmtId="0" xfId="0" applyBorder="1" applyFont="1"/>
    <xf borderId="5" fillId="2" fontId="1" numFmtId="16" xfId="0" applyAlignment="1" applyBorder="1" applyFont="1" applyNumberFormat="1">
      <alignment horizontal="center" readingOrder="0" vertical="center"/>
    </xf>
    <xf borderId="13" fillId="2" fontId="1" numFmtId="0" xfId="0" applyAlignment="1" applyBorder="1" applyFont="1">
      <alignment horizontal="center" readingOrder="0" vertical="center"/>
    </xf>
    <xf borderId="14" fillId="2" fontId="1" numFmtId="49" xfId="0" applyAlignment="1" applyBorder="1" applyFont="1" applyNumberFormat="1">
      <alignment horizontal="center" readingOrder="0" vertical="center"/>
    </xf>
    <xf borderId="14" fillId="2" fontId="1" numFmtId="164" xfId="0" applyAlignment="1" applyBorder="1" applyFont="1" applyNumberFormat="1">
      <alignment horizontal="center" readingOrder="0" vertical="center"/>
    </xf>
    <xf borderId="14" fillId="2" fontId="1" numFmtId="164" xfId="0" applyAlignment="1" applyBorder="1" applyFont="1" applyNumberFormat="1">
      <alignment horizontal="center" vertical="center"/>
    </xf>
    <xf borderId="14" fillId="2" fontId="1" numFmtId="168" xfId="0" applyAlignment="1" applyBorder="1" applyFont="1" applyNumberFormat="1">
      <alignment horizontal="center" readingOrder="0" vertical="center"/>
    </xf>
    <xf borderId="0" fillId="0" fontId="1" numFmtId="168" xfId="0" applyFont="1" applyNumberFormat="1"/>
    <xf borderId="15" fillId="2" fontId="1" numFmtId="4" xfId="0" applyBorder="1" applyFont="1" applyNumberFormat="1"/>
    <xf borderId="16" fillId="2" fontId="11" numFmtId="4" xfId="0" applyAlignment="1" applyBorder="1" applyFont="1" applyNumberFormat="1">
      <alignment horizontal="center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5" fillId="8" fontId="1" numFmtId="16" xfId="0" applyAlignment="1" applyBorder="1" applyFill="1" applyFont="1" applyNumberFormat="1">
      <alignment horizontal="center" readingOrder="0" vertical="center"/>
    </xf>
    <xf borderId="13" fillId="8" fontId="1" numFmtId="0" xfId="0" applyAlignment="1" applyBorder="1" applyFont="1">
      <alignment horizontal="center" readingOrder="0" vertical="center"/>
    </xf>
    <xf borderId="13" fillId="8" fontId="1" numFmtId="49" xfId="0" applyAlignment="1" applyBorder="1" applyFont="1" applyNumberFormat="1">
      <alignment horizontal="center" readingOrder="0" vertical="center"/>
    </xf>
    <xf borderId="13" fillId="8" fontId="1" numFmtId="164" xfId="0" applyAlignment="1" applyBorder="1" applyFont="1" applyNumberFormat="1">
      <alignment horizontal="center" vertical="center"/>
    </xf>
    <xf borderId="13" fillId="8" fontId="1" numFmtId="168" xfId="0" applyAlignment="1" applyBorder="1" applyFont="1" applyNumberFormat="1">
      <alignment horizontal="center" readingOrder="0" vertical="center"/>
    </xf>
    <xf borderId="13" fillId="2" fontId="1" numFmtId="49" xfId="0" applyAlignment="1" applyBorder="1" applyFont="1" applyNumberFormat="1">
      <alignment horizontal="center" readingOrder="0" vertical="center"/>
    </xf>
    <xf borderId="14" fillId="2" fontId="1" numFmtId="49" xfId="0" applyAlignment="1" applyBorder="1" applyFont="1" applyNumberFormat="1">
      <alignment horizontal="center" vertical="bottom"/>
    </xf>
    <xf borderId="13" fillId="2" fontId="1" numFmtId="164" xfId="0" applyAlignment="1" applyBorder="1" applyFont="1" applyNumberFormat="1">
      <alignment horizontal="center" vertical="center"/>
    </xf>
    <xf borderId="13" fillId="2" fontId="1" numFmtId="168" xfId="0" applyAlignment="1" applyBorder="1" applyFont="1" applyNumberFormat="1">
      <alignment horizontal="center" readingOrder="0" vertical="center"/>
    </xf>
    <xf borderId="13" fillId="8" fontId="1" numFmtId="164" xfId="0" applyAlignment="1" applyBorder="1" applyFont="1" applyNumberFormat="1">
      <alignment horizontal="center" readingOrder="0" vertical="center"/>
    </xf>
    <xf borderId="13" fillId="8" fontId="1" numFmtId="168" xfId="0" applyAlignment="1" applyBorder="1" applyFont="1" applyNumberFormat="1">
      <alignment horizontal="center" vertical="center"/>
    </xf>
    <xf borderId="13" fillId="2" fontId="1" numFmtId="164" xfId="0" applyAlignment="1" applyBorder="1" applyFont="1" applyNumberFormat="1">
      <alignment horizontal="center" readingOrder="0" vertical="center"/>
    </xf>
    <xf borderId="13" fillId="2" fontId="1" numFmtId="168" xfId="0" applyAlignment="1" applyBorder="1" applyFont="1" applyNumberFormat="1">
      <alignment horizontal="center" vertical="center"/>
    </xf>
    <xf borderId="17" fillId="2" fontId="12" numFmtId="0" xfId="0" applyAlignment="1" applyBorder="1" applyFont="1">
      <alignment horizontal="left" readingOrder="0"/>
    </xf>
    <xf borderId="0" fillId="0" fontId="1" numFmtId="0" xfId="0" applyAlignment="1" applyFont="1">
      <alignment readingOrder="0" vertical="bottom"/>
    </xf>
    <xf borderId="16" fillId="2" fontId="1" numFmtId="4" xfId="0" applyBorder="1" applyFont="1" applyNumberFormat="1"/>
    <xf borderId="18" fillId="8" fontId="1" numFmtId="16" xfId="0" applyAlignment="1" applyBorder="1" applyFont="1" applyNumberFormat="1">
      <alignment horizontal="center" readingOrder="0" vertical="center"/>
    </xf>
    <xf borderId="18" fillId="2" fontId="1" numFmtId="16" xfId="0" applyAlignment="1" applyBorder="1" applyFont="1" applyNumberFormat="1">
      <alignment horizontal="center" readingOrder="0" vertical="center"/>
    </xf>
    <xf borderId="0" fillId="0" fontId="1" numFmtId="169" xfId="0" applyFont="1" applyNumberFormat="1"/>
    <xf borderId="17" fillId="2" fontId="2" numFmtId="0" xfId="0" applyAlignment="1" applyBorder="1" applyFont="1">
      <alignment readingOrder="0" vertical="bottom"/>
    </xf>
    <xf borderId="19" fillId="2" fontId="2" numFmtId="0" xfId="0" applyAlignment="1" applyBorder="1" applyFont="1">
      <alignment readingOrder="0" vertical="bottom"/>
    </xf>
    <xf borderId="0" fillId="9" fontId="5" numFmtId="0" xfId="0" applyAlignment="1" applyFill="1" applyFont="1">
      <alignment readingOrder="0" vertical="bottom"/>
    </xf>
    <xf borderId="5" fillId="2" fontId="1" numFmtId="0" xfId="0" applyAlignment="1" applyBorder="1" applyFont="1">
      <alignment horizontal="center" readingOrder="0" vertical="center"/>
    </xf>
    <xf borderId="5" fillId="2" fontId="1" numFmtId="164" xfId="0" applyAlignment="1" applyBorder="1" applyFont="1" applyNumberFormat="1">
      <alignment horizontal="center" vertical="center"/>
    </xf>
    <xf borderId="5" fillId="2" fontId="1" numFmtId="164" xfId="0" applyAlignment="1" applyBorder="1" applyFont="1" applyNumberFormat="1">
      <alignment horizontal="center" readingOrder="0" vertical="center"/>
    </xf>
    <xf borderId="5" fillId="2" fontId="1" numFmtId="168" xfId="0" applyAlignment="1" applyBorder="1" applyFont="1" applyNumberFormat="1">
      <alignment horizontal="center" readingOrder="0" vertical="center"/>
    </xf>
    <xf borderId="15" fillId="2" fontId="11" numFmtId="4" xfId="0" applyAlignment="1" applyBorder="1" applyFont="1" applyNumberFormat="1">
      <alignment horizontal="center"/>
    </xf>
    <xf borderId="18" fillId="8" fontId="1" numFmtId="0" xfId="0" applyAlignment="1" applyBorder="1" applyFont="1">
      <alignment horizontal="center" readingOrder="0" vertical="center"/>
    </xf>
    <xf borderId="5" fillId="8" fontId="1" numFmtId="164" xfId="0" applyAlignment="1" applyBorder="1" applyFont="1" applyNumberFormat="1">
      <alignment horizontal="center" vertical="center"/>
    </xf>
    <xf borderId="5" fillId="8" fontId="1" numFmtId="168" xfId="0" applyAlignment="1" applyBorder="1" applyFont="1" applyNumberFormat="1">
      <alignment horizontal="center" vertical="center"/>
    </xf>
    <xf borderId="18" fillId="2" fontId="1" numFmtId="0" xfId="0" applyAlignment="1" applyBorder="1" applyFont="1">
      <alignment horizontal="center" readingOrder="0" vertical="center"/>
    </xf>
    <xf borderId="5" fillId="8" fontId="1" numFmtId="164" xfId="0" applyAlignment="1" applyBorder="1" applyFont="1" applyNumberFormat="1">
      <alignment horizontal="center" readingOrder="0" vertical="center"/>
    </xf>
    <xf borderId="5" fillId="8" fontId="1" numFmtId="168" xfId="0" applyAlignment="1" applyBorder="1" applyFont="1" applyNumberFormat="1">
      <alignment horizontal="center" readingOrder="0" vertical="center"/>
    </xf>
    <xf borderId="0" fillId="0" fontId="1" numFmtId="168" xfId="0" applyAlignment="1" applyFont="1" applyNumberFormat="1">
      <alignment vertical="bottom"/>
    </xf>
    <xf borderId="5" fillId="8" fontId="1" numFmtId="49" xfId="0" applyAlignment="1" applyBorder="1" applyFont="1" applyNumberFormat="1">
      <alignment horizontal="center" readingOrder="0" vertical="center"/>
    </xf>
    <xf borderId="14" fillId="8" fontId="1" numFmtId="49" xfId="0" applyAlignment="1" applyBorder="1" applyFont="1" applyNumberFormat="1">
      <alignment horizontal="center" readingOrder="0" vertical="center"/>
    </xf>
    <xf borderId="14" fillId="8" fontId="1" numFmtId="164" xfId="0" applyAlignment="1" applyBorder="1" applyFont="1" applyNumberFormat="1">
      <alignment horizontal="center" readingOrder="0" vertical="center"/>
    </xf>
    <xf borderId="13" fillId="2" fontId="2" numFmtId="164" xfId="0" applyAlignment="1" applyBorder="1" applyFont="1" applyNumberFormat="1">
      <alignment horizontal="center" vertical="center"/>
    </xf>
    <xf borderId="13" fillId="2" fontId="2" numFmtId="168" xfId="0" applyAlignment="1" applyBorder="1" applyFont="1" applyNumberFormat="1">
      <alignment horizontal="center" vertical="center"/>
    </xf>
    <xf borderId="18" fillId="8" fontId="1" numFmtId="16" xfId="0" applyAlignment="1" applyBorder="1" applyFont="1" applyNumberFormat="1">
      <alignment horizontal="center"/>
    </xf>
    <xf borderId="18" fillId="2" fontId="1" numFmtId="16" xfId="0" applyAlignment="1" applyBorder="1" applyFont="1" applyNumberFormat="1">
      <alignment horizontal="center"/>
    </xf>
    <xf borderId="13" fillId="8" fontId="1" numFmtId="168" xfId="0" applyAlignment="1" applyBorder="1" applyFont="1" applyNumberFormat="1">
      <alignment horizontal="center"/>
    </xf>
    <xf borderId="13" fillId="2" fontId="1" numFmtId="168" xfId="0" applyAlignment="1" applyBorder="1" applyFont="1" applyNumberFormat="1">
      <alignment horizontal="center"/>
    </xf>
    <xf borderId="0" fillId="0" fontId="5" numFmtId="49" xfId="0" applyAlignment="1" applyFont="1" applyNumberFormat="1">
      <alignment readingOrder="0" vertical="bottom"/>
    </xf>
    <xf borderId="14" fillId="2" fontId="1" numFmtId="0" xfId="0" applyAlignment="1" applyBorder="1" applyFont="1">
      <alignment horizontal="center" readingOrder="0" vertical="center"/>
    </xf>
    <xf borderId="14" fillId="8" fontId="1" numFmtId="0" xfId="0" applyAlignment="1" applyBorder="1" applyFont="1">
      <alignment horizontal="center" readingOrder="0" vertical="center"/>
    </xf>
    <xf borderId="14" fillId="8" fontId="1" numFmtId="164" xfId="0" applyAlignment="1" applyBorder="1" applyFont="1" applyNumberFormat="1">
      <alignment horizontal="center" vertical="center"/>
    </xf>
    <xf borderId="13" fillId="2" fontId="1" numFmtId="168" xfId="0" applyAlignment="1" applyBorder="1" applyFont="1" applyNumberFormat="1">
      <alignment horizontal="center" vertical="bottom"/>
    </xf>
    <xf borderId="13" fillId="8" fontId="1" numFmtId="168" xfId="0" applyAlignment="1" applyBorder="1" applyFont="1" applyNumberFormat="1">
      <alignment horizontal="center" vertical="bottom"/>
    </xf>
    <xf borderId="18" fillId="8" fontId="1" numFmtId="166" xfId="0" applyAlignment="1" applyBorder="1" applyFont="1" applyNumberFormat="1">
      <alignment horizontal="center" readingOrder="0" vertical="center"/>
    </xf>
    <xf borderId="18" fillId="2" fontId="1" numFmtId="166" xfId="0" applyAlignment="1" applyBorder="1" applyFont="1" applyNumberFormat="1">
      <alignment horizontal="center" readingOrder="0" vertical="center"/>
    </xf>
    <xf borderId="5" fillId="2" fontId="1" numFmtId="49" xfId="0" applyAlignment="1" applyBorder="1" applyFont="1" applyNumberFormat="1">
      <alignment horizontal="center" readingOrder="0" vertical="center"/>
    </xf>
    <xf borderId="2" fillId="10" fontId="1" numFmtId="0" xfId="0" applyAlignment="1" applyBorder="1" applyFill="1" applyFont="1">
      <alignment vertical="bottom"/>
    </xf>
    <xf borderId="5" fillId="8" fontId="1" numFmtId="0" xfId="0" applyAlignment="1" applyBorder="1" applyFont="1">
      <alignment horizontal="center" readingOrder="0" vertical="center"/>
    </xf>
    <xf borderId="2" fillId="11" fontId="1" numFmtId="0" xfId="0" applyAlignment="1" applyBorder="1" applyFill="1" applyFont="1">
      <alignment vertical="bottom"/>
    </xf>
    <xf borderId="0" fillId="11" fontId="1" numFmtId="169" xfId="0" applyFont="1" applyNumberFormat="1"/>
    <xf borderId="15" fillId="11" fontId="1" numFmtId="4" xfId="0" applyBorder="1" applyFont="1" applyNumberFormat="1"/>
    <xf borderId="0" fillId="11" fontId="1" numFmtId="168" xfId="0" applyFont="1" applyNumberFormat="1"/>
    <xf borderId="5" fillId="2" fontId="1" numFmtId="166" xfId="0" applyAlignment="1" applyBorder="1" applyFont="1" applyNumberFormat="1">
      <alignment horizontal="center" readingOrder="0" vertical="center"/>
    </xf>
    <xf borderId="5" fillId="8" fontId="1" numFmtId="166" xfId="0" applyAlignment="1" applyBorder="1" applyFont="1" applyNumberFormat="1">
      <alignment horizontal="center" readingOrder="0" vertical="center"/>
    </xf>
    <xf borderId="0" fillId="9" fontId="2" numFmtId="0" xfId="0" applyAlignment="1" applyFont="1">
      <alignment readingOrder="0" vertical="bottom"/>
    </xf>
    <xf borderId="5" fillId="2" fontId="1" numFmtId="168" xfId="0" applyAlignment="1" applyBorder="1" applyFont="1" applyNumberFormat="1">
      <alignment horizontal="center" vertical="center"/>
    </xf>
    <xf borderId="5" fillId="8" fontId="1" numFmtId="169" xfId="0" applyAlignment="1" applyBorder="1" applyFont="1" applyNumberFormat="1">
      <alignment horizontal="center" readingOrder="0" vertical="center"/>
    </xf>
    <xf borderId="5" fillId="2" fontId="1" numFmtId="169" xfId="0" applyAlignment="1" applyBorder="1" applyFont="1" applyNumberFormat="1">
      <alignment horizontal="center" readingOrder="0" vertical="center"/>
    </xf>
    <xf borderId="0" fillId="0" fontId="1" numFmtId="164" xfId="0" applyAlignment="1" applyFont="1" applyNumberFormat="1">
      <alignment vertical="bottom"/>
    </xf>
    <xf borderId="5" fillId="2" fontId="1" numFmtId="0" xfId="0" applyAlignment="1" applyBorder="1" applyFont="1">
      <alignment horizontal="center" vertical="center"/>
    </xf>
    <xf borderId="14" fillId="2" fontId="1" numFmtId="49" xfId="0" applyAlignment="1" applyBorder="1" applyFont="1" applyNumberFormat="1">
      <alignment horizontal="center" vertical="center"/>
    </xf>
    <xf borderId="18" fillId="8" fontId="1" numFmtId="0" xfId="0" applyAlignment="1" applyBorder="1" applyFont="1">
      <alignment horizontal="center" vertical="center"/>
    </xf>
    <xf borderId="13" fillId="8" fontId="1" numFmtId="49" xfId="0" applyAlignment="1" applyBorder="1" applyFont="1" applyNumberFormat="1">
      <alignment horizontal="center" vertical="center"/>
    </xf>
    <xf borderId="18" fillId="2" fontId="1" numFmtId="0" xfId="0" applyAlignment="1" applyBorder="1" applyFont="1">
      <alignment horizontal="center" vertical="center"/>
    </xf>
    <xf borderId="13" fillId="2" fontId="1" numFmtId="49" xfId="0" applyAlignment="1" applyBorder="1" applyFont="1" applyNumberFormat="1">
      <alignment horizontal="center" vertical="center"/>
    </xf>
    <xf borderId="5" fillId="2" fontId="1" numFmtId="169" xfId="0" applyAlignment="1" applyBorder="1" applyFont="1" applyNumberFormat="1">
      <alignment horizontal="center" vertical="center"/>
    </xf>
    <xf borderId="13" fillId="2" fontId="1" numFmtId="0" xfId="0" applyAlignment="1" applyBorder="1" applyFont="1">
      <alignment horizontal="center" vertical="center"/>
    </xf>
    <xf borderId="5" fillId="2" fontId="1" numFmtId="49" xfId="0" applyAlignment="1" applyBorder="1" applyFont="1" applyNumberFormat="1">
      <alignment horizontal="center" vertical="center"/>
    </xf>
    <xf borderId="13" fillId="8" fontId="1" numFmtId="0" xfId="0" applyAlignment="1" applyBorder="1" applyFont="1">
      <alignment horizontal="center" vertical="center"/>
    </xf>
    <xf borderId="5" fillId="8" fontId="1" numFmtId="49" xfId="0" applyAlignment="1" applyBorder="1" applyFont="1" applyNumberFormat="1">
      <alignment horizontal="center" vertical="center"/>
    </xf>
    <xf borderId="14" fillId="8" fontId="1" numFmtId="49" xfId="0" applyAlignment="1" applyBorder="1" applyFont="1" applyNumberFormat="1">
      <alignment horizontal="center" vertical="center"/>
    </xf>
    <xf borderId="5" fillId="8" fontId="1" numFmtId="0" xfId="0" applyAlignment="1" applyBorder="1" applyFont="1">
      <alignment horizontal="center" vertical="center"/>
    </xf>
    <xf borderId="14" fillId="8" fontId="1" numFmtId="49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2" fontId="1" numFmtId="164" xfId="0" applyAlignment="1" applyFont="1" applyNumberFormat="1">
      <alignment horizontal="center" vertical="center"/>
    </xf>
    <xf borderId="5" fillId="8" fontId="1" numFmtId="169" xfId="0" applyAlignment="1" applyBorder="1" applyFont="1" applyNumberFormat="1">
      <alignment horizontal="center" vertical="center"/>
    </xf>
    <xf borderId="5" fillId="2" fontId="1" numFmtId="165" xfId="0" applyBorder="1" applyFont="1" applyNumberFormat="1"/>
    <xf borderId="2" fillId="12" fontId="1" numFmtId="0" xfId="0" applyAlignment="1" applyBorder="1" applyFill="1" applyFont="1">
      <alignment vertical="bottom"/>
    </xf>
    <xf borderId="5" fillId="0" fontId="1" numFmtId="165" xfId="0" applyBorder="1" applyFont="1" applyNumberFormat="1"/>
    <xf borderId="2" fillId="9" fontId="1" numFmtId="0" xfId="0" applyAlignment="1" applyBorder="1" applyFont="1">
      <alignment vertical="bottom"/>
    </xf>
    <xf borderId="0" fillId="9" fontId="1" numFmtId="0" xfId="0" applyAlignment="1" applyFont="1">
      <alignment vertical="bottom"/>
    </xf>
    <xf borderId="18" fillId="2" fontId="1" numFmtId="164" xfId="0" applyAlignment="1" applyBorder="1" applyFont="1" applyNumberFormat="1">
      <alignment horizontal="center" vertical="center"/>
    </xf>
    <xf borderId="5" fillId="2" fontId="1" numFmtId="166" xfId="0" applyAlignment="1" applyBorder="1" applyFont="1" applyNumberFormat="1">
      <alignment horizontal="center" vertical="center"/>
    </xf>
    <xf borderId="5" fillId="8" fontId="1" numFmtId="166" xfId="0" applyAlignment="1" applyBorder="1" applyFont="1" applyNumberFormat="1">
      <alignment horizontal="center" vertical="center"/>
    </xf>
    <xf borderId="0" fillId="8" fontId="13" numFmtId="0" xfId="0" applyAlignment="1" applyFont="1">
      <alignment horizontal="center" vertical="center"/>
    </xf>
    <xf borderId="0" fillId="2" fontId="13" numFmtId="0" xfId="0" applyAlignment="1" applyFont="1">
      <alignment horizontal="center" vertical="center"/>
    </xf>
    <xf borderId="1" fillId="2" fontId="1" numFmtId="170" xfId="0" applyAlignment="1" applyBorder="1" applyFont="1" applyNumberFormat="1">
      <alignment vertical="bottom"/>
    </xf>
    <xf borderId="20" fillId="2" fontId="1" numFmtId="0" xfId="0" applyAlignment="1" applyBorder="1" applyFont="1">
      <alignment vertical="bottom"/>
    </xf>
    <xf borderId="20" fillId="2" fontId="1" numFmtId="9" xfId="0" applyAlignment="1" applyBorder="1" applyFont="1" applyNumberFormat="1">
      <alignment vertical="bottom"/>
    </xf>
    <xf borderId="1" fillId="2" fontId="1" numFmtId="9" xfId="0" applyAlignment="1" applyBorder="1" applyFont="1" applyNumberFormat="1">
      <alignment vertical="bottom"/>
    </xf>
    <xf borderId="1" fillId="2" fontId="1" numFmtId="171" xfId="0" applyAlignment="1" applyBorder="1" applyFont="1" applyNumberFormat="1">
      <alignment vertical="bottom"/>
    </xf>
    <xf borderId="1" fillId="2" fontId="1" numFmtId="164" xfId="0" applyAlignment="1" applyBorder="1" applyFont="1" applyNumberFormat="1">
      <alignment horizontal="left" vertical="center"/>
    </xf>
    <xf borderId="1" fillId="2" fontId="1" numFmtId="9" xfId="0" applyAlignment="1" applyBorder="1" applyFont="1" applyNumberFormat="1">
      <alignment horizontal="center" vertical="center"/>
    </xf>
    <xf borderId="2" fillId="10" fontId="14" numFmtId="0" xfId="0" applyAlignment="1" applyBorder="1" applyFont="1">
      <alignment horizontal="center"/>
    </xf>
    <xf borderId="21" fillId="0" fontId="15" numFmtId="0" xfId="0" applyAlignment="1" applyBorder="1" applyFont="1">
      <alignment shrinkToFit="0" wrapText="1"/>
    </xf>
    <xf borderId="22" fillId="2" fontId="5" numFmtId="172" xfId="0" applyAlignment="1" applyBorder="1" applyFont="1" applyNumberFormat="1">
      <alignment horizontal="right" vertical="bottom"/>
    </xf>
    <xf borderId="23" fillId="2" fontId="5" numFmtId="9" xfId="0" applyAlignment="1" applyBorder="1" applyFont="1" applyNumberFormat="1">
      <alignment horizontal="center" vertical="bottom"/>
    </xf>
    <xf borderId="4" fillId="2" fontId="1" numFmtId="9" xfId="0" applyAlignment="1" applyBorder="1" applyFont="1" applyNumberFormat="1">
      <alignment vertical="bottom"/>
    </xf>
    <xf borderId="0" fillId="2" fontId="1" numFmtId="9" xfId="0" applyAlignment="1" applyFont="1" applyNumberFormat="1">
      <alignment vertical="bottom"/>
    </xf>
    <xf borderId="2" fillId="10" fontId="15" numFmtId="0" xfId="0" applyAlignment="1" applyBorder="1" applyFont="1">
      <alignment horizontal="center"/>
    </xf>
    <xf borderId="24" fillId="2" fontId="15" numFmtId="0" xfId="0" applyAlignment="1" applyBorder="1" applyFont="1">
      <alignment vertical="bottom"/>
    </xf>
    <xf borderId="25" fillId="2" fontId="5" numFmtId="172" xfId="0" applyAlignment="1" applyBorder="1" applyFont="1" applyNumberFormat="1">
      <alignment horizontal="right" vertical="bottom"/>
    </xf>
    <xf borderId="26" fillId="2" fontId="5" numFmtId="9" xfId="0" applyAlignment="1" applyBorder="1" applyFont="1" applyNumberFormat="1">
      <alignment horizontal="center" vertical="bottom"/>
    </xf>
    <xf borderId="2" fillId="10" fontId="15" numFmtId="0" xfId="0" applyAlignment="1" applyBorder="1" applyFont="1">
      <alignment horizontal="center" readingOrder="0"/>
    </xf>
    <xf borderId="27" fillId="2" fontId="15" numFmtId="0" xfId="0" applyAlignment="1" applyBorder="1" applyFont="1">
      <alignment vertical="bottom"/>
    </xf>
    <xf borderId="0" fillId="2" fontId="5" numFmtId="172" xfId="0" applyAlignment="1" applyFont="1" applyNumberFormat="1">
      <alignment horizontal="right" vertical="bottom"/>
    </xf>
    <xf borderId="28" fillId="2" fontId="5" numFmtId="9" xfId="0" applyAlignment="1" applyBorder="1" applyFont="1" applyNumberFormat="1">
      <alignment horizontal="center" vertical="bottom"/>
    </xf>
    <xf borderId="29" fillId="3" fontId="16" numFmtId="0" xfId="0" applyBorder="1" applyFont="1"/>
    <xf borderId="30" fillId="2" fontId="2" numFmtId="0" xfId="0" applyAlignment="1" applyBorder="1" applyFont="1">
      <alignment vertical="bottom"/>
    </xf>
    <xf borderId="31" fillId="2" fontId="2" numFmtId="4" xfId="0" applyAlignment="1" applyBorder="1" applyFont="1" applyNumberFormat="1">
      <alignment horizontal="right" readingOrder="0" vertical="bottom"/>
    </xf>
    <xf borderId="32" fillId="2" fontId="5" numFmtId="9" xfId="0" applyAlignment="1" applyBorder="1" applyFont="1" applyNumberFormat="1">
      <alignment horizontal="center" vertical="bottom"/>
    </xf>
    <xf borderId="29" fillId="13" fontId="17" numFmtId="0" xfId="0" applyAlignment="1" applyBorder="1" applyFill="1" applyFont="1">
      <alignment horizontal="center" readingOrder="0" vertical="bottom"/>
    </xf>
    <xf borderId="33" fillId="0" fontId="1" numFmtId="0" xfId="0" applyAlignment="1" applyBorder="1" applyFont="1">
      <alignment vertical="bottom"/>
    </xf>
    <xf borderId="34" fillId="0" fontId="1" numFmtId="172" xfId="0" applyAlignment="1" applyBorder="1" applyFont="1" applyNumberFormat="1">
      <alignment horizontal="right" vertical="bottom"/>
    </xf>
    <xf borderId="35" fillId="2" fontId="1" numFmtId="9" xfId="0" applyAlignment="1" applyBorder="1" applyFont="1" applyNumberFormat="1">
      <alignment vertical="bottom"/>
    </xf>
    <xf borderId="1" fillId="2" fontId="1" numFmtId="0" xfId="0" applyAlignment="1" applyBorder="1" applyFont="1">
      <alignment readingOrder="0" vertical="bottom"/>
    </xf>
    <xf borderId="1" fillId="2" fontId="5" numFmtId="168" xfId="0" applyAlignment="1" applyBorder="1" applyFont="1" applyNumberFormat="1">
      <alignment horizontal="center" vertical="bottom"/>
    </xf>
    <xf borderId="36" fillId="0" fontId="4" numFmtId="0" xfId="0" applyBorder="1" applyFont="1"/>
    <xf borderId="37" fillId="2" fontId="1" numFmtId="9" xfId="0" applyAlignment="1" applyBorder="1" applyFont="1" applyNumberFormat="1">
      <alignment vertical="bottom"/>
    </xf>
    <xf borderId="38" fillId="2" fontId="1" numFmtId="9" xfId="0" applyAlignment="1" applyBorder="1" applyFont="1" applyNumberFormat="1">
      <alignment vertical="bottom"/>
    </xf>
    <xf borderId="20" fillId="2" fontId="1" numFmtId="171" xfId="0" applyAlignment="1" applyBorder="1" applyFont="1" applyNumberFormat="1">
      <alignment vertical="bottom"/>
    </xf>
    <xf borderId="20" fillId="2" fontId="5" numFmtId="164" xfId="0" applyAlignment="1" applyBorder="1" applyFont="1" applyNumberFormat="1">
      <alignment horizontal="left" vertical="center"/>
    </xf>
    <xf borderId="20" fillId="2" fontId="1" numFmtId="9" xfId="0" applyAlignment="1" applyBorder="1" applyFont="1" applyNumberFormat="1">
      <alignment horizontal="center" vertical="center"/>
    </xf>
    <xf borderId="29" fillId="13" fontId="18" numFmtId="0" xfId="0" applyAlignment="1" applyBorder="1" applyFont="1">
      <alignment horizontal="center" vertical="bottom"/>
    </xf>
    <xf borderId="39" fillId="6" fontId="19" numFmtId="0" xfId="0" applyAlignment="1" applyBorder="1" applyFont="1">
      <alignment horizontal="center" vertical="bottom"/>
    </xf>
    <xf borderId="40" fillId="0" fontId="4" numFmtId="0" xfId="0" applyBorder="1" applyFont="1"/>
    <xf borderId="41" fillId="0" fontId="4" numFmtId="0" xfId="0" applyBorder="1" applyFont="1"/>
    <xf borderId="42" fillId="2" fontId="19" numFmtId="0" xfId="0" applyAlignment="1" applyBorder="1" applyFont="1">
      <alignment horizontal="center" vertical="bottom"/>
    </xf>
    <xf borderId="39" fillId="6" fontId="20" numFmtId="0" xfId="0" applyAlignment="1" applyBorder="1" applyFont="1">
      <alignment horizontal="center" readingOrder="0" vertical="bottom"/>
    </xf>
    <xf borderId="42" fillId="6" fontId="20" numFmtId="0" xfId="0" applyAlignment="1" applyBorder="1" applyFont="1">
      <alignment horizontal="center" readingOrder="0" vertical="bottom"/>
    </xf>
    <xf borderId="43" fillId="14" fontId="19" numFmtId="0" xfId="0" applyAlignment="1" applyBorder="1" applyFill="1" applyFont="1">
      <alignment horizontal="center" vertical="bottom"/>
    </xf>
    <xf borderId="44" fillId="0" fontId="4" numFmtId="0" xfId="0" applyBorder="1" applyFont="1"/>
    <xf borderId="45" fillId="0" fontId="4" numFmtId="0" xfId="0" applyBorder="1" applyFont="1"/>
    <xf borderId="3" fillId="2" fontId="1" numFmtId="0" xfId="0" applyAlignment="1" applyBorder="1" applyFont="1">
      <alignment vertical="bottom"/>
    </xf>
    <xf borderId="43" fillId="6" fontId="19" numFmtId="164" xfId="0" applyAlignment="1" applyBorder="1" applyFont="1" applyNumberFormat="1">
      <alignment horizontal="center" vertical="center"/>
    </xf>
    <xf borderId="46" fillId="0" fontId="4" numFmtId="0" xfId="0" applyBorder="1" applyFont="1"/>
    <xf borderId="47" fillId="15" fontId="21" numFmtId="14" xfId="0" applyAlignment="1" applyBorder="1" applyFill="1" applyFont="1" applyNumberFormat="1">
      <alignment horizontal="center" readingOrder="0" vertical="center"/>
    </xf>
    <xf borderId="48" fillId="0" fontId="4" numFmtId="0" xfId="0" applyBorder="1" applyFont="1"/>
    <xf borderId="49" fillId="16" fontId="22" numFmtId="0" xfId="0" applyAlignment="1" applyBorder="1" applyFill="1" applyFont="1">
      <alignment horizontal="center" readingOrder="0"/>
    </xf>
    <xf borderId="50" fillId="16" fontId="23" numFmtId="0" xfId="0" applyAlignment="1" applyBorder="1" applyFont="1">
      <alignment horizontal="center"/>
    </xf>
    <xf borderId="51" fillId="16" fontId="23" numFmtId="9" xfId="0" applyAlignment="1" applyBorder="1" applyFont="1" applyNumberFormat="1">
      <alignment horizontal="center"/>
    </xf>
    <xf borderId="52" fillId="16" fontId="23" numFmtId="9" xfId="0" applyAlignment="1" applyBorder="1" applyFont="1" applyNumberFormat="1">
      <alignment horizontal="center"/>
    </xf>
    <xf borderId="53" fillId="2" fontId="23" numFmtId="9" xfId="0" applyAlignment="1" applyBorder="1" applyFont="1" applyNumberFormat="1">
      <alignment horizontal="center"/>
    </xf>
    <xf borderId="53" fillId="16" fontId="23" numFmtId="9" xfId="0" applyAlignment="1" applyBorder="1" applyFont="1" applyNumberFormat="1">
      <alignment horizontal="center"/>
    </xf>
    <xf borderId="54" fillId="17" fontId="23" numFmtId="0" xfId="0" applyAlignment="1" applyBorder="1" applyFill="1" applyFont="1">
      <alignment horizontal="center"/>
    </xf>
    <xf borderId="55" fillId="17" fontId="23" numFmtId="0" xfId="0" applyAlignment="1" applyBorder="1" applyFont="1">
      <alignment horizontal="center"/>
    </xf>
    <xf borderId="56" fillId="17" fontId="23" numFmtId="171" xfId="0" applyAlignment="1" applyBorder="1" applyFont="1" applyNumberFormat="1">
      <alignment horizontal="center"/>
    </xf>
    <xf borderId="54" fillId="16" fontId="23" numFmtId="164" xfId="0" applyAlignment="1" applyBorder="1" applyFont="1" applyNumberFormat="1">
      <alignment horizontal="center" vertical="center"/>
    </xf>
    <xf borderId="57" fillId="16" fontId="23" numFmtId="9" xfId="0" applyAlignment="1" applyBorder="1" applyFont="1" applyNumberFormat="1">
      <alignment horizontal="center" vertical="center"/>
    </xf>
    <xf borderId="58" fillId="15" fontId="21" numFmtId="14" xfId="0" applyAlignment="1" applyBorder="1" applyFont="1" applyNumberFormat="1">
      <alignment horizontal="center" readingOrder="0" vertical="center"/>
    </xf>
    <xf borderId="1" fillId="2" fontId="1" numFmtId="168" xfId="0" applyAlignment="1" applyBorder="1" applyFont="1" applyNumberFormat="1">
      <alignment vertical="bottom"/>
    </xf>
    <xf borderId="2" fillId="2" fontId="1" numFmtId="168" xfId="0" applyAlignment="1" applyBorder="1" applyFont="1" applyNumberFormat="1">
      <alignment vertical="bottom"/>
    </xf>
    <xf borderId="59" fillId="16" fontId="24" numFmtId="0" xfId="0" applyAlignment="1" applyBorder="1" applyFont="1">
      <alignment horizontal="center" readingOrder="0" vertical="center"/>
    </xf>
    <xf borderId="25" fillId="18" fontId="14" numFmtId="172" xfId="0" applyAlignment="1" applyBorder="1" applyFill="1" applyFont="1" applyNumberFormat="1">
      <alignment vertical="bottom"/>
    </xf>
    <xf borderId="58" fillId="18" fontId="25" numFmtId="172" xfId="0" applyAlignment="1" applyBorder="1" applyFont="1" applyNumberFormat="1">
      <alignment horizontal="right" vertical="bottom"/>
    </xf>
    <xf borderId="60" fillId="18" fontId="25" numFmtId="9" xfId="0" applyAlignment="1" applyBorder="1" applyFont="1" applyNumberFormat="1">
      <alignment horizontal="right" vertical="bottom"/>
    </xf>
    <xf borderId="26" fillId="18" fontId="1" numFmtId="9" xfId="0" applyAlignment="1" applyBorder="1" applyFont="1" applyNumberFormat="1">
      <alignment vertical="bottom"/>
    </xf>
    <xf borderId="25" fillId="2" fontId="1" numFmtId="9" xfId="0" applyAlignment="1" applyBorder="1" applyFont="1" applyNumberFormat="1">
      <alignment vertical="bottom"/>
    </xf>
    <xf borderId="24" fillId="18" fontId="14" numFmtId="172" xfId="0" applyAlignment="1" applyBorder="1" applyFont="1" applyNumberFormat="1">
      <alignment vertical="bottom"/>
    </xf>
    <xf borderId="25" fillId="18" fontId="1" numFmtId="9" xfId="0" applyAlignment="1" applyBorder="1" applyFont="1" applyNumberFormat="1">
      <alignment vertical="bottom"/>
    </xf>
    <xf borderId="54" fillId="19" fontId="1" numFmtId="172" xfId="0" applyAlignment="1" applyBorder="1" applyFill="1" applyFont="1" applyNumberFormat="1">
      <alignment vertical="bottom"/>
    </xf>
    <xf borderId="55" fillId="19" fontId="1" numFmtId="172" xfId="0" applyAlignment="1" applyBorder="1" applyFont="1" applyNumberFormat="1">
      <alignment vertical="bottom"/>
    </xf>
    <xf borderId="56" fillId="19" fontId="1" numFmtId="171" xfId="0" applyAlignment="1" applyBorder="1" applyFont="1" applyNumberFormat="1">
      <alignment vertical="bottom"/>
    </xf>
    <xf borderId="3" fillId="2" fontId="1" numFmtId="168" xfId="0" applyAlignment="1" applyBorder="1" applyFont="1" applyNumberFormat="1">
      <alignment vertical="bottom"/>
    </xf>
    <xf borderId="54" fillId="3" fontId="1" numFmtId="164" xfId="0" applyAlignment="1" applyBorder="1" applyFont="1" applyNumberFormat="1">
      <alignment horizontal="left" vertical="center"/>
    </xf>
    <xf borderId="57" fillId="3" fontId="1" numFmtId="9" xfId="0" applyAlignment="1" applyBorder="1" applyFont="1" applyNumberFormat="1">
      <alignment horizontal="center" vertical="center"/>
    </xf>
    <xf borderId="58" fillId="15" fontId="26" numFmtId="0" xfId="0" applyAlignment="1" applyBorder="1" applyFont="1">
      <alignment horizontal="center" vertical="center"/>
    </xf>
    <xf borderId="4" fillId="2" fontId="1" numFmtId="168" xfId="0" applyAlignment="1" applyBorder="1" applyFont="1" applyNumberFormat="1">
      <alignment vertical="bottom"/>
    </xf>
    <xf borderId="51" fillId="0" fontId="4" numFmtId="0" xfId="0" applyBorder="1" applyFont="1"/>
    <xf borderId="25" fillId="16" fontId="24" numFmtId="172" xfId="0" applyAlignment="1" applyBorder="1" applyFont="1" applyNumberFormat="1">
      <alignment horizontal="right" vertical="bottom"/>
    </xf>
    <xf borderId="58" fillId="16" fontId="24" numFmtId="172" xfId="0" applyAlignment="1" applyBorder="1" applyFont="1" applyNumberFormat="1">
      <alignment horizontal="right" vertical="bottom"/>
    </xf>
    <xf borderId="60" fillId="16" fontId="24" numFmtId="9" xfId="0" applyAlignment="1" applyBorder="1" applyFont="1" applyNumberFormat="1">
      <alignment horizontal="right" vertical="bottom"/>
    </xf>
    <xf borderId="26" fillId="16" fontId="27" numFmtId="9" xfId="0" applyAlignment="1" applyBorder="1" applyFont="1" applyNumberFormat="1">
      <alignment vertical="bottom"/>
    </xf>
    <xf borderId="25" fillId="2" fontId="27" numFmtId="9" xfId="0" applyAlignment="1" applyBorder="1" applyFont="1" applyNumberFormat="1">
      <alignment vertical="bottom"/>
    </xf>
    <xf borderId="24" fillId="16" fontId="24" numFmtId="172" xfId="0" applyAlignment="1" applyBorder="1" applyFont="1" applyNumberFormat="1">
      <alignment horizontal="right" vertical="bottom"/>
    </xf>
    <xf borderId="25" fillId="16" fontId="27" numFmtId="9" xfId="0" applyAlignment="1" applyBorder="1" applyFont="1" applyNumberFormat="1">
      <alignment vertical="bottom"/>
    </xf>
    <xf borderId="54" fillId="19" fontId="25" numFmtId="172" xfId="0" applyAlignment="1" applyBorder="1" applyFont="1" applyNumberFormat="1">
      <alignment horizontal="right" vertical="bottom"/>
    </xf>
    <xf borderId="55" fillId="19" fontId="25" numFmtId="172" xfId="0" applyAlignment="1" applyBorder="1" applyFont="1" applyNumberFormat="1">
      <alignment horizontal="right" vertical="bottom"/>
    </xf>
    <xf borderId="56" fillId="19" fontId="25" numFmtId="171" xfId="0" applyAlignment="1" applyBorder="1" applyFont="1" applyNumberFormat="1">
      <alignment horizontal="right" vertical="bottom"/>
    </xf>
    <xf borderId="61" fillId="2" fontId="5" numFmtId="168" xfId="0" applyAlignment="1" applyBorder="1" applyFont="1" applyNumberFormat="1">
      <alignment horizontal="center" vertical="bottom"/>
    </xf>
    <xf borderId="54" fillId="3" fontId="25" numFmtId="164" xfId="0" applyAlignment="1" applyBorder="1" applyFont="1" applyNumberFormat="1">
      <alignment horizontal="center" vertical="center"/>
    </xf>
    <xf borderId="0" fillId="0" fontId="1" numFmtId="4" xfId="0" applyAlignment="1" applyFont="1" applyNumberFormat="1">
      <alignment vertical="bottom"/>
    </xf>
    <xf borderId="62" fillId="0" fontId="28" numFmtId="0" xfId="0" applyAlignment="1" applyBorder="1" applyFont="1">
      <alignment readingOrder="0" vertical="bottom"/>
    </xf>
    <xf borderId="63" fillId="0" fontId="29" numFmtId="173" xfId="0" applyAlignment="1" applyBorder="1" applyFont="1" applyNumberFormat="1">
      <alignment horizontal="center" vertical="bottom"/>
    </xf>
    <xf borderId="64" fillId="0" fontId="29" numFmtId="173" xfId="0" applyAlignment="1" applyBorder="1" applyFont="1" applyNumberFormat="1">
      <alignment horizontal="center" vertical="bottom"/>
    </xf>
    <xf borderId="64" fillId="0" fontId="29" numFmtId="9" xfId="0" applyAlignment="1" applyBorder="1" applyFont="1" applyNumberFormat="1">
      <alignment horizontal="center" vertical="bottom"/>
    </xf>
    <xf borderId="65" fillId="0" fontId="1" numFmtId="9" xfId="0" applyAlignment="1" applyBorder="1" applyFont="1" applyNumberFormat="1">
      <alignment vertical="bottom"/>
    </xf>
    <xf borderId="62" fillId="2" fontId="1" numFmtId="9" xfId="0" applyAlignment="1" applyBorder="1" applyFont="1" applyNumberFormat="1">
      <alignment vertical="bottom"/>
    </xf>
    <xf borderId="62" fillId="0" fontId="1" numFmtId="9" xfId="0" applyAlignment="1" applyBorder="1" applyFont="1" applyNumberFormat="1">
      <alignment vertical="bottom"/>
    </xf>
    <xf borderId="64" fillId="0" fontId="1" numFmtId="9" xfId="0" applyAlignment="1" applyBorder="1" applyFont="1" applyNumberFormat="1">
      <alignment vertical="bottom"/>
    </xf>
    <xf borderId="66" fillId="2" fontId="26" numFmtId="173" xfId="0" applyAlignment="1" applyBorder="1" applyFont="1" applyNumberFormat="1">
      <alignment horizontal="center" vertical="bottom"/>
    </xf>
    <xf borderId="67" fillId="2" fontId="26" numFmtId="173" xfId="0" applyAlignment="1" applyBorder="1" applyFont="1" applyNumberFormat="1">
      <alignment horizontal="center" vertical="bottom"/>
    </xf>
    <xf borderId="67" fillId="2" fontId="26" numFmtId="171" xfId="0" applyAlignment="1" applyBorder="1" applyFont="1" applyNumberFormat="1">
      <alignment horizontal="center" vertical="bottom"/>
    </xf>
    <xf borderId="66" fillId="2" fontId="26" numFmtId="164" xfId="0" applyAlignment="1" applyBorder="1" applyFont="1" applyNumberFormat="1">
      <alignment horizontal="center" vertical="center"/>
    </xf>
    <xf borderId="64" fillId="0" fontId="1" numFmtId="9" xfId="0" applyAlignment="1" applyBorder="1" applyFont="1" applyNumberFormat="1">
      <alignment horizontal="center" vertical="center"/>
    </xf>
    <xf borderId="67" fillId="2" fontId="1" numFmtId="0" xfId="0" applyAlignment="1" applyBorder="1" applyFont="1">
      <alignment vertical="bottom"/>
    </xf>
    <xf borderId="27" fillId="0" fontId="30" numFmtId="173" xfId="0" applyAlignment="1" applyBorder="1" applyFont="1" applyNumberFormat="1">
      <alignment horizontal="center" vertical="bottom"/>
    </xf>
    <xf borderId="68" fillId="0" fontId="30" numFmtId="173" xfId="0" applyAlignment="1" applyBorder="1" applyFont="1" applyNumberFormat="1">
      <alignment horizontal="center" vertical="bottom"/>
    </xf>
    <xf borderId="68" fillId="0" fontId="29" numFmtId="9" xfId="0" applyAlignment="1" applyBorder="1" applyFont="1" applyNumberFormat="1">
      <alignment horizontal="center" vertical="bottom"/>
    </xf>
    <xf borderId="69" fillId="0" fontId="1" numFmtId="9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70" fillId="2" fontId="30" numFmtId="173" xfId="0" applyAlignment="1" applyBorder="1" applyFont="1" applyNumberFormat="1">
      <alignment horizontal="center" vertical="bottom"/>
    </xf>
    <xf borderId="71" fillId="2" fontId="30" numFmtId="173" xfId="0" applyAlignment="1" applyBorder="1" applyFont="1" applyNumberFormat="1">
      <alignment horizontal="center" vertical="bottom"/>
    </xf>
    <xf borderId="71" fillId="2" fontId="1" numFmtId="171" xfId="0" applyAlignment="1" applyBorder="1" applyFont="1" applyNumberFormat="1">
      <alignment vertical="bottom"/>
    </xf>
    <xf borderId="36" fillId="2" fontId="1" numFmtId="0" xfId="0" applyAlignment="1" applyBorder="1" applyFont="1">
      <alignment vertical="bottom"/>
    </xf>
    <xf borderId="72" fillId="2" fontId="30" numFmtId="164" xfId="0" applyAlignment="1" applyBorder="1" applyFont="1" applyNumberFormat="1">
      <alignment horizontal="left" vertical="center"/>
    </xf>
    <xf borderId="73" fillId="0" fontId="1" numFmtId="9" xfId="0" applyAlignment="1" applyBorder="1" applyFont="1" applyNumberFormat="1">
      <alignment horizontal="center" vertical="center"/>
    </xf>
    <xf borderId="74" fillId="2" fontId="1" numFmtId="0" xfId="0" applyAlignment="1" applyBorder="1" applyFont="1">
      <alignment vertical="bottom"/>
    </xf>
    <xf borderId="75" fillId="2" fontId="30" numFmtId="173" xfId="0" applyAlignment="1" applyBorder="1" applyFont="1" applyNumberFormat="1">
      <alignment horizontal="center" vertical="bottom"/>
    </xf>
    <xf borderId="76" fillId="2" fontId="30" numFmtId="173" xfId="0" applyAlignment="1" applyBorder="1" applyFont="1" applyNumberFormat="1">
      <alignment horizontal="center" vertical="bottom"/>
    </xf>
    <xf borderId="76" fillId="2" fontId="1" numFmtId="171" xfId="0" applyAlignment="1" applyBorder="1" applyFont="1" applyNumberFormat="1">
      <alignment vertical="bottom"/>
    </xf>
    <xf borderId="77" fillId="2" fontId="30" numFmtId="164" xfId="0" applyAlignment="1" applyBorder="1" applyFont="1" applyNumberFormat="1">
      <alignment horizontal="left" vertical="center"/>
    </xf>
    <xf borderId="19" fillId="0" fontId="1" numFmtId="9" xfId="0" applyAlignment="1" applyBorder="1" applyFont="1" applyNumberFormat="1">
      <alignment horizontal="center" vertical="center"/>
    </xf>
    <xf borderId="78" fillId="2" fontId="1" numFmtId="0" xfId="0" applyAlignment="1" applyBorder="1" applyFont="1">
      <alignment vertical="bottom"/>
    </xf>
    <xf borderId="68" fillId="0" fontId="1" numFmtId="9" xfId="0" applyAlignment="1" applyBorder="1" applyFont="1" applyNumberFormat="1">
      <alignment vertical="bottom"/>
    </xf>
    <xf borderId="2" fillId="16" fontId="25" numFmtId="0" xfId="0" applyAlignment="1" applyBorder="1" applyFont="1">
      <alignment horizontal="center" readingOrder="0" vertical="center"/>
    </xf>
    <xf borderId="79" fillId="16" fontId="25" numFmtId="172" xfId="0" applyAlignment="1" applyBorder="1" applyFont="1" applyNumberFormat="1">
      <alignment horizontal="center" vertical="center"/>
    </xf>
    <xf borderId="55" fillId="16" fontId="25" numFmtId="172" xfId="0" applyAlignment="1" applyBorder="1" applyFont="1" applyNumberFormat="1">
      <alignment horizontal="center" vertical="center"/>
    </xf>
    <xf borderId="55" fillId="16" fontId="25" numFmtId="9" xfId="0" applyAlignment="1" applyBorder="1" applyFont="1" applyNumberFormat="1">
      <alignment horizontal="center" vertical="center"/>
    </xf>
    <xf borderId="80" fillId="16" fontId="1" numFmtId="9" xfId="0" applyAlignment="1" applyBorder="1" applyFont="1" applyNumberFormat="1">
      <alignment horizontal="center" vertical="center"/>
    </xf>
    <xf borderId="25" fillId="2" fontId="1" numFmtId="9" xfId="0" applyAlignment="1" applyBorder="1" applyFont="1" applyNumberFormat="1">
      <alignment horizontal="center" vertical="center"/>
    </xf>
    <xf borderId="25" fillId="16" fontId="1" numFmtId="9" xfId="0" applyAlignment="1" applyBorder="1" applyFont="1" applyNumberFormat="1">
      <alignment horizontal="center" vertical="center"/>
    </xf>
    <xf borderId="81" fillId="19" fontId="25" numFmtId="172" xfId="0" applyAlignment="1" applyBorder="1" applyFont="1" applyNumberFormat="1">
      <alignment horizontal="right" vertical="bottom"/>
    </xf>
    <xf borderId="81" fillId="19" fontId="25" numFmtId="171" xfId="0" applyAlignment="1" applyBorder="1" applyFont="1" applyNumberFormat="1">
      <alignment horizontal="right" vertical="bottom"/>
    </xf>
    <xf borderId="82" fillId="3" fontId="25" numFmtId="164" xfId="0" applyAlignment="1" applyBorder="1" applyFont="1" applyNumberFormat="1">
      <alignment horizontal="center" vertical="center"/>
    </xf>
    <xf borderId="58" fillId="3" fontId="1" numFmtId="9" xfId="0" applyAlignment="1" applyBorder="1" applyFont="1" applyNumberFormat="1">
      <alignment horizontal="center" vertical="center"/>
    </xf>
    <xf borderId="0" fillId="0" fontId="28" numFmtId="0" xfId="0" applyAlignment="1" applyFont="1">
      <alignment readingOrder="0" vertical="bottom"/>
    </xf>
    <xf borderId="83" fillId="0" fontId="29" numFmtId="173" xfId="0" applyAlignment="1" applyBorder="1" applyFont="1" applyNumberFormat="1">
      <alignment horizontal="center" vertical="bottom"/>
    </xf>
    <xf borderId="84" fillId="0" fontId="29" numFmtId="173" xfId="0" applyAlignment="1" applyBorder="1" applyFont="1" applyNumberFormat="1">
      <alignment horizontal="center" vertical="bottom"/>
    </xf>
    <xf borderId="84" fillId="0" fontId="29" numFmtId="9" xfId="0" applyAlignment="1" applyBorder="1" applyFont="1" applyNumberFormat="1">
      <alignment horizontal="center" vertical="bottom"/>
    </xf>
    <xf borderId="85" fillId="0" fontId="1" numFmtId="9" xfId="0" applyAlignment="1" applyBorder="1" applyFont="1" applyNumberFormat="1">
      <alignment vertical="bottom"/>
    </xf>
    <xf borderId="86" fillId="2" fontId="1" numFmtId="9" xfId="0" applyAlignment="1" applyBorder="1" applyFont="1" applyNumberFormat="1">
      <alignment vertical="bottom"/>
    </xf>
    <xf borderId="86" fillId="0" fontId="1" numFmtId="9" xfId="0" applyAlignment="1" applyBorder="1" applyFont="1" applyNumberFormat="1">
      <alignment vertical="bottom"/>
    </xf>
    <xf borderId="84" fillId="0" fontId="1" numFmtId="9" xfId="0" applyAlignment="1" applyBorder="1" applyFont="1" applyNumberFormat="1">
      <alignment vertical="bottom"/>
    </xf>
    <xf borderId="87" fillId="2" fontId="26" numFmtId="173" xfId="0" applyAlignment="1" applyBorder="1" applyFont="1" applyNumberFormat="1">
      <alignment horizontal="center" vertical="bottom"/>
    </xf>
    <xf borderId="88" fillId="2" fontId="26" numFmtId="173" xfId="0" applyAlignment="1" applyBorder="1" applyFont="1" applyNumberFormat="1">
      <alignment horizontal="center" vertical="bottom"/>
    </xf>
    <xf borderId="88" fillId="2" fontId="26" numFmtId="171" xfId="0" applyAlignment="1" applyBorder="1" applyFont="1" applyNumberFormat="1">
      <alignment horizontal="center" vertical="bottom"/>
    </xf>
    <xf borderId="89" fillId="2" fontId="1" numFmtId="0" xfId="0" applyAlignment="1" applyBorder="1" applyFont="1">
      <alignment vertical="bottom"/>
    </xf>
    <xf borderId="90" fillId="2" fontId="26" numFmtId="164" xfId="0" applyAlignment="1" applyBorder="1" applyFont="1" applyNumberFormat="1">
      <alignment horizontal="center" vertical="center"/>
    </xf>
    <xf borderId="91" fillId="0" fontId="1" numFmtId="9" xfId="0" applyAlignment="1" applyBorder="1" applyFont="1" applyNumberFormat="1">
      <alignment horizontal="center" vertical="center"/>
    </xf>
    <xf borderId="92" fillId="2" fontId="1" numFmtId="0" xfId="0" applyAlignment="1" applyBorder="1" applyFont="1">
      <alignment vertical="bottom"/>
    </xf>
    <xf borderId="2" fillId="2" fontId="30" numFmtId="0" xfId="0" applyAlignment="1" applyBorder="1" applyFont="1">
      <alignment readingOrder="0" vertical="bottom"/>
    </xf>
    <xf borderId="93" fillId="2" fontId="30" numFmtId="173" xfId="0" applyAlignment="1" applyBorder="1" applyFont="1" applyNumberFormat="1">
      <alignment horizontal="center" vertical="bottom"/>
    </xf>
    <xf borderId="94" fillId="2" fontId="1" numFmtId="0" xfId="0" applyAlignment="1" applyBorder="1" applyFont="1">
      <alignment vertical="bottom"/>
    </xf>
    <xf borderId="95" fillId="2" fontId="30" numFmtId="164" xfId="0" applyAlignment="1" applyBorder="1" applyFont="1" applyNumberFormat="1">
      <alignment horizontal="left" vertical="center"/>
    </xf>
    <xf borderId="96" fillId="2" fontId="1" numFmtId="0" xfId="0" applyAlignment="1" applyBorder="1" applyFont="1">
      <alignment vertical="bottom"/>
    </xf>
    <xf borderId="97" fillId="2" fontId="30" numFmtId="173" xfId="0" applyAlignment="1" applyBorder="1" applyFont="1" applyNumberFormat="1">
      <alignment horizontal="center" vertical="bottom"/>
    </xf>
    <xf borderId="0" fillId="16" fontId="31" numFmtId="0" xfId="0" applyAlignment="1" applyFont="1">
      <alignment horizontal="center" readingOrder="0" vertical="center"/>
    </xf>
    <xf borderId="27" fillId="16" fontId="31" numFmtId="164" xfId="0" applyAlignment="1" applyBorder="1" applyFont="1" applyNumberFormat="1">
      <alignment horizontal="center" vertical="center"/>
    </xf>
    <xf borderId="68" fillId="16" fontId="31" numFmtId="164" xfId="0" applyAlignment="1" applyBorder="1" applyFont="1" applyNumberFormat="1">
      <alignment horizontal="center" vertical="center"/>
    </xf>
    <xf borderId="68" fillId="16" fontId="31" numFmtId="9" xfId="0" applyAlignment="1" applyBorder="1" applyFont="1" applyNumberFormat="1">
      <alignment horizontal="center" vertical="center"/>
    </xf>
    <xf borderId="69" fillId="16" fontId="32" numFmtId="9" xfId="0" applyAlignment="1" applyBorder="1" applyFont="1" applyNumberFormat="1">
      <alignment horizontal="center" vertical="center"/>
    </xf>
    <xf borderId="0" fillId="2" fontId="32" numFmtId="9" xfId="0" applyAlignment="1" applyFont="1" applyNumberFormat="1">
      <alignment horizontal="center" vertical="center"/>
    </xf>
    <xf borderId="0" fillId="16" fontId="32" numFmtId="9" xfId="0" applyAlignment="1" applyFont="1" applyNumberFormat="1">
      <alignment horizontal="center" vertical="center"/>
    </xf>
    <xf borderId="68" fillId="16" fontId="32" numFmtId="9" xfId="0" applyAlignment="1" applyBorder="1" applyFont="1" applyNumberFormat="1">
      <alignment horizontal="center" vertical="center"/>
    </xf>
    <xf borderId="98" fillId="19" fontId="26" numFmtId="173" xfId="0" applyAlignment="1" applyBorder="1" applyFont="1" applyNumberFormat="1">
      <alignment horizontal="center" vertical="bottom"/>
    </xf>
    <xf borderId="99" fillId="19" fontId="26" numFmtId="173" xfId="0" applyAlignment="1" applyBorder="1" applyFont="1" applyNumberFormat="1">
      <alignment horizontal="center" vertical="bottom"/>
    </xf>
    <xf borderId="99" fillId="19" fontId="26" numFmtId="171" xfId="0" applyAlignment="1" applyBorder="1" applyFont="1" applyNumberFormat="1">
      <alignment horizontal="center" vertical="bottom"/>
    </xf>
    <xf borderId="61" fillId="20" fontId="1" numFmtId="0" xfId="0" applyAlignment="1" applyBorder="1" applyFill="1" applyFont="1">
      <alignment vertical="bottom"/>
    </xf>
    <xf borderId="100" fillId="20" fontId="26" numFmtId="164" xfId="0" applyAlignment="1" applyBorder="1" applyFont="1" applyNumberFormat="1">
      <alignment horizontal="center" vertical="center"/>
    </xf>
    <xf borderId="19" fillId="20" fontId="1" numFmtId="9" xfId="0" applyAlignment="1" applyBorder="1" applyFont="1" applyNumberFormat="1">
      <alignment horizontal="center" vertical="center"/>
    </xf>
    <xf borderId="101" fillId="20" fontId="1" numFmtId="0" xfId="0" applyAlignment="1" applyBorder="1" applyFont="1">
      <alignment vertical="bottom"/>
    </xf>
    <xf borderId="20" fillId="20" fontId="1" numFmtId="0" xfId="0" applyAlignment="1" applyBorder="1" applyFont="1">
      <alignment vertical="bottom"/>
    </xf>
    <xf borderId="102" fillId="2" fontId="26" numFmtId="0" xfId="0" applyAlignment="1" applyBorder="1" applyFont="1">
      <alignment readingOrder="0" vertical="bottom"/>
    </xf>
    <xf borderId="103" fillId="0" fontId="29" numFmtId="173" xfId="0" applyAlignment="1" applyBorder="1" applyFont="1" applyNumberFormat="1">
      <alignment horizontal="center" vertical="bottom"/>
    </xf>
    <xf borderId="104" fillId="0" fontId="29" numFmtId="173" xfId="0" applyAlignment="1" applyBorder="1" applyFont="1" applyNumberFormat="1">
      <alignment horizontal="center" vertical="bottom"/>
    </xf>
    <xf borderId="104" fillId="0" fontId="26" numFmtId="9" xfId="0" applyAlignment="1" applyBorder="1" applyFont="1" applyNumberFormat="1">
      <alignment horizontal="center" vertical="bottom"/>
    </xf>
    <xf borderId="105" fillId="0" fontId="1" numFmtId="9" xfId="0" applyAlignment="1" applyBorder="1" applyFont="1" applyNumberFormat="1">
      <alignment vertical="bottom"/>
    </xf>
    <xf borderId="106" fillId="2" fontId="1" numFmtId="9" xfId="0" applyAlignment="1" applyBorder="1" applyFont="1" applyNumberFormat="1">
      <alignment vertical="bottom"/>
    </xf>
    <xf borderId="106" fillId="0" fontId="1" numFmtId="9" xfId="0" applyAlignment="1" applyBorder="1" applyFont="1" applyNumberFormat="1">
      <alignment vertical="bottom"/>
    </xf>
    <xf borderId="104" fillId="0" fontId="1" numFmtId="9" xfId="0" applyAlignment="1" applyBorder="1" applyFont="1" applyNumberFormat="1">
      <alignment vertical="bottom"/>
    </xf>
    <xf borderId="107" fillId="18" fontId="26" numFmtId="173" xfId="0" applyAlignment="1" applyBorder="1" applyFont="1" applyNumberFormat="1">
      <alignment horizontal="center" vertical="bottom"/>
    </xf>
    <xf borderId="17" fillId="18" fontId="26" numFmtId="173" xfId="0" applyAlignment="1" applyBorder="1" applyFont="1" applyNumberFormat="1">
      <alignment horizontal="center" vertical="bottom"/>
    </xf>
    <xf borderId="17" fillId="18" fontId="1" numFmtId="171" xfId="0" applyAlignment="1" applyBorder="1" applyFont="1" applyNumberFormat="1">
      <alignment vertical="bottom"/>
    </xf>
    <xf borderId="106" fillId="2" fontId="1" numFmtId="0" xfId="0" applyAlignment="1" applyBorder="1" applyFont="1">
      <alignment vertical="bottom"/>
    </xf>
    <xf borderId="104" fillId="2" fontId="26" numFmtId="164" xfId="0" applyAlignment="1" applyBorder="1" applyFont="1" applyNumberFormat="1">
      <alignment horizontal="center" vertical="center"/>
    </xf>
    <xf borderId="17" fillId="0" fontId="1" numFmtId="9" xfId="0" applyAlignment="1" applyBorder="1" applyFont="1" applyNumberFormat="1">
      <alignment horizontal="center" vertical="center"/>
    </xf>
    <xf borderId="108" fillId="2" fontId="1" numFmtId="0" xfId="0" applyAlignment="1" applyBorder="1" applyFont="1">
      <alignment vertical="bottom"/>
    </xf>
    <xf borderId="109" fillId="2" fontId="1" numFmtId="0" xfId="0" applyAlignment="1" applyBorder="1" applyFont="1">
      <alignment vertical="bottom"/>
    </xf>
    <xf borderId="36" fillId="2" fontId="30" numFmtId="0" xfId="0" applyAlignment="1" applyBorder="1" applyFont="1">
      <alignment readingOrder="0" vertical="bottom"/>
    </xf>
    <xf borderId="110" fillId="2" fontId="1" numFmtId="0" xfId="0" applyAlignment="1" applyBorder="1" applyFont="1">
      <alignment vertical="bottom"/>
    </xf>
    <xf borderId="36" fillId="2" fontId="30" numFmtId="49" xfId="0" applyAlignment="1" applyBorder="1" applyFont="1" applyNumberFormat="1">
      <alignment readingOrder="0" vertical="bottom"/>
    </xf>
    <xf borderId="98" fillId="2" fontId="30" numFmtId="173" xfId="0" applyAlignment="1" applyBorder="1" applyFont="1" applyNumberFormat="1">
      <alignment horizontal="center" vertical="bottom"/>
    </xf>
    <xf borderId="99" fillId="2" fontId="30" numFmtId="173" xfId="0" applyAlignment="1" applyBorder="1" applyFont="1" applyNumberFormat="1">
      <alignment horizontal="center" vertical="bottom"/>
    </xf>
    <xf borderId="99" fillId="2" fontId="1" numFmtId="171" xfId="0" applyAlignment="1" applyBorder="1" applyFont="1" applyNumberFormat="1">
      <alignment vertical="bottom"/>
    </xf>
    <xf borderId="61" fillId="2" fontId="1" numFmtId="0" xfId="0" applyAlignment="1" applyBorder="1" applyFont="1">
      <alignment vertical="bottom"/>
    </xf>
    <xf borderId="101" fillId="2" fontId="1" numFmtId="0" xfId="0" applyAlignment="1" applyBorder="1" applyFont="1">
      <alignment vertical="bottom"/>
    </xf>
    <xf borderId="0" fillId="2" fontId="33" numFmtId="9" xfId="0" applyAlignment="1" applyFont="1" applyNumberFormat="1">
      <alignment horizontal="center" vertical="center"/>
    </xf>
    <xf borderId="76" fillId="2" fontId="30" numFmtId="171" xfId="0" applyAlignment="1" applyBorder="1" applyFont="1" applyNumberFormat="1">
      <alignment horizontal="center" vertical="bottom"/>
    </xf>
    <xf borderId="57" fillId="16" fontId="1" numFmtId="9" xfId="0" applyAlignment="1" applyBorder="1" applyFont="1" applyNumberFormat="1">
      <alignment horizontal="center" vertical="center"/>
    </xf>
    <xf borderId="78" fillId="2" fontId="1" numFmtId="168" xfId="0" applyAlignment="1" applyBorder="1" applyFont="1" applyNumberFormat="1">
      <alignment vertical="bottom"/>
    </xf>
    <xf borderId="29" fillId="16" fontId="25" numFmtId="0" xfId="0" applyAlignment="1" applyBorder="1" applyFont="1">
      <alignment horizontal="center" readingOrder="0" vertical="center"/>
    </xf>
    <xf borderId="111" fillId="16" fontId="25" numFmtId="172" xfId="0" applyAlignment="1" applyBorder="1" applyFont="1" applyNumberFormat="1">
      <alignment horizontal="center" vertical="center"/>
    </xf>
    <xf borderId="81" fillId="16" fontId="25" numFmtId="172" xfId="0" applyAlignment="1" applyBorder="1" applyFont="1" applyNumberFormat="1">
      <alignment horizontal="center" vertical="center"/>
    </xf>
    <xf borderId="81" fillId="16" fontId="25" numFmtId="9" xfId="0" applyAlignment="1" applyBorder="1" applyFont="1" applyNumberFormat="1">
      <alignment horizontal="center" vertical="center"/>
    </xf>
    <xf borderId="112" fillId="16" fontId="1" numFmtId="9" xfId="0" applyAlignment="1" applyBorder="1" applyFont="1" applyNumberFormat="1">
      <alignment horizontal="center" vertical="center"/>
    </xf>
    <xf borderId="113" fillId="2" fontId="1" numFmtId="9" xfId="0" applyAlignment="1" applyBorder="1" applyFont="1" applyNumberFormat="1">
      <alignment horizontal="center" vertical="center"/>
    </xf>
    <xf borderId="113" fillId="16" fontId="1" numFmtId="9" xfId="0" applyAlignment="1" applyBorder="1" applyFont="1" applyNumberFormat="1">
      <alignment horizontal="center" vertical="center"/>
    </xf>
    <xf borderId="114" fillId="16" fontId="1" numFmtId="9" xfId="0" applyAlignment="1" applyBorder="1" applyFont="1" applyNumberFormat="1">
      <alignment horizontal="center" vertical="center"/>
    </xf>
    <xf borderId="115" fillId="19" fontId="25" numFmtId="172" xfId="0" applyAlignment="1" applyBorder="1" applyFont="1" applyNumberFormat="1">
      <alignment horizontal="right" vertical="bottom"/>
    </xf>
    <xf borderId="116" fillId="19" fontId="25" numFmtId="171" xfId="0" applyAlignment="1" applyBorder="1" applyFont="1" applyNumberFormat="1">
      <alignment horizontal="right" vertical="bottom"/>
    </xf>
    <xf borderId="61" fillId="2" fontId="1" numFmtId="168" xfId="0" applyAlignment="1" applyBorder="1" applyFont="1" applyNumberFormat="1">
      <alignment vertical="bottom"/>
    </xf>
    <xf borderId="117" fillId="3" fontId="25" numFmtId="164" xfId="0" applyAlignment="1" applyBorder="1" applyFont="1" applyNumberFormat="1">
      <alignment horizontal="center" vertical="center"/>
    </xf>
    <xf borderId="118" fillId="3" fontId="1" numFmtId="9" xfId="0" applyAlignment="1" applyBorder="1" applyFont="1" applyNumberFormat="1">
      <alignment horizontal="center" vertical="center"/>
    </xf>
    <xf borderId="101" fillId="2" fontId="1" numFmtId="168" xfId="0" applyAlignment="1" applyBorder="1" applyFont="1" applyNumberFormat="1">
      <alignment vertical="bottom"/>
    </xf>
    <xf borderId="20" fillId="2" fontId="1" numFmtId="168" xfId="0" applyAlignment="1" applyBorder="1" applyFont="1" applyNumberFormat="1">
      <alignment vertical="bottom"/>
    </xf>
    <xf borderId="102" fillId="0" fontId="29" numFmtId="0" xfId="0" applyAlignment="1" applyBorder="1" applyFont="1">
      <alignment readingOrder="0" vertical="bottom"/>
    </xf>
    <xf borderId="17" fillId="0" fontId="29" numFmtId="173" xfId="0" applyAlignment="1" applyBorder="1" applyFont="1" applyNumberFormat="1">
      <alignment horizontal="center" vertical="bottom"/>
    </xf>
    <xf borderId="108" fillId="0" fontId="29" numFmtId="9" xfId="0" applyAlignment="1" applyBorder="1" applyFont="1" applyNumberFormat="1">
      <alignment horizontal="center" vertical="bottom"/>
    </xf>
    <xf borderId="119" fillId="0" fontId="1" numFmtId="9" xfId="0" applyAlignment="1" applyBorder="1" applyFont="1" applyNumberFormat="1">
      <alignment vertical="bottom"/>
    </xf>
    <xf borderId="108" fillId="18" fontId="26" numFmtId="173" xfId="0" applyAlignment="1" applyBorder="1" applyFont="1" applyNumberFormat="1">
      <alignment horizontal="center" vertical="bottom"/>
    </xf>
    <xf borderId="108" fillId="18" fontId="26" numFmtId="171" xfId="0" applyAlignment="1" applyBorder="1" applyFont="1" applyNumberFormat="1">
      <alignment horizontal="center" vertical="bottom"/>
    </xf>
    <xf borderId="17" fillId="2" fontId="26" numFmtId="164" xfId="0" applyAlignment="1" applyBorder="1" applyFont="1" applyNumberFormat="1">
      <alignment horizontal="center" vertical="center"/>
    </xf>
    <xf borderId="14" fillId="2" fontId="1" numFmtId="0" xfId="0" applyAlignment="1" applyBorder="1" applyFont="1">
      <alignment vertical="bottom"/>
    </xf>
    <xf borderId="19" fillId="0" fontId="30" numFmtId="173" xfId="0" applyAlignment="1" applyBorder="1" applyFont="1" applyNumberFormat="1">
      <alignment horizontal="center" vertical="bottom"/>
    </xf>
    <xf borderId="68" fillId="0" fontId="34" numFmtId="9" xfId="0" applyAlignment="1" applyBorder="1" applyFont="1" applyNumberFormat="1">
      <alignment horizontal="center" vertical="bottom"/>
    </xf>
    <xf borderId="120" fillId="0" fontId="1" numFmtId="9" xfId="0" applyAlignment="1" applyBorder="1" applyFont="1" applyNumberFormat="1">
      <alignment vertical="bottom"/>
    </xf>
    <xf borderId="28" fillId="0" fontId="1" numFmtId="9" xfId="0" applyAlignment="1" applyBorder="1" applyFont="1" applyNumberFormat="1">
      <alignment vertical="bottom"/>
    </xf>
    <xf borderId="96" fillId="2" fontId="30" numFmtId="173" xfId="0" applyAlignment="1" applyBorder="1" applyFont="1" applyNumberFormat="1">
      <alignment horizontal="center" vertical="bottom"/>
    </xf>
    <xf borderId="96" fillId="2" fontId="1" numFmtId="171" xfId="0" applyAlignment="1" applyBorder="1" applyFont="1" applyNumberFormat="1">
      <alignment vertical="bottom"/>
    </xf>
    <xf borderId="121" fillId="2" fontId="1" numFmtId="0" xfId="0" applyAlignment="1" applyBorder="1" applyFont="1">
      <alignment vertical="bottom"/>
    </xf>
    <xf borderId="102" fillId="21" fontId="29" numFmtId="0" xfId="0" applyAlignment="1" applyBorder="1" applyFill="1" applyFont="1">
      <alignment readingOrder="0" vertical="bottom"/>
    </xf>
    <xf borderId="103" fillId="21" fontId="29" numFmtId="173" xfId="0" applyAlignment="1" applyBorder="1" applyFont="1" applyNumberFormat="1">
      <alignment horizontal="center" vertical="bottom"/>
    </xf>
    <xf borderId="17" fillId="21" fontId="29" numFmtId="173" xfId="0" applyAlignment="1" applyBorder="1" applyFont="1" applyNumberFormat="1">
      <alignment horizontal="center" vertical="bottom"/>
    </xf>
    <xf borderId="108" fillId="21" fontId="29" numFmtId="9" xfId="0" applyAlignment="1" applyBorder="1" applyFont="1" applyNumberFormat="1">
      <alignment horizontal="center" vertical="bottom"/>
    </xf>
    <xf borderId="119" fillId="21" fontId="1" numFmtId="9" xfId="0" applyAlignment="1" applyBorder="1" applyFont="1" applyNumberFormat="1">
      <alignment vertical="bottom"/>
    </xf>
    <xf borderId="106" fillId="21" fontId="1" numFmtId="9" xfId="0" applyAlignment="1" applyBorder="1" applyFont="1" applyNumberFormat="1">
      <alignment vertical="bottom"/>
    </xf>
    <xf borderId="102" fillId="21" fontId="28" numFmtId="0" xfId="0" applyAlignment="1" applyBorder="1" applyFont="1">
      <alignment readingOrder="0" vertical="bottom"/>
    </xf>
    <xf borderId="104" fillId="21" fontId="29" numFmtId="173" xfId="0" applyAlignment="1" applyBorder="1" applyFont="1" applyNumberFormat="1">
      <alignment horizontal="center" vertical="bottom"/>
    </xf>
    <xf borderId="104" fillId="21" fontId="29" numFmtId="9" xfId="0" applyAlignment="1" applyBorder="1" applyFont="1" applyNumberFormat="1">
      <alignment horizontal="center" vertical="bottom"/>
    </xf>
    <xf borderId="105" fillId="21" fontId="1" numFmtId="9" xfId="0" applyAlignment="1" applyBorder="1" applyFont="1" applyNumberFormat="1">
      <alignment vertical="bottom"/>
    </xf>
    <xf borderId="104" fillId="21" fontId="1" numFmtId="9" xfId="0" applyAlignment="1" applyBorder="1" applyFont="1" applyNumberFormat="1">
      <alignment vertical="bottom"/>
    </xf>
    <xf borderId="17" fillId="18" fontId="26" numFmtId="171" xfId="0" applyAlignment="1" applyBorder="1" applyFont="1" applyNumberFormat="1">
      <alignment horizontal="center" vertical="bottom"/>
    </xf>
    <xf borderId="102" fillId="21" fontId="26" numFmtId="0" xfId="0" applyAlignment="1" applyBorder="1" applyFont="1">
      <alignment readingOrder="0" vertical="bottom"/>
    </xf>
    <xf borderId="0" fillId="0" fontId="30" numFmtId="0" xfId="0" applyAlignment="1" applyFont="1">
      <alignment readingOrder="0" vertical="bottom"/>
    </xf>
    <xf borderId="68" fillId="0" fontId="35" numFmtId="9" xfId="0" applyAlignment="1" applyBorder="1" applyFont="1" applyNumberFormat="1">
      <alignment horizontal="center" vertical="bottom"/>
    </xf>
    <xf borderId="71" fillId="2" fontId="30" numFmtId="171" xfId="0" applyAlignment="1" applyBorder="1" applyFont="1" applyNumberFormat="1">
      <alignment horizontal="center" vertical="bottom"/>
    </xf>
    <xf borderId="2" fillId="16" fontId="25" numFmtId="0" xfId="0" applyAlignment="1" applyBorder="1" applyFont="1">
      <alignment horizontal="center" readingOrder="0" shrinkToFit="0" vertical="center" wrapText="1"/>
    </xf>
    <xf borderId="122" fillId="16" fontId="25" numFmtId="172" xfId="0" applyAlignment="1" applyBorder="1" applyFont="1" applyNumberFormat="1">
      <alignment horizontal="center" vertical="center"/>
    </xf>
    <xf borderId="122" fillId="16" fontId="25" numFmtId="9" xfId="0" applyAlignment="1" applyBorder="1" applyFont="1" applyNumberFormat="1">
      <alignment horizontal="center" vertical="center"/>
    </xf>
    <xf borderId="26" fillId="16" fontId="1" numFmtId="9" xfId="0" applyAlignment="1" applyBorder="1" applyFont="1" applyNumberFormat="1">
      <alignment horizontal="center" vertical="center"/>
    </xf>
    <xf borderId="123" fillId="19" fontId="25" numFmtId="172" xfId="0" applyAlignment="1" applyBorder="1" applyFont="1" applyNumberFormat="1">
      <alignment horizontal="right" vertical="bottom"/>
    </xf>
    <xf borderId="124" fillId="19" fontId="25" numFmtId="172" xfId="0" applyAlignment="1" applyBorder="1" applyFont="1" applyNumberFormat="1">
      <alignment horizontal="right" vertical="bottom"/>
    </xf>
    <xf borderId="125" fillId="19" fontId="25" numFmtId="171" xfId="0" applyAlignment="1" applyBorder="1" applyFont="1" applyNumberFormat="1">
      <alignment horizontal="right" vertical="bottom"/>
    </xf>
    <xf borderId="126" fillId="3" fontId="25" numFmtId="164" xfId="0" applyAlignment="1" applyBorder="1" applyFont="1" applyNumberFormat="1">
      <alignment horizontal="center" vertical="center"/>
    </xf>
    <xf borderId="127" fillId="16" fontId="25" numFmtId="0" xfId="0" applyAlignment="1" applyBorder="1" applyFont="1">
      <alignment horizontal="center" readingOrder="0" vertical="center"/>
    </xf>
    <xf borderId="128" fillId="16" fontId="25" numFmtId="172" xfId="0" applyAlignment="1" applyBorder="1" applyFont="1" applyNumberFormat="1">
      <alignment horizontal="center" vertical="center"/>
    </xf>
    <xf borderId="129" fillId="16" fontId="25" numFmtId="172" xfId="0" applyAlignment="1" applyBorder="1" applyFont="1" applyNumberFormat="1">
      <alignment horizontal="center" vertical="center"/>
    </xf>
    <xf borderId="129" fillId="16" fontId="25" numFmtId="9" xfId="0" applyAlignment="1" applyBorder="1" applyFont="1" applyNumberFormat="1">
      <alignment horizontal="center" vertical="center"/>
    </xf>
    <xf borderId="28" fillId="16" fontId="1" numFmtId="9" xfId="0" applyAlignment="1" applyBorder="1" applyFont="1" applyNumberFormat="1">
      <alignment horizontal="center" vertical="center"/>
    </xf>
    <xf borderId="0" fillId="2" fontId="1" numFmtId="9" xfId="0" applyAlignment="1" applyFont="1" applyNumberFormat="1">
      <alignment horizontal="center" vertical="center"/>
    </xf>
    <xf borderId="0" fillId="16" fontId="1" numFmtId="9" xfId="0" applyAlignment="1" applyFont="1" applyNumberFormat="1">
      <alignment horizontal="center" vertical="center"/>
    </xf>
    <xf borderId="130" fillId="19" fontId="25" numFmtId="172" xfId="0" applyAlignment="1" applyBorder="1" applyFont="1" applyNumberFormat="1">
      <alignment horizontal="right" vertical="bottom"/>
    </xf>
    <xf borderId="129" fillId="19" fontId="25" numFmtId="172" xfId="0" applyAlignment="1" applyBorder="1" applyFont="1" applyNumberFormat="1">
      <alignment horizontal="right" vertical="bottom"/>
    </xf>
    <xf borderId="120" fillId="19" fontId="25" numFmtId="171" xfId="0" applyAlignment="1" applyBorder="1" applyFont="1" applyNumberFormat="1">
      <alignment horizontal="right" vertical="bottom"/>
    </xf>
    <xf borderId="0" fillId="2" fontId="1" numFmtId="168" xfId="0" applyAlignment="1" applyFont="1" applyNumberFormat="1">
      <alignment vertical="bottom"/>
    </xf>
    <xf borderId="68" fillId="3" fontId="25" numFmtId="164" xfId="0" applyAlignment="1" applyBorder="1" applyFont="1" applyNumberFormat="1">
      <alignment horizontal="center" vertical="center"/>
    </xf>
    <xf borderId="19" fillId="3" fontId="1" numFmtId="9" xfId="0" applyAlignment="1" applyBorder="1" applyFont="1" applyNumberFormat="1">
      <alignment horizontal="center" vertical="center"/>
    </xf>
    <xf borderId="120" fillId="2" fontId="1" numFmtId="168" xfId="0" applyAlignment="1" applyBorder="1" applyFont="1" applyNumberFormat="1">
      <alignment vertical="bottom"/>
    </xf>
    <xf borderId="37" fillId="2" fontId="1" numFmtId="168" xfId="0" applyAlignment="1" applyBorder="1" applyFont="1" applyNumberFormat="1">
      <alignment vertical="bottom"/>
    </xf>
    <xf borderId="131" fillId="2" fontId="30" numFmtId="173" xfId="0" applyAlignment="1" applyBorder="1" applyFont="1" applyNumberFormat="1">
      <alignment horizontal="center" vertical="bottom"/>
    </xf>
    <xf borderId="132" fillId="2" fontId="1" numFmtId="173" xfId="0" applyAlignment="1" applyBorder="1" applyFont="1" applyNumberFormat="1">
      <alignment horizontal="center" vertical="center"/>
    </xf>
    <xf borderId="1" fillId="2" fontId="1" numFmtId="173" xfId="0" applyAlignment="1" applyBorder="1" applyFont="1" applyNumberFormat="1">
      <alignment horizontal="center" vertical="center"/>
    </xf>
    <xf borderId="75" fillId="2" fontId="1" numFmtId="9" xfId="0" applyAlignment="1" applyBorder="1" applyFont="1" applyNumberFormat="1">
      <alignment horizontal="center" vertical="center"/>
    </xf>
    <xf borderId="133" fillId="2" fontId="1" numFmtId="9" xfId="0" applyAlignment="1" applyBorder="1" applyFont="1" applyNumberFormat="1">
      <alignment horizontal="center" vertical="center"/>
    </xf>
    <xf borderId="3" fillId="2" fontId="1" numFmtId="9" xfId="0" applyAlignment="1" applyBorder="1" applyFont="1" applyNumberFormat="1">
      <alignment horizontal="center" vertical="center"/>
    </xf>
    <xf borderId="77" fillId="2" fontId="1" numFmtId="9" xfId="0" applyAlignment="1" applyBorder="1" applyFont="1" applyNumberFormat="1">
      <alignment horizontal="center" vertical="center"/>
    </xf>
    <xf borderId="77" fillId="2" fontId="1" numFmtId="164" xfId="0" applyAlignment="1" applyBorder="1" applyFont="1" applyNumberFormat="1">
      <alignment horizontal="left" vertical="center"/>
    </xf>
    <xf borderId="76" fillId="2" fontId="1" numFmtId="9" xfId="0" applyAlignment="1" applyBorder="1" applyFont="1" applyNumberFormat="1">
      <alignment horizontal="center" vertical="center"/>
    </xf>
    <xf borderId="29" fillId="16" fontId="25" numFmtId="0" xfId="0" applyAlignment="1" applyBorder="1" applyFont="1">
      <alignment horizontal="center" readingOrder="0" shrinkToFit="0" vertical="center" wrapText="1"/>
    </xf>
    <xf borderId="134" fillId="16" fontId="25" numFmtId="172" xfId="0" applyAlignment="1" applyBorder="1" applyFont="1" applyNumberFormat="1">
      <alignment horizontal="center" vertical="center"/>
    </xf>
    <xf borderId="135" fillId="16" fontId="25" numFmtId="172" xfId="0" applyAlignment="1" applyBorder="1" applyFont="1" applyNumberFormat="1">
      <alignment horizontal="center" vertical="center"/>
    </xf>
    <xf borderId="135" fillId="16" fontId="25" numFmtId="9" xfId="0" applyAlignment="1" applyBorder="1" applyFont="1" applyNumberFormat="1">
      <alignment horizontal="center" vertical="center"/>
    </xf>
    <xf borderId="136" fillId="16" fontId="1" numFmtId="9" xfId="0" applyAlignment="1" applyBorder="1" applyFont="1" applyNumberFormat="1">
      <alignment horizontal="center" vertical="center"/>
    </xf>
    <xf borderId="61" fillId="2" fontId="1" numFmtId="9" xfId="0" applyAlignment="1" applyBorder="1" applyFont="1" applyNumberFormat="1">
      <alignment horizontal="center" vertical="center"/>
    </xf>
    <xf borderId="61" fillId="16" fontId="1" numFmtId="9" xfId="0" applyAlignment="1" applyBorder="1" applyFont="1" applyNumberFormat="1">
      <alignment horizontal="center" vertical="center"/>
    </xf>
    <xf borderId="137" fillId="19" fontId="25" numFmtId="172" xfId="0" applyAlignment="1" applyBorder="1" applyFont="1" applyNumberFormat="1">
      <alignment horizontal="right" vertical="bottom"/>
    </xf>
    <xf borderId="135" fillId="19" fontId="25" numFmtId="172" xfId="0" applyAlignment="1" applyBorder="1" applyFont="1" applyNumberFormat="1">
      <alignment horizontal="right" vertical="bottom"/>
    </xf>
    <xf borderId="101" fillId="19" fontId="25" numFmtId="171" xfId="0" applyAlignment="1" applyBorder="1" applyFont="1" applyNumberFormat="1">
      <alignment horizontal="right" vertical="bottom"/>
    </xf>
    <xf borderId="100" fillId="3" fontId="25" numFmtId="164" xfId="0" applyAlignment="1" applyBorder="1" applyFont="1" applyNumberFormat="1">
      <alignment horizontal="center" vertical="center"/>
    </xf>
    <xf borderId="99" fillId="3" fontId="1" numFmtId="9" xfId="0" applyAlignment="1" applyBorder="1" applyFont="1" applyNumberFormat="1">
      <alignment horizontal="center" vertical="center"/>
    </xf>
    <xf borderId="38" fillId="2" fontId="1" numFmtId="168" xfId="0" applyAlignment="1" applyBorder="1" applyFont="1" applyNumberFormat="1">
      <alignment vertical="bottom"/>
    </xf>
    <xf borderId="103" fillId="0" fontId="26" numFmtId="173" xfId="0" applyAlignment="1" applyBorder="1" applyFont="1" applyNumberFormat="1">
      <alignment horizontal="center" vertical="bottom"/>
    </xf>
    <xf borderId="104" fillId="0" fontId="26" numFmtId="173" xfId="0" applyAlignment="1" applyBorder="1" applyFont="1" applyNumberFormat="1">
      <alignment horizontal="center" vertical="bottom"/>
    </xf>
    <xf borderId="138" fillId="18" fontId="26" numFmtId="173" xfId="0" applyAlignment="1" applyBorder="1" applyFont="1" applyNumberFormat="1">
      <alignment horizontal="center" vertical="bottom"/>
    </xf>
    <xf borderId="139" fillId="2" fontId="1" numFmtId="173" xfId="0" applyAlignment="1" applyBorder="1" applyFont="1" applyNumberFormat="1">
      <alignment vertical="bottom"/>
    </xf>
    <xf borderId="97" fillId="2" fontId="1" numFmtId="173" xfId="0" applyAlignment="1" applyBorder="1" applyFont="1" applyNumberFormat="1">
      <alignment vertical="bottom"/>
    </xf>
    <xf borderId="76" fillId="2" fontId="1" numFmtId="9" xfId="0" applyAlignment="1" applyBorder="1" applyFont="1" applyNumberFormat="1">
      <alignment vertical="bottom"/>
    </xf>
    <xf borderId="133" fillId="2" fontId="1" numFmtId="9" xfId="0" applyAlignment="1" applyBorder="1" applyFont="1" applyNumberFormat="1">
      <alignment vertical="bottom"/>
    </xf>
    <xf borderId="3" fillId="2" fontId="1" numFmtId="9" xfId="0" applyAlignment="1" applyBorder="1" applyFont="1" applyNumberFormat="1">
      <alignment vertical="bottom"/>
    </xf>
    <xf borderId="77" fillId="2" fontId="1" numFmtId="9" xfId="0" applyAlignment="1" applyBorder="1" applyFont="1" applyNumberFormat="1">
      <alignment vertical="bottom"/>
    </xf>
    <xf borderId="76" fillId="2" fontId="1" numFmtId="164" xfId="0" applyAlignment="1" applyBorder="1" applyFont="1" applyNumberFormat="1">
      <alignment horizontal="left" vertical="center"/>
    </xf>
    <xf borderId="0" fillId="21" fontId="29" numFmtId="0" xfId="0" applyAlignment="1" applyFont="1">
      <alignment horizontal="center" readingOrder="0" vertical="center"/>
    </xf>
    <xf borderId="27" fillId="21" fontId="30" numFmtId="173" xfId="0" applyAlignment="1" applyBorder="1" applyFont="1" applyNumberFormat="1">
      <alignment horizontal="center" vertical="center"/>
    </xf>
    <xf borderId="68" fillId="21" fontId="30" numFmtId="173" xfId="0" applyAlignment="1" applyBorder="1" applyFont="1" applyNumberFormat="1">
      <alignment horizontal="center" vertical="center"/>
    </xf>
    <xf borderId="68" fillId="21" fontId="1" numFmtId="9" xfId="0" applyAlignment="1" applyBorder="1" applyFont="1" applyNumberFormat="1">
      <alignment horizontal="center" vertical="center"/>
    </xf>
    <xf borderId="69" fillId="21" fontId="1" numFmtId="9" xfId="0" applyAlignment="1" applyBorder="1" applyFont="1" applyNumberFormat="1">
      <alignment horizontal="center" vertical="center"/>
    </xf>
    <xf borderId="0" fillId="21" fontId="1" numFmtId="9" xfId="0" applyAlignment="1" applyFont="1" applyNumberFormat="1">
      <alignment horizontal="center" vertical="center"/>
    </xf>
    <xf borderId="76" fillId="18" fontId="30" numFmtId="173" xfId="0" applyAlignment="1" applyBorder="1" applyFont="1" applyNumberFormat="1">
      <alignment horizontal="center" vertical="bottom"/>
    </xf>
    <xf borderId="140" fillId="18" fontId="1" numFmtId="171" xfId="0" applyAlignment="1" applyBorder="1" applyFont="1" applyNumberFormat="1">
      <alignment vertical="bottom"/>
    </xf>
    <xf borderId="76" fillId="2" fontId="30" numFmtId="164" xfId="0" applyAlignment="1" applyBorder="1" applyFont="1" applyNumberFormat="1">
      <alignment horizontal="center" vertical="center"/>
    </xf>
    <xf borderId="76" fillId="2" fontId="1" numFmtId="173" xfId="0" applyAlignment="1" applyBorder="1" applyFont="1" applyNumberFormat="1">
      <alignment vertical="bottom"/>
    </xf>
    <xf borderId="140" fillId="2" fontId="1" numFmtId="171" xfId="0" applyAlignment="1" applyBorder="1" applyFont="1" applyNumberFormat="1">
      <alignment vertical="bottom"/>
    </xf>
    <xf borderId="67" fillId="2" fontId="1" numFmtId="164" xfId="0" applyAlignment="1" applyBorder="1" applyFont="1" applyNumberFormat="1">
      <alignment horizontal="left" vertical="center"/>
    </xf>
    <xf borderId="67" fillId="2" fontId="1" numFmtId="9" xfId="0" applyAlignment="1" applyBorder="1" applyFont="1" applyNumberFormat="1">
      <alignment horizontal="center" vertical="center"/>
    </xf>
    <xf borderId="141" fillId="2" fontId="1" numFmtId="0" xfId="0" applyAlignment="1" applyBorder="1" applyFont="1">
      <alignment vertical="bottom"/>
    </xf>
    <xf borderId="142" fillId="16" fontId="1" numFmtId="9" xfId="0" applyAlignment="1" applyBorder="1" applyFont="1" applyNumberFormat="1">
      <alignment horizontal="center" vertical="center"/>
    </xf>
    <xf borderId="143" fillId="16" fontId="1" numFmtId="9" xfId="0" applyAlignment="1" applyBorder="1" applyFont="1" applyNumberFormat="1">
      <alignment horizontal="center" vertical="center"/>
    </xf>
    <xf borderId="144" fillId="16" fontId="1" numFmtId="9" xfId="0" applyAlignment="1" applyBorder="1" applyFont="1" applyNumberFormat="1">
      <alignment horizontal="center" vertical="center"/>
    </xf>
    <xf borderId="140" fillId="19" fontId="1" numFmtId="171" xfId="0" applyAlignment="1" applyBorder="1" applyFont="1" applyNumberFormat="1">
      <alignment vertical="bottom"/>
    </xf>
    <xf borderId="110" fillId="2" fontId="1" numFmtId="164" xfId="0" applyAlignment="1" applyBorder="1" applyFont="1" applyNumberFormat="1">
      <alignment horizontal="left" vertical="center"/>
    </xf>
    <xf borderId="110" fillId="2" fontId="1" numFmtId="9" xfId="0" applyAlignment="1" applyBorder="1" applyFont="1" applyNumberFormat="1">
      <alignment horizontal="center" vertical="center"/>
    </xf>
    <xf borderId="110" fillId="2" fontId="1" numFmtId="168" xfId="0" applyAlignment="1" applyBorder="1" applyFont="1" applyNumberFormat="1">
      <alignment vertical="bottom"/>
    </xf>
    <xf borderId="0" fillId="0" fontId="28" numFmtId="168" xfId="0" applyAlignment="1" applyFont="1" applyNumberFormat="1">
      <alignment readingOrder="0" vertical="bottom"/>
    </xf>
    <xf borderId="145" fillId="0" fontId="1" numFmtId="173" xfId="0" applyAlignment="1" applyBorder="1" applyFont="1" applyNumberFormat="1">
      <alignment vertical="bottom"/>
    </xf>
    <xf borderId="73" fillId="0" fontId="1" numFmtId="173" xfId="0" applyAlignment="1" applyBorder="1" applyFont="1" applyNumberFormat="1">
      <alignment readingOrder="0" vertical="bottom"/>
    </xf>
    <xf borderId="146" fillId="2" fontId="1" numFmtId="168" xfId="0" applyAlignment="1" applyBorder="1" applyFont="1" applyNumberFormat="1">
      <alignment vertical="bottom"/>
    </xf>
    <xf borderId="147" fillId="2" fontId="1" numFmtId="168" xfId="0" applyAlignment="1" applyBorder="1" applyFont="1" applyNumberFormat="1">
      <alignment vertical="bottom"/>
    </xf>
    <xf borderId="148" fillId="2" fontId="1" numFmtId="168" xfId="0" applyAlignment="1" applyBorder="1" applyFont="1" applyNumberFormat="1">
      <alignment vertical="bottom"/>
    </xf>
    <xf borderId="73" fillId="0" fontId="1" numFmtId="173" xfId="0" applyAlignment="1" applyBorder="1" applyFont="1" applyNumberFormat="1">
      <alignment vertical="bottom"/>
    </xf>
    <xf borderId="148" fillId="2" fontId="1" numFmtId="168" xfId="0" applyAlignment="1" applyBorder="1" applyFont="1" applyNumberFormat="1">
      <alignment vertical="bottom"/>
    </xf>
    <xf borderId="72" fillId="2" fontId="1" numFmtId="168" xfId="0" applyAlignment="1" applyBorder="1" applyFont="1" applyNumberFormat="1">
      <alignment vertical="bottom"/>
    </xf>
    <xf borderId="149" fillId="0" fontId="36" numFmtId="173" xfId="0" applyAlignment="1" applyBorder="1" applyFont="1" applyNumberFormat="1">
      <alignment horizontal="center" vertical="bottom"/>
    </xf>
    <xf borderId="19" fillId="0" fontId="1" numFmtId="173" xfId="0" applyAlignment="1" applyBorder="1" applyFont="1" applyNumberFormat="1">
      <alignment readingOrder="0" vertical="bottom"/>
    </xf>
    <xf borderId="76" fillId="2" fontId="1" numFmtId="168" xfId="0" applyAlignment="1" applyBorder="1" applyFont="1" applyNumberFormat="1">
      <alignment vertical="bottom"/>
    </xf>
    <xf borderId="133" fillId="2" fontId="1" numFmtId="168" xfId="0" applyAlignment="1" applyBorder="1" applyFont="1" applyNumberFormat="1">
      <alignment vertical="bottom"/>
    </xf>
    <xf borderId="19" fillId="0" fontId="1" numFmtId="173" xfId="0" applyAlignment="1" applyBorder="1" applyFont="1" applyNumberFormat="1">
      <alignment vertical="bottom"/>
    </xf>
    <xf borderId="0" fillId="2" fontId="1" numFmtId="168" xfId="0" applyAlignment="1" applyFont="1" applyNumberFormat="1">
      <alignment vertical="bottom"/>
    </xf>
    <xf borderId="77" fillId="2" fontId="1" numFmtId="168" xfId="0" applyAlignment="1" applyBorder="1" applyFont="1" applyNumberFormat="1">
      <alignment vertical="bottom"/>
    </xf>
    <xf borderId="149" fillId="0" fontId="1" numFmtId="173" xfId="0" applyAlignment="1" applyBorder="1" applyFont="1" applyNumberFormat="1">
      <alignment vertical="bottom"/>
    </xf>
    <xf borderId="150" fillId="0" fontId="36" numFmtId="173" xfId="0" applyAlignment="1" applyBorder="1" applyFont="1" applyNumberFormat="1">
      <alignment horizontal="center" vertical="bottom"/>
    </xf>
    <xf borderId="151" fillId="0" fontId="1" numFmtId="173" xfId="0" applyAlignment="1" applyBorder="1" applyFont="1" applyNumberFormat="1">
      <alignment readingOrder="0" vertical="bottom"/>
    </xf>
    <xf borderId="67" fillId="2" fontId="1" numFmtId="168" xfId="0" applyAlignment="1" applyBorder="1" applyFont="1" applyNumberFormat="1">
      <alignment vertical="bottom"/>
    </xf>
    <xf borderId="152" fillId="2" fontId="1" numFmtId="168" xfId="0" applyAlignment="1" applyBorder="1" applyFont="1" applyNumberFormat="1">
      <alignment vertical="bottom"/>
    </xf>
    <xf borderId="62" fillId="2" fontId="1" numFmtId="168" xfId="0" applyAlignment="1" applyBorder="1" applyFont="1" applyNumberFormat="1">
      <alignment vertical="bottom"/>
    </xf>
    <xf borderId="151" fillId="0" fontId="1" numFmtId="173" xfId="0" applyAlignment="1" applyBorder="1" applyFont="1" applyNumberFormat="1">
      <alignment vertical="bottom"/>
    </xf>
    <xf borderId="62" fillId="2" fontId="1" numFmtId="168" xfId="0" applyAlignment="1" applyBorder="1" applyFont="1" applyNumberFormat="1">
      <alignment vertical="bottom"/>
    </xf>
    <xf borderId="153" fillId="2" fontId="1" numFmtId="168" xfId="0" applyAlignment="1" applyBorder="1" applyFont="1" applyNumberFormat="1">
      <alignment vertical="bottom"/>
    </xf>
    <xf borderId="154" fillId="2" fontId="1" numFmtId="171" xfId="0" applyAlignment="1" applyBorder="1" applyFont="1" applyNumberFormat="1">
      <alignment vertical="bottom"/>
    </xf>
    <xf borderId="75" fillId="16" fontId="1" numFmtId="172" xfId="0" applyAlignment="1" applyBorder="1" applyFont="1" applyNumberFormat="1">
      <alignment horizontal="center" vertical="center"/>
    </xf>
    <xf borderId="155" fillId="16" fontId="1" numFmtId="9" xfId="0" applyAlignment="1" applyBorder="1" applyFont="1" applyNumberFormat="1">
      <alignment horizontal="center" vertical="center"/>
    </xf>
    <xf borderId="156" fillId="16" fontId="1" numFmtId="9" xfId="0" applyAlignment="1" applyBorder="1" applyFont="1" applyNumberFormat="1">
      <alignment horizontal="center" vertical="center"/>
    </xf>
    <xf borderId="0" fillId="0" fontId="1" numFmtId="172" xfId="0" applyAlignment="1" applyFont="1" applyNumberFormat="1">
      <alignment vertical="bottom"/>
    </xf>
    <xf borderId="110" fillId="2" fontId="1" numFmtId="171" xfId="0" applyAlignment="1" applyBorder="1" applyFont="1" applyNumberFormat="1">
      <alignment vertical="bottom"/>
    </xf>
    <xf borderId="157" fillId="0" fontId="30" numFmtId="173" xfId="0" applyAlignment="1" applyBorder="1" applyFont="1" applyNumberFormat="1">
      <alignment horizontal="center" vertical="bottom"/>
    </xf>
    <xf borderId="157" fillId="0" fontId="1" numFmtId="9" xfId="0" applyAlignment="1" applyBorder="1" applyFont="1" applyNumberFormat="1">
      <alignment vertical="bottom"/>
    </xf>
    <xf borderId="158" fillId="0" fontId="1" numFmtId="9" xfId="0" applyAlignment="1" applyBorder="1" applyFont="1" applyNumberFormat="1">
      <alignment vertical="bottom"/>
    </xf>
    <xf borderId="148" fillId="2" fontId="1" numFmtId="9" xfId="0" applyAlignment="1" applyBorder="1" applyFont="1" applyNumberFormat="1">
      <alignment vertical="bottom"/>
    </xf>
    <xf borderId="148" fillId="0" fontId="1" numFmtId="9" xfId="0" applyAlignment="1" applyBorder="1" applyFont="1" applyNumberFormat="1">
      <alignment vertical="bottom"/>
    </xf>
    <xf borderId="0" fillId="0" fontId="1" numFmtId="173" xfId="0" applyAlignment="1" applyFont="1" applyNumberFormat="1">
      <alignment vertical="bottom"/>
    </xf>
    <xf borderId="149" fillId="0" fontId="30" numFmtId="173" xfId="0" applyAlignment="1" applyBorder="1" applyFont="1" applyNumberFormat="1">
      <alignment horizontal="center" vertical="bottom"/>
    </xf>
    <xf borderId="120" fillId="0" fontId="1" numFmtId="173" xfId="0" applyAlignment="1" applyBorder="1" applyFont="1" applyNumberFormat="1">
      <alignment vertical="bottom"/>
    </xf>
    <xf borderId="27" fillId="0" fontId="1" numFmtId="173" xfId="0" applyAlignment="1" applyBorder="1" applyFont="1" applyNumberFormat="1">
      <alignment vertical="bottom"/>
    </xf>
    <xf borderId="0" fillId="0" fontId="30" numFmtId="173" xfId="0" applyAlignment="1" applyFont="1" applyNumberFormat="1">
      <alignment horizontal="center" vertical="bottom"/>
    </xf>
    <xf borderId="62" fillId="0" fontId="28" numFmtId="168" xfId="0" applyAlignment="1" applyBorder="1" applyFont="1" applyNumberFormat="1">
      <alignment readingOrder="0" vertical="bottom"/>
    </xf>
    <xf borderId="63" fillId="0" fontId="30" numFmtId="173" xfId="0" applyAlignment="1" applyBorder="1" applyFont="1" applyNumberFormat="1">
      <alignment horizontal="center" vertical="bottom"/>
    </xf>
    <xf borderId="36" fillId="2" fontId="1" numFmtId="168" xfId="0" applyAlignment="1" applyBorder="1" applyFont="1" applyNumberFormat="1">
      <alignment vertical="bottom"/>
    </xf>
    <xf borderId="159" fillId="2" fontId="1" numFmtId="0" xfId="0" applyAlignment="1" applyBorder="1" applyFont="1">
      <alignment vertical="bottom"/>
    </xf>
    <xf borderId="160" fillId="2" fontId="1" numFmtId="9" xfId="0" applyAlignment="1" applyBorder="1" applyFont="1" applyNumberFormat="1">
      <alignment vertical="bottom"/>
    </xf>
    <xf borderId="4" fillId="2" fontId="1" numFmtId="0" xfId="0" applyAlignment="1" applyBorder="1" applyFont="1">
      <alignment vertical="bottom"/>
    </xf>
    <xf borderId="27" fillId="0" fontId="1" numFmtId="0" xfId="0" applyAlignment="1" applyBorder="1" applyFont="1">
      <alignment vertical="bottom"/>
    </xf>
    <xf borderId="28" fillId="0" fontId="1" numFmtId="0" xfId="0" applyAlignment="1" applyBorder="1" applyFont="1">
      <alignment vertical="bottom"/>
    </xf>
    <xf borderId="0" fillId="0" fontId="1" numFmtId="164" xfId="0" applyAlignment="1" applyFont="1" applyNumberFormat="1">
      <alignment horizontal="left" vertical="center"/>
    </xf>
    <xf borderId="0" fillId="0" fontId="28" numFmtId="168" xfId="0" applyAlignment="1" applyFont="1" applyNumberFormat="1">
      <alignment readingOrder="0" vertical="bottom"/>
    </xf>
    <xf borderId="132" fillId="2" fontId="1" numFmtId="0" xfId="0" applyAlignment="1" applyBorder="1" applyFont="1">
      <alignment vertical="bottom"/>
    </xf>
    <xf borderId="161" fillId="2" fontId="1" numFmtId="0" xfId="0" applyAlignment="1" applyBorder="1" applyFont="1">
      <alignment vertical="bottom"/>
    </xf>
    <xf borderId="162" fillId="2" fontId="1" numFmtId="0" xfId="0" applyAlignment="1" applyBorder="1" applyFont="1">
      <alignment vertical="bottom"/>
    </xf>
    <xf borderId="162" fillId="2" fontId="1" numFmtId="9" xfId="0" applyAlignment="1" applyBorder="1" applyFont="1" applyNumberFormat="1">
      <alignment vertical="bottom"/>
    </xf>
    <xf borderId="163" fillId="2" fontId="1" numFmtId="9" xfId="0" applyAlignment="1" applyBorder="1" applyFont="1" applyNumberFormat="1">
      <alignment vertical="bottom"/>
    </xf>
    <xf borderId="61" fillId="2" fontId="1" numFmtId="9" xfId="0" applyAlignment="1" applyBorder="1" applyFont="1" applyNumberFormat="1">
      <alignment vertical="bottom"/>
    </xf>
    <xf borderId="110" fillId="2" fontId="1" numFmtId="9" xfId="0" applyAlignment="1" applyBorder="1" applyFont="1" applyNumberFormat="1">
      <alignment vertical="bottom"/>
    </xf>
    <xf borderId="0" fillId="2" fontId="13" numFmtId="0" xfId="0" applyFont="1"/>
    <xf borderId="0" fillId="0" fontId="13" numFmtId="164" xfId="0" applyAlignment="1" applyFont="1" applyNumberFormat="1">
      <alignment horizontal="left" vertical="center"/>
    </xf>
    <xf borderId="0" fillId="0" fontId="13" numFmtId="0" xfId="0" applyAlignment="1" applyFont="1">
      <alignment horizontal="center" vertical="center"/>
    </xf>
    <xf borderId="1" fillId="2" fontId="2" numFmtId="0" xfId="0" applyAlignment="1" applyBorder="1" applyFont="1">
      <alignment horizontal="center" vertical="bottom"/>
    </xf>
    <xf borderId="2" fillId="3" fontId="3" numFmtId="0" xfId="0" applyAlignment="1" applyBorder="1" applyFont="1">
      <alignment readingOrder="0" vertical="bottom"/>
    </xf>
    <xf borderId="0" fillId="6" fontId="6" numFmtId="166" xfId="0" applyAlignment="1" applyFont="1" applyNumberFormat="1">
      <alignment horizontal="center" vertical="center"/>
    </xf>
    <xf borderId="0" fillId="2" fontId="19" numFmtId="0" xfId="0" applyAlignment="1" applyFont="1">
      <alignment horizontal="center" vertical="bottom"/>
    </xf>
    <xf borderId="0" fillId="2" fontId="20" numFmtId="0" xfId="0" applyAlignment="1" applyFont="1">
      <alignment horizontal="center" readingOrder="0" vertical="bottom"/>
    </xf>
    <xf borderId="30" fillId="14" fontId="19" numFmtId="0" xfId="0" applyAlignment="1" applyBorder="1" applyFont="1">
      <alignment horizontal="center" vertical="bottom"/>
    </xf>
    <xf borderId="31" fillId="0" fontId="4" numFmtId="0" xfId="0" applyBorder="1" applyFont="1"/>
    <xf borderId="32" fillId="0" fontId="4" numFmtId="0" xfId="0" applyBorder="1" applyFont="1"/>
    <xf borderId="48" fillId="13" fontId="17" numFmtId="0" xfId="0" applyAlignment="1" applyBorder="1" applyFont="1">
      <alignment horizontal="center" readingOrder="0" vertical="bottom"/>
    </xf>
    <xf borderId="0" fillId="2" fontId="23" numFmtId="9" xfId="0" applyAlignment="1" applyFont="1" applyNumberFormat="1">
      <alignment horizontal="center"/>
    </xf>
    <xf borderId="52" fillId="0" fontId="4" numFmtId="0" xfId="0" applyBorder="1" applyFont="1"/>
    <xf borderId="79" fillId="17" fontId="23" numFmtId="0" xfId="0" applyAlignment="1" applyBorder="1" applyFont="1">
      <alignment horizontal="center"/>
    </xf>
    <xf borderId="80" fillId="17" fontId="23" numFmtId="171" xfId="0" applyAlignment="1" applyBorder="1" applyFont="1" applyNumberFormat="1">
      <alignment horizontal="center"/>
    </xf>
    <xf borderId="113" fillId="16" fontId="24" numFmtId="0" xfId="0" applyAlignment="1" applyBorder="1" applyFont="1">
      <alignment horizontal="center" readingOrder="0" vertical="center"/>
    </xf>
    <xf borderId="26" fillId="0" fontId="4" numFmtId="0" xfId="0" applyBorder="1" applyFont="1"/>
    <xf borderId="79" fillId="19" fontId="1" numFmtId="172" xfId="0" applyAlignment="1" applyBorder="1" applyFont="1" applyNumberFormat="1">
      <alignment vertical="bottom"/>
    </xf>
    <xf borderId="80" fillId="19" fontId="1" numFmtId="171" xfId="0" applyAlignment="1" applyBorder="1" applyFont="1" applyNumberFormat="1">
      <alignment vertical="bottom"/>
    </xf>
    <xf borderId="53" fillId="0" fontId="4" numFmtId="0" xfId="0" applyBorder="1" applyFont="1"/>
    <xf borderId="0" fillId="2" fontId="27" numFmtId="9" xfId="0" applyAlignment="1" applyFont="1" applyNumberFormat="1">
      <alignment vertical="bottom"/>
    </xf>
    <xf borderId="79" fillId="19" fontId="25" numFmtId="172" xfId="0" applyAlignment="1" applyBorder="1" applyFont="1" applyNumberFormat="1">
      <alignment horizontal="right" vertical="bottom"/>
    </xf>
    <xf borderId="80" fillId="19" fontId="25" numFmtId="171" xfId="0" applyAlignment="1" applyBorder="1" applyFont="1" applyNumberFormat="1">
      <alignment horizontal="right" vertical="bottom"/>
    </xf>
    <xf borderId="63" fillId="21" fontId="29" numFmtId="173" xfId="0" applyAlignment="1" applyBorder="1" applyFont="1" applyNumberFormat="1">
      <alignment horizontal="center" vertical="bottom"/>
    </xf>
    <xf borderId="64" fillId="21" fontId="29" numFmtId="173" xfId="0" applyAlignment="1" applyBorder="1" applyFont="1" applyNumberFormat="1">
      <alignment horizontal="center" vertical="bottom"/>
    </xf>
    <xf borderId="64" fillId="21" fontId="29" numFmtId="9" xfId="0" applyAlignment="1" applyBorder="1" applyFont="1" applyNumberFormat="1">
      <alignment horizontal="center" vertical="bottom"/>
    </xf>
    <xf borderId="64" fillId="21" fontId="1" numFmtId="9" xfId="0" applyAlignment="1" applyBorder="1" applyFont="1" applyNumberFormat="1">
      <alignment vertical="bottom"/>
    </xf>
    <xf borderId="164" fillId="21" fontId="4" numFmtId="0" xfId="0" applyBorder="1" applyFont="1"/>
    <xf borderId="165" fillId="2" fontId="26" numFmtId="173" xfId="0" applyAlignment="1" applyBorder="1" applyFont="1" applyNumberFormat="1">
      <alignment horizontal="center" vertical="bottom"/>
    </xf>
    <xf borderId="152" fillId="2" fontId="26" numFmtId="171" xfId="0" applyAlignment="1" applyBorder="1" applyFont="1" applyNumberFormat="1">
      <alignment horizontal="center" vertical="bottom"/>
    </xf>
    <xf borderId="27" fillId="2" fontId="30" numFmtId="173" xfId="0" applyAlignment="1" applyBorder="1" applyFont="1" applyNumberFormat="1">
      <alignment horizontal="center" vertical="bottom"/>
    </xf>
    <xf borderId="68" fillId="2" fontId="30" numFmtId="173" xfId="0" applyAlignment="1" applyBorder="1" applyFont="1" applyNumberFormat="1">
      <alignment horizontal="center" vertical="bottom"/>
    </xf>
    <xf borderId="68" fillId="2" fontId="29" numFmtId="9" xfId="0" applyAlignment="1" applyBorder="1" applyFont="1" applyNumberFormat="1">
      <alignment horizontal="center" vertical="bottom"/>
    </xf>
    <xf borderId="68" fillId="2" fontId="1" numFmtId="9" xfId="0" applyAlignment="1" applyBorder="1" applyFont="1" applyNumberFormat="1">
      <alignment vertical="bottom"/>
    </xf>
    <xf borderId="28" fillId="2" fontId="4" numFmtId="0" xfId="0" applyBorder="1" applyFont="1"/>
    <xf borderId="159" fillId="2" fontId="30" numFmtId="173" xfId="0" applyAlignment="1" applyBorder="1" applyFont="1" applyNumberFormat="1">
      <alignment horizontal="center" vertical="bottom"/>
    </xf>
    <xf borderId="166" fillId="2" fontId="1" numFmtId="171" xfId="0" applyAlignment="1" applyBorder="1" applyFont="1" applyNumberFormat="1">
      <alignment vertical="bottom"/>
    </xf>
    <xf borderId="27" fillId="22" fontId="30" numFmtId="173" xfId="0" applyAlignment="1" applyBorder="1" applyFill="1" applyFont="1" applyNumberFormat="1">
      <alignment horizontal="center" vertical="bottom"/>
    </xf>
    <xf borderId="68" fillId="22" fontId="30" numFmtId="173" xfId="0" applyAlignment="1" applyBorder="1" applyFont="1" applyNumberFormat="1">
      <alignment horizontal="center" vertical="bottom"/>
    </xf>
    <xf borderId="68" fillId="22" fontId="29" numFmtId="9" xfId="0" applyAlignment="1" applyBorder="1" applyFont="1" applyNumberFormat="1">
      <alignment horizontal="center" vertical="bottom"/>
    </xf>
    <xf borderId="68" fillId="22" fontId="1" numFmtId="9" xfId="0" applyAlignment="1" applyBorder="1" applyFont="1" applyNumberFormat="1">
      <alignment vertical="bottom"/>
    </xf>
    <xf borderId="28" fillId="22" fontId="4" numFmtId="0" xfId="0" applyBorder="1" applyFont="1"/>
    <xf borderId="132" fillId="2" fontId="30" numFmtId="173" xfId="0" applyAlignment="1" applyBorder="1" applyFont="1" applyNumberFormat="1">
      <alignment horizontal="center" vertical="bottom"/>
    </xf>
    <xf borderId="133" fillId="2" fontId="1" numFmtId="171" xfId="0" applyAlignment="1" applyBorder="1" applyFont="1" applyNumberFormat="1">
      <alignment vertical="bottom"/>
    </xf>
    <xf borderId="2" fillId="2" fontId="36" numFmtId="0" xfId="0" applyAlignment="1" applyBorder="1" applyFont="1">
      <alignment readingOrder="0" vertical="bottom"/>
    </xf>
    <xf borderId="29" fillId="2" fontId="36" numFmtId="0" xfId="0" applyAlignment="1" applyBorder="1" applyFont="1">
      <alignment readingOrder="0" vertical="bottom"/>
    </xf>
    <xf borderId="69" fillId="22" fontId="1" numFmtId="9" xfId="0" applyAlignment="1" applyBorder="1" applyFont="1" applyNumberFormat="1">
      <alignment vertical="bottom"/>
    </xf>
    <xf borderId="167" fillId="2" fontId="30" numFmtId="173" xfId="0" applyAlignment="1" applyBorder="1" applyFont="1" applyNumberFormat="1">
      <alignment horizontal="center" vertical="bottom"/>
    </xf>
    <xf borderId="168" fillId="2" fontId="1" numFmtId="171" xfId="0" applyAlignment="1" applyBorder="1" applyFont="1" applyNumberFormat="1">
      <alignment vertical="bottom"/>
    </xf>
    <xf borderId="169" fillId="2" fontId="36" numFmtId="0" xfId="0" applyAlignment="1" applyBorder="1" applyFont="1">
      <alignment readingOrder="0" vertical="bottom"/>
    </xf>
    <xf borderId="33" fillId="0" fontId="30" numFmtId="173" xfId="0" applyAlignment="1" applyBorder="1" applyFont="1" applyNumberFormat="1">
      <alignment horizontal="center" vertical="bottom"/>
    </xf>
    <xf borderId="170" fillId="0" fontId="30" numFmtId="173" xfId="0" applyAlignment="1" applyBorder="1" applyFont="1" applyNumberFormat="1">
      <alignment horizontal="center" vertical="bottom"/>
    </xf>
    <xf borderId="170" fillId="0" fontId="1" numFmtId="9" xfId="0" applyAlignment="1" applyBorder="1" applyFont="1" applyNumberFormat="1">
      <alignment vertical="bottom"/>
    </xf>
    <xf borderId="171" fillId="0" fontId="1" numFmtId="9" xfId="0" applyAlignment="1" applyBorder="1" applyFont="1" applyNumberFormat="1">
      <alignment vertical="bottom"/>
    </xf>
    <xf borderId="33" fillId="2" fontId="30" numFmtId="173" xfId="0" applyAlignment="1" applyBorder="1" applyFont="1" applyNumberFormat="1">
      <alignment horizontal="center" vertical="bottom"/>
    </xf>
    <xf borderId="170" fillId="2" fontId="30" numFmtId="173" xfId="0" applyAlignment="1" applyBorder="1" applyFont="1" applyNumberFormat="1">
      <alignment horizontal="center" vertical="bottom"/>
    </xf>
    <xf borderId="170" fillId="2" fontId="1" numFmtId="9" xfId="0" applyAlignment="1" applyBorder="1" applyFont="1" applyNumberFormat="1">
      <alignment vertical="bottom"/>
    </xf>
    <xf borderId="35" fillId="2" fontId="4" numFmtId="0" xfId="0" applyBorder="1" applyFont="1"/>
    <xf borderId="161" fillId="2" fontId="30" numFmtId="173" xfId="0" applyAlignment="1" applyBorder="1" applyFont="1" applyNumberFormat="1">
      <alignment horizontal="center" vertical="bottom"/>
    </xf>
    <xf borderId="172" fillId="2" fontId="30" numFmtId="173" xfId="0" applyAlignment="1" applyBorder="1" applyFont="1" applyNumberFormat="1">
      <alignment horizontal="center" vertical="bottom"/>
    </xf>
    <xf borderId="173" fillId="2" fontId="1" numFmtId="171" xfId="0" applyAlignment="1" applyBorder="1" applyFont="1" applyNumberFormat="1">
      <alignment vertical="bottom"/>
    </xf>
    <xf borderId="174" fillId="23" fontId="37" numFmtId="0" xfId="0" applyAlignment="1" applyBorder="1" applyFill="1" applyFont="1">
      <alignment horizontal="center" vertical="center"/>
    </xf>
    <xf borderId="175" fillId="0" fontId="4" numFmtId="0" xfId="0" applyBorder="1" applyFont="1"/>
    <xf borderId="176" fillId="0" fontId="4" numFmtId="0" xfId="0" applyBorder="1" applyFont="1"/>
    <xf borderId="174" fillId="23" fontId="37" numFmtId="0" xfId="0" applyAlignment="1" applyBorder="1" applyFont="1">
      <alignment horizontal="center"/>
    </xf>
    <xf borderId="177" fillId="23" fontId="37" numFmtId="0" xfId="0" applyAlignment="1" applyBorder="1" applyFont="1">
      <alignment horizontal="center" readingOrder="0" vertical="bottom"/>
    </xf>
    <xf borderId="178" fillId="23" fontId="37" numFmtId="0" xfId="0" applyAlignment="1" applyBorder="1" applyFont="1">
      <alignment horizontal="center" readingOrder="0" vertical="bottom"/>
    </xf>
    <xf borderId="86" fillId="0" fontId="4" numFmtId="0" xfId="0" applyBorder="1" applyFont="1"/>
    <xf borderId="179" fillId="0" fontId="4" numFmtId="0" xfId="0" applyBorder="1" applyFont="1"/>
    <xf borderId="177" fillId="23" fontId="37" numFmtId="0" xfId="0" applyAlignment="1" applyBorder="1" applyFont="1">
      <alignment horizontal="center" vertical="bottom"/>
    </xf>
    <xf borderId="178" fillId="23" fontId="37" numFmtId="0" xfId="0" applyAlignment="1" applyBorder="1" applyFont="1">
      <alignment horizontal="center" vertical="bottom"/>
    </xf>
    <xf borderId="177" fillId="24" fontId="1" numFmtId="0" xfId="0" applyAlignment="1" applyBorder="1" applyFill="1" applyFont="1">
      <alignment horizontal="center" vertical="bottom"/>
    </xf>
    <xf borderId="86" fillId="24" fontId="1" numFmtId="164" xfId="0" applyAlignment="1" applyBorder="1" applyFont="1" applyNumberFormat="1">
      <alignment horizontal="center" readingOrder="0" vertical="bottom"/>
    </xf>
    <xf borderId="86" fillId="24" fontId="1" numFmtId="164" xfId="0" applyAlignment="1" applyBorder="1" applyFont="1" applyNumberFormat="1">
      <alignment horizontal="center" vertical="bottom"/>
    </xf>
    <xf borderId="177" fillId="0" fontId="1" numFmtId="0" xfId="0" applyAlignment="1" applyBorder="1" applyFont="1">
      <alignment horizontal="center" vertical="bottom"/>
    </xf>
    <xf borderId="86" fillId="0" fontId="1" numFmtId="164" xfId="0" applyAlignment="1" applyBorder="1" applyFont="1" applyNumberFormat="1">
      <alignment horizontal="center" readingOrder="0" vertical="bottom"/>
    </xf>
    <xf borderId="86" fillId="0" fontId="1" numFmtId="164" xfId="0" applyAlignment="1" applyBorder="1" applyFont="1" applyNumberFormat="1">
      <alignment horizontal="center" vertical="bottom"/>
    </xf>
    <xf borderId="180" fillId="2" fontId="1" numFmtId="0" xfId="0" applyAlignment="1" applyBorder="1" applyFont="1">
      <alignment horizontal="center" readingOrder="0" vertical="bottom"/>
    </xf>
    <xf borderId="0" fillId="2" fontId="1" numFmtId="164" xfId="0" applyAlignment="1" applyFont="1" applyNumberFormat="1">
      <alignment horizontal="center" readingOrder="0" vertical="bottom"/>
    </xf>
    <xf borderId="120" fillId="0" fontId="4" numFmtId="0" xfId="0" applyBorder="1" applyFont="1"/>
    <xf borderId="180" fillId="2" fontId="1" numFmtId="0" xfId="0" applyAlignment="1" applyBorder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181" fillId="23" fontId="1" numFmtId="0" xfId="0" applyAlignment="1" applyBorder="1" applyFont="1">
      <alignment vertical="bottom"/>
    </xf>
    <xf borderId="182" fillId="23" fontId="37" numFmtId="0" xfId="0" applyAlignment="1" applyBorder="1" applyFont="1">
      <alignment horizontal="center" vertical="bottom"/>
    </xf>
    <xf borderId="183" fillId="23" fontId="37" numFmtId="164" xfId="0" applyAlignment="1" applyBorder="1" applyFont="1" applyNumberFormat="1">
      <alignment horizontal="center" vertical="bottom"/>
    </xf>
    <xf borderId="184" fillId="0" fontId="4" numFmtId="0" xfId="0" applyBorder="1" applyFont="1"/>
    <xf borderId="174" fillId="23" fontId="37" numFmtId="0" xfId="0" applyAlignment="1" applyBorder="1" applyFont="1">
      <alignment horizontal="center" readingOrder="0" vertical="center"/>
    </xf>
    <xf borderId="151" fillId="25" fontId="37" numFmtId="0" xfId="0" applyAlignment="1" applyBorder="1" applyFill="1" applyFont="1">
      <alignment horizontal="center" vertical="bottom"/>
    </xf>
    <xf borderId="151" fillId="25" fontId="37" numFmtId="164" xfId="0" applyAlignment="1" applyBorder="1" applyFont="1" applyNumberFormat="1">
      <alignment horizontal="center" readingOrder="0" vertical="bottom"/>
    </xf>
    <xf borderId="64" fillId="25" fontId="37" numFmtId="0" xfId="0" applyAlignment="1" applyBorder="1" applyFont="1">
      <alignment horizontal="center" vertical="bottom"/>
    </xf>
    <xf borderId="185" fillId="25" fontId="37" numFmtId="0" xfId="0" applyAlignment="1" applyBorder="1" applyFont="1">
      <alignment horizontal="center" vertical="bottom"/>
    </xf>
    <xf borderId="151" fillId="25" fontId="37" numFmtId="164" xfId="0" applyAlignment="1" applyBorder="1" applyFont="1" applyNumberFormat="1">
      <alignment horizontal="center" vertical="bottom"/>
    </xf>
    <xf borderId="177" fillId="0" fontId="37" numFmtId="0" xfId="0" applyAlignment="1" applyBorder="1" applyFont="1">
      <alignment horizontal="center" vertical="bottom"/>
    </xf>
    <xf borderId="13" fillId="0" fontId="1" numFmtId="164" xfId="0" applyAlignment="1" applyBorder="1" applyFont="1" applyNumberFormat="1">
      <alignment horizontal="center" readingOrder="0" vertical="bottom"/>
    </xf>
    <xf borderId="13" fillId="0" fontId="1" numFmtId="164" xfId="0" applyAlignment="1" applyBorder="1" applyFont="1" applyNumberFormat="1">
      <alignment horizontal="center" vertical="bottom"/>
    </xf>
    <xf borderId="186" fillId="2" fontId="1" numFmtId="164" xfId="0" applyAlignment="1" applyBorder="1" applyFont="1" applyNumberFormat="1">
      <alignment horizontal="center" vertical="bottom"/>
    </xf>
    <xf borderId="177" fillId="26" fontId="37" numFmtId="0" xfId="0" applyAlignment="1" applyBorder="1" applyFill="1" applyFont="1">
      <alignment horizontal="center" vertical="bottom"/>
    </xf>
    <xf borderId="13" fillId="26" fontId="1" numFmtId="164" xfId="0" applyAlignment="1" applyBorder="1" applyFont="1" applyNumberFormat="1">
      <alignment horizontal="center" readingOrder="0" vertical="bottom"/>
    </xf>
    <xf borderId="13" fillId="26" fontId="1" numFmtId="164" xfId="0" applyAlignment="1" applyBorder="1" applyFont="1" applyNumberFormat="1">
      <alignment horizontal="center" vertical="bottom"/>
    </xf>
    <xf borderId="14" fillId="26" fontId="1" numFmtId="164" xfId="0" applyAlignment="1" applyBorder="1" applyFont="1" applyNumberFormat="1">
      <alignment horizontal="center" readingOrder="0" vertical="bottom"/>
    </xf>
    <xf borderId="187" fillId="26" fontId="1" numFmtId="164" xfId="0" applyAlignment="1" applyBorder="1" applyFont="1" applyNumberFormat="1">
      <alignment horizontal="center" vertical="bottom"/>
    </xf>
    <xf borderId="14" fillId="0" fontId="1" numFmtId="164" xfId="0" applyAlignment="1" applyBorder="1" applyFont="1" applyNumberFormat="1">
      <alignment horizontal="center" readingOrder="0" vertical="bottom"/>
    </xf>
    <xf borderId="187" fillId="2" fontId="1" numFmtId="164" xfId="0" applyAlignment="1" applyBorder="1" applyFont="1" applyNumberFormat="1">
      <alignment horizontal="center" vertical="bottom"/>
    </xf>
    <xf borderId="138" fillId="26" fontId="37" numFmtId="0" xfId="0" applyAlignment="1" applyBorder="1" applyFont="1">
      <alignment horizontal="center" vertical="bottom"/>
    </xf>
    <xf borderId="5" fillId="26" fontId="1" numFmtId="164" xfId="0" applyAlignment="1" applyBorder="1" applyFont="1" applyNumberFormat="1">
      <alignment horizontal="center" readingOrder="0" vertical="bottom"/>
    </xf>
    <xf borderId="5" fillId="26" fontId="1" numFmtId="164" xfId="0" applyAlignment="1" applyBorder="1" applyFont="1" applyNumberFormat="1">
      <alignment horizontal="center" vertical="bottom"/>
    </xf>
    <xf borderId="180" fillId="2" fontId="37" numFmtId="0" xfId="0" applyAlignment="1" applyBorder="1" applyFont="1">
      <alignment horizontal="center" readingOrder="0" vertical="bottom"/>
    </xf>
    <xf borderId="188" fillId="2" fontId="1" numFmtId="164" xfId="0" applyAlignment="1" applyBorder="1" applyFont="1" applyNumberFormat="1">
      <alignment horizontal="center" readingOrder="0" vertical="bottom"/>
    </xf>
    <xf borderId="189" fillId="2" fontId="1" numFmtId="164" xfId="0" applyAlignment="1" applyBorder="1" applyFont="1" applyNumberFormat="1">
      <alignment horizontal="center" readingOrder="0" vertical="bottom"/>
    </xf>
    <xf borderId="190" fillId="2" fontId="1" numFmtId="164" xfId="0" applyAlignment="1" applyBorder="1" applyFont="1" applyNumberFormat="1">
      <alignment horizontal="center" vertical="bottom"/>
    </xf>
    <xf borderId="180" fillId="2" fontId="37" numFmtId="0" xfId="0" applyAlignment="1" applyBorder="1" applyFont="1">
      <alignment horizontal="center" vertical="bottom"/>
    </xf>
    <xf borderId="181" fillId="26" fontId="37" numFmtId="0" xfId="0" applyAlignment="1" applyBorder="1" applyFont="1">
      <alignment horizontal="center" vertical="bottom"/>
    </xf>
    <xf borderId="182" fillId="26" fontId="1" numFmtId="164" xfId="0" applyAlignment="1" applyBorder="1" applyFont="1" applyNumberFormat="1">
      <alignment horizontal="center" vertical="bottom"/>
    </xf>
    <xf borderId="182" fillId="26" fontId="1" numFmtId="164" xfId="0" applyAlignment="1" applyBorder="1" applyFont="1" applyNumberFormat="1">
      <alignment horizontal="center" readingOrder="0" vertical="bottom"/>
    </xf>
    <xf borderId="191" fillId="26" fontId="1" numFmtId="164" xfId="0" applyAlignment="1" applyBorder="1" applyFont="1" applyNumberFormat="1">
      <alignment horizontal="center" vertical="bottom"/>
    </xf>
    <xf borderId="73" fillId="2" fontId="37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64" fillId="23" fontId="37" numFmtId="164" xfId="0" applyAlignment="1" applyBorder="1" applyFont="1" applyNumberFormat="1">
      <alignment horizontal="center" vertical="bottom"/>
    </xf>
    <xf borderId="185" fillId="23" fontId="37" numFmtId="164" xfId="0" applyAlignment="1" applyBorder="1" applyFont="1" applyNumberFormat="1">
      <alignment horizontal="center" vertical="bottom"/>
    </xf>
    <xf borderId="151" fillId="26" fontId="37" numFmtId="164" xfId="0" applyAlignment="1" applyBorder="1" applyFont="1" applyNumberFormat="1">
      <alignment horizontal="center" readingOrder="0" vertical="bottom"/>
    </xf>
    <xf borderId="151" fillId="26" fontId="37" numFmtId="164" xfId="0" applyAlignment="1" applyBorder="1" applyFont="1" applyNumberFormat="1">
      <alignment horizontal="center" vertical="bottom"/>
    </xf>
    <xf borderId="0" fillId="2" fontId="37" numFmtId="0" xfId="0" applyAlignment="1" applyFont="1">
      <alignment horizontal="center" readingOrder="0" vertical="center"/>
    </xf>
    <xf borderId="185" fillId="6" fontId="9" numFmtId="0" xfId="0" applyAlignment="1" applyBorder="1" applyFont="1">
      <alignment horizontal="center" readingOrder="0" vertical="center"/>
    </xf>
    <xf borderId="185" fillId="27" fontId="37" numFmtId="0" xfId="0" applyAlignment="1" applyBorder="1" applyFill="1" applyFont="1">
      <alignment horizontal="center" readingOrder="0" vertical="center"/>
    </xf>
    <xf borderId="185" fillId="27" fontId="38" numFmtId="0" xfId="0" applyAlignment="1" applyBorder="1" applyFont="1">
      <alignment horizontal="center" readingOrder="0" vertical="center"/>
    </xf>
    <xf borderId="185" fillId="6" fontId="9" numFmtId="0" xfId="0" applyAlignment="1" applyBorder="1" applyFont="1">
      <alignment horizontal="center"/>
    </xf>
    <xf borderId="185" fillId="27" fontId="37" numFmtId="0" xfId="0" applyAlignment="1" applyBorder="1" applyFont="1">
      <alignment horizontal="center"/>
    </xf>
    <xf borderId="185" fillId="27" fontId="37" numFmtId="0" xfId="0" applyAlignment="1" applyBorder="1" applyFont="1">
      <alignment readingOrder="0" vertical="bottom"/>
    </xf>
    <xf borderId="13" fillId="0" fontId="1" numFmtId="164" xfId="0" applyAlignment="1" applyBorder="1" applyFont="1" applyNumberFormat="1">
      <alignment horizontal="center" readingOrder="0" vertical="center"/>
    </xf>
    <xf borderId="18" fillId="2" fontId="1" numFmtId="164" xfId="0" applyAlignment="1" applyBorder="1" applyFont="1" applyNumberFormat="1">
      <alignment horizontal="center" readingOrder="0" vertical="center"/>
    </xf>
    <xf borderId="186" fillId="2" fontId="1" numFmtId="164" xfId="0" applyAlignment="1" applyBorder="1" applyFont="1" applyNumberFormat="1">
      <alignment horizontal="center" vertical="center"/>
    </xf>
    <xf borderId="185" fillId="27" fontId="37" numFmtId="0" xfId="0" applyAlignment="1" applyBorder="1" applyFont="1">
      <alignment vertical="bottom"/>
    </xf>
    <xf borderId="13" fillId="0" fontId="1" numFmtId="164" xfId="0" applyAlignment="1" applyBorder="1" applyFont="1" applyNumberFormat="1">
      <alignment horizontal="center"/>
    </xf>
    <xf borderId="18" fillId="2" fontId="1" numFmtId="164" xfId="0" applyAlignment="1" applyBorder="1" applyFont="1" applyNumberFormat="1">
      <alignment horizontal="center"/>
    </xf>
    <xf borderId="186" fillId="2" fontId="1" numFmtId="164" xfId="0" applyAlignment="1" applyBorder="1" applyFont="1" applyNumberFormat="1">
      <alignment horizontal="center"/>
    </xf>
    <xf borderId="14" fillId="28" fontId="1" numFmtId="164" xfId="0" applyAlignment="1" applyBorder="1" applyFill="1" applyFont="1" applyNumberFormat="1">
      <alignment horizontal="center" readingOrder="0" vertical="center"/>
    </xf>
    <xf borderId="18" fillId="28" fontId="1" numFmtId="164" xfId="0" applyAlignment="1" applyBorder="1" applyFont="1" applyNumberFormat="1">
      <alignment horizontal="center" readingOrder="0" vertical="center"/>
    </xf>
    <xf borderId="187" fillId="28" fontId="1" numFmtId="164" xfId="0" applyAlignment="1" applyBorder="1" applyFont="1" applyNumberFormat="1">
      <alignment horizontal="center" vertical="center"/>
    </xf>
    <xf borderId="18" fillId="28" fontId="1" numFmtId="164" xfId="0" applyAlignment="1" applyBorder="1" applyFont="1" applyNumberFormat="1">
      <alignment horizontal="center" vertical="center"/>
    </xf>
    <xf borderId="14" fillId="28" fontId="1" numFmtId="164" xfId="0" applyAlignment="1" applyBorder="1" applyFont="1" applyNumberFormat="1">
      <alignment horizontal="center"/>
    </xf>
    <xf borderId="18" fillId="28" fontId="1" numFmtId="164" xfId="0" applyAlignment="1" applyBorder="1" applyFont="1" applyNumberFormat="1">
      <alignment horizontal="center"/>
    </xf>
    <xf borderId="187" fillId="28" fontId="1" numFmtId="164" xfId="0" applyAlignment="1" applyBorder="1" applyFont="1" applyNumberFormat="1">
      <alignment horizontal="center"/>
    </xf>
    <xf borderId="187" fillId="2" fontId="1" numFmtId="164" xfId="0" applyAlignment="1" applyBorder="1" applyFont="1" applyNumberFormat="1">
      <alignment horizontal="center" vertical="center"/>
    </xf>
    <xf borderId="14" fillId="2" fontId="1" numFmtId="164" xfId="0" applyAlignment="1" applyBorder="1" applyFont="1" applyNumberFormat="1">
      <alignment horizontal="center"/>
    </xf>
    <xf borderId="187" fillId="2" fontId="1" numFmtId="164" xfId="0" applyAlignment="1" applyBorder="1" applyFont="1" applyNumberFormat="1">
      <alignment horizontal="center"/>
    </xf>
    <xf borderId="0" fillId="2" fontId="1" numFmtId="166" xfId="0" applyAlignment="1" applyFont="1" applyNumberFormat="1">
      <alignment vertical="bottom"/>
    </xf>
    <xf borderId="182" fillId="28" fontId="1" numFmtId="164" xfId="0" applyAlignment="1" applyBorder="1" applyFont="1" applyNumberFormat="1">
      <alignment horizontal="center" readingOrder="0" vertical="center"/>
    </xf>
    <xf borderId="192" fillId="28" fontId="1" numFmtId="164" xfId="0" applyAlignment="1" applyBorder="1" applyFont="1" applyNumberFormat="1">
      <alignment horizontal="center" vertical="center"/>
    </xf>
    <xf borderId="191" fillId="28" fontId="1" numFmtId="164" xfId="0" applyAlignment="1" applyBorder="1" applyFont="1" applyNumberFormat="1">
      <alignment horizontal="center" vertical="center"/>
    </xf>
    <xf borderId="182" fillId="28" fontId="1" numFmtId="164" xfId="0" applyAlignment="1" applyBorder="1" applyFont="1" applyNumberFormat="1">
      <alignment horizontal="center"/>
    </xf>
    <xf borderId="192" fillId="28" fontId="1" numFmtId="164" xfId="0" applyAlignment="1" applyBorder="1" applyFont="1" applyNumberFormat="1">
      <alignment horizontal="center"/>
    </xf>
    <xf borderId="191" fillId="28" fontId="1" numFmtId="164" xfId="0" applyAlignment="1" applyBorder="1" applyFont="1" applyNumberFormat="1">
      <alignment horizontal="center"/>
    </xf>
    <xf borderId="193" fillId="2" fontId="1" numFmtId="167" xfId="0" applyAlignment="1" applyBorder="1" applyFont="1" applyNumberFormat="1">
      <alignment vertical="bottom"/>
    </xf>
    <xf borderId="193" fillId="2" fontId="1" numFmtId="0" xfId="0" applyAlignment="1" applyBorder="1" applyFont="1">
      <alignment vertical="bottom"/>
    </xf>
    <xf borderId="127" fillId="2" fontId="1" numFmtId="0" xfId="0" applyAlignment="1" applyBorder="1" applyFont="1">
      <alignment vertical="bottom"/>
    </xf>
    <xf borderId="0" fillId="2" fontId="1" numFmtId="15" xfId="0" applyAlignment="1" applyFont="1" applyNumberFormat="1">
      <alignment vertical="bottom"/>
    </xf>
    <xf borderId="174" fillId="6" fontId="8" numFmtId="0" xfId="0" applyAlignment="1" applyBorder="1" applyFont="1">
      <alignment horizontal="center" readingOrder="0" vertical="bottom"/>
    </xf>
    <xf borderId="174" fillId="6" fontId="8" numFmtId="0" xfId="0" applyAlignment="1" applyBorder="1" applyFont="1">
      <alignment horizontal="center" vertical="bottom"/>
    </xf>
    <xf borderId="194" fillId="6" fontId="7" numFmtId="15" xfId="0" applyAlignment="1" applyBorder="1" applyFont="1" applyNumberFormat="1">
      <alignment horizontal="center" vertical="bottom"/>
    </xf>
    <xf borderId="195" fillId="6" fontId="8" numFmtId="0" xfId="0" applyAlignment="1" applyBorder="1" applyFont="1">
      <alignment horizontal="center" vertical="bottom"/>
    </xf>
    <xf borderId="196" fillId="6" fontId="7" numFmtId="49" xfId="0" applyAlignment="1" applyBorder="1" applyFont="1" applyNumberFormat="1">
      <alignment horizontal="center" vertical="bottom"/>
    </xf>
    <xf borderId="197" fillId="6" fontId="8" numFmtId="0" xfId="0" applyAlignment="1" applyBorder="1" applyFont="1">
      <alignment horizontal="center" readingOrder="0" vertical="bottom"/>
    </xf>
    <xf borderId="197" fillId="6" fontId="8" numFmtId="0" xfId="0" applyAlignment="1" applyBorder="1" applyFont="1">
      <alignment horizontal="center" vertical="bottom"/>
    </xf>
    <xf borderId="18" fillId="3" fontId="1" numFmtId="0" xfId="0" applyAlignment="1" applyBorder="1" applyFont="1">
      <alignment horizontal="center" readingOrder="0" vertical="center"/>
    </xf>
    <xf borderId="18" fillId="2" fontId="1" numFmtId="16" xfId="0" applyAlignment="1" applyBorder="1" applyFont="1" applyNumberFormat="1">
      <alignment horizontal="center" readingOrder="0" vertical="center"/>
    </xf>
    <xf borderId="13" fillId="2" fontId="1" numFmtId="0" xfId="0" applyAlignment="1" applyBorder="1" applyFont="1">
      <alignment horizontal="center" readingOrder="0" vertical="center"/>
    </xf>
    <xf borderId="13" fillId="2" fontId="1" numFmtId="49" xfId="0" applyAlignment="1" applyBorder="1" applyFont="1" applyNumberFormat="1">
      <alignment horizontal="center" readingOrder="0" shrinkToFit="0" vertical="center" wrapText="1"/>
    </xf>
    <xf borderId="13" fillId="2" fontId="1" numFmtId="164" xfId="0" applyAlignment="1" applyBorder="1" applyFont="1" applyNumberFormat="1">
      <alignment horizontal="center" readingOrder="0" vertical="center"/>
    </xf>
    <xf borderId="13" fillId="2" fontId="1" numFmtId="49" xfId="0" applyAlignment="1" applyBorder="1" applyFont="1" applyNumberFormat="1">
      <alignment horizontal="center" readingOrder="0" vertical="center"/>
    </xf>
    <xf borderId="18" fillId="3" fontId="1" numFmtId="0" xfId="0" applyAlignment="1" applyBorder="1" applyFont="1">
      <alignment horizontal="center"/>
    </xf>
    <xf borderId="18" fillId="3" fontId="1" numFmtId="16" xfId="0" applyAlignment="1" applyBorder="1" applyFont="1" applyNumberFormat="1">
      <alignment horizontal="center"/>
    </xf>
    <xf borderId="13" fillId="3" fontId="1" numFmtId="0" xfId="0" applyAlignment="1" applyBorder="1" applyFont="1">
      <alignment horizontal="center"/>
    </xf>
    <xf borderId="13" fillId="3" fontId="1" numFmtId="49" xfId="0" applyAlignment="1" applyBorder="1" applyFont="1" applyNumberFormat="1">
      <alignment horizontal="center"/>
    </xf>
    <xf borderId="13" fillId="3" fontId="1" numFmtId="164" xfId="0" applyAlignment="1" applyBorder="1" applyFont="1" applyNumberFormat="1">
      <alignment horizontal="center"/>
    </xf>
    <xf borderId="5" fillId="3" fontId="1" numFmtId="0" xfId="0" applyAlignment="1" applyBorder="1" applyFont="1">
      <alignment horizontal="center" vertical="center"/>
    </xf>
    <xf borderId="18" fillId="2" fontId="1" numFmtId="16" xfId="0" applyAlignment="1" applyBorder="1" applyFont="1" applyNumberFormat="1">
      <alignment horizontal="center" vertical="center"/>
    </xf>
    <xf borderId="13" fillId="2" fontId="1" numFmtId="49" xfId="0" applyAlignment="1" applyBorder="1" applyFont="1" applyNumberFormat="1">
      <alignment horizontal="center" vertical="center"/>
    </xf>
    <xf borderId="13" fillId="2" fontId="1" numFmtId="0" xfId="0" applyAlignment="1" applyBorder="1" applyFont="1">
      <alignment horizontal="center" vertical="center"/>
    </xf>
    <xf borderId="13" fillId="2" fontId="1" numFmtId="164" xfId="0" applyAlignment="1" applyBorder="1" applyFont="1" applyNumberFormat="1">
      <alignment horizontal="center" vertical="center"/>
    </xf>
    <xf borderId="5" fillId="2" fontId="1" numFmtId="0" xfId="0" applyBorder="1" applyFont="1"/>
    <xf borderId="18" fillId="2" fontId="1" numFmtId="16" xfId="0" applyBorder="1" applyFont="1" applyNumberFormat="1"/>
    <xf borderId="13" fillId="2" fontId="1" numFmtId="0" xfId="0" applyBorder="1" applyFont="1"/>
    <xf borderId="13" fillId="2" fontId="1" numFmtId="49" xfId="0" applyBorder="1" applyFont="1" applyNumberFormat="1"/>
    <xf borderId="13" fillId="2" fontId="1" numFmtId="164" xfId="0" applyBorder="1" applyFont="1" applyNumberFormat="1"/>
    <xf borderId="5" fillId="26" fontId="1" numFmtId="0" xfId="0" applyBorder="1" applyFont="1"/>
    <xf borderId="18" fillId="26" fontId="1" numFmtId="16" xfId="0" applyBorder="1" applyFont="1" applyNumberFormat="1"/>
    <xf borderId="13" fillId="26" fontId="1" numFmtId="0" xfId="0" applyBorder="1" applyFont="1"/>
    <xf borderId="13" fillId="26" fontId="1" numFmtId="49" xfId="0" applyBorder="1" applyFont="1" applyNumberFormat="1"/>
    <xf borderId="13" fillId="26" fontId="1" numFmtId="164" xfId="0" applyBorder="1" applyFont="1" applyNumberFormat="1"/>
    <xf borderId="0" fillId="0" fontId="13" numFmtId="0" xfId="0" applyAlignment="1" applyFont="1">
      <alignment readingOrder="0"/>
    </xf>
    <xf borderId="198" fillId="29" fontId="39" numFmtId="0" xfId="0" applyAlignment="1" applyBorder="1" applyFill="1" applyFont="1">
      <alignment horizontal="center" readingOrder="0"/>
    </xf>
    <xf borderId="199" fillId="0" fontId="4" numFmtId="0" xfId="0" applyBorder="1" applyFont="1"/>
    <xf borderId="200" fillId="0" fontId="4" numFmtId="0" xfId="0" applyBorder="1" applyFont="1"/>
    <xf borderId="201" fillId="2" fontId="1" numFmtId="0" xfId="0" applyAlignment="1" applyBorder="1" applyFont="1">
      <alignment vertical="bottom"/>
    </xf>
    <xf borderId="202" fillId="10" fontId="28" numFmtId="0" xfId="0" applyAlignment="1" applyBorder="1" applyFont="1">
      <alignment horizontal="center" vertical="bottom"/>
    </xf>
    <xf borderId="203" fillId="10" fontId="28" numFmtId="0" xfId="0" applyAlignment="1" applyBorder="1" applyFont="1">
      <alignment horizontal="center" vertical="bottom"/>
    </xf>
    <xf borderId="203" fillId="0" fontId="4" numFmtId="0" xfId="0" applyBorder="1" applyFont="1"/>
    <xf borderId="204" fillId="0" fontId="4" numFmtId="0" xfId="0" applyBorder="1" applyFont="1"/>
    <xf borderId="205" fillId="30" fontId="40" numFmtId="0" xfId="0" applyAlignment="1" applyBorder="1" applyFill="1" applyFont="1">
      <alignment horizontal="center" vertical="bottom"/>
    </xf>
    <xf borderId="0" fillId="30" fontId="1" numFmtId="0" xfId="0" applyAlignment="1" applyFont="1">
      <alignment vertical="bottom"/>
    </xf>
    <xf borderId="0" fillId="30" fontId="41" numFmtId="0" xfId="0" applyAlignment="1" applyFont="1">
      <alignment horizontal="center" shrinkToFit="0" vertical="bottom" wrapText="1"/>
    </xf>
    <xf borderId="206" fillId="30" fontId="1" numFmtId="0" xfId="0" applyAlignment="1" applyBorder="1" applyFont="1">
      <alignment vertical="bottom"/>
    </xf>
    <xf borderId="201" fillId="2" fontId="1" numFmtId="14" xfId="0" applyAlignment="1" applyBorder="1" applyFont="1" applyNumberFormat="1">
      <alignment vertical="bottom"/>
    </xf>
    <xf borderId="207" fillId="10" fontId="28" numFmtId="14" xfId="0" applyAlignment="1" applyBorder="1" applyFont="1" applyNumberFormat="1">
      <alignment horizontal="center" vertical="bottom"/>
    </xf>
    <xf borderId="188" fillId="30" fontId="28" numFmtId="0" xfId="0" applyAlignment="1" applyBorder="1" applyFont="1">
      <alignment horizontal="center" vertical="center"/>
    </xf>
    <xf borderId="208" fillId="30" fontId="28" numFmtId="0" xfId="0" applyAlignment="1" applyBorder="1" applyFont="1">
      <alignment horizontal="center" vertical="bottom"/>
    </xf>
    <xf borderId="208" fillId="0" fontId="4" numFmtId="0" xfId="0" applyBorder="1" applyFont="1"/>
    <xf borderId="209" fillId="0" fontId="4" numFmtId="0" xfId="0" applyBorder="1" applyFont="1"/>
    <xf borderId="210" fillId="10" fontId="28" numFmtId="0" xfId="0" applyAlignment="1" applyBorder="1" applyFont="1">
      <alignment horizontal="center" vertical="bottom"/>
    </xf>
    <xf borderId="13" fillId="0" fontId="4" numFmtId="0" xfId="0" applyBorder="1" applyFont="1"/>
    <xf borderId="211" fillId="10" fontId="28" numFmtId="0" xfId="0" applyAlignment="1" applyBorder="1" applyFont="1">
      <alignment horizontal="center" vertical="bottom"/>
    </xf>
    <xf borderId="212" fillId="30" fontId="28" numFmtId="0" xfId="0" applyAlignment="1" applyBorder="1" applyFont="1">
      <alignment horizontal="center" vertical="bottom"/>
    </xf>
    <xf borderId="212" fillId="10" fontId="28" numFmtId="174" xfId="0" applyAlignment="1" applyBorder="1" applyFont="1" applyNumberFormat="1">
      <alignment horizontal="center" vertical="bottom"/>
    </xf>
    <xf borderId="213" fillId="30" fontId="28" numFmtId="0" xfId="0" applyAlignment="1" applyBorder="1" applyFont="1">
      <alignment horizontal="center" vertical="bottom"/>
    </xf>
    <xf borderId="214" fillId="30" fontId="1" numFmtId="0" xfId="0" applyAlignment="1" applyBorder="1" applyFont="1">
      <alignment horizontal="center" readingOrder="0" vertical="center"/>
    </xf>
    <xf borderId="215" fillId="30" fontId="1" numFmtId="0" xfId="0" applyAlignment="1" applyBorder="1" applyFont="1">
      <alignment horizontal="center" readingOrder="0" vertical="center"/>
    </xf>
    <xf borderId="216" fillId="30" fontId="1" numFmtId="0" xfId="0" applyAlignment="1" applyBorder="1" applyFont="1">
      <alignment horizontal="center" readingOrder="0" vertical="center"/>
    </xf>
    <xf borderId="217" fillId="30" fontId="1" numFmtId="0" xfId="0" applyAlignment="1" applyBorder="1" applyFont="1">
      <alignment horizontal="center" readingOrder="0" vertical="center"/>
    </xf>
    <xf borderId="201" fillId="2" fontId="1" numFmtId="174" xfId="0" applyAlignment="1" applyBorder="1" applyFont="1" applyNumberFormat="1">
      <alignment vertical="bottom"/>
    </xf>
    <xf borderId="150" fillId="10" fontId="42" numFmtId="174" xfId="0" applyAlignment="1" applyBorder="1" applyFont="1" applyNumberFormat="1">
      <alignment horizontal="center" vertical="bottom"/>
    </xf>
    <xf borderId="212" fillId="10" fontId="43" numFmtId="174" xfId="0" applyAlignment="1" applyBorder="1" applyFont="1" applyNumberFormat="1">
      <alignment horizontal="center" vertical="bottom"/>
    </xf>
    <xf borderId="212" fillId="10" fontId="28" numFmtId="164" xfId="0" applyAlignment="1" applyBorder="1" applyFont="1" applyNumberFormat="1">
      <alignment horizontal="center" vertical="bottom"/>
    </xf>
    <xf borderId="212" fillId="10" fontId="28" numFmtId="164" xfId="0" applyAlignment="1" applyBorder="1" applyFont="1" applyNumberFormat="1">
      <alignment horizontal="center" readingOrder="0" vertical="bottom"/>
    </xf>
    <xf borderId="213" fillId="10" fontId="28" numFmtId="164" xfId="0" applyAlignment="1" applyBorder="1" applyFont="1" applyNumberFormat="1">
      <alignment horizontal="center" vertical="bottom"/>
    </xf>
    <xf borderId="175" fillId="10" fontId="37" numFmtId="164" xfId="0" applyAlignment="1" applyBorder="1" applyFont="1" applyNumberFormat="1">
      <alignment horizontal="center" vertical="center"/>
    </xf>
    <xf borderId="218" fillId="10" fontId="37" numFmtId="164" xfId="0" applyAlignment="1" applyBorder="1" applyFont="1" applyNumberFormat="1">
      <alignment horizontal="center" vertical="center"/>
    </xf>
    <xf borderId="219" fillId="10" fontId="37" numFmtId="164" xfId="0" applyAlignment="1" applyBorder="1" applyFont="1" applyNumberFormat="1">
      <alignment horizontal="center" vertical="center"/>
    </xf>
    <xf borderId="220" fillId="10" fontId="37" numFmtId="164" xfId="0" applyAlignment="1" applyBorder="1" applyFont="1" applyNumberFormat="1">
      <alignment horizontal="center" vertical="center"/>
    </xf>
    <xf borderId="221" fillId="30" fontId="44" numFmtId="174" xfId="0" applyAlignment="1" applyBorder="1" applyFont="1" applyNumberFormat="1">
      <alignment horizontal="center" vertical="bottom"/>
    </xf>
    <xf borderId="212" fillId="30" fontId="28" numFmtId="164" xfId="0" applyAlignment="1" applyBorder="1" applyFont="1" applyNumberFormat="1">
      <alignment horizontal="center" readingOrder="0" vertical="bottom"/>
    </xf>
    <xf borderId="212" fillId="30" fontId="45" numFmtId="174" xfId="0" applyAlignment="1" applyBorder="1" applyFont="1" applyNumberFormat="1">
      <alignment horizontal="center" vertical="bottom"/>
    </xf>
    <xf borderId="212" fillId="30" fontId="5" numFmtId="164" xfId="0" applyAlignment="1" applyBorder="1" applyFont="1" applyNumberFormat="1">
      <alignment horizontal="center" readingOrder="0" vertical="bottom"/>
    </xf>
    <xf borderId="213" fillId="30" fontId="5" numFmtId="164" xfId="0" applyAlignment="1" applyBorder="1" applyFont="1" applyNumberFormat="1">
      <alignment horizontal="center" vertical="bottom"/>
    </xf>
    <xf borderId="175" fillId="30" fontId="1" numFmtId="164" xfId="0" applyAlignment="1" applyBorder="1" applyFont="1" applyNumberFormat="1">
      <alignment horizontal="center" readingOrder="0" vertical="center"/>
    </xf>
    <xf borderId="218" fillId="30" fontId="1" numFmtId="164" xfId="0" applyAlignment="1" applyBorder="1" applyFont="1" applyNumberFormat="1">
      <alignment horizontal="center" vertical="center"/>
    </xf>
    <xf borderId="219" fillId="30" fontId="1" numFmtId="164" xfId="0" applyAlignment="1" applyBorder="1" applyFont="1" applyNumberFormat="1">
      <alignment horizontal="center" vertical="center"/>
    </xf>
    <xf borderId="220" fillId="30" fontId="1" numFmtId="164" xfId="0" applyAlignment="1" applyBorder="1" applyFont="1" applyNumberFormat="1">
      <alignment horizontal="center" vertical="center"/>
    </xf>
    <xf borderId="201" fillId="2" fontId="1" numFmtId="164" xfId="0" applyAlignment="1" applyBorder="1" applyFont="1" applyNumberFormat="1">
      <alignment vertical="bottom"/>
    </xf>
    <xf borderId="221" fillId="10" fontId="42" numFmtId="164" xfId="0" applyAlignment="1" applyBorder="1" applyFont="1" applyNumberFormat="1">
      <alignment horizontal="center" vertical="bottom"/>
    </xf>
    <xf borderId="212" fillId="10" fontId="43" numFmtId="164" xfId="0" applyAlignment="1" applyBorder="1" applyFont="1" applyNumberFormat="1">
      <alignment horizontal="center" vertical="bottom"/>
    </xf>
    <xf borderId="213" fillId="10" fontId="28" numFmtId="164" xfId="0" applyAlignment="1" applyBorder="1" applyFont="1" applyNumberFormat="1">
      <alignment horizontal="center" readingOrder="0" vertical="bottom"/>
    </xf>
    <xf borderId="175" fillId="10" fontId="37" numFmtId="164" xfId="0" applyAlignment="1" applyBorder="1" applyFont="1" applyNumberFormat="1">
      <alignment horizontal="center" readingOrder="0" vertical="center"/>
    </xf>
    <xf borderId="221" fillId="30" fontId="44" numFmtId="164" xfId="0" applyAlignment="1" applyBorder="1" applyFont="1" applyNumberFormat="1">
      <alignment horizontal="center" vertical="bottom"/>
    </xf>
    <xf borderId="212" fillId="30" fontId="45" numFmtId="164" xfId="0" applyAlignment="1" applyBorder="1" applyFont="1" applyNumberFormat="1">
      <alignment horizontal="center" vertical="bottom"/>
    </xf>
    <xf borderId="213" fillId="30" fontId="5" numFmtId="164" xfId="0" applyAlignment="1" applyBorder="1" applyFont="1" applyNumberFormat="1">
      <alignment horizontal="center" readingOrder="0" vertical="bottom"/>
    </xf>
    <xf borderId="213" fillId="30" fontId="1" numFmtId="164" xfId="0" applyAlignment="1" applyBorder="1" applyFont="1" applyNumberFormat="1">
      <alignment horizontal="center" readingOrder="0" vertical="bottom"/>
    </xf>
    <xf borderId="175" fillId="30" fontId="1" numFmtId="164" xfId="0" applyAlignment="1" applyBorder="1" applyFont="1" applyNumberFormat="1">
      <alignment horizontal="center" vertical="center"/>
    </xf>
    <xf borderId="222" fillId="10" fontId="42" numFmtId="164" xfId="0" applyAlignment="1" applyBorder="1" applyFont="1" applyNumberFormat="1">
      <alignment horizontal="center" vertical="bottom"/>
    </xf>
    <xf borderId="219" fillId="10" fontId="28" numFmtId="164" xfId="0" applyAlignment="1" applyBorder="1" applyFont="1" applyNumberFormat="1">
      <alignment horizontal="center" vertical="bottom"/>
    </xf>
    <xf borderId="219" fillId="10" fontId="43" numFmtId="164" xfId="0" applyAlignment="1" applyBorder="1" applyFont="1" applyNumberFormat="1">
      <alignment horizontal="center" vertical="bottom"/>
    </xf>
    <xf borderId="219" fillId="10" fontId="28" numFmtId="164" xfId="0" applyAlignment="1" applyBorder="1" applyFont="1" applyNumberFormat="1">
      <alignment horizontal="center" readingOrder="0" vertical="bottom"/>
    </xf>
    <xf borderId="176" fillId="10" fontId="28" numFmtId="164" xfId="0" applyAlignment="1" applyBorder="1" applyFont="1" applyNumberFormat="1">
      <alignment horizontal="center" vertical="bottom"/>
    </xf>
    <xf borderId="223" fillId="30" fontId="46" numFmtId="164" xfId="0" applyAlignment="1" applyBorder="1" applyFont="1" applyNumberFormat="1">
      <alignment vertical="bottom"/>
    </xf>
    <xf borderId="224" fillId="30" fontId="28" numFmtId="164" xfId="0" applyAlignment="1" applyBorder="1" applyFont="1" applyNumberFormat="1">
      <alignment horizontal="center" vertical="bottom"/>
    </xf>
    <xf borderId="224" fillId="30" fontId="5" numFmtId="164" xfId="0" applyAlignment="1" applyBorder="1" applyFont="1" applyNumberFormat="1">
      <alignment horizontal="center" vertical="bottom"/>
    </xf>
    <xf borderId="120" fillId="30" fontId="5" numFmtId="164" xfId="0" applyAlignment="1" applyBorder="1" applyFont="1" applyNumberFormat="1">
      <alignment horizontal="center" vertical="bottom"/>
    </xf>
    <xf borderId="222" fillId="10" fontId="47" numFmtId="164" xfId="0" applyAlignment="1" applyBorder="1" applyFont="1" applyNumberFormat="1">
      <alignment horizontal="center" vertical="bottom"/>
    </xf>
    <xf borderId="218" fillId="10" fontId="28" numFmtId="164" xfId="0" applyAlignment="1" applyBorder="1" applyFont="1" applyNumberFormat="1">
      <alignment horizontal="center" vertical="center"/>
    </xf>
    <xf borderId="221" fillId="30" fontId="28" numFmtId="164" xfId="0" applyAlignment="1" applyBorder="1" applyFont="1" applyNumberFormat="1">
      <alignment horizontal="center" vertical="bottom"/>
    </xf>
    <xf borderId="212" fillId="30" fontId="1" numFmtId="164" xfId="0" applyAlignment="1" applyBorder="1" applyFont="1" applyNumberFormat="1">
      <alignment vertical="bottom"/>
    </xf>
    <xf borderId="213" fillId="30" fontId="1" numFmtId="164" xfId="0" applyAlignment="1" applyBorder="1" applyFont="1" applyNumberFormat="1">
      <alignment vertical="bottom"/>
    </xf>
    <xf borderId="225" fillId="30" fontId="1" numFmtId="164" xfId="0" applyAlignment="1" applyBorder="1" applyFont="1" applyNumberFormat="1">
      <alignment vertical="bottom"/>
    </xf>
    <xf borderId="226" fillId="30" fontId="5" numFmtId="164" xfId="0" applyAlignment="1" applyBorder="1" applyFont="1" applyNumberFormat="1">
      <alignment horizontal="center" readingOrder="0" vertical="bottom"/>
    </xf>
    <xf borderId="227" fillId="30" fontId="1" numFmtId="164" xfId="0" applyAlignment="1" applyBorder="1" applyFont="1" applyNumberFormat="1">
      <alignment vertical="bottom"/>
    </xf>
    <xf borderId="228" fillId="30" fontId="1" numFmtId="164" xfId="0" applyAlignment="1" applyBorder="1" applyFont="1" applyNumberFormat="1">
      <alignment vertical="bottom"/>
    </xf>
    <xf borderId="221" fillId="10" fontId="37" numFmtId="0" xfId="0" applyAlignment="1" applyBorder="1" applyFont="1">
      <alignment horizontal="center" vertical="bottom"/>
    </xf>
    <xf borderId="212" fillId="10" fontId="1" numFmtId="0" xfId="0" applyAlignment="1" applyBorder="1" applyFont="1">
      <alignment vertical="bottom"/>
    </xf>
    <xf borderId="229" fillId="10" fontId="26" numFmtId="174" xfId="0" applyAlignment="1" applyBorder="1" applyFont="1" applyNumberFormat="1">
      <alignment horizontal="center" vertical="bottom"/>
    </xf>
    <xf borderId="229" fillId="10" fontId="26" numFmtId="164" xfId="0" applyAlignment="1" applyBorder="1" applyFont="1" applyNumberFormat="1">
      <alignment horizontal="center" vertical="bottom"/>
    </xf>
    <xf borderId="62" fillId="10" fontId="1" numFmtId="164" xfId="0" applyAlignment="1" applyBorder="1" applyFont="1" applyNumberFormat="1">
      <alignment horizontal="right" vertical="bottom"/>
    </xf>
    <xf borderId="68" fillId="30" fontId="1" numFmtId="0" xfId="0" applyAlignment="1" applyBorder="1" applyFont="1">
      <alignment vertical="bottom"/>
    </xf>
    <xf borderId="0" fillId="30" fontId="1" numFmtId="0" xfId="0" applyAlignment="1" applyFont="1">
      <alignment horizontal="center" vertical="bottom"/>
    </xf>
    <xf borderId="230" fillId="30" fontId="1" numFmtId="0" xfId="0" applyAlignment="1" applyBorder="1" applyFont="1">
      <alignment vertical="bottom"/>
    </xf>
    <xf borderId="231" fillId="30" fontId="1" numFmtId="0" xfId="0" applyAlignment="1" applyBorder="1" applyFont="1">
      <alignment vertical="bottom"/>
    </xf>
    <xf borderId="34" fillId="30" fontId="1" numFmtId="164" xfId="0" applyAlignment="1" applyBorder="1" applyFont="1" applyNumberFormat="1">
      <alignment horizontal="right" vertical="bottom"/>
    </xf>
    <xf borderId="34" fillId="30" fontId="37" numFmtId="0" xfId="0" applyAlignment="1" applyBorder="1" applyFont="1">
      <alignment horizontal="center" vertical="bottom"/>
    </xf>
    <xf borderId="34" fillId="30" fontId="1" numFmtId="0" xfId="0" applyAlignment="1" applyBorder="1" applyFont="1">
      <alignment vertical="bottom"/>
    </xf>
    <xf borderId="232" fillId="30" fontId="1" numFmtId="0" xfId="0" applyAlignment="1" applyBorder="1" applyFont="1">
      <alignment vertical="bottom"/>
    </xf>
    <xf borderId="201" fillId="0" fontId="1" numFmtId="0" xfId="0" applyAlignment="1" applyBorder="1" applyFont="1">
      <alignment vertical="bottom"/>
    </xf>
    <xf borderId="206" fillId="0" fontId="1" numFmtId="0" xfId="0" applyAlignment="1" applyBorder="1" applyFont="1">
      <alignment vertical="bottom"/>
    </xf>
    <xf borderId="233" fillId="31" fontId="48" numFmtId="175" xfId="0" applyAlignment="1" applyBorder="1" applyFill="1" applyFont="1" applyNumberFormat="1">
      <alignment horizontal="center" readingOrder="0" vertical="bottom"/>
    </xf>
    <xf borderId="148" fillId="0" fontId="4" numFmtId="0" xfId="0" applyBorder="1" applyFont="1"/>
    <xf borderId="234" fillId="0" fontId="4" numFmtId="0" xfId="0" applyBorder="1" applyFont="1"/>
    <xf borderId="235" fillId="0" fontId="4" numFmtId="0" xfId="0" applyBorder="1" applyFont="1"/>
    <xf borderId="62" fillId="0" fontId="4" numFmtId="0" xfId="0" applyBorder="1" applyFont="1"/>
    <xf borderId="236" fillId="0" fontId="4" numFmtId="0" xfId="0" applyBorder="1" applyFont="1"/>
    <xf borderId="233" fillId="23" fontId="37" numFmtId="0" xfId="0" applyAlignment="1" applyBorder="1" applyFont="1">
      <alignment horizontal="center" vertical="bottom"/>
    </xf>
    <xf borderId="237" fillId="0" fontId="4" numFmtId="0" xfId="0" applyBorder="1" applyFont="1"/>
    <xf borderId="0" fillId="0" fontId="1" numFmtId="0" xfId="0" applyAlignment="1" applyFont="1">
      <alignment horizontal="center" vertical="bottom"/>
    </xf>
    <xf borderId="174" fillId="23" fontId="37" numFmtId="0" xfId="0" applyAlignment="1" applyBorder="1" applyFont="1">
      <alignment horizontal="center" readingOrder="0" vertical="bottom"/>
    </xf>
    <xf borderId="220" fillId="0" fontId="4" numFmtId="0" xfId="0" applyBorder="1" applyFont="1"/>
    <xf borderId="238" fillId="23" fontId="37" numFmtId="0" xfId="0" applyAlignment="1" applyBorder="1" applyFont="1">
      <alignment horizontal="center" vertical="bottom"/>
    </xf>
    <xf borderId="102" fillId="23" fontId="37" numFmtId="0" xfId="0" applyAlignment="1" applyBorder="1" applyFont="1">
      <alignment horizontal="center" vertical="bottom"/>
    </xf>
    <xf borderId="14" fillId="0" fontId="4" numFmtId="0" xfId="0" applyBorder="1" applyFont="1"/>
    <xf borderId="5" fillId="23" fontId="37" numFmtId="0" xfId="0" applyAlignment="1" applyBorder="1" applyFont="1">
      <alignment horizontal="center" vertical="bottom"/>
    </xf>
    <xf borderId="187" fillId="23" fontId="37" numFmtId="0" xfId="0" applyAlignment="1" applyBorder="1" applyFont="1">
      <alignment horizontal="center" vertical="bottom"/>
    </xf>
    <xf borderId="185" fillId="25" fontId="37" numFmtId="164" xfId="0" applyAlignment="1" applyBorder="1" applyFont="1" applyNumberFormat="1">
      <alignment horizontal="center" readingOrder="0" vertical="bottom"/>
    </xf>
    <xf borderId="239" fillId="25" fontId="37" numFmtId="0" xfId="0" applyAlignment="1" applyBorder="1" applyFont="1">
      <alignment horizontal="center" vertical="bottom"/>
    </xf>
    <xf borderId="238" fillId="24" fontId="1" numFmtId="164" xfId="0" applyAlignment="1" applyBorder="1" applyFont="1" applyNumberFormat="1">
      <alignment horizontal="center" readingOrder="0" vertical="bottom"/>
    </xf>
    <xf borderId="13" fillId="24" fontId="1" numFmtId="0" xfId="0" applyAlignment="1" applyBorder="1" applyFont="1">
      <alignment horizontal="center" vertical="bottom"/>
    </xf>
    <xf borderId="13" fillId="24" fontId="1" numFmtId="164" xfId="0" applyAlignment="1" applyBorder="1" applyFont="1" applyNumberFormat="1">
      <alignment horizontal="center" vertical="bottom"/>
    </xf>
    <xf borderId="179" fillId="24" fontId="1" numFmtId="164" xfId="0" applyAlignment="1" applyBorder="1" applyFont="1" applyNumberFormat="1">
      <alignment horizontal="center" vertical="bottom"/>
    </xf>
    <xf borderId="240" fillId="0" fontId="1" numFmtId="164" xfId="0" applyAlignment="1" applyBorder="1" applyFont="1" applyNumberFormat="1">
      <alignment horizontal="center" vertical="bottom"/>
    </xf>
    <xf borderId="241" fillId="0" fontId="1" numFmtId="164" xfId="0" applyAlignment="1" applyBorder="1" applyFont="1" applyNumberFormat="1">
      <alignment horizontal="center" vertical="bottom"/>
    </xf>
    <xf borderId="238" fillId="0" fontId="1" numFmtId="164" xfId="0" applyAlignment="1" applyBorder="1" applyFont="1" applyNumberFormat="1">
      <alignment horizontal="center" readingOrder="0" vertical="bottom"/>
    </xf>
    <xf borderId="13" fillId="0" fontId="1" numFmtId="0" xfId="0" applyAlignment="1" applyBorder="1" applyFont="1">
      <alignment horizontal="center" vertical="bottom"/>
    </xf>
    <xf borderId="13" fillId="2" fontId="1" numFmtId="164" xfId="0" applyAlignment="1" applyBorder="1" applyFont="1" applyNumberFormat="1">
      <alignment horizontal="center" vertical="bottom"/>
    </xf>
    <xf borderId="179" fillId="2" fontId="1" numFmtId="164" xfId="0" applyAlignment="1" applyBorder="1" applyFont="1" applyNumberFormat="1">
      <alignment horizontal="center" vertical="bottom"/>
    </xf>
    <xf borderId="177" fillId="26" fontId="37" numFmtId="0" xfId="0" applyAlignment="1" applyBorder="1" applyFont="1">
      <alignment horizontal="center" readingOrder="0" vertical="bottom"/>
    </xf>
    <xf borderId="241" fillId="26" fontId="1" numFmtId="164" xfId="0" applyAlignment="1" applyBorder="1" applyFont="1" applyNumberFormat="1">
      <alignment horizontal="center" readingOrder="0" vertical="bottom"/>
    </xf>
    <xf borderId="13" fillId="0" fontId="1" numFmtId="0" xfId="0" applyAlignment="1" applyBorder="1" applyFont="1">
      <alignment horizontal="center" readingOrder="0" vertical="bottom"/>
    </xf>
    <xf borderId="242" fillId="26" fontId="1" numFmtId="164" xfId="0" applyAlignment="1" applyBorder="1" applyFont="1" applyNumberFormat="1">
      <alignment horizontal="center" vertical="bottom"/>
    </xf>
    <xf borderId="240" fillId="0" fontId="1" numFmtId="164" xfId="0" applyAlignment="1" applyBorder="1" applyFont="1" applyNumberFormat="1">
      <alignment vertical="bottom"/>
    </xf>
    <xf borderId="188" fillId="2" fontId="1" numFmtId="164" xfId="0" applyAlignment="1" applyBorder="1" applyFont="1" applyNumberFormat="1">
      <alignment horizontal="center" vertical="bottom"/>
    </xf>
    <xf borderId="206" fillId="2" fontId="1" numFmtId="164" xfId="0" applyAlignment="1" applyBorder="1" applyFont="1" applyNumberFormat="1">
      <alignment horizontal="center" vertical="bottom"/>
    </xf>
    <xf borderId="243" fillId="2" fontId="1" numFmtId="164" xfId="0" applyAlignment="1" applyBorder="1" applyFont="1" applyNumberFormat="1">
      <alignment horizontal="center" readingOrder="0" vertical="bottom"/>
    </xf>
    <xf borderId="244" fillId="2" fontId="1" numFmtId="0" xfId="0" applyAlignment="1" applyBorder="1" applyFont="1">
      <alignment horizontal="center" readingOrder="0" vertical="bottom"/>
    </xf>
    <xf borderId="244" fillId="2" fontId="1" numFmtId="164" xfId="0" applyAlignment="1" applyBorder="1" applyFont="1" applyNumberFormat="1">
      <alignment horizontal="center" vertical="bottom"/>
    </xf>
    <xf borderId="213" fillId="2" fontId="1" numFmtId="164" xfId="0" applyAlignment="1" applyBorder="1" applyFont="1" applyNumberFormat="1">
      <alignment horizontal="center" vertical="bottom"/>
    </xf>
    <xf borderId="245" fillId="2" fontId="37" numFmtId="0" xfId="0" applyAlignment="1" applyBorder="1" applyFont="1">
      <alignment horizontal="center" readingOrder="0" vertical="bottom"/>
    </xf>
    <xf borderId="6" fillId="2" fontId="1" numFmtId="164" xfId="0" applyAlignment="1" applyBorder="1" applyFont="1" applyNumberFormat="1">
      <alignment horizontal="center" readingOrder="0" vertical="bottom"/>
    </xf>
    <xf borderId="246" fillId="2" fontId="1" numFmtId="164" xfId="0" applyAlignment="1" applyBorder="1" applyFont="1" applyNumberFormat="1">
      <alignment horizontal="center" vertical="bottom"/>
    </xf>
    <xf borderId="247" fillId="2" fontId="1" numFmtId="164" xfId="0" applyAlignment="1" applyBorder="1" applyFont="1" applyNumberFormat="1">
      <alignment horizontal="center" vertical="bottom"/>
    </xf>
    <xf borderId="248" fillId="23" fontId="1" numFmtId="0" xfId="0" applyAlignment="1" applyBorder="1" applyFont="1">
      <alignment vertical="bottom"/>
    </xf>
    <xf borderId="244" fillId="23" fontId="37" numFmtId="0" xfId="0" applyAlignment="1" applyBorder="1" applyFont="1">
      <alignment horizontal="center" vertical="bottom"/>
    </xf>
    <xf borderId="244" fillId="23" fontId="37" numFmtId="164" xfId="0" applyAlignment="1" applyBorder="1" applyFont="1" applyNumberFormat="1">
      <alignment horizontal="center" vertical="bottom"/>
    </xf>
    <xf borderId="244" fillId="23" fontId="1" numFmtId="164" xfId="0" applyAlignment="1" applyBorder="1" applyFont="1" applyNumberFormat="1">
      <alignment horizontal="center" vertical="bottom"/>
    </xf>
    <xf borderId="213" fillId="23" fontId="37" numFmtId="164" xfId="0" applyAlignment="1" applyBorder="1" applyFont="1" applyNumberFormat="1">
      <alignment horizontal="center" vertical="bottom"/>
    </xf>
    <xf borderId="73" fillId="32" fontId="37" numFmtId="0" xfId="0" applyAlignment="1" applyBorder="1" applyFill="1" applyFont="1">
      <alignment horizontal="center" vertical="bottom"/>
    </xf>
    <xf borderId="157" fillId="32" fontId="37" numFmtId="0" xfId="0" applyAlignment="1" applyBorder="1" applyFont="1">
      <alignment horizontal="center" vertical="bottom"/>
    </xf>
    <xf borderId="157" fillId="0" fontId="1" numFmtId="164" xfId="0" applyAlignment="1" applyBorder="1" applyFont="1" applyNumberFormat="1">
      <alignment horizontal="center" vertical="bottom"/>
    </xf>
    <xf borderId="151" fillId="23" fontId="37" numFmtId="164" xfId="0" applyAlignment="1" applyBorder="1" applyFont="1" applyNumberFormat="1">
      <alignment horizontal="center" vertical="bottom"/>
    </xf>
    <xf borderId="249" fillId="23" fontId="37" numFmtId="164" xfId="0" applyAlignment="1" applyBorder="1" applyFont="1" applyNumberFormat="1">
      <alignment horizontal="center" vertical="bottom"/>
    </xf>
    <xf borderId="151" fillId="0" fontId="37" numFmtId="164" xfId="0" applyAlignment="1" applyBorder="1" applyFont="1" applyNumberFormat="1">
      <alignment horizontal="center" readingOrder="0" vertical="bottom"/>
    </xf>
    <xf borderId="64" fillId="0" fontId="37" numFmtId="164" xfId="0" applyAlignment="1" applyBorder="1" applyFont="1" applyNumberFormat="1">
      <alignment horizontal="center" readingOrder="0" vertical="bottom"/>
    </xf>
    <xf borderId="68" fillId="0" fontId="4" numFmtId="0" xfId="0" applyBorder="1" applyFont="1"/>
    <xf borderId="0" fillId="0" fontId="1" numFmtId="0" xfId="0" applyAlignment="1" applyFont="1">
      <alignment horizontal="center" readingOrder="0" vertical="bottom"/>
    </xf>
    <xf borderId="206" fillId="0" fontId="4" numFmtId="0" xfId="0" applyBorder="1" applyFont="1"/>
    <xf borderId="87" fillId="11" fontId="10" numFmtId="0" xfId="0" applyAlignment="1" applyBorder="1" applyFont="1">
      <alignment vertical="bottom"/>
    </xf>
    <xf borderId="250" fillId="11" fontId="10" numFmtId="0" xfId="0" applyAlignment="1" applyBorder="1" applyFont="1">
      <alignment horizontal="center" vertical="bottom"/>
    </xf>
    <xf borderId="251" fillId="11" fontId="10" numFmtId="0" xfId="0" applyAlignment="1" applyBorder="1" applyFont="1">
      <alignment horizontal="center" vertical="bottom"/>
    </xf>
    <xf borderId="0" fillId="2" fontId="15" numFmtId="0" xfId="0" applyAlignment="1" applyFont="1">
      <alignment horizontal="center" vertical="bottom"/>
    </xf>
    <xf borderId="206" fillId="2" fontId="1" numFmtId="0" xfId="0" applyAlignment="1" applyBorder="1" applyFont="1">
      <alignment vertical="bottom"/>
    </xf>
    <xf borderId="177" fillId="0" fontId="1" numFmtId="0" xfId="0" applyAlignment="1" applyBorder="1" applyFont="1">
      <alignment vertical="bottom"/>
    </xf>
    <xf borderId="13" fillId="0" fontId="1" numFmtId="176" xfId="0" applyAlignment="1" applyBorder="1" applyFont="1" applyNumberFormat="1">
      <alignment horizontal="center" vertical="bottom"/>
    </xf>
    <xf borderId="13" fillId="0" fontId="1" numFmtId="0" xfId="0" applyAlignment="1" applyBorder="1" applyFont="1">
      <alignment vertical="bottom"/>
    </xf>
    <xf borderId="179" fillId="2" fontId="49" numFmtId="0" xfId="0" applyAlignment="1" applyBorder="1" applyFont="1">
      <alignment readingOrder="0" vertical="bottom"/>
    </xf>
    <xf borderId="0" fillId="2" fontId="1" numFmtId="4" xfId="0" applyAlignment="1" applyFont="1" applyNumberFormat="1">
      <alignment horizontal="center" vertical="bottom"/>
    </xf>
    <xf borderId="206" fillId="2" fontId="1" numFmtId="4" xfId="0" applyAlignment="1" applyBorder="1" applyFont="1" applyNumberFormat="1">
      <alignment vertical="bottom"/>
    </xf>
    <xf borderId="13" fillId="0" fontId="1" numFmtId="164" xfId="0" applyAlignment="1" applyBorder="1" applyFont="1" applyNumberFormat="1">
      <alignment vertical="bottom"/>
    </xf>
    <xf borderId="13" fillId="0" fontId="1" numFmtId="176" xfId="0" applyAlignment="1" applyBorder="1" applyFont="1" applyNumberFormat="1">
      <alignment vertical="bottom"/>
    </xf>
    <xf borderId="179" fillId="2" fontId="1" numFmtId="0" xfId="0" applyAlignment="1" applyBorder="1" applyFont="1">
      <alignment vertical="bottom"/>
    </xf>
    <xf borderId="0" fillId="2" fontId="49" numFmtId="176" xfId="0" applyAlignment="1" applyFont="1" applyNumberFormat="1">
      <alignment horizontal="center" vertical="bottom"/>
    </xf>
    <xf borderId="0" fillId="2" fontId="49" numFmtId="0" xfId="0" applyAlignment="1" applyFont="1">
      <alignment horizontal="center" vertical="bottom"/>
    </xf>
    <xf borderId="0" fillId="2" fontId="49" numFmtId="4" xfId="0" applyAlignment="1" applyFont="1" applyNumberFormat="1">
      <alignment horizontal="center" vertical="bottom"/>
    </xf>
    <xf borderId="177" fillId="0" fontId="1" numFmtId="0" xfId="0" applyAlignment="1" applyBorder="1" applyFont="1">
      <alignment readingOrder="0" vertical="bottom"/>
    </xf>
    <xf borderId="13" fillId="0" fontId="1" numFmtId="176" xfId="0" applyAlignment="1" applyBorder="1" applyFont="1" applyNumberFormat="1">
      <alignment horizontal="center" readingOrder="0" vertical="bottom"/>
    </xf>
    <xf borderId="13" fillId="0" fontId="1" numFmtId="0" xfId="0" applyAlignment="1" applyBorder="1" applyFont="1">
      <alignment readingOrder="0" vertical="bottom"/>
    </xf>
    <xf borderId="179" fillId="2" fontId="1" numFmtId="0" xfId="0" applyAlignment="1" applyBorder="1" applyFont="1">
      <alignment readingOrder="0" vertical="bottom"/>
    </xf>
    <xf borderId="0" fillId="2" fontId="1" numFmtId="176" xfId="0" applyAlignment="1" applyFont="1" applyNumberFormat="1">
      <alignment vertical="bottom"/>
    </xf>
    <xf borderId="0" fillId="2" fontId="1" numFmtId="4" xfId="0" applyAlignment="1" applyFont="1" applyNumberFormat="1">
      <alignment vertical="bottom"/>
    </xf>
    <xf borderId="13" fillId="0" fontId="1" numFmtId="164" xfId="0" applyAlignment="1" applyBorder="1" applyFont="1" applyNumberFormat="1">
      <alignment horizontal="center" vertical="center"/>
    </xf>
    <xf borderId="0" fillId="2" fontId="1" numFmtId="0" xfId="0" applyAlignment="1" applyFont="1">
      <alignment horizontal="center" vertical="bottom"/>
    </xf>
    <xf borderId="252" fillId="0" fontId="1" numFmtId="0" xfId="0" applyAlignment="1" applyBorder="1" applyFont="1">
      <alignment vertical="bottom"/>
    </xf>
    <xf borderId="253" fillId="0" fontId="1" numFmtId="164" xfId="0" applyAlignment="1" applyBorder="1" applyFont="1" applyNumberFormat="1">
      <alignment horizontal="center" readingOrder="0" vertical="bottom"/>
    </xf>
    <xf borderId="253" fillId="0" fontId="1" numFmtId="0" xfId="0" applyAlignment="1" applyBorder="1" applyFont="1">
      <alignment vertical="bottom"/>
    </xf>
    <xf borderId="254" fillId="0" fontId="49" numFmtId="0" xfId="0" applyAlignment="1" applyBorder="1" applyFont="1">
      <alignment readingOrder="0" vertical="bottom"/>
    </xf>
    <xf borderId="255" fillId="0" fontId="1" numFmtId="0" xfId="0" applyAlignment="1" applyBorder="1" applyFont="1">
      <alignment vertical="bottom"/>
    </xf>
    <xf borderId="256" fillId="0" fontId="1" numFmtId="164" xfId="0" applyBorder="1" applyFont="1" applyNumberFormat="1"/>
    <xf borderId="244" fillId="0" fontId="1" numFmtId="176" xfId="0" applyAlignment="1" applyBorder="1" applyFont="1" applyNumberFormat="1">
      <alignment vertical="bottom"/>
    </xf>
    <xf borderId="256" fillId="0" fontId="1" numFmtId="0" xfId="0" applyBorder="1" applyFont="1"/>
    <xf borderId="244" fillId="0" fontId="1" numFmtId="164" xfId="0" applyAlignment="1" applyBorder="1" applyFont="1" applyNumberFormat="1">
      <alignment vertical="bottom"/>
    </xf>
    <xf borderId="213" fillId="0" fontId="1" numFmtId="0" xfId="0" applyAlignment="1" applyBorder="1" applyFont="1">
      <alignment vertical="bottom"/>
    </xf>
    <xf borderId="257" fillId="0" fontId="1" numFmtId="0" xfId="0" applyAlignment="1" applyBorder="1" applyFont="1">
      <alignment vertical="bottom"/>
    </xf>
    <xf borderId="257" fillId="0" fontId="1" numFmtId="164" xfId="0" applyAlignment="1" applyBorder="1" applyFont="1" applyNumberFormat="1">
      <alignment vertical="bottom"/>
    </xf>
    <xf borderId="257" fillId="0" fontId="1" numFmtId="176" xfId="0" applyAlignment="1" applyBorder="1" applyFont="1" applyNumberFormat="1">
      <alignment vertical="bottom"/>
    </xf>
    <xf borderId="206" fillId="0" fontId="1" numFmtId="4" xfId="0" applyAlignment="1" applyBorder="1" applyFont="1" applyNumberFormat="1">
      <alignment vertical="bottom"/>
    </xf>
    <xf borderId="258" fillId="33" fontId="50" numFmtId="0" xfId="0" applyAlignment="1" applyBorder="1" applyFill="1" applyFont="1">
      <alignment horizontal="center" readingOrder="0" vertical="bottom"/>
    </xf>
    <xf borderId="259" fillId="0" fontId="4" numFmtId="0" xfId="0" applyBorder="1" applyFont="1"/>
    <xf borderId="260" fillId="0" fontId="4" numFmtId="0" xfId="0" applyBorder="1" applyFont="1"/>
    <xf borderId="261" fillId="34" fontId="28" numFmtId="164" xfId="0" applyAlignment="1" applyBorder="1" applyFill="1" applyFont="1" applyNumberFormat="1">
      <alignment vertical="bottom"/>
    </xf>
    <xf borderId="262" fillId="0" fontId="4" numFmtId="0" xfId="0" applyBorder="1" applyFont="1"/>
    <xf borderId="263" fillId="34" fontId="28" numFmtId="164" xfId="0" applyAlignment="1" applyBorder="1" applyFont="1" applyNumberFormat="1">
      <alignment horizontal="right" vertical="bottom"/>
    </xf>
    <xf borderId="264" fillId="34" fontId="1" numFmtId="164" xfId="0" applyAlignment="1" applyBorder="1" applyFont="1" applyNumberFormat="1">
      <alignment vertical="bottom"/>
    </xf>
    <xf borderId="263" fillId="34" fontId="28" numFmtId="164" xfId="0" applyAlignment="1" applyBorder="1" applyFont="1" applyNumberFormat="1">
      <alignment vertical="bottom"/>
    </xf>
    <xf borderId="263" fillId="34" fontId="1" numFmtId="164" xfId="0" applyAlignment="1" applyBorder="1" applyFont="1" applyNumberFormat="1">
      <alignment vertical="bottom"/>
    </xf>
    <xf borderId="262" fillId="34" fontId="28" numFmtId="164" xfId="0" applyAlignment="1" applyBorder="1" applyFont="1" applyNumberFormat="1">
      <alignment horizontal="right" vertical="bottom"/>
    </xf>
    <xf borderId="0" fillId="2" fontId="1" numFmtId="164" xfId="0" applyAlignment="1" applyFont="1" applyNumberFormat="1">
      <alignment vertical="bottom"/>
    </xf>
    <xf borderId="206" fillId="2" fontId="1" numFmtId="164" xfId="0" applyAlignment="1" applyBorder="1" applyFont="1" applyNumberFormat="1">
      <alignment vertical="bottom"/>
    </xf>
    <xf borderId="261" fillId="34" fontId="1" numFmtId="164" xfId="0" applyAlignment="1" applyBorder="1" applyFont="1" applyNumberFormat="1">
      <alignment vertical="bottom"/>
    </xf>
    <xf borderId="265" fillId="34" fontId="1" numFmtId="164" xfId="0" applyAlignment="1" applyBorder="1" applyFont="1" applyNumberFormat="1">
      <alignment vertical="bottom"/>
    </xf>
    <xf borderId="263" fillId="34" fontId="1" numFmtId="164" xfId="0" applyAlignment="1" applyBorder="1" applyFont="1" applyNumberFormat="1">
      <alignment readingOrder="0" vertical="bottom"/>
    </xf>
    <xf borderId="206" fillId="0" fontId="1" numFmtId="164" xfId="0" applyAlignment="1" applyBorder="1" applyFont="1" applyNumberFormat="1">
      <alignment vertical="bottom"/>
    </xf>
    <xf borderId="263" fillId="34" fontId="37" numFmtId="164" xfId="0" applyAlignment="1" applyBorder="1" applyFont="1" applyNumberFormat="1">
      <alignment horizontal="right" vertical="bottom"/>
    </xf>
    <xf borderId="262" fillId="34" fontId="37" numFmtId="164" xfId="0" applyAlignment="1" applyBorder="1" applyFont="1" applyNumberFormat="1">
      <alignment horizontal="right" vertical="bottom"/>
    </xf>
    <xf borderId="263" fillId="35" fontId="28" numFmtId="164" xfId="0" applyAlignment="1" applyBorder="1" applyFill="1" applyFont="1" applyNumberFormat="1">
      <alignment horizontal="right" vertical="bottom"/>
    </xf>
    <xf borderId="0" fillId="34" fontId="1" numFmtId="164" xfId="0" applyAlignment="1" applyFont="1" applyNumberFormat="1">
      <alignment vertical="bottom"/>
    </xf>
    <xf borderId="266" fillId="34" fontId="1" numFmtId="164" xfId="0" applyAlignment="1" applyBorder="1" applyFont="1" applyNumberFormat="1">
      <alignment readingOrder="0" vertical="bottom"/>
    </xf>
    <xf borderId="265" fillId="5" fontId="28" numFmtId="164" xfId="0" applyAlignment="1" applyBorder="1" applyFont="1" applyNumberFormat="1">
      <alignment horizontal="right" vertical="bottom"/>
    </xf>
    <xf borderId="240" fillId="34" fontId="1" numFmtId="164" xfId="0" applyAlignment="1" applyBorder="1" applyFont="1" applyNumberFormat="1">
      <alignment horizontal="right" vertical="bottom"/>
    </xf>
    <xf borderId="265" fillId="35" fontId="28" numFmtId="164" xfId="0" applyAlignment="1" applyBorder="1" applyFont="1" applyNumberFormat="1">
      <alignment vertical="bottom"/>
    </xf>
    <xf borderId="263" fillId="0" fontId="4" numFmtId="0" xfId="0" applyBorder="1" applyFont="1"/>
    <xf borderId="240" fillId="34" fontId="1" numFmtId="164" xfId="0" applyAlignment="1" applyBorder="1" applyFont="1" applyNumberFormat="1">
      <alignment vertical="bottom"/>
    </xf>
    <xf borderId="264" fillId="35" fontId="28" numFmtId="164" xfId="0" applyAlignment="1" applyBorder="1" applyFont="1" applyNumberFormat="1">
      <alignment horizontal="center" vertical="bottom"/>
    </xf>
    <xf borderId="0" fillId="23" fontId="28" numFmtId="164" xfId="0" applyAlignment="1" applyFont="1" applyNumberFormat="1">
      <alignment horizontal="center" vertical="bottom"/>
    </xf>
    <xf borderId="264" fillId="35" fontId="1" numFmtId="164" xfId="0" applyAlignment="1" applyBorder="1" applyFont="1" applyNumberFormat="1">
      <alignment vertical="bottom"/>
    </xf>
    <xf borderId="267" fillId="34" fontId="1" numFmtId="164" xfId="0" applyAlignment="1" applyBorder="1" applyFont="1" applyNumberFormat="1">
      <alignment vertical="bottom"/>
    </xf>
    <xf borderId="268" fillId="34" fontId="28" numFmtId="164" xfId="0" applyAlignment="1" applyBorder="1" applyFont="1" applyNumberFormat="1">
      <alignment horizontal="right" vertical="bottom"/>
    </xf>
    <xf borderId="268" fillId="35" fontId="1" numFmtId="164" xfId="0" applyAlignment="1" applyBorder="1" applyFont="1" applyNumberFormat="1">
      <alignment horizontal="right" vertical="bottom"/>
    </xf>
    <xf borderId="259" fillId="34" fontId="1" numFmtId="164" xfId="0" applyAlignment="1" applyBorder="1" applyFont="1" applyNumberFormat="1">
      <alignment vertical="bottom"/>
    </xf>
    <xf borderId="269" fillId="34" fontId="1" numFmtId="164" xfId="0" applyAlignment="1" applyBorder="1" applyFont="1" applyNumberFormat="1">
      <alignment vertical="bottom"/>
    </xf>
    <xf borderId="68" fillId="0" fontId="1" numFmtId="164" xfId="0" applyAlignment="1" applyBorder="1" applyFont="1" applyNumberFormat="1">
      <alignment vertical="bottom"/>
    </xf>
    <xf borderId="120" fillId="2" fontId="1" numFmtId="164" xfId="0" applyAlignment="1" applyBorder="1" applyFont="1" applyNumberFormat="1">
      <alignment vertical="bottom"/>
    </xf>
    <xf borderId="174" fillId="36" fontId="28" numFmtId="164" xfId="0" applyAlignment="1" applyBorder="1" applyFill="1" applyFont="1" applyNumberFormat="1">
      <alignment horizontal="center" vertical="bottom"/>
    </xf>
    <xf borderId="174" fillId="30" fontId="21" numFmtId="164" xfId="0" applyAlignment="1" applyBorder="1" applyFont="1" applyNumberFormat="1">
      <alignment horizontal="center" vertical="bottom"/>
    </xf>
    <xf borderId="270" fillId="36" fontId="5" numFmtId="164" xfId="0" applyAlignment="1" applyBorder="1" applyFont="1" applyNumberFormat="1">
      <alignment horizontal="right" readingOrder="0" vertical="bottom"/>
    </xf>
    <xf borderId="263" fillId="36" fontId="5" numFmtId="164" xfId="0" applyAlignment="1" applyBorder="1" applyFont="1" applyNumberFormat="1">
      <alignment horizontal="right" readingOrder="0" vertical="bottom"/>
    </xf>
    <xf borderId="0" fillId="2" fontId="49" numFmtId="164" xfId="0" applyAlignment="1" applyFont="1" applyNumberFormat="1">
      <alignment readingOrder="0" vertical="bottom"/>
    </xf>
    <xf borderId="263" fillId="30" fontId="2" numFmtId="164" xfId="0" applyAlignment="1" applyBorder="1" applyFont="1" applyNumberFormat="1">
      <alignment horizontal="center" vertical="bottom"/>
    </xf>
    <xf borderId="263" fillId="30" fontId="5" numFmtId="164" xfId="0" applyAlignment="1" applyBorder="1" applyFont="1" applyNumberFormat="1">
      <alignment horizontal="center" vertical="bottom"/>
    </xf>
    <xf borderId="263" fillId="30" fontId="2" numFmtId="164" xfId="0" applyAlignment="1" applyBorder="1" applyFont="1" applyNumberFormat="1">
      <alignment horizontal="center" readingOrder="0" vertical="bottom"/>
    </xf>
    <xf borderId="270" fillId="36" fontId="5" numFmtId="164" xfId="0" applyAlignment="1" applyBorder="1" applyFont="1" applyNumberFormat="1">
      <alignment horizontal="right" vertical="bottom"/>
    </xf>
    <xf borderId="0" fillId="2" fontId="1" numFmtId="164" xfId="0" applyAlignment="1" applyFont="1" applyNumberFormat="1">
      <alignment readingOrder="0" vertical="bottom"/>
    </xf>
    <xf borderId="265" fillId="30" fontId="5" numFmtId="164" xfId="0" applyAlignment="1" applyBorder="1" applyFont="1" applyNumberFormat="1">
      <alignment horizontal="center" readingOrder="0" vertical="bottom"/>
    </xf>
    <xf borderId="174" fillId="2" fontId="1" numFmtId="164" xfId="0" applyAlignment="1" applyBorder="1" applyFont="1" applyNumberFormat="1">
      <alignment horizontal="center"/>
    </xf>
    <xf borderId="265" fillId="30" fontId="5" numFmtId="164" xfId="0" applyAlignment="1" applyBorder="1" applyFont="1" applyNumberFormat="1">
      <alignment horizontal="center" vertical="bottom"/>
    </xf>
    <xf borderId="68" fillId="0" fontId="1" numFmtId="0" xfId="0" applyAlignment="1" applyBorder="1" applyFont="1">
      <alignment horizontal="center"/>
    </xf>
    <xf borderId="120" fillId="2" fontId="1" numFmtId="164" xfId="0" applyAlignment="1" applyBorder="1" applyFont="1" applyNumberFormat="1">
      <alignment horizontal="center"/>
    </xf>
    <xf borderId="264" fillId="30" fontId="2" numFmtId="164" xfId="0" applyAlignment="1" applyBorder="1" applyFont="1" applyNumberFormat="1">
      <alignment horizontal="center" vertical="bottom"/>
    </xf>
    <xf borderId="0" fillId="30" fontId="5" numFmtId="164" xfId="0" applyAlignment="1" applyFont="1" applyNumberFormat="1">
      <alignment horizontal="center" vertical="bottom"/>
    </xf>
    <xf borderId="84" fillId="2" fontId="1" numFmtId="164" xfId="0" applyAlignment="1" applyBorder="1" applyFont="1" applyNumberFormat="1">
      <alignment horizontal="center"/>
    </xf>
    <xf borderId="179" fillId="2" fontId="1" numFmtId="164" xfId="0" applyBorder="1" applyFont="1" applyNumberFormat="1"/>
    <xf borderId="0" fillId="0" fontId="49" numFmtId="164" xfId="0" applyAlignment="1" applyFont="1" applyNumberFormat="1">
      <alignment readingOrder="0" vertical="bottom"/>
    </xf>
    <xf borderId="174" fillId="10" fontId="21" numFmtId="164" xfId="0" applyAlignment="1" applyBorder="1" applyFont="1" applyNumberFormat="1">
      <alignment horizontal="center" vertical="bottom"/>
    </xf>
    <xf borderId="271" fillId="0" fontId="1" numFmtId="0" xfId="0" applyAlignment="1" applyBorder="1" applyFont="1">
      <alignment horizontal="center"/>
    </xf>
    <xf borderId="272" fillId="2" fontId="1" numFmtId="164" xfId="0" applyAlignment="1" applyBorder="1" applyFont="1" applyNumberFormat="1">
      <alignment horizontal="center"/>
    </xf>
    <xf borderId="201" fillId="0" fontId="1" numFmtId="164" xfId="0" applyAlignment="1" applyBorder="1" applyFont="1" applyNumberFormat="1">
      <alignment vertical="bottom"/>
    </xf>
    <xf borderId="263" fillId="36" fontId="5" numFmtId="164" xfId="0" applyAlignment="1" applyBorder="1" applyFont="1" applyNumberFormat="1">
      <alignment horizontal="right" vertical="bottom"/>
    </xf>
    <xf borderId="264" fillId="0" fontId="1" numFmtId="164" xfId="0" applyAlignment="1" applyBorder="1" applyFont="1" applyNumberFormat="1">
      <alignment vertical="bottom"/>
    </xf>
    <xf borderId="263" fillId="10" fontId="2" numFmtId="164" xfId="0" applyAlignment="1" applyBorder="1" applyFont="1" applyNumberFormat="1">
      <alignment horizontal="center" vertical="bottom"/>
    </xf>
    <xf borderId="265" fillId="10" fontId="5" numFmtId="164" xfId="0" applyAlignment="1" applyBorder="1" applyFont="1" applyNumberFormat="1">
      <alignment horizontal="center" vertical="bottom"/>
    </xf>
    <xf borderId="64" fillId="2" fontId="1" numFmtId="164" xfId="0" applyAlignment="1" applyBorder="1" applyFont="1" applyNumberFormat="1">
      <alignment horizontal="center"/>
    </xf>
    <xf borderId="213" fillId="2" fontId="1" numFmtId="164" xfId="0" applyBorder="1" applyFont="1" applyNumberFormat="1"/>
    <xf borderId="0" fillId="2" fontId="28" numFmtId="164" xfId="0" applyAlignment="1" applyFont="1" applyNumberFormat="1">
      <alignment horizontal="right" vertical="bottom"/>
    </xf>
    <xf borderId="256" fillId="0" fontId="1" numFmtId="0" xfId="0" applyAlignment="1" applyBorder="1" applyFont="1">
      <alignment vertical="bottom"/>
    </xf>
    <xf borderId="263" fillId="10" fontId="2" numFmtId="164" xfId="0" applyAlignment="1" applyBorder="1" applyFont="1" applyNumberFormat="1">
      <alignment horizontal="center" readingOrder="0" vertical="bottom"/>
    </xf>
    <xf borderId="263" fillId="10" fontId="5" numFmtId="164" xfId="0" applyAlignment="1" applyBorder="1" applyFont="1" applyNumberFormat="1">
      <alignment horizontal="center" vertical="bottom"/>
    </xf>
    <xf borderId="120" fillId="2" fontId="1" numFmtId="0" xfId="0" applyAlignment="1" applyBorder="1" applyFont="1">
      <alignment vertical="bottom"/>
    </xf>
    <xf borderId="148" fillId="2" fontId="51" numFmtId="164" xfId="0" applyAlignment="1" applyBorder="1" applyFont="1" applyNumberFormat="1">
      <alignment readingOrder="0" vertical="bottom"/>
    </xf>
    <xf borderId="120" fillId="0" fontId="51" numFmtId="164" xfId="0" applyAlignment="1" applyBorder="1" applyFont="1" applyNumberFormat="1">
      <alignment horizontal="right" vertical="bottom"/>
    </xf>
    <xf borderId="253" fillId="10" fontId="5" numFmtId="164" xfId="0" applyAlignment="1" applyBorder="1" applyFont="1" applyNumberFormat="1">
      <alignment horizontal="center" readingOrder="0" vertical="bottom"/>
    </xf>
    <xf borderId="256" fillId="0" fontId="1" numFmtId="164" xfId="0" applyAlignment="1" applyBorder="1" applyFont="1" applyNumberFormat="1">
      <alignment vertical="bottom"/>
    </xf>
    <xf borderId="213" fillId="0" fontId="51" numFmtId="164" xfId="0" applyAlignment="1" applyBorder="1" applyFont="1" applyNumberFormat="1">
      <alignment horizontal="right" vertical="bottom"/>
    </xf>
    <xf borderId="120" fillId="2" fontId="1" numFmtId="176" xfId="0" applyAlignment="1" applyBorder="1" applyFont="1" applyNumberFormat="1">
      <alignment horizontal="center" vertical="bottom"/>
    </xf>
    <xf borderId="86" fillId="2" fontId="1" numFmtId="164" xfId="0" applyAlignment="1" applyBorder="1" applyFont="1" applyNumberFormat="1">
      <alignment vertical="bottom"/>
    </xf>
    <xf borderId="120" fillId="0" fontId="1" numFmtId="164" xfId="0" applyAlignment="1" applyBorder="1" applyFont="1" applyNumberFormat="1">
      <alignment vertical="bottom"/>
    </xf>
    <xf borderId="264" fillId="10" fontId="2" numFmtId="164" xfId="0" applyAlignment="1" applyBorder="1" applyFont="1" applyNumberFormat="1">
      <alignment horizontal="center" vertical="bottom"/>
    </xf>
    <xf borderId="264" fillId="10" fontId="5" numFmtId="164" xfId="0" applyAlignment="1" applyBorder="1" applyFont="1" applyNumberFormat="1">
      <alignment horizontal="center" vertical="bottom"/>
    </xf>
    <xf borderId="68" fillId="2" fontId="1" numFmtId="164" xfId="0" applyAlignment="1" applyBorder="1" applyFont="1" applyNumberFormat="1">
      <alignment vertical="bottom"/>
    </xf>
    <xf borderId="244" fillId="2" fontId="5" numFmtId="164" xfId="0" applyAlignment="1" applyBorder="1" applyFont="1" applyNumberFormat="1">
      <alignment horizontal="center" vertical="bottom"/>
    </xf>
    <xf borderId="213" fillId="0" fontId="1" numFmtId="164" xfId="0" applyAlignment="1" applyBorder="1" applyFont="1" applyNumberFormat="1">
      <alignment vertical="bottom"/>
    </xf>
    <xf borderId="68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273" fillId="0" fontId="1" numFmtId="164" xfId="0" applyAlignment="1" applyBorder="1" applyFont="1" applyNumberFormat="1">
      <alignment horizontal="right" vertical="bottom"/>
    </xf>
    <xf borderId="18" fillId="0" fontId="51" numFmtId="164" xfId="0" applyAlignment="1" applyBorder="1" applyFont="1" applyNumberFormat="1">
      <alignment horizontal="right" vertical="bottom"/>
    </xf>
    <xf borderId="120" fillId="0" fontId="1" numFmtId="0" xfId="0" applyAlignment="1" applyBorder="1" applyFont="1">
      <alignment vertical="bottom"/>
    </xf>
    <xf borderId="0" fillId="0" fontId="51" numFmtId="0" xfId="0" applyAlignment="1" applyFont="1">
      <alignment horizontal="right" vertical="bottom"/>
    </xf>
    <xf borderId="264" fillId="0" fontId="1" numFmtId="0" xfId="0" applyAlignment="1" applyBorder="1" applyFont="1">
      <alignment vertical="bottom"/>
    </xf>
    <xf borderId="253" fillId="30" fontId="5" numFmtId="164" xfId="0" applyAlignment="1" applyBorder="1" applyFont="1" applyNumberFormat="1">
      <alignment horizontal="center" readingOrder="0" vertical="bottom"/>
    </xf>
    <xf borderId="274" fillId="0" fontId="1" numFmtId="0" xfId="0" applyAlignment="1" applyBorder="1" applyFont="1">
      <alignment vertical="bottom"/>
    </xf>
    <xf borderId="259" fillId="0" fontId="1" numFmtId="0" xfId="0" applyAlignment="1" applyBorder="1" applyFont="1">
      <alignment vertical="bottom"/>
    </xf>
    <xf borderId="259" fillId="0" fontId="1" numFmtId="164" xfId="0" applyAlignment="1" applyBorder="1" applyFont="1" applyNumberFormat="1">
      <alignment vertical="bottom"/>
    </xf>
    <xf borderId="275" fillId="0" fontId="1" numFmtId="0" xfId="0" applyAlignment="1" applyBorder="1" applyFont="1">
      <alignment vertical="bottom"/>
    </xf>
    <xf borderId="276" fillId="0" fontId="1" numFmtId="0" xfId="0" applyAlignment="1" applyBorder="1" applyFont="1">
      <alignment vertical="bottom"/>
    </xf>
    <xf borderId="277" fillId="0" fontId="1" numFmtId="0" xfId="0" applyAlignment="1" applyBorder="1" applyFont="1">
      <alignment vertical="bottom"/>
    </xf>
    <xf borderId="278" fillId="0" fontId="1" numFmtId="0" xfId="0" applyAlignment="1" applyBorder="1" applyFont="1">
      <alignment vertical="bottom"/>
    </xf>
    <xf borderId="278" fillId="0" fontId="1" numFmtId="0" xfId="0" applyBorder="1" applyFont="1"/>
    <xf borderId="279" fillId="0" fontId="1" numFmtId="0" xfId="0" applyAlignment="1" applyBorder="1" applyFont="1">
      <alignment vertical="bottom"/>
    </xf>
    <xf borderId="280" fillId="0" fontId="1" numFmtId="0" xfId="0" applyAlignment="1" applyBorder="1" applyFont="1">
      <alignment vertical="bottom"/>
    </xf>
    <xf borderId="212" fillId="30" fontId="5" numFmtId="164" xfId="0" applyAlignment="1" applyBorder="1" applyFont="1" applyNumberFormat="1">
      <alignment horizontal="center" vertical="bottom"/>
    </xf>
    <xf borderId="62" fillId="10" fontId="1" numFmtId="164" xfId="0" applyAlignment="1" applyBorder="1" applyFont="1" applyNumberFormat="1">
      <alignment horizontal="center" vertical="center"/>
    </xf>
    <xf borderId="174" fillId="23" fontId="37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240" fillId="0" fontId="1" numFmtId="164" xfId="0" applyAlignment="1" applyBorder="1" applyFont="1" applyNumberFormat="1">
      <alignment horizontal="center" readingOrder="0" vertical="bottom"/>
    </xf>
    <xf borderId="241" fillId="26" fontId="1" numFmtId="164" xfId="0" applyAlignment="1" applyBorder="1" applyFont="1" applyNumberFormat="1">
      <alignment horizontal="center" vertical="bottom"/>
    </xf>
    <xf borderId="201" fillId="2" fontId="1" numFmtId="0" xfId="0" applyAlignment="1" applyBorder="1" applyFont="1">
      <alignment horizontal="center" readingOrder="0" vertical="center"/>
    </xf>
    <xf borderId="13" fillId="0" fontId="1" numFmtId="176" xfId="0" applyAlignment="1" applyBorder="1" applyFont="1" applyNumberFormat="1">
      <alignment horizontal="center" readingOrder="0" vertical="center"/>
    </xf>
    <xf borderId="13" fillId="0" fontId="1" numFmtId="0" xfId="0" applyAlignment="1" applyBorder="1" applyFont="1">
      <alignment horizontal="center" vertical="center"/>
    </xf>
    <xf borderId="179" fillId="2" fontId="1" numFmtId="0" xfId="0" applyAlignment="1" applyBorder="1" applyFont="1">
      <alignment horizontal="center" readingOrder="0" vertical="center"/>
    </xf>
    <xf borderId="13" fillId="0" fontId="1" numFmtId="176" xfId="0" applyAlignment="1" applyBorder="1" applyFont="1" applyNumberFormat="1">
      <alignment horizontal="center" vertical="center"/>
    </xf>
    <xf borderId="179" fillId="2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readingOrder="0" vertical="center"/>
    </xf>
    <xf borderId="13" fillId="0" fontId="49" numFmtId="164" xfId="0" applyAlignment="1" applyBorder="1" applyFont="1" applyNumberFormat="1">
      <alignment horizontal="center" vertical="center"/>
    </xf>
    <xf borderId="179" fillId="2" fontId="49" numFmtId="0" xfId="0" applyAlignment="1" applyBorder="1" applyFont="1">
      <alignment horizontal="center" readingOrder="0" vertical="center"/>
    </xf>
    <xf borderId="253" fillId="0" fontId="1" numFmtId="164" xfId="0" applyAlignment="1" applyBorder="1" applyFont="1" applyNumberFormat="1">
      <alignment horizontal="center" readingOrder="0" vertical="center"/>
    </xf>
    <xf borderId="253" fillId="0" fontId="1" numFmtId="0" xfId="0" applyAlignment="1" applyBorder="1" applyFont="1">
      <alignment horizontal="center" vertical="center"/>
    </xf>
    <xf borderId="254" fillId="0" fontId="1" numFmtId="0" xfId="0" applyAlignment="1" applyBorder="1" applyFont="1">
      <alignment horizontal="center" readingOrder="0" vertical="center"/>
    </xf>
    <xf borderId="255" fillId="0" fontId="1" numFmtId="0" xfId="0" applyAlignment="1" applyBorder="1" applyFont="1">
      <alignment readingOrder="0" vertical="bottom"/>
    </xf>
    <xf borderId="256" fillId="0" fontId="1" numFmtId="164" xfId="0" applyAlignment="1" applyBorder="1" applyFont="1" applyNumberFormat="1">
      <alignment horizontal="center" readingOrder="0" vertical="center"/>
    </xf>
    <xf borderId="244" fillId="0" fontId="1" numFmtId="176" xfId="0" applyAlignment="1" applyBorder="1" applyFont="1" applyNumberFormat="1">
      <alignment horizontal="center" readingOrder="0" vertical="center"/>
    </xf>
    <xf borderId="256" fillId="0" fontId="1" numFmtId="0" xfId="0" applyAlignment="1" applyBorder="1" applyFont="1">
      <alignment horizontal="center" vertical="center"/>
    </xf>
    <xf borderId="244" fillId="0" fontId="1" numFmtId="164" xfId="0" applyAlignment="1" applyBorder="1" applyFont="1" applyNumberFormat="1">
      <alignment horizontal="center" vertical="center"/>
    </xf>
    <xf borderId="213" fillId="0" fontId="49" numFmtId="0" xfId="0" applyAlignment="1" applyBorder="1" applyFont="1">
      <alignment horizontal="center" readingOrder="0" vertical="center"/>
    </xf>
    <xf borderId="0" fillId="23" fontId="28" numFmtId="164" xfId="0" applyAlignment="1" applyFont="1" applyNumberFormat="1">
      <alignment horizontal="center" readingOrder="0" vertical="bottom"/>
    </xf>
    <xf borderId="263" fillId="30" fontId="45" numFmtId="164" xfId="0" applyAlignment="1" applyBorder="1" applyFont="1" applyNumberFormat="1">
      <alignment horizontal="center" vertical="bottom"/>
    </xf>
    <xf borderId="263" fillId="10" fontId="45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readingOrder="0" vertical="center"/>
    </xf>
    <xf borderId="206" fillId="0" fontId="1" numFmtId="0" xfId="0" applyAlignment="1" applyBorder="1" applyFont="1">
      <alignment horizontal="center" readingOrder="0" vertical="center"/>
    </xf>
    <xf borderId="0" fillId="2" fontId="1" numFmtId="176" xfId="0" applyAlignment="1" applyFont="1" applyNumberFormat="1">
      <alignment horizontal="center" vertical="bottom"/>
    </xf>
    <xf borderId="0" fillId="0" fontId="13" numFmtId="177" xfId="0" applyAlignment="1" applyFont="1" applyNumberFormat="1">
      <alignment horizontal="center" readingOrder="0" vertical="center"/>
    </xf>
    <xf borderId="206" fillId="0" fontId="1" numFmtId="0" xfId="0" applyAlignment="1" applyBorder="1" applyFont="1">
      <alignment horizontal="center" vertical="center"/>
    </xf>
    <xf borderId="206" fillId="0" fontId="1" numFmtId="177" xfId="0" applyAlignment="1" applyBorder="1" applyFont="1" applyNumberFormat="1">
      <alignment horizontal="center" readingOrder="0" vertical="center"/>
    </xf>
    <xf borderId="244" fillId="2" fontId="5" numFmtId="164" xfId="0" applyAlignment="1" applyBorder="1" applyFont="1" applyNumberFormat="1">
      <alignment horizontal="center" readingOrder="0" vertical="bottom"/>
    </xf>
    <xf borderId="218" fillId="30" fontId="1" numFmtId="164" xfId="0" applyAlignment="1" applyBorder="1" applyFont="1" applyNumberFormat="1">
      <alignment horizontal="center" readingOrder="0" vertical="center"/>
    </xf>
    <xf borderId="219" fillId="30" fontId="1" numFmtId="164" xfId="0" applyAlignment="1" applyBorder="1" applyFont="1" applyNumberFormat="1">
      <alignment horizontal="center" readingOrder="0" vertical="center"/>
    </xf>
    <xf borderId="220" fillId="30" fontId="1" numFmtId="164" xfId="0" applyAlignment="1" applyBorder="1" applyFont="1" applyNumberFormat="1">
      <alignment horizontal="center" readingOrder="0" vertical="center"/>
    </xf>
    <xf borderId="254" fillId="0" fontId="49" numFmtId="0" xfId="0" applyAlignment="1" applyBorder="1" applyFont="1">
      <alignment horizontal="center" readingOrder="0" vertical="center"/>
    </xf>
    <xf borderId="0" fillId="23" fontId="43" numFmtId="164" xfId="0" applyAlignment="1" applyFont="1" applyNumberFormat="1">
      <alignment horizontal="center" vertical="bottom"/>
    </xf>
    <xf borderId="270" fillId="36" fontId="45" numFmtId="164" xfId="0" applyAlignment="1" applyBorder="1" applyFont="1" applyNumberFormat="1">
      <alignment horizontal="right" readingOrder="0" vertical="bottom"/>
    </xf>
    <xf borderId="263" fillId="36" fontId="45" numFmtId="164" xfId="0" applyAlignment="1" applyBorder="1" applyFont="1" applyNumberFormat="1">
      <alignment horizontal="right" readingOrder="0" vertical="bottom"/>
    </xf>
    <xf borderId="270" fillId="36" fontId="45" numFmtId="164" xfId="0" applyAlignment="1" applyBorder="1" applyFont="1" applyNumberFormat="1">
      <alignment horizontal="right" vertical="bottom"/>
    </xf>
    <xf borderId="120" fillId="0" fontId="51" numFmtId="164" xfId="0" applyAlignment="1" applyBorder="1" applyFont="1" applyNumberFormat="1">
      <alignment horizontal="right" readingOrder="0" vertical="bottom"/>
    </xf>
    <xf borderId="148" fillId="2" fontId="52" numFmtId="164" xfId="0" applyAlignment="1" applyBorder="1" applyFont="1" applyNumberFormat="1">
      <alignment readingOrder="0" vertical="bottom"/>
    </xf>
    <xf borderId="248" fillId="23" fontId="37" numFmtId="164" xfId="0" applyAlignment="1" applyBorder="1" applyFont="1" applyNumberFormat="1">
      <alignment horizontal="center" vertical="center"/>
    </xf>
    <xf borderId="174" fillId="2" fontId="51" numFmtId="164" xfId="0" applyAlignment="1" applyBorder="1" applyFont="1" applyNumberFormat="1">
      <alignment readingOrder="0" vertical="bottom"/>
    </xf>
    <xf borderId="176" fillId="10" fontId="28" numFmtId="164" xfId="0" applyAlignment="1" applyBorder="1" applyFont="1" applyNumberFormat="1">
      <alignment horizontal="center" readingOrder="0" vertical="bottom"/>
    </xf>
    <xf borderId="240" fillId="0" fontId="1" numFmtId="164" xfId="0" applyAlignment="1" applyBorder="1" applyFont="1" applyNumberFormat="1">
      <alignment horizontal="center" readingOrder="0" vertical="center"/>
    </xf>
    <xf borderId="6" fillId="2" fontId="1" numFmtId="164" xfId="0" applyAlignment="1" applyBorder="1" applyFont="1" applyNumberFormat="1">
      <alignment horizontal="center" vertical="bottom"/>
    </xf>
    <xf borderId="0" fillId="2" fontId="49" numFmtId="164" xfId="0" applyAlignment="1" applyFont="1" applyNumberFormat="1">
      <alignment horizontal="left" readingOrder="0" vertical="bottom"/>
    </xf>
    <xf borderId="174" fillId="2" fontId="51" numFmtId="164" xfId="0" applyAlignment="1" applyBorder="1" applyFont="1" applyNumberFormat="1">
      <alignment horizontal="right" readingOrder="0" vertical="bottom"/>
    </xf>
    <xf borderId="0" fillId="2" fontId="1" numFmtId="164" xfId="0" applyAlignment="1" applyFont="1" applyNumberFormat="1">
      <alignment horizontal="left" readingOrder="0" vertical="bottom"/>
    </xf>
    <xf borderId="212" fillId="30" fontId="45" numFmtId="164" xfId="0" applyAlignment="1" applyBorder="1" applyFont="1" applyNumberFormat="1">
      <alignment horizontal="center" readingOrder="0" vertical="bottom"/>
    </xf>
    <xf borderId="212" fillId="10" fontId="43" numFmtId="164" xfId="0" applyAlignment="1" applyBorder="1" applyFont="1" applyNumberFormat="1">
      <alignment horizontal="center" readingOrder="0" vertical="bottom"/>
    </xf>
    <xf borderId="219" fillId="10" fontId="43" numFmtId="164" xfId="0" applyAlignment="1" applyBorder="1" applyFont="1" applyNumberFormat="1">
      <alignment horizontal="center" readingOrder="0" vertical="bottom"/>
    </xf>
    <xf borderId="219" fillId="10" fontId="37" numFmtId="164" xfId="0" applyAlignment="1" applyBorder="1" applyFont="1" applyNumberFormat="1">
      <alignment horizontal="center" readingOrder="0" vertical="center"/>
    </xf>
    <xf borderId="0" fillId="2" fontId="49" numFmtId="4" xfId="0" applyAlignment="1" applyFont="1" applyNumberFormat="1">
      <alignment horizontal="center" readingOrder="0" vertical="bottom"/>
    </xf>
    <xf borderId="206" fillId="2" fontId="49" numFmtId="0" xfId="0" applyAlignment="1" applyBorder="1" applyFont="1">
      <alignment readingOrder="0" vertical="bottom"/>
    </xf>
    <xf borderId="0" fillId="0" fontId="53" numFmtId="0" xfId="0" applyAlignment="1" applyFont="1">
      <alignment readingOrder="0"/>
    </xf>
    <xf borderId="206" fillId="2" fontId="49" numFmtId="4" xfId="0" applyAlignment="1" applyBorder="1" applyFont="1" applyNumberFormat="1">
      <alignment readingOrder="0" vertical="bottom"/>
    </xf>
    <xf borderId="0" fillId="2" fontId="1" numFmtId="0" xfId="0" applyAlignment="1" applyFont="1">
      <alignment horizontal="left" readingOrder="0" vertical="bottom"/>
    </xf>
    <xf borderId="0" fillId="2" fontId="1" numFmtId="176" xfId="0" applyAlignment="1" applyFont="1" applyNumberFormat="1">
      <alignment horizontal="left" vertical="bottom"/>
    </xf>
    <xf borderId="0" fillId="2" fontId="1" numFmtId="0" xfId="0" applyAlignment="1" applyFont="1">
      <alignment horizontal="left" vertical="bottom"/>
    </xf>
    <xf borderId="0" fillId="2" fontId="1" numFmtId="4" xfId="0" applyAlignment="1" applyFont="1" applyNumberFormat="1">
      <alignment horizontal="center" readingOrder="0" vertical="bottom"/>
    </xf>
    <xf borderId="177" fillId="35" fontId="1" numFmtId="0" xfId="0" applyAlignment="1" applyBorder="1" applyFont="1">
      <alignment readingOrder="0" vertical="bottom"/>
    </xf>
    <xf borderId="13" fillId="35" fontId="1" numFmtId="164" xfId="0" applyAlignment="1" applyBorder="1" applyFont="1" applyNumberFormat="1">
      <alignment horizontal="center" readingOrder="0" vertical="center"/>
    </xf>
    <xf borderId="13" fillId="35" fontId="1" numFmtId="176" xfId="0" applyAlignment="1" applyBorder="1" applyFont="1" applyNumberFormat="1">
      <alignment horizontal="center" readingOrder="0" vertical="center"/>
    </xf>
    <xf borderId="13" fillId="35" fontId="1" numFmtId="0" xfId="0" applyAlignment="1" applyBorder="1" applyFont="1">
      <alignment horizontal="center" vertical="center"/>
    </xf>
    <xf borderId="13" fillId="35" fontId="1" numFmtId="164" xfId="0" applyAlignment="1" applyBorder="1" applyFont="1" applyNumberFormat="1">
      <alignment horizontal="center" vertical="center"/>
    </xf>
    <xf borderId="179" fillId="35" fontId="1" numFmtId="0" xfId="0" applyAlignment="1" applyBorder="1" applyFont="1">
      <alignment horizontal="center" readingOrder="0" vertical="center"/>
    </xf>
    <xf borderId="0" fillId="35" fontId="1" numFmtId="164" xfId="0" applyAlignment="1" applyFont="1" applyNumberFormat="1">
      <alignment horizontal="center" readingOrder="0" vertical="center"/>
    </xf>
    <xf borderId="0" fillId="35" fontId="1" numFmtId="0" xfId="0" applyAlignment="1" applyFont="1">
      <alignment horizontal="center" readingOrder="0" vertical="center"/>
    </xf>
    <xf borderId="0" fillId="0" fontId="5" numFmtId="0" xfId="0" applyAlignment="1" applyFont="1">
      <alignment vertical="bottom"/>
    </xf>
    <xf borderId="0" fillId="0" fontId="54" numFmtId="0" xfId="0" applyAlignment="1" applyFont="1">
      <alignment horizontal="center"/>
    </xf>
    <xf borderId="0" fillId="0" fontId="5" numFmtId="10" xfId="0" applyAlignment="1" applyFont="1" applyNumberFormat="1">
      <alignment vertical="bottom"/>
    </xf>
    <xf borderId="281" fillId="2" fontId="5" numFmtId="178" xfId="0" applyAlignment="1" applyBorder="1" applyFont="1" applyNumberFormat="1">
      <alignment vertical="top"/>
    </xf>
    <xf borderId="0" fillId="0" fontId="51" numFmtId="0" xfId="0" applyAlignment="1" applyFont="1">
      <alignment vertical="bottom"/>
    </xf>
    <xf borderId="0" fillId="0" fontId="5" numFmtId="0" xfId="0" applyFont="1"/>
    <xf borderId="282" fillId="37" fontId="55" numFmtId="0" xfId="0" applyBorder="1" applyFill="1" applyFont="1"/>
    <xf borderId="283" fillId="37" fontId="55" numFmtId="4" xfId="0" applyAlignment="1" applyBorder="1" applyFont="1" applyNumberFormat="1">
      <alignment horizontal="right"/>
    </xf>
    <xf borderId="282" fillId="38" fontId="55" numFmtId="0" xfId="0" applyBorder="1" applyFill="1" applyFont="1"/>
    <xf borderId="284" fillId="38" fontId="5" numFmtId="10" xfId="0" applyBorder="1" applyFont="1" applyNumberFormat="1"/>
    <xf borderId="283" fillId="38" fontId="55" numFmtId="10" xfId="0" applyAlignment="1" applyBorder="1" applyFont="1" applyNumberFormat="1">
      <alignment horizontal="right"/>
    </xf>
    <xf borderId="285" fillId="33" fontId="56" numFmtId="0" xfId="0" applyAlignment="1" applyBorder="1" applyFont="1">
      <alignment vertical="top"/>
    </xf>
    <xf borderId="286" fillId="33" fontId="56" numFmtId="178" xfId="0" applyAlignment="1" applyBorder="1" applyFont="1" applyNumberFormat="1">
      <alignment horizontal="right" vertical="top"/>
    </xf>
    <xf borderId="0" fillId="0" fontId="51" numFmtId="0" xfId="0" applyFont="1"/>
    <xf borderId="0" fillId="0" fontId="51" numFmtId="0" xfId="0" applyAlignment="1" applyFont="1">
      <alignment horizontal="right"/>
    </xf>
    <xf borderId="287" fillId="37" fontId="57" numFmtId="0" xfId="0" applyBorder="1" applyFont="1"/>
    <xf borderId="288" fillId="37" fontId="57" numFmtId="0" xfId="0" applyAlignment="1" applyBorder="1" applyFont="1">
      <alignment horizontal="right"/>
    </xf>
    <xf borderId="287" fillId="38" fontId="57" numFmtId="0" xfId="0" applyBorder="1" applyFont="1"/>
    <xf borderId="3" fillId="38" fontId="5" numFmtId="0" xfId="0" applyBorder="1" applyFont="1"/>
    <xf borderId="288" fillId="38" fontId="57" numFmtId="0" xfId="0" applyAlignment="1" applyBorder="1" applyFont="1">
      <alignment horizontal="right"/>
    </xf>
    <xf borderId="289" fillId="39" fontId="58" numFmtId="0" xfId="0" applyBorder="1" applyFill="1" applyFont="1"/>
    <xf borderId="290" fillId="39" fontId="58" numFmtId="10" xfId="0" applyAlignment="1" applyBorder="1" applyFont="1" applyNumberFormat="1">
      <alignment horizontal="right"/>
    </xf>
    <xf borderId="174" fillId="40" fontId="29" numFmtId="0" xfId="0" applyAlignment="1" applyBorder="1" applyFill="1" applyFont="1">
      <alignment horizontal="center"/>
    </xf>
    <xf borderId="291" fillId="41" fontId="59" numFmtId="0" xfId="0" applyAlignment="1" applyBorder="1" applyFill="1" applyFont="1">
      <alignment horizontal="center"/>
    </xf>
    <xf borderId="284" fillId="0" fontId="4" numFmtId="0" xfId="0" applyBorder="1" applyFont="1"/>
    <xf borderId="292" fillId="0" fontId="4" numFmtId="0" xfId="0" applyBorder="1" applyFont="1"/>
    <xf borderId="283" fillId="41" fontId="5" numFmtId="0" xfId="0" applyBorder="1" applyFont="1"/>
    <xf borderId="283" fillId="41" fontId="59" numFmtId="0" xfId="0" applyAlignment="1" applyBorder="1" applyFont="1">
      <alignment horizontal="center"/>
    </xf>
    <xf borderId="293" fillId="0" fontId="60" numFmtId="0" xfId="0" applyAlignment="1" applyBorder="1" applyFont="1">
      <alignment vertical="bottom"/>
    </xf>
    <xf borderId="294" fillId="0" fontId="61" numFmtId="4" xfId="0" applyAlignment="1" applyBorder="1" applyFont="1" applyNumberFormat="1">
      <alignment horizontal="right" vertical="bottom"/>
    </xf>
    <xf borderId="293" fillId="0" fontId="5" numFmtId="0" xfId="0" applyAlignment="1" applyBorder="1" applyFont="1">
      <alignment vertical="bottom"/>
    </xf>
    <xf borderId="294" fillId="0" fontId="5" numFmtId="10" xfId="0" applyAlignment="1" applyBorder="1" applyFont="1" applyNumberFormat="1">
      <alignment vertical="bottom"/>
    </xf>
    <xf borderId="0" fillId="0" fontId="62" numFmtId="0" xfId="0" applyAlignment="1" applyFont="1">
      <alignment vertical="bottom"/>
    </xf>
    <xf borderId="0" fillId="0" fontId="62" numFmtId="10" xfId="0" applyAlignment="1" applyFont="1" applyNumberFormat="1">
      <alignment horizontal="right" vertical="bottom"/>
    </xf>
    <xf borderId="68" fillId="40" fontId="60" numFmtId="0" xfId="0" applyAlignment="1" applyBorder="1" applyFont="1">
      <alignment vertical="bottom"/>
    </xf>
    <xf borderId="120" fillId="40" fontId="61" numFmtId="4" xfId="0" applyAlignment="1" applyBorder="1" applyFont="1" applyNumberFormat="1">
      <alignment horizontal="right" vertical="bottom"/>
    </xf>
    <xf borderId="291" fillId="41" fontId="59" numFmtId="0" xfId="0" applyAlignment="1" applyBorder="1" applyFont="1">
      <alignment vertical="bottom"/>
    </xf>
    <xf borderId="295" fillId="41" fontId="59" numFmtId="0" xfId="0" applyAlignment="1" applyBorder="1" applyFont="1">
      <alignment horizontal="center" vertical="bottom"/>
    </xf>
    <xf borderId="284" fillId="41" fontId="59" numFmtId="0" xfId="0" applyAlignment="1" applyBorder="1" applyFont="1">
      <alignment horizontal="center" vertical="bottom"/>
    </xf>
    <xf borderId="283" fillId="41" fontId="59" numFmtId="0" xfId="0" applyAlignment="1" applyBorder="1" applyFont="1">
      <alignment horizontal="center" vertical="bottom"/>
    </xf>
    <xf borderId="294" fillId="0" fontId="5" numFmtId="4" xfId="0" applyAlignment="1" applyBorder="1" applyFont="1" applyNumberFormat="1">
      <alignment vertical="bottom"/>
    </xf>
    <xf borderId="294" fillId="0" fontId="60" numFmtId="10" xfId="0" applyAlignment="1" applyBorder="1" applyFont="1" applyNumberFormat="1">
      <alignment horizontal="right" vertical="bottom"/>
    </xf>
    <xf borderId="68" fillId="40" fontId="5" numFmtId="0" xfId="0" applyAlignment="1" applyBorder="1" applyFont="1">
      <alignment vertical="bottom"/>
    </xf>
    <xf borderId="120" fillId="40" fontId="5" numFmtId="4" xfId="0" applyAlignment="1" applyBorder="1" applyFont="1" applyNumberFormat="1">
      <alignment vertical="bottom"/>
    </xf>
    <xf borderId="293" fillId="0" fontId="59" numFmtId="0" xfId="0" applyAlignment="1" applyBorder="1" applyFont="1">
      <alignment vertical="bottom"/>
    </xf>
    <xf borderId="296" fillId="42" fontId="61" numFmtId="4" xfId="0" applyAlignment="1" applyBorder="1" applyFill="1" applyFont="1" applyNumberFormat="1">
      <alignment horizontal="center" vertical="bottom"/>
    </xf>
    <xf borderId="0" fillId="0" fontId="61" numFmtId="4" xfId="0" applyAlignment="1" applyFont="1" applyNumberFormat="1">
      <alignment horizontal="center" vertical="bottom"/>
    </xf>
    <xf borderId="294" fillId="0" fontId="61" numFmtId="4" xfId="0" applyAlignment="1" applyBorder="1" applyFont="1" applyNumberFormat="1">
      <alignment horizontal="center" vertical="bottom"/>
    </xf>
    <xf borderId="294" fillId="42" fontId="61" numFmtId="4" xfId="0" applyAlignment="1" applyBorder="1" applyFont="1" applyNumberFormat="1">
      <alignment horizontal="center" vertical="bottom"/>
    </xf>
    <xf borderId="294" fillId="5" fontId="61" numFmtId="4" xfId="0" applyAlignment="1" applyBorder="1" applyFont="1" applyNumberFormat="1">
      <alignment horizontal="center" vertical="bottom"/>
    </xf>
    <xf borderId="294" fillId="0" fontId="5" numFmtId="10" xfId="0" applyAlignment="1" applyBorder="1" applyFont="1" applyNumberFormat="1">
      <alignment horizontal="right" vertical="bottom"/>
    </xf>
    <xf borderId="297" fillId="0" fontId="5" numFmtId="10" xfId="0" applyAlignment="1" applyBorder="1" applyFont="1" applyNumberFormat="1">
      <alignment vertical="bottom"/>
    </xf>
    <xf borderId="189" fillId="0" fontId="51" numFmtId="0" xfId="0" applyAlignment="1" applyBorder="1" applyFont="1">
      <alignment horizontal="right" vertical="bottom"/>
    </xf>
    <xf borderId="298" fillId="0" fontId="5" numFmtId="0" xfId="0" applyAlignment="1" applyBorder="1" applyFont="1">
      <alignment horizontal="center"/>
    </xf>
    <xf borderId="188" fillId="0" fontId="51" numFmtId="0" xfId="0" applyAlignment="1" applyBorder="1" applyFont="1">
      <alignment horizontal="right" vertical="bottom"/>
    </xf>
    <xf borderId="298" fillId="0" fontId="51" numFmtId="0" xfId="0" applyAlignment="1" applyBorder="1" applyFont="1">
      <alignment horizontal="center"/>
    </xf>
    <xf borderId="298" fillId="0" fontId="5" numFmtId="0" xfId="0" applyAlignment="1" applyBorder="1" applyFont="1">
      <alignment vertical="bottom"/>
    </xf>
    <xf borderId="299" fillId="0" fontId="59" numFmtId="0" xfId="0" applyAlignment="1" applyBorder="1" applyFont="1">
      <alignment vertical="bottom"/>
    </xf>
    <xf borderId="148" fillId="0" fontId="5" numFmtId="4" xfId="0" applyAlignment="1" applyBorder="1" applyFont="1" applyNumberFormat="1">
      <alignment vertical="bottom"/>
    </xf>
    <xf borderId="148" fillId="0" fontId="61" numFmtId="4" xfId="0" applyAlignment="1" applyBorder="1" applyFont="1" applyNumberFormat="1">
      <alignment horizontal="center" vertical="bottom"/>
    </xf>
    <xf borderId="300" fillId="0" fontId="61" numFmtId="4" xfId="0" applyAlignment="1" applyBorder="1" applyFont="1" applyNumberFormat="1">
      <alignment horizontal="center" vertical="bottom"/>
    </xf>
    <xf borderId="300" fillId="0" fontId="5" numFmtId="4" xfId="0" applyAlignment="1" applyBorder="1" applyFont="1" applyNumberFormat="1">
      <alignment vertical="bottom"/>
    </xf>
    <xf borderId="298" fillId="0" fontId="51" numFmtId="0" xfId="0" applyAlignment="1" applyBorder="1" applyFont="1">
      <alignment horizontal="right" vertical="bottom"/>
    </xf>
    <xf borderId="301" fillId="0" fontId="59" numFmtId="0" xfId="0" applyAlignment="1" applyBorder="1" applyFont="1">
      <alignment vertical="bottom"/>
    </xf>
    <xf borderId="302" fillId="0" fontId="5" numFmtId="4" xfId="0" applyAlignment="1" applyBorder="1" applyFont="1" applyNumberFormat="1">
      <alignment vertical="bottom"/>
    </xf>
    <xf borderId="303" fillId="0" fontId="59" numFmtId="4" xfId="0" applyAlignment="1" applyBorder="1" applyFont="1" applyNumberFormat="1">
      <alignment horizontal="center" vertical="bottom"/>
    </xf>
    <xf borderId="303" fillId="0" fontId="5" numFmtId="4" xfId="0" applyAlignment="1" applyBorder="1" applyFont="1" applyNumberFormat="1">
      <alignment vertical="bottom"/>
    </xf>
    <xf borderId="298" fillId="0" fontId="51" numFmtId="0" xfId="0" applyAlignment="1" applyBorder="1" applyFont="1">
      <alignment vertical="bottom"/>
    </xf>
    <xf borderId="188" fillId="0" fontId="5" numFmtId="0" xfId="0" applyAlignment="1" applyBorder="1" applyFont="1">
      <alignment vertical="bottom"/>
    </xf>
    <xf borderId="282" fillId="41" fontId="59" numFmtId="0" xfId="0" applyAlignment="1" applyBorder="1" applyFont="1">
      <alignment vertical="bottom"/>
    </xf>
    <xf borderId="284" fillId="41" fontId="5" numFmtId="0" xfId="0" applyAlignment="1" applyBorder="1" applyFont="1">
      <alignment vertical="bottom"/>
    </xf>
    <xf borderId="0" fillId="0" fontId="5" numFmtId="4" xfId="0" applyAlignment="1" applyFont="1" applyNumberFormat="1">
      <alignment vertical="bottom"/>
    </xf>
    <xf borderId="178" fillId="0" fontId="5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0" fillId="0" fontId="29" numFmtId="0" xfId="0" applyAlignment="1" applyFont="1">
      <alignment horizontal="center"/>
    </xf>
    <xf borderId="0" fillId="0" fontId="29" numFmtId="9" xfId="0" applyFont="1" applyNumberFormat="1"/>
    <xf borderId="304" fillId="0" fontId="5" numFmtId="0" xfId="0" applyAlignment="1" applyBorder="1" applyFont="1">
      <alignment vertical="bottom"/>
    </xf>
    <xf borderId="305" fillId="0" fontId="5" numFmtId="10" xfId="0" applyAlignment="1" applyBorder="1" applyFont="1" applyNumberFormat="1">
      <alignment vertical="bottom"/>
    </xf>
    <xf borderId="306" fillId="0" fontId="63" numFmtId="10" xfId="0" applyAlignment="1" applyBorder="1" applyFont="1" applyNumberFormat="1">
      <alignment horizontal="right" vertical="bottom"/>
    </xf>
    <xf borderId="1" fillId="2" fontId="64" numFmtId="0" xfId="0" applyAlignment="1" applyBorder="1" applyFont="1">
      <alignment horizontal="right" vertical="bottom"/>
    </xf>
    <xf borderId="1" fillId="2" fontId="5" numFmtId="0" xfId="0" applyAlignment="1" applyBorder="1" applyFont="1">
      <alignment vertical="bottom"/>
    </xf>
    <xf borderId="0" fillId="2" fontId="5" numFmtId="0" xfId="0" applyAlignment="1" applyFont="1">
      <alignment vertical="bottom"/>
    </xf>
    <xf borderId="0" fillId="0" fontId="51" numFmtId="0" xfId="0" applyAlignment="1" applyFont="1">
      <alignment horizontal="center"/>
    </xf>
    <xf borderId="2" fillId="2" fontId="5" numFmtId="0" xfId="0" applyAlignment="1" applyBorder="1" applyFont="1">
      <alignment vertical="bottom"/>
    </xf>
    <xf borderId="307" fillId="41" fontId="59" numFmtId="0" xfId="0" applyAlignment="1" applyBorder="1" applyFont="1">
      <alignment horizontal="center" vertical="bottom"/>
    </xf>
    <xf borderId="308" fillId="41" fontId="59" numFmtId="0" xfId="0" applyAlignment="1" applyBorder="1" applyFont="1">
      <alignment horizontal="center" shrinkToFit="0" vertical="bottom" wrapText="1"/>
    </xf>
    <xf borderId="2" fillId="2" fontId="64" numFmtId="0" xfId="0" applyAlignment="1" applyBorder="1" applyFont="1">
      <alignment horizontal="center" vertical="bottom"/>
    </xf>
    <xf borderId="180" fillId="0" fontId="51" numFmtId="0" xfId="0" applyAlignment="1" applyBorder="1" applyFont="1">
      <alignment horizontal="center"/>
    </xf>
    <xf borderId="120" fillId="0" fontId="51" numFmtId="164" xfId="0" applyAlignment="1" applyBorder="1" applyFont="1" applyNumberFormat="1">
      <alignment horizontal="center"/>
    </xf>
    <xf borderId="120" fillId="42" fontId="51" numFmtId="164" xfId="0" applyAlignment="1" applyBorder="1" applyFont="1" applyNumberFormat="1">
      <alignment horizontal="center"/>
    </xf>
    <xf borderId="120" fillId="43" fontId="51" numFmtId="164" xfId="0" applyAlignment="1" applyBorder="1" applyFill="1" applyFont="1" applyNumberFormat="1">
      <alignment horizontal="center"/>
    </xf>
    <xf borderId="180" fillId="0" fontId="65" numFmtId="0" xfId="0" applyAlignment="1" applyBorder="1" applyFont="1">
      <alignment horizontal="center"/>
    </xf>
    <xf borderId="180" fillId="0" fontId="66" numFmtId="0" xfId="0" applyAlignment="1" applyBorder="1" applyFont="1">
      <alignment horizontal="center"/>
    </xf>
    <xf borderId="64" fillId="40" fontId="5" numFmtId="0" xfId="0" applyAlignment="1" applyBorder="1" applyFont="1">
      <alignment vertical="bottom"/>
    </xf>
    <xf borderId="213" fillId="40" fontId="5" numFmtId="4" xfId="0" applyAlignment="1" applyBorder="1" applyFont="1" applyNumberFormat="1">
      <alignment vertical="bottom"/>
    </xf>
    <xf borderId="180" fillId="0" fontId="5" numFmtId="0" xfId="0" applyAlignment="1" applyBorder="1" applyFont="1">
      <alignment horizontal="center"/>
    </xf>
    <xf borderId="0" fillId="0" fontId="67" numFmtId="0" xfId="0" applyAlignment="1" applyFont="1">
      <alignment vertical="bottom"/>
    </xf>
    <xf borderId="177" fillId="0" fontId="5" numFmtId="0" xfId="0" applyAlignment="1" applyBorder="1" applyFont="1">
      <alignment horizontal="center"/>
    </xf>
    <xf borderId="179" fillId="0" fontId="51" numFmtId="164" xfId="0" applyAlignment="1" applyBorder="1" applyFont="1" applyNumberFormat="1">
      <alignment horizontal="center"/>
    </xf>
    <xf borderId="179" fillId="43" fontId="51" numFmtId="164" xfId="0" applyAlignment="1" applyBorder="1" applyFont="1" applyNumberFormat="1">
      <alignment horizontal="center"/>
    </xf>
    <xf borderId="0" fillId="41" fontId="5" numFmtId="0" xfId="0" applyAlignment="1" applyFont="1">
      <alignment vertical="bottom"/>
    </xf>
    <xf borderId="309" fillId="41" fontId="59" numFmtId="0" xfId="0" applyAlignment="1" applyBorder="1" applyFont="1">
      <alignment vertical="bottom"/>
    </xf>
    <xf borderId="310" fillId="41" fontId="5" numFmtId="0" xfId="0" applyAlignment="1" applyBorder="1" applyFont="1">
      <alignment vertical="bottom"/>
    </xf>
    <xf borderId="68" fillId="0" fontId="5" numFmtId="0" xfId="0" applyAlignment="1" applyBorder="1" applyFont="1">
      <alignment vertical="bottom"/>
    </xf>
    <xf borderId="120" fillId="0" fontId="5" numFmtId="0" xfId="0" applyAlignment="1" applyBorder="1" applyFont="1">
      <alignment vertical="bottom"/>
    </xf>
    <xf borderId="293" fillId="0" fontId="5" numFmtId="4" xfId="0" applyAlignment="1" applyBorder="1" applyFont="1" applyNumberFormat="1">
      <alignment vertical="bottom"/>
    </xf>
    <xf borderId="294" fillId="0" fontId="61" numFmtId="179" xfId="0" applyAlignment="1" applyBorder="1" applyFont="1" applyNumberFormat="1">
      <alignment horizontal="center"/>
    </xf>
    <xf borderId="306" fillId="0" fontId="59" numFmtId="4" xfId="0" applyAlignment="1" applyBorder="1" applyFont="1" applyNumberFormat="1">
      <alignment horizontal="right" vertical="bottom"/>
    </xf>
    <xf borderId="304" fillId="0" fontId="59" numFmtId="0" xfId="0" applyAlignment="1" applyBorder="1" applyFont="1">
      <alignment vertical="bottom"/>
    </xf>
    <xf borderId="305" fillId="0" fontId="5" numFmtId="4" xfId="0" applyAlignment="1" applyBorder="1" applyFont="1" applyNumberFormat="1">
      <alignment vertical="bottom"/>
    </xf>
    <xf borderId="306" fillId="0" fontId="59" numFmtId="4" xfId="0" applyAlignment="1" applyBorder="1" applyFont="1" applyNumberFormat="1">
      <alignment horizontal="center" vertical="bottom"/>
    </xf>
    <xf borderId="2" fillId="2" fontId="68" numFmtId="0" xfId="0" applyAlignment="1" applyBorder="1" applyFont="1">
      <alignment horizontal="center" vertical="bottom"/>
    </xf>
    <xf borderId="64" fillId="0" fontId="5" numFmtId="0" xfId="0" applyAlignment="1" applyBorder="1" applyFont="1">
      <alignment vertical="bottom"/>
    </xf>
    <xf borderId="213" fillId="0" fontId="5" numFmtId="0" xfId="0" applyAlignment="1" applyBorder="1" applyFont="1">
      <alignment vertical="bottom"/>
    </xf>
    <xf borderId="304" fillId="0" fontId="5" numFmtId="4" xfId="0" applyAlignment="1" applyBorder="1" applyFont="1" applyNumberFormat="1">
      <alignment vertical="bottom"/>
    </xf>
    <xf borderId="306" fillId="0" fontId="61" numFmtId="0" xfId="0" applyAlignment="1" applyBorder="1" applyFont="1">
      <alignment horizontal="center" vertical="bottom"/>
    </xf>
    <xf borderId="0" fillId="0" fontId="64" numFmtId="4" xfId="0" applyAlignment="1" applyFont="1" applyNumberFormat="1">
      <alignment horizontal="right" vertical="bottom"/>
    </xf>
    <xf borderId="0" fillId="0" fontId="64" numFmtId="0" xfId="0" applyAlignment="1" applyFont="1">
      <alignment horizontal="center" vertical="bottom"/>
    </xf>
    <xf borderId="0" fillId="0" fontId="64" numFmtId="0" xfId="0" applyAlignment="1" applyFont="1">
      <alignment horizontal="right" vertical="bottom"/>
    </xf>
    <xf borderId="0" fillId="0" fontId="64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vertical="bottom"/>
    </xf>
    <xf borderId="0" fillId="0" fontId="69" numFmtId="9" xfId="0" applyAlignment="1" applyFont="1" applyNumberFormat="1">
      <alignment horizontal="right" vertical="bottom"/>
    </xf>
    <xf borderId="102" fillId="0" fontId="5" numFmtId="0" xfId="0" applyBorder="1" applyFont="1"/>
    <xf borderId="0" fillId="0" fontId="28" numFmtId="0" xfId="0" applyAlignment="1" applyFont="1">
      <alignment horizontal="center"/>
    </xf>
    <xf borderId="0" fillId="0" fontId="5" numFmtId="9" xfId="0" applyFont="1" applyNumberFormat="1"/>
    <xf borderId="0" fillId="0" fontId="5" numFmtId="0" xfId="0" applyAlignment="1" applyFont="1">
      <alignment horizontal="center"/>
    </xf>
    <xf borderId="0" fillId="0" fontId="13" numFmtId="180" xfId="0" applyAlignment="1" applyFont="1" applyNumberFormat="1">
      <alignment horizontal="center" readingOrder="0" vertical="center"/>
    </xf>
    <xf borderId="6" fillId="0" fontId="44" numFmtId="0" xfId="0" applyAlignment="1" applyBorder="1" applyFont="1">
      <alignment readingOrder="0" shrinkToFit="0" wrapText="0"/>
    </xf>
    <xf borderId="189" fillId="0" fontId="44" numFmtId="0" xfId="0" applyAlignment="1" applyBorder="1" applyFont="1">
      <alignment horizontal="center" readingOrder="0" shrinkToFit="0" wrapText="0"/>
    </xf>
    <xf borderId="87" fillId="30" fontId="44" numFmtId="0" xfId="0" applyAlignment="1" applyBorder="1" applyFont="1">
      <alignment readingOrder="0" shrinkToFit="0" wrapText="0"/>
    </xf>
    <xf borderId="251" fillId="30" fontId="44" numFmtId="164" xfId="0" applyAlignment="1" applyBorder="1" applyFont="1" applyNumberFormat="1">
      <alignment horizontal="right" readingOrder="0" shrinkToFit="0" wrapText="0"/>
    </xf>
    <xf borderId="73" fillId="30" fontId="38" numFmtId="164" xfId="0" applyAlignment="1" applyBorder="1" applyFont="1" applyNumberFormat="1">
      <alignment horizontal="center" vertical="center"/>
    </xf>
    <xf borderId="157" fillId="0" fontId="13" numFmtId="0" xfId="0" applyAlignment="1" applyBorder="1" applyFont="1">
      <alignment readingOrder="0"/>
    </xf>
    <xf borderId="148" fillId="0" fontId="13" numFmtId="0" xfId="0" applyBorder="1" applyFont="1"/>
    <xf borderId="237" fillId="0" fontId="13" numFmtId="0" xfId="0" applyBorder="1" applyFont="1"/>
    <xf borderId="177" fillId="30" fontId="44" numFmtId="0" xfId="0" applyAlignment="1" applyBorder="1" applyFont="1">
      <alignment readingOrder="0" shrinkToFit="0" wrapText="0"/>
    </xf>
    <xf borderId="179" fillId="30" fontId="44" numFmtId="164" xfId="0" applyAlignment="1" applyBorder="1" applyFont="1" applyNumberFormat="1">
      <alignment horizontal="right" readingOrder="0" shrinkToFit="0" wrapText="0"/>
    </xf>
    <xf borderId="19" fillId="0" fontId="4" numFmtId="0" xfId="0" applyBorder="1" applyFont="1"/>
    <xf borderId="68" fillId="0" fontId="13" numFmtId="0" xfId="0" applyBorder="1" applyFont="1"/>
    <xf borderId="120" fillId="0" fontId="13" numFmtId="0" xfId="0" applyBorder="1" applyFont="1"/>
    <xf borderId="180" fillId="30" fontId="44" numFmtId="0" xfId="0" applyAlignment="1" applyBorder="1" applyFont="1">
      <alignment readingOrder="0" shrinkToFit="0" wrapText="0"/>
    </xf>
    <xf borderId="120" fillId="30" fontId="44" numFmtId="164" xfId="0" applyAlignment="1" applyBorder="1" applyFont="1" applyNumberFormat="1">
      <alignment horizontal="right" readingOrder="0" shrinkToFit="0" wrapText="0"/>
    </xf>
    <xf borderId="311" fillId="30" fontId="44" numFmtId="0" xfId="0" applyAlignment="1" applyBorder="1" applyFont="1">
      <alignment readingOrder="0" shrinkToFit="0" wrapText="0"/>
    </xf>
    <xf borderId="213" fillId="30" fontId="44" numFmtId="164" xfId="0" applyAlignment="1" applyBorder="1" applyFont="1" applyNumberFormat="1">
      <alignment horizontal="right" readingOrder="0" shrinkToFit="0" wrapText="0"/>
    </xf>
    <xf borderId="151" fillId="0" fontId="4" numFmtId="0" xfId="0" applyBorder="1" applyFont="1"/>
    <xf borderId="64" fillId="0" fontId="13" numFmtId="0" xfId="0" applyBorder="1" applyFont="1"/>
    <xf borderId="62" fillId="0" fontId="13" numFmtId="0" xfId="0" applyBorder="1" applyFont="1"/>
    <xf borderId="213" fillId="0" fontId="13" numFmtId="0" xfId="0" applyBorder="1" applyFont="1"/>
    <xf borderId="273" fillId="0" fontId="44" numFmtId="0" xfId="0" applyAlignment="1" applyBorder="1" applyFont="1">
      <alignment readingOrder="0" shrinkToFit="0" wrapText="0"/>
    </xf>
    <xf borderId="188" fillId="0" fontId="44" numFmtId="164" xfId="0" applyAlignment="1" applyBorder="1" applyFont="1" applyNumberFormat="1">
      <alignment horizontal="right" readingOrder="0" shrinkToFit="0" wrapText="0"/>
    </xf>
    <xf borderId="0" fillId="0" fontId="38" numFmtId="0" xfId="0" applyAlignment="1" applyFont="1">
      <alignment horizontal="center" vertical="center"/>
    </xf>
    <xf borderId="87" fillId="10" fontId="44" numFmtId="0" xfId="0" applyAlignment="1" applyBorder="1" applyFont="1">
      <alignment readingOrder="0" shrinkToFit="0" wrapText="0"/>
    </xf>
    <xf borderId="251" fillId="10" fontId="44" numFmtId="164" xfId="0" applyAlignment="1" applyBorder="1" applyFont="1" applyNumberFormat="1">
      <alignment horizontal="right" readingOrder="0" shrinkToFit="0" wrapText="0"/>
    </xf>
    <xf borderId="73" fillId="10" fontId="38" numFmtId="164" xfId="0" applyAlignment="1" applyBorder="1" applyFont="1" applyNumberFormat="1">
      <alignment horizontal="center" vertical="center"/>
    </xf>
    <xf borderId="177" fillId="10" fontId="44" numFmtId="0" xfId="0" applyAlignment="1" applyBorder="1" applyFont="1">
      <alignment readingOrder="0" shrinkToFit="0" wrapText="0"/>
    </xf>
    <xf borderId="179" fillId="10" fontId="44" numFmtId="164" xfId="0" applyAlignment="1" applyBorder="1" applyFont="1" applyNumberFormat="1">
      <alignment horizontal="right" readingOrder="0" shrinkToFit="0" wrapText="0"/>
    </xf>
    <xf borderId="68" fillId="0" fontId="13" numFmtId="0" xfId="0" applyAlignment="1" applyBorder="1" applyFont="1">
      <alignment readingOrder="0"/>
    </xf>
    <xf borderId="311" fillId="10" fontId="44" numFmtId="0" xfId="0" applyAlignment="1" applyBorder="1" applyFont="1">
      <alignment readingOrder="0" shrinkToFit="0" wrapText="0"/>
    </xf>
    <xf borderId="213" fillId="10" fontId="44" numFmtId="164" xfId="0" applyAlignment="1" applyBorder="1" applyFont="1" applyNumberFormat="1">
      <alignment horizontal="right" readingOrder="0" shrinkToFit="0" wrapText="0"/>
    </xf>
    <xf borderId="19" fillId="10" fontId="38" numFmtId="164" xfId="0" applyAlignment="1" applyBorder="1" applyFont="1" applyNumberFormat="1">
      <alignment horizontal="center" vertical="center"/>
    </xf>
    <xf borderId="87" fillId="27" fontId="44" numFmtId="0" xfId="0" applyAlignment="1" applyBorder="1" applyFont="1">
      <alignment readingOrder="0" shrinkToFit="0" wrapText="0"/>
    </xf>
    <xf borderId="251" fillId="27" fontId="44" numFmtId="164" xfId="0" applyAlignment="1" applyBorder="1" applyFont="1" applyNumberFormat="1">
      <alignment horizontal="right" readingOrder="0" shrinkToFit="0" wrapText="0"/>
    </xf>
    <xf borderId="73" fillId="27" fontId="38" numFmtId="164" xfId="0" applyAlignment="1" applyBorder="1" applyFont="1" applyNumberFormat="1">
      <alignment horizontal="center" vertical="center"/>
    </xf>
    <xf borderId="157" fillId="0" fontId="13" numFmtId="0" xfId="0" applyAlignment="1" applyBorder="1" applyFont="1">
      <alignment readingOrder="0" shrinkToFit="0" wrapText="1"/>
    </xf>
    <xf borderId="177" fillId="27" fontId="44" numFmtId="0" xfId="0" applyAlignment="1" applyBorder="1" applyFont="1">
      <alignment readingOrder="0" shrinkToFit="0" wrapText="0"/>
    </xf>
    <xf borderId="179" fillId="27" fontId="44" numFmtId="164" xfId="0" applyAlignment="1" applyBorder="1" applyFont="1" applyNumberFormat="1">
      <alignment horizontal="right" readingOrder="0" shrinkToFit="0" wrapText="0"/>
    </xf>
    <xf borderId="68" fillId="0" fontId="13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wrapText="1"/>
    </xf>
    <xf borderId="311" fillId="27" fontId="44" numFmtId="0" xfId="0" applyAlignment="1" applyBorder="1" applyFont="1">
      <alignment readingOrder="0" shrinkToFit="0" wrapText="0"/>
    </xf>
    <xf borderId="213" fillId="27" fontId="44" numFmtId="164" xfId="0" applyAlignment="1" applyBorder="1" applyFont="1" applyNumberFormat="1">
      <alignment horizontal="right" readingOrder="0" shrinkToFit="0" wrapText="0"/>
    </xf>
    <xf borderId="64" fillId="0" fontId="13" numFmtId="0" xfId="0" applyAlignment="1" applyBorder="1" applyFont="1">
      <alignment readingOrder="0" shrinkToFit="0" wrapText="1"/>
    </xf>
    <xf borderId="62" fillId="0" fontId="13" numFmtId="0" xfId="0" applyAlignment="1" applyBorder="1" applyFont="1">
      <alignment readingOrder="0" shrinkToFit="0" wrapText="1"/>
    </xf>
    <xf borderId="87" fillId="44" fontId="44" numFmtId="0" xfId="0" applyAlignment="1" applyBorder="1" applyFill="1" applyFont="1">
      <alignment readingOrder="0" shrinkToFit="0" wrapText="0"/>
    </xf>
    <xf borderId="251" fillId="44" fontId="44" numFmtId="164" xfId="0" applyAlignment="1" applyBorder="1" applyFont="1" applyNumberFormat="1">
      <alignment horizontal="right" readingOrder="0" shrinkToFit="0" wrapText="0"/>
    </xf>
    <xf borderId="73" fillId="44" fontId="38" numFmtId="164" xfId="0" applyAlignment="1" applyBorder="1" applyFont="1" applyNumberFormat="1">
      <alignment horizontal="center" vertical="center"/>
    </xf>
    <xf borderId="177" fillId="44" fontId="44" numFmtId="0" xfId="0" applyAlignment="1" applyBorder="1" applyFont="1">
      <alignment readingOrder="0" shrinkToFit="0" wrapText="0"/>
    </xf>
    <xf borderId="179" fillId="44" fontId="44" numFmtId="164" xfId="0" applyAlignment="1" applyBorder="1" applyFont="1" applyNumberFormat="1">
      <alignment horizontal="right" readingOrder="0" shrinkToFit="0" wrapText="0"/>
    </xf>
    <xf borderId="311" fillId="44" fontId="44" numFmtId="0" xfId="0" applyAlignment="1" applyBorder="1" applyFont="1">
      <alignment readingOrder="0" shrinkToFit="0" wrapText="0"/>
    </xf>
    <xf borderId="213" fillId="44" fontId="44" numFmtId="164" xfId="0" applyAlignment="1" applyBorder="1" applyFont="1" applyNumberFormat="1">
      <alignment horizontal="right" readingOrder="0" shrinkToFit="0" wrapText="0"/>
    </xf>
    <xf borderId="18" fillId="0" fontId="44" numFmtId="0" xfId="0" applyAlignment="1" applyBorder="1" applyFont="1">
      <alignment shrinkToFit="0" wrapText="0"/>
    </xf>
    <xf borderId="13" fillId="0" fontId="28" numFmtId="164" xfId="0" applyAlignment="1" applyBorder="1" applyFont="1" applyNumberFormat="1">
      <alignment horizontal="right" readingOrder="0" shrinkToFit="0" wrapText="0"/>
    </xf>
    <xf borderId="62" fillId="2" fontId="38" numFmtId="0" xfId="0" applyAlignment="1" applyBorder="1" applyFont="1">
      <alignment horizontal="center" vertical="center"/>
    </xf>
    <xf borderId="312" fillId="30" fontId="44" numFmtId="164" xfId="0" applyAlignment="1" applyBorder="1" applyFont="1" applyNumberFormat="1">
      <alignment horizontal="right" readingOrder="0" shrinkToFit="0" wrapText="0"/>
    </xf>
    <xf borderId="19" fillId="30" fontId="38" numFmtId="164" xfId="0" applyAlignment="1" applyBorder="1" applyFont="1" applyNumberFormat="1">
      <alignment horizontal="center" vertical="center"/>
    </xf>
    <xf borderId="86" fillId="30" fontId="44" numFmtId="164" xfId="0" applyAlignment="1" applyBorder="1" applyFont="1" applyNumberFormat="1">
      <alignment horizontal="right" readingOrder="0" shrinkToFit="0" wrapText="0"/>
    </xf>
    <xf borderId="62" fillId="30" fontId="44" numFmtId="164" xfId="0" applyAlignment="1" applyBorder="1" applyFont="1" applyNumberFormat="1">
      <alignment horizontal="right" readingOrder="0" shrinkToFit="0" wrapText="0"/>
    </xf>
    <xf borderId="0" fillId="2" fontId="38" numFmtId="0" xfId="0" applyAlignment="1" applyFont="1">
      <alignment horizontal="center" vertical="center"/>
    </xf>
    <xf borderId="250" fillId="10" fontId="44" numFmtId="164" xfId="0" applyAlignment="1" applyBorder="1" applyFont="1" applyNumberFormat="1">
      <alignment horizontal="right" readingOrder="0" shrinkToFit="0" wrapText="0"/>
    </xf>
    <xf borderId="13" fillId="10" fontId="44" numFmtId="164" xfId="0" applyAlignment="1" applyBorder="1" applyFont="1" applyNumberFormat="1">
      <alignment horizontal="right" readingOrder="0" shrinkToFit="0" wrapText="0"/>
    </xf>
    <xf borderId="86" fillId="10" fontId="44" numFmtId="164" xfId="0" applyAlignment="1" applyBorder="1" applyFont="1" applyNumberFormat="1">
      <alignment horizontal="right" readingOrder="0" shrinkToFit="0" wrapText="0"/>
    </xf>
    <xf borderId="62" fillId="10" fontId="44" numFmtId="164" xfId="0" applyAlignment="1" applyBorder="1" applyFont="1" applyNumberFormat="1">
      <alignment horizontal="right" readingOrder="0" shrinkToFit="0" wrapText="0"/>
    </xf>
    <xf borderId="0" fillId="0" fontId="44" numFmtId="164" xfId="0" applyAlignment="1" applyFont="1" applyNumberFormat="1">
      <alignment horizontal="right" readingOrder="0" shrinkToFit="0" wrapText="0"/>
    </xf>
    <xf borderId="148" fillId="2" fontId="38" numFmtId="0" xfId="0" applyAlignment="1" applyBorder="1" applyFont="1">
      <alignment horizontal="center" vertical="center"/>
    </xf>
    <xf borderId="312" fillId="27" fontId="44" numFmtId="164" xfId="0" applyAlignment="1" applyBorder="1" applyFont="1" applyNumberFormat="1">
      <alignment horizontal="right" readingOrder="0" shrinkToFit="0" wrapText="0"/>
    </xf>
    <xf borderId="86" fillId="27" fontId="44" numFmtId="164" xfId="0" applyAlignment="1" applyBorder="1" applyFont="1" applyNumberFormat="1">
      <alignment horizontal="right" readingOrder="0" shrinkToFit="0" wrapText="0"/>
    </xf>
    <xf borderId="62" fillId="27" fontId="44" numFmtId="164" xfId="0" applyAlignment="1" applyBorder="1" applyFont="1" applyNumberFormat="1">
      <alignment horizontal="right" readingOrder="0" shrinkToFit="0" wrapText="0"/>
    </xf>
    <xf borderId="250" fillId="44" fontId="44" numFmtId="164" xfId="0" applyAlignment="1" applyBorder="1" applyFont="1" applyNumberFormat="1">
      <alignment horizontal="right" readingOrder="0" shrinkToFit="0" wrapText="0"/>
    </xf>
    <xf borderId="237" fillId="44" fontId="38" numFmtId="164" xfId="0" applyAlignment="1" applyBorder="1" applyFont="1" applyNumberFormat="1">
      <alignment horizontal="center" vertical="center"/>
    </xf>
    <xf borderId="13" fillId="44" fontId="44" numFmtId="164" xfId="0" applyAlignment="1" applyBorder="1" applyFont="1" applyNumberFormat="1">
      <alignment horizontal="right" readingOrder="0" shrinkToFit="0" wrapText="0"/>
    </xf>
    <xf borderId="244" fillId="44" fontId="44" numFmtId="164" xfId="0" applyAlignment="1" applyBorder="1" applyFont="1" applyNumberFormat="1">
      <alignment horizontal="right" readingOrder="0" shrinkToFit="0" wrapText="0"/>
    </xf>
    <xf borderId="213" fillId="0" fontId="4" numFmtId="0" xfId="0" applyBorder="1" applyFont="1"/>
    <xf borderId="0" fillId="0" fontId="13" numFmtId="164" xfId="0" applyFont="1" applyNumberFormat="1"/>
    <xf borderId="250" fillId="30" fontId="44" numFmtId="164" xfId="0" applyAlignment="1" applyBorder="1" applyFont="1" applyNumberFormat="1">
      <alignment horizontal="right" readingOrder="0" shrinkToFit="0" wrapText="0"/>
    </xf>
    <xf borderId="13" fillId="30" fontId="44" numFmtId="164" xfId="0" applyAlignment="1" applyBorder="1" applyFont="1" applyNumberFormat="1">
      <alignment horizontal="right" readingOrder="0" shrinkToFit="0" wrapText="0"/>
    </xf>
    <xf borderId="244" fillId="30" fontId="44" numFmtId="164" xfId="0" applyAlignment="1" applyBorder="1" applyFont="1" applyNumberFormat="1">
      <alignment horizontal="right" readingOrder="0" shrinkToFit="0" wrapText="0"/>
    </xf>
    <xf borderId="87" fillId="45" fontId="44" numFmtId="0" xfId="0" applyAlignment="1" applyBorder="1" applyFill="1" applyFont="1">
      <alignment readingOrder="0" shrinkToFit="0" wrapText="0"/>
    </xf>
    <xf borderId="250" fillId="45" fontId="44" numFmtId="164" xfId="0" applyAlignment="1" applyBorder="1" applyFont="1" applyNumberFormat="1">
      <alignment horizontal="right" readingOrder="0" shrinkToFit="0" wrapText="0"/>
    </xf>
    <xf borderId="177" fillId="45" fontId="44" numFmtId="0" xfId="0" applyAlignment="1" applyBorder="1" applyFont="1">
      <alignment readingOrder="0" shrinkToFit="0" wrapText="0"/>
    </xf>
    <xf borderId="13" fillId="45" fontId="44" numFmtId="164" xfId="0" applyAlignment="1" applyBorder="1" applyFont="1" applyNumberFormat="1">
      <alignment horizontal="right" readingOrder="0" shrinkToFit="0" wrapText="0"/>
    </xf>
    <xf borderId="311" fillId="45" fontId="44" numFmtId="0" xfId="0" applyAlignment="1" applyBorder="1" applyFont="1">
      <alignment readingOrder="0" shrinkToFit="0" wrapText="0"/>
    </xf>
    <xf borderId="244" fillId="45" fontId="44" numFmtId="164" xfId="0" applyAlignment="1" applyBorder="1" applyFont="1" applyNumberFormat="1">
      <alignment horizontal="right" readingOrder="0" shrinkToFit="0" wrapText="0"/>
    </xf>
    <xf borderId="250" fillId="27" fontId="44" numFmtId="164" xfId="0" applyAlignment="1" applyBorder="1" applyFont="1" applyNumberFormat="1">
      <alignment horizontal="right" readingOrder="0" shrinkToFit="0" wrapText="0"/>
    </xf>
    <xf borderId="237" fillId="27" fontId="38" numFmtId="164" xfId="0" applyAlignment="1" applyBorder="1" applyFont="1" applyNumberFormat="1">
      <alignment horizontal="center" vertical="center"/>
    </xf>
    <xf borderId="13" fillId="27" fontId="44" numFmtId="164" xfId="0" applyAlignment="1" applyBorder="1" applyFont="1" applyNumberFormat="1">
      <alignment horizontal="right" readingOrder="0" shrinkToFit="0" wrapText="0"/>
    </xf>
    <xf borderId="244" fillId="27" fontId="44" numFmtId="164" xfId="0" applyAlignment="1" applyBorder="1" applyFont="1" applyNumberFormat="1">
      <alignment horizontal="right" readingOrder="0" shrinkToFit="0" wrapText="0"/>
    </xf>
    <xf borderId="157" fillId="0" fontId="5" numFmtId="0" xfId="0" applyAlignment="1" applyBorder="1" applyFont="1">
      <alignment vertical="bottom"/>
    </xf>
    <xf borderId="148" fillId="0" fontId="5" numFmtId="0" xfId="0" applyAlignment="1" applyBorder="1" applyFont="1">
      <alignment vertical="bottom"/>
    </xf>
    <xf borderId="237" fillId="0" fontId="5" numFmtId="0" xfId="0" applyAlignment="1" applyBorder="1" applyFont="1">
      <alignment vertical="bottom"/>
    </xf>
    <xf borderId="313" fillId="46" fontId="56" numFmtId="0" xfId="0" applyAlignment="1" applyBorder="1" applyFill="1" applyFont="1">
      <alignment horizontal="center" vertical="bottom"/>
    </xf>
    <xf borderId="314" fillId="0" fontId="4" numFmtId="0" xfId="0" applyBorder="1" applyFont="1"/>
    <xf borderId="315" fillId="0" fontId="4" numFmtId="0" xfId="0" applyBorder="1" applyFont="1"/>
    <xf borderId="174" fillId="46" fontId="70" numFmtId="0" xfId="0" applyAlignment="1" applyBorder="1" applyFont="1">
      <alignment horizontal="center" vertical="bottom"/>
    </xf>
    <xf borderId="316" fillId="0" fontId="71" numFmtId="0" xfId="0" applyAlignment="1" applyBorder="1" applyFont="1">
      <alignment vertical="bottom"/>
    </xf>
    <xf borderId="317" fillId="0" fontId="4" numFmtId="0" xfId="0" applyBorder="1" applyFont="1"/>
    <xf borderId="318" fillId="0" fontId="72" numFmtId="0" xfId="0" applyAlignment="1" applyBorder="1" applyFont="1">
      <alignment vertical="bottom"/>
    </xf>
    <xf borderId="319" fillId="0" fontId="4" numFmtId="0" xfId="0" applyBorder="1" applyFont="1"/>
    <xf borderId="320" fillId="0" fontId="4" numFmtId="0" xfId="0" applyBorder="1" applyFont="1"/>
    <xf borderId="321" fillId="47" fontId="71" numFmtId="0" xfId="0" applyBorder="1" applyFill="1" applyFont="1"/>
    <xf borderId="322" fillId="0" fontId="60" numFmtId="0" xfId="0" applyBorder="1" applyFont="1"/>
    <xf borderId="323" fillId="0" fontId="4" numFmtId="0" xfId="0" applyBorder="1" applyFont="1"/>
    <xf borderId="322" fillId="47" fontId="71" numFmtId="0" xfId="0" applyBorder="1" applyFont="1"/>
    <xf borderId="322" fillId="0" fontId="4" numFmtId="0" xfId="0" applyBorder="1" applyFont="1"/>
    <xf borderId="324" fillId="0" fontId="4" numFmtId="0" xfId="0" applyBorder="1" applyFont="1"/>
    <xf borderId="68" fillId="0" fontId="5" numFmtId="0" xfId="0" applyBorder="1" applyFont="1"/>
    <xf borderId="316" fillId="0" fontId="71" numFmtId="0" xfId="0" applyBorder="1" applyFont="1"/>
    <xf borderId="318" fillId="48" fontId="73" numFmtId="0" xfId="0" applyBorder="1" applyFill="1" applyFont="1"/>
    <xf borderId="325" fillId="47" fontId="74" numFmtId="0" xfId="0" applyBorder="1" applyFont="1"/>
    <xf borderId="0" fillId="0" fontId="75" numFmtId="0" xfId="0" applyFont="1"/>
    <xf borderId="326" fillId="0" fontId="4" numFmtId="0" xfId="0" applyBorder="1" applyFont="1"/>
    <xf borderId="327" fillId="0" fontId="72" numFmtId="1" xfId="0" applyAlignment="1" applyBorder="1" applyFont="1" applyNumberFormat="1">
      <alignment vertical="bottom"/>
    </xf>
    <xf borderId="327" fillId="0" fontId="71" numFmtId="0" xfId="0" applyAlignment="1" applyBorder="1" applyFont="1">
      <alignment vertical="bottom"/>
    </xf>
    <xf borderId="327" fillId="0" fontId="5" numFmtId="0" xfId="0" applyAlignment="1" applyBorder="1" applyFont="1">
      <alignment vertical="bottom"/>
    </xf>
    <xf borderId="318" fillId="0" fontId="5" numFmtId="0" xfId="0" applyAlignment="1" applyBorder="1" applyFont="1">
      <alignment vertical="bottom"/>
    </xf>
    <xf borderId="328" fillId="47" fontId="71" numFmtId="0" xfId="0" applyBorder="1" applyFont="1"/>
    <xf borderId="57" fillId="0" fontId="60" numFmtId="1" xfId="0" applyBorder="1" applyFont="1" applyNumberFormat="1"/>
    <xf borderId="25" fillId="0" fontId="4" numFmtId="0" xfId="0" applyBorder="1" applyFont="1"/>
    <xf borderId="329" fillId="47" fontId="59" numFmtId="0" xfId="0" applyBorder="1" applyFont="1"/>
    <xf borderId="330" fillId="0" fontId="4" numFmtId="0" xfId="0" applyBorder="1" applyFont="1"/>
    <xf borderId="331" fillId="0" fontId="4" numFmtId="0" xfId="0" applyBorder="1" applyFont="1"/>
    <xf borderId="330" fillId="0" fontId="5" numFmtId="0" xfId="0" applyBorder="1" applyFont="1"/>
    <xf borderId="332" fillId="0" fontId="4" numFmtId="0" xfId="0" applyBorder="1" applyFont="1"/>
    <xf borderId="333" fillId="0" fontId="71" numFmtId="0" xfId="0" applyAlignment="1" applyBorder="1" applyFont="1">
      <alignment vertical="bottom"/>
    </xf>
    <xf borderId="334" fillId="0" fontId="4" numFmtId="0" xfId="0" applyBorder="1" applyFont="1"/>
    <xf borderId="335" fillId="0" fontId="5" numFmtId="16" xfId="0" applyAlignment="1" applyBorder="1" applyFont="1" applyNumberFormat="1">
      <alignment vertical="bottom"/>
    </xf>
    <xf borderId="336" fillId="0" fontId="4" numFmtId="0" xfId="0" applyBorder="1" applyFont="1"/>
    <xf borderId="335" fillId="0" fontId="76" numFmtId="0" xfId="0" applyAlignment="1" applyBorder="1" applyFont="1">
      <alignment horizontal="right" vertical="bottom"/>
    </xf>
    <xf borderId="337" fillId="0" fontId="5" numFmtId="0" xfId="0" applyAlignment="1" applyBorder="1" applyFont="1">
      <alignment vertical="bottom"/>
    </xf>
    <xf borderId="325" fillId="47" fontId="71" numFmtId="0" xfId="0" applyBorder="1" applyFont="1"/>
    <xf borderId="338" fillId="0" fontId="5" numFmtId="176" xfId="0" applyBorder="1" applyFont="1" applyNumberFormat="1"/>
    <xf borderId="339" fillId="0" fontId="4" numFmtId="0" xfId="0" applyBorder="1" applyFont="1"/>
    <xf borderId="338" fillId="47" fontId="59" numFmtId="0" xfId="0" applyBorder="1" applyFont="1"/>
    <xf borderId="338" fillId="0" fontId="4" numFmtId="0" xfId="0" applyBorder="1" applyFont="1"/>
    <xf borderId="338" fillId="0" fontId="5" numFmtId="0" xfId="0" applyBorder="1" applyFont="1"/>
    <xf borderId="340" fillId="0" fontId="4" numFmtId="0" xfId="0" applyBorder="1" applyFont="1"/>
    <xf borderId="54" fillId="47" fontId="71" numFmtId="0" xfId="0" applyBorder="1" applyFont="1"/>
    <xf borderId="341" fillId="0" fontId="72" numFmtId="0" xfId="0" applyAlignment="1" applyBorder="1" applyFont="1">
      <alignment horizontal="center"/>
    </xf>
    <xf borderId="342" fillId="49" fontId="72" numFmtId="0" xfId="0" applyAlignment="1" applyBorder="1" applyFill="1" applyFont="1">
      <alignment horizontal="center"/>
    </xf>
    <xf borderId="343" fillId="0" fontId="72" numFmtId="0" xfId="0" applyAlignment="1" applyBorder="1" applyFont="1">
      <alignment horizontal="center" shrinkToFit="0" wrapText="1"/>
    </xf>
    <xf borderId="343" fillId="49" fontId="72" numFmtId="0" xfId="0" applyAlignment="1" applyBorder="1" applyFont="1">
      <alignment horizontal="center" shrinkToFit="0" wrapText="1"/>
    </xf>
    <xf borderId="344" fillId="49" fontId="72" numFmtId="0" xfId="0" applyAlignment="1" applyBorder="1" applyFont="1">
      <alignment horizontal="center" shrinkToFit="0" wrapText="1"/>
    </xf>
    <xf borderId="64" fillId="0" fontId="5" numFmtId="0" xfId="0" applyBorder="1" applyFont="1"/>
    <xf borderId="64" fillId="0" fontId="4" numFmtId="0" xfId="0" applyBorder="1" applyFont="1"/>
    <xf borderId="345" fillId="0" fontId="60" numFmtId="0" xfId="0" applyAlignment="1" applyBorder="1" applyFont="1">
      <alignment horizontal="center" vertical="bottom"/>
    </xf>
    <xf borderId="346" fillId="49" fontId="60" numFmtId="0" xfId="0" applyAlignment="1" applyBorder="1" applyFont="1">
      <alignment vertical="bottom"/>
    </xf>
    <xf borderId="327" fillId="49" fontId="60" numFmtId="0" xfId="0" applyAlignment="1" applyBorder="1" applyFont="1">
      <alignment horizontal="center" vertical="bottom"/>
    </xf>
    <xf borderId="327" fillId="0" fontId="60" numFmtId="181" xfId="0" applyAlignment="1" applyBorder="1" applyFont="1" applyNumberFormat="1">
      <alignment horizontal="center" vertical="bottom"/>
    </xf>
    <xf borderId="327" fillId="49" fontId="60" numFmtId="181" xfId="0" applyAlignment="1" applyBorder="1" applyFont="1" applyNumberFormat="1">
      <alignment horizontal="center" vertical="bottom"/>
    </xf>
    <xf borderId="327" fillId="49" fontId="60" numFmtId="4" xfId="0" applyAlignment="1" applyBorder="1" applyFont="1" applyNumberFormat="1">
      <alignment horizontal="center" vertical="bottom"/>
    </xf>
    <xf borderId="347" fillId="49" fontId="60" numFmtId="4" xfId="0" applyAlignment="1" applyBorder="1" applyFont="1" applyNumberFormat="1">
      <alignment horizontal="center" vertical="bottom"/>
    </xf>
    <xf borderId="348" fillId="41" fontId="72" numFmtId="0" xfId="0" applyAlignment="1" applyBorder="1" applyFont="1">
      <alignment horizontal="center"/>
    </xf>
    <xf borderId="349" fillId="0" fontId="4" numFmtId="0" xfId="0" applyBorder="1" applyFont="1"/>
    <xf borderId="350" fillId="41" fontId="72" numFmtId="0" xfId="0" applyAlignment="1" applyBorder="1" applyFont="1">
      <alignment horizontal="center" shrinkToFit="0" wrapText="1"/>
    </xf>
    <xf borderId="351" fillId="0" fontId="4" numFmtId="0" xfId="0" applyBorder="1" applyFont="1"/>
    <xf borderId="175" fillId="41" fontId="72" numFmtId="0" xfId="0" applyAlignment="1" applyBorder="1" applyFont="1">
      <alignment horizontal="center" shrinkToFit="0" wrapText="1"/>
    </xf>
    <xf borderId="120" fillId="41" fontId="72" numFmtId="0" xfId="0" applyAlignment="1" applyBorder="1" applyFont="1">
      <alignment horizontal="center" shrinkToFit="0" wrapText="1"/>
    </xf>
    <xf borderId="328" fillId="0" fontId="60" numFmtId="0" xfId="0" applyAlignment="1" applyBorder="1" applyFont="1">
      <alignment horizontal="center"/>
    </xf>
    <xf borderId="352" fillId="0" fontId="4" numFmtId="0" xfId="0" applyBorder="1" applyFont="1"/>
    <xf borderId="338" fillId="0" fontId="60" numFmtId="0" xfId="0" applyAlignment="1" applyBorder="1" applyFont="1">
      <alignment horizontal="center"/>
    </xf>
    <xf borderId="338" fillId="0" fontId="60" numFmtId="181" xfId="0" applyAlignment="1" applyBorder="1" applyFont="1" applyNumberFormat="1">
      <alignment horizontal="center"/>
    </xf>
    <xf borderId="353" fillId="0" fontId="4" numFmtId="0" xfId="0" applyBorder="1" applyFont="1"/>
    <xf borderId="120" fillId="0" fontId="5" numFmtId="0" xfId="0" applyBorder="1" applyFont="1"/>
    <xf borderId="345" fillId="0" fontId="5" numFmtId="0" xfId="0" applyAlignment="1" applyBorder="1" applyFont="1">
      <alignment vertical="bottom"/>
    </xf>
    <xf borderId="346" fillId="49" fontId="5" numFmtId="0" xfId="0" applyAlignment="1" applyBorder="1" applyFont="1">
      <alignment vertical="bottom"/>
    </xf>
    <xf borderId="327" fillId="49" fontId="5" numFmtId="0" xfId="0" applyAlignment="1" applyBorder="1" applyFont="1">
      <alignment vertical="bottom"/>
    </xf>
    <xf borderId="327" fillId="0" fontId="5" numFmtId="181" xfId="0" applyAlignment="1" applyBorder="1" applyFont="1" applyNumberFormat="1">
      <alignment vertical="bottom"/>
    </xf>
    <xf borderId="327" fillId="49" fontId="5" numFmtId="4" xfId="0" applyAlignment="1" applyBorder="1" applyFont="1" applyNumberFormat="1">
      <alignment vertical="bottom"/>
    </xf>
    <xf borderId="347" fillId="49" fontId="5" numFmtId="4" xfId="0" applyAlignment="1" applyBorder="1" applyFont="1" applyNumberFormat="1">
      <alignment vertical="bottom"/>
    </xf>
    <xf borderId="328" fillId="0" fontId="5" numFmtId="0" xfId="0" applyBorder="1" applyFont="1"/>
    <xf borderId="338" fillId="0" fontId="5" numFmtId="181" xfId="0" applyBorder="1" applyFont="1" applyNumberFormat="1"/>
    <xf borderId="354" fillId="0" fontId="4" numFmtId="0" xfId="0" applyBorder="1" applyFont="1"/>
    <xf borderId="62" fillId="0" fontId="5" numFmtId="0" xfId="0" applyBorder="1" applyFont="1"/>
    <xf borderId="62" fillId="0" fontId="5" numFmtId="181" xfId="0" applyBorder="1" applyFont="1" applyNumberFormat="1"/>
    <xf borderId="355" fillId="0" fontId="4" numFmtId="0" xfId="0" applyBorder="1" applyFont="1"/>
    <xf borderId="0" fillId="0" fontId="60" numFmtId="4" xfId="0" applyAlignment="1" applyFont="1" applyNumberFormat="1">
      <alignment horizontal="right" vertical="bottom"/>
    </xf>
    <xf borderId="356" fillId="0" fontId="5" numFmtId="0" xfId="0" applyAlignment="1" applyBorder="1" applyFont="1">
      <alignment vertical="bottom"/>
    </xf>
    <xf borderId="357" fillId="49" fontId="5" numFmtId="0" xfId="0" applyAlignment="1" applyBorder="1" applyFont="1">
      <alignment vertical="bottom"/>
    </xf>
    <xf borderId="358" fillId="0" fontId="5" numFmtId="0" xfId="0" applyAlignment="1" applyBorder="1" applyFont="1">
      <alignment vertical="bottom"/>
    </xf>
    <xf borderId="358" fillId="49" fontId="5" numFmtId="0" xfId="0" applyAlignment="1" applyBorder="1" applyFont="1">
      <alignment vertical="bottom"/>
    </xf>
    <xf borderId="358" fillId="0" fontId="5" numFmtId="181" xfId="0" applyAlignment="1" applyBorder="1" applyFont="1" applyNumberFormat="1">
      <alignment vertical="bottom"/>
    </xf>
    <xf borderId="358" fillId="49" fontId="60" numFmtId="181" xfId="0" applyAlignment="1" applyBorder="1" applyFont="1" applyNumberFormat="1">
      <alignment horizontal="center" vertical="bottom"/>
    </xf>
    <xf borderId="358" fillId="49" fontId="5" numFmtId="4" xfId="0" applyAlignment="1" applyBorder="1" applyFont="1" applyNumberFormat="1">
      <alignment vertical="bottom"/>
    </xf>
    <xf borderId="359" fillId="49" fontId="5" numFmtId="4" xfId="0" applyAlignment="1" applyBorder="1" applyFont="1" applyNumberFormat="1">
      <alignment vertical="bottom"/>
    </xf>
    <xf borderId="0" fillId="0" fontId="5" numFmtId="181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360" fillId="50" fontId="77" numFmtId="0" xfId="0" applyAlignment="1" applyBorder="1" applyFill="1" applyFont="1">
      <alignment vertical="bottom"/>
    </xf>
    <xf borderId="361" fillId="0" fontId="4" numFmtId="0" xfId="0" applyBorder="1" applyFont="1"/>
    <xf borderId="362" fillId="50" fontId="77" numFmtId="2" xfId="0" applyAlignment="1" applyBorder="1" applyFont="1" applyNumberFormat="1">
      <alignment horizontal="center" vertical="bottom"/>
    </xf>
    <xf borderId="363" fillId="50" fontId="5" numFmtId="9" xfId="0" applyAlignment="1" applyBorder="1" applyFont="1" applyNumberFormat="1">
      <alignment vertical="bottom"/>
    </xf>
    <xf borderId="364" fillId="0" fontId="71" numFmtId="0" xfId="0" applyAlignment="1" applyBorder="1" applyFont="1">
      <alignment vertical="bottom"/>
    </xf>
    <xf borderId="364" fillId="0" fontId="5" numFmtId="0" xfId="0" applyAlignment="1" applyBorder="1" applyFont="1">
      <alignment vertical="bottom"/>
    </xf>
    <xf borderId="364" fillId="0" fontId="71" numFmtId="4" xfId="0" applyAlignment="1" applyBorder="1" applyFont="1" applyNumberFormat="1">
      <alignment horizontal="center" vertical="bottom"/>
    </xf>
    <xf borderId="365" fillId="50" fontId="78" numFmtId="0" xfId="0" applyAlignment="1" applyBorder="1" applyFont="1">
      <alignment vertical="bottom"/>
    </xf>
    <xf borderId="1" fillId="50" fontId="78" numFmtId="2" xfId="0" applyAlignment="1" applyBorder="1" applyFont="1" applyNumberFormat="1">
      <alignment horizontal="center" vertical="bottom"/>
    </xf>
    <xf borderId="366" fillId="50" fontId="79" numFmtId="9" xfId="0" applyAlignment="1" applyBorder="1" applyFont="1" applyNumberFormat="1">
      <alignment horizontal="center" vertical="bottom"/>
    </xf>
    <xf borderId="365" fillId="50" fontId="80" numFmtId="0" xfId="0" applyAlignment="1" applyBorder="1" applyFont="1">
      <alignment vertical="bottom"/>
    </xf>
    <xf borderId="1" fillId="50" fontId="80" numFmtId="2" xfId="0" applyAlignment="1" applyBorder="1" applyFont="1" applyNumberFormat="1">
      <alignment horizontal="center" vertical="bottom"/>
    </xf>
    <xf borderId="366" fillId="50" fontId="80" numFmtId="10" xfId="0" applyAlignment="1" applyBorder="1" applyFont="1" applyNumberFormat="1">
      <alignment horizontal="center" vertical="bottom"/>
    </xf>
    <xf borderId="367" fillId="41" fontId="71" numFmtId="0" xfId="0" applyAlignment="1" applyBorder="1" applyFont="1">
      <alignment vertical="bottom"/>
    </xf>
    <xf borderId="367" fillId="41" fontId="5" numFmtId="0" xfId="0" applyAlignment="1" applyBorder="1" applyFont="1">
      <alignment vertical="bottom"/>
    </xf>
    <xf borderId="367" fillId="41" fontId="71" numFmtId="4" xfId="0" applyAlignment="1" applyBorder="1" applyFont="1" applyNumberFormat="1">
      <alignment horizontal="center" vertical="bottom"/>
    </xf>
    <xf borderId="368" fillId="0" fontId="5" numFmtId="0" xfId="0" applyAlignment="1" applyBorder="1" applyFont="1">
      <alignment vertical="bottom"/>
    </xf>
    <xf borderId="368" fillId="0" fontId="5" numFmtId="4" xfId="0" applyAlignment="1" applyBorder="1" applyFont="1" applyNumberFormat="1">
      <alignment vertical="bottom"/>
    </xf>
    <xf borderId="1" fillId="50" fontId="80" numFmtId="4" xfId="0" applyAlignment="1" applyBorder="1" applyFont="1" applyNumberFormat="1">
      <alignment horizontal="center" vertical="bottom"/>
    </xf>
    <xf borderId="369" fillId="50" fontId="81" numFmtId="0" xfId="0" applyAlignment="1" applyBorder="1" applyFont="1">
      <alignment vertical="bottom"/>
    </xf>
    <xf borderId="370" fillId="0" fontId="4" numFmtId="0" xfId="0" applyBorder="1" applyFont="1"/>
    <xf borderId="371" fillId="50" fontId="81" numFmtId="4" xfId="0" applyAlignment="1" applyBorder="1" applyFont="1" applyNumberFormat="1">
      <alignment horizontal="center" vertical="bottom"/>
    </xf>
    <xf borderId="372" fillId="50" fontId="81" numFmtId="10" xfId="0" applyAlignment="1" applyBorder="1" applyFont="1" applyNumberFormat="1">
      <alignment horizontal="center" vertical="bottom"/>
    </xf>
    <xf borderId="0" fillId="0" fontId="82" numFmtId="0" xfId="0" applyAlignment="1" applyFont="1">
      <alignment horizontal="right" vertical="bottom"/>
    </xf>
    <xf borderId="371" fillId="50" fontId="78" numFmtId="4" xfId="0" applyAlignment="1" applyBorder="1" applyFont="1" applyNumberFormat="1">
      <alignment horizontal="center" vertical="bottom"/>
    </xf>
    <xf borderId="372" fillId="50" fontId="5" numFmtId="10" xfId="0" applyAlignment="1" applyBorder="1" applyFont="1" applyNumberFormat="1">
      <alignment vertical="bottom"/>
    </xf>
    <xf borderId="62" fillId="0" fontId="5" numFmtId="0" xfId="0" applyAlignment="1" applyBorder="1" applyFont="1">
      <alignment vertical="bottom"/>
    </xf>
    <xf borderId="73" fillId="0" fontId="38" numFmtId="0" xfId="0" applyAlignment="1" applyBorder="1" applyFont="1">
      <alignment horizontal="center" readingOrder="0" vertical="center"/>
    </xf>
    <xf borderId="88" fillId="0" fontId="38" numFmtId="0" xfId="0" applyAlignment="1" applyBorder="1" applyFont="1">
      <alignment readingOrder="0"/>
    </xf>
    <xf borderId="250" fillId="0" fontId="13" numFmtId="176" xfId="0" applyAlignment="1" applyBorder="1" applyFont="1" applyNumberFormat="1">
      <alignment horizontal="center" vertical="center"/>
    </xf>
    <xf borderId="373" fillId="0" fontId="13" numFmtId="0" xfId="0" applyAlignment="1" applyBorder="1" applyFont="1">
      <alignment horizontal="center" vertical="center"/>
    </xf>
    <xf borderId="373" fillId="0" fontId="13" numFmtId="0" xfId="0" applyAlignment="1" applyBorder="1" applyFont="1">
      <alignment horizontal="center" readingOrder="0" vertical="center"/>
    </xf>
    <xf borderId="373" fillId="0" fontId="13" numFmtId="164" xfId="0" applyAlignment="1" applyBorder="1" applyFont="1" applyNumberFormat="1">
      <alignment horizontal="center" readingOrder="0" vertical="center"/>
    </xf>
    <xf borderId="373" fillId="0" fontId="13" numFmtId="176" xfId="0" applyAlignment="1" applyBorder="1" applyFont="1" applyNumberFormat="1">
      <alignment horizontal="center" readingOrder="0" vertical="center"/>
    </xf>
    <xf borderId="374" fillId="0" fontId="13" numFmtId="0" xfId="0" applyAlignment="1" applyBorder="1" applyFont="1">
      <alignment horizontal="center" vertical="center"/>
    </xf>
    <xf borderId="17" fillId="0" fontId="38" numFmtId="0" xfId="0" applyAlignment="1" applyBorder="1" applyFont="1">
      <alignment readingOrder="0"/>
    </xf>
    <xf borderId="14" fillId="0" fontId="13" numFmtId="176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readingOrder="0" vertical="center"/>
    </xf>
    <xf borderId="5" fillId="0" fontId="13" numFmtId="164" xfId="0" applyAlignment="1" applyBorder="1" applyFont="1" applyNumberFormat="1">
      <alignment horizontal="center" readingOrder="0" vertical="center"/>
    </xf>
    <xf borderId="5" fillId="0" fontId="13" numFmtId="176" xfId="0" applyAlignment="1" applyBorder="1" applyFont="1" applyNumberFormat="1">
      <alignment horizontal="center" readingOrder="0" vertical="center"/>
    </xf>
    <xf borderId="187" fillId="0" fontId="13" numFmtId="0" xfId="0" applyAlignment="1" applyBorder="1" applyFont="1">
      <alignment horizontal="center" vertical="center"/>
    </xf>
    <xf borderId="5" fillId="0" fontId="13" numFmtId="164" xfId="0" applyAlignment="1" applyBorder="1" applyFont="1" applyNumberFormat="1">
      <alignment horizontal="center" vertical="center"/>
    </xf>
    <xf borderId="17" fillId="0" fontId="38" numFmtId="0" xfId="0" applyBorder="1" applyFont="1"/>
    <xf borderId="5" fillId="0" fontId="13" numFmtId="176" xfId="0" applyAlignment="1" applyBorder="1" applyFont="1" applyNumberFormat="1">
      <alignment horizontal="center" vertical="center"/>
    </xf>
    <xf borderId="375" fillId="0" fontId="38" numFmtId="0" xfId="0" applyBorder="1" applyFont="1"/>
    <xf borderId="182" fillId="0" fontId="13" numFmtId="176" xfId="0" applyAlignment="1" applyBorder="1" applyFont="1" applyNumberFormat="1">
      <alignment horizontal="center" vertical="center"/>
    </xf>
    <xf borderId="246" fillId="0" fontId="13" numFmtId="0" xfId="0" applyAlignment="1" applyBorder="1" applyFont="1">
      <alignment horizontal="center" vertical="center"/>
    </xf>
    <xf borderId="246" fillId="0" fontId="13" numFmtId="164" xfId="0" applyAlignment="1" applyBorder="1" applyFont="1" applyNumberFormat="1">
      <alignment horizontal="center" vertical="center"/>
    </xf>
    <xf borderId="246" fillId="0" fontId="13" numFmtId="176" xfId="0" applyAlignment="1" applyBorder="1" applyFont="1" applyNumberFormat="1">
      <alignment horizontal="center" vertical="center"/>
    </xf>
    <xf borderId="191" fillId="0" fontId="13" numFmtId="0" xfId="0" applyAlignment="1" applyBorder="1" applyFont="1">
      <alignment horizontal="center" vertical="center"/>
    </xf>
    <xf borderId="185" fillId="51" fontId="38" numFmtId="0" xfId="0" applyAlignment="1" applyBorder="1" applyFill="1" applyFont="1">
      <alignment horizontal="center" readingOrder="0" shrinkToFit="0" vertical="center" wrapText="1"/>
    </xf>
    <xf borderId="185" fillId="51" fontId="38" numFmtId="0" xfId="0" applyAlignment="1" applyBorder="1" applyFont="1">
      <alignment horizontal="center" readingOrder="0" vertical="center"/>
    </xf>
    <xf borderId="185" fillId="51" fontId="38" numFmtId="176" xfId="0" applyAlignment="1" applyBorder="1" applyFont="1" applyNumberFormat="1">
      <alignment horizontal="center" readingOrder="0" vertical="center"/>
    </xf>
    <xf borderId="0" fillId="0" fontId="38" numFmtId="0" xfId="0" applyAlignment="1" applyFont="1">
      <alignment horizontal="center" shrinkToFit="0" vertical="center" wrapText="1"/>
    </xf>
    <xf borderId="185" fillId="0" fontId="38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0" fillId="0" fontId="13" numFmtId="0" xfId="0" applyFont="1"/>
    <xf borderId="0" fillId="0" fontId="83" numFmtId="0" xfId="0" applyAlignment="1" applyFont="1">
      <alignment horizontal="center" readingOrder="0" shrinkToFit="0" vertical="center" wrapText="1"/>
    </xf>
    <xf borderId="185" fillId="0" fontId="38" numFmtId="0" xfId="0" applyAlignment="1" applyBorder="1" applyFont="1">
      <alignment horizontal="center" readingOrder="0" shrinkToFit="0" vertical="center" wrapText="1"/>
    </xf>
    <xf borderId="5" fillId="0" fontId="13" numFmtId="0" xfId="0" applyAlignment="1" applyBorder="1" applyFont="1">
      <alignment horizontal="center" vertic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86">
    <tableStyle count="3" pivot="0" name="Fluxo de Caixa-style">
      <tableStyleElement dxfId="1" type="headerRow"/>
      <tableStyleElement dxfId="2" type="firstRowStripe"/>
      <tableStyleElement dxfId="3" type="secondRowStripe"/>
    </tableStyle>
    <tableStyle count="3" pivot="0" name="Fluxo de Caixa-style 2">
      <tableStyleElement dxfId="1" type="headerRow"/>
      <tableStyleElement dxfId="2" type="firstRowStripe"/>
      <tableStyleElement dxfId="3" type="secondRowStripe"/>
    </tableStyle>
    <tableStyle count="3" pivot="0" name="Fluxo de Caixa-style 3">
      <tableStyleElement dxfId="1" type="headerRow"/>
      <tableStyleElement dxfId="2" type="firstRowStripe"/>
      <tableStyleElement dxfId="3" type="secondRowStripe"/>
    </tableStyle>
    <tableStyle count="3" pivot="0" name="Fluxo de Caixa-style 4">
      <tableStyleElement dxfId="1" type="headerRow"/>
      <tableStyleElement dxfId="2" type="firstRowStripe"/>
      <tableStyleElement dxfId="3" type="secondRowStripe"/>
    </tableStyle>
    <tableStyle count="3" pivot="0" name="Fluxo de Caixa-style 5">
      <tableStyleElement dxfId="1" type="headerRow"/>
      <tableStyleElement dxfId="2" type="firstRowStripe"/>
      <tableStyleElement dxfId="3" type="secondRowStripe"/>
    </tableStyle>
    <tableStyle count="3" pivot="0" name="Fluxo de Caixa-style 6">
      <tableStyleElement dxfId="1" type="headerRow"/>
      <tableStyleElement dxfId="2" type="firstRowStripe"/>
      <tableStyleElement dxfId="3" type="secondRowStripe"/>
    </tableStyle>
    <tableStyle count="3" pivot="0" name="Fluxo de Caixa-style 7">
      <tableStyleElement dxfId="1" type="headerRow"/>
      <tableStyleElement dxfId="2" type="firstRowStripe"/>
      <tableStyleElement dxfId="3" type="secondRowStripe"/>
    </tableStyle>
    <tableStyle count="3" pivot="0" name="Fluxo de Caixa-style 8">
      <tableStyleElement dxfId="1" type="headerRow"/>
      <tableStyleElement dxfId="2" type="firstRowStripe"/>
      <tableStyleElement dxfId="3" type="secondRowStripe"/>
    </tableStyle>
    <tableStyle count="3" pivot="0" name="Fluxo de Caixa-style 9">
      <tableStyleElement dxfId="1" type="headerRow"/>
      <tableStyleElement dxfId="2" type="firstRowStripe"/>
      <tableStyleElement dxfId="3" type="secondRowStripe"/>
    </tableStyle>
    <tableStyle count="3" pivot="0" name="Fluxo de Caixa-style 10">
      <tableStyleElement dxfId="1" type="headerRow"/>
      <tableStyleElement dxfId="2" type="firstRowStripe"/>
      <tableStyleElement dxfId="3" type="secondRowStripe"/>
    </tableStyle>
    <tableStyle count="3" pivot="0" name="Fluxo de Caixa-style 11">
      <tableStyleElement dxfId="1" type="headerRow"/>
      <tableStyleElement dxfId="2" type="firstRowStripe"/>
      <tableStyleElement dxfId="3" type="secondRowStripe"/>
    </tableStyle>
    <tableStyle count="3" pivot="0" name="Fluxo de Caixa-style 12">
      <tableStyleElement dxfId="1" type="headerRow"/>
      <tableStyleElement dxfId="2" type="firstRowStripe"/>
      <tableStyleElement dxfId="3" type="secondRowStripe"/>
    </tableStyle>
    <tableStyle count="3" pivot="0" name="Fluxo de Caixa-style 13">
      <tableStyleElement dxfId="4" type="headerRow"/>
      <tableStyleElement dxfId="2" type="firstRowStripe"/>
      <tableStyleElement dxfId="5" type="secondRowStripe"/>
    </tableStyle>
    <tableStyle count="3" pivot="0" name="Fluxo de Caixa-style 14">
      <tableStyleElement dxfId="1" type="headerRow"/>
      <tableStyleElement dxfId="2" type="firstRowStripe"/>
      <tableStyleElement dxfId="3" type="secondRowStripe"/>
    </tableStyle>
    <tableStyle count="3" pivot="0" name="Fluxo de Caixa-style 15">
      <tableStyleElement dxfId="1" type="headerRow"/>
      <tableStyleElement dxfId="2" type="firstRowStripe"/>
      <tableStyleElement dxfId="3" type="secondRowStripe"/>
    </tableStyle>
    <tableStyle count="3" pivot="0" name="Fluxo de Caixa-style 16">
      <tableStyleElement dxfId="1" type="headerRow"/>
      <tableStyleElement dxfId="2" type="firstRowStripe"/>
      <tableStyleElement dxfId="3" type="secondRowStripe"/>
    </tableStyle>
    <tableStyle count="3" pivot="0" name="Fluxo de Caixa-style 17">
      <tableStyleElement dxfId="1" type="headerRow"/>
      <tableStyleElement dxfId="2" type="firstRowStripe"/>
      <tableStyleElement dxfId="3" type="secondRowStripe"/>
    </tableStyle>
    <tableStyle count="3" pivot="0" name="Fluxo de Caixa-style 18">
      <tableStyleElement dxfId="1" type="headerRow"/>
      <tableStyleElement dxfId="2" type="firstRowStripe"/>
      <tableStyleElement dxfId="3" type="secondRowStripe"/>
    </tableStyle>
    <tableStyle count="3" pivot="0" name="Fluxo de Caixa-style 19">
      <tableStyleElement dxfId="1" type="headerRow"/>
      <tableStyleElement dxfId="2" type="firstRowStripe"/>
      <tableStyleElement dxfId="3" type="secondRowStripe"/>
    </tableStyle>
    <tableStyle count="3" pivot="0" name="Fluxo de Caixa-style 20">
      <tableStyleElement dxfId="1" type="headerRow"/>
      <tableStyleElement dxfId="2" type="firstRowStripe"/>
      <tableStyleElement dxfId="3" type="secondRowStripe"/>
    </tableStyle>
    <tableStyle count="3" pivot="0" name="Fluxo de Caixa-style 21">
      <tableStyleElement dxfId="1" type="headerRow"/>
      <tableStyleElement dxfId="2" type="firstRowStripe"/>
      <tableStyleElement dxfId="3" type="secondRowStripe"/>
    </tableStyle>
    <tableStyle count="3" pivot="0" name="Fluxo de Caixa-style 22">
      <tableStyleElement dxfId="1" type="headerRow"/>
      <tableStyleElement dxfId="2" type="firstRowStripe"/>
      <tableStyleElement dxfId="3" type="secondRowStripe"/>
    </tableStyle>
    <tableStyle count="3" pivot="0" name="Fluxo de Caixa-style 23">
      <tableStyleElement dxfId="1" type="headerRow"/>
      <tableStyleElement dxfId="2" type="firstRowStripe"/>
      <tableStyleElement dxfId="3" type="secondRowStripe"/>
    </tableStyle>
    <tableStyle count="3" pivot="0" name="Fluxo de Caixa-style 24">
      <tableStyleElement dxfId="1" type="headerRow"/>
      <tableStyleElement dxfId="2" type="firstRowStripe"/>
      <tableStyleElement dxfId="3" type="secondRowStripe"/>
    </tableStyle>
    <tableStyle count="3" pivot="0" name="Fluxo de Caixa-style 25">
      <tableStyleElement dxfId="1" type="headerRow"/>
      <tableStyleElement dxfId="2" type="firstRowStripe"/>
      <tableStyleElement dxfId="3" type="secondRowStripe"/>
    </tableStyle>
    <tableStyle count="3" pivot="0" name="Fluxo de Caixa-style 26">
      <tableStyleElement dxfId="4" type="headerRow"/>
      <tableStyleElement dxfId="2" type="firstRowStripe"/>
      <tableStyleElement dxfId="5" type="secondRowStripe"/>
    </tableStyle>
    <tableStyle count="3" pivot="0" name="Fluxo de Caixa-style 27">
      <tableStyleElement dxfId="1" type="headerRow"/>
      <tableStyleElement dxfId="2" type="firstRowStripe"/>
      <tableStyleElement dxfId="3" type="secondRowStripe"/>
    </tableStyle>
    <tableStyle count="3" pivot="0" name="Fluxo de Caixa-style 28">
      <tableStyleElement dxfId="1" type="headerRow"/>
      <tableStyleElement dxfId="2" type="firstRowStripe"/>
      <tableStyleElement dxfId="3" type="secondRowStripe"/>
    </tableStyle>
    <tableStyle count="3" pivot="0" name="Fluxo de Caixa-style 29">
      <tableStyleElement dxfId="1" type="headerRow"/>
      <tableStyleElement dxfId="2" type="firstRowStripe"/>
      <tableStyleElement dxfId="3" type="secondRowStripe"/>
    </tableStyle>
    <tableStyle count="3" pivot="0" name="Fluxo de Caixa-style 30">
      <tableStyleElement dxfId="1" type="headerRow"/>
      <tableStyleElement dxfId="2" type="firstRowStripe"/>
      <tableStyleElement dxfId="3" type="secondRowStripe"/>
    </tableStyle>
    <tableStyle count="3" pivot="0" name="Fluxo de Caixa-style 31">
      <tableStyleElement dxfId="1" type="headerRow"/>
      <tableStyleElement dxfId="2" type="firstRowStripe"/>
      <tableStyleElement dxfId="3" type="secondRowStripe"/>
    </tableStyle>
    <tableStyle count="3" pivot="0" name="Fluxo de Caixa-style 32">
      <tableStyleElement dxfId="1" type="headerRow"/>
      <tableStyleElement dxfId="2" type="firstRowStripe"/>
      <tableStyleElement dxfId="3" type="secondRowStripe"/>
    </tableStyle>
    <tableStyle count="3" pivot="0" name="Fluxo de Caixa-style 33">
      <tableStyleElement dxfId="1" type="headerRow"/>
      <tableStyleElement dxfId="2" type="firstRowStripe"/>
      <tableStyleElement dxfId="3" type="secondRowStripe"/>
    </tableStyle>
    <tableStyle count="3" pivot="0" name="Fluxo de Caixa-style 34">
      <tableStyleElement dxfId="1" type="headerRow"/>
      <tableStyleElement dxfId="2" type="firstRowStripe"/>
      <tableStyleElement dxfId="3" type="secondRowStripe"/>
    </tableStyle>
    <tableStyle count="3" pivot="0" name="Fluxo de Caixa-style 35">
      <tableStyleElement dxfId="1" type="headerRow"/>
      <tableStyleElement dxfId="2" type="firstRowStripe"/>
      <tableStyleElement dxfId="3" type="secondRowStripe"/>
    </tableStyle>
    <tableStyle count="3" pivot="0" name="Fluxo de Caixa-style 36">
      <tableStyleElement dxfId="1" type="headerRow"/>
      <tableStyleElement dxfId="2" type="firstRowStripe"/>
      <tableStyleElement dxfId="3" type="secondRowStripe"/>
    </tableStyle>
    <tableStyle count="3" pivot="0" name="Fluxo de Caixa-style 37">
      <tableStyleElement dxfId="1" type="headerRow"/>
      <tableStyleElement dxfId="2" type="firstRowStripe"/>
      <tableStyleElement dxfId="3" type="secondRowStripe"/>
    </tableStyle>
    <tableStyle count="3" pivot="0" name="Fluxo de Caixa-style 38">
      <tableStyleElement dxfId="1" type="headerRow"/>
      <tableStyleElement dxfId="2" type="firstRowStripe"/>
      <tableStyleElement dxfId="3" type="secondRowStripe"/>
    </tableStyle>
    <tableStyle count="3" pivot="0" name="Fluxo de Caixa-style 39">
      <tableStyleElement dxfId="1" type="headerRow"/>
      <tableStyleElement dxfId="2" type="firstRowStripe"/>
      <tableStyleElement dxfId="3" type="secondRowStripe"/>
    </tableStyle>
    <tableStyle count="3" pivot="0" name="Fluxo de Caixa-style 40">
      <tableStyleElement dxfId="1" type="headerRow"/>
      <tableStyleElement dxfId="2" type="firstRowStripe"/>
      <tableStyleElement dxfId="3" type="secondRowStripe"/>
    </tableStyle>
    <tableStyle count="3" pivot="0" name="Fluxo de Caixa-style 41">
      <tableStyleElement dxfId="1" type="headerRow"/>
      <tableStyleElement dxfId="2" type="firstRowStripe"/>
      <tableStyleElement dxfId="3" type="secondRowStripe"/>
    </tableStyle>
    <tableStyle count="3" pivot="0" name="Fluxo de Caixa-style 42">
      <tableStyleElement dxfId="1" type="headerRow"/>
      <tableStyleElement dxfId="2" type="firstRowStripe"/>
      <tableStyleElement dxfId="3" type="secondRowStripe"/>
    </tableStyle>
    <tableStyle count="3" pivot="0" name="Fluxo de Caixa-style 43">
      <tableStyleElement dxfId="1" type="headerRow"/>
      <tableStyleElement dxfId="2" type="firstRowStripe"/>
      <tableStyleElement dxfId="3" type="secondRowStripe"/>
    </tableStyle>
    <tableStyle count="3" pivot="0" name="Fluxo de Caixa-style 44">
      <tableStyleElement dxfId="1" type="headerRow"/>
      <tableStyleElement dxfId="2" type="firstRowStripe"/>
      <tableStyleElement dxfId="3" type="secondRowStripe"/>
    </tableStyle>
    <tableStyle count="3" pivot="0" name="Fluxo de Caixa-style 45">
      <tableStyleElement dxfId="1" type="headerRow"/>
      <tableStyleElement dxfId="2" type="firstRowStripe"/>
      <tableStyleElement dxfId="3" type="secondRowStripe"/>
    </tableStyle>
    <tableStyle count="3" pivot="0" name="Fluxo de Caixa-style 46">
      <tableStyleElement dxfId="1" type="headerRow"/>
      <tableStyleElement dxfId="2" type="firstRowStripe"/>
      <tableStyleElement dxfId="3" type="secondRowStripe"/>
    </tableStyle>
    <tableStyle count="3" pivot="0" name="Fluxo de Caixa-style 47">
      <tableStyleElement dxfId="1" type="headerRow"/>
      <tableStyleElement dxfId="2" type="firstRowStripe"/>
      <tableStyleElement dxfId="3" type="secondRowStripe"/>
    </tableStyle>
    <tableStyle count="3" pivot="0" name="Fluxo de Caixa-style 48">
      <tableStyleElement dxfId="1" type="headerRow"/>
      <tableStyleElement dxfId="2" type="firstRowStripe"/>
      <tableStyleElement dxfId="3" type="secondRowStripe"/>
    </tableStyle>
    <tableStyle count="3" pivot="0" name="Fluxo de Caixa-style 49">
      <tableStyleElement dxfId="1" type="headerRow"/>
      <tableStyleElement dxfId="2" type="firstRowStripe"/>
      <tableStyleElement dxfId="3" type="secondRowStripe"/>
    </tableStyle>
    <tableStyle count="3" pivot="0" name="Fluxo de Caixa-style 50">
      <tableStyleElement dxfId="1" type="headerRow"/>
      <tableStyleElement dxfId="2" type="firstRowStripe"/>
      <tableStyleElement dxfId="3" type="secondRowStripe"/>
    </tableStyle>
    <tableStyle count="3" pivot="0" name="Fluxo de Caixa-style 51">
      <tableStyleElement dxfId="1" type="headerRow"/>
      <tableStyleElement dxfId="2" type="firstRowStripe"/>
      <tableStyleElement dxfId="3" type="secondRowStripe"/>
    </tableStyle>
    <tableStyle count="3" pivot="0" name="Fluxo de Caixa-style 52">
      <tableStyleElement dxfId="1" type="headerRow"/>
      <tableStyleElement dxfId="2" type="firstRowStripe"/>
      <tableStyleElement dxfId="3" type="secondRowStripe"/>
    </tableStyle>
    <tableStyle count="3" pivot="0" name="Fluxo de Caixa-style 53">
      <tableStyleElement dxfId="1" type="headerRow"/>
      <tableStyleElement dxfId="2" type="firstRowStripe"/>
      <tableStyleElement dxfId="3" type="secondRowStripe"/>
    </tableStyle>
    <tableStyle count="3" pivot="0" name="Fluxo de Caixa-style 54">
      <tableStyleElement dxfId="1" type="headerRow"/>
      <tableStyleElement dxfId="2" type="firstRowStripe"/>
      <tableStyleElement dxfId="3" type="secondRowStripe"/>
    </tableStyle>
    <tableStyle count="3" pivot="0" name="Fluxo de Caixa-style 55">
      <tableStyleElement dxfId="1" type="headerRow"/>
      <tableStyleElement dxfId="2" type="firstRowStripe"/>
      <tableStyleElement dxfId="3" type="secondRowStripe"/>
    </tableStyle>
    <tableStyle count="3" pivot="0" name="Fluxo de Caixa-style 56">
      <tableStyleElement dxfId="1" type="headerRow"/>
      <tableStyleElement dxfId="2" type="firstRowStripe"/>
      <tableStyleElement dxfId="3" type="secondRowStripe"/>
    </tableStyle>
    <tableStyle count="3" pivot="0" name="Fluxo de Caixa-style 57">
      <tableStyleElement dxfId="1" type="headerRow"/>
      <tableStyleElement dxfId="2" type="firstRowStripe"/>
      <tableStyleElement dxfId="3" type="secondRowStripe"/>
    </tableStyle>
    <tableStyle count="3" pivot="0" name="Fluxo de Caixa-style 58">
      <tableStyleElement dxfId="1" type="headerRow"/>
      <tableStyleElement dxfId="2" type="firstRowStripe"/>
      <tableStyleElement dxfId="3" type="secondRowStripe"/>
    </tableStyle>
    <tableStyle count="3" pivot="0" name="Fluxo de Caixa-style 59">
      <tableStyleElement dxfId="1" type="headerRow"/>
      <tableStyleElement dxfId="2" type="firstRowStripe"/>
      <tableStyleElement dxfId="3" type="secondRowStripe"/>
    </tableStyle>
    <tableStyle count="3" pivot="0" name="Fluxo de Caixa-style 60">
      <tableStyleElement dxfId="1" type="headerRow"/>
      <tableStyleElement dxfId="2" type="firstRowStripe"/>
      <tableStyleElement dxfId="3" type="secondRowStripe"/>
    </tableStyle>
    <tableStyle count="3" pivot="0" name="Fluxo de Caixa-style 61">
      <tableStyleElement dxfId="1" type="headerRow"/>
      <tableStyleElement dxfId="2" type="firstRowStripe"/>
      <tableStyleElement dxfId="3" type="secondRowStripe"/>
    </tableStyle>
    <tableStyle count="3" pivot="0" name="Fluxo de Caixa-style 62">
      <tableStyleElement dxfId="1" type="headerRow"/>
      <tableStyleElement dxfId="2" type="firstRowStripe"/>
      <tableStyleElement dxfId="3" type="secondRowStripe"/>
    </tableStyle>
    <tableStyle count="3" pivot="0" name="Fluxo de Caixa-style 63">
      <tableStyleElement dxfId="1" type="headerRow"/>
      <tableStyleElement dxfId="2" type="firstRowStripe"/>
      <tableStyleElement dxfId="3" type="secondRowStripe"/>
    </tableStyle>
    <tableStyle count="3" pivot="0" name="Fluxo de Caixa-style 64">
      <tableStyleElement dxfId="1" type="headerRow"/>
      <tableStyleElement dxfId="2" type="firstRowStripe"/>
      <tableStyleElement dxfId="3" type="secondRowStripe"/>
    </tableStyle>
    <tableStyle count="3" pivot="0" name="Fluxo de Caixa-style 65">
      <tableStyleElement dxfId="1" type="headerRow"/>
      <tableStyleElement dxfId="2" type="firstRowStripe"/>
      <tableStyleElement dxfId="3" type="secondRowStripe"/>
    </tableStyle>
    <tableStyle count="3" pivot="0" name="Fluxo de Caixa-style 66">
      <tableStyleElement dxfId="1" type="headerRow"/>
      <tableStyleElement dxfId="2" type="firstRowStripe"/>
      <tableStyleElement dxfId="3" type="secondRowStripe"/>
    </tableStyle>
    <tableStyle count="3" pivot="0" name="Fluxo de Caixa-style 67">
      <tableStyleElement dxfId="1" type="headerRow"/>
      <tableStyleElement dxfId="2" type="firstRowStripe"/>
      <tableStyleElement dxfId="3" type="secondRowStripe"/>
    </tableStyle>
    <tableStyle count="3" pivot="0" name="Fluxo de Caixa-style 68">
      <tableStyleElement dxfId="1" type="headerRow"/>
      <tableStyleElement dxfId="2" type="firstRowStripe"/>
      <tableStyleElement dxfId="3" type="secondRowStripe"/>
    </tableStyle>
    <tableStyle count="3" pivot="0" name="Fluxo de Caixa-style 69">
      <tableStyleElement dxfId="1" type="headerRow"/>
      <tableStyleElement dxfId="2" type="firstRowStripe"/>
      <tableStyleElement dxfId="3" type="secondRowStripe"/>
    </tableStyle>
    <tableStyle count="3" pivot="0" name="Fluxo de Caixa-style 70">
      <tableStyleElement dxfId="1" type="headerRow"/>
      <tableStyleElement dxfId="2" type="firstRowStripe"/>
      <tableStyleElement dxfId="3" type="secondRowStripe"/>
    </tableStyle>
    <tableStyle count="3" pivot="0" name="Fluxo de Caixa-style 71">
      <tableStyleElement dxfId="1" type="headerRow"/>
      <tableStyleElement dxfId="2" type="firstRowStripe"/>
      <tableStyleElement dxfId="3" type="secondRowStripe"/>
    </tableStyle>
    <tableStyle count="3" pivot="0" name="Fluxo de Caixa-style 72">
      <tableStyleElement dxfId="1" type="headerRow"/>
      <tableStyleElement dxfId="2" type="firstRowStripe"/>
      <tableStyleElement dxfId="3" type="secondRowStripe"/>
    </tableStyle>
    <tableStyle count="3" pivot="0" name="Fluxo de Caixa-style 73">
      <tableStyleElement dxfId="1" type="headerRow"/>
      <tableStyleElement dxfId="2" type="firstRowStripe"/>
      <tableStyleElement dxfId="3" type="secondRowStripe"/>
    </tableStyle>
    <tableStyle count="3" pivot="0" name="Fluxo de Caixa-style 74">
      <tableStyleElement dxfId="1" type="headerRow"/>
      <tableStyleElement dxfId="2" type="firstRowStripe"/>
      <tableStyleElement dxfId="3" type="secondRowStripe"/>
    </tableStyle>
    <tableStyle count="3" pivot="0" name="Fluxo de Caixa-style 75">
      <tableStyleElement dxfId="1" type="headerRow"/>
      <tableStyleElement dxfId="2" type="firstRowStripe"/>
      <tableStyleElement dxfId="3" type="secondRowStripe"/>
    </tableStyle>
    <tableStyle count="3" pivot="0" name="Fluxo de Caixa-style 76">
      <tableStyleElement dxfId="1" type="headerRow"/>
      <tableStyleElement dxfId="2" type="firstRowStripe"/>
      <tableStyleElement dxfId="3" type="secondRowStripe"/>
    </tableStyle>
    <tableStyle count="3" pivot="0" name="Fluxo de Caixa-style 77">
      <tableStyleElement dxfId="1" type="headerRow"/>
      <tableStyleElement dxfId="2" type="firstRowStripe"/>
      <tableStyleElement dxfId="3" type="secondRowStripe"/>
    </tableStyle>
    <tableStyle count="3" pivot="0" name="Fluxo de Caixa-style 78">
      <tableStyleElement dxfId="1" type="headerRow"/>
      <tableStyleElement dxfId="2" type="firstRowStripe"/>
      <tableStyleElement dxfId="3" type="secondRowStripe"/>
    </tableStyle>
    <tableStyle count="3" pivot="0" name="Fluxo de Caixa-style 79">
      <tableStyleElement dxfId="1" type="headerRow"/>
      <tableStyleElement dxfId="2" type="firstRowStripe"/>
      <tableStyleElement dxfId="3" type="secondRowStripe"/>
    </tableStyle>
    <tableStyle count="3" pivot="0" name="Fluxo de Caixa-style 80">
      <tableStyleElement dxfId="1" type="headerRow"/>
      <tableStyleElement dxfId="2" type="firstRowStripe"/>
      <tableStyleElement dxfId="3" type="secondRowStripe"/>
    </tableStyle>
    <tableStyle count="3" pivot="0" name="Fluxo de Caixa-style 81">
      <tableStyleElement dxfId="1" type="headerRow"/>
      <tableStyleElement dxfId="2" type="firstRowStripe"/>
      <tableStyleElement dxfId="3" type="secondRowStripe"/>
    </tableStyle>
    <tableStyle count="3" pivot="0" name="Fluxo de Caixa-style 82">
      <tableStyleElement dxfId="1" type="headerRow"/>
      <tableStyleElement dxfId="2" type="firstRowStripe"/>
      <tableStyleElement dxfId="3" type="secondRowStripe"/>
    </tableStyle>
    <tableStyle count="3" pivot="0" name="Fluxo de Caixa-style 83">
      <tableStyleElement dxfId="1" type="headerRow"/>
      <tableStyleElement dxfId="2" type="firstRowStripe"/>
      <tableStyleElement dxfId="3" type="secondRowStripe"/>
    </tableStyle>
    <tableStyle count="3" pivot="0" name="Fluxo de Caixa-style 84">
      <tableStyleElement dxfId="1" type="headerRow"/>
      <tableStyleElement dxfId="2" type="firstRowStripe"/>
      <tableStyleElement dxfId="3" type="secondRowStripe"/>
    </tableStyle>
    <tableStyle count="3" pivot="0" name="Fluxo de Caixa-style 85">
      <tableStyleElement dxfId="1" type="headerRow"/>
      <tableStyleElement dxfId="2" type="firstRowStripe"/>
      <tableStyleElement dxfId="3" type="secondRowStripe"/>
    </tableStyle>
    <tableStyle count="3" pivot="0" name="Fluxo de Caixa-style 86">
      <tableStyleElement dxfId="1" type="headerRow"/>
      <tableStyleElement dxfId="2" type="firstRowStripe"/>
      <tableStyleElement dxfId="3" type="secondRowStripe"/>
    </tableStyle>
    <tableStyle count="3" pivot="0" name="Fluxo de Caixa-style 87">
      <tableStyleElement dxfId="1" type="headerRow"/>
      <tableStyleElement dxfId="2" type="firstRowStripe"/>
      <tableStyleElement dxfId="3" type="secondRowStripe"/>
    </tableStyle>
    <tableStyle count="3" pivot="0" name="Fluxo de Caixa-style 88">
      <tableStyleElement dxfId="1" type="headerRow"/>
      <tableStyleElement dxfId="2" type="firstRowStripe"/>
      <tableStyleElement dxfId="3" type="secondRowStripe"/>
    </tableStyle>
    <tableStyle count="3" pivot="0" name="Fluxo de Caixa-style 89">
      <tableStyleElement dxfId="1" type="headerRow"/>
      <tableStyleElement dxfId="2" type="firstRowStripe"/>
      <tableStyleElement dxfId="3" type="secondRowStripe"/>
    </tableStyle>
    <tableStyle count="3" pivot="0" name="Fluxo de Caixa-style 90">
      <tableStyleElement dxfId="1" type="headerRow"/>
      <tableStyleElement dxfId="2" type="firstRowStripe"/>
      <tableStyleElement dxfId="3" type="secondRowStripe"/>
    </tableStyle>
    <tableStyle count="3" pivot="0" name="Fluxo de Caixa-style 91">
      <tableStyleElement dxfId="1" type="headerRow"/>
      <tableStyleElement dxfId="2" type="firstRowStripe"/>
      <tableStyleElement dxfId="3" type="secondRowStripe"/>
    </tableStyle>
    <tableStyle count="3" pivot="0" name="Fluxo de Caixa-style 92">
      <tableStyleElement dxfId="1" type="headerRow"/>
      <tableStyleElement dxfId="2" type="firstRowStripe"/>
      <tableStyleElement dxfId="3" type="secondRowStripe"/>
    </tableStyle>
    <tableStyle count="3" pivot="0" name="Fluxo de Caixa-style 93">
      <tableStyleElement dxfId="1" type="headerRow"/>
      <tableStyleElement dxfId="2" type="firstRowStripe"/>
      <tableStyleElement dxfId="3" type="secondRowStripe"/>
    </tableStyle>
    <tableStyle count="3" pivot="0" name="Fluxo de Caixa-style 94">
      <tableStyleElement dxfId="1" type="headerRow"/>
      <tableStyleElement dxfId="2" type="firstRowStripe"/>
      <tableStyleElement dxfId="3" type="secondRowStripe"/>
    </tableStyle>
    <tableStyle count="3" pivot="0" name="Fluxo de Caixa-style 95">
      <tableStyleElement dxfId="1" type="headerRow"/>
      <tableStyleElement dxfId="2" type="firstRowStripe"/>
      <tableStyleElement dxfId="3" type="secondRowStripe"/>
    </tableStyle>
    <tableStyle count="3" pivot="0" name="Fluxo de Caixa-style 96">
      <tableStyleElement dxfId="1" type="headerRow"/>
      <tableStyleElement dxfId="2" type="firstRowStripe"/>
      <tableStyleElement dxfId="3" type="secondRowStripe"/>
    </tableStyle>
    <tableStyle count="3" pivot="0" name="Fluxo de Caixa-style 97">
      <tableStyleElement dxfId="1" type="headerRow"/>
      <tableStyleElement dxfId="2" type="firstRowStripe"/>
      <tableStyleElement dxfId="3" type="secondRowStripe"/>
    </tableStyle>
    <tableStyle count="3" pivot="0" name="Fluxo de Caixa-style 98">
      <tableStyleElement dxfId="1" type="headerRow"/>
      <tableStyleElement dxfId="2" type="firstRowStripe"/>
      <tableStyleElement dxfId="3" type="secondRowStripe"/>
    </tableStyle>
    <tableStyle count="3" pivot="0" name="Fluxo de Caixa-style 99">
      <tableStyleElement dxfId="1" type="headerRow"/>
      <tableStyleElement dxfId="2" type="firstRowStripe"/>
      <tableStyleElement dxfId="3" type="secondRowStripe"/>
    </tableStyle>
    <tableStyle count="3" pivot="0" name="Fluxo de Caixa-style 100">
      <tableStyleElement dxfId="1" type="headerRow"/>
      <tableStyleElement dxfId="2" type="firstRowStripe"/>
      <tableStyleElement dxfId="3" type="secondRowStripe"/>
    </tableStyle>
    <tableStyle count="3" pivot="0" name="Fluxo de Caixa-style 101">
      <tableStyleElement dxfId="1" type="headerRow"/>
      <tableStyleElement dxfId="2" type="firstRowStripe"/>
      <tableStyleElement dxfId="3" type="secondRowStripe"/>
    </tableStyle>
    <tableStyle count="3" pivot="0" name="Fluxo de Caixa-style 102">
      <tableStyleElement dxfId="1" type="headerRow"/>
      <tableStyleElement dxfId="2" type="firstRowStripe"/>
      <tableStyleElement dxfId="3" type="secondRowStripe"/>
    </tableStyle>
    <tableStyle count="3" pivot="0" name="Fluxo de Caixa-style 103">
      <tableStyleElement dxfId="1" type="headerRow"/>
      <tableStyleElement dxfId="2" type="firstRowStripe"/>
      <tableStyleElement dxfId="3" type="secondRowStripe"/>
    </tableStyle>
    <tableStyle count="3" pivot="0" name="Fluxo de Caixa-style 104">
      <tableStyleElement dxfId="1" type="headerRow"/>
      <tableStyleElement dxfId="2" type="firstRowStripe"/>
      <tableStyleElement dxfId="3" type="secondRowStripe"/>
    </tableStyle>
    <tableStyle count="3" pivot="0" name="Fluxo de Caixa-style 105">
      <tableStyleElement dxfId="1" type="headerRow"/>
      <tableStyleElement dxfId="2" type="firstRowStripe"/>
      <tableStyleElement dxfId="3" type="secondRowStripe"/>
    </tableStyle>
    <tableStyle count="3" pivot="0" name="Fluxo de Caixa-style 106">
      <tableStyleElement dxfId="1" type="headerRow"/>
      <tableStyleElement dxfId="2" type="firstRowStripe"/>
      <tableStyleElement dxfId="3" type="secondRowStripe"/>
    </tableStyle>
    <tableStyle count="3" pivot="0" name="Fluxo de Caixa-style 107">
      <tableStyleElement dxfId="1" type="headerRow"/>
      <tableStyleElement dxfId="2" type="firstRowStripe"/>
      <tableStyleElement dxfId="3" type="secondRowStripe"/>
    </tableStyle>
    <tableStyle count="3" pivot="0" name="Fluxo de Caixa-style 108">
      <tableStyleElement dxfId="1" type="headerRow"/>
      <tableStyleElement dxfId="2" type="firstRowStripe"/>
      <tableStyleElement dxfId="3" type="secondRowStripe"/>
    </tableStyle>
    <tableStyle count="3" pivot="0" name="Fluxo de Caixa-style 109">
      <tableStyleElement dxfId="1" type="headerRow"/>
      <tableStyleElement dxfId="2" type="firstRowStripe"/>
      <tableStyleElement dxfId="3" type="secondRowStripe"/>
    </tableStyle>
    <tableStyle count="3" pivot="0" name="Fluxo de Caixa-style 110">
      <tableStyleElement dxfId="1" type="headerRow"/>
      <tableStyleElement dxfId="2" type="firstRowStripe"/>
      <tableStyleElement dxfId="3" type="secondRowStripe"/>
    </tableStyle>
    <tableStyle count="3" pivot="0" name="Fluxo de Caixa-style 111">
      <tableStyleElement dxfId="1" type="headerRow"/>
      <tableStyleElement dxfId="2" type="firstRowStripe"/>
      <tableStyleElement dxfId="3" type="secondRowStripe"/>
    </tableStyle>
    <tableStyle count="3" pivot="0" name="Fluxo de Caixa-style 112">
      <tableStyleElement dxfId="1" type="headerRow"/>
      <tableStyleElement dxfId="2" type="firstRowStripe"/>
      <tableStyleElement dxfId="3" type="secondRowStripe"/>
    </tableStyle>
    <tableStyle count="3" pivot="0" name="Fluxo de Caixa-style 113">
      <tableStyleElement dxfId="1" type="headerRow"/>
      <tableStyleElement dxfId="2" type="firstRowStripe"/>
      <tableStyleElement dxfId="3" type="secondRowStripe"/>
    </tableStyle>
    <tableStyle count="3" pivot="0" name="Fluxo de Caixa-style 114">
      <tableStyleElement dxfId="1" type="headerRow"/>
      <tableStyleElement dxfId="2" type="firstRowStripe"/>
      <tableStyleElement dxfId="3" type="secondRowStripe"/>
    </tableStyle>
    <tableStyle count="3" pivot="0" name="Fluxo de Caixa-style 115">
      <tableStyleElement dxfId="1" type="headerRow"/>
      <tableStyleElement dxfId="2" type="firstRowStripe"/>
      <tableStyleElement dxfId="3" type="secondRowStripe"/>
    </tableStyle>
    <tableStyle count="3" pivot="0" name="Fluxo de Caixa-style 116">
      <tableStyleElement dxfId="1" type="headerRow"/>
      <tableStyleElement dxfId="2" type="firstRowStripe"/>
      <tableStyleElement dxfId="3" type="secondRowStripe"/>
    </tableStyle>
    <tableStyle count="3" pivot="0" name="Fluxo de Caixa-style 117">
      <tableStyleElement dxfId="1" type="headerRow"/>
      <tableStyleElement dxfId="2" type="firstRowStripe"/>
      <tableStyleElement dxfId="3" type="secondRowStripe"/>
    </tableStyle>
    <tableStyle count="3" pivot="0" name="Fluxo de Caixa-style 118">
      <tableStyleElement dxfId="1" type="headerRow"/>
      <tableStyleElement dxfId="2" type="firstRowStripe"/>
      <tableStyleElement dxfId="3" type="secondRowStripe"/>
    </tableStyle>
    <tableStyle count="3" pivot="0" name="Fluxo de Caixa-style 119">
      <tableStyleElement dxfId="1" type="headerRow"/>
      <tableStyleElement dxfId="2" type="firstRowStripe"/>
      <tableStyleElement dxfId="3" type="secondRowStripe"/>
    </tableStyle>
    <tableStyle count="3" pivot="0" name="Fluxo de Caixa-style 120">
      <tableStyleElement dxfId="1" type="headerRow"/>
      <tableStyleElement dxfId="2" type="firstRowStripe"/>
      <tableStyleElement dxfId="3" type="secondRowStripe"/>
    </tableStyle>
    <tableStyle count="3" pivot="0" name="Fluxo de Caixa-style 121">
      <tableStyleElement dxfId="1" type="headerRow"/>
      <tableStyleElement dxfId="2" type="firstRowStripe"/>
      <tableStyleElement dxfId="3" type="secondRowStripe"/>
    </tableStyle>
    <tableStyle count="3" pivot="0" name="Fluxo de Caixa-style 122">
      <tableStyleElement dxfId="1" type="headerRow"/>
      <tableStyleElement dxfId="2" type="firstRowStripe"/>
      <tableStyleElement dxfId="3" type="secondRowStripe"/>
    </tableStyle>
    <tableStyle count="3" pivot="0" name="Fluxo de Caixa-style 123">
      <tableStyleElement dxfId="1" type="headerRow"/>
      <tableStyleElement dxfId="2" type="firstRowStripe"/>
      <tableStyleElement dxfId="3" type="secondRowStripe"/>
    </tableStyle>
    <tableStyle count="3" pivot="0" name="Fluxo de Caixa-style 124">
      <tableStyleElement dxfId="1" type="headerRow"/>
      <tableStyleElement dxfId="2" type="firstRowStripe"/>
      <tableStyleElement dxfId="3" type="secondRowStripe"/>
    </tableStyle>
    <tableStyle count="3" pivot="0" name="Fluxo de Caixa-style 125">
      <tableStyleElement dxfId="1" type="headerRow"/>
      <tableStyleElement dxfId="2" type="firstRowStripe"/>
      <tableStyleElement dxfId="3" type="secondRowStripe"/>
    </tableStyle>
    <tableStyle count="3" pivot="0" name="Fluxo de Caixa-style 126">
      <tableStyleElement dxfId="1" type="headerRow"/>
      <tableStyleElement dxfId="2" type="firstRowStripe"/>
      <tableStyleElement dxfId="3" type="secondRowStripe"/>
    </tableStyle>
    <tableStyle count="3" pivot="0" name="Fluxo de Caixa-style 127">
      <tableStyleElement dxfId="1" type="headerRow"/>
      <tableStyleElement dxfId="2" type="firstRowStripe"/>
      <tableStyleElement dxfId="3" type="secondRowStripe"/>
    </tableStyle>
    <tableStyle count="3" pivot="0" name="Fluxo de Caixa-style 128">
      <tableStyleElement dxfId="1" type="headerRow"/>
      <tableStyleElement dxfId="2" type="firstRowStripe"/>
      <tableStyleElement dxfId="3" type="secondRowStripe"/>
    </tableStyle>
    <tableStyle count="3" pivot="0" name="Fluxo de Caixa-style 129">
      <tableStyleElement dxfId="1" type="headerRow"/>
      <tableStyleElement dxfId="2" type="firstRowStripe"/>
      <tableStyleElement dxfId="3" type="secondRowStripe"/>
    </tableStyle>
    <tableStyle count="3" pivot="0" name="Fluxo de Caixa-style 130">
      <tableStyleElement dxfId="1" type="headerRow"/>
      <tableStyleElement dxfId="2" type="firstRowStripe"/>
      <tableStyleElement dxfId="3" type="secondRowStripe"/>
    </tableStyle>
    <tableStyle count="3" pivot="0" name="Fluxo de Caixa-style 131">
      <tableStyleElement dxfId="1" type="headerRow"/>
      <tableStyleElement dxfId="2" type="firstRowStripe"/>
      <tableStyleElement dxfId="3" type="secondRowStripe"/>
    </tableStyle>
    <tableStyle count="3" pivot="0" name="Fluxo de Caixa-style 132">
      <tableStyleElement dxfId="1" type="headerRow"/>
      <tableStyleElement dxfId="2" type="firstRowStripe"/>
      <tableStyleElement dxfId="3" type="secondRowStripe"/>
    </tableStyle>
    <tableStyle count="3" pivot="0" name="Fluxo de Caixa-style 133">
      <tableStyleElement dxfId="1" type="headerRow"/>
      <tableStyleElement dxfId="2" type="firstRowStripe"/>
      <tableStyleElement dxfId="3" type="secondRowStripe"/>
    </tableStyle>
    <tableStyle count="3" pivot="0" name="Fluxo de Caixa-style 134">
      <tableStyleElement dxfId="1" type="headerRow"/>
      <tableStyleElement dxfId="2" type="firstRowStripe"/>
      <tableStyleElement dxfId="3" type="secondRowStripe"/>
    </tableStyle>
    <tableStyle count="3" pivot="0" name="Fluxo de Caixa-style 135">
      <tableStyleElement dxfId="1" type="headerRow"/>
      <tableStyleElement dxfId="2" type="firstRowStripe"/>
      <tableStyleElement dxfId="3" type="secondRowStripe"/>
    </tableStyle>
    <tableStyle count="3" pivot="0" name="Fluxo de Caixa-style 136">
      <tableStyleElement dxfId="1" type="headerRow"/>
      <tableStyleElement dxfId="2" type="firstRowStripe"/>
      <tableStyleElement dxfId="3" type="secondRowStripe"/>
    </tableStyle>
    <tableStyle count="3" pivot="0" name="Fluxo de Caixa-style 137">
      <tableStyleElement dxfId="1" type="headerRow"/>
      <tableStyleElement dxfId="2" type="firstRowStripe"/>
      <tableStyleElement dxfId="3" type="secondRowStripe"/>
    </tableStyle>
    <tableStyle count="3" pivot="0" name="Fluxo de Caixa-style 138">
      <tableStyleElement dxfId="1" type="headerRow"/>
      <tableStyleElement dxfId="2" type="firstRowStripe"/>
      <tableStyleElement dxfId="3" type="secondRowStripe"/>
    </tableStyle>
    <tableStyle count="3" pivot="0" name="Fluxo de Caixa-style 139">
      <tableStyleElement dxfId="1" type="headerRow"/>
      <tableStyleElement dxfId="2" type="firstRowStripe"/>
      <tableStyleElement dxfId="3" type="secondRowStripe"/>
    </tableStyle>
    <tableStyle count="3" pivot="0" name="Fluxo de Caixa-style 140">
      <tableStyleElement dxfId="1" type="headerRow"/>
      <tableStyleElement dxfId="2" type="firstRowStripe"/>
      <tableStyleElement dxfId="3" type="secondRowStripe"/>
    </tableStyle>
    <tableStyle count="3" pivot="0" name="Fluxo de Caixa-style 141">
      <tableStyleElement dxfId="1" type="headerRow"/>
      <tableStyleElement dxfId="2" type="firstRowStripe"/>
      <tableStyleElement dxfId="3" type="secondRowStripe"/>
    </tableStyle>
    <tableStyle count="3" pivot="0" name="Fluxo de Caixa-style 142">
      <tableStyleElement dxfId="1" type="headerRow"/>
      <tableStyleElement dxfId="2" type="firstRowStripe"/>
      <tableStyleElement dxfId="3" type="secondRowStripe"/>
    </tableStyle>
    <tableStyle count="3" pivot="0" name="Fluxo de Caixa-style 143">
      <tableStyleElement dxfId="1" type="headerRow"/>
      <tableStyleElement dxfId="2" type="firstRowStripe"/>
      <tableStyleElement dxfId="3" type="secondRowStripe"/>
    </tableStyle>
    <tableStyle count="3" pivot="0" name="Fluxo de Caixa-style 144">
      <tableStyleElement dxfId="1" type="headerRow"/>
      <tableStyleElement dxfId="2" type="firstRowStripe"/>
      <tableStyleElement dxfId="3" type="secondRowStripe"/>
    </tableStyle>
    <tableStyle count="3" pivot="0" name="Fluxo de Caixa-style 145">
      <tableStyleElement dxfId="1" type="headerRow"/>
      <tableStyleElement dxfId="2" type="firstRowStripe"/>
      <tableStyleElement dxfId="3" type="secondRowStripe"/>
    </tableStyle>
    <tableStyle count="3" pivot="0" name="Fluxo de Caixa-style 146">
      <tableStyleElement dxfId="1" type="headerRow"/>
      <tableStyleElement dxfId="2" type="firstRowStripe"/>
      <tableStyleElement dxfId="3" type="secondRowStripe"/>
    </tableStyle>
    <tableStyle count="2" pivot="0" name="Fluxo de Caixa-style 147">
      <tableStyleElement dxfId="2" type="firstRowStripe"/>
      <tableStyleElement dxfId="3" type="secondRowStripe"/>
    </tableStyle>
    <tableStyle count="2" pivot="0" name="Fluxo de Caixa-style 148">
      <tableStyleElement dxfId="2" type="firstRowStripe"/>
      <tableStyleElement dxfId="3" type="secondRowStripe"/>
    </tableStyle>
    <tableStyle count="2" pivot="0" name="Fluxo de Caixa-style 149">
      <tableStyleElement dxfId="2" type="firstRowStripe"/>
      <tableStyleElement dxfId="3" type="secondRowStripe"/>
    </tableStyle>
    <tableStyle count="2" pivot="0" name="Fluxo de Caixa-style 150">
      <tableStyleElement dxfId="2" type="firstRowStripe"/>
      <tableStyleElement dxfId="3" type="secondRowStripe"/>
    </tableStyle>
    <tableStyle count="2" pivot="0" name="Fluxo de Caixa-style 151">
      <tableStyleElement dxfId="2" type="firstRowStripe"/>
      <tableStyleElement dxfId="3" type="secondRowStripe"/>
    </tableStyle>
    <tableStyle count="2" pivot="0" name="Fluxo de Caixa-style 152">
      <tableStyleElement dxfId="2" type="firstRowStripe"/>
      <tableStyleElement dxfId="3" type="secondRowStripe"/>
    </tableStyle>
    <tableStyle count="2" pivot="0" name="Fluxo de Caixa-style 153">
      <tableStyleElement dxfId="2" type="firstRowStripe"/>
      <tableStyleElement dxfId="3" type="secondRowStripe"/>
    </tableStyle>
    <tableStyle count="2" pivot="0" name="Fluxo de Caixa-style 154">
      <tableStyleElement dxfId="2" type="firstRowStripe"/>
      <tableStyleElement dxfId="3" type="secondRowStripe"/>
    </tableStyle>
    <tableStyle count="2" pivot="0" name="Fluxo de Caixa-style 155">
      <tableStyleElement dxfId="2" type="firstRowStripe"/>
      <tableStyleElement dxfId="3" type="secondRowStripe"/>
    </tableStyle>
    <tableStyle count="2" pivot="0" name="Fluxo de Caixa-style 156">
      <tableStyleElement dxfId="2" type="firstRowStripe"/>
      <tableStyleElement dxfId="3" type="secondRowStripe"/>
    </tableStyle>
    <tableStyle count="2" pivot="0" name="Fluxo de Caixa-style 157">
      <tableStyleElement dxfId="2" type="firstRowStripe"/>
      <tableStyleElement dxfId="3" type="secondRowStripe"/>
    </tableStyle>
    <tableStyle count="2" pivot="0" name="Fluxo de Caixa-style 158">
      <tableStyleElement dxfId="2" type="firstRowStripe"/>
      <tableStyleElement dxfId="3" type="secondRowStripe"/>
    </tableStyle>
    <tableStyle count="2" pivot="0" name="Fluxo de Caixa-style 159">
      <tableStyleElement dxfId="2" type="firstRowStripe"/>
      <tableStyleElement dxfId="3" type="secondRowStripe"/>
    </tableStyle>
    <tableStyle count="2" pivot="0" name="Fluxo de Caixa-style 160">
      <tableStyleElement dxfId="2" type="firstRowStripe"/>
      <tableStyleElement dxfId="3" type="secondRowStripe"/>
    </tableStyle>
    <tableStyle count="2" pivot="0" name="Fluxo de Caixa-style 161">
      <tableStyleElement dxfId="2" type="firstRowStripe"/>
      <tableStyleElement dxfId="3" type="secondRowStripe"/>
    </tableStyle>
    <tableStyle count="2" pivot="0" name="Fluxo de Caixa-style 162">
      <tableStyleElement dxfId="2" type="firstRowStripe"/>
      <tableStyleElement dxfId="3" type="secondRowStripe"/>
    </tableStyle>
    <tableStyle count="2" pivot="0" name="Fluxo de Caixa-style 163">
      <tableStyleElement dxfId="2" type="firstRowStripe"/>
      <tableStyleElement dxfId="3" type="secondRowStripe"/>
    </tableStyle>
    <tableStyle count="2" pivot="0" name="Fluxo de Caixa-style 164">
      <tableStyleElement dxfId="2" type="firstRowStripe"/>
      <tableStyleElement dxfId="3" type="secondRowStripe"/>
    </tableStyle>
    <tableStyle count="2" pivot="0" name="Fluxo de Caixa-style 165">
      <tableStyleElement dxfId="2" type="firstRowStripe"/>
      <tableStyleElement dxfId="3" type="secondRowStripe"/>
    </tableStyle>
    <tableStyle count="2" pivot="0" name="Fluxo de Caixa-style 166">
      <tableStyleElement dxfId="2" type="firstRowStripe"/>
      <tableStyleElement dxfId="3" type="secondRowStripe"/>
    </tableStyle>
    <tableStyle count="2" pivot="0" name="Fluxo de Caixa-style 167">
      <tableStyleElement dxfId="2" type="firstRowStripe"/>
      <tableStyleElement dxfId="3" type="secondRowStripe"/>
    </tableStyle>
    <tableStyle count="2" pivot="0" name="Fluxo de Caixa-style 168">
      <tableStyleElement dxfId="2" type="firstRowStripe"/>
      <tableStyleElement dxfId="3" type="secondRowStripe"/>
    </tableStyle>
    <tableStyle count="2" pivot="0" name="Fluxo de Caixa-style 169">
      <tableStyleElement dxfId="2" type="firstRowStripe"/>
      <tableStyleElement dxfId="3" type="secondRowStripe"/>
    </tableStyle>
    <tableStyle count="2" pivot="0" name="Fluxo de Caixa-style 170">
      <tableStyleElement dxfId="2" type="firstRowStripe"/>
      <tableStyleElement dxfId="3" type="secondRowStripe"/>
    </tableStyle>
    <tableStyle count="3" pivot="0" name="Contas-style">
      <tableStyleElement dxfId="1" type="headerRow"/>
      <tableStyleElement dxfId="2" type="firstRowStripe"/>
      <tableStyleElement dxfId="3" type="secondRowStripe"/>
    </tableStyle>
    <tableStyle count="3" pivot="0" name="Contas-style 2">
      <tableStyleElement dxfId="4" type="headerRow"/>
      <tableStyleElement dxfId="2" type="firstRowStripe"/>
      <tableStyleElement dxfId="5" type="secondRowStripe"/>
    </tableStyle>
    <tableStyle count="3" pivot="0" name="Contas-style 3">
      <tableStyleElement dxfId="6" type="headerRow"/>
      <tableStyleElement dxfId="2" type="firstRowStripe"/>
      <tableStyleElement dxfId="7" type="secondRowStripe"/>
    </tableStyle>
    <tableStyle count="3" pivot="0" name="Contas-style 4">
      <tableStyleElement dxfId="6" type="headerRow"/>
      <tableStyleElement dxfId="2" type="firstRowStripe"/>
      <tableStyleElement dxfId="7" type="secondRowStripe"/>
    </tableStyle>
    <tableStyle count="3" pivot="0" name="Contas-style 5">
      <tableStyleElement dxfId="6" type="headerRow"/>
      <tableStyleElement dxfId="2" type="firstRowStripe"/>
      <tableStyleElement dxfId="7" type="secondRowStripe"/>
    </tableStyle>
    <tableStyle count="3" pivot="0" name="Contas-style 6">
      <tableStyleElement dxfId="6" type="headerRow"/>
      <tableStyleElement dxfId="2" type="firstRowStripe"/>
      <tableStyleElement dxfId="7" type="secondRowStripe"/>
    </tableStyle>
    <tableStyle count="3" pivot="0" name="Contas-style 7">
      <tableStyleElement dxfId="6" type="headerRow"/>
      <tableStyleElement dxfId="2" type="firstRowStripe"/>
      <tableStyleElement dxfId="7" type="secondRowStripe"/>
    </tableStyle>
    <tableStyle count="3" pivot="0" name="Contas-style 8">
      <tableStyleElement dxfId="6" type="headerRow"/>
      <tableStyleElement dxfId="2" type="firstRowStripe"/>
      <tableStyleElement dxfId="7" type="secondRowStripe"/>
    </tableStyle>
    <tableStyle count="3" pivot="0" name="Contas-style 9">
      <tableStyleElement dxfId="6" type="headerRow"/>
      <tableStyleElement dxfId="2" type="firstRowStripe"/>
      <tableStyleElement dxfId="7" type="secondRowStripe"/>
    </tableStyle>
    <tableStyle count="3" pivot="0" name="Contas-style 10">
      <tableStyleElement dxfId="6" type="headerRow"/>
      <tableStyleElement dxfId="2" type="firstRowStripe"/>
      <tableStyleElement dxfId="7" type="secondRowStripe"/>
    </tableStyle>
    <tableStyle count="3" pivot="0" name="Contas-style 11">
      <tableStyleElement dxfId="6" type="headerRow"/>
      <tableStyleElement dxfId="2" type="firstRowStripe"/>
      <tableStyleElement dxfId="7" type="secondRowStripe"/>
    </tableStyle>
    <tableStyle count="3" pivot="0" name="Contas-style 12">
      <tableStyleElement dxfId="6" type="headerRow"/>
      <tableStyleElement dxfId="2" type="firstRowStripe"/>
      <tableStyleElement dxfId="7" type="secondRowStripe"/>
    </tableStyle>
    <tableStyle count="3" pivot="0" name="Contas-style 13">
      <tableStyleElement dxfId="6" type="headerRow"/>
      <tableStyleElement dxfId="2" type="firstRowStripe"/>
      <tableStyleElement dxfId="7" type="secondRowStripe"/>
    </tableStyle>
    <tableStyle count="3" pivot="0" name="Contas-style 14">
      <tableStyleElement dxfId="6" type="headerRow"/>
      <tableStyleElement dxfId="2" type="firstRowStripe"/>
      <tableStyleElement dxfId="7" type="secondRowStripe"/>
    </tableStyle>
    <tableStyle count="3" pivot="0" name="Fichas de Funcionarios-style">
      <tableStyleElement dxfId="8" type="headerRow"/>
      <tableStyleElement dxfId="2" type="firstRowStripe"/>
      <tableStyleElement dxfId="9" type="secondRowStripe"/>
    </tableStyle>
    <tableStyle count="2" pivot="0" name="Auditoria-style">
      <tableStyleElement dxfId="2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12:H23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luxo de Caix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I12:M23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N12:R23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S12:W23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X12:AB23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C12:AF23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Fluxo de Caixa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G12:AJ23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Fluxo de Caixa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K12:AN23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Fluxo de Caixa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O12:AR23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Fluxo de Caixa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S12:AV23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Fluxo de Caixa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W12:AZ23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Fluxo de Caixa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BA12:BD23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Fluxo de Caixa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BE12:BG23" displayName="Table_13" name="Table_13" id="13">
  <tableColumns count="3">
    <tableColumn name="Column1" id="1"/>
    <tableColumn name="Column2" id="2"/>
    <tableColumn name="Column3" id="3"/>
  </tableColumns>
  <tableStyleInfo name="Fluxo de Caixa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C25:H34" displayName="Table_14" name="Table_14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luxo de Caixa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I25:M34" displayName="Table_15" name="Table_15" id="15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N25:R34" displayName="Table_16" name="Table_16" id="16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S25:W34" displayName="Table_17" name="Table_17" id="17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X25:AB34" displayName="Table_18" name="Table_18" id="18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C25:AF34" displayName="Table_19" name="Table_19" id="19">
  <tableColumns count="4">
    <tableColumn name="Column1" id="1"/>
    <tableColumn name="Column2" id="2"/>
    <tableColumn name="Column3" id="3"/>
    <tableColumn name="Column4" id="4"/>
  </tableColumns>
  <tableStyleInfo name="Fluxo de Caixa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G25:AJ34" displayName="Table_20" name="Table_20" id="20">
  <tableColumns count="4">
    <tableColumn name="Column1" id="1"/>
    <tableColumn name="Column2" id="2"/>
    <tableColumn name="Column3" id="3"/>
    <tableColumn name="Column4" id="4"/>
  </tableColumns>
  <tableStyleInfo name="Fluxo de Caixa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K25:AN34" displayName="Table_21" name="Table_21" id="21">
  <tableColumns count="4">
    <tableColumn name="Column1" id="1"/>
    <tableColumn name="Column2" id="2"/>
    <tableColumn name="Column3" id="3"/>
    <tableColumn name="Column4" id="4"/>
  </tableColumns>
  <tableStyleInfo name="Fluxo de Caixa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O25:AR34" displayName="Table_22" name="Table_22" id="22">
  <tableColumns count="4">
    <tableColumn name="Column1" id="1"/>
    <tableColumn name="Column2" id="2"/>
    <tableColumn name="Column3" id="3"/>
    <tableColumn name="Column4" id="4"/>
  </tableColumns>
  <tableStyleInfo name="Fluxo de Caixa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S25:AV34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Fluxo de Caixa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W25:AZ34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Fluxo de Caixa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BA25:BD34" displayName="Table_25" name="Table_25" id="25">
  <tableColumns count="4">
    <tableColumn name="Column1" id="1"/>
    <tableColumn name="Column2" id="2"/>
    <tableColumn name="Column3" id="3"/>
    <tableColumn name="Column4" id="4"/>
  </tableColumns>
  <tableStyleInfo name="Fluxo de Caixa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BE25:BG350" displayName="Table_26" name="Table_26" id="26">
  <tableColumns count="3">
    <tableColumn name="Column1" id="1"/>
    <tableColumn name="Column2" id="2"/>
    <tableColumn name="Column3" id="3"/>
  </tableColumns>
  <tableStyleInfo name="Fluxo de Caixa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C36:H132" displayName="Table_27" name="Table_27" id="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luxo de Caixa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I36:M132" displayName="Table_28" name="Table_28" id="28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N36:R132" displayName="Table_29" name="Table_29" id="29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S36:W132" displayName="Table_30" name="Table_30" id="30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X36:AB132" displayName="Table_31" name="Table_31" id="31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AC36:AF132" displayName="Table_32" name="Table_32" id="32">
  <tableColumns count="4">
    <tableColumn name="Column1" id="1"/>
    <tableColumn name="Column2" id="2"/>
    <tableColumn name="Column3" id="3"/>
    <tableColumn name="Column4" id="4"/>
  </tableColumns>
  <tableStyleInfo name="Fluxo de Caixa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AG36:AJ132" displayName="Table_33" name="Table_33" id="33">
  <tableColumns count="4">
    <tableColumn name="Column1" id="1"/>
    <tableColumn name="Column2" id="2"/>
    <tableColumn name="Column3" id="3"/>
    <tableColumn name="Column4" id="4"/>
  </tableColumns>
  <tableStyleInfo name="Fluxo de Caixa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AK36:AN132" displayName="Table_34" name="Table_34" id="34">
  <tableColumns count="4">
    <tableColumn name="Column1" id="1"/>
    <tableColumn name="Column2" id="2"/>
    <tableColumn name="Column3" id="3"/>
    <tableColumn name="Column4" id="4"/>
  </tableColumns>
  <tableStyleInfo name="Fluxo de Caixa-style 3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AO36:AR132" displayName="Table_35" name="Table_35" id="35">
  <tableColumns count="4">
    <tableColumn name="Column1" id="1"/>
    <tableColumn name="Column2" id="2"/>
    <tableColumn name="Column3" id="3"/>
    <tableColumn name="Column4" id="4"/>
  </tableColumns>
  <tableStyleInfo name="Fluxo de Caixa-style 3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AS36:AV132" displayName="Table_36" name="Table_36" id="36">
  <tableColumns count="4">
    <tableColumn name="Column1" id="1"/>
    <tableColumn name="Column2" id="2"/>
    <tableColumn name="Column3" id="3"/>
    <tableColumn name="Column4" id="4"/>
  </tableColumns>
  <tableStyleInfo name="Fluxo de Caixa-style 3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AW36:AZ132" displayName="Table_37" name="Table_37" id="37">
  <tableColumns count="4">
    <tableColumn name="Column1" id="1"/>
    <tableColumn name="Column2" id="2"/>
    <tableColumn name="Column3" id="3"/>
    <tableColumn name="Column4" id="4"/>
  </tableColumns>
  <tableStyleInfo name="Fluxo de Caixa-style 3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BA36:BD132" displayName="Table_38" name="Table_38" id="38">
  <tableColumns count="4">
    <tableColumn name="Column1" id="1"/>
    <tableColumn name="Column2" id="2"/>
    <tableColumn name="Column3" id="3"/>
    <tableColumn name="Column4" id="4"/>
  </tableColumns>
  <tableStyleInfo name="Fluxo de Caixa-style 3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C133:H148" displayName="Table_39" name="Table_39" id="3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luxo de Caixa-style 3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I133:M148" displayName="Table_40" name="Table_40" id="40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4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N133:R148" displayName="Table_41" name="Table_41" id="41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4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headerRowCount="0" ref="S133:W148" displayName="Table_42" name="Table_42" id="42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4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headerRowCount="0" ref="X133:AB148" displayName="Table_43" name="Table_43" id="43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4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headerRowCount="0" ref="AC133:AF148" displayName="Table_44" name="Table_44" id="44">
  <tableColumns count="4">
    <tableColumn name="Column1" id="1"/>
    <tableColumn name="Column2" id="2"/>
    <tableColumn name="Column3" id="3"/>
    <tableColumn name="Column4" id="4"/>
  </tableColumns>
  <tableStyleInfo name="Fluxo de Caixa-style 4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headerRowCount="0" ref="AG133:AJ148" displayName="Table_45" name="Table_45" id="45">
  <tableColumns count="4">
    <tableColumn name="Column1" id="1"/>
    <tableColumn name="Column2" id="2"/>
    <tableColumn name="Column3" id="3"/>
    <tableColumn name="Column4" id="4"/>
  </tableColumns>
  <tableStyleInfo name="Fluxo de Caixa-style 4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headerRowCount="0" ref="AK133:AN148" displayName="Table_46" name="Table_46" id="46">
  <tableColumns count="4">
    <tableColumn name="Column1" id="1"/>
    <tableColumn name="Column2" id="2"/>
    <tableColumn name="Column3" id="3"/>
    <tableColumn name="Column4" id="4"/>
  </tableColumns>
  <tableStyleInfo name="Fluxo de Caixa-style 4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7.xml><?xml version="1.0" encoding="utf-8"?>
<table xmlns="http://schemas.openxmlformats.org/spreadsheetml/2006/main" headerRowCount="0" ref="AO133:AR148" displayName="Table_47" name="Table_47" id="47">
  <tableColumns count="4">
    <tableColumn name="Column1" id="1"/>
    <tableColumn name="Column2" id="2"/>
    <tableColumn name="Column3" id="3"/>
    <tableColumn name="Column4" id="4"/>
  </tableColumns>
  <tableStyleInfo name="Fluxo de Caixa-style 4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8.xml><?xml version="1.0" encoding="utf-8"?>
<table xmlns="http://schemas.openxmlformats.org/spreadsheetml/2006/main" headerRowCount="0" ref="AS133:AV148" displayName="Table_48" name="Table_48" id="48">
  <tableColumns count="4">
    <tableColumn name="Column1" id="1"/>
    <tableColumn name="Column2" id="2"/>
    <tableColumn name="Column3" id="3"/>
    <tableColumn name="Column4" id="4"/>
  </tableColumns>
  <tableStyleInfo name="Fluxo de Caixa-style 4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9.xml><?xml version="1.0" encoding="utf-8"?>
<table xmlns="http://schemas.openxmlformats.org/spreadsheetml/2006/main" headerRowCount="0" ref="AW133:AZ148" displayName="Table_49" name="Table_49" id="49">
  <tableColumns count="4">
    <tableColumn name="Column1" id="1"/>
    <tableColumn name="Column2" id="2"/>
    <tableColumn name="Column3" id="3"/>
    <tableColumn name="Column4" id="4"/>
  </tableColumns>
  <tableStyleInfo name="Fluxo de Caixa-style 4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0.xml><?xml version="1.0" encoding="utf-8"?>
<table xmlns="http://schemas.openxmlformats.org/spreadsheetml/2006/main" headerRowCount="0" ref="BA133:BD148" displayName="Table_50" name="Table_50" id="50">
  <tableColumns count="4">
    <tableColumn name="Column1" id="1"/>
    <tableColumn name="Column2" id="2"/>
    <tableColumn name="Column3" id="3"/>
    <tableColumn name="Column4" id="4"/>
  </tableColumns>
  <tableStyleInfo name="Fluxo de Caixa-style 5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headerRowCount="0" ref="C149:H188" displayName="Table_51" name="Table_51" id="5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luxo de Caixa-style 5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headerRowCount="0" ref="I149:M188" displayName="Table_52" name="Table_52" id="52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5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headerRowCount="0" ref="N149:R188" displayName="Table_53" name="Table_53" id="53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5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headerRowCount="0" ref="S149:W188" displayName="Table_54" name="Table_54" id="54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5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headerRowCount="0" ref="X149:AB188" displayName="Table_55" name="Table_55" id="55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5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headerRowCount="0" ref="AC149:AF188" displayName="Table_56" name="Table_56" id="56">
  <tableColumns count="4">
    <tableColumn name="Column1" id="1"/>
    <tableColumn name="Column2" id="2"/>
    <tableColumn name="Column3" id="3"/>
    <tableColumn name="Column4" id="4"/>
  </tableColumns>
  <tableStyleInfo name="Fluxo de Caixa-style 5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7.xml><?xml version="1.0" encoding="utf-8"?>
<table xmlns="http://schemas.openxmlformats.org/spreadsheetml/2006/main" headerRowCount="0" ref="AG149:AJ188" displayName="Table_57" name="Table_57" id="57">
  <tableColumns count="4">
    <tableColumn name="Column1" id="1"/>
    <tableColumn name="Column2" id="2"/>
    <tableColumn name="Column3" id="3"/>
    <tableColumn name="Column4" id="4"/>
  </tableColumns>
  <tableStyleInfo name="Fluxo de Caixa-style 5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8.xml><?xml version="1.0" encoding="utf-8"?>
<table xmlns="http://schemas.openxmlformats.org/spreadsheetml/2006/main" headerRowCount="0" ref="AK149:AN188" displayName="Table_58" name="Table_58" id="58">
  <tableColumns count="4">
    <tableColumn name="Column1" id="1"/>
    <tableColumn name="Column2" id="2"/>
    <tableColumn name="Column3" id="3"/>
    <tableColumn name="Column4" id="4"/>
  </tableColumns>
  <tableStyleInfo name="Fluxo de Caixa-style 5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9.xml><?xml version="1.0" encoding="utf-8"?>
<table xmlns="http://schemas.openxmlformats.org/spreadsheetml/2006/main" headerRowCount="0" ref="AO149:AR188" displayName="Table_59" name="Table_59" id="59">
  <tableColumns count="4">
    <tableColumn name="Column1" id="1"/>
    <tableColumn name="Column2" id="2"/>
    <tableColumn name="Column3" id="3"/>
    <tableColumn name="Column4" id="4"/>
  </tableColumns>
  <tableStyleInfo name="Fluxo de Caixa-style 5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0.xml><?xml version="1.0" encoding="utf-8"?>
<table xmlns="http://schemas.openxmlformats.org/spreadsheetml/2006/main" headerRowCount="0" ref="AS149:AV188" displayName="Table_60" name="Table_60" id="60">
  <tableColumns count="4">
    <tableColumn name="Column1" id="1"/>
    <tableColumn name="Column2" id="2"/>
    <tableColumn name="Column3" id="3"/>
    <tableColumn name="Column4" id="4"/>
  </tableColumns>
  <tableStyleInfo name="Fluxo de Caixa-style 6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1.xml><?xml version="1.0" encoding="utf-8"?>
<table xmlns="http://schemas.openxmlformats.org/spreadsheetml/2006/main" headerRowCount="0" ref="AW149:AZ188" displayName="Table_61" name="Table_61" id="61">
  <tableColumns count="4">
    <tableColumn name="Column1" id="1"/>
    <tableColumn name="Column2" id="2"/>
    <tableColumn name="Column3" id="3"/>
    <tableColumn name="Column4" id="4"/>
  </tableColumns>
  <tableStyleInfo name="Fluxo de Caixa-style 6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2.xml><?xml version="1.0" encoding="utf-8"?>
<table xmlns="http://schemas.openxmlformats.org/spreadsheetml/2006/main" headerRowCount="0" ref="BA149:BD188" displayName="Table_62" name="Table_62" id="62">
  <tableColumns count="4">
    <tableColumn name="Column1" id="1"/>
    <tableColumn name="Column2" id="2"/>
    <tableColumn name="Column3" id="3"/>
    <tableColumn name="Column4" id="4"/>
  </tableColumns>
  <tableStyleInfo name="Fluxo de Caixa-style 6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3.xml><?xml version="1.0" encoding="utf-8"?>
<table xmlns="http://schemas.openxmlformats.org/spreadsheetml/2006/main" headerRowCount="0" ref="C189:H205" displayName="Table_63" name="Table_63" id="6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luxo de Caixa-style 6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4.xml><?xml version="1.0" encoding="utf-8"?>
<table xmlns="http://schemas.openxmlformats.org/spreadsheetml/2006/main" headerRowCount="0" ref="I189:M205" displayName="Table_64" name="Table_64" id="64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6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5.xml><?xml version="1.0" encoding="utf-8"?>
<table xmlns="http://schemas.openxmlformats.org/spreadsheetml/2006/main" headerRowCount="0" ref="N189:R205" displayName="Table_65" name="Table_65" id="65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6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6.xml><?xml version="1.0" encoding="utf-8"?>
<table xmlns="http://schemas.openxmlformats.org/spreadsheetml/2006/main" headerRowCount="0" ref="S189:W205" displayName="Table_66" name="Table_66" id="66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6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7.xml><?xml version="1.0" encoding="utf-8"?>
<table xmlns="http://schemas.openxmlformats.org/spreadsheetml/2006/main" headerRowCount="0" ref="X189:AB205" displayName="Table_67" name="Table_67" id="67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6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8.xml><?xml version="1.0" encoding="utf-8"?>
<table xmlns="http://schemas.openxmlformats.org/spreadsheetml/2006/main" headerRowCount="0" ref="AC189:AF205" displayName="Table_68" name="Table_68" id="68">
  <tableColumns count="4">
    <tableColumn name="Column1" id="1"/>
    <tableColumn name="Column2" id="2"/>
    <tableColumn name="Column3" id="3"/>
    <tableColumn name="Column4" id="4"/>
  </tableColumns>
  <tableStyleInfo name="Fluxo de Caixa-style 6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9.xml><?xml version="1.0" encoding="utf-8"?>
<table xmlns="http://schemas.openxmlformats.org/spreadsheetml/2006/main" headerRowCount="0" ref="AG189:AJ205" displayName="Table_69" name="Table_69" id="69">
  <tableColumns count="4">
    <tableColumn name="Column1" id="1"/>
    <tableColumn name="Column2" id="2"/>
    <tableColumn name="Column3" id="3"/>
    <tableColumn name="Column4" id="4"/>
  </tableColumns>
  <tableStyleInfo name="Fluxo de Caixa-style 6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0.xml><?xml version="1.0" encoding="utf-8"?>
<table xmlns="http://schemas.openxmlformats.org/spreadsheetml/2006/main" headerRowCount="0" ref="AK189:AN205" displayName="Table_70" name="Table_70" id="70">
  <tableColumns count="4">
    <tableColumn name="Column1" id="1"/>
    <tableColumn name="Column2" id="2"/>
    <tableColumn name="Column3" id="3"/>
    <tableColumn name="Column4" id="4"/>
  </tableColumns>
  <tableStyleInfo name="Fluxo de Caixa-style 7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1.xml><?xml version="1.0" encoding="utf-8"?>
<table xmlns="http://schemas.openxmlformats.org/spreadsheetml/2006/main" headerRowCount="0" ref="AO189:AR205" displayName="Table_71" name="Table_71" id="71">
  <tableColumns count="4">
    <tableColumn name="Column1" id="1"/>
    <tableColumn name="Column2" id="2"/>
    <tableColumn name="Column3" id="3"/>
    <tableColumn name="Column4" id="4"/>
  </tableColumns>
  <tableStyleInfo name="Fluxo de Caixa-style 7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2.xml><?xml version="1.0" encoding="utf-8"?>
<table xmlns="http://schemas.openxmlformats.org/spreadsheetml/2006/main" headerRowCount="0" ref="AS189:AV205" displayName="Table_72" name="Table_72" id="72">
  <tableColumns count="4">
    <tableColumn name="Column1" id="1"/>
    <tableColumn name="Column2" id="2"/>
    <tableColumn name="Column3" id="3"/>
    <tableColumn name="Column4" id="4"/>
  </tableColumns>
  <tableStyleInfo name="Fluxo de Caixa-style 7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3.xml><?xml version="1.0" encoding="utf-8"?>
<table xmlns="http://schemas.openxmlformats.org/spreadsheetml/2006/main" headerRowCount="0" ref="AW189:AZ205" displayName="Table_73" name="Table_73" id="73">
  <tableColumns count="4">
    <tableColumn name="Column1" id="1"/>
    <tableColumn name="Column2" id="2"/>
    <tableColumn name="Column3" id="3"/>
    <tableColumn name="Column4" id="4"/>
  </tableColumns>
  <tableStyleInfo name="Fluxo de Caixa-style 7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4.xml><?xml version="1.0" encoding="utf-8"?>
<table xmlns="http://schemas.openxmlformats.org/spreadsheetml/2006/main" headerRowCount="0" ref="BA189:BD205" displayName="Table_74" name="Table_74" id="74">
  <tableColumns count="4">
    <tableColumn name="Column1" id="1"/>
    <tableColumn name="Column2" id="2"/>
    <tableColumn name="Column3" id="3"/>
    <tableColumn name="Column4" id="4"/>
  </tableColumns>
  <tableStyleInfo name="Fluxo de Caixa-style 7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5.xml><?xml version="1.0" encoding="utf-8"?>
<table xmlns="http://schemas.openxmlformats.org/spreadsheetml/2006/main" headerRowCount="0" ref="C206:H248" displayName="Table_75" name="Table_75" id="7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luxo de Caixa-style 7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6.xml><?xml version="1.0" encoding="utf-8"?>
<table xmlns="http://schemas.openxmlformats.org/spreadsheetml/2006/main" headerRowCount="0" ref="I206:M248" displayName="Table_76" name="Table_76" id="76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7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7.xml><?xml version="1.0" encoding="utf-8"?>
<table xmlns="http://schemas.openxmlformats.org/spreadsheetml/2006/main" headerRowCount="0" ref="N206:R248" displayName="Table_77" name="Table_77" id="77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7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8.xml><?xml version="1.0" encoding="utf-8"?>
<table xmlns="http://schemas.openxmlformats.org/spreadsheetml/2006/main" headerRowCount="0" ref="S206:W248" displayName="Table_78" name="Table_78" id="78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7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9.xml><?xml version="1.0" encoding="utf-8"?>
<table xmlns="http://schemas.openxmlformats.org/spreadsheetml/2006/main" headerRowCount="0" ref="X206:AB248" displayName="Table_79" name="Table_79" id="79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7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0.xml><?xml version="1.0" encoding="utf-8"?>
<table xmlns="http://schemas.openxmlformats.org/spreadsheetml/2006/main" headerRowCount="0" ref="AC206:AF248" displayName="Table_80" name="Table_80" id="80">
  <tableColumns count="4">
    <tableColumn name="Column1" id="1"/>
    <tableColumn name="Column2" id="2"/>
    <tableColumn name="Column3" id="3"/>
    <tableColumn name="Column4" id="4"/>
  </tableColumns>
  <tableStyleInfo name="Fluxo de Caixa-style 8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1.xml><?xml version="1.0" encoding="utf-8"?>
<table xmlns="http://schemas.openxmlformats.org/spreadsheetml/2006/main" headerRowCount="0" ref="AG206:AJ248" displayName="Table_81" name="Table_81" id="81">
  <tableColumns count="4">
    <tableColumn name="Column1" id="1"/>
    <tableColumn name="Column2" id="2"/>
    <tableColumn name="Column3" id="3"/>
    <tableColumn name="Column4" id="4"/>
  </tableColumns>
  <tableStyleInfo name="Fluxo de Caixa-style 8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2.xml><?xml version="1.0" encoding="utf-8"?>
<table xmlns="http://schemas.openxmlformats.org/spreadsheetml/2006/main" headerRowCount="0" ref="AK206:AN248" displayName="Table_82" name="Table_82" id="82">
  <tableColumns count="4">
    <tableColumn name="Column1" id="1"/>
    <tableColumn name="Column2" id="2"/>
    <tableColumn name="Column3" id="3"/>
    <tableColumn name="Column4" id="4"/>
  </tableColumns>
  <tableStyleInfo name="Fluxo de Caixa-style 8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3.xml><?xml version="1.0" encoding="utf-8"?>
<table xmlns="http://schemas.openxmlformats.org/spreadsheetml/2006/main" headerRowCount="0" ref="AO206:AR248" displayName="Table_83" name="Table_83" id="83">
  <tableColumns count="4">
    <tableColumn name="Column1" id="1"/>
    <tableColumn name="Column2" id="2"/>
    <tableColumn name="Column3" id="3"/>
    <tableColumn name="Column4" id="4"/>
  </tableColumns>
  <tableStyleInfo name="Fluxo de Caixa-style 8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4.xml><?xml version="1.0" encoding="utf-8"?>
<table xmlns="http://schemas.openxmlformats.org/spreadsheetml/2006/main" headerRowCount="0" ref="AS206:AV248" displayName="Table_84" name="Table_84" id="84">
  <tableColumns count="4">
    <tableColumn name="Column1" id="1"/>
    <tableColumn name="Column2" id="2"/>
    <tableColumn name="Column3" id="3"/>
    <tableColumn name="Column4" id="4"/>
  </tableColumns>
  <tableStyleInfo name="Fluxo de Caixa-style 8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5.xml><?xml version="1.0" encoding="utf-8"?>
<table xmlns="http://schemas.openxmlformats.org/spreadsheetml/2006/main" headerRowCount="0" ref="AW206:AZ248" displayName="Table_85" name="Table_85" id="85">
  <tableColumns count="4">
    <tableColumn name="Column1" id="1"/>
    <tableColumn name="Column2" id="2"/>
    <tableColumn name="Column3" id="3"/>
    <tableColumn name="Column4" id="4"/>
  </tableColumns>
  <tableStyleInfo name="Fluxo de Caixa-style 8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6.xml><?xml version="1.0" encoding="utf-8"?>
<table xmlns="http://schemas.openxmlformats.org/spreadsheetml/2006/main" headerRowCount="0" ref="BA206:BD248" displayName="Table_86" name="Table_86" id="86">
  <tableColumns count="4">
    <tableColumn name="Column1" id="1"/>
    <tableColumn name="Column2" id="2"/>
    <tableColumn name="Column3" id="3"/>
    <tableColumn name="Column4" id="4"/>
  </tableColumns>
  <tableStyleInfo name="Fluxo de Caixa-style 8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7.xml><?xml version="1.0" encoding="utf-8"?>
<table xmlns="http://schemas.openxmlformats.org/spreadsheetml/2006/main" headerRowCount="0" ref="C251:H257" displayName="Table_87" name="Table_87" id="8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luxo de Caixa-style 8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8.xml><?xml version="1.0" encoding="utf-8"?>
<table xmlns="http://schemas.openxmlformats.org/spreadsheetml/2006/main" headerRowCount="0" ref="I251:M257" displayName="Table_88" name="Table_88" id="88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8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9.xml><?xml version="1.0" encoding="utf-8"?>
<table xmlns="http://schemas.openxmlformats.org/spreadsheetml/2006/main" headerRowCount="0" ref="N251:R257" displayName="Table_89" name="Table_89" id="89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8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0.xml><?xml version="1.0" encoding="utf-8"?>
<table xmlns="http://schemas.openxmlformats.org/spreadsheetml/2006/main" headerRowCount="0" ref="S251:W257" displayName="Table_90" name="Table_90" id="90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9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1.xml><?xml version="1.0" encoding="utf-8"?>
<table xmlns="http://schemas.openxmlformats.org/spreadsheetml/2006/main" headerRowCount="0" ref="X251:AB257" displayName="Table_91" name="Table_91" id="91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9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2.xml><?xml version="1.0" encoding="utf-8"?>
<table xmlns="http://schemas.openxmlformats.org/spreadsheetml/2006/main" headerRowCount="0" ref="AC251:AF257" displayName="Table_92" name="Table_92" id="92">
  <tableColumns count="4">
    <tableColumn name="Column1" id="1"/>
    <tableColumn name="Column2" id="2"/>
    <tableColumn name="Column3" id="3"/>
    <tableColumn name="Column4" id="4"/>
  </tableColumns>
  <tableStyleInfo name="Fluxo de Caixa-style 9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3.xml><?xml version="1.0" encoding="utf-8"?>
<table xmlns="http://schemas.openxmlformats.org/spreadsheetml/2006/main" headerRowCount="0" ref="AG251:AJ257" displayName="Table_93" name="Table_93" id="93">
  <tableColumns count="4">
    <tableColumn name="Column1" id="1"/>
    <tableColumn name="Column2" id="2"/>
    <tableColumn name="Column3" id="3"/>
    <tableColumn name="Column4" id="4"/>
  </tableColumns>
  <tableStyleInfo name="Fluxo de Caixa-style 9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4.xml><?xml version="1.0" encoding="utf-8"?>
<table xmlns="http://schemas.openxmlformats.org/spreadsheetml/2006/main" headerRowCount="0" ref="AK251:AN257" displayName="Table_94" name="Table_94" id="94">
  <tableColumns count="4">
    <tableColumn name="Column1" id="1"/>
    <tableColumn name="Column2" id="2"/>
    <tableColumn name="Column3" id="3"/>
    <tableColumn name="Column4" id="4"/>
  </tableColumns>
  <tableStyleInfo name="Fluxo de Caixa-style 9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5.xml><?xml version="1.0" encoding="utf-8"?>
<table xmlns="http://schemas.openxmlformats.org/spreadsheetml/2006/main" headerRowCount="0" ref="AO251:AR257" displayName="Table_95" name="Table_95" id="95">
  <tableColumns count="4">
    <tableColumn name="Column1" id="1"/>
    <tableColumn name="Column2" id="2"/>
    <tableColumn name="Column3" id="3"/>
    <tableColumn name="Column4" id="4"/>
  </tableColumns>
  <tableStyleInfo name="Fluxo de Caixa-style 9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6.xml><?xml version="1.0" encoding="utf-8"?>
<table xmlns="http://schemas.openxmlformats.org/spreadsheetml/2006/main" headerRowCount="0" ref="AS251:AV257" displayName="Table_96" name="Table_96" id="96">
  <tableColumns count="4">
    <tableColumn name="Column1" id="1"/>
    <tableColumn name="Column2" id="2"/>
    <tableColumn name="Column3" id="3"/>
    <tableColumn name="Column4" id="4"/>
  </tableColumns>
  <tableStyleInfo name="Fluxo de Caixa-style 9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7.xml><?xml version="1.0" encoding="utf-8"?>
<table xmlns="http://schemas.openxmlformats.org/spreadsheetml/2006/main" headerRowCount="0" ref="AW251:AZ257" displayName="Table_97" name="Table_97" id="97">
  <tableColumns count="4">
    <tableColumn name="Column1" id="1"/>
    <tableColumn name="Column2" id="2"/>
    <tableColumn name="Column3" id="3"/>
    <tableColumn name="Column4" id="4"/>
  </tableColumns>
  <tableStyleInfo name="Fluxo de Caixa-style 9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8.xml><?xml version="1.0" encoding="utf-8"?>
<table xmlns="http://schemas.openxmlformats.org/spreadsheetml/2006/main" headerRowCount="0" ref="BA251:BD257" displayName="Table_98" name="Table_98" id="98">
  <tableColumns count="4">
    <tableColumn name="Column1" id="1"/>
    <tableColumn name="Column2" id="2"/>
    <tableColumn name="Column3" id="3"/>
    <tableColumn name="Column4" id="4"/>
  </tableColumns>
  <tableStyleInfo name="Fluxo de Caixa-style 9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9.xml><?xml version="1.0" encoding="utf-8"?>
<table xmlns="http://schemas.openxmlformats.org/spreadsheetml/2006/main" headerRowCount="0" ref="C258:H271" displayName="Table_99" name="Table_99" id="9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luxo de Caixa-style 9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0.xml><?xml version="1.0" encoding="utf-8"?>
<table xmlns="http://schemas.openxmlformats.org/spreadsheetml/2006/main" headerRowCount="0" ref="I258:M271" displayName="Table_100" name="Table_100" id="100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0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1.xml><?xml version="1.0" encoding="utf-8"?>
<table xmlns="http://schemas.openxmlformats.org/spreadsheetml/2006/main" headerRowCount="0" ref="N258:R271" displayName="Table_101" name="Table_101" id="101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0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2.xml><?xml version="1.0" encoding="utf-8"?>
<table xmlns="http://schemas.openxmlformats.org/spreadsheetml/2006/main" headerRowCount="0" ref="S258:W271" displayName="Table_102" name="Table_102" id="102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0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3.xml><?xml version="1.0" encoding="utf-8"?>
<table xmlns="http://schemas.openxmlformats.org/spreadsheetml/2006/main" headerRowCount="0" ref="X258:AB271" displayName="Table_103" name="Table_103" id="103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0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4.xml><?xml version="1.0" encoding="utf-8"?>
<table xmlns="http://schemas.openxmlformats.org/spreadsheetml/2006/main" headerRowCount="0" ref="AC258:AF271" displayName="Table_104" name="Table_104" id="104">
  <tableColumns count="4">
    <tableColumn name="Column1" id="1"/>
    <tableColumn name="Column2" id="2"/>
    <tableColumn name="Column3" id="3"/>
    <tableColumn name="Column4" id="4"/>
  </tableColumns>
  <tableStyleInfo name="Fluxo de Caixa-style 10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5.xml><?xml version="1.0" encoding="utf-8"?>
<table xmlns="http://schemas.openxmlformats.org/spreadsheetml/2006/main" headerRowCount="0" ref="AG258:AJ271" displayName="Table_105" name="Table_105" id="105">
  <tableColumns count="4">
    <tableColumn name="Column1" id="1"/>
    <tableColumn name="Column2" id="2"/>
    <tableColumn name="Column3" id="3"/>
    <tableColumn name="Column4" id="4"/>
  </tableColumns>
  <tableStyleInfo name="Fluxo de Caixa-style 10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6.xml><?xml version="1.0" encoding="utf-8"?>
<table xmlns="http://schemas.openxmlformats.org/spreadsheetml/2006/main" headerRowCount="0" ref="AK258:AN271" displayName="Table_106" name="Table_106" id="106">
  <tableColumns count="4">
    <tableColumn name="Column1" id="1"/>
    <tableColumn name="Column2" id="2"/>
    <tableColumn name="Column3" id="3"/>
    <tableColumn name="Column4" id="4"/>
  </tableColumns>
  <tableStyleInfo name="Fluxo de Caixa-style 10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7.xml><?xml version="1.0" encoding="utf-8"?>
<table xmlns="http://schemas.openxmlformats.org/spreadsheetml/2006/main" headerRowCount="0" ref="AO258:AR271" displayName="Table_107" name="Table_107" id="107">
  <tableColumns count="4">
    <tableColumn name="Column1" id="1"/>
    <tableColumn name="Column2" id="2"/>
    <tableColumn name="Column3" id="3"/>
    <tableColumn name="Column4" id="4"/>
  </tableColumns>
  <tableStyleInfo name="Fluxo de Caixa-style 10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8.xml><?xml version="1.0" encoding="utf-8"?>
<table xmlns="http://schemas.openxmlformats.org/spreadsheetml/2006/main" headerRowCount="0" ref="AS258:AV271" displayName="Table_108" name="Table_108" id="108">
  <tableColumns count="4">
    <tableColumn name="Column1" id="1"/>
    <tableColumn name="Column2" id="2"/>
    <tableColumn name="Column3" id="3"/>
    <tableColumn name="Column4" id="4"/>
  </tableColumns>
  <tableStyleInfo name="Fluxo de Caixa-style 10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9.xml><?xml version="1.0" encoding="utf-8"?>
<table xmlns="http://schemas.openxmlformats.org/spreadsheetml/2006/main" headerRowCount="0" ref="AW258:AZ271" displayName="Table_109" name="Table_109" id="109">
  <tableColumns count="4">
    <tableColumn name="Column1" id="1"/>
    <tableColumn name="Column2" id="2"/>
    <tableColumn name="Column3" id="3"/>
    <tableColumn name="Column4" id="4"/>
  </tableColumns>
  <tableStyleInfo name="Fluxo de Caixa-style 10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0.xml><?xml version="1.0" encoding="utf-8"?>
<table xmlns="http://schemas.openxmlformats.org/spreadsheetml/2006/main" headerRowCount="0" ref="BA258:BD271" displayName="Table_110" name="Table_110" id="110">
  <tableColumns count="4">
    <tableColumn name="Column1" id="1"/>
    <tableColumn name="Column2" id="2"/>
    <tableColumn name="Column3" id="3"/>
    <tableColumn name="Column4" id="4"/>
  </tableColumns>
  <tableStyleInfo name="Fluxo de Caixa-style 1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1.xml><?xml version="1.0" encoding="utf-8"?>
<table xmlns="http://schemas.openxmlformats.org/spreadsheetml/2006/main" headerRowCount="0" ref="C272:H298" displayName="Table_111" name="Table_111" id="1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luxo de Caixa-style 1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2.xml><?xml version="1.0" encoding="utf-8"?>
<table xmlns="http://schemas.openxmlformats.org/spreadsheetml/2006/main" headerRowCount="0" ref="I272:M298" displayName="Table_112" name="Table_112" id="112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3.xml><?xml version="1.0" encoding="utf-8"?>
<table xmlns="http://schemas.openxmlformats.org/spreadsheetml/2006/main" headerRowCount="0" ref="N272:R298" displayName="Table_113" name="Table_113" id="113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4.xml><?xml version="1.0" encoding="utf-8"?>
<table xmlns="http://schemas.openxmlformats.org/spreadsheetml/2006/main" headerRowCount="0" ref="S272:W298" displayName="Table_114" name="Table_114" id="114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5.xml><?xml version="1.0" encoding="utf-8"?>
<table xmlns="http://schemas.openxmlformats.org/spreadsheetml/2006/main" headerRowCount="0" ref="X272:AB298" displayName="Table_115" name="Table_115" id="115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6.xml><?xml version="1.0" encoding="utf-8"?>
<table xmlns="http://schemas.openxmlformats.org/spreadsheetml/2006/main" headerRowCount="0" ref="AC272:AF298" displayName="Table_116" name="Table_116" id="116">
  <tableColumns count="4">
    <tableColumn name="Column1" id="1"/>
    <tableColumn name="Column2" id="2"/>
    <tableColumn name="Column3" id="3"/>
    <tableColumn name="Column4" id="4"/>
  </tableColumns>
  <tableStyleInfo name="Fluxo de Caixa-style 1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7.xml><?xml version="1.0" encoding="utf-8"?>
<table xmlns="http://schemas.openxmlformats.org/spreadsheetml/2006/main" headerRowCount="0" ref="AG272:AJ298" displayName="Table_117" name="Table_117" id="117">
  <tableColumns count="4">
    <tableColumn name="Column1" id="1"/>
    <tableColumn name="Column2" id="2"/>
    <tableColumn name="Column3" id="3"/>
    <tableColumn name="Column4" id="4"/>
  </tableColumns>
  <tableStyleInfo name="Fluxo de Caixa-style 1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8.xml><?xml version="1.0" encoding="utf-8"?>
<table xmlns="http://schemas.openxmlformats.org/spreadsheetml/2006/main" headerRowCount="0" ref="AK272:AN298" displayName="Table_118" name="Table_118" id="118">
  <tableColumns count="4">
    <tableColumn name="Column1" id="1"/>
    <tableColumn name="Column2" id="2"/>
    <tableColumn name="Column3" id="3"/>
    <tableColumn name="Column4" id="4"/>
  </tableColumns>
  <tableStyleInfo name="Fluxo de Caixa-style 1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9.xml><?xml version="1.0" encoding="utf-8"?>
<table xmlns="http://schemas.openxmlformats.org/spreadsheetml/2006/main" headerRowCount="0" ref="AO272:AR298" displayName="Table_119" name="Table_119" id="119">
  <tableColumns count="4">
    <tableColumn name="Column1" id="1"/>
    <tableColumn name="Column2" id="2"/>
    <tableColumn name="Column3" id="3"/>
    <tableColumn name="Column4" id="4"/>
  </tableColumns>
  <tableStyleInfo name="Fluxo de Caixa-style 1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0.xml><?xml version="1.0" encoding="utf-8"?>
<table xmlns="http://schemas.openxmlformats.org/spreadsheetml/2006/main" headerRowCount="0" ref="AS272:AV298" displayName="Table_120" name="Table_120" id="120">
  <tableColumns count="4">
    <tableColumn name="Column1" id="1"/>
    <tableColumn name="Column2" id="2"/>
    <tableColumn name="Column3" id="3"/>
    <tableColumn name="Column4" id="4"/>
  </tableColumns>
  <tableStyleInfo name="Fluxo de Caixa-style 1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1.xml><?xml version="1.0" encoding="utf-8"?>
<table xmlns="http://schemas.openxmlformats.org/spreadsheetml/2006/main" headerRowCount="0" ref="AW272:AZ298" displayName="Table_121" name="Table_121" id="121">
  <tableColumns count="4">
    <tableColumn name="Column1" id="1"/>
    <tableColumn name="Column2" id="2"/>
    <tableColumn name="Column3" id="3"/>
    <tableColumn name="Column4" id="4"/>
  </tableColumns>
  <tableStyleInfo name="Fluxo de Caixa-style 1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2.xml><?xml version="1.0" encoding="utf-8"?>
<table xmlns="http://schemas.openxmlformats.org/spreadsheetml/2006/main" headerRowCount="0" ref="BA272:BD298" displayName="Table_122" name="Table_122" id="122">
  <tableColumns count="4">
    <tableColumn name="Column1" id="1"/>
    <tableColumn name="Column2" id="2"/>
    <tableColumn name="Column3" id="3"/>
    <tableColumn name="Column4" id="4"/>
  </tableColumns>
  <tableStyleInfo name="Fluxo de Caixa-style 1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3.xml><?xml version="1.0" encoding="utf-8"?>
<table xmlns="http://schemas.openxmlformats.org/spreadsheetml/2006/main" headerRowCount="0" ref="C301:H320" displayName="Table_123" name="Table_123" id="1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luxo de Caixa-style 1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4.xml><?xml version="1.0" encoding="utf-8"?>
<table xmlns="http://schemas.openxmlformats.org/spreadsheetml/2006/main" headerRowCount="0" ref="I301:M320" displayName="Table_124" name="Table_124" id="124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5.xml><?xml version="1.0" encoding="utf-8"?>
<table xmlns="http://schemas.openxmlformats.org/spreadsheetml/2006/main" headerRowCount="0" ref="N301:R320" displayName="Table_125" name="Table_125" id="125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6.xml><?xml version="1.0" encoding="utf-8"?>
<table xmlns="http://schemas.openxmlformats.org/spreadsheetml/2006/main" headerRowCount="0" ref="S301:W320" displayName="Table_126" name="Table_126" id="126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7.xml><?xml version="1.0" encoding="utf-8"?>
<table xmlns="http://schemas.openxmlformats.org/spreadsheetml/2006/main" headerRowCount="0" ref="X301:AB320" displayName="Table_127" name="Table_127" id="127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8.xml><?xml version="1.0" encoding="utf-8"?>
<table xmlns="http://schemas.openxmlformats.org/spreadsheetml/2006/main" headerRowCount="0" ref="AC301:AF320" displayName="Table_128" name="Table_128" id="128">
  <tableColumns count="4">
    <tableColumn name="Column1" id="1"/>
    <tableColumn name="Column2" id="2"/>
    <tableColumn name="Column3" id="3"/>
    <tableColumn name="Column4" id="4"/>
  </tableColumns>
  <tableStyleInfo name="Fluxo de Caixa-style 1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9.xml><?xml version="1.0" encoding="utf-8"?>
<table xmlns="http://schemas.openxmlformats.org/spreadsheetml/2006/main" headerRowCount="0" ref="AG301:AJ320" displayName="Table_129" name="Table_129" id="129">
  <tableColumns count="4">
    <tableColumn name="Column1" id="1"/>
    <tableColumn name="Column2" id="2"/>
    <tableColumn name="Column3" id="3"/>
    <tableColumn name="Column4" id="4"/>
  </tableColumns>
  <tableStyleInfo name="Fluxo de Caixa-style 1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0.xml><?xml version="1.0" encoding="utf-8"?>
<table xmlns="http://schemas.openxmlformats.org/spreadsheetml/2006/main" headerRowCount="0" ref="AK301:AN320" displayName="Table_130" name="Table_130" id="130">
  <tableColumns count="4">
    <tableColumn name="Column1" id="1"/>
    <tableColumn name="Column2" id="2"/>
    <tableColumn name="Column3" id="3"/>
    <tableColumn name="Column4" id="4"/>
  </tableColumns>
  <tableStyleInfo name="Fluxo de Caixa-style 1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1.xml><?xml version="1.0" encoding="utf-8"?>
<table xmlns="http://schemas.openxmlformats.org/spreadsheetml/2006/main" headerRowCount="0" ref="AO301:AR320" displayName="Table_131" name="Table_131" id="131">
  <tableColumns count="4">
    <tableColumn name="Column1" id="1"/>
    <tableColumn name="Column2" id="2"/>
    <tableColumn name="Column3" id="3"/>
    <tableColumn name="Column4" id="4"/>
  </tableColumns>
  <tableStyleInfo name="Fluxo de Caixa-style 1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2.xml><?xml version="1.0" encoding="utf-8"?>
<table xmlns="http://schemas.openxmlformats.org/spreadsheetml/2006/main" headerRowCount="0" ref="AS301:AV320" displayName="Table_132" name="Table_132" id="132">
  <tableColumns count="4">
    <tableColumn name="Column1" id="1"/>
    <tableColumn name="Column2" id="2"/>
    <tableColumn name="Column3" id="3"/>
    <tableColumn name="Column4" id="4"/>
  </tableColumns>
  <tableStyleInfo name="Fluxo de Caixa-style 1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3.xml><?xml version="1.0" encoding="utf-8"?>
<table xmlns="http://schemas.openxmlformats.org/spreadsheetml/2006/main" headerRowCount="0" ref="AW301:AZ320" displayName="Table_133" name="Table_133" id="133">
  <tableColumns count="4">
    <tableColumn name="Column1" id="1"/>
    <tableColumn name="Column2" id="2"/>
    <tableColumn name="Column3" id="3"/>
    <tableColumn name="Column4" id="4"/>
  </tableColumns>
  <tableStyleInfo name="Fluxo de Caixa-style 1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4.xml><?xml version="1.0" encoding="utf-8"?>
<table xmlns="http://schemas.openxmlformats.org/spreadsheetml/2006/main" headerRowCount="0" ref="BA301:BD320" displayName="Table_134" name="Table_134" id="134">
  <tableColumns count="4">
    <tableColumn name="Column1" id="1"/>
    <tableColumn name="Column2" id="2"/>
    <tableColumn name="Column3" id="3"/>
    <tableColumn name="Column4" id="4"/>
  </tableColumns>
  <tableStyleInfo name="Fluxo de Caixa-style 13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5.xml><?xml version="1.0" encoding="utf-8"?>
<table xmlns="http://schemas.openxmlformats.org/spreadsheetml/2006/main" headerRowCount="0" ref="C325:H337" displayName="Table_135" name="Table_135" id="13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luxo de Caixa-style 13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6.xml><?xml version="1.0" encoding="utf-8"?>
<table xmlns="http://schemas.openxmlformats.org/spreadsheetml/2006/main" headerRowCount="0" ref="I325:M337" displayName="Table_136" name="Table_136" id="136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3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7.xml><?xml version="1.0" encoding="utf-8"?>
<table xmlns="http://schemas.openxmlformats.org/spreadsheetml/2006/main" headerRowCount="0" ref="N325:R337" displayName="Table_137" name="Table_137" id="137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3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8.xml><?xml version="1.0" encoding="utf-8"?>
<table xmlns="http://schemas.openxmlformats.org/spreadsheetml/2006/main" headerRowCount="0" ref="S325:W337" displayName="Table_138" name="Table_138" id="138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3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9.xml><?xml version="1.0" encoding="utf-8"?>
<table xmlns="http://schemas.openxmlformats.org/spreadsheetml/2006/main" headerRowCount="0" ref="X325:AB337" displayName="Table_139" name="Table_139" id="139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3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0.xml><?xml version="1.0" encoding="utf-8"?>
<table xmlns="http://schemas.openxmlformats.org/spreadsheetml/2006/main" headerRowCount="0" ref="AC325:AF337" displayName="Table_140" name="Table_140" id="140">
  <tableColumns count="4">
    <tableColumn name="Column1" id="1"/>
    <tableColumn name="Column2" id="2"/>
    <tableColumn name="Column3" id="3"/>
    <tableColumn name="Column4" id="4"/>
  </tableColumns>
  <tableStyleInfo name="Fluxo de Caixa-style 14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1.xml><?xml version="1.0" encoding="utf-8"?>
<table xmlns="http://schemas.openxmlformats.org/spreadsheetml/2006/main" headerRowCount="0" ref="AG325:AJ337" displayName="Table_141" name="Table_141" id="141">
  <tableColumns count="4">
    <tableColumn name="Column1" id="1"/>
    <tableColumn name="Column2" id="2"/>
    <tableColumn name="Column3" id="3"/>
    <tableColumn name="Column4" id="4"/>
  </tableColumns>
  <tableStyleInfo name="Fluxo de Caixa-style 14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2.xml><?xml version="1.0" encoding="utf-8"?>
<table xmlns="http://schemas.openxmlformats.org/spreadsheetml/2006/main" headerRowCount="0" ref="AK325:AN337" displayName="Table_142" name="Table_142" id="142">
  <tableColumns count="4">
    <tableColumn name="Column1" id="1"/>
    <tableColumn name="Column2" id="2"/>
    <tableColumn name="Column3" id="3"/>
    <tableColumn name="Column4" id="4"/>
  </tableColumns>
  <tableStyleInfo name="Fluxo de Caixa-style 14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3.xml><?xml version="1.0" encoding="utf-8"?>
<table xmlns="http://schemas.openxmlformats.org/spreadsheetml/2006/main" headerRowCount="0" ref="AO325:AR337" displayName="Table_143" name="Table_143" id="143">
  <tableColumns count="4">
    <tableColumn name="Column1" id="1"/>
    <tableColumn name="Column2" id="2"/>
    <tableColumn name="Column3" id="3"/>
    <tableColumn name="Column4" id="4"/>
  </tableColumns>
  <tableStyleInfo name="Fluxo de Caixa-style 14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4.xml><?xml version="1.0" encoding="utf-8"?>
<table xmlns="http://schemas.openxmlformats.org/spreadsheetml/2006/main" headerRowCount="0" ref="AS325:AV337" displayName="Table_144" name="Table_144" id="144">
  <tableColumns count="4">
    <tableColumn name="Column1" id="1"/>
    <tableColumn name="Column2" id="2"/>
    <tableColumn name="Column3" id="3"/>
    <tableColumn name="Column4" id="4"/>
  </tableColumns>
  <tableStyleInfo name="Fluxo de Caixa-style 14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5.xml><?xml version="1.0" encoding="utf-8"?>
<table xmlns="http://schemas.openxmlformats.org/spreadsheetml/2006/main" headerRowCount="0" ref="AW325:AZ337" displayName="Table_145" name="Table_145" id="145">
  <tableColumns count="4">
    <tableColumn name="Column1" id="1"/>
    <tableColumn name="Column2" id="2"/>
    <tableColumn name="Column3" id="3"/>
    <tableColumn name="Column4" id="4"/>
  </tableColumns>
  <tableStyleInfo name="Fluxo de Caixa-style 14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6.xml><?xml version="1.0" encoding="utf-8"?>
<table xmlns="http://schemas.openxmlformats.org/spreadsheetml/2006/main" headerRowCount="0" ref="BA325:BD337" displayName="Table_146" name="Table_146" id="146">
  <tableColumns count="4">
    <tableColumn name="Column1" id="1"/>
    <tableColumn name="Column2" id="2"/>
    <tableColumn name="Column3" id="3"/>
    <tableColumn name="Column4" id="4"/>
  </tableColumns>
  <tableStyleInfo name="Fluxo de Caixa-style 14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7.xml><?xml version="1.0" encoding="utf-8"?>
<table xmlns="http://schemas.openxmlformats.org/spreadsheetml/2006/main" headerRowCount="0" ref="C343:H350" displayName="Table_147" name="Table_147" id="14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luxo de Caixa-style 147" showColumnStripes="0" showFirstColumn="1" showLastColumn="1" showRowStripes="1"/>
</table>
</file>

<file path=xl/tables/table148.xml><?xml version="1.0" encoding="utf-8"?>
<table xmlns="http://schemas.openxmlformats.org/spreadsheetml/2006/main" headerRowCount="0" ref="I343:M350" displayName="Table_148" name="Table_148" id="148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48" showColumnStripes="0" showFirstColumn="1" showLastColumn="1" showRowStripes="1"/>
</table>
</file>

<file path=xl/tables/table149.xml><?xml version="1.0" encoding="utf-8"?>
<table xmlns="http://schemas.openxmlformats.org/spreadsheetml/2006/main" headerRowCount="0" ref="N343:R350" displayName="Table_149" name="Table_149" id="149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49" showColumnStripes="0" showFirstColumn="1" showLastColumn="1" showRowStripes="1"/>
</table>
</file>

<file path=xl/tables/table150.xml><?xml version="1.0" encoding="utf-8"?>
<table xmlns="http://schemas.openxmlformats.org/spreadsheetml/2006/main" headerRowCount="0" ref="S343:W350" displayName="Table_150" name="Table_150" id="150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50" showColumnStripes="0" showFirstColumn="1" showLastColumn="1" showRowStripes="1"/>
</table>
</file>

<file path=xl/tables/table151.xml><?xml version="1.0" encoding="utf-8"?>
<table xmlns="http://schemas.openxmlformats.org/spreadsheetml/2006/main" headerRowCount="0" ref="X343:AB350" displayName="Table_151" name="Table_151" id="151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51" showColumnStripes="0" showFirstColumn="1" showLastColumn="1" showRowStripes="1"/>
</table>
</file>

<file path=xl/tables/table152.xml><?xml version="1.0" encoding="utf-8"?>
<table xmlns="http://schemas.openxmlformats.org/spreadsheetml/2006/main" headerRowCount="0" ref="AC343:AF350" displayName="Table_152" name="Table_152" id="152">
  <tableColumns count="4">
    <tableColumn name="Column1" id="1"/>
    <tableColumn name="Column2" id="2"/>
    <tableColumn name="Column3" id="3"/>
    <tableColumn name="Column4" id="4"/>
  </tableColumns>
  <tableStyleInfo name="Fluxo de Caixa-style 152" showColumnStripes="0" showFirstColumn="1" showLastColumn="1" showRowStripes="1"/>
</table>
</file>

<file path=xl/tables/table153.xml><?xml version="1.0" encoding="utf-8"?>
<table xmlns="http://schemas.openxmlformats.org/spreadsheetml/2006/main" headerRowCount="0" ref="AG343:AJ350" displayName="Table_153" name="Table_153" id="153">
  <tableColumns count="4">
    <tableColumn name="Column1" id="1"/>
    <tableColumn name="Column2" id="2"/>
    <tableColumn name="Column3" id="3"/>
    <tableColumn name="Column4" id="4"/>
  </tableColumns>
  <tableStyleInfo name="Fluxo de Caixa-style 153" showColumnStripes="0" showFirstColumn="1" showLastColumn="1" showRowStripes="1"/>
</table>
</file>

<file path=xl/tables/table154.xml><?xml version="1.0" encoding="utf-8"?>
<table xmlns="http://schemas.openxmlformats.org/spreadsheetml/2006/main" headerRowCount="0" ref="AK343:AN350" displayName="Table_154" name="Table_154" id="154">
  <tableColumns count="4">
    <tableColumn name="Column1" id="1"/>
    <tableColumn name="Column2" id="2"/>
    <tableColumn name="Column3" id="3"/>
    <tableColumn name="Column4" id="4"/>
  </tableColumns>
  <tableStyleInfo name="Fluxo de Caixa-style 154" showColumnStripes="0" showFirstColumn="1" showLastColumn="1" showRowStripes="1"/>
</table>
</file>

<file path=xl/tables/table155.xml><?xml version="1.0" encoding="utf-8"?>
<table xmlns="http://schemas.openxmlformats.org/spreadsheetml/2006/main" headerRowCount="0" ref="AO343:AR350" displayName="Table_155" name="Table_155" id="155">
  <tableColumns count="4">
    <tableColumn name="Column1" id="1"/>
    <tableColumn name="Column2" id="2"/>
    <tableColumn name="Column3" id="3"/>
    <tableColumn name="Column4" id="4"/>
  </tableColumns>
  <tableStyleInfo name="Fluxo de Caixa-style 155" showColumnStripes="0" showFirstColumn="1" showLastColumn="1" showRowStripes="1"/>
</table>
</file>

<file path=xl/tables/table156.xml><?xml version="1.0" encoding="utf-8"?>
<table xmlns="http://schemas.openxmlformats.org/spreadsheetml/2006/main" headerRowCount="0" ref="AS343:AV350" displayName="Table_156" name="Table_156" id="156">
  <tableColumns count="4">
    <tableColumn name="Column1" id="1"/>
    <tableColumn name="Column2" id="2"/>
    <tableColumn name="Column3" id="3"/>
    <tableColumn name="Column4" id="4"/>
  </tableColumns>
  <tableStyleInfo name="Fluxo de Caixa-style 156" showColumnStripes="0" showFirstColumn="1" showLastColumn="1" showRowStripes="1"/>
</table>
</file>

<file path=xl/tables/table157.xml><?xml version="1.0" encoding="utf-8"?>
<table xmlns="http://schemas.openxmlformats.org/spreadsheetml/2006/main" headerRowCount="0" ref="AW343:AZ350" displayName="Table_157" name="Table_157" id="157">
  <tableColumns count="4">
    <tableColumn name="Column1" id="1"/>
    <tableColumn name="Column2" id="2"/>
    <tableColumn name="Column3" id="3"/>
    <tableColumn name="Column4" id="4"/>
  </tableColumns>
  <tableStyleInfo name="Fluxo de Caixa-style 157" showColumnStripes="0" showFirstColumn="1" showLastColumn="1" showRowStripes="1"/>
</table>
</file>

<file path=xl/tables/table158.xml><?xml version="1.0" encoding="utf-8"?>
<table xmlns="http://schemas.openxmlformats.org/spreadsheetml/2006/main" headerRowCount="0" ref="BA343:BD350" displayName="Table_158" name="Table_158" id="158">
  <tableColumns count="4">
    <tableColumn name="Column1" id="1"/>
    <tableColumn name="Column2" id="2"/>
    <tableColumn name="Column3" id="3"/>
    <tableColumn name="Column4" id="4"/>
  </tableColumns>
  <tableStyleInfo name="Fluxo de Caixa-style 158" showColumnStripes="0" showFirstColumn="1" showLastColumn="1" showRowStripes="1"/>
</table>
</file>

<file path=xl/tables/table159.xml><?xml version="1.0" encoding="utf-8"?>
<table xmlns="http://schemas.openxmlformats.org/spreadsheetml/2006/main" headerRowCount="0" ref="C352:H359" displayName="Table_159" name="Table_159" id="15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luxo de Caixa-style 159" showColumnStripes="0" showFirstColumn="1" showLastColumn="1" showRowStripes="1"/>
</table>
</file>

<file path=xl/tables/table160.xml><?xml version="1.0" encoding="utf-8"?>
<table xmlns="http://schemas.openxmlformats.org/spreadsheetml/2006/main" headerRowCount="0" ref="I352:M359" displayName="Table_160" name="Table_160" id="160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60" showColumnStripes="0" showFirstColumn="1" showLastColumn="1" showRowStripes="1"/>
</table>
</file>

<file path=xl/tables/table161.xml><?xml version="1.0" encoding="utf-8"?>
<table xmlns="http://schemas.openxmlformats.org/spreadsheetml/2006/main" headerRowCount="0" ref="N352:R359" displayName="Table_161" name="Table_161" id="161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61" showColumnStripes="0" showFirstColumn="1" showLastColumn="1" showRowStripes="1"/>
</table>
</file>

<file path=xl/tables/table162.xml><?xml version="1.0" encoding="utf-8"?>
<table xmlns="http://schemas.openxmlformats.org/spreadsheetml/2006/main" headerRowCount="0" ref="S352:W359" displayName="Table_162" name="Table_162" id="162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62" showColumnStripes="0" showFirstColumn="1" showLastColumn="1" showRowStripes="1"/>
</table>
</file>

<file path=xl/tables/table163.xml><?xml version="1.0" encoding="utf-8"?>
<table xmlns="http://schemas.openxmlformats.org/spreadsheetml/2006/main" headerRowCount="0" ref="X352:AB359" displayName="Table_163" name="Table_163" id="163">
  <tableColumns count="5">
    <tableColumn name="Column1" id="1"/>
    <tableColumn name="Column2" id="2"/>
    <tableColumn name="Column3" id="3"/>
    <tableColumn name="Column4" id="4"/>
    <tableColumn name="Column5" id="5"/>
  </tableColumns>
  <tableStyleInfo name="Fluxo de Caixa-style 163" showColumnStripes="0" showFirstColumn="1" showLastColumn="1" showRowStripes="1"/>
</table>
</file>

<file path=xl/tables/table164.xml><?xml version="1.0" encoding="utf-8"?>
<table xmlns="http://schemas.openxmlformats.org/spreadsheetml/2006/main" headerRowCount="0" ref="AC352:AF359" displayName="Table_164" name="Table_164" id="164">
  <tableColumns count="4">
    <tableColumn name="Column1" id="1"/>
    <tableColumn name="Column2" id="2"/>
    <tableColumn name="Column3" id="3"/>
    <tableColumn name="Column4" id="4"/>
  </tableColumns>
  <tableStyleInfo name="Fluxo de Caixa-style 164" showColumnStripes="0" showFirstColumn="1" showLastColumn="1" showRowStripes="1"/>
</table>
</file>

<file path=xl/tables/table165.xml><?xml version="1.0" encoding="utf-8"?>
<table xmlns="http://schemas.openxmlformats.org/spreadsheetml/2006/main" headerRowCount="0" ref="AG352:AJ359" displayName="Table_165" name="Table_165" id="165">
  <tableColumns count="4">
    <tableColumn name="Column1" id="1"/>
    <tableColumn name="Column2" id="2"/>
    <tableColumn name="Column3" id="3"/>
    <tableColumn name="Column4" id="4"/>
  </tableColumns>
  <tableStyleInfo name="Fluxo de Caixa-style 165" showColumnStripes="0" showFirstColumn="1" showLastColumn="1" showRowStripes="1"/>
</table>
</file>

<file path=xl/tables/table166.xml><?xml version="1.0" encoding="utf-8"?>
<table xmlns="http://schemas.openxmlformats.org/spreadsheetml/2006/main" headerRowCount="0" ref="AK352:AN359" displayName="Table_166" name="Table_166" id="166">
  <tableColumns count="4">
    <tableColumn name="Column1" id="1"/>
    <tableColumn name="Column2" id="2"/>
    <tableColumn name="Column3" id="3"/>
    <tableColumn name="Column4" id="4"/>
  </tableColumns>
  <tableStyleInfo name="Fluxo de Caixa-style 166" showColumnStripes="0" showFirstColumn="1" showLastColumn="1" showRowStripes="1"/>
</table>
</file>

<file path=xl/tables/table167.xml><?xml version="1.0" encoding="utf-8"?>
<table xmlns="http://schemas.openxmlformats.org/spreadsheetml/2006/main" headerRowCount="0" ref="AO352:AR359" displayName="Table_167" name="Table_167" id="167">
  <tableColumns count="4">
    <tableColumn name="Column1" id="1"/>
    <tableColumn name="Column2" id="2"/>
    <tableColumn name="Column3" id="3"/>
    <tableColumn name="Column4" id="4"/>
  </tableColumns>
  <tableStyleInfo name="Fluxo de Caixa-style 167" showColumnStripes="0" showFirstColumn="1" showLastColumn="1" showRowStripes="1"/>
</table>
</file>

<file path=xl/tables/table168.xml><?xml version="1.0" encoding="utf-8"?>
<table xmlns="http://schemas.openxmlformats.org/spreadsheetml/2006/main" headerRowCount="0" ref="AS352:AV359" displayName="Table_168" name="Table_168" id="168">
  <tableColumns count="4">
    <tableColumn name="Column1" id="1"/>
    <tableColumn name="Column2" id="2"/>
    <tableColumn name="Column3" id="3"/>
    <tableColumn name="Column4" id="4"/>
  </tableColumns>
  <tableStyleInfo name="Fluxo de Caixa-style 168" showColumnStripes="0" showFirstColumn="1" showLastColumn="1" showRowStripes="1"/>
</table>
</file>

<file path=xl/tables/table169.xml><?xml version="1.0" encoding="utf-8"?>
<table xmlns="http://schemas.openxmlformats.org/spreadsheetml/2006/main" headerRowCount="0" ref="AW352:AZ359" displayName="Table_169" name="Table_169" id="169">
  <tableColumns count="4">
    <tableColumn name="Column1" id="1"/>
    <tableColumn name="Column2" id="2"/>
    <tableColumn name="Column3" id="3"/>
    <tableColumn name="Column4" id="4"/>
  </tableColumns>
  <tableStyleInfo name="Fluxo de Caixa-style 169" showColumnStripes="0" showFirstColumn="1" showLastColumn="1" showRowStripes="1"/>
</table>
</file>

<file path=xl/tables/table170.xml><?xml version="1.0" encoding="utf-8"?>
<table xmlns="http://schemas.openxmlformats.org/spreadsheetml/2006/main" headerRowCount="0" ref="BA352:BD359" displayName="Table_170" name="Table_170" id="170">
  <tableColumns count="4">
    <tableColumn name="Column1" id="1"/>
    <tableColumn name="Column2" id="2"/>
    <tableColumn name="Column3" id="3"/>
    <tableColumn name="Column4" id="4"/>
  </tableColumns>
  <tableStyleInfo name="Fluxo de Caixa-style 170" showColumnStripes="0" showFirstColumn="1" showLastColumn="1" showRowStripes="1"/>
</table>
</file>

<file path=xl/tables/table171.xml><?xml version="1.0" encoding="utf-8"?>
<table xmlns="http://schemas.openxmlformats.org/spreadsheetml/2006/main" headerRowCount="0" ref="C8:I19" displayName="Table_171" name="Table_171" id="17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ont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2.xml><?xml version="1.0" encoding="utf-8"?>
<table xmlns="http://schemas.openxmlformats.org/spreadsheetml/2006/main" headerRowCount="0" ref="BX8:BZ19" displayName="Table_172" name="Table_172" id="172">
  <tableColumns count="3">
    <tableColumn name="Column1" id="1"/>
    <tableColumn name="Column2" id="2"/>
    <tableColumn name="Column3" id="3"/>
  </tableColumns>
  <tableStyleInfo name="Conta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3.xml><?xml version="1.0" encoding="utf-8"?>
<table xmlns="http://schemas.openxmlformats.org/spreadsheetml/2006/main" headerRowCount="0" ref="C54:H110" displayName="Table_173" name="Table_173" id="17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onta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4.xml><?xml version="1.0" encoding="utf-8"?>
<table xmlns="http://schemas.openxmlformats.org/spreadsheetml/2006/main" headerRowCount="0" ref="J54:N110" displayName="Table_174" name="Table_174" id="174">
  <tableColumns count="5">
    <tableColumn name="Column1" id="1"/>
    <tableColumn name="Column2" id="2"/>
    <tableColumn name="Column3" id="3"/>
    <tableColumn name="Column4" id="4"/>
    <tableColumn name="Column5" id="5"/>
  </tableColumns>
  <tableStyleInfo name="Conta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5.xml><?xml version="1.0" encoding="utf-8"?>
<table xmlns="http://schemas.openxmlformats.org/spreadsheetml/2006/main" headerRowCount="0" ref="P54:T110" displayName="Table_175" name="Table_175" id="175">
  <tableColumns count="5">
    <tableColumn name="Column1" id="1"/>
    <tableColumn name="Column2" id="2"/>
    <tableColumn name="Column3" id="3"/>
    <tableColumn name="Column4" id="4"/>
    <tableColumn name="Column5" id="5"/>
  </tableColumns>
  <tableStyleInfo name="Conta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6.xml><?xml version="1.0" encoding="utf-8"?>
<table xmlns="http://schemas.openxmlformats.org/spreadsheetml/2006/main" headerRowCount="0" ref="V54:Z110" displayName="Table_176" name="Table_176" id="176">
  <tableColumns count="5">
    <tableColumn name="Column1" id="1"/>
    <tableColumn name="Column2" id="2"/>
    <tableColumn name="Column3" id="3"/>
    <tableColumn name="Column4" id="4"/>
    <tableColumn name="Column5" id="5"/>
  </tableColumns>
  <tableStyleInfo name="Contas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7.xml><?xml version="1.0" encoding="utf-8"?>
<table xmlns="http://schemas.openxmlformats.org/spreadsheetml/2006/main" headerRowCount="0" ref="AB54:AF110" displayName="Table_177" name="Table_177" id="177">
  <tableColumns count="5">
    <tableColumn name="Column1" id="1"/>
    <tableColumn name="Column2" id="2"/>
    <tableColumn name="Column3" id="3"/>
    <tableColumn name="Column4" id="4"/>
    <tableColumn name="Column5" id="5"/>
  </tableColumns>
  <tableStyleInfo name="Conta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8.xml><?xml version="1.0" encoding="utf-8"?>
<table xmlns="http://schemas.openxmlformats.org/spreadsheetml/2006/main" headerRowCount="0" ref="AH54:AL110" displayName="Table_178" name="Table_178" id="178">
  <tableColumns count="5">
    <tableColumn name="Column1" id="1"/>
    <tableColumn name="Column2" id="2"/>
    <tableColumn name="Column3" id="3"/>
    <tableColumn name="Column4" id="4"/>
    <tableColumn name="Column5" id="5"/>
  </tableColumns>
  <tableStyleInfo name="Contas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9.xml><?xml version="1.0" encoding="utf-8"?>
<table xmlns="http://schemas.openxmlformats.org/spreadsheetml/2006/main" headerRowCount="0" ref="AN54:AR110" displayName="Table_179" name="Table_179" id="179">
  <tableColumns count="5">
    <tableColumn name="Column1" id="1"/>
    <tableColumn name="Column2" id="2"/>
    <tableColumn name="Column3" id="3"/>
    <tableColumn name="Column4" id="4"/>
    <tableColumn name="Column5" id="5"/>
  </tableColumns>
  <tableStyleInfo name="Contas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0.xml><?xml version="1.0" encoding="utf-8"?>
<table xmlns="http://schemas.openxmlformats.org/spreadsheetml/2006/main" headerRowCount="0" ref="AT54:AX110" displayName="Table_180" name="Table_180" id="180">
  <tableColumns count="5">
    <tableColumn name="Column1" id="1"/>
    <tableColumn name="Column2" id="2"/>
    <tableColumn name="Column3" id="3"/>
    <tableColumn name="Column4" id="4"/>
    <tableColumn name="Column5" id="5"/>
  </tableColumns>
  <tableStyleInfo name="Contas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1.xml><?xml version="1.0" encoding="utf-8"?>
<table xmlns="http://schemas.openxmlformats.org/spreadsheetml/2006/main" headerRowCount="0" ref="AZ54:BD110" displayName="Table_181" name="Table_181" id="181">
  <tableColumns count="5">
    <tableColumn name="Column1" id="1"/>
    <tableColumn name="Column2" id="2"/>
    <tableColumn name="Column3" id="3"/>
    <tableColumn name="Column4" id="4"/>
    <tableColumn name="Column5" id="5"/>
  </tableColumns>
  <tableStyleInfo name="Contas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2.xml><?xml version="1.0" encoding="utf-8"?>
<table xmlns="http://schemas.openxmlformats.org/spreadsheetml/2006/main" headerRowCount="0" ref="BF54:BJ110" displayName="Table_182" name="Table_182" id="182">
  <tableColumns count="5">
    <tableColumn name="Column1" id="1"/>
    <tableColumn name="Column2" id="2"/>
    <tableColumn name="Column3" id="3"/>
    <tableColumn name="Column4" id="4"/>
    <tableColumn name="Column5" id="5"/>
  </tableColumns>
  <tableStyleInfo name="Contas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3.xml><?xml version="1.0" encoding="utf-8"?>
<table xmlns="http://schemas.openxmlformats.org/spreadsheetml/2006/main" headerRowCount="0" ref="BL54:BP110" displayName="Table_183" name="Table_183" id="183">
  <tableColumns count="5">
    <tableColumn name="Column1" id="1"/>
    <tableColumn name="Column2" id="2"/>
    <tableColumn name="Column3" id="3"/>
    <tableColumn name="Column4" id="4"/>
    <tableColumn name="Column5" id="5"/>
  </tableColumns>
  <tableStyleInfo name="Contas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4.xml><?xml version="1.0" encoding="utf-8"?>
<table xmlns="http://schemas.openxmlformats.org/spreadsheetml/2006/main" headerRowCount="0" ref="BR54:BV110" displayName="Table_184" name="Table_184" id="184">
  <tableColumns count="5">
    <tableColumn name="Column1" id="1"/>
    <tableColumn name="Column2" id="2"/>
    <tableColumn name="Column3" id="3"/>
    <tableColumn name="Column4" id="4"/>
    <tableColumn name="Column5" id="5"/>
  </tableColumns>
  <tableStyleInfo name="Contas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5.xml><?xml version="1.0" encoding="utf-8"?>
<table xmlns="http://schemas.openxmlformats.org/spreadsheetml/2006/main" ref="B2:J10" displayName="Table_185" name="Table_185" id="185">
  <tableColumns count="9">
    <tableColumn name="Nome" id="1"/>
    <tableColumn name="Data Nasc" id="2"/>
    <tableColumn name="RG" id="3"/>
    <tableColumn name="CPF" id="4"/>
    <tableColumn name="Função" id="5"/>
    <tableColumn name="Salario" id="6"/>
    <tableColumn name="Data Admissão" id="7"/>
    <tableColumn name="Chave Pix/Conta" id="8"/>
    <tableColumn name="Data Saida" id="9"/>
  </tableColumns>
  <tableStyleInfo name="Fichas de Funcionarios-style" showColumnStripes="0" showFirstColumn="1" showLastColumn="1" showRowStripes="1"/>
</table>
</file>

<file path=xl/tables/table186.xml><?xml version="1.0" encoding="utf-8"?>
<table xmlns="http://schemas.openxmlformats.org/spreadsheetml/2006/main" headerRowCount="0" ref="A3:Z141" displayName="Table_186" name="Table_186" id="186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Auditor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table" Target="../tables/table17.xml"/><Relationship Id="rId194" Type="http://schemas.openxmlformats.org/officeDocument/2006/relationships/table" Target="../tables/table21.xml"/><Relationship Id="rId193" Type="http://schemas.openxmlformats.org/officeDocument/2006/relationships/table" Target="../tables/table20.xml"/><Relationship Id="rId192" Type="http://schemas.openxmlformats.org/officeDocument/2006/relationships/table" Target="../tables/table19.xml"/><Relationship Id="rId191" Type="http://schemas.openxmlformats.org/officeDocument/2006/relationships/table" Target="../tables/table18.xml"/><Relationship Id="rId228" Type="http://schemas.openxmlformats.org/officeDocument/2006/relationships/table" Target="../tables/table55.xml"/><Relationship Id="rId227" Type="http://schemas.openxmlformats.org/officeDocument/2006/relationships/table" Target="../tables/table54.xml"/><Relationship Id="rId226" Type="http://schemas.openxmlformats.org/officeDocument/2006/relationships/table" Target="../tables/table53.xml"/><Relationship Id="rId225" Type="http://schemas.openxmlformats.org/officeDocument/2006/relationships/table" Target="../tables/table52.xml"/><Relationship Id="rId229" Type="http://schemas.openxmlformats.org/officeDocument/2006/relationships/table" Target="../tables/table56.xml"/><Relationship Id="rId187" Type="http://schemas.openxmlformats.org/officeDocument/2006/relationships/table" Target="../tables/table14.xml"/><Relationship Id="rId220" Type="http://schemas.openxmlformats.org/officeDocument/2006/relationships/table" Target="../tables/table47.xml"/><Relationship Id="rId341" Type="http://schemas.openxmlformats.org/officeDocument/2006/relationships/table" Target="../tables/table168.xml"/><Relationship Id="rId186" Type="http://schemas.openxmlformats.org/officeDocument/2006/relationships/table" Target="../tables/table13.xml"/><Relationship Id="rId340" Type="http://schemas.openxmlformats.org/officeDocument/2006/relationships/table" Target="../tables/table167.xml"/><Relationship Id="rId185" Type="http://schemas.openxmlformats.org/officeDocument/2006/relationships/table" Target="../tables/table12.xml"/><Relationship Id="rId184" Type="http://schemas.openxmlformats.org/officeDocument/2006/relationships/table" Target="../tables/table11.xml"/><Relationship Id="rId224" Type="http://schemas.openxmlformats.org/officeDocument/2006/relationships/table" Target="../tables/table51.xml"/><Relationship Id="rId223" Type="http://schemas.openxmlformats.org/officeDocument/2006/relationships/table" Target="../tables/table50.xml"/><Relationship Id="rId189" Type="http://schemas.openxmlformats.org/officeDocument/2006/relationships/table" Target="../tables/table16.xml"/><Relationship Id="rId222" Type="http://schemas.openxmlformats.org/officeDocument/2006/relationships/table" Target="../tables/table49.xml"/><Relationship Id="rId343" Type="http://schemas.openxmlformats.org/officeDocument/2006/relationships/table" Target="../tables/table170.xml"/><Relationship Id="rId188" Type="http://schemas.openxmlformats.org/officeDocument/2006/relationships/table" Target="../tables/table15.xml"/><Relationship Id="rId221" Type="http://schemas.openxmlformats.org/officeDocument/2006/relationships/table" Target="../tables/table48.xml"/><Relationship Id="rId342" Type="http://schemas.openxmlformats.org/officeDocument/2006/relationships/table" Target="../tables/table169.xml"/><Relationship Id="rId183" Type="http://schemas.openxmlformats.org/officeDocument/2006/relationships/table" Target="../tables/table10.xml"/><Relationship Id="rId182" Type="http://schemas.openxmlformats.org/officeDocument/2006/relationships/table" Target="../tables/table9.xml"/><Relationship Id="rId181" Type="http://schemas.openxmlformats.org/officeDocument/2006/relationships/table" Target="../tables/table8.xml"/><Relationship Id="rId180" Type="http://schemas.openxmlformats.org/officeDocument/2006/relationships/table" Target="../tables/table7.xml"/><Relationship Id="rId217" Type="http://schemas.openxmlformats.org/officeDocument/2006/relationships/table" Target="../tables/table44.xml"/><Relationship Id="rId338" Type="http://schemas.openxmlformats.org/officeDocument/2006/relationships/table" Target="../tables/table165.xml"/><Relationship Id="rId216" Type="http://schemas.openxmlformats.org/officeDocument/2006/relationships/table" Target="../tables/table43.xml"/><Relationship Id="rId337" Type="http://schemas.openxmlformats.org/officeDocument/2006/relationships/table" Target="../tables/table164.xml"/><Relationship Id="rId215" Type="http://schemas.openxmlformats.org/officeDocument/2006/relationships/table" Target="../tables/table42.xml"/><Relationship Id="rId336" Type="http://schemas.openxmlformats.org/officeDocument/2006/relationships/table" Target="../tables/table163.xml"/><Relationship Id="rId214" Type="http://schemas.openxmlformats.org/officeDocument/2006/relationships/table" Target="../tables/table41.xml"/><Relationship Id="rId335" Type="http://schemas.openxmlformats.org/officeDocument/2006/relationships/table" Target="../tables/table162.xml"/><Relationship Id="rId219" Type="http://schemas.openxmlformats.org/officeDocument/2006/relationships/table" Target="../tables/table46.xml"/><Relationship Id="rId218" Type="http://schemas.openxmlformats.org/officeDocument/2006/relationships/table" Target="../tables/table45.xml"/><Relationship Id="rId339" Type="http://schemas.openxmlformats.org/officeDocument/2006/relationships/table" Target="../tables/table166.xml"/><Relationship Id="rId176" Type="http://schemas.openxmlformats.org/officeDocument/2006/relationships/table" Target="../tables/table3.xml"/><Relationship Id="rId297" Type="http://schemas.openxmlformats.org/officeDocument/2006/relationships/table" Target="../tables/table124.xml"/><Relationship Id="rId330" Type="http://schemas.openxmlformats.org/officeDocument/2006/relationships/table" Target="../tables/table157.xml"/><Relationship Id="rId175" Type="http://schemas.openxmlformats.org/officeDocument/2006/relationships/table" Target="../tables/table2.xml"/><Relationship Id="rId296" Type="http://schemas.openxmlformats.org/officeDocument/2006/relationships/table" Target="../tables/table123.xml"/><Relationship Id="rId174" Type="http://schemas.openxmlformats.org/officeDocument/2006/relationships/table" Target="../tables/table1.xml"/><Relationship Id="rId295" Type="http://schemas.openxmlformats.org/officeDocument/2006/relationships/table" Target="../tables/table122.xml"/><Relationship Id="rId294" Type="http://schemas.openxmlformats.org/officeDocument/2006/relationships/table" Target="../tables/table121.xml"/><Relationship Id="rId213" Type="http://schemas.openxmlformats.org/officeDocument/2006/relationships/table" Target="../tables/table40.xml"/><Relationship Id="rId334" Type="http://schemas.openxmlformats.org/officeDocument/2006/relationships/table" Target="../tables/table161.xml"/><Relationship Id="rId179" Type="http://schemas.openxmlformats.org/officeDocument/2006/relationships/table" Target="../tables/table6.xml"/><Relationship Id="rId212" Type="http://schemas.openxmlformats.org/officeDocument/2006/relationships/table" Target="../tables/table39.xml"/><Relationship Id="rId333" Type="http://schemas.openxmlformats.org/officeDocument/2006/relationships/table" Target="../tables/table160.xml"/><Relationship Id="rId178" Type="http://schemas.openxmlformats.org/officeDocument/2006/relationships/table" Target="../tables/table5.xml"/><Relationship Id="rId211" Type="http://schemas.openxmlformats.org/officeDocument/2006/relationships/table" Target="../tables/table38.xml"/><Relationship Id="rId299" Type="http://schemas.openxmlformats.org/officeDocument/2006/relationships/table" Target="../tables/table126.xml"/><Relationship Id="rId332" Type="http://schemas.openxmlformats.org/officeDocument/2006/relationships/table" Target="../tables/table159.xml"/><Relationship Id="rId177" Type="http://schemas.openxmlformats.org/officeDocument/2006/relationships/table" Target="../tables/table4.xml"/><Relationship Id="rId210" Type="http://schemas.openxmlformats.org/officeDocument/2006/relationships/table" Target="../tables/table37.xml"/><Relationship Id="rId298" Type="http://schemas.openxmlformats.org/officeDocument/2006/relationships/table" Target="../tables/table125.xml"/><Relationship Id="rId331" Type="http://schemas.openxmlformats.org/officeDocument/2006/relationships/table" Target="../tables/table158.xml"/><Relationship Id="rId249" Type="http://schemas.openxmlformats.org/officeDocument/2006/relationships/table" Target="../tables/table76.xml"/><Relationship Id="rId248" Type="http://schemas.openxmlformats.org/officeDocument/2006/relationships/table" Target="../tables/table75.xml"/><Relationship Id="rId247" Type="http://schemas.openxmlformats.org/officeDocument/2006/relationships/table" Target="../tables/table74.xml"/><Relationship Id="rId242" Type="http://schemas.openxmlformats.org/officeDocument/2006/relationships/table" Target="../tables/table69.xml"/><Relationship Id="rId241" Type="http://schemas.openxmlformats.org/officeDocument/2006/relationships/table" Target="../tables/table68.xml"/><Relationship Id="rId240" Type="http://schemas.openxmlformats.org/officeDocument/2006/relationships/table" Target="../tables/table67.xml"/><Relationship Id="rId246" Type="http://schemas.openxmlformats.org/officeDocument/2006/relationships/table" Target="../tables/table73.xml"/><Relationship Id="rId245" Type="http://schemas.openxmlformats.org/officeDocument/2006/relationships/table" Target="../tables/table72.xml"/><Relationship Id="rId244" Type="http://schemas.openxmlformats.org/officeDocument/2006/relationships/table" Target="../tables/table71.xml"/><Relationship Id="rId243" Type="http://schemas.openxmlformats.org/officeDocument/2006/relationships/table" Target="../tables/table70.xml"/><Relationship Id="rId239" Type="http://schemas.openxmlformats.org/officeDocument/2006/relationships/table" Target="../tables/table66.xml"/><Relationship Id="rId238" Type="http://schemas.openxmlformats.org/officeDocument/2006/relationships/table" Target="../tables/table65.xml"/><Relationship Id="rId237" Type="http://schemas.openxmlformats.org/officeDocument/2006/relationships/table" Target="../tables/table64.xml"/><Relationship Id="rId236" Type="http://schemas.openxmlformats.org/officeDocument/2006/relationships/table" Target="../tables/table63.xml"/><Relationship Id="rId198" Type="http://schemas.openxmlformats.org/officeDocument/2006/relationships/table" Target="../tables/table25.xml"/><Relationship Id="rId231" Type="http://schemas.openxmlformats.org/officeDocument/2006/relationships/table" Target="../tables/table58.xml"/><Relationship Id="rId197" Type="http://schemas.openxmlformats.org/officeDocument/2006/relationships/table" Target="../tables/table24.xml"/><Relationship Id="rId230" Type="http://schemas.openxmlformats.org/officeDocument/2006/relationships/table" Target="../tables/table57.xml"/><Relationship Id="rId196" Type="http://schemas.openxmlformats.org/officeDocument/2006/relationships/table" Target="../tables/table23.xml"/><Relationship Id="rId195" Type="http://schemas.openxmlformats.org/officeDocument/2006/relationships/table" Target="../tables/table22.xml"/><Relationship Id="rId235" Type="http://schemas.openxmlformats.org/officeDocument/2006/relationships/table" Target="../tables/table62.xml"/><Relationship Id="rId234" Type="http://schemas.openxmlformats.org/officeDocument/2006/relationships/table" Target="../tables/table61.xml"/><Relationship Id="rId233" Type="http://schemas.openxmlformats.org/officeDocument/2006/relationships/table" Target="../tables/table60.xml"/><Relationship Id="rId199" Type="http://schemas.openxmlformats.org/officeDocument/2006/relationships/table" Target="../tables/table26.xml"/><Relationship Id="rId232" Type="http://schemas.openxmlformats.org/officeDocument/2006/relationships/table" Target="../tables/table59.xml"/><Relationship Id="rId271" Type="http://schemas.openxmlformats.org/officeDocument/2006/relationships/table" Target="../tables/table98.xml"/><Relationship Id="rId270" Type="http://schemas.openxmlformats.org/officeDocument/2006/relationships/table" Target="../tables/table97.xml"/><Relationship Id="rId1" Type="http://schemas.openxmlformats.org/officeDocument/2006/relationships/comments" Target="../comments1.xml"/><Relationship Id="rId305" Type="http://schemas.openxmlformats.org/officeDocument/2006/relationships/table" Target="../tables/table132.xml"/><Relationship Id="rId2" Type="http://schemas.openxmlformats.org/officeDocument/2006/relationships/drawing" Target="../drawings/drawing2.xml"/><Relationship Id="rId304" Type="http://schemas.openxmlformats.org/officeDocument/2006/relationships/table" Target="../tables/table131.xml"/><Relationship Id="rId3" Type="http://schemas.openxmlformats.org/officeDocument/2006/relationships/vmlDrawing" Target="../drawings/vmlDrawing1.vml"/><Relationship Id="rId303" Type="http://schemas.openxmlformats.org/officeDocument/2006/relationships/table" Target="../tables/table130.xml"/><Relationship Id="rId269" Type="http://schemas.openxmlformats.org/officeDocument/2006/relationships/table" Target="../tables/table96.xml"/><Relationship Id="rId302" Type="http://schemas.openxmlformats.org/officeDocument/2006/relationships/table" Target="../tables/table129.xml"/><Relationship Id="rId309" Type="http://schemas.openxmlformats.org/officeDocument/2006/relationships/table" Target="../tables/table136.xml"/><Relationship Id="rId308" Type="http://schemas.openxmlformats.org/officeDocument/2006/relationships/table" Target="../tables/table135.xml"/><Relationship Id="rId307" Type="http://schemas.openxmlformats.org/officeDocument/2006/relationships/table" Target="../tables/table134.xml"/><Relationship Id="rId306" Type="http://schemas.openxmlformats.org/officeDocument/2006/relationships/table" Target="../tables/table133.xml"/><Relationship Id="rId264" Type="http://schemas.openxmlformats.org/officeDocument/2006/relationships/table" Target="../tables/table91.xml"/><Relationship Id="rId263" Type="http://schemas.openxmlformats.org/officeDocument/2006/relationships/table" Target="../tables/table90.xml"/><Relationship Id="rId262" Type="http://schemas.openxmlformats.org/officeDocument/2006/relationships/table" Target="../tables/table89.xml"/><Relationship Id="rId261" Type="http://schemas.openxmlformats.org/officeDocument/2006/relationships/table" Target="../tables/table88.xml"/><Relationship Id="rId268" Type="http://schemas.openxmlformats.org/officeDocument/2006/relationships/table" Target="../tables/table95.xml"/><Relationship Id="rId301" Type="http://schemas.openxmlformats.org/officeDocument/2006/relationships/table" Target="../tables/table128.xml"/><Relationship Id="rId267" Type="http://schemas.openxmlformats.org/officeDocument/2006/relationships/table" Target="../tables/table94.xml"/><Relationship Id="rId300" Type="http://schemas.openxmlformats.org/officeDocument/2006/relationships/table" Target="../tables/table127.xml"/><Relationship Id="rId266" Type="http://schemas.openxmlformats.org/officeDocument/2006/relationships/table" Target="../tables/table93.xml"/><Relationship Id="rId265" Type="http://schemas.openxmlformats.org/officeDocument/2006/relationships/table" Target="../tables/table92.xml"/><Relationship Id="rId260" Type="http://schemas.openxmlformats.org/officeDocument/2006/relationships/table" Target="../tables/table87.xml"/><Relationship Id="rId259" Type="http://schemas.openxmlformats.org/officeDocument/2006/relationships/table" Target="../tables/table86.xml"/><Relationship Id="rId258" Type="http://schemas.openxmlformats.org/officeDocument/2006/relationships/table" Target="../tables/table85.xml"/><Relationship Id="rId253" Type="http://schemas.openxmlformats.org/officeDocument/2006/relationships/table" Target="../tables/table80.xml"/><Relationship Id="rId252" Type="http://schemas.openxmlformats.org/officeDocument/2006/relationships/table" Target="../tables/table79.xml"/><Relationship Id="rId251" Type="http://schemas.openxmlformats.org/officeDocument/2006/relationships/table" Target="../tables/table78.xml"/><Relationship Id="rId250" Type="http://schemas.openxmlformats.org/officeDocument/2006/relationships/table" Target="../tables/table77.xml"/><Relationship Id="rId257" Type="http://schemas.openxmlformats.org/officeDocument/2006/relationships/table" Target="../tables/table84.xml"/><Relationship Id="rId256" Type="http://schemas.openxmlformats.org/officeDocument/2006/relationships/table" Target="../tables/table83.xml"/><Relationship Id="rId255" Type="http://schemas.openxmlformats.org/officeDocument/2006/relationships/table" Target="../tables/table82.xml"/><Relationship Id="rId254" Type="http://schemas.openxmlformats.org/officeDocument/2006/relationships/table" Target="../tables/table81.xml"/><Relationship Id="rId293" Type="http://schemas.openxmlformats.org/officeDocument/2006/relationships/table" Target="../tables/table120.xml"/><Relationship Id="rId292" Type="http://schemas.openxmlformats.org/officeDocument/2006/relationships/table" Target="../tables/table119.xml"/><Relationship Id="rId291" Type="http://schemas.openxmlformats.org/officeDocument/2006/relationships/table" Target="../tables/table118.xml"/><Relationship Id="rId290" Type="http://schemas.openxmlformats.org/officeDocument/2006/relationships/table" Target="../tables/table117.xml"/><Relationship Id="rId206" Type="http://schemas.openxmlformats.org/officeDocument/2006/relationships/table" Target="../tables/table33.xml"/><Relationship Id="rId327" Type="http://schemas.openxmlformats.org/officeDocument/2006/relationships/table" Target="../tables/table154.xml"/><Relationship Id="rId205" Type="http://schemas.openxmlformats.org/officeDocument/2006/relationships/table" Target="../tables/table32.xml"/><Relationship Id="rId326" Type="http://schemas.openxmlformats.org/officeDocument/2006/relationships/table" Target="../tables/table153.xml"/><Relationship Id="rId204" Type="http://schemas.openxmlformats.org/officeDocument/2006/relationships/table" Target="../tables/table31.xml"/><Relationship Id="rId325" Type="http://schemas.openxmlformats.org/officeDocument/2006/relationships/table" Target="../tables/table152.xml"/><Relationship Id="rId203" Type="http://schemas.openxmlformats.org/officeDocument/2006/relationships/table" Target="../tables/table30.xml"/><Relationship Id="rId324" Type="http://schemas.openxmlformats.org/officeDocument/2006/relationships/table" Target="../tables/table151.xml"/><Relationship Id="rId209" Type="http://schemas.openxmlformats.org/officeDocument/2006/relationships/table" Target="../tables/table36.xml"/><Relationship Id="rId208" Type="http://schemas.openxmlformats.org/officeDocument/2006/relationships/table" Target="../tables/table35.xml"/><Relationship Id="rId329" Type="http://schemas.openxmlformats.org/officeDocument/2006/relationships/table" Target="../tables/table156.xml"/><Relationship Id="rId207" Type="http://schemas.openxmlformats.org/officeDocument/2006/relationships/table" Target="../tables/table34.xml"/><Relationship Id="rId328" Type="http://schemas.openxmlformats.org/officeDocument/2006/relationships/table" Target="../tables/table155.xml"/><Relationship Id="rId286" Type="http://schemas.openxmlformats.org/officeDocument/2006/relationships/table" Target="../tables/table113.xml"/><Relationship Id="rId285" Type="http://schemas.openxmlformats.org/officeDocument/2006/relationships/table" Target="../tables/table112.xml"/><Relationship Id="rId284" Type="http://schemas.openxmlformats.org/officeDocument/2006/relationships/table" Target="../tables/table111.xml"/><Relationship Id="rId283" Type="http://schemas.openxmlformats.org/officeDocument/2006/relationships/table" Target="../tables/table110.xml"/><Relationship Id="rId202" Type="http://schemas.openxmlformats.org/officeDocument/2006/relationships/table" Target="../tables/table29.xml"/><Relationship Id="rId323" Type="http://schemas.openxmlformats.org/officeDocument/2006/relationships/table" Target="../tables/table150.xml"/><Relationship Id="rId201" Type="http://schemas.openxmlformats.org/officeDocument/2006/relationships/table" Target="../tables/table28.xml"/><Relationship Id="rId289" Type="http://schemas.openxmlformats.org/officeDocument/2006/relationships/table" Target="../tables/table116.xml"/><Relationship Id="rId322" Type="http://schemas.openxmlformats.org/officeDocument/2006/relationships/table" Target="../tables/table149.xml"/><Relationship Id="rId200" Type="http://schemas.openxmlformats.org/officeDocument/2006/relationships/table" Target="../tables/table27.xml"/><Relationship Id="rId288" Type="http://schemas.openxmlformats.org/officeDocument/2006/relationships/table" Target="../tables/table115.xml"/><Relationship Id="rId321" Type="http://schemas.openxmlformats.org/officeDocument/2006/relationships/table" Target="../tables/table148.xml"/><Relationship Id="rId287" Type="http://schemas.openxmlformats.org/officeDocument/2006/relationships/table" Target="../tables/table114.xml"/><Relationship Id="rId320" Type="http://schemas.openxmlformats.org/officeDocument/2006/relationships/table" Target="../tables/table147.xml"/><Relationship Id="rId282" Type="http://schemas.openxmlformats.org/officeDocument/2006/relationships/table" Target="../tables/table109.xml"/><Relationship Id="rId281" Type="http://schemas.openxmlformats.org/officeDocument/2006/relationships/table" Target="../tables/table108.xml"/><Relationship Id="rId280" Type="http://schemas.openxmlformats.org/officeDocument/2006/relationships/table" Target="../tables/table107.xml"/><Relationship Id="rId316" Type="http://schemas.openxmlformats.org/officeDocument/2006/relationships/table" Target="../tables/table143.xml"/><Relationship Id="rId315" Type="http://schemas.openxmlformats.org/officeDocument/2006/relationships/table" Target="../tables/table142.xml"/><Relationship Id="rId314" Type="http://schemas.openxmlformats.org/officeDocument/2006/relationships/table" Target="../tables/table141.xml"/><Relationship Id="rId313" Type="http://schemas.openxmlformats.org/officeDocument/2006/relationships/table" Target="../tables/table140.xml"/><Relationship Id="rId319" Type="http://schemas.openxmlformats.org/officeDocument/2006/relationships/table" Target="../tables/table146.xml"/><Relationship Id="rId318" Type="http://schemas.openxmlformats.org/officeDocument/2006/relationships/table" Target="../tables/table145.xml"/><Relationship Id="rId317" Type="http://schemas.openxmlformats.org/officeDocument/2006/relationships/table" Target="../tables/table144.xml"/><Relationship Id="rId275" Type="http://schemas.openxmlformats.org/officeDocument/2006/relationships/table" Target="../tables/table102.xml"/><Relationship Id="rId274" Type="http://schemas.openxmlformats.org/officeDocument/2006/relationships/table" Target="../tables/table101.xml"/><Relationship Id="rId273" Type="http://schemas.openxmlformats.org/officeDocument/2006/relationships/table" Target="../tables/table100.xml"/><Relationship Id="rId272" Type="http://schemas.openxmlformats.org/officeDocument/2006/relationships/table" Target="../tables/table99.xml"/><Relationship Id="rId279" Type="http://schemas.openxmlformats.org/officeDocument/2006/relationships/table" Target="../tables/table106.xml"/><Relationship Id="rId312" Type="http://schemas.openxmlformats.org/officeDocument/2006/relationships/table" Target="../tables/table139.xml"/><Relationship Id="rId278" Type="http://schemas.openxmlformats.org/officeDocument/2006/relationships/table" Target="../tables/table105.xml"/><Relationship Id="rId311" Type="http://schemas.openxmlformats.org/officeDocument/2006/relationships/table" Target="../tables/table138.xml"/><Relationship Id="rId277" Type="http://schemas.openxmlformats.org/officeDocument/2006/relationships/table" Target="../tables/table104.xml"/><Relationship Id="rId310" Type="http://schemas.openxmlformats.org/officeDocument/2006/relationships/table" Target="../tables/table137.xml"/><Relationship Id="rId276" Type="http://schemas.openxmlformats.org/officeDocument/2006/relationships/table" Target="../tables/table103.xml"/></Relationships>
</file>

<file path=xl/worksheets/_rels/sheet3.xml.rels><?xml version="1.0" encoding="UTF-8" standalone="yes"?><Relationships xmlns="http://schemas.openxmlformats.org/package/2006/relationships"><Relationship Id="rId31" Type="http://schemas.openxmlformats.org/officeDocument/2006/relationships/table" Target="../tables/table184.xml"/><Relationship Id="rId30" Type="http://schemas.openxmlformats.org/officeDocument/2006/relationships/table" Target="../tables/table183.xml"/><Relationship Id="rId20" Type="http://schemas.openxmlformats.org/officeDocument/2006/relationships/table" Target="../tables/table173.xml"/><Relationship Id="rId22" Type="http://schemas.openxmlformats.org/officeDocument/2006/relationships/table" Target="../tables/table175.xml"/><Relationship Id="rId21" Type="http://schemas.openxmlformats.org/officeDocument/2006/relationships/table" Target="../tables/table174.xml"/><Relationship Id="rId24" Type="http://schemas.openxmlformats.org/officeDocument/2006/relationships/table" Target="../tables/table177.xml"/><Relationship Id="rId23" Type="http://schemas.openxmlformats.org/officeDocument/2006/relationships/table" Target="../tables/table176.xml"/><Relationship Id="rId26" Type="http://schemas.openxmlformats.org/officeDocument/2006/relationships/table" Target="../tables/table179.xml"/><Relationship Id="rId25" Type="http://schemas.openxmlformats.org/officeDocument/2006/relationships/table" Target="../tables/table178.xml"/><Relationship Id="rId28" Type="http://schemas.openxmlformats.org/officeDocument/2006/relationships/table" Target="../tables/table181.xml"/><Relationship Id="rId27" Type="http://schemas.openxmlformats.org/officeDocument/2006/relationships/table" Target="../tables/table180.xml"/><Relationship Id="rId29" Type="http://schemas.openxmlformats.org/officeDocument/2006/relationships/table" Target="../tables/table182.xml"/><Relationship Id="rId19" Type="http://schemas.openxmlformats.org/officeDocument/2006/relationships/table" Target="../tables/table172.xml"/><Relationship Id="rId18" Type="http://schemas.openxmlformats.org/officeDocument/2006/relationships/table" Target="../tables/table171.xml"/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matheuslessa.com.br/" TargetMode="External"/><Relationship Id="rId2" Type="http://schemas.openxmlformats.org/officeDocument/2006/relationships/hyperlink" Target="http://www.ingredientesdosucesso.com.br/" TargetMode="External"/><Relationship Id="rId3" Type="http://schemas.openxmlformats.org/officeDocument/2006/relationships/hyperlink" Target="http://www.matheuslessa.com.br/" TargetMode="External"/><Relationship Id="rId4" Type="http://schemas.openxmlformats.org/officeDocument/2006/relationships/hyperlink" Target="http://www.ingredientesdosucesso.com.br/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8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8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2" width="1.88"/>
    <col customWidth="1" min="5" max="5" width="33.5"/>
    <col customWidth="1" min="6" max="6" width="21.63"/>
    <col customWidth="1" min="7" max="7" width="14.25"/>
    <col customWidth="1" min="8" max="8" width="20.75"/>
    <col customWidth="1" min="9" max="9" width="17.38"/>
    <col customWidth="1" min="10" max="10" width="15.0"/>
    <col customWidth="1" min="14" max="14" width="23.88"/>
    <col customWidth="1" min="29" max="29" width="3.88"/>
    <col customWidth="1" min="30" max="30" width="3.0"/>
    <col customWidth="1" min="32" max="32" width="10.38"/>
  </cols>
  <sheetData>
    <row r="1" hidden="1">
      <c r="A1" s="1"/>
      <c r="B1" s="1"/>
      <c r="C1" s="2"/>
      <c r="D1" s="3"/>
      <c r="E1" s="4">
        <v>0.0</v>
      </c>
      <c r="F1" s="3"/>
      <c r="G1" s="3"/>
      <c r="H1" s="3"/>
      <c r="I1" s="5"/>
      <c r="J1" s="6"/>
      <c r="K1" s="6"/>
      <c r="L1" s="6"/>
      <c r="M1" s="6"/>
      <c r="N1" s="3"/>
      <c r="O1" s="7"/>
      <c r="P1" s="8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9"/>
      <c r="AJ1" s="9"/>
    </row>
    <row r="2" hidden="1">
      <c r="A2" s="1"/>
      <c r="B2" s="1"/>
      <c r="C2" s="2"/>
      <c r="D2" s="3"/>
      <c r="E2" s="10"/>
      <c r="F2" s="3"/>
      <c r="G2" s="3"/>
      <c r="H2" s="3"/>
      <c r="I2" s="5"/>
      <c r="J2" s="6"/>
      <c r="K2" s="6"/>
      <c r="L2" s="6"/>
      <c r="M2" s="6"/>
      <c r="N2" s="3"/>
      <c r="O2" s="7"/>
      <c r="P2" s="8"/>
      <c r="Q2" s="8"/>
      <c r="R2" s="1"/>
      <c r="S2" s="1"/>
      <c r="T2" s="1"/>
      <c r="U2" s="11"/>
      <c r="V2" s="11"/>
      <c r="W2" s="12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9"/>
      <c r="AJ2" s="9"/>
    </row>
    <row r="3">
      <c r="A3" s="13"/>
      <c r="B3" s="14"/>
      <c r="C3" s="15" t="s">
        <v>0</v>
      </c>
      <c r="D3" s="16"/>
      <c r="E3" s="16"/>
      <c r="F3" s="16"/>
      <c r="G3" s="16"/>
      <c r="H3" s="17"/>
      <c r="I3" s="18"/>
      <c r="J3" s="19"/>
      <c r="K3" s="19"/>
      <c r="L3" s="19"/>
      <c r="M3" s="19"/>
      <c r="N3" s="18"/>
      <c r="O3" s="11"/>
      <c r="P3" s="20"/>
      <c r="Q3" s="20"/>
      <c r="R3" s="1"/>
      <c r="S3" s="1"/>
      <c r="T3" s="1"/>
      <c r="U3" s="11"/>
      <c r="V3" s="7"/>
      <c r="W3" s="21"/>
      <c r="X3" s="7"/>
      <c r="Y3" s="1"/>
      <c r="Z3" s="1"/>
      <c r="AA3" s="1"/>
      <c r="AB3" s="1"/>
      <c r="AC3" s="1"/>
      <c r="AD3" s="1"/>
      <c r="AE3" s="1"/>
      <c r="AF3" s="1"/>
      <c r="AG3" s="1"/>
      <c r="AH3" s="1"/>
      <c r="AI3" s="9"/>
      <c r="AJ3" s="9"/>
    </row>
    <row r="4" hidden="1">
      <c r="A4" s="1"/>
      <c r="B4" s="1"/>
      <c r="C4" s="2"/>
      <c r="D4" s="3"/>
      <c r="E4" s="3"/>
      <c r="F4" s="3"/>
      <c r="G4" s="3"/>
      <c r="H4" s="3"/>
      <c r="I4" s="3"/>
      <c r="J4" s="6"/>
      <c r="K4" s="6"/>
      <c r="L4" s="6"/>
      <c r="M4" s="6"/>
      <c r="N4" s="3"/>
      <c r="O4" s="7"/>
      <c r="P4" s="8"/>
      <c r="Q4" s="8"/>
      <c r="R4" s="7"/>
      <c r="S4" s="7"/>
      <c r="T4" s="7"/>
      <c r="V4" s="7"/>
      <c r="W4" s="21"/>
      <c r="X4" s="7"/>
      <c r="Y4" s="7"/>
      <c r="Z4" s="7"/>
      <c r="AA4" s="22" t="s">
        <v>1</v>
      </c>
      <c r="AB4" s="7"/>
      <c r="AC4" s="7"/>
      <c r="AD4" s="7"/>
      <c r="AE4" s="7"/>
      <c r="AF4" s="7"/>
      <c r="AG4" s="7"/>
      <c r="AH4" s="7"/>
      <c r="AI4" s="7"/>
      <c r="AJ4" s="7"/>
    </row>
    <row r="5" hidden="1">
      <c r="A5" s="1"/>
      <c r="B5" s="2"/>
      <c r="C5" s="2"/>
      <c r="D5" s="3"/>
      <c r="E5" s="18"/>
      <c r="F5" s="23"/>
      <c r="G5" s="23"/>
      <c r="H5" s="3"/>
      <c r="I5" s="3"/>
      <c r="J5" s="6"/>
      <c r="K5" s="6"/>
      <c r="L5" s="6"/>
      <c r="M5" s="6"/>
      <c r="N5" s="3"/>
      <c r="O5" s="7"/>
      <c r="P5" s="8"/>
      <c r="Q5" s="8"/>
      <c r="R5" s="7"/>
      <c r="S5" s="7"/>
      <c r="T5" s="7"/>
      <c r="V5" s="7"/>
      <c r="W5" s="21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hidden="1">
      <c r="A6" s="1"/>
      <c r="B6" s="2"/>
      <c r="C6" s="2"/>
      <c r="D6" s="3"/>
      <c r="E6" s="3"/>
      <c r="F6" s="3"/>
      <c r="G6" s="3"/>
      <c r="H6" s="3"/>
      <c r="I6" s="3"/>
      <c r="J6" s="6"/>
      <c r="K6" s="6"/>
      <c r="L6" s="6"/>
      <c r="M6" s="6"/>
      <c r="N6" s="3"/>
      <c r="O6" s="7"/>
      <c r="P6" s="8"/>
      <c r="Q6" s="8"/>
      <c r="R6" s="7"/>
      <c r="S6" s="7"/>
      <c r="T6" s="7"/>
      <c r="V6" s="7"/>
      <c r="W6" s="21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hidden="1">
      <c r="A7" s="1"/>
      <c r="B7" s="1"/>
      <c r="C7" s="2"/>
      <c r="D7" s="3"/>
      <c r="E7" s="3"/>
      <c r="F7" s="3"/>
      <c r="G7" s="3"/>
      <c r="H7" s="3"/>
      <c r="I7" s="5"/>
      <c r="J7" s="6"/>
      <c r="K7" s="6"/>
      <c r="L7" s="6"/>
      <c r="M7" s="6"/>
      <c r="N7" s="3"/>
      <c r="O7" s="7"/>
      <c r="P7" s="8"/>
      <c r="Q7" s="8"/>
      <c r="R7" s="7"/>
      <c r="S7" s="7"/>
      <c r="T7" s="7"/>
      <c r="V7" s="7"/>
      <c r="W7" s="21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hidden="1">
      <c r="A8" s="1"/>
      <c r="B8" s="2"/>
      <c r="C8" s="2"/>
      <c r="D8" s="3"/>
      <c r="E8" s="3"/>
      <c r="F8" s="3"/>
      <c r="G8" s="3"/>
      <c r="H8" s="3"/>
      <c r="I8" s="3"/>
      <c r="J8" s="6"/>
      <c r="K8" s="6"/>
      <c r="L8" s="6"/>
      <c r="M8" s="6"/>
      <c r="N8" s="3"/>
      <c r="O8" s="7"/>
      <c r="P8" s="8"/>
      <c r="Q8" s="8"/>
      <c r="R8" s="7"/>
      <c r="S8" s="7"/>
      <c r="T8" s="7"/>
      <c r="V8" s="7"/>
      <c r="W8" s="21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>
      <c r="A9" s="1"/>
      <c r="B9" s="24"/>
      <c r="C9" s="25">
        <f>TODAY()</f>
        <v>46144</v>
      </c>
      <c r="D9" s="26"/>
      <c r="E9" s="3"/>
      <c r="F9" s="3"/>
      <c r="G9" s="3"/>
      <c r="H9" s="3"/>
      <c r="I9" s="3"/>
      <c r="J9" s="6"/>
      <c r="K9" s="6"/>
      <c r="L9" s="6"/>
      <c r="M9" s="6"/>
      <c r="N9" s="3"/>
      <c r="O9" s="7"/>
      <c r="P9" s="8"/>
      <c r="Q9" s="8"/>
      <c r="R9" s="7"/>
      <c r="S9" s="7"/>
      <c r="T9" s="7"/>
      <c r="V9" s="7"/>
      <c r="W9" s="21"/>
      <c r="X9" s="7"/>
      <c r="Y9" s="7"/>
      <c r="Z9" s="7"/>
      <c r="AA9" s="7"/>
      <c r="AB9" s="7"/>
      <c r="AC9" s="7"/>
      <c r="AD9" s="7"/>
      <c r="AE9" s="27" t="s">
        <v>2</v>
      </c>
      <c r="AF9" s="7"/>
      <c r="AG9" s="7"/>
      <c r="AH9" s="27" t="s">
        <v>3</v>
      </c>
      <c r="AI9" s="27"/>
      <c r="AJ9" s="27"/>
    </row>
    <row r="10">
      <c r="A10" s="1"/>
      <c r="B10" s="28"/>
      <c r="C10" s="29" t="s">
        <v>4</v>
      </c>
      <c r="D10" s="30" t="s">
        <v>5</v>
      </c>
      <c r="E10" s="30" t="s">
        <v>3</v>
      </c>
      <c r="F10" s="31" t="s">
        <v>6</v>
      </c>
      <c r="G10" s="31" t="s">
        <v>7</v>
      </c>
      <c r="H10" s="32" t="s">
        <v>8</v>
      </c>
      <c r="I10" s="33" t="s">
        <v>9</v>
      </c>
      <c r="J10" s="34" t="s">
        <v>10</v>
      </c>
      <c r="K10" s="35" t="s">
        <v>11</v>
      </c>
      <c r="L10" s="34" t="s">
        <v>12</v>
      </c>
      <c r="M10" s="35" t="s">
        <v>13</v>
      </c>
      <c r="N10" s="36" t="s">
        <v>14</v>
      </c>
      <c r="O10" s="21"/>
      <c r="P10" s="37" t="s">
        <v>15</v>
      </c>
      <c r="Q10" s="38" t="s">
        <v>16</v>
      </c>
      <c r="R10" s="7"/>
      <c r="S10" s="7"/>
      <c r="T10" s="7"/>
      <c r="V10" s="7"/>
      <c r="W10" s="21"/>
      <c r="X10" s="7"/>
      <c r="Y10" s="7"/>
      <c r="Z10" s="7"/>
      <c r="AA10" s="39" t="s">
        <v>17</v>
      </c>
      <c r="AB10" s="39" t="s">
        <v>18</v>
      </c>
      <c r="AC10" s="7"/>
      <c r="AD10" s="7"/>
      <c r="AE10" s="7"/>
      <c r="AF10" s="7"/>
      <c r="AG10" s="7"/>
      <c r="AH10" s="7"/>
      <c r="AI10" s="7"/>
      <c r="AJ10" s="7"/>
    </row>
    <row r="11">
      <c r="A11" s="40"/>
      <c r="B11" s="14"/>
      <c r="C11" s="41"/>
      <c r="D11" s="42">
        <v>46027.0</v>
      </c>
      <c r="E11" s="43" t="s">
        <v>19</v>
      </c>
      <c r="F11" s="44" t="s">
        <v>20</v>
      </c>
      <c r="G11" s="44" t="s">
        <v>20</v>
      </c>
      <c r="H11" s="44" t="s">
        <v>21</v>
      </c>
      <c r="I11" s="44" t="s">
        <v>22</v>
      </c>
      <c r="J11" s="45">
        <v>260.0</v>
      </c>
      <c r="K11" s="46"/>
      <c r="L11" s="45">
        <v>260.0</v>
      </c>
      <c r="M11" s="46"/>
      <c r="N11" s="47" t="s">
        <v>23</v>
      </c>
      <c r="O11" s="48" t="str">
        <f>IF(K11=0,"",IF(AND(K11&gt;0,K11&gt;M11),K11-M11,""))</f>
        <v/>
      </c>
      <c r="P11" s="49">
        <f t="shared" ref="P11:Q11" si="1">IF(J11="","",J11-L11)</f>
        <v>0</v>
      </c>
      <c r="Q11" s="50" t="str">
        <f t="shared" si="1"/>
        <v/>
      </c>
      <c r="R11" s="7"/>
      <c r="S11" s="7"/>
      <c r="T11" s="7"/>
      <c r="U11" s="7"/>
      <c r="V11" s="7"/>
      <c r="W11" s="7"/>
      <c r="X11" s="7"/>
      <c r="Y11" s="7"/>
      <c r="Z11" s="7"/>
      <c r="AA11" s="7" t="str">
        <f t="shared" ref="AA11:AA125" si="3">IF(K11=0,"",IF(AND(K11&gt;0,K11&gt;M11),K11-M11,""))</f>
        <v/>
      </c>
      <c r="AB11" s="7" t="str">
        <f t="shared" ref="AB11:AB125" si="4">IF(J11=0,"",IF(AND(J11&gt;0,J11&gt;L11),J11-L11,""))</f>
        <v/>
      </c>
      <c r="AC11" s="7"/>
      <c r="AD11" s="7"/>
      <c r="AE11" s="51" t="s">
        <v>24</v>
      </c>
      <c r="AF11" s="7"/>
      <c r="AG11" s="7"/>
      <c r="AH11" s="52" t="s">
        <v>23</v>
      </c>
      <c r="AI11" s="51"/>
      <c r="AJ11" s="51"/>
    </row>
    <row r="12">
      <c r="A12" s="40"/>
      <c r="B12" s="14"/>
      <c r="C12" s="41"/>
      <c r="D12" s="53">
        <v>46027.0</v>
      </c>
      <c r="E12" s="54" t="s">
        <v>25</v>
      </c>
      <c r="F12" s="55" t="s">
        <v>20</v>
      </c>
      <c r="G12" s="55" t="s">
        <v>20</v>
      </c>
      <c r="H12" s="55" t="s">
        <v>26</v>
      </c>
      <c r="I12" s="55" t="s">
        <v>27</v>
      </c>
      <c r="J12" s="56"/>
      <c r="K12" s="56"/>
      <c r="L12" s="56"/>
      <c r="M12" s="56"/>
      <c r="N12" s="57" t="s">
        <v>28</v>
      </c>
      <c r="O12" s="48"/>
      <c r="P12" s="49" t="str">
        <f t="shared" ref="P12:Q12" si="2">IF(J12="","",J12-L12)</f>
        <v/>
      </c>
      <c r="Q12" s="50" t="str">
        <f t="shared" si="2"/>
        <v/>
      </c>
      <c r="R12" s="1"/>
      <c r="S12" s="1"/>
      <c r="T12" s="1"/>
      <c r="U12" s="1"/>
      <c r="V12" s="1"/>
      <c r="W12" s="1"/>
      <c r="X12" s="1"/>
      <c r="Y12" s="1"/>
      <c r="Z12" s="1"/>
      <c r="AA12" s="7" t="str">
        <f t="shared" si="3"/>
        <v/>
      </c>
      <c r="AB12" s="7" t="str">
        <f t="shared" si="4"/>
        <v/>
      </c>
      <c r="AC12" s="1"/>
      <c r="AD12" s="1"/>
      <c r="AE12" s="52" t="s">
        <v>19</v>
      </c>
      <c r="AF12" s="1"/>
      <c r="AG12" s="1"/>
      <c r="AH12" s="51" t="s">
        <v>29</v>
      </c>
      <c r="AI12" s="51"/>
      <c r="AJ12" s="51"/>
    </row>
    <row r="13">
      <c r="A13" s="40"/>
      <c r="B13" s="14"/>
      <c r="C13" s="41"/>
      <c r="D13" s="42">
        <v>46027.0</v>
      </c>
      <c r="E13" s="43" t="s">
        <v>30</v>
      </c>
      <c r="F13" s="58" t="s">
        <v>20</v>
      </c>
      <c r="G13" s="58" t="s">
        <v>20</v>
      </c>
      <c r="H13" s="58" t="s">
        <v>31</v>
      </c>
      <c r="I13" s="59" t="s">
        <v>32</v>
      </c>
      <c r="J13" s="60"/>
      <c r="K13" s="60"/>
      <c r="L13" s="60"/>
      <c r="M13" s="60"/>
      <c r="N13" s="61" t="s">
        <v>33</v>
      </c>
      <c r="O13" s="48"/>
      <c r="P13" s="49" t="str">
        <f t="shared" ref="P13:Q13" si="5">IF(J13="","",J13-L13)</f>
        <v/>
      </c>
      <c r="Q13" s="50" t="str">
        <f t="shared" si="5"/>
        <v/>
      </c>
      <c r="R13" s="1"/>
      <c r="S13" s="1"/>
      <c r="T13" s="1"/>
      <c r="U13" s="1"/>
      <c r="V13" s="1"/>
      <c r="W13" s="1"/>
      <c r="X13" s="1"/>
      <c r="Y13" s="1"/>
      <c r="Z13" s="1"/>
      <c r="AA13" s="7" t="str">
        <f t="shared" si="3"/>
        <v/>
      </c>
      <c r="AB13" s="7" t="str">
        <f t="shared" si="4"/>
        <v/>
      </c>
      <c r="AC13" s="1"/>
      <c r="AD13" s="1"/>
      <c r="AE13" s="51" t="s">
        <v>25</v>
      </c>
      <c r="AF13" s="1"/>
      <c r="AG13" s="1"/>
      <c r="AH13" s="51" t="s">
        <v>34</v>
      </c>
      <c r="AI13" s="51"/>
      <c r="AJ13" s="51"/>
    </row>
    <row r="14">
      <c r="A14" s="40"/>
      <c r="B14" s="14"/>
      <c r="C14" s="41"/>
      <c r="D14" s="53">
        <v>46027.0</v>
      </c>
      <c r="E14" s="54" t="s">
        <v>35</v>
      </c>
      <c r="F14" s="55" t="s">
        <v>20</v>
      </c>
      <c r="G14" s="55" t="s">
        <v>20</v>
      </c>
      <c r="H14" s="55" t="s">
        <v>36</v>
      </c>
      <c r="I14" s="55" t="s">
        <v>37</v>
      </c>
      <c r="J14" s="56"/>
      <c r="K14" s="56"/>
      <c r="L14" s="56"/>
      <c r="M14" s="56"/>
      <c r="N14" s="57" t="s">
        <v>38</v>
      </c>
      <c r="O14" s="48"/>
      <c r="P14" s="49" t="str">
        <f t="shared" ref="P14:Q14" si="6">IF(J14="","",J14-L14)</f>
        <v/>
      </c>
      <c r="Q14" s="50" t="str">
        <f t="shared" si="6"/>
        <v/>
      </c>
      <c r="R14" s="7"/>
      <c r="S14" s="7"/>
      <c r="T14" s="7"/>
      <c r="U14" s="7"/>
      <c r="V14" s="7"/>
      <c r="W14" s="7"/>
      <c r="X14" s="7"/>
      <c r="Y14" s="7"/>
      <c r="Z14" s="7"/>
      <c r="AA14" s="7" t="str">
        <f t="shared" si="3"/>
        <v/>
      </c>
      <c r="AB14" s="7" t="str">
        <f t="shared" si="4"/>
        <v/>
      </c>
      <c r="AC14" s="7"/>
      <c r="AD14" s="7"/>
      <c r="AE14" s="52" t="s">
        <v>30</v>
      </c>
      <c r="AF14" s="7"/>
      <c r="AG14" s="7"/>
      <c r="AH14" s="51" t="s">
        <v>39</v>
      </c>
      <c r="AI14" s="51"/>
      <c r="AJ14" s="51"/>
    </row>
    <row r="15">
      <c r="A15" s="40"/>
      <c r="B15" s="14"/>
      <c r="C15" s="41"/>
      <c r="D15" s="42">
        <v>46027.0</v>
      </c>
      <c r="E15" s="43" t="s">
        <v>40</v>
      </c>
      <c r="F15" s="58" t="s">
        <v>20</v>
      </c>
      <c r="G15" s="58" t="s">
        <v>20</v>
      </c>
      <c r="H15" s="58" t="s">
        <v>36</v>
      </c>
      <c r="I15" s="58" t="s">
        <v>37</v>
      </c>
      <c r="J15" s="60"/>
      <c r="K15" s="60"/>
      <c r="L15" s="60"/>
      <c r="M15" s="60"/>
      <c r="N15" s="61" t="s">
        <v>41</v>
      </c>
      <c r="O15" s="48"/>
      <c r="P15" s="49" t="str">
        <f t="shared" ref="P15:Q15" si="7">IF(J15="","",J15-L15)</f>
        <v/>
      </c>
      <c r="Q15" s="50" t="str">
        <f t="shared" si="7"/>
        <v/>
      </c>
      <c r="R15" s="7"/>
      <c r="S15" s="7"/>
      <c r="T15" s="7"/>
      <c r="U15" s="7"/>
      <c r="V15" s="7"/>
      <c r="W15" s="7"/>
      <c r="X15" s="7"/>
      <c r="Y15" s="7"/>
      <c r="Z15" s="7"/>
      <c r="AA15" s="7" t="str">
        <f t="shared" si="3"/>
        <v/>
      </c>
      <c r="AB15" s="7" t="str">
        <f t="shared" si="4"/>
        <v/>
      </c>
      <c r="AC15" s="7"/>
      <c r="AD15" s="7"/>
      <c r="AE15" s="52" t="s">
        <v>35</v>
      </c>
      <c r="AF15" s="7"/>
      <c r="AG15" s="7"/>
      <c r="AH15" s="52" t="s">
        <v>28</v>
      </c>
      <c r="AI15" s="51"/>
      <c r="AJ15" s="51"/>
    </row>
    <row r="16">
      <c r="A16" s="40"/>
      <c r="B16" s="14"/>
      <c r="C16" s="41"/>
      <c r="D16" s="53">
        <v>46027.0</v>
      </c>
      <c r="E16" s="54" t="s">
        <v>42</v>
      </c>
      <c r="F16" s="55" t="s">
        <v>43</v>
      </c>
      <c r="G16" s="55" t="s">
        <v>44</v>
      </c>
      <c r="H16" s="55" t="s">
        <v>45</v>
      </c>
      <c r="I16" s="55" t="s">
        <v>46</v>
      </c>
      <c r="J16" s="56"/>
      <c r="K16" s="62">
        <v>69.66</v>
      </c>
      <c r="L16" s="56"/>
      <c r="M16" s="62">
        <v>69.66</v>
      </c>
      <c r="N16" s="63"/>
      <c r="O16" s="48"/>
      <c r="P16" s="49" t="str">
        <f t="shared" ref="P16:Q16" si="8">IF(J16="","",J16-L16)</f>
        <v/>
      </c>
      <c r="Q16" s="50">
        <f t="shared" si="8"/>
        <v>0</v>
      </c>
      <c r="R16" s="7"/>
      <c r="S16" s="7"/>
      <c r="T16" s="7"/>
      <c r="U16" s="7"/>
      <c r="V16" s="7"/>
      <c r="W16" s="7"/>
      <c r="X16" s="7"/>
      <c r="Y16" s="7"/>
      <c r="Z16" s="7"/>
      <c r="AA16" s="7" t="str">
        <f t="shared" si="3"/>
        <v/>
      </c>
      <c r="AB16" s="7" t="str">
        <f t="shared" si="4"/>
        <v/>
      </c>
      <c r="AC16" s="7"/>
      <c r="AD16" s="7"/>
      <c r="AE16" s="52" t="s">
        <v>40</v>
      </c>
      <c r="AF16" s="7"/>
      <c r="AG16" s="7"/>
      <c r="AH16" s="52" t="s">
        <v>38</v>
      </c>
      <c r="AI16" s="51"/>
      <c r="AJ16" s="51"/>
    </row>
    <row r="17">
      <c r="A17" s="40"/>
      <c r="B17" s="14"/>
      <c r="C17" s="41"/>
      <c r="D17" s="42">
        <v>46027.0</v>
      </c>
      <c r="E17" s="43" t="s">
        <v>47</v>
      </c>
      <c r="F17" s="58" t="s">
        <v>48</v>
      </c>
      <c r="G17" s="58" t="s">
        <v>44</v>
      </c>
      <c r="H17" s="58" t="s">
        <v>45</v>
      </c>
      <c r="I17" s="58" t="s">
        <v>46</v>
      </c>
      <c r="J17" s="60"/>
      <c r="K17" s="64">
        <v>87.27</v>
      </c>
      <c r="L17" s="60"/>
      <c r="M17" s="64">
        <v>87.27</v>
      </c>
      <c r="N17" s="65"/>
      <c r="O17" s="48"/>
      <c r="P17" s="49" t="str">
        <f t="shared" ref="P17:Q17" si="9">IF(J17="","",J17-L17)</f>
        <v/>
      </c>
      <c r="Q17" s="50">
        <f t="shared" si="9"/>
        <v>0</v>
      </c>
      <c r="R17" s="7"/>
      <c r="S17" s="7"/>
      <c r="T17" s="7"/>
      <c r="U17" s="7"/>
      <c r="V17" s="7"/>
      <c r="W17" s="7"/>
      <c r="X17" s="7"/>
      <c r="Y17" s="7"/>
      <c r="Z17" s="7"/>
      <c r="AA17" s="7" t="str">
        <f t="shared" si="3"/>
        <v/>
      </c>
      <c r="AB17" s="7" t="str">
        <f t="shared" si="4"/>
        <v/>
      </c>
      <c r="AC17" s="7"/>
      <c r="AD17" s="7"/>
      <c r="AE17" s="52" t="s">
        <v>49</v>
      </c>
      <c r="AF17" s="7"/>
      <c r="AG17" s="7"/>
      <c r="AH17" s="52" t="s">
        <v>33</v>
      </c>
      <c r="AI17" s="51"/>
      <c r="AJ17" s="51"/>
    </row>
    <row r="18">
      <c r="A18" s="40"/>
      <c r="B18" s="14"/>
      <c r="C18" s="41"/>
      <c r="D18" s="53">
        <v>46027.0</v>
      </c>
      <c r="E18" s="54" t="s">
        <v>50</v>
      </c>
      <c r="F18" s="55" t="s">
        <v>51</v>
      </c>
      <c r="G18" s="55" t="s">
        <v>44</v>
      </c>
      <c r="H18" s="55" t="s">
        <v>45</v>
      </c>
      <c r="I18" s="55" t="s">
        <v>46</v>
      </c>
      <c r="J18" s="56"/>
      <c r="K18" s="62">
        <v>77.87</v>
      </c>
      <c r="L18" s="56"/>
      <c r="M18" s="62">
        <v>77.87</v>
      </c>
      <c r="N18" s="63"/>
      <c r="O18" s="48"/>
      <c r="P18" s="49" t="str">
        <f t="shared" ref="P18:Q18" si="10">IF(J18="","",J18-L18)</f>
        <v/>
      </c>
      <c r="Q18" s="50">
        <f t="shared" si="10"/>
        <v>0</v>
      </c>
      <c r="R18" s="7"/>
      <c r="S18" s="7"/>
      <c r="T18" s="7"/>
      <c r="U18" s="7"/>
      <c r="V18" s="7"/>
      <c r="W18" s="7"/>
      <c r="X18" s="7"/>
      <c r="Y18" s="7"/>
      <c r="Z18" s="7"/>
      <c r="AA18" s="7" t="str">
        <f t="shared" si="3"/>
        <v/>
      </c>
      <c r="AB18" s="7" t="str">
        <f t="shared" si="4"/>
        <v/>
      </c>
      <c r="AC18" s="7"/>
      <c r="AD18" s="7"/>
      <c r="AE18" s="52" t="s">
        <v>52</v>
      </c>
      <c r="AF18" s="7"/>
      <c r="AG18" s="7"/>
      <c r="AH18" s="52" t="s">
        <v>41</v>
      </c>
      <c r="AI18" s="51"/>
      <c r="AJ18" s="51"/>
    </row>
    <row r="19">
      <c r="A19" s="40"/>
      <c r="B19" s="14"/>
      <c r="C19" s="41"/>
      <c r="D19" s="42">
        <v>46027.0</v>
      </c>
      <c r="E19" s="43" t="s">
        <v>53</v>
      </c>
      <c r="F19" s="58" t="s">
        <v>54</v>
      </c>
      <c r="G19" s="58" t="s">
        <v>44</v>
      </c>
      <c r="H19" s="58" t="s">
        <v>45</v>
      </c>
      <c r="I19" s="58" t="s">
        <v>46</v>
      </c>
      <c r="J19" s="60"/>
      <c r="K19" s="64">
        <v>15.86</v>
      </c>
      <c r="L19" s="60"/>
      <c r="M19" s="64">
        <v>15.86</v>
      </c>
      <c r="N19" s="65"/>
      <c r="O19" s="48"/>
      <c r="P19" s="49" t="str">
        <f t="shared" ref="P19:Q19" si="11">IF(J19="","",J19-L19)</f>
        <v/>
      </c>
      <c r="Q19" s="50">
        <f t="shared" si="11"/>
        <v>0</v>
      </c>
      <c r="R19" s="7"/>
      <c r="S19" s="7"/>
      <c r="T19" s="7"/>
      <c r="U19" s="7"/>
      <c r="V19" s="7"/>
      <c r="W19" s="7"/>
      <c r="X19" s="7"/>
      <c r="Y19" s="7"/>
      <c r="Z19" s="7"/>
      <c r="AA19" s="7" t="str">
        <f t="shared" si="3"/>
        <v/>
      </c>
      <c r="AB19" s="7" t="str">
        <f t="shared" si="4"/>
        <v/>
      </c>
      <c r="AC19" s="7"/>
      <c r="AD19" s="7"/>
      <c r="AE19" s="66" t="s">
        <v>55</v>
      </c>
      <c r="AF19" s="7"/>
      <c r="AG19" s="7"/>
      <c r="AH19" s="67" t="s">
        <v>56</v>
      </c>
      <c r="AI19" s="67"/>
      <c r="AJ19" s="67"/>
    </row>
    <row r="20">
      <c r="A20" s="40"/>
      <c r="B20" s="14"/>
      <c r="C20" s="41"/>
      <c r="D20" s="53">
        <v>46027.0</v>
      </c>
      <c r="E20" s="54" t="s">
        <v>57</v>
      </c>
      <c r="F20" s="55" t="s">
        <v>20</v>
      </c>
      <c r="G20" s="55" t="s">
        <v>20</v>
      </c>
      <c r="H20" s="55" t="s">
        <v>45</v>
      </c>
      <c r="I20" s="55" t="s">
        <v>58</v>
      </c>
      <c r="J20" s="56"/>
      <c r="K20" s="62">
        <v>11.29</v>
      </c>
      <c r="L20" s="56"/>
      <c r="M20" s="62">
        <v>11.29</v>
      </c>
      <c r="N20" s="63"/>
      <c r="O20" s="48"/>
      <c r="P20" s="49" t="str">
        <f t="shared" ref="P20:Q20" si="12">IF(J20="","",J20-L20)</f>
        <v/>
      </c>
      <c r="Q20" s="68">
        <f t="shared" si="12"/>
        <v>0</v>
      </c>
      <c r="R20" s="7"/>
      <c r="S20" s="7"/>
      <c r="T20" s="7"/>
      <c r="U20" s="7"/>
      <c r="V20" s="7"/>
      <c r="W20" s="7"/>
      <c r="X20" s="7"/>
      <c r="Y20" s="7"/>
      <c r="Z20" s="7"/>
      <c r="AA20" s="7" t="str">
        <f t="shared" si="3"/>
        <v/>
      </c>
      <c r="AB20" s="7" t="str">
        <f t="shared" si="4"/>
        <v/>
      </c>
      <c r="AC20" s="7"/>
      <c r="AD20" s="7"/>
      <c r="AE20" s="51" t="s">
        <v>59</v>
      </c>
      <c r="AF20" s="7"/>
      <c r="AG20" s="7"/>
      <c r="AH20" s="7"/>
      <c r="AI20" s="7"/>
      <c r="AJ20" s="7"/>
    </row>
    <row r="21">
      <c r="A21" s="40"/>
      <c r="B21" s="14"/>
      <c r="C21" s="41"/>
      <c r="D21" s="42">
        <v>46027.0</v>
      </c>
      <c r="E21" s="43" t="s">
        <v>57</v>
      </c>
      <c r="F21" s="58" t="s">
        <v>20</v>
      </c>
      <c r="G21" s="58" t="s">
        <v>20</v>
      </c>
      <c r="H21" s="58" t="s">
        <v>45</v>
      </c>
      <c r="I21" s="58" t="s">
        <v>60</v>
      </c>
      <c r="J21" s="60"/>
      <c r="K21" s="64">
        <v>6.16</v>
      </c>
      <c r="L21" s="60"/>
      <c r="M21" s="64">
        <v>6.16</v>
      </c>
      <c r="N21" s="65"/>
      <c r="O21" s="48"/>
      <c r="P21" s="49" t="str">
        <f t="shared" ref="P21:Q21" si="13">IF(J21="","",J21-L21)</f>
        <v/>
      </c>
      <c r="Q21" s="50">
        <f t="shared" si="13"/>
        <v>0</v>
      </c>
      <c r="R21" s="7"/>
      <c r="S21" s="7"/>
      <c r="T21" s="7"/>
      <c r="U21" s="7"/>
      <c r="V21" s="7"/>
      <c r="W21" s="7"/>
      <c r="X21" s="7"/>
      <c r="Y21" s="7"/>
      <c r="Z21" s="7"/>
      <c r="AA21" s="7" t="str">
        <f t="shared" si="3"/>
        <v/>
      </c>
      <c r="AB21" s="7" t="str">
        <f t="shared" si="4"/>
        <v/>
      </c>
      <c r="AC21" s="7"/>
      <c r="AD21" s="7"/>
      <c r="AE21" s="51" t="s">
        <v>61</v>
      </c>
      <c r="AF21" s="7"/>
      <c r="AG21" s="7"/>
      <c r="AH21" s="7"/>
      <c r="AI21" s="7"/>
      <c r="AJ21" s="7"/>
    </row>
    <row r="22">
      <c r="A22" s="40"/>
      <c r="B22" s="14"/>
      <c r="C22" s="41"/>
      <c r="D22" s="69">
        <v>46026.0</v>
      </c>
      <c r="E22" s="54" t="s">
        <v>62</v>
      </c>
      <c r="F22" s="55" t="s">
        <v>63</v>
      </c>
      <c r="G22" s="55" t="s">
        <v>44</v>
      </c>
      <c r="H22" s="55" t="s">
        <v>64</v>
      </c>
      <c r="I22" s="55" t="s">
        <v>65</v>
      </c>
      <c r="J22" s="56"/>
      <c r="K22" s="62">
        <v>40.0</v>
      </c>
      <c r="L22" s="56"/>
      <c r="M22" s="62">
        <v>40.0</v>
      </c>
      <c r="N22" s="57" t="s">
        <v>23</v>
      </c>
      <c r="O22" s="48"/>
      <c r="P22" s="49" t="str">
        <f t="shared" ref="P22:Q22" si="14">IF(J22="","",J22-L22)</f>
        <v/>
      </c>
      <c r="Q22" s="50">
        <f t="shared" si="14"/>
        <v>0</v>
      </c>
      <c r="R22" s="7"/>
      <c r="S22" s="7"/>
      <c r="T22" s="7"/>
      <c r="U22" s="7"/>
      <c r="V22" s="7"/>
      <c r="W22" s="7"/>
      <c r="X22" s="7"/>
      <c r="Y22" s="7"/>
      <c r="Z22" s="7"/>
      <c r="AA22" s="7" t="str">
        <f t="shared" si="3"/>
        <v/>
      </c>
      <c r="AB22" s="7" t="str">
        <f t="shared" si="4"/>
        <v/>
      </c>
      <c r="AC22" s="7"/>
      <c r="AD22" s="7"/>
      <c r="AE22" s="52" t="s">
        <v>66</v>
      </c>
      <c r="AF22" s="7"/>
      <c r="AG22" s="7"/>
      <c r="AH22" s="7"/>
      <c r="AI22" s="7"/>
      <c r="AJ22" s="7"/>
    </row>
    <row r="23">
      <c r="A23" s="40"/>
      <c r="B23" s="14"/>
      <c r="C23" s="41"/>
      <c r="D23" s="70">
        <v>46026.0</v>
      </c>
      <c r="E23" s="43" t="s">
        <v>67</v>
      </c>
      <c r="F23" s="58" t="s">
        <v>68</v>
      </c>
      <c r="G23" s="58" t="s">
        <v>44</v>
      </c>
      <c r="H23" s="58" t="s">
        <v>64</v>
      </c>
      <c r="I23" s="58" t="s">
        <v>65</v>
      </c>
      <c r="J23" s="60"/>
      <c r="K23" s="64">
        <v>50.0</v>
      </c>
      <c r="L23" s="60"/>
      <c r="M23" s="64">
        <v>50.0</v>
      </c>
      <c r="N23" s="61" t="s">
        <v>23</v>
      </c>
      <c r="O23" s="71"/>
      <c r="P23" s="49" t="str">
        <f t="shared" ref="P23:Q23" si="15">IF(J23="","",J23-L23)</f>
        <v/>
      </c>
      <c r="Q23" s="50">
        <f t="shared" si="15"/>
        <v>0</v>
      </c>
      <c r="R23" s="7"/>
      <c r="S23" s="7"/>
      <c r="T23" s="7"/>
      <c r="U23" s="7"/>
      <c r="V23" s="7"/>
      <c r="W23" s="7"/>
      <c r="X23" s="7"/>
      <c r="Y23" s="7"/>
      <c r="Z23" s="7"/>
      <c r="AA23" s="7" t="str">
        <f t="shared" si="3"/>
        <v/>
      </c>
      <c r="AB23" s="7" t="str">
        <f t="shared" si="4"/>
        <v/>
      </c>
      <c r="AC23" s="7"/>
      <c r="AD23" s="7"/>
      <c r="AE23" s="72" t="s">
        <v>69</v>
      </c>
      <c r="AF23" s="7"/>
      <c r="AG23" s="7"/>
      <c r="AH23" s="7"/>
      <c r="AI23" s="7"/>
      <c r="AJ23" s="7"/>
    </row>
    <row r="24">
      <c r="A24" s="40"/>
      <c r="B24" s="14"/>
      <c r="C24" s="41"/>
      <c r="D24" s="69">
        <v>46026.0</v>
      </c>
      <c r="E24" s="54" t="s">
        <v>70</v>
      </c>
      <c r="F24" s="55" t="s">
        <v>71</v>
      </c>
      <c r="G24" s="55" t="s">
        <v>44</v>
      </c>
      <c r="H24" s="55" t="s">
        <v>64</v>
      </c>
      <c r="I24" s="55" t="s">
        <v>65</v>
      </c>
      <c r="J24" s="56"/>
      <c r="K24" s="62">
        <v>80.0</v>
      </c>
      <c r="L24" s="56"/>
      <c r="M24" s="62">
        <v>80.0</v>
      </c>
      <c r="N24" s="57" t="s">
        <v>23</v>
      </c>
      <c r="O24" s="48"/>
      <c r="P24" s="49" t="str">
        <f t="shared" ref="P24:Q24" si="16">IF(J24="","",J24-L24)</f>
        <v/>
      </c>
      <c r="Q24" s="50">
        <f t="shared" si="16"/>
        <v>0</v>
      </c>
      <c r="R24" s="7"/>
      <c r="S24" s="7"/>
      <c r="T24" s="7"/>
      <c r="U24" s="7"/>
      <c r="V24" s="7"/>
      <c r="W24" s="7"/>
      <c r="X24" s="7"/>
      <c r="Y24" s="7"/>
      <c r="Z24" s="7"/>
      <c r="AA24" s="7" t="str">
        <f t="shared" si="3"/>
        <v/>
      </c>
      <c r="AB24" s="7" t="str">
        <f t="shared" si="4"/>
        <v/>
      </c>
      <c r="AC24" s="7"/>
      <c r="AD24" s="7"/>
      <c r="AE24" s="72" t="s">
        <v>72</v>
      </c>
      <c r="AF24" s="7"/>
      <c r="AG24" s="7"/>
      <c r="AH24" s="7"/>
      <c r="AI24" s="7"/>
      <c r="AJ24" s="7"/>
    </row>
    <row r="25">
      <c r="A25" s="40"/>
      <c r="B25" s="14"/>
      <c r="C25" s="41"/>
      <c r="D25" s="70">
        <v>46026.0</v>
      </c>
      <c r="E25" s="43" t="s">
        <v>73</v>
      </c>
      <c r="F25" s="58" t="s">
        <v>74</v>
      </c>
      <c r="G25" s="58" t="s">
        <v>44</v>
      </c>
      <c r="H25" s="58" t="s">
        <v>64</v>
      </c>
      <c r="I25" s="58" t="s">
        <v>75</v>
      </c>
      <c r="J25" s="60"/>
      <c r="K25" s="60"/>
      <c r="L25" s="60"/>
      <c r="M25" s="60"/>
      <c r="N25" s="65"/>
      <c r="O25" s="48"/>
      <c r="P25" s="49" t="str">
        <f t="shared" ref="P25:Q25" si="17">IF(J25="","",J25-L25)</f>
        <v/>
      </c>
      <c r="Q25" s="50" t="str">
        <f t="shared" si="17"/>
        <v/>
      </c>
      <c r="R25" s="7"/>
      <c r="S25" s="7"/>
      <c r="T25" s="7"/>
      <c r="U25" s="7"/>
      <c r="V25" s="7"/>
      <c r="W25" s="7"/>
      <c r="X25" s="7"/>
      <c r="Y25" s="7"/>
      <c r="Z25" s="7"/>
      <c r="AA25" s="7" t="str">
        <f t="shared" si="3"/>
        <v/>
      </c>
      <c r="AB25" s="7" t="str">
        <f t="shared" si="4"/>
        <v/>
      </c>
      <c r="AC25" s="7"/>
      <c r="AD25" s="7"/>
      <c r="AE25" s="72" t="s">
        <v>76</v>
      </c>
      <c r="AF25" s="7"/>
      <c r="AG25" s="7"/>
      <c r="AH25" s="7"/>
      <c r="AI25" s="7"/>
      <c r="AJ25" s="7"/>
    </row>
    <row r="26">
      <c r="A26" s="40"/>
      <c r="B26" s="14"/>
      <c r="C26" s="41"/>
      <c r="D26" s="69">
        <v>46026.0</v>
      </c>
      <c r="E26" s="54" t="s">
        <v>77</v>
      </c>
      <c r="F26" s="55" t="s">
        <v>78</v>
      </c>
      <c r="G26" s="55" t="s">
        <v>44</v>
      </c>
      <c r="H26" s="55" t="s">
        <v>64</v>
      </c>
      <c r="I26" s="55" t="s">
        <v>65</v>
      </c>
      <c r="J26" s="56"/>
      <c r="K26" s="62"/>
      <c r="L26" s="56"/>
      <c r="M26" s="62"/>
      <c r="N26" s="63"/>
      <c r="O26" s="48"/>
      <c r="P26" s="49" t="str">
        <f t="shared" ref="P26:Q26" si="18">IF(J26="","",J26-L26)</f>
        <v/>
      </c>
      <c r="Q26" s="50" t="str">
        <f t="shared" si="18"/>
        <v/>
      </c>
      <c r="R26" s="7"/>
      <c r="S26" s="7"/>
      <c r="T26" s="7"/>
      <c r="U26" s="7"/>
      <c r="V26" s="7"/>
      <c r="W26" s="7"/>
      <c r="X26" s="7"/>
      <c r="Y26" s="7"/>
      <c r="Z26" s="7"/>
      <c r="AA26" s="7" t="str">
        <f t="shared" si="3"/>
        <v/>
      </c>
      <c r="AB26" s="7" t="str">
        <f t="shared" si="4"/>
        <v/>
      </c>
      <c r="AC26" s="7"/>
      <c r="AD26" s="7"/>
      <c r="AE26" s="73" t="s">
        <v>79</v>
      </c>
      <c r="AF26" s="7"/>
      <c r="AG26" s="7"/>
      <c r="AH26" s="7"/>
      <c r="AI26" s="7"/>
      <c r="AJ26" s="7"/>
    </row>
    <row r="27">
      <c r="A27" s="40"/>
      <c r="B27" s="14"/>
      <c r="C27" s="41"/>
      <c r="D27" s="70">
        <v>46026.0</v>
      </c>
      <c r="E27" s="43" t="s">
        <v>80</v>
      </c>
      <c r="F27" s="58" t="s">
        <v>81</v>
      </c>
      <c r="G27" s="58" t="s">
        <v>44</v>
      </c>
      <c r="H27" s="58" t="s">
        <v>64</v>
      </c>
      <c r="I27" s="58" t="s">
        <v>65</v>
      </c>
      <c r="J27" s="60"/>
      <c r="K27" s="64"/>
      <c r="L27" s="60"/>
      <c r="M27" s="64"/>
      <c r="N27" s="65"/>
      <c r="O27" s="48"/>
      <c r="P27" s="49" t="str">
        <f t="shared" ref="P27:Q27" si="19">IF(J27="","",J27-L27)</f>
        <v/>
      </c>
      <c r="Q27" s="50" t="str">
        <f t="shared" si="19"/>
        <v/>
      </c>
      <c r="R27" s="7"/>
      <c r="S27" s="7"/>
      <c r="T27" s="7"/>
      <c r="U27" s="7"/>
      <c r="V27" s="7"/>
      <c r="W27" s="7"/>
      <c r="X27" s="7"/>
      <c r="Y27" s="7"/>
      <c r="Z27" s="7"/>
      <c r="AA27" s="7" t="str">
        <f t="shared" si="3"/>
        <v/>
      </c>
      <c r="AB27" s="7" t="str">
        <f t="shared" si="4"/>
        <v/>
      </c>
      <c r="AC27" s="7"/>
      <c r="AD27" s="7"/>
      <c r="AE27" s="74" t="s">
        <v>82</v>
      </c>
      <c r="AF27" s="7"/>
      <c r="AG27" s="7"/>
      <c r="AH27" s="7"/>
      <c r="AI27" s="7"/>
      <c r="AJ27" s="7"/>
    </row>
    <row r="28">
      <c r="A28" s="40"/>
      <c r="B28" s="14"/>
      <c r="C28" s="41"/>
      <c r="D28" s="69">
        <v>46026.0</v>
      </c>
      <c r="E28" s="54" t="s">
        <v>83</v>
      </c>
      <c r="F28" s="55" t="s">
        <v>84</v>
      </c>
      <c r="G28" s="55" t="s">
        <v>44</v>
      </c>
      <c r="H28" s="55" t="s">
        <v>64</v>
      </c>
      <c r="I28" s="55" t="s">
        <v>65</v>
      </c>
      <c r="J28" s="56"/>
      <c r="K28" s="62">
        <v>22.0</v>
      </c>
      <c r="L28" s="56"/>
      <c r="M28" s="62">
        <v>22.0</v>
      </c>
      <c r="N28" s="57" t="s">
        <v>23</v>
      </c>
      <c r="O28" s="48"/>
      <c r="P28" s="49" t="str">
        <f t="shared" ref="P28:Q28" si="20">IF(J28="","",J28-L28)</f>
        <v/>
      </c>
      <c r="Q28" s="50">
        <f t="shared" si="20"/>
        <v>0</v>
      </c>
      <c r="R28" s="7"/>
      <c r="S28" s="7"/>
      <c r="T28" s="7"/>
      <c r="U28" s="7"/>
      <c r="V28" s="7"/>
      <c r="W28" s="7"/>
      <c r="X28" s="7"/>
      <c r="Y28" s="7"/>
      <c r="Z28" s="7"/>
      <c r="AA28" s="7" t="str">
        <f t="shared" si="3"/>
        <v/>
      </c>
      <c r="AB28" s="7" t="str">
        <f t="shared" si="4"/>
        <v/>
      </c>
      <c r="AC28" s="7"/>
      <c r="AD28" s="7"/>
      <c r="AE28" s="74" t="s">
        <v>85</v>
      </c>
      <c r="AF28" s="7"/>
      <c r="AG28" s="7"/>
      <c r="AH28" s="7"/>
      <c r="AI28" s="7"/>
      <c r="AJ28" s="7"/>
    </row>
    <row r="29">
      <c r="A29" s="40"/>
      <c r="B29" s="14"/>
      <c r="C29" s="41"/>
      <c r="D29" s="70">
        <v>46026.0</v>
      </c>
      <c r="E29" s="75" t="s">
        <v>86</v>
      </c>
      <c r="F29" s="44" t="s">
        <v>87</v>
      </c>
      <c r="G29" s="44" t="s">
        <v>44</v>
      </c>
      <c r="H29" s="44" t="s">
        <v>64</v>
      </c>
      <c r="I29" s="44" t="s">
        <v>75</v>
      </c>
      <c r="J29" s="76"/>
      <c r="K29" s="77">
        <v>20.0</v>
      </c>
      <c r="L29" s="76"/>
      <c r="M29" s="77">
        <v>20.0</v>
      </c>
      <c r="N29" s="78" t="s">
        <v>23</v>
      </c>
      <c r="O29" s="48"/>
      <c r="P29" s="79" t="str">
        <f t="shared" ref="P29:Q29" si="21">IF(J29="","",J29-L29)</f>
        <v/>
      </c>
      <c r="Q29" s="68">
        <f t="shared" si="21"/>
        <v>0</v>
      </c>
      <c r="R29" s="7"/>
      <c r="S29" s="7"/>
      <c r="T29" s="7"/>
      <c r="U29" s="7"/>
      <c r="V29" s="7"/>
      <c r="W29" s="7"/>
      <c r="X29" s="7"/>
      <c r="Y29" s="7"/>
      <c r="Z29" s="7"/>
      <c r="AA29" s="7" t="str">
        <f t="shared" si="3"/>
        <v/>
      </c>
      <c r="AB29" s="7" t="str">
        <f t="shared" si="4"/>
        <v/>
      </c>
      <c r="AC29" s="7"/>
      <c r="AD29" s="7"/>
      <c r="AE29" s="51" t="s">
        <v>88</v>
      </c>
      <c r="AF29" s="7"/>
      <c r="AG29" s="7"/>
      <c r="AH29" s="7"/>
      <c r="AI29" s="7"/>
      <c r="AJ29" s="7"/>
    </row>
    <row r="30">
      <c r="A30" s="40"/>
      <c r="B30" s="14"/>
      <c r="C30" s="41"/>
      <c r="D30" s="69">
        <v>46026.0</v>
      </c>
      <c r="E30" s="80" t="s">
        <v>89</v>
      </c>
      <c r="F30" s="55" t="s">
        <v>90</v>
      </c>
      <c r="G30" s="55" t="s">
        <v>91</v>
      </c>
      <c r="H30" s="55" t="s">
        <v>64</v>
      </c>
      <c r="I30" s="55" t="s">
        <v>92</v>
      </c>
      <c r="J30" s="81"/>
      <c r="K30" s="81"/>
      <c r="L30" s="81"/>
      <c r="M30" s="81"/>
      <c r="N30" s="82"/>
      <c r="O30" s="48"/>
      <c r="P30" s="49" t="str">
        <f t="shared" ref="P30:Q30" si="22">IF(J30="","",J30-L30)</f>
        <v/>
      </c>
      <c r="Q30" s="68" t="str">
        <f t="shared" si="22"/>
        <v/>
      </c>
      <c r="R30" s="7"/>
      <c r="S30" s="7"/>
      <c r="T30" s="7"/>
      <c r="U30" s="7"/>
      <c r="V30" s="7"/>
      <c r="W30" s="7"/>
      <c r="X30" s="7"/>
      <c r="Y30" s="7"/>
      <c r="Z30" s="7"/>
      <c r="AA30" s="7" t="str">
        <f t="shared" si="3"/>
        <v/>
      </c>
      <c r="AB30" s="7" t="str">
        <f t="shared" si="4"/>
        <v/>
      </c>
      <c r="AC30" s="7"/>
      <c r="AD30" s="7"/>
      <c r="AE30" s="51" t="s">
        <v>93</v>
      </c>
      <c r="AF30" s="7"/>
      <c r="AG30" s="7"/>
      <c r="AH30" s="7"/>
      <c r="AI30" s="7"/>
      <c r="AJ30" s="7"/>
    </row>
    <row r="31">
      <c r="A31" s="40"/>
      <c r="B31" s="14"/>
      <c r="C31" s="41"/>
      <c r="D31" s="70">
        <v>46026.0</v>
      </c>
      <c r="E31" s="83" t="s">
        <v>94</v>
      </c>
      <c r="F31" s="58" t="s">
        <v>90</v>
      </c>
      <c r="G31" s="58" t="s">
        <v>91</v>
      </c>
      <c r="H31" s="58" t="s">
        <v>64</v>
      </c>
      <c r="I31" s="58" t="s">
        <v>92</v>
      </c>
      <c r="J31" s="76"/>
      <c r="K31" s="77">
        <v>40.0</v>
      </c>
      <c r="L31" s="76"/>
      <c r="M31" s="77">
        <v>40.0</v>
      </c>
      <c r="N31" s="78" t="s">
        <v>23</v>
      </c>
      <c r="O31" s="48"/>
      <c r="P31" s="49" t="str">
        <f t="shared" ref="P31:Q31" si="23">IF(J31="","",J31-L31)</f>
        <v/>
      </c>
      <c r="Q31" s="68">
        <f t="shared" si="23"/>
        <v>0</v>
      </c>
      <c r="R31" s="7"/>
      <c r="S31" s="7"/>
      <c r="T31" s="7"/>
      <c r="U31" s="7"/>
      <c r="V31" s="7"/>
      <c r="W31" s="7"/>
      <c r="X31" s="7"/>
      <c r="Y31" s="7"/>
      <c r="Z31" s="7"/>
      <c r="AA31" s="7" t="str">
        <f t="shared" si="3"/>
        <v/>
      </c>
      <c r="AB31" s="7" t="str">
        <f t="shared" si="4"/>
        <v/>
      </c>
      <c r="AC31" s="7"/>
      <c r="AD31" s="7"/>
      <c r="AE31" s="51" t="s">
        <v>95</v>
      </c>
      <c r="AF31" s="7"/>
      <c r="AG31" s="7"/>
      <c r="AH31" s="7"/>
      <c r="AI31" s="7"/>
      <c r="AJ31" s="7"/>
    </row>
    <row r="32">
      <c r="A32" s="40"/>
      <c r="B32" s="14"/>
      <c r="C32" s="41"/>
      <c r="D32" s="69">
        <v>46026.0</v>
      </c>
      <c r="E32" s="80" t="s">
        <v>96</v>
      </c>
      <c r="F32" s="55" t="s">
        <v>97</v>
      </c>
      <c r="G32" s="55" t="s">
        <v>98</v>
      </c>
      <c r="H32" s="55" t="s">
        <v>64</v>
      </c>
      <c r="I32" s="55" t="s">
        <v>99</v>
      </c>
      <c r="J32" s="81"/>
      <c r="K32" s="84">
        <v>90.0</v>
      </c>
      <c r="L32" s="81"/>
      <c r="M32" s="84">
        <v>90.0</v>
      </c>
      <c r="N32" s="85" t="s">
        <v>23</v>
      </c>
      <c r="O32" s="86"/>
      <c r="P32" s="79" t="str">
        <f t="shared" ref="P32:Q32" si="24">IF(J32="","",J32-L32)</f>
        <v/>
      </c>
      <c r="Q32" s="68">
        <f t="shared" si="24"/>
        <v>0</v>
      </c>
      <c r="R32" s="7"/>
      <c r="S32" s="7"/>
      <c r="T32" s="7"/>
      <c r="U32" s="7"/>
      <c r="V32" s="7"/>
      <c r="W32" s="7"/>
      <c r="X32" s="7"/>
      <c r="Y32" s="7"/>
      <c r="Z32" s="7"/>
      <c r="AA32" s="7" t="str">
        <f t="shared" si="3"/>
        <v/>
      </c>
      <c r="AB32" s="7" t="str">
        <f t="shared" si="4"/>
        <v/>
      </c>
      <c r="AC32" s="7"/>
      <c r="AD32" s="7"/>
      <c r="AE32" s="51" t="s">
        <v>100</v>
      </c>
      <c r="AF32" s="7"/>
      <c r="AG32" s="7"/>
      <c r="AH32" s="7"/>
      <c r="AI32" s="7"/>
      <c r="AJ32" s="7"/>
    </row>
    <row r="33">
      <c r="A33" s="40"/>
      <c r="B33" s="14"/>
      <c r="C33" s="41"/>
      <c r="D33" s="70">
        <v>46026.0</v>
      </c>
      <c r="E33" s="83" t="s">
        <v>101</v>
      </c>
      <c r="F33" s="58" t="s">
        <v>74</v>
      </c>
      <c r="G33" s="58" t="s">
        <v>44</v>
      </c>
      <c r="H33" s="58" t="s">
        <v>64</v>
      </c>
      <c r="I33" s="58" t="s">
        <v>102</v>
      </c>
      <c r="J33" s="76"/>
      <c r="K33" s="77">
        <v>35.0</v>
      </c>
      <c r="L33" s="76"/>
      <c r="M33" s="77">
        <v>35.0</v>
      </c>
      <c r="N33" s="47" t="s">
        <v>23</v>
      </c>
      <c r="O33" s="48"/>
      <c r="P33" s="79" t="str">
        <f t="shared" ref="P33:Q33" si="25">IF(J33="","",J33-L33)</f>
        <v/>
      </c>
      <c r="Q33" s="68">
        <f t="shared" si="25"/>
        <v>0</v>
      </c>
      <c r="R33" s="7"/>
      <c r="S33" s="7"/>
      <c r="T33" s="7"/>
      <c r="U33" s="7"/>
      <c r="V33" s="7"/>
      <c r="W33" s="7"/>
      <c r="X33" s="7"/>
      <c r="Y33" s="7"/>
      <c r="Z33" s="7"/>
      <c r="AA33" s="7" t="str">
        <f t="shared" si="3"/>
        <v/>
      </c>
      <c r="AB33" s="7" t="str">
        <f t="shared" si="4"/>
        <v/>
      </c>
      <c r="AC33" s="7"/>
      <c r="AD33" s="7"/>
      <c r="AE33" s="51" t="s">
        <v>103</v>
      </c>
      <c r="AF33" s="7"/>
      <c r="AG33" s="7"/>
      <c r="AH33" s="7"/>
      <c r="AI33" s="7"/>
      <c r="AJ33" s="7"/>
    </row>
    <row r="34">
      <c r="A34" s="40"/>
      <c r="B34" s="14"/>
      <c r="C34" s="41"/>
      <c r="D34" s="69">
        <v>46026.0</v>
      </c>
      <c r="E34" s="54" t="s">
        <v>104</v>
      </c>
      <c r="F34" s="87" t="s">
        <v>105</v>
      </c>
      <c r="G34" s="55" t="s">
        <v>91</v>
      </c>
      <c r="H34" s="88" t="s">
        <v>64</v>
      </c>
      <c r="I34" s="88" t="s">
        <v>102</v>
      </c>
      <c r="J34" s="81"/>
      <c r="K34" s="89">
        <v>48.0</v>
      </c>
      <c r="L34" s="81"/>
      <c r="M34" s="89">
        <v>48.0</v>
      </c>
      <c r="N34" s="57" t="s">
        <v>23</v>
      </c>
      <c r="O34" s="71"/>
      <c r="P34" s="49" t="str">
        <f t="shared" ref="P34:Q34" si="26">IF(J34="","",J34-L34)</f>
        <v/>
      </c>
      <c r="Q34" s="68">
        <f t="shared" si="26"/>
        <v>0</v>
      </c>
      <c r="R34" s="7"/>
      <c r="S34" s="7"/>
      <c r="T34" s="7"/>
      <c r="U34" s="7"/>
      <c r="V34" s="7"/>
      <c r="W34" s="7"/>
      <c r="X34" s="7"/>
      <c r="Y34" s="7"/>
      <c r="Z34" s="7"/>
      <c r="AA34" s="7" t="str">
        <f t="shared" si="3"/>
        <v/>
      </c>
      <c r="AB34" s="7" t="str">
        <f t="shared" si="4"/>
        <v/>
      </c>
      <c r="AC34" s="7"/>
      <c r="AD34" s="7"/>
      <c r="AE34" s="51" t="s">
        <v>106</v>
      </c>
      <c r="AF34" s="7"/>
      <c r="AG34" s="7"/>
      <c r="AH34" s="7"/>
      <c r="AI34" s="7"/>
      <c r="AJ34" s="7"/>
    </row>
    <row r="35">
      <c r="A35" s="40"/>
      <c r="B35" s="14"/>
      <c r="C35" s="41"/>
      <c r="D35" s="70">
        <v>46026.0</v>
      </c>
      <c r="E35" s="75" t="s">
        <v>107</v>
      </c>
      <c r="F35" s="44" t="s">
        <v>97</v>
      </c>
      <c r="G35" s="58" t="s">
        <v>91</v>
      </c>
      <c r="H35" s="44" t="s">
        <v>64</v>
      </c>
      <c r="I35" s="44" t="s">
        <v>46</v>
      </c>
      <c r="J35" s="90"/>
      <c r="K35" s="64"/>
      <c r="L35" s="90"/>
      <c r="M35" s="64"/>
      <c r="N35" s="91"/>
      <c r="O35" s="48"/>
      <c r="P35" s="79" t="str">
        <f t="shared" ref="P35:Q35" si="27">IF(J35="","",J35-L35)</f>
        <v/>
      </c>
      <c r="Q35" s="68" t="str">
        <f t="shared" si="27"/>
        <v/>
      </c>
      <c r="R35" s="7"/>
      <c r="S35" s="7"/>
      <c r="T35" s="7"/>
      <c r="U35" s="7"/>
      <c r="V35" s="7"/>
      <c r="W35" s="7"/>
      <c r="X35" s="7"/>
      <c r="Y35" s="7"/>
      <c r="Z35" s="7"/>
      <c r="AA35" s="7" t="str">
        <f t="shared" si="3"/>
        <v/>
      </c>
      <c r="AB35" s="7" t="str">
        <f t="shared" si="4"/>
        <v/>
      </c>
      <c r="AC35" s="7"/>
      <c r="AD35" s="7"/>
      <c r="AE35" s="51" t="s">
        <v>108</v>
      </c>
      <c r="AF35" s="7"/>
      <c r="AG35" s="7"/>
      <c r="AH35" s="7"/>
      <c r="AI35" s="7"/>
      <c r="AJ35" s="7"/>
    </row>
    <row r="36">
      <c r="A36" s="40"/>
      <c r="B36" s="14"/>
      <c r="C36" s="41"/>
      <c r="D36" s="69">
        <v>46026.0</v>
      </c>
      <c r="E36" s="80" t="s">
        <v>109</v>
      </c>
      <c r="F36" s="55" t="s">
        <v>110</v>
      </c>
      <c r="G36" s="55" t="s">
        <v>44</v>
      </c>
      <c r="H36" s="55" t="s">
        <v>64</v>
      </c>
      <c r="I36" s="55" t="s">
        <v>111</v>
      </c>
      <c r="J36" s="56"/>
      <c r="K36" s="62">
        <v>75.0</v>
      </c>
      <c r="L36" s="56"/>
      <c r="M36" s="62">
        <v>75.0</v>
      </c>
      <c r="N36" s="57" t="s">
        <v>23</v>
      </c>
      <c r="O36" s="71"/>
      <c r="P36" s="49" t="str">
        <f t="shared" ref="P36:Q36" si="28">IF(J36="","",J36-L36)</f>
        <v/>
      </c>
      <c r="Q36" s="68">
        <f t="shared" si="28"/>
        <v>0</v>
      </c>
      <c r="R36" s="7"/>
      <c r="S36" s="7"/>
      <c r="T36" s="7"/>
      <c r="U36" s="7"/>
      <c r="V36" s="7"/>
      <c r="W36" s="7"/>
      <c r="X36" s="7"/>
      <c r="Y36" s="7"/>
      <c r="Z36" s="7"/>
      <c r="AA36" s="7" t="str">
        <f t="shared" si="3"/>
        <v/>
      </c>
      <c r="AB36" s="7" t="str">
        <f t="shared" si="4"/>
        <v/>
      </c>
      <c r="AC36" s="7"/>
      <c r="AD36" s="7"/>
      <c r="AE36" s="51" t="s">
        <v>112</v>
      </c>
      <c r="AF36" s="7"/>
      <c r="AG36" s="7"/>
      <c r="AH36" s="7"/>
      <c r="AI36" s="7"/>
      <c r="AJ36" s="7"/>
    </row>
    <row r="37">
      <c r="A37" s="40"/>
      <c r="B37" s="14"/>
      <c r="C37" s="41"/>
      <c r="D37" s="70">
        <v>46026.0</v>
      </c>
      <c r="E37" s="83" t="s">
        <v>113</v>
      </c>
      <c r="F37" s="58" t="s">
        <v>114</v>
      </c>
      <c r="G37" s="58" t="s">
        <v>44</v>
      </c>
      <c r="H37" s="58" t="s">
        <v>64</v>
      </c>
      <c r="I37" s="58" t="s">
        <v>111</v>
      </c>
      <c r="J37" s="60"/>
      <c r="K37" s="64">
        <v>50.0</v>
      </c>
      <c r="L37" s="60"/>
      <c r="M37" s="64">
        <v>50.0</v>
      </c>
      <c r="N37" s="61" t="s">
        <v>23</v>
      </c>
      <c r="O37" s="48"/>
      <c r="P37" s="79" t="str">
        <f t="shared" ref="P37:Q37" si="29">IF(J37="","",J37-L37)</f>
        <v/>
      </c>
      <c r="Q37" s="68">
        <f t="shared" si="29"/>
        <v>0</v>
      </c>
      <c r="R37" s="7"/>
      <c r="S37" s="7"/>
      <c r="T37" s="7"/>
      <c r="U37" s="7"/>
      <c r="V37" s="7"/>
      <c r="W37" s="7"/>
      <c r="X37" s="7"/>
      <c r="Y37" s="7"/>
      <c r="Z37" s="7"/>
      <c r="AA37" s="7" t="str">
        <f t="shared" si="3"/>
        <v/>
      </c>
      <c r="AB37" s="7" t="str">
        <f t="shared" si="4"/>
        <v/>
      </c>
      <c r="AC37" s="7"/>
      <c r="AD37" s="7"/>
      <c r="AE37" s="51" t="s">
        <v>115</v>
      </c>
      <c r="AF37" s="7"/>
      <c r="AG37" s="7"/>
      <c r="AH37" s="7"/>
      <c r="AI37" s="7"/>
      <c r="AJ37" s="7"/>
    </row>
    <row r="38">
      <c r="A38" s="40"/>
      <c r="B38" s="14"/>
      <c r="C38" s="41"/>
      <c r="D38" s="92">
        <v>46026.0</v>
      </c>
      <c r="E38" s="80" t="s">
        <v>116</v>
      </c>
      <c r="F38" s="55" t="s">
        <v>117</v>
      </c>
      <c r="G38" s="55" t="s">
        <v>91</v>
      </c>
      <c r="H38" s="55" t="s">
        <v>118</v>
      </c>
      <c r="I38" s="55" t="s">
        <v>119</v>
      </c>
      <c r="J38" s="56"/>
      <c r="K38" s="62" t="s">
        <v>120</v>
      </c>
      <c r="L38" s="56"/>
      <c r="M38" s="62" t="s">
        <v>120</v>
      </c>
      <c r="N38" s="57" t="s">
        <v>28</v>
      </c>
      <c r="O38" s="71"/>
      <c r="P38" s="79" t="str">
        <f t="shared" ref="P38:Q38" si="30">IF(J38="","",J38-L38)</f>
        <v/>
      </c>
      <c r="Q38" s="68" t="str">
        <f t="shared" si="30"/>
        <v>#VALUE!</v>
      </c>
      <c r="R38" s="7"/>
      <c r="S38" s="7"/>
      <c r="T38" s="7"/>
      <c r="U38" s="7"/>
      <c r="V38" s="7"/>
      <c r="W38" s="7"/>
      <c r="X38" s="7"/>
      <c r="Y38" s="7"/>
      <c r="Z38" s="7"/>
      <c r="AA38" s="7" t="str">
        <f t="shared" si="3"/>
        <v/>
      </c>
      <c r="AB38" s="7" t="str">
        <f t="shared" si="4"/>
        <v/>
      </c>
      <c r="AC38" s="7"/>
      <c r="AD38" s="7"/>
      <c r="AE38" s="74" t="s">
        <v>121</v>
      </c>
      <c r="AF38" s="7"/>
      <c r="AG38" s="7"/>
      <c r="AH38" s="7"/>
      <c r="AI38" s="7"/>
      <c r="AJ38" s="7"/>
    </row>
    <row r="39">
      <c r="A39" s="40"/>
      <c r="B39" s="14"/>
      <c r="C39" s="41"/>
      <c r="D39" s="93">
        <v>46026.0</v>
      </c>
      <c r="E39" s="83" t="s">
        <v>122</v>
      </c>
      <c r="F39" s="58" t="s">
        <v>123</v>
      </c>
      <c r="G39" s="58" t="s">
        <v>91</v>
      </c>
      <c r="H39" s="58" t="s">
        <v>118</v>
      </c>
      <c r="I39" s="58" t="s">
        <v>119</v>
      </c>
      <c r="J39" s="60"/>
      <c r="K39" s="64" t="s">
        <v>124</v>
      </c>
      <c r="L39" s="60"/>
      <c r="M39" s="64" t="s">
        <v>124</v>
      </c>
      <c r="N39" s="61" t="s">
        <v>28</v>
      </c>
      <c r="O39" s="71"/>
      <c r="P39" s="79" t="str">
        <f t="shared" ref="P39:Q39" si="31">IF(J39="","",J39-L39)</f>
        <v/>
      </c>
      <c r="Q39" s="68" t="str">
        <f t="shared" si="31"/>
        <v>#VALUE!</v>
      </c>
      <c r="R39" s="7"/>
      <c r="S39" s="7"/>
      <c r="T39" s="7"/>
      <c r="U39" s="7"/>
      <c r="V39" s="7"/>
      <c r="W39" s="7"/>
      <c r="X39" s="7"/>
      <c r="Y39" s="7"/>
      <c r="Z39" s="7"/>
      <c r="AA39" s="7" t="str">
        <f t="shared" si="3"/>
        <v/>
      </c>
      <c r="AB39" s="7" t="str">
        <f t="shared" si="4"/>
        <v/>
      </c>
      <c r="AC39" s="7"/>
      <c r="AD39" s="7"/>
      <c r="AE39" s="74" t="s">
        <v>125</v>
      </c>
      <c r="AF39" s="7"/>
      <c r="AG39" s="7"/>
      <c r="AH39" s="7"/>
      <c r="AI39" s="7"/>
      <c r="AJ39" s="7"/>
    </row>
    <row r="40">
      <c r="A40" s="40"/>
      <c r="B40" s="14"/>
      <c r="C40" s="41"/>
      <c r="D40" s="92">
        <v>46026.0</v>
      </c>
      <c r="E40" s="54" t="s">
        <v>122</v>
      </c>
      <c r="F40" s="87" t="s">
        <v>126</v>
      </c>
      <c r="G40" s="55" t="s">
        <v>91</v>
      </c>
      <c r="H40" s="88" t="s">
        <v>118</v>
      </c>
      <c r="I40" s="88" t="s">
        <v>119</v>
      </c>
      <c r="J40" s="56"/>
      <c r="K40" s="62" t="s">
        <v>127</v>
      </c>
      <c r="L40" s="56"/>
      <c r="M40" s="62" t="s">
        <v>127</v>
      </c>
      <c r="N40" s="94" t="s">
        <v>28</v>
      </c>
      <c r="O40" s="48"/>
      <c r="P40" s="79" t="str">
        <f t="shared" ref="P40:Q40" si="32">IF(J40="","",J40-L40)</f>
        <v/>
      </c>
      <c r="Q40" s="68" t="str">
        <f t="shared" si="32"/>
        <v>#VALUE!</v>
      </c>
      <c r="R40" s="7"/>
      <c r="S40" s="7"/>
      <c r="T40" s="7"/>
      <c r="U40" s="7"/>
      <c r="V40" s="7"/>
      <c r="W40" s="7"/>
      <c r="X40" s="7"/>
      <c r="Y40" s="7"/>
      <c r="Z40" s="7"/>
      <c r="AA40" s="7" t="str">
        <f t="shared" si="3"/>
        <v/>
      </c>
      <c r="AB40" s="7" t="str">
        <f t="shared" si="4"/>
        <v/>
      </c>
      <c r="AC40" s="7"/>
      <c r="AD40" s="7"/>
      <c r="AE40" s="51" t="s">
        <v>128</v>
      </c>
      <c r="AF40" s="7"/>
      <c r="AG40" s="7"/>
      <c r="AH40" s="7"/>
      <c r="AI40" s="7"/>
      <c r="AJ40" s="7"/>
    </row>
    <row r="41">
      <c r="A41" s="40"/>
      <c r="B41" s="14"/>
      <c r="C41" s="41"/>
      <c r="D41" s="93">
        <v>46026.0</v>
      </c>
      <c r="E41" s="75" t="s">
        <v>116</v>
      </c>
      <c r="F41" s="44" t="s">
        <v>123</v>
      </c>
      <c r="G41" s="58" t="s">
        <v>91</v>
      </c>
      <c r="H41" s="44" t="s">
        <v>118</v>
      </c>
      <c r="I41" s="44" t="s">
        <v>119</v>
      </c>
      <c r="J41" s="60"/>
      <c r="K41" s="64" t="s">
        <v>129</v>
      </c>
      <c r="L41" s="60"/>
      <c r="M41" s="64" t="s">
        <v>129</v>
      </c>
      <c r="N41" s="95" t="s">
        <v>28</v>
      </c>
      <c r="O41" s="48"/>
      <c r="P41" s="79" t="str">
        <f t="shared" ref="P41:Q41" si="33">IF(J41="","",J41-L41)</f>
        <v/>
      </c>
      <c r="Q41" s="68" t="str">
        <f t="shared" si="33"/>
        <v>#VALUE!</v>
      </c>
      <c r="R41" s="7"/>
      <c r="S41" s="7"/>
      <c r="T41" s="7"/>
      <c r="U41" s="7"/>
      <c r="V41" s="7"/>
      <c r="W41" s="7"/>
      <c r="X41" s="7"/>
      <c r="Y41" s="7"/>
      <c r="Z41" s="7"/>
      <c r="AA41" s="7" t="str">
        <f t="shared" si="3"/>
        <v/>
      </c>
      <c r="AB41" s="7" t="str">
        <f t="shared" si="4"/>
        <v/>
      </c>
      <c r="AC41" s="7"/>
      <c r="AD41" s="7"/>
      <c r="AE41" s="51" t="s">
        <v>130</v>
      </c>
      <c r="AF41" s="7"/>
      <c r="AG41" s="7"/>
      <c r="AH41" s="7"/>
      <c r="AI41" s="7"/>
      <c r="AJ41" s="7"/>
    </row>
    <row r="42">
      <c r="A42" s="40"/>
      <c r="B42" s="14"/>
      <c r="C42" s="41"/>
      <c r="D42" s="92">
        <v>46026.0</v>
      </c>
      <c r="E42" s="80" t="s">
        <v>131</v>
      </c>
      <c r="F42" s="55" t="s">
        <v>123</v>
      </c>
      <c r="G42" s="55" t="s">
        <v>91</v>
      </c>
      <c r="H42" s="55" t="s">
        <v>118</v>
      </c>
      <c r="I42" s="55" t="s">
        <v>119</v>
      </c>
      <c r="J42" s="56"/>
      <c r="K42" s="62">
        <v>7.29</v>
      </c>
      <c r="L42" s="56"/>
      <c r="M42" s="62">
        <v>7.29</v>
      </c>
      <c r="N42" s="94" t="s">
        <v>28</v>
      </c>
      <c r="O42" s="48"/>
      <c r="P42" s="49" t="str">
        <f t="shared" ref="P42:Q42" si="34">IF(J42="","",J42-L42)</f>
        <v/>
      </c>
      <c r="Q42" s="68">
        <f t="shared" si="34"/>
        <v>0</v>
      </c>
      <c r="R42" s="7"/>
      <c r="S42" s="7"/>
      <c r="T42" s="7"/>
      <c r="U42" s="7"/>
      <c r="V42" s="7"/>
      <c r="W42" s="7"/>
      <c r="X42" s="7"/>
      <c r="Y42" s="7"/>
      <c r="Z42" s="7"/>
      <c r="AA42" s="7" t="str">
        <f t="shared" si="3"/>
        <v/>
      </c>
      <c r="AB42" s="7" t="str">
        <f t="shared" si="4"/>
        <v/>
      </c>
      <c r="AC42" s="7"/>
      <c r="AD42" s="7"/>
      <c r="AE42" s="51" t="s">
        <v>132</v>
      </c>
      <c r="AF42" s="7"/>
      <c r="AG42" s="7"/>
      <c r="AH42" s="7"/>
      <c r="AI42" s="7"/>
      <c r="AJ42" s="7"/>
    </row>
    <row r="43">
      <c r="A43" s="40"/>
      <c r="B43" s="14"/>
      <c r="C43" s="41"/>
      <c r="D43" s="93">
        <v>46026.0</v>
      </c>
      <c r="E43" s="83" t="s">
        <v>133</v>
      </c>
      <c r="F43" s="58" t="s">
        <v>123</v>
      </c>
      <c r="G43" s="58" t="s">
        <v>91</v>
      </c>
      <c r="H43" s="58" t="s">
        <v>118</v>
      </c>
      <c r="I43" s="58" t="s">
        <v>119</v>
      </c>
      <c r="J43" s="64" t="s">
        <v>134</v>
      </c>
      <c r="K43" s="64">
        <v>7.29</v>
      </c>
      <c r="L43" s="60"/>
      <c r="M43" s="64">
        <v>7.29</v>
      </c>
      <c r="N43" s="95" t="s">
        <v>28</v>
      </c>
      <c r="O43" s="48"/>
      <c r="P43" s="79" t="str">
        <f t="shared" ref="P43:Q43" si="35">IF(J43="","",J43-L43)</f>
        <v>#VALUE!</v>
      </c>
      <c r="Q43" s="68">
        <f t="shared" si="35"/>
        <v>0</v>
      </c>
      <c r="R43" s="7"/>
      <c r="S43" s="7"/>
      <c r="T43" s="7"/>
      <c r="U43" s="7"/>
      <c r="V43" s="7"/>
      <c r="W43" s="7"/>
      <c r="X43" s="7"/>
      <c r="Y43" s="7"/>
      <c r="Z43" s="7"/>
      <c r="AA43" s="7" t="str">
        <f t="shared" si="3"/>
        <v/>
      </c>
      <c r="AB43" s="7" t="str">
        <f t="shared" si="4"/>
        <v>#VALUE!</v>
      </c>
      <c r="AC43" s="7"/>
      <c r="AD43" s="7"/>
      <c r="AE43" s="51" t="s">
        <v>135</v>
      </c>
      <c r="AF43" s="7"/>
      <c r="AG43" s="7"/>
      <c r="AH43" s="7"/>
      <c r="AI43" s="7"/>
      <c r="AJ43" s="7"/>
    </row>
    <row r="44">
      <c r="A44" s="40"/>
      <c r="B44" s="14"/>
      <c r="C44" s="41"/>
      <c r="D44" s="92">
        <v>46026.0</v>
      </c>
      <c r="E44" s="80" t="s">
        <v>136</v>
      </c>
      <c r="F44" s="55" t="s">
        <v>123</v>
      </c>
      <c r="G44" s="55" t="s">
        <v>98</v>
      </c>
      <c r="H44" s="55" t="s">
        <v>118</v>
      </c>
      <c r="I44" s="55" t="s">
        <v>119</v>
      </c>
      <c r="J44" s="56"/>
      <c r="K44" s="62">
        <v>12.8</v>
      </c>
      <c r="L44" s="56"/>
      <c r="M44" s="62">
        <v>12.8</v>
      </c>
      <c r="N44" s="94" t="s">
        <v>28</v>
      </c>
      <c r="O44" s="48"/>
      <c r="P44" s="79" t="str">
        <f t="shared" ref="P44:Q44" si="36">IF(J44="","",J44-L44)</f>
        <v/>
      </c>
      <c r="Q44" s="68">
        <f t="shared" si="36"/>
        <v>0</v>
      </c>
      <c r="R44" s="7"/>
      <c r="S44" s="7"/>
      <c r="T44" s="7"/>
      <c r="U44" s="7"/>
      <c r="V44" s="7"/>
      <c r="W44" s="7"/>
      <c r="X44" s="7"/>
      <c r="Y44" s="7"/>
      <c r="Z44" s="7"/>
      <c r="AA44" s="7" t="str">
        <f t="shared" si="3"/>
        <v/>
      </c>
      <c r="AB44" s="7" t="str">
        <f t="shared" si="4"/>
        <v/>
      </c>
      <c r="AC44" s="7"/>
      <c r="AD44" s="7"/>
      <c r="AE44" s="51" t="s">
        <v>137</v>
      </c>
      <c r="AF44" s="7"/>
      <c r="AG44" s="7"/>
      <c r="AH44" s="7"/>
      <c r="AI44" s="7"/>
      <c r="AJ44" s="7"/>
    </row>
    <row r="45">
      <c r="A45" s="40"/>
      <c r="B45" s="14"/>
      <c r="C45" s="41"/>
      <c r="D45" s="93">
        <v>46026.0</v>
      </c>
      <c r="E45" s="83" t="s">
        <v>131</v>
      </c>
      <c r="F45" s="58" t="s">
        <v>138</v>
      </c>
      <c r="G45" s="58" t="s">
        <v>91</v>
      </c>
      <c r="H45" s="58" t="s">
        <v>118</v>
      </c>
      <c r="I45" s="58" t="s">
        <v>119</v>
      </c>
      <c r="J45" s="64" t="s">
        <v>134</v>
      </c>
      <c r="K45" s="64">
        <v>15.99</v>
      </c>
      <c r="L45" s="60"/>
      <c r="M45" s="64">
        <v>15.99</v>
      </c>
      <c r="N45" s="95" t="s">
        <v>28</v>
      </c>
      <c r="O45" s="48"/>
      <c r="P45" s="79" t="str">
        <f t="shared" ref="P45:Q45" si="37">IF(J45="","",J45-L45)</f>
        <v>#VALUE!</v>
      </c>
      <c r="Q45" s="68">
        <f t="shared" si="37"/>
        <v>0</v>
      </c>
      <c r="R45" s="7"/>
      <c r="S45" s="7"/>
      <c r="T45" s="7"/>
      <c r="U45" s="7"/>
      <c r="V45" s="7"/>
      <c r="W45" s="7"/>
      <c r="X45" s="7"/>
      <c r="Y45" s="7"/>
      <c r="Z45" s="7"/>
      <c r="AA45" s="7" t="str">
        <f t="shared" si="3"/>
        <v/>
      </c>
      <c r="AB45" s="7" t="str">
        <f t="shared" si="4"/>
        <v>#VALUE!</v>
      </c>
      <c r="AC45" s="7"/>
      <c r="AD45" s="7"/>
      <c r="AE45" s="51" t="s">
        <v>139</v>
      </c>
      <c r="AF45" s="7"/>
      <c r="AG45" s="7"/>
      <c r="AH45" s="7"/>
      <c r="AI45" s="7"/>
      <c r="AJ45" s="7"/>
    </row>
    <row r="46">
      <c r="A46" s="40"/>
      <c r="B46" s="14"/>
      <c r="C46" s="41"/>
      <c r="D46" s="92">
        <v>46026.0</v>
      </c>
      <c r="E46" s="54" t="s">
        <v>140</v>
      </c>
      <c r="F46" s="87" t="s">
        <v>126</v>
      </c>
      <c r="G46" s="55" t="s">
        <v>91</v>
      </c>
      <c r="H46" s="88" t="s">
        <v>118</v>
      </c>
      <c r="I46" s="88" t="s">
        <v>99</v>
      </c>
      <c r="J46" s="56"/>
      <c r="K46" s="62">
        <v>20.98</v>
      </c>
      <c r="L46" s="56"/>
      <c r="M46" s="62">
        <v>20.98</v>
      </c>
      <c r="N46" s="94" t="s">
        <v>28</v>
      </c>
      <c r="O46" s="48"/>
      <c r="P46" s="49" t="str">
        <f t="shared" ref="P46:Q46" si="38">IF(J46="","",J46-L46)</f>
        <v/>
      </c>
      <c r="Q46" s="68">
        <f t="shared" si="38"/>
        <v>0</v>
      </c>
      <c r="R46" s="7"/>
      <c r="S46" s="7"/>
      <c r="T46" s="7"/>
      <c r="U46" s="7"/>
      <c r="V46" s="7"/>
      <c r="W46" s="7"/>
      <c r="X46" s="7"/>
      <c r="Y46" s="7"/>
      <c r="Z46" s="7"/>
      <c r="AA46" s="7" t="str">
        <f t="shared" si="3"/>
        <v/>
      </c>
      <c r="AB46" s="7" t="str">
        <f t="shared" si="4"/>
        <v/>
      </c>
      <c r="AC46" s="7"/>
      <c r="AD46" s="7"/>
      <c r="AE46" s="51" t="s">
        <v>141</v>
      </c>
      <c r="AF46" s="7"/>
      <c r="AG46" s="7"/>
      <c r="AH46" s="7"/>
      <c r="AI46" s="7"/>
      <c r="AJ46" s="7"/>
    </row>
    <row r="47">
      <c r="A47" s="40"/>
      <c r="B47" s="14"/>
      <c r="C47" s="41"/>
      <c r="D47" s="93">
        <v>46026.0</v>
      </c>
      <c r="E47" s="75" t="s">
        <v>142</v>
      </c>
      <c r="F47" s="44" t="s">
        <v>143</v>
      </c>
      <c r="G47" s="44" t="s">
        <v>98</v>
      </c>
      <c r="H47" s="44" t="s">
        <v>118</v>
      </c>
      <c r="I47" s="44" t="s">
        <v>99</v>
      </c>
      <c r="J47" s="60"/>
      <c r="K47" s="64">
        <v>55.16</v>
      </c>
      <c r="L47" s="60"/>
      <c r="M47" s="64">
        <v>55.16</v>
      </c>
      <c r="N47" s="95" t="s">
        <v>28</v>
      </c>
      <c r="O47" s="48"/>
      <c r="P47" s="79" t="str">
        <f t="shared" ref="P47:Q47" si="39">IF(J47="","",J47-L47)</f>
        <v/>
      </c>
      <c r="Q47" s="68">
        <f t="shared" si="39"/>
        <v>0</v>
      </c>
      <c r="R47" s="7"/>
      <c r="S47" s="7"/>
      <c r="T47" s="7"/>
      <c r="U47" s="7"/>
      <c r="V47" s="7"/>
      <c r="W47" s="7"/>
      <c r="X47" s="7"/>
      <c r="Y47" s="7"/>
      <c r="Z47" s="7"/>
      <c r="AA47" s="7" t="str">
        <f t="shared" si="3"/>
        <v/>
      </c>
      <c r="AB47" s="7" t="str">
        <f t="shared" si="4"/>
        <v/>
      </c>
      <c r="AC47" s="7"/>
      <c r="AD47" s="7"/>
      <c r="AE47" s="51" t="s">
        <v>144</v>
      </c>
      <c r="AF47" s="7"/>
      <c r="AG47" s="7"/>
      <c r="AH47" s="7"/>
      <c r="AI47" s="7"/>
      <c r="AJ47" s="7"/>
    </row>
    <row r="48">
      <c r="A48" s="40"/>
      <c r="B48" s="14"/>
      <c r="C48" s="41"/>
      <c r="D48" s="92">
        <v>46026.0</v>
      </c>
      <c r="E48" s="80" t="s">
        <v>145</v>
      </c>
      <c r="F48" s="55" t="s">
        <v>143</v>
      </c>
      <c r="G48" s="55" t="s">
        <v>91</v>
      </c>
      <c r="H48" s="55" t="s">
        <v>118</v>
      </c>
      <c r="I48" s="55" t="s">
        <v>99</v>
      </c>
      <c r="J48" s="56"/>
      <c r="K48" s="62">
        <v>15.8</v>
      </c>
      <c r="L48" s="56"/>
      <c r="M48" s="62">
        <v>15.8</v>
      </c>
      <c r="N48" s="94" t="s">
        <v>28</v>
      </c>
      <c r="O48" s="48"/>
      <c r="P48" s="49" t="str">
        <f t="shared" ref="P48:Q48" si="40">IF(J48="","",J48-L48)</f>
        <v/>
      </c>
      <c r="Q48" s="68">
        <f t="shared" si="40"/>
        <v>0</v>
      </c>
      <c r="R48" s="7"/>
      <c r="S48" s="7"/>
      <c r="T48" s="7"/>
      <c r="U48" s="7"/>
      <c r="V48" s="7"/>
      <c r="W48" s="7"/>
      <c r="X48" s="7"/>
      <c r="Y48" s="7"/>
      <c r="Z48" s="7"/>
      <c r="AA48" s="7" t="str">
        <f t="shared" si="3"/>
        <v/>
      </c>
      <c r="AB48" s="7" t="str">
        <f t="shared" si="4"/>
        <v/>
      </c>
      <c r="AC48" s="7"/>
      <c r="AD48" s="7"/>
      <c r="AE48" s="51" t="s">
        <v>146</v>
      </c>
      <c r="AF48" s="7"/>
      <c r="AG48" s="7"/>
      <c r="AH48" s="7"/>
      <c r="AI48" s="7"/>
      <c r="AJ48" s="7"/>
    </row>
    <row r="49">
      <c r="A49" s="40"/>
      <c r="B49" s="14"/>
      <c r="C49" s="41"/>
      <c r="D49" s="93">
        <v>46026.0</v>
      </c>
      <c r="E49" s="83" t="s">
        <v>147</v>
      </c>
      <c r="F49" s="58" t="s">
        <v>148</v>
      </c>
      <c r="G49" s="58" t="s">
        <v>91</v>
      </c>
      <c r="H49" s="58" t="s">
        <v>118</v>
      </c>
      <c r="I49" s="44" t="s">
        <v>99</v>
      </c>
      <c r="J49" s="60"/>
      <c r="K49" s="64">
        <v>8.85</v>
      </c>
      <c r="L49" s="60"/>
      <c r="M49" s="64">
        <v>8.85</v>
      </c>
      <c r="N49" s="95" t="s">
        <v>28</v>
      </c>
      <c r="O49" s="48"/>
      <c r="P49" s="79" t="str">
        <f t="shared" ref="P49:Q49" si="41">IF(J49="","",J49-L49)</f>
        <v/>
      </c>
      <c r="Q49" s="68">
        <f t="shared" si="41"/>
        <v>0</v>
      </c>
      <c r="R49" s="7"/>
      <c r="S49" s="7"/>
      <c r="T49" s="7"/>
      <c r="U49" s="7"/>
      <c r="V49" s="7"/>
      <c r="W49" s="7"/>
      <c r="X49" s="7"/>
      <c r="Y49" s="7"/>
      <c r="Z49" s="7"/>
      <c r="AA49" s="7" t="str">
        <f t="shared" si="3"/>
        <v/>
      </c>
      <c r="AB49" s="7" t="str">
        <f t="shared" si="4"/>
        <v/>
      </c>
      <c r="AC49" s="7"/>
      <c r="AD49" s="7"/>
      <c r="AE49" s="51" t="s">
        <v>149</v>
      </c>
      <c r="AF49" s="7"/>
      <c r="AG49" s="7"/>
      <c r="AH49" s="7"/>
      <c r="AI49" s="7"/>
      <c r="AJ49" s="7"/>
    </row>
    <row r="50">
      <c r="A50" s="40"/>
      <c r="B50" s="14"/>
      <c r="C50" s="41"/>
      <c r="D50" s="92">
        <v>46026.0</v>
      </c>
      <c r="E50" s="80" t="s">
        <v>150</v>
      </c>
      <c r="F50" s="55" t="s">
        <v>151</v>
      </c>
      <c r="G50" s="55" t="s">
        <v>44</v>
      </c>
      <c r="H50" s="55" t="s">
        <v>118</v>
      </c>
      <c r="I50" s="55" t="s">
        <v>99</v>
      </c>
      <c r="J50" s="56"/>
      <c r="K50" s="62">
        <v>23.9</v>
      </c>
      <c r="L50" s="56"/>
      <c r="M50" s="62">
        <v>23.9</v>
      </c>
      <c r="N50" s="57" t="s">
        <v>28</v>
      </c>
      <c r="O50" s="48"/>
      <c r="P50" s="79" t="str">
        <f t="shared" ref="P50:Q50" si="42">IF(J50="","",J50-L50)</f>
        <v/>
      </c>
      <c r="Q50" s="68">
        <f t="shared" si="42"/>
        <v>0</v>
      </c>
      <c r="R50" s="7"/>
      <c r="S50" s="7"/>
      <c r="T50" s="7"/>
      <c r="U50" s="7"/>
      <c r="V50" s="7"/>
      <c r="W50" s="7"/>
      <c r="X50" s="7"/>
      <c r="Y50" s="7"/>
      <c r="Z50" s="7"/>
      <c r="AA50" s="7" t="str">
        <f t="shared" si="3"/>
        <v/>
      </c>
      <c r="AB50" s="7" t="str">
        <f t="shared" si="4"/>
        <v/>
      </c>
      <c r="AC50" s="7"/>
      <c r="AD50" s="7"/>
      <c r="AE50" s="51" t="s">
        <v>152</v>
      </c>
      <c r="AF50" s="7"/>
      <c r="AG50" s="7"/>
      <c r="AH50" s="7"/>
      <c r="AI50" s="7"/>
      <c r="AJ50" s="7"/>
    </row>
    <row r="51">
      <c r="A51" s="40"/>
      <c r="B51" s="14"/>
      <c r="C51" s="41"/>
      <c r="D51" s="93">
        <v>46026.0</v>
      </c>
      <c r="E51" s="83" t="s">
        <v>153</v>
      </c>
      <c r="F51" s="58" t="s">
        <v>148</v>
      </c>
      <c r="G51" s="58" t="s">
        <v>91</v>
      </c>
      <c r="H51" s="58" t="s">
        <v>118</v>
      </c>
      <c r="I51" s="44" t="s">
        <v>99</v>
      </c>
      <c r="J51" s="60"/>
      <c r="K51" s="64">
        <v>8.85</v>
      </c>
      <c r="L51" s="60"/>
      <c r="M51" s="64">
        <v>8.85</v>
      </c>
      <c r="N51" s="61" t="s">
        <v>28</v>
      </c>
      <c r="O51" s="48"/>
      <c r="P51" s="79" t="str">
        <f t="shared" ref="P51:Q51" si="43">IF(J51="","",J51-L51)</f>
        <v/>
      </c>
      <c r="Q51" s="68">
        <f t="shared" si="43"/>
        <v>0</v>
      </c>
      <c r="R51" s="7"/>
      <c r="S51" s="7"/>
      <c r="T51" s="7"/>
      <c r="U51" s="7"/>
      <c r="V51" s="7"/>
      <c r="W51" s="7"/>
      <c r="X51" s="7"/>
      <c r="Y51" s="7"/>
      <c r="Z51" s="7"/>
      <c r="AA51" s="7" t="str">
        <f t="shared" si="3"/>
        <v/>
      </c>
      <c r="AB51" s="7" t="str">
        <f t="shared" si="4"/>
        <v/>
      </c>
      <c r="AC51" s="7"/>
      <c r="AD51" s="7"/>
      <c r="AE51" s="51" t="s">
        <v>154</v>
      </c>
      <c r="AF51" s="7"/>
      <c r="AG51" s="7"/>
      <c r="AH51" s="7"/>
      <c r="AI51" s="7"/>
      <c r="AJ51" s="7"/>
    </row>
    <row r="52">
      <c r="A52" s="40"/>
      <c r="B52" s="14"/>
      <c r="C52" s="41"/>
      <c r="D52" s="92">
        <v>46026.0</v>
      </c>
      <c r="E52" s="54" t="s">
        <v>155</v>
      </c>
      <c r="F52" s="87" t="s">
        <v>126</v>
      </c>
      <c r="G52" s="55" t="s">
        <v>91</v>
      </c>
      <c r="H52" s="55" t="s">
        <v>118</v>
      </c>
      <c r="I52" s="55" t="s">
        <v>99</v>
      </c>
      <c r="J52" s="56"/>
      <c r="K52" s="62">
        <v>43.8</v>
      </c>
      <c r="L52" s="56"/>
      <c r="M52" s="62">
        <v>43.8</v>
      </c>
      <c r="N52" s="94" t="s">
        <v>28</v>
      </c>
      <c r="O52" s="48"/>
      <c r="P52" s="49" t="str">
        <f t="shared" ref="P52:Q52" si="44">IF(J52="","",J52-L52)</f>
        <v/>
      </c>
      <c r="Q52" s="68">
        <f t="shared" si="44"/>
        <v>0</v>
      </c>
      <c r="R52" s="7"/>
      <c r="S52" s="7"/>
      <c r="T52" s="7"/>
      <c r="U52" s="7"/>
      <c r="V52" s="7"/>
      <c r="W52" s="7"/>
      <c r="X52" s="7"/>
      <c r="Y52" s="7"/>
      <c r="Z52" s="7"/>
      <c r="AA52" s="7" t="str">
        <f t="shared" si="3"/>
        <v/>
      </c>
      <c r="AB52" s="7" t="str">
        <f t="shared" si="4"/>
        <v/>
      </c>
      <c r="AC52" s="7"/>
      <c r="AD52" s="7"/>
      <c r="AE52" s="67" t="s">
        <v>153</v>
      </c>
      <c r="AF52" s="7"/>
      <c r="AG52" s="7"/>
      <c r="AH52" s="7"/>
      <c r="AI52" s="7"/>
      <c r="AJ52" s="7"/>
    </row>
    <row r="53">
      <c r="A53" s="40"/>
      <c r="B53" s="14"/>
      <c r="C53" s="41"/>
      <c r="D53" s="93">
        <v>46026.0</v>
      </c>
      <c r="E53" s="75" t="s">
        <v>156</v>
      </c>
      <c r="F53" s="44" t="s">
        <v>123</v>
      </c>
      <c r="G53" s="58" t="s">
        <v>91</v>
      </c>
      <c r="H53" s="58" t="s">
        <v>118</v>
      </c>
      <c r="I53" s="44" t="s">
        <v>99</v>
      </c>
      <c r="J53" s="60"/>
      <c r="K53" s="64">
        <v>15.49</v>
      </c>
      <c r="L53" s="60"/>
      <c r="M53" s="64">
        <v>15.49</v>
      </c>
      <c r="N53" s="95" t="s">
        <v>28</v>
      </c>
      <c r="O53" s="48"/>
      <c r="P53" s="79" t="str">
        <f t="shared" ref="P53:Q53" si="45">IF(J53="","",J53-L53)</f>
        <v/>
      </c>
      <c r="Q53" s="68">
        <f t="shared" si="45"/>
        <v>0</v>
      </c>
      <c r="R53" s="7"/>
      <c r="S53" s="7"/>
      <c r="T53" s="7"/>
      <c r="U53" s="7"/>
      <c r="V53" s="7"/>
      <c r="W53" s="7"/>
      <c r="X53" s="7"/>
      <c r="Y53" s="7"/>
      <c r="Z53" s="7"/>
      <c r="AA53" s="7" t="str">
        <f t="shared" si="3"/>
        <v/>
      </c>
      <c r="AB53" s="7" t="str">
        <f t="shared" si="4"/>
        <v/>
      </c>
      <c r="AC53" s="7"/>
      <c r="AD53" s="7"/>
      <c r="AE53" s="67" t="s">
        <v>157</v>
      </c>
      <c r="AF53" s="7"/>
      <c r="AG53" s="7"/>
      <c r="AH53" s="7"/>
      <c r="AI53" s="7"/>
      <c r="AJ53" s="7"/>
    </row>
    <row r="54">
      <c r="A54" s="40"/>
      <c r="B54" s="14"/>
      <c r="C54" s="41"/>
      <c r="D54" s="92">
        <v>46026.0</v>
      </c>
      <c r="E54" s="80" t="s">
        <v>128</v>
      </c>
      <c r="F54" s="55" t="s">
        <v>126</v>
      </c>
      <c r="G54" s="55" t="s">
        <v>91</v>
      </c>
      <c r="H54" s="55" t="s">
        <v>118</v>
      </c>
      <c r="I54" s="55" t="s">
        <v>99</v>
      </c>
      <c r="J54" s="56"/>
      <c r="K54" s="62">
        <v>12.18</v>
      </c>
      <c r="L54" s="56"/>
      <c r="M54" s="62">
        <v>12.18</v>
      </c>
      <c r="N54" s="94" t="s">
        <v>28</v>
      </c>
      <c r="O54" s="48"/>
      <c r="P54" s="49" t="str">
        <f t="shared" ref="P54:Q54" si="46">IF(J54="","",J54-L54)</f>
        <v/>
      </c>
      <c r="Q54" s="68">
        <f t="shared" si="46"/>
        <v>0</v>
      </c>
      <c r="R54" s="7"/>
      <c r="S54" s="7"/>
      <c r="T54" s="7"/>
      <c r="U54" s="7"/>
      <c r="V54" s="7"/>
      <c r="W54" s="7"/>
      <c r="X54" s="7"/>
      <c r="Y54" s="7"/>
      <c r="Z54" s="7"/>
      <c r="AA54" s="7" t="str">
        <f t="shared" si="3"/>
        <v/>
      </c>
      <c r="AB54" s="7" t="str">
        <f t="shared" si="4"/>
        <v/>
      </c>
      <c r="AC54" s="7"/>
      <c r="AD54" s="7"/>
      <c r="AE54" s="51" t="s">
        <v>150</v>
      </c>
      <c r="AF54" s="7"/>
      <c r="AG54" s="7"/>
      <c r="AH54" s="7"/>
      <c r="AI54" s="7"/>
      <c r="AJ54" s="7"/>
    </row>
    <row r="55">
      <c r="A55" s="40"/>
      <c r="B55" s="14"/>
      <c r="C55" s="41"/>
      <c r="D55" s="93">
        <v>46026.0</v>
      </c>
      <c r="E55" s="83" t="s">
        <v>139</v>
      </c>
      <c r="F55" s="58" t="s">
        <v>158</v>
      </c>
      <c r="G55" s="58" t="s">
        <v>91</v>
      </c>
      <c r="H55" s="58" t="s">
        <v>118</v>
      </c>
      <c r="I55" s="44" t="s">
        <v>99</v>
      </c>
      <c r="J55" s="60"/>
      <c r="K55" s="64">
        <v>7.95</v>
      </c>
      <c r="L55" s="60"/>
      <c r="M55" s="64">
        <v>7.95</v>
      </c>
      <c r="N55" s="95" t="s">
        <v>28</v>
      </c>
      <c r="O55" s="71"/>
      <c r="P55" s="49" t="str">
        <f t="shared" ref="P55:Q55" si="47">IF(J55="","",J55-L55)</f>
        <v/>
      </c>
      <c r="Q55" s="68">
        <f t="shared" si="47"/>
        <v>0</v>
      </c>
      <c r="R55" s="7"/>
      <c r="S55" s="7"/>
      <c r="T55" s="7"/>
      <c r="U55" s="7"/>
      <c r="V55" s="7"/>
      <c r="W55" s="7"/>
      <c r="X55" s="7"/>
      <c r="Y55" s="7"/>
      <c r="Z55" s="7"/>
      <c r="AA55" s="7" t="str">
        <f t="shared" si="3"/>
        <v/>
      </c>
      <c r="AB55" s="7" t="str">
        <f t="shared" si="4"/>
        <v/>
      </c>
      <c r="AC55" s="7"/>
      <c r="AD55" s="7"/>
      <c r="AE55" s="96" t="s">
        <v>159</v>
      </c>
      <c r="AF55" s="7"/>
      <c r="AG55" s="7"/>
      <c r="AH55" s="7"/>
      <c r="AI55" s="7"/>
      <c r="AJ55" s="7"/>
    </row>
    <row r="56">
      <c r="A56" s="40"/>
      <c r="B56" s="14"/>
      <c r="C56" s="41"/>
      <c r="D56" s="92">
        <v>46026.0</v>
      </c>
      <c r="E56" s="80" t="s">
        <v>57</v>
      </c>
      <c r="F56" s="55" t="s">
        <v>123</v>
      </c>
      <c r="G56" s="55" t="s">
        <v>91</v>
      </c>
      <c r="H56" s="55" t="s">
        <v>118</v>
      </c>
      <c r="I56" s="55" t="s">
        <v>160</v>
      </c>
      <c r="J56" s="56"/>
      <c r="K56" s="62">
        <v>0.27</v>
      </c>
      <c r="L56" s="56"/>
      <c r="M56" s="62">
        <v>0.27</v>
      </c>
      <c r="N56" s="94" t="s">
        <v>28</v>
      </c>
      <c r="O56" s="71"/>
      <c r="P56" s="49" t="str">
        <f t="shared" ref="P56:Q56" si="48">IF(J56="","",J56-L56)</f>
        <v/>
      </c>
      <c r="Q56" s="68">
        <f t="shared" si="48"/>
        <v>0</v>
      </c>
      <c r="R56" s="7"/>
      <c r="S56" s="7"/>
      <c r="T56" s="7"/>
      <c r="U56" s="7"/>
      <c r="V56" s="7"/>
      <c r="W56" s="7"/>
      <c r="X56" s="7"/>
      <c r="Y56" s="7"/>
      <c r="Z56" s="7"/>
      <c r="AA56" s="7" t="str">
        <f t="shared" si="3"/>
        <v/>
      </c>
      <c r="AB56" s="7" t="str">
        <f t="shared" si="4"/>
        <v/>
      </c>
      <c r="AC56" s="7"/>
      <c r="AD56" s="7"/>
      <c r="AE56" s="51" t="s">
        <v>156</v>
      </c>
      <c r="AF56" s="7"/>
      <c r="AG56" s="7"/>
      <c r="AH56" s="7"/>
      <c r="AI56" s="7"/>
      <c r="AJ56" s="7"/>
    </row>
    <row r="57">
      <c r="A57" s="40"/>
      <c r="B57" s="14"/>
      <c r="C57" s="41"/>
      <c r="D57" s="93">
        <v>46026.0</v>
      </c>
      <c r="E57" s="83" t="s">
        <v>128</v>
      </c>
      <c r="F57" s="58" t="s">
        <v>161</v>
      </c>
      <c r="G57" s="58" t="s">
        <v>91</v>
      </c>
      <c r="H57" s="58" t="s">
        <v>118</v>
      </c>
      <c r="I57" s="44" t="s">
        <v>99</v>
      </c>
      <c r="J57" s="60"/>
      <c r="K57" s="64">
        <v>139.44</v>
      </c>
      <c r="L57" s="60"/>
      <c r="M57" s="64">
        <v>139.44</v>
      </c>
      <c r="N57" s="95" t="s">
        <v>28</v>
      </c>
      <c r="O57" s="71"/>
      <c r="P57" s="79" t="str">
        <f t="shared" ref="P57:Q57" si="49">IF(J57="","",J57-L57)</f>
        <v/>
      </c>
      <c r="Q57" s="68">
        <f t="shared" si="49"/>
        <v>0</v>
      </c>
      <c r="R57" s="7"/>
      <c r="S57" s="7"/>
      <c r="T57" s="7"/>
      <c r="U57" s="7"/>
      <c r="V57" s="7"/>
      <c r="W57" s="7"/>
      <c r="X57" s="7"/>
      <c r="Y57" s="7"/>
      <c r="Z57" s="7"/>
      <c r="AA57" s="7" t="str">
        <f t="shared" si="3"/>
        <v/>
      </c>
      <c r="AB57" s="7" t="str">
        <f t="shared" si="4"/>
        <v/>
      </c>
      <c r="AC57" s="7"/>
      <c r="AD57" s="7"/>
      <c r="AE57" s="51" t="s">
        <v>162</v>
      </c>
      <c r="AF57" s="7"/>
      <c r="AG57" s="7"/>
      <c r="AH57" s="7"/>
      <c r="AI57" s="7"/>
      <c r="AJ57" s="7"/>
    </row>
    <row r="58">
      <c r="A58" s="40"/>
      <c r="B58" s="14"/>
      <c r="C58" s="41"/>
      <c r="D58" s="92">
        <v>46026.0</v>
      </c>
      <c r="E58" s="54" t="s">
        <v>130</v>
      </c>
      <c r="F58" s="87" t="s">
        <v>163</v>
      </c>
      <c r="G58" s="55" t="s">
        <v>91</v>
      </c>
      <c r="H58" s="55" t="s">
        <v>118</v>
      </c>
      <c r="I58" s="55" t="s">
        <v>99</v>
      </c>
      <c r="J58" s="56"/>
      <c r="K58" s="62">
        <v>28.5</v>
      </c>
      <c r="L58" s="56"/>
      <c r="M58" s="62">
        <v>28.5</v>
      </c>
      <c r="N58" s="94" t="s">
        <v>28</v>
      </c>
      <c r="O58" s="48"/>
      <c r="P58" s="49" t="str">
        <f t="shared" ref="P58:Q58" si="50">IF(J58="","",J58-L58)</f>
        <v/>
      </c>
      <c r="Q58" s="68">
        <f t="shared" si="50"/>
        <v>0</v>
      </c>
      <c r="R58" s="7"/>
      <c r="S58" s="7"/>
      <c r="T58" s="7"/>
      <c r="U58" s="7"/>
      <c r="V58" s="7"/>
      <c r="W58" s="7"/>
      <c r="X58" s="7"/>
      <c r="Y58" s="7"/>
      <c r="Z58" s="7"/>
      <c r="AA58" s="7" t="str">
        <f t="shared" si="3"/>
        <v/>
      </c>
      <c r="AB58" s="7" t="str">
        <f t="shared" si="4"/>
        <v/>
      </c>
      <c r="AC58" s="7"/>
      <c r="AD58" s="7"/>
      <c r="AE58" s="51" t="s">
        <v>164</v>
      </c>
      <c r="AF58" s="7"/>
      <c r="AG58" s="7"/>
      <c r="AH58" s="7"/>
      <c r="AI58" s="7"/>
      <c r="AJ58" s="7"/>
    </row>
    <row r="59">
      <c r="A59" s="40"/>
      <c r="B59" s="14"/>
      <c r="C59" s="41"/>
      <c r="D59" s="93">
        <v>46026.0</v>
      </c>
      <c r="E59" s="43" t="s">
        <v>135</v>
      </c>
      <c r="F59" s="58" t="s">
        <v>163</v>
      </c>
      <c r="G59" s="58" t="s">
        <v>91</v>
      </c>
      <c r="H59" s="58" t="s">
        <v>118</v>
      </c>
      <c r="I59" s="44" t="s">
        <v>99</v>
      </c>
      <c r="J59" s="60"/>
      <c r="K59" s="64">
        <v>51.9</v>
      </c>
      <c r="L59" s="60"/>
      <c r="M59" s="64">
        <v>51.9</v>
      </c>
      <c r="N59" s="95" t="s">
        <v>28</v>
      </c>
      <c r="O59" s="71"/>
      <c r="P59" s="49" t="str">
        <f t="shared" ref="P59:Q59" si="51">IF(J59="","",J59-L59)</f>
        <v/>
      </c>
      <c r="Q59" s="50">
        <f t="shared" si="51"/>
        <v>0</v>
      </c>
      <c r="R59" s="7"/>
      <c r="S59" s="7"/>
      <c r="T59" s="7"/>
      <c r="U59" s="7"/>
      <c r="V59" s="7"/>
      <c r="W59" s="7"/>
      <c r="X59" s="7"/>
      <c r="Y59" s="7"/>
      <c r="Z59" s="7"/>
      <c r="AA59" s="7" t="str">
        <f t="shared" si="3"/>
        <v/>
      </c>
      <c r="AB59" s="7" t="str">
        <f t="shared" si="4"/>
        <v/>
      </c>
      <c r="AC59" s="7"/>
      <c r="AD59" s="7"/>
      <c r="AE59" s="51" t="s">
        <v>165</v>
      </c>
      <c r="AF59" s="7"/>
      <c r="AG59" s="7"/>
      <c r="AH59" s="7"/>
      <c r="AI59" s="7"/>
      <c r="AJ59" s="7"/>
    </row>
    <row r="60">
      <c r="A60" s="40"/>
      <c r="B60" s="14"/>
      <c r="C60" s="41"/>
      <c r="D60" s="92">
        <v>46026.0</v>
      </c>
      <c r="E60" s="54" t="s">
        <v>137</v>
      </c>
      <c r="F60" s="55" t="s">
        <v>163</v>
      </c>
      <c r="G60" s="55" t="s">
        <v>91</v>
      </c>
      <c r="H60" s="55" t="s">
        <v>118</v>
      </c>
      <c r="I60" s="55" t="s">
        <v>99</v>
      </c>
      <c r="J60" s="56"/>
      <c r="K60" s="62">
        <v>70.9</v>
      </c>
      <c r="L60" s="56"/>
      <c r="M60" s="62">
        <v>70.9</v>
      </c>
      <c r="N60" s="94" t="s">
        <v>28</v>
      </c>
      <c r="O60" s="71"/>
      <c r="P60" s="49" t="str">
        <f t="shared" ref="P60:Q60" si="52">IF(J60="","",J60-L60)</f>
        <v/>
      </c>
      <c r="Q60" s="50">
        <f t="shared" si="52"/>
        <v>0</v>
      </c>
      <c r="R60" s="7"/>
      <c r="S60" s="7"/>
      <c r="T60" s="7"/>
      <c r="U60" s="7"/>
      <c r="V60" s="7"/>
      <c r="W60" s="7"/>
      <c r="X60" s="7"/>
      <c r="Y60" s="7"/>
      <c r="Z60" s="7"/>
      <c r="AA60" s="7" t="str">
        <f t="shared" si="3"/>
        <v/>
      </c>
      <c r="AB60" s="7" t="str">
        <f t="shared" si="4"/>
        <v/>
      </c>
      <c r="AC60" s="7"/>
      <c r="AD60" s="7"/>
      <c r="AE60" s="51" t="s">
        <v>142</v>
      </c>
      <c r="AF60" s="7"/>
      <c r="AG60" s="7"/>
      <c r="AH60" s="7"/>
      <c r="AI60" s="7"/>
      <c r="AJ60" s="7"/>
    </row>
    <row r="61">
      <c r="A61" s="40"/>
      <c r="B61" s="14"/>
      <c r="C61" s="41"/>
      <c r="D61" s="93">
        <v>46026.0</v>
      </c>
      <c r="E61" s="97" t="s">
        <v>132</v>
      </c>
      <c r="F61" s="44" t="s">
        <v>163</v>
      </c>
      <c r="G61" s="58" t="s">
        <v>91</v>
      </c>
      <c r="H61" s="58" t="s">
        <v>118</v>
      </c>
      <c r="I61" s="44" t="s">
        <v>99</v>
      </c>
      <c r="J61" s="46"/>
      <c r="K61" s="45">
        <v>59.9</v>
      </c>
      <c r="L61" s="46"/>
      <c r="M61" s="45">
        <v>59.9</v>
      </c>
      <c r="N61" s="95" t="s">
        <v>28</v>
      </c>
      <c r="O61" s="48"/>
      <c r="P61" s="49" t="str">
        <f t="shared" ref="P61:Q61" si="53">IF(J61="","",J61-L61)</f>
        <v/>
      </c>
      <c r="Q61" s="68">
        <f t="shared" si="53"/>
        <v>0</v>
      </c>
      <c r="R61" s="7"/>
      <c r="S61" s="7"/>
      <c r="T61" s="7"/>
      <c r="U61" s="7"/>
      <c r="V61" s="7"/>
      <c r="W61" s="7"/>
      <c r="X61" s="7"/>
      <c r="Y61" s="7"/>
      <c r="Z61" s="7"/>
      <c r="AA61" s="7" t="str">
        <f t="shared" si="3"/>
        <v/>
      </c>
      <c r="AB61" s="7" t="str">
        <f t="shared" si="4"/>
        <v/>
      </c>
      <c r="AC61" s="7"/>
      <c r="AD61" s="7"/>
      <c r="AE61" s="51" t="s">
        <v>166</v>
      </c>
      <c r="AF61" s="7"/>
      <c r="AG61" s="7"/>
      <c r="AH61" s="7"/>
      <c r="AI61" s="7"/>
      <c r="AJ61" s="7"/>
    </row>
    <row r="62">
      <c r="A62" s="40"/>
      <c r="B62" s="14"/>
      <c r="C62" s="41"/>
      <c r="D62" s="92">
        <v>46026.0</v>
      </c>
      <c r="E62" s="54" t="s">
        <v>141</v>
      </c>
      <c r="F62" s="55" t="s">
        <v>163</v>
      </c>
      <c r="G62" s="55" t="s">
        <v>91</v>
      </c>
      <c r="H62" s="55" t="s">
        <v>118</v>
      </c>
      <c r="I62" s="55" t="s">
        <v>99</v>
      </c>
      <c r="J62" s="56"/>
      <c r="K62" s="62">
        <v>33.9</v>
      </c>
      <c r="L62" s="56"/>
      <c r="M62" s="62">
        <v>33.9</v>
      </c>
      <c r="N62" s="57" t="s">
        <v>28</v>
      </c>
      <c r="O62" s="71"/>
      <c r="P62" s="49" t="str">
        <f t="shared" ref="P62:Q62" si="54">IF(J62="","",J62-L62)</f>
        <v/>
      </c>
      <c r="Q62" s="50">
        <f t="shared" si="54"/>
        <v>0</v>
      </c>
      <c r="R62" s="7"/>
      <c r="S62" s="7"/>
      <c r="T62" s="7"/>
      <c r="U62" s="7"/>
      <c r="V62" s="7"/>
      <c r="W62" s="7"/>
      <c r="X62" s="7"/>
      <c r="Y62" s="7"/>
      <c r="Z62" s="7"/>
      <c r="AA62" s="7" t="str">
        <f t="shared" si="3"/>
        <v/>
      </c>
      <c r="AB62" s="7" t="str">
        <f t="shared" si="4"/>
        <v/>
      </c>
      <c r="AC62" s="7"/>
      <c r="AD62" s="7"/>
      <c r="AE62" s="51" t="s">
        <v>167</v>
      </c>
      <c r="AF62" s="7"/>
      <c r="AG62" s="7"/>
      <c r="AH62" s="7"/>
      <c r="AI62" s="7"/>
      <c r="AJ62" s="7"/>
    </row>
    <row r="63">
      <c r="A63" s="40"/>
      <c r="B63" s="14"/>
      <c r="C63" s="41"/>
      <c r="D63" s="93">
        <v>46026.0</v>
      </c>
      <c r="E63" s="97" t="s">
        <v>130</v>
      </c>
      <c r="F63" s="44" t="s">
        <v>117</v>
      </c>
      <c r="G63" s="58" t="s">
        <v>91</v>
      </c>
      <c r="H63" s="58" t="s">
        <v>118</v>
      </c>
      <c r="I63" s="44" t="s">
        <v>99</v>
      </c>
      <c r="J63" s="46"/>
      <c r="K63" s="45">
        <v>57.0</v>
      </c>
      <c r="L63" s="46"/>
      <c r="M63" s="45">
        <v>57.0</v>
      </c>
      <c r="N63" s="61" t="s">
        <v>28</v>
      </c>
      <c r="O63" s="71"/>
      <c r="P63" s="49" t="str">
        <f t="shared" ref="P63:Q63" si="55">IF(J63="","",J63-L63)</f>
        <v/>
      </c>
      <c r="Q63" s="50">
        <f t="shared" si="55"/>
        <v>0</v>
      </c>
      <c r="R63" s="7"/>
      <c r="S63" s="7"/>
      <c r="T63" s="7"/>
      <c r="U63" s="7"/>
      <c r="V63" s="7"/>
      <c r="W63" s="7"/>
      <c r="X63" s="7"/>
      <c r="Y63" s="7"/>
      <c r="Z63" s="7"/>
      <c r="AA63" s="7" t="str">
        <f t="shared" si="3"/>
        <v/>
      </c>
      <c r="AB63" s="7" t="str">
        <f t="shared" si="4"/>
        <v/>
      </c>
      <c r="AC63" s="7"/>
      <c r="AD63" s="7"/>
      <c r="AE63" s="51" t="s">
        <v>145</v>
      </c>
      <c r="AF63" s="7"/>
      <c r="AG63" s="7"/>
      <c r="AH63" s="7"/>
      <c r="AI63" s="7"/>
      <c r="AJ63" s="7"/>
    </row>
    <row r="64">
      <c r="A64" s="40"/>
      <c r="B64" s="14"/>
      <c r="C64" s="41"/>
      <c r="D64" s="92">
        <v>46026.0</v>
      </c>
      <c r="E64" s="98" t="s">
        <v>162</v>
      </c>
      <c r="F64" s="88" t="s">
        <v>117</v>
      </c>
      <c r="G64" s="55" t="s">
        <v>91</v>
      </c>
      <c r="H64" s="55" t="s">
        <v>118</v>
      </c>
      <c r="I64" s="55" t="s">
        <v>99</v>
      </c>
      <c r="J64" s="99"/>
      <c r="K64" s="89">
        <v>21.8</v>
      </c>
      <c r="L64" s="99"/>
      <c r="M64" s="89">
        <v>21.8</v>
      </c>
      <c r="N64" s="94" t="s">
        <v>28</v>
      </c>
      <c r="O64" s="71"/>
      <c r="P64" s="49" t="str">
        <f t="shared" ref="P64:Q64" si="56">IF(J64="","",J64-L64)</f>
        <v/>
      </c>
      <c r="Q64" s="68">
        <f t="shared" si="56"/>
        <v>0</v>
      </c>
      <c r="R64" s="7"/>
      <c r="S64" s="7"/>
      <c r="T64" s="7"/>
      <c r="U64" s="7"/>
      <c r="V64" s="7"/>
      <c r="W64" s="7"/>
      <c r="X64" s="7"/>
      <c r="Y64" s="7"/>
      <c r="Z64" s="7"/>
      <c r="AA64" s="7" t="str">
        <f t="shared" si="3"/>
        <v/>
      </c>
      <c r="AB64" s="7" t="str">
        <f t="shared" si="4"/>
        <v/>
      </c>
      <c r="AC64" s="7"/>
      <c r="AD64" s="7"/>
      <c r="AE64" s="51" t="s">
        <v>168</v>
      </c>
      <c r="AF64" s="7"/>
      <c r="AG64" s="7"/>
      <c r="AH64" s="7"/>
      <c r="AI64" s="7"/>
      <c r="AJ64" s="7"/>
    </row>
    <row r="65">
      <c r="A65" s="40"/>
      <c r="B65" s="14"/>
      <c r="C65" s="41"/>
      <c r="D65" s="93">
        <v>46026.0</v>
      </c>
      <c r="E65" s="43" t="s">
        <v>169</v>
      </c>
      <c r="F65" s="58" t="s">
        <v>170</v>
      </c>
      <c r="G65" s="58" t="s">
        <v>91</v>
      </c>
      <c r="H65" s="58" t="s">
        <v>118</v>
      </c>
      <c r="I65" s="44" t="s">
        <v>119</v>
      </c>
      <c r="J65" s="60"/>
      <c r="K65" s="64">
        <v>25.08</v>
      </c>
      <c r="L65" s="60"/>
      <c r="M65" s="64">
        <v>25.08</v>
      </c>
      <c r="N65" s="95" t="s">
        <v>28</v>
      </c>
      <c r="O65" s="71"/>
      <c r="P65" s="49" t="str">
        <f t="shared" ref="P65:Q65" si="57">IF(J65="","",J65-L65)</f>
        <v/>
      </c>
      <c r="Q65" s="50">
        <f t="shared" si="57"/>
        <v>0</v>
      </c>
      <c r="R65" s="7"/>
      <c r="S65" s="7"/>
      <c r="T65" s="7"/>
      <c r="U65" s="7"/>
      <c r="V65" s="7"/>
      <c r="W65" s="7"/>
      <c r="X65" s="7"/>
      <c r="Y65" s="7"/>
      <c r="Z65" s="7"/>
      <c r="AA65" s="7" t="str">
        <f t="shared" si="3"/>
        <v/>
      </c>
      <c r="AB65" s="7" t="str">
        <f t="shared" si="4"/>
        <v/>
      </c>
      <c r="AC65" s="7"/>
      <c r="AD65" s="7"/>
      <c r="AE65" s="51" t="s">
        <v>171</v>
      </c>
      <c r="AF65" s="7"/>
      <c r="AG65" s="7"/>
      <c r="AH65" s="7"/>
      <c r="AI65" s="7"/>
      <c r="AJ65" s="7"/>
    </row>
    <row r="66">
      <c r="A66" s="40"/>
      <c r="B66" s="14"/>
      <c r="C66" s="41"/>
      <c r="D66" s="92">
        <v>46026.0</v>
      </c>
      <c r="E66" s="54" t="s">
        <v>165</v>
      </c>
      <c r="F66" s="55" t="s">
        <v>172</v>
      </c>
      <c r="G66" s="55" t="s">
        <v>91</v>
      </c>
      <c r="H66" s="55" t="s">
        <v>118</v>
      </c>
      <c r="I66" s="55" t="s">
        <v>99</v>
      </c>
      <c r="J66" s="56"/>
      <c r="K66" s="62">
        <v>60.75</v>
      </c>
      <c r="L66" s="56"/>
      <c r="M66" s="62">
        <v>60.75</v>
      </c>
      <c r="N66" s="94" t="s">
        <v>28</v>
      </c>
      <c r="O66" s="48"/>
      <c r="P66" s="49" t="str">
        <f t="shared" ref="P66:Q66" si="58">IF(J66="","",J66-L66)</f>
        <v/>
      </c>
      <c r="Q66" s="50">
        <f t="shared" si="58"/>
        <v>0</v>
      </c>
      <c r="R66" s="7"/>
      <c r="S66" s="7"/>
      <c r="T66" s="7"/>
      <c r="U66" s="7"/>
      <c r="V66" s="7"/>
      <c r="W66" s="7"/>
      <c r="X66" s="7"/>
      <c r="Y66" s="7"/>
      <c r="Z66" s="7"/>
      <c r="AA66" s="7" t="str">
        <f t="shared" si="3"/>
        <v/>
      </c>
      <c r="AB66" s="7" t="str">
        <f t="shared" si="4"/>
        <v/>
      </c>
      <c r="AC66" s="7"/>
      <c r="AD66" s="7"/>
      <c r="AE66" s="51" t="s">
        <v>173</v>
      </c>
      <c r="AF66" s="7"/>
      <c r="AG66" s="7"/>
      <c r="AH66" s="7"/>
      <c r="AI66" s="7"/>
      <c r="AJ66" s="7"/>
    </row>
    <row r="67">
      <c r="A67" s="40"/>
      <c r="B67" s="14"/>
      <c r="C67" s="41"/>
      <c r="D67" s="93">
        <v>46026.0</v>
      </c>
      <c r="E67" s="43" t="s">
        <v>144</v>
      </c>
      <c r="F67" s="58" t="s">
        <v>117</v>
      </c>
      <c r="G67" s="58" t="s">
        <v>91</v>
      </c>
      <c r="H67" s="58" t="s">
        <v>118</v>
      </c>
      <c r="I67" s="44" t="s">
        <v>99</v>
      </c>
      <c r="J67" s="60"/>
      <c r="K67" s="64">
        <v>70.0</v>
      </c>
      <c r="L67" s="60"/>
      <c r="M67" s="64">
        <v>70.0</v>
      </c>
      <c r="N67" s="95" t="s">
        <v>28</v>
      </c>
      <c r="O67" s="71"/>
      <c r="P67" s="49" t="str">
        <f t="shared" ref="P67:Q67" si="59">IF(J67="","",J67-L67)</f>
        <v/>
      </c>
      <c r="Q67" s="50">
        <f t="shared" si="59"/>
        <v>0</v>
      </c>
      <c r="R67" s="7"/>
      <c r="S67" s="7"/>
      <c r="T67" s="7"/>
      <c r="U67" s="7"/>
      <c r="V67" s="7"/>
      <c r="W67" s="7"/>
      <c r="X67" s="7"/>
      <c r="Y67" s="7"/>
      <c r="Z67" s="7"/>
      <c r="AA67" s="7" t="str">
        <f t="shared" si="3"/>
        <v/>
      </c>
      <c r="AB67" s="7" t="str">
        <f t="shared" si="4"/>
        <v/>
      </c>
      <c r="AC67" s="7"/>
      <c r="AD67" s="7"/>
      <c r="AE67" s="51" t="s">
        <v>96</v>
      </c>
      <c r="AF67" s="7"/>
      <c r="AG67" s="7"/>
      <c r="AH67" s="7"/>
      <c r="AI67" s="7"/>
      <c r="AJ67" s="7"/>
    </row>
    <row r="68">
      <c r="A68" s="40"/>
      <c r="B68" s="14"/>
      <c r="C68" s="41"/>
      <c r="D68" s="92">
        <v>46026.0</v>
      </c>
      <c r="E68" s="54" t="s">
        <v>156</v>
      </c>
      <c r="F68" s="55" t="s">
        <v>174</v>
      </c>
      <c r="G68" s="55" t="s">
        <v>91</v>
      </c>
      <c r="H68" s="55" t="s">
        <v>118</v>
      </c>
      <c r="I68" s="55" t="s">
        <v>99</v>
      </c>
      <c r="J68" s="56"/>
      <c r="K68" s="62">
        <v>215.76</v>
      </c>
      <c r="L68" s="56"/>
      <c r="M68" s="62">
        <v>215.76</v>
      </c>
      <c r="N68" s="94" t="s">
        <v>28</v>
      </c>
      <c r="O68" s="71"/>
      <c r="P68" s="49" t="str">
        <f t="shared" ref="P68:Q68" si="60">IF(J68="","",J68-L68)</f>
        <v/>
      </c>
      <c r="Q68" s="50">
        <f t="shared" si="60"/>
        <v>0</v>
      </c>
      <c r="R68" s="7"/>
      <c r="S68" s="7"/>
      <c r="T68" s="7"/>
      <c r="U68" s="7"/>
      <c r="V68" s="7"/>
      <c r="W68" s="7"/>
      <c r="X68" s="7"/>
      <c r="Y68" s="7"/>
      <c r="Z68" s="7"/>
      <c r="AA68" s="7" t="str">
        <f t="shared" si="3"/>
        <v/>
      </c>
      <c r="AB68" s="7" t="str">
        <f t="shared" si="4"/>
        <v/>
      </c>
      <c r="AC68" s="7"/>
      <c r="AD68" s="7"/>
      <c r="AE68" s="51" t="s">
        <v>175</v>
      </c>
      <c r="AF68" s="7"/>
      <c r="AG68" s="7"/>
      <c r="AH68" s="7"/>
      <c r="AI68" s="7"/>
      <c r="AJ68" s="7"/>
    </row>
    <row r="69">
      <c r="A69" s="40"/>
      <c r="B69" s="14"/>
      <c r="C69" s="41"/>
      <c r="D69" s="93">
        <v>46026.0</v>
      </c>
      <c r="E69" s="43" t="s">
        <v>159</v>
      </c>
      <c r="F69" s="58" t="s">
        <v>170</v>
      </c>
      <c r="G69" s="58" t="s">
        <v>91</v>
      </c>
      <c r="H69" s="58" t="s">
        <v>118</v>
      </c>
      <c r="I69" s="44" t="s">
        <v>99</v>
      </c>
      <c r="J69" s="60"/>
      <c r="K69" s="64">
        <v>14.28</v>
      </c>
      <c r="L69" s="60"/>
      <c r="M69" s="64">
        <v>14.28</v>
      </c>
      <c r="N69" s="95" t="s">
        <v>28</v>
      </c>
      <c r="O69" s="71"/>
      <c r="P69" s="49" t="str">
        <f t="shared" ref="P69:Q69" si="61">IF(J69="","",J69-L69)</f>
        <v/>
      </c>
      <c r="Q69" s="50">
        <f t="shared" si="61"/>
        <v>0</v>
      </c>
      <c r="R69" s="7"/>
      <c r="S69" s="7"/>
      <c r="T69" s="7"/>
      <c r="U69" s="7"/>
      <c r="V69" s="7"/>
      <c r="W69" s="7"/>
      <c r="X69" s="7"/>
      <c r="Y69" s="7"/>
      <c r="Z69" s="7"/>
      <c r="AA69" s="7" t="str">
        <f t="shared" si="3"/>
        <v/>
      </c>
      <c r="AB69" s="7" t="str">
        <f t="shared" si="4"/>
        <v/>
      </c>
      <c r="AC69" s="7"/>
      <c r="AD69" s="7"/>
      <c r="AE69" s="67" t="s">
        <v>176</v>
      </c>
      <c r="AF69" s="7"/>
      <c r="AG69" s="7"/>
      <c r="AH69" s="7"/>
      <c r="AI69" s="7"/>
      <c r="AJ69" s="7"/>
    </row>
    <row r="70">
      <c r="A70" s="40"/>
      <c r="B70" s="14"/>
      <c r="C70" s="41"/>
      <c r="D70" s="92">
        <v>46026.0</v>
      </c>
      <c r="E70" s="54" t="s">
        <v>154</v>
      </c>
      <c r="F70" s="55" t="s">
        <v>177</v>
      </c>
      <c r="G70" s="55" t="s">
        <v>91</v>
      </c>
      <c r="H70" s="55" t="s">
        <v>118</v>
      </c>
      <c r="I70" s="55" t="s">
        <v>99</v>
      </c>
      <c r="J70" s="56"/>
      <c r="K70" s="62">
        <v>65.1</v>
      </c>
      <c r="L70" s="56"/>
      <c r="M70" s="62">
        <v>65.1</v>
      </c>
      <c r="N70" s="94" t="s">
        <v>28</v>
      </c>
      <c r="O70" s="48"/>
      <c r="P70" s="49" t="str">
        <f t="shared" ref="P70:Q70" si="62">IF(J70="","",J70-L70)</f>
        <v/>
      </c>
      <c r="Q70" s="50">
        <f t="shared" si="62"/>
        <v>0</v>
      </c>
      <c r="R70" s="7"/>
      <c r="S70" s="7"/>
      <c r="T70" s="7"/>
      <c r="U70" s="7"/>
      <c r="V70" s="7"/>
      <c r="W70" s="7"/>
      <c r="X70" s="7"/>
      <c r="Y70" s="7"/>
      <c r="Z70" s="7"/>
      <c r="AA70" s="7" t="str">
        <f t="shared" si="3"/>
        <v/>
      </c>
      <c r="AB70" s="7" t="str">
        <f t="shared" si="4"/>
        <v/>
      </c>
      <c r="AC70" s="7"/>
      <c r="AD70" s="7"/>
      <c r="AE70" s="51" t="s">
        <v>77</v>
      </c>
      <c r="AF70" s="7"/>
      <c r="AG70" s="7"/>
      <c r="AH70" s="7"/>
      <c r="AI70" s="7"/>
      <c r="AJ70" s="7"/>
    </row>
    <row r="71">
      <c r="A71" s="40"/>
      <c r="B71" s="14"/>
      <c r="C71" s="41"/>
      <c r="D71" s="93">
        <v>46026.0</v>
      </c>
      <c r="E71" s="43" t="s">
        <v>178</v>
      </c>
      <c r="F71" s="58" t="s">
        <v>170</v>
      </c>
      <c r="G71" s="58" t="s">
        <v>91</v>
      </c>
      <c r="H71" s="58" t="s">
        <v>118</v>
      </c>
      <c r="I71" s="44" t="s">
        <v>99</v>
      </c>
      <c r="J71" s="60"/>
      <c r="K71" s="64">
        <v>17.99</v>
      </c>
      <c r="L71" s="60"/>
      <c r="M71" s="64">
        <v>17.99</v>
      </c>
      <c r="N71" s="95" t="s">
        <v>28</v>
      </c>
      <c r="O71" s="71"/>
      <c r="P71" s="49" t="str">
        <f t="shared" ref="P71:Q71" si="63">IF(J71="","",J71-L71)</f>
        <v/>
      </c>
      <c r="Q71" s="50">
        <f t="shared" si="63"/>
        <v>0</v>
      </c>
      <c r="R71" s="7"/>
      <c r="S71" s="7"/>
      <c r="T71" s="7"/>
      <c r="U71" s="7"/>
      <c r="V71" s="7"/>
      <c r="W71" s="7"/>
      <c r="X71" s="7"/>
      <c r="Y71" s="7"/>
      <c r="Z71" s="7"/>
      <c r="AA71" s="7" t="str">
        <f t="shared" si="3"/>
        <v/>
      </c>
      <c r="AB71" s="7" t="str">
        <f t="shared" si="4"/>
        <v/>
      </c>
      <c r="AC71" s="7"/>
      <c r="AD71" s="7"/>
      <c r="AE71" s="51" t="s">
        <v>67</v>
      </c>
      <c r="AF71" s="7"/>
      <c r="AG71" s="7"/>
      <c r="AH71" s="7"/>
      <c r="AI71" s="7"/>
      <c r="AJ71" s="7"/>
    </row>
    <row r="72">
      <c r="A72" s="40"/>
      <c r="B72" s="14"/>
      <c r="C72" s="41"/>
      <c r="D72" s="92">
        <v>46026.0</v>
      </c>
      <c r="E72" s="54" t="s">
        <v>179</v>
      </c>
      <c r="F72" s="55" t="s">
        <v>180</v>
      </c>
      <c r="G72" s="55" t="s">
        <v>91</v>
      </c>
      <c r="H72" s="55" t="s">
        <v>118</v>
      </c>
      <c r="I72" s="55" t="s">
        <v>99</v>
      </c>
      <c r="J72" s="56"/>
      <c r="K72" s="62">
        <v>23.7</v>
      </c>
      <c r="L72" s="56"/>
      <c r="M72" s="62">
        <v>23.7</v>
      </c>
      <c r="N72" s="94" t="s">
        <v>28</v>
      </c>
      <c r="O72" s="71"/>
      <c r="P72" s="49" t="str">
        <f t="shared" ref="P72:Q72" si="64">IF(J72="","",J72-L72)</f>
        <v/>
      </c>
      <c r="Q72" s="50">
        <f t="shared" si="64"/>
        <v>0</v>
      </c>
      <c r="R72" s="7"/>
      <c r="S72" s="7"/>
      <c r="T72" s="7"/>
      <c r="U72" s="7"/>
      <c r="V72" s="7"/>
      <c r="W72" s="7"/>
      <c r="X72" s="7"/>
      <c r="Y72" s="7"/>
      <c r="Z72" s="7"/>
      <c r="AA72" s="7" t="str">
        <f t="shared" si="3"/>
        <v/>
      </c>
      <c r="AB72" s="7" t="str">
        <f t="shared" si="4"/>
        <v/>
      </c>
      <c r="AC72" s="7"/>
      <c r="AD72" s="7"/>
      <c r="AE72" s="51" t="s">
        <v>62</v>
      </c>
      <c r="AF72" s="7"/>
      <c r="AG72" s="7"/>
      <c r="AH72" s="7"/>
      <c r="AI72" s="7"/>
      <c r="AJ72" s="7"/>
    </row>
    <row r="73">
      <c r="A73" s="40"/>
      <c r="B73" s="14"/>
      <c r="C73" s="41"/>
      <c r="D73" s="93">
        <v>46026.0</v>
      </c>
      <c r="E73" s="43" t="s">
        <v>181</v>
      </c>
      <c r="F73" s="58" t="s">
        <v>170</v>
      </c>
      <c r="G73" s="58" t="s">
        <v>91</v>
      </c>
      <c r="H73" s="58" t="s">
        <v>118</v>
      </c>
      <c r="I73" s="44" t="s">
        <v>99</v>
      </c>
      <c r="J73" s="60"/>
      <c r="K73" s="64">
        <v>19.9</v>
      </c>
      <c r="L73" s="60"/>
      <c r="M73" s="64">
        <v>19.9</v>
      </c>
      <c r="N73" s="95" t="s">
        <v>28</v>
      </c>
      <c r="O73" s="71"/>
      <c r="P73" s="49" t="str">
        <f t="shared" ref="P73:Q73" si="65">IF(J73="","",J73-L73)</f>
        <v/>
      </c>
      <c r="Q73" s="50">
        <f t="shared" si="65"/>
        <v>0</v>
      </c>
      <c r="R73" s="7"/>
      <c r="S73" s="7"/>
      <c r="T73" s="7"/>
      <c r="U73" s="7"/>
      <c r="V73" s="7"/>
      <c r="W73" s="7"/>
      <c r="X73" s="7"/>
      <c r="Y73" s="7"/>
      <c r="Z73" s="7"/>
      <c r="AA73" s="7" t="str">
        <f t="shared" si="3"/>
        <v/>
      </c>
      <c r="AB73" s="7" t="str">
        <f t="shared" si="4"/>
        <v/>
      </c>
      <c r="AC73" s="7"/>
      <c r="AD73" s="7"/>
      <c r="AE73" s="51" t="s">
        <v>80</v>
      </c>
      <c r="AF73" s="7"/>
      <c r="AG73" s="7"/>
      <c r="AH73" s="7"/>
      <c r="AI73" s="7"/>
      <c r="AJ73" s="7"/>
    </row>
    <row r="74">
      <c r="A74" s="40"/>
      <c r="B74" s="14"/>
      <c r="C74" s="41"/>
      <c r="D74" s="92">
        <v>46026.0</v>
      </c>
      <c r="E74" s="54" t="s">
        <v>176</v>
      </c>
      <c r="F74" s="55" t="s">
        <v>180</v>
      </c>
      <c r="G74" s="55" t="s">
        <v>91</v>
      </c>
      <c r="H74" s="55" t="s">
        <v>118</v>
      </c>
      <c r="I74" s="55" t="s">
        <v>99</v>
      </c>
      <c r="J74" s="56"/>
      <c r="K74" s="62">
        <v>25.74</v>
      </c>
      <c r="L74" s="56"/>
      <c r="M74" s="62">
        <v>25.74</v>
      </c>
      <c r="N74" s="100" t="s">
        <v>28</v>
      </c>
      <c r="O74" s="48"/>
      <c r="P74" s="49" t="str">
        <f t="shared" ref="P74:Q74" si="66">IF(J74="","",J74-L74)</f>
        <v/>
      </c>
      <c r="Q74" s="50">
        <f t="shared" si="66"/>
        <v>0</v>
      </c>
      <c r="R74" s="7"/>
      <c r="S74" s="7"/>
      <c r="T74" s="7"/>
      <c r="U74" s="7"/>
      <c r="V74" s="7"/>
      <c r="W74" s="7"/>
      <c r="X74" s="7"/>
      <c r="Y74" s="7"/>
      <c r="Z74" s="7"/>
      <c r="AA74" s="7" t="str">
        <f t="shared" si="3"/>
        <v/>
      </c>
      <c r="AB74" s="7" t="str">
        <f t="shared" si="4"/>
        <v/>
      </c>
      <c r="AC74" s="7"/>
      <c r="AD74" s="7"/>
      <c r="AE74" s="51" t="s">
        <v>86</v>
      </c>
      <c r="AF74" s="7"/>
      <c r="AG74" s="7"/>
      <c r="AH74" s="7"/>
      <c r="AI74" s="7"/>
      <c r="AJ74" s="7"/>
    </row>
    <row r="75">
      <c r="A75" s="40"/>
      <c r="B75" s="14"/>
      <c r="C75" s="41"/>
      <c r="D75" s="93">
        <v>46026.0</v>
      </c>
      <c r="E75" s="43" t="s">
        <v>181</v>
      </c>
      <c r="F75" s="58" t="s">
        <v>180</v>
      </c>
      <c r="G75" s="58" t="s">
        <v>91</v>
      </c>
      <c r="H75" s="58" t="s">
        <v>118</v>
      </c>
      <c r="I75" s="44" t="s">
        <v>99</v>
      </c>
      <c r="J75" s="60"/>
      <c r="K75" s="64">
        <v>17.94</v>
      </c>
      <c r="L75" s="60"/>
      <c r="M75" s="64">
        <v>17.94</v>
      </c>
      <c r="N75" s="101" t="s">
        <v>28</v>
      </c>
      <c r="O75" s="48"/>
      <c r="P75" s="49" t="str">
        <f t="shared" ref="P75:Q75" si="67">IF(J75="","",J75-L75)</f>
        <v/>
      </c>
      <c r="Q75" s="50">
        <f t="shared" si="67"/>
        <v>0</v>
      </c>
      <c r="R75" s="7"/>
      <c r="S75" s="7"/>
      <c r="T75" s="7"/>
      <c r="U75" s="7"/>
      <c r="V75" s="7"/>
      <c r="W75" s="7"/>
      <c r="X75" s="7"/>
      <c r="Y75" s="7"/>
      <c r="Z75" s="7"/>
      <c r="AA75" s="7" t="str">
        <f t="shared" si="3"/>
        <v/>
      </c>
      <c r="AB75" s="7" t="str">
        <f t="shared" si="4"/>
        <v/>
      </c>
      <c r="AC75" s="7"/>
      <c r="AD75" s="7"/>
      <c r="AE75" s="51" t="s">
        <v>70</v>
      </c>
      <c r="AF75" s="7"/>
      <c r="AG75" s="7"/>
      <c r="AH75" s="7"/>
      <c r="AI75" s="7"/>
      <c r="AJ75" s="7"/>
    </row>
    <row r="76">
      <c r="A76" s="40"/>
      <c r="B76" s="14"/>
      <c r="C76" s="41"/>
      <c r="D76" s="92">
        <v>46026.0</v>
      </c>
      <c r="E76" s="54" t="s">
        <v>182</v>
      </c>
      <c r="F76" s="55" t="s">
        <v>170</v>
      </c>
      <c r="G76" s="55" t="s">
        <v>91</v>
      </c>
      <c r="H76" s="55" t="s">
        <v>118</v>
      </c>
      <c r="I76" s="55" t="s">
        <v>99</v>
      </c>
      <c r="J76" s="56"/>
      <c r="K76" s="62">
        <v>22.68</v>
      </c>
      <c r="L76" s="56"/>
      <c r="M76" s="62">
        <v>22.68</v>
      </c>
      <c r="N76" s="100" t="s">
        <v>28</v>
      </c>
      <c r="O76" s="48"/>
      <c r="P76" s="49" t="str">
        <f t="shared" ref="P76:Q76" si="68">IF(J76="","",J76-L76)</f>
        <v/>
      </c>
      <c r="Q76" s="50">
        <f t="shared" si="68"/>
        <v>0</v>
      </c>
      <c r="R76" s="7"/>
      <c r="S76" s="7"/>
      <c r="T76" s="7"/>
      <c r="U76" s="7"/>
      <c r="V76" s="7"/>
      <c r="W76" s="7"/>
      <c r="X76" s="7"/>
      <c r="Y76" s="7"/>
      <c r="Z76" s="7"/>
      <c r="AA76" s="7" t="str">
        <f t="shared" si="3"/>
        <v/>
      </c>
      <c r="AB76" s="7" t="str">
        <f t="shared" si="4"/>
        <v/>
      </c>
      <c r="AC76" s="7"/>
      <c r="AD76" s="7"/>
      <c r="AE76" s="51" t="s">
        <v>183</v>
      </c>
      <c r="AF76" s="7"/>
      <c r="AG76" s="7"/>
      <c r="AH76" s="7"/>
      <c r="AI76" s="7"/>
      <c r="AJ76" s="7"/>
    </row>
    <row r="77">
      <c r="A77" s="40"/>
      <c r="B77" s="14"/>
      <c r="C77" s="41"/>
      <c r="D77" s="93">
        <v>46026.0</v>
      </c>
      <c r="E77" s="43" t="s">
        <v>184</v>
      </c>
      <c r="F77" s="58" t="s">
        <v>170</v>
      </c>
      <c r="G77" s="58" t="s">
        <v>91</v>
      </c>
      <c r="H77" s="58" t="s">
        <v>118</v>
      </c>
      <c r="I77" s="44" t="s">
        <v>99</v>
      </c>
      <c r="J77" s="60"/>
      <c r="K77" s="64">
        <v>59.4</v>
      </c>
      <c r="L77" s="60"/>
      <c r="M77" s="64">
        <v>59.4</v>
      </c>
      <c r="N77" s="101" t="s">
        <v>28</v>
      </c>
      <c r="O77" s="48"/>
      <c r="P77" s="49" t="str">
        <f t="shared" ref="P77:Q77" si="69">IF(J77="","",J77-L77)</f>
        <v/>
      </c>
      <c r="Q77" s="50">
        <f t="shared" si="69"/>
        <v>0</v>
      </c>
      <c r="R77" s="7"/>
      <c r="S77" s="7"/>
      <c r="T77" s="7"/>
      <c r="U77" s="7"/>
      <c r="V77" s="7"/>
      <c r="W77" s="7"/>
      <c r="X77" s="7"/>
      <c r="Y77" s="7"/>
      <c r="Z77" s="7"/>
      <c r="AA77" s="7" t="str">
        <f t="shared" si="3"/>
        <v/>
      </c>
      <c r="AB77" s="7" t="str">
        <f t="shared" si="4"/>
        <v/>
      </c>
      <c r="AC77" s="7"/>
      <c r="AD77" s="7"/>
      <c r="AE77" s="51" t="s">
        <v>83</v>
      </c>
      <c r="AF77" s="7"/>
      <c r="AG77" s="7"/>
      <c r="AH77" s="7"/>
      <c r="AI77" s="7"/>
      <c r="AJ77" s="7"/>
    </row>
    <row r="78">
      <c r="A78" s="40"/>
      <c r="B78" s="14"/>
      <c r="C78" s="41"/>
      <c r="D78" s="93">
        <v>46026.0</v>
      </c>
      <c r="E78" s="54" t="s">
        <v>185</v>
      </c>
      <c r="F78" s="55" t="s">
        <v>170</v>
      </c>
      <c r="G78" s="55" t="s">
        <v>91</v>
      </c>
      <c r="H78" s="55" t="s">
        <v>118</v>
      </c>
      <c r="I78" s="55" t="s">
        <v>99</v>
      </c>
      <c r="J78" s="56"/>
      <c r="K78" s="62">
        <v>59.4</v>
      </c>
      <c r="L78" s="56"/>
      <c r="M78" s="62">
        <v>59.4</v>
      </c>
      <c r="N78" s="100" t="s">
        <v>28</v>
      </c>
      <c r="O78" s="71"/>
      <c r="P78" s="49" t="str">
        <f t="shared" ref="P78:Q78" si="70">IF(J78="","",J78-L78)</f>
        <v/>
      </c>
      <c r="Q78" s="50">
        <f t="shared" si="70"/>
        <v>0</v>
      </c>
      <c r="R78" s="7"/>
      <c r="S78" s="7"/>
      <c r="T78" s="7"/>
      <c r="U78" s="7"/>
      <c r="V78" s="7"/>
      <c r="W78" s="7"/>
      <c r="X78" s="7"/>
      <c r="Y78" s="7"/>
      <c r="Z78" s="7"/>
      <c r="AA78" s="7" t="str">
        <f t="shared" si="3"/>
        <v/>
      </c>
      <c r="AB78" s="7" t="str">
        <f t="shared" si="4"/>
        <v/>
      </c>
      <c r="AC78" s="7"/>
      <c r="AD78" s="7"/>
      <c r="AE78" s="51" t="s">
        <v>113</v>
      </c>
      <c r="AF78" s="7"/>
      <c r="AG78" s="7"/>
      <c r="AH78" s="7"/>
      <c r="AI78" s="7"/>
      <c r="AJ78" s="7"/>
    </row>
    <row r="79">
      <c r="A79" s="40"/>
      <c r="B79" s="14"/>
      <c r="C79" s="41"/>
      <c r="D79" s="83" t="s">
        <v>20</v>
      </c>
      <c r="E79" s="43"/>
      <c r="F79" s="58" t="s">
        <v>20</v>
      </c>
      <c r="G79" s="58" t="s">
        <v>20</v>
      </c>
      <c r="H79" s="58" t="s">
        <v>20</v>
      </c>
      <c r="I79" s="58" t="s">
        <v>20</v>
      </c>
      <c r="J79" s="64" t="s">
        <v>20</v>
      </c>
      <c r="K79" s="64" t="s">
        <v>20</v>
      </c>
      <c r="L79" s="64" t="s">
        <v>20</v>
      </c>
      <c r="M79" s="64" t="s">
        <v>20</v>
      </c>
      <c r="N79" s="61"/>
      <c r="O79" s="71"/>
      <c r="P79" s="49" t="str">
        <f t="shared" ref="P79:Q79" si="71">IF(J79="","",J79-L79)</f>
        <v>#VALUE!</v>
      </c>
      <c r="Q79" s="50" t="str">
        <f t="shared" si="71"/>
        <v>#VALUE!</v>
      </c>
      <c r="R79" s="7"/>
      <c r="S79" s="7"/>
      <c r="T79" s="7"/>
      <c r="U79" s="7"/>
      <c r="V79" s="7"/>
      <c r="W79" s="7"/>
      <c r="X79" s="7"/>
      <c r="Y79" s="7"/>
      <c r="Z79" s="7"/>
      <c r="AA79" s="7" t="str">
        <f t="shared" si="3"/>
        <v/>
      </c>
      <c r="AB79" s="7" t="str">
        <f t="shared" si="4"/>
        <v/>
      </c>
      <c r="AC79" s="7"/>
      <c r="AD79" s="7"/>
      <c r="AE79" s="51" t="s">
        <v>186</v>
      </c>
      <c r="AF79" s="7"/>
      <c r="AG79" s="7"/>
      <c r="AH79" s="7"/>
      <c r="AI79" s="7"/>
      <c r="AJ79" s="7"/>
    </row>
    <row r="80">
      <c r="A80" s="40"/>
      <c r="B80" s="14"/>
      <c r="C80" s="41"/>
      <c r="D80" s="102">
        <v>46027.0</v>
      </c>
      <c r="E80" s="54" t="s">
        <v>166</v>
      </c>
      <c r="F80" s="55" t="s">
        <v>74</v>
      </c>
      <c r="G80" s="55" t="s">
        <v>44</v>
      </c>
      <c r="H80" s="55" t="s">
        <v>187</v>
      </c>
      <c r="I80" s="55" t="s">
        <v>188</v>
      </c>
      <c r="J80" s="56"/>
      <c r="K80" s="62">
        <v>38.99</v>
      </c>
      <c r="L80" s="56"/>
      <c r="M80" s="62">
        <v>38.99</v>
      </c>
      <c r="N80" s="57" t="s">
        <v>33</v>
      </c>
      <c r="O80" s="48"/>
      <c r="P80" s="49" t="str">
        <f t="shared" ref="P80:Q80" si="72">IF(J80="","",J80-L80)</f>
        <v/>
      </c>
      <c r="Q80" s="50">
        <f t="shared" si="72"/>
        <v>0</v>
      </c>
      <c r="R80" s="7"/>
      <c r="S80" s="7"/>
      <c r="T80" s="7"/>
      <c r="U80" s="7"/>
      <c r="V80" s="7"/>
      <c r="W80" s="7"/>
      <c r="X80" s="7"/>
      <c r="Y80" s="7"/>
      <c r="Z80" s="7"/>
      <c r="AA80" s="7" t="str">
        <f t="shared" si="3"/>
        <v/>
      </c>
      <c r="AB80" s="7" t="str">
        <f t="shared" si="4"/>
        <v/>
      </c>
      <c r="AC80" s="7"/>
      <c r="AD80" s="7"/>
      <c r="AE80" s="51" t="s">
        <v>109</v>
      </c>
      <c r="AF80" s="7"/>
      <c r="AG80" s="7"/>
      <c r="AH80" s="7"/>
      <c r="AI80" s="7"/>
      <c r="AJ80" s="7"/>
    </row>
    <row r="81">
      <c r="A81" s="40"/>
      <c r="B81" s="14"/>
      <c r="C81" s="41"/>
      <c r="D81" s="103">
        <v>46027.0</v>
      </c>
      <c r="E81" s="43" t="s">
        <v>189</v>
      </c>
      <c r="F81" s="58" t="s">
        <v>190</v>
      </c>
      <c r="G81" s="58" t="s">
        <v>44</v>
      </c>
      <c r="H81" s="58" t="s">
        <v>187</v>
      </c>
      <c r="I81" s="58" t="s">
        <v>46</v>
      </c>
      <c r="J81" s="60"/>
      <c r="K81" s="64">
        <v>67.99</v>
      </c>
      <c r="L81" s="60"/>
      <c r="M81" s="64">
        <v>67.99</v>
      </c>
      <c r="N81" s="61" t="s">
        <v>33</v>
      </c>
      <c r="O81" s="71"/>
      <c r="P81" s="49" t="str">
        <f t="shared" ref="P81:Q81" si="73">IF(J81="","",J81-L81)</f>
        <v/>
      </c>
      <c r="Q81" s="50">
        <f t="shared" si="73"/>
        <v>0</v>
      </c>
      <c r="R81" s="7"/>
      <c r="S81" s="7"/>
      <c r="T81" s="7"/>
      <c r="U81" s="7"/>
      <c r="V81" s="7"/>
      <c r="W81" s="7"/>
      <c r="X81" s="7"/>
      <c r="Y81" s="7"/>
      <c r="Z81" s="7"/>
      <c r="AA81" s="7" t="str">
        <f t="shared" si="3"/>
        <v/>
      </c>
      <c r="AB81" s="7" t="str">
        <f t="shared" si="4"/>
        <v/>
      </c>
      <c r="AC81" s="7"/>
      <c r="AD81" s="7"/>
      <c r="AE81" s="51" t="s">
        <v>191</v>
      </c>
      <c r="AF81" s="7"/>
      <c r="AG81" s="7"/>
      <c r="AH81" s="7"/>
      <c r="AI81" s="7"/>
      <c r="AJ81" s="7"/>
    </row>
    <row r="82">
      <c r="A82" s="40"/>
      <c r="B82" s="14"/>
      <c r="C82" s="41"/>
      <c r="D82" s="102">
        <v>46027.0</v>
      </c>
      <c r="E82" s="54" t="s">
        <v>192</v>
      </c>
      <c r="F82" s="55" t="s">
        <v>193</v>
      </c>
      <c r="G82" s="55" t="s">
        <v>44</v>
      </c>
      <c r="H82" s="55" t="s">
        <v>187</v>
      </c>
      <c r="I82" s="55" t="s">
        <v>46</v>
      </c>
      <c r="J82" s="56"/>
      <c r="K82" s="62">
        <v>46.49</v>
      </c>
      <c r="L82" s="56"/>
      <c r="M82" s="62">
        <v>46.49</v>
      </c>
      <c r="N82" s="57" t="s">
        <v>33</v>
      </c>
      <c r="O82" s="71"/>
      <c r="P82" s="49" t="str">
        <f t="shared" ref="P82:Q82" si="74">IF(J82="","",J82-L82)</f>
        <v/>
      </c>
      <c r="Q82" s="50">
        <f t="shared" si="74"/>
        <v>0</v>
      </c>
      <c r="R82" s="7"/>
      <c r="S82" s="7"/>
      <c r="T82" s="7"/>
      <c r="U82" s="7"/>
      <c r="V82" s="7"/>
      <c r="W82" s="7"/>
      <c r="X82" s="7"/>
      <c r="Y82" s="7"/>
      <c r="Z82" s="7"/>
      <c r="AA82" s="7" t="str">
        <f t="shared" si="3"/>
        <v/>
      </c>
      <c r="AB82" s="7" t="str">
        <f t="shared" si="4"/>
        <v/>
      </c>
      <c r="AC82" s="7"/>
      <c r="AD82" s="7"/>
      <c r="AE82" s="51" t="s">
        <v>89</v>
      </c>
      <c r="AF82" s="7"/>
      <c r="AG82" s="7"/>
      <c r="AH82" s="7"/>
      <c r="AI82" s="7"/>
      <c r="AJ82" s="7"/>
    </row>
    <row r="83">
      <c r="A83" s="40"/>
      <c r="B83" s="14"/>
      <c r="C83" s="41"/>
      <c r="D83" s="103">
        <v>46027.0</v>
      </c>
      <c r="E83" s="43" t="s">
        <v>194</v>
      </c>
      <c r="F83" s="58" t="s">
        <v>81</v>
      </c>
      <c r="G83" s="58" t="s">
        <v>44</v>
      </c>
      <c r="H83" s="58" t="s">
        <v>187</v>
      </c>
      <c r="I83" s="58" t="s">
        <v>46</v>
      </c>
      <c r="J83" s="60"/>
      <c r="K83" s="64">
        <v>154.85</v>
      </c>
      <c r="L83" s="60"/>
      <c r="M83" s="64">
        <v>154.85</v>
      </c>
      <c r="N83" s="61" t="s">
        <v>33</v>
      </c>
      <c r="O83" s="48"/>
      <c r="P83" s="49" t="str">
        <f t="shared" ref="P83:Q83" si="75">IF(J83="","",J83-L83)</f>
        <v/>
      </c>
      <c r="Q83" s="50">
        <f t="shared" si="75"/>
        <v>0</v>
      </c>
      <c r="R83" s="7"/>
      <c r="S83" s="7"/>
      <c r="T83" s="7"/>
      <c r="U83" s="7"/>
      <c r="V83" s="7"/>
      <c r="W83" s="7"/>
      <c r="X83" s="7"/>
      <c r="Y83" s="7"/>
      <c r="Z83" s="7"/>
      <c r="AA83" s="7" t="str">
        <f t="shared" si="3"/>
        <v/>
      </c>
      <c r="AB83" s="7" t="str">
        <f t="shared" si="4"/>
        <v/>
      </c>
      <c r="AC83" s="7"/>
      <c r="AD83" s="7"/>
      <c r="AE83" s="51" t="s">
        <v>94</v>
      </c>
      <c r="AF83" s="7"/>
      <c r="AG83" s="7"/>
      <c r="AH83" s="7"/>
      <c r="AI83" s="7"/>
      <c r="AJ83" s="7"/>
    </row>
    <row r="84">
      <c r="A84" s="40"/>
      <c r="B84" s="14"/>
      <c r="C84" s="41"/>
      <c r="D84" s="102">
        <v>46027.0</v>
      </c>
      <c r="E84" s="54" t="s">
        <v>195</v>
      </c>
      <c r="F84" s="55" t="s">
        <v>190</v>
      </c>
      <c r="G84" s="55" t="s">
        <v>44</v>
      </c>
      <c r="H84" s="55" t="s">
        <v>187</v>
      </c>
      <c r="I84" s="55" t="s">
        <v>46</v>
      </c>
      <c r="J84" s="56"/>
      <c r="K84" s="62">
        <v>61.99</v>
      </c>
      <c r="L84" s="56"/>
      <c r="M84" s="62">
        <v>61.99</v>
      </c>
      <c r="N84" s="57" t="s">
        <v>33</v>
      </c>
      <c r="O84" s="48"/>
      <c r="P84" s="49" t="str">
        <f t="shared" ref="P84:Q84" si="76">IF(J84="","",J84-L84)</f>
        <v/>
      </c>
      <c r="Q84" s="50">
        <f t="shared" si="76"/>
        <v>0</v>
      </c>
      <c r="R84" s="7"/>
      <c r="S84" s="7"/>
      <c r="T84" s="7"/>
      <c r="U84" s="7"/>
      <c r="V84" s="7"/>
      <c r="W84" s="7"/>
      <c r="X84" s="7"/>
      <c r="Y84" s="7"/>
      <c r="Z84" s="7"/>
      <c r="AA84" s="7" t="str">
        <f t="shared" si="3"/>
        <v/>
      </c>
      <c r="AB84" s="7" t="str">
        <f t="shared" si="4"/>
        <v/>
      </c>
      <c r="AC84" s="7"/>
      <c r="AD84" s="7"/>
      <c r="AE84" s="51" t="s">
        <v>73</v>
      </c>
      <c r="AF84" s="7"/>
      <c r="AG84" s="7"/>
      <c r="AH84" s="7"/>
      <c r="AI84" s="7"/>
      <c r="AJ84" s="7"/>
    </row>
    <row r="85">
      <c r="A85" s="40"/>
      <c r="B85" s="14"/>
      <c r="C85" s="41"/>
      <c r="D85" s="103">
        <v>46027.0</v>
      </c>
      <c r="E85" s="43" t="s">
        <v>196</v>
      </c>
      <c r="F85" s="58" t="s">
        <v>190</v>
      </c>
      <c r="G85" s="58" t="s">
        <v>44</v>
      </c>
      <c r="H85" s="58" t="s">
        <v>187</v>
      </c>
      <c r="I85" s="58" t="s">
        <v>46</v>
      </c>
      <c r="J85" s="60"/>
      <c r="K85" s="64">
        <v>70.7</v>
      </c>
      <c r="L85" s="60"/>
      <c r="M85" s="64">
        <v>70.7</v>
      </c>
      <c r="N85" s="61" t="s">
        <v>33</v>
      </c>
      <c r="O85" s="48"/>
      <c r="P85" s="49" t="str">
        <f t="shared" ref="P85:Q85" si="77">IF(J85="","",J85-L85)</f>
        <v/>
      </c>
      <c r="Q85" s="50">
        <f t="shared" si="77"/>
        <v>0</v>
      </c>
      <c r="R85" s="7"/>
      <c r="S85" s="7"/>
      <c r="T85" s="7"/>
      <c r="U85" s="7"/>
      <c r="V85" s="7"/>
      <c r="W85" s="7"/>
      <c r="X85" s="7"/>
      <c r="Y85" s="7"/>
      <c r="Z85" s="7"/>
      <c r="AA85" s="7" t="str">
        <f t="shared" si="3"/>
        <v/>
      </c>
      <c r="AB85" s="7" t="str">
        <f t="shared" si="4"/>
        <v/>
      </c>
      <c r="AC85" s="7"/>
      <c r="AD85" s="7"/>
      <c r="AE85" s="51" t="s">
        <v>197</v>
      </c>
      <c r="AF85" s="7"/>
      <c r="AG85" s="7"/>
      <c r="AH85" s="7"/>
      <c r="AI85" s="7"/>
      <c r="AJ85" s="7"/>
    </row>
    <row r="86">
      <c r="A86" s="40"/>
      <c r="B86" s="14"/>
      <c r="C86" s="41"/>
      <c r="D86" s="102">
        <v>46027.0</v>
      </c>
      <c r="E86" s="54" t="s">
        <v>198</v>
      </c>
      <c r="F86" s="55" t="s">
        <v>81</v>
      </c>
      <c r="G86" s="55" t="s">
        <v>44</v>
      </c>
      <c r="H86" s="55" t="s">
        <v>187</v>
      </c>
      <c r="I86" s="55" t="s">
        <v>199</v>
      </c>
      <c r="J86" s="56"/>
      <c r="K86" s="62">
        <v>90.36</v>
      </c>
      <c r="L86" s="56"/>
      <c r="M86" s="62">
        <v>90.36</v>
      </c>
      <c r="N86" s="57" t="s">
        <v>33</v>
      </c>
      <c r="O86" s="48"/>
      <c r="P86" s="49" t="str">
        <f t="shared" ref="P86:Q86" si="78">IF(J86="","",J86-L86)</f>
        <v/>
      </c>
      <c r="Q86" s="50">
        <f t="shared" si="78"/>
        <v>0</v>
      </c>
      <c r="R86" s="7"/>
      <c r="S86" s="7"/>
      <c r="T86" s="7"/>
      <c r="U86" s="7"/>
      <c r="V86" s="7"/>
      <c r="W86" s="7"/>
      <c r="X86" s="7"/>
      <c r="Y86" s="7"/>
      <c r="Z86" s="7"/>
      <c r="AA86" s="7" t="str">
        <f t="shared" si="3"/>
        <v/>
      </c>
      <c r="AB86" s="7" t="str">
        <f t="shared" si="4"/>
        <v/>
      </c>
      <c r="AC86" s="7"/>
      <c r="AD86" s="7"/>
      <c r="AE86" s="51" t="s">
        <v>200</v>
      </c>
      <c r="AF86" s="7"/>
      <c r="AG86" s="7"/>
      <c r="AH86" s="7"/>
      <c r="AI86" s="7"/>
      <c r="AJ86" s="7"/>
    </row>
    <row r="87">
      <c r="A87" s="40"/>
      <c r="B87" s="14"/>
      <c r="C87" s="41"/>
      <c r="D87" s="103">
        <v>46027.0</v>
      </c>
      <c r="E87" s="43" t="s">
        <v>197</v>
      </c>
      <c r="F87" s="58" t="s">
        <v>201</v>
      </c>
      <c r="G87" s="58" t="s">
        <v>44</v>
      </c>
      <c r="H87" s="58" t="s">
        <v>202</v>
      </c>
      <c r="I87" s="58" t="s">
        <v>188</v>
      </c>
      <c r="J87" s="60"/>
      <c r="K87" s="64">
        <v>73.96</v>
      </c>
      <c r="L87" s="60"/>
      <c r="M87" s="64">
        <v>73.96</v>
      </c>
      <c r="N87" s="61" t="s">
        <v>33</v>
      </c>
      <c r="O87" s="48"/>
      <c r="P87" s="49" t="str">
        <f t="shared" ref="P87:Q87" si="79">IF(J87="","",J87-L87)</f>
        <v/>
      </c>
      <c r="Q87" s="50">
        <f t="shared" si="79"/>
        <v>0</v>
      </c>
      <c r="R87" s="7"/>
      <c r="S87" s="7"/>
      <c r="T87" s="7"/>
      <c r="U87" s="7"/>
      <c r="V87" s="7"/>
      <c r="W87" s="7"/>
      <c r="X87" s="7"/>
      <c r="Y87" s="7"/>
      <c r="Z87" s="7"/>
      <c r="AA87" s="7" t="str">
        <f t="shared" si="3"/>
        <v/>
      </c>
      <c r="AB87" s="7" t="str">
        <f t="shared" si="4"/>
        <v/>
      </c>
      <c r="AC87" s="7"/>
      <c r="AD87" s="7"/>
      <c r="AE87" s="51" t="s">
        <v>203</v>
      </c>
      <c r="AF87" s="7"/>
      <c r="AG87" s="7"/>
      <c r="AH87" s="7"/>
      <c r="AI87" s="7"/>
      <c r="AJ87" s="7"/>
    </row>
    <row r="88">
      <c r="A88" s="40"/>
      <c r="B88" s="14"/>
      <c r="C88" s="41"/>
      <c r="D88" s="102">
        <v>46027.0</v>
      </c>
      <c r="E88" s="54" t="s">
        <v>204</v>
      </c>
      <c r="F88" s="55" t="s">
        <v>205</v>
      </c>
      <c r="G88" s="55" t="s">
        <v>44</v>
      </c>
      <c r="H88" s="55" t="s">
        <v>206</v>
      </c>
      <c r="I88" s="55" t="s">
        <v>46</v>
      </c>
      <c r="J88" s="56"/>
      <c r="K88" s="62">
        <v>202.28</v>
      </c>
      <c r="L88" s="56"/>
      <c r="M88" s="62">
        <v>202.28</v>
      </c>
      <c r="N88" s="57" t="s">
        <v>33</v>
      </c>
      <c r="O88" s="48"/>
      <c r="P88" s="49" t="str">
        <f t="shared" ref="P88:Q88" si="80">IF(J88="","",J88-L88)</f>
        <v/>
      </c>
      <c r="Q88" s="50">
        <f t="shared" si="80"/>
        <v>0</v>
      </c>
      <c r="R88" s="7"/>
      <c r="S88" s="7"/>
      <c r="T88" s="7"/>
      <c r="U88" s="7"/>
      <c r="V88" s="7"/>
      <c r="W88" s="7"/>
      <c r="X88" s="7"/>
      <c r="Y88" s="7"/>
      <c r="Z88" s="7"/>
      <c r="AA88" s="7" t="str">
        <f t="shared" si="3"/>
        <v/>
      </c>
      <c r="AB88" s="7" t="str">
        <f t="shared" si="4"/>
        <v/>
      </c>
      <c r="AC88" s="7"/>
      <c r="AD88" s="7"/>
      <c r="AE88" s="51" t="s">
        <v>207</v>
      </c>
      <c r="AF88" s="7"/>
      <c r="AG88" s="7"/>
      <c r="AH88" s="7"/>
      <c r="AI88" s="7"/>
      <c r="AJ88" s="7"/>
    </row>
    <row r="89">
      <c r="A89" s="40"/>
      <c r="B89" s="14"/>
      <c r="C89" s="41"/>
      <c r="D89" s="103">
        <v>46027.0</v>
      </c>
      <c r="E89" s="43" t="s">
        <v>208</v>
      </c>
      <c r="F89" s="58" t="s">
        <v>190</v>
      </c>
      <c r="G89" s="58" t="s">
        <v>44</v>
      </c>
      <c r="H89" s="58" t="s">
        <v>206</v>
      </c>
      <c r="I89" s="58" t="s">
        <v>46</v>
      </c>
      <c r="J89" s="60"/>
      <c r="K89" s="64">
        <v>185.0</v>
      </c>
      <c r="L89" s="60"/>
      <c r="M89" s="64">
        <v>185.0</v>
      </c>
      <c r="N89" s="61" t="s">
        <v>33</v>
      </c>
      <c r="O89" s="71"/>
      <c r="P89" s="49" t="str">
        <f t="shared" ref="P89:Q89" si="81">IF(J89="","",J89-L89)</f>
        <v/>
      </c>
      <c r="Q89" s="50">
        <f t="shared" si="81"/>
        <v>0</v>
      </c>
      <c r="R89" s="7"/>
      <c r="S89" s="7"/>
      <c r="T89" s="7"/>
      <c r="U89" s="7"/>
      <c r="V89" s="7"/>
      <c r="W89" s="7"/>
      <c r="X89" s="7"/>
      <c r="Y89" s="7"/>
      <c r="Z89" s="7"/>
      <c r="AA89" s="7" t="str">
        <f t="shared" si="3"/>
        <v/>
      </c>
      <c r="AB89" s="7" t="str">
        <f t="shared" si="4"/>
        <v/>
      </c>
      <c r="AC89" s="7"/>
      <c r="AD89" s="7"/>
      <c r="AE89" s="51" t="s">
        <v>209</v>
      </c>
      <c r="AF89" s="7"/>
      <c r="AG89" s="7"/>
      <c r="AH89" s="7"/>
      <c r="AI89" s="7"/>
      <c r="AJ89" s="7"/>
    </row>
    <row r="90">
      <c r="A90" s="40"/>
      <c r="B90" s="14"/>
      <c r="C90" s="41"/>
      <c r="D90" s="102">
        <v>46027.0</v>
      </c>
      <c r="E90" s="54" t="s">
        <v>167</v>
      </c>
      <c r="F90" s="55" t="s">
        <v>78</v>
      </c>
      <c r="G90" s="55" t="s">
        <v>44</v>
      </c>
      <c r="H90" s="55" t="s">
        <v>210</v>
      </c>
      <c r="I90" s="55" t="s">
        <v>99</v>
      </c>
      <c r="J90" s="56"/>
      <c r="K90" s="62">
        <v>99.6</v>
      </c>
      <c r="L90" s="56"/>
      <c r="M90" s="62">
        <v>99.6</v>
      </c>
      <c r="N90" s="57" t="s">
        <v>23</v>
      </c>
      <c r="O90" s="71"/>
      <c r="P90" s="49" t="str">
        <f t="shared" ref="P90:Q90" si="82">IF(J90="","",J90-L90)</f>
        <v/>
      </c>
      <c r="Q90" s="50">
        <f t="shared" si="82"/>
        <v>0</v>
      </c>
      <c r="R90" s="7"/>
      <c r="S90" s="7"/>
      <c r="T90" s="7"/>
      <c r="U90" s="7"/>
      <c r="V90" s="7"/>
      <c r="W90" s="7"/>
      <c r="X90" s="7"/>
      <c r="Y90" s="7"/>
      <c r="Z90" s="7"/>
      <c r="AA90" s="7" t="str">
        <f t="shared" si="3"/>
        <v/>
      </c>
      <c r="AB90" s="7" t="str">
        <f t="shared" si="4"/>
        <v/>
      </c>
      <c r="AC90" s="7"/>
      <c r="AD90" s="7"/>
      <c r="AE90" s="51" t="s">
        <v>182</v>
      </c>
      <c r="AF90" s="7"/>
      <c r="AG90" s="7"/>
      <c r="AH90" s="7"/>
      <c r="AI90" s="7"/>
      <c r="AJ90" s="7"/>
    </row>
    <row r="91">
      <c r="A91" s="40"/>
      <c r="B91" s="14"/>
      <c r="C91" s="41"/>
      <c r="D91" s="103">
        <v>46027.0</v>
      </c>
      <c r="E91" s="43" t="s">
        <v>211</v>
      </c>
      <c r="F91" s="58" t="s">
        <v>151</v>
      </c>
      <c r="G91" s="58" t="s">
        <v>44</v>
      </c>
      <c r="H91" s="58" t="s">
        <v>212</v>
      </c>
      <c r="I91" s="58" t="s">
        <v>213</v>
      </c>
      <c r="J91" s="60"/>
      <c r="K91" s="64">
        <v>37.0</v>
      </c>
      <c r="L91" s="60"/>
      <c r="M91" s="64">
        <v>37.0</v>
      </c>
      <c r="N91" s="61" t="s">
        <v>23</v>
      </c>
      <c r="O91" s="71"/>
      <c r="P91" s="49" t="str">
        <f t="shared" ref="P91:Q91" si="83">IF(J91="","",J91-L91)</f>
        <v/>
      </c>
      <c r="Q91" s="50">
        <f t="shared" si="83"/>
        <v>0</v>
      </c>
      <c r="R91" s="7"/>
      <c r="S91" s="7"/>
      <c r="T91" s="7"/>
      <c r="U91" s="7"/>
      <c r="V91" s="7"/>
      <c r="W91" s="7"/>
      <c r="X91" s="7"/>
      <c r="Y91" s="7"/>
      <c r="Z91" s="7"/>
      <c r="AA91" s="7" t="str">
        <f t="shared" si="3"/>
        <v/>
      </c>
      <c r="AB91" s="7" t="str">
        <f t="shared" si="4"/>
        <v/>
      </c>
      <c r="AC91" s="7"/>
      <c r="AD91" s="7"/>
      <c r="AE91" s="51" t="s">
        <v>214</v>
      </c>
      <c r="AF91" s="7"/>
      <c r="AG91" s="7"/>
      <c r="AH91" s="7"/>
      <c r="AI91" s="7"/>
      <c r="AJ91" s="7"/>
    </row>
    <row r="92">
      <c r="A92" s="40"/>
      <c r="B92" s="14"/>
      <c r="C92" s="41"/>
      <c r="D92" s="102">
        <v>46027.0</v>
      </c>
      <c r="E92" s="54" t="s">
        <v>215</v>
      </c>
      <c r="F92" s="87" t="s">
        <v>216</v>
      </c>
      <c r="G92" s="55" t="s">
        <v>91</v>
      </c>
      <c r="H92" s="55" t="s">
        <v>212</v>
      </c>
      <c r="I92" s="55" t="s">
        <v>213</v>
      </c>
      <c r="J92" s="81"/>
      <c r="K92" s="84">
        <v>7.9</v>
      </c>
      <c r="L92" s="81"/>
      <c r="M92" s="84">
        <v>7.9</v>
      </c>
      <c r="N92" s="57" t="s">
        <v>23</v>
      </c>
      <c r="O92" s="48"/>
      <c r="P92" s="49" t="str">
        <f t="shared" ref="P92:Q92" si="84">IF(J92="","",J92-L92)</f>
        <v/>
      </c>
      <c r="Q92" s="50">
        <f t="shared" si="84"/>
        <v>0</v>
      </c>
      <c r="R92" s="7"/>
      <c r="S92" s="7"/>
      <c r="T92" s="7"/>
      <c r="U92" s="7"/>
      <c r="V92" s="7"/>
      <c r="W92" s="7"/>
      <c r="X92" s="7"/>
      <c r="Y92" s="7"/>
      <c r="Z92" s="7"/>
      <c r="AA92" s="7" t="str">
        <f t="shared" si="3"/>
        <v/>
      </c>
      <c r="AB92" s="7" t="str">
        <f t="shared" si="4"/>
        <v/>
      </c>
      <c r="AC92" s="7"/>
      <c r="AD92" s="7"/>
      <c r="AE92" s="51" t="s">
        <v>217</v>
      </c>
      <c r="AF92" s="7"/>
      <c r="AG92" s="7"/>
      <c r="AH92" s="7"/>
      <c r="AI92" s="7"/>
      <c r="AJ92" s="7"/>
    </row>
    <row r="93">
      <c r="A93" s="40"/>
      <c r="B93" s="14"/>
      <c r="C93" s="41"/>
      <c r="D93" s="103">
        <v>46027.0</v>
      </c>
      <c r="E93" s="75" t="s">
        <v>218</v>
      </c>
      <c r="F93" s="104" t="s">
        <v>216</v>
      </c>
      <c r="G93" s="58" t="s">
        <v>91</v>
      </c>
      <c r="H93" s="58" t="s">
        <v>212</v>
      </c>
      <c r="I93" s="58" t="s">
        <v>213</v>
      </c>
      <c r="J93" s="76"/>
      <c r="K93" s="77">
        <v>7.78</v>
      </c>
      <c r="L93" s="76"/>
      <c r="M93" s="77">
        <v>7.78</v>
      </c>
      <c r="N93" s="61" t="s">
        <v>23</v>
      </c>
      <c r="O93" s="71"/>
      <c r="P93" s="49" t="str">
        <f t="shared" ref="P93:Q93" si="85">IF(J93="","",J93-L93)</f>
        <v/>
      </c>
      <c r="Q93" s="50">
        <f t="shared" si="85"/>
        <v>0</v>
      </c>
      <c r="R93" s="7"/>
      <c r="S93" s="7"/>
      <c r="T93" s="7"/>
      <c r="U93" s="7"/>
      <c r="V93" s="7"/>
      <c r="W93" s="7"/>
      <c r="X93" s="7"/>
      <c r="Y93" s="7"/>
      <c r="Z93" s="7"/>
      <c r="AA93" s="7" t="str">
        <f t="shared" si="3"/>
        <v/>
      </c>
      <c r="AB93" s="7" t="str">
        <f t="shared" si="4"/>
        <v/>
      </c>
      <c r="AC93" s="7"/>
      <c r="AD93" s="7"/>
      <c r="AE93" s="51" t="s">
        <v>219</v>
      </c>
      <c r="AF93" s="7"/>
      <c r="AG93" s="7"/>
      <c r="AH93" s="7"/>
      <c r="AI93" s="7"/>
      <c r="AJ93" s="7"/>
    </row>
    <row r="94">
      <c r="A94" s="105"/>
      <c r="B94" s="14"/>
      <c r="C94" s="41"/>
      <c r="D94" s="102">
        <v>46027.0</v>
      </c>
      <c r="E94" s="106" t="s">
        <v>220</v>
      </c>
      <c r="F94" s="87" t="s">
        <v>74</v>
      </c>
      <c r="G94" s="55" t="s">
        <v>44</v>
      </c>
      <c r="H94" s="55" t="s">
        <v>212</v>
      </c>
      <c r="I94" s="55" t="s">
        <v>213</v>
      </c>
      <c r="J94" s="81"/>
      <c r="K94" s="84">
        <v>8.98</v>
      </c>
      <c r="L94" s="81"/>
      <c r="M94" s="84">
        <v>8.98</v>
      </c>
      <c r="N94" s="57" t="s">
        <v>23</v>
      </c>
      <c r="O94" s="48"/>
      <c r="P94" s="49" t="str">
        <f t="shared" ref="P94:Q94" si="86">IF(J94="","",J94-L94)</f>
        <v/>
      </c>
      <c r="Q94" s="50">
        <f t="shared" si="86"/>
        <v>0</v>
      </c>
      <c r="R94" s="7"/>
      <c r="S94" s="7"/>
      <c r="T94" s="7"/>
      <c r="U94" s="7"/>
      <c r="V94" s="7"/>
      <c r="W94" s="7"/>
      <c r="X94" s="7"/>
      <c r="Y94" s="7"/>
      <c r="Z94" s="7"/>
      <c r="AA94" s="7" t="str">
        <f t="shared" si="3"/>
        <v/>
      </c>
      <c r="AB94" s="7" t="str">
        <f t="shared" si="4"/>
        <v/>
      </c>
      <c r="AC94" s="7"/>
      <c r="AD94" s="7"/>
      <c r="AE94" s="51" t="s">
        <v>221</v>
      </c>
      <c r="AF94" s="7"/>
      <c r="AG94" s="7"/>
      <c r="AH94" s="7"/>
      <c r="AI94" s="7"/>
      <c r="AJ94" s="7"/>
    </row>
    <row r="95">
      <c r="A95" s="40"/>
      <c r="B95" s="14"/>
      <c r="C95" s="41"/>
      <c r="D95" s="103">
        <v>46027.0</v>
      </c>
      <c r="E95" s="75" t="s">
        <v>222</v>
      </c>
      <c r="F95" s="104" t="s">
        <v>90</v>
      </c>
      <c r="G95" s="58" t="s">
        <v>91</v>
      </c>
      <c r="H95" s="58" t="s">
        <v>212</v>
      </c>
      <c r="I95" s="58" t="s">
        <v>213</v>
      </c>
      <c r="J95" s="76"/>
      <c r="K95" s="77">
        <v>3.6</v>
      </c>
      <c r="L95" s="76"/>
      <c r="M95" s="77">
        <v>3.6</v>
      </c>
      <c r="N95" s="61" t="s">
        <v>23</v>
      </c>
      <c r="O95" s="71"/>
      <c r="P95" s="49" t="str">
        <f t="shared" ref="P95:Q95" si="87">IF(J95="","",J95-L95)</f>
        <v/>
      </c>
      <c r="Q95" s="50">
        <f t="shared" si="87"/>
        <v>0</v>
      </c>
      <c r="R95" s="7"/>
      <c r="S95" s="7"/>
      <c r="T95" s="7"/>
      <c r="U95" s="7"/>
      <c r="V95" s="7"/>
      <c r="W95" s="7"/>
      <c r="X95" s="7"/>
      <c r="Y95" s="7"/>
      <c r="Z95" s="7"/>
      <c r="AA95" s="7" t="str">
        <f t="shared" si="3"/>
        <v/>
      </c>
      <c r="AB95" s="7" t="str">
        <f t="shared" si="4"/>
        <v/>
      </c>
      <c r="AC95" s="7"/>
      <c r="AD95" s="7"/>
      <c r="AE95" s="51" t="s">
        <v>223</v>
      </c>
      <c r="AF95" s="7"/>
      <c r="AG95" s="7"/>
      <c r="AH95" s="7"/>
      <c r="AI95" s="7"/>
      <c r="AJ95" s="7"/>
    </row>
    <row r="96">
      <c r="A96" s="40"/>
      <c r="B96" s="14"/>
      <c r="C96" s="41"/>
      <c r="D96" s="102">
        <v>46027.0</v>
      </c>
      <c r="E96" s="106" t="s">
        <v>224</v>
      </c>
      <c r="F96" s="87" t="s">
        <v>225</v>
      </c>
      <c r="G96" s="55" t="s">
        <v>91</v>
      </c>
      <c r="H96" s="55" t="s">
        <v>212</v>
      </c>
      <c r="I96" s="55" t="s">
        <v>213</v>
      </c>
      <c r="J96" s="81"/>
      <c r="K96" s="84">
        <v>25.35</v>
      </c>
      <c r="L96" s="81"/>
      <c r="M96" s="84">
        <v>25.35</v>
      </c>
      <c r="N96" s="57" t="s">
        <v>23</v>
      </c>
      <c r="O96" s="71"/>
      <c r="P96" s="49" t="str">
        <f t="shared" ref="P96:Q96" si="88">IF(J96="","",J96-L96)</f>
        <v/>
      </c>
      <c r="Q96" s="50">
        <f t="shared" si="88"/>
        <v>0</v>
      </c>
      <c r="R96" s="7"/>
      <c r="S96" s="7"/>
      <c r="T96" s="7"/>
      <c r="U96" s="7"/>
      <c r="V96" s="7"/>
      <c r="W96" s="7"/>
      <c r="X96" s="7"/>
      <c r="Y96" s="7"/>
      <c r="Z96" s="7"/>
      <c r="AA96" s="7" t="str">
        <f t="shared" si="3"/>
        <v/>
      </c>
      <c r="AB96" s="7" t="str">
        <f t="shared" si="4"/>
        <v/>
      </c>
      <c r="AC96" s="7"/>
      <c r="AD96" s="7"/>
      <c r="AE96" s="51" t="s">
        <v>101</v>
      </c>
      <c r="AF96" s="7"/>
      <c r="AG96" s="7"/>
      <c r="AH96" s="7"/>
      <c r="AI96" s="7"/>
      <c r="AJ96" s="7"/>
    </row>
    <row r="97">
      <c r="A97" s="40"/>
      <c r="B97" s="14"/>
      <c r="C97" s="41"/>
      <c r="D97" s="103">
        <v>46027.0</v>
      </c>
      <c r="E97" s="75" t="s">
        <v>226</v>
      </c>
      <c r="F97" s="104" t="s">
        <v>143</v>
      </c>
      <c r="G97" s="58" t="s">
        <v>91</v>
      </c>
      <c r="H97" s="58" t="s">
        <v>212</v>
      </c>
      <c r="I97" s="58" t="s">
        <v>213</v>
      </c>
      <c r="J97" s="76"/>
      <c r="K97" s="77">
        <v>14.4</v>
      </c>
      <c r="L97" s="76"/>
      <c r="M97" s="77">
        <v>14.4</v>
      </c>
      <c r="N97" s="61" t="s">
        <v>23</v>
      </c>
      <c r="O97" s="71"/>
      <c r="P97" s="49" t="str">
        <f t="shared" ref="P97:Q97" si="89">IF(J97="","",J97-L97)</f>
        <v/>
      </c>
      <c r="Q97" s="50">
        <f t="shared" si="89"/>
        <v>0</v>
      </c>
      <c r="R97" s="7"/>
      <c r="S97" s="7"/>
      <c r="T97" s="7"/>
      <c r="U97" s="7"/>
      <c r="V97" s="7"/>
      <c r="W97" s="7"/>
      <c r="X97" s="7"/>
      <c r="Y97" s="7"/>
      <c r="Z97" s="7"/>
      <c r="AA97" s="7" t="str">
        <f t="shared" si="3"/>
        <v/>
      </c>
      <c r="AB97" s="7" t="str">
        <f t="shared" si="4"/>
        <v/>
      </c>
      <c r="AC97" s="7"/>
      <c r="AD97" s="7"/>
      <c r="AE97" s="51" t="s">
        <v>227</v>
      </c>
      <c r="AF97" s="7"/>
      <c r="AG97" s="7"/>
      <c r="AH97" s="7"/>
      <c r="AI97" s="7"/>
      <c r="AJ97" s="7"/>
    </row>
    <row r="98">
      <c r="A98" s="40"/>
      <c r="B98" s="14"/>
      <c r="C98" s="41"/>
      <c r="D98" s="102">
        <v>46027.0</v>
      </c>
      <c r="E98" s="106" t="s">
        <v>228</v>
      </c>
      <c r="F98" s="87" t="s">
        <v>90</v>
      </c>
      <c r="G98" s="55" t="s">
        <v>91</v>
      </c>
      <c r="H98" s="55" t="s">
        <v>212</v>
      </c>
      <c r="I98" s="55" t="s">
        <v>213</v>
      </c>
      <c r="J98" s="81"/>
      <c r="K98" s="84">
        <v>3.6</v>
      </c>
      <c r="L98" s="81"/>
      <c r="M98" s="84">
        <v>3.6</v>
      </c>
      <c r="N98" s="57" t="s">
        <v>23</v>
      </c>
      <c r="O98" s="71"/>
      <c r="P98" s="49" t="str">
        <f t="shared" ref="P98:Q98" si="90">IF(J98="","",J98-L98)</f>
        <v/>
      </c>
      <c r="Q98" s="50">
        <f t="shared" si="90"/>
        <v>0</v>
      </c>
      <c r="R98" s="7"/>
      <c r="S98" s="7"/>
      <c r="T98" s="7"/>
      <c r="U98" s="7"/>
      <c r="V98" s="7"/>
      <c r="W98" s="7"/>
      <c r="X98" s="7"/>
      <c r="Y98" s="7"/>
      <c r="Z98" s="7"/>
      <c r="AA98" s="7" t="str">
        <f t="shared" si="3"/>
        <v/>
      </c>
      <c r="AB98" s="7" t="str">
        <f t="shared" si="4"/>
        <v/>
      </c>
      <c r="AC98" s="7"/>
      <c r="AD98" s="7"/>
      <c r="AE98" s="51" t="s">
        <v>229</v>
      </c>
      <c r="AF98" s="7"/>
      <c r="AG98" s="7"/>
      <c r="AH98" s="7"/>
      <c r="AI98" s="7"/>
      <c r="AJ98" s="7"/>
    </row>
    <row r="99">
      <c r="A99" s="40"/>
      <c r="B99" s="14"/>
      <c r="C99" s="41"/>
      <c r="D99" s="103">
        <v>46027.0</v>
      </c>
      <c r="E99" s="75" t="s">
        <v>230</v>
      </c>
      <c r="F99" s="104" t="s">
        <v>126</v>
      </c>
      <c r="G99" s="58" t="s">
        <v>91</v>
      </c>
      <c r="H99" s="58" t="s">
        <v>212</v>
      </c>
      <c r="I99" s="58" t="s">
        <v>213</v>
      </c>
      <c r="J99" s="76"/>
      <c r="K99" s="77">
        <v>46.0</v>
      </c>
      <c r="L99" s="76"/>
      <c r="M99" s="77">
        <v>46.0</v>
      </c>
      <c r="N99" s="61" t="s">
        <v>23</v>
      </c>
      <c r="O99" s="48"/>
      <c r="P99" s="49" t="str">
        <f t="shared" ref="P99:Q99" si="91">IF(J99="","",J99-L99)</f>
        <v/>
      </c>
      <c r="Q99" s="50">
        <f t="shared" si="91"/>
        <v>0</v>
      </c>
      <c r="R99" s="7"/>
      <c r="S99" s="7"/>
      <c r="T99" s="7"/>
      <c r="U99" s="7"/>
      <c r="V99" s="7"/>
      <c r="W99" s="7"/>
      <c r="X99" s="7"/>
      <c r="Y99" s="7"/>
      <c r="Z99" s="7"/>
      <c r="AA99" s="7" t="str">
        <f t="shared" si="3"/>
        <v/>
      </c>
      <c r="AB99" s="7" t="str">
        <f t="shared" si="4"/>
        <v/>
      </c>
      <c r="AC99" s="7"/>
      <c r="AD99" s="7"/>
      <c r="AE99" s="51" t="s">
        <v>104</v>
      </c>
      <c r="AF99" s="7"/>
      <c r="AG99" s="7"/>
      <c r="AH99" s="7"/>
      <c r="AI99" s="7"/>
      <c r="AJ99" s="7"/>
    </row>
    <row r="100">
      <c r="A100" s="107"/>
      <c r="B100" s="14"/>
      <c r="C100" s="41"/>
      <c r="D100" s="102">
        <v>46027.0</v>
      </c>
      <c r="E100" s="106" t="s">
        <v>231</v>
      </c>
      <c r="F100" s="87" t="s">
        <v>90</v>
      </c>
      <c r="G100" s="55" t="s">
        <v>91</v>
      </c>
      <c r="H100" s="55" t="s">
        <v>212</v>
      </c>
      <c r="I100" s="55" t="s">
        <v>213</v>
      </c>
      <c r="J100" s="81"/>
      <c r="K100" s="84">
        <v>12.8</v>
      </c>
      <c r="L100" s="81"/>
      <c r="M100" s="84">
        <v>12.8</v>
      </c>
      <c r="N100" s="57" t="s">
        <v>23</v>
      </c>
      <c r="O100" s="71"/>
      <c r="P100" s="49" t="str">
        <f t="shared" ref="P100:Q100" si="92">IF(J100="","",J100-L100)</f>
        <v/>
      </c>
      <c r="Q100" s="50">
        <f t="shared" si="92"/>
        <v>0</v>
      </c>
      <c r="R100" s="7"/>
      <c r="S100" s="7"/>
      <c r="T100" s="7"/>
      <c r="U100" s="7"/>
      <c r="V100" s="7"/>
      <c r="W100" s="7"/>
      <c r="X100" s="7"/>
      <c r="Y100" s="7"/>
      <c r="Z100" s="7"/>
      <c r="AA100" s="7" t="str">
        <f t="shared" si="3"/>
        <v/>
      </c>
      <c r="AB100" s="7" t="str">
        <f t="shared" si="4"/>
        <v/>
      </c>
      <c r="AC100" s="7"/>
      <c r="AD100" s="7"/>
      <c r="AE100" s="51" t="s">
        <v>232</v>
      </c>
      <c r="AF100" s="7"/>
      <c r="AG100" s="7"/>
      <c r="AH100" s="7"/>
      <c r="AI100" s="7"/>
      <c r="AJ100" s="7"/>
    </row>
    <row r="101">
      <c r="A101" s="40"/>
      <c r="B101" s="14"/>
      <c r="C101" s="41"/>
      <c r="D101" s="103">
        <v>46027.0</v>
      </c>
      <c r="E101" s="75" t="s">
        <v>233</v>
      </c>
      <c r="F101" s="104" t="s">
        <v>90</v>
      </c>
      <c r="G101" s="58" t="s">
        <v>91</v>
      </c>
      <c r="H101" s="58" t="s">
        <v>212</v>
      </c>
      <c r="I101" s="58" t="s">
        <v>213</v>
      </c>
      <c r="J101" s="76"/>
      <c r="K101" s="77">
        <v>12.8</v>
      </c>
      <c r="L101" s="76"/>
      <c r="M101" s="77">
        <v>12.8</v>
      </c>
      <c r="N101" s="61" t="s">
        <v>23</v>
      </c>
      <c r="O101" s="108"/>
      <c r="P101" s="109" t="str">
        <f t="shared" ref="P101:Q101" si="93">IF(J101="","",J101-L101)</f>
        <v/>
      </c>
      <c r="Q101" s="50">
        <f t="shared" si="93"/>
        <v>0</v>
      </c>
      <c r="R101" s="7"/>
      <c r="S101" s="7"/>
      <c r="T101" s="7"/>
      <c r="U101" s="7"/>
      <c r="V101" s="7"/>
      <c r="W101" s="7"/>
      <c r="X101" s="7"/>
      <c r="Y101" s="7"/>
      <c r="Z101" s="7"/>
      <c r="AA101" s="7" t="str">
        <f t="shared" si="3"/>
        <v/>
      </c>
      <c r="AB101" s="7" t="str">
        <f t="shared" si="4"/>
        <v/>
      </c>
      <c r="AC101" s="7"/>
      <c r="AD101" s="7"/>
      <c r="AE101" s="51" t="s">
        <v>234</v>
      </c>
      <c r="AF101" s="7"/>
      <c r="AG101" s="7"/>
      <c r="AH101" s="7"/>
      <c r="AI101" s="7"/>
      <c r="AJ101" s="7"/>
    </row>
    <row r="102">
      <c r="A102" s="40"/>
      <c r="B102" s="14"/>
      <c r="C102" s="41"/>
      <c r="D102" s="102">
        <v>46027.0</v>
      </c>
      <c r="E102" s="106" t="s">
        <v>227</v>
      </c>
      <c r="F102" s="87" t="s">
        <v>235</v>
      </c>
      <c r="G102" s="55" t="s">
        <v>44</v>
      </c>
      <c r="H102" s="55" t="s">
        <v>236</v>
      </c>
      <c r="I102" s="55" t="s">
        <v>237</v>
      </c>
      <c r="J102" s="81"/>
      <c r="K102" s="84">
        <v>100.44</v>
      </c>
      <c r="L102" s="81"/>
      <c r="M102" s="84">
        <v>100.44</v>
      </c>
      <c r="N102" s="57" t="s">
        <v>28</v>
      </c>
      <c r="O102" s="110"/>
      <c r="P102" s="109" t="str">
        <f t="shared" ref="P102:Q102" si="94">IF(J102="","",J102-L102)</f>
        <v/>
      </c>
      <c r="Q102" s="50">
        <f t="shared" si="94"/>
        <v>0</v>
      </c>
      <c r="R102" s="7"/>
      <c r="S102" s="7"/>
      <c r="T102" s="7"/>
      <c r="U102" s="7"/>
      <c r="V102" s="7"/>
      <c r="W102" s="7"/>
      <c r="X102" s="7"/>
      <c r="Y102" s="7"/>
      <c r="Z102" s="7"/>
      <c r="AA102" s="7" t="str">
        <f t="shared" si="3"/>
        <v/>
      </c>
      <c r="AB102" s="7" t="str">
        <f t="shared" si="4"/>
        <v/>
      </c>
      <c r="AC102" s="7"/>
      <c r="AD102" s="7"/>
      <c r="AE102" s="51" t="s">
        <v>238</v>
      </c>
      <c r="AF102" s="7"/>
      <c r="AG102" s="7"/>
      <c r="AH102" s="7"/>
      <c r="AI102" s="7"/>
      <c r="AJ102" s="7"/>
    </row>
    <row r="103">
      <c r="A103" s="40"/>
      <c r="B103" s="14"/>
      <c r="C103" s="41"/>
      <c r="D103" s="103">
        <v>46027.0</v>
      </c>
      <c r="E103" s="75" t="s">
        <v>239</v>
      </c>
      <c r="F103" s="44" t="s">
        <v>110</v>
      </c>
      <c r="G103" s="58" t="s">
        <v>91</v>
      </c>
      <c r="H103" s="58" t="s">
        <v>236</v>
      </c>
      <c r="I103" s="58" t="s">
        <v>237</v>
      </c>
      <c r="J103" s="76"/>
      <c r="K103" s="77">
        <v>47.5</v>
      </c>
      <c r="L103" s="76"/>
      <c r="M103" s="77">
        <v>47.5</v>
      </c>
      <c r="N103" s="61" t="s">
        <v>28</v>
      </c>
      <c r="O103" s="71"/>
      <c r="P103" s="49" t="str">
        <f t="shared" ref="P103:Q103" si="95">IF(J103="","",J103-L103)</f>
        <v/>
      </c>
      <c r="Q103" s="50">
        <f t="shared" si="95"/>
        <v>0</v>
      </c>
      <c r="R103" s="7"/>
      <c r="S103" s="7"/>
      <c r="T103" s="7"/>
      <c r="U103" s="7"/>
      <c r="V103" s="7"/>
      <c r="W103" s="7"/>
      <c r="X103" s="7"/>
      <c r="Y103" s="7"/>
      <c r="Z103" s="7"/>
      <c r="AA103" s="7" t="str">
        <f t="shared" si="3"/>
        <v/>
      </c>
      <c r="AB103" s="7" t="str">
        <f t="shared" si="4"/>
        <v/>
      </c>
      <c r="AC103" s="7"/>
      <c r="AD103" s="7"/>
      <c r="AE103" s="51" t="s">
        <v>240</v>
      </c>
      <c r="AF103" s="7"/>
      <c r="AG103" s="7"/>
      <c r="AH103" s="7"/>
      <c r="AI103" s="7"/>
      <c r="AJ103" s="7"/>
    </row>
    <row r="104">
      <c r="A104" s="40"/>
      <c r="B104" s="14"/>
      <c r="C104" s="41"/>
      <c r="D104" s="102">
        <v>46027.0</v>
      </c>
      <c r="E104" s="106" t="s">
        <v>57</v>
      </c>
      <c r="F104" s="55" t="s">
        <v>126</v>
      </c>
      <c r="G104" s="55" t="s">
        <v>20</v>
      </c>
      <c r="H104" s="55" t="s">
        <v>236</v>
      </c>
      <c r="I104" s="55" t="s">
        <v>241</v>
      </c>
      <c r="J104" s="81"/>
      <c r="K104" s="84">
        <v>9.0</v>
      </c>
      <c r="L104" s="81"/>
      <c r="M104" s="84">
        <v>9.0</v>
      </c>
      <c r="N104" s="57" t="s">
        <v>28</v>
      </c>
      <c r="O104" s="48"/>
      <c r="P104" s="49" t="str">
        <f t="shared" ref="P104:Q104" si="96">IF(J104="","",J104-L104)</f>
        <v/>
      </c>
      <c r="Q104" s="50">
        <f t="shared" si="96"/>
        <v>0</v>
      </c>
      <c r="R104" s="7"/>
      <c r="S104" s="7"/>
      <c r="T104" s="7"/>
      <c r="U104" s="7"/>
      <c r="V104" s="7"/>
      <c r="W104" s="7"/>
      <c r="X104" s="7"/>
      <c r="Y104" s="7"/>
      <c r="Z104" s="7"/>
      <c r="AA104" s="7" t="str">
        <f t="shared" si="3"/>
        <v/>
      </c>
      <c r="AB104" s="7" t="str">
        <f t="shared" si="4"/>
        <v/>
      </c>
      <c r="AC104" s="7"/>
      <c r="AD104" s="7"/>
      <c r="AE104" s="51" t="s">
        <v>242</v>
      </c>
      <c r="AF104" s="7"/>
      <c r="AG104" s="7"/>
      <c r="AH104" s="7"/>
      <c r="AI104" s="7"/>
      <c r="AJ104" s="7"/>
    </row>
    <row r="105">
      <c r="A105" s="40"/>
      <c r="B105" s="14"/>
      <c r="C105" s="41"/>
      <c r="D105" s="103">
        <v>46027.0</v>
      </c>
      <c r="E105" s="75" t="s">
        <v>150</v>
      </c>
      <c r="F105" s="58" t="s">
        <v>243</v>
      </c>
      <c r="G105" s="58" t="s">
        <v>44</v>
      </c>
      <c r="H105" s="58" t="s">
        <v>244</v>
      </c>
      <c r="I105" s="58" t="s">
        <v>99</v>
      </c>
      <c r="J105" s="76"/>
      <c r="K105" s="77">
        <v>145.0</v>
      </c>
      <c r="L105" s="76"/>
      <c r="M105" s="77">
        <v>145.0</v>
      </c>
      <c r="N105" s="61" t="s">
        <v>23</v>
      </c>
      <c r="O105" s="71"/>
      <c r="P105" s="49" t="str">
        <f t="shared" ref="P105:Q105" si="97">IF(J105="","",J105-L105)</f>
        <v/>
      </c>
      <c r="Q105" s="50">
        <f t="shared" si="97"/>
        <v>0</v>
      </c>
      <c r="R105" s="7"/>
      <c r="S105" s="7"/>
      <c r="T105" s="7"/>
      <c r="U105" s="7"/>
      <c r="V105" s="7"/>
      <c r="W105" s="7"/>
      <c r="X105" s="7"/>
      <c r="Y105" s="7"/>
      <c r="Z105" s="7"/>
      <c r="AA105" s="7" t="str">
        <f t="shared" si="3"/>
        <v/>
      </c>
      <c r="AB105" s="7" t="str">
        <f t="shared" si="4"/>
        <v/>
      </c>
      <c r="AC105" s="7"/>
      <c r="AD105" s="7"/>
      <c r="AE105" s="51" t="s">
        <v>245</v>
      </c>
      <c r="AF105" s="7"/>
      <c r="AG105" s="7"/>
      <c r="AH105" s="7"/>
      <c r="AI105" s="7"/>
      <c r="AJ105" s="7"/>
    </row>
    <row r="106">
      <c r="A106" s="40"/>
      <c r="B106" s="14"/>
      <c r="C106" s="41"/>
      <c r="D106" s="102">
        <v>46027.0</v>
      </c>
      <c r="E106" s="106" t="s">
        <v>246</v>
      </c>
      <c r="F106" s="55" t="s">
        <v>247</v>
      </c>
      <c r="G106" s="55" t="s">
        <v>44</v>
      </c>
      <c r="H106" s="55" t="s">
        <v>244</v>
      </c>
      <c r="I106" s="55" t="s">
        <v>199</v>
      </c>
      <c r="J106" s="81"/>
      <c r="K106" s="84">
        <v>16.0</v>
      </c>
      <c r="L106" s="81"/>
      <c r="M106" s="84">
        <v>16.0</v>
      </c>
      <c r="N106" s="57" t="s">
        <v>23</v>
      </c>
      <c r="O106" s="71"/>
      <c r="P106" s="49" t="str">
        <f t="shared" ref="P106:Q106" si="98">IF(J106="","",J106-L106)</f>
        <v/>
      </c>
      <c r="Q106" s="50">
        <f t="shared" si="98"/>
        <v>0</v>
      </c>
      <c r="R106" s="7"/>
      <c r="S106" s="7"/>
      <c r="T106" s="7"/>
      <c r="U106" s="7"/>
      <c r="V106" s="7"/>
      <c r="W106" s="7"/>
      <c r="X106" s="7"/>
      <c r="Y106" s="7"/>
      <c r="Z106" s="7"/>
      <c r="AA106" s="7" t="str">
        <f t="shared" si="3"/>
        <v/>
      </c>
      <c r="AB106" s="7" t="str">
        <f t="shared" si="4"/>
        <v/>
      </c>
      <c r="AC106" s="7"/>
      <c r="AD106" s="7"/>
      <c r="AE106" s="51" t="s">
        <v>248</v>
      </c>
      <c r="AF106" s="7"/>
      <c r="AG106" s="7"/>
      <c r="AH106" s="7"/>
      <c r="AI106" s="7"/>
      <c r="AJ106" s="7"/>
    </row>
    <row r="107">
      <c r="A107" s="40"/>
      <c r="B107" s="14"/>
      <c r="C107" s="41"/>
      <c r="D107" s="103">
        <v>46027.0</v>
      </c>
      <c r="E107" s="83" t="s">
        <v>249</v>
      </c>
      <c r="F107" s="58" t="s">
        <v>247</v>
      </c>
      <c r="G107" s="58" t="s">
        <v>44</v>
      </c>
      <c r="H107" s="58" t="s">
        <v>244</v>
      </c>
      <c r="I107" s="58" t="s">
        <v>199</v>
      </c>
      <c r="J107" s="76"/>
      <c r="K107" s="77">
        <v>16.0</v>
      </c>
      <c r="L107" s="76"/>
      <c r="M107" s="77">
        <v>16.0</v>
      </c>
      <c r="N107" s="61" t="s">
        <v>23</v>
      </c>
      <c r="O107" s="71"/>
      <c r="P107" s="49" t="str">
        <f t="shared" ref="P107:Q107" si="99">IF(J107="","",J107-L107)</f>
        <v/>
      </c>
      <c r="Q107" s="50">
        <f t="shared" si="99"/>
        <v>0</v>
      </c>
      <c r="R107" s="7"/>
      <c r="S107" s="7"/>
      <c r="T107" s="7"/>
      <c r="U107" s="7"/>
      <c r="V107" s="7"/>
      <c r="W107" s="7"/>
      <c r="X107" s="7"/>
      <c r="Y107" s="7"/>
      <c r="Z107" s="7"/>
      <c r="AA107" s="7" t="str">
        <f t="shared" si="3"/>
        <v/>
      </c>
      <c r="AB107" s="7" t="str">
        <f t="shared" si="4"/>
        <v/>
      </c>
      <c r="AC107" s="7"/>
      <c r="AD107" s="7"/>
      <c r="AE107" s="51" t="s">
        <v>250</v>
      </c>
      <c r="AF107" s="7"/>
      <c r="AG107" s="7"/>
      <c r="AH107" s="7"/>
      <c r="AI107" s="7"/>
      <c r="AJ107" s="7"/>
    </row>
    <row r="108">
      <c r="A108" s="40"/>
      <c r="B108" s="14"/>
      <c r="C108" s="41"/>
      <c r="D108" s="102">
        <v>46027.0</v>
      </c>
      <c r="E108" s="80" t="s">
        <v>152</v>
      </c>
      <c r="F108" s="55" t="s">
        <v>247</v>
      </c>
      <c r="G108" s="55" t="s">
        <v>44</v>
      </c>
      <c r="H108" s="55" t="s">
        <v>244</v>
      </c>
      <c r="I108" s="55" t="s">
        <v>99</v>
      </c>
      <c r="J108" s="81"/>
      <c r="K108" s="84">
        <v>10.0</v>
      </c>
      <c r="L108" s="81"/>
      <c r="M108" s="84">
        <v>10.0</v>
      </c>
      <c r="N108" s="57" t="s">
        <v>23</v>
      </c>
      <c r="O108" s="71"/>
      <c r="P108" s="49" t="str">
        <f t="shared" ref="P108:Q108" si="100">IF(J108="","",J108-L108)</f>
        <v/>
      </c>
      <c r="Q108" s="50">
        <f t="shared" si="100"/>
        <v>0</v>
      </c>
      <c r="R108" s="7"/>
      <c r="S108" s="7"/>
      <c r="T108" s="7"/>
      <c r="U108" s="7"/>
      <c r="V108" s="7"/>
      <c r="W108" s="7"/>
      <c r="X108" s="7"/>
      <c r="Y108" s="7"/>
      <c r="Z108" s="7"/>
      <c r="AA108" s="7" t="str">
        <f t="shared" si="3"/>
        <v/>
      </c>
      <c r="AB108" s="7" t="str">
        <f t="shared" si="4"/>
        <v/>
      </c>
      <c r="AC108" s="7"/>
      <c r="AD108" s="7"/>
      <c r="AE108" s="51" t="s">
        <v>155</v>
      </c>
      <c r="AF108" s="7"/>
      <c r="AG108" s="7"/>
      <c r="AH108" s="7"/>
      <c r="AI108" s="7"/>
      <c r="AJ108" s="7"/>
    </row>
    <row r="109">
      <c r="A109" s="40"/>
      <c r="B109" s="14"/>
      <c r="C109" s="41"/>
      <c r="D109" s="103">
        <v>46027.0</v>
      </c>
      <c r="E109" s="83" t="s">
        <v>251</v>
      </c>
      <c r="F109" s="58" t="s">
        <v>252</v>
      </c>
      <c r="G109" s="58" t="s">
        <v>44</v>
      </c>
      <c r="H109" s="58" t="s">
        <v>253</v>
      </c>
      <c r="I109" s="58" t="s">
        <v>46</v>
      </c>
      <c r="J109" s="76"/>
      <c r="K109" s="77">
        <v>63.79</v>
      </c>
      <c r="L109" s="76"/>
      <c r="M109" s="77">
        <v>63.79</v>
      </c>
      <c r="N109" s="61" t="s">
        <v>23</v>
      </c>
      <c r="O109" s="48"/>
      <c r="P109" s="49" t="str">
        <f t="shared" ref="P109:Q109" si="101">IF(J109="","",J109-L109)</f>
        <v/>
      </c>
      <c r="Q109" s="68">
        <f t="shared" si="101"/>
        <v>0</v>
      </c>
      <c r="R109" s="7"/>
      <c r="S109" s="7"/>
      <c r="T109" s="7"/>
      <c r="U109" s="7"/>
      <c r="V109" s="7"/>
      <c r="W109" s="7"/>
      <c r="X109" s="7"/>
      <c r="Y109" s="7"/>
      <c r="Z109" s="7"/>
      <c r="AA109" s="7" t="str">
        <f t="shared" si="3"/>
        <v/>
      </c>
      <c r="AB109" s="7" t="str">
        <f t="shared" si="4"/>
        <v/>
      </c>
      <c r="AC109" s="7"/>
      <c r="AD109" s="7"/>
      <c r="AE109" s="51" t="s">
        <v>254</v>
      </c>
      <c r="AF109" s="7"/>
      <c r="AG109" s="7"/>
      <c r="AH109" s="7"/>
      <c r="AI109" s="7"/>
      <c r="AJ109" s="7"/>
    </row>
    <row r="110">
      <c r="A110" s="40"/>
      <c r="B110" s="14"/>
      <c r="C110" s="41"/>
      <c r="D110" s="102">
        <v>46027.0</v>
      </c>
      <c r="E110" s="80" t="s">
        <v>57</v>
      </c>
      <c r="F110" s="55" t="s">
        <v>20</v>
      </c>
      <c r="G110" s="55" t="s">
        <v>20</v>
      </c>
      <c r="H110" s="55" t="s">
        <v>253</v>
      </c>
      <c r="I110" s="55" t="s">
        <v>255</v>
      </c>
      <c r="J110" s="81"/>
      <c r="K110" s="84">
        <v>0.19</v>
      </c>
      <c r="L110" s="81"/>
      <c r="M110" s="84">
        <v>0.19</v>
      </c>
      <c r="N110" s="57" t="s">
        <v>23</v>
      </c>
      <c r="O110" s="48"/>
      <c r="P110" s="49" t="str">
        <f t="shared" ref="P110:Q110" si="102">IF(J110="","",J110-L110)</f>
        <v/>
      </c>
      <c r="Q110" s="50">
        <f t="shared" si="102"/>
        <v>0</v>
      </c>
      <c r="R110" s="7"/>
      <c r="S110" s="7"/>
      <c r="T110" s="7"/>
      <c r="U110" s="7"/>
      <c r="V110" s="7"/>
      <c r="W110" s="7"/>
      <c r="X110" s="7"/>
      <c r="Y110" s="7"/>
      <c r="Z110" s="7"/>
      <c r="AA110" s="7" t="str">
        <f t="shared" si="3"/>
        <v/>
      </c>
      <c r="AB110" s="7" t="str">
        <f t="shared" si="4"/>
        <v/>
      </c>
      <c r="AC110" s="7"/>
      <c r="AD110" s="7"/>
      <c r="AE110" s="51" t="s">
        <v>256</v>
      </c>
      <c r="AF110" s="7"/>
      <c r="AG110" s="7"/>
      <c r="AH110" s="7"/>
      <c r="AI110" s="7"/>
      <c r="AJ110" s="7"/>
    </row>
    <row r="111">
      <c r="A111" s="40"/>
      <c r="B111" s="14"/>
      <c r="C111" s="41"/>
      <c r="D111" s="103">
        <v>46027.0</v>
      </c>
      <c r="E111" s="83" t="s">
        <v>257</v>
      </c>
      <c r="F111" s="58" t="s">
        <v>258</v>
      </c>
      <c r="G111" s="58" t="s">
        <v>91</v>
      </c>
      <c r="H111" s="58" t="s">
        <v>259</v>
      </c>
      <c r="I111" s="58" t="s">
        <v>213</v>
      </c>
      <c r="J111" s="76"/>
      <c r="K111" s="77">
        <v>88.5</v>
      </c>
      <c r="L111" s="76"/>
      <c r="M111" s="77">
        <v>88.5</v>
      </c>
      <c r="N111" s="61" t="s">
        <v>33</v>
      </c>
      <c r="O111" s="71"/>
      <c r="P111" s="49" t="str">
        <f t="shared" ref="P111:Q111" si="103">IF(J111="","",J111-L111)</f>
        <v/>
      </c>
      <c r="Q111" s="68">
        <f t="shared" si="103"/>
        <v>0</v>
      </c>
      <c r="R111" s="7"/>
      <c r="S111" s="7"/>
      <c r="T111" s="7"/>
      <c r="U111" s="7"/>
      <c r="V111" s="7"/>
      <c r="W111" s="7"/>
      <c r="X111" s="7"/>
      <c r="Y111" s="7"/>
      <c r="Z111" s="7"/>
      <c r="AA111" s="7" t="str">
        <f t="shared" si="3"/>
        <v/>
      </c>
      <c r="AB111" s="7" t="str">
        <f t="shared" si="4"/>
        <v/>
      </c>
      <c r="AC111" s="7"/>
      <c r="AD111" s="7"/>
      <c r="AE111" s="51" t="s">
        <v>260</v>
      </c>
      <c r="AF111" s="7"/>
      <c r="AG111" s="7"/>
      <c r="AH111" s="7"/>
      <c r="AI111" s="7"/>
      <c r="AJ111" s="7"/>
    </row>
    <row r="112">
      <c r="A112" s="40"/>
      <c r="B112" s="14"/>
      <c r="C112" s="41"/>
      <c r="D112" s="102">
        <v>46027.0</v>
      </c>
      <c r="E112" s="80" t="s">
        <v>261</v>
      </c>
      <c r="F112" s="55" t="s">
        <v>126</v>
      </c>
      <c r="G112" s="55" t="s">
        <v>98</v>
      </c>
      <c r="H112" s="55" t="s">
        <v>259</v>
      </c>
      <c r="I112" s="55" t="s">
        <v>213</v>
      </c>
      <c r="J112" s="81"/>
      <c r="K112" s="84">
        <v>30.0</v>
      </c>
      <c r="L112" s="81"/>
      <c r="M112" s="84">
        <v>30.0</v>
      </c>
      <c r="N112" s="57" t="s">
        <v>33</v>
      </c>
      <c r="O112" s="48"/>
      <c r="P112" s="49" t="str">
        <f t="shared" ref="P112:Q112" si="104">IF(J112="","",J112-L112)</f>
        <v/>
      </c>
      <c r="Q112" s="50">
        <f t="shared" si="104"/>
        <v>0</v>
      </c>
      <c r="R112" s="7"/>
      <c r="S112" s="7"/>
      <c r="T112" s="7"/>
      <c r="U112" s="7"/>
      <c r="V112" s="7"/>
      <c r="W112" s="7"/>
      <c r="X112" s="7"/>
      <c r="Y112" s="7"/>
      <c r="Z112" s="7"/>
      <c r="AA112" s="7" t="str">
        <f t="shared" si="3"/>
        <v/>
      </c>
      <c r="AB112" s="7" t="str">
        <f t="shared" si="4"/>
        <v/>
      </c>
      <c r="AC112" s="7"/>
      <c r="AD112" s="7"/>
      <c r="AE112" s="51" t="s">
        <v>262</v>
      </c>
      <c r="AF112" s="7"/>
      <c r="AG112" s="7"/>
      <c r="AH112" s="7"/>
      <c r="AI112" s="7"/>
      <c r="AJ112" s="7"/>
    </row>
    <row r="113">
      <c r="A113" s="40"/>
      <c r="B113" s="14"/>
      <c r="C113" s="41"/>
      <c r="D113" s="103">
        <v>46027.0</v>
      </c>
      <c r="E113" s="83" t="s">
        <v>263</v>
      </c>
      <c r="F113" s="58" t="s">
        <v>123</v>
      </c>
      <c r="G113" s="58" t="s">
        <v>91</v>
      </c>
      <c r="H113" s="58" t="s">
        <v>259</v>
      </c>
      <c r="I113" s="58" t="s">
        <v>213</v>
      </c>
      <c r="J113" s="76"/>
      <c r="K113" s="77">
        <v>13.4</v>
      </c>
      <c r="L113" s="76"/>
      <c r="M113" s="77">
        <v>13.4</v>
      </c>
      <c r="N113" s="61" t="s">
        <v>33</v>
      </c>
      <c r="O113" s="71"/>
      <c r="P113" s="49" t="str">
        <f t="shared" ref="P113:Q113" si="105">IF(J113="","",J113-L113)</f>
        <v/>
      </c>
      <c r="Q113" s="68">
        <f t="shared" si="105"/>
        <v>0</v>
      </c>
      <c r="R113" s="7"/>
      <c r="S113" s="7"/>
      <c r="T113" s="7"/>
      <c r="U113" s="7"/>
      <c r="V113" s="7"/>
      <c r="W113" s="7"/>
      <c r="X113" s="7"/>
      <c r="Y113" s="7"/>
      <c r="Z113" s="7"/>
      <c r="AA113" s="7" t="str">
        <f t="shared" si="3"/>
        <v/>
      </c>
      <c r="AB113" s="7" t="str">
        <f t="shared" si="4"/>
        <v/>
      </c>
      <c r="AC113" s="7"/>
      <c r="AD113" s="7"/>
      <c r="AE113" s="51" t="s">
        <v>140</v>
      </c>
      <c r="AF113" s="7"/>
      <c r="AG113" s="7"/>
      <c r="AH113" s="7"/>
      <c r="AI113" s="7"/>
      <c r="AJ113" s="7"/>
    </row>
    <row r="114">
      <c r="A114" s="40"/>
      <c r="B114" s="14"/>
      <c r="C114" s="41"/>
      <c r="D114" s="102">
        <v>46027.0</v>
      </c>
      <c r="E114" s="80" t="s">
        <v>264</v>
      </c>
      <c r="F114" s="55" t="s">
        <v>151</v>
      </c>
      <c r="G114" s="55" t="s">
        <v>44</v>
      </c>
      <c r="H114" s="55" t="s">
        <v>259</v>
      </c>
      <c r="I114" s="55" t="s">
        <v>199</v>
      </c>
      <c r="J114" s="81"/>
      <c r="K114" s="84">
        <v>31.5</v>
      </c>
      <c r="L114" s="81"/>
      <c r="M114" s="84">
        <v>31.5</v>
      </c>
      <c r="N114" s="57" t="s">
        <v>33</v>
      </c>
      <c r="O114" s="71"/>
      <c r="P114" s="49" t="str">
        <f t="shared" ref="P114:Q114" si="106">IF(J114="","",J114-L114)</f>
        <v/>
      </c>
      <c r="Q114" s="50">
        <f t="shared" si="106"/>
        <v>0</v>
      </c>
      <c r="R114" s="7"/>
      <c r="S114" s="7"/>
      <c r="T114" s="7"/>
      <c r="U114" s="7"/>
      <c r="V114" s="7"/>
      <c r="W114" s="7"/>
      <c r="X114" s="7"/>
      <c r="Y114" s="7"/>
      <c r="Z114" s="7"/>
      <c r="AA114" s="7" t="str">
        <f t="shared" si="3"/>
        <v/>
      </c>
      <c r="AB114" s="7" t="str">
        <f t="shared" si="4"/>
        <v/>
      </c>
      <c r="AC114" s="7"/>
      <c r="AD114" s="7"/>
      <c r="AE114" s="67" t="s">
        <v>181</v>
      </c>
      <c r="AF114" s="7"/>
      <c r="AG114" s="7"/>
      <c r="AH114" s="7"/>
      <c r="AI114" s="7"/>
      <c r="AJ114" s="7"/>
    </row>
    <row r="115">
      <c r="A115" s="40"/>
      <c r="B115" s="14"/>
      <c r="C115" s="41"/>
      <c r="D115" s="103">
        <v>46027.0</v>
      </c>
      <c r="E115" s="83" t="s">
        <v>265</v>
      </c>
      <c r="F115" s="58" t="s">
        <v>266</v>
      </c>
      <c r="G115" s="58" t="s">
        <v>91</v>
      </c>
      <c r="H115" s="58" t="s">
        <v>259</v>
      </c>
      <c r="I115" s="58" t="s">
        <v>213</v>
      </c>
      <c r="J115" s="76"/>
      <c r="K115" s="77">
        <v>64.8</v>
      </c>
      <c r="L115" s="76"/>
      <c r="M115" s="77">
        <v>64.8</v>
      </c>
      <c r="N115" s="61" t="s">
        <v>33</v>
      </c>
      <c r="O115" s="71"/>
      <c r="P115" s="49" t="str">
        <f t="shared" ref="P115:Q115" si="107">IF(J115="","",J115-L115)</f>
        <v/>
      </c>
      <c r="Q115" s="50">
        <f t="shared" si="107"/>
        <v>0</v>
      </c>
      <c r="R115" s="7"/>
      <c r="S115" s="7"/>
      <c r="T115" s="7"/>
      <c r="U115" s="7"/>
      <c r="V115" s="7"/>
      <c r="W115" s="7"/>
      <c r="X115" s="7"/>
      <c r="Y115" s="7"/>
      <c r="Z115" s="7"/>
      <c r="AA115" s="7" t="str">
        <f t="shared" si="3"/>
        <v/>
      </c>
      <c r="AB115" s="7" t="str">
        <f t="shared" si="4"/>
        <v/>
      </c>
      <c r="AC115" s="7"/>
      <c r="AD115" s="7"/>
      <c r="AE115" s="51" t="s">
        <v>267</v>
      </c>
      <c r="AF115" s="7"/>
      <c r="AG115" s="7"/>
      <c r="AH115" s="7"/>
      <c r="AI115" s="7"/>
      <c r="AJ115" s="7"/>
    </row>
    <row r="116">
      <c r="A116" s="40"/>
      <c r="B116" s="14"/>
      <c r="C116" s="41"/>
      <c r="D116" s="102">
        <v>46027.0</v>
      </c>
      <c r="E116" s="80" t="s">
        <v>268</v>
      </c>
      <c r="F116" s="55" t="s">
        <v>90</v>
      </c>
      <c r="G116" s="55" t="s">
        <v>91</v>
      </c>
      <c r="H116" s="55" t="s">
        <v>259</v>
      </c>
      <c r="I116" s="55" t="s">
        <v>213</v>
      </c>
      <c r="J116" s="81"/>
      <c r="K116" s="84">
        <v>15.3</v>
      </c>
      <c r="L116" s="81"/>
      <c r="M116" s="84">
        <v>15.3</v>
      </c>
      <c r="N116" s="57" t="s">
        <v>33</v>
      </c>
      <c r="O116" s="71"/>
      <c r="P116" s="49" t="str">
        <f t="shared" ref="P116:Q116" si="108">IF(J116="","",J116-L116)</f>
        <v/>
      </c>
      <c r="Q116" s="50">
        <f t="shared" si="108"/>
        <v>0</v>
      </c>
      <c r="R116" s="7"/>
      <c r="S116" s="7"/>
      <c r="T116" s="7"/>
      <c r="U116" s="7"/>
      <c r="V116" s="7"/>
      <c r="W116" s="7"/>
      <c r="X116" s="7"/>
      <c r="Y116" s="7"/>
      <c r="Z116" s="7"/>
      <c r="AA116" s="7" t="str">
        <f t="shared" si="3"/>
        <v/>
      </c>
      <c r="AB116" s="7" t="str">
        <f t="shared" si="4"/>
        <v/>
      </c>
      <c r="AC116" s="7"/>
      <c r="AD116" s="7"/>
      <c r="AE116" s="51" t="s">
        <v>269</v>
      </c>
      <c r="AF116" s="7"/>
      <c r="AG116" s="7"/>
      <c r="AH116" s="7"/>
      <c r="AI116" s="7"/>
      <c r="AJ116" s="7"/>
    </row>
    <row r="117">
      <c r="A117" s="40"/>
      <c r="B117" s="14"/>
      <c r="C117" s="41"/>
      <c r="D117" s="103">
        <v>46027.0</v>
      </c>
      <c r="E117" s="83" t="s">
        <v>270</v>
      </c>
      <c r="F117" s="58" t="s">
        <v>123</v>
      </c>
      <c r="G117" s="58" t="s">
        <v>91</v>
      </c>
      <c r="H117" s="58" t="s">
        <v>259</v>
      </c>
      <c r="I117" s="58" t="s">
        <v>213</v>
      </c>
      <c r="J117" s="76"/>
      <c r="K117" s="77">
        <v>12.5</v>
      </c>
      <c r="L117" s="76"/>
      <c r="M117" s="77">
        <v>12.5</v>
      </c>
      <c r="N117" s="61" t="s">
        <v>33</v>
      </c>
      <c r="O117" s="71"/>
      <c r="P117" s="49" t="str">
        <f t="shared" ref="P117:Q117" si="109">IF(J117="","",J117-L117)</f>
        <v/>
      </c>
      <c r="Q117" s="50">
        <f t="shared" si="109"/>
        <v>0</v>
      </c>
      <c r="R117" s="7"/>
      <c r="S117" s="7"/>
      <c r="T117" s="7"/>
      <c r="U117" s="7"/>
      <c r="V117" s="7"/>
      <c r="W117" s="7"/>
      <c r="X117" s="7"/>
      <c r="Y117" s="7"/>
      <c r="Z117" s="7"/>
      <c r="AA117" s="7" t="str">
        <f t="shared" si="3"/>
        <v/>
      </c>
      <c r="AB117" s="7" t="str">
        <f t="shared" si="4"/>
        <v/>
      </c>
      <c r="AC117" s="7"/>
      <c r="AD117" s="7"/>
      <c r="AE117" s="51" t="s">
        <v>147</v>
      </c>
      <c r="AF117" s="7"/>
      <c r="AG117" s="7"/>
      <c r="AH117" s="7"/>
      <c r="AI117" s="7"/>
      <c r="AJ117" s="7"/>
    </row>
    <row r="118">
      <c r="A118" s="40"/>
      <c r="B118" s="14"/>
      <c r="C118" s="41"/>
      <c r="D118" s="102">
        <v>46027.0</v>
      </c>
      <c r="E118" s="80" t="s">
        <v>200</v>
      </c>
      <c r="F118" s="55" t="s">
        <v>271</v>
      </c>
      <c r="G118" s="55" t="s">
        <v>44</v>
      </c>
      <c r="H118" s="55" t="s">
        <v>259</v>
      </c>
      <c r="I118" s="55" t="s">
        <v>188</v>
      </c>
      <c r="J118" s="81"/>
      <c r="K118" s="84">
        <v>96.18</v>
      </c>
      <c r="L118" s="81"/>
      <c r="M118" s="84">
        <v>96.18</v>
      </c>
      <c r="N118" s="57" t="s">
        <v>33</v>
      </c>
      <c r="O118" s="48"/>
      <c r="P118" s="49" t="str">
        <f t="shared" ref="P118:Q118" si="110">IF(J118="","",J118-L118)</f>
        <v/>
      </c>
      <c r="Q118" s="50">
        <f t="shared" si="110"/>
        <v>0</v>
      </c>
      <c r="R118" s="7"/>
      <c r="S118" s="7"/>
      <c r="T118" s="7"/>
      <c r="U118" s="7"/>
      <c r="V118" s="7"/>
      <c r="W118" s="7"/>
      <c r="X118" s="7"/>
      <c r="Y118" s="7"/>
      <c r="Z118" s="7"/>
      <c r="AA118" s="7" t="str">
        <f t="shared" si="3"/>
        <v/>
      </c>
      <c r="AB118" s="7" t="str">
        <f t="shared" si="4"/>
        <v/>
      </c>
      <c r="AC118" s="7"/>
      <c r="AD118" s="7"/>
      <c r="AE118" s="51" t="s">
        <v>264</v>
      </c>
      <c r="AF118" s="7"/>
      <c r="AG118" s="7"/>
      <c r="AH118" s="7"/>
      <c r="AI118" s="7"/>
      <c r="AJ118" s="7"/>
    </row>
    <row r="119">
      <c r="A119" s="40"/>
      <c r="B119" s="14"/>
      <c r="C119" s="41"/>
      <c r="D119" s="111">
        <v>46028.0</v>
      </c>
      <c r="E119" s="43" t="s">
        <v>19</v>
      </c>
      <c r="F119" s="44" t="s">
        <v>20</v>
      </c>
      <c r="G119" s="44" t="s">
        <v>20</v>
      </c>
      <c r="H119" s="44" t="s">
        <v>21</v>
      </c>
      <c r="I119" s="44" t="s">
        <v>22</v>
      </c>
      <c r="J119" s="77">
        <v>520.0</v>
      </c>
      <c r="K119" s="77"/>
      <c r="L119" s="77">
        <v>2363.7</v>
      </c>
      <c r="M119" s="76"/>
      <c r="N119" s="47" t="s">
        <v>23</v>
      </c>
      <c r="O119" s="71"/>
      <c r="P119" s="49">
        <f t="shared" ref="P119:Q119" si="111">IF(J119="","",J119-L119)</f>
        <v>-1843.7</v>
      </c>
      <c r="Q119" s="50" t="str">
        <f t="shared" si="111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 t="str">
        <f t="shared" si="3"/>
        <v/>
      </c>
      <c r="AB119" s="7" t="str">
        <f t="shared" si="4"/>
        <v/>
      </c>
      <c r="AC119" s="7"/>
      <c r="AD119" s="7"/>
      <c r="AE119" s="51" t="s">
        <v>246</v>
      </c>
      <c r="AF119" s="7"/>
      <c r="AG119" s="7"/>
      <c r="AH119" s="7"/>
      <c r="AI119" s="7"/>
      <c r="AJ119" s="7"/>
    </row>
    <row r="120">
      <c r="A120" s="40"/>
      <c r="B120" s="14"/>
      <c r="C120" s="41"/>
      <c r="D120" s="112">
        <v>46028.0</v>
      </c>
      <c r="E120" s="54" t="s">
        <v>25</v>
      </c>
      <c r="F120" s="55" t="s">
        <v>20</v>
      </c>
      <c r="G120" s="55" t="s">
        <v>20</v>
      </c>
      <c r="H120" s="55" t="s">
        <v>26</v>
      </c>
      <c r="I120" s="55" t="s">
        <v>27</v>
      </c>
      <c r="J120" s="81"/>
      <c r="K120" s="81"/>
      <c r="L120" s="81"/>
      <c r="M120" s="81"/>
      <c r="N120" s="57" t="s">
        <v>28</v>
      </c>
      <c r="O120" s="71"/>
      <c r="P120" s="49" t="str">
        <f t="shared" ref="P120:Q120" si="112">IF(J120="","",J120-L120)</f>
        <v/>
      </c>
      <c r="Q120" s="50" t="str">
        <f t="shared" si="112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 t="str">
        <f t="shared" si="3"/>
        <v/>
      </c>
      <c r="AB120" s="7" t="str">
        <f t="shared" si="4"/>
        <v/>
      </c>
      <c r="AC120" s="7"/>
      <c r="AD120" s="7"/>
      <c r="AE120" s="51" t="s">
        <v>249</v>
      </c>
      <c r="AF120" s="7"/>
      <c r="AG120" s="7"/>
      <c r="AH120" s="7"/>
      <c r="AI120" s="7"/>
      <c r="AJ120" s="7"/>
    </row>
    <row r="121">
      <c r="A121" s="40"/>
      <c r="B121" s="14"/>
      <c r="C121" s="41"/>
      <c r="D121" s="111">
        <v>46028.0</v>
      </c>
      <c r="E121" s="43" t="s">
        <v>30</v>
      </c>
      <c r="F121" s="58" t="s">
        <v>20</v>
      </c>
      <c r="G121" s="58" t="s">
        <v>20</v>
      </c>
      <c r="H121" s="58" t="s">
        <v>31</v>
      </c>
      <c r="I121" s="59" t="s">
        <v>32</v>
      </c>
      <c r="J121" s="76"/>
      <c r="K121" s="76"/>
      <c r="L121" s="76"/>
      <c r="M121" s="76"/>
      <c r="N121" s="61" t="s">
        <v>33</v>
      </c>
      <c r="O121" s="71"/>
      <c r="P121" s="49" t="str">
        <f t="shared" ref="P121:Q121" si="113">IF(J121="","",J121-L121)</f>
        <v/>
      </c>
      <c r="Q121" s="50" t="str">
        <f t="shared" si="113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 t="str">
        <f t="shared" si="3"/>
        <v/>
      </c>
      <c r="AB121" s="7" t="str">
        <f t="shared" si="4"/>
        <v/>
      </c>
      <c r="AC121" s="7"/>
      <c r="AD121" s="7"/>
      <c r="AE121" s="52" t="s">
        <v>198</v>
      </c>
      <c r="AF121" s="7"/>
      <c r="AG121" s="7"/>
      <c r="AH121" s="7"/>
      <c r="AI121" s="7"/>
      <c r="AJ121" s="7"/>
    </row>
    <row r="122">
      <c r="A122" s="40"/>
      <c r="B122" s="14"/>
      <c r="C122" s="41"/>
      <c r="D122" s="112">
        <v>46028.0</v>
      </c>
      <c r="E122" s="54" t="s">
        <v>35</v>
      </c>
      <c r="F122" s="55" t="s">
        <v>20</v>
      </c>
      <c r="G122" s="55" t="s">
        <v>20</v>
      </c>
      <c r="H122" s="55" t="s">
        <v>36</v>
      </c>
      <c r="I122" s="55" t="s">
        <v>37</v>
      </c>
      <c r="J122" s="81"/>
      <c r="K122" s="81"/>
      <c r="L122" s="81"/>
      <c r="M122" s="81"/>
      <c r="N122" s="57" t="s">
        <v>38</v>
      </c>
      <c r="O122" s="71"/>
      <c r="P122" s="49" t="str">
        <f t="shared" ref="P122:Q122" si="114">IF(J122="","",J122-L122)</f>
        <v/>
      </c>
      <c r="Q122" s="50" t="str">
        <f t="shared" si="114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 t="str">
        <f t="shared" si="3"/>
        <v/>
      </c>
      <c r="AB122" s="7" t="str">
        <f t="shared" si="4"/>
        <v/>
      </c>
      <c r="AC122" s="7"/>
      <c r="AD122" s="7"/>
      <c r="AE122" s="51" t="s">
        <v>272</v>
      </c>
      <c r="AF122" s="7"/>
      <c r="AG122" s="7"/>
      <c r="AH122" s="7"/>
      <c r="AI122" s="7"/>
      <c r="AJ122" s="7"/>
    </row>
    <row r="123">
      <c r="A123" s="40"/>
      <c r="B123" s="14"/>
      <c r="C123" s="41"/>
      <c r="D123" s="111">
        <v>46028.0</v>
      </c>
      <c r="E123" s="43" t="s">
        <v>40</v>
      </c>
      <c r="F123" s="58" t="s">
        <v>20</v>
      </c>
      <c r="G123" s="58" t="s">
        <v>20</v>
      </c>
      <c r="H123" s="58" t="s">
        <v>36</v>
      </c>
      <c r="I123" s="58" t="s">
        <v>37</v>
      </c>
      <c r="J123" s="76"/>
      <c r="K123" s="76"/>
      <c r="L123" s="76"/>
      <c r="M123" s="76"/>
      <c r="N123" s="61" t="s">
        <v>41</v>
      </c>
      <c r="O123" s="48"/>
      <c r="P123" s="49" t="str">
        <f t="shared" ref="P123:Q123" si="115">IF(J123="","",J123-L123)</f>
        <v/>
      </c>
      <c r="Q123" s="50" t="str">
        <f t="shared" si="115"/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 t="str">
        <f t="shared" si="3"/>
        <v/>
      </c>
      <c r="AB123" s="7" t="str">
        <f t="shared" si="4"/>
        <v/>
      </c>
      <c r="AC123" s="7"/>
      <c r="AD123" s="7"/>
      <c r="AE123" s="51" t="s">
        <v>273</v>
      </c>
      <c r="AF123" s="7"/>
      <c r="AG123" s="7"/>
      <c r="AH123" s="7"/>
      <c r="AI123" s="7"/>
      <c r="AJ123" s="7"/>
    </row>
    <row r="124">
      <c r="A124" s="40"/>
      <c r="B124" s="14"/>
      <c r="C124" s="41"/>
      <c r="D124" s="112">
        <v>46028.0</v>
      </c>
      <c r="E124" s="80" t="s">
        <v>96</v>
      </c>
      <c r="F124" s="55" t="s">
        <v>97</v>
      </c>
      <c r="G124" s="55" t="s">
        <v>91</v>
      </c>
      <c r="H124" s="55" t="s">
        <v>274</v>
      </c>
      <c r="I124" s="55" t="s">
        <v>99</v>
      </c>
      <c r="J124" s="81"/>
      <c r="K124" s="84">
        <v>14.85</v>
      </c>
      <c r="L124" s="81"/>
      <c r="M124" s="84">
        <v>14.85</v>
      </c>
      <c r="N124" s="85" t="s">
        <v>38</v>
      </c>
      <c r="O124" s="71"/>
      <c r="P124" s="49" t="str">
        <f t="shared" ref="P124:Q124" si="116">IF(J124="","",J124-L124)</f>
        <v/>
      </c>
      <c r="Q124" s="50">
        <f t="shared" si="116"/>
        <v>0</v>
      </c>
      <c r="R124" s="7"/>
      <c r="S124" s="7"/>
      <c r="T124" s="7"/>
      <c r="U124" s="7"/>
      <c r="V124" s="7"/>
      <c r="W124" s="7"/>
      <c r="X124" s="7"/>
      <c r="Y124" s="7"/>
      <c r="Z124" s="7"/>
      <c r="AA124" s="7" t="str">
        <f t="shared" si="3"/>
        <v/>
      </c>
      <c r="AB124" s="7" t="str">
        <f t="shared" si="4"/>
        <v/>
      </c>
      <c r="AC124" s="7"/>
      <c r="AD124" s="7"/>
      <c r="AE124" s="51" t="s">
        <v>275</v>
      </c>
      <c r="AF124" s="7"/>
      <c r="AG124" s="7"/>
      <c r="AH124" s="7"/>
      <c r="AI124" s="7"/>
      <c r="AJ124" s="7"/>
    </row>
    <row r="125">
      <c r="A125" s="40"/>
      <c r="B125" s="14"/>
      <c r="C125" s="41"/>
      <c r="D125" s="111">
        <v>46028.0</v>
      </c>
      <c r="E125" s="83" t="s">
        <v>47</v>
      </c>
      <c r="F125" s="58" t="s">
        <v>276</v>
      </c>
      <c r="G125" s="58" t="s">
        <v>44</v>
      </c>
      <c r="H125" s="58" t="s">
        <v>45</v>
      </c>
      <c r="I125" s="58" t="s">
        <v>46</v>
      </c>
      <c r="J125" s="76"/>
      <c r="K125" s="77">
        <v>77.78</v>
      </c>
      <c r="L125" s="76"/>
      <c r="M125" s="77">
        <v>77.78</v>
      </c>
      <c r="N125" s="78" t="s">
        <v>28</v>
      </c>
      <c r="O125" s="48"/>
      <c r="P125" s="49" t="str">
        <f t="shared" ref="P125:Q125" si="117">IF(J125="","",J125-L125)</f>
        <v/>
      </c>
      <c r="Q125" s="50">
        <f t="shared" si="117"/>
        <v>0</v>
      </c>
      <c r="R125" s="7"/>
      <c r="S125" s="7"/>
      <c r="T125" s="7"/>
      <c r="U125" s="7"/>
      <c r="V125" s="7"/>
      <c r="W125" s="7"/>
      <c r="X125" s="7"/>
      <c r="Y125" s="7"/>
      <c r="Z125" s="7"/>
      <c r="AA125" s="7" t="str">
        <f t="shared" si="3"/>
        <v/>
      </c>
      <c r="AB125" s="7" t="str">
        <f t="shared" si="4"/>
        <v/>
      </c>
      <c r="AC125" s="7"/>
      <c r="AD125" s="7"/>
      <c r="AE125" s="51" t="s">
        <v>239</v>
      </c>
      <c r="AF125" s="7"/>
      <c r="AG125" s="7"/>
      <c r="AH125" s="7"/>
      <c r="AI125" s="7"/>
      <c r="AJ125" s="7"/>
    </row>
    <row r="126">
      <c r="A126" s="40"/>
      <c r="B126" s="14"/>
      <c r="C126" s="41"/>
      <c r="D126" s="112">
        <v>46028.0</v>
      </c>
      <c r="E126" s="80" t="s">
        <v>50</v>
      </c>
      <c r="F126" s="55" t="s">
        <v>277</v>
      </c>
      <c r="G126" s="55" t="s">
        <v>44</v>
      </c>
      <c r="H126" s="55" t="s">
        <v>45</v>
      </c>
      <c r="I126" s="55" t="s">
        <v>46</v>
      </c>
      <c r="J126" s="81"/>
      <c r="K126" s="84">
        <v>74.45</v>
      </c>
      <c r="L126" s="81"/>
      <c r="M126" s="84">
        <v>74.45</v>
      </c>
      <c r="N126" s="85" t="s">
        <v>28</v>
      </c>
      <c r="O126" s="48"/>
      <c r="P126" s="49"/>
      <c r="Q126" s="50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51"/>
      <c r="AF126" s="7"/>
      <c r="AG126" s="7"/>
      <c r="AH126" s="7"/>
      <c r="AI126" s="7"/>
      <c r="AJ126" s="7"/>
    </row>
    <row r="127">
      <c r="A127" s="40"/>
      <c r="B127" s="14"/>
      <c r="C127" s="41"/>
      <c r="D127" s="111">
        <v>46028.0</v>
      </c>
      <c r="E127" s="83" t="s">
        <v>50</v>
      </c>
      <c r="F127" s="58" t="s">
        <v>278</v>
      </c>
      <c r="G127" s="58" t="s">
        <v>44</v>
      </c>
      <c r="H127" s="58" t="s">
        <v>45</v>
      </c>
      <c r="I127" s="58" t="s">
        <v>46</v>
      </c>
      <c r="J127" s="76"/>
      <c r="K127" s="77">
        <v>16.93</v>
      </c>
      <c r="L127" s="76"/>
      <c r="M127" s="77">
        <v>16.93</v>
      </c>
      <c r="N127" s="78" t="s">
        <v>28</v>
      </c>
      <c r="O127" s="48"/>
      <c r="P127" s="49"/>
      <c r="Q127" s="50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51"/>
      <c r="AF127" s="7"/>
      <c r="AG127" s="7"/>
      <c r="AH127" s="7"/>
      <c r="AI127" s="7"/>
      <c r="AJ127" s="7"/>
    </row>
    <row r="128">
      <c r="A128" s="40"/>
      <c r="B128" s="14"/>
      <c r="C128" s="41"/>
      <c r="D128" s="112">
        <v>46028.0</v>
      </c>
      <c r="E128" s="80" t="s">
        <v>279</v>
      </c>
      <c r="F128" s="55" t="s">
        <v>280</v>
      </c>
      <c r="G128" s="55" t="s">
        <v>44</v>
      </c>
      <c r="H128" s="55" t="s">
        <v>45</v>
      </c>
      <c r="I128" s="55" t="s">
        <v>46</v>
      </c>
      <c r="J128" s="81"/>
      <c r="K128" s="84">
        <v>50.0</v>
      </c>
      <c r="L128" s="81"/>
      <c r="M128" s="84">
        <v>50.0</v>
      </c>
      <c r="N128" s="85" t="s">
        <v>28</v>
      </c>
      <c r="O128" s="48"/>
      <c r="P128" s="49"/>
      <c r="Q128" s="50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51"/>
      <c r="AF128" s="7"/>
      <c r="AG128" s="7"/>
      <c r="AH128" s="7"/>
      <c r="AI128" s="7"/>
      <c r="AJ128" s="7"/>
    </row>
    <row r="129">
      <c r="A129" s="40"/>
      <c r="B129" s="14"/>
      <c r="C129" s="41"/>
      <c r="D129" s="111">
        <v>46029.0</v>
      </c>
      <c r="E129" s="43" t="s">
        <v>19</v>
      </c>
      <c r="F129" s="44" t="s">
        <v>20</v>
      </c>
      <c r="G129" s="44" t="s">
        <v>20</v>
      </c>
      <c r="H129" s="44" t="s">
        <v>21</v>
      </c>
      <c r="I129" s="44" t="s">
        <v>22</v>
      </c>
      <c r="J129" s="77">
        <v>267.0</v>
      </c>
      <c r="K129" s="77"/>
      <c r="L129" s="77">
        <v>1944.0</v>
      </c>
      <c r="M129" s="76"/>
      <c r="N129" s="47" t="s">
        <v>23</v>
      </c>
      <c r="O129" s="48"/>
      <c r="P129" s="49"/>
      <c r="Q129" s="50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51"/>
      <c r="AF129" s="7"/>
      <c r="AG129" s="7"/>
      <c r="AH129" s="7"/>
      <c r="AI129" s="7"/>
      <c r="AJ129" s="7"/>
    </row>
    <row r="130">
      <c r="A130" s="40"/>
      <c r="B130" s="14"/>
      <c r="C130" s="41"/>
      <c r="D130" s="112">
        <v>46029.0</v>
      </c>
      <c r="E130" s="54" t="s">
        <v>25</v>
      </c>
      <c r="F130" s="55" t="s">
        <v>20</v>
      </c>
      <c r="G130" s="55" t="s">
        <v>20</v>
      </c>
      <c r="H130" s="55" t="s">
        <v>26</v>
      </c>
      <c r="I130" s="55" t="s">
        <v>27</v>
      </c>
      <c r="J130" s="81"/>
      <c r="K130" s="81"/>
      <c r="L130" s="81"/>
      <c r="M130" s="81"/>
      <c r="N130" s="57" t="s">
        <v>28</v>
      </c>
      <c r="O130" s="48"/>
      <c r="P130" s="49"/>
      <c r="Q130" s="50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51"/>
      <c r="AF130" s="7"/>
      <c r="AG130" s="7"/>
      <c r="AH130" s="7"/>
      <c r="AI130" s="7"/>
      <c r="AJ130" s="7"/>
    </row>
    <row r="131">
      <c r="A131" s="40"/>
      <c r="B131" s="14"/>
      <c r="C131" s="41"/>
      <c r="D131" s="111">
        <v>46029.0</v>
      </c>
      <c r="E131" s="43" t="s">
        <v>30</v>
      </c>
      <c r="F131" s="58" t="s">
        <v>20</v>
      </c>
      <c r="G131" s="58" t="s">
        <v>20</v>
      </c>
      <c r="H131" s="58" t="s">
        <v>31</v>
      </c>
      <c r="I131" s="59" t="s">
        <v>32</v>
      </c>
      <c r="J131" s="76"/>
      <c r="K131" s="76"/>
      <c r="L131" s="76"/>
      <c r="M131" s="76"/>
      <c r="N131" s="61" t="s">
        <v>33</v>
      </c>
      <c r="O131" s="48"/>
      <c r="P131" s="49"/>
      <c r="Q131" s="50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113" t="s">
        <v>281</v>
      </c>
      <c r="AF131" s="7"/>
      <c r="AG131" s="7"/>
      <c r="AH131" s="7"/>
      <c r="AI131" s="7"/>
      <c r="AJ131" s="7"/>
    </row>
    <row r="132">
      <c r="A132" s="40"/>
      <c r="B132" s="14"/>
      <c r="C132" s="41"/>
      <c r="D132" s="112">
        <v>46029.0</v>
      </c>
      <c r="E132" s="54" t="s">
        <v>35</v>
      </c>
      <c r="F132" s="55" t="s">
        <v>20</v>
      </c>
      <c r="G132" s="55" t="s">
        <v>20</v>
      </c>
      <c r="H132" s="55" t="s">
        <v>36</v>
      </c>
      <c r="I132" s="55" t="s">
        <v>37</v>
      </c>
      <c r="J132" s="81"/>
      <c r="K132" s="81"/>
      <c r="L132" s="81"/>
      <c r="M132" s="81"/>
      <c r="N132" s="57" t="s">
        <v>38</v>
      </c>
      <c r="O132" s="71"/>
      <c r="P132" s="49" t="str">
        <f t="shared" ref="P132:Q132" si="118">IF(J132="","",J132-L132)</f>
        <v/>
      </c>
      <c r="Q132" s="50" t="str">
        <f t="shared" si="118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 t="str">
        <f t="shared" ref="AA132:AA138" si="120">IF(K132=0,"",IF(AND(K132&gt;0,K132&gt;M132),K132-M132,""))</f>
        <v/>
      </c>
      <c r="AB132" s="7" t="str">
        <f t="shared" ref="AB132:AB138" si="121">IF(J132=0,"",IF(AND(J132&gt;0,J132&gt;L132),J132-L132,""))</f>
        <v/>
      </c>
      <c r="AC132" s="7"/>
      <c r="AD132" s="7"/>
      <c r="AE132" s="51" t="s">
        <v>282</v>
      </c>
      <c r="AF132" s="7"/>
      <c r="AG132" s="7"/>
      <c r="AH132" s="7"/>
      <c r="AI132" s="7"/>
      <c r="AJ132" s="7"/>
    </row>
    <row r="133">
      <c r="A133" s="40"/>
      <c r="B133" s="14"/>
      <c r="C133" s="41"/>
      <c r="D133" s="111">
        <v>46029.0</v>
      </c>
      <c r="E133" s="43" t="s">
        <v>40</v>
      </c>
      <c r="F133" s="58" t="s">
        <v>20</v>
      </c>
      <c r="G133" s="58" t="s">
        <v>20</v>
      </c>
      <c r="H133" s="58" t="s">
        <v>36</v>
      </c>
      <c r="I133" s="58" t="s">
        <v>37</v>
      </c>
      <c r="J133" s="76"/>
      <c r="K133" s="76"/>
      <c r="L133" s="76"/>
      <c r="M133" s="76"/>
      <c r="N133" s="61" t="s">
        <v>41</v>
      </c>
      <c r="O133" s="48"/>
      <c r="P133" s="49" t="str">
        <f t="shared" ref="P133:Q133" si="119">IF(J133="","",J133-L133)</f>
        <v/>
      </c>
      <c r="Q133" s="50" t="str">
        <f t="shared" si="119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 t="str">
        <f t="shared" si="120"/>
        <v/>
      </c>
      <c r="AB133" s="7" t="str">
        <f t="shared" si="121"/>
        <v/>
      </c>
      <c r="AC133" s="7"/>
      <c r="AD133" s="7"/>
      <c r="AE133" s="51" t="s">
        <v>185</v>
      </c>
      <c r="AF133" s="7"/>
      <c r="AG133" s="7"/>
      <c r="AH133" s="7"/>
      <c r="AI133" s="7"/>
      <c r="AJ133" s="7"/>
    </row>
    <row r="134">
      <c r="A134" s="40"/>
      <c r="B134" s="14"/>
      <c r="C134" s="41"/>
      <c r="D134" s="112">
        <v>46029.0</v>
      </c>
      <c r="E134" s="80" t="s">
        <v>96</v>
      </c>
      <c r="F134" s="55" t="s">
        <v>97</v>
      </c>
      <c r="G134" s="55" t="s">
        <v>91</v>
      </c>
      <c r="H134" s="55" t="s">
        <v>274</v>
      </c>
      <c r="I134" s="55" t="s">
        <v>99</v>
      </c>
      <c r="J134" s="81"/>
      <c r="K134" s="84">
        <v>15.0</v>
      </c>
      <c r="L134" s="81"/>
      <c r="M134" s="84">
        <v>15.0</v>
      </c>
      <c r="N134" s="85" t="s">
        <v>41</v>
      </c>
      <c r="O134" s="71"/>
      <c r="P134" s="49" t="str">
        <f t="shared" ref="P134:Q134" si="122">IF(J134="","",J134-L134)</f>
        <v/>
      </c>
      <c r="Q134" s="50">
        <f t="shared" si="122"/>
        <v>0</v>
      </c>
      <c r="R134" s="7"/>
      <c r="S134" s="7"/>
      <c r="T134" s="7"/>
      <c r="U134" s="7"/>
      <c r="V134" s="7"/>
      <c r="W134" s="7"/>
      <c r="X134" s="7"/>
      <c r="Y134" s="7"/>
      <c r="Z134" s="7"/>
      <c r="AA134" s="7" t="str">
        <f t="shared" si="120"/>
        <v/>
      </c>
      <c r="AB134" s="7" t="str">
        <f t="shared" si="121"/>
        <v/>
      </c>
      <c r="AC134" s="7"/>
      <c r="AD134" s="7"/>
      <c r="AE134" s="51" t="s">
        <v>184</v>
      </c>
      <c r="AF134" s="7"/>
      <c r="AG134" s="7"/>
      <c r="AH134" s="7"/>
      <c r="AI134" s="7"/>
      <c r="AJ134" s="7"/>
    </row>
    <row r="135">
      <c r="A135" s="40"/>
      <c r="B135" s="14"/>
      <c r="C135" s="41"/>
      <c r="D135" s="111">
        <v>46029.0</v>
      </c>
      <c r="E135" s="83" t="s">
        <v>219</v>
      </c>
      <c r="F135" s="58" t="s">
        <v>283</v>
      </c>
      <c r="G135" s="58" t="s">
        <v>91</v>
      </c>
      <c r="H135" s="58" t="s">
        <v>219</v>
      </c>
      <c r="I135" s="58" t="s">
        <v>99</v>
      </c>
      <c r="J135" s="76"/>
      <c r="K135" s="77">
        <v>81.0</v>
      </c>
      <c r="L135" s="76"/>
      <c r="M135" s="77">
        <v>81.0</v>
      </c>
      <c r="N135" s="78" t="s">
        <v>28</v>
      </c>
      <c r="O135" s="48"/>
      <c r="P135" s="49" t="str">
        <f t="shared" ref="P135:Q135" si="123">IF(J135="","",J135-L135)</f>
        <v/>
      </c>
      <c r="Q135" s="50">
        <f t="shared" si="123"/>
        <v>0</v>
      </c>
      <c r="R135" s="7"/>
      <c r="S135" s="7"/>
      <c r="T135" s="7"/>
      <c r="U135" s="7"/>
      <c r="V135" s="7"/>
      <c r="W135" s="7"/>
      <c r="X135" s="7"/>
      <c r="Y135" s="7"/>
      <c r="Z135" s="7"/>
      <c r="AA135" s="7" t="str">
        <f t="shared" si="120"/>
        <v/>
      </c>
      <c r="AB135" s="7" t="str">
        <f t="shared" si="121"/>
        <v/>
      </c>
      <c r="AC135" s="7"/>
      <c r="AD135" s="7"/>
      <c r="AE135" s="51" t="s">
        <v>284</v>
      </c>
      <c r="AF135" s="7"/>
      <c r="AG135" s="7"/>
      <c r="AH135" s="7"/>
      <c r="AI135" s="7"/>
      <c r="AJ135" s="7"/>
    </row>
    <row r="136">
      <c r="A136" s="40"/>
      <c r="B136" s="14"/>
      <c r="C136" s="41"/>
      <c r="D136" s="112">
        <v>46029.0</v>
      </c>
      <c r="E136" s="80" t="s">
        <v>50</v>
      </c>
      <c r="F136" s="55" t="s">
        <v>285</v>
      </c>
      <c r="G136" s="55" t="s">
        <v>44</v>
      </c>
      <c r="H136" s="55" t="s">
        <v>45</v>
      </c>
      <c r="I136" s="55" t="s">
        <v>46</v>
      </c>
      <c r="J136" s="81"/>
      <c r="K136" s="84">
        <v>74.68</v>
      </c>
      <c r="L136" s="81"/>
      <c r="M136" s="84">
        <v>74.68</v>
      </c>
      <c r="N136" s="85" t="s">
        <v>28</v>
      </c>
      <c r="O136" s="71"/>
      <c r="P136" s="49" t="str">
        <f t="shared" ref="P136:Q136" si="124">IF(J136="","",J136-L136)</f>
        <v/>
      </c>
      <c r="Q136" s="50">
        <f t="shared" si="124"/>
        <v>0</v>
      </c>
      <c r="R136" s="7"/>
      <c r="S136" s="7"/>
      <c r="T136" s="7"/>
      <c r="U136" s="7"/>
      <c r="V136" s="7"/>
      <c r="W136" s="7"/>
      <c r="X136" s="7"/>
      <c r="Y136" s="7"/>
      <c r="Z136" s="7"/>
      <c r="AA136" s="7" t="str">
        <f t="shared" si="120"/>
        <v/>
      </c>
      <c r="AB136" s="7" t="str">
        <f t="shared" si="121"/>
        <v/>
      </c>
      <c r="AC136" s="7"/>
      <c r="AD136" s="7"/>
      <c r="AE136" s="51" t="s">
        <v>286</v>
      </c>
      <c r="AF136" s="7"/>
      <c r="AG136" s="7"/>
      <c r="AH136" s="7"/>
      <c r="AI136" s="7"/>
      <c r="AJ136" s="7"/>
    </row>
    <row r="137">
      <c r="A137" s="40"/>
      <c r="B137" s="14"/>
      <c r="C137" s="41"/>
      <c r="D137" s="111">
        <v>46029.0</v>
      </c>
      <c r="E137" s="83" t="s">
        <v>50</v>
      </c>
      <c r="F137" s="58" t="s">
        <v>287</v>
      </c>
      <c r="G137" s="58" t="s">
        <v>44</v>
      </c>
      <c r="H137" s="58" t="s">
        <v>45</v>
      </c>
      <c r="I137" s="58" t="s">
        <v>46</v>
      </c>
      <c r="J137" s="76"/>
      <c r="K137" s="77">
        <v>18.03</v>
      </c>
      <c r="L137" s="76"/>
      <c r="M137" s="77">
        <v>18.03</v>
      </c>
      <c r="N137" s="78" t="s">
        <v>28</v>
      </c>
      <c r="O137" s="71"/>
      <c r="P137" s="49" t="str">
        <f t="shared" ref="P137:Q137" si="125">IF(J137="","",J137-L137)</f>
        <v/>
      </c>
      <c r="Q137" s="50">
        <f t="shared" si="125"/>
        <v>0</v>
      </c>
      <c r="R137" s="7"/>
      <c r="S137" s="7"/>
      <c r="T137" s="7"/>
      <c r="U137" s="7"/>
      <c r="V137" s="7"/>
      <c r="W137" s="7"/>
      <c r="X137" s="7"/>
      <c r="Y137" s="7"/>
      <c r="Z137" s="7"/>
      <c r="AA137" s="7" t="str">
        <f t="shared" si="120"/>
        <v/>
      </c>
      <c r="AB137" s="7" t="str">
        <f t="shared" si="121"/>
        <v/>
      </c>
      <c r="AC137" s="7"/>
      <c r="AD137" s="7"/>
      <c r="AE137" s="67" t="s">
        <v>179</v>
      </c>
      <c r="AF137" s="7"/>
      <c r="AG137" s="7"/>
      <c r="AH137" s="7"/>
      <c r="AI137" s="7"/>
      <c r="AJ137" s="7"/>
    </row>
    <row r="138">
      <c r="A138" s="40"/>
      <c r="B138" s="14"/>
      <c r="C138" s="41"/>
      <c r="D138" s="112">
        <v>46029.0</v>
      </c>
      <c r="E138" s="80" t="s">
        <v>42</v>
      </c>
      <c r="F138" s="55" t="s">
        <v>288</v>
      </c>
      <c r="G138" s="55" t="s">
        <v>44</v>
      </c>
      <c r="H138" s="55" t="s">
        <v>45</v>
      </c>
      <c r="I138" s="55" t="s">
        <v>46</v>
      </c>
      <c r="J138" s="81"/>
      <c r="K138" s="84">
        <v>115.96</v>
      </c>
      <c r="L138" s="81"/>
      <c r="M138" s="84">
        <v>115.96</v>
      </c>
      <c r="N138" s="85" t="s">
        <v>28</v>
      </c>
      <c r="O138" s="48"/>
      <c r="P138" s="49" t="str">
        <f t="shared" ref="P138:Q138" si="126">IF(J138="","",J138-L138)</f>
        <v/>
      </c>
      <c r="Q138" s="50">
        <f t="shared" si="126"/>
        <v>0</v>
      </c>
      <c r="R138" s="7"/>
      <c r="S138" s="7"/>
      <c r="T138" s="7"/>
      <c r="U138" s="7"/>
      <c r="V138" s="7"/>
      <c r="W138" s="7"/>
      <c r="X138" s="7"/>
      <c r="Y138" s="7"/>
      <c r="Z138" s="7"/>
      <c r="AA138" s="7" t="str">
        <f t="shared" si="120"/>
        <v/>
      </c>
      <c r="AB138" s="7" t="str">
        <f t="shared" si="121"/>
        <v/>
      </c>
      <c r="AC138" s="7"/>
      <c r="AD138" s="7"/>
      <c r="AE138" s="67" t="s">
        <v>178</v>
      </c>
      <c r="AF138" s="7"/>
      <c r="AG138" s="7"/>
      <c r="AH138" s="7"/>
      <c r="AI138" s="7"/>
      <c r="AJ138" s="7"/>
    </row>
    <row r="139">
      <c r="A139" s="40"/>
      <c r="B139" s="14"/>
      <c r="C139" s="41"/>
      <c r="D139" s="111">
        <v>46029.0</v>
      </c>
      <c r="E139" s="83" t="s">
        <v>196</v>
      </c>
      <c r="F139" s="58" t="s">
        <v>289</v>
      </c>
      <c r="G139" s="58" t="s">
        <v>44</v>
      </c>
      <c r="H139" s="58" t="s">
        <v>45</v>
      </c>
      <c r="I139" s="58" t="s">
        <v>46</v>
      </c>
      <c r="J139" s="76"/>
      <c r="K139" s="77">
        <v>103.86</v>
      </c>
      <c r="L139" s="76"/>
      <c r="M139" s="77">
        <v>103.86</v>
      </c>
      <c r="N139" s="78" t="s">
        <v>28</v>
      </c>
      <c r="O139" s="48"/>
      <c r="P139" s="49"/>
      <c r="Q139" s="50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67" t="s">
        <v>290</v>
      </c>
      <c r="AF139" s="7"/>
      <c r="AG139" s="7"/>
      <c r="AH139" s="7"/>
      <c r="AI139" s="7"/>
      <c r="AJ139" s="7"/>
    </row>
    <row r="140">
      <c r="A140" s="40"/>
      <c r="B140" s="14"/>
      <c r="C140" s="41"/>
      <c r="D140" s="106" t="s">
        <v>20</v>
      </c>
      <c r="E140" s="80"/>
      <c r="F140" s="55" t="s">
        <v>20</v>
      </c>
      <c r="G140" s="55" t="s">
        <v>20</v>
      </c>
      <c r="H140" s="55" t="s">
        <v>20</v>
      </c>
      <c r="I140" s="55" t="s">
        <v>20</v>
      </c>
      <c r="J140" s="84" t="s">
        <v>20</v>
      </c>
      <c r="K140" s="84" t="s">
        <v>20</v>
      </c>
      <c r="L140" s="84" t="s">
        <v>20</v>
      </c>
      <c r="M140" s="84" t="s">
        <v>20</v>
      </c>
      <c r="N140" s="82"/>
      <c r="O140" s="48"/>
      <c r="P140" s="49"/>
      <c r="Q140" s="50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67"/>
      <c r="AF140" s="7"/>
      <c r="AG140" s="7"/>
      <c r="AH140" s="7"/>
      <c r="AI140" s="7"/>
      <c r="AJ140" s="7"/>
    </row>
    <row r="141">
      <c r="A141" s="40"/>
      <c r="B141" s="14"/>
      <c r="C141" s="41"/>
      <c r="D141" s="111">
        <v>46030.0</v>
      </c>
      <c r="E141" s="43" t="s">
        <v>19</v>
      </c>
      <c r="F141" s="44" t="s">
        <v>20</v>
      </c>
      <c r="G141" s="44" t="s">
        <v>20</v>
      </c>
      <c r="H141" s="44" t="s">
        <v>21</v>
      </c>
      <c r="I141" s="44" t="s">
        <v>22</v>
      </c>
      <c r="J141" s="77">
        <v>350.0</v>
      </c>
      <c r="K141" s="76"/>
      <c r="L141" s="77">
        <v>350.0</v>
      </c>
      <c r="M141" s="76"/>
      <c r="N141" s="78" t="s">
        <v>23</v>
      </c>
      <c r="O141" s="48"/>
      <c r="P141" s="49"/>
      <c r="Q141" s="50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67"/>
      <c r="AF141" s="7"/>
      <c r="AG141" s="7"/>
      <c r="AH141" s="7"/>
      <c r="AI141" s="7"/>
      <c r="AJ141" s="7"/>
    </row>
    <row r="142">
      <c r="A142" s="40"/>
      <c r="B142" s="14"/>
      <c r="C142" s="41"/>
      <c r="D142" s="112">
        <v>46030.0</v>
      </c>
      <c r="E142" s="54" t="s">
        <v>25</v>
      </c>
      <c r="F142" s="55" t="s">
        <v>20</v>
      </c>
      <c r="G142" s="55" t="s">
        <v>20</v>
      </c>
      <c r="H142" s="55" t="s">
        <v>26</v>
      </c>
      <c r="I142" s="55" t="s">
        <v>27</v>
      </c>
      <c r="J142" s="81"/>
      <c r="K142" s="81"/>
      <c r="L142" s="81"/>
      <c r="M142" s="81"/>
      <c r="N142" s="82"/>
      <c r="O142" s="71"/>
      <c r="P142" s="49" t="str">
        <f t="shared" ref="P142:Q142" si="127">IF(J142="","",J142-L142)</f>
        <v/>
      </c>
      <c r="Q142" s="50" t="str">
        <f t="shared" si="127"/>
        <v/>
      </c>
      <c r="R142" s="7"/>
      <c r="S142" s="7"/>
      <c r="T142" s="7"/>
      <c r="U142" s="7"/>
      <c r="V142" s="7"/>
      <c r="W142" s="7"/>
      <c r="X142" s="7"/>
      <c r="Y142" s="7"/>
      <c r="Z142" s="7"/>
      <c r="AA142" s="7" t="str">
        <f t="shared" ref="AA142:AA162" si="129">IF(K142=0,"",IF(AND(K142&gt;0,K142&gt;M142),K142-M142,""))</f>
        <v/>
      </c>
      <c r="AB142" s="7" t="str">
        <f t="shared" ref="AB142:AB162" si="130">IF(J142=0,"",IF(AND(J142&gt;0,J142&gt;L142),J142-L142,""))</f>
        <v/>
      </c>
      <c r="AC142" s="7"/>
      <c r="AD142" s="7"/>
      <c r="AE142" s="74" t="s">
        <v>291</v>
      </c>
      <c r="AF142" s="7"/>
      <c r="AG142" s="7"/>
      <c r="AH142" s="7"/>
      <c r="AI142" s="7"/>
      <c r="AJ142" s="7"/>
    </row>
    <row r="143">
      <c r="A143" s="40"/>
      <c r="B143" s="14"/>
      <c r="C143" s="41"/>
      <c r="D143" s="111">
        <v>46030.0</v>
      </c>
      <c r="E143" s="43" t="s">
        <v>30</v>
      </c>
      <c r="F143" s="58" t="s">
        <v>20</v>
      </c>
      <c r="G143" s="58" t="s">
        <v>20</v>
      </c>
      <c r="H143" s="58" t="s">
        <v>31</v>
      </c>
      <c r="I143" s="59" t="s">
        <v>32</v>
      </c>
      <c r="J143" s="76"/>
      <c r="K143" s="76"/>
      <c r="L143" s="76"/>
      <c r="M143" s="76"/>
      <c r="N143" s="114"/>
      <c r="O143" s="48"/>
      <c r="P143" s="49" t="str">
        <f t="shared" ref="P143:Q143" si="128">IF(J143="","",J143-L143)</f>
        <v/>
      </c>
      <c r="Q143" s="50" t="str">
        <f t="shared" si="128"/>
        <v/>
      </c>
      <c r="R143" s="7"/>
      <c r="S143" s="7"/>
      <c r="T143" s="7"/>
      <c r="U143" s="7"/>
      <c r="V143" s="7"/>
      <c r="W143" s="7"/>
      <c r="X143" s="7"/>
      <c r="Y143" s="7"/>
      <c r="Z143" s="7"/>
      <c r="AA143" s="7" t="str">
        <f t="shared" si="129"/>
        <v/>
      </c>
      <c r="AB143" s="7" t="str">
        <f t="shared" si="130"/>
        <v/>
      </c>
      <c r="AC143" s="7"/>
      <c r="AD143" s="7"/>
      <c r="AE143" s="51" t="s">
        <v>292</v>
      </c>
      <c r="AF143" s="7"/>
      <c r="AG143" s="7"/>
      <c r="AH143" s="7"/>
      <c r="AI143" s="7"/>
      <c r="AJ143" s="7"/>
    </row>
    <row r="144">
      <c r="A144" s="40"/>
      <c r="B144" s="14"/>
      <c r="C144" s="41"/>
      <c r="D144" s="112">
        <v>46030.0</v>
      </c>
      <c r="E144" s="54" t="s">
        <v>35</v>
      </c>
      <c r="F144" s="55" t="s">
        <v>20</v>
      </c>
      <c r="G144" s="55" t="s">
        <v>20</v>
      </c>
      <c r="H144" s="55" t="s">
        <v>36</v>
      </c>
      <c r="I144" s="55" t="s">
        <v>37</v>
      </c>
      <c r="J144" s="81"/>
      <c r="K144" s="81"/>
      <c r="L144" s="81"/>
      <c r="M144" s="81"/>
      <c r="N144" s="82"/>
      <c r="O144" s="71"/>
      <c r="P144" s="49" t="str">
        <f t="shared" ref="P144:Q144" si="131">IF(J144="","",J144-L144)</f>
        <v/>
      </c>
      <c r="Q144" s="50" t="str">
        <f t="shared" si="131"/>
        <v/>
      </c>
      <c r="R144" s="7"/>
      <c r="S144" s="7"/>
      <c r="T144" s="7"/>
      <c r="U144" s="7"/>
      <c r="V144" s="7"/>
      <c r="W144" s="7"/>
      <c r="X144" s="7"/>
      <c r="Y144" s="7"/>
      <c r="Z144" s="7"/>
      <c r="AA144" s="7" t="str">
        <f t="shared" si="129"/>
        <v/>
      </c>
      <c r="AB144" s="7" t="str">
        <f t="shared" si="130"/>
        <v/>
      </c>
      <c r="AC144" s="7"/>
      <c r="AD144" s="7"/>
      <c r="AE144" s="51" t="s">
        <v>293</v>
      </c>
      <c r="AF144" s="7"/>
      <c r="AG144" s="7"/>
      <c r="AH144" s="7"/>
      <c r="AI144" s="7"/>
      <c r="AJ144" s="7"/>
    </row>
    <row r="145">
      <c r="A145" s="40"/>
      <c r="B145" s="14"/>
      <c r="C145" s="41"/>
      <c r="D145" s="111">
        <v>46030.0</v>
      </c>
      <c r="E145" s="43" t="s">
        <v>40</v>
      </c>
      <c r="F145" s="58" t="s">
        <v>20</v>
      </c>
      <c r="G145" s="58" t="s">
        <v>20</v>
      </c>
      <c r="H145" s="58" t="s">
        <v>36</v>
      </c>
      <c r="I145" s="58" t="s">
        <v>37</v>
      </c>
      <c r="J145" s="76"/>
      <c r="K145" s="76"/>
      <c r="L145" s="76"/>
      <c r="M145" s="76"/>
      <c r="N145" s="114"/>
      <c r="O145" s="71"/>
      <c r="P145" s="49" t="str">
        <f t="shared" ref="P145:Q145" si="132">IF(J145="","",J145-L145)</f>
        <v/>
      </c>
      <c r="Q145" s="50" t="str">
        <f t="shared" si="132"/>
        <v/>
      </c>
      <c r="R145" s="7"/>
      <c r="S145" s="7"/>
      <c r="T145" s="7"/>
      <c r="U145" s="7"/>
      <c r="V145" s="7"/>
      <c r="W145" s="7"/>
      <c r="X145" s="7"/>
      <c r="Y145" s="7"/>
      <c r="Z145" s="7"/>
      <c r="AA145" s="7" t="str">
        <f t="shared" si="129"/>
        <v/>
      </c>
      <c r="AB145" s="7" t="str">
        <f t="shared" si="130"/>
        <v/>
      </c>
      <c r="AC145" s="7"/>
      <c r="AD145" s="7"/>
      <c r="AE145" s="51" t="s">
        <v>294</v>
      </c>
      <c r="AF145" s="7"/>
      <c r="AG145" s="7"/>
      <c r="AH145" s="7"/>
      <c r="AI145" s="7"/>
      <c r="AJ145" s="7"/>
    </row>
    <row r="146">
      <c r="A146" s="40"/>
      <c r="B146" s="14"/>
      <c r="C146" s="41"/>
      <c r="D146" s="112">
        <v>46030.0</v>
      </c>
      <c r="E146" s="80" t="s">
        <v>96</v>
      </c>
      <c r="F146" s="55" t="s">
        <v>97</v>
      </c>
      <c r="G146" s="55" t="s">
        <v>91</v>
      </c>
      <c r="H146" s="55" t="s">
        <v>274</v>
      </c>
      <c r="I146" s="55" t="s">
        <v>99</v>
      </c>
      <c r="J146" s="81"/>
      <c r="K146" s="84">
        <v>15.9</v>
      </c>
      <c r="L146" s="81"/>
      <c r="M146" s="84">
        <v>15.9</v>
      </c>
      <c r="N146" s="85" t="s">
        <v>38</v>
      </c>
      <c r="O146" s="71"/>
      <c r="P146" s="49" t="str">
        <f t="shared" ref="P146:Q146" si="133">IF(J146="","",J146-L146)</f>
        <v/>
      </c>
      <c r="Q146" s="50">
        <f t="shared" si="133"/>
        <v>0</v>
      </c>
      <c r="R146" s="7"/>
      <c r="S146" s="7"/>
      <c r="T146" s="7"/>
      <c r="U146" s="7"/>
      <c r="V146" s="7"/>
      <c r="W146" s="7"/>
      <c r="X146" s="7"/>
      <c r="Y146" s="7"/>
      <c r="Z146" s="7"/>
      <c r="AA146" s="7" t="str">
        <f t="shared" si="129"/>
        <v/>
      </c>
      <c r="AB146" s="7" t="str">
        <f t="shared" si="130"/>
        <v/>
      </c>
      <c r="AC146" s="7"/>
      <c r="AD146" s="7"/>
      <c r="AE146" s="51" t="s">
        <v>295</v>
      </c>
      <c r="AF146" s="7"/>
      <c r="AG146" s="7"/>
      <c r="AH146" s="7"/>
      <c r="AI146" s="7"/>
      <c r="AJ146" s="7"/>
    </row>
    <row r="147">
      <c r="A147" s="40"/>
      <c r="B147" s="14"/>
      <c r="C147" s="41"/>
      <c r="D147" s="111">
        <v>46030.0</v>
      </c>
      <c r="E147" s="83" t="s">
        <v>50</v>
      </c>
      <c r="F147" s="58" t="s">
        <v>193</v>
      </c>
      <c r="G147" s="58" t="s">
        <v>44</v>
      </c>
      <c r="H147" s="58" t="s">
        <v>45</v>
      </c>
      <c r="I147" s="58" t="s">
        <v>46</v>
      </c>
      <c r="J147" s="76"/>
      <c r="K147" s="77">
        <v>60.06</v>
      </c>
      <c r="L147" s="76"/>
      <c r="M147" s="77">
        <v>60.06</v>
      </c>
      <c r="N147" s="78" t="s">
        <v>28</v>
      </c>
      <c r="O147" s="71"/>
      <c r="P147" s="49" t="str">
        <f t="shared" ref="P147:Q147" si="134">IF(J147="","",J147-L147)</f>
        <v/>
      </c>
      <c r="Q147" s="50">
        <f t="shared" si="134"/>
        <v>0</v>
      </c>
      <c r="R147" s="7"/>
      <c r="S147" s="7"/>
      <c r="T147" s="7"/>
      <c r="U147" s="7"/>
      <c r="V147" s="7"/>
      <c r="W147" s="7"/>
      <c r="X147" s="7"/>
      <c r="Y147" s="7"/>
      <c r="Z147" s="7"/>
      <c r="AA147" s="7" t="str">
        <f t="shared" si="129"/>
        <v/>
      </c>
      <c r="AB147" s="7" t="str">
        <f t="shared" si="130"/>
        <v/>
      </c>
      <c r="AC147" s="7"/>
      <c r="AD147" s="7"/>
      <c r="AE147" s="51" t="s">
        <v>296</v>
      </c>
      <c r="AF147" s="7"/>
      <c r="AG147" s="7"/>
      <c r="AH147" s="7"/>
      <c r="AI147" s="7"/>
      <c r="AJ147" s="7"/>
    </row>
    <row r="148">
      <c r="A148" s="40"/>
      <c r="B148" s="14"/>
      <c r="C148" s="41"/>
      <c r="D148" s="112">
        <v>46030.0</v>
      </c>
      <c r="E148" s="80" t="s">
        <v>89</v>
      </c>
      <c r="F148" s="55" t="s">
        <v>117</v>
      </c>
      <c r="G148" s="55" t="s">
        <v>91</v>
      </c>
      <c r="H148" s="55" t="s">
        <v>45</v>
      </c>
      <c r="I148" s="55" t="s">
        <v>92</v>
      </c>
      <c r="J148" s="81"/>
      <c r="K148" s="84">
        <v>11.6</v>
      </c>
      <c r="L148" s="81"/>
      <c r="M148" s="84">
        <v>11.6</v>
      </c>
      <c r="N148" s="85" t="s">
        <v>28</v>
      </c>
      <c r="O148" s="71"/>
      <c r="P148" s="49" t="str">
        <f t="shared" ref="P148:Q148" si="135">IF(J148="","",J148-L148)</f>
        <v/>
      </c>
      <c r="Q148" s="50">
        <f t="shared" si="135"/>
        <v>0</v>
      </c>
      <c r="R148" s="7"/>
      <c r="S148" s="7"/>
      <c r="T148" s="7"/>
      <c r="U148" s="7"/>
      <c r="V148" s="7"/>
      <c r="W148" s="7"/>
      <c r="X148" s="7"/>
      <c r="Y148" s="7"/>
      <c r="Z148" s="7"/>
      <c r="AA148" s="7" t="str">
        <f t="shared" si="129"/>
        <v/>
      </c>
      <c r="AB148" s="7" t="str">
        <f t="shared" si="130"/>
        <v/>
      </c>
      <c r="AC148" s="7"/>
      <c r="AD148" s="7"/>
      <c r="AE148" s="51" t="s">
        <v>297</v>
      </c>
      <c r="AF148" s="7"/>
      <c r="AG148" s="7"/>
      <c r="AH148" s="7"/>
      <c r="AI148" s="7"/>
      <c r="AJ148" s="7"/>
    </row>
    <row r="149">
      <c r="A149" s="40"/>
      <c r="B149" s="14"/>
      <c r="C149" s="41"/>
      <c r="D149" s="111">
        <v>46030.0</v>
      </c>
      <c r="E149" s="83" t="s">
        <v>140</v>
      </c>
      <c r="F149" s="58" t="s">
        <v>126</v>
      </c>
      <c r="G149" s="58" t="s">
        <v>298</v>
      </c>
      <c r="H149" s="58" t="s">
        <v>45</v>
      </c>
      <c r="I149" s="58" t="s">
        <v>99</v>
      </c>
      <c r="J149" s="76"/>
      <c r="K149" s="77">
        <v>9.99</v>
      </c>
      <c r="L149" s="76"/>
      <c r="M149" s="77">
        <v>9.99</v>
      </c>
      <c r="N149" s="78" t="s">
        <v>28</v>
      </c>
      <c r="O149" s="48"/>
      <c r="P149" s="49" t="str">
        <f t="shared" ref="P149:Q149" si="136">IF(J149="","",J149-L149)</f>
        <v/>
      </c>
      <c r="Q149" s="50">
        <f t="shared" si="136"/>
        <v>0</v>
      </c>
      <c r="R149" s="7"/>
      <c r="S149" s="7"/>
      <c r="T149" s="7"/>
      <c r="U149" s="7"/>
      <c r="V149" s="7"/>
      <c r="W149" s="7"/>
      <c r="X149" s="7"/>
      <c r="Y149" s="7"/>
      <c r="Z149" s="7"/>
      <c r="AA149" s="7" t="str">
        <f t="shared" si="129"/>
        <v/>
      </c>
      <c r="AB149" s="7" t="str">
        <f t="shared" si="130"/>
        <v/>
      </c>
      <c r="AC149" s="7"/>
      <c r="AD149" s="7"/>
      <c r="AE149" s="52" t="s">
        <v>299</v>
      </c>
      <c r="AF149" s="7"/>
      <c r="AG149" s="7"/>
      <c r="AH149" s="7"/>
      <c r="AI149" s="7"/>
      <c r="AJ149" s="7"/>
    </row>
    <row r="150">
      <c r="A150" s="40"/>
      <c r="B150" s="14"/>
      <c r="C150" s="41"/>
      <c r="D150" s="112">
        <v>46030.0</v>
      </c>
      <c r="E150" s="80" t="s">
        <v>146</v>
      </c>
      <c r="F150" s="55" t="s">
        <v>123</v>
      </c>
      <c r="G150" s="55" t="s">
        <v>98</v>
      </c>
      <c r="H150" s="55" t="s">
        <v>300</v>
      </c>
      <c r="I150" s="55" t="s">
        <v>99</v>
      </c>
      <c r="J150" s="81"/>
      <c r="K150" s="84">
        <v>6.99</v>
      </c>
      <c r="L150" s="81"/>
      <c r="M150" s="84">
        <v>6.99</v>
      </c>
      <c r="N150" s="85" t="s">
        <v>28</v>
      </c>
      <c r="O150" s="71"/>
      <c r="P150" s="49" t="str">
        <f t="shared" ref="P150:Q150" si="137">IF(J150="","",J150-L150)</f>
        <v/>
      </c>
      <c r="Q150" s="50">
        <f t="shared" si="137"/>
        <v>0</v>
      </c>
      <c r="R150" s="7"/>
      <c r="S150" s="7"/>
      <c r="T150" s="7"/>
      <c r="U150" s="7"/>
      <c r="V150" s="7"/>
      <c r="W150" s="7"/>
      <c r="X150" s="7"/>
      <c r="Y150" s="7"/>
      <c r="Z150" s="7"/>
      <c r="AA150" s="7" t="str">
        <f t="shared" si="129"/>
        <v/>
      </c>
      <c r="AB150" s="7" t="str">
        <f t="shared" si="130"/>
        <v/>
      </c>
      <c r="AC150" s="7"/>
      <c r="AD150" s="7"/>
      <c r="AE150" s="51" t="s">
        <v>301</v>
      </c>
      <c r="AF150" s="7"/>
      <c r="AG150" s="7"/>
      <c r="AH150" s="7"/>
      <c r="AI150" s="7"/>
      <c r="AJ150" s="7"/>
    </row>
    <row r="151">
      <c r="A151" s="40"/>
      <c r="B151" s="14"/>
      <c r="C151" s="41"/>
      <c r="D151" s="111">
        <v>46030.0</v>
      </c>
      <c r="E151" s="83" t="s">
        <v>57</v>
      </c>
      <c r="F151" s="58" t="s">
        <v>123</v>
      </c>
      <c r="G151" s="58" t="s">
        <v>91</v>
      </c>
      <c r="H151" s="58" t="s">
        <v>300</v>
      </c>
      <c r="I151" s="58" t="s">
        <v>302</v>
      </c>
      <c r="J151" s="76"/>
      <c r="K151" s="77">
        <v>10.39</v>
      </c>
      <c r="L151" s="76"/>
      <c r="M151" s="77">
        <v>10.39</v>
      </c>
      <c r="N151" s="78" t="s">
        <v>28</v>
      </c>
      <c r="O151" s="48"/>
      <c r="P151" s="49" t="str">
        <f t="shared" ref="P151:Q151" si="138">IF(J151="","",J151-L151)</f>
        <v/>
      </c>
      <c r="Q151" s="50">
        <f t="shared" si="138"/>
        <v>0</v>
      </c>
      <c r="R151" s="7"/>
      <c r="S151" s="7"/>
      <c r="T151" s="7"/>
      <c r="U151" s="7"/>
      <c r="V151" s="7"/>
      <c r="W151" s="7"/>
      <c r="X151" s="7"/>
      <c r="Y151" s="7"/>
      <c r="Z151" s="7"/>
      <c r="AA151" s="7" t="str">
        <f t="shared" si="129"/>
        <v/>
      </c>
      <c r="AB151" s="7" t="str">
        <f t="shared" si="130"/>
        <v/>
      </c>
      <c r="AC151" s="7"/>
      <c r="AD151" s="7"/>
      <c r="AE151" s="51" t="s">
        <v>303</v>
      </c>
      <c r="AF151" s="7"/>
      <c r="AG151" s="7"/>
      <c r="AH151" s="7"/>
      <c r="AI151" s="7"/>
      <c r="AJ151" s="7"/>
    </row>
    <row r="152">
      <c r="A152" s="40"/>
      <c r="B152" s="14"/>
      <c r="C152" s="41"/>
      <c r="D152" s="112">
        <v>46030.0</v>
      </c>
      <c r="E152" s="80" t="s">
        <v>57</v>
      </c>
      <c r="F152" s="55" t="s">
        <v>148</v>
      </c>
      <c r="G152" s="55" t="s">
        <v>91</v>
      </c>
      <c r="H152" s="55" t="s">
        <v>300</v>
      </c>
      <c r="I152" s="55" t="s">
        <v>304</v>
      </c>
      <c r="J152" s="81"/>
      <c r="K152" s="84">
        <v>8.37</v>
      </c>
      <c r="L152" s="81"/>
      <c r="M152" s="84">
        <v>8.37</v>
      </c>
      <c r="N152" s="85" t="s">
        <v>28</v>
      </c>
      <c r="O152" s="48"/>
      <c r="P152" s="49" t="str">
        <f t="shared" ref="P152:Q152" si="139">IF(J152="","",J152-L152)</f>
        <v/>
      </c>
      <c r="Q152" s="50">
        <f t="shared" si="139"/>
        <v>0</v>
      </c>
      <c r="R152" s="7"/>
      <c r="S152" s="7"/>
      <c r="T152" s="7"/>
      <c r="U152" s="7"/>
      <c r="V152" s="7"/>
      <c r="W152" s="7"/>
      <c r="X152" s="7"/>
      <c r="Y152" s="7"/>
      <c r="Z152" s="7"/>
      <c r="AA152" s="7" t="str">
        <f t="shared" si="129"/>
        <v/>
      </c>
      <c r="AB152" s="7" t="str">
        <f t="shared" si="130"/>
        <v/>
      </c>
      <c r="AC152" s="7"/>
      <c r="AD152" s="7"/>
      <c r="AE152" s="51" t="s">
        <v>305</v>
      </c>
      <c r="AF152" s="7"/>
      <c r="AG152" s="7"/>
      <c r="AH152" s="7"/>
      <c r="AI152" s="7"/>
      <c r="AJ152" s="7"/>
    </row>
    <row r="153">
      <c r="A153" s="40"/>
      <c r="B153" s="14"/>
      <c r="C153" s="41"/>
      <c r="D153" s="111">
        <v>46030.0</v>
      </c>
      <c r="E153" s="83" t="s">
        <v>113</v>
      </c>
      <c r="F153" s="58" t="s">
        <v>306</v>
      </c>
      <c r="G153" s="58" t="s">
        <v>44</v>
      </c>
      <c r="H153" s="58" t="s">
        <v>300</v>
      </c>
      <c r="I153" s="58" t="s">
        <v>111</v>
      </c>
      <c r="J153" s="76"/>
      <c r="K153" s="77">
        <v>45.33</v>
      </c>
      <c r="L153" s="76"/>
      <c r="M153" s="77">
        <v>45.33</v>
      </c>
      <c r="N153" s="78" t="s">
        <v>28</v>
      </c>
      <c r="O153" s="71"/>
      <c r="P153" s="49" t="str">
        <f t="shared" ref="P153:Q153" si="140">IF(J153="","",J153-L153)</f>
        <v/>
      </c>
      <c r="Q153" s="50">
        <f t="shared" si="140"/>
        <v>0</v>
      </c>
      <c r="R153" s="7"/>
      <c r="S153" s="7"/>
      <c r="T153" s="7"/>
      <c r="U153" s="7"/>
      <c r="V153" s="7"/>
      <c r="W153" s="7"/>
      <c r="X153" s="7"/>
      <c r="Y153" s="7"/>
      <c r="Z153" s="7"/>
      <c r="AA153" s="7" t="str">
        <f t="shared" si="129"/>
        <v/>
      </c>
      <c r="AB153" s="7" t="str">
        <f t="shared" si="130"/>
        <v/>
      </c>
      <c r="AC153" s="7"/>
      <c r="AD153" s="7"/>
      <c r="AE153" s="51" t="s">
        <v>307</v>
      </c>
      <c r="AF153" s="7"/>
      <c r="AG153" s="7"/>
      <c r="AH153" s="7"/>
      <c r="AI153" s="7"/>
      <c r="AJ153" s="7"/>
    </row>
    <row r="154">
      <c r="A154" s="40"/>
      <c r="B154" s="14"/>
      <c r="C154" s="41"/>
      <c r="D154" s="112">
        <v>46030.0</v>
      </c>
      <c r="E154" s="80" t="s">
        <v>167</v>
      </c>
      <c r="F154" s="55" t="s">
        <v>87</v>
      </c>
      <c r="G154" s="55" t="s">
        <v>44</v>
      </c>
      <c r="H154" s="55" t="s">
        <v>300</v>
      </c>
      <c r="I154" s="55" t="s">
        <v>99</v>
      </c>
      <c r="J154" s="81"/>
      <c r="K154" s="84">
        <v>47.98</v>
      </c>
      <c r="L154" s="81"/>
      <c r="M154" s="84">
        <v>47.98</v>
      </c>
      <c r="N154" s="85" t="s">
        <v>28</v>
      </c>
      <c r="O154" s="71"/>
      <c r="P154" s="49" t="str">
        <f t="shared" ref="P154:Q154" si="141">IF(J154="","",J154-L154)</f>
        <v/>
      </c>
      <c r="Q154" s="50">
        <f t="shared" si="141"/>
        <v>0</v>
      </c>
      <c r="R154" s="7"/>
      <c r="S154" s="7"/>
      <c r="T154" s="7"/>
      <c r="U154" s="7"/>
      <c r="V154" s="7"/>
      <c r="W154" s="7"/>
      <c r="X154" s="7"/>
      <c r="Y154" s="7"/>
      <c r="Z154" s="7"/>
      <c r="AA154" s="7" t="str">
        <f t="shared" si="129"/>
        <v/>
      </c>
      <c r="AB154" s="7" t="str">
        <f t="shared" si="130"/>
        <v/>
      </c>
      <c r="AC154" s="7"/>
      <c r="AD154" s="7"/>
      <c r="AE154" s="51" t="s">
        <v>308</v>
      </c>
      <c r="AF154" s="7"/>
      <c r="AG154" s="7"/>
      <c r="AH154" s="7"/>
      <c r="AI154" s="7"/>
      <c r="AJ154" s="7"/>
    </row>
    <row r="155">
      <c r="A155" s="40"/>
      <c r="B155" s="14"/>
      <c r="C155" s="41"/>
      <c r="D155" s="111">
        <v>46030.0</v>
      </c>
      <c r="E155" s="83" t="s">
        <v>57</v>
      </c>
      <c r="F155" s="58" t="s">
        <v>123</v>
      </c>
      <c r="G155" s="58" t="s">
        <v>20</v>
      </c>
      <c r="H155" s="58" t="s">
        <v>300</v>
      </c>
      <c r="I155" s="58" t="s">
        <v>309</v>
      </c>
      <c r="J155" s="76"/>
      <c r="K155" s="77">
        <v>2.29</v>
      </c>
      <c r="L155" s="76"/>
      <c r="M155" s="77">
        <v>2.29</v>
      </c>
      <c r="N155" s="78" t="s">
        <v>28</v>
      </c>
      <c r="O155" s="48"/>
      <c r="P155" s="49" t="str">
        <f t="shared" ref="P155:Q155" si="142">IF(J155="","",J155-L155)</f>
        <v/>
      </c>
      <c r="Q155" s="50">
        <f t="shared" si="142"/>
        <v>0</v>
      </c>
      <c r="R155" s="7"/>
      <c r="S155" s="7"/>
      <c r="T155" s="7"/>
      <c r="U155" s="7"/>
      <c r="V155" s="7"/>
      <c r="W155" s="7"/>
      <c r="X155" s="7"/>
      <c r="Y155" s="7"/>
      <c r="Z155" s="7"/>
      <c r="AA155" s="7" t="str">
        <f t="shared" si="129"/>
        <v/>
      </c>
      <c r="AB155" s="7" t="str">
        <f t="shared" si="130"/>
        <v/>
      </c>
      <c r="AC155" s="7"/>
      <c r="AD155" s="7"/>
      <c r="AE155" s="7"/>
      <c r="AF155" s="7"/>
      <c r="AG155" s="7"/>
      <c r="AH155" s="7"/>
      <c r="AI155" s="7"/>
      <c r="AJ155" s="7"/>
    </row>
    <row r="156">
      <c r="A156" s="40"/>
      <c r="B156" s="14"/>
      <c r="C156" s="41"/>
      <c r="D156" s="112">
        <v>46030.0</v>
      </c>
      <c r="E156" s="80" t="s">
        <v>175</v>
      </c>
      <c r="F156" s="55" t="s">
        <v>126</v>
      </c>
      <c r="G156" s="55" t="s">
        <v>98</v>
      </c>
      <c r="H156" s="55" t="s">
        <v>300</v>
      </c>
      <c r="I156" s="55" t="s">
        <v>99</v>
      </c>
      <c r="J156" s="81"/>
      <c r="K156" s="84">
        <v>4.18</v>
      </c>
      <c r="L156" s="81"/>
      <c r="M156" s="84">
        <v>4.18</v>
      </c>
      <c r="N156" s="85" t="s">
        <v>28</v>
      </c>
      <c r="O156" s="71"/>
      <c r="P156" s="49" t="str">
        <f t="shared" ref="P156:Q156" si="143">IF(J156="","",J156-L156)</f>
        <v/>
      </c>
      <c r="Q156" s="50">
        <f t="shared" si="143"/>
        <v>0</v>
      </c>
      <c r="R156" s="7"/>
      <c r="S156" s="7"/>
      <c r="T156" s="7"/>
      <c r="U156" s="7"/>
      <c r="V156" s="7"/>
      <c r="W156" s="7"/>
      <c r="X156" s="7"/>
      <c r="Y156" s="7"/>
      <c r="Z156" s="7"/>
      <c r="AA156" s="7" t="str">
        <f t="shared" si="129"/>
        <v/>
      </c>
      <c r="AB156" s="7" t="str">
        <f t="shared" si="130"/>
        <v/>
      </c>
      <c r="AC156" s="7"/>
      <c r="AD156" s="7"/>
      <c r="AE156" s="7"/>
      <c r="AF156" s="7"/>
      <c r="AG156" s="7"/>
      <c r="AH156" s="7"/>
      <c r="AI156" s="7"/>
      <c r="AJ156" s="7"/>
    </row>
    <row r="157">
      <c r="A157" s="40"/>
      <c r="B157" s="14"/>
      <c r="C157" s="41"/>
      <c r="D157" s="111">
        <v>46030.0</v>
      </c>
      <c r="E157" s="83" t="s">
        <v>57</v>
      </c>
      <c r="F157" s="58" t="s">
        <v>20</v>
      </c>
      <c r="G157" s="58" t="s">
        <v>20</v>
      </c>
      <c r="H157" s="58" t="s">
        <v>300</v>
      </c>
      <c r="I157" s="58" t="s">
        <v>309</v>
      </c>
      <c r="J157" s="76"/>
      <c r="K157" s="77">
        <v>4.87</v>
      </c>
      <c r="L157" s="76"/>
      <c r="M157" s="77">
        <v>4.87</v>
      </c>
      <c r="N157" s="78" t="s">
        <v>28</v>
      </c>
      <c r="O157" s="71"/>
      <c r="P157" s="49" t="str">
        <f t="shared" ref="P157:Q157" si="144">IF(J157="","",J157-L157)</f>
        <v/>
      </c>
      <c r="Q157" s="50">
        <f t="shared" si="144"/>
        <v>0</v>
      </c>
      <c r="R157" s="7"/>
      <c r="S157" s="7"/>
      <c r="T157" s="7"/>
      <c r="U157" s="7"/>
      <c r="V157" s="7"/>
      <c r="W157" s="7"/>
      <c r="X157" s="7"/>
      <c r="Y157" s="7"/>
      <c r="Z157" s="7"/>
      <c r="AA157" s="7" t="str">
        <f t="shared" si="129"/>
        <v/>
      </c>
      <c r="AB157" s="7" t="str">
        <f t="shared" si="130"/>
        <v/>
      </c>
      <c r="AC157" s="7"/>
      <c r="AD157" s="7"/>
      <c r="AE157" s="67"/>
      <c r="AF157" s="7"/>
      <c r="AG157" s="7"/>
      <c r="AH157" s="7"/>
      <c r="AI157" s="7"/>
      <c r="AJ157" s="7"/>
    </row>
    <row r="158">
      <c r="A158" s="40"/>
      <c r="B158" s="14"/>
      <c r="C158" s="41"/>
      <c r="D158" s="112">
        <v>46030.0</v>
      </c>
      <c r="E158" s="80" t="s">
        <v>310</v>
      </c>
      <c r="F158" s="55" t="s">
        <v>123</v>
      </c>
      <c r="G158" s="55" t="s">
        <v>91</v>
      </c>
      <c r="H158" s="55" t="s">
        <v>300</v>
      </c>
      <c r="I158" s="55" t="s">
        <v>119</v>
      </c>
      <c r="J158" s="81"/>
      <c r="K158" s="84">
        <v>2.19</v>
      </c>
      <c r="L158" s="81"/>
      <c r="M158" s="84">
        <v>2.19</v>
      </c>
      <c r="N158" s="85" t="s">
        <v>28</v>
      </c>
      <c r="O158" s="71"/>
      <c r="P158" s="49" t="str">
        <f t="shared" ref="P158:Q158" si="145">IF(J158="","",J158-L158)</f>
        <v/>
      </c>
      <c r="Q158" s="50">
        <f t="shared" si="145"/>
        <v>0</v>
      </c>
      <c r="R158" s="7"/>
      <c r="S158" s="7"/>
      <c r="T158" s="7"/>
      <c r="U158" s="7"/>
      <c r="V158" s="7"/>
      <c r="W158" s="7"/>
      <c r="X158" s="7"/>
      <c r="Y158" s="7"/>
      <c r="Z158" s="7"/>
      <c r="AA158" s="7" t="str">
        <f t="shared" si="129"/>
        <v/>
      </c>
      <c r="AB158" s="7" t="str">
        <f t="shared" si="130"/>
        <v/>
      </c>
      <c r="AC158" s="7"/>
      <c r="AD158" s="7"/>
      <c r="AE158" s="74" t="s">
        <v>311</v>
      </c>
      <c r="AF158" s="7"/>
      <c r="AG158" s="7"/>
      <c r="AH158" s="7"/>
      <c r="AI158" s="7"/>
      <c r="AJ158" s="7"/>
    </row>
    <row r="159">
      <c r="A159" s="40"/>
      <c r="B159" s="14"/>
      <c r="C159" s="41"/>
      <c r="D159" s="111">
        <v>46030.0</v>
      </c>
      <c r="E159" s="83" t="s">
        <v>57</v>
      </c>
      <c r="F159" s="58" t="s">
        <v>20</v>
      </c>
      <c r="G159" s="58" t="s">
        <v>20</v>
      </c>
      <c r="H159" s="58" t="s">
        <v>300</v>
      </c>
      <c r="I159" s="58" t="s">
        <v>309</v>
      </c>
      <c r="J159" s="76"/>
      <c r="K159" s="77">
        <v>1.32</v>
      </c>
      <c r="L159" s="76"/>
      <c r="M159" s="77">
        <v>1.32</v>
      </c>
      <c r="N159" s="78" t="s">
        <v>28</v>
      </c>
      <c r="O159" s="71"/>
      <c r="P159" s="49" t="str">
        <f t="shared" ref="P159:Q159" si="146">IF(J159="","",J159-L159)</f>
        <v/>
      </c>
      <c r="Q159" s="50">
        <f t="shared" si="146"/>
        <v>0</v>
      </c>
      <c r="R159" s="7"/>
      <c r="S159" s="7"/>
      <c r="T159" s="7"/>
      <c r="U159" s="7"/>
      <c r="V159" s="7"/>
      <c r="W159" s="7"/>
      <c r="X159" s="7"/>
      <c r="Y159" s="7"/>
      <c r="Z159" s="7"/>
      <c r="AA159" s="7" t="str">
        <f t="shared" si="129"/>
        <v/>
      </c>
      <c r="AB159" s="7" t="str">
        <f t="shared" si="130"/>
        <v/>
      </c>
      <c r="AC159" s="7"/>
      <c r="AD159" s="7"/>
      <c r="AE159" s="51" t="s">
        <v>312</v>
      </c>
      <c r="AF159" s="7"/>
      <c r="AG159" s="7"/>
      <c r="AH159" s="7"/>
      <c r="AI159" s="7"/>
      <c r="AJ159" s="7"/>
    </row>
    <row r="160">
      <c r="A160" s="40"/>
      <c r="B160" s="14"/>
      <c r="C160" s="41"/>
      <c r="D160" s="112">
        <v>46030.0</v>
      </c>
      <c r="E160" s="106" t="s">
        <v>89</v>
      </c>
      <c r="F160" s="87" t="s">
        <v>117</v>
      </c>
      <c r="G160" s="55" t="s">
        <v>91</v>
      </c>
      <c r="H160" s="55" t="s">
        <v>300</v>
      </c>
      <c r="I160" s="87" t="s">
        <v>92</v>
      </c>
      <c r="J160" s="81"/>
      <c r="K160" s="84">
        <v>2.17</v>
      </c>
      <c r="L160" s="81"/>
      <c r="M160" s="84">
        <v>2.17</v>
      </c>
      <c r="N160" s="85" t="s">
        <v>28</v>
      </c>
      <c r="O160" s="71"/>
      <c r="P160" s="49" t="str">
        <f t="shared" ref="P160:Q160" si="147">IF(J160="","",J160-L160)</f>
        <v/>
      </c>
      <c r="Q160" s="50">
        <f t="shared" si="147"/>
        <v>0</v>
      </c>
      <c r="R160" s="7"/>
      <c r="S160" s="7"/>
      <c r="T160" s="7"/>
      <c r="U160" s="7"/>
      <c r="V160" s="7"/>
      <c r="W160" s="7"/>
      <c r="X160" s="7"/>
      <c r="Y160" s="7"/>
      <c r="Z160" s="7"/>
      <c r="AA160" s="7" t="str">
        <f t="shared" si="129"/>
        <v/>
      </c>
      <c r="AB160" s="7" t="str">
        <f t="shared" si="130"/>
        <v/>
      </c>
      <c r="AC160" s="7"/>
      <c r="AD160" s="7"/>
      <c r="AE160" s="51" t="s">
        <v>107</v>
      </c>
      <c r="AF160" s="7"/>
      <c r="AG160" s="7"/>
      <c r="AH160" s="7"/>
      <c r="AI160" s="7"/>
      <c r="AJ160" s="7"/>
    </row>
    <row r="161">
      <c r="A161" s="40"/>
      <c r="B161" s="14"/>
      <c r="C161" s="41"/>
      <c r="D161" s="111">
        <v>46030.0</v>
      </c>
      <c r="E161" s="75" t="s">
        <v>57</v>
      </c>
      <c r="F161" s="104" t="s">
        <v>20</v>
      </c>
      <c r="G161" s="58" t="s">
        <v>20</v>
      </c>
      <c r="H161" s="58" t="s">
        <v>300</v>
      </c>
      <c r="I161" s="104" t="s">
        <v>309</v>
      </c>
      <c r="J161" s="76"/>
      <c r="K161" s="77">
        <v>8.14</v>
      </c>
      <c r="L161" s="76"/>
      <c r="M161" s="77">
        <v>8.14</v>
      </c>
      <c r="N161" s="78" t="s">
        <v>28</v>
      </c>
      <c r="O161" s="71"/>
      <c r="P161" s="49" t="str">
        <f t="shared" ref="P161:Q161" si="148">IF(J161="","",J161-L161)</f>
        <v/>
      </c>
      <c r="Q161" s="50">
        <f t="shared" si="148"/>
        <v>0</v>
      </c>
      <c r="R161" s="7"/>
      <c r="S161" s="7"/>
      <c r="T161" s="7"/>
      <c r="U161" s="7"/>
      <c r="V161" s="7"/>
      <c r="W161" s="7"/>
      <c r="X161" s="7"/>
      <c r="Y161" s="7"/>
      <c r="Z161" s="7"/>
      <c r="AA161" s="7" t="str">
        <f t="shared" si="129"/>
        <v/>
      </c>
      <c r="AB161" s="7" t="str">
        <f t="shared" si="130"/>
        <v/>
      </c>
      <c r="AC161" s="7"/>
      <c r="AD161" s="7"/>
      <c r="AE161" s="51" t="s">
        <v>313</v>
      </c>
      <c r="AF161" s="7"/>
      <c r="AG161" s="7"/>
      <c r="AH161" s="7"/>
      <c r="AI161" s="7"/>
      <c r="AJ161" s="7"/>
    </row>
    <row r="162">
      <c r="A162" s="40"/>
      <c r="B162" s="14"/>
      <c r="C162" s="41"/>
      <c r="D162" s="112">
        <v>46030.0</v>
      </c>
      <c r="E162" s="80" t="s">
        <v>57</v>
      </c>
      <c r="F162" s="87" t="s">
        <v>20</v>
      </c>
      <c r="G162" s="55" t="s">
        <v>20</v>
      </c>
      <c r="H162" s="55" t="s">
        <v>300</v>
      </c>
      <c r="I162" s="87" t="s">
        <v>309</v>
      </c>
      <c r="J162" s="81"/>
      <c r="K162" s="84">
        <v>16.3</v>
      </c>
      <c r="L162" s="81"/>
      <c r="M162" s="84">
        <v>16.3</v>
      </c>
      <c r="N162" s="85" t="s">
        <v>28</v>
      </c>
      <c r="O162" s="71"/>
      <c r="P162" s="49" t="str">
        <f t="shared" ref="P162:Q162" si="149">IF(J162="","",J162-L162)</f>
        <v/>
      </c>
      <c r="Q162" s="50">
        <f t="shared" si="149"/>
        <v>0</v>
      </c>
      <c r="R162" s="7"/>
      <c r="S162" s="7"/>
      <c r="T162" s="7"/>
      <c r="U162" s="7"/>
      <c r="V162" s="7"/>
      <c r="W162" s="7"/>
      <c r="X162" s="7"/>
      <c r="Y162" s="7"/>
      <c r="Z162" s="7"/>
      <c r="AA162" s="7" t="str">
        <f t="shared" si="129"/>
        <v/>
      </c>
      <c r="AB162" s="7" t="str">
        <f t="shared" si="130"/>
        <v/>
      </c>
      <c r="AC162" s="7"/>
      <c r="AD162" s="7"/>
      <c r="AE162" s="51" t="s">
        <v>53</v>
      </c>
      <c r="AF162" s="7"/>
      <c r="AG162" s="7"/>
      <c r="AH162" s="7"/>
      <c r="AI162" s="7"/>
      <c r="AJ162" s="7"/>
    </row>
    <row r="163">
      <c r="A163" s="40"/>
      <c r="B163" s="14"/>
      <c r="C163" s="41"/>
      <c r="D163" s="111">
        <v>46030.0</v>
      </c>
      <c r="E163" s="83" t="s">
        <v>57</v>
      </c>
      <c r="F163" s="58" t="s">
        <v>20</v>
      </c>
      <c r="G163" s="58" t="s">
        <v>20</v>
      </c>
      <c r="H163" s="58" t="s">
        <v>300</v>
      </c>
      <c r="I163" s="58" t="s">
        <v>309</v>
      </c>
      <c r="J163" s="76"/>
      <c r="K163" s="77">
        <v>2.54</v>
      </c>
      <c r="L163" s="76"/>
      <c r="M163" s="77">
        <v>2.54</v>
      </c>
      <c r="N163" s="78" t="s">
        <v>28</v>
      </c>
      <c r="O163" s="71"/>
      <c r="P163" s="49"/>
      <c r="Q163" s="68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51" t="s">
        <v>314</v>
      </c>
      <c r="AF163" s="7"/>
      <c r="AG163" s="7"/>
      <c r="AH163" s="7"/>
      <c r="AI163" s="7"/>
      <c r="AJ163" s="7"/>
    </row>
    <row r="164">
      <c r="A164" s="40"/>
      <c r="B164" s="14"/>
      <c r="C164" s="41"/>
      <c r="D164" s="112">
        <v>46030.0</v>
      </c>
      <c r="E164" s="80" t="s">
        <v>167</v>
      </c>
      <c r="F164" s="55" t="s">
        <v>315</v>
      </c>
      <c r="G164" s="55" t="s">
        <v>44</v>
      </c>
      <c r="H164" s="55" t="s">
        <v>300</v>
      </c>
      <c r="I164" s="55" t="s">
        <v>99</v>
      </c>
      <c r="J164" s="81"/>
      <c r="K164" s="84">
        <v>71.97</v>
      </c>
      <c r="L164" s="81"/>
      <c r="M164" s="84">
        <v>71.97</v>
      </c>
      <c r="N164" s="85" t="s">
        <v>28</v>
      </c>
      <c r="O164" s="71"/>
      <c r="P164" s="49"/>
      <c r="Q164" s="68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51" t="s">
        <v>316</v>
      </c>
      <c r="AF164" s="7"/>
      <c r="AG164" s="7"/>
      <c r="AH164" s="7"/>
      <c r="AI164" s="7"/>
      <c r="AJ164" s="7"/>
    </row>
    <row r="165">
      <c r="A165" s="40"/>
      <c r="B165" s="14"/>
      <c r="C165" s="41"/>
      <c r="D165" s="111">
        <v>46030.0</v>
      </c>
      <c r="E165" s="83" t="s">
        <v>209</v>
      </c>
      <c r="F165" s="58" t="s">
        <v>123</v>
      </c>
      <c r="G165" s="58" t="s">
        <v>91</v>
      </c>
      <c r="H165" s="58" t="s">
        <v>300</v>
      </c>
      <c r="I165" s="58" t="s">
        <v>99</v>
      </c>
      <c r="J165" s="76"/>
      <c r="K165" s="77">
        <v>5.39</v>
      </c>
      <c r="L165" s="76"/>
      <c r="M165" s="77">
        <v>5.39</v>
      </c>
      <c r="N165" s="78" t="s">
        <v>28</v>
      </c>
      <c r="O165" s="71"/>
      <c r="P165" s="49"/>
      <c r="Q165" s="68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51" t="s">
        <v>317</v>
      </c>
      <c r="AF165" s="7"/>
      <c r="AG165" s="7"/>
      <c r="AH165" s="7"/>
      <c r="AI165" s="7"/>
      <c r="AJ165" s="7"/>
    </row>
    <row r="166">
      <c r="A166" s="40"/>
      <c r="B166" s="14"/>
      <c r="C166" s="41"/>
      <c r="D166" s="112">
        <v>46030.0</v>
      </c>
      <c r="E166" s="80" t="s">
        <v>57</v>
      </c>
      <c r="F166" s="55" t="s">
        <v>20</v>
      </c>
      <c r="G166" s="55" t="s">
        <v>20</v>
      </c>
      <c r="H166" s="55" t="s">
        <v>300</v>
      </c>
      <c r="I166" s="55" t="s">
        <v>309</v>
      </c>
      <c r="J166" s="81"/>
      <c r="K166" s="84">
        <v>3.89</v>
      </c>
      <c r="L166" s="81"/>
      <c r="M166" s="84">
        <v>3.89</v>
      </c>
      <c r="N166" s="85" t="s">
        <v>28</v>
      </c>
      <c r="O166" s="71"/>
      <c r="P166" s="49" t="str">
        <f t="shared" ref="P166:Q166" si="150">IF(J166="","",J166-L166)</f>
        <v/>
      </c>
      <c r="Q166" s="50">
        <f t="shared" si="150"/>
        <v>0</v>
      </c>
      <c r="R166" s="7"/>
      <c r="S166" s="7"/>
      <c r="T166" s="7"/>
      <c r="U166" s="7"/>
      <c r="V166" s="7"/>
      <c r="W166" s="7"/>
      <c r="X166" s="7"/>
      <c r="Y166" s="7"/>
      <c r="Z166" s="7"/>
      <c r="AA166" s="7" t="str">
        <f t="shared" ref="AA166:AA194" si="152">IF(K166=0,"",IF(AND(K166&gt;0,K166&gt;M166),K166-M166,""))</f>
        <v/>
      </c>
      <c r="AB166" s="7" t="str">
        <f t="shared" ref="AB166:AB194" si="153">IF(J166=0,"",IF(AND(J166&gt;0,J166&gt;L166),J166-L166,""))</f>
        <v/>
      </c>
      <c r="AC166" s="7"/>
      <c r="AD166" s="7"/>
      <c r="AE166" s="51" t="s">
        <v>195</v>
      </c>
      <c r="AF166" s="7"/>
      <c r="AG166" s="7"/>
      <c r="AH166" s="7"/>
      <c r="AI166" s="7"/>
      <c r="AJ166" s="7"/>
    </row>
    <row r="167">
      <c r="A167" s="40"/>
      <c r="B167" s="14"/>
      <c r="C167" s="41"/>
      <c r="D167" s="111">
        <v>46030.0</v>
      </c>
      <c r="E167" s="83" t="s">
        <v>209</v>
      </c>
      <c r="F167" s="58" t="s">
        <v>126</v>
      </c>
      <c r="G167" s="58" t="s">
        <v>20</v>
      </c>
      <c r="H167" s="58" t="s">
        <v>300</v>
      </c>
      <c r="I167" s="58" t="s">
        <v>99</v>
      </c>
      <c r="J167" s="76"/>
      <c r="K167" s="77">
        <v>11.78</v>
      </c>
      <c r="L167" s="76"/>
      <c r="M167" s="77">
        <v>11.78</v>
      </c>
      <c r="N167" s="78" t="s">
        <v>28</v>
      </c>
      <c r="O167" s="71"/>
      <c r="P167" s="49" t="str">
        <f t="shared" ref="P167:Q167" si="151">IF(J167="","",J167-L167)</f>
        <v/>
      </c>
      <c r="Q167" s="50">
        <f t="shared" si="151"/>
        <v>0</v>
      </c>
      <c r="R167" s="7"/>
      <c r="S167" s="7"/>
      <c r="T167" s="7"/>
      <c r="U167" s="7"/>
      <c r="V167" s="7"/>
      <c r="W167" s="7"/>
      <c r="X167" s="7"/>
      <c r="Y167" s="7"/>
      <c r="Z167" s="7"/>
      <c r="AA167" s="7" t="str">
        <f t="shared" si="152"/>
        <v/>
      </c>
      <c r="AB167" s="7" t="str">
        <f t="shared" si="153"/>
        <v/>
      </c>
      <c r="AC167" s="7"/>
      <c r="AD167" s="7"/>
      <c r="AE167" s="51" t="s">
        <v>318</v>
      </c>
      <c r="AF167" s="7"/>
      <c r="AG167" s="7"/>
      <c r="AH167" s="7"/>
      <c r="AI167" s="7"/>
      <c r="AJ167" s="7"/>
    </row>
    <row r="168">
      <c r="A168" s="40"/>
      <c r="B168" s="14"/>
      <c r="C168" s="41"/>
      <c r="D168" s="112">
        <v>46030.0</v>
      </c>
      <c r="E168" s="80" t="s">
        <v>319</v>
      </c>
      <c r="F168" s="55" t="s">
        <v>320</v>
      </c>
      <c r="G168" s="55" t="s">
        <v>44</v>
      </c>
      <c r="H168" s="55" t="s">
        <v>45</v>
      </c>
      <c r="I168" s="55" t="s">
        <v>46</v>
      </c>
      <c r="J168" s="81"/>
      <c r="K168" s="84">
        <v>58.33</v>
      </c>
      <c r="L168" s="81"/>
      <c r="M168" s="84">
        <v>58.33</v>
      </c>
      <c r="N168" s="115" t="s">
        <v>41</v>
      </c>
      <c r="O168" s="48"/>
      <c r="P168" s="49" t="str">
        <f t="shared" ref="P168:Q168" si="154">IF(J168="","",J168-L168)</f>
        <v/>
      </c>
      <c r="Q168" s="50">
        <f t="shared" si="154"/>
        <v>0</v>
      </c>
      <c r="R168" s="7"/>
      <c r="S168" s="7"/>
      <c r="T168" s="7"/>
      <c r="U168" s="7"/>
      <c r="V168" s="7"/>
      <c r="W168" s="7"/>
      <c r="X168" s="7"/>
      <c r="Y168" s="7"/>
      <c r="Z168" s="7"/>
      <c r="AA168" s="7" t="str">
        <f t="shared" si="152"/>
        <v/>
      </c>
      <c r="AB168" s="7" t="str">
        <f t="shared" si="153"/>
        <v/>
      </c>
      <c r="AC168" s="7"/>
      <c r="AD168" s="7"/>
      <c r="AE168" s="51" t="s">
        <v>321</v>
      </c>
      <c r="AF168" s="7"/>
      <c r="AG168" s="7"/>
      <c r="AH168" s="7"/>
      <c r="AI168" s="7"/>
      <c r="AJ168" s="7"/>
    </row>
    <row r="169">
      <c r="A169" s="40"/>
      <c r="B169" s="14"/>
      <c r="C169" s="41"/>
      <c r="D169" s="111">
        <v>46030.0</v>
      </c>
      <c r="E169" s="83" t="s">
        <v>57</v>
      </c>
      <c r="F169" s="58" t="s">
        <v>20</v>
      </c>
      <c r="G169" s="58" t="s">
        <v>20</v>
      </c>
      <c r="H169" s="58" t="s">
        <v>45</v>
      </c>
      <c r="I169" s="58" t="s">
        <v>309</v>
      </c>
      <c r="J169" s="76"/>
      <c r="K169" s="77">
        <v>15.13</v>
      </c>
      <c r="L169" s="76"/>
      <c r="M169" s="77">
        <v>15.13</v>
      </c>
      <c r="N169" s="116" t="s">
        <v>41</v>
      </c>
      <c r="O169" s="48"/>
      <c r="P169" s="49" t="str">
        <f t="shared" ref="P169:Q169" si="155">IF(J169="","",J169-L169)</f>
        <v/>
      </c>
      <c r="Q169" s="50">
        <f t="shared" si="155"/>
        <v>0</v>
      </c>
      <c r="R169" s="7"/>
      <c r="S169" s="7"/>
      <c r="T169" s="7"/>
      <c r="U169" s="7"/>
      <c r="V169" s="7"/>
      <c r="W169" s="7"/>
      <c r="X169" s="7"/>
      <c r="Y169" s="7"/>
      <c r="Z169" s="7"/>
      <c r="AA169" s="7" t="str">
        <f t="shared" si="152"/>
        <v/>
      </c>
      <c r="AB169" s="7" t="str">
        <f t="shared" si="153"/>
        <v/>
      </c>
      <c r="AC169" s="7"/>
      <c r="AD169" s="7"/>
      <c r="AE169" s="51" t="s">
        <v>192</v>
      </c>
      <c r="AF169" s="7"/>
      <c r="AG169" s="7"/>
      <c r="AH169" s="7"/>
      <c r="AI169" s="7"/>
      <c r="AJ169" s="7"/>
    </row>
    <row r="170">
      <c r="A170" s="40"/>
      <c r="B170" s="14"/>
      <c r="C170" s="41"/>
      <c r="D170" s="112">
        <v>46030.0</v>
      </c>
      <c r="E170" s="106" t="s">
        <v>196</v>
      </c>
      <c r="F170" s="88" t="s">
        <v>322</v>
      </c>
      <c r="G170" s="88" t="s">
        <v>44</v>
      </c>
      <c r="H170" s="55" t="s">
        <v>45</v>
      </c>
      <c r="I170" s="88" t="s">
        <v>46</v>
      </c>
      <c r="J170" s="81"/>
      <c r="K170" s="84">
        <v>57.92</v>
      </c>
      <c r="L170" s="81"/>
      <c r="M170" s="84">
        <v>57.92</v>
      </c>
      <c r="N170" s="115" t="s">
        <v>41</v>
      </c>
      <c r="O170" s="48"/>
      <c r="P170" s="79" t="str">
        <f t="shared" ref="P170:Q170" si="156">IF(J170="","",J170-L170)</f>
        <v/>
      </c>
      <c r="Q170" s="68">
        <f t="shared" si="156"/>
        <v>0</v>
      </c>
      <c r="R170" s="7"/>
      <c r="S170" s="7"/>
      <c r="T170" s="7"/>
      <c r="U170" s="7"/>
      <c r="V170" s="7"/>
      <c r="W170" s="7"/>
      <c r="X170" s="7"/>
      <c r="Y170" s="7"/>
      <c r="Z170" s="7"/>
      <c r="AA170" s="7" t="str">
        <f t="shared" si="152"/>
        <v/>
      </c>
      <c r="AB170" s="7" t="str">
        <f t="shared" si="153"/>
        <v/>
      </c>
      <c r="AC170" s="7"/>
      <c r="AD170" s="7"/>
      <c r="AE170" s="51" t="s">
        <v>323</v>
      </c>
      <c r="AF170" s="7"/>
      <c r="AG170" s="7"/>
      <c r="AH170" s="7"/>
      <c r="AI170" s="7"/>
      <c r="AJ170" s="7"/>
    </row>
    <row r="171">
      <c r="A171" s="40"/>
      <c r="B171" s="14"/>
      <c r="C171" s="41"/>
      <c r="D171" s="111">
        <v>46030.0</v>
      </c>
      <c r="E171" s="43" t="s">
        <v>324</v>
      </c>
      <c r="F171" s="58" t="s">
        <v>325</v>
      </c>
      <c r="G171" s="58" t="s">
        <v>44</v>
      </c>
      <c r="H171" s="58" t="s">
        <v>45</v>
      </c>
      <c r="I171" s="44" t="s">
        <v>46</v>
      </c>
      <c r="J171" s="76"/>
      <c r="K171" s="77">
        <v>48.56</v>
      </c>
      <c r="L171" s="76"/>
      <c r="M171" s="77">
        <v>48.56</v>
      </c>
      <c r="N171" s="116" t="s">
        <v>41</v>
      </c>
      <c r="O171" s="48"/>
      <c r="P171" s="79" t="str">
        <f t="shared" ref="P171:Q171" si="157">IF(J171="","",J171-L171)</f>
        <v/>
      </c>
      <c r="Q171" s="68">
        <f t="shared" si="157"/>
        <v>0</v>
      </c>
      <c r="R171" s="7"/>
      <c r="S171" s="7"/>
      <c r="T171" s="7"/>
      <c r="U171" s="7"/>
      <c r="V171" s="7"/>
      <c r="W171" s="7"/>
      <c r="X171" s="7"/>
      <c r="Y171" s="7"/>
      <c r="Z171" s="7"/>
      <c r="AA171" s="7" t="str">
        <f t="shared" si="152"/>
        <v/>
      </c>
      <c r="AB171" s="7" t="str">
        <f t="shared" si="153"/>
        <v/>
      </c>
      <c r="AC171" s="7"/>
      <c r="AD171" s="7"/>
      <c r="AE171" s="51" t="s">
        <v>326</v>
      </c>
      <c r="AF171" s="7"/>
      <c r="AG171" s="7"/>
      <c r="AH171" s="7"/>
      <c r="AI171" s="7"/>
      <c r="AJ171" s="7"/>
    </row>
    <row r="172">
      <c r="A172" s="40"/>
      <c r="B172" s="14"/>
      <c r="C172" s="41"/>
      <c r="D172" s="112">
        <v>46030.0</v>
      </c>
      <c r="E172" s="106" t="s">
        <v>50</v>
      </c>
      <c r="F172" s="55" t="s">
        <v>327</v>
      </c>
      <c r="G172" s="55" t="s">
        <v>44</v>
      </c>
      <c r="H172" s="55" t="s">
        <v>45</v>
      </c>
      <c r="I172" s="88" t="s">
        <v>46</v>
      </c>
      <c r="J172" s="81"/>
      <c r="K172" s="84">
        <v>16.99</v>
      </c>
      <c r="L172" s="81"/>
      <c r="M172" s="84">
        <v>16.99</v>
      </c>
      <c r="N172" s="115" t="s">
        <v>41</v>
      </c>
      <c r="O172" s="48"/>
      <c r="P172" s="79" t="str">
        <f t="shared" ref="P172:Q172" si="158">IF(J172="","",J172-L172)</f>
        <v/>
      </c>
      <c r="Q172" s="68">
        <f t="shared" si="158"/>
        <v>0</v>
      </c>
      <c r="R172" s="7"/>
      <c r="S172" s="7"/>
      <c r="T172" s="7"/>
      <c r="U172" s="7"/>
      <c r="V172" s="7"/>
      <c r="W172" s="7"/>
      <c r="X172" s="7"/>
      <c r="Y172" s="7"/>
      <c r="Z172" s="7"/>
      <c r="AA172" s="7" t="str">
        <f t="shared" si="152"/>
        <v/>
      </c>
      <c r="AB172" s="7" t="str">
        <f t="shared" si="153"/>
        <v/>
      </c>
      <c r="AC172" s="7"/>
      <c r="AD172" s="7"/>
      <c r="AE172" s="51" t="s">
        <v>328</v>
      </c>
      <c r="AF172" s="7"/>
      <c r="AG172" s="7"/>
      <c r="AH172" s="7"/>
      <c r="AI172" s="7"/>
      <c r="AJ172" s="7"/>
    </row>
    <row r="173">
      <c r="A173" s="40"/>
      <c r="B173" s="14"/>
      <c r="C173" s="41"/>
      <c r="D173" s="111">
        <v>46030.0</v>
      </c>
      <c r="E173" s="83" t="s">
        <v>208</v>
      </c>
      <c r="F173" s="58" t="s">
        <v>329</v>
      </c>
      <c r="G173" s="58" t="s">
        <v>44</v>
      </c>
      <c r="H173" s="58" t="s">
        <v>45</v>
      </c>
      <c r="I173" s="44" t="s">
        <v>46</v>
      </c>
      <c r="J173" s="76"/>
      <c r="K173" s="77">
        <v>77.16</v>
      </c>
      <c r="L173" s="76"/>
      <c r="M173" s="77">
        <v>77.16</v>
      </c>
      <c r="N173" s="116" t="s">
        <v>41</v>
      </c>
      <c r="O173" s="48"/>
      <c r="P173" s="79" t="str">
        <f t="shared" ref="P173:Q173" si="159">IF(J173="","",J173-L173)</f>
        <v/>
      </c>
      <c r="Q173" s="68">
        <f t="shared" si="159"/>
        <v>0</v>
      </c>
      <c r="R173" s="7"/>
      <c r="S173" s="7"/>
      <c r="T173" s="7"/>
      <c r="U173" s="7"/>
      <c r="V173" s="7"/>
      <c r="W173" s="7"/>
      <c r="X173" s="7"/>
      <c r="Y173" s="7"/>
      <c r="Z173" s="7"/>
      <c r="AA173" s="7" t="str">
        <f t="shared" si="152"/>
        <v/>
      </c>
      <c r="AB173" s="7" t="str">
        <f t="shared" si="153"/>
        <v/>
      </c>
      <c r="AC173" s="7"/>
      <c r="AD173" s="7"/>
      <c r="AE173" s="51" t="s">
        <v>279</v>
      </c>
      <c r="AF173" s="7"/>
      <c r="AG173" s="7"/>
      <c r="AH173" s="7"/>
      <c r="AI173" s="7"/>
      <c r="AJ173" s="7"/>
    </row>
    <row r="174">
      <c r="A174" s="40"/>
      <c r="B174" s="14"/>
      <c r="C174" s="41"/>
      <c r="D174" s="112">
        <v>46030.0</v>
      </c>
      <c r="E174" s="80" t="s">
        <v>50</v>
      </c>
      <c r="F174" s="55" t="s">
        <v>330</v>
      </c>
      <c r="G174" s="55" t="s">
        <v>44</v>
      </c>
      <c r="H174" s="55" t="s">
        <v>45</v>
      </c>
      <c r="I174" s="88" t="s">
        <v>46</v>
      </c>
      <c r="J174" s="81"/>
      <c r="K174" s="84">
        <v>74.39</v>
      </c>
      <c r="L174" s="81"/>
      <c r="M174" s="84">
        <v>74.39</v>
      </c>
      <c r="N174" s="115" t="s">
        <v>41</v>
      </c>
      <c r="O174" s="71"/>
      <c r="P174" s="79" t="str">
        <f t="shared" ref="P174:Q174" si="160">IF(J174="","",J174-L174)</f>
        <v/>
      </c>
      <c r="Q174" s="68">
        <f t="shared" si="160"/>
        <v>0</v>
      </c>
      <c r="R174" s="7"/>
      <c r="S174" s="7"/>
      <c r="T174" s="7"/>
      <c r="U174" s="7"/>
      <c r="V174" s="7"/>
      <c r="W174" s="7"/>
      <c r="X174" s="7"/>
      <c r="Y174" s="7"/>
      <c r="Z174" s="7"/>
      <c r="AA174" s="7" t="str">
        <f t="shared" si="152"/>
        <v/>
      </c>
      <c r="AB174" s="7" t="str">
        <f t="shared" si="153"/>
        <v/>
      </c>
      <c r="AC174" s="7"/>
      <c r="AD174" s="7"/>
      <c r="AE174" s="51" t="s">
        <v>331</v>
      </c>
      <c r="AF174" s="7"/>
      <c r="AG174" s="7"/>
      <c r="AH174" s="7"/>
      <c r="AI174" s="7"/>
      <c r="AJ174" s="7"/>
    </row>
    <row r="175">
      <c r="A175" s="40"/>
      <c r="B175" s="14"/>
      <c r="C175" s="41"/>
      <c r="D175" s="111">
        <v>46030.0</v>
      </c>
      <c r="E175" s="83" t="s">
        <v>332</v>
      </c>
      <c r="F175" s="104" t="s">
        <v>333</v>
      </c>
      <c r="G175" s="44" t="s">
        <v>44</v>
      </c>
      <c r="H175" s="58" t="s">
        <v>45</v>
      </c>
      <c r="I175" s="44" t="s">
        <v>46</v>
      </c>
      <c r="J175" s="76"/>
      <c r="K175" s="77">
        <v>20.36</v>
      </c>
      <c r="L175" s="76"/>
      <c r="M175" s="77">
        <v>20.36</v>
      </c>
      <c r="N175" s="116" t="s">
        <v>41</v>
      </c>
      <c r="O175" s="71"/>
      <c r="P175" s="49" t="str">
        <f t="shared" ref="P175:Q175" si="161">IF(J175="","",J175-L175)</f>
        <v/>
      </c>
      <c r="Q175" s="68">
        <f t="shared" si="161"/>
        <v>0</v>
      </c>
      <c r="R175" s="7"/>
      <c r="S175" s="7"/>
      <c r="T175" s="7"/>
      <c r="U175" s="7"/>
      <c r="V175" s="7"/>
      <c r="W175" s="7"/>
      <c r="X175" s="7"/>
      <c r="Y175" s="7"/>
      <c r="Z175" s="7"/>
      <c r="AA175" s="7" t="str">
        <f t="shared" si="152"/>
        <v/>
      </c>
      <c r="AB175" s="7" t="str">
        <f t="shared" si="153"/>
        <v/>
      </c>
      <c r="AC175" s="7"/>
      <c r="AD175" s="7"/>
      <c r="AE175" s="51" t="s">
        <v>42</v>
      </c>
      <c r="AF175" s="7"/>
      <c r="AG175" s="7"/>
      <c r="AH175" s="7"/>
      <c r="AI175" s="7"/>
      <c r="AJ175" s="7"/>
    </row>
    <row r="176">
      <c r="A176" s="40"/>
      <c r="B176" s="14"/>
      <c r="C176" s="41"/>
      <c r="D176" s="112">
        <v>46030.0</v>
      </c>
      <c r="E176" s="80" t="s">
        <v>53</v>
      </c>
      <c r="F176" s="88" t="s">
        <v>334</v>
      </c>
      <c r="G176" s="88" t="s">
        <v>44</v>
      </c>
      <c r="H176" s="55" t="s">
        <v>45</v>
      </c>
      <c r="I176" s="88" t="s">
        <v>46</v>
      </c>
      <c r="J176" s="81"/>
      <c r="K176" s="84">
        <v>25.2</v>
      </c>
      <c r="L176" s="81"/>
      <c r="M176" s="84">
        <v>25.2</v>
      </c>
      <c r="N176" s="115" t="s">
        <v>41</v>
      </c>
      <c r="O176" s="48"/>
      <c r="P176" s="79" t="str">
        <f t="shared" ref="P176:Q176" si="162">IF(J176="","",J176-L176)</f>
        <v/>
      </c>
      <c r="Q176" s="68">
        <f t="shared" si="162"/>
        <v>0</v>
      </c>
      <c r="R176" s="7"/>
      <c r="S176" s="7"/>
      <c r="T176" s="7"/>
      <c r="U176" s="7"/>
      <c r="V176" s="7"/>
      <c r="W176" s="7"/>
      <c r="X176" s="7"/>
      <c r="Y176" s="7"/>
      <c r="Z176" s="7"/>
      <c r="AA176" s="7" t="str">
        <f t="shared" si="152"/>
        <v/>
      </c>
      <c r="AB176" s="7" t="str">
        <f t="shared" si="153"/>
        <v/>
      </c>
      <c r="AC176" s="7"/>
      <c r="AD176" s="7"/>
      <c r="AE176" s="51" t="s">
        <v>47</v>
      </c>
      <c r="AF176" s="7"/>
      <c r="AG176" s="7"/>
      <c r="AH176" s="7"/>
      <c r="AI176" s="7"/>
      <c r="AJ176" s="7"/>
    </row>
    <row r="177">
      <c r="A177" s="40"/>
      <c r="B177" s="14"/>
      <c r="C177" s="41"/>
      <c r="D177" s="111">
        <v>46030.0</v>
      </c>
      <c r="E177" s="83" t="s">
        <v>335</v>
      </c>
      <c r="F177" s="58" t="s">
        <v>20</v>
      </c>
      <c r="G177" s="58" t="s">
        <v>20</v>
      </c>
      <c r="H177" s="58" t="s">
        <v>20</v>
      </c>
      <c r="I177" s="58" t="s">
        <v>20</v>
      </c>
      <c r="J177" s="76"/>
      <c r="K177" s="76"/>
      <c r="L177" s="76"/>
      <c r="M177" s="76"/>
      <c r="N177" s="116" t="s">
        <v>41</v>
      </c>
      <c r="O177" s="48"/>
      <c r="P177" s="79" t="str">
        <f t="shared" ref="P177:Q177" si="163">IF(J177="","",J177-L177)</f>
        <v/>
      </c>
      <c r="Q177" s="68" t="str">
        <f t="shared" si="163"/>
        <v/>
      </c>
      <c r="R177" s="7"/>
      <c r="S177" s="7"/>
      <c r="T177" s="7"/>
      <c r="U177" s="7"/>
      <c r="V177" s="7"/>
      <c r="W177" s="7"/>
      <c r="X177" s="7"/>
      <c r="Y177" s="7"/>
      <c r="Z177" s="7"/>
      <c r="AA177" s="7" t="str">
        <f t="shared" si="152"/>
        <v/>
      </c>
      <c r="AB177" s="7" t="str">
        <f t="shared" si="153"/>
        <v/>
      </c>
      <c r="AC177" s="7"/>
      <c r="AD177" s="7"/>
      <c r="AE177" s="51" t="s">
        <v>50</v>
      </c>
      <c r="AF177" s="7"/>
      <c r="AG177" s="7"/>
      <c r="AH177" s="7"/>
      <c r="AI177" s="7"/>
      <c r="AJ177" s="7"/>
    </row>
    <row r="178">
      <c r="A178" s="40"/>
      <c r="B178" s="14"/>
      <c r="C178" s="41"/>
      <c r="D178" s="112">
        <v>46030.0</v>
      </c>
      <c r="E178" s="80" t="s">
        <v>335</v>
      </c>
      <c r="F178" s="55" t="s">
        <v>20</v>
      </c>
      <c r="G178" s="55" t="s">
        <v>20</v>
      </c>
      <c r="H178" s="55" t="s">
        <v>20</v>
      </c>
      <c r="I178" s="55" t="s">
        <v>20</v>
      </c>
      <c r="J178" s="81"/>
      <c r="K178" s="84"/>
      <c r="L178" s="81"/>
      <c r="M178" s="84"/>
      <c r="N178" s="82"/>
      <c r="O178" s="48"/>
      <c r="P178" s="79" t="str">
        <f t="shared" ref="P178:Q178" si="164">IF(J178="","",J178-L178)</f>
        <v/>
      </c>
      <c r="Q178" s="68" t="str">
        <f t="shared" si="164"/>
        <v/>
      </c>
      <c r="R178" s="7"/>
      <c r="S178" s="7"/>
      <c r="T178" s="7"/>
      <c r="U178" s="7"/>
      <c r="V178" s="7"/>
      <c r="W178" s="7"/>
      <c r="X178" s="7"/>
      <c r="Y178" s="7"/>
      <c r="Z178" s="7"/>
      <c r="AA178" s="7" t="str">
        <f t="shared" si="152"/>
        <v/>
      </c>
      <c r="AB178" s="7" t="str">
        <f t="shared" si="153"/>
        <v/>
      </c>
      <c r="AC178" s="7"/>
      <c r="AD178" s="7"/>
      <c r="AE178" s="51" t="s">
        <v>189</v>
      </c>
      <c r="AF178" s="7"/>
      <c r="AG178" s="7"/>
      <c r="AH178" s="7"/>
      <c r="AI178" s="7"/>
      <c r="AJ178" s="7"/>
    </row>
    <row r="179">
      <c r="A179" s="40"/>
      <c r="B179" s="14"/>
      <c r="C179" s="41"/>
      <c r="D179" s="111">
        <v>46031.0</v>
      </c>
      <c r="E179" s="43" t="s">
        <v>19</v>
      </c>
      <c r="F179" s="44" t="s">
        <v>20</v>
      </c>
      <c r="G179" s="44" t="s">
        <v>20</v>
      </c>
      <c r="H179" s="44" t="s">
        <v>21</v>
      </c>
      <c r="I179" s="44" t="s">
        <v>22</v>
      </c>
      <c r="J179" s="77">
        <v>280.0</v>
      </c>
      <c r="K179" s="77"/>
      <c r="L179" s="77">
        <v>208.0</v>
      </c>
      <c r="M179" s="76"/>
      <c r="N179" s="47" t="s">
        <v>23</v>
      </c>
      <c r="O179" s="48"/>
      <c r="P179" s="79">
        <f t="shared" ref="P179:Q179" si="165">IF(J179="","",J179-L179)</f>
        <v>72</v>
      </c>
      <c r="Q179" s="68" t="str">
        <f t="shared" si="165"/>
        <v/>
      </c>
      <c r="R179" s="7"/>
      <c r="S179" s="7"/>
      <c r="T179" s="7"/>
      <c r="U179" s="7"/>
      <c r="V179" s="7"/>
      <c r="W179" s="7"/>
      <c r="X179" s="7"/>
      <c r="Y179" s="7"/>
      <c r="Z179" s="7"/>
      <c r="AA179" s="7" t="str">
        <f t="shared" si="152"/>
        <v/>
      </c>
      <c r="AB179" s="117">
        <f t="shared" si="153"/>
        <v>72</v>
      </c>
      <c r="AC179" s="7"/>
      <c r="AD179" s="7"/>
      <c r="AE179" s="51" t="s">
        <v>196</v>
      </c>
      <c r="AF179" s="7"/>
      <c r="AG179" s="7"/>
      <c r="AH179" s="7"/>
      <c r="AI179" s="7"/>
      <c r="AJ179" s="7"/>
    </row>
    <row r="180">
      <c r="A180" s="40"/>
      <c r="B180" s="14"/>
      <c r="C180" s="41"/>
      <c r="D180" s="112">
        <v>46031.0</v>
      </c>
      <c r="E180" s="54" t="s">
        <v>25</v>
      </c>
      <c r="F180" s="55" t="s">
        <v>20</v>
      </c>
      <c r="G180" s="55" t="s">
        <v>20</v>
      </c>
      <c r="H180" s="55" t="s">
        <v>26</v>
      </c>
      <c r="I180" s="55" t="s">
        <v>27</v>
      </c>
      <c r="J180" s="81"/>
      <c r="K180" s="81"/>
      <c r="L180" s="81"/>
      <c r="M180" s="81"/>
      <c r="N180" s="57" t="s">
        <v>28</v>
      </c>
      <c r="O180" s="48"/>
      <c r="P180" s="79" t="str">
        <f t="shared" ref="P180:Q180" si="166">IF(J180="","",J180-L180)</f>
        <v/>
      </c>
      <c r="Q180" s="68" t="str">
        <f t="shared" si="166"/>
        <v/>
      </c>
      <c r="R180" s="7"/>
      <c r="S180" s="7"/>
      <c r="T180" s="7"/>
      <c r="U180" s="7"/>
      <c r="V180" s="7"/>
      <c r="W180" s="7"/>
      <c r="X180" s="7"/>
      <c r="Y180" s="7"/>
      <c r="Z180" s="7"/>
      <c r="AA180" s="7" t="str">
        <f t="shared" si="152"/>
        <v/>
      </c>
      <c r="AB180" s="7" t="str">
        <f t="shared" si="153"/>
        <v/>
      </c>
      <c r="AC180" s="7"/>
      <c r="AD180" s="7"/>
      <c r="AE180" s="51" t="s">
        <v>194</v>
      </c>
      <c r="AF180" s="7"/>
      <c r="AG180" s="7"/>
      <c r="AH180" s="7"/>
      <c r="AI180" s="7"/>
      <c r="AJ180" s="7"/>
    </row>
    <row r="181">
      <c r="A181" s="40"/>
      <c r="B181" s="14"/>
      <c r="C181" s="41"/>
      <c r="D181" s="111">
        <v>46031.0</v>
      </c>
      <c r="E181" s="43" t="s">
        <v>30</v>
      </c>
      <c r="F181" s="58" t="s">
        <v>20</v>
      </c>
      <c r="G181" s="58" t="s">
        <v>20</v>
      </c>
      <c r="H181" s="58" t="s">
        <v>31</v>
      </c>
      <c r="I181" s="59" t="s">
        <v>32</v>
      </c>
      <c r="J181" s="76"/>
      <c r="K181" s="76"/>
      <c r="L181" s="76"/>
      <c r="M181" s="76"/>
      <c r="N181" s="61" t="s">
        <v>33</v>
      </c>
      <c r="O181" s="48"/>
      <c r="P181" s="79" t="str">
        <f t="shared" ref="P181:Q181" si="167">IF(J181="","",J181-L181)</f>
        <v/>
      </c>
      <c r="Q181" s="68" t="str">
        <f t="shared" si="167"/>
        <v/>
      </c>
      <c r="R181" s="7"/>
      <c r="S181" s="7"/>
      <c r="T181" s="7"/>
      <c r="U181" s="7"/>
      <c r="V181" s="7"/>
      <c r="W181" s="7"/>
      <c r="X181" s="7"/>
      <c r="Y181" s="7"/>
      <c r="Z181" s="7"/>
      <c r="AA181" s="7" t="str">
        <f t="shared" si="152"/>
        <v/>
      </c>
      <c r="AB181" s="7" t="str">
        <f t="shared" si="153"/>
        <v/>
      </c>
      <c r="AC181" s="7"/>
      <c r="AD181" s="7"/>
      <c r="AE181" s="51" t="s">
        <v>204</v>
      </c>
      <c r="AF181" s="7"/>
      <c r="AG181" s="7"/>
      <c r="AH181" s="7"/>
      <c r="AI181" s="7"/>
      <c r="AJ181" s="7"/>
    </row>
    <row r="182">
      <c r="A182" s="40"/>
      <c r="B182" s="14"/>
      <c r="C182" s="41"/>
      <c r="D182" s="112">
        <v>46031.0</v>
      </c>
      <c r="E182" s="54" t="s">
        <v>35</v>
      </c>
      <c r="F182" s="55" t="s">
        <v>20</v>
      </c>
      <c r="G182" s="55" t="s">
        <v>20</v>
      </c>
      <c r="H182" s="55" t="s">
        <v>36</v>
      </c>
      <c r="I182" s="55" t="s">
        <v>37</v>
      </c>
      <c r="J182" s="81"/>
      <c r="K182" s="81"/>
      <c r="L182" s="81"/>
      <c r="M182" s="81"/>
      <c r="N182" s="57" t="s">
        <v>38</v>
      </c>
      <c r="O182" s="48"/>
      <c r="P182" s="79" t="str">
        <f t="shared" ref="P182:Q182" si="168">IF(J182="","",J182-L182)</f>
        <v/>
      </c>
      <c r="Q182" s="68" t="str">
        <f t="shared" si="168"/>
        <v/>
      </c>
      <c r="R182" s="7"/>
      <c r="S182" s="7"/>
      <c r="T182" s="7"/>
      <c r="U182" s="7"/>
      <c r="V182" s="7"/>
      <c r="W182" s="7"/>
      <c r="X182" s="7"/>
      <c r="Y182" s="7"/>
      <c r="Z182" s="7"/>
      <c r="AA182" s="7" t="str">
        <f t="shared" si="152"/>
        <v/>
      </c>
      <c r="AB182" s="7" t="str">
        <f t="shared" si="153"/>
        <v/>
      </c>
      <c r="AC182" s="7"/>
      <c r="AD182" s="7"/>
      <c r="AE182" s="51" t="s">
        <v>208</v>
      </c>
      <c r="AF182" s="7"/>
      <c r="AG182" s="7"/>
      <c r="AH182" s="7"/>
      <c r="AI182" s="7"/>
      <c r="AJ182" s="7"/>
    </row>
    <row r="183">
      <c r="A183" s="40"/>
      <c r="B183" s="14"/>
      <c r="C183" s="41"/>
      <c r="D183" s="111">
        <v>46031.0</v>
      </c>
      <c r="E183" s="43" t="s">
        <v>40</v>
      </c>
      <c r="F183" s="58" t="s">
        <v>20</v>
      </c>
      <c r="G183" s="58" t="s">
        <v>20</v>
      </c>
      <c r="H183" s="58" t="s">
        <v>36</v>
      </c>
      <c r="I183" s="58" t="s">
        <v>37</v>
      </c>
      <c r="J183" s="76"/>
      <c r="K183" s="76"/>
      <c r="L183" s="76"/>
      <c r="M183" s="76"/>
      <c r="N183" s="61" t="s">
        <v>41</v>
      </c>
      <c r="O183" s="48"/>
      <c r="P183" s="79" t="str">
        <f t="shared" ref="P183:Q183" si="169">IF(J183="","",J183-L183)</f>
        <v/>
      </c>
      <c r="Q183" s="68" t="str">
        <f t="shared" si="169"/>
        <v/>
      </c>
      <c r="R183" s="7"/>
      <c r="S183" s="7"/>
      <c r="T183" s="7"/>
      <c r="U183" s="7"/>
      <c r="V183" s="7"/>
      <c r="W183" s="7"/>
      <c r="X183" s="7"/>
      <c r="Y183" s="7"/>
      <c r="Z183" s="7"/>
      <c r="AA183" s="7" t="str">
        <f t="shared" si="152"/>
        <v/>
      </c>
      <c r="AB183" s="7" t="str">
        <f t="shared" si="153"/>
        <v/>
      </c>
      <c r="AC183" s="7"/>
      <c r="AD183" s="7"/>
      <c r="AE183" s="51" t="s">
        <v>336</v>
      </c>
      <c r="AF183" s="7"/>
      <c r="AG183" s="7"/>
      <c r="AH183" s="7"/>
      <c r="AI183" s="7"/>
      <c r="AJ183" s="7"/>
    </row>
    <row r="184">
      <c r="A184" s="40"/>
      <c r="B184" s="14"/>
      <c r="C184" s="41"/>
      <c r="D184" s="112">
        <v>46031.0</v>
      </c>
      <c r="E184" s="80" t="s">
        <v>96</v>
      </c>
      <c r="F184" s="55" t="s">
        <v>97</v>
      </c>
      <c r="G184" s="55" t="s">
        <v>91</v>
      </c>
      <c r="H184" s="55" t="s">
        <v>274</v>
      </c>
      <c r="I184" s="55" t="s">
        <v>99</v>
      </c>
      <c r="J184" s="81"/>
      <c r="K184" s="84">
        <v>23.0</v>
      </c>
      <c r="L184" s="81"/>
      <c r="M184" s="84">
        <v>23.0</v>
      </c>
      <c r="N184" s="85" t="s">
        <v>38</v>
      </c>
      <c r="O184" s="71"/>
      <c r="P184" s="79" t="str">
        <f t="shared" ref="P184:Q184" si="170">IF(J184="","",J184-L184)</f>
        <v/>
      </c>
      <c r="Q184" s="68">
        <f t="shared" si="170"/>
        <v>0</v>
      </c>
      <c r="R184" s="7"/>
      <c r="S184" s="7"/>
      <c r="T184" s="7"/>
      <c r="U184" s="7"/>
      <c r="V184" s="7"/>
      <c r="W184" s="7"/>
      <c r="X184" s="7"/>
      <c r="Y184" s="7"/>
      <c r="Z184" s="7"/>
      <c r="AA184" s="7" t="str">
        <f t="shared" si="152"/>
        <v/>
      </c>
      <c r="AB184" s="7" t="str">
        <f t="shared" si="153"/>
        <v/>
      </c>
      <c r="AC184" s="7"/>
      <c r="AD184" s="7"/>
      <c r="AE184" s="51" t="s">
        <v>337</v>
      </c>
      <c r="AF184" s="7"/>
      <c r="AG184" s="7"/>
      <c r="AH184" s="7"/>
      <c r="AI184" s="7"/>
      <c r="AJ184" s="7"/>
    </row>
    <row r="185">
      <c r="A185" s="40"/>
      <c r="B185" s="14"/>
      <c r="C185" s="41"/>
      <c r="D185" s="111">
        <v>46031.0</v>
      </c>
      <c r="E185" s="83" t="s">
        <v>337</v>
      </c>
      <c r="F185" s="58" t="s">
        <v>20</v>
      </c>
      <c r="G185" s="58" t="s">
        <v>44</v>
      </c>
      <c r="H185" s="58" t="s">
        <v>45</v>
      </c>
      <c r="I185" s="58" t="s">
        <v>46</v>
      </c>
      <c r="J185" s="76"/>
      <c r="K185" s="77">
        <v>70.0</v>
      </c>
      <c r="L185" s="76"/>
      <c r="M185" s="77">
        <v>70.0</v>
      </c>
      <c r="N185" s="78" t="s">
        <v>28</v>
      </c>
      <c r="O185" s="71"/>
      <c r="P185" s="79" t="str">
        <f t="shared" ref="P185:Q185" si="171">IF(J185="","",J185-L185)</f>
        <v/>
      </c>
      <c r="Q185" s="68">
        <f t="shared" si="171"/>
        <v>0</v>
      </c>
      <c r="R185" s="7"/>
      <c r="S185" s="7"/>
      <c r="T185" s="7"/>
      <c r="U185" s="7"/>
      <c r="V185" s="7"/>
      <c r="W185" s="7"/>
      <c r="X185" s="7"/>
      <c r="Y185" s="7"/>
      <c r="Z185" s="7"/>
      <c r="AA185" s="7" t="str">
        <f t="shared" si="152"/>
        <v/>
      </c>
      <c r="AB185" s="7" t="str">
        <f t="shared" si="153"/>
        <v/>
      </c>
      <c r="AC185" s="7"/>
      <c r="AD185" s="7"/>
      <c r="AE185" s="51" t="s">
        <v>338</v>
      </c>
      <c r="AF185" s="7"/>
      <c r="AG185" s="7"/>
      <c r="AH185" s="7"/>
      <c r="AI185" s="7"/>
      <c r="AJ185" s="7"/>
    </row>
    <row r="186">
      <c r="A186" s="40"/>
      <c r="B186" s="14"/>
      <c r="C186" s="41"/>
      <c r="D186" s="112">
        <v>46031.0</v>
      </c>
      <c r="E186" s="80" t="s">
        <v>224</v>
      </c>
      <c r="F186" s="55" t="s">
        <v>20</v>
      </c>
      <c r="G186" s="55" t="s">
        <v>20</v>
      </c>
      <c r="H186" s="55" t="s">
        <v>118</v>
      </c>
      <c r="I186" s="55" t="s">
        <v>119</v>
      </c>
      <c r="J186" s="81"/>
      <c r="K186" s="84">
        <v>33.0</v>
      </c>
      <c r="L186" s="81"/>
      <c r="M186" s="84">
        <v>33.0</v>
      </c>
      <c r="N186" s="85" t="s">
        <v>28</v>
      </c>
      <c r="O186" s="71"/>
      <c r="P186" s="79" t="str">
        <f t="shared" ref="P186:Q186" si="172">IF(J186="","",J186-L186)</f>
        <v/>
      </c>
      <c r="Q186" s="68">
        <f t="shared" si="172"/>
        <v>0</v>
      </c>
      <c r="R186" s="7"/>
      <c r="S186" s="7"/>
      <c r="T186" s="7"/>
      <c r="U186" s="7"/>
      <c r="V186" s="7"/>
      <c r="W186" s="7"/>
      <c r="X186" s="7"/>
      <c r="Y186" s="7"/>
      <c r="Z186" s="7"/>
      <c r="AA186" s="7" t="str">
        <f t="shared" si="152"/>
        <v/>
      </c>
      <c r="AB186" s="7" t="str">
        <f t="shared" si="153"/>
        <v/>
      </c>
      <c r="AC186" s="7"/>
      <c r="AD186" s="7"/>
      <c r="AE186" s="51" t="s">
        <v>332</v>
      </c>
      <c r="AF186" s="7"/>
      <c r="AG186" s="7"/>
      <c r="AH186" s="7"/>
      <c r="AI186" s="7"/>
      <c r="AJ186" s="7"/>
    </row>
    <row r="187">
      <c r="A187" s="40"/>
      <c r="B187" s="14"/>
      <c r="C187" s="41"/>
      <c r="D187" s="111">
        <v>46031.0</v>
      </c>
      <c r="E187" s="43" t="s">
        <v>167</v>
      </c>
      <c r="F187" s="104" t="s">
        <v>148</v>
      </c>
      <c r="G187" s="58" t="s">
        <v>91</v>
      </c>
      <c r="H187" s="44" t="s">
        <v>339</v>
      </c>
      <c r="I187" s="44" t="s">
        <v>99</v>
      </c>
      <c r="J187" s="76"/>
      <c r="K187" s="77">
        <v>74.97</v>
      </c>
      <c r="L187" s="76"/>
      <c r="M187" s="77">
        <v>74.97</v>
      </c>
      <c r="N187" s="78" t="s">
        <v>28</v>
      </c>
      <c r="O187" s="71"/>
      <c r="P187" s="79" t="str">
        <f t="shared" ref="P187:Q187" si="173">IF(J187="","",J187-L187)</f>
        <v/>
      </c>
      <c r="Q187" s="68">
        <f t="shared" si="173"/>
        <v>0</v>
      </c>
      <c r="R187" s="7"/>
      <c r="S187" s="7"/>
      <c r="T187" s="7"/>
      <c r="U187" s="7"/>
      <c r="V187" s="7"/>
      <c r="W187" s="7"/>
      <c r="X187" s="7"/>
      <c r="Y187" s="7"/>
      <c r="Z187" s="7"/>
      <c r="AA187" s="7" t="str">
        <f t="shared" si="152"/>
        <v/>
      </c>
      <c r="AB187" s="7" t="str">
        <f t="shared" si="153"/>
        <v/>
      </c>
      <c r="AC187" s="7"/>
      <c r="AD187" s="7"/>
      <c r="AE187" s="51" t="s">
        <v>340</v>
      </c>
      <c r="AF187" s="7"/>
      <c r="AG187" s="7"/>
      <c r="AH187" s="7"/>
      <c r="AI187" s="7"/>
      <c r="AJ187" s="7"/>
    </row>
    <row r="188">
      <c r="A188" s="40"/>
      <c r="B188" s="14"/>
      <c r="C188" s="41"/>
      <c r="D188" s="112">
        <v>46031.0</v>
      </c>
      <c r="E188" s="106" t="s">
        <v>196</v>
      </c>
      <c r="F188" s="88" t="s">
        <v>341</v>
      </c>
      <c r="G188" s="88" t="s">
        <v>44</v>
      </c>
      <c r="H188" s="88" t="s">
        <v>339</v>
      </c>
      <c r="I188" s="88" t="s">
        <v>99</v>
      </c>
      <c r="J188" s="81"/>
      <c r="K188" s="84">
        <v>45.96</v>
      </c>
      <c r="L188" s="81"/>
      <c r="M188" s="84">
        <v>45.96</v>
      </c>
      <c r="N188" s="85" t="s">
        <v>28</v>
      </c>
      <c r="O188" s="48"/>
      <c r="P188" s="79" t="str">
        <f t="shared" ref="P188:Q188" si="174">IF(J188="","",J188-L188)</f>
        <v/>
      </c>
      <c r="Q188" s="68">
        <f t="shared" si="174"/>
        <v>0</v>
      </c>
      <c r="R188" s="7"/>
      <c r="S188" s="7"/>
      <c r="T188" s="7"/>
      <c r="U188" s="7"/>
      <c r="V188" s="7"/>
      <c r="W188" s="7"/>
      <c r="X188" s="7"/>
      <c r="Y188" s="7"/>
      <c r="Z188" s="7"/>
      <c r="AA188" s="7" t="str">
        <f t="shared" si="152"/>
        <v/>
      </c>
      <c r="AB188" s="7" t="str">
        <f t="shared" si="153"/>
        <v/>
      </c>
      <c r="AC188" s="7"/>
      <c r="AD188" s="7"/>
      <c r="AE188" s="51" t="s">
        <v>342</v>
      </c>
      <c r="AF188" s="7"/>
      <c r="AG188" s="7"/>
      <c r="AH188" s="7"/>
      <c r="AI188" s="7"/>
      <c r="AJ188" s="7"/>
    </row>
    <row r="189">
      <c r="A189" s="40"/>
      <c r="B189" s="14"/>
      <c r="C189" s="41"/>
      <c r="D189" s="111">
        <v>46031.0</v>
      </c>
      <c r="E189" s="83" t="s">
        <v>50</v>
      </c>
      <c r="F189" s="58" t="s">
        <v>343</v>
      </c>
      <c r="G189" s="58" t="s">
        <v>44</v>
      </c>
      <c r="H189" s="58" t="s">
        <v>339</v>
      </c>
      <c r="I189" s="58" t="s">
        <v>99</v>
      </c>
      <c r="J189" s="76"/>
      <c r="K189" s="77">
        <v>18.61</v>
      </c>
      <c r="L189" s="76"/>
      <c r="M189" s="77">
        <v>18.61</v>
      </c>
      <c r="N189" s="116" t="s">
        <v>28</v>
      </c>
      <c r="O189" s="71"/>
      <c r="P189" s="79" t="str">
        <f t="shared" ref="P189:Q189" si="175">IF(J189="","",J189-L189)</f>
        <v/>
      </c>
      <c r="Q189" s="68">
        <f t="shared" si="175"/>
        <v>0</v>
      </c>
      <c r="R189" s="7"/>
      <c r="S189" s="7"/>
      <c r="T189" s="7"/>
      <c r="U189" s="7"/>
      <c r="V189" s="7"/>
      <c r="W189" s="7"/>
      <c r="X189" s="7"/>
      <c r="Y189" s="7"/>
      <c r="Z189" s="7"/>
      <c r="AA189" s="7" t="str">
        <f t="shared" si="152"/>
        <v/>
      </c>
      <c r="AB189" s="7" t="str">
        <f t="shared" si="153"/>
        <v/>
      </c>
      <c r="AC189" s="7"/>
      <c r="AD189" s="7"/>
      <c r="AE189" s="51" t="s">
        <v>344</v>
      </c>
      <c r="AF189" s="7"/>
      <c r="AG189" s="7"/>
      <c r="AH189" s="7"/>
      <c r="AI189" s="7"/>
      <c r="AJ189" s="7"/>
    </row>
    <row r="190">
      <c r="A190" s="40"/>
      <c r="B190" s="14"/>
      <c r="C190" s="41"/>
      <c r="D190" s="112">
        <v>46031.0</v>
      </c>
      <c r="E190" s="80" t="s">
        <v>251</v>
      </c>
      <c r="F190" s="55" t="s">
        <v>345</v>
      </c>
      <c r="G190" s="55" t="s">
        <v>44</v>
      </c>
      <c r="H190" s="55" t="s">
        <v>339</v>
      </c>
      <c r="I190" s="55" t="s">
        <v>99</v>
      </c>
      <c r="J190" s="81"/>
      <c r="K190" s="84">
        <v>132.89</v>
      </c>
      <c r="L190" s="81"/>
      <c r="M190" s="84">
        <v>132.89</v>
      </c>
      <c r="N190" s="85" t="s">
        <v>28</v>
      </c>
      <c r="O190" s="48"/>
      <c r="P190" s="79" t="str">
        <f t="shared" ref="P190:Q190" si="176">IF(J190="","",J190-L190)</f>
        <v/>
      </c>
      <c r="Q190" s="68">
        <f t="shared" si="176"/>
        <v>0</v>
      </c>
      <c r="R190" s="7"/>
      <c r="S190" s="7"/>
      <c r="T190" s="7"/>
      <c r="U190" s="7"/>
      <c r="V190" s="7"/>
      <c r="W190" s="7"/>
      <c r="X190" s="7"/>
      <c r="Y190" s="7"/>
      <c r="Z190" s="7"/>
      <c r="AA190" s="7" t="str">
        <f t="shared" si="152"/>
        <v/>
      </c>
      <c r="AB190" s="7" t="str">
        <f t="shared" si="153"/>
        <v/>
      </c>
      <c r="AC190" s="7"/>
      <c r="AD190" s="7"/>
      <c r="AE190" s="51" t="s">
        <v>251</v>
      </c>
      <c r="AF190" s="7"/>
      <c r="AG190" s="7"/>
      <c r="AH190" s="7"/>
      <c r="AI190" s="7"/>
      <c r="AJ190" s="7"/>
    </row>
    <row r="191">
      <c r="A191" s="40"/>
      <c r="B191" s="14"/>
      <c r="C191" s="41"/>
      <c r="D191" s="111">
        <v>46031.0</v>
      </c>
      <c r="E191" s="83" t="s">
        <v>53</v>
      </c>
      <c r="F191" s="58" t="s">
        <v>346</v>
      </c>
      <c r="G191" s="58" t="s">
        <v>44</v>
      </c>
      <c r="H191" s="58" t="s">
        <v>339</v>
      </c>
      <c r="I191" s="58" t="s">
        <v>99</v>
      </c>
      <c r="J191" s="76"/>
      <c r="K191" s="77">
        <v>24.62</v>
      </c>
      <c r="L191" s="76"/>
      <c r="M191" s="77">
        <v>24.62</v>
      </c>
      <c r="N191" s="78" t="s">
        <v>28</v>
      </c>
      <c r="O191" s="48"/>
      <c r="P191" s="79" t="str">
        <f t="shared" ref="P191:Q191" si="177">IF(J191="","",J191-L191)</f>
        <v/>
      </c>
      <c r="Q191" s="68">
        <f t="shared" si="177"/>
        <v>0</v>
      </c>
      <c r="R191" s="7"/>
      <c r="S191" s="7"/>
      <c r="T191" s="7"/>
      <c r="U191" s="7"/>
      <c r="V191" s="7"/>
      <c r="W191" s="7"/>
      <c r="X191" s="7"/>
      <c r="Y191" s="7"/>
      <c r="Z191" s="7"/>
      <c r="AA191" s="7" t="str">
        <f t="shared" si="152"/>
        <v/>
      </c>
      <c r="AB191" s="7" t="str">
        <f t="shared" si="153"/>
        <v/>
      </c>
      <c r="AC191" s="7"/>
      <c r="AD191" s="7"/>
      <c r="AE191" s="51" t="s">
        <v>319</v>
      </c>
      <c r="AF191" s="7"/>
      <c r="AG191" s="7"/>
      <c r="AH191" s="7"/>
      <c r="AI191" s="7"/>
      <c r="AJ191" s="7"/>
    </row>
    <row r="192">
      <c r="A192" s="40"/>
      <c r="B192" s="14"/>
      <c r="C192" s="41"/>
      <c r="D192" s="112">
        <v>46031.0</v>
      </c>
      <c r="E192" s="80" t="s">
        <v>50</v>
      </c>
      <c r="F192" s="55" t="s">
        <v>347</v>
      </c>
      <c r="G192" s="55" t="s">
        <v>44</v>
      </c>
      <c r="H192" s="55" t="s">
        <v>339</v>
      </c>
      <c r="I192" s="55" t="s">
        <v>99</v>
      </c>
      <c r="J192" s="81"/>
      <c r="K192" s="84">
        <v>72.82</v>
      </c>
      <c r="L192" s="81"/>
      <c r="M192" s="84">
        <v>72.82</v>
      </c>
      <c r="N192" s="85" t="s">
        <v>28</v>
      </c>
      <c r="O192" s="71"/>
      <c r="P192" s="79" t="str">
        <f t="shared" ref="P192:Q192" si="178">IF(J192="","",J192-L192)</f>
        <v/>
      </c>
      <c r="Q192" s="68">
        <f t="shared" si="178"/>
        <v>0</v>
      </c>
      <c r="R192" s="7"/>
      <c r="S192" s="7"/>
      <c r="T192" s="7"/>
      <c r="U192" s="7"/>
      <c r="V192" s="7"/>
      <c r="W192" s="7"/>
      <c r="X192" s="7"/>
      <c r="Y192" s="7"/>
      <c r="Z192" s="7"/>
      <c r="AA192" s="7" t="str">
        <f t="shared" si="152"/>
        <v/>
      </c>
      <c r="AB192" s="7" t="str">
        <f t="shared" si="153"/>
        <v/>
      </c>
      <c r="AC192" s="7"/>
      <c r="AD192" s="7"/>
      <c r="AE192" s="51" t="s">
        <v>348</v>
      </c>
      <c r="AF192" s="7"/>
      <c r="AG192" s="7"/>
      <c r="AH192" s="7"/>
      <c r="AI192" s="7"/>
      <c r="AJ192" s="7"/>
    </row>
    <row r="193">
      <c r="A193" s="40"/>
      <c r="B193" s="14"/>
      <c r="C193" s="41"/>
      <c r="D193" s="111">
        <v>46034.0</v>
      </c>
      <c r="E193" s="43" t="s">
        <v>19</v>
      </c>
      <c r="F193" s="44" t="s">
        <v>20</v>
      </c>
      <c r="G193" s="44" t="s">
        <v>20</v>
      </c>
      <c r="H193" s="44" t="s">
        <v>21</v>
      </c>
      <c r="I193" s="44" t="s">
        <v>22</v>
      </c>
      <c r="J193" s="77">
        <v>330.0</v>
      </c>
      <c r="K193" s="77"/>
      <c r="L193" s="77">
        <v>1579.0</v>
      </c>
      <c r="M193" s="76"/>
      <c r="N193" s="47" t="s">
        <v>23</v>
      </c>
      <c r="O193" s="71"/>
      <c r="P193" s="49">
        <f t="shared" ref="P193:Q193" si="179">IF(J193="","",J193-L193)</f>
        <v>-1249</v>
      </c>
      <c r="Q193" s="68" t="str">
        <f t="shared" si="179"/>
        <v/>
      </c>
      <c r="R193" s="7"/>
      <c r="S193" s="7"/>
      <c r="T193" s="7"/>
      <c r="U193" s="7"/>
      <c r="V193" s="7"/>
      <c r="W193" s="7"/>
      <c r="X193" s="7"/>
      <c r="Y193" s="7"/>
      <c r="Z193" s="7"/>
      <c r="AA193" s="7" t="str">
        <f t="shared" si="152"/>
        <v/>
      </c>
      <c r="AB193" s="7" t="str">
        <f t="shared" si="153"/>
        <v/>
      </c>
      <c r="AC193" s="7"/>
      <c r="AD193" s="7"/>
      <c r="AE193" s="51" t="s">
        <v>349</v>
      </c>
      <c r="AF193" s="7"/>
      <c r="AG193" s="7"/>
      <c r="AH193" s="7"/>
      <c r="AI193" s="7"/>
      <c r="AJ193" s="7"/>
    </row>
    <row r="194">
      <c r="A194" s="40"/>
      <c r="B194" s="14"/>
      <c r="C194" s="41"/>
      <c r="D194" s="112">
        <v>46034.0</v>
      </c>
      <c r="E194" s="54" t="s">
        <v>25</v>
      </c>
      <c r="F194" s="55" t="s">
        <v>20</v>
      </c>
      <c r="G194" s="55" t="s">
        <v>20</v>
      </c>
      <c r="H194" s="55" t="s">
        <v>26</v>
      </c>
      <c r="I194" s="55" t="s">
        <v>27</v>
      </c>
      <c r="J194" s="81"/>
      <c r="K194" s="81"/>
      <c r="L194" s="81"/>
      <c r="M194" s="81"/>
      <c r="N194" s="57" t="s">
        <v>28</v>
      </c>
      <c r="O194" s="71"/>
      <c r="P194" s="79" t="str">
        <f t="shared" ref="P194:Q194" si="180">IF(J194="","",J194-L194)</f>
        <v/>
      </c>
      <c r="Q194" s="68" t="str">
        <f t="shared" si="180"/>
        <v/>
      </c>
      <c r="R194" s="7"/>
      <c r="S194" s="7"/>
      <c r="T194" s="7"/>
      <c r="U194" s="7"/>
      <c r="V194" s="7"/>
      <c r="W194" s="7"/>
      <c r="X194" s="7"/>
      <c r="Y194" s="7"/>
      <c r="Z194" s="7"/>
      <c r="AA194" s="7" t="str">
        <f t="shared" si="152"/>
        <v/>
      </c>
      <c r="AB194" s="7" t="str">
        <f t="shared" si="153"/>
        <v/>
      </c>
      <c r="AC194" s="7"/>
      <c r="AD194" s="7"/>
      <c r="AE194" s="51" t="s">
        <v>350</v>
      </c>
      <c r="AF194" s="7"/>
      <c r="AG194" s="7"/>
      <c r="AH194" s="7"/>
      <c r="AI194" s="7"/>
      <c r="AJ194" s="7"/>
    </row>
    <row r="195">
      <c r="A195" s="40"/>
      <c r="B195" s="14"/>
      <c r="C195" s="41"/>
      <c r="D195" s="111">
        <v>46034.0</v>
      </c>
      <c r="E195" s="43" t="s">
        <v>30</v>
      </c>
      <c r="F195" s="58" t="s">
        <v>20</v>
      </c>
      <c r="G195" s="58" t="s">
        <v>20</v>
      </c>
      <c r="H195" s="58" t="s">
        <v>31</v>
      </c>
      <c r="I195" s="59" t="s">
        <v>32</v>
      </c>
      <c r="J195" s="76"/>
      <c r="K195" s="76"/>
      <c r="L195" s="76"/>
      <c r="M195" s="76"/>
      <c r="N195" s="61" t="s">
        <v>33</v>
      </c>
      <c r="O195" s="71"/>
      <c r="P195" s="79"/>
      <c r="Q195" s="68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52" t="s">
        <v>324</v>
      </c>
      <c r="AF195" s="7"/>
      <c r="AG195" s="7"/>
      <c r="AH195" s="7"/>
      <c r="AI195" s="7"/>
      <c r="AJ195" s="7"/>
    </row>
    <row r="196">
      <c r="A196" s="40"/>
      <c r="B196" s="14"/>
      <c r="C196" s="41"/>
      <c r="D196" s="112">
        <v>46034.0</v>
      </c>
      <c r="E196" s="54" t="s">
        <v>35</v>
      </c>
      <c r="F196" s="55" t="s">
        <v>20</v>
      </c>
      <c r="G196" s="55" t="s">
        <v>20</v>
      </c>
      <c r="H196" s="55" t="s">
        <v>36</v>
      </c>
      <c r="I196" s="55" t="s">
        <v>37</v>
      </c>
      <c r="J196" s="81"/>
      <c r="K196" s="81"/>
      <c r="L196" s="81"/>
      <c r="M196" s="81"/>
      <c r="N196" s="57" t="s">
        <v>38</v>
      </c>
      <c r="O196" s="71"/>
      <c r="P196" s="79"/>
      <c r="Q196" s="68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51"/>
      <c r="AF196" s="7"/>
      <c r="AG196" s="7"/>
      <c r="AH196" s="7"/>
      <c r="AI196" s="7"/>
      <c r="AJ196" s="7"/>
    </row>
    <row r="197">
      <c r="A197" s="40"/>
      <c r="B197" s="14"/>
      <c r="C197" s="41"/>
      <c r="D197" s="111">
        <v>46034.0</v>
      </c>
      <c r="E197" s="43" t="s">
        <v>40</v>
      </c>
      <c r="F197" s="58" t="s">
        <v>20</v>
      </c>
      <c r="G197" s="58" t="s">
        <v>20</v>
      </c>
      <c r="H197" s="58" t="s">
        <v>36</v>
      </c>
      <c r="I197" s="58" t="s">
        <v>37</v>
      </c>
      <c r="J197" s="76"/>
      <c r="K197" s="76"/>
      <c r="L197" s="76"/>
      <c r="M197" s="76"/>
      <c r="N197" s="61" t="s">
        <v>41</v>
      </c>
      <c r="O197" s="71"/>
      <c r="P197" s="79"/>
      <c r="Q197" s="68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51"/>
      <c r="AF197" s="7"/>
      <c r="AG197" s="7"/>
      <c r="AH197" s="7"/>
      <c r="AI197" s="7"/>
      <c r="AJ197" s="7"/>
    </row>
    <row r="198">
      <c r="A198" s="40"/>
      <c r="B198" s="14"/>
      <c r="C198" s="41"/>
      <c r="D198" s="112">
        <v>46034.0</v>
      </c>
      <c r="E198" s="80" t="s">
        <v>96</v>
      </c>
      <c r="F198" s="55" t="s">
        <v>97</v>
      </c>
      <c r="G198" s="55" t="s">
        <v>91</v>
      </c>
      <c r="H198" s="55" t="s">
        <v>274</v>
      </c>
      <c r="I198" s="55" t="s">
        <v>99</v>
      </c>
      <c r="J198" s="81"/>
      <c r="K198" s="81"/>
      <c r="L198" s="81"/>
      <c r="M198" s="81"/>
      <c r="N198" s="82"/>
      <c r="O198" s="48"/>
      <c r="P198" s="79" t="str">
        <f t="shared" ref="P198:Q198" si="181">IF(J198="","",J198-L198)</f>
        <v/>
      </c>
      <c r="Q198" s="68" t="str">
        <f t="shared" si="181"/>
        <v/>
      </c>
      <c r="R198" s="7"/>
      <c r="S198" s="7"/>
      <c r="T198" s="7"/>
      <c r="U198" s="7"/>
      <c r="V198" s="7"/>
      <c r="W198" s="7"/>
      <c r="X198" s="7"/>
      <c r="Y198" s="7"/>
      <c r="Z198" s="7"/>
      <c r="AA198" s="7" t="str">
        <f t="shared" ref="AA198:AA251" si="183">IF(K198=0,"",IF(AND(K198&gt;0,K198&gt;M198),K198-M198,""))</f>
        <v/>
      </c>
      <c r="AB198" s="7" t="str">
        <f t="shared" ref="AB198:AB246" si="184">IF(J198=0,"",IF(AND(J198&gt;0,J198&gt;L198),J198-L198,""))</f>
        <v/>
      </c>
      <c r="AC198" s="7"/>
      <c r="AD198" s="7"/>
      <c r="AE198" s="74" t="s">
        <v>351</v>
      </c>
      <c r="AF198" s="7"/>
      <c r="AG198" s="7"/>
      <c r="AH198" s="7"/>
      <c r="AI198" s="7"/>
      <c r="AJ198" s="7"/>
    </row>
    <row r="199">
      <c r="A199" s="40"/>
      <c r="B199" s="14"/>
      <c r="C199" s="41"/>
      <c r="D199" s="111">
        <v>46034.0</v>
      </c>
      <c r="E199" s="83" t="s">
        <v>257</v>
      </c>
      <c r="F199" s="58" t="s">
        <v>90</v>
      </c>
      <c r="G199" s="58" t="s">
        <v>91</v>
      </c>
      <c r="H199" s="58" t="s">
        <v>352</v>
      </c>
      <c r="I199" s="58" t="s">
        <v>213</v>
      </c>
      <c r="J199" s="77"/>
      <c r="K199" s="77">
        <v>50.0</v>
      </c>
      <c r="L199" s="76"/>
      <c r="M199" s="77">
        <v>50.0</v>
      </c>
      <c r="N199" s="78"/>
      <c r="O199" s="48"/>
      <c r="P199" s="79" t="str">
        <f t="shared" ref="P199:Q199" si="182">IF(J199="","",J199-L199)</f>
        <v/>
      </c>
      <c r="Q199" s="68">
        <f t="shared" si="182"/>
        <v>0</v>
      </c>
      <c r="R199" s="7"/>
      <c r="S199" s="7"/>
      <c r="T199" s="7"/>
      <c r="U199" s="7"/>
      <c r="V199" s="7"/>
      <c r="W199" s="7"/>
      <c r="X199" s="7"/>
      <c r="Y199" s="7"/>
      <c r="Z199" s="7"/>
      <c r="AA199" s="7" t="str">
        <f t="shared" si="183"/>
        <v/>
      </c>
      <c r="AB199" s="7" t="str">
        <f t="shared" si="184"/>
        <v/>
      </c>
      <c r="AC199" s="7"/>
      <c r="AD199" s="7"/>
      <c r="AE199" s="51" t="s">
        <v>353</v>
      </c>
      <c r="AF199" s="7"/>
      <c r="AG199" s="7"/>
      <c r="AH199" s="7"/>
      <c r="AI199" s="7"/>
      <c r="AJ199" s="7"/>
    </row>
    <row r="200">
      <c r="A200" s="40"/>
      <c r="B200" s="14"/>
      <c r="C200" s="41"/>
      <c r="D200" s="112">
        <v>46034.0</v>
      </c>
      <c r="E200" s="80" t="s">
        <v>57</v>
      </c>
      <c r="F200" s="55" t="s">
        <v>20</v>
      </c>
      <c r="G200" s="55" t="s">
        <v>20</v>
      </c>
      <c r="H200" s="55" t="s">
        <v>339</v>
      </c>
      <c r="I200" s="55" t="s">
        <v>20</v>
      </c>
      <c r="J200" s="81"/>
      <c r="K200" s="84">
        <v>216.62</v>
      </c>
      <c r="L200" s="81"/>
      <c r="M200" s="84">
        <v>216.62</v>
      </c>
      <c r="N200" s="82"/>
      <c r="O200" s="48"/>
      <c r="P200" s="79" t="str">
        <f t="shared" ref="P200:Q200" si="185">IF(J200="","",J200-L200)</f>
        <v/>
      </c>
      <c r="Q200" s="68">
        <f t="shared" si="185"/>
        <v>0</v>
      </c>
      <c r="R200" s="7"/>
      <c r="S200" s="7"/>
      <c r="T200" s="7"/>
      <c r="U200" s="7"/>
      <c r="V200" s="7"/>
      <c r="W200" s="7"/>
      <c r="X200" s="7"/>
      <c r="Y200" s="7"/>
      <c r="Z200" s="7"/>
      <c r="AA200" s="7" t="str">
        <f t="shared" si="183"/>
        <v/>
      </c>
      <c r="AB200" s="7" t="str">
        <f t="shared" si="184"/>
        <v/>
      </c>
      <c r="AC200" s="7"/>
      <c r="AD200" s="7"/>
      <c r="AE200" s="51" t="s">
        <v>354</v>
      </c>
      <c r="AF200" s="7"/>
      <c r="AG200" s="7"/>
      <c r="AH200" s="7"/>
      <c r="AI200" s="7"/>
      <c r="AJ200" s="7"/>
    </row>
    <row r="201">
      <c r="A201" s="40"/>
      <c r="B201" s="14"/>
      <c r="C201" s="41"/>
      <c r="D201" s="111">
        <v>46034.0</v>
      </c>
      <c r="E201" s="83" t="s">
        <v>195</v>
      </c>
      <c r="F201" s="58" t="s">
        <v>190</v>
      </c>
      <c r="G201" s="58" t="s">
        <v>44</v>
      </c>
      <c r="H201" s="58" t="s">
        <v>355</v>
      </c>
      <c r="I201" s="58" t="s">
        <v>46</v>
      </c>
      <c r="J201" s="76"/>
      <c r="K201" s="77">
        <v>75.49</v>
      </c>
      <c r="L201" s="76"/>
      <c r="M201" s="77">
        <v>75.49</v>
      </c>
      <c r="N201" s="114"/>
      <c r="O201" s="71"/>
      <c r="P201" s="79" t="str">
        <f t="shared" ref="P201:Q201" si="186">IF(J201="","",J201-L201)</f>
        <v/>
      </c>
      <c r="Q201" s="68">
        <f t="shared" si="186"/>
        <v>0</v>
      </c>
      <c r="R201" s="7"/>
      <c r="S201" s="7"/>
      <c r="T201" s="7"/>
      <c r="U201" s="7"/>
      <c r="V201" s="7"/>
      <c r="W201" s="7"/>
      <c r="X201" s="7"/>
      <c r="Y201" s="7"/>
      <c r="Z201" s="7"/>
      <c r="AA201" s="7" t="str">
        <f t="shared" si="183"/>
        <v/>
      </c>
      <c r="AB201" s="7" t="str">
        <f t="shared" si="184"/>
        <v/>
      </c>
      <c r="AC201" s="7"/>
      <c r="AD201" s="7"/>
      <c r="AE201" s="51" t="s">
        <v>356</v>
      </c>
      <c r="AF201" s="7"/>
      <c r="AG201" s="7"/>
      <c r="AH201" s="7"/>
      <c r="AI201" s="7"/>
      <c r="AJ201" s="7"/>
    </row>
    <row r="202">
      <c r="A202" s="40"/>
      <c r="B202" s="14"/>
      <c r="C202" s="41"/>
      <c r="D202" s="112">
        <v>46034.0</v>
      </c>
      <c r="E202" s="54" t="s">
        <v>209</v>
      </c>
      <c r="F202" s="87" t="s">
        <v>123</v>
      </c>
      <c r="G202" s="88" t="s">
        <v>91</v>
      </c>
      <c r="H202" s="88" t="s">
        <v>300</v>
      </c>
      <c r="I202" s="88" t="s">
        <v>99</v>
      </c>
      <c r="J202" s="81"/>
      <c r="K202" s="84">
        <v>5.89</v>
      </c>
      <c r="L202" s="81"/>
      <c r="M202" s="84">
        <v>5.89</v>
      </c>
      <c r="N202" s="82"/>
      <c r="O202" s="71"/>
      <c r="P202" s="49" t="str">
        <f t="shared" ref="P202:Q202" si="187">IF(J202="","",J202-L202)</f>
        <v/>
      </c>
      <c r="Q202" s="68">
        <f t="shared" si="187"/>
        <v>0</v>
      </c>
      <c r="R202" s="7"/>
      <c r="S202" s="7"/>
      <c r="T202" s="7"/>
      <c r="U202" s="7"/>
      <c r="V202" s="7"/>
      <c r="W202" s="7"/>
      <c r="X202" s="7"/>
      <c r="Y202" s="7"/>
      <c r="Z202" s="7"/>
      <c r="AA202" s="7" t="str">
        <f t="shared" si="183"/>
        <v/>
      </c>
      <c r="AB202" s="7" t="str">
        <f t="shared" si="184"/>
        <v/>
      </c>
      <c r="AC202" s="7"/>
      <c r="AD202" s="7"/>
      <c r="AE202" s="51" t="s">
        <v>263</v>
      </c>
      <c r="AF202" s="7"/>
      <c r="AG202" s="7"/>
      <c r="AH202" s="7"/>
      <c r="AI202" s="7"/>
      <c r="AJ202" s="7"/>
    </row>
    <row r="203">
      <c r="A203" s="40"/>
      <c r="B203" s="14"/>
      <c r="C203" s="41"/>
      <c r="D203" s="111">
        <v>46034.0</v>
      </c>
      <c r="E203" s="118"/>
      <c r="F203" s="119"/>
      <c r="G203" s="119"/>
      <c r="H203" s="119"/>
      <c r="I203" s="119"/>
      <c r="J203" s="76"/>
      <c r="K203" s="76"/>
      <c r="L203" s="76"/>
      <c r="M203" s="76"/>
      <c r="N203" s="114"/>
      <c r="O203" s="71"/>
      <c r="P203" s="79" t="str">
        <f t="shared" ref="P203:Q203" si="188">IF(J203="","",J203-L203)</f>
        <v/>
      </c>
      <c r="Q203" s="68" t="str">
        <f t="shared" si="188"/>
        <v/>
      </c>
      <c r="R203" s="7"/>
      <c r="S203" s="7"/>
      <c r="T203" s="7"/>
      <c r="U203" s="7"/>
      <c r="V203" s="7"/>
      <c r="W203" s="7"/>
      <c r="X203" s="7"/>
      <c r="Y203" s="7"/>
      <c r="Z203" s="7"/>
      <c r="AA203" s="7" t="str">
        <f t="shared" si="183"/>
        <v/>
      </c>
      <c r="AB203" s="7" t="str">
        <f t="shared" si="184"/>
        <v/>
      </c>
      <c r="AC203" s="7"/>
      <c r="AD203" s="7"/>
      <c r="AE203" s="51" t="s">
        <v>169</v>
      </c>
      <c r="AF203" s="7"/>
      <c r="AG203" s="7"/>
      <c r="AH203" s="7"/>
      <c r="AI203" s="7"/>
      <c r="AJ203" s="7"/>
    </row>
    <row r="204">
      <c r="A204" s="40"/>
      <c r="B204" s="14"/>
      <c r="C204" s="41"/>
      <c r="D204" s="112">
        <v>46034.0</v>
      </c>
      <c r="E204" s="120"/>
      <c r="F204" s="121"/>
      <c r="G204" s="121"/>
      <c r="H204" s="121"/>
      <c r="I204" s="121"/>
      <c r="J204" s="81"/>
      <c r="K204" s="81"/>
      <c r="L204" s="81"/>
      <c r="M204" s="81"/>
      <c r="N204" s="82"/>
      <c r="O204" s="48"/>
      <c r="P204" s="49" t="str">
        <f t="shared" ref="P204:Q204" si="189">IF(J204="","",J204-L204)</f>
        <v/>
      </c>
      <c r="Q204" s="68" t="str">
        <f t="shared" si="189"/>
        <v/>
      </c>
      <c r="R204" s="7"/>
      <c r="S204" s="7"/>
      <c r="T204" s="7"/>
      <c r="U204" s="7"/>
      <c r="V204" s="7"/>
      <c r="W204" s="7"/>
      <c r="X204" s="7"/>
      <c r="Y204" s="7"/>
      <c r="Z204" s="7"/>
      <c r="AA204" s="7" t="str">
        <f t="shared" si="183"/>
        <v/>
      </c>
      <c r="AB204" s="7" t="str">
        <f t="shared" si="184"/>
        <v/>
      </c>
      <c r="AC204" s="7"/>
      <c r="AD204" s="7"/>
      <c r="AE204" s="51" t="s">
        <v>122</v>
      </c>
      <c r="AF204" s="7"/>
      <c r="AG204" s="7"/>
      <c r="AH204" s="7"/>
      <c r="AI204" s="7"/>
      <c r="AJ204" s="7"/>
    </row>
    <row r="205">
      <c r="A205" s="40"/>
      <c r="B205" s="14"/>
      <c r="C205" s="41"/>
      <c r="D205" s="111">
        <v>46034.0</v>
      </c>
      <c r="E205" s="122"/>
      <c r="F205" s="123"/>
      <c r="G205" s="123"/>
      <c r="H205" s="123"/>
      <c r="I205" s="123"/>
      <c r="J205" s="76"/>
      <c r="K205" s="76"/>
      <c r="L205" s="76"/>
      <c r="M205" s="76"/>
      <c r="N205" s="124"/>
      <c r="O205" s="48"/>
      <c r="P205" s="79" t="str">
        <f t="shared" ref="P205:Q205" si="190">IF(J205="","",J205-L205)</f>
        <v/>
      </c>
      <c r="Q205" s="68" t="str">
        <f t="shared" si="190"/>
        <v/>
      </c>
      <c r="R205" s="7"/>
      <c r="S205" s="7"/>
      <c r="T205" s="7"/>
      <c r="U205" s="7"/>
      <c r="V205" s="7"/>
      <c r="W205" s="7"/>
      <c r="X205" s="7"/>
      <c r="Y205" s="7"/>
      <c r="Z205" s="7"/>
      <c r="AA205" s="7" t="str">
        <f t="shared" si="183"/>
        <v/>
      </c>
      <c r="AB205" s="7" t="str">
        <f t="shared" si="184"/>
        <v/>
      </c>
      <c r="AC205" s="7"/>
      <c r="AD205" s="7"/>
      <c r="AE205" s="51" t="s">
        <v>131</v>
      </c>
      <c r="AF205" s="7"/>
      <c r="AG205" s="7"/>
      <c r="AH205" s="7"/>
      <c r="AI205" s="7"/>
      <c r="AJ205" s="7"/>
    </row>
    <row r="206">
      <c r="A206" s="40"/>
      <c r="B206" s="14"/>
      <c r="C206" s="41"/>
      <c r="D206" s="112">
        <v>46034.0</v>
      </c>
      <c r="E206" s="120"/>
      <c r="F206" s="121"/>
      <c r="G206" s="121"/>
      <c r="H206" s="121"/>
      <c r="I206" s="121"/>
      <c r="J206" s="81"/>
      <c r="K206" s="81"/>
      <c r="L206" s="81"/>
      <c r="M206" s="81"/>
      <c r="N206" s="82"/>
      <c r="O206" s="71"/>
      <c r="P206" s="79" t="str">
        <f t="shared" ref="P206:Q206" si="191">IF(J206="","",J206-L206)</f>
        <v/>
      </c>
      <c r="Q206" s="68" t="str">
        <f t="shared" si="191"/>
        <v/>
      </c>
      <c r="R206" s="7"/>
      <c r="S206" s="7"/>
      <c r="T206" s="7"/>
      <c r="U206" s="7"/>
      <c r="V206" s="7"/>
      <c r="W206" s="7"/>
      <c r="X206" s="7"/>
      <c r="Y206" s="7"/>
      <c r="Z206" s="7"/>
      <c r="AA206" s="7" t="str">
        <f t="shared" si="183"/>
        <v/>
      </c>
      <c r="AB206" s="7" t="str">
        <f t="shared" si="184"/>
        <v/>
      </c>
      <c r="AC206" s="7"/>
      <c r="AD206" s="7"/>
      <c r="AE206" s="51" t="s">
        <v>357</v>
      </c>
      <c r="AF206" s="7"/>
      <c r="AG206" s="7"/>
      <c r="AH206" s="7"/>
      <c r="AI206" s="7"/>
      <c r="AJ206" s="7"/>
    </row>
    <row r="207">
      <c r="A207" s="40"/>
      <c r="B207" s="14"/>
      <c r="C207" s="41"/>
      <c r="D207" s="111">
        <v>46034.0</v>
      </c>
      <c r="E207" s="125"/>
      <c r="F207" s="126"/>
      <c r="G207" s="119"/>
      <c r="H207" s="119"/>
      <c r="I207" s="119"/>
      <c r="J207" s="76"/>
      <c r="K207" s="76"/>
      <c r="L207" s="76"/>
      <c r="M207" s="76"/>
      <c r="N207" s="114"/>
      <c r="O207" s="71"/>
      <c r="P207" s="49" t="str">
        <f t="shared" ref="P207:Q207" si="192">IF(J207="","",J207-L207)</f>
        <v/>
      </c>
      <c r="Q207" s="68" t="str">
        <f t="shared" si="192"/>
        <v/>
      </c>
      <c r="R207" s="7"/>
      <c r="S207" s="7"/>
      <c r="T207" s="7"/>
      <c r="U207" s="7"/>
      <c r="V207" s="7"/>
      <c r="W207" s="7"/>
      <c r="X207" s="7"/>
      <c r="Y207" s="7"/>
      <c r="Z207" s="7"/>
      <c r="AA207" s="7" t="str">
        <f t="shared" si="183"/>
        <v/>
      </c>
      <c r="AB207" s="7" t="str">
        <f t="shared" si="184"/>
        <v/>
      </c>
      <c r="AC207" s="7"/>
      <c r="AD207" s="7"/>
      <c r="AE207" s="51" t="s">
        <v>116</v>
      </c>
      <c r="AF207" s="7"/>
      <c r="AG207" s="7"/>
      <c r="AH207" s="7"/>
      <c r="AI207" s="7"/>
      <c r="AJ207" s="7"/>
    </row>
    <row r="208">
      <c r="A208" s="40"/>
      <c r="B208" s="14"/>
      <c r="C208" s="41"/>
      <c r="D208" s="112">
        <v>46034.0</v>
      </c>
      <c r="E208" s="127"/>
      <c r="F208" s="128"/>
      <c r="G208" s="129"/>
      <c r="H208" s="129"/>
      <c r="I208" s="129"/>
      <c r="J208" s="81"/>
      <c r="K208" s="81"/>
      <c r="L208" s="81"/>
      <c r="M208" s="81"/>
      <c r="N208" s="82"/>
      <c r="O208" s="48"/>
      <c r="P208" s="49" t="str">
        <f t="shared" ref="P208:Q208" si="193">IF(J208="","",J208-L208)</f>
        <v/>
      </c>
      <c r="Q208" s="50" t="str">
        <f t="shared" si="193"/>
        <v/>
      </c>
      <c r="R208" s="7"/>
      <c r="S208" s="7"/>
      <c r="T208" s="7"/>
      <c r="U208" s="7"/>
      <c r="V208" s="7"/>
      <c r="W208" s="7"/>
      <c r="X208" s="7"/>
      <c r="Y208" s="7"/>
      <c r="Z208" s="7"/>
      <c r="AA208" s="7" t="str">
        <f t="shared" si="183"/>
        <v/>
      </c>
      <c r="AB208" s="7" t="str">
        <f t="shared" si="184"/>
        <v/>
      </c>
      <c r="AC208" s="7"/>
      <c r="AD208" s="7"/>
      <c r="AE208" s="51" t="s">
        <v>358</v>
      </c>
      <c r="AF208" s="7"/>
      <c r="AG208" s="7"/>
      <c r="AH208" s="7"/>
      <c r="AI208" s="7"/>
      <c r="AJ208" s="7"/>
    </row>
    <row r="209">
      <c r="A209" s="40"/>
      <c r="B209" s="14"/>
      <c r="C209" s="41"/>
      <c r="D209" s="111">
        <v>46034.0</v>
      </c>
      <c r="E209" s="125"/>
      <c r="F209" s="123"/>
      <c r="G209" s="123"/>
      <c r="H209" s="123"/>
      <c r="I209" s="123"/>
      <c r="J209" s="76"/>
      <c r="K209" s="76"/>
      <c r="L209" s="76"/>
      <c r="M209" s="76"/>
      <c r="N209" s="114"/>
      <c r="O209" s="71"/>
      <c r="P209" s="49" t="str">
        <f t="shared" ref="P209:Q209" si="194">IF(J209="","",J209-L209)</f>
        <v/>
      </c>
      <c r="Q209" s="50" t="str">
        <f t="shared" si="194"/>
        <v/>
      </c>
      <c r="R209" s="7"/>
      <c r="S209" s="7"/>
      <c r="T209" s="7"/>
      <c r="U209" s="7"/>
      <c r="V209" s="7"/>
      <c r="W209" s="7"/>
      <c r="X209" s="7"/>
      <c r="Y209" s="7"/>
      <c r="Z209" s="7"/>
      <c r="AA209" s="7" t="str">
        <f t="shared" si="183"/>
        <v/>
      </c>
      <c r="AB209" s="7" t="str">
        <f t="shared" si="184"/>
        <v/>
      </c>
      <c r="AC209" s="7"/>
      <c r="AD209" s="7"/>
      <c r="AE209" s="52" t="s">
        <v>310</v>
      </c>
      <c r="AF209" s="7"/>
      <c r="AG209" s="7"/>
      <c r="AH209" s="7"/>
      <c r="AI209" s="7"/>
      <c r="AJ209" s="7"/>
    </row>
    <row r="210">
      <c r="A210" s="40"/>
      <c r="B210" s="14"/>
      <c r="C210" s="41"/>
      <c r="D210" s="112">
        <v>46034.0</v>
      </c>
      <c r="E210" s="130"/>
      <c r="F210" s="129"/>
      <c r="G210" s="129"/>
      <c r="H210" s="129"/>
      <c r="I210" s="129"/>
      <c r="J210" s="81"/>
      <c r="K210" s="81"/>
      <c r="L210" s="81"/>
      <c r="M210" s="81"/>
      <c r="N210" s="82"/>
      <c r="O210" s="71"/>
      <c r="P210" s="49" t="str">
        <f t="shared" ref="P210:Q210" si="195">IF(J210="","",J210-L210)</f>
        <v/>
      </c>
      <c r="Q210" s="50" t="str">
        <f t="shared" si="195"/>
        <v/>
      </c>
      <c r="R210" s="7"/>
      <c r="S210" s="7"/>
      <c r="T210" s="7"/>
      <c r="U210" s="7"/>
      <c r="V210" s="7"/>
      <c r="W210" s="7"/>
      <c r="X210" s="7"/>
      <c r="Y210" s="7"/>
      <c r="Z210" s="7"/>
      <c r="AA210" s="7" t="str">
        <f t="shared" si="183"/>
        <v/>
      </c>
      <c r="AB210" s="7" t="str">
        <f t="shared" si="184"/>
        <v/>
      </c>
      <c r="AC210" s="7"/>
      <c r="AD210" s="7"/>
      <c r="AE210" s="51" t="s">
        <v>133</v>
      </c>
      <c r="AF210" s="7"/>
      <c r="AG210" s="7"/>
      <c r="AH210" s="7"/>
      <c r="AI210" s="7"/>
      <c r="AJ210" s="7"/>
    </row>
    <row r="211">
      <c r="A211" s="40"/>
      <c r="B211" s="14"/>
      <c r="C211" s="41"/>
      <c r="D211" s="111">
        <v>46034.0</v>
      </c>
      <c r="E211" s="122"/>
      <c r="F211" s="123"/>
      <c r="G211" s="123"/>
      <c r="H211" s="123"/>
      <c r="I211" s="119"/>
      <c r="J211" s="76"/>
      <c r="K211" s="76"/>
      <c r="L211" s="76"/>
      <c r="M211" s="76"/>
      <c r="N211" s="114"/>
      <c r="O211" s="48"/>
      <c r="P211" s="49" t="str">
        <f t="shared" ref="P211:Q211" si="196">IF(J211="","",J211-L211)</f>
        <v/>
      </c>
      <c r="Q211" s="50" t="str">
        <f t="shared" si="196"/>
        <v/>
      </c>
      <c r="R211" s="7"/>
      <c r="S211" s="7"/>
      <c r="T211" s="7"/>
      <c r="U211" s="7"/>
      <c r="V211" s="7"/>
      <c r="W211" s="7"/>
      <c r="X211" s="7"/>
      <c r="Y211" s="7"/>
      <c r="Z211" s="7"/>
      <c r="AA211" s="7" t="str">
        <f t="shared" si="183"/>
        <v/>
      </c>
      <c r="AB211" s="7" t="str">
        <f t="shared" si="184"/>
        <v/>
      </c>
      <c r="AC211" s="7"/>
      <c r="AD211" s="7"/>
      <c r="AE211" s="7"/>
      <c r="AF211" s="7"/>
      <c r="AG211" s="7"/>
      <c r="AH211" s="7"/>
      <c r="AI211" s="7"/>
      <c r="AJ211" s="7"/>
    </row>
    <row r="212">
      <c r="A212" s="40"/>
      <c r="B212" s="14"/>
      <c r="C212" s="41"/>
      <c r="D212" s="112">
        <v>46034.0</v>
      </c>
      <c r="E212" s="80"/>
      <c r="F212" s="55"/>
      <c r="G212" s="55"/>
      <c r="H212" s="55"/>
      <c r="I212" s="88"/>
      <c r="J212" s="81"/>
      <c r="K212" s="81"/>
      <c r="L212" s="81"/>
      <c r="M212" s="81"/>
      <c r="N212" s="82"/>
      <c r="O212" s="48"/>
      <c r="P212" s="49" t="str">
        <f t="shared" ref="P212:Q212" si="197">IF(J212="","",J212-L212)</f>
        <v/>
      </c>
      <c r="Q212" s="50" t="str">
        <f t="shared" si="197"/>
        <v/>
      </c>
      <c r="R212" s="7"/>
      <c r="S212" s="7"/>
      <c r="T212" s="7"/>
      <c r="U212" s="7"/>
      <c r="V212" s="7"/>
      <c r="W212" s="7"/>
      <c r="X212" s="7"/>
      <c r="Y212" s="7"/>
      <c r="Z212" s="7"/>
      <c r="AA212" s="7" t="str">
        <f t="shared" si="183"/>
        <v/>
      </c>
      <c r="AB212" s="7" t="str">
        <f t="shared" si="184"/>
        <v/>
      </c>
      <c r="AC212" s="7"/>
      <c r="AD212" s="7"/>
      <c r="AE212" s="67"/>
      <c r="AF212" s="7"/>
      <c r="AG212" s="7"/>
      <c r="AH212" s="7"/>
      <c r="AI212" s="7"/>
      <c r="AJ212" s="7"/>
    </row>
    <row r="213">
      <c r="A213" s="40"/>
      <c r="B213" s="14"/>
      <c r="C213" s="41"/>
      <c r="D213" s="111">
        <v>46034.0</v>
      </c>
      <c r="E213" s="83" t="s">
        <v>57</v>
      </c>
      <c r="F213" s="58" t="s">
        <v>20</v>
      </c>
      <c r="G213" s="58" t="s">
        <v>20</v>
      </c>
      <c r="H213" s="58" t="s">
        <v>300</v>
      </c>
      <c r="I213" s="44" t="s">
        <v>309</v>
      </c>
      <c r="J213" s="76"/>
      <c r="K213" s="77">
        <v>3.89</v>
      </c>
      <c r="L213" s="76"/>
      <c r="M213" s="77">
        <v>3.89</v>
      </c>
      <c r="N213" s="78" t="s">
        <v>28</v>
      </c>
      <c r="O213" s="48"/>
      <c r="P213" s="49" t="str">
        <f t="shared" ref="P213:Q213" si="198">IF(J213="","",J213-L213)</f>
        <v/>
      </c>
      <c r="Q213" s="50">
        <f t="shared" si="198"/>
        <v>0</v>
      </c>
      <c r="R213" s="7"/>
      <c r="S213" s="7"/>
      <c r="T213" s="7"/>
      <c r="U213" s="7"/>
      <c r="V213" s="7"/>
      <c r="W213" s="7"/>
      <c r="X213" s="7"/>
      <c r="Y213" s="7"/>
      <c r="Z213" s="7"/>
      <c r="AA213" s="7" t="str">
        <f t="shared" si="183"/>
        <v/>
      </c>
      <c r="AB213" s="7" t="str">
        <f t="shared" si="184"/>
        <v/>
      </c>
      <c r="AC213" s="7"/>
      <c r="AD213" s="7"/>
      <c r="AE213" s="67"/>
      <c r="AF213" s="7"/>
      <c r="AG213" s="7"/>
      <c r="AH213" s="7"/>
      <c r="AI213" s="7"/>
      <c r="AJ213" s="7"/>
    </row>
    <row r="214">
      <c r="A214" s="40"/>
      <c r="B214" s="14"/>
      <c r="C214" s="41"/>
      <c r="D214" s="112">
        <v>46034.0</v>
      </c>
      <c r="E214" s="54" t="s">
        <v>279</v>
      </c>
      <c r="F214" s="55" t="s">
        <v>359</v>
      </c>
      <c r="G214" s="55" t="s">
        <v>44</v>
      </c>
      <c r="H214" s="55" t="s">
        <v>300</v>
      </c>
      <c r="I214" s="88" t="s">
        <v>46</v>
      </c>
      <c r="J214" s="81"/>
      <c r="K214" s="84">
        <v>19.99</v>
      </c>
      <c r="L214" s="81"/>
      <c r="M214" s="84">
        <v>19.99</v>
      </c>
      <c r="N214" s="85" t="s">
        <v>28</v>
      </c>
      <c r="O214" s="71"/>
      <c r="P214" s="49" t="str">
        <f t="shared" ref="P214:Q214" si="199">IF(J214="","",J214-L214)</f>
        <v/>
      </c>
      <c r="Q214" s="50">
        <f t="shared" si="199"/>
        <v>0</v>
      </c>
      <c r="R214" s="7"/>
      <c r="S214" s="7"/>
      <c r="T214" s="7"/>
      <c r="U214" s="7"/>
      <c r="V214" s="7"/>
      <c r="W214" s="7"/>
      <c r="X214" s="7"/>
      <c r="Y214" s="7"/>
      <c r="Z214" s="7"/>
      <c r="AA214" s="7" t="str">
        <f t="shared" si="183"/>
        <v/>
      </c>
      <c r="AB214" s="7" t="str">
        <f t="shared" si="184"/>
        <v/>
      </c>
      <c r="AC214" s="7"/>
      <c r="AD214" s="7"/>
      <c r="AE214" s="67"/>
      <c r="AF214" s="7"/>
      <c r="AG214" s="7"/>
      <c r="AH214" s="7"/>
      <c r="AI214" s="7"/>
      <c r="AJ214" s="7"/>
    </row>
    <row r="215">
      <c r="A215" s="40"/>
      <c r="B215" s="14"/>
      <c r="C215" s="41"/>
      <c r="D215" s="111">
        <v>46034.0</v>
      </c>
      <c r="E215" s="83" t="s">
        <v>47</v>
      </c>
      <c r="F215" s="58" t="s">
        <v>360</v>
      </c>
      <c r="G215" s="58" t="s">
        <v>44</v>
      </c>
      <c r="H215" s="44" t="s">
        <v>45</v>
      </c>
      <c r="I215" s="44" t="s">
        <v>46</v>
      </c>
      <c r="J215" s="76"/>
      <c r="K215" s="77">
        <v>64.58</v>
      </c>
      <c r="L215" s="76"/>
      <c r="M215" s="77">
        <v>64.58</v>
      </c>
      <c r="N215" s="78" t="s">
        <v>41</v>
      </c>
      <c r="O215" s="48"/>
      <c r="P215" s="49" t="str">
        <f t="shared" ref="P215:Q215" si="200">IF(J215="","",J215-L215)</f>
        <v/>
      </c>
      <c r="Q215" s="50">
        <f t="shared" si="200"/>
        <v>0</v>
      </c>
      <c r="R215" s="7"/>
      <c r="S215" s="7"/>
      <c r="T215" s="7"/>
      <c r="U215" s="7"/>
      <c r="V215" s="7"/>
      <c r="W215" s="7"/>
      <c r="X215" s="7"/>
      <c r="Y215" s="7"/>
      <c r="Z215" s="7"/>
      <c r="AA215" s="7" t="str">
        <f t="shared" si="183"/>
        <v/>
      </c>
      <c r="AB215" s="7" t="str">
        <f t="shared" si="184"/>
        <v/>
      </c>
      <c r="AC215" s="7"/>
      <c r="AD215" s="7"/>
      <c r="AE215" s="74" t="s">
        <v>361</v>
      </c>
      <c r="AF215" s="7"/>
      <c r="AG215" s="7"/>
      <c r="AH215" s="7"/>
      <c r="AI215" s="7"/>
      <c r="AJ215" s="7"/>
    </row>
    <row r="216">
      <c r="A216" s="40"/>
      <c r="B216" s="14"/>
      <c r="C216" s="41"/>
      <c r="D216" s="112">
        <v>46034.0</v>
      </c>
      <c r="E216" s="80" t="s">
        <v>362</v>
      </c>
      <c r="F216" s="55" t="s">
        <v>363</v>
      </c>
      <c r="G216" s="55" t="s">
        <v>298</v>
      </c>
      <c r="H216" s="88" t="s">
        <v>364</v>
      </c>
      <c r="I216" s="88" t="s">
        <v>354</v>
      </c>
      <c r="J216" s="81"/>
      <c r="K216" s="84">
        <v>50.0</v>
      </c>
      <c r="L216" s="81"/>
      <c r="M216" s="84">
        <v>50.0</v>
      </c>
      <c r="N216" s="85" t="s">
        <v>28</v>
      </c>
      <c r="O216" s="71"/>
      <c r="P216" s="49" t="str">
        <f t="shared" ref="P216:Q216" si="201">IF(J216="","",J216-L216)</f>
        <v/>
      </c>
      <c r="Q216" s="50">
        <f t="shared" si="201"/>
        <v>0</v>
      </c>
      <c r="R216" s="7"/>
      <c r="S216" s="7"/>
      <c r="T216" s="7"/>
      <c r="U216" s="7"/>
      <c r="V216" s="7"/>
      <c r="W216" s="7"/>
      <c r="X216" s="7"/>
      <c r="Y216" s="7"/>
      <c r="Z216" s="7"/>
      <c r="AA216" s="7" t="str">
        <f t="shared" si="183"/>
        <v/>
      </c>
      <c r="AB216" s="7" t="str">
        <f t="shared" si="184"/>
        <v/>
      </c>
      <c r="AC216" s="7"/>
      <c r="AD216" s="7"/>
      <c r="AE216" s="51" t="s">
        <v>365</v>
      </c>
      <c r="AF216" s="7"/>
      <c r="AG216" s="7"/>
      <c r="AH216" s="7"/>
      <c r="AI216" s="7"/>
      <c r="AJ216" s="7"/>
    </row>
    <row r="217">
      <c r="A217" s="40"/>
      <c r="B217" s="14"/>
      <c r="C217" s="41"/>
      <c r="D217" s="111">
        <v>46035.0</v>
      </c>
      <c r="E217" s="43" t="s">
        <v>19</v>
      </c>
      <c r="F217" s="44" t="s">
        <v>20</v>
      </c>
      <c r="G217" s="44" t="s">
        <v>20</v>
      </c>
      <c r="H217" s="44" t="s">
        <v>21</v>
      </c>
      <c r="I217" s="44" t="s">
        <v>22</v>
      </c>
      <c r="J217" s="77">
        <v>490.0</v>
      </c>
      <c r="K217" s="76"/>
      <c r="L217" s="77">
        <v>490.0</v>
      </c>
      <c r="M217" s="76"/>
      <c r="N217" s="78" t="s">
        <v>23</v>
      </c>
      <c r="O217" s="71"/>
      <c r="P217" s="49">
        <f t="shared" ref="P217:Q217" si="202">IF(J217="","",J217-L217)</f>
        <v>0</v>
      </c>
      <c r="Q217" s="50" t="str">
        <f t="shared" si="202"/>
        <v/>
      </c>
      <c r="R217" s="7"/>
      <c r="S217" s="7"/>
      <c r="T217" s="7"/>
      <c r="U217" s="7"/>
      <c r="V217" s="7"/>
      <c r="W217" s="7"/>
      <c r="X217" s="7"/>
      <c r="Y217" s="7"/>
      <c r="Z217" s="7"/>
      <c r="AA217" s="7" t="str">
        <f t="shared" si="183"/>
        <v/>
      </c>
      <c r="AB217" s="7" t="str">
        <f t="shared" si="184"/>
        <v/>
      </c>
      <c r="AC217" s="7"/>
      <c r="AD217" s="7"/>
      <c r="AE217" s="52" t="s">
        <v>366</v>
      </c>
      <c r="AF217" s="7"/>
      <c r="AG217" s="7"/>
      <c r="AH217" s="7"/>
      <c r="AI217" s="7"/>
      <c r="AJ217" s="7"/>
    </row>
    <row r="218">
      <c r="A218" s="40"/>
      <c r="B218" s="14"/>
      <c r="C218" s="41"/>
      <c r="D218" s="112">
        <v>46035.0</v>
      </c>
      <c r="E218" s="54" t="s">
        <v>25</v>
      </c>
      <c r="F218" s="55" t="s">
        <v>20</v>
      </c>
      <c r="G218" s="55" t="s">
        <v>20</v>
      </c>
      <c r="H218" s="55" t="s">
        <v>26</v>
      </c>
      <c r="I218" s="55" t="s">
        <v>27</v>
      </c>
      <c r="J218" s="81"/>
      <c r="K218" s="81"/>
      <c r="L218" s="81"/>
      <c r="M218" s="81"/>
      <c r="N218" s="82"/>
      <c r="O218" s="71"/>
      <c r="P218" s="49" t="str">
        <f t="shared" ref="P218:Q218" si="203">IF(J218="","",J218-L218)</f>
        <v/>
      </c>
      <c r="Q218" s="50" t="str">
        <f t="shared" si="203"/>
        <v/>
      </c>
      <c r="R218" s="7"/>
      <c r="S218" s="7"/>
      <c r="T218" s="7"/>
      <c r="U218" s="7"/>
      <c r="V218" s="7"/>
      <c r="W218" s="7"/>
      <c r="X218" s="7"/>
      <c r="Y218" s="7"/>
      <c r="Z218" s="7"/>
      <c r="AA218" s="7" t="str">
        <f t="shared" si="183"/>
        <v/>
      </c>
      <c r="AB218" s="7" t="str">
        <f t="shared" si="184"/>
        <v/>
      </c>
      <c r="AC218" s="7"/>
      <c r="AD218" s="7"/>
      <c r="AE218" s="51" t="s">
        <v>220</v>
      </c>
      <c r="AF218" s="7"/>
      <c r="AG218" s="7"/>
      <c r="AH218" s="7"/>
      <c r="AI218" s="7"/>
      <c r="AJ218" s="7"/>
    </row>
    <row r="219">
      <c r="A219" s="40"/>
      <c r="B219" s="14"/>
      <c r="C219" s="41"/>
      <c r="D219" s="111">
        <v>46035.0</v>
      </c>
      <c r="E219" s="43" t="s">
        <v>30</v>
      </c>
      <c r="F219" s="58" t="s">
        <v>20</v>
      </c>
      <c r="G219" s="58" t="s">
        <v>20</v>
      </c>
      <c r="H219" s="58" t="s">
        <v>31</v>
      </c>
      <c r="I219" s="59" t="s">
        <v>32</v>
      </c>
      <c r="J219" s="76"/>
      <c r="K219" s="76"/>
      <c r="L219" s="76"/>
      <c r="M219" s="76"/>
      <c r="N219" s="114"/>
      <c r="O219" s="71"/>
      <c r="P219" s="49" t="str">
        <f t="shared" ref="P219:Q219" si="204">IF(J219="","",J219-L219)</f>
        <v/>
      </c>
      <c r="Q219" s="50" t="str">
        <f t="shared" si="204"/>
        <v/>
      </c>
      <c r="R219" s="7"/>
      <c r="S219" s="7"/>
      <c r="T219" s="7"/>
      <c r="U219" s="7"/>
      <c r="V219" s="7"/>
      <c r="W219" s="7"/>
      <c r="X219" s="7"/>
      <c r="Y219" s="7"/>
      <c r="Z219" s="7"/>
      <c r="AA219" s="7" t="str">
        <f t="shared" si="183"/>
        <v/>
      </c>
      <c r="AB219" s="7" t="str">
        <f t="shared" si="184"/>
        <v/>
      </c>
      <c r="AC219" s="7"/>
      <c r="AD219" s="7"/>
      <c r="AE219" s="51" t="s">
        <v>367</v>
      </c>
      <c r="AF219" s="7"/>
      <c r="AG219" s="7"/>
      <c r="AH219" s="7"/>
      <c r="AI219" s="7"/>
      <c r="AJ219" s="7"/>
    </row>
    <row r="220">
      <c r="A220" s="40"/>
      <c r="B220" s="14"/>
      <c r="C220" s="41"/>
      <c r="D220" s="112">
        <v>46035.0</v>
      </c>
      <c r="E220" s="54" t="s">
        <v>35</v>
      </c>
      <c r="F220" s="55" t="s">
        <v>20</v>
      </c>
      <c r="G220" s="55" t="s">
        <v>20</v>
      </c>
      <c r="H220" s="55" t="s">
        <v>36</v>
      </c>
      <c r="I220" s="55" t="s">
        <v>37</v>
      </c>
      <c r="J220" s="81"/>
      <c r="K220" s="81"/>
      <c r="L220" s="81"/>
      <c r="M220" s="81"/>
      <c r="N220" s="82"/>
      <c r="O220" s="48"/>
      <c r="P220" s="49" t="str">
        <f t="shared" ref="P220:Q220" si="205">IF(J220="","",J220-L220)</f>
        <v/>
      </c>
      <c r="Q220" s="50" t="str">
        <f t="shared" si="205"/>
        <v/>
      </c>
      <c r="R220" s="7"/>
      <c r="S220" s="7"/>
      <c r="T220" s="7"/>
      <c r="U220" s="7"/>
      <c r="V220" s="7"/>
      <c r="W220" s="7"/>
      <c r="X220" s="7"/>
      <c r="Y220" s="7"/>
      <c r="Z220" s="7"/>
      <c r="AA220" s="7" t="str">
        <f t="shared" si="183"/>
        <v/>
      </c>
      <c r="AB220" s="7" t="str">
        <f t="shared" si="184"/>
        <v/>
      </c>
      <c r="AC220" s="7"/>
      <c r="AD220" s="7"/>
      <c r="AE220" s="51" t="s">
        <v>368</v>
      </c>
      <c r="AF220" s="7"/>
      <c r="AG220" s="7"/>
      <c r="AH220" s="7"/>
      <c r="AI220" s="7"/>
      <c r="AJ220" s="7"/>
    </row>
    <row r="221">
      <c r="A221" s="40"/>
      <c r="B221" s="14"/>
      <c r="C221" s="41"/>
      <c r="D221" s="111">
        <v>46035.0</v>
      </c>
      <c r="E221" s="43" t="s">
        <v>40</v>
      </c>
      <c r="F221" s="58" t="s">
        <v>20</v>
      </c>
      <c r="G221" s="58" t="s">
        <v>20</v>
      </c>
      <c r="H221" s="58" t="s">
        <v>36</v>
      </c>
      <c r="I221" s="58" t="s">
        <v>37</v>
      </c>
      <c r="J221" s="76"/>
      <c r="K221" s="76"/>
      <c r="L221" s="76"/>
      <c r="M221" s="76"/>
      <c r="N221" s="114"/>
      <c r="O221" s="48"/>
      <c r="P221" s="49" t="str">
        <f t="shared" ref="P221:Q221" si="206">IF(J221="","",J221-L221)</f>
        <v/>
      </c>
      <c r="Q221" s="50" t="str">
        <f t="shared" si="206"/>
        <v/>
      </c>
      <c r="R221" s="7"/>
      <c r="S221" s="7"/>
      <c r="T221" s="7"/>
      <c r="U221" s="7"/>
      <c r="V221" s="7"/>
      <c r="W221" s="7"/>
      <c r="X221" s="7"/>
      <c r="Y221" s="7"/>
      <c r="Z221" s="7"/>
      <c r="AA221" s="7" t="str">
        <f t="shared" si="183"/>
        <v/>
      </c>
      <c r="AB221" s="7" t="str">
        <f t="shared" si="184"/>
        <v/>
      </c>
      <c r="AC221" s="7"/>
      <c r="AD221" s="7"/>
      <c r="AE221" s="51" t="s">
        <v>215</v>
      </c>
      <c r="AF221" s="7"/>
      <c r="AG221" s="7"/>
      <c r="AH221" s="7"/>
      <c r="AI221" s="7"/>
      <c r="AJ221" s="7"/>
    </row>
    <row r="222">
      <c r="A222" s="40"/>
      <c r="B222" s="14"/>
      <c r="C222" s="41"/>
      <c r="D222" s="112">
        <v>46035.0</v>
      </c>
      <c r="E222" s="106" t="s">
        <v>96</v>
      </c>
      <c r="F222" s="87" t="s">
        <v>97</v>
      </c>
      <c r="G222" s="88" t="s">
        <v>91</v>
      </c>
      <c r="H222" s="88" t="s">
        <v>274</v>
      </c>
      <c r="I222" s="88" t="s">
        <v>99</v>
      </c>
      <c r="J222" s="81"/>
      <c r="K222" s="84">
        <v>15.9</v>
      </c>
      <c r="L222" s="81"/>
      <c r="M222" s="84">
        <v>15.9</v>
      </c>
      <c r="N222" s="85" t="s">
        <v>38</v>
      </c>
      <c r="O222" s="71"/>
      <c r="P222" s="49" t="str">
        <f t="shared" ref="P222:Q222" si="207">IF(J222="","",J222-L222)</f>
        <v/>
      </c>
      <c r="Q222" s="50">
        <f t="shared" si="207"/>
        <v>0</v>
      </c>
      <c r="R222" s="7"/>
      <c r="S222" s="7"/>
      <c r="T222" s="7"/>
      <c r="U222" s="7"/>
      <c r="V222" s="7"/>
      <c r="W222" s="7"/>
      <c r="X222" s="7"/>
      <c r="Y222" s="7"/>
      <c r="Z222" s="7"/>
      <c r="AA222" s="7" t="str">
        <f t="shared" si="183"/>
        <v/>
      </c>
      <c r="AB222" s="7" t="str">
        <f t="shared" si="184"/>
        <v/>
      </c>
      <c r="AC222" s="7"/>
      <c r="AD222" s="7"/>
      <c r="AE222" s="51" t="s">
        <v>218</v>
      </c>
      <c r="AF222" s="7"/>
      <c r="AG222" s="7"/>
      <c r="AH222" s="7"/>
      <c r="AI222" s="7"/>
      <c r="AJ222" s="7"/>
    </row>
    <row r="223">
      <c r="A223" s="40"/>
      <c r="B223" s="14"/>
      <c r="C223" s="41"/>
      <c r="D223" s="111">
        <v>46035.0</v>
      </c>
      <c r="E223" s="75" t="s">
        <v>47</v>
      </c>
      <c r="F223" s="104" t="s">
        <v>369</v>
      </c>
      <c r="G223" s="44" t="s">
        <v>44</v>
      </c>
      <c r="H223" s="44" t="s">
        <v>45</v>
      </c>
      <c r="I223" s="44" t="s">
        <v>46</v>
      </c>
      <c r="J223" s="76"/>
      <c r="K223" s="77">
        <v>92.85</v>
      </c>
      <c r="L223" s="76"/>
      <c r="M223" s="77">
        <v>92.85</v>
      </c>
      <c r="N223" s="78" t="s">
        <v>38</v>
      </c>
      <c r="O223" s="71"/>
      <c r="P223" s="49" t="str">
        <f t="shared" ref="P223:Q223" si="208">IF(J223="","",J223-L223)</f>
        <v/>
      </c>
      <c r="Q223" s="50">
        <f t="shared" si="208"/>
        <v>0</v>
      </c>
      <c r="R223" s="7"/>
      <c r="S223" s="7"/>
      <c r="T223" s="7"/>
      <c r="U223" s="7"/>
      <c r="V223" s="7"/>
      <c r="W223" s="7"/>
      <c r="X223" s="7"/>
      <c r="Y223" s="7"/>
      <c r="Z223" s="7"/>
      <c r="AA223" s="7" t="str">
        <f t="shared" si="183"/>
        <v/>
      </c>
      <c r="AB223" s="7" t="str">
        <f t="shared" si="184"/>
        <v/>
      </c>
      <c r="AC223" s="7"/>
      <c r="AD223" s="7"/>
      <c r="AE223" s="51" t="s">
        <v>370</v>
      </c>
      <c r="AF223" s="7"/>
      <c r="AG223" s="7"/>
      <c r="AH223" s="7"/>
      <c r="AI223" s="7"/>
      <c r="AJ223" s="7"/>
    </row>
    <row r="224">
      <c r="A224" s="40"/>
      <c r="B224" s="14"/>
      <c r="C224" s="41"/>
      <c r="D224" s="112">
        <v>46035.0</v>
      </c>
      <c r="E224" s="106" t="s">
        <v>156</v>
      </c>
      <c r="F224" s="87" t="s">
        <v>143</v>
      </c>
      <c r="G224" s="88" t="s">
        <v>91</v>
      </c>
      <c r="H224" s="88" t="s">
        <v>45</v>
      </c>
      <c r="I224" s="88" t="s">
        <v>99</v>
      </c>
      <c r="J224" s="81"/>
      <c r="K224" s="84">
        <v>41.96</v>
      </c>
      <c r="L224" s="81"/>
      <c r="M224" s="84">
        <v>41.96</v>
      </c>
      <c r="N224" s="85" t="s">
        <v>38</v>
      </c>
      <c r="O224" s="48"/>
      <c r="P224" s="49" t="str">
        <f t="shared" ref="P224:Q224" si="209">IF(J224="","",J224-L224)</f>
        <v/>
      </c>
      <c r="Q224" s="50">
        <f t="shared" si="209"/>
        <v>0</v>
      </c>
      <c r="R224" s="7"/>
      <c r="S224" s="7"/>
      <c r="T224" s="7"/>
      <c r="U224" s="7"/>
      <c r="V224" s="7"/>
      <c r="W224" s="7"/>
      <c r="X224" s="7"/>
      <c r="Y224" s="7"/>
      <c r="Z224" s="7"/>
      <c r="AA224" s="7" t="str">
        <f t="shared" si="183"/>
        <v/>
      </c>
      <c r="AB224" s="7" t="str">
        <f t="shared" si="184"/>
        <v/>
      </c>
      <c r="AC224" s="7"/>
      <c r="AD224" s="7"/>
      <c r="AE224" s="51" t="s">
        <v>371</v>
      </c>
      <c r="AF224" s="7"/>
      <c r="AG224" s="7"/>
      <c r="AH224" s="7"/>
      <c r="AI224" s="7"/>
      <c r="AJ224" s="7"/>
    </row>
    <row r="225">
      <c r="A225" s="40"/>
      <c r="B225" s="14"/>
      <c r="C225" s="41"/>
      <c r="D225" s="111">
        <v>46035.0</v>
      </c>
      <c r="E225" s="75" t="s">
        <v>50</v>
      </c>
      <c r="F225" s="104" t="s">
        <v>372</v>
      </c>
      <c r="G225" s="44" t="s">
        <v>44</v>
      </c>
      <c r="H225" s="44" t="s">
        <v>45</v>
      </c>
      <c r="I225" s="44" t="s">
        <v>46</v>
      </c>
      <c r="J225" s="76"/>
      <c r="K225" s="77">
        <v>18.09</v>
      </c>
      <c r="L225" s="76"/>
      <c r="M225" s="77">
        <v>18.09</v>
      </c>
      <c r="N225" s="78" t="s">
        <v>38</v>
      </c>
      <c r="O225" s="48"/>
      <c r="P225" s="49" t="str">
        <f t="shared" ref="P225:Q225" si="210">IF(J225="","",J225-L225)</f>
        <v/>
      </c>
      <c r="Q225" s="50">
        <f t="shared" si="210"/>
        <v>0</v>
      </c>
      <c r="R225" s="7"/>
      <c r="S225" s="7"/>
      <c r="T225" s="7"/>
      <c r="U225" s="7"/>
      <c r="V225" s="7"/>
      <c r="W225" s="7"/>
      <c r="X225" s="7"/>
      <c r="Y225" s="7"/>
      <c r="Z225" s="7"/>
      <c r="AA225" s="7" t="str">
        <f t="shared" si="183"/>
        <v/>
      </c>
      <c r="AB225" s="7" t="str">
        <f t="shared" si="184"/>
        <v/>
      </c>
      <c r="AC225" s="7"/>
      <c r="AD225" s="7"/>
      <c r="AE225" s="52" t="s">
        <v>233</v>
      </c>
      <c r="AF225" s="7"/>
      <c r="AG225" s="7"/>
      <c r="AH225" s="7"/>
      <c r="AI225" s="7"/>
      <c r="AJ225" s="7"/>
    </row>
    <row r="226">
      <c r="A226" s="40"/>
      <c r="B226" s="14"/>
      <c r="C226" s="41"/>
      <c r="D226" s="112">
        <v>46035.0</v>
      </c>
      <c r="E226" s="106" t="s">
        <v>251</v>
      </c>
      <c r="F226" s="87" t="s">
        <v>373</v>
      </c>
      <c r="G226" s="88" t="s">
        <v>44</v>
      </c>
      <c r="H226" s="88" t="s">
        <v>45</v>
      </c>
      <c r="I226" s="88" t="s">
        <v>46</v>
      </c>
      <c r="J226" s="81"/>
      <c r="K226" s="84">
        <v>103.75</v>
      </c>
      <c r="L226" s="81"/>
      <c r="M226" s="84">
        <v>103.75</v>
      </c>
      <c r="N226" s="85" t="s">
        <v>38</v>
      </c>
      <c r="O226" s="71"/>
      <c r="P226" s="49" t="str">
        <f t="shared" ref="P226:Q226" si="211">IF(J226="","",J226-L226)</f>
        <v/>
      </c>
      <c r="Q226" s="50">
        <f t="shared" si="211"/>
        <v>0</v>
      </c>
      <c r="R226" s="7"/>
      <c r="S226" s="7"/>
      <c r="T226" s="7"/>
      <c r="U226" s="7"/>
      <c r="V226" s="7"/>
      <c r="W226" s="7"/>
      <c r="X226" s="7"/>
      <c r="Y226" s="7"/>
      <c r="Z226" s="7"/>
      <c r="AA226" s="7" t="str">
        <f t="shared" si="183"/>
        <v/>
      </c>
      <c r="AB226" s="7" t="str">
        <f t="shared" si="184"/>
        <v/>
      </c>
      <c r="AC226" s="7"/>
      <c r="AD226" s="7"/>
      <c r="AE226" s="51" t="s">
        <v>231</v>
      </c>
      <c r="AF226" s="7"/>
      <c r="AG226" s="7"/>
      <c r="AH226" s="7"/>
      <c r="AI226" s="7"/>
      <c r="AJ226" s="7"/>
    </row>
    <row r="227">
      <c r="A227" s="40"/>
      <c r="B227" s="14"/>
      <c r="C227" s="41"/>
      <c r="D227" s="111">
        <v>46035.0</v>
      </c>
      <c r="E227" s="75" t="s">
        <v>50</v>
      </c>
      <c r="F227" s="104" t="s">
        <v>374</v>
      </c>
      <c r="G227" s="44" t="s">
        <v>44</v>
      </c>
      <c r="H227" s="44" t="s">
        <v>45</v>
      </c>
      <c r="I227" s="44" t="s">
        <v>46</v>
      </c>
      <c r="J227" s="76"/>
      <c r="K227" s="77">
        <v>73.23</v>
      </c>
      <c r="L227" s="76"/>
      <c r="M227" s="77">
        <v>73.23</v>
      </c>
      <c r="N227" s="78" t="s">
        <v>38</v>
      </c>
      <c r="O227" s="48"/>
      <c r="P227" s="49" t="str">
        <f t="shared" ref="P227:Q227" si="212">IF(J227="","",J227-L227)</f>
        <v/>
      </c>
      <c r="Q227" s="50">
        <f t="shared" si="212"/>
        <v>0</v>
      </c>
      <c r="R227" s="7"/>
      <c r="S227" s="7"/>
      <c r="T227" s="7"/>
      <c r="U227" s="7"/>
      <c r="V227" s="7"/>
      <c r="W227" s="7"/>
      <c r="X227" s="7"/>
      <c r="Y227" s="7"/>
      <c r="Z227" s="7"/>
      <c r="AA227" s="7" t="str">
        <f t="shared" si="183"/>
        <v/>
      </c>
      <c r="AB227" s="7" t="str">
        <f t="shared" si="184"/>
        <v/>
      </c>
      <c r="AC227" s="7"/>
      <c r="AD227" s="7"/>
      <c r="AE227" s="51" t="s">
        <v>211</v>
      </c>
      <c r="AF227" s="7"/>
      <c r="AG227" s="7"/>
      <c r="AH227" s="7"/>
      <c r="AI227" s="7"/>
      <c r="AJ227" s="7"/>
    </row>
    <row r="228">
      <c r="A228" s="40"/>
      <c r="B228" s="14"/>
      <c r="C228" s="41"/>
      <c r="D228" s="112">
        <v>46035.0</v>
      </c>
      <c r="E228" s="106" t="s">
        <v>146</v>
      </c>
      <c r="F228" s="87" t="s">
        <v>126</v>
      </c>
      <c r="G228" s="88" t="s">
        <v>91</v>
      </c>
      <c r="H228" s="88" t="s">
        <v>300</v>
      </c>
      <c r="I228" s="88" t="s">
        <v>99</v>
      </c>
      <c r="J228" s="81"/>
      <c r="K228" s="84">
        <v>12.8</v>
      </c>
      <c r="L228" s="81"/>
      <c r="M228" s="84">
        <v>12.8</v>
      </c>
      <c r="N228" s="85" t="s">
        <v>41</v>
      </c>
      <c r="O228" s="71"/>
      <c r="P228" s="49" t="str">
        <f t="shared" ref="P228:Q228" si="213">IF(J228="","",J228-L228)</f>
        <v/>
      </c>
      <c r="Q228" s="50">
        <f t="shared" si="213"/>
        <v>0</v>
      </c>
      <c r="R228" s="7"/>
      <c r="S228" s="7"/>
      <c r="T228" s="7"/>
      <c r="U228" s="7"/>
      <c r="V228" s="7"/>
      <c r="W228" s="7"/>
      <c r="X228" s="7"/>
      <c r="Y228" s="7"/>
      <c r="Z228" s="7"/>
      <c r="AA228" s="7" t="str">
        <f t="shared" si="183"/>
        <v/>
      </c>
      <c r="AB228" s="7" t="str">
        <f t="shared" si="184"/>
        <v/>
      </c>
      <c r="AC228" s="7"/>
      <c r="AD228" s="7"/>
      <c r="AE228" s="51" t="s">
        <v>375</v>
      </c>
      <c r="AF228" s="7"/>
      <c r="AG228" s="7"/>
      <c r="AH228" s="7"/>
      <c r="AI228" s="7"/>
      <c r="AJ228" s="7"/>
    </row>
    <row r="229">
      <c r="A229" s="40"/>
      <c r="B229" s="14"/>
      <c r="C229" s="41"/>
      <c r="D229" s="111">
        <v>46035.0</v>
      </c>
      <c r="E229" s="75" t="s">
        <v>109</v>
      </c>
      <c r="F229" s="104" t="s">
        <v>376</v>
      </c>
      <c r="G229" s="44" t="s">
        <v>44</v>
      </c>
      <c r="H229" s="44" t="s">
        <v>300</v>
      </c>
      <c r="I229" s="44" t="s">
        <v>111</v>
      </c>
      <c r="J229" s="76"/>
      <c r="K229" s="77">
        <v>39.34</v>
      </c>
      <c r="L229" s="76"/>
      <c r="M229" s="77">
        <v>39.34</v>
      </c>
      <c r="N229" s="78" t="s">
        <v>28</v>
      </c>
      <c r="O229" s="48"/>
      <c r="P229" s="49" t="str">
        <f t="shared" ref="P229:Q229" si="214">IF(J229="","",J229-L229)</f>
        <v/>
      </c>
      <c r="Q229" s="50">
        <f t="shared" si="214"/>
        <v>0</v>
      </c>
      <c r="R229" s="7"/>
      <c r="S229" s="7"/>
      <c r="T229" s="7"/>
      <c r="U229" s="7"/>
      <c r="V229" s="7"/>
      <c r="W229" s="7"/>
      <c r="X229" s="7"/>
      <c r="Y229" s="7"/>
      <c r="Z229" s="7"/>
      <c r="AA229" s="7" t="str">
        <f t="shared" si="183"/>
        <v/>
      </c>
      <c r="AB229" s="7" t="str">
        <f t="shared" si="184"/>
        <v/>
      </c>
      <c r="AC229" s="7"/>
      <c r="AD229" s="7"/>
      <c r="AE229" s="51" t="s">
        <v>261</v>
      </c>
      <c r="AF229" s="7"/>
      <c r="AG229" s="7"/>
      <c r="AH229" s="7"/>
      <c r="AI229" s="7"/>
      <c r="AJ229" s="7"/>
    </row>
    <row r="230">
      <c r="A230" s="40"/>
      <c r="B230" s="14"/>
      <c r="C230" s="41"/>
      <c r="D230" s="112">
        <v>46036.0</v>
      </c>
      <c r="E230" s="54" t="s">
        <v>19</v>
      </c>
      <c r="F230" s="88" t="s">
        <v>20</v>
      </c>
      <c r="G230" s="88" t="s">
        <v>20</v>
      </c>
      <c r="H230" s="88" t="s">
        <v>21</v>
      </c>
      <c r="I230" s="88" t="s">
        <v>22</v>
      </c>
      <c r="J230" s="84">
        <v>359.0</v>
      </c>
      <c r="K230" s="81"/>
      <c r="L230" s="84">
        <v>359.0</v>
      </c>
      <c r="M230" s="81"/>
      <c r="N230" s="85" t="s">
        <v>23</v>
      </c>
      <c r="O230" s="71"/>
      <c r="P230" s="49">
        <f t="shared" ref="P230:Q230" si="215">IF(J230="","",J230-L230)</f>
        <v>0</v>
      </c>
      <c r="Q230" s="50" t="str">
        <f t="shared" si="215"/>
        <v/>
      </c>
      <c r="R230" s="7"/>
      <c r="S230" s="7"/>
      <c r="T230" s="7"/>
      <c r="U230" s="7"/>
      <c r="V230" s="7"/>
      <c r="W230" s="7"/>
      <c r="X230" s="7"/>
      <c r="Y230" s="7"/>
      <c r="Z230" s="7"/>
      <c r="AA230" s="7" t="str">
        <f t="shared" si="183"/>
        <v/>
      </c>
      <c r="AB230" s="7" t="str">
        <f t="shared" si="184"/>
        <v/>
      </c>
      <c r="AC230" s="7"/>
      <c r="AD230" s="7"/>
      <c r="AE230" s="51" t="s">
        <v>377</v>
      </c>
      <c r="AF230" s="7"/>
      <c r="AG230" s="7"/>
      <c r="AH230" s="7"/>
      <c r="AI230" s="7"/>
      <c r="AJ230" s="7"/>
    </row>
    <row r="231">
      <c r="A231" s="40"/>
      <c r="B231" s="14"/>
      <c r="C231" s="41"/>
      <c r="D231" s="111">
        <v>46036.0</v>
      </c>
      <c r="E231" s="43" t="s">
        <v>25</v>
      </c>
      <c r="F231" s="58" t="s">
        <v>20</v>
      </c>
      <c r="G231" s="58" t="s">
        <v>20</v>
      </c>
      <c r="H231" s="58" t="s">
        <v>26</v>
      </c>
      <c r="I231" s="58" t="s">
        <v>27</v>
      </c>
      <c r="J231" s="76"/>
      <c r="K231" s="76"/>
      <c r="L231" s="76"/>
      <c r="M231" s="76"/>
      <c r="N231" s="114"/>
      <c r="O231" s="71"/>
      <c r="P231" s="49" t="str">
        <f t="shared" ref="P231:Q231" si="216">IF(J231="","",J231-L231)</f>
        <v/>
      </c>
      <c r="Q231" s="50" t="str">
        <f t="shared" si="216"/>
        <v/>
      </c>
      <c r="R231" s="7"/>
      <c r="S231" s="7"/>
      <c r="T231" s="7"/>
      <c r="U231" s="7"/>
      <c r="V231" s="7"/>
      <c r="W231" s="7"/>
      <c r="X231" s="7"/>
      <c r="Y231" s="7"/>
      <c r="Z231" s="7"/>
      <c r="AA231" s="7" t="str">
        <f t="shared" si="183"/>
        <v/>
      </c>
      <c r="AB231" s="7" t="str">
        <f t="shared" si="184"/>
        <v/>
      </c>
      <c r="AC231" s="7"/>
      <c r="AD231" s="7"/>
      <c r="AE231" s="51" t="s">
        <v>270</v>
      </c>
      <c r="AF231" s="7"/>
      <c r="AG231" s="7"/>
      <c r="AH231" s="7"/>
      <c r="AI231" s="7"/>
      <c r="AJ231" s="7"/>
    </row>
    <row r="232">
      <c r="A232" s="40"/>
      <c r="B232" s="14"/>
      <c r="C232" s="41"/>
      <c r="D232" s="112">
        <v>46036.0</v>
      </c>
      <c r="E232" s="54" t="s">
        <v>30</v>
      </c>
      <c r="F232" s="55" t="s">
        <v>20</v>
      </c>
      <c r="G232" s="55" t="s">
        <v>20</v>
      </c>
      <c r="H232" s="55" t="s">
        <v>31</v>
      </c>
      <c r="I232" s="131" t="s">
        <v>32</v>
      </c>
      <c r="J232" s="81"/>
      <c r="K232" s="81"/>
      <c r="L232" s="81"/>
      <c r="M232" s="81"/>
      <c r="N232" s="82"/>
      <c r="O232" s="48"/>
      <c r="P232" s="49" t="str">
        <f t="shared" ref="P232:Q232" si="217">IF(J232="","",J232-L232)</f>
        <v/>
      </c>
      <c r="Q232" s="50" t="str">
        <f t="shared" si="217"/>
        <v/>
      </c>
      <c r="R232" s="7"/>
      <c r="S232" s="7"/>
      <c r="T232" s="7"/>
      <c r="U232" s="7"/>
      <c r="V232" s="7"/>
      <c r="W232" s="7"/>
      <c r="X232" s="7"/>
      <c r="Y232" s="7"/>
      <c r="Z232" s="7"/>
      <c r="AA232" s="7" t="str">
        <f t="shared" si="183"/>
        <v/>
      </c>
      <c r="AB232" s="7" t="str">
        <f t="shared" si="184"/>
        <v/>
      </c>
      <c r="AC232" s="7"/>
      <c r="AD232" s="7"/>
      <c r="AE232" s="51" t="s">
        <v>226</v>
      </c>
      <c r="AF232" s="7"/>
      <c r="AG232" s="7"/>
      <c r="AH232" s="7"/>
      <c r="AI232" s="7"/>
      <c r="AJ232" s="7"/>
    </row>
    <row r="233">
      <c r="A233" s="40"/>
      <c r="B233" s="14"/>
      <c r="C233" s="41"/>
      <c r="D233" s="111">
        <v>46036.0</v>
      </c>
      <c r="E233" s="43" t="s">
        <v>35</v>
      </c>
      <c r="F233" s="58" t="s">
        <v>20</v>
      </c>
      <c r="G233" s="58" t="s">
        <v>20</v>
      </c>
      <c r="H233" s="58" t="s">
        <v>36</v>
      </c>
      <c r="I233" s="58" t="s">
        <v>37</v>
      </c>
      <c r="J233" s="76"/>
      <c r="K233" s="76"/>
      <c r="L233" s="76"/>
      <c r="M233" s="76"/>
      <c r="N233" s="114"/>
      <c r="O233" s="71"/>
      <c r="P233" s="49" t="str">
        <f t="shared" ref="P233:Q233" si="218">IF(J233="","",J233-L233)</f>
        <v/>
      </c>
      <c r="Q233" s="50" t="str">
        <f t="shared" si="218"/>
        <v/>
      </c>
      <c r="R233" s="7"/>
      <c r="S233" s="7"/>
      <c r="T233" s="7"/>
      <c r="U233" s="7"/>
      <c r="V233" s="7"/>
      <c r="W233" s="7"/>
      <c r="X233" s="7"/>
      <c r="Y233" s="7"/>
      <c r="Z233" s="7"/>
      <c r="AA233" s="7" t="str">
        <f t="shared" si="183"/>
        <v/>
      </c>
      <c r="AB233" s="7" t="str">
        <f t="shared" si="184"/>
        <v/>
      </c>
      <c r="AC233" s="7"/>
      <c r="AD233" s="7"/>
      <c r="AE233" s="51" t="s">
        <v>378</v>
      </c>
      <c r="AF233" s="7"/>
      <c r="AG233" s="7"/>
      <c r="AH233" s="7"/>
      <c r="AI233" s="7"/>
      <c r="AJ233" s="7"/>
    </row>
    <row r="234">
      <c r="A234" s="40"/>
      <c r="B234" s="14"/>
      <c r="C234" s="41"/>
      <c r="D234" s="112">
        <v>46036.0</v>
      </c>
      <c r="E234" s="54" t="s">
        <v>40</v>
      </c>
      <c r="F234" s="55" t="s">
        <v>20</v>
      </c>
      <c r="G234" s="55" t="s">
        <v>20</v>
      </c>
      <c r="H234" s="55" t="s">
        <v>36</v>
      </c>
      <c r="I234" s="55" t="s">
        <v>37</v>
      </c>
      <c r="J234" s="81"/>
      <c r="K234" s="81"/>
      <c r="L234" s="81"/>
      <c r="M234" s="81"/>
      <c r="N234" s="82"/>
      <c r="O234" s="48"/>
      <c r="P234" s="49" t="str">
        <f t="shared" ref="P234:Q234" si="219">IF(J234="","",J234-L234)</f>
        <v/>
      </c>
      <c r="Q234" s="50" t="str">
        <f t="shared" si="219"/>
        <v/>
      </c>
      <c r="R234" s="7"/>
      <c r="S234" s="7"/>
      <c r="T234" s="7"/>
      <c r="U234" s="7"/>
      <c r="V234" s="7"/>
      <c r="W234" s="7"/>
      <c r="X234" s="7"/>
      <c r="Y234" s="7"/>
      <c r="Z234" s="7"/>
      <c r="AA234" s="7" t="str">
        <f t="shared" si="183"/>
        <v/>
      </c>
      <c r="AB234" s="7" t="str">
        <f t="shared" si="184"/>
        <v/>
      </c>
      <c r="AC234" s="7"/>
      <c r="AD234" s="7"/>
      <c r="AE234" s="51" t="s">
        <v>379</v>
      </c>
      <c r="AF234" s="7"/>
      <c r="AG234" s="7"/>
      <c r="AH234" s="7"/>
      <c r="AI234" s="7"/>
      <c r="AJ234" s="7"/>
    </row>
    <row r="235">
      <c r="A235" s="40"/>
      <c r="B235" s="14"/>
      <c r="C235" s="41"/>
      <c r="D235" s="111">
        <v>46036.0</v>
      </c>
      <c r="E235" s="75" t="s">
        <v>219</v>
      </c>
      <c r="F235" s="104" t="s">
        <v>170</v>
      </c>
      <c r="G235" s="104" t="s">
        <v>91</v>
      </c>
      <c r="H235" s="104" t="s">
        <v>380</v>
      </c>
      <c r="I235" s="104" t="s">
        <v>237</v>
      </c>
      <c r="J235" s="76"/>
      <c r="K235" s="77">
        <v>54.0</v>
      </c>
      <c r="L235" s="76"/>
      <c r="M235" s="77">
        <v>54.0</v>
      </c>
      <c r="N235" s="78" t="s">
        <v>38</v>
      </c>
      <c r="O235" s="71"/>
      <c r="P235" s="49" t="str">
        <f t="shared" ref="P235:Q235" si="220">IF(J235="","",J235-L235)</f>
        <v/>
      </c>
      <c r="Q235" s="68">
        <f t="shared" si="220"/>
        <v>0</v>
      </c>
      <c r="R235" s="7"/>
      <c r="S235" s="7"/>
      <c r="T235" s="7"/>
      <c r="U235" s="7"/>
      <c r="V235" s="7"/>
      <c r="W235" s="7"/>
      <c r="X235" s="7"/>
      <c r="Y235" s="7"/>
      <c r="Z235" s="7"/>
      <c r="AA235" s="7" t="str">
        <f t="shared" si="183"/>
        <v/>
      </c>
      <c r="AB235" s="7" t="str">
        <f t="shared" si="184"/>
        <v/>
      </c>
      <c r="AC235" s="7"/>
      <c r="AD235" s="7"/>
      <c r="AE235" s="51" t="s">
        <v>230</v>
      </c>
      <c r="AF235" s="7"/>
      <c r="AG235" s="7"/>
      <c r="AH235" s="7"/>
      <c r="AI235" s="7"/>
      <c r="AJ235" s="7"/>
    </row>
    <row r="236">
      <c r="A236" s="40"/>
      <c r="B236" s="14"/>
      <c r="C236" s="41"/>
      <c r="D236" s="112">
        <v>46036.0</v>
      </c>
      <c r="E236" s="106" t="s">
        <v>175</v>
      </c>
      <c r="F236" s="87" t="s">
        <v>126</v>
      </c>
      <c r="G236" s="87" t="s">
        <v>91</v>
      </c>
      <c r="H236" s="87" t="s">
        <v>300</v>
      </c>
      <c r="I236" s="87" t="s">
        <v>99</v>
      </c>
      <c r="J236" s="81"/>
      <c r="K236" s="84">
        <v>13.38</v>
      </c>
      <c r="L236" s="81"/>
      <c r="M236" s="84">
        <v>13.38</v>
      </c>
      <c r="N236" s="115" t="s">
        <v>28</v>
      </c>
      <c r="O236" s="71"/>
      <c r="P236" s="49" t="str">
        <f t="shared" ref="P236:Q236" si="221">IF(J236="","",J236-L236)</f>
        <v/>
      </c>
      <c r="Q236" s="50">
        <f t="shared" si="221"/>
        <v>0</v>
      </c>
      <c r="R236" s="7"/>
      <c r="S236" s="7"/>
      <c r="T236" s="7"/>
      <c r="U236" s="7"/>
      <c r="V236" s="7"/>
      <c r="W236" s="7"/>
      <c r="X236" s="7"/>
      <c r="Y236" s="7"/>
      <c r="Z236" s="7"/>
      <c r="AA236" s="7" t="str">
        <f t="shared" si="183"/>
        <v/>
      </c>
      <c r="AB236" s="7" t="str">
        <f t="shared" si="184"/>
        <v/>
      </c>
      <c r="AC236" s="7"/>
      <c r="AD236" s="7"/>
      <c r="AE236" s="51" t="s">
        <v>381</v>
      </c>
      <c r="AF236" s="7"/>
      <c r="AG236" s="7"/>
      <c r="AH236" s="7"/>
      <c r="AI236" s="7"/>
      <c r="AJ236" s="7"/>
    </row>
    <row r="237">
      <c r="A237" s="40"/>
      <c r="B237" s="14"/>
      <c r="C237" s="41"/>
      <c r="D237" s="111">
        <v>46036.0</v>
      </c>
      <c r="E237" s="75" t="s">
        <v>57</v>
      </c>
      <c r="F237" s="104" t="s">
        <v>20</v>
      </c>
      <c r="G237" s="104" t="s">
        <v>20</v>
      </c>
      <c r="H237" s="104" t="s">
        <v>300</v>
      </c>
      <c r="I237" s="104" t="s">
        <v>309</v>
      </c>
      <c r="J237" s="76"/>
      <c r="K237" s="77">
        <v>3.49</v>
      </c>
      <c r="L237" s="76"/>
      <c r="M237" s="77">
        <v>3.49</v>
      </c>
      <c r="N237" s="116" t="s">
        <v>28</v>
      </c>
      <c r="O237" s="71"/>
      <c r="P237" s="49" t="str">
        <f t="shared" ref="P237:Q237" si="222">IF(J237="","",J237-L237)</f>
        <v/>
      </c>
      <c r="Q237" s="50">
        <f t="shared" si="222"/>
        <v>0</v>
      </c>
      <c r="R237" s="7"/>
      <c r="S237" s="7"/>
      <c r="T237" s="7"/>
      <c r="U237" s="7"/>
      <c r="V237" s="7"/>
      <c r="W237" s="7"/>
      <c r="X237" s="7"/>
      <c r="Y237" s="7"/>
      <c r="Z237" s="7"/>
      <c r="AA237" s="7" t="str">
        <f t="shared" si="183"/>
        <v/>
      </c>
      <c r="AB237" s="7" t="str">
        <f t="shared" si="184"/>
        <v/>
      </c>
      <c r="AC237" s="7"/>
      <c r="AD237" s="7"/>
      <c r="AE237" s="51" t="s">
        <v>257</v>
      </c>
      <c r="AF237" s="7"/>
      <c r="AG237" s="7"/>
      <c r="AH237" s="7"/>
      <c r="AI237" s="7"/>
      <c r="AJ237" s="7"/>
    </row>
    <row r="238">
      <c r="A238" s="40"/>
      <c r="B238" s="14"/>
      <c r="C238" s="41"/>
      <c r="D238" s="112">
        <v>46036.0</v>
      </c>
      <c r="E238" s="106" t="s">
        <v>227</v>
      </c>
      <c r="F238" s="87" t="s">
        <v>382</v>
      </c>
      <c r="G238" s="87" t="s">
        <v>44</v>
      </c>
      <c r="H238" s="87" t="s">
        <v>236</v>
      </c>
      <c r="I238" s="87" t="s">
        <v>237</v>
      </c>
      <c r="J238" s="81"/>
      <c r="K238" s="84">
        <v>100.44</v>
      </c>
      <c r="L238" s="81"/>
      <c r="M238" s="84">
        <v>100.44</v>
      </c>
      <c r="N238" s="115" t="s">
        <v>28</v>
      </c>
      <c r="O238" s="48"/>
      <c r="P238" s="49" t="str">
        <f t="shared" ref="P238:Q238" si="223">IF(J238="","",J238-L238)</f>
        <v/>
      </c>
      <c r="Q238" s="50">
        <f t="shared" si="223"/>
        <v>0</v>
      </c>
      <c r="R238" s="7"/>
      <c r="S238" s="7"/>
      <c r="T238" s="7"/>
      <c r="U238" s="7"/>
      <c r="V238" s="7"/>
      <c r="W238" s="7"/>
      <c r="X238" s="7"/>
      <c r="Y238" s="7"/>
      <c r="Z238" s="7"/>
      <c r="AA238" s="7" t="str">
        <f t="shared" si="183"/>
        <v/>
      </c>
      <c r="AB238" s="7" t="str">
        <f t="shared" si="184"/>
        <v/>
      </c>
      <c r="AC238" s="7"/>
      <c r="AD238" s="7"/>
      <c r="AE238" s="51" t="s">
        <v>268</v>
      </c>
      <c r="AF238" s="7"/>
      <c r="AG238" s="7"/>
      <c r="AH238" s="7"/>
      <c r="AI238" s="7"/>
      <c r="AJ238" s="7"/>
    </row>
    <row r="239">
      <c r="A239" s="40"/>
      <c r="B239" s="14"/>
      <c r="C239" s="41"/>
      <c r="D239" s="111">
        <v>46036.0</v>
      </c>
      <c r="E239" s="75" t="s">
        <v>57</v>
      </c>
      <c r="F239" s="104" t="s">
        <v>20</v>
      </c>
      <c r="G239" s="104" t="s">
        <v>20</v>
      </c>
      <c r="H239" s="104" t="s">
        <v>236</v>
      </c>
      <c r="I239" s="104" t="s">
        <v>309</v>
      </c>
      <c r="J239" s="76"/>
      <c r="K239" s="77">
        <v>12.0</v>
      </c>
      <c r="L239" s="76"/>
      <c r="M239" s="77">
        <v>12.0</v>
      </c>
      <c r="N239" s="116" t="s">
        <v>28</v>
      </c>
      <c r="O239" s="71"/>
      <c r="P239" s="49" t="str">
        <f t="shared" ref="P239:Q239" si="224">IF(J239="","",J239-L239)</f>
        <v/>
      </c>
      <c r="Q239" s="50">
        <f t="shared" si="224"/>
        <v>0</v>
      </c>
      <c r="R239" s="7"/>
      <c r="S239" s="7"/>
      <c r="T239" s="7"/>
      <c r="U239" s="7"/>
      <c r="V239" s="7"/>
      <c r="W239" s="7"/>
      <c r="X239" s="7"/>
      <c r="Y239" s="7"/>
      <c r="Z239" s="7"/>
      <c r="AA239" s="7" t="str">
        <f t="shared" si="183"/>
        <v/>
      </c>
      <c r="AB239" s="7" t="str">
        <f t="shared" si="184"/>
        <v/>
      </c>
      <c r="AC239" s="7"/>
      <c r="AD239" s="7"/>
      <c r="AE239" s="51" t="s">
        <v>383</v>
      </c>
      <c r="AF239" s="7"/>
      <c r="AG239" s="7"/>
      <c r="AH239" s="7"/>
      <c r="AI239" s="7"/>
      <c r="AJ239" s="7"/>
    </row>
    <row r="240">
      <c r="A240" s="40"/>
      <c r="B240" s="14"/>
      <c r="C240" s="41"/>
      <c r="D240" s="112">
        <v>46036.0</v>
      </c>
      <c r="E240" s="106" t="s">
        <v>183</v>
      </c>
      <c r="F240" s="87" t="s">
        <v>123</v>
      </c>
      <c r="G240" s="87" t="s">
        <v>91</v>
      </c>
      <c r="H240" s="87" t="s">
        <v>300</v>
      </c>
      <c r="I240" s="87" t="s">
        <v>65</v>
      </c>
      <c r="J240" s="81"/>
      <c r="K240" s="84">
        <v>1.99</v>
      </c>
      <c r="L240" s="81"/>
      <c r="M240" s="84">
        <v>1.99</v>
      </c>
      <c r="N240" s="115" t="s">
        <v>38</v>
      </c>
      <c r="O240" s="48"/>
      <c r="P240" s="49" t="str">
        <f t="shared" ref="P240:Q240" si="225">IF(J240="","",J240-L240)</f>
        <v/>
      </c>
      <c r="Q240" s="50">
        <f t="shared" si="225"/>
        <v>0</v>
      </c>
      <c r="R240" s="7"/>
      <c r="S240" s="7"/>
      <c r="T240" s="7"/>
      <c r="U240" s="7"/>
      <c r="V240" s="7"/>
      <c r="W240" s="7"/>
      <c r="X240" s="7"/>
      <c r="Y240" s="7"/>
      <c r="Z240" s="7"/>
      <c r="AA240" s="7" t="str">
        <f t="shared" si="183"/>
        <v/>
      </c>
      <c r="AB240" s="7" t="str">
        <f t="shared" si="184"/>
        <v/>
      </c>
      <c r="AC240" s="7"/>
      <c r="AD240" s="7"/>
      <c r="AE240" s="51" t="s">
        <v>265</v>
      </c>
      <c r="AF240" s="7"/>
      <c r="AG240" s="7"/>
      <c r="AH240" s="7"/>
      <c r="AI240" s="7"/>
      <c r="AJ240" s="7"/>
    </row>
    <row r="241">
      <c r="A241" s="40"/>
      <c r="B241" s="14"/>
      <c r="C241" s="41"/>
      <c r="D241" s="111">
        <v>46036.0</v>
      </c>
      <c r="E241" s="75" t="s">
        <v>132</v>
      </c>
      <c r="F241" s="104" t="s">
        <v>148</v>
      </c>
      <c r="G241" s="104" t="s">
        <v>44</v>
      </c>
      <c r="H241" s="104" t="s">
        <v>300</v>
      </c>
      <c r="I241" s="104" t="s">
        <v>99</v>
      </c>
      <c r="J241" s="76"/>
      <c r="K241" s="77">
        <v>19.17</v>
      </c>
      <c r="L241" s="76"/>
      <c r="M241" s="77">
        <v>19.17</v>
      </c>
      <c r="N241" s="116" t="s">
        <v>38</v>
      </c>
      <c r="O241" s="71"/>
      <c r="P241" s="49" t="str">
        <f t="shared" ref="P241:Q241" si="226">IF(J241="","",J241-L241)</f>
        <v/>
      </c>
      <c r="Q241" s="50">
        <f t="shared" si="226"/>
        <v>0</v>
      </c>
      <c r="R241" s="7"/>
      <c r="S241" s="7"/>
      <c r="T241" s="7"/>
      <c r="U241" s="7"/>
      <c r="V241" s="7"/>
      <c r="W241" s="7"/>
      <c r="X241" s="7"/>
      <c r="Y241" s="7"/>
      <c r="Z241" s="7"/>
      <c r="AA241" s="7" t="str">
        <f t="shared" si="183"/>
        <v/>
      </c>
      <c r="AB241" s="7" t="str">
        <f t="shared" si="184"/>
        <v/>
      </c>
      <c r="AC241" s="7"/>
      <c r="AD241" s="7"/>
      <c r="AE241" s="51" t="s">
        <v>384</v>
      </c>
      <c r="AF241" s="7"/>
      <c r="AG241" s="7"/>
      <c r="AH241" s="7"/>
      <c r="AI241" s="7"/>
      <c r="AJ241" s="7"/>
    </row>
    <row r="242">
      <c r="A242" s="40"/>
      <c r="B242" s="14"/>
      <c r="C242" s="41"/>
      <c r="D242" s="112">
        <v>46036.0</v>
      </c>
      <c r="E242" s="106" t="s">
        <v>135</v>
      </c>
      <c r="F242" s="87" t="s">
        <v>123</v>
      </c>
      <c r="G242" s="87" t="s">
        <v>44</v>
      </c>
      <c r="H242" s="87" t="s">
        <v>300</v>
      </c>
      <c r="I242" s="87" t="s">
        <v>99</v>
      </c>
      <c r="J242" s="81"/>
      <c r="K242" s="84">
        <v>6.29</v>
      </c>
      <c r="L242" s="81"/>
      <c r="M242" s="84">
        <v>6.29</v>
      </c>
      <c r="N242" s="115" t="s">
        <v>38</v>
      </c>
      <c r="O242" s="48"/>
      <c r="P242" s="49" t="str">
        <f t="shared" ref="P242:Q242" si="227">IF(J242="","",J242-L242)</f>
        <v/>
      </c>
      <c r="Q242" s="50">
        <f t="shared" si="227"/>
        <v>0</v>
      </c>
      <c r="R242" s="7"/>
      <c r="S242" s="7"/>
      <c r="T242" s="7"/>
      <c r="U242" s="7"/>
      <c r="V242" s="7"/>
      <c r="W242" s="7"/>
      <c r="X242" s="7"/>
      <c r="Y242" s="7"/>
      <c r="Z242" s="7"/>
      <c r="AA242" s="7" t="str">
        <f t="shared" si="183"/>
        <v/>
      </c>
      <c r="AB242" s="7" t="str">
        <f t="shared" si="184"/>
        <v/>
      </c>
      <c r="AC242" s="7"/>
      <c r="AD242" s="7"/>
      <c r="AE242" s="51" t="s">
        <v>385</v>
      </c>
      <c r="AF242" s="7"/>
      <c r="AG242" s="7"/>
      <c r="AH242" s="7"/>
      <c r="AI242" s="7"/>
      <c r="AJ242" s="7"/>
    </row>
    <row r="243">
      <c r="A243" s="40"/>
      <c r="B243" s="14"/>
      <c r="C243" s="41"/>
      <c r="D243" s="111">
        <v>46036.0</v>
      </c>
      <c r="E243" s="75" t="s">
        <v>144</v>
      </c>
      <c r="F243" s="104" t="s">
        <v>158</v>
      </c>
      <c r="G243" s="104" t="s">
        <v>44</v>
      </c>
      <c r="H243" s="104" t="s">
        <v>300</v>
      </c>
      <c r="I243" s="104" t="s">
        <v>99</v>
      </c>
      <c r="J243" s="76"/>
      <c r="K243" s="77">
        <v>17.35</v>
      </c>
      <c r="L243" s="76"/>
      <c r="M243" s="77">
        <v>17.35</v>
      </c>
      <c r="N243" s="116" t="s">
        <v>38</v>
      </c>
      <c r="O243" s="71"/>
      <c r="P243" s="49" t="str">
        <f t="shared" ref="P243:Q243" si="228">IF(J243="","",J243-L243)</f>
        <v/>
      </c>
      <c r="Q243" s="50">
        <f t="shared" si="228"/>
        <v>0</v>
      </c>
      <c r="R243" s="7"/>
      <c r="S243" s="7"/>
      <c r="T243" s="7"/>
      <c r="U243" s="7"/>
      <c r="V243" s="7"/>
      <c r="W243" s="7"/>
      <c r="X243" s="7"/>
      <c r="Y243" s="7"/>
      <c r="Z243" s="7"/>
      <c r="AA243" s="7" t="str">
        <f t="shared" si="183"/>
        <v/>
      </c>
      <c r="AB243" s="7" t="str">
        <f t="shared" si="184"/>
        <v/>
      </c>
      <c r="AC243" s="7"/>
      <c r="AD243" s="7"/>
      <c r="AE243" s="51" t="s">
        <v>386</v>
      </c>
      <c r="AF243" s="7"/>
      <c r="AG243" s="7"/>
      <c r="AH243" s="7"/>
      <c r="AI243" s="7"/>
      <c r="AJ243" s="7"/>
    </row>
    <row r="244">
      <c r="A244" s="40"/>
      <c r="B244" s="14"/>
      <c r="C244" s="41"/>
      <c r="D244" s="112">
        <v>46036.0</v>
      </c>
      <c r="E244" s="106" t="s">
        <v>167</v>
      </c>
      <c r="F244" s="87" t="s">
        <v>315</v>
      </c>
      <c r="G244" s="87" t="s">
        <v>44</v>
      </c>
      <c r="H244" s="87" t="s">
        <v>300</v>
      </c>
      <c r="I244" s="87" t="s">
        <v>99</v>
      </c>
      <c r="J244" s="81"/>
      <c r="K244" s="84">
        <v>71.97</v>
      </c>
      <c r="L244" s="81"/>
      <c r="M244" s="84">
        <v>71.97</v>
      </c>
      <c r="N244" s="115" t="s">
        <v>38</v>
      </c>
      <c r="O244" s="71"/>
      <c r="P244" s="49" t="str">
        <f t="shared" ref="P244:Q244" si="229">IF(J244="","",J244-L244)</f>
        <v/>
      </c>
      <c r="Q244" s="50">
        <f t="shared" si="229"/>
        <v>0</v>
      </c>
      <c r="R244" s="7"/>
      <c r="S244" s="7"/>
      <c r="T244" s="7"/>
      <c r="U244" s="7"/>
      <c r="V244" s="7"/>
      <c r="W244" s="7"/>
      <c r="X244" s="7"/>
      <c r="Y244" s="7"/>
      <c r="Z244" s="7"/>
      <c r="AA244" s="7" t="str">
        <f t="shared" si="183"/>
        <v/>
      </c>
      <c r="AB244" s="7" t="str">
        <f t="shared" si="184"/>
        <v/>
      </c>
      <c r="AC244" s="7"/>
      <c r="AD244" s="7"/>
      <c r="AE244" s="51" t="s">
        <v>136</v>
      </c>
      <c r="AF244" s="7"/>
      <c r="AG244" s="7"/>
      <c r="AH244" s="7"/>
      <c r="AI244" s="7"/>
      <c r="AJ244" s="7"/>
    </row>
    <row r="245">
      <c r="A245" s="40"/>
      <c r="B245" s="14"/>
      <c r="C245" s="41"/>
      <c r="D245" s="111">
        <v>46036.0</v>
      </c>
      <c r="E245" s="75" t="s">
        <v>50</v>
      </c>
      <c r="F245" s="44" t="s">
        <v>387</v>
      </c>
      <c r="G245" s="44" t="s">
        <v>44</v>
      </c>
      <c r="H245" s="104" t="s">
        <v>300</v>
      </c>
      <c r="I245" s="104" t="s">
        <v>46</v>
      </c>
      <c r="J245" s="76"/>
      <c r="K245" s="77">
        <v>58.21</v>
      </c>
      <c r="L245" s="76"/>
      <c r="M245" s="77">
        <v>58.21</v>
      </c>
      <c r="N245" s="116" t="s">
        <v>38</v>
      </c>
      <c r="O245" s="48"/>
      <c r="P245" s="49" t="str">
        <f t="shared" ref="P245:Q245" si="230">IF(J245="","",J245-L245)</f>
        <v/>
      </c>
      <c r="Q245" s="50">
        <f t="shared" si="230"/>
        <v>0</v>
      </c>
      <c r="R245" s="7"/>
      <c r="S245" s="7"/>
      <c r="T245" s="7"/>
      <c r="U245" s="7"/>
      <c r="V245" s="7"/>
      <c r="W245" s="7"/>
      <c r="X245" s="7"/>
      <c r="Y245" s="7"/>
      <c r="Z245" s="7"/>
      <c r="AA245" s="7" t="str">
        <f t="shared" si="183"/>
        <v/>
      </c>
      <c r="AB245" s="7" t="str">
        <f t="shared" si="184"/>
        <v/>
      </c>
      <c r="AC245" s="7"/>
      <c r="AD245" s="7"/>
      <c r="AE245" s="51" t="s">
        <v>388</v>
      </c>
      <c r="AF245" s="7"/>
      <c r="AG245" s="7"/>
      <c r="AH245" s="7"/>
      <c r="AI245" s="7"/>
      <c r="AJ245" s="7"/>
    </row>
    <row r="246">
      <c r="A246" s="40"/>
      <c r="B246" s="14"/>
      <c r="C246" s="41"/>
      <c r="D246" s="112">
        <v>46036.0</v>
      </c>
      <c r="E246" s="80" t="s">
        <v>209</v>
      </c>
      <c r="F246" s="55" t="s">
        <v>123</v>
      </c>
      <c r="G246" s="55" t="s">
        <v>91</v>
      </c>
      <c r="H246" s="87" t="s">
        <v>300</v>
      </c>
      <c r="I246" s="87" t="s">
        <v>99</v>
      </c>
      <c r="J246" s="81"/>
      <c r="K246" s="84">
        <v>5.39</v>
      </c>
      <c r="L246" s="81"/>
      <c r="M246" s="84">
        <v>5.39</v>
      </c>
      <c r="N246" s="115" t="s">
        <v>38</v>
      </c>
      <c r="O246" s="71"/>
      <c r="P246" s="49" t="str">
        <f t="shared" ref="P246:Q246" si="231">IF(J246="","",J246-L246)</f>
        <v/>
      </c>
      <c r="Q246" s="50">
        <f t="shared" si="231"/>
        <v>0</v>
      </c>
      <c r="R246" s="7"/>
      <c r="S246" s="7"/>
      <c r="T246" s="7"/>
      <c r="U246" s="7"/>
      <c r="V246" s="7"/>
      <c r="W246" s="7"/>
      <c r="X246" s="7"/>
      <c r="Y246" s="7"/>
      <c r="Z246" s="7"/>
      <c r="AA246" s="7" t="str">
        <f t="shared" si="183"/>
        <v/>
      </c>
      <c r="AB246" s="7" t="str">
        <f t="shared" si="184"/>
        <v/>
      </c>
      <c r="AC246" s="7"/>
      <c r="AD246" s="7"/>
      <c r="AE246" s="51" t="s">
        <v>213</v>
      </c>
      <c r="AF246" s="7"/>
      <c r="AG246" s="7"/>
      <c r="AH246" s="7"/>
      <c r="AI246" s="7"/>
      <c r="AJ246" s="7"/>
    </row>
    <row r="247">
      <c r="A247" s="40"/>
      <c r="B247" s="14"/>
      <c r="C247" s="41"/>
      <c r="D247" s="111">
        <v>46036.0</v>
      </c>
      <c r="E247" s="83" t="s">
        <v>169</v>
      </c>
      <c r="F247" s="58" t="s">
        <v>126</v>
      </c>
      <c r="G247" s="58" t="s">
        <v>91</v>
      </c>
      <c r="H247" s="58" t="s">
        <v>45</v>
      </c>
      <c r="I247" s="58" t="s">
        <v>119</v>
      </c>
      <c r="J247" s="76"/>
      <c r="K247" s="77">
        <v>3.78</v>
      </c>
      <c r="L247" s="76"/>
      <c r="M247" s="77">
        <v>3.78</v>
      </c>
      <c r="N247" s="78" t="s">
        <v>41</v>
      </c>
      <c r="O247" s="48"/>
      <c r="P247" s="79" t="str">
        <f>IF(#REF!="","",#REF!-L247)</f>
        <v>#REF!</v>
      </c>
      <c r="Q247" s="50">
        <f>IF(K247="","",K247-M247)</f>
        <v>0</v>
      </c>
      <c r="R247" s="7"/>
      <c r="S247" s="7"/>
      <c r="T247" s="7"/>
      <c r="U247" s="7"/>
      <c r="V247" s="7"/>
      <c r="W247" s="7"/>
      <c r="X247" s="7"/>
      <c r="Y247" s="7"/>
      <c r="Z247" s="7"/>
      <c r="AA247" s="7" t="str">
        <f t="shared" si="183"/>
        <v/>
      </c>
      <c r="AB247" s="132" t="str">
        <f>IF(#REF!=0,"",IF(AND(#REF!&gt;0,#REF!&gt;L247),#REF!-L247,""))</f>
        <v>#REF!</v>
      </c>
      <c r="AC247" s="7"/>
      <c r="AD247" s="7"/>
      <c r="AE247" s="51" t="s">
        <v>389</v>
      </c>
      <c r="AF247" s="7"/>
      <c r="AG247" s="7"/>
      <c r="AH247" s="7"/>
      <c r="AI247" s="7"/>
      <c r="AJ247" s="7"/>
    </row>
    <row r="248">
      <c r="A248" s="40"/>
      <c r="B248" s="14"/>
      <c r="C248" s="41"/>
      <c r="D248" s="112">
        <v>46036.0</v>
      </c>
      <c r="E248" s="54" t="s">
        <v>357</v>
      </c>
      <c r="F248" s="55" t="s">
        <v>158</v>
      </c>
      <c r="G248" s="55" t="s">
        <v>91</v>
      </c>
      <c r="H248" s="55" t="s">
        <v>45</v>
      </c>
      <c r="I248" s="55" t="s">
        <v>119</v>
      </c>
      <c r="J248" s="81"/>
      <c r="K248" s="84">
        <v>8.75</v>
      </c>
      <c r="L248" s="81"/>
      <c r="M248" s="84">
        <v>8.75</v>
      </c>
      <c r="N248" s="85" t="s">
        <v>41</v>
      </c>
      <c r="O248" s="71"/>
      <c r="P248" s="49" t="str">
        <f t="shared" ref="P248:Q248" si="232">IF(J248="","",J248-L248)</f>
        <v/>
      </c>
      <c r="Q248" s="50">
        <f t="shared" si="232"/>
        <v>0</v>
      </c>
      <c r="R248" s="7"/>
      <c r="S248" s="7"/>
      <c r="T248" s="7"/>
      <c r="U248" s="7"/>
      <c r="V248" s="7"/>
      <c r="W248" s="7"/>
      <c r="X248" s="7"/>
      <c r="Y248" s="7"/>
      <c r="Z248" s="7"/>
      <c r="AA248" s="7" t="str">
        <f t="shared" si="183"/>
        <v/>
      </c>
      <c r="AB248" s="7" t="str">
        <f t="shared" ref="AB248:AB251" si="234">IF(J248=0,"",IF(AND(J248&gt;0,J248&gt;L248),J248-L248,""))</f>
        <v/>
      </c>
      <c r="AC248" s="7"/>
      <c r="AD248" s="7"/>
      <c r="AE248" s="51" t="s">
        <v>390</v>
      </c>
      <c r="AF248" s="7"/>
      <c r="AG248" s="7"/>
      <c r="AH248" s="7"/>
      <c r="AI248" s="7"/>
      <c r="AJ248" s="7"/>
    </row>
    <row r="249">
      <c r="A249" s="40"/>
      <c r="B249" s="14"/>
      <c r="C249" s="41"/>
      <c r="D249" s="111">
        <v>46036.0</v>
      </c>
      <c r="E249" s="75" t="s">
        <v>131</v>
      </c>
      <c r="F249" s="44" t="s">
        <v>126</v>
      </c>
      <c r="G249" s="44" t="s">
        <v>91</v>
      </c>
      <c r="H249" s="44" t="s">
        <v>45</v>
      </c>
      <c r="I249" s="44" t="s">
        <v>119</v>
      </c>
      <c r="J249" s="76"/>
      <c r="K249" s="77">
        <v>7.98</v>
      </c>
      <c r="L249" s="76"/>
      <c r="M249" s="77">
        <v>7.98</v>
      </c>
      <c r="N249" s="78" t="s">
        <v>41</v>
      </c>
      <c r="O249" s="48"/>
      <c r="P249" s="49" t="str">
        <f t="shared" ref="P249:Q249" si="233">IF(J249="","",J249-L249)</f>
        <v/>
      </c>
      <c r="Q249" s="50">
        <f t="shared" si="233"/>
        <v>0</v>
      </c>
      <c r="R249" s="7"/>
      <c r="S249" s="7"/>
      <c r="T249" s="7"/>
      <c r="U249" s="7"/>
      <c r="V249" s="7"/>
      <c r="W249" s="7"/>
      <c r="X249" s="7"/>
      <c r="Y249" s="7"/>
      <c r="Z249" s="7"/>
      <c r="AA249" s="7" t="str">
        <f t="shared" si="183"/>
        <v/>
      </c>
      <c r="AB249" s="7" t="str">
        <f t="shared" si="234"/>
        <v/>
      </c>
      <c r="AC249" s="7"/>
      <c r="AD249" s="7"/>
      <c r="AE249" s="51" t="s">
        <v>224</v>
      </c>
      <c r="AF249" s="7"/>
      <c r="AG249" s="7"/>
      <c r="AH249" s="7"/>
      <c r="AI249" s="7"/>
      <c r="AJ249" s="7"/>
    </row>
    <row r="250">
      <c r="A250" s="40"/>
      <c r="B250" s="14"/>
      <c r="C250" s="41"/>
      <c r="D250" s="112">
        <v>46036.0</v>
      </c>
      <c r="E250" s="80" t="s">
        <v>128</v>
      </c>
      <c r="F250" s="55" t="s">
        <v>163</v>
      </c>
      <c r="G250" s="55" t="s">
        <v>98</v>
      </c>
      <c r="H250" s="55" t="s">
        <v>45</v>
      </c>
      <c r="I250" s="55" t="s">
        <v>99</v>
      </c>
      <c r="J250" s="81"/>
      <c r="K250" s="84">
        <v>25.9</v>
      </c>
      <c r="L250" s="81"/>
      <c r="M250" s="84">
        <v>25.9</v>
      </c>
      <c r="N250" s="85" t="s">
        <v>41</v>
      </c>
      <c r="O250" s="71"/>
      <c r="P250" s="49" t="str">
        <f t="shared" ref="P250:Q250" si="235">IF(J250="","",J250-L250)</f>
        <v/>
      </c>
      <c r="Q250" s="50">
        <f t="shared" si="235"/>
        <v>0</v>
      </c>
      <c r="R250" s="7"/>
      <c r="S250" s="7"/>
      <c r="T250" s="7"/>
      <c r="U250" s="7"/>
      <c r="V250" s="7"/>
      <c r="W250" s="7"/>
      <c r="X250" s="7"/>
      <c r="Y250" s="7"/>
      <c r="Z250" s="7"/>
      <c r="AA250" s="7" t="str">
        <f t="shared" si="183"/>
        <v/>
      </c>
      <c r="AB250" s="7" t="str">
        <f t="shared" si="234"/>
        <v/>
      </c>
      <c r="AC250" s="7"/>
      <c r="AD250" s="7"/>
      <c r="AE250" s="67" t="s">
        <v>222</v>
      </c>
      <c r="AF250" s="7"/>
      <c r="AG250" s="7"/>
      <c r="AH250" s="7"/>
      <c r="AI250" s="7"/>
      <c r="AJ250" s="7"/>
    </row>
    <row r="251">
      <c r="A251" s="40"/>
      <c r="B251" s="14"/>
      <c r="C251" s="41"/>
      <c r="D251" s="111">
        <v>46036.0</v>
      </c>
      <c r="E251" s="83" t="s">
        <v>156</v>
      </c>
      <c r="F251" s="58" t="s">
        <v>143</v>
      </c>
      <c r="G251" s="58" t="s">
        <v>298</v>
      </c>
      <c r="H251" s="58" t="s">
        <v>45</v>
      </c>
      <c r="I251" s="58" t="s">
        <v>99</v>
      </c>
      <c r="J251" s="76"/>
      <c r="K251" s="77">
        <v>35.56</v>
      </c>
      <c r="L251" s="76"/>
      <c r="M251" s="77">
        <v>35.56</v>
      </c>
      <c r="N251" s="78" t="s">
        <v>41</v>
      </c>
      <c r="O251" s="48"/>
      <c r="P251" s="49" t="str">
        <f t="shared" ref="P251:Q251" si="236">IF(J251="","",J251-L251)</f>
        <v/>
      </c>
      <c r="Q251" s="50">
        <f t="shared" si="236"/>
        <v>0</v>
      </c>
      <c r="R251" s="7"/>
      <c r="S251" s="7"/>
      <c r="T251" s="7"/>
      <c r="U251" s="7"/>
      <c r="V251" s="7"/>
      <c r="W251" s="7"/>
      <c r="X251" s="7"/>
      <c r="Y251" s="7"/>
      <c r="Z251" s="7"/>
      <c r="AA251" s="7" t="str">
        <f t="shared" si="183"/>
        <v/>
      </c>
      <c r="AB251" s="7" t="str">
        <f t="shared" si="234"/>
        <v/>
      </c>
      <c r="AC251" s="7"/>
      <c r="AD251" s="7"/>
      <c r="AE251" s="67" t="s">
        <v>228</v>
      </c>
      <c r="AF251" s="7"/>
      <c r="AG251" s="7"/>
      <c r="AH251" s="7"/>
      <c r="AI251" s="7"/>
      <c r="AJ251" s="7"/>
    </row>
    <row r="252">
      <c r="A252" s="40"/>
      <c r="B252" s="14"/>
      <c r="C252" s="41"/>
      <c r="D252" s="112">
        <v>46037.0</v>
      </c>
      <c r="E252" s="80" t="s">
        <v>139</v>
      </c>
      <c r="F252" s="55" t="s">
        <v>148</v>
      </c>
      <c r="G252" s="55" t="s">
        <v>44</v>
      </c>
      <c r="H252" s="55" t="s">
        <v>300</v>
      </c>
      <c r="I252" s="55" t="s">
        <v>99</v>
      </c>
      <c r="J252" s="81"/>
      <c r="K252" s="84">
        <v>2.09</v>
      </c>
      <c r="L252" s="81"/>
      <c r="M252" s="84">
        <v>2.09</v>
      </c>
      <c r="N252" s="85" t="s">
        <v>28</v>
      </c>
      <c r="O252" s="48"/>
      <c r="P252" s="49"/>
      <c r="Q252" s="50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67" t="s">
        <v>391</v>
      </c>
      <c r="AF252" s="7"/>
      <c r="AG252" s="7"/>
      <c r="AH252" s="7"/>
      <c r="AI252" s="7"/>
      <c r="AJ252" s="7"/>
    </row>
    <row r="253">
      <c r="A253" s="40"/>
      <c r="B253" s="14"/>
      <c r="C253" s="41"/>
      <c r="D253" s="111">
        <v>46037.0</v>
      </c>
      <c r="E253" s="83" t="s">
        <v>209</v>
      </c>
      <c r="F253" s="58" t="s">
        <v>123</v>
      </c>
      <c r="G253" s="58" t="s">
        <v>91</v>
      </c>
      <c r="H253" s="58" t="s">
        <v>300</v>
      </c>
      <c r="I253" s="58" t="s">
        <v>99</v>
      </c>
      <c r="J253" s="76"/>
      <c r="K253" s="77">
        <v>5.89</v>
      </c>
      <c r="L253" s="76"/>
      <c r="M253" s="77">
        <v>5.89</v>
      </c>
      <c r="N253" s="78" t="s">
        <v>28</v>
      </c>
      <c r="O253" s="48"/>
      <c r="P253" s="49"/>
      <c r="Q253" s="50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>
      <c r="A254" s="40"/>
      <c r="B254" s="14"/>
      <c r="C254" s="41"/>
      <c r="D254" s="112">
        <v>46037.0</v>
      </c>
      <c r="E254" s="80" t="s">
        <v>156</v>
      </c>
      <c r="F254" s="55" t="s">
        <v>143</v>
      </c>
      <c r="G254" s="55" t="s">
        <v>298</v>
      </c>
      <c r="H254" s="55" t="s">
        <v>300</v>
      </c>
      <c r="I254" s="55" t="s">
        <v>99</v>
      </c>
      <c r="J254" s="81"/>
      <c r="K254" s="84">
        <v>39.96</v>
      </c>
      <c r="L254" s="81"/>
      <c r="M254" s="84">
        <v>39.96</v>
      </c>
      <c r="N254" s="85" t="s">
        <v>28</v>
      </c>
      <c r="O254" s="48"/>
      <c r="P254" s="49"/>
      <c r="Q254" s="50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>
      <c r="A255" s="40"/>
      <c r="B255" s="14"/>
      <c r="C255" s="41"/>
      <c r="D255" s="111">
        <v>46037.0</v>
      </c>
      <c r="E255" s="83" t="s">
        <v>167</v>
      </c>
      <c r="F255" s="58" t="s">
        <v>315</v>
      </c>
      <c r="G255" s="58" t="s">
        <v>44</v>
      </c>
      <c r="H255" s="58" t="s">
        <v>300</v>
      </c>
      <c r="I255" s="58" t="s">
        <v>99</v>
      </c>
      <c r="J255" s="76"/>
      <c r="K255" s="77">
        <v>71.97</v>
      </c>
      <c r="L255" s="76"/>
      <c r="M255" s="77">
        <v>71.97</v>
      </c>
      <c r="N255" s="78" t="s">
        <v>28</v>
      </c>
      <c r="O255" s="48"/>
      <c r="P255" s="49"/>
      <c r="Q255" s="50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67" t="s">
        <v>57</v>
      </c>
      <c r="AF255" s="7"/>
      <c r="AG255" s="7"/>
      <c r="AH255" s="7"/>
      <c r="AI255" s="7"/>
      <c r="AJ255" s="7"/>
    </row>
    <row r="256">
      <c r="A256" s="40"/>
      <c r="B256" s="14"/>
      <c r="C256" s="41"/>
      <c r="D256" s="112">
        <v>46038.0</v>
      </c>
      <c r="E256" s="54" t="s">
        <v>19</v>
      </c>
      <c r="F256" s="88" t="s">
        <v>20</v>
      </c>
      <c r="G256" s="88" t="s">
        <v>20</v>
      </c>
      <c r="H256" s="88" t="s">
        <v>21</v>
      </c>
      <c r="I256" s="88" t="s">
        <v>22</v>
      </c>
      <c r="J256" s="84">
        <v>220.0</v>
      </c>
      <c r="K256" s="81"/>
      <c r="L256" s="81"/>
      <c r="M256" s="81"/>
      <c r="N256" s="82"/>
      <c r="O256" s="71"/>
      <c r="P256" s="49">
        <f t="shared" ref="P256:Q256" si="237">IF(J256="","",J256-L256)</f>
        <v>220</v>
      </c>
      <c r="Q256" s="50" t="str">
        <f t="shared" si="237"/>
        <v/>
      </c>
      <c r="R256" s="7"/>
      <c r="S256" s="7"/>
      <c r="T256" s="7"/>
      <c r="U256" s="7"/>
      <c r="V256" s="7"/>
      <c r="W256" s="7"/>
      <c r="X256" s="7"/>
      <c r="Y256" s="7"/>
      <c r="Z256" s="7"/>
      <c r="AA256" s="7" t="str">
        <f t="shared" ref="AA256:AA311" si="239">IF(K256=0,"",IF(AND(K256&gt;0,K256&gt;M256),K256-M256,""))</f>
        <v/>
      </c>
      <c r="AB256" s="117">
        <f t="shared" ref="AB256:AB258" si="240">IF(J256=0,"",IF(AND(J256&gt;0,J256&gt;L256),J256-L256,""))</f>
        <v>220</v>
      </c>
      <c r="AC256" s="7"/>
      <c r="AD256" s="7"/>
      <c r="AE256" s="51" t="s">
        <v>392</v>
      </c>
      <c r="AF256" s="7"/>
      <c r="AG256" s="7"/>
      <c r="AH256" s="7"/>
      <c r="AI256" s="7"/>
      <c r="AJ256" s="7"/>
    </row>
    <row r="257">
      <c r="A257" s="40"/>
      <c r="B257" s="14"/>
      <c r="C257" s="41"/>
      <c r="D257" s="111">
        <v>46038.0</v>
      </c>
      <c r="E257" s="43" t="s">
        <v>25</v>
      </c>
      <c r="F257" s="58" t="s">
        <v>20</v>
      </c>
      <c r="G257" s="58" t="s">
        <v>20</v>
      </c>
      <c r="H257" s="58" t="s">
        <v>26</v>
      </c>
      <c r="I257" s="58" t="s">
        <v>27</v>
      </c>
      <c r="J257" s="76"/>
      <c r="K257" s="76"/>
      <c r="L257" s="76"/>
      <c r="M257" s="76"/>
      <c r="N257" s="114"/>
      <c r="O257" s="71"/>
      <c r="P257" s="49" t="str">
        <f t="shared" ref="P257:Q257" si="238">IF(J257="","",J257-L257)</f>
        <v/>
      </c>
      <c r="Q257" s="50" t="str">
        <f t="shared" si="238"/>
        <v/>
      </c>
      <c r="R257" s="7"/>
      <c r="S257" s="7"/>
      <c r="T257" s="7"/>
      <c r="U257" s="7"/>
      <c r="V257" s="7"/>
      <c r="W257" s="7"/>
      <c r="X257" s="7"/>
      <c r="Y257" s="7"/>
      <c r="Z257" s="7"/>
      <c r="AA257" s="7" t="str">
        <f t="shared" si="239"/>
        <v/>
      </c>
      <c r="AB257" s="7" t="str">
        <f t="shared" si="240"/>
        <v/>
      </c>
      <c r="AC257" s="7"/>
      <c r="AD257" s="7"/>
      <c r="AE257" s="74" t="s">
        <v>393</v>
      </c>
      <c r="AF257" s="7"/>
      <c r="AG257" s="7"/>
      <c r="AH257" s="7"/>
      <c r="AI257" s="7"/>
      <c r="AJ257" s="7"/>
    </row>
    <row r="258">
      <c r="A258" s="40"/>
      <c r="B258" s="14"/>
      <c r="C258" s="41"/>
      <c r="D258" s="112">
        <v>46038.0</v>
      </c>
      <c r="E258" s="54" t="s">
        <v>30</v>
      </c>
      <c r="F258" s="55" t="s">
        <v>20</v>
      </c>
      <c r="G258" s="55" t="s">
        <v>20</v>
      </c>
      <c r="H258" s="55" t="s">
        <v>31</v>
      </c>
      <c r="I258" s="131" t="s">
        <v>32</v>
      </c>
      <c r="J258" s="81"/>
      <c r="K258" s="81"/>
      <c r="L258" s="81"/>
      <c r="M258" s="81"/>
      <c r="N258" s="82"/>
      <c r="O258" s="71"/>
      <c r="P258" s="49" t="str">
        <f t="shared" ref="P258:Q258" si="241">IF(J258="","",J258-L258)</f>
        <v/>
      </c>
      <c r="Q258" s="50" t="str">
        <f t="shared" si="241"/>
        <v/>
      </c>
      <c r="R258" s="7"/>
      <c r="S258" s="7"/>
      <c r="T258" s="7"/>
      <c r="U258" s="7"/>
      <c r="V258" s="7"/>
      <c r="W258" s="7"/>
      <c r="X258" s="7"/>
      <c r="Y258" s="7"/>
      <c r="Z258" s="7"/>
      <c r="AA258" s="7" t="str">
        <f t="shared" si="239"/>
        <v/>
      </c>
      <c r="AB258" s="7" t="str">
        <f t="shared" si="240"/>
        <v/>
      </c>
      <c r="AC258" s="7"/>
      <c r="AD258" s="7"/>
      <c r="AE258" s="74" t="s">
        <v>394</v>
      </c>
      <c r="AF258" s="7"/>
      <c r="AG258" s="7"/>
      <c r="AH258" s="7"/>
      <c r="AI258" s="7"/>
      <c r="AJ258" s="7"/>
    </row>
    <row r="259">
      <c r="A259" s="40"/>
      <c r="B259" s="14"/>
      <c r="C259" s="41"/>
      <c r="D259" s="111">
        <v>46038.0</v>
      </c>
      <c r="E259" s="43" t="s">
        <v>35</v>
      </c>
      <c r="F259" s="58" t="s">
        <v>20</v>
      </c>
      <c r="G259" s="58" t="s">
        <v>20</v>
      </c>
      <c r="H259" s="58" t="s">
        <v>36</v>
      </c>
      <c r="I259" s="58" t="s">
        <v>37</v>
      </c>
      <c r="J259" s="133"/>
      <c r="K259" s="76"/>
      <c r="L259" s="133"/>
      <c r="M259" s="76"/>
      <c r="N259" s="114"/>
      <c r="O259" s="48"/>
      <c r="P259" s="49" t="str">
        <f>IF(J247="","",J247-L259)</f>
        <v/>
      </c>
      <c r="Q259" s="50" t="str">
        <f>IF(K259="","",K259-M259)</f>
        <v/>
      </c>
      <c r="R259" s="7"/>
      <c r="S259" s="7"/>
      <c r="T259" s="7"/>
      <c r="U259" s="7"/>
      <c r="V259" s="7"/>
      <c r="W259" s="7"/>
      <c r="X259" s="7"/>
      <c r="Y259" s="7"/>
      <c r="Z259" s="7"/>
      <c r="AA259" s="7" t="str">
        <f t="shared" si="239"/>
        <v/>
      </c>
      <c r="AB259" s="7" t="str">
        <f>IF(J247=0,"",IF(AND(J247&gt;0,J247&gt;L259),J247-L259,""))</f>
        <v/>
      </c>
      <c r="AC259" s="7"/>
      <c r="AD259" s="7"/>
      <c r="AE259" s="74" t="s">
        <v>395</v>
      </c>
      <c r="AF259" s="7"/>
      <c r="AG259" s="7"/>
      <c r="AH259" s="7"/>
      <c r="AI259" s="7"/>
      <c r="AJ259" s="7"/>
    </row>
    <row r="260">
      <c r="A260" s="40"/>
      <c r="B260" s="14"/>
      <c r="C260" s="41"/>
      <c r="D260" s="112">
        <v>46038.0</v>
      </c>
      <c r="E260" s="54" t="s">
        <v>40</v>
      </c>
      <c r="F260" s="55" t="s">
        <v>20</v>
      </c>
      <c r="G260" s="55" t="s">
        <v>20</v>
      </c>
      <c r="H260" s="55" t="s">
        <v>36</v>
      </c>
      <c r="I260" s="55" t="s">
        <v>37</v>
      </c>
      <c r="J260" s="81"/>
      <c r="K260" s="81"/>
      <c r="L260" s="81"/>
      <c r="M260" s="81"/>
      <c r="N260" s="82"/>
      <c r="O260" s="71"/>
      <c r="P260" s="49" t="str">
        <f t="shared" ref="P260:Q260" si="242">IF(J260="","",J260-L260)</f>
        <v/>
      </c>
      <c r="Q260" s="50" t="str">
        <f t="shared" si="242"/>
        <v/>
      </c>
      <c r="R260" s="7"/>
      <c r="S260" s="7"/>
      <c r="T260" s="7"/>
      <c r="U260" s="7"/>
      <c r="V260" s="7"/>
      <c r="W260" s="7"/>
      <c r="X260" s="7"/>
      <c r="Y260" s="7"/>
      <c r="Z260" s="7"/>
      <c r="AA260" s="7" t="str">
        <f t="shared" si="239"/>
        <v/>
      </c>
      <c r="AB260" s="7" t="str">
        <f t="shared" ref="AB260:AB311" si="244">IF(J260=0,"",IF(AND(J260&gt;0,J260&gt;L260),J260-L260,""))</f>
        <v/>
      </c>
      <c r="AC260" s="7"/>
      <c r="AD260" s="7"/>
      <c r="AE260" s="51" t="s">
        <v>396</v>
      </c>
      <c r="AF260" s="7"/>
      <c r="AG260" s="7"/>
      <c r="AH260" s="7"/>
      <c r="AI260" s="7"/>
      <c r="AJ260" s="7"/>
    </row>
    <row r="261">
      <c r="A261" s="40"/>
      <c r="B261" s="14"/>
      <c r="C261" s="41"/>
      <c r="D261" s="111">
        <v>46038.0</v>
      </c>
      <c r="E261" s="75" t="s">
        <v>96</v>
      </c>
      <c r="F261" s="44" t="s">
        <v>97</v>
      </c>
      <c r="G261" s="44" t="s">
        <v>91</v>
      </c>
      <c r="H261" s="44" t="s">
        <v>274</v>
      </c>
      <c r="I261" s="44" t="s">
        <v>99</v>
      </c>
      <c r="J261" s="76"/>
      <c r="K261" s="77">
        <v>15.15</v>
      </c>
      <c r="L261" s="76"/>
      <c r="M261" s="77">
        <v>15.15</v>
      </c>
      <c r="N261" s="78" t="s">
        <v>41</v>
      </c>
      <c r="O261" s="71"/>
      <c r="P261" s="49" t="str">
        <f t="shared" ref="P261:Q261" si="243">IF(J261="","",J261-L261)</f>
        <v/>
      </c>
      <c r="Q261" s="50">
        <f t="shared" si="243"/>
        <v>0</v>
      </c>
      <c r="R261" s="7"/>
      <c r="S261" s="7"/>
      <c r="T261" s="7"/>
      <c r="U261" s="7"/>
      <c r="V261" s="7"/>
      <c r="W261" s="7"/>
      <c r="X261" s="7"/>
      <c r="Y261" s="7"/>
      <c r="Z261" s="7"/>
      <c r="AA261" s="7" t="str">
        <f t="shared" si="239"/>
        <v/>
      </c>
      <c r="AB261" s="7" t="str">
        <f t="shared" si="244"/>
        <v/>
      </c>
      <c r="AC261" s="7"/>
      <c r="AD261" s="7"/>
      <c r="AE261" s="51" t="s">
        <v>397</v>
      </c>
      <c r="AF261" s="7"/>
      <c r="AG261" s="7"/>
      <c r="AH261" s="7"/>
      <c r="AI261" s="7"/>
      <c r="AJ261" s="7"/>
    </row>
    <row r="262">
      <c r="A262" s="40"/>
      <c r="B262" s="14"/>
      <c r="C262" s="41"/>
      <c r="D262" s="112">
        <v>46038.0</v>
      </c>
      <c r="E262" s="80" t="s">
        <v>167</v>
      </c>
      <c r="F262" s="55" t="s">
        <v>315</v>
      </c>
      <c r="G262" s="55" t="s">
        <v>44</v>
      </c>
      <c r="H262" s="55" t="s">
        <v>300</v>
      </c>
      <c r="I262" s="88" t="s">
        <v>99</v>
      </c>
      <c r="J262" s="81"/>
      <c r="K262" s="84">
        <v>71.97</v>
      </c>
      <c r="L262" s="81"/>
      <c r="M262" s="84">
        <v>71.97</v>
      </c>
      <c r="N262" s="115" t="s">
        <v>38</v>
      </c>
      <c r="O262" s="71"/>
      <c r="P262" s="49" t="str">
        <f t="shared" ref="P262:Q262" si="245">IF(J262="","",J262-L262)</f>
        <v/>
      </c>
      <c r="Q262" s="50">
        <f t="shared" si="245"/>
        <v>0</v>
      </c>
      <c r="R262" s="7"/>
      <c r="S262" s="7"/>
      <c r="T262" s="7"/>
      <c r="U262" s="7"/>
      <c r="V262" s="7"/>
      <c r="W262" s="7"/>
      <c r="X262" s="7"/>
      <c r="Y262" s="7"/>
      <c r="Z262" s="7"/>
      <c r="AA262" s="7" t="str">
        <f t="shared" si="239"/>
        <v/>
      </c>
      <c r="AB262" s="7" t="str">
        <f t="shared" si="244"/>
        <v/>
      </c>
      <c r="AC262" s="7"/>
      <c r="AD262" s="7"/>
      <c r="AE262" s="51" t="s">
        <v>398</v>
      </c>
      <c r="AF262" s="7"/>
      <c r="AG262" s="7"/>
      <c r="AH262" s="7"/>
      <c r="AI262" s="7"/>
      <c r="AJ262" s="7"/>
    </row>
    <row r="263">
      <c r="A263" s="40"/>
      <c r="B263" s="14"/>
      <c r="C263" s="41"/>
      <c r="D263" s="111">
        <v>46038.0</v>
      </c>
      <c r="E263" s="75" t="s">
        <v>86</v>
      </c>
      <c r="F263" s="44" t="s">
        <v>74</v>
      </c>
      <c r="G263" s="58" t="s">
        <v>44</v>
      </c>
      <c r="H263" s="58" t="s">
        <v>300</v>
      </c>
      <c r="I263" s="44" t="s">
        <v>65</v>
      </c>
      <c r="J263" s="76"/>
      <c r="K263" s="77">
        <v>22.32</v>
      </c>
      <c r="L263" s="76"/>
      <c r="M263" s="77">
        <v>22.32</v>
      </c>
      <c r="N263" s="116" t="s">
        <v>38</v>
      </c>
      <c r="O263" s="48"/>
      <c r="P263" s="49" t="str">
        <f t="shared" ref="P263:Q263" si="246">IF(J263="","",J263-L263)</f>
        <v/>
      </c>
      <c r="Q263" s="50">
        <f t="shared" si="246"/>
        <v>0</v>
      </c>
      <c r="R263" s="7"/>
      <c r="S263" s="7"/>
      <c r="T263" s="7"/>
      <c r="U263" s="7"/>
      <c r="V263" s="7"/>
      <c r="W263" s="7"/>
      <c r="X263" s="7"/>
      <c r="Y263" s="7"/>
      <c r="Z263" s="7"/>
      <c r="AA263" s="7" t="str">
        <f t="shared" si="239"/>
        <v/>
      </c>
      <c r="AB263" s="7" t="str">
        <f t="shared" si="244"/>
        <v/>
      </c>
      <c r="AC263" s="7"/>
      <c r="AD263" s="7"/>
      <c r="AE263" s="52" t="s">
        <v>399</v>
      </c>
      <c r="AF263" s="7"/>
      <c r="AG263" s="7"/>
      <c r="AH263" s="7"/>
      <c r="AI263" s="7"/>
      <c r="AJ263" s="7"/>
    </row>
    <row r="264">
      <c r="A264" s="40"/>
      <c r="B264" s="14"/>
      <c r="C264" s="41"/>
      <c r="D264" s="112">
        <v>46038.0</v>
      </c>
      <c r="E264" s="80" t="s">
        <v>67</v>
      </c>
      <c r="F264" s="55" t="s">
        <v>400</v>
      </c>
      <c r="G264" s="55" t="s">
        <v>44</v>
      </c>
      <c r="H264" s="55" t="s">
        <v>300</v>
      </c>
      <c r="I264" s="88" t="s">
        <v>65</v>
      </c>
      <c r="J264" s="81"/>
      <c r="K264" s="84">
        <v>9.71</v>
      </c>
      <c r="L264" s="81"/>
      <c r="M264" s="84">
        <v>9.71</v>
      </c>
      <c r="N264" s="115" t="s">
        <v>38</v>
      </c>
      <c r="O264" s="71"/>
      <c r="P264" s="49" t="str">
        <f t="shared" ref="P264:Q264" si="247">IF(J264="","",J264-L264)</f>
        <v/>
      </c>
      <c r="Q264" s="50">
        <f t="shared" si="247"/>
        <v>0</v>
      </c>
      <c r="R264" s="7"/>
      <c r="S264" s="7"/>
      <c r="T264" s="7"/>
      <c r="U264" s="7"/>
      <c r="V264" s="7"/>
      <c r="W264" s="7"/>
      <c r="X264" s="7"/>
      <c r="Y264" s="7"/>
      <c r="Z264" s="7"/>
      <c r="AA264" s="7" t="str">
        <f t="shared" si="239"/>
        <v/>
      </c>
      <c r="AB264" s="7" t="str">
        <f t="shared" si="244"/>
        <v/>
      </c>
      <c r="AC264" s="7"/>
      <c r="AD264" s="7"/>
      <c r="AE264" s="52" t="s">
        <v>401</v>
      </c>
      <c r="AF264" s="7"/>
      <c r="AG264" s="7"/>
      <c r="AH264" s="7"/>
      <c r="AI264" s="7"/>
      <c r="AJ264" s="7"/>
    </row>
    <row r="265">
      <c r="A265" s="40"/>
      <c r="B265" s="14"/>
      <c r="C265" s="41"/>
      <c r="D265" s="111">
        <v>46038.0</v>
      </c>
      <c r="E265" s="83" t="s">
        <v>80</v>
      </c>
      <c r="F265" s="58" t="s">
        <v>402</v>
      </c>
      <c r="G265" s="58" t="s">
        <v>44</v>
      </c>
      <c r="H265" s="58" t="s">
        <v>300</v>
      </c>
      <c r="I265" s="44" t="s">
        <v>65</v>
      </c>
      <c r="J265" s="76"/>
      <c r="K265" s="77">
        <v>11.52</v>
      </c>
      <c r="L265" s="76"/>
      <c r="M265" s="77">
        <v>11.52</v>
      </c>
      <c r="N265" s="116" t="s">
        <v>38</v>
      </c>
      <c r="O265" s="71"/>
      <c r="P265" s="49" t="str">
        <f t="shared" ref="P265:Q265" si="248">IF(J265="","",J265-L265)</f>
        <v/>
      </c>
      <c r="Q265" s="50">
        <f t="shared" si="248"/>
        <v>0</v>
      </c>
      <c r="R265" s="7"/>
      <c r="S265" s="7"/>
      <c r="T265" s="7"/>
      <c r="U265" s="7"/>
      <c r="V265" s="7"/>
      <c r="W265" s="7"/>
      <c r="X265" s="7"/>
      <c r="Y265" s="7"/>
      <c r="Z265" s="7"/>
      <c r="AA265" s="7" t="str">
        <f t="shared" si="239"/>
        <v/>
      </c>
      <c r="AB265" s="7" t="str">
        <f t="shared" si="244"/>
        <v/>
      </c>
      <c r="AC265" s="7"/>
      <c r="AD265" s="7"/>
      <c r="AE265" s="52" t="s">
        <v>403</v>
      </c>
      <c r="AF265" s="7"/>
      <c r="AG265" s="7"/>
      <c r="AH265" s="7"/>
      <c r="AI265" s="7"/>
      <c r="AJ265" s="7"/>
    </row>
    <row r="266">
      <c r="A266" s="40"/>
      <c r="B266" s="14"/>
      <c r="C266" s="41"/>
      <c r="D266" s="112">
        <v>46038.0</v>
      </c>
      <c r="E266" s="80" t="s">
        <v>113</v>
      </c>
      <c r="F266" s="55" t="s">
        <v>404</v>
      </c>
      <c r="G266" s="55" t="s">
        <v>44</v>
      </c>
      <c r="H266" s="55" t="s">
        <v>300</v>
      </c>
      <c r="I266" s="88" t="s">
        <v>111</v>
      </c>
      <c r="J266" s="81"/>
      <c r="K266" s="84">
        <v>28.39</v>
      </c>
      <c r="L266" s="81"/>
      <c r="M266" s="84">
        <v>28.39</v>
      </c>
      <c r="N266" s="115" t="s">
        <v>38</v>
      </c>
      <c r="O266" s="71"/>
      <c r="P266" s="49" t="str">
        <f t="shared" ref="P266:Q266" si="249">IF(J266="","",J266-L266)</f>
        <v/>
      </c>
      <c r="Q266" s="50">
        <f t="shared" si="249"/>
        <v>0</v>
      </c>
      <c r="R266" s="7"/>
      <c r="S266" s="7"/>
      <c r="T266" s="7"/>
      <c r="U266" s="7"/>
      <c r="V266" s="7"/>
      <c r="W266" s="7"/>
      <c r="X266" s="7"/>
      <c r="Y266" s="7"/>
      <c r="Z266" s="7"/>
      <c r="AA266" s="7" t="str">
        <f t="shared" si="239"/>
        <v/>
      </c>
      <c r="AB266" s="7" t="str">
        <f t="shared" si="244"/>
        <v/>
      </c>
      <c r="AC266" s="7"/>
      <c r="AD266" s="7"/>
      <c r="AE266" s="74" t="s">
        <v>405</v>
      </c>
      <c r="AF266" s="7"/>
      <c r="AG266" s="7"/>
      <c r="AH266" s="7"/>
      <c r="AI266" s="7"/>
      <c r="AJ266" s="7"/>
    </row>
    <row r="267">
      <c r="A267" s="40"/>
      <c r="B267" s="14"/>
      <c r="C267" s="41"/>
      <c r="D267" s="111">
        <v>46038.0</v>
      </c>
      <c r="E267" s="75" t="s">
        <v>109</v>
      </c>
      <c r="F267" s="44" t="s">
        <v>406</v>
      </c>
      <c r="G267" s="58" t="s">
        <v>44</v>
      </c>
      <c r="H267" s="58" t="s">
        <v>300</v>
      </c>
      <c r="I267" s="44" t="s">
        <v>111</v>
      </c>
      <c r="J267" s="76"/>
      <c r="K267" s="77">
        <v>18.73</v>
      </c>
      <c r="L267" s="76"/>
      <c r="M267" s="77">
        <v>18.73</v>
      </c>
      <c r="N267" s="116" t="s">
        <v>38</v>
      </c>
      <c r="O267" s="48"/>
      <c r="P267" s="49" t="str">
        <f t="shared" ref="P267:Q267" si="250">IF(J267="","",J267-L267)</f>
        <v/>
      </c>
      <c r="Q267" s="50">
        <f t="shared" si="250"/>
        <v>0</v>
      </c>
      <c r="R267" s="7"/>
      <c r="S267" s="7"/>
      <c r="T267" s="7"/>
      <c r="U267" s="7"/>
      <c r="V267" s="7"/>
      <c r="W267" s="7"/>
      <c r="X267" s="7"/>
      <c r="Y267" s="7"/>
      <c r="Z267" s="7"/>
      <c r="AA267" s="7" t="str">
        <f t="shared" si="239"/>
        <v/>
      </c>
      <c r="AB267" s="7" t="str">
        <f t="shared" si="244"/>
        <v/>
      </c>
      <c r="AC267" s="7"/>
      <c r="AD267" s="7"/>
      <c r="AE267" s="51" t="s">
        <v>407</v>
      </c>
      <c r="AF267" s="7"/>
      <c r="AG267" s="7"/>
      <c r="AH267" s="7"/>
      <c r="AI267" s="7"/>
      <c r="AJ267" s="7"/>
    </row>
    <row r="268">
      <c r="A268" s="40"/>
      <c r="B268" s="14"/>
      <c r="C268" s="41"/>
      <c r="D268" s="112">
        <v>46038.0</v>
      </c>
      <c r="E268" s="80" t="s">
        <v>200</v>
      </c>
      <c r="F268" s="55" t="s">
        <v>408</v>
      </c>
      <c r="G268" s="55" t="s">
        <v>44</v>
      </c>
      <c r="H268" s="55" t="s">
        <v>300</v>
      </c>
      <c r="I268" s="88" t="s">
        <v>188</v>
      </c>
      <c r="J268" s="81"/>
      <c r="K268" s="84">
        <v>33.58</v>
      </c>
      <c r="L268" s="81"/>
      <c r="M268" s="84">
        <v>33.58</v>
      </c>
      <c r="N268" s="115" t="s">
        <v>28</v>
      </c>
      <c r="O268" s="71"/>
      <c r="P268" s="49" t="str">
        <f t="shared" ref="P268:Q268" si="251">IF(J268="","",J268-L268)</f>
        <v/>
      </c>
      <c r="Q268" s="50">
        <f t="shared" si="251"/>
        <v>0</v>
      </c>
      <c r="R268" s="7"/>
      <c r="S268" s="7"/>
      <c r="T268" s="7"/>
      <c r="U268" s="7"/>
      <c r="V268" s="7"/>
      <c r="W268" s="7"/>
      <c r="X268" s="7"/>
      <c r="Y268" s="7"/>
      <c r="Z268" s="7"/>
      <c r="AA268" s="7" t="str">
        <f t="shared" si="239"/>
        <v/>
      </c>
      <c r="AB268" s="7" t="str">
        <f t="shared" si="244"/>
        <v/>
      </c>
      <c r="AC268" s="7"/>
      <c r="AD268" s="7"/>
      <c r="AE268" s="51" t="s">
        <v>409</v>
      </c>
      <c r="AF268" s="7"/>
      <c r="AG268" s="7"/>
      <c r="AH268" s="7"/>
      <c r="AI268" s="7"/>
      <c r="AJ268" s="7"/>
    </row>
    <row r="269">
      <c r="A269" s="40"/>
      <c r="B269" s="14"/>
      <c r="C269" s="41"/>
      <c r="D269" s="111">
        <v>46038.0</v>
      </c>
      <c r="E269" s="83" t="s">
        <v>208</v>
      </c>
      <c r="F269" s="58" t="s">
        <v>410</v>
      </c>
      <c r="G269" s="58" t="s">
        <v>44</v>
      </c>
      <c r="H269" s="58" t="s">
        <v>300</v>
      </c>
      <c r="I269" s="44" t="s">
        <v>46</v>
      </c>
      <c r="J269" s="76"/>
      <c r="K269" s="77">
        <v>50.25</v>
      </c>
      <c r="L269" s="76"/>
      <c r="M269" s="77">
        <v>50.25</v>
      </c>
      <c r="N269" s="116" t="s">
        <v>28</v>
      </c>
      <c r="O269" s="71"/>
      <c r="P269" s="49" t="str">
        <f t="shared" ref="P269:Q269" si="252">IF(J269="","",J269-L269)</f>
        <v/>
      </c>
      <c r="Q269" s="50">
        <f t="shared" si="252"/>
        <v>0</v>
      </c>
      <c r="R269" s="7"/>
      <c r="S269" s="7"/>
      <c r="T269" s="7"/>
      <c r="U269" s="7"/>
      <c r="V269" s="7"/>
      <c r="W269" s="7"/>
      <c r="X269" s="7"/>
      <c r="Y269" s="7"/>
      <c r="Z269" s="7"/>
      <c r="AA269" s="7" t="str">
        <f t="shared" si="239"/>
        <v/>
      </c>
      <c r="AB269" s="7" t="str">
        <f t="shared" si="244"/>
        <v/>
      </c>
      <c r="AC269" s="7"/>
      <c r="AD269" s="7"/>
      <c r="AE269" s="51" t="s">
        <v>411</v>
      </c>
      <c r="AF269" s="7"/>
      <c r="AG269" s="7"/>
      <c r="AH269" s="7"/>
      <c r="AI269" s="7"/>
      <c r="AJ269" s="7"/>
    </row>
    <row r="270">
      <c r="A270" s="40"/>
      <c r="B270" s="14"/>
      <c r="C270" s="41"/>
      <c r="D270" s="112">
        <v>46038.0</v>
      </c>
      <c r="E270" s="80" t="s">
        <v>144</v>
      </c>
      <c r="F270" s="55" t="s">
        <v>148</v>
      </c>
      <c r="G270" s="55" t="s">
        <v>44</v>
      </c>
      <c r="H270" s="55" t="s">
        <v>300</v>
      </c>
      <c r="I270" s="88" t="s">
        <v>99</v>
      </c>
      <c r="J270" s="81"/>
      <c r="K270" s="84">
        <v>10.77</v>
      </c>
      <c r="L270" s="81"/>
      <c r="M270" s="84">
        <v>10.77</v>
      </c>
      <c r="N270" s="115" t="s">
        <v>28</v>
      </c>
      <c r="O270" s="71"/>
      <c r="P270" s="49" t="str">
        <f t="shared" ref="P270:Q270" si="253">IF(J270="","",J270-L270)</f>
        <v/>
      </c>
      <c r="Q270" s="50">
        <f t="shared" si="253"/>
        <v>0</v>
      </c>
      <c r="R270" s="7"/>
      <c r="S270" s="7"/>
      <c r="T270" s="7"/>
      <c r="U270" s="7"/>
      <c r="V270" s="7"/>
      <c r="W270" s="7"/>
      <c r="X270" s="7"/>
      <c r="Y270" s="7"/>
      <c r="Z270" s="7"/>
      <c r="AA270" s="7" t="str">
        <f t="shared" si="239"/>
        <v/>
      </c>
      <c r="AB270" s="7" t="str">
        <f t="shared" si="244"/>
        <v/>
      </c>
      <c r="AC270" s="7"/>
      <c r="AD270" s="7"/>
      <c r="AE270" s="51" t="s">
        <v>412</v>
      </c>
      <c r="AF270" s="7"/>
      <c r="AG270" s="7"/>
      <c r="AH270" s="7"/>
      <c r="AI270" s="7"/>
      <c r="AJ270" s="7"/>
    </row>
    <row r="271">
      <c r="A271" s="40"/>
      <c r="B271" s="14"/>
      <c r="C271" s="41"/>
      <c r="D271" s="111">
        <v>46038.0</v>
      </c>
      <c r="E271" s="75" t="s">
        <v>47</v>
      </c>
      <c r="F271" s="104" t="s">
        <v>413</v>
      </c>
      <c r="G271" s="58" t="s">
        <v>44</v>
      </c>
      <c r="H271" s="58" t="s">
        <v>45</v>
      </c>
      <c r="I271" s="44" t="s">
        <v>46</v>
      </c>
      <c r="J271" s="76"/>
      <c r="K271" s="77">
        <v>65.39</v>
      </c>
      <c r="L271" s="76"/>
      <c r="M271" s="77">
        <v>65.39</v>
      </c>
      <c r="N271" s="116" t="s">
        <v>41</v>
      </c>
      <c r="O271" s="48"/>
      <c r="P271" s="49" t="str">
        <f t="shared" ref="P271:Q271" si="254">IF(J271="","",J271-L271)</f>
        <v/>
      </c>
      <c r="Q271" s="50">
        <f t="shared" si="254"/>
        <v>0</v>
      </c>
      <c r="R271" s="7"/>
      <c r="S271" s="7"/>
      <c r="T271" s="7"/>
      <c r="U271" s="7"/>
      <c r="V271" s="7"/>
      <c r="W271" s="7"/>
      <c r="X271" s="7"/>
      <c r="Y271" s="7"/>
      <c r="Z271" s="7"/>
      <c r="AA271" s="7" t="str">
        <f t="shared" si="239"/>
        <v/>
      </c>
      <c r="AB271" s="7" t="str">
        <f t="shared" si="244"/>
        <v/>
      </c>
      <c r="AC271" s="7"/>
      <c r="AD271" s="7"/>
      <c r="AE271" s="51" t="s">
        <v>414</v>
      </c>
      <c r="AF271" s="7"/>
      <c r="AG271" s="7"/>
      <c r="AH271" s="7"/>
      <c r="AI271" s="7"/>
      <c r="AJ271" s="7"/>
    </row>
    <row r="272">
      <c r="A272" s="40"/>
      <c r="B272" s="14"/>
      <c r="C272" s="41"/>
      <c r="D272" s="112">
        <v>46038.0</v>
      </c>
      <c r="E272" s="106" t="s">
        <v>196</v>
      </c>
      <c r="F272" s="87" t="s">
        <v>415</v>
      </c>
      <c r="G272" s="55" t="s">
        <v>44</v>
      </c>
      <c r="H272" s="55" t="s">
        <v>45</v>
      </c>
      <c r="I272" s="88" t="s">
        <v>46</v>
      </c>
      <c r="J272" s="81"/>
      <c r="K272" s="84">
        <v>86.22</v>
      </c>
      <c r="L272" s="81"/>
      <c r="M272" s="84">
        <v>86.22</v>
      </c>
      <c r="N272" s="115" t="s">
        <v>41</v>
      </c>
      <c r="O272" s="71"/>
      <c r="P272" s="49" t="str">
        <f t="shared" ref="P272:Q272" si="255">IF(J272="","",J272-L272)</f>
        <v/>
      </c>
      <c r="Q272" s="50">
        <f t="shared" si="255"/>
        <v>0</v>
      </c>
      <c r="R272" s="7"/>
      <c r="S272" s="7"/>
      <c r="T272" s="7"/>
      <c r="U272" s="7"/>
      <c r="V272" s="7"/>
      <c r="W272" s="7"/>
      <c r="X272" s="7"/>
      <c r="Y272" s="7"/>
      <c r="Z272" s="7"/>
      <c r="AA272" s="7" t="str">
        <f t="shared" si="239"/>
        <v/>
      </c>
      <c r="AB272" s="7" t="str">
        <f t="shared" si="244"/>
        <v/>
      </c>
      <c r="AC272" s="7"/>
      <c r="AD272" s="7"/>
      <c r="AE272" s="52" t="s">
        <v>362</v>
      </c>
      <c r="AF272" s="7"/>
      <c r="AG272" s="7"/>
      <c r="AH272" s="7"/>
      <c r="AI272" s="7"/>
      <c r="AJ272" s="7"/>
    </row>
    <row r="273">
      <c r="A273" s="40"/>
      <c r="B273" s="14"/>
      <c r="C273" s="41"/>
      <c r="D273" s="111">
        <v>46038.0</v>
      </c>
      <c r="E273" s="75" t="s">
        <v>135</v>
      </c>
      <c r="F273" s="104" t="s">
        <v>123</v>
      </c>
      <c r="G273" s="58" t="s">
        <v>44</v>
      </c>
      <c r="H273" s="58" t="s">
        <v>45</v>
      </c>
      <c r="I273" s="44" t="s">
        <v>99</v>
      </c>
      <c r="J273" s="76"/>
      <c r="K273" s="77">
        <v>5.99</v>
      </c>
      <c r="L273" s="76"/>
      <c r="M273" s="77">
        <v>5.99</v>
      </c>
      <c r="N273" s="116" t="s">
        <v>41</v>
      </c>
      <c r="O273" s="71"/>
      <c r="P273" s="49" t="str">
        <f t="shared" ref="P273:Q273" si="256">IF(J273="","",J273-L273)</f>
        <v/>
      </c>
      <c r="Q273" s="50">
        <f t="shared" si="256"/>
        <v>0</v>
      </c>
      <c r="R273" s="7"/>
      <c r="S273" s="7"/>
      <c r="T273" s="7"/>
      <c r="U273" s="7"/>
      <c r="V273" s="7"/>
      <c r="W273" s="7"/>
      <c r="X273" s="7"/>
      <c r="Y273" s="7"/>
      <c r="Z273" s="7"/>
      <c r="AA273" s="7" t="str">
        <f t="shared" si="239"/>
        <v/>
      </c>
      <c r="AB273" s="7" t="str">
        <f t="shared" si="244"/>
        <v/>
      </c>
      <c r="AC273" s="7"/>
      <c r="AD273" s="7"/>
      <c r="AE273" s="52" t="s">
        <v>416</v>
      </c>
      <c r="AF273" s="7"/>
      <c r="AG273" s="7"/>
      <c r="AH273" s="7"/>
      <c r="AI273" s="7"/>
      <c r="AJ273" s="7"/>
    </row>
    <row r="274">
      <c r="A274" s="40"/>
      <c r="B274" s="14"/>
      <c r="C274" s="41"/>
      <c r="D274" s="112">
        <v>46038.0</v>
      </c>
      <c r="E274" s="106" t="s">
        <v>130</v>
      </c>
      <c r="F274" s="87" t="s">
        <v>148</v>
      </c>
      <c r="G274" s="55" t="s">
        <v>44</v>
      </c>
      <c r="H274" s="55" t="s">
        <v>45</v>
      </c>
      <c r="I274" s="88" t="s">
        <v>99</v>
      </c>
      <c r="J274" s="81"/>
      <c r="K274" s="84">
        <v>12.87</v>
      </c>
      <c r="L274" s="81"/>
      <c r="M274" s="84">
        <v>12.87</v>
      </c>
      <c r="N274" s="115" t="s">
        <v>41</v>
      </c>
      <c r="O274" s="71"/>
      <c r="P274" s="49" t="str">
        <f t="shared" ref="P274:Q274" si="257">IF(J274="","",J274-L274)</f>
        <v/>
      </c>
      <c r="Q274" s="50">
        <f t="shared" si="257"/>
        <v>0</v>
      </c>
      <c r="R274" s="7"/>
      <c r="S274" s="7"/>
      <c r="T274" s="7"/>
      <c r="U274" s="7"/>
      <c r="V274" s="7"/>
      <c r="W274" s="7"/>
      <c r="X274" s="7"/>
      <c r="Y274" s="7"/>
      <c r="Z274" s="7"/>
      <c r="AA274" s="7" t="str">
        <f t="shared" si="239"/>
        <v/>
      </c>
      <c r="AB274" s="7" t="str">
        <f t="shared" si="244"/>
        <v/>
      </c>
      <c r="AC274" s="7"/>
      <c r="AD274" s="7"/>
      <c r="AE274" s="52" t="s">
        <v>417</v>
      </c>
      <c r="AF274" s="7"/>
      <c r="AG274" s="7"/>
      <c r="AH274" s="7"/>
      <c r="AI274" s="7"/>
      <c r="AJ274" s="7"/>
    </row>
    <row r="275">
      <c r="A275" s="40"/>
      <c r="B275" s="14"/>
      <c r="C275" s="41"/>
      <c r="D275" s="111">
        <v>46038.0</v>
      </c>
      <c r="E275" s="75" t="s">
        <v>128</v>
      </c>
      <c r="F275" s="104" t="s">
        <v>418</v>
      </c>
      <c r="G275" s="58" t="s">
        <v>98</v>
      </c>
      <c r="H275" s="58" t="s">
        <v>45</v>
      </c>
      <c r="I275" s="44" t="s">
        <v>99</v>
      </c>
      <c r="J275" s="76"/>
      <c r="K275" s="77">
        <v>18.13</v>
      </c>
      <c r="L275" s="76"/>
      <c r="M275" s="77">
        <v>18.13</v>
      </c>
      <c r="N275" s="116" t="s">
        <v>41</v>
      </c>
      <c r="O275" s="48"/>
      <c r="P275" s="49" t="str">
        <f t="shared" ref="P275:Q275" si="258">IF(J275="","",J275-L275)</f>
        <v/>
      </c>
      <c r="Q275" s="50">
        <f t="shared" si="258"/>
        <v>0</v>
      </c>
      <c r="R275" s="7"/>
      <c r="S275" s="7"/>
      <c r="T275" s="7"/>
      <c r="U275" s="7"/>
      <c r="V275" s="7"/>
      <c r="W275" s="7"/>
      <c r="X275" s="7"/>
      <c r="Y275" s="7"/>
      <c r="Z275" s="7"/>
      <c r="AA275" s="7" t="str">
        <f t="shared" si="239"/>
        <v/>
      </c>
      <c r="AB275" s="7" t="str">
        <f t="shared" si="244"/>
        <v/>
      </c>
      <c r="AC275" s="7"/>
      <c r="AD275" s="7"/>
      <c r="AE275" s="52" t="s">
        <v>419</v>
      </c>
      <c r="AF275" s="7"/>
      <c r="AG275" s="7"/>
      <c r="AH275" s="7"/>
      <c r="AI275" s="7"/>
      <c r="AJ275" s="7"/>
    </row>
    <row r="276">
      <c r="A276" s="40"/>
      <c r="B276" s="14"/>
      <c r="C276" s="41"/>
      <c r="D276" s="112">
        <v>46038.0</v>
      </c>
      <c r="E276" s="106" t="s">
        <v>62</v>
      </c>
      <c r="F276" s="87" t="s">
        <v>420</v>
      </c>
      <c r="G276" s="55" t="s">
        <v>44</v>
      </c>
      <c r="H276" s="55" t="s">
        <v>45</v>
      </c>
      <c r="I276" s="88" t="s">
        <v>65</v>
      </c>
      <c r="J276" s="81"/>
      <c r="K276" s="84">
        <v>38.46</v>
      </c>
      <c r="L276" s="81"/>
      <c r="M276" s="84">
        <v>38.46</v>
      </c>
      <c r="N276" s="115" t="s">
        <v>41</v>
      </c>
      <c r="O276" s="71"/>
      <c r="P276" s="49" t="str">
        <f t="shared" ref="P276:Q276" si="259">IF(J276="","",J276-L276)</f>
        <v/>
      </c>
      <c r="Q276" s="50">
        <f t="shared" si="259"/>
        <v>0</v>
      </c>
      <c r="R276" s="7"/>
      <c r="S276" s="7"/>
      <c r="T276" s="7"/>
      <c r="U276" s="7"/>
      <c r="V276" s="7"/>
      <c r="W276" s="7"/>
      <c r="X276" s="7"/>
      <c r="Y276" s="7"/>
      <c r="Z276" s="7"/>
      <c r="AA276" s="7" t="str">
        <f t="shared" si="239"/>
        <v/>
      </c>
      <c r="AB276" s="7" t="str">
        <f t="shared" si="244"/>
        <v/>
      </c>
      <c r="AC276" s="7"/>
      <c r="AD276" s="7"/>
      <c r="AE276" s="52" t="s">
        <v>421</v>
      </c>
      <c r="AF276" s="7"/>
      <c r="AG276" s="7"/>
      <c r="AH276" s="7"/>
      <c r="AI276" s="7"/>
      <c r="AJ276" s="7"/>
    </row>
    <row r="277">
      <c r="A277" s="40"/>
      <c r="B277" s="14"/>
      <c r="C277" s="41"/>
      <c r="D277" s="111">
        <v>46038.0</v>
      </c>
      <c r="E277" s="75" t="s">
        <v>50</v>
      </c>
      <c r="F277" s="104" t="s">
        <v>422</v>
      </c>
      <c r="G277" s="58" t="s">
        <v>44</v>
      </c>
      <c r="H277" s="58" t="s">
        <v>45</v>
      </c>
      <c r="I277" s="44" t="s">
        <v>46</v>
      </c>
      <c r="J277" s="76"/>
      <c r="K277" s="77">
        <v>19.13</v>
      </c>
      <c r="L277" s="76"/>
      <c r="M277" s="77">
        <v>19.13</v>
      </c>
      <c r="N277" s="116" t="s">
        <v>41</v>
      </c>
      <c r="O277" s="71"/>
      <c r="P277" s="49" t="str">
        <f t="shared" ref="P277:Q277" si="260">IF(J277="","",J277-L277)</f>
        <v/>
      </c>
      <c r="Q277" s="50">
        <f t="shared" si="260"/>
        <v>0</v>
      </c>
      <c r="R277" s="7"/>
      <c r="S277" s="7"/>
      <c r="T277" s="7"/>
      <c r="U277" s="7"/>
      <c r="V277" s="7"/>
      <c r="W277" s="7"/>
      <c r="X277" s="7"/>
      <c r="Y277" s="7"/>
      <c r="Z277" s="7"/>
      <c r="AA277" s="7" t="str">
        <f t="shared" si="239"/>
        <v/>
      </c>
      <c r="AB277" s="7" t="str">
        <f t="shared" si="244"/>
        <v/>
      </c>
      <c r="AC277" s="7"/>
      <c r="AD277" s="7"/>
      <c r="AE277" s="52" t="s">
        <v>423</v>
      </c>
      <c r="AF277" s="7"/>
      <c r="AG277" s="7"/>
      <c r="AH277" s="7"/>
      <c r="AI277" s="7"/>
      <c r="AJ277" s="7"/>
    </row>
    <row r="278">
      <c r="A278" s="40"/>
      <c r="B278" s="14"/>
      <c r="C278" s="41"/>
      <c r="D278" s="112">
        <v>46038.0</v>
      </c>
      <c r="E278" s="106" t="s">
        <v>50</v>
      </c>
      <c r="F278" s="87" t="s">
        <v>424</v>
      </c>
      <c r="G278" s="55" t="s">
        <v>44</v>
      </c>
      <c r="H278" s="55" t="s">
        <v>45</v>
      </c>
      <c r="I278" s="88" t="s">
        <v>46</v>
      </c>
      <c r="J278" s="81"/>
      <c r="K278" s="84">
        <v>74.16</v>
      </c>
      <c r="L278" s="81"/>
      <c r="M278" s="84">
        <v>74.16</v>
      </c>
      <c r="N278" s="115" t="s">
        <v>41</v>
      </c>
      <c r="O278" s="71"/>
      <c r="P278" s="49" t="str">
        <f t="shared" ref="P278:Q278" si="261">IF(J278="","",J278-L278)</f>
        <v/>
      </c>
      <c r="Q278" s="50">
        <f t="shared" si="261"/>
        <v>0</v>
      </c>
      <c r="R278" s="7"/>
      <c r="S278" s="7"/>
      <c r="T278" s="7"/>
      <c r="U278" s="7"/>
      <c r="V278" s="7"/>
      <c r="W278" s="7"/>
      <c r="X278" s="7"/>
      <c r="Y278" s="7"/>
      <c r="Z278" s="7"/>
      <c r="AA278" s="7" t="str">
        <f t="shared" si="239"/>
        <v/>
      </c>
      <c r="AB278" s="7" t="str">
        <f t="shared" si="244"/>
        <v/>
      </c>
      <c r="AC278" s="7"/>
      <c r="AD278" s="7"/>
      <c r="AE278" s="52" t="s">
        <v>425</v>
      </c>
      <c r="AF278" s="7"/>
      <c r="AG278" s="7"/>
      <c r="AH278" s="7"/>
      <c r="AI278" s="7"/>
      <c r="AJ278" s="7"/>
    </row>
    <row r="279">
      <c r="A279" s="40"/>
      <c r="B279" s="14"/>
      <c r="C279" s="41"/>
      <c r="D279" s="111">
        <v>46038.0</v>
      </c>
      <c r="E279" s="75" t="s">
        <v>156</v>
      </c>
      <c r="F279" s="104" t="s">
        <v>143</v>
      </c>
      <c r="G279" s="58" t="s">
        <v>298</v>
      </c>
      <c r="H279" s="58" t="s">
        <v>45</v>
      </c>
      <c r="I279" s="44" t="s">
        <v>99</v>
      </c>
      <c r="J279" s="76"/>
      <c r="K279" s="77">
        <v>41.96</v>
      </c>
      <c r="L279" s="76"/>
      <c r="M279" s="77">
        <v>41.96</v>
      </c>
      <c r="N279" s="116" t="s">
        <v>41</v>
      </c>
      <c r="O279" s="48"/>
      <c r="P279" s="49" t="str">
        <f t="shared" ref="P279:Q279" si="262">IF(J279="","",J279-L279)</f>
        <v/>
      </c>
      <c r="Q279" s="50">
        <f t="shared" si="262"/>
        <v>0</v>
      </c>
      <c r="R279" s="7"/>
      <c r="S279" s="7"/>
      <c r="T279" s="7"/>
      <c r="U279" s="7"/>
      <c r="V279" s="7"/>
      <c r="W279" s="7"/>
      <c r="X279" s="7"/>
      <c r="Y279" s="7"/>
      <c r="Z279" s="7"/>
      <c r="AA279" s="7" t="str">
        <f t="shared" si="239"/>
        <v/>
      </c>
      <c r="AB279" s="7" t="str">
        <f t="shared" si="244"/>
        <v/>
      </c>
      <c r="AC279" s="7"/>
      <c r="AD279" s="7"/>
      <c r="AE279" s="52" t="s">
        <v>426</v>
      </c>
      <c r="AF279" s="7"/>
      <c r="AG279" s="7"/>
      <c r="AH279" s="7"/>
      <c r="AI279" s="7"/>
      <c r="AJ279" s="7"/>
    </row>
    <row r="280">
      <c r="A280" s="40"/>
      <c r="B280" s="14"/>
      <c r="C280" s="41"/>
      <c r="D280" s="112">
        <v>46038.0</v>
      </c>
      <c r="E280" s="106" t="s">
        <v>159</v>
      </c>
      <c r="F280" s="87" t="s">
        <v>123</v>
      </c>
      <c r="G280" s="55" t="s">
        <v>298</v>
      </c>
      <c r="H280" s="55" t="s">
        <v>45</v>
      </c>
      <c r="I280" s="88" t="s">
        <v>99</v>
      </c>
      <c r="J280" s="81"/>
      <c r="K280" s="84">
        <v>1.29</v>
      </c>
      <c r="L280" s="81"/>
      <c r="M280" s="84">
        <v>1.29</v>
      </c>
      <c r="N280" s="115" t="s">
        <v>41</v>
      </c>
      <c r="O280" s="71"/>
      <c r="P280" s="49" t="str">
        <f t="shared" ref="P280:Q280" si="263">IF(J280="","",J280-L280)</f>
        <v/>
      </c>
      <c r="Q280" s="50">
        <f t="shared" si="263"/>
        <v>0</v>
      </c>
      <c r="R280" s="7"/>
      <c r="S280" s="7"/>
      <c r="T280" s="7"/>
      <c r="U280" s="7"/>
      <c r="V280" s="7"/>
      <c r="W280" s="7"/>
      <c r="X280" s="7"/>
      <c r="Y280" s="7"/>
      <c r="Z280" s="7"/>
      <c r="AA280" s="7" t="str">
        <f t="shared" si="239"/>
        <v/>
      </c>
      <c r="AB280" s="7" t="str">
        <f t="shared" si="244"/>
        <v/>
      </c>
      <c r="AC280" s="7"/>
      <c r="AD280" s="7"/>
      <c r="AE280" s="74" t="s">
        <v>427</v>
      </c>
      <c r="AF280" s="7"/>
      <c r="AG280" s="7"/>
      <c r="AH280" s="7"/>
      <c r="AI280" s="7"/>
      <c r="AJ280" s="7"/>
    </row>
    <row r="281">
      <c r="A281" s="40"/>
      <c r="B281" s="14"/>
      <c r="C281" s="41"/>
      <c r="D281" s="111">
        <v>46038.0</v>
      </c>
      <c r="E281" s="75" t="s">
        <v>132</v>
      </c>
      <c r="F281" s="104" t="s">
        <v>126</v>
      </c>
      <c r="G281" s="58" t="s">
        <v>44</v>
      </c>
      <c r="H281" s="58" t="s">
        <v>45</v>
      </c>
      <c r="I281" s="44" t="s">
        <v>99</v>
      </c>
      <c r="J281" s="76"/>
      <c r="K281" s="77">
        <v>15.98</v>
      </c>
      <c r="L281" s="76"/>
      <c r="M281" s="77">
        <v>15.98</v>
      </c>
      <c r="N281" s="116" t="s">
        <v>41</v>
      </c>
      <c r="O281" s="71"/>
      <c r="P281" s="49" t="str">
        <f t="shared" ref="P281:Q281" si="264">IF(J281="","",J281-L281)</f>
        <v/>
      </c>
      <c r="Q281" s="50">
        <f t="shared" si="264"/>
        <v>0</v>
      </c>
      <c r="R281" s="7"/>
      <c r="S281" s="7"/>
      <c r="T281" s="7"/>
      <c r="U281" s="7"/>
      <c r="V281" s="7"/>
      <c r="W281" s="7"/>
      <c r="X281" s="7"/>
      <c r="Y281" s="7"/>
      <c r="Z281" s="7"/>
      <c r="AA281" s="7" t="str">
        <f t="shared" si="239"/>
        <v/>
      </c>
      <c r="AB281" s="7" t="str">
        <f t="shared" si="244"/>
        <v/>
      </c>
      <c r="AC281" s="7"/>
      <c r="AD281" s="7"/>
      <c r="AE281" s="51" t="s">
        <v>428</v>
      </c>
      <c r="AF281" s="7"/>
      <c r="AG281" s="7"/>
      <c r="AH281" s="7"/>
      <c r="AI281" s="7"/>
      <c r="AJ281" s="7"/>
    </row>
    <row r="282">
      <c r="A282" s="40"/>
      <c r="B282" s="14"/>
      <c r="C282" s="41"/>
      <c r="D282" s="112">
        <v>46038.0</v>
      </c>
      <c r="E282" s="106" t="s">
        <v>135</v>
      </c>
      <c r="F282" s="87" t="s">
        <v>123</v>
      </c>
      <c r="G282" s="55" t="s">
        <v>44</v>
      </c>
      <c r="H282" s="55" t="s">
        <v>45</v>
      </c>
      <c r="I282" s="88" t="s">
        <v>99</v>
      </c>
      <c r="J282" s="81"/>
      <c r="K282" s="84">
        <v>5.99</v>
      </c>
      <c r="L282" s="81"/>
      <c r="M282" s="84">
        <v>5.99</v>
      </c>
      <c r="N282" s="115" t="s">
        <v>41</v>
      </c>
      <c r="O282" s="71"/>
      <c r="P282" s="49" t="str">
        <f t="shared" ref="P282:Q282" si="265">IF(J282="","",J282-L282)</f>
        <v/>
      </c>
      <c r="Q282" s="50">
        <f t="shared" si="265"/>
        <v>0</v>
      </c>
      <c r="R282" s="7"/>
      <c r="S282" s="7"/>
      <c r="T282" s="7"/>
      <c r="U282" s="7"/>
      <c r="V282" s="7"/>
      <c r="W282" s="7"/>
      <c r="X282" s="7"/>
      <c r="Y282" s="7"/>
      <c r="Z282" s="7"/>
      <c r="AA282" s="7" t="str">
        <f t="shared" si="239"/>
        <v/>
      </c>
      <c r="AB282" s="7" t="str">
        <f t="shared" si="244"/>
        <v/>
      </c>
      <c r="AC282" s="7"/>
      <c r="AD282" s="7"/>
      <c r="AE282" s="51" t="s">
        <v>429</v>
      </c>
      <c r="AF282" s="7"/>
      <c r="AG282" s="7"/>
      <c r="AH282" s="7"/>
      <c r="AI282" s="7"/>
      <c r="AJ282" s="7"/>
    </row>
    <row r="283">
      <c r="A283" s="40"/>
      <c r="B283" s="14"/>
      <c r="C283" s="41"/>
      <c r="D283" s="111">
        <v>46038.0</v>
      </c>
      <c r="E283" s="75" t="s">
        <v>328</v>
      </c>
      <c r="F283" s="104" t="s">
        <v>190</v>
      </c>
      <c r="G283" s="58" t="s">
        <v>44</v>
      </c>
      <c r="H283" s="58" t="s">
        <v>45</v>
      </c>
      <c r="I283" s="44" t="s">
        <v>46</v>
      </c>
      <c r="J283" s="76"/>
      <c r="K283" s="77">
        <v>100.0</v>
      </c>
      <c r="L283" s="76"/>
      <c r="M283" s="77">
        <v>100.0</v>
      </c>
      <c r="N283" s="116" t="s">
        <v>41</v>
      </c>
      <c r="O283" s="48"/>
      <c r="P283" s="49" t="str">
        <f t="shared" ref="P283:Q283" si="266">IF(J283="","",J283-L283)</f>
        <v/>
      </c>
      <c r="Q283" s="50">
        <f t="shared" si="266"/>
        <v>0</v>
      </c>
      <c r="R283" s="7"/>
      <c r="S283" s="7"/>
      <c r="T283" s="7"/>
      <c r="U283" s="7"/>
      <c r="V283" s="7"/>
      <c r="W283" s="7"/>
      <c r="X283" s="7"/>
      <c r="Y283" s="7"/>
      <c r="Z283" s="7"/>
      <c r="AA283" s="7" t="str">
        <f t="shared" si="239"/>
        <v/>
      </c>
      <c r="AB283" s="7" t="str">
        <f t="shared" si="244"/>
        <v/>
      </c>
      <c r="AC283" s="7"/>
      <c r="AD283" s="7"/>
      <c r="AE283" s="51" t="s">
        <v>430</v>
      </c>
      <c r="AF283" s="7"/>
      <c r="AG283" s="7"/>
      <c r="AH283" s="7"/>
      <c r="AI283" s="7"/>
      <c r="AJ283" s="7"/>
    </row>
    <row r="284">
      <c r="A284" s="40"/>
      <c r="B284" s="14"/>
      <c r="C284" s="41"/>
      <c r="D284" s="112">
        <v>46038.0</v>
      </c>
      <c r="E284" s="106" t="s">
        <v>191</v>
      </c>
      <c r="F284" s="87" t="s">
        <v>74</v>
      </c>
      <c r="G284" s="55" t="s">
        <v>44</v>
      </c>
      <c r="H284" s="55" t="s">
        <v>45</v>
      </c>
      <c r="I284" s="88" t="s">
        <v>99</v>
      </c>
      <c r="J284" s="81"/>
      <c r="K284" s="84">
        <v>10.0</v>
      </c>
      <c r="L284" s="81"/>
      <c r="M284" s="84">
        <v>10.0</v>
      </c>
      <c r="N284" s="115" t="s">
        <v>41</v>
      </c>
      <c r="O284" s="71"/>
      <c r="P284" s="49" t="str">
        <f t="shared" ref="P284:Q284" si="267">IF(J284="","",J284-L284)</f>
        <v/>
      </c>
      <c r="Q284" s="50">
        <f t="shared" si="267"/>
        <v>0</v>
      </c>
      <c r="R284" s="7"/>
      <c r="S284" s="7"/>
      <c r="T284" s="7"/>
      <c r="U284" s="7"/>
      <c r="V284" s="7"/>
      <c r="W284" s="7"/>
      <c r="X284" s="7"/>
      <c r="Y284" s="7"/>
      <c r="Z284" s="7"/>
      <c r="AA284" s="7" t="str">
        <f t="shared" si="239"/>
        <v/>
      </c>
      <c r="AB284" s="7" t="str">
        <f t="shared" si="244"/>
        <v/>
      </c>
      <c r="AC284" s="7"/>
      <c r="AD284" s="7"/>
      <c r="AE284" s="51" t="s">
        <v>431</v>
      </c>
      <c r="AF284" s="7"/>
      <c r="AG284" s="7"/>
      <c r="AH284" s="7"/>
      <c r="AI284" s="7"/>
      <c r="AJ284" s="7"/>
    </row>
    <row r="285">
      <c r="A285" s="40"/>
      <c r="B285" s="14"/>
      <c r="C285" s="41"/>
      <c r="D285" s="111">
        <v>46038.0</v>
      </c>
      <c r="E285" s="75" t="s">
        <v>209</v>
      </c>
      <c r="F285" s="104" t="s">
        <v>123</v>
      </c>
      <c r="G285" s="58" t="s">
        <v>91</v>
      </c>
      <c r="H285" s="58" t="s">
        <v>300</v>
      </c>
      <c r="I285" s="44" t="s">
        <v>99</v>
      </c>
      <c r="J285" s="76"/>
      <c r="K285" s="77">
        <v>5.89</v>
      </c>
      <c r="L285" s="76"/>
      <c r="M285" s="77">
        <v>5.89</v>
      </c>
      <c r="N285" s="116" t="s">
        <v>38</v>
      </c>
      <c r="O285" s="71"/>
      <c r="P285" s="49" t="str">
        <f t="shared" ref="P285:Q285" si="268">IF(J285="","",J285-L285)</f>
        <v/>
      </c>
      <c r="Q285" s="50">
        <f t="shared" si="268"/>
        <v>0</v>
      </c>
      <c r="R285" s="7"/>
      <c r="S285" s="7"/>
      <c r="T285" s="7"/>
      <c r="U285" s="7"/>
      <c r="V285" s="7"/>
      <c r="W285" s="7"/>
      <c r="X285" s="7"/>
      <c r="Y285" s="7"/>
      <c r="Z285" s="7"/>
      <c r="AA285" s="7" t="str">
        <f t="shared" si="239"/>
        <v/>
      </c>
      <c r="AB285" s="7" t="str">
        <f t="shared" si="244"/>
        <v/>
      </c>
      <c r="AC285" s="7"/>
      <c r="AD285" s="7"/>
      <c r="AE285" s="52" t="s">
        <v>432</v>
      </c>
      <c r="AF285" s="7"/>
      <c r="AG285" s="7"/>
      <c r="AH285" s="7"/>
      <c r="AI285" s="7"/>
      <c r="AJ285" s="7"/>
    </row>
    <row r="286">
      <c r="A286" s="40"/>
      <c r="B286" s="14"/>
      <c r="C286" s="41"/>
      <c r="D286" s="112">
        <v>46032.0</v>
      </c>
      <c r="E286" s="54" t="s">
        <v>62</v>
      </c>
      <c r="F286" s="55" t="s">
        <v>63</v>
      </c>
      <c r="G286" s="55" t="s">
        <v>44</v>
      </c>
      <c r="H286" s="55" t="s">
        <v>64</v>
      </c>
      <c r="I286" s="55" t="s">
        <v>65</v>
      </c>
      <c r="J286" s="81"/>
      <c r="K286" s="84">
        <v>70.0</v>
      </c>
      <c r="L286" s="81"/>
      <c r="M286" s="84">
        <v>70.0</v>
      </c>
      <c r="N286" s="115" t="s">
        <v>23</v>
      </c>
      <c r="O286" s="71"/>
      <c r="P286" s="49" t="str">
        <f t="shared" ref="P286:Q286" si="269">IF(J286="","",J286-L286)</f>
        <v/>
      </c>
      <c r="Q286" s="50">
        <f t="shared" si="269"/>
        <v>0</v>
      </c>
      <c r="R286" s="7"/>
      <c r="S286" s="7"/>
      <c r="T286" s="7"/>
      <c r="U286" s="7"/>
      <c r="V286" s="7"/>
      <c r="W286" s="7"/>
      <c r="X286" s="7"/>
      <c r="Y286" s="7"/>
      <c r="Z286" s="7"/>
      <c r="AA286" s="7" t="str">
        <f t="shared" si="239"/>
        <v/>
      </c>
      <c r="AB286" s="7" t="str">
        <f t="shared" si="244"/>
        <v/>
      </c>
      <c r="AC286" s="7"/>
      <c r="AD286" s="7"/>
      <c r="AE286" s="52" t="s">
        <v>433</v>
      </c>
      <c r="AF286" s="7"/>
      <c r="AG286" s="7"/>
      <c r="AH286" s="7"/>
      <c r="AI286" s="7"/>
      <c r="AJ286" s="7"/>
    </row>
    <row r="287">
      <c r="A287" s="40"/>
      <c r="B287" s="14"/>
      <c r="C287" s="41"/>
      <c r="D287" s="111">
        <v>46032.0</v>
      </c>
      <c r="E287" s="43" t="s">
        <v>67</v>
      </c>
      <c r="F287" s="58" t="s">
        <v>68</v>
      </c>
      <c r="G287" s="58" t="s">
        <v>44</v>
      </c>
      <c r="H287" s="58" t="s">
        <v>64</v>
      </c>
      <c r="I287" s="58" t="s">
        <v>65</v>
      </c>
      <c r="J287" s="76"/>
      <c r="K287" s="77">
        <v>50.0</v>
      </c>
      <c r="L287" s="76"/>
      <c r="M287" s="77">
        <v>50.0</v>
      </c>
      <c r="N287" s="116" t="s">
        <v>23</v>
      </c>
      <c r="O287" s="71"/>
      <c r="P287" s="49" t="str">
        <f t="shared" ref="P287:Q287" si="270">IF(J287="","",J287-L287)</f>
        <v/>
      </c>
      <c r="Q287" s="50">
        <f t="shared" si="270"/>
        <v>0</v>
      </c>
      <c r="R287" s="7"/>
      <c r="S287" s="7"/>
      <c r="T287" s="7"/>
      <c r="U287" s="7"/>
      <c r="V287" s="7"/>
      <c r="W287" s="7"/>
      <c r="X287" s="7"/>
      <c r="Y287" s="7"/>
      <c r="Z287" s="7"/>
      <c r="AA287" s="7" t="str">
        <f t="shared" si="239"/>
        <v/>
      </c>
      <c r="AB287" s="7" t="str">
        <f t="shared" si="244"/>
        <v/>
      </c>
      <c r="AC287" s="7"/>
      <c r="AD287" s="7"/>
      <c r="AE287" s="52" t="s">
        <v>434</v>
      </c>
      <c r="AF287" s="7"/>
      <c r="AG287" s="7"/>
      <c r="AH287" s="7"/>
      <c r="AI287" s="7"/>
      <c r="AJ287" s="7"/>
    </row>
    <row r="288">
      <c r="A288" s="40"/>
      <c r="B288" s="14"/>
      <c r="C288" s="41"/>
      <c r="D288" s="112">
        <v>46032.0</v>
      </c>
      <c r="E288" s="54" t="s">
        <v>70</v>
      </c>
      <c r="F288" s="55" t="s">
        <v>71</v>
      </c>
      <c r="G288" s="55" t="s">
        <v>44</v>
      </c>
      <c r="H288" s="55" t="s">
        <v>64</v>
      </c>
      <c r="I288" s="55" t="s">
        <v>65</v>
      </c>
      <c r="J288" s="81"/>
      <c r="K288" s="81"/>
      <c r="L288" s="81"/>
      <c r="M288" s="81"/>
      <c r="N288" s="134"/>
      <c r="O288" s="71"/>
      <c r="P288" s="49" t="str">
        <f t="shared" ref="P288:Q288" si="271">IF(J288="","",J288-L288)</f>
        <v/>
      </c>
      <c r="Q288" s="50" t="str">
        <f t="shared" si="271"/>
        <v/>
      </c>
      <c r="R288" s="7"/>
      <c r="S288" s="7"/>
      <c r="T288" s="7"/>
      <c r="U288" s="7"/>
      <c r="V288" s="7"/>
      <c r="W288" s="7"/>
      <c r="X288" s="7"/>
      <c r="Y288" s="7"/>
      <c r="Z288" s="7"/>
      <c r="AA288" s="7" t="str">
        <f t="shared" si="239"/>
        <v/>
      </c>
      <c r="AB288" s="7" t="str">
        <f t="shared" si="244"/>
        <v/>
      </c>
      <c r="AC288" s="7"/>
      <c r="AD288" s="7"/>
      <c r="AE288" s="52" t="s">
        <v>435</v>
      </c>
      <c r="AF288" s="7"/>
      <c r="AG288" s="7"/>
      <c r="AH288" s="7"/>
      <c r="AI288" s="7"/>
      <c r="AJ288" s="7"/>
    </row>
    <row r="289">
      <c r="A289" s="40"/>
      <c r="B289" s="14"/>
      <c r="C289" s="41"/>
      <c r="D289" s="111">
        <v>46032.0</v>
      </c>
      <c r="E289" s="43" t="s">
        <v>73</v>
      </c>
      <c r="F289" s="58" t="s">
        <v>74</v>
      </c>
      <c r="G289" s="58" t="s">
        <v>44</v>
      </c>
      <c r="H289" s="58" t="s">
        <v>64</v>
      </c>
      <c r="I289" s="58" t="s">
        <v>75</v>
      </c>
      <c r="J289" s="76"/>
      <c r="K289" s="77">
        <v>5.0</v>
      </c>
      <c r="L289" s="76"/>
      <c r="M289" s="77">
        <v>5.0</v>
      </c>
      <c r="N289" s="116" t="s">
        <v>23</v>
      </c>
      <c r="O289" s="48"/>
      <c r="P289" s="49" t="str">
        <f t="shared" ref="P289:Q289" si="272">IF(J289="","",J289-L289)</f>
        <v/>
      </c>
      <c r="Q289" s="50">
        <f t="shared" si="272"/>
        <v>0</v>
      </c>
      <c r="R289" s="7"/>
      <c r="S289" s="7"/>
      <c r="T289" s="7"/>
      <c r="U289" s="7"/>
      <c r="V289" s="7"/>
      <c r="W289" s="7"/>
      <c r="X289" s="7"/>
      <c r="Y289" s="7"/>
      <c r="Z289" s="7"/>
      <c r="AA289" s="7" t="str">
        <f t="shared" si="239"/>
        <v/>
      </c>
      <c r="AB289" s="7" t="str">
        <f t="shared" si="244"/>
        <v/>
      </c>
      <c r="AC289" s="7"/>
      <c r="AD289" s="7"/>
      <c r="AE289" s="74" t="s">
        <v>436</v>
      </c>
      <c r="AF289" s="7"/>
      <c r="AG289" s="7"/>
      <c r="AH289" s="7"/>
      <c r="AI289" s="7"/>
      <c r="AJ289" s="7"/>
    </row>
    <row r="290">
      <c r="A290" s="40"/>
      <c r="B290" s="14"/>
      <c r="C290" s="41"/>
      <c r="D290" s="112">
        <v>46032.0</v>
      </c>
      <c r="E290" s="54" t="s">
        <v>77</v>
      </c>
      <c r="F290" s="55" t="s">
        <v>78</v>
      </c>
      <c r="G290" s="55" t="s">
        <v>44</v>
      </c>
      <c r="H290" s="55" t="s">
        <v>64</v>
      </c>
      <c r="I290" s="55" t="s">
        <v>65</v>
      </c>
      <c r="J290" s="81"/>
      <c r="K290" s="84">
        <v>25.0</v>
      </c>
      <c r="L290" s="81"/>
      <c r="M290" s="84">
        <v>25.0</v>
      </c>
      <c r="N290" s="115" t="s">
        <v>23</v>
      </c>
      <c r="O290" s="48"/>
      <c r="P290" s="49" t="str">
        <f t="shared" ref="P290:Q290" si="273">IF(J290="","",J290-L290)</f>
        <v/>
      </c>
      <c r="Q290" s="50">
        <f t="shared" si="273"/>
        <v>0</v>
      </c>
      <c r="R290" s="7"/>
      <c r="S290" s="7"/>
      <c r="T290" s="7"/>
      <c r="U290" s="7"/>
      <c r="V290" s="7"/>
      <c r="W290" s="7"/>
      <c r="X290" s="7"/>
      <c r="Y290" s="7"/>
      <c r="Z290" s="7"/>
      <c r="AA290" s="7" t="str">
        <f t="shared" si="239"/>
        <v/>
      </c>
      <c r="AB290" s="7" t="str">
        <f t="shared" si="244"/>
        <v/>
      </c>
      <c r="AC290" s="7"/>
      <c r="AD290" s="7"/>
      <c r="AE290" s="51" t="s">
        <v>437</v>
      </c>
      <c r="AF290" s="7"/>
      <c r="AG290" s="7"/>
      <c r="AH290" s="7"/>
      <c r="AI290" s="7"/>
      <c r="AJ290" s="7"/>
    </row>
    <row r="291">
      <c r="A291" s="40"/>
      <c r="B291" s="14"/>
      <c r="C291" s="41"/>
      <c r="D291" s="111">
        <v>46032.0</v>
      </c>
      <c r="E291" s="43" t="s">
        <v>80</v>
      </c>
      <c r="F291" s="58" t="s">
        <v>81</v>
      </c>
      <c r="G291" s="58" t="s">
        <v>44</v>
      </c>
      <c r="H291" s="58" t="s">
        <v>64</v>
      </c>
      <c r="I291" s="58" t="s">
        <v>65</v>
      </c>
      <c r="J291" s="76"/>
      <c r="K291" s="76"/>
      <c r="L291" s="76"/>
      <c r="M291" s="76"/>
      <c r="N291" s="124"/>
      <c r="O291" s="71"/>
      <c r="P291" s="49" t="str">
        <f t="shared" ref="P291:Q291" si="274">IF(J291="","",J291-L291)</f>
        <v/>
      </c>
      <c r="Q291" s="50" t="str">
        <f t="shared" si="274"/>
        <v/>
      </c>
      <c r="R291" s="7"/>
      <c r="S291" s="7"/>
      <c r="T291" s="7"/>
      <c r="U291" s="7"/>
      <c r="V291" s="7"/>
      <c r="W291" s="7"/>
      <c r="X291" s="7"/>
      <c r="Y291" s="7"/>
      <c r="Z291" s="7"/>
      <c r="AA291" s="7" t="str">
        <f t="shared" si="239"/>
        <v/>
      </c>
      <c r="AB291" s="7" t="str">
        <f t="shared" si="244"/>
        <v/>
      </c>
      <c r="AC291" s="7"/>
      <c r="AD291" s="7"/>
      <c r="AE291" s="51" t="s">
        <v>438</v>
      </c>
      <c r="AF291" s="7"/>
      <c r="AG291" s="7"/>
      <c r="AH291" s="7"/>
      <c r="AI291" s="7"/>
      <c r="AJ291" s="7"/>
    </row>
    <row r="292">
      <c r="A292" s="40"/>
      <c r="B292" s="14"/>
      <c r="C292" s="41"/>
      <c r="D292" s="112">
        <v>46032.0</v>
      </c>
      <c r="E292" s="54" t="s">
        <v>83</v>
      </c>
      <c r="F292" s="55" t="s">
        <v>84</v>
      </c>
      <c r="G292" s="55" t="s">
        <v>44</v>
      </c>
      <c r="H292" s="55" t="s">
        <v>64</v>
      </c>
      <c r="I292" s="55" t="s">
        <v>65</v>
      </c>
      <c r="J292" s="81"/>
      <c r="K292" s="84">
        <v>24.0</v>
      </c>
      <c r="L292" s="81"/>
      <c r="M292" s="84">
        <v>24.0</v>
      </c>
      <c r="N292" s="115" t="s">
        <v>23</v>
      </c>
      <c r="O292" s="71"/>
      <c r="P292" s="49" t="str">
        <f t="shared" ref="P292:Q292" si="275">IF(J292="","",J292-L292)</f>
        <v/>
      </c>
      <c r="Q292" s="50">
        <f t="shared" si="275"/>
        <v>0</v>
      </c>
      <c r="R292" s="7"/>
      <c r="S292" s="7"/>
      <c r="T292" s="7"/>
      <c r="U292" s="7"/>
      <c r="V292" s="7"/>
      <c r="W292" s="7"/>
      <c r="X292" s="7"/>
      <c r="Y292" s="7"/>
      <c r="Z292" s="7"/>
      <c r="AA292" s="7" t="str">
        <f t="shared" si="239"/>
        <v/>
      </c>
      <c r="AB292" s="7" t="str">
        <f t="shared" si="244"/>
        <v/>
      </c>
      <c r="AC292" s="7"/>
      <c r="AD292" s="7"/>
      <c r="AE292" s="51" t="s">
        <v>439</v>
      </c>
      <c r="AF292" s="7"/>
      <c r="AG292" s="7"/>
      <c r="AH292" s="7"/>
      <c r="AI292" s="7"/>
      <c r="AJ292" s="7"/>
    </row>
    <row r="293">
      <c r="A293" s="40"/>
      <c r="B293" s="14"/>
      <c r="C293" s="41"/>
      <c r="D293" s="111">
        <v>46032.0</v>
      </c>
      <c r="E293" s="75" t="s">
        <v>86</v>
      </c>
      <c r="F293" s="44" t="s">
        <v>87</v>
      </c>
      <c r="G293" s="44" t="s">
        <v>44</v>
      </c>
      <c r="H293" s="44" t="s">
        <v>64</v>
      </c>
      <c r="I293" s="44" t="s">
        <v>75</v>
      </c>
      <c r="J293" s="76"/>
      <c r="K293" s="77">
        <v>50.0</v>
      </c>
      <c r="L293" s="76"/>
      <c r="M293" s="77">
        <v>50.0</v>
      </c>
      <c r="N293" s="116" t="s">
        <v>23</v>
      </c>
      <c r="O293" s="71"/>
      <c r="P293" s="49" t="str">
        <f t="shared" ref="P293:Q293" si="276">IF(J293="","",J293-L293)</f>
        <v/>
      </c>
      <c r="Q293" s="50">
        <f t="shared" si="276"/>
        <v>0</v>
      </c>
      <c r="R293" s="7"/>
      <c r="S293" s="7"/>
      <c r="T293" s="7"/>
      <c r="U293" s="7"/>
      <c r="V293" s="7"/>
      <c r="W293" s="7"/>
      <c r="X293" s="7"/>
      <c r="Y293" s="7"/>
      <c r="Z293" s="7"/>
      <c r="AA293" s="7" t="str">
        <f t="shared" si="239"/>
        <v/>
      </c>
      <c r="AB293" s="7" t="str">
        <f t="shared" si="244"/>
        <v/>
      </c>
      <c r="AC293" s="7"/>
      <c r="AD293" s="7"/>
      <c r="AE293" s="52" t="s">
        <v>440</v>
      </c>
      <c r="AF293" s="7"/>
      <c r="AG293" s="7"/>
      <c r="AH293" s="7"/>
      <c r="AI293" s="7"/>
      <c r="AJ293" s="7"/>
    </row>
    <row r="294">
      <c r="A294" s="40"/>
      <c r="B294" s="14"/>
      <c r="C294" s="41"/>
      <c r="D294" s="112">
        <v>46032.0</v>
      </c>
      <c r="E294" s="80" t="s">
        <v>89</v>
      </c>
      <c r="F294" s="55" t="s">
        <v>90</v>
      </c>
      <c r="G294" s="55" t="s">
        <v>91</v>
      </c>
      <c r="H294" s="55" t="s">
        <v>64</v>
      </c>
      <c r="I294" s="55" t="s">
        <v>92</v>
      </c>
      <c r="J294" s="81"/>
      <c r="K294" s="84">
        <v>40.0</v>
      </c>
      <c r="L294" s="81"/>
      <c r="M294" s="84">
        <v>40.0</v>
      </c>
      <c r="N294" s="115" t="s">
        <v>23</v>
      </c>
      <c r="O294" s="71"/>
      <c r="P294" s="49" t="str">
        <f t="shared" ref="P294:Q294" si="277">IF(J294="","",J294-L294)</f>
        <v/>
      </c>
      <c r="Q294" s="50">
        <f t="shared" si="277"/>
        <v>0</v>
      </c>
      <c r="R294" s="7"/>
      <c r="S294" s="7"/>
      <c r="T294" s="7"/>
      <c r="U294" s="7"/>
      <c r="V294" s="7"/>
      <c r="W294" s="7"/>
      <c r="X294" s="7"/>
      <c r="Y294" s="7"/>
      <c r="Z294" s="7"/>
      <c r="AA294" s="7" t="str">
        <f t="shared" si="239"/>
        <v/>
      </c>
      <c r="AB294" s="7" t="str">
        <f t="shared" si="244"/>
        <v/>
      </c>
      <c r="AC294" s="7"/>
      <c r="AD294" s="7"/>
      <c r="AE294" s="74" t="s">
        <v>441</v>
      </c>
      <c r="AF294" s="7"/>
      <c r="AG294" s="7"/>
      <c r="AH294" s="7"/>
      <c r="AI294" s="7"/>
      <c r="AJ294" s="7"/>
    </row>
    <row r="295">
      <c r="A295" s="40"/>
      <c r="B295" s="14"/>
      <c r="C295" s="41"/>
      <c r="D295" s="111">
        <v>46032.0</v>
      </c>
      <c r="E295" s="83" t="s">
        <v>94</v>
      </c>
      <c r="F295" s="58" t="s">
        <v>90</v>
      </c>
      <c r="G295" s="58" t="s">
        <v>91</v>
      </c>
      <c r="H295" s="58" t="s">
        <v>64</v>
      </c>
      <c r="I295" s="58" t="s">
        <v>92</v>
      </c>
      <c r="J295" s="76"/>
      <c r="K295" s="77">
        <v>40.0</v>
      </c>
      <c r="L295" s="76"/>
      <c r="M295" s="77">
        <v>40.0</v>
      </c>
      <c r="N295" s="116" t="s">
        <v>23</v>
      </c>
      <c r="O295" s="71"/>
      <c r="P295" s="49" t="str">
        <f t="shared" ref="P295:Q295" si="278">IF(J295="","",J295-L295)</f>
        <v/>
      </c>
      <c r="Q295" s="50">
        <f t="shared" si="278"/>
        <v>0</v>
      </c>
      <c r="R295" s="7"/>
      <c r="S295" s="7"/>
      <c r="T295" s="7"/>
      <c r="U295" s="7"/>
      <c r="V295" s="7"/>
      <c r="W295" s="7"/>
      <c r="X295" s="7"/>
      <c r="Y295" s="7"/>
      <c r="Z295" s="7"/>
      <c r="AA295" s="7" t="str">
        <f t="shared" si="239"/>
        <v/>
      </c>
      <c r="AB295" s="7" t="str">
        <f t="shared" si="244"/>
        <v/>
      </c>
      <c r="AC295" s="7"/>
      <c r="AD295" s="7"/>
      <c r="AE295" s="51" t="s">
        <v>442</v>
      </c>
      <c r="AF295" s="7"/>
      <c r="AG295" s="7"/>
      <c r="AH295" s="7"/>
      <c r="AI295" s="7"/>
      <c r="AJ295" s="7"/>
    </row>
    <row r="296">
      <c r="A296" s="40"/>
      <c r="B296" s="14"/>
      <c r="C296" s="41"/>
      <c r="D296" s="112"/>
      <c r="E296" s="80"/>
      <c r="F296" s="55" t="s">
        <v>20</v>
      </c>
      <c r="G296" s="55" t="s">
        <v>20</v>
      </c>
      <c r="H296" s="55" t="s">
        <v>20</v>
      </c>
      <c r="I296" s="55" t="s">
        <v>20</v>
      </c>
      <c r="J296" s="81"/>
      <c r="K296" s="81"/>
      <c r="L296" s="81"/>
      <c r="M296" s="81"/>
      <c r="N296" s="134"/>
      <c r="O296" s="71"/>
      <c r="P296" s="49" t="str">
        <f t="shared" ref="P296:Q296" si="279">IF(J296="","",J296-L296)</f>
        <v/>
      </c>
      <c r="Q296" s="50" t="str">
        <f t="shared" si="279"/>
        <v/>
      </c>
      <c r="R296" s="7"/>
      <c r="S296" s="7"/>
      <c r="T296" s="7"/>
      <c r="U296" s="7"/>
      <c r="V296" s="7"/>
      <c r="W296" s="7"/>
      <c r="X296" s="7"/>
      <c r="Y296" s="7"/>
      <c r="Z296" s="7"/>
      <c r="AA296" s="7" t="str">
        <f t="shared" si="239"/>
        <v/>
      </c>
      <c r="AB296" s="7" t="str">
        <f t="shared" si="244"/>
        <v/>
      </c>
      <c r="AC296" s="7"/>
      <c r="AD296" s="7"/>
      <c r="AE296" s="51" t="s">
        <v>443</v>
      </c>
      <c r="AF296" s="7"/>
      <c r="AG296" s="7"/>
      <c r="AH296" s="7"/>
      <c r="AI296" s="7"/>
      <c r="AJ296" s="7"/>
    </row>
    <row r="297">
      <c r="A297" s="40"/>
      <c r="B297" s="14"/>
      <c r="C297" s="41"/>
      <c r="D297" s="111">
        <v>46032.0</v>
      </c>
      <c r="E297" s="83" t="s">
        <v>101</v>
      </c>
      <c r="F297" s="58" t="s">
        <v>74</v>
      </c>
      <c r="G297" s="58" t="s">
        <v>44</v>
      </c>
      <c r="H297" s="58" t="s">
        <v>64</v>
      </c>
      <c r="I297" s="58" t="s">
        <v>102</v>
      </c>
      <c r="J297" s="76"/>
      <c r="K297" s="77">
        <v>35.0</v>
      </c>
      <c r="L297" s="76"/>
      <c r="M297" s="77">
        <v>35.0</v>
      </c>
      <c r="N297" s="116" t="s">
        <v>23</v>
      </c>
      <c r="O297" s="48"/>
      <c r="P297" s="49" t="str">
        <f t="shared" ref="P297:Q297" si="280">IF(J297="","",J297-L297)</f>
        <v/>
      </c>
      <c r="Q297" s="50">
        <f t="shared" si="280"/>
        <v>0</v>
      </c>
      <c r="R297" s="7"/>
      <c r="S297" s="7"/>
      <c r="T297" s="7"/>
      <c r="U297" s="7"/>
      <c r="V297" s="7"/>
      <c r="W297" s="7"/>
      <c r="X297" s="7"/>
      <c r="Y297" s="7"/>
      <c r="Z297" s="7"/>
      <c r="AA297" s="7" t="str">
        <f t="shared" si="239"/>
        <v/>
      </c>
      <c r="AB297" s="7" t="str">
        <f t="shared" si="244"/>
        <v/>
      </c>
      <c r="AC297" s="7"/>
      <c r="AD297" s="7"/>
      <c r="AE297" s="51" t="s">
        <v>444</v>
      </c>
      <c r="AF297" s="7"/>
      <c r="AG297" s="7"/>
      <c r="AH297" s="7"/>
      <c r="AI297" s="7"/>
      <c r="AJ297" s="7"/>
    </row>
    <row r="298">
      <c r="A298" s="40"/>
      <c r="B298" s="14"/>
      <c r="C298" s="41"/>
      <c r="D298" s="112">
        <v>46032.0</v>
      </c>
      <c r="E298" s="54" t="s">
        <v>104</v>
      </c>
      <c r="F298" s="87" t="s">
        <v>105</v>
      </c>
      <c r="G298" s="55" t="s">
        <v>91</v>
      </c>
      <c r="H298" s="88" t="s">
        <v>64</v>
      </c>
      <c r="I298" s="88" t="s">
        <v>102</v>
      </c>
      <c r="J298" s="81"/>
      <c r="K298" s="84">
        <v>50.0</v>
      </c>
      <c r="L298" s="81"/>
      <c r="M298" s="84">
        <v>50.0</v>
      </c>
      <c r="N298" s="115" t="s">
        <v>23</v>
      </c>
      <c r="O298" s="71"/>
      <c r="P298" s="49" t="str">
        <f t="shared" ref="P298:Q298" si="281">IF(J298="","",J298-L298)</f>
        <v/>
      </c>
      <c r="Q298" s="50">
        <f t="shared" si="281"/>
        <v>0</v>
      </c>
      <c r="R298" s="7"/>
      <c r="S298" s="7"/>
      <c r="T298" s="7"/>
      <c r="U298" s="7"/>
      <c r="V298" s="7"/>
      <c r="W298" s="7"/>
      <c r="X298" s="7"/>
      <c r="Y298" s="7"/>
      <c r="Z298" s="7"/>
      <c r="AA298" s="7" t="str">
        <f t="shared" si="239"/>
        <v/>
      </c>
      <c r="AB298" s="7" t="str">
        <f t="shared" si="244"/>
        <v/>
      </c>
      <c r="AC298" s="7"/>
      <c r="AD298" s="7"/>
      <c r="AE298" s="51" t="s">
        <v>445</v>
      </c>
      <c r="AF298" s="7"/>
      <c r="AG298" s="7"/>
      <c r="AH298" s="7"/>
      <c r="AI298" s="7"/>
      <c r="AJ298" s="7"/>
    </row>
    <row r="299">
      <c r="A299" s="40"/>
      <c r="B299" s="14"/>
      <c r="C299" s="41"/>
      <c r="D299" s="111">
        <v>46032.0</v>
      </c>
      <c r="E299" s="75" t="s">
        <v>107</v>
      </c>
      <c r="F299" s="44" t="s">
        <v>446</v>
      </c>
      <c r="G299" s="58" t="s">
        <v>91</v>
      </c>
      <c r="H299" s="44" t="s">
        <v>64</v>
      </c>
      <c r="I299" s="44" t="s">
        <v>46</v>
      </c>
      <c r="J299" s="76"/>
      <c r="K299" s="77">
        <v>30.0</v>
      </c>
      <c r="L299" s="76"/>
      <c r="M299" s="77">
        <v>30.0</v>
      </c>
      <c r="N299" s="116" t="s">
        <v>23</v>
      </c>
      <c r="O299" s="135"/>
      <c r="P299" s="49" t="str">
        <f t="shared" ref="P299:Q299" si="282">IF(J299="","",J299-L299)</f>
        <v/>
      </c>
      <c r="Q299" s="50">
        <f t="shared" si="282"/>
        <v>0</v>
      </c>
      <c r="R299" s="7"/>
      <c r="S299" s="7"/>
      <c r="T299" s="7"/>
      <c r="U299" s="7"/>
      <c r="V299" s="7"/>
      <c r="W299" s="7"/>
      <c r="X299" s="7"/>
      <c r="Y299" s="7"/>
      <c r="Z299" s="7"/>
      <c r="AA299" s="7" t="str">
        <f t="shared" si="239"/>
        <v/>
      </c>
      <c r="AB299" s="7" t="str">
        <f t="shared" si="244"/>
        <v/>
      </c>
      <c r="AC299" s="7"/>
      <c r="AD299" s="7"/>
      <c r="AE299" s="52" t="s">
        <v>447</v>
      </c>
      <c r="AF299" s="7"/>
      <c r="AG299" s="7"/>
      <c r="AH299" s="7"/>
      <c r="AI299" s="7"/>
      <c r="AJ299" s="7"/>
    </row>
    <row r="300">
      <c r="A300" s="40"/>
      <c r="B300" s="14"/>
      <c r="C300" s="41"/>
      <c r="D300" s="112">
        <v>46032.0</v>
      </c>
      <c r="E300" s="80" t="s">
        <v>109</v>
      </c>
      <c r="F300" s="55" t="s">
        <v>110</v>
      </c>
      <c r="G300" s="55" t="s">
        <v>44</v>
      </c>
      <c r="H300" s="55" t="s">
        <v>64</v>
      </c>
      <c r="I300" s="55" t="s">
        <v>111</v>
      </c>
      <c r="J300" s="81"/>
      <c r="K300" s="84">
        <v>70.0</v>
      </c>
      <c r="L300" s="81"/>
      <c r="M300" s="84">
        <v>70.0</v>
      </c>
      <c r="N300" s="115" t="s">
        <v>23</v>
      </c>
      <c r="O300" s="135"/>
      <c r="P300" s="49" t="str">
        <f t="shared" ref="P300:Q300" si="283">IF(J300="","",J300-L300)</f>
        <v/>
      </c>
      <c r="Q300" s="50">
        <f t="shared" si="283"/>
        <v>0</v>
      </c>
      <c r="R300" s="7"/>
      <c r="S300" s="7"/>
      <c r="T300" s="7"/>
      <c r="U300" s="7"/>
      <c r="V300" s="7"/>
      <c r="W300" s="7"/>
      <c r="X300" s="7"/>
      <c r="Y300" s="7"/>
      <c r="Z300" s="7"/>
      <c r="AA300" s="7" t="str">
        <f t="shared" si="239"/>
        <v/>
      </c>
      <c r="AB300" s="7" t="str">
        <f t="shared" si="244"/>
        <v/>
      </c>
      <c r="AC300" s="7"/>
      <c r="AD300" s="7"/>
      <c r="AE300" s="52" t="s">
        <v>448</v>
      </c>
      <c r="AF300" s="7"/>
      <c r="AG300" s="7"/>
      <c r="AH300" s="7"/>
      <c r="AI300" s="7"/>
      <c r="AJ300" s="7"/>
    </row>
    <row r="301">
      <c r="A301" s="40"/>
      <c r="B301" s="14"/>
      <c r="C301" s="41"/>
      <c r="D301" s="111">
        <v>46032.0</v>
      </c>
      <c r="E301" s="83" t="s">
        <v>113</v>
      </c>
      <c r="F301" s="58" t="s">
        <v>114</v>
      </c>
      <c r="G301" s="58" t="s">
        <v>44</v>
      </c>
      <c r="H301" s="58" t="s">
        <v>64</v>
      </c>
      <c r="I301" s="58" t="s">
        <v>111</v>
      </c>
      <c r="J301" s="76"/>
      <c r="K301" s="77">
        <v>45.0</v>
      </c>
      <c r="L301" s="76"/>
      <c r="M301" s="77">
        <v>45.0</v>
      </c>
      <c r="N301" s="116" t="s">
        <v>23</v>
      </c>
      <c r="O301" s="135"/>
      <c r="P301" s="49" t="str">
        <f t="shared" ref="P301:Q301" si="284">IF(J301="","",J301-L301)</f>
        <v/>
      </c>
      <c r="Q301" s="50">
        <f t="shared" si="284"/>
        <v>0</v>
      </c>
      <c r="R301" s="7"/>
      <c r="S301" s="7"/>
      <c r="T301" s="7"/>
      <c r="U301" s="7"/>
      <c r="V301" s="7"/>
      <c r="W301" s="7"/>
      <c r="X301" s="7"/>
      <c r="Y301" s="7"/>
      <c r="Z301" s="7"/>
      <c r="AA301" s="7" t="str">
        <f t="shared" si="239"/>
        <v/>
      </c>
      <c r="AB301" s="7" t="str">
        <f t="shared" si="244"/>
        <v/>
      </c>
      <c r="AC301" s="7"/>
      <c r="AD301" s="7"/>
      <c r="AE301" s="74" t="s">
        <v>449</v>
      </c>
      <c r="AF301" s="7"/>
      <c r="AG301" s="7"/>
      <c r="AH301" s="7"/>
      <c r="AI301" s="7"/>
      <c r="AJ301" s="7"/>
    </row>
    <row r="302">
      <c r="A302" s="40"/>
      <c r="B302" s="14"/>
      <c r="C302" s="41"/>
      <c r="D302" s="112">
        <v>46040.0</v>
      </c>
      <c r="E302" s="106" t="s">
        <v>391</v>
      </c>
      <c r="F302" s="87" t="s">
        <v>123</v>
      </c>
      <c r="G302" s="55" t="s">
        <v>91</v>
      </c>
      <c r="H302" s="55" t="s">
        <v>450</v>
      </c>
      <c r="I302" s="88" t="s">
        <v>119</v>
      </c>
      <c r="J302" s="81"/>
      <c r="K302" s="84">
        <v>19.9</v>
      </c>
      <c r="L302" s="81"/>
      <c r="M302" s="84">
        <v>19.9</v>
      </c>
      <c r="N302" s="115" t="s">
        <v>23</v>
      </c>
      <c r="O302" s="135"/>
      <c r="P302" s="49" t="str">
        <f t="shared" ref="P302:Q302" si="285">IF(J302="","",J302-L302)</f>
        <v/>
      </c>
      <c r="Q302" s="50">
        <f t="shared" si="285"/>
        <v>0</v>
      </c>
      <c r="R302" s="7"/>
      <c r="S302" s="7"/>
      <c r="T302" s="7"/>
      <c r="U302" s="7"/>
      <c r="V302" s="7"/>
      <c r="W302" s="7"/>
      <c r="X302" s="7"/>
      <c r="Y302" s="7"/>
      <c r="Z302" s="7"/>
      <c r="AA302" s="7" t="str">
        <f t="shared" si="239"/>
        <v/>
      </c>
      <c r="AB302" s="7" t="str">
        <f t="shared" si="244"/>
        <v/>
      </c>
      <c r="AC302" s="7"/>
      <c r="AD302" s="7"/>
      <c r="AE302" s="52" t="s">
        <v>451</v>
      </c>
      <c r="AF302" s="7"/>
      <c r="AG302" s="7"/>
      <c r="AH302" s="7"/>
      <c r="AI302" s="7"/>
      <c r="AJ302" s="7"/>
    </row>
    <row r="303">
      <c r="A303" s="40"/>
      <c r="B303" s="14"/>
      <c r="C303" s="41"/>
      <c r="D303" s="111">
        <v>46040.0</v>
      </c>
      <c r="E303" s="75" t="s">
        <v>357</v>
      </c>
      <c r="F303" s="104" t="s">
        <v>163</v>
      </c>
      <c r="G303" s="58" t="s">
        <v>91</v>
      </c>
      <c r="H303" s="58" t="s">
        <v>450</v>
      </c>
      <c r="I303" s="44" t="s">
        <v>119</v>
      </c>
      <c r="J303" s="76"/>
      <c r="K303" s="77">
        <v>14.58</v>
      </c>
      <c r="L303" s="76"/>
      <c r="M303" s="77">
        <v>14.58</v>
      </c>
      <c r="N303" s="116" t="s">
        <v>23</v>
      </c>
      <c r="O303" s="135"/>
      <c r="P303" s="49" t="str">
        <f t="shared" ref="P303:Q303" si="286">IF(J303="","",J303-L303)</f>
        <v/>
      </c>
      <c r="Q303" s="50">
        <f t="shared" si="286"/>
        <v>0</v>
      </c>
      <c r="R303" s="7"/>
      <c r="S303" s="7"/>
      <c r="T303" s="7"/>
      <c r="U303" s="7"/>
      <c r="V303" s="7"/>
      <c r="W303" s="7"/>
      <c r="X303" s="7"/>
      <c r="Y303" s="7"/>
      <c r="Z303" s="7"/>
      <c r="AA303" s="7" t="str">
        <f t="shared" si="239"/>
        <v/>
      </c>
      <c r="AB303" s="7" t="str">
        <f t="shared" si="244"/>
        <v/>
      </c>
      <c r="AC303" s="7"/>
      <c r="AD303" s="7"/>
      <c r="AE303" s="52" t="s">
        <v>452</v>
      </c>
      <c r="AF303" s="7"/>
      <c r="AG303" s="7"/>
      <c r="AH303" s="7"/>
      <c r="AI303" s="7"/>
      <c r="AJ303" s="7"/>
    </row>
    <row r="304">
      <c r="A304" s="40"/>
      <c r="B304" s="14"/>
      <c r="C304" s="41"/>
      <c r="D304" s="112">
        <v>46040.0</v>
      </c>
      <c r="E304" s="106" t="s">
        <v>131</v>
      </c>
      <c r="F304" s="87" t="s">
        <v>163</v>
      </c>
      <c r="G304" s="55" t="s">
        <v>91</v>
      </c>
      <c r="H304" s="55" t="s">
        <v>450</v>
      </c>
      <c r="I304" s="88" t="s">
        <v>453</v>
      </c>
      <c r="J304" s="81"/>
      <c r="K304" s="84">
        <v>34.9</v>
      </c>
      <c r="L304" s="81"/>
      <c r="M304" s="84">
        <v>34.9</v>
      </c>
      <c r="N304" s="115" t="s">
        <v>23</v>
      </c>
      <c r="O304" s="135"/>
      <c r="P304" s="49" t="str">
        <f t="shared" ref="P304:Q304" si="287">IF(J304="","",J304-L304)</f>
        <v/>
      </c>
      <c r="Q304" s="50">
        <f t="shared" si="287"/>
        <v>0</v>
      </c>
      <c r="R304" s="7"/>
      <c r="S304" s="7"/>
      <c r="T304" s="7"/>
      <c r="U304" s="7"/>
      <c r="V304" s="7"/>
      <c r="W304" s="7"/>
      <c r="X304" s="7"/>
      <c r="Y304" s="7"/>
      <c r="Z304" s="7"/>
      <c r="AA304" s="7" t="str">
        <f t="shared" si="239"/>
        <v/>
      </c>
      <c r="AB304" s="7" t="str">
        <f t="shared" si="244"/>
        <v/>
      </c>
      <c r="AC304" s="7"/>
      <c r="AD304" s="7"/>
      <c r="AE304" s="52" t="s">
        <v>454</v>
      </c>
      <c r="AF304" s="7"/>
      <c r="AG304" s="7"/>
      <c r="AH304" s="7"/>
      <c r="AI304" s="7"/>
      <c r="AJ304" s="7"/>
    </row>
    <row r="305">
      <c r="A305" s="136"/>
      <c r="B305" s="14"/>
      <c r="C305" s="41"/>
      <c r="D305" s="111">
        <v>46040.0</v>
      </c>
      <c r="E305" s="75" t="s">
        <v>150</v>
      </c>
      <c r="F305" s="104" t="s">
        <v>455</v>
      </c>
      <c r="G305" s="58" t="s">
        <v>44</v>
      </c>
      <c r="H305" s="58" t="s">
        <v>450</v>
      </c>
      <c r="I305" s="44" t="s">
        <v>99</v>
      </c>
      <c r="J305" s="76"/>
      <c r="K305" s="77">
        <v>8.94</v>
      </c>
      <c r="L305" s="76"/>
      <c r="M305" s="77">
        <v>8.94</v>
      </c>
      <c r="N305" s="116" t="s">
        <v>23</v>
      </c>
      <c r="O305" s="135"/>
      <c r="P305" s="49" t="str">
        <f t="shared" ref="P305:Q305" si="288">IF(J305="","",J305-L305)</f>
        <v/>
      </c>
      <c r="Q305" s="50">
        <f t="shared" si="288"/>
        <v>0</v>
      </c>
      <c r="R305" s="7"/>
      <c r="S305" s="7"/>
      <c r="T305" s="7"/>
      <c r="U305" s="7"/>
      <c r="V305" s="7"/>
      <c r="W305" s="7"/>
      <c r="X305" s="7"/>
      <c r="Y305" s="7"/>
      <c r="Z305" s="7"/>
      <c r="AA305" s="7" t="str">
        <f t="shared" si="239"/>
        <v/>
      </c>
      <c r="AB305" s="7" t="str">
        <f t="shared" si="244"/>
        <v/>
      </c>
      <c r="AC305" s="7"/>
      <c r="AD305" s="7"/>
      <c r="AE305" s="52" t="s">
        <v>456</v>
      </c>
      <c r="AF305" s="7"/>
      <c r="AG305" s="7"/>
      <c r="AH305" s="7"/>
      <c r="AI305" s="7"/>
      <c r="AJ305" s="7"/>
    </row>
    <row r="306">
      <c r="A306" s="40"/>
      <c r="B306" s="14"/>
      <c r="C306" s="41"/>
      <c r="D306" s="112">
        <v>46040.0</v>
      </c>
      <c r="E306" s="106" t="s">
        <v>57</v>
      </c>
      <c r="F306" s="87" t="s">
        <v>123</v>
      </c>
      <c r="G306" s="55" t="s">
        <v>91</v>
      </c>
      <c r="H306" s="55" t="s">
        <v>450</v>
      </c>
      <c r="I306" s="88" t="s">
        <v>309</v>
      </c>
      <c r="J306" s="81"/>
      <c r="K306" s="84">
        <v>14.9</v>
      </c>
      <c r="L306" s="81"/>
      <c r="M306" s="84">
        <v>14.9</v>
      </c>
      <c r="N306" s="115" t="s">
        <v>23</v>
      </c>
      <c r="O306" s="135"/>
      <c r="P306" s="49" t="str">
        <f t="shared" ref="P306:Q306" si="289">IF(J306="","",J306-L306)</f>
        <v/>
      </c>
      <c r="Q306" s="50">
        <f t="shared" si="289"/>
        <v>0</v>
      </c>
      <c r="R306" s="7"/>
      <c r="S306" s="7"/>
      <c r="T306" s="7"/>
      <c r="U306" s="7"/>
      <c r="V306" s="7"/>
      <c r="W306" s="7"/>
      <c r="X306" s="7"/>
      <c r="Y306" s="7"/>
      <c r="Z306" s="7"/>
      <c r="AA306" s="7" t="str">
        <f t="shared" si="239"/>
        <v/>
      </c>
      <c r="AB306" s="7" t="str">
        <f t="shared" si="244"/>
        <v/>
      </c>
      <c r="AC306" s="7"/>
      <c r="AD306" s="7"/>
      <c r="AE306" s="51" t="s">
        <v>457</v>
      </c>
      <c r="AF306" s="7"/>
      <c r="AG306" s="7"/>
      <c r="AH306" s="7"/>
      <c r="AI306" s="7"/>
      <c r="AJ306" s="7"/>
    </row>
    <row r="307">
      <c r="A307" s="40"/>
      <c r="B307" s="14"/>
      <c r="C307" s="41"/>
      <c r="D307" s="111">
        <v>46040.0</v>
      </c>
      <c r="E307" s="75" t="s">
        <v>273</v>
      </c>
      <c r="F307" s="104" t="s">
        <v>123</v>
      </c>
      <c r="G307" s="58" t="s">
        <v>91</v>
      </c>
      <c r="H307" s="58" t="s">
        <v>450</v>
      </c>
      <c r="I307" s="44" t="s">
        <v>75</v>
      </c>
      <c r="J307" s="76"/>
      <c r="K307" s="77">
        <v>2.8</v>
      </c>
      <c r="L307" s="76"/>
      <c r="M307" s="77">
        <v>2.8</v>
      </c>
      <c r="N307" s="116" t="s">
        <v>23</v>
      </c>
      <c r="O307" s="137"/>
      <c r="P307" s="49" t="str">
        <f t="shared" ref="P307:Q307" si="290">IF(J307="","",J307-L307)</f>
        <v/>
      </c>
      <c r="Q307" s="50">
        <f t="shared" si="290"/>
        <v>0</v>
      </c>
      <c r="R307" s="7"/>
      <c r="S307" s="7"/>
      <c r="T307" s="7"/>
      <c r="U307" s="7"/>
      <c r="V307" s="7"/>
      <c r="W307" s="7"/>
      <c r="X307" s="7"/>
      <c r="Y307" s="7"/>
      <c r="Z307" s="7"/>
      <c r="AA307" s="7" t="str">
        <f t="shared" si="239"/>
        <v/>
      </c>
      <c r="AB307" s="7" t="str">
        <f t="shared" si="244"/>
        <v/>
      </c>
      <c r="AC307" s="7"/>
      <c r="AD307" s="7"/>
      <c r="AE307" s="74" t="s">
        <v>458</v>
      </c>
      <c r="AF307" s="7"/>
      <c r="AG307" s="7"/>
      <c r="AH307" s="7"/>
      <c r="AI307" s="7"/>
      <c r="AJ307" s="7"/>
    </row>
    <row r="308">
      <c r="A308" s="40"/>
      <c r="B308" s="14"/>
      <c r="C308" s="41"/>
      <c r="D308" s="112">
        <v>46040.0</v>
      </c>
      <c r="E308" s="106" t="s">
        <v>140</v>
      </c>
      <c r="F308" s="87" t="s">
        <v>87</v>
      </c>
      <c r="G308" s="55" t="s">
        <v>44</v>
      </c>
      <c r="H308" s="55" t="s">
        <v>450</v>
      </c>
      <c r="I308" s="88" t="s">
        <v>99</v>
      </c>
      <c r="J308" s="81"/>
      <c r="K308" s="84">
        <v>29.07</v>
      </c>
      <c r="L308" s="81"/>
      <c r="M308" s="84">
        <v>29.07</v>
      </c>
      <c r="N308" s="115" t="s">
        <v>23</v>
      </c>
      <c r="O308" s="71"/>
      <c r="P308" s="49" t="str">
        <f t="shared" ref="P308:Q308" si="291">IF(J308="","",J308-L308)</f>
        <v/>
      </c>
      <c r="Q308" s="50">
        <f t="shared" si="291"/>
        <v>0</v>
      </c>
      <c r="R308" s="7"/>
      <c r="S308" s="7"/>
      <c r="T308" s="7"/>
      <c r="U308" s="7"/>
      <c r="V308" s="7"/>
      <c r="W308" s="7"/>
      <c r="X308" s="7"/>
      <c r="Y308" s="7"/>
      <c r="Z308" s="7"/>
      <c r="AA308" s="7" t="str">
        <f t="shared" si="239"/>
        <v/>
      </c>
      <c r="AB308" s="7" t="str">
        <f t="shared" si="244"/>
        <v/>
      </c>
      <c r="AC308" s="7"/>
      <c r="AD308" s="7"/>
      <c r="AE308" s="74" t="s">
        <v>459</v>
      </c>
      <c r="AF308" s="7"/>
      <c r="AG308" s="7"/>
      <c r="AH308" s="7"/>
      <c r="AI308" s="7"/>
      <c r="AJ308" s="7"/>
    </row>
    <row r="309">
      <c r="A309" s="40"/>
      <c r="B309" s="14"/>
      <c r="C309" s="41"/>
      <c r="D309" s="111">
        <v>46040.0</v>
      </c>
      <c r="E309" s="75" t="s">
        <v>122</v>
      </c>
      <c r="F309" s="104" t="s">
        <v>123</v>
      </c>
      <c r="G309" s="58" t="s">
        <v>91</v>
      </c>
      <c r="H309" s="58" t="s">
        <v>450</v>
      </c>
      <c r="I309" s="44" t="s">
        <v>453</v>
      </c>
      <c r="J309" s="76"/>
      <c r="K309" s="77">
        <v>7.2</v>
      </c>
      <c r="L309" s="76"/>
      <c r="M309" s="77">
        <v>7.2</v>
      </c>
      <c r="N309" s="116" t="s">
        <v>23</v>
      </c>
      <c r="O309" s="71"/>
      <c r="P309" s="49" t="str">
        <f t="shared" ref="P309:Q309" si="292">IF(J309="","",J309-L309)</f>
        <v/>
      </c>
      <c r="Q309" s="50">
        <f t="shared" si="292"/>
        <v>0</v>
      </c>
      <c r="R309" s="7"/>
      <c r="S309" s="7"/>
      <c r="T309" s="7"/>
      <c r="U309" s="7"/>
      <c r="V309" s="7"/>
      <c r="W309" s="7"/>
      <c r="X309" s="7"/>
      <c r="Y309" s="7"/>
      <c r="Z309" s="7"/>
      <c r="AA309" s="7" t="str">
        <f t="shared" si="239"/>
        <v/>
      </c>
      <c r="AB309" s="7" t="str">
        <f t="shared" si="244"/>
        <v/>
      </c>
      <c r="AC309" s="7"/>
      <c r="AD309" s="7"/>
      <c r="AE309" s="51" t="s">
        <v>460</v>
      </c>
      <c r="AF309" s="7"/>
      <c r="AG309" s="7"/>
      <c r="AH309" s="7"/>
      <c r="AI309" s="7"/>
      <c r="AJ309" s="7"/>
    </row>
    <row r="310">
      <c r="A310" s="40"/>
      <c r="B310" s="14"/>
      <c r="C310" s="41"/>
      <c r="D310" s="112">
        <v>46040.0</v>
      </c>
      <c r="E310" s="106" t="s">
        <v>139</v>
      </c>
      <c r="F310" s="87" t="s">
        <v>158</v>
      </c>
      <c r="G310" s="55" t="s">
        <v>44</v>
      </c>
      <c r="H310" s="55" t="s">
        <v>450</v>
      </c>
      <c r="I310" s="88" t="s">
        <v>99</v>
      </c>
      <c r="J310" s="81"/>
      <c r="K310" s="84">
        <v>7.95</v>
      </c>
      <c r="L310" s="81"/>
      <c r="M310" s="84">
        <v>7.95</v>
      </c>
      <c r="N310" s="115" t="s">
        <v>23</v>
      </c>
      <c r="O310" s="71"/>
      <c r="P310" s="49" t="str">
        <f t="shared" ref="P310:Q310" si="293">IF(J310="","",J310-L310)</f>
        <v/>
      </c>
      <c r="Q310" s="50">
        <f t="shared" si="293"/>
        <v>0</v>
      </c>
      <c r="R310" s="7"/>
      <c r="S310" s="7"/>
      <c r="T310" s="7"/>
      <c r="U310" s="7"/>
      <c r="V310" s="7"/>
      <c r="W310" s="7"/>
      <c r="X310" s="7"/>
      <c r="Y310" s="7"/>
      <c r="Z310" s="7"/>
      <c r="AA310" s="7" t="str">
        <f t="shared" si="239"/>
        <v/>
      </c>
      <c r="AB310" s="7" t="str">
        <f t="shared" si="244"/>
        <v/>
      </c>
      <c r="AC310" s="7"/>
      <c r="AD310" s="7"/>
      <c r="AE310" s="51" t="s">
        <v>461</v>
      </c>
      <c r="AF310" s="7"/>
      <c r="AG310" s="7"/>
      <c r="AH310" s="7"/>
      <c r="AI310" s="7"/>
      <c r="AJ310" s="7"/>
    </row>
    <row r="311">
      <c r="A311" s="40"/>
      <c r="B311" s="14"/>
      <c r="C311" s="41"/>
      <c r="D311" s="111">
        <v>46040.0</v>
      </c>
      <c r="E311" s="75" t="s">
        <v>145</v>
      </c>
      <c r="F311" s="104" t="s">
        <v>148</v>
      </c>
      <c r="G311" s="58" t="s">
        <v>91</v>
      </c>
      <c r="H311" s="58" t="s">
        <v>450</v>
      </c>
      <c r="I311" s="44" t="s">
        <v>99</v>
      </c>
      <c r="J311" s="76"/>
      <c r="K311" s="77">
        <v>11.85</v>
      </c>
      <c r="L311" s="76"/>
      <c r="M311" s="77">
        <v>11.85</v>
      </c>
      <c r="N311" s="116" t="s">
        <v>23</v>
      </c>
      <c r="O311" s="71"/>
      <c r="P311" s="49" t="str">
        <f t="shared" ref="P311:Q311" si="294">IF(J311="","",J311-L311)</f>
        <v/>
      </c>
      <c r="Q311" s="50">
        <f t="shared" si="294"/>
        <v>0</v>
      </c>
      <c r="R311" s="7"/>
      <c r="S311" s="7"/>
      <c r="T311" s="7"/>
      <c r="U311" s="7"/>
      <c r="V311" s="7"/>
      <c r="W311" s="7"/>
      <c r="X311" s="7"/>
      <c r="Y311" s="7"/>
      <c r="Z311" s="7"/>
      <c r="AA311" s="7" t="str">
        <f t="shared" si="239"/>
        <v/>
      </c>
      <c r="AB311" s="7" t="str">
        <f t="shared" si="244"/>
        <v/>
      </c>
      <c r="AC311" s="7"/>
      <c r="AD311" s="7"/>
      <c r="AE311" s="51" t="s">
        <v>462</v>
      </c>
      <c r="AF311" s="7"/>
      <c r="AG311" s="7"/>
      <c r="AH311" s="7"/>
      <c r="AI311" s="7"/>
      <c r="AJ311" s="7"/>
    </row>
    <row r="312">
      <c r="A312" s="40"/>
      <c r="B312" s="14"/>
      <c r="C312" s="41"/>
      <c r="D312" s="112">
        <v>46040.0</v>
      </c>
      <c r="E312" s="106" t="s">
        <v>142</v>
      </c>
      <c r="F312" s="87" t="s">
        <v>74</v>
      </c>
      <c r="G312" s="55" t="s">
        <v>44</v>
      </c>
      <c r="H312" s="55" t="s">
        <v>450</v>
      </c>
      <c r="I312" s="88" t="s">
        <v>99</v>
      </c>
      <c r="J312" s="81"/>
      <c r="K312" s="84">
        <v>55.92</v>
      </c>
      <c r="L312" s="81"/>
      <c r="M312" s="84">
        <v>55.92</v>
      </c>
      <c r="N312" s="115" t="s">
        <v>23</v>
      </c>
      <c r="O312" s="71"/>
      <c r="P312" s="49"/>
      <c r="Q312" s="68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51" t="s">
        <v>463</v>
      </c>
      <c r="AF312" s="7"/>
      <c r="AG312" s="7"/>
      <c r="AH312" s="7"/>
      <c r="AI312" s="7"/>
      <c r="AJ312" s="7"/>
    </row>
    <row r="313">
      <c r="A313" s="40"/>
      <c r="B313" s="14"/>
      <c r="C313" s="41"/>
      <c r="D313" s="111">
        <v>46040.0</v>
      </c>
      <c r="E313" s="75" t="s">
        <v>203</v>
      </c>
      <c r="F313" s="104" t="s">
        <v>464</v>
      </c>
      <c r="G313" s="58" t="s">
        <v>44</v>
      </c>
      <c r="H313" s="58" t="s">
        <v>450</v>
      </c>
      <c r="I313" s="104" t="s">
        <v>99</v>
      </c>
      <c r="J313" s="76"/>
      <c r="K313" s="77">
        <v>10.05</v>
      </c>
      <c r="L313" s="76"/>
      <c r="M313" s="77">
        <v>10.05</v>
      </c>
      <c r="N313" s="116" t="s">
        <v>23</v>
      </c>
      <c r="O313" s="71"/>
      <c r="P313" s="49" t="str">
        <f t="shared" ref="P313:Q313" si="295">IF(J313="","",J313-L313)</f>
        <v/>
      </c>
      <c r="Q313" s="68">
        <f t="shared" si="295"/>
        <v>0</v>
      </c>
      <c r="R313" s="7"/>
      <c r="S313" s="7"/>
      <c r="T313" s="7"/>
      <c r="U313" s="7"/>
      <c r="V313" s="7"/>
      <c r="W313" s="7"/>
      <c r="X313" s="7"/>
      <c r="Y313" s="7"/>
      <c r="Z313" s="7"/>
      <c r="AA313" s="7" t="str">
        <f t="shared" ref="AA313:AA322" si="297">IF(K313=0,"",IF(AND(K313&gt;0,K313&gt;M313),K313-M313,""))</f>
        <v/>
      </c>
      <c r="AB313" s="7" t="str">
        <f t="shared" ref="AB313:AB322" si="298">IF(J313=0,"",IF(AND(J313&gt;0,J313&gt;L313),J313-L313,""))</f>
        <v/>
      </c>
      <c r="AC313" s="7"/>
      <c r="AD313" s="7"/>
      <c r="AE313" s="52" t="s">
        <v>465</v>
      </c>
      <c r="AF313" s="7"/>
      <c r="AG313" s="7"/>
      <c r="AH313" s="7"/>
      <c r="AI313" s="7"/>
      <c r="AJ313" s="7"/>
    </row>
    <row r="314">
      <c r="A314" s="40"/>
      <c r="B314" s="14"/>
      <c r="C314" s="41"/>
      <c r="D314" s="112">
        <v>46040.0</v>
      </c>
      <c r="E314" s="106" t="s">
        <v>238</v>
      </c>
      <c r="F314" s="87" t="s">
        <v>464</v>
      </c>
      <c r="G314" s="55" t="s">
        <v>44</v>
      </c>
      <c r="H314" s="55" t="s">
        <v>450</v>
      </c>
      <c r="I314" s="87" t="s">
        <v>99</v>
      </c>
      <c r="J314" s="81"/>
      <c r="K314" s="84">
        <v>5.37</v>
      </c>
      <c r="L314" s="81"/>
      <c r="M314" s="84">
        <v>5.37</v>
      </c>
      <c r="N314" s="115" t="s">
        <v>23</v>
      </c>
      <c r="O314" s="48"/>
      <c r="P314" s="49" t="str">
        <f t="shared" ref="P314:Q314" si="296">IF(J314="","",J314-L314)</f>
        <v/>
      </c>
      <c r="Q314" s="50">
        <f t="shared" si="296"/>
        <v>0</v>
      </c>
      <c r="R314" s="7"/>
      <c r="S314" s="7"/>
      <c r="T314" s="7"/>
      <c r="U314" s="7"/>
      <c r="V314" s="7"/>
      <c r="W314" s="7"/>
      <c r="X314" s="7"/>
      <c r="Y314" s="7"/>
      <c r="Z314" s="7"/>
      <c r="AA314" s="7" t="str">
        <f t="shared" si="297"/>
        <v/>
      </c>
      <c r="AB314" s="7" t="str">
        <f t="shared" si="298"/>
        <v/>
      </c>
      <c r="AC314" s="7"/>
      <c r="AD314" s="7"/>
      <c r="AE314" s="74" t="s">
        <v>466</v>
      </c>
      <c r="AF314" s="7"/>
      <c r="AG314" s="7"/>
      <c r="AH314" s="7"/>
      <c r="AI314" s="7"/>
      <c r="AJ314" s="7"/>
    </row>
    <row r="315">
      <c r="A315" s="107"/>
      <c r="B315" s="14"/>
      <c r="C315" s="41"/>
      <c r="D315" s="111">
        <v>46040.0</v>
      </c>
      <c r="E315" s="75" t="s">
        <v>267</v>
      </c>
      <c r="F315" s="104" t="s">
        <v>123</v>
      </c>
      <c r="G315" s="58" t="s">
        <v>91</v>
      </c>
      <c r="H315" s="58" t="s">
        <v>450</v>
      </c>
      <c r="I315" s="104" t="s">
        <v>99</v>
      </c>
      <c r="J315" s="76"/>
      <c r="K315" s="77">
        <v>5.39</v>
      </c>
      <c r="L315" s="76"/>
      <c r="M315" s="77">
        <v>5.39</v>
      </c>
      <c r="N315" s="116" t="s">
        <v>23</v>
      </c>
      <c r="O315" s="71"/>
      <c r="P315" s="49" t="str">
        <f t="shared" ref="P315:Q315" si="299">IF(J315="","",J315-L315)</f>
        <v/>
      </c>
      <c r="Q315" s="68">
        <f t="shared" si="299"/>
        <v>0</v>
      </c>
      <c r="R315" s="7"/>
      <c r="S315" s="7"/>
      <c r="T315" s="7"/>
      <c r="U315" s="7"/>
      <c r="V315" s="7"/>
      <c r="W315" s="7"/>
      <c r="X315" s="7"/>
      <c r="Y315" s="7"/>
      <c r="Z315" s="7"/>
      <c r="AA315" s="7" t="str">
        <f t="shared" si="297"/>
        <v/>
      </c>
      <c r="AB315" s="7" t="str">
        <f t="shared" si="298"/>
        <v/>
      </c>
      <c r="AC315" s="7"/>
      <c r="AD315" s="7"/>
      <c r="AE315" s="51" t="s">
        <v>467</v>
      </c>
      <c r="AF315" s="7"/>
      <c r="AG315" s="7"/>
      <c r="AH315" s="7"/>
      <c r="AI315" s="7"/>
      <c r="AJ315" s="7"/>
    </row>
    <row r="316">
      <c r="A316" s="107"/>
      <c r="B316" s="14"/>
      <c r="C316" s="41"/>
      <c r="D316" s="112">
        <v>46040.0</v>
      </c>
      <c r="E316" s="106" t="s">
        <v>269</v>
      </c>
      <c r="F316" s="87" t="s">
        <v>126</v>
      </c>
      <c r="G316" s="55" t="s">
        <v>91</v>
      </c>
      <c r="H316" s="55" t="s">
        <v>450</v>
      </c>
      <c r="I316" s="87" t="s">
        <v>99</v>
      </c>
      <c r="J316" s="81"/>
      <c r="K316" s="84">
        <v>10.78</v>
      </c>
      <c r="L316" s="81"/>
      <c r="M316" s="84">
        <v>10.78</v>
      </c>
      <c r="N316" s="115" t="s">
        <v>23</v>
      </c>
      <c r="O316" s="48"/>
      <c r="P316" s="49" t="str">
        <f t="shared" ref="P316:Q316" si="300">IF(J316="","",J316-L316)</f>
        <v/>
      </c>
      <c r="Q316" s="50">
        <f t="shared" si="300"/>
        <v>0</v>
      </c>
      <c r="R316" s="7"/>
      <c r="S316" s="7"/>
      <c r="T316" s="7"/>
      <c r="U316" s="7"/>
      <c r="V316" s="7"/>
      <c r="W316" s="7"/>
      <c r="X316" s="7"/>
      <c r="Y316" s="7"/>
      <c r="Z316" s="7"/>
      <c r="AA316" s="7" t="str">
        <f t="shared" si="297"/>
        <v/>
      </c>
      <c r="AB316" s="7" t="str">
        <f t="shared" si="298"/>
        <v/>
      </c>
      <c r="AC316" s="7"/>
      <c r="AD316" s="7"/>
      <c r="AE316" s="51" t="s">
        <v>468</v>
      </c>
      <c r="AF316" s="7"/>
      <c r="AG316" s="7"/>
      <c r="AH316" s="7"/>
      <c r="AI316" s="7"/>
      <c r="AJ316" s="7"/>
    </row>
    <row r="317">
      <c r="A317" s="138"/>
      <c r="B317" s="14"/>
      <c r="C317" s="41"/>
      <c r="D317" s="111">
        <v>46040.0</v>
      </c>
      <c r="E317" s="75" t="s">
        <v>57</v>
      </c>
      <c r="F317" s="104" t="s">
        <v>123</v>
      </c>
      <c r="G317" s="104" t="s">
        <v>91</v>
      </c>
      <c r="H317" s="58" t="s">
        <v>450</v>
      </c>
      <c r="I317" s="104" t="s">
        <v>309</v>
      </c>
      <c r="J317" s="76"/>
      <c r="K317" s="77">
        <v>4.89</v>
      </c>
      <c r="L317" s="76"/>
      <c r="M317" s="77">
        <v>4.89</v>
      </c>
      <c r="N317" s="116" t="s">
        <v>23</v>
      </c>
      <c r="O317" s="71"/>
      <c r="P317" s="49" t="str">
        <f t="shared" ref="P317:Q317" si="301">IF(J317="","",J317-L317)</f>
        <v/>
      </c>
      <c r="Q317" s="50">
        <f t="shared" si="301"/>
        <v>0</v>
      </c>
      <c r="R317" s="7"/>
      <c r="S317" s="7"/>
      <c r="T317" s="7"/>
      <c r="U317" s="7"/>
      <c r="V317" s="7"/>
      <c r="W317" s="7"/>
      <c r="X317" s="7"/>
      <c r="Y317" s="7"/>
      <c r="Z317" s="7"/>
      <c r="AA317" s="7" t="str">
        <f t="shared" si="297"/>
        <v/>
      </c>
      <c r="AB317" s="7" t="str">
        <f t="shared" si="298"/>
        <v/>
      </c>
      <c r="AC317" s="7"/>
      <c r="AD317" s="7"/>
      <c r="AE317" s="51" t="s">
        <v>469</v>
      </c>
      <c r="AF317" s="7"/>
      <c r="AG317" s="7"/>
      <c r="AH317" s="7"/>
      <c r="AI317" s="7"/>
      <c r="AJ317" s="7"/>
    </row>
    <row r="318">
      <c r="A318" s="40"/>
      <c r="B318" s="14"/>
      <c r="C318" s="41"/>
      <c r="D318" s="112">
        <v>46040.0</v>
      </c>
      <c r="E318" s="106" t="s">
        <v>240</v>
      </c>
      <c r="F318" s="87" t="s">
        <v>464</v>
      </c>
      <c r="G318" s="87" t="s">
        <v>44</v>
      </c>
      <c r="H318" s="55" t="s">
        <v>450</v>
      </c>
      <c r="I318" s="87" t="s">
        <v>99</v>
      </c>
      <c r="J318" s="81"/>
      <c r="K318" s="84">
        <v>6.87</v>
      </c>
      <c r="L318" s="81"/>
      <c r="M318" s="84">
        <v>6.87</v>
      </c>
      <c r="N318" s="115" t="s">
        <v>23</v>
      </c>
      <c r="O318" s="71"/>
      <c r="P318" s="49" t="str">
        <f t="shared" ref="P318:Q318" si="302">IF(J318="","",J318-L318)</f>
        <v/>
      </c>
      <c r="Q318" s="50">
        <f t="shared" si="302"/>
        <v>0</v>
      </c>
      <c r="R318" s="7"/>
      <c r="S318" s="7"/>
      <c r="T318" s="7"/>
      <c r="U318" s="7"/>
      <c r="V318" s="7"/>
      <c r="W318" s="7"/>
      <c r="X318" s="7"/>
      <c r="Y318" s="7"/>
      <c r="Z318" s="7"/>
      <c r="AA318" s="7" t="str">
        <f t="shared" si="297"/>
        <v/>
      </c>
      <c r="AB318" s="7" t="str">
        <f t="shared" si="298"/>
        <v/>
      </c>
      <c r="AC318" s="7"/>
      <c r="AD318" s="7"/>
      <c r="AE318" s="52" t="s">
        <v>470</v>
      </c>
      <c r="AF318" s="7"/>
      <c r="AG318" s="7"/>
      <c r="AH318" s="7"/>
      <c r="AI318" s="7"/>
      <c r="AJ318" s="7"/>
    </row>
    <row r="319">
      <c r="A319" s="40"/>
      <c r="B319" s="14"/>
      <c r="C319" s="41"/>
      <c r="D319" s="111">
        <v>46040.0</v>
      </c>
      <c r="E319" s="75" t="s">
        <v>256</v>
      </c>
      <c r="F319" s="104" t="s">
        <v>464</v>
      </c>
      <c r="G319" s="104" t="s">
        <v>44</v>
      </c>
      <c r="H319" s="58" t="s">
        <v>450</v>
      </c>
      <c r="I319" s="104" t="s">
        <v>99</v>
      </c>
      <c r="J319" s="76"/>
      <c r="K319" s="77">
        <v>14.25</v>
      </c>
      <c r="L319" s="76"/>
      <c r="M319" s="77">
        <v>14.25</v>
      </c>
      <c r="N319" s="116" t="s">
        <v>23</v>
      </c>
      <c r="O319" s="48"/>
      <c r="P319" s="49" t="str">
        <f t="shared" ref="P319:Q319" si="303">IF(J319="","",J319-L319)</f>
        <v/>
      </c>
      <c r="Q319" s="50">
        <f t="shared" si="303"/>
        <v>0</v>
      </c>
      <c r="R319" s="7"/>
      <c r="S319" s="7"/>
      <c r="T319" s="7"/>
      <c r="U319" s="7"/>
      <c r="V319" s="7"/>
      <c r="W319" s="7"/>
      <c r="X319" s="7"/>
      <c r="Y319" s="7"/>
      <c r="Z319" s="7"/>
      <c r="AA319" s="7" t="str">
        <f t="shared" si="297"/>
        <v/>
      </c>
      <c r="AB319" s="7" t="str">
        <f t="shared" si="298"/>
        <v/>
      </c>
      <c r="AC319" s="7"/>
      <c r="AD319" s="7"/>
      <c r="AE319" s="74" t="s">
        <v>471</v>
      </c>
      <c r="AF319" s="7"/>
      <c r="AG319" s="7"/>
      <c r="AH319" s="7"/>
      <c r="AI319" s="7"/>
      <c r="AJ319" s="7"/>
    </row>
    <row r="320">
      <c r="A320" s="40"/>
      <c r="B320" s="14"/>
      <c r="C320" s="41"/>
      <c r="D320" s="112">
        <v>46040.0</v>
      </c>
      <c r="E320" s="106" t="s">
        <v>155</v>
      </c>
      <c r="F320" s="87" t="s">
        <v>123</v>
      </c>
      <c r="G320" s="87" t="s">
        <v>91</v>
      </c>
      <c r="H320" s="55" t="s">
        <v>450</v>
      </c>
      <c r="I320" s="87" t="s">
        <v>99</v>
      </c>
      <c r="J320" s="81"/>
      <c r="K320" s="84">
        <v>15.49</v>
      </c>
      <c r="L320" s="81"/>
      <c r="M320" s="84">
        <v>15.49</v>
      </c>
      <c r="N320" s="115" t="s">
        <v>23</v>
      </c>
      <c r="O320" s="71"/>
      <c r="P320" s="49" t="str">
        <f t="shared" ref="P320:Q320" si="304">IF(J320="","",J320-L320)</f>
        <v/>
      </c>
      <c r="Q320" s="50">
        <f t="shared" si="304"/>
        <v>0</v>
      </c>
      <c r="R320" s="7"/>
      <c r="S320" s="7"/>
      <c r="T320" s="7"/>
      <c r="U320" s="7"/>
      <c r="V320" s="7"/>
      <c r="W320" s="7"/>
      <c r="X320" s="7"/>
      <c r="Y320" s="7"/>
      <c r="Z320" s="7"/>
      <c r="AA320" s="7" t="str">
        <f t="shared" si="297"/>
        <v/>
      </c>
      <c r="AB320" s="7" t="str">
        <f t="shared" si="298"/>
        <v/>
      </c>
      <c r="AC320" s="7"/>
      <c r="AD320" s="7"/>
      <c r="AE320" s="51" t="s">
        <v>472</v>
      </c>
      <c r="AF320" s="7"/>
      <c r="AG320" s="7"/>
      <c r="AH320" s="7"/>
      <c r="AI320" s="7"/>
      <c r="AJ320" s="7"/>
    </row>
    <row r="321">
      <c r="A321" s="40"/>
      <c r="B321" s="14"/>
      <c r="C321" s="41"/>
      <c r="D321" s="111">
        <v>46040.0</v>
      </c>
      <c r="E321" s="43" t="s">
        <v>286</v>
      </c>
      <c r="F321" s="104" t="s">
        <v>418</v>
      </c>
      <c r="G321" s="104" t="s">
        <v>91</v>
      </c>
      <c r="H321" s="58" t="s">
        <v>450</v>
      </c>
      <c r="I321" s="104" t="s">
        <v>473</v>
      </c>
      <c r="J321" s="76"/>
      <c r="K321" s="77">
        <v>17.43</v>
      </c>
      <c r="L321" s="76"/>
      <c r="M321" s="77">
        <v>17.43</v>
      </c>
      <c r="N321" s="116" t="s">
        <v>23</v>
      </c>
      <c r="O321" s="48"/>
      <c r="P321" s="49" t="str">
        <f t="shared" ref="P321:Q321" si="305">IF(J321="","",J321-L321)</f>
        <v/>
      </c>
      <c r="Q321" s="50">
        <f t="shared" si="305"/>
        <v>0</v>
      </c>
      <c r="R321" s="7"/>
      <c r="S321" s="7"/>
      <c r="T321" s="7"/>
      <c r="U321" s="7"/>
      <c r="V321" s="7"/>
      <c r="W321" s="7"/>
      <c r="X321" s="7"/>
      <c r="Y321" s="7"/>
      <c r="Z321" s="7"/>
      <c r="AA321" s="7" t="str">
        <f t="shared" si="297"/>
        <v/>
      </c>
      <c r="AB321" s="7" t="str">
        <f t="shared" si="298"/>
        <v/>
      </c>
      <c r="AC321" s="7"/>
      <c r="AD321" s="7"/>
      <c r="AE321" s="51" t="s">
        <v>474</v>
      </c>
      <c r="AF321" s="7"/>
      <c r="AG321" s="7"/>
      <c r="AH321" s="7"/>
      <c r="AI321" s="7"/>
      <c r="AJ321" s="7"/>
    </row>
    <row r="322">
      <c r="A322" s="40"/>
      <c r="B322" s="14"/>
      <c r="C322" s="41"/>
      <c r="D322" s="112">
        <v>46040.0</v>
      </c>
      <c r="E322" s="106" t="s">
        <v>169</v>
      </c>
      <c r="F322" s="87" t="s">
        <v>170</v>
      </c>
      <c r="G322" s="87" t="s">
        <v>91</v>
      </c>
      <c r="H322" s="55" t="s">
        <v>450</v>
      </c>
      <c r="I322" s="87" t="s">
        <v>453</v>
      </c>
      <c r="J322" s="81"/>
      <c r="K322" s="84">
        <v>25.08</v>
      </c>
      <c r="L322" s="81"/>
      <c r="M322" s="84">
        <v>25.08</v>
      </c>
      <c r="N322" s="115" t="s">
        <v>23</v>
      </c>
      <c r="O322" s="71"/>
      <c r="P322" s="49" t="str">
        <f t="shared" ref="P322:Q322" si="306">IF(J322="","",J322-L322)</f>
        <v/>
      </c>
      <c r="Q322" s="50">
        <f t="shared" si="306"/>
        <v>0</v>
      </c>
      <c r="R322" s="7"/>
      <c r="S322" s="7"/>
      <c r="T322" s="7"/>
      <c r="U322" s="7"/>
      <c r="V322" s="7"/>
      <c r="W322" s="7"/>
      <c r="X322" s="7"/>
      <c r="Y322" s="7"/>
      <c r="Z322" s="7"/>
      <c r="AA322" s="7" t="str">
        <f t="shared" si="297"/>
        <v/>
      </c>
      <c r="AB322" s="7" t="str">
        <f t="shared" si="298"/>
        <v/>
      </c>
      <c r="AC322" s="7"/>
      <c r="AD322" s="7"/>
      <c r="AE322" s="52" t="s">
        <v>475</v>
      </c>
      <c r="AF322" s="7"/>
      <c r="AG322" s="7"/>
      <c r="AH322" s="7"/>
      <c r="AI322" s="7"/>
      <c r="AJ322" s="7"/>
    </row>
    <row r="323">
      <c r="A323" s="40"/>
      <c r="B323" s="14"/>
      <c r="C323" s="41"/>
      <c r="D323" s="111">
        <v>46040.0</v>
      </c>
      <c r="E323" s="75" t="s">
        <v>157</v>
      </c>
      <c r="F323" s="104" t="s">
        <v>180</v>
      </c>
      <c r="G323" s="104" t="s">
        <v>91</v>
      </c>
      <c r="H323" s="58" t="s">
        <v>450</v>
      </c>
      <c r="I323" s="104" t="s">
        <v>473</v>
      </c>
      <c r="J323" s="76"/>
      <c r="K323" s="77">
        <v>17.94</v>
      </c>
      <c r="L323" s="76"/>
      <c r="M323" s="77">
        <v>17.94</v>
      </c>
      <c r="N323" s="116" t="s">
        <v>23</v>
      </c>
      <c r="O323" s="48"/>
      <c r="P323" s="49"/>
      <c r="Q323" s="68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67" t="s">
        <v>476</v>
      </c>
      <c r="AF323" s="7"/>
      <c r="AG323" s="7"/>
      <c r="AH323" s="7"/>
      <c r="AI323" s="7"/>
      <c r="AJ323" s="7"/>
    </row>
    <row r="324">
      <c r="A324" s="40"/>
      <c r="B324" s="14"/>
      <c r="C324" s="41"/>
      <c r="D324" s="112">
        <v>46040.0</v>
      </c>
      <c r="E324" s="106" t="s">
        <v>182</v>
      </c>
      <c r="F324" s="87" t="s">
        <v>170</v>
      </c>
      <c r="G324" s="87" t="s">
        <v>91</v>
      </c>
      <c r="H324" s="55" t="s">
        <v>450</v>
      </c>
      <c r="I324" s="87" t="s">
        <v>473</v>
      </c>
      <c r="J324" s="81"/>
      <c r="K324" s="84">
        <v>22.68</v>
      </c>
      <c r="L324" s="81"/>
      <c r="M324" s="84">
        <v>22.68</v>
      </c>
      <c r="N324" s="115" t="s">
        <v>23</v>
      </c>
      <c r="O324" s="48"/>
      <c r="P324" s="49" t="str">
        <f t="shared" ref="P324:Q324" si="307">IF(J324="","",J324-L324)</f>
        <v/>
      </c>
      <c r="Q324" s="50">
        <f t="shared" si="307"/>
        <v>0</v>
      </c>
      <c r="R324" s="7"/>
      <c r="S324" s="7"/>
      <c r="T324" s="7"/>
      <c r="U324" s="7"/>
      <c r="V324" s="7"/>
      <c r="W324" s="7"/>
      <c r="X324" s="7"/>
      <c r="Y324" s="7"/>
      <c r="Z324" s="7"/>
      <c r="AA324" s="7" t="str">
        <f t="shared" ref="AA324:AA331" si="309">IF(K324=0,"",IF(AND(K324&gt;0,K324&gt;M324),K324-M324,""))</f>
        <v/>
      </c>
      <c r="AB324" s="7" t="str">
        <f t="shared" ref="AB324:AB331" si="310">IF(J324=0,"",IF(AND(J324&gt;0,J324&gt;L324),J324-L324,""))</f>
        <v/>
      </c>
      <c r="AC324" s="7"/>
      <c r="AD324" s="7"/>
      <c r="AE324" s="74" t="s">
        <v>477</v>
      </c>
      <c r="AF324" s="7"/>
      <c r="AG324" s="7"/>
      <c r="AH324" s="7"/>
      <c r="AI324" s="7"/>
      <c r="AJ324" s="7"/>
    </row>
    <row r="325">
      <c r="A325" s="40"/>
      <c r="B325" s="14"/>
      <c r="C325" s="41"/>
      <c r="D325" s="111">
        <v>46040.0</v>
      </c>
      <c r="E325" s="75" t="s">
        <v>185</v>
      </c>
      <c r="F325" s="104" t="s">
        <v>170</v>
      </c>
      <c r="G325" s="104" t="s">
        <v>91</v>
      </c>
      <c r="H325" s="58" t="s">
        <v>450</v>
      </c>
      <c r="I325" s="44" t="s">
        <v>473</v>
      </c>
      <c r="J325" s="76"/>
      <c r="K325" s="77">
        <v>59.4</v>
      </c>
      <c r="L325" s="76"/>
      <c r="M325" s="77">
        <v>59.4</v>
      </c>
      <c r="N325" s="116" t="s">
        <v>23</v>
      </c>
      <c r="O325" s="71"/>
      <c r="P325" s="49" t="str">
        <f t="shared" ref="P325:Q325" si="308">IF(J325="","",J325-L325)</f>
        <v/>
      </c>
      <c r="Q325" s="50">
        <f t="shared" si="308"/>
        <v>0</v>
      </c>
      <c r="R325" s="7"/>
      <c r="S325" s="7"/>
      <c r="T325" s="7"/>
      <c r="U325" s="7"/>
      <c r="V325" s="7"/>
      <c r="W325" s="7"/>
      <c r="X325" s="7"/>
      <c r="Y325" s="7"/>
      <c r="Z325" s="7"/>
      <c r="AA325" s="7" t="str">
        <f t="shared" si="309"/>
        <v/>
      </c>
      <c r="AB325" s="7" t="str">
        <f t="shared" si="310"/>
        <v/>
      </c>
      <c r="AC325" s="7"/>
      <c r="AD325" s="7"/>
      <c r="AE325" s="51" t="s">
        <v>478</v>
      </c>
      <c r="AF325" s="7"/>
      <c r="AG325" s="7"/>
      <c r="AH325" s="7"/>
      <c r="AI325" s="7"/>
      <c r="AJ325" s="7"/>
    </row>
    <row r="326">
      <c r="A326" s="40"/>
      <c r="B326" s="14"/>
      <c r="C326" s="41"/>
      <c r="D326" s="112">
        <v>46040.0</v>
      </c>
      <c r="E326" s="106" t="s">
        <v>284</v>
      </c>
      <c r="F326" s="87" t="s">
        <v>170</v>
      </c>
      <c r="G326" s="87" t="s">
        <v>91</v>
      </c>
      <c r="H326" s="55" t="s">
        <v>450</v>
      </c>
      <c r="I326" s="87" t="s">
        <v>473</v>
      </c>
      <c r="J326" s="81"/>
      <c r="K326" s="84">
        <v>53.88</v>
      </c>
      <c r="L326" s="81"/>
      <c r="M326" s="84">
        <v>53.88</v>
      </c>
      <c r="N326" s="115" t="s">
        <v>23</v>
      </c>
      <c r="O326" s="48"/>
      <c r="P326" s="49" t="str">
        <f t="shared" ref="P326:Q326" si="311">IF(J326="","",J326-L326)</f>
        <v/>
      </c>
      <c r="Q326" s="50">
        <f t="shared" si="311"/>
        <v>0</v>
      </c>
      <c r="R326" s="7"/>
      <c r="S326" s="7"/>
      <c r="T326" s="7"/>
      <c r="U326" s="7"/>
      <c r="V326" s="7"/>
      <c r="W326" s="7"/>
      <c r="X326" s="7"/>
      <c r="Y326" s="7"/>
      <c r="Z326" s="7"/>
      <c r="AA326" s="7" t="str">
        <f t="shared" si="309"/>
        <v/>
      </c>
      <c r="AB326" s="7" t="str">
        <f t="shared" si="310"/>
        <v/>
      </c>
      <c r="AC326" s="7"/>
      <c r="AD326" s="7"/>
      <c r="AE326" s="52" t="s">
        <v>335</v>
      </c>
      <c r="AF326" s="7"/>
      <c r="AG326" s="7"/>
      <c r="AH326" s="7"/>
      <c r="AI326" s="7"/>
      <c r="AJ326" s="7"/>
    </row>
    <row r="327">
      <c r="A327" s="40"/>
      <c r="B327" s="14"/>
      <c r="C327" s="41"/>
      <c r="D327" s="111">
        <v>46040.0</v>
      </c>
      <c r="E327" s="43" t="s">
        <v>144</v>
      </c>
      <c r="F327" s="104" t="s">
        <v>117</v>
      </c>
      <c r="G327" s="104" t="s">
        <v>44</v>
      </c>
      <c r="H327" s="58" t="s">
        <v>450</v>
      </c>
      <c r="I327" s="104" t="s">
        <v>99</v>
      </c>
      <c r="J327" s="76"/>
      <c r="K327" s="77">
        <v>64.0</v>
      </c>
      <c r="L327" s="76"/>
      <c r="M327" s="77">
        <v>64.0</v>
      </c>
      <c r="N327" s="116" t="s">
        <v>23</v>
      </c>
      <c r="O327" s="71"/>
      <c r="P327" s="49" t="str">
        <f t="shared" ref="P327:Q327" si="312">IF(J327="","",J327-L327)</f>
        <v/>
      </c>
      <c r="Q327" s="50">
        <f t="shared" si="312"/>
        <v>0</v>
      </c>
      <c r="R327" s="7"/>
      <c r="S327" s="7"/>
      <c r="T327" s="7"/>
      <c r="U327" s="7"/>
      <c r="V327" s="7"/>
      <c r="W327" s="7"/>
      <c r="X327" s="7"/>
      <c r="Y327" s="7"/>
      <c r="Z327" s="7"/>
      <c r="AA327" s="7" t="str">
        <f t="shared" si="309"/>
        <v/>
      </c>
      <c r="AB327" s="7" t="str">
        <f t="shared" si="310"/>
        <v/>
      </c>
      <c r="AC327" s="7"/>
      <c r="AD327" s="7"/>
      <c r="AE327" s="51" t="s">
        <v>479</v>
      </c>
      <c r="AF327" s="7"/>
      <c r="AG327" s="7"/>
      <c r="AH327" s="7"/>
      <c r="AI327" s="7"/>
      <c r="AJ327" s="7"/>
    </row>
    <row r="328">
      <c r="A328" s="40"/>
      <c r="B328" s="14"/>
      <c r="C328" s="41"/>
      <c r="D328" s="112">
        <v>46040.0</v>
      </c>
      <c r="E328" s="106" t="s">
        <v>156</v>
      </c>
      <c r="F328" s="87" t="s">
        <v>174</v>
      </c>
      <c r="G328" s="87" t="s">
        <v>298</v>
      </c>
      <c r="H328" s="55" t="s">
        <v>450</v>
      </c>
      <c r="I328" s="87" t="s">
        <v>99</v>
      </c>
      <c r="J328" s="81"/>
      <c r="K328" s="84">
        <v>210.96</v>
      </c>
      <c r="L328" s="81"/>
      <c r="M328" s="84">
        <v>210.96</v>
      </c>
      <c r="N328" s="115" t="s">
        <v>23</v>
      </c>
      <c r="O328" s="71"/>
      <c r="P328" s="49" t="str">
        <f t="shared" ref="P328:Q328" si="313">IF(J328="","",J328-L328)</f>
        <v/>
      </c>
      <c r="Q328" s="50">
        <f t="shared" si="313"/>
        <v>0</v>
      </c>
      <c r="R328" s="7"/>
      <c r="S328" s="7"/>
      <c r="T328" s="7"/>
      <c r="U328" s="7"/>
      <c r="V328" s="7"/>
      <c r="W328" s="7"/>
      <c r="X328" s="7"/>
      <c r="Y328" s="7"/>
      <c r="Z328" s="7"/>
      <c r="AA328" s="7" t="str">
        <f t="shared" si="309"/>
        <v/>
      </c>
      <c r="AB328" s="7" t="str">
        <f t="shared" si="310"/>
        <v/>
      </c>
      <c r="AC328" s="7"/>
      <c r="AD328" s="7"/>
      <c r="AE328" s="74" t="s">
        <v>480</v>
      </c>
      <c r="AF328" s="139"/>
      <c r="AG328" s="7"/>
      <c r="AH328" s="7"/>
      <c r="AI328" s="7"/>
      <c r="AJ328" s="7"/>
    </row>
    <row r="329">
      <c r="A329" s="40"/>
      <c r="B329" s="14"/>
      <c r="C329" s="41"/>
      <c r="D329" s="111">
        <v>46040.0</v>
      </c>
      <c r="E329" s="75" t="s">
        <v>141</v>
      </c>
      <c r="F329" s="44" t="s">
        <v>163</v>
      </c>
      <c r="G329" s="44" t="s">
        <v>44</v>
      </c>
      <c r="H329" s="58" t="s">
        <v>450</v>
      </c>
      <c r="I329" s="44" t="s">
        <v>99</v>
      </c>
      <c r="J329" s="76"/>
      <c r="K329" s="77">
        <v>31.9</v>
      </c>
      <c r="L329" s="76"/>
      <c r="M329" s="77">
        <v>31.9</v>
      </c>
      <c r="N329" s="116" t="s">
        <v>23</v>
      </c>
      <c r="O329" s="48"/>
      <c r="P329" s="79" t="str">
        <f t="shared" ref="P329:Q329" si="314">IF(J329="","",J329-L329)</f>
        <v/>
      </c>
      <c r="Q329" s="68">
        <f t="shared" si="314"/>
        <v>0</v>
      </c>
      <c r="R329" s="7"/>
      <c r="S329" s="7"/>
      <c r="T329" s="7"/>
      <c r="U329" s="7"/>
      <c r="V329" s="7"/>
      <c r="W329" s="7"/>
      <c r="X329" s="7"/>
      <c r="Y329" s="7"/>
      <c r="Z329" s="7"/>
      <c r="AA329" s="7" t="str">
        <f t="shared" si="309"/>
        <v/>
      </c>
      <c r="AB329" s="7" t="str">
        <f t="shared" si="310"/>
        <v/>
      </c>
      <c r="AC329" s="7"/>
      <c r="AD329" s="7"/>
      <c r="AE329" s="74" t="s">
        <v>481</v>
      </c>
      <c r="AF329" s="139"/>
      <c r="AG329" s="7"/>
      <c r="AH329" s="7"/>
      <c r="AI329" s="7"/>
      <c r="AJ329" s="7"/>
    </row>
    <row r="330">
      <c r="A330" s="40"/>
      <c r="B330" s="14"/>
      <c r="C330" s="41"/>
      <c r="D330" s="112">
        <v>46040.0</v>
      </c>
      <c r="E330" s="80" t="s">
        <v>165</v>
      </c>
      <c r="F330" s="55" t="s">
        <v>172</v>
      </c>
      <c r="G330" s="55" t="s">
        <v>91</v>
      </c>
      <c r="H330" s="55" t="s">
        <v>450</v>
      </c>
      <c r="I330" s="55" t="s">
        <v>99</v>
      </c>
      <c r="J330" s="81"/>
      <c r="K330" s="84">
        <v>55.35</v>
      </c>
      <c r="L330" s="81"/>
      <c r="M330" s="84">
        <v>55.35</v>
      </c>
      <c r="N330" s="115" t="s">
        <v>23</v>
      </c>
      <c r="O330" s="48"/>
      <c r="P330" s="79" t="str">
        <f t="shared" ref="P330:Q330" si="315">IF(J330="","",J330-L330)</f>
        <v/>
      </c>
      <c r="Q330" s="68">
        <f t="shared" si="315"/>
        <v>0</v>
      </c>
      <c r="R330" s="7"/>
      <c r="S330" s="7"/>
      <c r="T330" s="7"/>
      <c r="U330" s="7"/>
      <c r="V330" s="7"/>
      <c r="W330" s="7"/>
      <c r="X330" s="7"/>
      <c r="Y330" s="7"/>
      <c r="Z330" s="7"/>
      <c r="AA330" s="7" t="str">
        <f t="shared" si="309"/>
        <v/>
      </c>
      <c r="AB330" s="7" t="str">
        <f t="shared" si="310"/>
        <v/>
      </c>
      <c r="AC330" s="7"/>
      <c r="AD330" s="7"/>
      <c r="AE330" s="51" t="s">
        <v>482</v>
      </c>
      <c r="AF330" s="7"/>
      <c r="AG330" s="7"/>
      <c r="AH330" s="7"/>
      <c r="AI330" s="7"/>
      <c r="AJ330" s="7"/>
    </row>
    <row r="331">
      <c r="A331" s="40"/>
      <c r="B331" s="14"/>
      <c r="C331" s="41"/>
      <c r="D331" s="111">
        <v>46040.0</v>
      </c>
      <c r="E331" s="83" t="s">
        <v>159</v>
      </c>
      <c r="F331" s="58" t="s">
        <v>170</v>
      </c>
      <c r="G331" s="58" t="s">
        <v>298</v>
      </c>
      <c r="H331" s="58" t="s">
        <v>450</v>
      </c>
      <c r="I331" s="58" t="s">
        <v>99</v>
      </c>
      <c r="J331" s="76"/>
      <c r="K331" s="77">
        <v>16.68</v>
      </c>
      <c r="L331" s="76"/>
      <c r="M331" s="77">
        <v>16.68</v>
      </c>
      <c r="N331" s="116" t="s">
        <v>23</v>
      </c>
      <c r="O331" s="71"/>
      <c r="P331" s="79" t="str">
        <f t="shared" ref="P331:Q331" si="316">IF(J331="","",J331-L331)</f>
        <v/>
      </c>
      <c r="Q331" s="68">
        <f t="shared" si="316"/>
        <v>0</v>
      </c>
      <c r="R331" s="7"/>
      <c r="S331" s="7"/>
      <c r="T331" s="7"/>
      <c r="U331" s="7"/>
      <c r="V331" s="7"/>
      <c r="W331" s="7"/>
      <c r="X331" s="7"/>
      <c r="Y331" s="7"/>
      <c r="Z331" s="7"/>
      <c r="AA331" s="7" t="str">
        <f t="shared" si="309"/>
        <v/>
      </c>
      <c r="AB331" s="7" t="str">
        <f t="shared" si="310"/>
        <v/>
      </c>
      <c r="AC331" s="7"/>
      <c r="AD331" s="7"/>
      <c r="AE331" s="51" t="s">
        <v>483</v>
      </c>
      <c r="AF331" s="7"/>
      <c r="AG331" s="7"/>
      <c r="AH331" s="7"/>
      <c r="AI331" s="7"/>
      <c r="AJ331" s="7"/>
    </row>
    <row r="332">
      <c r="A332" s="40"/>
      <c r="B332" s="14"/>
      <c r="C332" s="41"/>
      <c r="D332" s="112">
        <v>46040.0</v>
      </c>
      <c r="E332" s="80" t="s">
        <v>130</v>
      </c>
      <c r="F332" s="55" t="s">
        <v>97</v>
      </c>
      <c r="G332" s="55" t="s">
        <v>44</v>
      </c>
      <c r="H332" s="55" t="s">
        <v>450</v>
      </c>
      <c r="I332" s="55" t="s">
        <v>99</v>
      </c>
      <c r="J332" s="81"/>
      <c r="K332" s="84">
        <v>104.7</v>
      </c>
      <c r="L332" s="81"/>
      <c r="M332" s="84">
        <v>104.7</v>
      </c>
      <c r="N332" s="115" t="s">
        <v>23</v>
      </c>
      <c r="O332" s="71"/>
      <c r="P332" s="49"/>
      <c r="Q332" s="68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51" t="s">
        <v>484</v>
      </c>
      <c r="AF332" s="7"/>
      <c r="AG332" s="7"/>
      <c r="AH332" s="7"/>
      <c r="AI332" s="7"/>
      <c r="AJ332" s="7"/>
    </row>
    <row r="333">
      <c r="A333" s="40"/>
      <c r="B333" s="14"/>
      <c r="C333" s="41"/>
      <c r="D333" s="111">
        <v>46040.0</v>
      </c>
      <c r="E333" s="83" t="s">
        <v>135</v>
      </c>
      <c r="F333" s="58" t="s">
        <v>163</v>
      </c>
      <c r="G333" s="58" t="s">
        <v>44</v>
      </c>
      <c r="H333" s="58" t="s">
        <v>450</v>
      </c>
      <c r="I333" s="58" t="s">
        <v>99</v>
      </c>
      <c r="J333" s="76"/>
      <c r="K333" s="77">
        <v>49.9</v>
      </c>
      <c r="L333" s="76"/>
      <c r="M333" s="77">
        <v>49.9</v>
      </c>
      <c r="N333" s="116" t="s">
        <v>23</v>
      </c>
      <c r="O333" s="71"/>
      <c r="P333" s="49"/>
      <c r="Q333" s="68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51" t="s">
        <v>485</v>
      </c>
      <c r="AF333" s="7"/>
      <c r="AG333" s="7"/>
      <c r="AH333" s="7"/>
      <c r="AI333" s="7"/>
      <c r="AJ333" s="7"/>
    </row>
    <row r="334">
      <c r="A334" s="40"/>
      <c r="B334" s="14"/>
      <c r="C334" s="41"/>
      <c r="D334" s="112">
        <v>46040.0</v>
      </c>
      <c r="E334" s="54" t="s">
        <v>128</v>
      </c>
      <c r="F334" s="87" t="s">
        <v>486</v>
      </c>
      <c r="G334" s="88" t="s">
        <v>98</v>
      </c>
      <c r="H334" s="55" t="s">
        <v>450</v>
      </c>
      <c r="I334" s="88" t="s">
        <v>99</v>
      </c>
      <c r="J334" s="81"/>
      <c r="K334" s="84">
        <v>137.6</v>
      </c>
      <c r="L334" s="81"/>
      <c r="M334" s="84">
        <v>137.6</v>
      </c>
      <c r="N334" s="115" t="s">
        <v>23</v>
      </c>
      <c r="O334" s="71"/>
      <c r="P334" s="49"/>
      <c r="Q334" s="68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52" t="s">
        <v>487</v>
      </c>
      <c r="AF334" s="7"/>
      <c r="AG334" s="7"/>
      <c r="AH334" s="7"/>
      <c r="AI334" s="7"/>
      <c r="AJ334" s="7"/>
    </row>
    <row r="335">
      <c r="A335" s="40"/>
      <c r="B335" s="14"/>
      <c r="C335" s="41"/>
      <c r="D335" s="111">
        <v>46040.0</v>
      </c>
      <c r="E335" s="75" t="s">
        <v>149</v>
      </c>
      <c r="F335" s="44" t="s">
        <v>123</v>
      </c>
      <c r="G335" s="44" t="s">
        <v>44</v>
      </c>
      <c r="H335" s="58" t="s">
        <v>450</v>
      </c>
      <c r="I335" s="44" t="s">
        <v>99</v>
      </c>
      <c r="J335" s="76"/>
      <c r="K335" s="77">
        <v>3.65</v>
      </c>
      <c r="L335" s="76"/>
      <c r="M335" s="77">
        <v>3.65</v>
      </c>
      <c r="N335" s="116" t="s">
        <v>23</v>
      </c>
      <c r="O335" s="71"/>
      <c r="P335" s="49"/>
      <c r="Q335" s="68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4" t="s">
        <v>488</v>
      </c>
      <c r="AF335" s="7"/>
      <c r="AG335" s="7"/>
      <c r="AH335" s="7"/>
      <c r="AI335" s="7"/>
      <c r="AJ335" s="7"/>
    </row>
    <row r="336">
      <c r="A336" s="40"/>
      <c r="B336" s="14"/>
      <c r="C336" s="41"/>
      <c r="D336" s="112">
        <v>46040.0</v>
      </c>
      <c r="E336" s="80" t="s">
        <v>132</v>
      </c>
      <c r="F336" s="55" t="s">
        <v>163</v>
      </c>
      <c r="G336" s="55" t="s">
        <v>44</v>
      </c>
      <c r="H336" s="55" t="s">
        <v>450</v>
      </c>
      <c r="I336" s="55" t="s">
        <v>99</v>
      </c>
      <c r="J336" s="81"/>
      <c r="K336" s="84">
        <v>53.9</v>
      </c>
      <c r="L336" s="81"/>
      <c r="M336" s="84">
        <v>53.9</v>
      </c>
      <c r="N336" s="115" t="s">
        <v>23</v>
      </c>
      <c r="O336" s="71"/>
      <c r="P336" s="79" t="str">
        <f t="shared" ref="P336:Q336" si="317">IF(J336="","",J336-L336)</f>
        <v/>
      </c>
      <c r="Q336" s="68">
        <f t="shared" si="317"/>
        <v>0</v>
      </c>
      <c r="R336" s="7"/>
      <c r="S336" s="7"/>
      <c r="T336" s="7"/>
      <c r="U336" s="7"/>
      <c r="V336" s="7"/>
      <c r="W336" s="7"/>
      <c r="X336" s="7"/>
      <c r="Y336" s="7"/>
      <c r="Z336" s="7"/>
      <c r="AA336" s="7" t="str">
        <f t="shared" ref="AA336:AA426" si="319">IF(K336=0,"",IF(AND(K336&gt;0,K336&gt;M336),K336-M336,""))</f>
        <v/>
      </c>
      <c r="AB336" s="7" t="str">
        <f t="shared" ref="AB336:AB426" si="320">IF(J336=0,"",IF(AND(J336&gt;0,J336&gt;L336),J336-L336,""))</f>
        <v/>
      </c>
      <c r="AC336" s="7"/>
      <c r="AD336" s="7"/>
      <c r="AE336" s="51" t="s">
        <v>489</v>
      </c>
      <c r="AF336" s="7"/>
      <c r="AG336" s="7"/>
      <c r="AH336" s="7"/>
      <c r="AI336" s="7"/>
      <c r="AJ336" s="7"/>
    </row>
    <row r="337">
      <c r="A337" s="40"/>
      <c r="B337" s="14"/>
      <c r="C337" s="41"/>
      <c r="D337" s="111">
        <v>46040.0</v>
      </c>
      <c r="E337" s="83" t="s">
        <v>146</v>
      </c>
      <c r="F337" s="58" t="s">
        <v>148</v>
      </c>
      <c r="G337" s="58" t="s">
        <v>98</v>
      </c>
      <c r="H337" s="58" t="s">
        <v>450</v>
      </c>
      <c r="I337" s="58" t="s">
        <v>99</v>
      </c>
      <c r="J337" s="77"/>
      <c r="K337" s="77">
        <v>20.97</v>
      </c>
      <c r="L337" s="76"/>
      <c r="M337" s="77">
        <v>20.97</v>
      </c>
      <c r="N337" s="116" t="s">
        <v>23</v>
      </c>
      <c r="O337" s="48"/>
      <c r="P337" s="79" t="str">
        <f t="shared" ref="P337:Q337" si="318">IF(J337="","",J337-L337)</f>
        <v/>
      </c>
      <c r="Q337" s="68">
        <f t="shared" si="318"/>
        <v>0</v>
      </c>
      <c r="R337" s="7"/>
      <c r="S337" s="7"/>
      <c r="T337" s="7"/>
      <c r="U337" s="7"/>
      <c r="V337" s="7"/>
      <c r="W337" s="7"/>
      <c r="X337" s="7"/>
      <c r="Y337" s="7"/>
      <c r="Z337" s="7"/>
      <c r="AA337" s="7" t="str">
        <f t="shared" si="319"/>
        <v/>
      </c>
      <c r="AB337" s="7" t="str">
        <f t="shared" si="320"/>
        <v/>
      </c>
      <c r="AC337" s="7"/>
      <c r="AD337" s="7"/>
      <c r="AE337" s="51" t="s">
        <v>490</v>
      </c>
      <c r="AF337" s="7"/>
      <c r="AG337" s="7"/>
      <c r="AH337" s="7"/>
      <c r="AI337" s="7"/>
      <c r="AJ337" s="7"/>
    </row>
    <row r="338">
      <c r="A338" s="40"/>
      <c r="B338" s="14"/>
      <c r="C338" s="41"/>
      <c r="D338" s="112">
        <v>46041.0</v>
      </c>
      <c r="E338" s="80" t="s">
        <v>362</v>
      </c>
      <c r="F338" s="55" t="s">
        <v>491</v>
      </c>
      <c r="G338" s="55" t="s">
        <v>492</v>
      </c>
      <c r="H338" s="55" t="s">
        <v>364</v>
      </c>
      <c r="I338" s="55" t="s">
        <v>493</v>
      </c>
      <c r="J338" s="81"/>
      <c r="K338" s="84">
        <v>33.36</v>
      </c>
      <c r="L338" s="81"/>
      <c r="M338" s="84">
        <v>33.36</v>
      </c>
      <c r="N338" s="115" t="s">
        <v>28</v>
      </c>
      <c r="O338" s="48"/>
      <c r="P338" s="79" t="str">
        <f t="shared" ref="P338:Q338" si="321">IF(J338="","",J338-L338)</f>
        <v/>
      </c>
      <c r="Q338" s="68">
        <f t="shared" si="321"/>
        <v>0</v>
      </c>
      <c r="R338" s="7"/>
      <c r="S338" s="7"/>
      <c r="T338" s="7"/>
      <c r="U338" s="7"/>
      <c r="V338" s="7"/>
      <c r="W338" s="7"/>
      <c r="X338" s="7"/>
      <c r="Y338" s="7"/>
      <c r="Z338" s="7"/>
      <c r="AA338" s="7" t="str">
        <f t="shared" si="319"/>
        <v/>
      </c>
      <c r="AB338" s="7" t="str">
        <f t="shared" si="320"/>
        <v/>
      </c>
      <c r="AC338" s="7"/>
      <c r="AD338" s="7"/>
      <c r="AE338" s="51" t="s">
        <v>494</v>
      </c>
      <c r="AF338" s="7"/>
      <c r="AG338" s="7"/>
      <c r="AH338" s="7"/>
      <c r="AI338" s="7"/>
      <c r="AJ338" s="7"/>
    </row>
    <row r="339">
      <c r="A339" s="40"/>
      <c r="B339" s="14"/>
      <c r="C339" s="41"/>
      <c r="D339" s="111">
        <v>46041.0</v>
      </c>
      <c r="E339" s="43" t="s">
        <v>19</v>
      </c>
      <c r="F339" s="44" t="s">
        <v>20</v>
      </c>
      <c r="G339" s="44" t="s">
        <v>20</v>
      </c>
      <c r="H339" s="44" t="s">
        <v>21</v>
      </c>
      <c r="I339" s="44" t="s">
        <v>22</v>
      </c>
      <c r="J339" s="77">
        <v>200.0</v>
      </c>
      <c r="K339" s="76"/>
      <c r="L339" s="77">
        <v>200.0</v>
      </c>
      <c r="M339" s="76"/>
      <c r="N339" s="116" t="s">
        <v>23</v>
      </c>
      <c r="O339" s="48"/>
      <c r="P339" s="79">
        <f t="shared" ref="P339:Q339" si="322">IF(J339="","",J339-L339)</f>
        <v>0</v>
      </c>
      <c r="Q339" s="68" t="str">
        <f t="shared" si="322"/>
        <v/>
      </c>
      <c r="R339" s="7"/>
      <c r="S339" s="7"/>
      <c r="T339" s="7"/>
      <c r="U339" s="7"/>
      <c r="V339" s="7"/>
      <c r="W339" s="7"/>
      <c r="X339" s="7"/>
      <c r="Y339" s="7"/>
      <c r="Z339" s="7"/>
      <c r="AA339" s="7" t="str">
        <f t="shared" si="319"/>
        <v/>
      </c>
      <c r="AB339" s="7" t="str">
        <f t="shared" si="320"/>
        <v/>
      </c>
      <c r="AC339" s="7"/>
      <c r="AD339" s="7"/>
      <c r="AE339" s="52" t="s">
        <v>495</v>
      </c>
      <c r="AF339" s="7"/>
      <c r="AG339" s="7"/>
      <c r="AH339" s="7"/>
      <c r="AI339" s="7"/>
      <c r="AJ339" s="7"/>
    </row>
    <row r="340">
      <c r="A340" s="40"/>
      <c r="B340" s="14"/>
      <c r="C340" s="41"/>
      <c r="D340" s="112">
        <v>46041.0</v>
      </c>
      <c r="E340" s="54" t="s">
        <v>25</v>
      </c>
      <c r="F340" s="55" t="s">
        <v>20</v>
      </c>
      <c r="G340" s="55" t="s">
        <v>20</v>
      </c>
      <c r="H340" s="55" t="s">
        <v>26</v>
      </c>
      <c r="I340" s="55" t="s">
        <v>27</v>
      </c>
      <c r="J340" s="81"/>
      <c r="K340" s="81"/>
      <c r="L340" s="81"/>
      <c r="M340" s="81"/>
      <c r="N340" s="134"/>
      <c r="O340" s="48"/>
      <c r="P340" s="79" t="str">
        <f t="shared" ref="P340:Q340" si="323">IF(J340="","",J340-L340)</f>
        <v/>
      </c>
      <c r="Q340" s="68" t="str">
        <f t="shared" si="323"/>
        <v/>
      </c>
      <c r="R340" s="7"/>
      <c r="S340" s="7"/>
      <c r="T340" s="7"/>
      <c r="U340" s="7"/>
      <c r="V340" s="7"/>
      <c r="W340" s="7"/>
      <c r="X340" s="7"/>
      <c r="Y340" s="7"/>
      <c r="Z340" s="7"/>
      <c r="AA340" s="7" t="str">
        <f t="shared" si="319"/>
        <v/>
      </c>
      <c r="AB340" s="7" t="str">
        <f t="shared" si="320"/>
        <v/>
      </c>
      <c r="AC340" s="7"/>
      <c r="AD340" s="7"/>
      <c r="AE340" s="52" t="s">
        <v>496</v>
      </c>
      <c r="AF340" s="7"/>
      <c r="AG340" s="7"/>
      <c r="AH340" s="7"/>
      <c r="AI340" s="7"/>
      <c r="AJ340" s="7"/>
    </row>
    <row r="341">
      <c r="A341" s="40"/>
      <c r="B341" s="14"/>
      <c r="C341" s="41"/>
      <c r="D341" s="111">
        <v>46041.0</v>
      </c>
      <c r="E341" s="43" t="s">
        <v>30</v>
      </c>
      <c r="F341" s="58" t="s">
        <v>20</v>
      </c>
      <c r="G341" s="58" t="s">
        <v>20</v>
      </c>
      <c r="H341" s="58" t="s">
        <v>31</v>
      </c>
      <c r="I341" s="131" t="s">
        <v>32</v>
      </c>
      <c r="J341" s="76"/>
      <c r="K341" s="76"/>
      <c r="L341" s="76"/>
      <c r="M341" s="76"/>
      <c r="N341" s="124"/>
      <c r="O341" s="48"/>
      <c r="P341" s="79" t="str">
        <f t="shared" ref="P341:Q341" si="324">IF(J341="","",J341-L341)</f>
        <v/>
      </c>
      <c r="Q341" s="68" t="str">
        <f t="shared" si="324"/>
        <v/>
      </c>
      <c r="R341" s="7"/>
      <c r="S341" s="7"/>
      <c r="T341" s="7"/>
      <c r="U341" s="7"/>
      <c r="V341" s="7"/>
      <c r="W341" s="7"/>
      <c r="X341" s="7"/>
      <c r="Y341" s="7"/>
      <c r="Z341" s="7"/>
      <c r="AA341" s="7" t="str">
        <f t="shared" si="319"/>
        <v/>
      </c>
      <c r="AB341" s="7" t="str">
        <f t="shared" si="320"/>
        <v/>
      </c>
      <c r="AC341" s="7"/>
      <c r="AD341" s="7"/>
      <c r="AE341" s="52" t="s">
        <v>497</v>
      </c>
      <c r="AF341" s="7"/>
      <c r="AG341" s="7"/>
      <c r="AH341" s="7"/>
      <c r="AI341" s="7"/>
      <c r="AJ341" s="7"/>
    </row>
    <row r="342">
      <c r="A342" s="40"/>
      <c r="B342" s="14"/>
      <c r="C342" s="41"/>
      <c r="D342" s="112">
        <v>46041.0</v>
      </c>
      <c r="E342" s="54" t="s">
        <v>35</v>
      </c>
      <c r="F342" s="55" t="s">
        <v>20</v>
      </c>
      <c r="G342" s="55" t="s">
        <v>20</v>
      </c>
      <c r="H342" s="55" t="s">
        <v>36</v>
      </c>
      <c r="I342" s="55" t="s">
        <v>37</v>
      </c>
      <c r="J342" s="81"/>
      <c r="K342" s="81"/>
      <c r="L342" s="81"/>
      <c r="M342" s="81"/>
      <c r="N342" s="134"/>
      <c r="O342" s="71"/>
      <c r="P342" s="79" t="str">
        <f t="shared" ref="P342:Q342" si="325">IF(J342="","",J342-L342)</f>
        <v/>
      </c>
      <c r="Q342" s="68" t="str">
        <f t="shared" si="325"/>
        <v/>
      </c>
      <c r="R342" s="7"/>
      <c r="S342" s="7"/>
      <c r="T342" s="7"/>
      <c r="U342" s="7"/>
      <c r="V342" s="7"/>
      <c r="W342" s="7"/>
      <c r="X342" s="7"/>
      <c r="Y342" s="7"/>
      <c r="Z342" s="7"/>
      <c r="AA342" s="7" t="str">
        <f t="shared" si="319"/>
        <v/>
      </c>
      <c r="AB342" s="7" t="str">
        <f t="shared" si="320"/>
        <v/>
      </c>
      <c r="AC342" s="7"/>
      <c r="AD342" s="7"/>
      <c r="AE342" s="7"/>
      <c r="AF342" s="7"/>
      <c r="AG342" s="7"/>
      <c r="AH342" s="7"/>
      <c r="AI342" s="7"/>
      <c r="AJ342" s="7"/>
    </row>
    <row r="343">
      <c r="A343" s="40"/>
      <c r="B343" s="14"/>
      <c r="C343" s="41"/>
      <c r="D343" s="111">
        <v>46041.0</v>
      </c>
      <c r="E343" s="43" t="s">
        <v>40</v>
      </c>
      <c r="F343" s="58" t="s">
        <v>20</v>
      </c>
      <c r="G343" s="58" t="s">
        <v>20</v>
      </c>
      <c r="H343" s="58" t="s">
        <v>36</v>
      </c>
      <c r="I343" s="58" t="s">
        <v>37</v>
      </c>
      <c r="J343" s="76"/>
      <c r="K343" s="76"/>
      <c r="L343" s="76"/>
      <c r="M343" s="76"/>
      <c r="N343" s="124"/>
      <c r="O343" s="48"/>
      <c r="P343" s="79" t="str">
        <f t="shared" ref="P343:Q343" si="326">IF(J343="","",J343-L343)</f>
        <v/>
      </c>
      <c r="Q343" s="68" t="str">
        <f t="shared" si="326"/>
        <v/>
      </c>
      <c r="R343" s="7"/>
      <c r="S343" s="7"/>
      <c r="T343" s="7"/>
      <c r="U343" s="7"/>
      <c r="V343" s="7"/>
      <c r="W343" s="7"/>
      <c r="X343" s="7"/>
      <c r="Y343" s="7"/>
      <c r="Z343" s="7"/>
      <c r="AA343" s="7" t="str">
        <f t="shared" si="319"/>
        <v/>
      </c>
      <c r="AB343" s="7" t="str">
        <f t="shared" si="320"/>
        <v/>
      </c>
      <c r="AC343" s="7"/>
      <c r="AD343" s="7"/>
      <c r="AE343" s="7"/>
      <c r="AF343" s="7"/>
      <c r="AG343" s="7"/>
      <c r="AH343" s="7"/>
      <c r="AI343" s="7"/>
      <c r="AJ343" s="7"/>
    </row>
    <row r="344">
      <c r="A344" s="40"/>
      <c r="B344" s="14"/>
      <c r="C344" s="41"/>
      <c r="D344" s="112">
        <v>46041.0</v>
      </c>
      <c r="E344" s="80" t="s">
        <v>96</v>
      </c>
      <c r="F344" s="55" t="s">
        <v>97</v>
      </c>
      <c r="G344" s="55" t="s">
        <v>91</v>
      </c>
      <c r="H344" s="55" t="s">
        <v>274</v>
      </c>
      <c r="I344" s="55" t="s">
        <v>99</v>
      </c>
      <c r="J344" s="81"/>
      <c r="K344" s="84">
        <v>24.4</v>
      </c>
      <c r="L344" s="81"/>
      <c r="M344" s="84">
        <v>24.4</v>
      </c>
      <c r="N344" s="115" t="s">
        <v>38</v>
      </c>
      <c r="O344" s="71"/>
      <c r="P344" s="79" t="str">
        <f t="shared" ref="P344:Q344" si="327">IF(J344="","",J344-L344)</f>
        <v/>
      </c>
      <c r="Q344" s="68">
        <f t="shared" si="327"/>
        <v>0</v>
      </c>
      <c r="R344" s="7"/>
      <c r="S344" s="7"/>
      <c r="T344" s="7"/>
      <c r="U344" s="7"/>
      <c r="V344" s="7"/>
      <c r="W344" s="7"/>
      <c r="X344" s="7"/>
      <c r="Y344" s="7"/>
      <c r="Z344" s="7"/>
      <c r="AA344" s="7" t="str">
        <f t="shared" si="319"/>
        <v/>
      </c>
      <c r="AB344" s="7" t="str">
        <f t="shared" si="320"/>
        <v/>
      </c>
      <c r="AC344" s="7"/>
      <c r="AD344" s="7"/>
      <c r="AE344" s="7"/>
      <c r="AF344" s="7"/>
      <c r="AG344" s="7"/>
      <c r="AH344" s="7"/>
      <c r="AI344" s="7"/>
      <c r="AJ344" s="7"/>
    </row>
    <row r="345">
      <c r="A345" s="40"/>
      <c r="B345" s="14"/>
      <c r="C345" s="41"/>
      <c r="D345" s="111">
        <v>46041.0</v>
      </c>
      <c r="E345" s="83" t="s">
        <v>67</v>
      </c>
      <c r="F345" s="58" t="s">
        <v>498</v>
      </c>
      <c r="G345" s="58" t="s">
        <v>44</v>
      </c>
      <c r="H345" s="58" t="s">
        <v>45</v>
      </c>
      <c r="I345" s="58" t="s">
        <v>65</v>
      </c>
      <c r="J345" s="76"/>
      <c r="K345" s="77">
        <v>9.94</v>
      </c>
      <c r="L345" s="76"/>
      <c r="M345" s="77">
        <v>9.94</v>
      </c>
      <c r="N345" s="116" t="s">
        <v>38</v>
      </c>
      <c r="O345" s="71"/>
      <c r="P345" s="79" t="str">
        <f t="shared" ref="P345:Q345" si="328">IF(J345="","",J345-L345)</f>
        <v/>
      </c>
      <c r="Q345" s="68">
        <f t="shared" si="328"/>
        <v>0</v>
      </c>
      <c r="R345" s="7"/>
      <c r="S345" s="7"/>
      <c r="T345" s="7"/>
      <c r="U345" s="7"/>
      <c r="V345" s="7"/>
      <c r="W345" s="7"/>
      <c r="X345" s="7"/>
      <c r="Y345" s="7"/>
      <c r="Z345" s="7"/>
      <c r="AA345" s="7" t="str">
        <f t="shared" si="319"/>
        <v/>
      </c>
      <c r="AB345" s="7" t="str">
        <f t="shared" si="320"/>
        <v/>
      </c>
      <c r="AC345" s="7"/>
      <c r="AD345" s="7"/>
      <c r="AE345" s="51" t="s">
        <v>499</v>
      </c>
      <c r="AF345" s="7"/>
      <c r="AG345" s="7"/>
      <c r="AH345" s="7"/>
      <c r="AI345" s="7"/>
      <c r="AJ345" s="7"/>
    </row>
    <row r="346">
      <c r="A346" s="40"/>
      <c r="B346" s="14"/>
      <c r="C346" s="41"/>
      <c r="D346" s="112">
        <v>46041.0</v>
      </c>
      <c r="E346" s="54" t="s">
        <v>70</v>
      </c>
      <c r="F346" s="87" t="s">
        <v>500</v>
      </c>
      <c r="G346" s="88" t="s">
        <v>44</v>
      </c>
      <c r="H346" s="88" t="s">
        <v>45</v>
      </c>
      <c r="I346" s="88" t="s">
        <v>65</v>
      </c>
      <c r="J346" s="81"/>
      <c r="K346" s="84">
        <v>13.43</v>
      </c>
      <c r="L346" s="81"/>
      <c r="M346" s="84">
        <v>13.43</v>
      </c>
      <c r="N346" s="115" t="s">
        <v>38</v>
      </c>
      <c r="O346" s="48"/>
      <c r="P346" s="79" t="str">
        <f t="shared" ref="P346:Q346" si="329">IF(J346="","",J346-L346)</f>
        <v/>
      </c>
      <c r="Q346" s="68">
        <f t="shared" si="329"/>
        <v>0</v>
      </c>
      <c r="R346" s="7"/>
      <c r="S346" s="7"/>
      <c r="T346" s="7"/>
      <c r="U346" s="7"/>
      <c r="V346" s="7"/>
      <c r="W346" s="7"/>
      <c r="X346" s="7"/>
      <c r="Y346" s="7"/>
      <c r="Z346" s="7"/>
      <c r="AA346" s="7" t="str">
        <f t="shared" si="319"/>
        <v/>
      </c>
      <c r="AB346" s="7" t="str">
        <f t="shared" si="320"/>
        <v/>
      </c>
      <c r="AC346" s="7"/>
      <c r="AD346" s="7"/>
      <c r="AE346" s="51" t="s">
        <v>501</v>
      </c>
      <c r="AF346" s="7"/>
      <c r="AG346" s="7"/>
      <c r="AH346" s="7"/>
      <c r="AI346" s="7"/>
      <c r="AJ346" s="7"/>
    </row>
    <row r="347">
      <c r="A347" s="40"/>
      <c r="B347" s="14"/>
      <c r="C347" s="41"/>
      <c r="D347" s="111">
        <v>46041.0</v>
      </c>
      <c r="E347" s="75" t="s">
        <v>167</v>
      </c>
      <c r="F347" s="44" t="s">
        <v>315</v>
      </c>
      <c r="G347" s="44" t="s">
        <v>44</v>
      </c>
      <c r="H347" s="44" t="s">
        <v>300</v>
      </c>
      <c r="I347" s="44" t="s">
        <v>99</v>
      </c>
      <c r="J347" s="76"/>
      <c r="K347" s="77">
        <v>62.97</v>
      </c>
      <c r="L347" s="76"/>
      <c r="M347" s="77">
        <v>62.97</v>
      </c>
      <c r="N347" s="116" t="s">
        <v>28</v>
      </c>
      <c r="O347" s="71"/>
      <c r="P347" s="79" t="str">
        <f t="shared" ref="P347:Q347" si="330">IF(J347="","",J347-L347)</f>
        <v/>
      </c>
      <c r="Q347" s="68">
        <f t="shared" si="330"/>
        <v>0</v>
      </c>
      <c r="R347" s="7"/>
      <c r="S347" s="7"/>
      <c r="T347" s="7"/>
      <c r="U347" s="7"/>
      <c r="V347" s="7"/>
      <c r="W347" s="7"/>
      <c r="X347" s="7"/>
      <c r="Y347" s="7"/>
      <c r="Z347" s="7"/>
      <c r="AA347" s="7" t="str">
        <f t="shared" si="319"/>
        <v/>
      </c>
      <c r="AB347" s="7" t="str">
        <f t="shared" si="320"/>
        <v/>
      </c>
      <c r="AC347" s="7"/>
      <c r="AD347" s="7"/>
      <c r="AE347" s="7" t="str">
        <f t="shared" ref="AE347:AE426" si="332">IF(Cadastros!F346="","",Cadastros!F346)</f>
        <v>#REF!</v>
      </c>
      <c r="AF347" s="7"/>
      <c r="AG347" s="7"/>
      <c r="AH347" s="7"/>
      <c r="AI347" s="7"/>
      <c r="AJ347" s="7"/>
    </row>
    <row r="348">
      <c r="A348" s="40"/>
      <c r="B348" s="14"/>
      <c r="C348" s="41"/>
      <c r="D348" s="112">
        <v>46041.0</v>
      </c>
      <c r="E348" s="80" t="s">
        <v>77</v>
      </c>
      <c r="F348" s="55" t="s">
        <v>502</v>
      </c>
      <c r="G348" s="55" t="s">
        <v>44</v>
      </c>
      <c r="H348" s="88" t="s">
        <v>300</v>
      </c>
      <c r="I348" s="55" t="s">
        <v>65</v>
      </c>
      <c r="J348" s="81"/>
      <c r="K348" s="84">
        <v>10.01</v>
      </c>
      <c r="L348" s="81"/>
      <c r="M348" s="84">
        <v>10.01</v>
      </c>
      <c r="N348" s="115" t="s">
        <v>28</v>
      </c>
      <c r="O348" s="48"/>
      <c r="P348" s="79" t="str">
        <f t="shared" ref="P348:Q348" si="331">IF(J348="","",J348-L348)</f>
        <v/>
      </c>
      <c r="Q348" s="68">
        <f t="shared" si="331"/>
        <v>0</v>
      </c>
      <c r="R348" s="7"/>
      <c r="S348" s="7"/>
      <c r="T348" s="7"/>
      <c r="U348" s="7"/>
      <c r="V348" s="7"/>
      <c r="W348" s="7"/>
      <c r="X348" s="7"/>
      <c r="Y348" s="7"/>
      <c r="Z348" s="7"/>
      <c r="AA348" s="7" t="str">
        <f t="shared" si="319"/>
        <v/>
      </c>
      <c r="AB348" s="7" t="str">
        <f t="shared" si="320"/>
        <v/>
      </c>
      <c r="AC348" s="7"/>
      <c r="AD348" s="7"/>
      <c r="AE348" s="7" t="str">
        <f t="shared" si="332"/>
        <v>#REF!</v>
      </c>
      <c r="AF348" s="7"/>
      <c r="AG348" s="7"/>
      <c r="AH348" s="7"/>
      <c r="AI348" s="7"/>
      <c r="AJ348" s="7"/>
    </row>
    <row r="349">
      <c r="A349" s="40"/>
      <c r="B349" s="14"/>
      <c r="C349" s="41"/>
      <c r="D349" s="111">
        <v>46041.0</v>
      </c>
      <c r="E349" s="83" t="s">
        <v>183</v>
      </c>
      <c r="F349" s="58" t="s">
        <v>123</v>
      </c>
      <c r="G349" s="58" t="s">
        <v>91</v>
      </c>
      <c r="H349" s="44" t="s">
        <v>300</v>
      </c>
      <c r="I349" s="58" t="s">
        <v>65</v>
      </c>
      <c r="J349" s="76"/>
      <c r="K349" s="77">
        <v>1.99</v>
      </c>
      <c r="L349" s="76"/>
      <c r="M349" s="77">
        <v>1.99</v>
      </c>
      <c r="N349" s="116" t="s">
        <v>28</v>
      </c>
      <c r="O349" s="71"/>
      <c r="P349" s="79" t="str">
        <f t="shared" ref="P349:Q349" si="333">IF(J349="","",J349-L349)</f>
        <v/>
      </c>
      <c r="Q349" s="68">
        <f t="shared" si="333"/>
        <v>0</v>
      </c>
      <c r="R349" s="7"/>
      <c r="S349" s="7"/>
      <c r="T349" s="7"/>
      <c r="U349" s="7"/>
      <c r="V349" s="7"/>
      <c r="W349" s="7"/>
      <c r="X349" s="7"/>
      <c r="Y349" s="7"/>
      <c r="Z349" s="7"/>
      <c r="AA349" s="7" t="str">
        <f t="shared" si="319"/>
        <v/>
      </c>
      <c r="AB349" s="7" t="str">
        <f t="shared" si="320"/>
        <v/>
      </c>
      <c r="AC349" s="7"/>
      <c r="AD349" s="7"/>
      <c r="AE349" s="7" t="str">
        <f t="shared" si="332"/>
        <v>#REF!</v>
      </c>
      <c r="AF349" s="7"/>
      <c r="AG349" s="7"/>
      <c r="AH349" s="7"/>
      <c r="AI349" s="7"/>
      <c r="AJ349" s="7"/>
    </row>
    <row r="350">
      <c r="A350" s="40"/>
      <c r="B350" s="14"/>
      <c r="C350" s="41"/>
      <c r="D350" s="112">
        <v>46041.0</v>
      </c>
      <c r="E350" s="80" t="s">
        <v>200</v>
      </c>
      <c r="F350" s="55" t="s">
        <v>503</v>
      </c>
      <c r="G350" s="55" t="s">
        <v>44</v>
      </c>
      <c r="H350" s="88" t="s">
        <v>300</v>
      </c>
      <c r="I350" s="55" t="s">
        <v>188</v>
      </c>
      <c r="J350" s="81"/>
      <c r="K350" s="84">
        <v>31.3</v>
      </c>
      <c r="L350" s="81"/>
      <c r="M350" s="84">
        <v>31.3</v>
      </c>
      <c r="N350" s="115" t="s">
        <v>28</v>
      </c>
      <c r="O350" s="48"/>
      <c r="P350" s="79" t="str">
        <f t="shared" ref="P350:Q350" si="334">IF(J350="","",J350-L350)</f>
        <v/>
      </c>
      <c r="Q350" s="68">
        <f t="shared" si="334"/>
        <v>0</v>
      </c>
      <c r="R350" s="7"/>
      <c r="S350" s="7"/>
      <c r="T350" s="7"/>
      <c r="U350" s="7"/>
      <c r="V350" s="7"/>
      <c r="W350" s="7"/>
      <c r="X350" s="7"/>
      <c r="Y350" s="7"/>
      <c r="Z350" s="7"/>
      <c r="AA350" s="7" t="str">
        <f t="shared" si="319"/>
        <v/>
      </c>
      <c r="AB350" s="7" t="str">
        <f t="shared" si="320"/>
        <v/>
      </c>
      <c r="AC350" s="7"/>
      <c r="AD350" s="7"/>
      <c r="AE350" s="7" t="str">
        <f t="shared" si="332"/>
        <v>#REF!</v>
      </c>
      <c r="AF350" s="7"/>
      <c r="AG350" s="7"/>
      <c r="AH350" s="7"/>
      <c r="AI350" s="7"/>
      <c r="AJ350" s="7"/>
    </row>
    <row r="351">
      <c r="A351" s="40"/>
      <c r="B351" s="14"/>
      <c r="C351" s="41"/>
      <c r="D351" s="111">
        <v>46041.0</v>
      </c>
      <c r="E351" s="83" t="s">
        <v>109</v>
      </c>
      <c r="F351" s="58" t="s">
        <v>504</v>
      </c>
      <c r="G351" s="58" t="s">
        <v>44</v>
      </c>
      <c r="H351" s="44" t="s">
        <v>300</v>
      </c>
      <c r="I351" s="58" t="s">
        <v>111</v>
      </c>
      <c r="J351" s="76"/>
      <c r="K351" s="77">
        <v>29.2</v>
      </c>
      <c r="L351" s="76"/>
      <c r="M351" s="77">
        <v>29.2</v>
      </c>
      <c r="N351" s="116" t="s">
        <v>28</v>
      </c>
      <c r="O351" s="48"/>
      <c r="P351" s="79" t="str">
        <f t="shared" ref="P351:Q351" si="335">IF(J351="","",J351-L351)</f>
        <v/>
      </c>
      <c r="Q351" s="68">
        <f t="shared" si="335"/>
        <v>0</v>
      </c>
      <c r="R351" s="7"/>
      <c r="S351" s="7"/>
      <c r="T351" s="7"/>
      <c r="U351" s="7"/>
      <c r="V351" s="7"/>
      <c r="W351" s="7"/>
      <c r="X351" s="7"/>
      <c r="Y351" s="7"/>
      <c r="Z351" s="7"/>
      <c r="AA351" s="7" t="str">
        <f t="shared" si="319"/>
        <v/>
      </c>
      <c r="AB351" s="7" t="str">
        <f t="shared" si="320"/>
        <v/>
      </c>
      <c r="AC351" s="7"/>
      <c r="AD351" s="7"/>
      <c r="AE351" s="7" t="str">
        <f t="shared" si="332"/>
        <v>#REF!</v>
      </c>
      <c r="AF351" s="7"/>
      <c r="AG351" s="7"/>
      <c r="AH351" s="7"/>
      <c r="AI351" s="7"/>
      <c r="AJ351" s="7"/>
    </row>
    <row r="352">
      <c r="A352" s="40"/>
      <c r="B352" s="14"/>
      <c r="C352" s="41"/>
      <c r="D352" s="112">
        <v>46041.0</v>
      </c>
      <c r="E352" s="54" t="s">
        <v>113</v>
      </c>
      <c r="F352" s="87" t="s">
        <v>505</v>
      </c>
      <c r="G352" s="88" t="s">
        <v>44</v>
      </c>
      <c r="H352" s="88" t="s">
        <v>300</v>
      </c>
      <c r="I352" s="88" t="s">
        <v>111</v>
      </c>
      <c r="J352" s="81"/>
      <c r="K352" s="84">
        <v>50.94</v>
      </c>
      <c r="L352" s="81"/>
      <c r="M352" s="84">
        <v>50.94</v>
      </c>
      <c r="N352" s="115" t="s">
        <v>28</v>
      </c>
      <c r="O352" s="71"/>
      <c r="P352" s="49" t="str">
        <f t="shared" ref="P352:Q352" si="336">IF(J352="","",J352-L352)</f>
        <v/>
      </c>
      <c r="Q352" s="68">
        <f t="shared" si="336"/>
        <v>0</v>
      </c>
      <c r="R352" s="7"/>
      <c r="S352" s="7"/>
      <c r="T352" s="7"/>
      <c r="U352" s="7"/>
      <c r="V352" s="7"/>
      <c r="W352" s="7"/>
      <c r="X352" s="7"/>
      <c r="Y352" s="7"/>
      <c r="Z352" s="7"/>
      <c r="AA352" s="7" t="str">
        <f t="shared" si="319"/>
        <v/>
      </c>
      <c r="AB352" s="7" t="str">
        <f t="shared" si="320"/>
        <v/>
      </c>
      <c r="AC352" s="7"/>
      <c r="AD352" s="7"/>
      <c r="AE352" s="7" t="str">
        <f t="shared" si="332"/>
        <v>#REF!</v>
      </c>
      <c r="AF352" s="7"/>
      <c r="AG352" s="7"/>
      <c r="AH352" s="7"/>
      <c r="AI352" s="7"/>
      <c r="AJ352" s="7"/>
    </row>
    <row r="353">
      <c r="A353" s="40"/>
      <c r="B353" s="14"/>
      <c r="C353" s="41"/>
      <c r="D353" s="111">
        <v>46041.0</v>
      </c>
      <c r="E353" s="75" t="s">
        <v>209</v>
      </c>
      <c r="F353" s="44" t="s">
        <v>123</v>
      </c>
      <c r="G353" s="44" t="s">
        <v>91</v>
      </c>
      <c r="H353" s="44" t="s">
        <v>300</v>
      </c>
      <c r="I353" s="44" t="s">
        <v>99</v>
      </c>
      <c r="J353" s="76"/>
      <c r="K353" s="77">
        <v>5.89</v>
      </c>
      <c r="L353" s="76"/>
      <c r="M353" s="77">
        <v>5.89</v>
      </c>
      <c r="N353" s="116" t="s">
        <v>28</v>
      </c>
      <c r="O353" s="71"/>
      <c r="P353" s="79" t="str">
        <f t="shared" ref="P353:Q353" si="337">IF(J353="","",J353-L353)</f>
        <v/>
      </c>
      <c r="Q353" s="68">
        <f t="shared" si="337"/>
        <v>0</v>
      </c>
      <c r="R353" s="7"/>
      <c r="S353" s="7"/>
      <c r="T353" s="7"/>
      <c r="U353" s="7"/>
      <c r="V353" s="7"/>
      <c r="W353" s="7"/>
      <c r="X353" s="7"/>
      <c r="Y353" s="7"/>
      <c r="Z353" s="7"/>
      <c r="AA353" s="7" t="str">
        <f t="shared" si="319"/>
        <v/>
      </c>
      <c r="AB353" s="7" t="str">
        <f t="shared" si="320"/>
        <v/>
      </c>
      <c r="AC353" s="7"/>
      <c r="AD353" s="7"/>
      <c r="AE353" s="7" t="str">
        <f t="shared" si="332"/>
        <v>#REF!</v>
      </c>
      <c r="AF353" s="7"/>
      <c r="AG353" s="7"/>
      <c r="AH353" s="7"/>
      <c r="AI353" s="7"/>
      <c r="AJ353" s="7"/>
    </row>
    <row r="354">
      <c r="A354" s="40"/>
      <c r="B354" s="14"/>
      <c r="C354" s="41"/>
      <c r="D354" s="112">
        <v>46041.0</v>
      </c>
      <c r="E354" s="80" t="s">
        <v>86</v>
      </c>
      <c r="F354" s="55" t="s">
        <v>455</v>
      </c>
      <c r="G354" s="55" t="s">
        <v>44</v>
      </c>
      <c r="H354" s="88" t="s">
        <v>300</v>
      </c>
      <c r="I354" s="55" t="s">
        <v>75</v>
      </c>
      <c r="J354" s="81"/>
      <c r="K354" s="84">
        <v>13.93</v>
      </c>
      <c r="L354" s="81"/>
      <c r="M354" s="84">
        <v>13.93</v>
      </c>
      <c r="N354" s="115" t="s">
        <v>28</v>
      </c>
      <c r="O354" s="71"/>
      <c r="P354" s="79" t="str">
        <f t="shared" ref="P354:Q354" si="338">IF(J354="","",J354-L354)</f>
        <v/>
      </c>
      <c r="Q354" s="68">
        <f t="shared" si="338"/>
        <v>0</v>
      </c>
      <c r="R354" s="7"/>
      <c r="S354" s="7"/>
      <c r="T354" s="7"/>
      <c r="U354" s="7"/>
      <c r="V354" s="7"/>
      <c r="W354" s="7"/>
      <c r="X354" s="7"/>
      <c r="Y354" s="7"/>
      <c r="Z354" s="7"/>
      <c r="AA354" s="7" t="str">
        <f t="shared" si="319"/>
        <v/>
      </c>
      <c r="AB354" s="7" t="str">
        <f t="shared" si="320"/>
        <v/>
      </c>
      <c r="AC354" s="7"/>
      <c r="AD354" s="7"/>
      <c r="AE354" s="7" t="str">
        <f t="shared" si="332"/>
        <v>#REF!</v>
      </c>
      <c r="AF354" s="7"/>
      <c r="AG354" s="7"/>
      <c r="AH354" s="7"/>
      <c r="AI354" s="7"/>
      <c r="AJ354" s="7"/>
    </row>
    <row r="355">
      <c r="A355" s="40"/>
      <c r="B355" s="14"/>
      <c r="C355" s="41"/>
      <c r="D355" s="111">
        <v>46041.0</v>
      </c>
      <c r="E355" s="83" t="s">
        <v>204</v>
      </c>
      <c r="F355" s="58" t="s">
        <v>506</v>
      </c>
      <c r="G355" s="58" t="s">
        <v>44</v>
      </c>
      <c r="H355" s="58" t="s">
        <v>45</v>
      </c>
      <c r="I355" s="58" t="s">
        <v>46</v>
      </c>
      <c r="J355" s="76"/>
      <c r="K355" s="77">
        <v>90.38</v>
      </c>
      <c r="L355" s="76"/>
      <c r="M355" s="77">
        <v>90.38</v>
      </c>
      <c r="N355" s="116" t="s">
        <v>41</v>
      </c>
      <c r="O355" s="48"/>
      <c r="P355" s="79" t="str">
        <f t="shared" ref="P355:Q355" si="339">IF(J355="","",J355-L355)</f>
        <v/>
      </c>
      <c r="Q355" s="68">
        <f t="shared" si="339"/>
        <v>0</v>
      </c>
      <c r="R355" s="7"/>
      <c r="S355" s="7"/>
      <c r="T355" s="7"/>
      <c r="U355" s="7"/>
      <c r="V355" s="7"/>
      <c r="W355" s="7"/>
      <c r="X355" s="7"/>
      <c r="Y355" s="7"/>
      <c r="Z355" s="7"/>
      <c r="AA355" s="7" t="str">
        <f t="shared" si="319"/>
        <v/>
      </c>
      <c r="AB355" s="7" t="str">
        <f t="shared" si="320"/>
        <v/>
      </c>
      <c r="AC355" s="7"/>
      <c r="AD355" s="7"/>
      <c r="AE355" s="7" t="str">
        <f t="shared" si="332"/>
        <v>#REF!</v>
      </c>
      <c r="AF355" s="7"/>
      <c r="AG355" s="7"/>
      <c r="AH355" s="7"/>
      <c r="AI355" s="7"/>
      <c r="AJ355" s="7"/>
    </row>
    <row r="356">
      <c r="A356" s="40"/>
      <c r="B356" s="14"/>
      <c r="C356" s="41"/>
      <c r="D356" s="112">
        <v>46041.0</v>
      </c>
      <c r="E356" s="80" t="s">
        <v>77</v>
      </c>
      <c r="F356" s="55" t="s">
        <v>507</v>
      </c>
      <c r="G356" s="55" t="s">
        <v>44</v>
      </c>
      <c r="H356" s="55" t="s">
        <v>45</v>
      </c>
      <c r="I356" s="55" t="s">
        <v>65</v>
      </c>
      <c r="J356" s="81"/>
      <c r="K356" s="84">
        <v>6.78</v>
      </c>
      <c r="L356" s="81"/>
      <c r="M356" s="84">
        <v>6.78</v>
      </c>
      <c r="N356" s="115" t="s">
        <v>41</v>
      </c>
      <c r="O356" s="71"/>
      <c r="P356" s="79" t="str">
        <f t="shared" ref="P356:Q356" si="340">IF(J356="","",J356-L356)</f>
        <v/>
      </c>
      <c r="Q356" s="68">
        <f t="shared" si="340"/>
        <v>0</v>
      </c>
      <c r="R356" s="7"/>
      <c r="S356" s="7"/>
      <c r="T356" s="7"/>
      <c r="U356" s="7"/>
      <c r="V356" s="7"/>
      <c r="W356" s="7"/>
      <c r="X356" s="7"/>
      <c r="Y356" s="7"/>
      <c r="Z356" s="7"/>
      <c r="AA356" s="7" t="str">
        <f t="shared" si="319"/>
        <v/>
      </c>
      <c r="AB356" s="7" t="str">
        <f t="shared" si="320"/>
        <v/>
      </c>
      <c r="AC356" s="7"/>
      <c r="AD356" s="7"/>
      <c r="AE356" s="7" t="str">
        <f t="shared" si="332"/>
        <v>#REF!</v>
      </c>
      <c r="AF356" s="7"/>
      <c r="AG356" s="7"/>
      <c r="AH356" s="7"/>
      <c r="AI356" s="7"/>
      <c r="AJ356" s="7"/>
    </row>
    <row r="357">
      <c r="A357" s="40"/>
      <c r="B357" s="14"/>
      <c r="C357" s="41"/>
      <c r="D357" s="111">
        <v>46041.0</v>
      </c>
      <c r="E357" s="83" t="s">
        <v>42</v>
      </c>
      <c r="F357" s="58" t="s">
        <v>508</v>
      </c>
      <c r="G357" s="58" t="s">
        <v>44</v>
      </c>
      <c r="H357" s="58" t="s">
        <v>45</v>
      </c>
      <c r="I357" s="58" t="s">
        <v>46</v>
      </c>
      <c r="J357" s="76"/>
      <c r="K357" s="77">
        <v>72.14</v>
      </c>
      <c r="L357" s="76"/>
      <c r="M357" s="77">
        <v>72.14</v>
      </c>
      <c r="N357" s="116" t="s">
        <v>41</v>
      </c>
      <c r="O357" s="48"/>
      <c r="P357" s="79" t="str">
        <f t="shared" ref="P357:Q357" si="341">IF(J357="","",J357-L357)</f>
        <v/>
      </c>
      <c r="Q357" s="68">
        <f t="shared" si="341"/>
        <v>0</v>
      </c>
      <c r="R357" s="7"/>
      <c r="S357" s="7"/>
      <c r="T357" s="7"/>
      <c r="U357" s="7"/>
      <c r="V357" s="7"/>
      <c r="W357" s="7"/>
      <c r="X357" s="7"/>
      <c r="Y357" s="7"/>
      <c r="Z357" s="7"/>
      <c r="AA357" s="7" t="str">
        <f t="shared" si="319"/>
        <v/>
      </c>
      <c r="AB357" s="7" t="str">
        <f t="shared" si="320"/>
        <v/>
      </c>
      <c r="AC357" s="7"/>
      <c r="AD357" s="7"/>
      <c r="AE357" s="7" t="str">
        <f t="shared" si="332"/>
        <v>#REF!</v>
      </c>
      <c r="AF357" s="7"/>
      <c r="AG357" s="7"/>
      <c r="AH357" s="7"/>
      <c r="AI357" s="7"/>
      <c r="AJ357" s="7"/>
    </row>
    <row r="358">
      <c r="A358" s="40"/>
      <c r="B358" s="14"/>
      <c r="C358" s="41"/>
      <c r="D358" s="112">
        <v>46041.0</v>
      </c>
      <c r="E358" s="54" t="s">
        <v>194</v>
      </c>
      <c r="F358" s="87" t="s">
        <v>509</v>
      </c>
      <c r="G358" s="88" t="s">
        <v>44</v>
      </c>
      <c r="H358" s="55" t="s">
        <v>45</v>
      </c>
      <c r="I358" s="88" t="s">
        <v>46</v>
      </c>
      <c r="J358" s="81"/>
      <c r="K358" s="84">
        <v>36.62</v>
      </c>
      <c r="L358" s="81"/>
      <c r="M358" s="84">
        <v>36.62</v>
      </c>
      <c r="N358" s="115" t="s">
        <v>41</v>
      </c>
      <c r="O358" s="48"/>
      <c r="P358" s="49" t="str">
        <f t="shared" ref="P358:Q358" si="342">IF(J358="","",J358-L358)</f>
        <v/>
      </c>
      <c r="Q358" s="68">
        <f t="shared" si="342"/>
        <v>0</v>
      </c>
      <c r="R358" s="7"/>
      <c r="S358" s="7"/>
      <c r="T358" s="7"/>
      <c r="U358" s="7"/>
      <c r="V358" s="7"/>
      <c r="W358" s="7"/>
      <c r="X358" s="7"/>
      <c r="Y358" s="7"/>
      <c r="Z358" s="7"/>
      <c r="AA358" s="7" t="str">
        <f t="shared" si="319"/>
        <v/>
      </c>
      <c r="AB358" s="7" t="str">
        <f t="shared" si="320"/>
        <v/>
      </c>
      <c r="AC358" s="7"/>
      <c r="AD358" s="7"/>
      <c r="AE358" s="7" t="str">
        <f t="shared" si="332"/>
        <v>#REF!</v>
      </c>
      <c r="AF358" s="7"/>
      <c r="AG358" s="7"/>
      <c r="AH358" s="7"/>
      <c r="AI358" s="7"/>
      <c r="AJ358" s="7"/>
    </row>
    <row r="359">
      <c r="A359" s="40"/>
      <c r="B359" s="14"/>
      <c r="C359" s="41"/>
      <c r="D359" s="111">
        <v>46041.0</v>
      </c>
      <c r="E359" s="75" t="s">
        <v>196</v>
      </c>
      <c r="F359" s="44" t="s">
        <v>510</v>
      </c>
      <c r="G359" s="44" t="s">
        <v>44</v>
      </c>
      <c r="H359" s="58" t="s">
        <v>45</v>
      </c>
      <c r="I359" s="44" t="s">
        <v>46</v>
      </c>
      <c r="J359" s="76"/>
      <c r="K359" s="77">
        <v>51.55</v>
      </c>
      <c r="L359" s="76"/>
      <c r="M359" s="77">
        <v>51.55</v>
      </c>
      <c r="N359" s="116" t="s">
        <v>41</v>
      </c>
      <c r="O359" s="71"/>
      <c r="P359" s="79" t="str">
        <f t="shared" ref="P359:Q359" si="343">IF(J359="","",J359-L359)</f>
        <v/>
      </c>
      <c r="Q359" s="68">
        <f t="shared" si="343"/>
        <v>0</v>
      </c>
      <c r="R359" s="7"/>
      <c r="S359" s="7"/>
      <c r="T359" s="7"/>
      <c r="U359" s="7"/>
      <c r="V359" s="7"/>
      <c r="W359" s="7"/>
      <c r="X359" s="7"/>
      <c r="Y359" s="7"/>
      <c r="Z359" s="7"/>
      <c r="AA359" s="7" t="str">
        <f t="shared" si="319"/>
        <v/>
      </c>
      <c r="AB359" s="7" t="str">
        <f t="shared" si="320"/>
        <v/>
      </c>
      <c r="AC359" s="7"/>
      <c r="AD359" s="7"/>
      <c r="AE359" s="7" t="str">
        <f t="shared" si="332"/>
        <v>#REF!</v>
      </c>
      <c r="AF359" s="7"/>
      <c r="AG359" s="7"/>
      <c r="AH359" s="7"/>
      <c r="AI359" s="7"/>
      <c r="AJ359" s="7"/>
    </row>
    <row r="360">
      <c r="A360" s="40"/>
      <c r="B360" s="14"/>
      <c r="C360" s="41"/>
      <c r="D360" s="112">
        <v>46041.0</v>
      </c>
      <c r="E360" s="80" t="s">
        <v>47</v>
      </c>
      <c r="F360" s="55" t="s">
        <v>511</v>
      </c>
      <c r="G360" s="55" t="s">
        <v>44</v>
      </c>
      <c r="H360" s="55" t="s">
        <v>45</v>
      </c>
      <c r="I360" s="55" t="s">
        <v>46</v>
      </c>
      <c r="J360" s="81"/>
      <c r="K360" s="84">
        <v>67.37</v>
      </c>
      <c r="L360" s="81"/>
      <c r="M360" s="84">
        <v>67.37</v>
      </c>
      <c r="N360" s="115" t="s">
        <v>41</v>
      </c>
      <c r="O360" s="71"/>
      <c r="P360" s="49" t="str">
        <f t="shared" ref="P360:Q360" si="344">IF(J360="","",J360-L360)</f>
        <v/>
      </c>
      <c r="Q360" s="68">
        <f t="shared" si="344"/>
        <v>0</v>
      </c>
      <c r="R360" s="7"/>
      <c r="S360" s="7"/>
      <c r="T360" s="7"/>
      <c r="U360" s="7"/>
      <c r="V360" s="7"/>
      <c r="W360" s="7"/>
      <c r="X360" s="7"/>
      <c r="Y360" s="7"/>
      <c r="Z360" s="7"/>
      <c r="AA360" s="7" t="str">
        <f t="shared" si="319"/>
        <v/>
      </c>
      <c r="AB360" s="7" t="str">
        <f t="shared" si="320"/>
        <v/>
      </c>
      <c r="AC360" s="7"/>
      <c r="AD360" s="7"/>
      <c r="AE360" s="7" t="str">
        <f t="shared" si="332"/>
        <v>#REF!</v>
      </c>
      <c r="AF360" s="7"/>
      <c r="AG360" s="7"/>
      <c r="AH360" s="7"/>
      <c r="AI360" s="7"/>
      <c r="AJ360" s="7"/>
    </row>
    <row r="361">
      <c r="A361" s="40"/>
      <c r="B361" s="14"/>
      <c r="C361" s="41"/>
      <c r="D361" s="111">
        <v>46041.0</v>
      </c>
      <c r="E361" s="83" t="s">
        <v>208</v>
      </c>
      <c r="F361" s="58" t="s">
        <v>512</v>
      </c>
      <c r="G361" s="58" t="s">
        <v>44</v>
      </c>
      <c r="H361" s="58" t="s">
        <v>45</v>
      </c>
      <c r="I361" s="58" t="s">
        <v>46</v>
      </c>
      <c r="J361" s="76"/>
      <c r="K361" s="77">
        <v>96.71</v>
      </c>
      <c r="L361" s="76"/>
      <c r="M361" s="77">
        <v>96.71</v>
      </c>
      <c r="N361" s="116" t="s">
        <v>41</v>
      </c>
      <c r="O361" s="71"/>
      <c r="P361" s="79" t="str">
        <f t="shared" ref="P361:Q361" si="345">IF(J361="","",J361-L361)</f>
        <v/>
      </c>
      <c r="Q361" s="68">
        <f t="shared" si="345"/>
        <v>0</v>
      </c>
      <c r="R361" s="7"/>
      <c r="S361" s="7"/>
      <c r="T361" s="7"/>
      <c r="U361" s="7"/>
      <c r="V361" s="7"/>
      <c r="W361" s="7"/>
      <c r="X361" s="7"/>
      <c r="Y361" s="7"/>
      <c r="Z361" s="7"/>
      <c r="AA361" s="7" t="str">
        <f t="shared" si="319"/>
        <v/>
      </c>
      <c r="AB361" s="7" t="str">
        <f t="shared" si="320"/>
        <v/>
      </c>
      <c r="AC361" s="7"/>
      <c r="AD361" s="7"/>
      <c r="AE361" s="7" t="str">
        <f t="shared" si="332"/>
        <v>#REF!</v>
      </c>
      <c r="AF361" s="7"/>
      <c r="AG361" s="7"/>
      <c r="AH361" s="7"/>
      <c r="AI361" s="7"/>
      <c r="AJ361" s="7"/>
    </row>
    <row r="362">
      <c r="A362" s="40"/>
      <c r="B362" s="14"/>
      <c r="C362" s="41"/>
      <c r="D362" s="112">
        <v>46041.0</v>
      </c>
      <c r="E362" s="80" t="s">
        <v>50</v>
      </c>
      <c r="F362" s="55" t="s">
        <v>513</v>
      </c>
      <c r="G362" s="55" t="s">
        <v>44</v>
      </c>
      <c r="H362" s="55" t="s">
        <v>45</v>
      </c>
      <c r="I362" s="55" t="s">
        <v>46</v>
      </c>
      <c r="J362" s="81"/>
      <c r="K362" s="84">
        <v>18.21</v>
      </c>
      <c r="L362" s="81"/>
      <c r="M362" s="84">
        <v>18.21</v>
      </c>
      <c r="N362" s="115" t="s">
        <v>41</v>
      </c>
      <c r="O362" s="48"/>
      <c r="P362" s="79" t="str">
        <f t="shared" ref="P362:Q362" si="346">IF(J362="","",J362-L362)</f>
        <v/>
      </c>
      <c r="Q362" s="68">
        <f t="shared" si="346"/>
        <v>0</v>
      </c>
      <c r="R362" s="7"/>
      <c r="S362" s="7"/>
      <c r="T362" s="7"/>
      <c r="U362" s="7"/>
      <c r="V362" s="7"/>
      <c r="W362" s="7"/>
      <c r="X362" s="7"/>
      <c r="Y362" s="7"/>
      <c r="Z362" s="7"/>
      <c r="AA362" s="7" t="str">
        <f t="shared" si="319"/>
        <v/>
      </c>
      <c r="AB362" s="7" t="str">
        <f t="shared" si="320"/>
        <v/>
      </c>
      <c r="AC362" s="7"/>
      <c r="AD362" s="7"/>
      <c r="AE362" s="7" t="str">
        <f t="shared" si="332"/>
        <v>#REF!</v>
      </c>
      <c r="AF362" s="7"/>
      <c r="AG362" s="7"/>
      <c r="AH362" s="7"/>
      <c r="AI362" s="7"/>
      <c r="AJ362" s="7"/>
    </row>
    <row r="363">
      <c r="A363" s="40"/>
      <c r="B363" s="14"/>
      <c r="C363" s="41"/>
      <c r="D363" s="111">
        <v>46041.0</v>
      </c>
      <c r="E363" s="43" t="s">
        <v>50</v>
      </c>
      <c r="F363" s="104" t="s">
        <v>514</v>
      </c>
      <c r="G363" s="44" t="s">
        <v>44</v>
      </c>
      <c r="H363" s="58" t="s">
        <v>45</v>
      </c>
      <c r="I363" s="44" t="s">
        <v>46</v>
      </c>
      <c r="J363" s="140"/>
      <c r="K363" s="77">
        <v>72.42</v>
      </c>
      <c r="L363" s="140"/>
      <c r="M363" s="77">
        <v>72.42</v>
      </c>
      <c r="N363" s="116" t="s">
        <v>41</v>
      </c>
      <c r="O363" s="48"/>
      <c r="P363" s="49" t="str">
        <f t="shared" ref="P363:Q363" si="347">IF(J363="","",J363-L363)</f>
        <v/>
      </c>
      <c r="Q363" s="68">
        <f t="shared" si="347"/>
        <v>0</v>
      </c>
      <c r="R363" s="7"/>
      <c r="S363" s="7"/>
      <c r="T363" s="7"/>
      <c r="U363" s="7"/>
      <c r="V363" s="7"/>
      <c r="W363" s="7"/>
      <c r="X363" s="7"/>
      <c r="Y363" s="7"/>
      <c r="Z363" s="7"/>
      <c r="AA363" s="7" t="str">
        <f t="shared" si="319"/>
        <v/>
      </c>
      <c r="AB363" s="7" t="str">
        <f t="shared" si="320"/>
        <v/>
      </c>
      <c r="AC363" s="7"/>
      <c r="AD363" s="7"/>
      <c r="AE363" s="7" t="str">
        <f t="shared" si="332"/>
        <v>#REF!</v>
      </c>
      <c r="AF363" s="7"/>
      <c r="AG363" s="7"/>
      <c r="AH363" s="7"/>
      <c r="AI363" s="7"/>
      <c r="AJ363" s="7"/>
    </row>
    <row r="364">
      <c r="A364" s="40"/>
      <c r="B364" s="14"/>
      <c r="C364" s="41"/>
      <c r="D364" s="112">
        <v>46041.0</v>
      </c>
      <c r="E364" s="106" t="s">
        <v>62</v>
      </c>
      <c r="F364" s="87" t="s">
        <v>515</v>
      </c>
      <c r="G364" s="87" t="s">
        <v>44</v>
      </c>
      <c r="H364" s="55" t="s">
        <v>45</v>
      </c>
      <c r="I364" s="87" t="s">
        <v>65</v>
      </c>
      <c r="J364" s="81"/>
      <c r="K364" s="84">
        <v>24.24</v>
      </c>
      <c r="L364" s="81"/>
      <c r="M364" s="84">
        <v>24.24</v>
      </c>
      <c r="N364" s="115" t="s">
        <v>41</v>
      </c>
      <c r="O364" s="71"/>
      <c r="P364" s="49" t="str">
        <f t="shared" ref="P364:Q364" si="348">IF(J364="","",J364-L364)</f>
        <v/>
      </c>
      <c r="Q364" s="50">
        <f t="shared" si="348"/>
        <v>0</v>
      </c>
      <c r="R364" s="7"/>
      <c r="S364" s="7"/>
      <c r="T364" s="7"/>
      <c r="U364" s="7"/>
      <c r="V364" s="7"/>
      <c r="W364" s="7"/>
      <c r="X364" s="7"/>
      <c r="Y364" s="7"/>
      <c r="Z364" s="7"/>
      <c r="AA364" s="7" t="str">
        <f t="shared" si="319"/>
        <v/>
      </c>
      <c r="AB364" s="7" t="str">
        <f t="shared" si="320"/>
        <v/>
      </c>
      <c r="AC364" s="7"/>
      <c r="AD364" s="7"/>
      <c r="AE364" s="7" t="str">
        <f t="shared" si="332"/>
        <v>#REF!</v>
      </c>
      <c r="AF364" s="7"/>
      <c r="AG364" s="7"/>
      <c r="AH364" s="7"/>
      <c r="AI364" s="7"/>
      <c r="AJ364" s="7"/>
    </row>
    <row r="365">
      <c r="A365" s="40"/>
      <c r="B365" s="14"/>
      <c r="C365" s="41"/>
      <c r="D365" s="111">
        <v>46041.0</v>
      </c>
      <c r="E365" s="75" t="s">
        <v>444</v>
      </c>
      <c r="F365" s="104" t="s">
        <v>148</v>
      </c>
      <c r="G365" s="104" t="s">
        <v>91</v>
      </c>
      <c r="H365" s="104" t="s">
        <v>516</v>
      </c>
      <c r="I365" s="104" t="s">
        <v>517</v>
      </c>
      <c r="J365" s="76"/>
      <c r="K365" s="77">
        <v>130.0</v>
      </c>
      <c r="L365" s="76"/>
      <c r="M365" s="77">
        <v>130.0</v>
      </c>
      <c r="N365" s="116" t="s">
        <v>23</v>
      </c>
      <c r="O365" s="48"/>
      <c r="P365" s="49" t="str">
        <f t="shared" ref="P365:Q365" si="349">IF(J365="","",J365-L365)</f>
        <v/>
      </c>
      <c r="Q365" s="50">
        <f t="shared" si="349"/>
        <v>0</v>
      </c>
      <c r="R365" s="7"/>
      <c r="S365" s="7"/>
      <c r="T365" s="7"/>
      <c r="U365" s="7"/>
      <c r="V365" s="7"/>
      <c r="W365" s="7"/>
      <c r="X365" s="7"/>
      <c r="Y365" s="7"/>
      <c r="Z365" s="7"/>
      <c r="AA365" s="7" t="str">
        <f t="shared" si="319"/>
        <v/>
      </c>
      <c r="AB365" s="7" t="str">
        <f t="shared" si="320"/>
        <v/>
      </c>
      <c r="AC365" s="7"/>
      <c r="AD365" s="7"/>
      <c r="AE365" s="7" t="str">
        <f t="shared" si="332"/>
        <v>#REF!</v>
      </c>
      <c r="AF365" s="7"/>
      <c r="AG365" s="7"/>
      <c r="AH365" s="7"/>
      <c r="AI365" s="7"/>
      <c r="AJ365" s="7"/>
    </row>
    <row r="366">
      <c r="A366" s="40"/>
      <c r="B366" s="14"/>
      <c r="C366" s="41"/>
      <c r="D366" s="112">
        <v>46042.0</v>
      </c>
      <c r="E366" s="54" t="s">
        <v>19</v>
      </c>
      <c r="F366" s="88" t="s">
        <v>20</v>
      </c>
      <c r="G366" s="88" t="s">
        <v>20</v>
      </c>
      <c r="H366" s="88" t="s">
        <v>21</v>
      </c>
      <c r="I366" s="88" t="s">
        <v>22</v>
      </c>
      <c r="J366" s="81"/>
      <c r="K366" s="81"/>
      <c r="L366" s="81"/>
      <c r="M366" s="81"/>
      <c r="N366" s="134"/>
      <c r="O366" s="48"/>
      <c r="P366" s="49" t="str">
        <f t="shared" ref="P366:Q366" si="350">IF(J366="","",J366-L366)</f>
        <v/>
      </c>
      <c r="Q366" s="50" t="str">
        <f t="shared" si="350"/>
        <v/>
      </c>
      <c r="R366" s="7"/>
      <c r="S366" s="7"/>
      <c r="T366" s="7"/>
      <c r="U366" s="7"/>
      <c r="V366" s="7"/>
      <c r="W366" s="7"/>
      <c r="X366" s="7"/>
      <c r="Y366" s="7"/>
      <c r="Z366" s="7"/>
      <c r="AA366" s="7" t="str">
        <f t="shared" si="319"/>
        <v/>
      </c>
      <c r="AB366" s="7" t="str">
        <f t="shared" si="320"/>
        <v/>
      </c>
      <c r="AC366" s="7"/>
      <c r="AD366" s="7"/>
      <c r="AE366" s="7" t="str">
        <f t="shared" si="332"/>
        <v>#REF!</v>
      </c>
      <c r="AF366" s="7"/>
      <c r="AG366" s="7"/>
      <c r="AH366" s="7"/>
      <c r="AI366" s="7"/>
      <c r="AJ366" s="7"/>
    </row>
    <row r="367">
      <c r="A367" s="40"/>
      <c r="B367" s="14"/>
      <c r="C367" s="41"/>
      <c r="D367" s="111">
        <v>46042.0</v>
      </c>
      <c r="E367" s="43" t="s">
        <v>25</v>
      </c>
      <c r="F367" s="58" t="s">
        <v>20</v>
      </c>
      <c r="G367" s="58" t="s">
        <v>20</v>
      </c>
      <c r="H367" s="58" t="s">
        <v>26</v>
      </c>
      <c r="I367" s="58" t="s">
        <v>27</v>
      </c>
      <c r="J367" s="76"/>
      <c r="K367" s="76"/>
      <c r="L367" s="76"/>
      <c r="M367" s="76"/>
      <c r="N367" s="114"/>
      <c r="O367" s="48"/>
      <c r="P367" s="49" t="str">
        <f t="shared" ref="P367:Q367" si="351">IF(J367="","",J367-L367)</f>
        <v/>
      </c>
      <c r="Q367" s="50" t="str">
        <f t="shared" si="351"/>
        <v/>
      </c>
      <c r="R367" s="7"/>
      <c r="S367" s="7"/>
      <c r="T367" s="7"/>
      <c r="U367" s="7"/>
      <c r="V367" s="7"/>
      <c r="W367" s="7"/>
      <c r="X367" s="7"/>
      <c r="Y367" s="7"/>
      <c r="Z367" s="7"/>
      <c r="AA367" s="7" t="str">
        <f t="shared" si="319"/>
        <v/>
      </c>
      <c r="AB367" s="7" t="str">
        <f t="shared" si="320"/>
        <v/>
      </c>
      <c r="AC367" s="7"/>
      <c r="AD367" s="7"/>
      <c r="AE367" s="7" t="str">
        <f t="shared" si="332"/>
        <v>#REF!</v>
      </c>
      <c r="AF367" s="7"/>
      <c r="AG367" s="7"/>
      <c r="AH367" s="7"/>
      <c r="AI367" s="7"/>
      <c r="AJ367" s="7"/>
    </row>
    <row r="368">
      <c r="A368" s="40"/>
      <c r="B368" s="14"/>
      <c r="C368" s="41"/>
      <c r="D368" s="112">
        <v>46042.0</v>
      </c>
      <c r="E368" s="54" t="s">
        <v>30</v>
      </c>
      <c r="F368" s="55" t="s">
        <v>20</v>
      </c>
      <c r="G368" s="55" t="s">
        <v>20</v>
      </c>
      <c r="H368" s="55" t="s">
        <v>31</v>
      </c>
      <c r="I368" s="131" t="s">
        <v>32</v>
      </c>
      <c r="J368" s="81"/>
      <c r="K368" s="81"/>
      <c r="L368" s="81"/>
      <c r="M368" s="81"/>
      <c r="N368" s="82"/>
      <c r="O368" s="71"/>
      <c r="P368" s="49" t="str">
        <f t="shared" ref="P368:Q368" si="352">IF(J368="","",J368-L368)</f>
        <v/>
      </c>
      <c r="Q368" s="50" t="str">
        <f t="shared" si="352"/>
        <v/>
      </c>
      <c r="R368" s="7"/>
      <c r="S368" s="7"/>
      <c r="T368" s="7"/>
      <c r="U368" s="7"/>
      <c r="V368" s="7"/>
      <c r="W368" s="7"/>
      <c r="X368" s="7"/>
      <c r="Y368" s="7"/>
      <c r="Z368" s="7"/>
      <c r="AA368" s="7" t="str">
        <f t="shared" si="319"/>
        <v/>
      </c>
      <c r="AB368" s="7" t="str">
        <f t="shared" si="320"/>
        <v/>
      </c>
      <c r="AC368" s="7"/>
      <c r="AD368" s="7"/>
      <c r="AE368" s="7" t="str">
        <f t="shared" si="332"/>
        <v>#REF!</v>
      </c>
      <c r="AF368" s="7"/>
      <c r="AG368" s="7"/>
      <c r="AH368" s="7"/>
      <c r="AI368" s="7"/>
      <c r="AJ368" s="7"/>
    </row>
    <row r="369">
      <c r="A369" s="40"/>
      <c r="B369" s="14"/>
      <c r="C369" s="41"/>
      <c r="D369" s="111">
        <v>46042.0</v>
      </c>
      <c r="E369" s="43" t="s">
        <v>35</v>
      </c>
      <c r="F369" s="58" t="s">
        <v>20</v>
      </c>
      <c r="G369" s="58" t="s">
        <v>20</v>
      </c>
      <c r="H369" s="58" t="s">
        <v>36</v>
      </c>
      <c r="I369" s="58" t="s">
        <v>37</v>
      </c>
      <c r="J369" s="76"/>
      <c r="K369" s="76"/>
      <c r="L369" s="76"/>
      <c r="M369" s="76"/>
      <c r="N369" s="114"/>
      <c r="O369" s="48"/>
      <c r="P369" s="49" t="str">
        <f t="shared" ref="P369:Q369" si="353">IF(J369="","",J369-L369)</f>
        <v/>
      </c>
      <c r="Q369" s="50" t="str">
        <f t="shared" si="353"/>
        <v/>
      </c>
      <c r="R369" s="7"/>
      <c r="S369" s="7"/>
      <c r="T369" s="7"/>
      <c r="U369" s="7"/>
      <c r="V369" s="7"/>
      <c r="W369" s="7"/>
      <c r="X369" s="7"/>
      <c r="Y369" s="7"/>
      <c r="Z369" s="7"/>
      <c r="AA369" s="7" t="str">
        <f t="shared" si="319"/>
        <v/>
      </c>
      <c r="AB369" s="7" t="str">
        <f t="shared" si="320"/>
        <v/>
      </c>
      <c r="AC369" s="7"/>
      <c r="AD369" s="7"/>
      <c r="AE369" s="7" t="str">
        <f t="shared" si="332"/>
        <v>#REF!</v>
      </c>
      <c r="AF369" s="7"/>
      <c r="AG369" s="7"/>
      <c r="AH369" s="7"/>
      <c r="AI369" s="7"/>
      <c r="AJ369" s="7"/>
    </row>
    <row r="370">
      <c r="A370" s="40"/>
      <c r="B370" s="14"/>
      <c r="C370" s="41"/>
      <c r="D370" s="112">
        <v>46042.0</v>
      </c>
      <c r="E370" s="54" t="s">
        <v>40</v>
      </c>
      <c r="F370" s="55" t="s">
        <v>20</v>
      </c>
      <c r="G370" s="55" t="s">
        <v>20</v>
      </c>
      <c r="H370" s="55" t="s">
        <v>36</v>
      </c>
      <c r="I370" s="55" t="s">
        <v>37</v>
      </c>
      <c r="J370" s="81"/>
      <c r="K370" s="81"/>
      <c r="L370" s="81"/>
      <c r="M370" s="81"/>
      <c r="N370" s="82"/>
      <c r="O370" s="48"/>
      <c r="P370" s="49" t="str">
        <f t="shared" ref="P370:Q370" si="354">IF(J370="","",J370-L370)</f>
        <v/>
      </c>
      <c r="Q370" s="50" t="str">
        <f t="shared" si="354"/>
        <v/>
      </c>
      <c r="R370" s="7"/>
      <c r="S370" s="7"/>
      <c r="T370" s="7"/>
      <c r="U370" s="7"/>
      <c r="V370" s="7"/>
      <c r="W370" s="7"/>
      <c r="X370" s="7"/>
      <c r="Y370" s="7"/>
      <c r="Z370" s="7"/>
      <c r="AA370" s="7" t="str">
        <f t="shared" si="319"/>
        <v/>
      </c>
      <c r="AB370" s="7" t="str">
        <f t="shared" si="320"/>
        <v/>
      </c>
      <c r="AC370" s="7"/>
      <c r="AD370" s="7"/>
      <c r="AE370" s="7" t="str">
        <f t="shared" si="332"/>
        <v>#REF!</v>
      </c>
      <c r="AF370" s="7"/>
      <c r="AG370" s="7"/>
      <c r="AH370" s="7"/>
      <c r="AI370" s="7"/>
      <c r="AJ370" s="7"/>
    </row>
    <row r="371">
      <c r="A371" s="40"/>
      <c r="B371" s="14"/>
      <c r="C371" s="41"/>
      <c r="D371" s="111">
        <v>46042.0</v>
      </c>
      <c r="E371" s="83" t="s">
        <v>167</v>
      </c>
      <c r="F371" s="58" t="s">
        <v>78</v>
      </c>
      <c r="G371" s="58" t="s">
        <v>44</v>
      </c>
      <c r="H371" s="58" t="s">
        <v>210</v>
      </c>
      <c r="I371" s="58" t="s">
        <v>99</v>
      </c>
      <c r="J371" s="76"/>
      <c r="K371" s="77">
        <v>99.6</v>
      </c>
      <c r="L371" s="76"/>
      <c r="M371" s="77">
        <v>99.6</v>
      </c>
      <c r="N371" s="78" t="s">
        <v>23</v>
      </c>
      <c r="O371" s="71"/>
      <c r="P371" s="49" t="str">
        <f t="shared" ref="P371:Q371" si="355">IF(J371="","",J371-L371)</f>
        <v/>
      </c>
      <c r="Q371" s="50">
        <f t="shared" si="355"/>
        <v>0</v>
      </c>
      <c r="R371" s="7"/>
      <c r="S371" s="7"/>
      <c r="T371" s="7"/>
      <c r="U371" s="7"/>
      <c r="V371" s="7"/>
      <c r="W371" s="7"/>
      <c r="X371" s="7"/>
      <c r="Y371" s="7"/>
      <c r="Z371" s="7"/>
      <c r="AA371" s="7" t="str">
        <f t="shared" si="319"/>
        <v/>
      </c>
      <c r="AB371" s="7" t="str">
        <f t="shared" si="320"/>
        <v/>
      </c>
      <c r="AC371" s="7"/>
      <c r="AD371" s="7"/>
      <c r="AE371" s="7" t="str">
        <f t="shared" si="332"/>
        <v>#REF!</v>
      </c>
      <c r="AF371" s="7"/>
      <c r="AG371" s="7"/>
      <c r="AH371" s="7"/>
      <c r="AI371" s="7"/>
      <c r="AJ371" s="7"/>
    </row>
    <row r="372">
      <c r="A372" s="40"/>
      <c r="B372" s="14"/>
      <c r="C372" s="41"/>
      <c r="D372" s="112">
        <v>46042.0</v>
      </c>
      <c r="E372" s="80" t="s">
        <v>166</v>
      </c>
      <c r="F372" s="55" t="s">
        <v>74</v>
      </c>
      <c r="G372" s="55" t="s">
        <v>44</v>
      </c>
      <c r="H372" s="55" t="s">
        <v>210</v>
      </c>
      <c r="I372" s="55" t="s">
        <v>188</v>
      </c>
      <c r="J372" s="81"/>
      <c r="K372" s="84">
        <v>46.68</v>
      </c>
      <c r="L372" s="81"/>
      <c r="M372" s="84">
        <v>46.68</v>
      </c>
      <c r="N372" s="85" t="s">
        <v>23</v>
      </c>
      <c r="O372" s="48"/>
      <c r="P372" s="49" t="str">
        <f t="shared" ref="P372:Q372" si="356">IF(J372="","",J372-L372)</f>
        <v/>
      </c>
      <c r="Q372" s="50">
        <f t="shared" si="356"/>
        <v>0</v>
      </c>
      <c r="R372" s="7"/>
      <c r="S372" s="7"/>
      <c r="T372" s="7"/>
      <c r="U372" s="7"/>
      <c r="V372" s="7"/>
      <c r="W372" s="7"/>
      <c r="X372" s="7"/>
      <c r="Y372" s="7"/>
      <c r="Z372" s="7"/>
      <c r="AA372" s="7" t="str">
        <f t="shared" si="319"/>
        <v/>
      </c>
      <c r="AB372" s="7" t="str">
        <f t="shared" si="320"/>
        <v/>
      </c>
      <c r="AC372" s="7"/>
      <c r="AD372" s="7"/>
      <c r="AE372" s="7" t="str">
        <f t="shared" si="332"/>
        <v>#REF!</v>
      </c>
      <c r="AF372" s="7"/>
      <c r="AG372" s="7"/>
      <c r="AH372" s="7"/>
      <c r="AI372" s="7"/>
      <c r="AJ372" s="7"/>
    </row>
    <row r="373">
      <c r="A373" s="40"/>
      <c r="B373" s="14"/>
      <c r="C373" s="41"/>
      <c r="D373" s="111">
        <v>46039.0</v>
      </c>
      <c r="E373" s="43" t="s">
        <v>62</v>
      </c>
      <c r="F373" s="58" t="s">
        <v>63</v>
      </c>
      <c r="G373" s="58" t="s">
        <v>44</v>
      </c>
      <c r="H373" s="58" t="s">
        <v>64</v>
      </c>
      <c r="I373" s="58" t="s">
        <v>65</v>
      </c>
      <c r="J373" s="76"/>
      <c r="K373" s="77">
        <v>60.0</v>
      </c>
      <c r="L373" s="76"/>
      <c r="M373" s="77">
        <v>60.0</v>
      </c>
      <c r="N373" s="78" t="s">
        <v>23</v>
      </c>
      <c r="O373" s="71"/>
      <c r="P373" s="49" t="str">
        <f t="shared" ref="P373:Q373" si="357">IF(J373="","",J373-L373)</f>
        <v/>
      </c>
      <c r="Q373" s="50">
        <f t="shared" si="357"/>
        <v>0</v>
      </c>
      <c r="R373" s="7"/>
      <c r="S373" s="7"/>
      <c r="T373" s="7"/>
      <c r="U373" s="7"/>
      <c r="V373" s="7"/>
      <c r="W373" s="7"/>
      <c r="X373" s="7"/>
      <c r="Y373" s="7"/>
      <c r="Z373" s="7"/>
      <c r="AA373" s="7" t="str">
        <f t="shared" si="319"/>
        <v/>
      </c>
      <c r="AB373" s="7" t="str">
        <f t="shared" si="320"/>
        <v/>
      </c>
      <c r="AC373" s="7"/>
      <c r="AD373" s="7"/>
      <c r="AE373" s="7" t="str">
        <f t="shared" si="332"/>
        <v>#REF!</v>
      </c>
      <c r="AF373" s="7"/>
      <c r="AG373" s="7"/>
      <c r="AH373" s="7"/>
      <c r="AI373" s="7"/>
      <c r="AJ373" s="7"/>
    </row>
    <row r="374">
      <c r="A374" s="40"/>
      <c r="B374" s="14"/>
      <c r="C374" s="41"/>
      <c r="D374" s="112">
        <v>46039.0</v>
      </c>
      <c r="E374" s="54" t="s">
        <v>67</v>
      </c>
      <c r="F374" s="55" t="s">
        <v>68</v>
      </c>
      <c r="G374" s="55" t="s">
        <v>44</v>
      </c>
      <c r="H374" s="55" t="s">
        <v>64</v>
      </c>
      <c r="I374" s="55" t="s">
        <v>65</v>
      </c>
      <c r="J374" s="81"/>
      <c r="K374" s="84">
        <v>60.0</v>
      </c>
      <c r="L374" s="81"/>
      <c r="M374" s="84">
        <v>60.0</v>
      </c>
      <c r="N374" s="85" t="s">
        <v>23</v>
      </c>
      <c r="O374" s="48"/>
      <c r="P374" s="49" t="str">
        <f t="shared" ref="P374:Q374" si="358">IF(J374="","",J374-L374)</f>
        <v/>
      </c>
      <c r="Q374" s="50">
        <f t="shared" si="358"/>
        <v>0</v>
      </c>
      <c r="R374" s="7"/>
      <c r="S374" s="7"/>
      <c r="T374" s="7"/>
      <c r="U374" s="7"/>
      <c r="V374" s="7"/>
      <c r="W374" s="7"/>
      <c r="X374" s="7"/>
      <c r="Y374" s="7"/>
      <c r="Z374" s="7"/>
      <c r="AA374" s="7" t="str">
        <f t="shared" si="319"/>
        <v/>
      </c>
      <c r="AB374" s="7" t="str">
        <f t="shared" si="320"/>
        <v/>
      </c>
      <c r="AC374" s="7"/>
      <c r="AD374" s="7"/>
      <c r="AE374" s="7" t="str">
        <f t="shared" si="332"/>
        <v>#REF!</v>
      </c>
      <c r="AF374" s="7"/>
      <c r="AG374" s="7"/>
      <c r="AH374" s="7"/>
      <c r="AI374" s="7"/>
      <c r="AJ374" s="7"/>
    </row>
    <row r="375">
      <c r="A375" s="40"/>
      <c r="B375" s="14"/>
      <c r="C375" s="41"/>
      <c r="D375" s="111">
        <v>46039.0</v>
      </c>
      <c r="E375" s="43" t="s">
        <v>70</v>
      </c>
      <c r="F375" s="58" t="s">
        <v>71</v>
      </c>
      <c r="G375" s="58" t="s">
        <v>44</v>
      </c>
      <c r="H375" s="58" t="s">
        <v>64</v>
      </c>
      <c r="I375" s="58" t="s">
        <v>65</v>
      </c>
      <c r="J375" s="76"/>
      <c r="K375" s="77">
        <v>80.0</v>
      </c>
      <c r="L375" s="76"/>
      <c r="M375" s="77">
        <v>80.0</v>
      </c>
      <c r="N375" s="78" t="s">
        <v>23</v>
      </c>
      <c r="O375" s="71"/>
      <c r="P375" s="49" t="str">
        <f t="shared" ref="P375:Q375" si="359">IF(J375="","",J375-L375)</f>
        <v/>
      </c>
      <c r="Q375" s="50">
        <f t="shared" si="359"/>
        <v>0</v>
      </c>
      <c r="R375" s="7"/>
      <c r="S375" s="7"/>
      <c r="T375" s="7"/>
      <c r="U375" s="7"/>
      <c r="V375" s="7"/>
      <c r="W375" s="7"/>
      <c r="X375" s="7"/>
      <c r="Y375" s="7"/>
      <c r="Z375" s="7"/>
      <c r="AA375" s="7" t="str">
        <f t="shared" si="319"/>
        <v/>
      </c>
      <c r="AB375" s="7" t="str">
        <f t="shared" si="320"/>
        <v/>
      </c>
      <c r="AC375" s="7"/>
      <c r="AD375" s="7"/>
      <c r="AE375" s="7" t="str">
        <f t="shared" si="332"/>
        <v>#REF!</v>
      </c>
      <c r="AF375" s="7"/>
      <c r="AG375" s="7"/>
      <c r="AH375" s="7"/>
      <c r="AI375" s="7"/>
      <c r="AJ375" s="7"/>
    </row>
    <row r="376">
      <c r="A376" s="40"/>
      <c r="B376" s="14"/>
      <c r="C376" s="41"/>
      <c r="D376" s="112">
        <v>46039.0</v>
      </c>
      <c r="E376" s="54" t="s">
        <v>73</v>
      </c>
      <c r="F376" s="55" t="s">
        <v>74</v>
      </c>
      <c r="G376" s="55" t="s">
        <v>44</v>
      </c>
      <c r="H376" s="55" t="s">
        <v>64</v>
      </c>
      <c r="I376" s="55" t="s">
        <v>75</v>
      </c>
      <c r="J376" s="81"/>
      <c r="K376" s="84">
        <v>10.0</v>
      </c>
      <c r="L376" s="81"/>
      <c r="M376" s="84">
        <v>10.0</v>
      </c>
      <c r="N376" s="85" t="s">
        <v>23</v>
      </c>
      <c r="O376" s="71"/>
      <c r="P376" s="49" t="str">
        <f t="shared" ref="P376:Q376" si="360">IF(J376="","",J376-L376)</f>
        <v/>
      </c>
      <c r="Q376" s="50">
        <f t="shared" si="360"/>
        <v>0</v>
      </c>
      <c r="R376" s="7"/>
      <c r="S376" s="7"/>
      <c r="T376" s="7"/>
      <c r="U376" s="7"/>
      <c r="V376" s="7"/>
      <c r="W376" s="7"/>
      <c r="X376" s="7"/>
      <c r="Y376" s="7"/>
      <c r="Z376" s="7"/>
      <c r="AA376" s="7" t="str">
        <f t="shared" si="319"/>
        <v/>
      </c>
      <c r="AB376" s="7" t="str">
        <f t="shared" si="320"/>
        <v/>
      </c>
      <c r="AC376" s="7"/>
      <c r="AD376" s="7"/>
      <c r="AE376" s="7" t="str">
        <f t="shared" si="332"/>
        <v>#REF!</v>
      </c>
      <c r="AF376" s="7"/>
      <c r="AG376" s="7"/>
      <c r="AH376" s="7"/>
      <c r="AI376" s="7"/>
      <c r="AJ376" s="7"/>
    </row>
    <row r="377">
      <c r="A377" s="40"/>
      <c r="B377" s="14"/>
      <c r="C377" s="41"/>
      <c r="D377" s="111">
        <v>46039.0</v>
      </c>
      <c r="E377" s="43" t="s">
        <v>77</v>
      </c>
      <c r="F377" s="58" t="s">
        <v>78</v>
      </c>
      <c r="G377" s="58" t="s">
        <v>44</v>
      </c>
      <c r="H377" s="58" t="s">
        <v>64</v>
      </c>
      <c r="I377" s="58" t="s">
        <v>65</v>
      </c>
      <c r="J377" s="76"/>
      <c r="K377" s="77">
        <v>30.0</v>
      </c>
      <c r="L377" s="76"/>
      <c r="M377" s="77">
        <v>30.0</v>
      </c>
      <c r="N377" s="78" t="s">
        <v>23</v>
      </c>
      <c r="O377" s="71"/>
      <c r="P377" s="49" t="str">
        <f t="shared" ref="P377:Q377" si="361">IF(J377="","",J377-L377)</f>
        <v/>
      </c>
      <c r="Q377" s="50">
        <f t="shared" si="361"/>
        <v>0</v>
      </c>
      <c r="R377" s="7"/>
      <c r="S377" s="7"/>
      <c r="T377" s="7"/>
      <c r="U377" s="7"/>
      <c r="V377" s="7"/>
      <c r="W377" s="7"/>
      <c r="X377" s="7"/>
      <c r="Y377" s="7"/>
      <c r="Z377" s="7"/>
      <c r="AA377" s="7" t="str">
        <f t="shared" si="319"/>
        <v/>
      </c>
      <c r="AB377" s="7" t="str">
        <f t="shared" si="320"/>
        <v/>
      </c>
      <c r="AC377" s="7"/>
      <c r="AD377" s="7"/>
      <c r="AE377" s="7" t="str">
        <f t="shared" si="332"/>
        <v>#REF!</v>
      </c>
      <c r="AF377" s="7"/>
      <c r="AG377" s="7"/>
      <c r="AH377" s="7"/>
      <c r="AI377" s="7"/>
      <c r="AJ377" s="7"/>
    </row>
    <row r="378">
      <c r="A378" s="40"/>
      <c r="B378" s="14"/>
      <c r="C378" s="41"/>
      <c r="D378" s="112">
        <v>46039.0</v>
      </c>
      <c r="E378" s="54"/>
      <c r="F378" s="55" t="s">
        <v>81</v>
      </c>
      <c r="G378" s="55" t="s">
        <v>44</v>
      </c>
      <c r="H378" s="55" t="s">
        <v>64</v>
      </c>
      <c r="I378" s="55" t="s">
        <v>65</v>
      </c>
      <c r="J378" s="81"/>
      <c r="K378" s="84"/>
      <c r="L378" s="81"/>
      <c r="M378" s="84"/>
      <c r="N378" s="82"/>
      <c r="O378" s="71"/>
      <c r="P378" s="49" t="str">
        <f t="shared" ref="P378:Q378" si="362">IF(J378="","",J378-L378)</f>
        <v/>
      </c>
      <c r="Q378" s="50" t="str">
        <f t="shared" si="362"/>
        <v/>
      </c>
      <c r="R378" s="7"/>
      <c r="S378" s="7"/>
      <c r="T378" s="7"/>
      <c r="U378" s="7"/>
      <c r="V378" s="7"/>
      <c r="W378" s="7"/>
      <c r="X378" s="7"/>
      <c r="Y378" s="7"/>
      <c r="Z378" s="7"/>
      <c r="AA378" s="7" t="str">
        <f t="shared" si="319"/>
        <v/>
      </c>
      <c r="AB378" s="7" t="str">
        <f t="shared" si="320"/>
        <v/>
      </c>
      <c r="AC378" s="7"/>
      <c r="AD378" s="7"/>
      <c r="AE378" s="7" t="str">
        <f t="shared" si="332"/>
        <v>#REF!</v>
      </c>
      <c r="AF378" s="7"/>
      <c r="AG378" s="7"/>
      <c r="AH378" s="7"/>
      <c r="AI378" s="7"/>
      <c r="AJ378" s="7"/>
    </row>
    <row r="379">
      <c r="A379" s="40"/>
      <c r="B379" s="14"/>
      <c r="C379" s="41"/>
      <c r="D379" s="111">
        <v>46039.0</v>
      </c>
      <c r="E379" s="43"/>
      <c r="F379" s="58" t="s">
        <v>84</v>
      </c>
      <c r="G379" s="58" t="s">
        <v>44</v>
      </c>
      <c r="H379" s="58" t="s">
        <v>64</v>
      </c>
      <c r="I379" s="58" t="s">
        <v>65</v>
      </c>
      <c r="J379" s="76"/>
      <c r="K379" s="77"/>
      <c r="L379" s="76"/>
      <c r="M379" s="77"/>
      <c r="N379" s="114"/>
      <c r="O379" s="71"/>
      <c r="P379" s="49" t="str">
        <f t="shared" ref="P379:Q379" si="363">IF(J379="","",J379-L379)</f>
        <v/>
      </c>
      <c r="Q379" s="50" t="str">
        <f t="shared" si="363"/>
        <v/>
      </c>
      <c r="R379" s="7"/>
      <c r="S379" s="7"/>
      <c r="T379" s="7"/>
      <c r="U379" s="7"/>
      <c r="V379" s="7"/>
      <c r="W379" s="7"/>
      <c r="X379" s="7"/>
      <c r="Y379" s="7"/>
      <c r="Z379" s="7"/>
      <c r="AA379" s="7" t="str">
        <f t="shared" si="319"/>
        <v/>
      </c>
      <c r="AB379" s="7" t="str">
        <f t="shared" si="320"/>
        <v/>
      </c>
      <c r="AC379" s="7"/>
      <c r="AD379" s="7"/>
      <c r="AE379" s="7" t="str">
        <f t="shared" si="332"/>
        <v>#REF!</v>
      </c>
      <c r="AF379" s="7"/>
      <c r="AG379" s="7"/>
      <c r="AH379" s="7"/>
      <c r="AI379" s="7"/>
      <c r="AJ379" s="7"/>
    </row>
    <row r="380">
      <c r="A380" s="40"/>
      <c r="B380" s="14"/>
      <c r="C380" s="41"/>
      <c r="D380" s="112">
        <v>46039.0</v>
      </c>
      <c r="E380" s="106" t="s">
        <v>86</v>
      </c>
      <c r="F380" s="88" t="s">
        <v>87</v>
      </c>
      <c r="G380" s="88" t="s">
        <v>44</v>
      </c>
      <c r="H380" s="88" t="s">
        <v>64</v>
      </c>
      <c r="I380" s="88" t="s">
        <v>75</v>
      </c>
      <c r="J380" s="81"/>
      <c r="K380" s="84">
        <v>10.0</v>
      </c>
      <c r="L380" s="81"/>
      <c r="M380" s="84">
        <v>10.0</v>
      </c>
      <c r="N380" s="85" t="s">
        <v>23</v>
      </c>
      <c r="O380" s="48"/>
      <c r="P380" s="49" t="str">
        <f t="shared" ref="P380:Q380" si="364">IF(J380="","",J380-L380)</f>
        <v/>
      </c>
      <c r="Q380" s="50">
        <f t="shared" si="364"/>
        <v>0</v>
      </c>
      <c r="R380" s="7"/>
      <c r="S380" s="7"/>
      <c r="T380" s="7"/>
      <c r="U380" s="7"/>
      <c r="V380" s="7"/>
      <c r="W380" s="7"/>
      <c r="X380" s="7"/>
      <c r="Y380" s="7"/>
      <c r="Z380" s="7"/>
      <c r="AA380" s="7" t="str">
        <f t="shared" si="319"/>
        <v/>
      </c>
      <c r="AB380" s="7" t="str">
        <f t="shared" si="320"/>
        <v/>
      </c>
      <c r="AC380" s="7"/>
      <c r="AD380" s="7"/>
      <c r="AE380" s="7" t="str">
        <f t="shared" si="332"/>
        <v>#REF!</v>
      </c>
      <c r="AF380" s="7"/>
      <c r="AG380" s="7"/>
      <c r="AH380" s="7"/>
      <c r="AI380" s="7"/>
      <c r="AJ380" s="7"/>
    </row>
    <row r="381">
      <c r="A381" s="40"/>
      <c r="B381" s="14"/>
      <c r="C381" s="41"/>
      <c r="D381" s="111">
        <v>46039.0</v>
      </c>
      <c r="E381" s="83" t="s">
        <v>89</v>
      </c>
      <c r="F381" s="58" t="s">
        <v>90</v>
      </c>
      <c r="G381" s="58" t="s">
        <v>91</v>
      </c>
      <c r="H381" s="58" t="s">
        <v>64</v>
      </c>
      <c r="I381" s="58" t="s">
        <v>92</v>
      </c>
      <c r="J381" s="76"/>
      <c r="K381" s="77">
        <v>25.0</v>
      </c>
      <c r="L381" s="76"/>
      <c r="M381" s="77">
        <v>25.0</v>
      </c>
      <c r="N381" s="78" t="s">
        <v>23</v>
      </c>
      <c r="O381" s="48"/>
      <c r="P381" s="49" t="str">
        <f t="shared" ref="P381:Q381" si="365">IF(J381="","",J381-L381)</f>
        <v/>
      </c>
      <c r="Q381" s="50">
        <f t="shared" si="365"/>
        <v>0</v>
      </c>
      <c r="R381" s="7"/>
      <c r="S381" s="7"/>
      <c r="T381" s="7"/>
      <c r="U381" s="7"/>
      <c r="V381" s="7"/>
      <c r="W381" s="7"/>
      <c r="X381" s="7"/>
      <c r="Y381" s="7"/>
      <c r="Z381" s="7"/>
      <c r="AA381" s="7" t="str">
        <f t="shared" si="319"/>
        <v/>
      </c>
      <c r="AB381" s="7" t="str">
        <f t="shared" si="320"/>
        <v/>
      </c>
      <c r="AC381" s="7"/>
      <c r="AD381" s="7"/>
      <c r="AE381" s="7" t="str">
        <f t="shared" si="332"/>
        <v>#REF!</v>
      </c>
      <c r="AF381" s="7"/>
      <c r="AG381" s="7"/>
      <c r="AH381" s="7"/>
      <c r="AI381" s="7"/>
      <c r="AJ381" s="7"/>
    </row>
    <row r="382">
      <c r="A382" s="40"/>
      <c r="B382" s="14"/>
      <c r="C382" s="41"/>
      <c r="D382" s="112">
        <v>46039.0</v>
      </c>
      <c r="E382" s="80" t="s">
        <v>94</v>
      </c>
      <c r="F382" s="55" t="s">
        <v>90</v>
      </c>
      <c r="G382" s="55" t="s">
        <v>91</v>
      </c>
      <c r="H382" s="55" t="s">
        <v>64</v>
      </c>
      <c r="I382" s="55" t="s">
        <v>92</v>
      </c>
      <c r="J382" s="81"/>
      <c r="K382" s="84">
        <v>40.0</v>
      </c>
      <c r="L382" s="81"/>
      <c r="M382" s="84">
        <v>40.0</v>
      </c>
      <c r="N382" s="85" t="s">
        <v>23</v>
      </c>
      <c r="O382" s="48"/>
      <c r="P382" s="49" t="str">
        <f t="shared" ref="P382:Q382" si="366">IF(J382="","",J382-L382)</f>
        <v/>
      </c>
      <c r="Q382" s="50">
        <f t="shared" si="366"/>
        <v>0</v>
      </c>
      <c r="R382" s="7"/>
      <c r="S382" s="7"/>
      <c r="T382" s="7"/>
      <c r="U382" s="7"/>
      <c r="V382" s="7"/>
      <c r="W382" s="7"/>
      <c r="X382" s="7"/>
      <c r="Y382" s="7"/>
      <c r="Z382" s="7"/>
      <c r="AA382" s="7" t="str">
        <f t="shared" si="319"/>
        <v/>
      </c>
      <c r="AB382" s="7" t="str">
        <f t="shared" si="320"/>
        <v/>
      </c>
      <c r="AC382" s="7"/>
      <c r="AD382" s="7"/>
      <c r="AE382" s="7" t="str">
        <f t="shared" si="332"/>
        <v>#REF!</v>
      </c>
      <c r="AF382" s="7"/>
      <c r="AG382" s="7"/>
      <c r="AH382" s="7"/>
      <c r="AI382" s="7"/>
      <c r="AJ382" s="7"/>
    </row>
    <row r="383">
      <c r="A383" s="40"/>
      <c r="B383" s="14"/>
      <c r="C383" s="41"/>
      <c r="D383" s="111">
        <v>46039.0</v>
      </c>
      <c r="E383" s="83"/>
      <c r="F383" s="58" t="s">
        <v>20</v>
      </c>
      <c r="G383" s="58" t="s">
        <v>20</v>
      </c>
      <c r="H383" s="58" t="s">
        <v>20</v>
      </c>
      <c r="I383" s="58" t="s">
        <v>20</v>
      </c>
      <c r="J383" s="76"/>
      <c r="K383" s="76"/>
      <c r="L383" s="76"/>
      <c r="M383" s="76"/>
      <c r="N383" s="114"/>
      <c r="O383" s="48"/>
      <c r="P383" s="49" t="str">
        <f t="shared" ref="P383:Q383" si="367">IF(J383="","",J383-L383)</f>
        <v/>
      </c>
      <c r="Q383" s="50" t="str">
        <f t="shared" si="367"/>
        <v/>
      </c>
      <c r="R383" s="7"/>
      <c r="S383" s="7"/>
      <c r="T383" s="7"/>
      <c r="U383" s="7"/>
      <c r="V383" s="7"/>
      <c r="W383" s="7"/>
      <c r="X383" s="7"/>
      <c r="Y383" s="7"/>
      <c r="Z383" s="7"/>
      <c r="AA383" s="7" t="str">
        <f t="shared" si="319"/>
        <v/>
      </c>
      <c r="AB383" s="7" t="str">
        <f t="shared" si="320"/>
        <v/>
      </c>
      <c r="AC383" s="7"/>
      <c r="AD383" s="7"/>
      <c r="AE383" s="7" t="str">
        <f t="shared" si="332"/>
        <v>#REF!</v>
      </c>
      <c r="AF383" s="7"/>
      <c r="AG383" s="7"/>
      <c r="AH383" s="7"/>
      <c r="AI383" s="7"/>
      <c r="AJ383" s="7"/>
    </row>
    <row r="384">
      <c r="A384" s="40"/>
      <c r="B384" s="14"/>
      <c r="C384" s="41"/>
      <c r="D384" s="112">
        <v>46039.0</v>
      </c>
      <c r="E384" s="80"/>
      <c r="F384" s="55" t="s">
        <v>74</v>
      </c>
      <c r="G384" s="55" t="s">
        <v>44</v>
      </c>
      <c r="H384" s="55" t="s">
        <v>64</v>
      </c>
      <c r="I384" s="55" t="s">
        <v>102</v>
      </c>
      <c r="J384" s="81"/>
      <c r="K384" s="81"/>
      <c r="L384" s="81"/>
      <c r="M384" s="81"/>
      <c r="N384" s="82"/>
      <c r="O384" s="48"/>
      <c r="P384" s="49" t="str">
        <f t="shared" ref="P384:Q384" si="368">IF(J384="","",J384-L384)</f>
        <v/>
      </c>
      <c r="Q384" s="50" t="str">
        <f t="shared" si="368"/>
        <v/>
      </c>
      <c r="R384" s="7"/>
      <c r="S384" s="7"/>
      <c r="T384" s="7"/>
      <c r="U384" s="7"/>
      <c r="V384" s="7"/>
      <c r="W384" s="7"/>
      <c r="X384" s="7"/>
      <c r="Y384" s="7"/>
      <c r="Z384" s="7"/>
      <c r="AA384" s="7" t="str">
        <f t="shared" si="319"/>
        <v/>
      </c>
      <c r="AB384" s="7" t="str">
        <f t="shared" si="320"/>
        <v/>
      </c>
      <c r="AC384" s="7"/>
      <c r="AD384" s="7"/>
      <c r="AE384" s="7" t="str">
        <f t="shared" si="332"/>
        <v>#REF!</v>
      </c>
      <c r="AF384" s="7"/>
      <c r="AG384" s="7"/>
      <c r="AH384" s="7"/>
      <c r="AI384" s="7"/>
      <c r="AJ384" s="7"/>
    </row>
    <row r="385">
      <c r="A385" s="40"/>
      <c r="B385" s="14"/>
      <c r="C385" s="41"/>
      <c r="D385" s="111">
        <v>46039.0</v>
      </c>
      <c r="E385" s="43"/>
      <c r="F385" s="104" t="s">
        <v>105</v>
      </c>
      <c r="G385" s="58" t="s">
        <v>91</v>
      </c>
      <c r="H385" s="44" t="s">
        <v>64</v>
      </c>
      <c r="I385" s="44" t="s">
        <v>102</v>
      </c>
      <c r="J385" s="76"/>
      <c r="K385" s="76"/>
      <c r="L385" s="76"/>
      <c r="M385" s="76"/>
      <c r="N385" s="114"/>
      <c r="O385" s="71"/>
      <c r="P385" s="49" t="str">
        <f t="shared" ref="P385:Q385" si="369">IF(J385="","",J385-L385)</f>
        <v/>
      </c>
      <c r="Q385" s="50" t="str">
        <f t="shared" si="369"/>
        <v/>
      </c>
      <c r="R385" s="7"/>
      <c r="S385" s="7"/>
      <c r="T385" s="7"/>
      <c r="U385" s="7"/>
      <c r="V385" s="7"/>
      <c r="W385" s="7"/>
      <c r="X385" s="7"/>
      <c r="Y385" s="7"/>
      <c r="Z385" s="7"/>
      <c r="AA385" s="7" t="str">
        <f t="shared" si="319"/>
        <v/>
      </c>
      <c r="AB385" s="7" t="str">
        <f t="shared" si="320"/>
        <v/>
      </c>
      <c r="AC385" s="7"/>
      <c r="AD385" s="7"/>
      <c r="AE385" s="7" t="str">
        <f t="shared" si="332"/>
        <v>#REF!</v>
      </c>
      <c r="AF385" s="7"/>
      <c r="AG385" s="7"/>
      <c r="AH385" s="7"/>
      <c r="AI385" s="7"/>
      <c r="AJ385" s="7"/>
    </row>
    <row r="386">
      <c r="A386" s="40"/>
      <c r="B386" s="14"/>
      <c r="C386" s="41"/>
      <c r="D386" s="112">
        <v>46039.0</v>
      </c>
      <c r="E386" s="106"/>
      <c r="F386" s="88" t="s">
        <v>446</v>
      </c>
      <c r="G386" s="55" t="s">
        <v>91</v>
      </c>
      <c r="H386" s="88" t="s">
        <v>64</v>
      </c>
      <c r="I386" s="88" t="s">
        <v>46</v>
      </c>
      <c r="J386" s="81"/>
      <c r="K386" s="81"/>
      <c r="L386" s="81"/>
      <c r="M386" s="81"/>
      <c r="N386" s="82"/>
      <c r="O386" s="71"/>
      <c r="P386" s="49" t="str">
        <f t="shared" ref="P386:Q386" si="370">IF(J386="","",J386-L386)</f>
        <v/>
      </c>
      <c r="Q386" s="50" t="str">
        <f t="shared" si="370"/>
        <v/>
      </c>
      <c r="R386" s="7"/>
      <c r="S386" s="7"/>
      <c r="T386" s="7"/>
      <c r="U386" s="7"/>
      <c r="V386" s="7"/>
      <c r="W386" s="7"/>
      <c r="X386" s="7"/>
      <c r="Y386" s="7"/>
      <c r="Z386" s="7"/>
      <c r="AA386" s="7" t="str">
        <f t="shared" si="319"/>
        <v/>
      </c>
      <c r="AB386" s="7" t="str">
        <f t="shared" si="320"/>
        <v/>
      </c>
      <c r="AC386" s="7"/>
      <c r="AD386" s="7"/>
      <c r="AE386" s="7" t="str">
        <f t="shared" si="332"/>
        <v>#REF!</v>
      </c>
      <c r="AF386" s="7"/>
      <c r="AG386" s="7"/>
      <c r="AH386" s="7"/>
      <c r="AI386" s="7"/>
      <c r="AJ386" s="7"/>
    </row>
    <row r="387">
      <c r="A387" s="40"/>
      <c r="B387" s="14"/>
      <c r="C387" s="41"/>
      <c r="D387" s="111">
        <v>46039.0</v>
      </c>
      <c r="E387" s="83" t="s">
        <v>109</v>
      </c>
      <c r="F387" s="58" t="s">
        <v>110</v>
      </c>
      <c r="G387" s="58" t="s">
        <v>44</v>
      </c>
      <c r="H387" s="58" t="s">
        <v>64</v>
      </c>
      <c r="I387" s="58" t="s">
        <v>111</v>
      </c>
      <c r="J387" s="76"/>
      <c r="K387" s="77">
        <v>75.0</v>
      </c>
      <c r="L387" s="76"/>
      <c r="M387" s="77">
        <v>75.0</v>
      </c>
      <c r="N387" s="78" t="s">
        <v>23</v>
      </c>
      <c r="O387" s="71"/>
      <c r="P387" s="49" t="str">
        <f t="shared" ref="P387:Q387" si="371">IF(J387="","",J387-L387)</f>
        <v/>
      </c>
      <c r="Q387" s="50">
        <f t="shared" si="371"/>
        <v>0</v>
      </c>
      <c r="R387" s="7"/>
      <c r="S387" s="7"/>
      <c r="T387" s="7"/>
      <c r="U387" s="7"/>
      <c r="V387" s="7"/>
      <c r="W387" s="7"/>
      <c r="X387" s="7"/>
      <c r="Y387" s="7"/>
      <c r="Z387" s="7"/>
      <c r="AA387" s="7" t="str">
        <f t="shared" si="319"/>
        <v/>
      </c>
      <c r="AB387" s="7" t="str">
        <f t="shared" si="320"/>
        <v/>
      </c>
      <c r="AC387" s="7"/>
      <c r="AD387" s="7"/>
      <c r="AE387" s="7" t="str">
        <f t="shared" si="332"/>
        <v>#REF!</v>
      </c>
      <c r="AF387" s="7"/>
      <c r="AG387" s="7"/>
      <c r="AH387" s="7"/>
      <c r="AI387" s="7"/>
      <c r="AJ387" s="7"/>
    </row>
    <row r="388">
      <c r="A388" s="40"/>
      <c r="B388" s="14"/>
      <c r="C388" s="41"/>
      <c r="D388" s="112">
        <v>46039.0</v>
      </c>
      <c r="E388" s="80" t="s">
        <v>113</v>
      </c>
      <c r="F388" s="55" t="s">
        <v>114</v>
      </c>
      <c r="G388" s="55" t="s">
        <v>44</v>
      </c>
      <c r="H388" s="55" t="s">
        <v>64</v>
      </c>
      <c r="I388" s="55" t="s">
        <v>111</v>
      </c>
      <c r="J388" s="81"/>
      <c r="K388" s="84">
        <v>55.0</v>
      </c>
      <c r="L388" s="81"/>
      <c r="M388" s="84">
        <v>55.0</v>
      </c>
      <c r="N388" s="85" t="s">
        <v>23</v>
      </c>
      <c r="O388" s="48"/>
      <c r="P388" s="49" t="str">
        <f t="shared" ref="P388:Q388" si="372">IF(J388="","",J388-L388)</f>
        <v/>
      </c>
      <c r="Q388" s="50">
        <f t="shared" si="372"/>
        <v>0</v>
      </c>
      <c r="R388" s="7"/>
      <c r="S388" s="7"/>
      <c r="T388" s="7"/>
      <c r="U388" s="7"/>
      <c r="V388" s="7"/>
      <c r="W388" s="7"/>
      <c r="X388" s="7"/>
      <c r="Y388" s="7"/>
      <c r="Z388" s="7"/>
      <c r="AA388" s="7" t="str">
        <f t="shared" si="319"/>
        <v/>
      </c>
      <c r="AB388" s="7" t="str">
        <f t="shared" si="320"/>
        <v/>
      </c>
      <c r="AC388" s="7"/>
      <c r="AD388" s="7"/>
      <c r="AE388" s="7" t="str">
        <f t="shared" si="332"/>
        <v>#REF!</v>
      </c>
      <c r="AF388" s="7"/>
      <c r="AG388" s="7"/>
      <c r="AH388" s="7"/>
      <c r="AI388" s="7"/>
      <c r="AJ388" s="7"/>
    </row>
    <row r="389">
      <c r="A389" s="40"/>
      <c r="B389" s="14"/>
      <c r="C389" s="41"/>
      <c r="D389" s="141"/>
      <c r="E389" s="122"/>
      <c r="F389" s="123"/>
      <c r="G389" s="123"/>
      <c r="H389" s="123"/>
      <c r="I389" s="123"/>
      <c r="J389" s="76"/>
      <c r="K389" s="76"/>
      <c r="L389" s="76"/>
      <c r="M389" s="76"/>
      <c r="N389" s="114"/>
      <c r="O389" s="71"/>
      <c r="P389" s="49" t="str">
        <f t="shared" ref="P389:Q389" si="373">IF(J389="","",J389-L389)</f>
        <v/>
      </c>
      <c r="Q389" s="50" t="str">
        <f t="shared" si="373"/>
        <v/>
      </c>
      <c r="R389" s="7"/>
      <c r="S389" s="7"/>
      <c r="T389" s="7"/>
      <c r="U389" s="7"/>
      <c r="V389" s="7"/>
      <c r="W389" s="7"/>
      <c r="X389" s="7"/>
      <c r="Y389" s="7"/>
      <c r="Z389" s="7"/>
      <c r="AA389" s="7" t="str">
        <f t="shared" si="319"/>
        <v/>
      </c>
      <c r="AB389" s="7" t="str">
        <f t="shared" si="320"/>
        <v/>
      </c>
      <c r="AC389" s="7"/>
      <c r="AD389" s="7"/>
      <c r="AE389" s="7" t="str">
        <f t="shared" si="332"/>
        <v>#REF!</v>
      </c>
      <c r="AF389" s="7"/>
      <c r="AG389" s="7"/>
      <c r="AH389" s="7"/>
      <c r="AI389" s="7"/>
      <c r="AJ389" s="7"/>
    </row>
    <row r="390">
      <c r="A390" s="40"/>
      <c r="B390" s="14"/>
      <c r="C390" s="41"/>
      <c r="D390" s="142"/>
      <c r="E390" s="120"/>
      <c r="F390" s="121"/>
      <c r="G390" s="121"/>
      <c r="H390" s="121"/>
      <c r="I390" s="121"/>
      <c r="J390" s="81"/>
      <c r="K390" s="81"/>
      <c r="L390" s="81"/>
      <c r="M390" s="81"/>
      <c r="N390" s="82"/>
      <c r="O390" s="48"/>
      <c r="P390" s="49" t="str">
        <f t="shared" ref="P390:Q390" si="374">IF(J390="","",J390-L390)</f>
        <v/>
      </c>
      <c r="Q390" s="50" t="str">
        <f t="shared" si="374"/>
        <v/>
      </c>
      <c r="R390" s="7"/>
      <c r="S390" s="7"/>
      <c r="T390" s="7"/>
      <c r="U390" s="7"/>
      <c r="V390" s="7"/>
      <c r="W390" s="7"/>
      <c r="X390" s="7"/>
      <c r="Y390" s="7"/>
      <c r="Z390" s="7"/>
      <c r="AA390" s="7" t="str">
        <f t="shared" si="319"/>
        <v/>
      </c>
      <c r="AB390" s="7" t="str">
        <f t="shared" si="320"/>
        <v/>
      </c>
      <c r="AC390" s="7"/>
      <c r="AD390" s="7"/>
      <c r="AE390" s="7" t="str">
        <f t="shared" si="332"/>
        <v>#REF!</v>
      </c>
      <c r="AF390" s="7"/>
      <c r="AG390" s="7"/>
      <c r="AH390" s="7"/>
      <c r="AI390" s="7"/>
      <c r="AJ390" s="7"/>
    </row>
    <row r="391">
      <c r="A391" s="40"/>
      <c r="B391" s="14"/>
      <c r="C391" s="41"/>
      <c r="D391" s="141"/>
      <c r="E391" s="122"/>
      <c r="F391" s="123"/>
      <c r="G391" s="123"/>
      <c r="H391" s="123"/>
      <c r="I391" s="123"/>
      <c r="J391" s="76"/>
      <c r="K391" s="76"/>
      <c r="L391" s="76"/>
      <c r="M391" s="76"/>
      <c r="N391" s="114"/>
      <c r="O391" s="71"/>
      <c r="P391" s="49" t="str">
        <f t="shared" ref="P391:Q391" si="375">IF(J391="","",J391-L391)</f>
        <v/>
      </c>
      <c r="Q391" s="50" t="str">
        <f t="shared" si="375"/>
        <v/>
      </c>
      <c r="R391" s="7"/>
      <c r="S391" s="7"/>
      <c r="T391" s="7"/>
      <c r="U391" s="7"/>
      <c r="V391" s="7"/>
      <c r="W391" s="7"/>
      <c r="X391" s="7"/>
      <c r="Y391" s="7"/>
      <c r="Z391" s="7"/>
      <c r="AA391" s="7" t="str">
        <f t="shared" si="319"/>
        <v/>
      </c>
      <c r="AB391" s="7" t="str">
        <f t="shared" si="320"/>
        <v/>
      </c>
      <c r="AC391" s="7"/>
      <c r="AD391" s="7"/>
      <c r="AE391" s="7" t="str">
        <f t="shared" si="332"/>
        <v>#REF!</v>
      </c>
      <c r="AF391" s="7"/>
      <c r="AG391" s="7"/>
      <c r="AH391" s="7"/>
      <c r="AI391" s="7"/>
      <c r="AJ391" s="7"/>
    </row>
    <row r="392">
      <c r="A392" s="40"/>
      <c r="B392" s="14"/>
      <c r="C392" s="41"/>
      <c r="D392" s="142"/>
      <c r="E392" s="120"/>
      <c r="F392" s="121"/>
      <c r="G392" s="121"/>
      <c r="H392" s="121"/>
      <c r="I392" s="121"/>
      <c r="J392" s="81"/>
      <c r="K392" s="81"/>
      <c r="L392" s="81"/>
      <c r="M392" s="81"/>
      <c r="N392" s="82"/>
      <c r="O392" s="48"/>
      <c r="P392" s="49" t="str">
        <f t="shared" ref="P392:Q392" si="376">IF(J392="","",J392-L392)</f>
        <v/>
      </c>
      <c r="Q392" s="50" t="str">
        <f t="shared" si="376"/>
        <v/>
      </c>
      <c r="R392" s="7"/>
      <c r="S392" s="7"/>
      <c r="T392" s="7"/>
      <c r="U392" s="7"/>
      <c r="V392" s="7"/>
      <c r="W392" s="7"/>
      <c r="X392" s="7"/>
      <c r="Y392" s="7"/>
      <c r="Z392" s="7"/>
      <c r="AA392" s="7" t="str">
        <f t="shared" si="319"/>
        <v/>
      </c>
      <c r="AB392" s="7" t="str">
        <f t="shared" si="320"/>
        <v/>
      </c>
      <c r="AC392" s="7"/>
      <c r="AD392" s="7"/>
      <c r="AE392" s="7" t="str">
        <f t="shared" si="332"/>
        <v>#REF!</v>
      </c>
      <c r="AF392" s="7"/>
      <c r="AG392" s="7"/>
      <c r="AH392" s="7"/>
      <c r="AI392" s="7"/>
      <c r="AJ392" s="7"/>
    </row>
    <row r="393">
      <c r="A393" s="40"/>
      <c r="B393" s="14"/>
      <c r="C393" s="41"/>
      <c r="D393" s="141"/>
      <c r="E393" s="122"/>
      <c r="F393" s="123"/>
      <c r="G393" s="123"/>
      <c r="H393" s="123"/>
      <c r="I393" s="123"/>
      <c r="J393" s="76"/>
      <c r="K393" s="76"/>
      <c r="L393" s="76"/>
      <c r="M393" s="76"/>
      <c r="N393" s="114"/>
      <c r="O393" s="71"/>
      <c r="P393" s="49" t="str">
        <f t="shared" ref="P393:Q393" si="377">IF(J393="","",J393-L393)</f>
        <v/>
      </c>
      <c r="Q393" s="50" t="str">
        <f t="shared" si="377"/>
        <v/>
      </c>
      <c r="R393" s="7"/>
      <c r="S393" s="7"/>
      <c r="T393" s="7"/>
      <c r="U393" s="7"/>
      <c r="V393" s="7"/>
      <c r="W393" s="7"/>
      <c r="X393" s="7"/>
      <c r="Y393" s="7"/>
      <c r="Z393" s="7"/>
      <c r="AA393" s="7" t="str">
        <f t="shared" si="319"/>
        <v/>
      </c>
      <c r="AB393" s="7" t="str">
        <f t="shared" si="320"/>
        <v/>
      </c>
      <c r="AC393" s="7"/>
      <c r="AD393" s="7"/>
      <c r="AE393" s="7" t="str">
        <f t="shared" si="332"/>
        <v>#REF!</v>
      </c>
      <c r="AF393" s="7"/>
      <c r="AG393" s="7"/>
      <c r="AH393" s="7"/>
      <c r="AI393" s="7"/>
      <c r="AJ393" s="7"/>
    </row>
    <row r="394">
      <c r="A394" s="40"/>
      <c r="B394" s="14"/>
      <c r="C394" s="41"/>
      <c r="D394" s="142"/>
      <c r="E394" s="120"/>
      <c r="F394" s="121"/>
      <c r="G394" s="121"/>
      <c r="H394" s="121"/>
      <c r="I394" s="121"/>
      <c r="J394" s="81"/>
      <c r="K394" s="81"/>
      <c r="L394" s="81"/>
      <c r="M394" s="81"/>
      <c r="N394" s="82"/>
      <c r="O394" s="48"/>
      <c r="P394" s="49" t="str">
        <f t="shared" ref="P394:Q394" si="378">IF(J394="","",J394-L394)</f>
        <v/>
      </c>
      <c r="Q394" s="50" t="str">
        <f t="shared" si="378"/>
        <v/>
      </c>
      <c r="R394" s="7"/>
      <c r="S394" s="7"/>
      <c r="T394" s="7"/>
      <c r="U394" s="7"/>
      <c r="V394" s="7"/>
      <c r="W394" s="7"/>
      <c r="X394" s="7"/>
      <c r="Y394" s="7"/>
      <c r="Z394" s="7"/>
      <c r="AA394" s="7" t="str">
        <f t="shared" si="319"/>
        <v/>
      </c>
      <c r="AB394" s="7" t="str">
        <f t="shared" si="320"/>
        <v/>
      </c>
      <c r="AC394" s="7"/>
      <c r="AD394" s="7"/>
      <c r="AE394" s="7" t="str">
        <f t="shared" si="332"/>
        <v>#REF!</v>
      </c>
      <c r="AF394" s="7"/>
      <c r="AG394" s="7"/>
      <c r="AH394" s="7"/>
      <c r="AI394" s="7"/>
      <c r="AJ394" s="7"/>
    </row>
    <row r="395">
      <c r="A395" s="40"/>
      <c r="B395" s="14"/>
      <c r="C395" s="41"/>
      <c r="D395" s="141"/>
      <c r="E395" s="122"/>
      <c r="F395" s="123"/>
      <c r="G395" s="123"/>
      <c r="H395" s="123"/>
      <c r="I395" s="123"/>
      <c r="J395" s="76"/>
      <c r="K395" s="76"/>
      <c r="L395" s="76"/>
      <c r="M395" s="76"/>
      <c r="N395" s="114"/>
      <c r="O395" s="71"/>
      <c r="P395" s="49" t="str">
        <f t="shared" ref="P395:Q395" si="379">IF(J395="","",J395-L395)</f>
        <v/>
      </c>
      <c r="Q395" s="50" t="str">
        <f t="shared" si="379"/>
        <v/>
      </c>
      <c r="R395" s="7"/>
      <c r="S395" s="7"/>
      <c r="T395" s="7"/>
      <c r="U395" s="7"/>
      <c r="V395" s="7"/>
      <c r="W395" s="7"/>
      <c r="X395" s="7"/>
      <c r="Y395" s="7"/>
      <c r="Z395" s="7"/>
      <c r="AA395" s="7" t="str">
        <f t="shared" si="319"/>
        <v/>
      </c>
      <c r="AB395" s="7" t="str">
        <f t="shared" si="320"/>
        <v/>
      </c>
      <c r="AC395" s="7"/>
      <c r="AD395" s="7"/>
      <c r="AE395" s="7" t="str">
        <f t="shared" si="332"/>
        <v>#REF!</v>
      </c>
      <c r="AF395" s="7"/>
      <c r="AG395" s="7"/>
      <c r="AH395" s="7"/>
      <c r="AI395" s="7"/>
      <c r="AJ395" s="7"/>
    </row>
    <row r="396">
      <c r="A396" s="40"/>
      <c r="B396" s="14"/>
      <c r="C396" s="41"/>
      <c r="D396" s="142"/>
      <c r="E396" s="120"/>
      <c r="F396" s="121"/>
      <c r="G396" s="121"/>
      <c r="H396" s="121"/>
      <c r="I396" s="121"/>
      <c r="J396" s="81"/>
      <c r="K396" s="81"/>
      <c r="L396" s="81"/>
      <c r="M396" s="81"/>
      <c r="N396" s="82"/>
      <c r="O396" s="71"/>
      <c r="P396" s="49" t="str">
        <f t="shared" ref="P396:Q396" si="380">IF(J396="","",J396-L396)</f>
        <v/>
      </c>
      <c r="Q396" s="50" t="str">
        <f t="shared" si="380"/>
        <v/>
      </c>
      <c r="R396" s="7"/>
      <c r="S396" s="7"/>
      <c r="T396" s="7"/>
      <c r="U396" s="7"/>
      <c r="V396" s="7"/>
      <c r="W396" s="7"/>
      <c r="X396" s="7"/>
      <c r="Y396" s="7"/>
      <c r="Z396" s="7"/>
      <c r="AA396" s="7" t="str">
        <f t="shared" si="319"/>
        <v/>
      </c>
      <c r="AB396" s="7" t="str">
        <f t="shared" si="320"/>
        <v/>
      </c>
      <c r="AC396" s="7"/>
      <c r="AD396" s="7"/>
      <c r="AE396" s="7" t="str">
        <f t="shared" si="332"/>
        <v>#REF!</v>
      </c>
      <c r="AF396" s="7"/>
      <c r="AG396" s="7"/>
      <c r="AH396" s="7"/>
      <c r="AI396" s="7"/>
      <c r="AJ396" s="7"/>
    </row>
    <row r="397">
      <c r="A397" s="40"/>
      <c r="B397" s="14"/>
      <c r="C397" s="41"/>
      <c r="D397" s="141"/>
      <c r="E397" s="122"/>
      <c r="F397" s="123"/>
      <c r="G397" s="123"/>
      <c r="H397" s="123"/>
      <c r="I397" s="123"/>
      <c r="J397" s="76"/>
      <c r="K397" s="76"/>
      <c r="L397" s="76"/>
      <c r="M397" s="76"/>
      <c r="N397" s="114"/>
      <c r="O397" s="71"/>
      <c r="P397" s="49" t="str">
        <f t="shared" ref="P397:Q397" si="381">IF(J397="","",J397-L397)</f>
        <v/>
      </c>
      <c r="Q397" s="50" t="str">
        <f t="shared" si="381"/>
        <v/>
      </c>
      <c r="R397" s="7"/>
      <c r="S397" s="7"/>
      <c r="T397" s="7"/>
      <c r="U397" s="7"/>
      <c r="V397" s="7"/>
      <c r="W397" s="7"/>
      <c r="X397" s="7"/>
      <c r="Y397" s="7"/>
      <c r="Z397" s="7"/>
      <c r="AA397" s="7" t="str">
        <f t="shared" si="319"/>
        <v/>
      </c>
      <c r="AB397" s="7" t="str">
        <f t="shared" si="320"/>
        <v/>
      </c>
      <c r="AC397" s="7"/>
      <c r="AD397" s="7"/>
      <c r="AE397" s="7" t="str">
        <f t="shared" si="332"/>
        <v>#REF!</v>
      </c>
      <c r="AF397" s="7"/>
      <c r="AG397" s="7"/>
      <c r="AH397" s="7"/>
      <c r="AI397" s="7"/>
      <c r="AJ397" s="7"/>
    </row>
    <row r="398">
      <c r="A398" s="40"/>
      <c r="B398" s="14"/>
      <c r="C398" s="41"/>
      <c r="D398" s="142"/>
      <c r="E398" s="120"/>
      <c r="F398" s="121"/>
      <c r="G398" s="121"/>
      <c r="H398" s="121"/>
      <c r="I398" s="121"/>
      <c r="J398" s="81"/>
      <c r="K398" s="81"/>
      <c r="L398" s="81"/>
      <c r="M398" s="81"/>
      <c r="N398" s="82"/>
      <c r="O398" s="48"/>
      <c r="P398" s="49" t="str">
        <f t="shared" ref="P398:Q398" si="382">IF(J398="","",J398-L398)</f>
        <v/>
      </c>
      <c r="Q398" s="50" t="str">
        <f t="shared" si="382"/>
        <v/>
      </c>
      <c r="R398" s="7"/>
      <c r="S398" s="7"/>
      <c r="T398" s="7"/>
      <c r="U398" s="7"/>
      <c r="V398" s="7"/>
      <c r="W398" s="7"/>
      <c r="X398" s="7"/>
      <c r="Y398" s="7"/>
      <c r="Z398" s="7"/>
      <c r="AA398" s="7" t="str">
        <f t="shared" si="319"/>
        <v/>
      </c>
      <c r="AB398" s="7" t="str">
        <f t="shared" si="320"/>
        <v/>
      </c>
      <c r="AC398" s="7"/>
      <c r="AD398" s="7"/>
      <c r="AE398" s="7" t="str">
        <f t="shared" si="332"/>
        <v>#REF!</v>
      </c>
      <c r="AF398" s="7"/>
      <c r="AG398" s="7"/>
      <c r="AH398" s="7"/>
      <c r="AI398" s="7"/>
      <c r="AJ398" s="7"/>
    </row>
    <row r="399">
      <c r="A399" s="40"/>
      <c r="B399" s="14"/>
      <c r="C399" s="41"/>
      <c r="D399" s="141"/>
      <c r="E399" s="122"/>
      <c r="F399" s="123"/>
      <c r="G399" s="123"/>
      <c r="H399" s="123"/>
      <c r="I399" s="123"/>
      <c r="J399" s="76"/>
      <c r="K399" s="76"/>
      <c r="L399" s="76"/>
      <c r="M399" s="76"/>
      <c r="N399" s="114"/>
      <c r="O399" s="71"/>
      <c r="P399" s="49" t="str">
        <f t="shared" ref="P399:Q399" si="383">IF(J399="","",J399-L399)</f>
        <v/>
      </c>
      <c r="Q399" s="50" t="str">
        <f t="shared" si="383"/>
        <v/>
      </c>
      <c r="R399" s="7"/>
      <c r="S399" s="7"/>
      <c r="T399" s="7"/>
      <c r="U399" s="7"/>
      <c r="V399" s="7"/>
      <c r="W399" s="7"/>
      <c r="X399" s="7"/>
      <c r="Y399" s="7"/>
      <c r="Z399" s="7"/>
      <c r="AA399" s="7" t="str">
        <f t="shared" si="319"/>
        <v/>
      </c>
      <c r="AB399" s="7" t="str">
        <f t="shared" si="320"/>
        <v/>
      </c>
      <c r="AC399" s="7"/>
      <c r="AD399" s="7"/>
      <c r="AE399" s="7" t="str">
        <f t="shared" si="332"/>
        <v>#REF!</v>
      </c>
      <c r="AF399" s="7"/>
      <c r="AG399" s="7"/>
      <c r="AH399" s="7"/>
      <c r="AI399" s="7"/>
      <c r="AJ399" s="7"/>
    </row>
    <row r="400">
      <c r="A400" s="40"/>
      <c r="B400" s="14"/>
      <c r="C400" s="41"/>
      <c r="D400" s="142"/>
      <c r="E400" s="120"/>
      <c r="F400" s="121"/>
      <c r="G400" s="121"/>
      <c r="H400" s="121"/>
      <c r="I400" s="121"/>
      <c r="J400" s="81"/>
      <c r="K400" s="81"/>
      <c r="L400" s="81"/>
      <c r="M400" s="81"/>
      <c r="N400" s="82"/>
      <c r="O400" s="71"/>
      <c r="P400" s="49" t="str">
        <f t="shared" ref="P400:Q400" si="384">IF(J400="","",J400-L400)</f>
        <v/>
      </c>
      <c r="Q400" s="50" t="str">
        <f t="shared" si="384"/>
        <v/>
      </c>
      <c r="R400" s="7"/>
      <c r="S400" s="7"/>
      <c r="T400" s="7"/>
      <c r="U400" s="7"/>
      <c r="V400" s="7"/>
      <c r="W400" s="7"/>
      <c r="X400" s="7"/>
      <c r="Y400" s="7"/>
      <c r="Z400" s="7"/>
      <c r="AA400" s="7" t="str">
        <f t="shared" si="319"/>
        <v/>
      </c>
      <c r="AB400" s="7" t="str">
        <f t="shared" si="320"/>
        <v/>
      </c>
      <c r="AC400" s="7"/>
      <c r="AD400" s="7"/>
      <c r="AE400" s="7" t="str">
        <f t="shared" si="332"/>
        <v>#REF!</v>
      </c>
      <c r="AF400" s="7"/>
      <c r="AG400" s="7"/>
      <c r="AH400" s="7"/>
      <c r="AI400" s="7"/>
      <c r="AJ400" s="7"/>
    </row>
    <row r="401">
      <c r="A401" s="40"/>
      <c r="B401" s="14"/>
      <c r="C401" s="41"/>
      <c r="D401" s="141"/>
      <c r="E401" s="122"/>
      <c r="F401" s="123"/>
      <c r="G401" s="123"/>
      <c r="H401" s="123"/>
      <c r="I401" s="123"/>
      <c r="J401" s="76"/>
      <c r="K401" s="76"/>
      <c r="L401" s="76"/>
      <c r="M401" s="76"/>
      <c r="N401" s="114"/>
      <c r="O401" s="71"/>
      <c r="P401" s="49" t="str">
        <f t="shared" ref="P401:Q401" si="385">IF(J401="","",J401-L401)</f>
        <v/>
      </c>
      <c r="Q401" s="50" t="str">
        <f t="shared" si="385"/>
        <v/>
      </c>
      <c r="R401" s="7"/>
      <c r="S401" s="7"/>
      <c r="T401" s="7"/>
      <c r="U401" s="7"/>
      <c r="V401" s="7"/>
      <c r="W401" s="7"/>
      <c r="X401" s="7"/>
      <c r="Y401" s="7"/>
      <c r="Z401" s="7"/>
      <c r="AA401" s="7" t="str">
        <f t="shared" si="319"/>
        <v/>
      </c>
      <c r="AB401" s="7" t="str">
        <f t="shared" si="320"/>
        <v/>
      </c>
      <c r="AC401" s="7"/>
      <c r="AD401" s="7"/>
      <c r="AE401" s="7" t="str">
        <f t="shared" si="332"/>
        <v>#REF!</v>
      </c>
      <c r="AF401" s="7"/>
      <c r="AG401" s="7"/>
      <c r="AH401" s="7"/>
      <c r="AI401" s="7"/>
      <c r="AJ401" s="7"/>
    </row>
    <row r="402">
      <c r="A402" s="40"/>
      <c r="B402" s="14"/>
      <c r="C402" s="41"/>
      <c r="D402" s="142"/>
      <c r="E402" s="130"/>
      <c r="F402" s="128"/>
      <c r="G402" s="121"/>
      <c r="H402" s="121"/>
      <c r="I402" s="128"/>
      <c r="J402" s="81"/>
      <c r="K402" s="81"/>
      <c r="L402" s="81"/>
      <c r="M402" s="81"/>
      <c r="N402" s="82"/>
      <c r="O402" s="48"/>
      <c r="P402" s="49" t="str">
        <f t="shared" ref="P402:Q402" si="386">IF(J402="","",J402-L402)</f>
        <v/>
      </c>
      <c r="Q402" s="50" t="str">
        <f t="shared" si="386"/>
        <v/>
      </c>
      <c r="R402" s="7"/>
      <c r="S402" s="7"/>
      <c r="T402" s="7"/>
      <c r="U402" s="7"/>
      <c r="V402" s="7"/>
      <c r="W402" s="7"/>
      <c r="X402" s="7"/>
      <c r="Y402" s="7"/>
      <c r="Z402" s="7"/>
      <c r="AA402" s="7" t="str">
        <f t="shared" si="319"/>
        <v/>
      </c>
      <c r="AB402" s="7" t="str">
        <f t="shared" si="320"/>
        <v/>
      </c>
      <c r="AC402" s="7"/>
      <c r="AD402" s="7"/>
      <c r="AE402" s="7" t="str">
        <f t="shared" si="332"/>
        <v>#REF!</v>
      </c>
      <c r="AF402" s="7"/>
      <c r="AG402" s="7"/>
      <c r="AH402" s="7"/>
      <c r="AI402" s="7"/>
      <c r="AJ402" s="7"/>
    </row>
    <row r="403">
      <c r="A403" s="40"/>
      <c r="B403" s="14"/>
      <c r="C403" s="41"/>
      <c r="D403" s="141"/>
      <c r="E403" s="118"/>
      <c r="F403" s="126"/>
      <c r="G403" s="123"/>
      <c r="H403" s="123"/>
      <c r="I403" s="126"/>
      <c r="J403" s="76"/>
      <c r="K403" s="76"/>
      <c r="L403" s="76"/>
      <c r="M403" s="76"/>
      <c r="N403" s="114"/>
      <c r="O403" s="71"/>
      <c r="P403" s="49" t="str">
        <f t="shared" ref="P403:Q403" si="387">IF(J403="","",J403-L403)</f>
        <v/>
      </c>
      <c r="Q403" s="50" t="str">
        <f t="shared" si="387"/>
        <v/>
      </c>
      <c r="R403" s="7"/>
      <c r="S403" s="7"/>
      <c r="T403" s="7"/>
      <c r="U403" s="7"/>
      <c r="V403" s="7"/>
      <c r="W403" s="7"/>
      <c r="X403" s="7"/>
      <c r="Y403" s="7"/>
      <c r="Z403" s="7"/>
      <c r="AA403" s="7" t="str">
        <f t="shared" si="319"/>
        <v/>
      </c>
      <c r="AB403" s="7" t="str">
        <f t="shared" si="320"/>
        <v/>
      </c>
      <c r="AC403" s="7"/>
      <c r="AD403" s="7"/>
      <c r="AE403" s="7" t="str">
        <f t="shared" si="332"/>
        <v>#REF!</v>
      </c>
      <c r="AF403" s="7"/>
      <c r="AG403" s="7"/>
      <c r="AH403" s="7"/>
      <c r="AI403" s="7"/>
      <c r="AJ403" s="7"/>
    </row>
    <row r="404">
      <c r="A404" s="40"/>
      <c r="B404" s="14"/>
      <c r="C404" s="41"/>
      <c r="D404" s="142"/>
      <c r="E404" s="120"/>
      <c r="F404" s="128"/>
      <c r="G404" s="121"/>
      <c r="H404" s="121"/>
      <c r="I404" s="128"/>
      <c r="J404" s="81"/>
      <c r="K404" s="81"/>
      <c r="L404" s="81"/>
      <c r="M404" s="81"/>
      <c r="N404" s="82"/>
      <c r="O404" s="48"/>
      <c r="P404" s="49" t="str">
        <f t="shared" ref="P404:Q404" si="388">IF(J404="","",J404-L404)</f>
        <v/>
      </c>
      <c r="Q404" s="50" t="str">
        <f t="shared" si="388"/>
        <v/>
      </c>
      <c r="R404" s="7"/>
      <c r="S404" s="7"/>
      <c r="T404" s="7"/>
      <c r="U404" s="7"/>
      <c r="V404" s="7"/>
      <c r="W404" s="7"/>
      <c r="X404" s="7"/>
      <c r="Y404" s="7"/>
      <c r="Z404" s="7"/>
      <c r="AA404" s="7" t="str">
        <f t="shared" si="319"/>
        <v/>
      </c>
      <c r="AB404" s="7" t="str">
        <f t="shared" si="320"/>
        <v/>
      </c>
      <c r="AC404" s="7"/>
      <c r="AD404" s="7"/>
      <c r="AE404" s="7" t="str">
        <f t="shared" si="332"/>
        <v>#REF!</v>
      </c>
      <c r="AF404" s="7"/>
      <c r="AG404" s="7"/>
      <c r="AH404" s="7"/>
      <c r="AI404" s="7"/>
      <c r="AJ404" s="7"/>
    </row>
    <row r="405">
      <c r="A405" s="40"/>
      <c r="B405" s="14"/>
      <c r="C405" s="41"/>
      <c r="D405" s="141"/>
      <c r="E405" s="122"/>
      <c r="F405" s="123"/>
      <c r="G405" s="123"/>
      <c r="H405" s="123"/>
      <c r="I405" s="123"/>
      <c r="J405" s="76"/>
      <c r="K405" s="76"/>
      <c r="L405" s="76"/>
      <c r="M405" s="76"/>
      <c r="N405" s="114"/>
      <c r="O405" s="71"/>
      <c r="P405" s="49" t="str">
        <f t="shared" ref="P405:Q405" si="389">IF(J405="","",J405-L405)</f>
        <v/>
      </c>
      <c r="Q405" s="50" t="str">
        <f t="shared" si="389"/>
        <v/>
      </c>
      <c r="R405" s="7"/>
      <c r="S405" s="7"/>
      <c r="T405" s="7"/>
      <c r="U405" s="7"/>
      <c r="V405" s="7"/>
      <c r="W405" s="7"/>
      <c r="X405" s="7"/>
      <c r="Y405" s="7"/>
      <c r="Z405" s="7"/>
      <c r="AA405" s="7" t="str">
        <f t="shared" si="319"/>
        <v/>
      </c>
      <c r="AB405" s="7" t="str">
        <f t="shared" si="320"/>
        <v/>
      </c>
      <c r="AC405" s="7"/>
      <c r="AD405" s="7"/>
      <c r="AE405" s="7" t="str">
        <f t="shared" si="332"/>
        <v>#REF!</v>
      </c>
      <c r="AF405" s="7"/>
      <c r="AG405" s="7"/>
      <c r="AH405" s="7"/>
      <c r="AI405" s="7"/>
      <c r="AJ405" s="7"/>
    </row>
    <row r="406">
      <c r="A406" s="40"/>
      <c r="B406" s="14"/>
      <c r="C406" s="41"/>
      <c r="D406" s="142"/>
      <c r="E406" s="120"/>
      <c r="F406" s="121"/>
      <c r="G406" s="121"/>
      <c r="H406" s="121"/>
      <c r="I406" s="121"/>
      <c r="J406" s="81"/>
      <c r="K406" s="81"/>
      <c r="L406" s="81"/>
      <c r="M406" s="81"/>
      <c r="N406" s="82"/>
      <c r="O406" s="48"/>
      <c r="P406" s="49" t="str">
        <f t="shared" ref="P406:Q406" si="390">IF(J406="","",J406-L406)</f>
        <v/>
      </c>
      <c r="Q406" s="50" t="str">
        <f t="shared" si="390"/>
        <v/>
      </c>
      <c r="R406" s="7"/>
      <c r="S406" s="7"/>
      <c r="T406" s="7"/>
      <c r="U406" s="7"/>
      <c r="V406" s="7"/>
      <c r="W406" s="7"/>
      <c r="X406" s="7"/>
      <c r="Y406" s="7"/>
      <c r="Z406" s="7"/>
      <c r="AA406" s="7" t="str">
        <f t="shared" si="319"/>
        <v/>
      </c>
      <c r="AB406" s="7" t="str">
        <f t="shared" si="320"/>
        <v/>
      </c>
      <c r="AC406" s="7"/>
      <c r="AD406" s="7"/>
      <c r="AE406" s="7" t="str">
        <f t="shared" si="332"/>
        <v>#REF!</v>
      </c>
      <c r="AF406" s="7"/>
      <c r="AG406" s="7"/>
      <c r="AH406" s="7"/>
      <c r="AI406" s="7"/>
      <c r="AJ406" s="7"/>
    </row>
    <row r="407">
      <c r="A407" s="40"/>
      <c r="B407" s="14"/>
      <c r="C407" s="41"/>
      <c r="D407" s="141"/>
      <c r="E407" s="122"/>
      <c r="F407" s="123"/>
      <c r="G407" s="123"/>
      <c r="H407" s="123"/>
      <c r="I407" s="123"/>
      <c r="J407" s="76"/>
      <c r="K407" s="76"/>
      <c r="L407" s="76"/>
      <c r="M407" s="76"/>
      <c r="N407" s="114"/>
      <c r="O407" s="71"/>
      <c r="P407" s="49" t="str">
        <f t="shared" ref="P407:Q407" si="391">IF(J407="","",J407-L407)</f>
        <v/>
      </c>
      <c r="Q407" s="50" t="str">
        <f t="shared" si="391"/>
        <v/>
      </c>
      <c r="R407" s="7"/>
      <c r="S407" s="7"/>
      <c r="T407" s="7"/>
      <c r="U407" s="7"/>
      <c r="V407" s="7"/>
      <c r="W407" s="7"/>
      <c r="X407" s="7"/>
      <c r="Y407" s="7"/>
      <c r="Z407" s="7"/>
      <c r="AA407" s="7" t="str">
        <f t="shared" si="319"/>
        <v/>
      </c>
      <c r="AB407" s="7" t="str">
        <f t="shared" si="320"/>
        <v/>
      </c>
      <c r="AC407" s="7"/>
      <c r="AD407" s="7"/>
      <c r="AE407" s="7" t="str">
        <f t="shared" si="332"/>
        <v>#REF!</v>
      </c>
      <c r="AF407" s="7"/>
      <c r="AG407" s="7"/>
      <c r="AH407" s="7"/>
      <c r="AI407" s="7"/>
      <c r="AJ407" s="7"/>
    </row>
    <row r="408">
      <c r="A408" s="40"/>
      <c r="B408" s="14"/>
      <c r="C408" s="41"/>
      <c r="D408" s="142"/>
      <c r="E408" s="120"/>
      <c r="F408" s="121"/>
      <c r="G408" s="121"/>
      <c r="H408" s="121"/>
      <c r="I408" s="121"/>
      <c r="J408" s="81"/>
      <c r="K408" s="81"/>
      <c r="L408" s="81"/>
      <c r="M408" s="81"/>
      <c r="N408" s="82"/>
      <c r="O408" s="48"/>
      <c r="P408" s="49" t="str">
        <f t="shared" ref="P408:Q408" si="392">IF(J408="","",J408-L408)</f>
        <v/>
      </c>
      <c r="Q408" s="50" t="str">
        <f t="shared" si="392"/>
        <v/>
      </c>
      <c r="R408" s="7"/>
      <c r="S408" s="7"/>
      <c r="T408" s="7"/>
      <c r="U408" s="7"/>
      <c r="V408" s="7"/>
      <c r="W408" s="7"/>
      <c r="X408" s="7"/>
      <c r="Y408" s="7"/>
      <c r="Z408" s="7"/>
      <c r="AA408" s="7" t="str">
        <f t="shared" si="319"/>
        <v/>
      </c>
      <c r="AB408" s="7" t="str">
        <f t="shared" si="320"/>
        <v/>
      </c>
      <c r="AC408" s="7"/>
      <c r="AD408" s="7"/>
      <c r="AE408" s="7" t="str">
        <f t="shared" si="332"/>
        <v>#REF!</v>
      </c>
      <c r="AF408" s="7"/>
      <c r="AG408" s="7"/>
      <c r="AH408" s="7"/>
      <c r="AI408" s="7"/>
      <c r="AJ408" s="7"/>
    </row>
    <row r="409">
      <c r="A409" s="40"/>
      <c r="B409" s="14"/>
      <c r="C409" s="41"/>
      <c r="D409" s="141"/>
      <c r="E409" s="122"/>
      <c r="F409" s="123"/>
      <c r="G409" s="123"/>
      <c r="H409" s="123"/>
      <c r="I409" s="123"/>
      <c r="J409" s="76"/>
      <c r="K409" s="76"/>
      <c r="L409" s="76"/>
      <c r="M409" s="76"/>
      <c r="N409" s="114"/>
      <c r="O409" s="71"/>
      <c r="P409" s="49" t="str">
        <f t="shared" ref="P409:Q409" si="393">IF(J409="","",J409-L409)</f>
        <v/>
      </c>
      <c r="Q409" s="50" t="str">
        <f t="shared" si="393"/>
        <v/>
      </c>
      <c r="R409" s="7"/>
      <c r="S409" s="7"/>
      <c r="T409" s="7"/>
      <c r="U409" s="7"/>
      <c r="V409" s="7"/>
      <c r="W409" s="7"/>
      <c r="X409" s="7"/>
      <c r="Y409" s="7"/>
      <c r="Z409" s="7"/>
      <c r="AA409" s="7" t="str">
        <f t="shared" si="319"/>
        <v/>
      </c>
      <c r="AB409" s="7" t="str">
        <f t="shared" si="320"/>
        <v/>
      </c>
      <c r="AC409" s="7"/>
      <c r="AD409" s="7"/>
      <c r="AE409" s="7" t="str">
        <f t="shared" si="332"/>
        <v>#REF!</v>
      </c>
      <c r="AF409" s="7"/>
      <c r="AG409" s="7"/>
      <c r="AH409" s="7"/>
      <c r="AI409" s="7"/>
      <c r="AJ409" s="7"/>
    </row>
    <row r="410">
      <c r="A410" s="40"/>
      <c r="B410" s="14"/>
      <c r="C410" s="41"/>
      <c r="D410" s="142"/>
      <c r="E410" s="120"/>
      <c r="F410" s="121"/>
      <c r="G410" s="121"/>
      <c r="H410" s="121"/>
      <c r="I410" s="121"/>
      <c r="J410" s="81"/>
      <c r="K410" s="81"/>
      <c r="L410" s="81"/>
      <c r="M410" s="81"/>
      <c r="N410" s="82"/>
      <c r="O410" s="48"/>
      <c r="P410" s="49" t="str">
        <f t="shared" ref="P410:Q410" si="394">IF(J410="","",J410-L410)</f>
        <v/>
      </c>
      <c r="Q410" s="50" t="str">
        <f t="shared" si="394"/>
        <v/>
      </c>
      <c r="R410" s="7"/>
      <c r="S410" s="7"/>
      <c r="T410" s="7"/>
      <c r="U410" s="7"/>
      <c r="V410" s="7"/>
      <c r="W410" s="7"/>
      <c r="X410" s="7"/>
      <c r="Y410" s="7"/>
      <c r="Z410" s="7"/>
      <c r="AA410" s="7" t="str">
        <f t="shared" si="319"/>
        <v/>
      </c>
      <c r="AB410" s="7" t="str">
        <f t="shared" si="320"/>
        <v/>
      </c>
      <c r="AC410" s="7"/>
      <c r="AD410" s="7"/>
      <c r="AE410" s="7" t="str">
        <f t="shared" si="332"/>
        <v>#REF!</v>
      </c>
      <c r="AF410" s="7"/>
      <c r="AG410" s="7"/>
      <c r="AH410" s="7"/>
      <c r="AI410" s="7"/>
      <c r="AJ410" s="7"/>
    </row>
    <row r="411">
      <c r="A411" s="40"/>
      <c r="B411" s="14"/>
      <c r="C411" s="41"/>
      <c r="D411" s="141"/>
      <c r="E411" s="122"/>
      <c r="F411" s="123"/>
      <c r="G411" s="123"/>
      <c r="H411" s="123"/>
      <c r="I411" s="123"/>
      <c r="J411" s="76"/>
      <c r="K411" s="76"/>
      <c r="L411" s="76"/>
      <c r="M411" s="76"/>
      <c r="N411" s="114"/>
      <c r="O411" s="71"/>
      <c r="P411" s="49" t="str">
        <f t="shared" ref="P411:Q411" si="395">IF(J411="","",J411-L411)</f>
        <v/>
      </c>
      <c r="Q411" s="50" t="str">
        <f t="shared" si="395"/>
        <v/>
      </c>
      <c r="R411" s="7"/>
      <c r="S411" s="7"/>
      <c r="T411" s="7"/>
      <c r="U411" s="7"/>
      <c r="V411" s="7"/>
      <c r="W411" s="7"/>
      <c r="X411" s="7"/>
      <c r="Y411" s="7"/>
      <c r="Z411" s="7"/>
      <c r="AA411" s="7" t="str">
        <f t="shared" si="319"/>
        <v/>
      </c>
      <c r="AB411" s="7" t="str">
        <f t="shared" si="320"/>
        <v/>
      </c>
      <c r="AC411" s="7"/>
      <c r="AD411" s="7"/>
      <c r="AE411" s="7" t="str">
        <f t="shared" si="332"/>
        <v>#REF!</v>
      </c>
      <c r="AF411" s="7"/>
      <c r="AG411" s="7"/>
      <c r="AH411" s="7"/>
      <c r="AI411" s="7"/>
      <c r="AJ411" s="7"/>
    </row>
    <row r="412">
      <c r="A412" s="40"/>
      <c r="B412" s="14"/>
      <c r="C412" s="41"/>
      <c r="D412" s="142"/>
      <c r="E412" s="120"/>
      <c r="F412" s="121"/>
      <c r="G412" s="121"/>
      <c r="H412" s="121"/>
      <c r="I412" s="121"/>
      <c r="J412" s="81"/>
      <c r="K412" s="81"/>
      <c r="L412" s="81"/>
      <c r="M412" s="81"/>
      <c r="N412" s="82"/>
      <c r="O412" s="48"/>
      <c r="P412" s="49" t="str">
        <f t="shared" ref="P412:Q412" si="396">IF(J412="","",J412-L412)</f>
        <v/>
      </c>
      <c r="Q412" s="50" t="str">
        <f t="shared" si="396"/>
        <v/>
      </c>
      <c r="R412" s="7"/>
      <c r="S412" s="7"/>
      <c r="T412" s="7"/>
      <c r="U412" s="7"/>
      <c r="V412" s="7"/>
      <c r="W412" s="7"/>
      <c r="X412" s="7"/>
      <c r="Y412" s="7"/>
      <c r="Z412" s="7"/>
      <c r="AA412" s="7" t="str">
        <f t="shared" si="319"/>
        <v/>
      </c>
      <c r="AB412" s="7" t="str">
        <f t="shared" si="320"/>
        <v/>
      </c>
      <c r="AC412" s="7"/>
      <c r="AD412" s="7"/>
      <c r="AE412" s="7" t="str">
        <f t="shared" si="332"/>
        <v>#REF!</v>
      </c>
      <c r="AF412" s="7"/>
      <c r="AG412" s="7"/>
      <c r="AH412" s="7"/>
      <c r="AI412" s="7"/>
      <c r="AJ412" s="7"/>
    </row>
    <row r="413">
      <c r="A413" s="40"/>
      <c r="B413" s="14"/>
      <c r="C413" s="41"/>
      <c r="D413" s="141"/>
      <c r="E413" s="122"/>
      <c r="F413" s="126"/>
      <c r="G413" s="123"/>
      <c r="H413" s="123"/>
      <c r="I413" s="123"/>
      <c r="J413" s="76"/>
      <c r="K413" s="76"/>
      <c r="L413" s="76"/>
      <c r="M413" s="76"/>
      <c r="N413" s="114"/>
      <c r="O413" s="71"/>
      <c r="P413" s="49" t="str">
        <f t="shared" ref="P413:Q413" si="397">IF(J413="","",J413-L413)</f>
        <v/>
      </c>
      <c r="Q413" s="50" t="str">
        <f t="shared" si="397"/>
        <v/>
      </c>
      <c r="R413" s="7"/>
      <c r="S413" s="7"/>
      <c r="T413" s="7"/>
      <c r="U413" s="7"/>
      <c r="V413" s="7"/>
      <c r="W413" s="7"/>
      <c r="X413" s="7"/>
      <c r="Y413" s="7"/>
      <c r="Z413" s="7"/>
      <c r="AA413" s="7" t="str">
        <f t="shared" si="319"/>
        <v/>
      </c>
      <c r="AB413" s="7" t="str">
        <f t="shared" si="320"/>
        <v/>
      </c>
      <c r="AC413" s="7"/>
      <c r="AD413" s="7"/>
      <c r="AE413" s="7" t="str">
        <f t="shared" si="332"/>
        <v>#REF!</v>
      </c>
      <c r="AF413" s="7"/>
      <c r="AG413" s="7"/>
      <c r="AH413" s="7"/>
      <c r="AI413" s="7"/>
      <c r="AJ413" s="7"/>
    </row>
    <row r="414">
      <c r="A414" s="40"/>
      <c r="B414" s="14"/>
      <c r="C414" s="41"/>
      <c r="D414" s="142"/>
      <c r="E414" s="120"/>
      <c r="F414" s="128"/>
      <c r="G414" s="121"/>
      <c r="H414" s="121"/>
      <c r="I414" s="121"/>
      <c r="J414" s="81"/>
      <c r="K414" s="81"/>
      <c r="L414" s="81"/>
      <c r="M414" s="81"/>
      <c r="N414" s="82"/>
      <c r="O414" s="71"/>
      <c r="P414" s="49" t="str">
        <f t="shared" ref="P414:Q414" si="398">IF(J414="","",J414-L414)</f>
        <v/>
      </c>
      <c r="Q414" s="50" t="str">
        <f t="shared" si="398"/>
        <v/>
      </c>
      <c r="R414" s="7"/>
      <c r="S414" s="7"/>
      <c r="T414" s="7"/>
      <c r="U414" s="7"/>
      <c r="V414" s="7"/>
      <c r="W414" s="7"/>
      <c r="X414" s="7"/>
      <c r="Y414" s="7"/>
      <c r="Z414" s="7"/>
      <c r="AA414" s="7" t="str">
        <f t="shared" si="319"/>
        <v/>
      </c>
      <c r="AB414" s="7" t="str">
        <f t="shared" si="320"/>
        <v/>
      </c>
      <c r="AC414" s="7"/>
      <c r="AD414" s="7"/>
      <c r="AE414" s="7" t="str">
        <f t="shared" si="332"/>
        <v>#REF!</v>
      </c>
      <c r="AF414" s="7"/>
      <c r="AG414" s="7"/>
      <c r="AH414" s="7"/>
      <c r="AI414" s="7"/>
      <c r="AJ414" s="7"/>
    </row>
    <row r="415">
      <c r="A415" s="40"/>
      <c r="B415" s="14"/>
      <c r="C415" s="41"/>
      <c r="D415" s="141"/>
      <c r="E415" s="122"/>
      <c r="F415" s="126"/>
      <c r="G415" s="123"/>
      <c r="H415" s="123"/>
      <c r="I415" s="123"/>
      <c r="J415" s="76"/>
      <c r="K415" s="76"/>
      <c r="L415" s="76"/>
      <c r="M415" s="76"/>
      <c r="N415" s="114"/>
      <c r="O415" s="71"/>
      <c r="P415" s="49" t="str">
        <f t="shared" ref="P415:Q415" si="399">IF(J415="","",J415-L415)</f>
        <v/>
      </c>
      <c r="Q415" s="50" t="str">
        <f t="shared" si="399"/>
        <v/>
      </c>
      <c r="R415" s="7"/>
      <c r="S415" s="7"/>
      <c r="T415" s="7"/>
      <c r="U415" s="7"/>
      <c r="V415" s="7"/>
      <c r="W415" s="7"/>
      <c r="X415" s="7"/>
      <c r="Y415" s="7"/>
      <c r="Z415" s="7"/>
      <c r="AA415" s="7" t="str">
        <f t="shared" si="319"/>
        <v/>
      </c>
      <c r="AB415" s="7" t="str">
        <f t="shared" si="320"/>
        <v/>
      </c>
      <c r="AC415" s="7"/>
      <c r="AD415" s="7"/>
      <c r="AE415" s="7" t="str">
        <f t="shared" si="332"/>
        <v>#REF!</v>
      </c>
      <c r="AF415" s="7"/>
      <c r="AG415" s="7"/>
      <c r="AH415" s="7"/>
      <c r="AI415" s="7"/>
      <c r="AJ415" s="7"/>
    </row>
    <row r="416">
      <c r="A416" s="40"/>
      <c r="B416" s="14"/>
      <c r="C416" s="41"/>
      <c r="D416" s="142"/>
      <c r="E416" s="120"/>
      <c r="F416" s="128"/>
      <c r="G416" s="121"/>
      <c r="H416" s="121"/>
      <c r="I416" s="121"/>
      <c r="J416" s="81"/>
      <c r="K416" s="81"/>
      <c r="L416" s="81"/>
      <c r="M416" s="81"/>
      <c r="N416" s="82"/>
      <c r="O416" s="71"/>
      <c r="P416" s="49" t="str">
        <f t="shared" ref="P416:Q416" si="400">IF(J416="","",J416-L416)</f>
        <v/>
      </c>
      <c r="Q416" s="50" t="str">
        <f t="shared" si="400"/>
        <v/>
      </c>
      <c r="R416" s="7"/>
      <c r="S416" s="7"/>
      <c r="T416" s="7"/>
      <c r="U416" s="7"/>
      <c r="V416" s="7"/>
      <c r="W416" s="7"/>
      <c r="X416" s="7"/>
      <c r="Y416" s="7"/>
      <c r="Z416" s="7"/>
      <c r="AA416" s="7" t="str">
        <f t="shared" si="319"/>
        <v/>
      </c>
      <c r="AB416" s="7" t="str">
        <f t="shared" si="320"/>
        <v/>
      </c>
      <c r="AC416" s="7"/>
      <c r="AD416" s="7"/>
      <c r="AE416" s="7" t="str">
        <f t="shared" si="332"/>
        <v>#REF!</v>
      </c>
      <c r="AF416" s="7"/>
      <c r="AG416" s="7"/>
      <c r="AH416" s="7"/>
      <c r="AI416" s="7"/>
      <c r="AJ416" s="7"/>
    </row>
    <row r="417">
      <c r="A417" s="40"/>
      <c r="B417" s="14"/>
      <c r="C417" s="41"/>
      <c r="D417" s="141"/>
      <c r="E417" s="122"/>
      <c r="F417" s="126"/>
      <c r="G417" s="123"/>
      <c r="H417" s="123"/>
      <c r="I417" s="123"/>
      <c r="J417" s="76"/>
      <c r="K417" s="76"/>
      <c r="L417" s="76"/>
      <c r="M417" s="76"/>
      <c r="N417" s="114"/>
      <c r="O417" s="48"/>
      <c r="P417" s="49" t="str">
        <f t="shared" ref="P417:Q417" si="401">IF(J417="","",J417-L417)</f>
        <v/>
      </c>
      <c r="Q417" s="50" t="str">
        <f t="shared" si="401"/>
        <v/>
      </c>
      <c r="R417" s="7"/>
      <c r="S417" s="7"/>
      <c r="T417" s="7"/>
      <c r="U417" s="7"/>
      <c r="V417" s="7"/>
      <c r="W417" s="7"/>
      <c r="X417" s="7"/>
      <c r="Y417" s="7"/>
      <c r="Z417" s="7"/>
      <c r="AA417" s="7" t="str">
        <f t="shared" si="319"/>
        <v/>
      </c>
      <c r="AB417" s="7" t="str">
        <f t="shared" si="320"/>
        <v/>
      </c>
      <c r="AC417" s="7"/>
      <c r="AD417" s="7"/>
      <c r="AE417" s="7" t="str">
        <f t="shared" si="332"/>
        <v>#REF!</v>
      </c>
      <c r="AF417" s="7"/>
      <c r="AG417" s="7"/>
      <c r="AH417" s="7"/>
      <c r="AI417" s="7"/>
      <c r="AJ417" s="7"/>
    </row>
    <row r="418">
      <c r="A418" s="40"/>
      <c r="B418" s="14"/>
      <c r="C418" s="41"/>
      <c r="D418" s="142"/>
      <c r="E418" s="130"/>
      <c r="F418" s="128"/>
      <c r="G418" s="128"/>
      <c r="H418" s="128"/>
      <c r="I418" s="128"/>
      <c r="J418" s="81"/>
      <c r="K418" s="81"/>
      <c r="L418" s="81"/>
      <c r="M418" s="81"/>
      <c r="N418" s="82"/>
      <c r="O418" s="71"/>
      <c r="P418" s="49" t="str">
        <f t="shared" ref="P418:Q418" si="402">IF(J418="","",J418-L418)</f>
        <v/>
      </c>
      <c r="Q418" s="50" t="str">
        <f t="shared" si="402"/>
        <v/>
      </c>
      <c r="R418" s="7"/>
      <c r="S418" s="7"/>
      <c r="T418" s="7"/>
      <c r="U418" s="7"/>
      <c r="V418" s="7"/>
      <c r="W418" s="7"/>
      <c r="X418" s="7"/>
      <c r="Y418" s="7"/>
      <c r="Z418" s="7"/>
      <c r="AA418" s="7" t="str">
        <f t="shared" si="319"/>
        <v/>
      </c>
      <c r="AB418" s="7" t="str">
        <f t="shared" si="320"/>
        <v/>
      </c>
      <c r="AC418" s="7"/>
      <c r="AD418" s="7"/>
      <c r="AE418" s="7" t="str">
        <f t="shared" si="332"/>
        <v>#REF!</v>
      </c>
      <c r="AF418" s="7"/>
      <c r="AG418" s="7"/>
      <c r="AH418" s="7"/>
      <c r="AI418" s="7"/>
      <c r="AJ418" s="7"/>
    </row>
    <row r="419">
      <c r="A419" s="40"/>
      <c r="B419" s="14"/>
      <c r="C419" s="41"/>
      <c r="D419" s="141"/>
      <c r="E419" s="118"/>
      <c r="F419" s="126"/>
      <c r="G419" s="126"/>
      <c r="H419" s="126"/>
      <c r="I419" s="126"/>
      <c r="J419" s="76"/>
      <c r="K419" s="76"/>
      <c r="L419" s="76"/>
      <c r="M419" s="76"/>
      <c r="N419" s="114"/>
      <c r="O419" s="48"/>
      <c r="P419" s="49" t="str">
        <f t="shared" ref="P419:Q419" si="403">IF(J419="","",J419-L419)</f>
        <v/>
      </c>
      <c r="Q419" s="50" t="str">
        <f t="shared" si="403"/>
        <v/>
      </c>
      <c r="R419" s="7"/>
      <c r="S419" s="7"/>
      <c r="T419" s="7"/>
      <c r="U419" s="7"/>
      <c r="V419" s="7"/>
      <c r="W419" s="7"/>
      <c r="X419" s="7"/>
      <c r="Y419" s="7"/>
      <c r="Z419" s="7"/>
      <c r="AA419" s="7" t="str">
        <f t="shared" si="319"/>
        <v/>
      </c>
      <c r="AB419" s="7" t="str">
        <f t="shared" si="320"/>
        <v/>
      </c>
      <c r="AC419" s="7"/>
      <c r="AD419" s="7"/>
      <c r="AE419" s="7" t="str">
        <f t="shared" si="332"/>
        <v>#REF!</v>
      </c>
      <c r="AF419" s="7"/>
      <c r="AG419" s="7"/>
      <c r="AH419" s="7"/>
      <c r="AI419" s="7"/>
      <c r="AJ419" s="7"/>
    </row>
    <row r="420">
      <c r="A420" s="40"/>
      <c r="B420" s="14"/>
      <c r="C420" s="41"/>
      <c r="D420" s="142"/>
      <c r="E420" s="130"/>
      <c r="F420" s="128"/>
      <c r="G420" s="128"/>
      <c r="H420" s="128"/>
      <c r="I420" s="128"/>
      <c r="J420" s="81"/>
      <c r="K420" s="81"/>
      <c r="L420" s="81"/>
      <c r="M420" s="81"/>
      <c r="N420" s="82"/>
      <c r="O420" s="71"/>
      <c r="P420" s="49" t="str">
        <f t="shared" ref="P420:Q420" si="404">IF(J420="","",J420-L420)</f>
        <v/>
      </c>
      <c r="Q420" s="50" t="str">
        <f t="shared" si="404"/>
        <v/>
      </c>
      <c r="R420" s="7"/>
      <c r="S420" s="7"/>
      <c r="T420" s="7"/>
      <c r="U420" s="7"/>
      <c r="V420" s="7"/>
      <c r="W420" s="7"/>
      <c r="X420" s="7"/>
      <c r="Y420" s="7"/>
      <c r="Z420" s="7"/>
      <c r="AA420" s="7" t="str">
        <f t="shared" si="319"/>
        <v/>
      </c>
      <c r="AB420" s="7" t="str">
        <f t="shared" si="320"/>
        <v/>
      </c>
      <c r="AC420" s="7"/>
      <c r="AD420" s="7"/>
      <c r="AE420" s="7" t="str">
        <f t="shared" si="332"/>
        <v>#REF!</v>
      </c>
      <c r="AF420" s="7"/>
      <c r="AG420" s="7"/>
      <c r="AH420" s="7"/>
      <c r="AI420" s="7"/>
      <c r="AJ420" s="7"/>
    </row>
    <row r="421">
      <c r="A421" s="40"/>
      <c r="B421" s="14"/>
      <c r="C421" s="41"/>
      <c r="D421" s="141"/>
      <c r="E421" s="118"/>
      <c r="F421" s="126"/>
      <c r="G421" s="126"/>
      <c r="H421" s="126"/>
      <c r="I421" s="126"/>
      <c r="J421" s="76"/>
      <c r="K421" s="76"/>
      <c r="L421" s="76"/>
      <c r="M421" s="76"/>
      <c r="N421" s="114"/>
      <c r="O421" s="71"/>
      <c r="P421" s="49" t="str">
        <f t="shared" ref="P421:Q421" si="405">IF(J421="","",J421-L421)</f>
        <v/>
      </c>
      <c r="Q421" s="50" t="str">
        <f t="shared" si="405"/>
        <v/>
      </c>
      <c r="R421" s="7"/>
      <c r="S421" s="7"/>
      <c r="T421" s="7"/>
      <c r="U421" s="7"/>
      <c r="V421" s="7"/>
      <c r="W421" s="7"/>
      <c r="X421" s="7"/>
      <c r="Y421" s="7"/>
      <c r="Z421" s="7"/>
      <c r="AA421" s="7" t="str">
        <f t="shared" si="319"/>
        <v/>
      </c>
      <c r="AB421" s="7" t="str">
        <f t="shared" si="320"/>
        <v/>
      </c>
      <c r="AC421" s="7"/>
      <c r="AD421" s="7"/>
      <c r="AE421" s="7" t="str">
        <f t="shared" si="332"/>
        <v>#REF!</v>
      </c>
      <c r="AF421" s="7"/>
      <c r="AG421" s="7"/>
      <c r="AH421" s="7"/>
      <c r="AI421" s="7"/>
      <c r="AJ421" s="7"/>
    </row>
    <row r="422">
      <c r="A422" s="40"/>
      <c r="B422" s="14"/>
      <c r="C422" s="41"/>
      <c r="D422" s="142"/>
      <c r="E422" s="130"/>
      <c r="F422" s="128"/>
      <c r="G422" s="128"/>
      <c r="H422" s="128"/>
      <c r="I422" s="128"/>
      <c r="J422" s="81"/>
      <c r="K422" s="81"/>
      <c r="L422" s="81"/>
      <c r="M422" s="81"/>
      <c r="N422" s="82"/>
      <c r="O422" s="48"/>
      <c r="P422" s="49" t="str">
        <f t="shared" ref="P422:Q422" si="406">IF(J422="","",J422-L422)</f>
        <v/>
      </c>
      <c r="Q422" s="50" t="str">
        <f t="shared" si="406"/>
        <v/>
      </c>
      <c r="R422" s="7"/>
      <c r="S422" s="7"/>
      <c r="T422" s="7"/>
      <c r="U422" s="7"/>
      <c r="V422" s="7"/>
      <c r="W422" s="7"/>
      <c r="X422" s="7"/>
      <c r="Y422" s="7"/>
      <c r="Z422" s="7"/>
      <c r="AA422" s="7" t="str">
        <f t="shared" si="319"/>
        <v/>
      </c>
      <c r="AB422" s="7" t="str">
        <f t="shared" si="320"/>
        <v/>
      </c>
      <c r="AC422" s="7"/>
      <c r="AD422" s="7"/>
      <c r="AE422" s="7" t="str">
        <f t="shared" si="332"/>
        <v>#REF!</v>
      </c>
      <c r="AF422" s="7"/>
      <c r="AG422" s="7"/>
      <c r="AH422" s="7"/>
      <c r="AI422" s="7"/>
      <c r="AJ422" s="7"/>
    </row>
    <row r="423">
      <c r="A423" s="40"/>
      <c r="B423" s="14"/>
      <c r="C423" s="41"/>
      <c r="D423" s="141"/>
      <c r="E423" s="118"/>
      <c r="F423" s="126"/>
      <c r="G423" s="126"/>
      <c r="H423" s="126"/>
      <c r="I423" s="126"/>
      <c r="J423" s="76"/>
      <c r="K423" s="76"/>
      <c r="L423" s="76"/>
      <c r="M423" s="76"/>
      <c r="N423" s="114"/>
      <c r="O423" s="71"/>
      <c r="P423" s="49" t="str">
        <f t="shared" ref="P423:Q423" si="407">IF(J423="","",J423-L423)</f>
        <v/>
      </c>
      <c r="Q423" s="50" t="str">
        <f t="shared" si="407"/>
        <v/>
      </c>
      <c r="R423" s="7"/>
      <c r="S423" s="7"/>
      <c r="T423" s="7"/>
      <c r="U423" s="7"/>
      <c r="V423" s="7"/>
      <c r="W423" s="7"/>
      <c r="X423" s="7"/>
      <c r="Y423" s="7"/>
      <c r="Z423" s="7"/>
      <c r="AA423" s="7" t="str">
        <f t="shared" si="319"/>
        <v/>
      </c>
      <c r="AB423" s="7" t="str">
        <f t="shared" si="320"/>
        <v/>
      </c>
      <c r="AC423" s="7"/>
      <c r="AD423" s="7"/>
      <c r="AE423" s="7" t="str">
        <f t="shared" si="332"/>
        <v>#REF!</v>
      </c>
      <c r="AF423" s="7"/>
      <c r="AG423" s="7"/>
      <c r="AH423" s="7"/>
      <c r="AI423" s="7"/>
      <c r="AJ423" s="7"/>
    </row>
    <row r="424">
      <c r="A424" s="40"/>
      <c r="B424" s="14"/>
      <c r="C424" s="41"/>
      <c r="D424" s="142"/>
      <c r="E424" s="130"/>
      <c r="F424" s="128"/>
      <c r="G424" s="128"/>
      <c r="H424" s="128"/>
      <c r="I424" s="128"/>
      <c r="J424" s="81"/>
      <c r="K424" s="81"/>
      <c r="L424" s="81"/>
      <c r="M424" s="81"/>
      <c r="N424" s="82"/>
      <c r="O424" s="48"/>
      <c r="P424" s="49" t="str">
        <f t="shared" ref="P424:Q424" si="408">IF(J424="","",J424-L424)</f>
        <v/>
      </c>
      <c r="Q424" s="50" t="str">
        <f t="shared" si="408"/>
        <v/>
      </c>
      <c r="R424" s="7"/>
      <c r="S424" s="7"/>
      <c r="T424" s="7"/>
      <c r="U424" s="7"/>
      <c r="V424" s="7"/>
      <c r="W424" s="7"/>
      <c r="X424" s="7"/>
      <c r="Y424" s="7"/>
      <c r="Z424" s="7"/>
      <c r="AA424" s="7" t="str">
        <f t="shared" si="319"/>
        <v/>
      </c>
      <c r="AB424" s="7" t="str">
        <f t="shared" si="320"/>
        <v/>
      </c>
      <c r="AC424" s="7"/>
      <c r="AD424" s="7"/>
      <c r="AE424" s="7" t="str">
        <f t="shared" si="332"/>
        <v>#REF!</v>
      </c>
      <c r="AF424" s="7"/>
      <c r="AG424" s="7"/>
      <c r="AH424" s="7"/>
      <c r="AI424" s="7"/>
      <c r="AJ424" s="7"/>
    </row>
    <row r="425">
      <c r="A425" s="40"/>
      <c r="B425" s="14"/>
      <c r="C425" s="41"/>
      <c r="D425" s="141"/>
      <c r="E425" s="118"/>
      <c r="F425" s="126"/>
      <c r="G425" s="126"/>
      <c r="H425" s="126"/>
      <c r="I425" s="126"/>
      <c r="J425" s="76"/>
      <c r="K425" s="76"/>
      <c r="L425" s="76"/>
      <c r="M425" s="76"/>
      <c r="N425" s="114"/>
      <c r="O425" s="71"/>
      <c r="P425" s="49" t="str">
        <f t="shared" ref="P425:Q425" si="409">IF(J425="","",J425-L425)</f>
        <v/>
      </c>
      <c r="Q425" s="50" t="str">
        <f t="shared" si="409"/>
        <v/>
      </c>
      <c r="R425" s="7"/>
      <c r="S425" s="7"/>
      <c r="T425" s="7"/>
      <c r="U425" s="7"/>
      <c r="V425" s="7"/>
      <c r="W425" s="7"/>
      <c r="X425" s="7"/>
      <c r="Y425" s="7"/>
      <c r="Z425" s="7"/>
      <c r="AA425" s="7" t="str">
        <f t="shared" si="319"/>
        <v/>
      </c>
      <c r="AB425" s="7" t="str">
        <f t="shared" si="320"/>
        <v/>
      </c>
      <c r="AC425" s="7"/>
      <c r="AD425" s="7"/>
      <c r="AE425" s="7" t="str">
        <f t="shared" si="332"/>
        <v>#REF!</v>
      </c>
      <c r="AF425" s="7"/>
      <c r="AG425" s="7"/>
      <c r="AH425" s="7"/>
      <c r="AI425" s="7"/>
      <c r="AJ425" s="7"/>
    </row>
    <row r="426">
      <c r="A426" s="40"/>
      <c r="B426" s="14"/>
      <c r="C426" s="41"/>
      <c r="D426" s="142"/>
      <c r="E426" s="130"/>
      <c r="F426" s="128"/>
      <c r="G426" s="128"/>
      <c r="H426" s="128"/>
      <c r="I426" s="128"/>
      <c r="J426" s="81"/>
      <c r="K426" s="81"/>
      <c r="L426" s="81"/>
      <c r="M426" s="81"/>
      <c r="N426" s="82"/>
      <c r="O426" s="48"/>
      <c r="P426" s="49" t="str">
        <f t="shared" ref="P426:Q426" si="410">IF(J426="","",J426-L426)</f>
        <v/>
      </c>
      <c r="Q426" s="50" t="str">
        <f t="shared" si="410"/>
        <v/>
      </c>
      <c r="R426" s="7"/>
      <c r="S426" s="7"/>
      <c r="T426" s="7"/>
      <c r="U426" s="7"/>
      <c r="V426" s="7"/>
      <c r="W426" s="7"/>
      <c r="X426" s="7"/>
      <c r="Y426" s="7"/>
      <c r="Z426" s="7"/>
      <c r="AA426" s="7" t="str">
        <f t="shared" si="319"/>
        <v/>
      </c>
      <c r="AB426" s="7" t="str">
        <f t="shared" si="320"/>
        <v/>
      </c>
      <c r="AC426" s="7"/>
      <c r="AD426" s="7"/>
      <c r="AE426" s="7" t="str">
        <f t="shared" si="332"/>
        <v>#REF!</v>
      </c>
      <c r="AF426" s="7"/>
      <c r="AG426" s="7"/>
      <c r="AH426" s="7"/>
      <c r="AI426" s="7"/>
      <c r="AJ426" s="7"/>
    </row>
    <row r="427">
      <c r="C427" s="41"/>
      <c r="D427" s="141"/>
      <c r="E427" s="118"/>
      <c r="F427" s="126"/>
      <c r="G427" s="126"/>
      <c r="H427" s="126"/>
      <c r="I427" s="126"/>
      <c r="J427" s="76"/>
      <c r="K427" s="76"/>
      <c r="L427" s="76"/>
      <c r="M427" s="76"/>
      <c r="N427" s="114"/>
    </row>
    <row r="428">
      <c r="C428" s="41"/>
      <c r="D428" s="142"/>
      <c r="E428" s="130"/>
      <c r="F428" s="128"/>
      <c r="G428" s="128"/>
      <c r="H428" s="128"/>
      <c r="I428" s="128"/>
      <c r="J428" s="81"/>
      <c r="K428" s="81"/>
      <c r="L428" s="81"/>
      <c r="M428" s="81"/>
      <c r="N428" s="82"/>
    </row>
    <row r="429">
      <c r="C429" s="41"/>
      <c r="D429" s="141"/>
      <c r="E429" s="118"/>
      <c r="F429" s="126"/>
      <c r="G429" s="126"/>
      <c r="H429" s="126"/>
      <c r="I429" s="126"/>
      <c r="J429" s="76"/>
      <c r="K429" s="76"/>
      <c r="L429" s="76"/>
      <c r="M429" s="76"/>
      <c r="N429" s="114"/>
    </row>
    <row r="430">
      <c r="C430" s="41"/>
      <c r="D430" s="142"/>
      <c r="E430" s="130"/>
      <c r="F430" s="128"/>
      <c r="G430" s="128"/>
      <c r="H430" s="128"/>
      <c r="I430" s="128"/>
      <c r="J430" s="81"/>
      <c r="K430" s="81"/>
      <c r="L430" s="81"/>
      <c r="M430" s="81"/>
      <c r="N430" s="82"/>
    </row>
    <row r="431">
      <c r="C431" s="41"/>
      <c r="D431" s="141"/>
      <c r="E431" s="118"/>
      <c r="F431" s="126"/>
      <c r="G431" s="126"/>
      <c r="H431" s="126"/>
      <c r="I431" s="126"/>
      <c r="J431" s="76"/>
      <c r="K431" s="76"/>
      <c r="L431" s="76"/>
      <c r="M431" s="76"/>
      <c r="N431" s="114"/>
    </row>
    <row r="432">
      <c r="C432" s="41"/>
      <c r="D432" s="142"/>
      <c r="E432" s="130"/>
      <c r="F432" s="128"/>
      <c r="G432" s="128"/>
      <c r="H432" s="128"/>
      <c r="I432" s="128"/>
      <c r="J432" s="81"/>
      <c r="K432" s="81"/>
      <c r="L432" s="81"/>
      <c r="M432" s="81"/>
      <c r="N432" s="82"/>
    </row>
    <row r="433">
      <c r="C433" s="41"/>
      <c r="D433" s="141"/>
      <c r="E433" s="118"/>
      <c r="F433" s="126"/>
      <c r="G433" s="126"/>
      <c r="H433" s="126"/>
      <c r="I433" s="126"/>
      <c r="J433" s="76"/>
      <c r="K433" s="76"/>
      <c r="L433" s="76"/>
      <c r="M433" s="76"/>
      <c r="N433" s="114"/>
    </row>
    <row r="434">
      <c r="C434" s="41"/>
      <c r="D434" s="142"/>
      <c r="E434" s="130"/>
      <c r="F434" s="128"/>
      <c r="G434" s="128"/>
      <c r="H434" s="128"/>
      <c r="I434" s="128"/>
      <c r="J434" s="81"/>
      <c r="K434" s="81"/>
      <c r="L434" s="81"/>
      <c r="M434" s="81"/>
      <c r="N434" s="82"/>
    </row>
    <row r="435">
      <c r="C435" s="41"/>
      <c r="D435" s="141"/>
      <c r="E435" s="118"/>
      <c r="F435" s="126"/>
      <c r="G435" s="126"/>
      <c r="H435" s="126"/>
      <c r="I435" s="126"/>
      <c r="J435" s="76"/>
      <c r="K435" s="76"/>
      <c r="L435" s="76"/>
      <c r="M435" s="76"/>
      <c r="N435" s="114"/>
    </row>
    <row r="436">
      <c r="C436" s="41"/>
      <c r="D436" s="142"/>
      <c r="E436" s="130"/>
      <c r="F436" s="128"/>
      <c r="G436" s="128"/>
      <c r="H436" s="128"/>
      <c r="I436" s="128"/>
      <c r="J436" s="81"/>
      <c r="K436" s="81"/>
      <c r="L436" s="81"/>
      <c r="M436" s="81"/>
      <c r="N436" s="82"/>
    </row>
    <row r="437">
      <c r="C437" s="41"/>
      <c r="D437" s="141"/>
      <c r="E437" s="118"/>
      <c r="F437" s="126"/>
      <c r="G437" s="126"/>
      <c r="H437" s="126"/>
      <c r="I437" s="126"/>
      <c r="J437" s="76"/>
      <c r="K437" s="76"/>
      <c r="L437" s="76"/>
      <c r="M437" s="76"/>
      <c r="N437" s="114"/>
    </row>
    <row r="438">
      <c r="C438" s="41"/>
      <c r="D438" s="142"/>
      <c r="E438" s="130"/>
      <c r="F438" s="128"/>
      <c r="G438" s="128"/>
      <c r="H438" s="128"/>
      <c r="I438" s="128"/>
      <c r="J438" s="81"/>
      <c r="K438" s="81"/>
      <c r="L438" s="81"/>
      <c r="M438" s="81"/>
      <c r="N438" s="82"/>
    </row>
    <row r="439">
      <c r="C439" s="41"/>
      <c r="D439" s="141"/>
      <c r="E439" s="118"/>
      <c r="F439" s="126"/>
      <c r="G439" s="126"/>
      <c r="H439" s="126"/>
      <c r="I439" s="126"/>
      <c r="J439" s="76"/>
      <c r="K439" s="76"/>
      <c r="L439" s="76"/>
      <c r="M439" s="76"/>
      <c r="N439" s="114"/>
    </row>
    <row r="440">
      <c r="C440" s="41"/>
      <c r="D440" s="142"/>
      <c r="E440" s="130"/>
      <c r="F440" s="128"/>
      <c r="G440" s="128"/>
      <c r="H440" s="128"/>
      <c r="I440" s="128"/>
      <c r="J440" s="81"/>
      <c r="K440" s="81"/>
      <c r="L440" s="81"/>
      <c r="M440" s="81"/>
      <c r="N440" s="82"/>
    </row>
    <row r="441">
      <c r="C441" s="41"/>
      <c r="D441" s="141"/>
      <c r="E441" s="118"/>
      <c r="F441" s="126"/>
      <c r="G441" s="126"/>
      <c r="H441" s="126"/>
      <c r="I441" s="126"/>
      <c r="J441" s="76"/>
      <c r="K441" s="76"/>
      <c r="L441" s="76"/>
      <c r="M441" s="76"/>
      <c r="N441" s="114"/>
    </row>
    <row r="442">
      <c r="C442" s="41"/>
      <c r="D442" s="142"/>
      <c r="E442" s="130"/>
      <c r="F442" s="128"/>
      <c r="G442" s="128"/>
      <c r="H442" s="128"/>
      <c r="I442" s="128"/>
      <c r="J442" s="81"/>
      <c r="K442" s="81"/>
      <c r="L442" s="81"/>
      <c r="M442" s="81"/>
      <c r="N442" s="82"/>
    </row>
    <row r="443">
      <c r="C443" s="41"/>
      <c r="D443" s="141"/>
      <c r="E443" s="118"/>
      <c r="F443" s="126"/>
      <c r="G443" s="126"/>
      <c r="H443" s="126"/>
      <c r="I443" s="126"/>
      <c r="J443" s="76"/>
      <c r="K443" s="76"/>
      <c r="L443" s="76"/>
      <c r="M443" s="76"/>
      <c r="N443" s="114"/>
    </row>
    <row r="444">
      <c r="C444" s="41"/>
      <c r="D444" s="142"/>
      <c r="E444" s="130"/>
      <c r="F444" s="128"/>
      <c r="G444" s="128"/>
      <c r="H444" s="128"/>
      <c r="I444" s="128"/>
      <c r="J444" s="81"/>
      <c r="K444" s="81"/>
      <c r="L444" s="81"/>
      <c r="M444" s="81"/>
      <c r="N444" s="82"/>
    </row>
    <row r="445">
      <c r="C445" s="41"/>
      <c r="D445" s="141"/>
      <c r="E445" s="118"/>
      <c r="F445" s="126"/>
      <c r="G445" s="126"/>
      <c r="H445" s="126"/>
      <c r="I445" s="126"/>
      <c r="J445" s="76"/>
      <c r="K445" s="76"/>
      <c r="L445" s="76"/>
      <c r="M445" s="76"/>
      <c r="N445" s="114"/>
    </row>
    <row r="446">
      <c r="C446" s="41"/>
      <c r="D446" s="142"/>
      <c r="E446" s="130"/>
      <c r="F446" s="128"/>
      <c r="G446" s="128"/>
      <c r="H446" s="128"/>
      <c r="I446" s="128"/>
      <c r="J446" s="81"/>
      <c r="K446" s="81"/>
      <c r="L446" s="81"/>
      <c r="M446" s="81"/>
      <c r="N446" s="82"/>
    </row>
    <row r="447">
      <c r="C447" s="41"/>
      <c r="D447" s="141"/>
      <c r="E447" s="118"/>
      <c r="F447" s="126"/>
      <c r="G447" s="126"/>
      <c r="H447" s="126"/>
      <c r="I447" s="126"/>
      <c r="J447" s="76"/>
      <c r="K447" s="76"/>
      <c r="L447" s="76"/>
      <c r="M447" s="76"/>
      <c r="N447" s="114"/>
    </row>
    <row r="448">
      <c r="C448" s="41"/>
      <c r="D448" s="142"/>
      <c r="E448" s="130"/>
      <c r="F448" s="128"/>
      <c r="G448" s="128"/>
      <c r="H448" s="128"/>
      <c r="I448" s="128"/>
      <c r="J448" s="81"/>
      <c r="K448" s="81"/>
      <c r="L448" s="81"/>
      <c r="M448" s="81"/>
      <c r="N448" s="82"/>
    </row>
    <row r="449">
      <c r="C449" s="41"/>
      <c r="D449" s="141"/>
      <c r="E449" s="118"/>
      <c r="F449" s="126"/>
      <c r="G449" s="126"/>
      <c r="H449" s="126"/>
      <c r="I449" s="126"/>
      <c r="J449" s="76"/>
      <c r="K449" s="76"/>
      <c r="L449" s="76"/>
      <c r="M449" s="76"/>
      <c r="N449" s="114"/>
    </row>
    <row r="450">
      <c r="C450" s="41"/>
      <c r="D450" s="142"/>
      <c r="E450" s="130"/>
      <c r="F450" s="128"/>
      <c r="G450" s="128"/>
      <c r="H450" s="128"/>
      <c r="I450" s="128"/>
      <c r="J450" s="81"/>
      <c r="K450" s="81"/>
      <c r="L450" s="81"/>
      <c r="M450" s="81"/>
      <c r="N450" s="82"/>
    </row>
    <row r="451">
      <c r="C451" s="41"/>
      <c r="D451" s="141"/>
      <c r="E451" s="118"/>
      <c r="F451" s="126"/>
      <c r="G451" s="126"/>
      <c r="H451" s="126"/>
      <c r="I451" s="126"/>
      <c r="J451" s="76"/>
      <c r="K451" s="76"/>
      <c r="L451" s="76"/>
      <c r="M451" s="76"/>
      <c r="N451" s="114"/>
    </row>
    <row r="452">
      <c r="C452" s="41"/>
      <c r="D452" s="142"/>
      <c r="E452" s="130"/>
      <c r="F452" s="128"/>
      <c r="G452" s="128"/>
      <c r="H452" s="128"/>
      <c r="I452" s="128"/>
      <c r="J452" s="81"/>
      <c r="K452" s="81"/>
      <c r="L452" s="81"/>
      <c r="M452" s="81"/>
      <c r="N452" s="82"/>
    </row>
    <row r="453">
      <c r="C453" s="41"/>
      <c r="D453" s="141"/>
      <c r="E453" s="118"/>
      <c r="F453" s="126"/>
      <c r="G453" s="126"/>
      <c r="H453" s="126"/>
      <c r="I453" s="126"/>
      <c r="J453" s="76"/>
      <c r="K453" s="76"/>
      <c r="L453" s="76"/>
      <c r="M453" s="76"/>
      <c r="N453" s="114"/>
    </row>
    <row r="454">
      <c r="C454" s="41"/>
      <c r="D454" s="142"/>
      <c r="E454" s="130"/>
      <c r="F454" s="128"/>
      <c r="G454" s="128"/>
      <c r="H454" s="128"/>
      <c r="I454" s="128"/>
      <c r="J454" s="81"/>
      <c r="K454" s="81"/>
      <c r="L454" s="81"/>
      <c r="M454" s="81"/>
      <c r="N454" s="82"/>
    </row>
    <row r="455">
      <c r="C455" s="41"/>
      <c r="D455" s="141"/>
      <c r="E455" s="118"/>
      <c r="F455" s="126"/>
      <c r="G455" s="126"/>
      <c r="H455" s="126"/>
      <c r="I455" s="126"/>
      <c r="J455" s="76"/>
      <c r="K455" s="76"/>
      <c r="L455" s="76"/>
      <c r="M455" s="76"/>
      <c r="N455" s="114"/>
    </row>
    <row r="456">
      <c r="C456" s="41"/>
      <c r="D456" s="142"/>
      <c r="E456" s="130"/>
      <c r="F456" s="128"/>
      <c r="G456" s="128"/>
      <c r="H456" s="128"/>
      <c r="I456" s="128"/>
      <c r="J456" s="81"/>
      <c r="K456" s="81"/>
      <c r="L456" s="81"/>
      <c r="M456" s="81"/>
      <c r="N456" s="82"/>
    </row>
    <row r="457">
      <c r="C457" s="41"/>
      <c r="D457" s="141"/>
      <c r="E457" s="118"/>
      <c r="F457" s="126"/>
      <c r="G457" s="126"/>
      <c r="H457" s="126"/>
      <c r="I457" s="126"/>
      <c r="J457" s="76"/>
      <c r="K457" s="76"/>
      <c r="L457" s="76"/>
      <c r="M457" s="76"/>
      <c r="N457" s="114"/>
    </row>
    <row r="458">
      <c r="C458" s="41"/>
      <c r="D458" s="142"/>
      <c r="E458" s="130"/>
      <c r="F458" s="128"/>
      <c r="G458" s="128"/>
      <c r="H458" s="128"/>
      <c r="I458" s="128"/>
      <c r="J458" s="81"/>
      <c r="K458" s="81"/>
      <c r="L458" s="81"/>
      <c r="M458" s="81"/>
      <c r="N458" s="82"/>
    </row>
    <row r="459">
      <c r="C459" s="41"/>
      <c r="D459" s="141"/>
      <c r="E459" s="118"/>
      <c r="F459" s="126"/>
      <c r="G459" s="126"/>
      <c r="H459" s="126"/>
      <c r="I459" s="126"/>
      <c r="J459" s="76"/>
      <c r="K459" s="76"/>
      <c r="L459" s="76"/>
      <c r="M459" s="76"/>
      <c r="N459" s="114"/>
    </row>
    <row r="460">
      <c r="C460" s="41"/>
      <c r="D460" s="142"/>
      <c r="E460" s="130"/>
      <c r="F460" s="128"/>
      <c r="G460" s="128"/>
      <c r="H460" s="128"/>
      <c r="I460" s="128"/>
      <c r="J460" s="81"/>
      <c r="K460" s="81"/>
      <c r="L460" s="81"/>
      <c r="M460" s="81"/>
      <c r="N460" s="82"/>
    </row>
    <row r="461">
      <c r="C461" s="41"/>
      <c r="D461" s="141"/>
      <c r="E461" s="118"/>
      <c r="F461" s="126"/>
      <c r="G461" s="126"/>
      <c r="H461" s="126"/>
      <c r="I461" s="126"/>
      <c r="J461" s="76"/>
      <c r="K461" s="76"/>
      <c r="L461" s="76"/>
      <c r="M461" s="76"/>
      <c r="N461" s="114"/>
    </row>
    <row r="462">
      <c r="C462" s="41"/>
      <c r="D462" s="142"/>
      <c r="E462" s="130"/>
      <c r="F462" s="128"/>
      <c r="G462" s="128"/>
      <c r="H462" s="128"/>
      <c r="I462" s="128"/>
      <c r="J462" s="81"/>
      <c r="K462" s="81"/>
      <c r="L462" s="81"/>
      <c r="M462" s="81"/>
      <c r="N462" s="82"/>
    </row>
    <row r="463">
      <c r="C463" s="41"/>
      <c r="D463" s="141"/>
      <c r="E463" s="118"/>
      <c r="F463" s="126"/>
      <c r="G463" s="126"/>
      <c r="H463" s="126"/>
      <c r="I463" s="126"/>
      <c r="J463" s="76"/>
      <c r="K463" s="76"/>
      <c r="L463" s="76"/>
      <c r="M463" s="76"/>
      <c r="N463" s="114"/>
    </row>
    <row r="464">
      <c r="C464" s="41"/>
      <c r="D464" s="142"/>
      <c r="E464" s="130"/>
      <c r="F464" s="128"/>
      <c r="G464" s="128"/>
      <c r="H464" s="128"/>
      <c r="I464" s="128"/>
      <c r="J464" s="81"/>
      <c r="K464" s="81"/>
      <c r="L464" s="81"/>
      <c r="M464" s="81"/>
      <c r="N464" s="82"/>
    </row>
    <row r="465">
      <c r="C465" s="41"/>
      <c r="D465" s="141"/>
      <c r="E465" s="118"/>
      <c r="F465" s="126"/>
      <c r="G465" s="126"/>
      <c r="H465" s="126"/>
      <c r="I465" s="126"/>
      <c r="J465" s="76"/>
      <c r="K465" s="76"/>
      <c r="L465" s="76"/>
      <c r="M465" s="76"/>
      <c r="N465" s="114"/>
    </row>
    <row r="466">
      <c r="C466" s="41"/>
      <c r="D466" s="142"/>
      <c r="E466" s="130"/>
      <c r="F466" s="128"/>
      <c r="G466" s="128"/>
      <c r="H466" s="128"/>
      <c r="I466" s="128"/>
      <c r="J466" s="81"/>
      <c r="K466" s="81"/>
      <c r="L466" s="81"/>
      <c r="M466" s="81"/>
      <c r="N466" s="82"/>
    </row>
    <row r="467">
      <c r="C467" s="41"/>
      <c r="D467" s="141"/>
      <c r="E467" s="118"/>
      <c r="F467" s="126"/>
      <c r="G467" s="126"/>
      <c r="H467" s="126"/>
      <c r="I467" s="126"/>
      <c r="J467" s="76"/>
      <c r="K467" s="76"/>
      <c r="L467" s="76"/>
      <c r="M467" s="76"/>
      <c r="N467" s="114"/>
    </row>
    <row r="468">
      <c r="C468" s="41"/>
      <c r="D468" s="142"/>
      <c r="E468" s="130"/>
      <c r="F468" s="128"/>
      <c r="G468" s="128"/>
      <c r="H468" s="128"/>
      <c r="I468" s="128"/>
      <c r="J468" s="81"/>
      <c r="K468" s="81"/>
      <c r="L468" s="81"/>
      <c r="M468" s="81"/>
      <c r="N468" s="82"/>
    </row>
    <row r="469">
      <c r="C469" s="41"/>
      <c r="D469" s="141"/>
      <c r="E469" s="118"/>
      <c r="F469" s="126"/>
      <c r="G469" s="126"/>
      <c r="H469" s="126"/>
      <c r="I469" s="126"/>
      <c r="J469" s="76"/>
      <c r="K469" s="76"/>
      <c r="L469" s="76"/>
      <c r="M469" s="76"/>
      <c r="N469" s="114"/>
    </row>
    <row r="470">
      <c r="C470" s="41"/>
      <c r="D470" s="142"/>
      <c r="E470" s="130"/>
      <c r="F470" s="128"/>
      <c r="G470" s="128"/>
      <c r="H470" s="128"/>
      <c r="I470" s="128"/>
      <c r="J470" s="81"/>
      <c r="K470" s="81"/>
      <c r="L470" s="81"/>
      <c r="M470" s="81"/>
      <c r="N470" s="82"/>
    </row>
    <row r="471">
      <c r="C471" s="41"/>
      <c r="D471" s="141"/>
      <c r="E471" s="118"/>
      <c r="F471" s="126"/>
      <c r="G471" s="126"/>
      <c r="H471" s="126"/>
      <c r="I471" s="126"/>
      <c r="J471" s="76"/>
      <c r="K471" s="76"/>
      <c r="L471" s="76"/>
      <c r="M471" s="76"/>
      <c r="N471" s="114"/>
    </row>
    <row r="472">
      <c r="C472" s="41"/>
      <c r="D472" s="142"/>
      <c r="E472" s="130"/>
      <c r="F472" s="128"/>
      <c r="G472" s="128"/>
      <c r="H472" s="128"/>
      <c r="I472" s="128"/>
      <c r="J472" s="81"/>
      <c r="K472" s="81"/>
      <c r="L472" s="81"/>
      <c r="M472" s="81"/>
      <c r="N472" s="82"/>
    </row>
    <row r="473">
      <c r="C473" s="41"/>
      <c r="D473" s="141"/>
      <c r="E473" s="118"/>
      <c r="F473" s="126"/>
      <c r="G473" s="126"/>
      <c r="H473" s="126"/>
      <c r="I473" s="126"/>
      <c r="J473" s="76"/>
      <c r="K473" s="76"/>
      <c r="L473" s="76"/>
      <c r="M473" s="76"/>
      <c r="N473" s="114"/>
    </row>
    <row r="474">
      <c r="C474" s="41"/>
      <c r="D474" s="142"/>
      <c r="E474" s="130"/>
      <c r="F474" s="128"/>
      <c r="G474" s="128"/>
      <c r="H474" s="128"/>
      <c r="I474" s="128"/>
      <c r="J474" s="81"/>
      <c r="K474" s="81"/>
      <c r="L474" s="81"/>
      <c r="M474" s="81"/>
      <c r="N474" s="82"/>
    </row>
    <row r="475">
      <c r="C475" s="41"/>
      <c r="D475" s="141"/>
      <c r="E475" s="118"/>
      <c r="F475" s="126"/>
      <c r="G475" s="126"/>
      <c r="H475" s="126"/>
      <c r="I475" s="126"/>
      <c r="J475" s="76"/>
      <c r="K475" s="76"/>
      <c r="L475" s="76"/>
      <c r="M475" s="76"/>
      <c r="N475" s="114"/>
    </row>
    <row r="476">
      <c r="C476" s="41"/>
      <c r="D476" s="142"/>
      <c r="E476" s="130"/>
      <c r="F476" s="128"/>
      <c r="G476" s="128"/>
      <c r="H476" s="128"/>
      <c r="I476" s="128"/>
      <c r="J476" s="81"/>
      <c r="K476" s="81"/>
      <c r="L476" s="81"/>
      <c r="M476" s="81"/>
      <c r="N476" s="82"/>
    </row>
    <row r="477">
      <c r="C477" s="41"/>
      <c r="D477" s="141"/>
      <c r="E477" s="118"/>
      <c r="F477" s="126"/>
      <c r="G477" s="126"/>
      <c r="H477" s="126"/>
      <c r="I477" s="126"/>
      <c r="J477" s="76"/>
      <c r="K477" s="76"/>
      <c r="L477" s="76"/>
      <c r="M477" s="76"/>
      <c r="N477" s="114"/>
    </row>
    <row r="478">
      <c r="C478" s="41"/>
      <c r="D478" s="142"/>
      <c r="E478" s="130"/>
      <c r="F478" s="128"/>
      <c r="G478" s="128"/>
      <c r="H478" s="128"/>
      <c r="I478" s="128"/>
      <c r="J478" s="81"/>
      <c r="K478" s="81"/>
      <c r="L478" s="81"/>
      <c r="M478" s="81"/>
      <c r="N478" s="82"/>
    </row>
    <row r="479">
      <c r="C479" s="41"/>
      <c r="D479" s="141"/>
      <c r="E479" s="118"/>
      <c r="F479" s="126"/>
      <c r="G479" s="126"/>
      <c r="H479" s="126"/>
      <c r="I479" s="126"/>
      <c r="J479" s="76"/>
      <c r="K479" s="76"/>
      <c r="L479" s="76"/>
      <c r="M479" s="76"/>
      <c r="N479" s="114"/>
    </row>
    <row r="480">
      <c r="C480" s="41"/>
      <c r="D480" s="142"/>
      <c r="E480" s="130"/>
      <c r="F480" s="128"/>
      <c r="G480" s="128"/>
      <c r="H480" s="128"/>
      <c r="I480" s="128"/>
      <c r="J480" s="81"/>
      <c r="K480" s="81"/>
      <c r="L480" s="81"/>
      <c r="M480" s="81"/>
      <c r="N480" s="82"/>
    </row>
    <row r="481">
      <c r="C481" s="41"/>
      <c r="D481" s="141"/>
      <c r="E481" s="118"/>
      <c r="F481" s="126"/>
      <c r="G481" s="126"/>
      <c r="H481" s="126"/>
      <c r="I481" s="126"/>
      <c r="J481" s="76"/>
      <c r="K481" s="76"/>
      <c r="L481" s="76"/>
      <c r="M481" s="76"/>
      <c r="N481" s="114"/>
    </row>
    <row r="482">
      <c r="C482" s="41"/>
      <c r="D482" s="142"/>
      <c r="E482" s="130"/>
      <c r="F482" s="128"/>
      <c r="G482" s="128"/>
      <c r="H482" s="128"/>
      <c r="I482" s="128"/>
      <c r="J482" s="81"/>
      <c r="K482" s="81"/>
      <c r="L482" s="81"/>
      <c r="M482" s="81"/>
      <c r="N482" s="82"/>
    </row>
    <row r="483">
      <c r="C483" s="41"/>
      <c r="D483" s="141"/>
      <c r="E483" s="118"/>
      <c r="F483" s="126"/>
      <c r="G483" s="126"/>
      <c r="H483" s="126"/>
      <c r="I483" s="126"/>
      <c r="J483" s="76"/>
      <c r="K483" s="76"/>
      <c r="L483" s="76"/>
      <c r="M483" s="76"/>
      <c r="N483" s="114"/>
    </row>
    <row r="484">
      <c r="C484" s="41"/>
      <c r="D484" s="142"/>
      <c r="E484" s="130"/>
      <c r="F484" s="128"/>
      <c r="G484" s="128"/>
      <c r="H484" s="128"/>
      <c r="I484" s="128"/>
      <c r="J484" s="81"/>
      <c r="K484" s="81"/>
      <c r="L484" s="81"/>
      <c r="M484" s="81"/>
      <c r="N484" s="82"/>
    </row>
    <row r="485">
      <c r="C485" s="41"/>
      <c r="D485" s="141"/>
      <c r="E485" s="118"/>
      <c r="F485" s="126"/>
      <c r="G485" s="126"/>
      <c r="H485" s="126"/>
      <c r="I485" s="126"/>
      <c r="J485" s="76"/>
      <c r="K485" s="76"/>
      <c r="L485" s="76"/>
      <c r="M485" s="76"/>
      <c r="N485" s="114"/>
    </row>
    <row r="486">
      <c r="C486" s="41"/>
      <c r="D486" s="142"/>
      <c r="E486" s="130"/>
      <c r="F486" s="128"/>
      <c r="G486" s="128"/>
      <c r="H486" s="128"/>
      <c r="I486" s="128"/>
      <c r="J486" s="81"/>
      <c r="K486" s="81"/>
      <c r="L486" s="81"/>
      <c r="M486" s="81"/>
      <c r="N486" s="82"/>
    </row>
    <row r="487">
      <c r="C487" s="41"/>
      <c r="D487" s="141"/>
      <c r="E487" s="118"/>
      <c r="F487" s="126"/>
      <c r="G487" s="126"/>
      <c r="H487" s="126"/>
      <c r="I487" s="126"/>
      <c r="J487" s="76"/>
      <c r="K487" s="76"/>
      <c r="L487" s="76"/>
      <c r="M487" s="76"/>
      <c r="N487" s="114"/>
    </row>
    <row r="488">
      <c r="C488" s="41"/>
      <c r="D488" s="142"/>
      <c r="E488" s="130"/>
      <c r="F488" s="128"/>
      <c r="G488" s="128"/>
      <c r="H488" s="128"/>
      <c r="I488" s="128"/>
      <c r="J488" s="81"/>
      <c r="K488" s="81"/>
      <c r="L488" s="81"/>
      <c r="M488" s="81"/>
      <c r="N488" s="82"/>
    </row>
    <row r="489">
      <c r="C489" s="41"/>
      <c r="D489" s="141"/>
      <c r="E489" s="118"/>
      <c r="F489" s="126"/>
      <c r="G489" s="126"/>
      <c r="H489" s="126"/>
      <c r="I489" s="126"/>
      <c r="J489" s="76"/>
      <c r="K489" s="76"/>
      <c r="L489" s="76"/>
      <c r="M489" s="76"/>
      <c r="N489" s="114"/>
    </row>
    <row r="490">
      <c r="C490" s="41"/>
      <c r="D490" s="142"/>
      <c r="E490" s="130"/>
      <c r="F490" s="128"/>
      <c r="G490" s="128"/>
      <c r="H490" s="128"/>
      <c r="I490" s="128"/>
      <c r="J490" s="81"/>
      <c r="K490" s="81"/>
      <c r="L490" s="81"/>
      <c r="M490" s="81"/>
      <c r="N490" s="82"/>
    </row>
    <row r="491">
      <c r="C491" s="41"/>
      <c r="D491" s="141"/>
      <c r="E491" s="118"/>
      <c r="F491" s="126"/>
      <c r="G491" s="126"/>
      <c r="H491" s="126"/>
      <c r="I491" s="126"/>
      <c r="J491" s="76"/>
      <c r="K491" s="76"/>
      <c r="L491" s="76"/>
      <c r="M491" s="76"/>
      <c r="N491" s="114"/>
    </row>
    <row r="492">
      <c r="C492" s="41"/>
      <c r="D492" s="142"/>
      <c r="E492" s="130"/>
      <c r="F492" s="128"/>
      <c r="G492" s="128"/>
      <c r="H492" s="128"/>
      <c r="I492" s="128"/>
      <c r="J492" s="81"/>
      <c r="K492" s="81"/>
      <c r="L492" s="81"/>
      <c r="M492" s="81"/>
      <c r="N492" s="82"/>
    </row>
    <row r="493">
      <c r="C493" s="41"/>
      <c r="D493" s="141"/>
      <c r="E493" s="118"/>
      <c r="F493" s="126"/>
      <c r="G493" s="126"/>
      <c r="H493" s="126"/>
      <c r="I493" s="126"/>
      <c r="J493" s="76"/>
      <c r="K493" s="76"/>
      <c r="L493" s="76"/>
      <c r="M493" s="76"/>
      <c r="N493" s="114"/>
    </row>
    <row r="494">
      <c r="C494" s="41"/>
      <c r="D494" s="142"/>
      <c r="E494" s="130"/>
      <c r="F494" s="128"/>
      <c r="G494" s="128"/>
      <c r="H494" s="128"/>
      <c r="I494" s="128"/>
      <c r="J494" s="81"/>
      <c r="K494" s="81"/>
      <c r="L494" s="81"/>
      <c r="M494" s="81"/>
      <c r="N494" s="82"/>
    </row>
    <row r="495">
      <c r="C495" s="41"/>
      <c r="D495" s="141"/>
      <c r="E495" s="118"/>
      <c r="F495" s="126"/>
      <c r="G495" s="126"/>
      <c r="H495" s="126"/>
      <c r="I495" s="126"/>
      <c r="J495" s="76"/>
      <c r="K495" s="76"/>
      <c r="L495" s="76"/>
      <c r="M495" s="76"/>
      <c r="N495" s="114"/>
    </row>
    <row r="496">
      <c r="C496" s="41"/>
      <c r="D496" s="142"/>
      <c r="E496" s="130"/>
      <c r="F496" s="128"/>
      <c r="G496" s="128"/>
      <c r="H496" s="128"/>
      <c r="I496" s="128"/>
      <c r="J496" s="81"/>
      <c r="K496" s="81"/>
      <c r="L496" s="81"/>
      <c r="M496" s="81"/>
      <c r="N496" s="82"/>
    </row>
    <row r="497">
      <c r="C497" s="41"/>
      <c r="D497" s="141"/>
      <c r="E497" s="118"/>
      <c r="F497" s="126"/>
      <c r="G497" s="126"/>
      <c r="H497" s="126"/>
      <c r="I497" s="126"/>
      <c r="J497" s="76"/>
      <c r="K497" s="76"/>
      <c r="L497" s="76"/>
      <c r="M497" s="76"/>
      <c r="N497" s="114"/>
    </row>
    <row r="498">
      <c r="C498" s="41"/>
      <c r="D498" s="142"/>
      <c r="E498" s="130"/>
      <c r="F498" s="128"/>
      <c r="G498" s="128"/>
      <c r="H498" s="128"/>
      <c r="I498" s="128"/>
      <c r="J498" s="81"/>
      <c r="K498" s="81"/>
      <c r="L498" s="81"/>
      <c r="M498" s="81"/>
      <c r="N498" s="82"/>
    </row>
    <row r="499">
      <c r="C499" s="41"/>
      <c r="D499" s="141"/>
      <c r="E499" s="118"/>
      <c r="F499" s="126"/>
      <c r="G499" s="126"/>
      <c r="H499" s="126"/>
      <c r="I499" s="126"/>
      <c r="J499" s="76"/>
      <c r="K499" s="76"/>
      <c r="L499" s="76"/>
      <c r="M499" s="76"/>
      <c r="N499" s="114"/>
    </row>
    <row r="500">
      <c r="C500" s="41"/>
      <c r="D500" s="142"/>
      <c r="E500" s="130"/>
      <c r="F500" s="128"/>
      <c r="G500" s="128"/>
      <c r="H500" s="128"/>
      <c r="I500" s="128"/>
      <c r="J500" s="81"/>
      <c r="K500" s="81"/>
      <c r="L500" s="81"/>
      <c r="M500" s="81"/>
      <c r="N500" s="82"/>
    </row>
    <row r="501">
      <c r="C501" s="41"/>
      <c r="D501" s="141"/>
      <c r="E501" s="118"/>
      <c r="F501" s="126"/>
      <c r="G501" s="126"/>
      <c r="H501" s="126"/>
      <c r="I501" s="126"/>
      <c r="J501" s="76"/>
      <c r="K501" s="76"/>
      <c r="L501" s="76"/>
      <c r="M501" s="76"/>
      <c r="N501" s="114"/>
    </row>
    <row r="502">
      <c r="C502" s="41"/>
      <c r="D502" s="142"/>
      <c r="E502" s="130"/>
      <c r="F502" s="128"/>
      <c r="G502" s="128"/>
      <c r="H502" s="128"/>
      <c r="I502" s="128"/>
      <c r="J502" s="81"/>
      <c r="K502" s="81"/>
      <c r="L502" s="81"/>
      <c r="M502" s="81"/>
      <c r="N502" s="82"/>
    </row>
    <row r="503">
      <c r="C503" s="41"/>
      <c r="D503" s="141"/>
      <c r="E503" s="118"/>
      <c r="F503" s="126"/>
      <c r="G503" s="126"/>
      <c r="H503" s="126"/>
      <c r="I503" s="126"/>
      <c r="J503" s="76"/>
      <c r="K503" s="76"/>
      <c r="L503" s="76"/>
      <c r="M503" s="76"/>
      <c r="N503" s="114"/>
    </row>
    <row r="504">
      <c r="C504" s="41"/>
      <c r="D504" s="142"/>
      <c r="E504" s="130"/>
      <c r="F504" s="128"/>
      <c r="G504" s="128"/>
      <c r="H504" s="128"/>
      <c r="I504" s="128"/>
      <c r="J504" s="81"/>
      <c r="K504" s="81"/>
      <c r="L504" s="81"/>
      <c r="M504" s="81"/>
      <c r="N504" s="82"/>
    </row>
    <row r="505">
      <c r="C505" s="41"/>
      <c r="D505" s="141"/>
      <c r="E505" s="118"/>
      <c r="F505" s="126"/>
      <c r="G505" s="126"/>
      <c r="H505" s="126"/>
      <c r="I505" s="126"/>
      <c r="J505" s="76"/>
      <c r="K505" s="76"/>
      <c r="L505" s="76"/>
      <c r="M505" s="76"/>
      <c r="N505" s="114"/>
    </row>
    <row r="506">
      <c r="C506" s="41"/>
      <c r="D506" s="142"/>
      <c r="E506" s="130"/>
      <c r="F506" s="128"/>
      <c r="G506" s="128"/>
      <c r="H506" s="128"/>
      <c r="I506" s="128"/>
      <c r="J506" s="81"/>
      <c r="K506" s="81"/>
      <c r="L506" s="81"/>
      <c r="M506" s="81"/>
      <c r="N506" s="82"/>
    </row>
    <row r="507">
      <c r="C507" s="41"/>
      <c r="D507" s="141"/>
      <c r="E507" s="118"/>
      <c r="F507" s="126"/>
      <c r="G507" s="126"/>
      <c r="H507" s="126"/>
      <c r="I507" s="126"/>
      <c r="J507" s="76"/>
      <c r="K507" s="76"/>
      <c r="L507" s="76"/>
      <c r="M507" s="76"/>
      <c r="N507" s="114"/>
    </row>
    <row r="508">
      <c r="C508" s="41"/>
      <c r="D508" s="142"/>
      <c r="E508" s="130"/>
      <c r="F508" s="128"/>
      <c r="G508" s="128"/>
      <c r="H508" s="128"/>
      <c r="I508" s="128"/>
      <c r="J508" s="81"/>
      <c r="K508" s="81"/>
      <c r="L508" s="81"/>
      <c r="M508" s="81"/>
      <c r="N508" s="82"/>
    </row>
    <row r="509">
      <c r="C509" s="41"/>
      <c r="D509" s="141"/>
      <c r="E509" s="118"/>
      <c r="F509" s="126"/>
      <c r="G509" s="126"/>
      <c r="H509" s="126"/>
      <c r="I509" s="126"/>
      <c r="J509" s="76"/>
      <c r="K509" s="76"/>
      <c r="L509" s="76"/>
      <c r="M509" s="76"/>
      <c r="N509" s="114"/>
    </row>
    <row r="510">
      <c r="C510" s="41"/>
      <c r="D510" s="142"/>
      <c r="E510" s="130"/>
      <c r="F510" s="128"/>
      <c r="G510" s="128"/>
      <c r="H510" s="128"/>
      <c r="I510" s="128"/>
      <c r="J510" s="81"/>
      <c r="K510" s="81"/>
      <c r="L510" s="81"/>
      <c r="M510" s="81"/>
      <c r="N510" s="82"/>
    </row>
    <row r="511">
      <c r="C511" s="41"/>
      <c r="D511" s="141"/>
      <c r="E511" s="118"/>
      <c r="F511" s="126"/>
      <c r="G511" s="126"/>
      <c r="H511" s="126"/>
      <c r="I511" s="126"/>
      <c r="J511" s="76"/>
      <c r="K511" s="76"/>
      <c r="L511" s="76"/>
      <c r="M511" s="76"/>
      <c r="N511" s="114"/>
    </row>
    <row r="512">
      <c r="C512" s="41"/>
      <c r="D512" s="142"/>
      <c r="E512" s="130"/>
      <c r="F512" s="128"/>
      <c r="G512" s="128"/>
      <c r="H512" s="128"/>
      <c r="I512" s="128"/>
      <c r="J512" s="81"/>
      <c r="K512" s="81"/>
      <c r="L512" s="81"/>
      <c r="M512" s="81"/>
      <c r="N512" s="82"/>
    </row>
    <row r="513">
      <c r="C513" s="41"/>
      <c r="D513" s="141"/>
      <c r="E513" s="118"/>
      <c r="F513" s="126"/>
      <c r="G513" s="126"/>
      <c r="H513" s="126"/>
      <c r="I513" s="126"/>
      <c r="J513" s="76"/>
      <c r="K513" s="76"/>
      <c r="L513" s="76"/>
      <c r="M513" s="76"/>
      <c r="N513" s="114"/>
    </row>
    <row r="514">
      <c r="C514" s="41"/>
      <c r="D514" s="142"/>
      <c r="E514" s="130"/>
      <c r="F514" s="128"/>
      <c r="G514" s="128"/>
      <c r="H514" s="128"/>
      <c r="I514" s="128"/>
      <c r="J514" s="81"/>
      <c r="K514" s="81"/>
      <c r="L514" s="81"/>
      <c r="M514" s="81"/>
      <c r="N514" s="82"/>
    </row>
    <row r="515">
      <c r="C515" s="41"/>
      <c r="D515" s="141"/>
      <c r="E515" s="118"/>
      <c r="F515" s="126"/>
      <c r="G515" s="126"/>
      <c r="H515" s="126"/>
      <c r="I515" s="126"/>
      <c r="J515" s="76"/>
      <c r="K515" s="76"/>
      <c r="L515" s="76"/>
      <c r="M515" s="76"/>
      <c r="N515" s="114"/>
    </row>
    <row r="516">
      <c r="C516" s="41"/>
      <c r="D516" s="142"/>
      <c r="E516" s="130"/>
      <c r="F516" s="128"/>
      <c r="G516" s="128"/>
      <c r="H516" s="128"/>
      <c r="I516" s="128"/>
      <c r="J516" s="81"/>
      <c r="K516" s="81"/>
      <c r="L516" s="81"/>
      <c r="M516" s="81"/>
      <c r="N516" s="82"/>
    </row>
    <row r="517">
      <c r="C517" s="41"/>
      <c r="D517" s="141"/>
      <c r="E517" s="118"/>
      <c r="F517" s="126"/>
      <c r="G517" s="126"/>
      <c r="H517" s="126"/>
      <c r="I517" s="126"/>
      <c r="J517" s="76"/>
      <c r="K517" s="76"/>
      <c r="L517" s="76"/>
      <c r="M517" s="76"/>
      <c r="N517" s="114"/>
    </row>
    <row r="518">
      <c r="C518" s="41"/>
      <c r="D518" s="142"/>
      <c r="E518" s="130"/>
      <c r="F518" s="128"/>
      <c r="G518" s="128"/>
      <c r="H518" s="128"/>
      <c r="I518" s="128"/>
      <c r="J518" s="81"/>
      <c r="K518" s="81"/>
      <c r="L518" s="81"/>
      <c r="M518" s="81"/>
      <c r="N518" s="82"/>
    </row>
    <row r="519">
      <c r="C519" s="41"/>
      <c r="D519" s="141"/>
      <c r="E519" s="118"/>
      <c r="F519" s="126"/>
      <c r="G519" s="126"/>
      <c r="H519" s="126"/>
      <c r="I519" s="126"/>
      <c r="J519" s="76"/>
      <c r="K519" s="76"/>
      <c r="L519" s="76"/>
      <c r="M519" s="76"/>
      <c r="N519" s="114"/>
    </row>
    <row r="520">
      <c r="C520" s="41"/>
      <c r="D520" s="142"/>
      <c r="E520" s="130"/>
      <c r="F520" s="128"/>
      <c r="G520" s="128"/>
      <c r="H520" s="128"/>
      <c r="I520" s="128"/>
      <c r="J520" s="81"/>
      <c r="K520" s="81"/>
      <c r="L520" s="81"/>
      <c r="M520" s="81"/>
      <c r="N520" s="82"/>
    </row>
    <row r="521">
      <c r="C521" s="41"/>
      <c r="D521" s="141"/>
      <c r="E521" s="118"/>
      <c r="F521" s="126"/>
      <c r="G521" s="126"/>
      <c r="H521" s="126"/>
      <c r="I521" s="126"/>
      <c r="J521" s="76"/>
      <c r="K521" s="76"/>
      <c r="L521" s="76"/>
      <c r="M521" s="76"/>
      <c r="N521" s="114"/>
    </row>
    <row r="522">
      <c r="C522" s="41"/>
      <c r="D522" s="142"/>
      <c r="E522" s="130"/>
      <c r="F522" s="128"/>
      <c r="G522" s="128"/>
      <c r="H522" s="128"/>
      <c r="I522" s="128"/>
      <c r="J522" s="81"/>
      <c r="K522" s="81"/>
      <c r="L522" s="81"/>
      <c r="M522" s="81"/>
      <c r="N522" s="82"/>
    </row>
    <row r="523">
      <c r="C523" s="41"/>
      <c r="D523" s="141"/>
      <c r="E523" s="118"/>
      <c r="F523" s="126"/>
      <c r="G523" s="126"/>
      <c r="H523" s="126"/>
      <c r="I523" s="126"/>
      <c r="J523" s="76"/>
      <c r="K523" s="76"/>
      <c r="L523" s="76"/>
      <c r="M523" s="76"/>
      <c r="N523" s="114"/>
    </row>
    <row r="524">
      <c r="C524" s="41"/>
      <c r="D524" s="142"/>
      <c r="E524" s="130"/>
      <c r="F524" s="128"/>
      <c r="G524" s="128"/>
      <c r="H524" s="128"/>
      <c r="I524" s="128"/>
      <c r="J524" s="81"/>
      <c r="K524" s="81"/>
      <c r="L524" s="81"/>
      <c r="M524" s="81"/>
      <c r="N524" s="82"/>
    </row>
    <row r="525">
      <c r="C525" s="41"/>
      <c r="D525" s="141"/>
      <c r="E525" s="118"/>
      <c r="F525" s="126"/>
      <c r="G525" s="126"/>
      <c r="H525" s="126"/>
      <c r="I525" s="126"/>
      <c r="J525" s="76"/>
      <c r="K525" s="76"/>
      <c r="L525" s="76"/>
      <c r="M525" s="76"/>
      <c r="N525" s="114"/>
    </row>
    <row r="526">
      <c r="C526" s="41"/>
      <c r="D526" s="142"/>
      <c r="E526" s="130"/>
      <c r="F526" s="128"/>
      <c r="G526" s="128"/>
      <c r="H526" s="128"/>
      <c r="I526" s="128"/>
      <c r="J526" s="81"/>
      <c r="K526" s="81"/>
      <c r="L526" s="81"/>
      <c r="M526" s="81"/>
      <c r="N526" s="82"/>
    </row>
    <row r="527">
      <c r="C527" s="41"/>
      <c r="D527" s="141"/>
      <c r="E527" s="118"/>
      <c r="F527" s="126"/>
      <c r="G527" s="126"/>
      <c r="H527" s="126"/>
      <c r="I527" s="126"/>
      <c r="J527" s="76"/>
      <c r="K527" s="76"/>
      <c r="L527" s="76"/>
      <c r="M527" s="76"/>
      <c r="N527" s="114"/>
    </row>
    <row r="528">
      <c r="C528" s="41"/>
      <c r="D528" s="142"/>
      <c r="E528" s="130"/>
      <c r="F528" s="128"/>
      <c r="G528" s="128"/>
      <c r="H528" s="128"/>
      <c r="I528" s="128"/>
      <c r="J528" s="81"/>
      <c r="K528" s="81"/>
      <c r="L528" s="81"/>
      <c r="M528" s="81"/>
      <c r="N528" s="82"/>
    </row>
    <row r="529">
      <c r="C529" s="41"/>
      <c r="D529" s="141"/>
      <c r="E529" s="118"/>
      <c r="F529" s="126"/>
      <c r="G529" s="126"/>
      <c r="H529" s="126"/>
      <c r="I529" s="126"/>
      <c r="J529" s="76"/>
      <c r="K529" s="76"/>
      <c r="L529" s="76"/>
      <c r="M529" s="76"/>
      <c r="N529" s="114"/>
    </row>
    <row r="530">
      <c r="C530" s="41"/>
      <c r="D530" s="142"/>
      <c r="E530" s="130"/>
      <c r="F530" s="128"/>
      <c r="G530" s="128"/>
      <c r="H530" s="128"/>
      <c r="I530" s="128"/>
      <c r="J530" s="81"/>
      <c r="K530" s="81"/>
      <c r="L530" s="81"/>
      <c r="M530" s="81"/>
      <c r="N530" s="82"/>
    </row>
    <row r="531">
      <c r="C531" s="41"/>
      <c r="D531" s="141"/>
      <c r="E531" s="118"/>
      <c r="F531" s="126"/>
      <c r="G531" s="126"/>
      <c r="H531" s="126"/>
      <c r="I531" s="126"/>
      <c r="J531" s="76"/>
      <c r="K531" s="76"/>
      <c r="L531" s="76"/>
      <c r="M531" s="76"/>
      <c r="N531" s="114"/>
    </row>
    <row r="532">
      <c r="C532" s="41"/>
      <c r="D532" s="142"/>
      <c r="E532" s="130"/>
      <c r="F532" s="128"/>
      <c r="G532" s="128"/>
      <c r="H532" s="128"/>
      <c r="I532" s="128"/>
      <c r="J532" s="81"/>
      <c r="K532" s="81"/>
      <c r="L532" s="81"/>
      <c r="M532" s="81"/>
      <c r="N532" s="82"/>
    </row>
    <row r="533">
      <c r="C533" s="41"/>
      <c r="D533" s="141"/>
      <c r="E533" s="118"/>
      <c r="F533" s="126"/>
      <c r="G533" s="126"/>
      <c r="H533" s="126"/>
      <c r="I533" s="126"/>
      <c r="J533" s="76"/>
      <c r="K533" s="76"/>
      <c r="L533" s="76"/>
      <c r="M533" s="76"/>
      <c r="N533" s="114"/>
    </row>
    <row r="534">
      <c r="C534" s="41"/>
      <c r="D534" s="142"/>
      <c r="E534" s="130"/>
      <c r="F534" s="128"/>
      <c r="G534" s="128"/>
      <c r="H534" s="128"/>
      <c r="I534" s="128"/>
      <c r="J534" s="81"/>
      <c r="K534" s="81"/>
      <c r="L534" s="81"/>
      <c r="M534" s="81"/>
      <c r="N534" s="82"/>
    </row>
    <row r="535">
      <c r="C535" s="41"/>
      <c r="D535" s="141"/>
      <c r="E535" s="118"/>
      <c r="F535" s="126"/>
      <c r="G535" s="126"/>
      <c r="H535" s="126"/>
      <c r="I535" s="126"/>
      <c r="J535" s="76"/>
      <c r="K535" s="76"/>
      <c r="L535" s="76"/>
      <c r="M535" s="76"/>
      <c r="N535" s="114"/>
    </row>
    <row r="536">
      <c r="C536" s="41"/>
      <c r="D536" s="142"/>
      <c r="E536" s="130"/>
      <c r="F536" s="128"/>
      <c r="G536" s="128"/>
      <c r="H536" s="128"/>
      <c r="I536" s="128"/>
      <c r="J536" s="81"/>
      <c r="K536" s="81"/>
      <c r="L536" s="81"/>
      <c r="M536" s="81"/>
      <c r="N536" s="82"/>
    </row>
    <row r="537">
      <c r="C537" s="41"/>
      <c r="D537" s="141"/>
      <c r="E537" s="118"/>
      <c r="F537" s="126"/>
      <c r="G537" s="126"/>
      <c r="H537" s="126"/>
      <c r="I537" s="126"/>
      <c r="J537" s="76"/>
      <c r="K537" s="76"/>
      <c r="L537" s="76"/>
      <c r="M537" s="76"/>
      <c r="N537" s="114"/>
    </row>
    <row r="538">
      <c r="C538" s="41"/>
      <c r="D538" s="142"/>
      <c r="E538" s="130"/>
      <c r="F538" s="128"/>
      <c r="G538" s="128"/>
      <c r="H538" s="128"/>
      <c r="I538" s="128"/>
      <c r="J538" s="81"/>
      <c r="K538" s="81"/>
      <c r="L538" s="81"/>
      <c r="M538" s="81"/>
      <c r="N538" s="82"/>
    </row>
    <row r="539">
      <c r="C539" s="41"/>
      <c r="D539" s="141"/>
      <c r="E539" s="118"/>
      <c r="F539" s="126"/>
      <c r="G539" s="126"/>
      <c r="H539" s="126"/>
      <c r="I539" s="126"/>
      <c r="J539" s="76"/>
      <c r="K539" s="76"/>
      <c r="L539" s="76"/>
      <c r="M539" s="76"/>
      <c r="N539" s="114"/>
    </row>
    <row r="540">
      <c r="C540" s="41"/>
      <c r="D540" s="142"/>
      <c r="E540" s="130"/>
      <c r="F540" s="128"/>
      <c r="G540" s="128"/>
      <c r="H540" s="128"/>
      <c r="I540" s="128"/>
      <c r="J540" s="81"/>
      <c r="K540" s="81"/>
      <c r="L540" s="81"/>
      <c r="M540" s="81"/>
      <c r="N540" s="82"/>
    </row>
    <row r="541">
      <c r="C541" s="41"/>
      <c r="D541" s="141"/>
      <c r="E541" s="118"/>
      <c r="F541" s="126"/>
      <c r="G541" s="126"/>
      <c r="H541" s="126"/>
      <c r="I541" s="126"/>
      <c r="J541" s="76"/>
      <c r="K541" s="76"/>
      <c r="L541" s="76"/>
      <c r="M541" s="76"/>
      <c r="N541" s="114"/>
    </row>
    <row r="542">
      <c r="C542" s="41"/>
      <c r="D542" s="142"/>
      <c r="E542" s="130"/>
      <c r="F542" s="128"/>
      <c r="G542" s="128"/>
      <c r="H542" s="128"/>
      <c r="I542" s="128"/>
      <c r="J542" s="81"/>
      <c r="K542" s="81"/>
      <c r="L542" s="81"/>
      <c r="M542" s="81"/>
      <c r="N542" s="82"/>
    </row>
    <row r="543">
      <c r="C543" s="41"/>
      <c r="D543" s="141"/>
      <c r="E543" s="118"/>
      <c r="F543" s="126"/>
      <c r="G543" s="126"/>
      <c r="H543" s="126"/>
      <c r="I543" s="126"/>
      <c r="J543" s="76"/>
      <c r="K543" s="76"/>
      <c r="L543" s="76"/>
      <c r="M543" s="76"/>
      <c r="N543" s="114"/>
    </row>
    <row r="544">
      <c r="C544" s="41"/>
      <c r="D544" s="142"/>
      <c r="E544" s="130"/>
      <c r="F544" s="128"/>
      <c r="G544" s="128"/>
      <c r="H544" s="128"/>
      <c r="I544" s="128"/>
      <c r="J544" s="81"/>
      <c r="K544" s="81"/>
      <c r="L544" s="81"/>
      <c r="M544" s="81"/>
      <c r="N544" s="82"/>
    </row>
    <row r="545">
      <c r="C545" s="41"/>
      <c r="D545" s="141"/>
      <c r="E545" s="118"/>
      <c r="F545" s="126"/>
      <c r="G545" s="126"/>
      <c r="H545" s="126"/>
      <c r="I545" s="126"/>
      <c r="J545" s="76"/>
      <c r="K545" s="76"/>
      <c r="L545" s="76"/>
      <c r="M545" s="76"/>
      <c r="N545" s="114"/>
    </row>
    <row r="546">
      <c r="C546" s="41"/>
      <c r="D546" s="142"/>
      <c r="E546" s="130"/>
      <c r="F546" s="128"/>
      <c r="G546" s="128"/>
      <c r="H546" s="128"/>
      <c r="I546" s="128"/>
      <c r="J546" s="81"/>
      <c r="K546" s="81"/>
      <c r="L546" s="81"/>
      <c r="M546" s="81"/>
      <c r="N546" s="82"/>
    </row>
    <row r="547">
      <c r="C547" s="41"/>
      <c r="D547" s="141"/>
      <c r="E547" s="118"/>
      <c r="F547" s="126"/>
      <c r="G547" s="126"/>
      <c r="H547" s="126"/>
      <c r="I547" s="126"/>
      <c r="J547" s="76"/>
      <c r="K547" s="76"/>
      <c r="L547" s="76"/>
      <c r="M547" s="76"/>
      <c r="N547" s="114"/>
    </row>
    <row r="548">
      <c r="C548" s="41"/>
      <c r="D548" s="142"/>
      <c r="E548" s="130"/>
      <c r="F548" s="128"/>
      <c r="G548" s="128"/>
      <c r="H548" s="128"/>
      <c r="I548" s="128"/>
      <c r="J548" s="81"/>
      <c r="K548" s="81"/>
      <c r="L548" s="81"/>
      <c r="M548" s="81"/>
      <c r="N548" s="82"/>
    </row>
    <row r="549">
      <c r="C549" s="41"/>
      <c r="D549" s="141"/>
      <c r="E549" s="118"/>
      <c r="F549" s="126"/>
      <c r="G549" s="126"/>
      <c r="H549" s="126"/>
      <c r="I549" s="126"/>
      <c r="J549" s="76"/>
      <c r="K549" s="76"/>
      <c r="L549" s="76"/>
      <c r="M549" s="76"/>
      <c r="N549" s="114"/>
    </row>
    <row r="550">
      <c r="C550" s="41"/>
      <c r="D550" s="142"/>
      <c r="E550" s="130"/>
      <c r="F550" s="128"/>
      <c r="G550" s="128"/>
      <c r="H550" s="128"/>
      <c r="I550" s="128"/>
      <c r="J550" s="81"/>
      <c r="K550" s="81"/>
      <c r="L550" s="81"/>
      <c r="M550" s="81"/>
      <c r="N550" s="82"/>
    </row>
    <row r="551">
      <c r="C551" s="41"/>
      <c r="D551" s="141"/>
      <c r="E551" s="118"/>
      <c r="F551" s="126"/>
      <c r="G551" s="126"/>
      <c r="H551" s="126"/>
      <c r="I551" s="126"/>
      <c r="J551" s="76"/>
      <c r="K551" s="76"/>
      <c r="L551" s="76"/>
      <c r="M551" s="76"/>
      <c r="N551" s="114"/>
    </row>
    <row r="552">
      <c r="C552" s="41"/>
      <c r="D552" s="142"/>
      <c r="E552" s="130"/>
      <c r="F552" s="128"/>
      <c r="G552" s="128"/>
      <c r="H552" s="128"/>
      <c r="I552" s="128"/>
      <c r="J552" s="81"/>
      <c r="K552" s="81"/>
      <c r="L552" s="81"/>
      <c r="M552" s="81"/>
      <c r="N552" s="82"/>
    </row>
    <row r="553">
      <c r="C553" s="41"/>
      <c r="D553" s="141"/>
      <c r="E553" s="118"/>
      <c r="F553" s="126"/>
      <c r="G553" s="126"/>
      <c r="H553" s="126"/>
      <c r="I553" s="126"/>
      <c r="J553" s="76"/>
      <c r="K553" s="76"/>
      <c r="L553" s="76"/>
      <c r="M553" s="76"/>
      <c r="N553" s="114"/>
    </row>
    <row r="554">
      <c r="C554" s="41"/>
      <c r="D554" s="142"/>
      <c r="E554" s="130"/>
      <c r="F554" s="128"/>
      <c r="G554" s="128"/>
      <c r="H554" s="128"/>
      <c r="I554" s="128"/>
      <c r="J554" s="81"/>
      <c r="K554" s="81"/>
      <c r="L554" s="81"/>
      <c r="M554" s="81"/>
      <c r="N554" s="82"/>
    </row>
    <row r="555">
      <c r="C555" s="41"/>
      <c r="D555" s="141"/>
      <c r="E555" s="118"/>
      <c r="F555" s="126"/>
      <c r="G555" s="126"/>
      <c r="H555" s="126"/>
      <c r="I555" s="126"/>
      <c r="J555" s="76"/>
      <c r="K555" s="76"/>
      <c r="L555" s="76"/>
      <c r="M555" s="76"/>
      <c r="N555" s="114"/>
    </row>
    <row r="556">
      <c r="C556" s="41"/>
      <c r="D556" s="142"/>
      <c r="E556" s="130"/>
      <c r="F556" s="128"/>
      <c r="G556" s="128"/>
      <c r="H556" s="128"/>
      <c r="I556" s="128"/>
      <c r="J556" s="81"/>
      <c r="K556" s="81"/>
      <c r="L556" s="81"/>
      <c r="M556" s="81"/>
      <c r="N556" s="82"/>
    </row>
    <row r="557">
      <c r="C557" s="41"/>
      <c r="D557" s="141"/>
      <c r="E557" s="118"/>
      <c r="F557" s="126"/>
      <c r="G557" s="126"/>
      <c r="H557" s="126"/>
      <c r="I557" s="126"/>
      <c r="J557" s="76"/>
      <c r="K557" s="76"/>
      <c r="L557" s="76"/>
      <c r="M557" s="76"/>
      <c r="N557" s="114"/>
    </row>
    <row r="558">
      <c r="C558" s="41"/>
      <c r="D558" s="142"/>
      <c r="E558" s="130"/>
      <c r="F558" s="128"/>
      <c r="G558" s="128"/>
      <c r="H558" s="128"/>
      <c r="I558" s="128"/>
      <c r="J558" s="81"/>
      <c r="K558" s="81"/>
      <c r="L558" s="81"/>
      <c r="M558" s="81"/>
      <c r="N558" s="82"/>
    </row>
    <row r="559">
      <c r="C559" s="41"/>
      <c r="D559" s="141"/>
      <c r="E559" s="118"/>
      <c r="F559" s="126"/>
      <c r="G559" s="126"/>
      <c r="H559" s="126"/>
      <c r="I559" s="126"/>
      <c r="J559" s="76"/>
      <c r="K559" s="76"/>
      <c r="L559" s="76"/>
      <c r="M559" s="76"/>
      <c r="N559" s="114"/>
    </row>
    <row r="560">
      <c r="C560" s="41"/>
      <c r="D560" s="142"/>
      <c r="E560" s="130"/>
      <c r="F560" s="128"/>
      <c r="G560" s="128"/>
      <c r="H560" s="128"/>
      <c r="I560" s="128"/>
      <c r="J560" s="81"/>
      <c r="K560" s="81"/>
      <c r="L560" s="81"/>
      <c r="M560" s="81"/>
      <c r="N560" s="82"/>
    </row>
    <row r="561">
      <c r="C561" s="41"/>
      <c r="D561" s="141"/>
      <c r="E561" s="118"/>
      <c r="F561" s="126"/>
      <c r="G561" s="126"/>
      <c r="H561" s="126"/>
      <c r="I561" s="126"/>
      <c r="J561" s="76"/>
      <c r="K561" s="76"/>
      <c r="L561" s="76"/>
      <c r="M561" s="76"/>
      <c r="N561" s="114"/>
    </row>
    <row r="562">
      <c r="C562" s="41"/>
      <c r="D562" s="142"/>
      <c r="E562" s="130"/>
      <c r="F562" s="128"/>
      <c r="G562" s="128"/>
      <c r="H562" s="128"/>
      <c r="I562" s="128"/>
      <c r="J562" s="81"/>
      <c r="K562" s="81"/>
      <c r="L562" s="81"/>
      <c r="M562" s="81"/>
      <c r="N562" s="82"/>
    </row>
    <row r="563">
      <c r="C563" s="41"/>
      <c r="D563" s="141"/>
      <c r="E563" s="118"/>
      <c r="F563" s="126"/>
      <c r="G563" s="126"/>
      <c r="H563" s="126"/>
      <c r="I563" s="126"/>
      <c r="J563" s="76"/>
      <c r="K563" s="76"/>
      <c r="L563" s="76"/>
      <c r="M563" s="76"/>
      <c r="N563" s="114"/>
    </row>
    <row r="564">
      <c r="C564" s="41"/>
      <c r="D564" s="142"/>
      <c r="E564" s="130"/>
      <c r="F564" s="128"/>
      <c r="G564" s="128"/>
      <c r="H564" s="128"/>
      <c r="I564" s="128"/>
      <c r="J564" s="81"/>
      <c r="K564" s="81"/>
      <c r="L564" s="81"/>
      <c r="M564" s="81"/>
      <c r="N564" s="82"/>
    </row>
    <row r="565">
      <c r="C565" s="41"/>
      <c r="D565" s="141"/>
      <c r="E565" s="118"/>
      <c r="F565" s="126"/>
      <c r="G565" s="126"/>
      <c r="H565" s="126"/>
      <c r="I565" s="126"/>
      <c r="J565" s="76"/>
      <c r="K565" s="76"/>
      <c r="L565" s="76"/>
      <c r="M565" s="76"/>
      <c r="N565" s="114"/>
    </row>
    <row r="566">
      <c r="C566" s="41"/>
      <c r="D566" s="142"/>
      <c r="E566" s="130"/>
      <c r="F566" s="128"/>
      <c r="G566" s="128"/>
      <c r="H566" s="128"/>
      <c r="I566" s="128"/>
      <c r="J566" s="81"/>
      <c r="K566" s="81"/>
      <c r="L566" s="81"/>
      <c r="M566" s="81"/>
      <c r="N566" s="82"/>
    </row>
    <row r="567">
      <c r="C567" s="41"/>
      <c r="D567" s="141"/>
      <c r="E567" s="118"/>
      <c r="F567" s="126"/>
      <c r="G567" s="126"/>
      <c r="H567" s="126"/>
      <c r="I567" s="126"/>
      <c r="J567" s="76"/>
      <c r="K567" s="76"/>
      <c r="L567" s="76"/>
      <c r="M567" s="76"/>
      <c r="N567" s="114"/>
    </row>
    <row r="568">
      <c r="C568" s="41"/>
      <c r="D568" s="142"/>
      <c r="E568" s="130"/>
      <c r="F568" s="128"/>
      <c r="G568" s="128"/>
      <c r="H568" s="128"/>
      <c r="I568" s="128"/>
      <c r="J568" s="81"/>
      <c r="K568" s="81"/>
      <c r="L568" s="81"/>
      <c r="M568" s="81"/>
      <c r="N568" s="82"/>
    </row>
    <row r="569">
      <c r="C569" s="41"/>
      <c r="D569" s="141"/>
      <c r="E569" s="118"/>
      <c r="F569" s="126"/>
      <c r="G569" s="126"/>
      <c r="H569" s="126"/>
      <c r="I569" s="126"/>
      <c r="J569" s="76"/>
      <c r="K569" s="76"/>
      <c r="L569" s="76"/>
      <c r="M569" s="76"/>
      <c r="N569" s="114"/>
    </row>
    <row r="570">
      <c r="C570" s="41"/>
      <c r="D570" s="142"/>
      <c r="E570" s="130"/>
      <c r="F570" s="128"/>
      <c r="G570" s="128"/>
      <c r="H570" s="128"/>
      <c r="I570" s="128"/>
      <c r="J570" s="81"/>
      <c r="K570" s="81"/>
      <c r="L570" s="81"/>
      <c r="M570" s="81"/>
      <c r="N570" s="82"/>
    </row>
    <row r="571">
      <c r="C571" s="41"/>
      <c r="D571" s="141"/>
      <c r="E571" s="118"/>
      <c r="F571" s="126"/>
      <c r="G571" s="126"/>
      <c r="H571" s="126"/>
      <c r="I571" s="126"/>
      <c r="J571" s="76"/>
      <c r="K571" s="76"/>
      <c r="L571" s="76"/>
      <c r="M571" s="76"/>
      <c r="N571" s="114"/>
    </row>
    <row r="572">
      <c r="C572" s="41"/>
      <c r="D572" s="142"/>
      <c r="E572" s="130"/>
      <c r="F572" s="128"/>
      <c r="G572" s="128"/>
      <c r="H572" s="128"/>
      <c r="I572" s="128"/>
      <c r="J572" s="81"/>
      <c r="K572" s="81"/>
      <c r="L572" s="81"/>
      <c r="M572" s="81"/>
      <c r="N572" s="82"/>
    </row>
    <row r="573">
      <c r="C573" s="41"/>
      <c r="D573" s="141"/>
      <c r="E573" s="118"/>
      <c r="F573" s="126"/>
      <c r="G573" s="126"/>
      <c r="H573" s="126"/>
      <c r="I573" s="126"/>
      <c r="J573" s="76"/>
      <c r="K573" s="76"/>
      <c r="L573" s="76"/>
      <c r="M573" s="76"/>
      <c r="N573" s="114"/>
    </row>
    <row r="574">
      <c r="C574" s="41"/>
      <c r="D574" s="142"/>
      <c r="E574" s="130"/>
      <c r="F574" s="128"/>
      <c r="G574" s="128"/>
      <c r="H574" s="128"/>
      <c r="I574" s="128"/>
      <c r="J574" s="81"/>
      <c r="K574" s="81"/>
      <c r="L574" s="81"/>
      <c r="M574" s="81"/>
      <c r="N574" s="82"/>
    </row>
    <row r="575">
      <c r="C575" s="41"/>
      <c r="D575" s="141"/>
      <c r="E575" s="118"/>
      <c r="F575" s="126"/>
      <c r="G575" s="126"/>
      <c r="H575" s="126"/>
      <c r="I575" s="126"/>
      <c r="J575" s="76"/>
      <c r="K575" s="76"/>
      <c r="L575" s="76"/>
      <c r="M575" s="76"/>
      <c r="N575" s="114"/>
    </row>
    <row r="576">
      <c r="C576" s="41"/>
      <c r="D576" s="142"/>
      <c r="E576" s="130"/>
      <c r="F576" s="128"/>
      <c r="G576" s="128"/>
      <c r="H576" s="128"/>
      <c r="I576" s="128"/>
      <c r="J576" s="81"/>
      <c r="K576" s="81"/>
      <c r="L576" s="81"/>
      <c r="M576" s="81"/>
      <c r="N576" s="82"/>
    </row>
    <row r="577">
      <c r="C577" s="41"/>
      <c r="D577" s="141"/>
      <c r="E577" s="118"/>
      <c r="F577" s="126"/>
      <c r="G577" s="126"/>
      <c r="H577" s="126"/>
      <c r="I577" s="126"/>
      <c r="J577" s="76"/>
      <c r="K577" s="76"/>
      <c r="L577" s="76"/>
      <c r="M577" s="76"/>
      <c r="N577" s="114"/>
    </row>
    <row r="578">
      <c r="C578" s="41"/>
      <c r="D578" s="142"/>
      <c r="E578" s="130"/>
      <c r="F578" s="128"/>
      <c r="G578" s="128"/>
      <c r="H578" s="128"/>
      <c r="I578" s="128"/>
      <c r="J578" s="81"/>
      <c r="K578" s="81"/>
      <c r="L578" s="81"/>
      <c r="M578" s="81"/>
      <c r="N578" s="82"/>
    </row>
    <row r="579">
      <c r="C579" s="41"/>
      <c r="D579" s="141"/>
      <c r="E579" s="118"/>
      <c r="F579" s="126"/>
      <c r="G579" s="126"/>
      <c r="H579" s="126"/>
      <c r="I579" s="126"/>
      <c r="J579" s="76"/>
      <c r="K579" s="76"/>
      <c r="L579" s="76"/>
      <c r="M579" s="76"/>
      <c r="N579" s="114"/>
    </row>
    <row r="580">
      <c r="C580" s="41"/>
      <c r="D580" s="142"/>
      <c r="E580" s="130"/>
      <c r="F580" s="128"/>
      <c r="G580" s="128"/>
      <c r="H580" s="128"/>
      <c r="I580" s="128"/>
      <c r="J580" s="81"/>
      <c r="K580" s="81"/>
      <c r="L580" s="81"/>
      <c r="M580" s="81"/>
      <c r="N580" s="82"/>
    </row>
    <row r="581">
      <c r="C581" s="41"/>
      <c r="D581" s="141"/>
      <c r="E581" s="118"/>
      <c r="F581" s="126"/>
      <c r="G581" s="126"/>
      <c r="H581" s="126"/>
      <c r="I581" s="126"/>
      <c r="J581" s="76"/>
      <c r="K581" s="76"/>
      <c r="L581" s="76"/>
      <c r="M581" s="76"/>
      <c r="N581" s="114"/>
    </row>
    <row r="582">
      <c r="C582" s="41"/>
      <c r="D582" s="142"/>
      <c r="E582" s="130"/>
      <c r="F582" s="128"/>
      <c r="G582" s="128"/>
      <c r="H582" s="128"/>
      <c r="I582" s="128"/>
      <c r="J582" s="81"/>
      <c r="K582" s="81"/>
      <c r="L582" s="81"/>
      <c r="M582" s="81"/>
      <c r="N582" s="82"/>
    </row>
    <row r="583">
      <c r="C583" s="41"/>
      <c r="D583" s="141"/>
      <c r="E583" s="118"/>
      <c r="F583" s="126"/>
      <c r="G583" s="126"/>
      <c r="H583" s="126"/>
      <c r="I583" s="126"/>
      <c r="J583" s="76"/>
      <c r="K583" s="76"/>
      <c r="L583" s="76"/>
      <c r="M583" s="76"/>
      <c r="N583" s="114"/>
    </row>
    <row r="584">
      <c r="C584" s="41"/>
      <c r="D584" s="142"/>
      <c r="E584" s="130"/>
      <c r="F584" s="128"/>
      <c r="G584" s="128"/>
      <c r="H584" s="128"/>
      <c r="I584" s="128"/>
      <c r="J584" s="81"/>
      <c r="K584" s="81"/>
      <c r="L584" s="81"/>
      <c r="M584" s="81"/>
      <c r="N584" s="82"/>
    </row>
    <row r="585">
      <c r="C585" s="41"/>
      <c r="D585" s="141"/>
      <c r="E585" s="118"/>
      <c r="F585" s="126"/>
      <c r="G585" s="126"/>
      <c r="H585" s="126"/>
      <c r="I585" s="126"/>
      <c r="J585" s="76"/>
      <c r="K585" s="76"/>
      <c r="L585" s="76"/>
      <c r="M585" s="76"/>
      <c r="N585" s="114"/>
    </row>
    <row r="586">
      <c r="C586" s="41"/>
      <c r="D586" s="142"/>
      <c r="E586" s="130"/>
      <c r="F586" s="128"/>
      <c r="G586" s="128"/>
      <c r="H586" s="128"/>
      <c r="I586" s="128"/>
      <c r="J586" s="81"/>
      <c r="K586" s="81"/>
      <c r="L586" s="81"/>
      <c r="M586" s="81"/>
      <c r="N586" s="82"/>
    </row>
    <row r="587">
      <c r="C587" s="41"/>
      <c r="D587" s="141"/>
      <c r="E587" s="118"/>
      <c r="F587" s="126"/>
      <c r="G587" s="126"/>
      <c r="H587" s="126"/>
      <c r="I587" s="126"/>
      <c r="J587" s="76"/>
      <c r="K587" s="76"/>
      <c r="L587" s="76"/>
      <c r="M587" s="76"/>
      <c r="N587" s="114"/>
    </row>
    <row r="588">
      <c r="C588" s="41"/>
      <c r="D588" s="142"/>
      <c r="E588" s="130"/>
      <c r="F588" s="128"/>
      <c r="G588" s="128"/>
      <c r="H588" s="128"/>
      <c r="I588" s="128"/>
      <c r="J588" s="81"/>
      <c r="K588" s="81"/>
      <c r="L588" s="81"/>
      <c r="M588" s="81"/>
      <c r="N588" s="82"/>
    </row>
    <row r="589">
      <c r="C589" s="41"/>
      <c r="D589" s="141"/>
      <c r="E589" s="118"/>
      <c r="F589" s="126"/>
      <c r="G589" s="126"/>
      <c r="H589" s="126"/>
      <c r="I589" s="126"/>
      <c r="J589" s="76"/>
      <c r="K589" s="76"/>
      <c r="L589" s="76"/>
      <c r="M589" s="76"/>
      <c r="N589" s="114"/>
    </row>
    <row r="590">
      <c r="C590" s="41"/>
      <c r="D590" s="142"/>
      <c r="E590" s="130"/>
      <c r="F590" s="128"/>
      <c r="G590" s="128"/>
      <c r="H590" s="128"/>
      <c r="I590" s="128"/>
      <c r="J590" s="81"/>
      <c r="K590" s="81"/>
      <c r="L590" s="81"/>
      <c r="M590" s="81"/>
      <c r="N590" s="82"/>
    </row>
    <row r="591">
      <c r="C591" s="41"/>
      <c r="D591" s="141"/>
      <c r="E591" s="118"/>
      <c r="F591" s="126"/>
      <c r="G591" s="126"/>
      <c r="H591" s="126"/>
      <c r="I591" s="126"/>
      <c r="J591" s="76"/>
      <c r="K591" s="76"/>
      <c r="L591" s="76"/>
      <c r="M591" s="76"/>
      <c r="N591" s="114"/>
    </row>
    <row r="592">
      <c r="C592" s="41"/>
      <c r="D592" s="142"/>
      <c r="E592" s="130"/>
      <c r="F592" s="128"/>
      <c r="G592" s="128"/>
      <c r="H592" s="128"/>
      <c r="I592" s="128"/>
      <c r="J592" s="81"/>
      <c r="K592" s="81"/>
      <c r="L592" s="81"/>
      <c r="M592" s="81"/>
      <c r="N592" s="82"/>
    </row>
    <row r="593">
      <c r="C593" s="41"/>
      <c r="D593" s="141"/>
      <c r="E593" s="118"/>
      <c r="F593" s="126"/>
      <c r="G593" s="126"/>
      <c r="H593" s="126"/>
      <c r="I593" s="126"/>
      <c r="J593" s="76"/>
      <c r="K593" s="76"/>
      <c r="L593" s="76"/>
      <c r="M593" s="76"/>
      <c r="N593" s="114"/>
    </row>
    <row r="594">
      <c r="C594" s="41"/>
      <c r="D594" s="142"/>
      <c r="E594" s="130"/>
      <c r="F594" s="128"/>
      <c r="G594" s="128"/>
      <c r="H594" s="128"/>
      <c r="I594" s="128"/>
      <c r="J594" s="81"/>
      <c r="K594" s="81"/>
      <c r="L594" s="81"/>
      <c r="M594" s="81"/>
      <c r="N594" s="82"/>
    </row>
    <row r="595">
      <c r="C595" s="41"/>
      <c r="D595" s="141"/>
      <c r="E595" s="118"/>
      <c r="F595" s="126"/>
      <c r="G595" s="126"/>
      <c r="H595" s="126"/>
      <c r="I595" s="126"/>
      <c r="J595" s="76"/>
      <c r="K595" s="76"/>
      <c r="L595" s="76"/>
      <c r="M595" s="76"/>
      <c r="N595" s="114"/>
    </row>
    <row r="596">
      <c r="C596" s="41"/>
      <c r="D596" s="142"/>
      <c r="E596" s="130"/>
      <c r="F596" s="128"/>
      <c r="G596" s="128"/>
      <c r="H596" s="128"/>
      <c r="I596" s="128"/>
      <c r="J596" s="81"/>
      <c r="K596" s="81"/>
      <c r="L596" s="81"/>
      <c r="M596" s="81"/>
      <c r="N596" s="82"/>
    </row>
    <row r="597">
      <c r="C597" s="41"/>
      <c r="D597" s="141"/>
      <c r="E597" s="118"/>
      <c r="F597" s="126"/>
      <c r="G597" s="126"/>
      <c r="H597" s="126"/>
      <c r="I597" s="126"/>
      <c r="J597" s="76"/>
      <c r="K597" s="76"/>
      <c r="L597" s="76"/>
      <c r="M597" s="76"/>
      <c r="N597" s="114"/>
    </row>
    <row r="598">
      <c r="C598" s="41"/>
      <c r="D598" s="142"/>
      <c r="E598" s="130"/>
      <c r="F598" s="128"/>
      <c r="G598" s="128"/>
      <c r="H598" s="128"/>
      <c r="I598" s="128"/>
      <c r="J598" s="81"/>
      <c r="K598" s="81"/>
      <c r="L598" s="81"/>
      <c r="M598" s="81"/>
      <c r="N598" s="82"/>
    </row>
    <row r="599">
      <c r="C599" s="41"/>
      <c r="D599" s="141"/>
      <c r="E599" s="118"/>
      <c r="F599" s="126"/>
      <c r="G599" s="126"/>
      <c r="H599" s="126"/>
      <c r="I599" s="126"/>
      <c r="J599" s="76"/>
      <c r="K599" s="76"/>
      <c r="L599" s="76"/>
      <c r="M599" s="76"/>
      <c r="N599" s="114"/>
    </row>
    <row r="600">
      <c r="C600" s="41"/>
      <c r="D600" s="142"/>
      <c r="E600" s="130"/>
      <c r="F600" s="128"/>
      <c r="G600" s="128"/>
      <c r="H600" s="128"/>
      <c r="I600" s="128"/>
      <c r="J600" s="81"/>
      <c r="K600" s="81"/>
      <c r="L600" s="81"/>
      <c r="M600" s="81"/>
      <c r="N600" s="82"/>
    </row>
    <row r="601">
      <c r="C601" s="41"/>
      <c r="D601" s="141"/>
      <c r="E601" s="118"/>
      <c r="F601" s="126"/>
      <c r="G601" s="126"/>
      <c r="H601" s="126"/>
      <c r="I601" s="126"/>
      <c r="J601" s="76"/>
      <c r="K601" s="76"/>
      <c r="L601" s="76"/>
      <c r="M601" s="76"/>
      <c r="N601" s="114"/>
    </row>
    <row r="602">
      <c r="C602" s="41"/>
      <c r="D602" s="142"/>
      <c r="E602" s="130"/>
      <c r="F602" s="128"/>
      <c r="G602" s="128"/>
      <c r="H602" s="128"/>
      <c r="I602" s="128"/>
      <c r="J602" s="81"/>
      <c r="K602" s="81"/>
      <c r="L602" s="81"/>
      <c r="M602" s="81"/>
      <c r="N602" s="82"/>
    </row>
    <row r="603">
      <c r="C603" s="41"/>
      <c r="D603" s="141"/>
      <c r="E603" s="118"/>
      <c r="F603" s="126"/>
      <c r="G603" s="126"/>
      <c r="H603" s="126"/>
      <c r="I603" s="126"/>
      <c r="J603" s="76"/>
      <c r="K603" s="76"/>
      <c r="L603" s="76"/>
      <c r="M603" s="76"/>
      <c r="N603" s="114"/>
    </row>
    <row r="604">
      <c r="C604" s="41"/>
      <c r="D604" s="142"/>
      <c r="E604" s="130"/>
      <c r="F604" s="128"/>
      <c r="G604" s="128"/>
      <c r="H604" s="128"/>
      <c r="I604" s="128"/>
      <c r="J604" s="81"/>
      <c r="K604" s="81"/>
      <c r="L604" s="81"/>
      <c r="M604" s="81"/>
      <c r="N604" s="82"/>
    </row>
    <row r="605">
      <c r="C605" s="41"/>
      <c r="D605" s="141"/>
      <c r="E605" s="118"/>
      <c r="F605" s="126"/>
      <c r="G605" s="126"/>
      <c r="H605" s="126"/>
      <c r="I605" s="126"/>
      <c r="J605" s="76"/>
      <c r="K605" s="76"/>
      <c r="L605" s="76"/>
      <c r="M605" s="76"/>
      <c r="N605" s="114"/>
    </row>
    <row r="606">
      <c r="C606" s="41"/>
      <c r="D606" s="142"/>
      <c r="E606" s="130"/>
      <c r="F606" s="128"/>
      <c r="G606" s="128"/>
      <c r="H606" s="128"/>
      <c r="I606" s="128"/>
      <c r="J606" s="81"/>
      <c r="K606" s="81"/>
      <c r="L606" s="81"/>
      <c r="M606" s="81"/>
      <c r="N606" s="82"/>
    </row>
    <row r="607">
      <c r="C607" s="41"/>
      <c r="D607" s="141"/>
      <c r="E607" s="118"/>
      <c r="F607" s="126"/>
      <c r="G607" s="126"/>
      <c r="H607" s="126"/>
      <c r="I607" s="126"/>
      <c r="J607" s="76"/>
      <c r="K607" s="76"/>
      <c r="L607" s="76"/>
      <c r="M607" s="76"/>
      <c r="N607" s="114"/>
    </row>
    <row r="608">
      <c r="C608" s="41"/>
      <c r="D608" s="142"/>
      <c r="E608" s="130"/>
      <c r="F608" s="128"/>
      <c r="G608" s="128"/>
      <c r="H608" s="128"/>
      <c r="I608" s="128"/>
      <c r="J608" s="81"/>
      <c r="K608" s="81"/>
      <c r="L608" s="81"/>
      <c r="M608" s="81"/>
      <c r="N608" s="82"/>
    </row>
    <row r="609">
      <c r="C609" s="41"/>
      <c r="D609" s="141"/>
      <c r="E609" s="118"/>
      <c r="F609" s="126"/>
      <c r="G609" s="126"/>
      <c r="H609" s="126"/>
      <c r="I609" s="126"/>
      <c r="J609" s="76"/>
      <c r="K609" s="76"/>
      <c r="L609" s="76"/>
      <c r="M609" s="76"/>
      <c r="N609" s="114"/>
    </row>
    <row r="610">
      <c r="C610" s="41"/>
      <c r="D610" s="142"/>
      <c r="E610" s="130"/>
      <c r="F610" s="128"/>
      <c r="G610" s="128"/>
      <c r="H610" s="128"/>
      <c r="I610" s="128"/>
      <c r="J610" s="81"/>
      <c r="K610" s="81"/>
      <c r="L610" s="81"/>
      <c r="M610" s="81"/>
      <c r="N610" s="82"/>
    </row>
    <row r="611">
      <c r="C611" s="41"/>
      <c r="D611" s="141"/>
      <c r="E611" s="118"/>
      <c r="F611" s="126"/>
      <c r="G611" s="126"/>
      <c r="H611" s="126"/>
      <c r="I611" s="126"/>
      <c r="J611" s="76"/>
      <c r="K611" s="76"/>
      <c r="L611" s="76"/>
      <c r="M611" s="76"/>
      <c r="N611" s="114"/>
    </row>
    <row r="612">
      <c r="C612" s="41"/>
      <c r="D612" s="142"/>
      <c r="E612" s="130"/>
      <c r="F612" s="128"/>
      <c r="G612" s="128"/>
      <c r="H612" s="128"/>
      <c r="I612" s="128"/>
      <c r="J612" s="81"/>
      <c r="K612" s="81"/>
      <c r="L612" s="81"/>
      <c r="M612" s="81"/>
      <c r="N612" s="82"/>
    </row>
    <row r="613">
      <c r="C613" s="41"/>
      <c r="D613" s="141"/>
      <c r="E613" s="118"/>
      <c r="F613" s="126"/>
      <c r="G613" s="126"/>
      <c r="H613" s="126"/>
      <c r="I613" s="126"/>
      <c r="J613" s="76"/>
      <c r="K613" s="76"/>
      <c r="L613" s="76"/>
      <c r="M613" s="76"/>
      <c r="N613" s="114"/>
    </row>
    <row r="614">
      <c r="C614" s="41"/>
      <c r="D614" s="142"/>
      <c r="E614" s="130"/>
      <c r="F614" s="128"/>
      <c r="G614" s="128"/>
      <c r="H614" s="128"/>
      <c r="I614" s="128"/>
      <c r="J614" s="81"/>
      <c r="K614" s="81"/>
      <c r="L614" s="81"/>
      <c r="M614" s="81"/>
      <c r="N614" s="82"/>
    </row>
    <row r="615">
      <c r="C615" s="41"/>
      <c r="D615" s="141"/>
      <c r="E615" s="118"/>
      <c r="F615" s="126"/>
      <c r="G615" s="126"/>
      <c r="H615" s="126"/>
      <c r="I615" s="126"/>
      <c r="J615" s="76"/>
      <c r="K615" s="76"/>
      <c r="L615" s="76"/>
      <c r="M615" s="76"/>
      <c r="N615" s="114"/>
    </row>
    <row r="616">
      <c r="C616" s="41"/>
      <c r="D616" s="142"/>
      <c r="E616" s="130"/>
      <c r="F616" s="128"/>
      <c r="G616" s="128"/>
      <c r="H616" s="128"/>
      <c r="I616" s="128"/>
      <c r="J616" s="81"/>
      <c r="K616" s="81"/>
      <c r="L616" s="81"/>
      <c r="M616" s="81"/>
      <c r="N616" s="82"/>
    </row>
    <row r="617">
      <c r="C617" s="41"/>
      <c r="D617" s="141"/>
      <c r="E617" s="118"/>
      <c r="F617" s="126"/>
      <c r="G617" s="126"/>
      <c r="H617" s="126"/>
      <c r="I617" s="126"/>
      <c r="J617" s="76"/>
      <c r="K617" s="76"/>
      <c r="L617" s="76"/>
      <c r="M617" s="76"/>
      <c r="N617" s="114"/>
    </row>
    <row r="618">
      <c r="C618" s="41"/>
      <c r="D618" s="142"/>
      <c r="E618" s="130"/>
      <c r="F618" s="128"/>
      <c r="G618" s="128"/>
      <c r="H618" s="128"/>
      <c r="I618" s="128"/>
      <c r="J618" s="81"/>
      <c r="K618" s="81"/>
      <c r="L618" s="81"/>
      <c r="M618" s="81"/>
      <c r="N618" s="82"/>
    </row>
    <row r="619">
      <c r="C619" s="41"/>
      <c r="D619" s="141"/>
      <c r="E619" s="118"/>
      <c r="F619" s="126"/>
      <c r="G619" s="126"/>
      <c r="H619" s="126"/>
      <c r="I619" s="126"/>
      <c r="J619" s="76"/>
      <c r="K619" s="76"/>
      <c r="L619" s="76"/>
      <c r="M619" s="76"/>
      <c r="N619" s="114"/>
    </row>
    <row r="620">
      <c r="C620" s="41"/>
      <c r="D620" s="142"/>
      <c r="E620" s="130"/>
      <c r="F620" s="128"/>
      <c r="G620" s="128"/>
      <c r="H620" s="128"/>
      <c r="I620" s="128"/>
      <c r="J620" s="81"/>
      <c r="K620" s="81"/>
      <c r="L620" s="81"/>
      <c r="M620" s="81"/>
      <c r="N620" s="82"/>
    </row>
    <row r="621">
      <c r="C621" s="41"/>
      <c r="D621" s="141"/>
      <c r="E621" s="118"/>
      <c r="F621" s="126"/>
      <c r="G621" s="126"/>
      <c r="H621" s="126"/>
      <c r="I621" s="126"/>
      <c r="J621" s="76"/>
      <c r="K621" s="76"/>
      <c r="L621" s="76"/>
      <c r="M621" s="76"/>
      <c r="N621" s="114"/>
    </row>
    <row r="622">
      <c r="C622" s="41"/>
      <c r="D622" s="142"/>
      <c r="E622" s="130"/>
      <c r="F622" s="128"/>
      <c r="G622" s="128"/>
      <c r="H622" s="128"/>
      <c r="I622" s="128"/>
      <c r="J622" s="81"/>
      <c r="K622" s="81"/>
      <c r="L622" s="81"/>
      <c r="M622" s="81"/>
      <c r="N622" s="82"/>
    </row>
    <row r="623">
      <c r="C623" s="41"/>
      <c r="D623" s="141"/>
      <c r="E623" s="118"/>
      <c r="F623" s="126"/>
      <c r="G623" s="126"/>
      <c r="H623" s="126"/>
      <c r="I623" s="126"/>
      <c r="J623" s="76"/>
      <c r="K623" s="76"/>
      <c r="L623" s="76"/>
      <c r="M623" s="76"/>
      <c r="N623" s="114"/>
    </row>
    <row r="624">
      <c r="C624" s="41"/>
      <c r="D624" s="142"/>
      <c r="E624" s="130"/>
      <c r="F624" s="128"/>
      <c r="G624" s="128"/>
      <c r="H624" s="128"/>
      <c r="I624" s="128"/>
      <c r="J624" s="81"/>
      <c r="K624" s="81"/>
      <c r="L624" s="81"/>
      <c r="M624" s="81"/>
      <c r="N624" s="82"/>
    </row>
    <row r="625">
      <c r="C625" s="41"/>
      <c r="D625" s="141"/>
      <c r="E625" s="118"/>
      <c r="F625" s="126"/>
      <c r="G625" s="126"/>
      <c r="H625" s="126"/>
      <c r="I625" s="126"/>
      <c r="J625" s="76"/>
      <c r="K625" s="76"/>
      <c r="L625" s="76"/>
      <c r="M625" s="76"/>
      <c r="N625" s="114"/>
    </row>
    <row r="626">
      <c r="C626" s="41"/>
      <c r="D626" s="142"/>
      <c r="E626" s="130"/>
      <c r="F626" s="128"/>
      <c r="G626" s="128"/>
      <c r="H626" s="128"/>
      <c r="I626" s="128"/>
      <c r="J626" s="81"/>
      <c r="K626" s="81"/>
      <c r="L626" s="81"/>
      <c r="M626" s="81"/>
      <c r="N626" s="82"/>
    </row>
    <row r="627">
      <c r="C627" s="41"/>
      <c r="D627" s="141"/>
      <c r="E627" s="118"/>
      <c r="F627" s="126"/>
      <c r="G627" s="126"/>
      <c r="H627" s="126"/>
      <c r="I627" s="126"/>
      <c r="J627" s="76"/>
      <c r="K627" s="76"/>
      <c r="L627" s="76"/>
      <c r="M627" s="76"/>
      <c r="N627" s="114"/>
    </row>
    <row r="628">
      <c r="C628" s="41"/>
      <c r="D628" s="142"/>
      <c r="E628" s="130"/>
      <c r="F628" s="128"/>
      <c r="G628" s="128"/>
      <c r="H628" s="128"/>
      <c r="I628" s="128"/>
      <c r="J628" s="81"/>
      <c r="K628" s="81"/>
      <c r="L628" s="81"/>
      <c r="M628" s="81"/>
      <c r="N628" s="82"/>
    </row>
    <row r="629">
      <c r="C629" s="41"/>
      <c r="D629" s="141"/>
      <c r="E629" s="118"/>
      <c r="F629" s="126"/>
      <c r="G629" s="126"/>
      <c r="H629" s="126"/>
      <c r="I629" s="126"/>
      <c r="J629" s="76"/>
      <c r="K629" s="76"/>
      <c r="L629" s="76"/>
      <c r="M629" s="76"/>
      <c r="N629" s="114"/>
    </row>
    <row r="630">
      <c r="C630" s="41"/>
      <c r="D630" s="142"/>
      <c r="E630" s="130"/>
      <c r="F630" s="128"/>
      <c r="G630" s="128"/>
      <c r="H630" s="128"/>
      <c r="I630" s="128"/>
      <c r="J630" s="81"/>
      <c r="K630" s="81"/>
      <c r="L630" s="81"/>
      <c r="M630" s="81"/>
      <c r="N630" s="82"/>
    </row>
    <row r="631">
      <c r="C631" s="41"/>
      <c r="D631" s="141"/>
      <c r="E631" s="118"/>
      <c r="F631" s="126"/>
      <c r="G631" s="126"/>
      <c r="H631" s="126"/>
      <c r="I631" s="126"/>
      <c r="J631" s="76"/>
      <c r="K631" s="76"/>
      <c r="L631" s="76"/>
      <c r="M631" s="76"/>
      <c r="N631" s="114"/>
    </row>
    <row r="632">
      <c r="C632" s="41"/>
      <c r="D632" s="142"/>
      <c r="E632" s="130"/>
      <c r="F632" s="128"/>
      <c r="G632" s="128"/>
      <c r="H632" s="128"/>
      <c r="I632" s="128"/>
      <c r="J632" s="81"/>
      <c r="K632" s="81"/>
      <c r="L632" s="81"/>
      <c r="M632" s="81"/>
      <c r="N632" s="82"/>
    </row>
    <row r="633">
      <c r="C633" s="41"/>
      <c r="D633" s="141"/>
      <c r="E633" s="118"/>
      <c r="F633" s="126"/>
      <c r="G633" s="126"/>
      <c r="H633" s="126"/>
      <c r="I633" s="126"/>
      <c r="J633" s="76"/>
      <c r="K633" s="76"/>
      <c r="L633" s="76"/>
      <c r="M633" s="76"/>
      <c r="N633" s="114"/>
    </row>
    <row r="634">
      <c r="C634" s="41"/>
      <c r="D634" s="142"/>
      <c r="E634" s="130"/>
      <c r="F634" s="128"/>
      <c r="G634" s="128"/>
      <c r="H634" s="128"/>
      <c r="I634" s="128"/>
      <c r="J634" s="81"/>
      <c r="K634" s="81"/>
      <c r="L634" s="81"/>
      <c r="M634" s="81"/>
      <c r="N634" s="82"/>
    </row>
    <row r="635">
      <c r="C635" s="41"/>
      <c r="D635" s="141"/>
      <c r="E635" s="118"/>
      <c r="F635" s="126"/>
      <c r="G635" s="126"/>
      <c r="H635" s="126"/>
      <c r="I635" s="126"/>
      <c r="J635" s="76"/>
      <c r="K635" s="76"/>
      <c r="L635" s="76"/>
      <c r="M635" s="76"/>
      <c r="N635" s="114"/>
    </row>
    <row r="636">
      <c r="C636" s="41"/>
      <c r="D636" s="142"/>
      <c r="E636" s="130"/>
      <c r="F636" s="128"/>
      <c r="G636" s="128"/>
      <c r="H636" s="128"/>
      <c r="I636" s="128"/>
      <c r="J636" s="81"/>
      <c r="K636" s="81"/>
      <c r="L636" s="81"/>
      <c r="M636" s="81"/>
      <c r="N636" s="82"/>
    </row>
    <row r="637">
      <c r="C637" s="41"/>
      <c r="D637" s="141"/>
      <c r="E637" s="118"/>
      <c r="F637" s="126"/>
      <c r="G637" s="126"/>
      <c r="H637" s="126"/>
      <c r="I637" s="126"/>
      <c r="J637" s="76"/>
      <c r="K637" s="76"/>
      <c r="L637" s="76"/>
      <c r="M637" s="76"/>
      <c r="N637" s="114"/>
    </row>
    <row r="638">
      <c r="C638" s="41"/>
      <c r="D638" s="142"/>
      <c r="E638" s="130"/>
      <c r="F638" s="128"/>
      <c r="G638" s="128"/>
      <c r="H638" s="128"/>
      <c r="I638" s="128"/>
      <c r="J638" s="81"/>
      <c r="K638" s="81"/>
      <c r="L638" s="81"/>
      <c r="M638" s="81"/>
      <c r="N638" s="82"/>
    </row>
    <row r="639">
      <c r="C639" s="41"/>
      <c r="D639" s="141"/>
      <c r="E639" s="118"/>
      <c r="F639" s="126"/>
      <c r="G639" s="126"/>
      <c r="H639" s="126"/>
      <c r="I639" s="126"/>
      <c r="J639" s="76"/>
      <c r="K639" s="76"/>
      <c r="L639" s="76"/>
      <c r="M639" s="76"/>
      <c r="N639" s="114"/>
    </row>
    <row r="640">
      <c r="C640" s="41"/>
      <c r="D640" s="142"/>
      <c r="E640" s="130"/>
      <c r="F640" s="128"/>
      <c r="G640" s="128"/>
      <c r="H640" s="128"/>
      <c r="I640" s="128"/>
      <c r="J640" s="81"/>
      <c r="K640" s="81"/>
      <c r="L640" s="81"/>
      <c r="M640" s="81"/>
      <c r="N640" s="82"/>
    </row>
    <row r="641">
      <c r="C641" s="41"/>
      <c r="D641" s="141"/>
      <c r="E641" s="118"/>
      <c r="F641" s="126"/>
      <c r="G641" s="126"/>
      <c r="H641" s="126"/>
      <c r="I641" s="126"/>
      <c r="J641" s="76"/>
      <c r="K641" s="76"/>
      <c r="L641" s="76"/>
      <c r="M641" s="76"/>
      <c r="N641" s="114"/>
    </row>
    <row r="642">
      <c r="C642" s="41"/>
      <c r="D642" s="142"/>
      <c r="E642" s="130"/>
      <c r="F642" s="128"/>
      <c r="G642" s="128"/>
      <c r="H642" s="128"/>
      <c r="I642" s="128"/>
      <c r="J642" s="81"/>
      <c r="K642" s="81"/>
      <c r="L642" s="81"/>
      <c r="M642" s="81"/>
      <c r="N642" s="82"/>
    </row>
    <row r="643">
      <c r="C643" s="41"/>
      <c r="D643" s="141"/>
      <c r="E643" s="118"/>
      <c r="F643" s="126"/>
      <c r="G643" s="126"/>
      <c r="H643" s="126"/>
      <c r="I643" s="126"/>
      <c r="J643" s="76"/>
      <c r="K643" s="76"/>
      <c r="L643" s="76"/>
      <c r="M643" s="76"/>
      <c r="N643" s="114"/>
    </row>
    <row r="644">
      <c r="C644" s="41"/>
      <c r="D644" s="142"/>
      <c r="E644" s="130"/>
      <c r="F644" s="128"/>
      <c r="G644" s="128"/>
      <c r="H644" s="128"/>
      <c r="I644" s="128"/>
      <c r="J644" s="81"/>
      <c r="K644" s="81"/>
      <c r="L644" s="81"/>
      <c r="M644" s="81"/>
      <c r="N644" s="82"/>
    </row>
    <row r="645">
      <c r="C645" s="41"/>
      <c r="D645" s="141"/>
      <c r="E645" s="118"/>
      <c r="F645" s="126"/>
      <c r="G645" s="126"/>
      <c r="H645" s="126"/>
      <c r="I645" s="126"/>
      <c r="J645" s="76"/>
      <c r="K645" s="76"/>
      <c r="L645" s="76"/>
      <c r="M645" s="76"/>
      <c r="N645" s="114"/>
    </row>
    <row r="646">
      <c r="C646" s="41"/>
      <c r="D646" s="142"/>
      <c r="E646" s="130"/>
      <c r="F646" s="128"/>
      <c r="G646" s="128"/>
      <c r="H646" s="128"/>
      <c r="I646" s="128"/>
      <c r="J646" s="81"/>
      <c r="K646" s="81"/>
      <c r="L646" s="81"/>
      <c r="M646" s="81"/>
      <c r="N646" s="82"/>
    </row>
    <row r="647">
      <c r="C647" s="41"/>
      <c r="D647" s="141"/>
      <c r="E647" s="118"/>
      <c r="F647" s="126"/>
      <c r="G647" s="126"/>
      <c r="H647" s="126"/>
      <c r="I647" s="126"/>
      <c r="J647" s="76"/>
      <c r="K647" s="76"/>
      <c r="L647" s="76"/>
      <c r="M647" s="76"/>
      <c r="N647" s="114"/>
    </row>
    <row r="648">
      <c r="C648" s="41"/>
      <c r="D648" s="142"/>
      <c r="E648" s="130"/>
      <c r="F648" s="128"/>
      <c r="G648" s="128"/>
      <c r="H648" s="128"/>
      <c r="I648" s="128"/>
      <c r="J648" s="81"/>
      <c r="K648" s="81"/>
      <c r="L648" s="81"/>
      <c r="M648" s="81"/>
      <c r="N648" s="82"/>
    </row>
    <row r="649">
      <c r="C649" s="41"/>
      <c r="D649" s="141"/>
      <c r="E649" s="118"/>
      <c r="F649" s="126"/>
      <c r="G649" s="126"/>
      <c r="H649" s="126"/>
      <c r="I649" s="126"/>
      <c r="J649" s="76"/>
      <c r="K649" s="76"/>
      <c r="L649" s="76"/>
      <c r="M649" s="76"/>
      <c r="N649" s="114"/>
    </row>
    <row r="650">
      <c r="C650" s="41"/>
      <c r="D650" s="142"/>
      <c r="E650" s="130"/>
      <c r="F650" s="128"/>
      <c r="G650" s="128"/>
      <c r="H650" s="128"/>
      <c r="I650" s="128"/>
      <c r="J650" s="81"/>
      <c r="K650" s="81"/>
      <c r="L650" s="81"/>
      <c r="M650" s="81"/>
      <c r="N650" s="82"/>
    </row>
    <row r="651">
      <c r="C651" s="41"/>
      <c r="D651" s="141"/>
      <c r="E651" s="118"/>
      <c r="F651" s="126"/>
      <c r="G651" s="126"/>
      <c r="H651" s="126"/>
      <c r="I651" s="126"/>
      <c r="J651" s="76"/>
      <c r="K651" s="76"/>
      <c r="L651" s="76"/>
      <c r="M651" s="76"/>
      <c r="N651" s="114"/>
    </row>
    <row r="652">
      <c r="C652" s="41"/>
      <c r="D652" s="142"/>
      <c r="E652" s="130"/>
      <c r="F652" s="128"/>
      <c r="G652" s="128"/>
      <c r="H652" s="128"/>
      <c r="I652" s="128"/>
      <c r="J652" s="81"/>
      <c r="K652" s="81"/>
      <c r="L652" s="81"/>
      <c r="M652" s="81"/>
      <c r="N652" s="82"/>
    </row>
    <row r="653">
      <c r="C653" s="41"/>
      <c r="D653" s="141"/>
      <c r="E653" s="118"/>
      <c r="F653" s="126"/>
      <c r="G653" s="126"/>
      <c r="H653" s="126"/>
      <c r="I653" s="126"/>
      <c r="J653" s="76"/>
      <c r="K653" s="76"/>
      <c r="L653" s="76"/>
      <c r="M653" s="76"/>
      <c r="N653" s="114"/>
    </row>
    <row r="654">
      <c r="C654" s="41"/>
      <c r="D654" s="142"/>
      <c r="E654" s="130"/>
      <c r="F654" s="128"/>
      <c r="G654" s="128"/>
      <c r="H654" s="128"/>
      <c r="I654" s="128"/>
      <c r="J654" s="81"/>
      <c r="K654" s="81"/>
      <c r="L654" s="81"/>
      <c r="M654" s="81"/>
      <c r="N654" s="82"/>
    </row>
    <row r="655">
      <c r="C655" s="41"/>
      <c r="D655" s="141"/>
      <c r="E655" s="118"/>
      <c r="F655" s="126"/>
      <c r="G655" s="126"/>
      <c r="H655" s="126"/>
      <c r="I655" s="126"/>
      <c r="J655" s="76"/>
      <c r="K655" s="76"/>
      <c r="L655" s="76"/>
      <c r="M655" s="76"/>
      <c r="N655" s="114"/>
    </row>
    <row r="656">
      <c r="C656" s="41"/>
      <c r="D656" s="142"/>
      <c r="E656" s="130"/>
      <c r="F656" s="128"/>
      <c r="G656" s="128"/>
      <c r="H656" s="128"/>
      <c r="I656" s="128"/>
      <c r="J656" s="81"/>
      <c r="K656" s="81"/>
      <c r="L656" s="81"/>
      <c r="M656" s="81"/>
      <c r="N656" s="82"/>
    </row>
    <row r="657">
      <c r="C657" s="41"/>
      <c r="D657" s="141"/>
      <c r="E657" s="118"/>
      <c r="F657" s="126"/>
      <c r="G657" s="126"/>
      <c r="H657" s="126"/>
      <c r="I657" s="126"/>
      <c r="J657" s="76"/>
      <c r="K657" s="76"/>
      <c r="L657" s="76"/>
      <c r="M657" s="76"/>
      <c r="N657" s="114"/>
    </row>
    <row r="658">
      <c r="C658" s="41"/>
      <c r="D658" s="142"/>
      <c r="E658" s="130"/>
      <c r="F658" s="128"/>
      <c r="G658" s="128"/>
      <c r="H658" s="128"/>
      <c r="I658" s="128"/>
      <c r="J658" s="81"/>
      <c r="K658" s="81"/>
      <c r="L658" s="81"/>
      <c r="M658" s="81"/>
      <c r="N658" s="82"/>
    </row>
    <row r="659">
      <c r="C659" s="41"/>
      <c r="D659" s="141"/>
      <c r="E659" s="118"/>
      <c r="F659" s="126"/>
      <c r="G659" s="126"/>
      <c r="H659" s="126"/>
      <c r="I659" s="126"/>
      <c r="J659" s="76"/>
      <c r="K659" s="76"/>
      <c r="L659" s="76"/>
      <c r="M659" s="76"/>
      <c r="N659" s="114"/>
    </row>
    <row r="660">
      <c r="C660" s="41"/>
      <c r="D660" s="142"/>
      <c r="E660" s="130"/>
      <c r="F660" s="128"/>
      <c r="G660" s="128"/>
      <c r="H660" s="128"/>
      <c r="I660" s="128"/>
      <c r="J660" s="81"/>
      <c r="K660" s="81"/>
      <c r="L660" s="81"/>
      <c r="M660" s="81"/>
      <c r="N660" s="82"/>
    </row>
    <row r="661">
      <c r="C661" s="41"/>
      <c r="D661" s="141"/>
      <c r="E661" s="118"/>
      <c r="F661" s="126"/>
      <c r="G661" s="126"/>
      <c r="H661" s="126"/>
      <c r="I661" s="126"/>
      <c r="J661" s="76"/>
      <c r="K661" s="76"/>
      <c r="L661" s="76"/>
      <c r="M661" s="76"/>
      <c r="N661" s="114"/>
    </row>
    <row r="662">
      <c r="C662" s="41"/>
      <c r="D662" s="142"/>
      <c r="E662" s="130"/>
      <c r="F662" s="128"/>
      <c r="G662" s="128"/>
      <c r="H662" s="128"/>
      <c r="I662" s="128"/>
      <c r="J662" s="81"/>
      <c r="K662" s="81"/>
      <c r="L662" s="81"/>
      <c r="M662" s="81"/>
      <c r="N662" s="82"/>
    </row>
    <row r="663">
      <c r="C663" s="41"/>
      <c r="D663" s="141"/>
      <c r="E663" s="118"/>
      <c r="F663" s="126"/>
      <c r="G663" s="126"/>
      <c r="H663" s="126"/>
      <c r="I663" s="126"/>
      <c r="J663" s="76"/>
      <c r="K663" s="76"/>
      <c r="L663" s="76"/>
      <c r="M663" s="76"/>
      <c r="N663" s="114"/>
    </row>
    <row r="664">
      <c r="C664" s="41"/>
      <c r="D664" s="142"/>
      <c r="E664" s="130"/>
      <c r="F664" s="128"/>
      <c r="G664" s="128"/>
      <c r="H664" s="128"/>
      <c r="I664" s="128"/>
      <c r="J664" s="81"/>
      <c r="K664" s="81"/>
      <c r="L664" s="81"/>
      <c r="M664" s="81"/>
      <c r="N664" s="82"/>
    </row>
    <row r="665">
      <c r="C665" s="41"/>
      <c r="D665" s="141"/>
      <c r="E665" s="118"/>
      <c r="F665" s="126"/>
      <c r="G665" s="126"/>
      <c r="H665" s="126"/>
      <c r="I665" s="126"/>
      <c r="J665" s="76"/>
      <c r="K665" s="76"/>
      <c r="L665" s="76"/>
      <c r="M665" s="76"/>
      <c r="N665" s="114"/>
    </row>
    <row r="666">
      <c r="C666" s="41"/>
      <c r="D666" s="142"/>
      <c r="E666" s="130"/>
      <c r="F666" s="128"/>
      <c r="G666" s="128"/>
      <c r="H666" s="128"/>
      <c r="I666" s="128"/>
      <c r="J666" s="81"/>
      <c r="K666" s="81"/>
      <c r="L666" s="81"/>
      <c r="M666" s="81"/>
      <c r="N666" s="82"/>
    </row>
    <row r="667">
      <c r="C667" s="41"/>
      <c r="D667" s="141"/>
      <c r="E667" s="118"/>
      <c r="F667" s="126"/>
      <c r="G667" s="126"/>
      <c r="H667" s="126"/>
      <c r="I667" s="126"/>
      <c r="J667" s="76"/>
      <c r="K667" s="76"/>
      <c r="L667" s="76"/>
      <c r="M667" s="76"/>
      <c r="N667" s="114"/>
    </row>
    <row r="668">
      <c r="C668" s="41"/>
      <c r="D668" s="142"/>
      <c r="E668" s="130"/>
      <c r="F668" s="128"/>
      <c r="G668" s="128"/>
      <c r="H668" s="128"/>
      <c r="I668" s="128"/>
      <c r="J668" s="81"/>
      <c r="K668" s="81"/>
      <c r="L668" s="81"/>
      <c r="M668" s="81"/>
      <c r="N668" s="82"/>
    </row>
    <row r="669">
      <c r="C669" s="41"/>
      <c r="D669" s="141"/>
      <c r="E669" s="118"/>
      <c r="F669" s="126"/>
      <c r="G669" s="126"/>
      <c r="H669" s="126"/>
      <c r="I669" s="126"/>
      <c r="J669" s="76"/>
      <c r="K669" s="76"/>
      <c r="L669" s="76"/>
      <c r="M669" s="76"/>
      <c r="N669" s="114"/>
    </row>
    <row r="670">
      <c r="C670" s="41"/>
      <c r="D670" s="142"/>
      <c r="E670" s="130"/>
      <c r="F670" s="128"/>
      <c r="G670" s="128"/>
      <c r="H670" s="128"/>
      <c r="I670" s="128"/>
      <c r="J670" s="81"/>
      <c r="K670" s="81"/>
      <c r="L670" s="81"/>
      <c r="M670" s="81"/>
      <c r="N670" s="82"/>
    </row>
    <row r="671">
      <c r="C671" s="41"/>
      <c r="D671" s="141"/>
      <c r="E671" s="118"/>
      <c r="F671" s="126"/>
      <c r="G671" s="126"/>
      <c r="H671" s="126"/>
      <c r="I671" s="126"/>
      <c r="J671" s="76"/>
      <c r="K671" s="76"/>
      <c r="L671" s="76"/>
      <c r="M671" s="76"/>
      <c r="N671" s="114"/>
    </row>
    <row r="672">
      <c r="C672" s="41"/>
      <c r="D672" s="142"/>
      <c r="E672" s="130"/>
      <c r="F672" s="128"/>
      <c r="G672" s="128"/>
      <c r="H672" s="128"/>
      <c r="I672" s="128"/>
      <c r="J672" s="81"/>
      <c r="K672" s="81"/>
      <c r="L672" s="81"/>
      <c r="M672" s="81"/>
      <c r="N672" s="82"/>
    </row>
    <row r="673">
      <c r="C673" s="41"/>
      <c r="D673" s="141"/>
      <c r="E673" s="118"/>
      <c r="F673" s="126"/>
      <c r="G673" s="126"/>
      <c r="H673" s="126"/>
      <c r="I673" s="126"/>
      <c r="J673" s="76"/>
      <c r="K673" s="76"/>
      <c r="L673" s="76"/>
      <c r="M673" s="76"/>
      <c r="N673" s="114"/>
    </row>
    <row r="674">
      <c r="C674" s="41"/>
      <c r="D674" s="142"/>
      <c r="E674" s="130"/>
      <c r="F674" s="128"/>
      <c r="G674" s="128"/>
      <c r="H674" s="128"/>
      <c r="I674" s="128"/>
      <c r="J674" s="81"/>
      <c r="K674" s="81"/>
      <c r="L674" s="81"/>
      <c r="M674" s="81"/>
      <c r="N674" s="82"/>
    </row>
    <row r="675">
      <c r="C675" s="41"/>
      <c r="D675" s="141"/>
      <c r="E675" s="118"/>
      <c r="F675" s="126"/>
      <c r="G675" s="126"/>
      <c r="H675" s="126"/>
      <c r="I675" s="126"/>
      <c r="J675" s="76"/>
      <c r="K675" s="76"/>
      <c r="L675" s="76"/>
      <c r="M675" s="76"/>
      <c r="N675" s="114"/>
    </row>
    <row r="676">
      <c r="C676" s="41"/>
      <c r="D676" s="142"/>
      <c r="E676" s="130"/>
      <c r="F676" s="128"/>
      <c r="G676" s="128"/>
      <c r="H676" s="128"/>
      <c r="I676" s="128"/>
      <c r="J676" s="81"/>
      <c r="K676" s="81"/>
      <c r="L676" s="81"/>
      <c r="M676" s="81"/>
      <c r="N676" s="82"/>
    </row>
    <row r="677">
      <c r="C677" s="41"/>
      <c r="D677" s="141"/>
      <c r="E677" s="118"/>
      <c r="F677" s="126"/>
      <c r="G677" s="126"/>
      <c r="H677" s="126"/>
      <c r="I677" s="126"/>
      <c r="J677" s="76"/>
      <c r="K677" s="76"/>
      <c r="L677" s="76"/>
      <c r="M677" s="76"/>
      <c r="N677" s="114"/>
    </row>
    <row r="678">
      <c r="C678" s="41"/>
      <c r="D678" s="142"/>
      <c r="E678" s="130"/>
      <c r="F678" s="128"/>
      <c r="G678" s="128"/>
      <c r="H678" s="128"/>
      <c r="I678" s="128"/>
      <c r="J678" s="81"/>
      <c r="K678" s="81"/>
      <c r="L678" s="81"/>
      <c r="M678" s="81"/>
      <c r="N678" s="82"/>
    </row>
    <row r="679">
      <c r="C679" s="41"/>
      <c r="D679" s="141"/>
      <c r="E679" s="118"/>
      <c r="F679" s="126"/>
      <c r="G679" s="126"/>
      <c r="H679" s="126"/>
      <c r="I679" s="126"/>
      <c r="J679" s="76"/>
      <c r="K679" s="76"/>
      <c r="L679" s="76"/>
      <c r="M679" s="76"/>
      <c r="N679" s="114"/>
    </row>
    <row r="680">
      <c r="C680" s="41"/>
      <c r="D680" s="142"/>
      <c r="E680" s="130"/>
      <c r="F680" s="128"/>
      <c r="G680" s="128"/>
      <c r="H680" s="128"/>
      <c r="I680" s="128"/>
      <c r="J680" s="81"/>
      <c r="K680" s="81"/>
      <c r="L680" s="81"/>
      <c r="M680" s="81"/>
      <c r="N680" s="82"/>
    </row>
    <row r="681">
      <c r="C681" s="41"/>
      <c r="D681" s="141"/>
      <c r="E681" s="118"/>
      <c r="F681" s="126"/>
      <c r="G681" s="126"/>
      <c r="H681" s="126"/>
      <c r="I681" s="126"/>
      <c r="J681" s="76"/>
      <c r="K681" s="76"/>
      <c r="L681" s="76"/>
      <c r="M681" s="76"/>
      <c r="N681" s="114"/>
    </row>
    <row r="682">
      <c r="C682" s="41"/>
      <c r="D682" s="142"/>
      <c r="E682" s="130"/>
      <c r="F682" s="128"/>
      <c r="G682" s="128"/>
      <c r="H682" s="128"/>
      <c r="I682" s="128"/>
      <c r="J682" s="81"/>
      <c r="K682" s="81"/>
      <c r="L682" s="81"/>
      <c r="M682" s="81"/>
      <c r="N682" s="82"/>
    </row>
    <row r="683">
      <c r="C683" s="41"/>
      <c r="D683" s="141"/>
      <c r="E683" s="118"/>
      <c r="F683" s="126"/>
      <c r="G683" s="126"/>
      <c r="H683" s="126"/>
      <c r="I683" s="126"/>
      <c r="J683" s="76"/>
      <c r="K683" s="76"/>
      <c r="L683" s="76"/>
      <c r="M683" s="76"/>
      <c r="N683" s="114"/>
    </row>
    <row r="684">
      <c r="C684" s="41"/>
      <c r="D684" s="142"/>
      <c r="E684" s="130"/>
      <c r="F684" s="128"/>
      <c r="G684" s="128"/>
      <c r="H684" s="128"/>
      <c r="I684" s="128"/>
      <c r="J684" s="81"/>
      <c r="K684" s="81"/>
      <c r="L684" s="81"/>
      <c r="M684" s="81"/>
      <c r="N684" s="82"/>
    </row>
    <row r="685">
      <c r="C685" s="41"/>
      <c r="D685" s="141"/>
      <c r="E685" s="118"/>
      <c r="F685" s="126"/>
      <c r="G685" s="126"/>
      <c r="H685" s="126"/>
      <c r="I685" s="126"/>
      <c r="J685" s="76"/>
      <c r="K685" s="76"/>
      <c r="L685" s="76"/>
      <c r="M685" s="76"/>
      <c r="N685" s="114"/>
    </row>
    <row r="686">
      <c r="C686" s="41"/>
      <c r="D686" s="142"/>
      <c r="E686" s="130"/>
      <c r="F686" s="128"/>
      <c r="G686" s="128"/>
      <c r="H686" s="128"/>
      <c r="I686" s="128"/>
      <c r="J686" s="81"/>
      <c r="K686" s="81"/>
      <c r="L686" s="81"/>
      <c r="M686" s="81"/>
      <c r="N686" s="82"/>
    </row>
    <row r="687">
      <c r="C687" s="41"/>
      <c r="D687" s="141"/>
      <c r="E687" s="118"/>
      <c r="F687" s="126"/>
      <c r="G687" s="126"/>
      <c r="H687" s="126"/>
      <c r="I687" s="126"/>
      <c r="J687" s="76"/>
      <c r="K687" s="76"/>
      <c r="L687" s="76"/>
      <c r="M687" s="76"/>
      <c r="N687" s="114"/>
    </row>
    <row r="688">
      <c r="C688" s="41"/>
      <c r="D688" s="142"/>
      <c r="E688" s="130"/>
      <c r="F688" s="128"/>
      <c r="G688" s="128"/>
      <c r="H688" s="128"/>
      <c r="I688" s="128"/>
      <c r="J688" s="81"/>
      <c r="K688" s="81"/>
      <c r="L688" s="81"/>
      <c r="M688" s="81"/>
      <c r="N688" s="82"/>
    </row>
    <row r="689">
      <c r="C689" s="41"/>
      <c r="D689" s="141"/>
      <c r="E689" s="118"/>
      <c r="F689" s="126"/>
      <c r="G689" s="126"/>
      <c r="H689" s="126"/>
      <c r="I689" s="126"/>
      <c r="J689" s="76"/>
      <c r="K689" s="76"/>
      <c r="L689" s="76"/>
      <c r="M689" s="76"/>
      <c r="N689" s="114"/>
    </row>
    <row r="690">
      <c r="C690" s="41"/>
      <c r="D690" s="142"/>
      <c r="E690" s="130"/>
      <c r="F690" s="128"/>
      <c r="G690" s="128"/>
      <c r="H690" s="128"/>
      <c r="I690" s="128"/>
      <c r="J690" s="81"/>
      <c r="K690" s="81"/>
      <c r="L690" s="81"/>
      <c r="M690" s="81"/>
      <c r="N690" s="82"/>
    </row>
    <row r="691">
      <c r="C691" s="41"/>
      <c r="D691" s="141"/>
      <c r="E691" s="118"/>
      <c r="F691" s="126"/>
      <c r="G691" s="126"/>
      <c r="H691" s="126"/>
      <c r="I691" s="126"/>
      <c r="J691" s="76"/>
      <c r="K691" s="76"/>
      <c r="L691" s="76"/>
      <c r="M691" s="76"/>
      <c r="N691" s="114"/>
    </row>
    <row r="692">
      <c r="C692" s="41"/>
      <c r="D692" s="142"/>
      <c r="E692" s="130"/>
      <c r="F692" s="128"/>
      <c r="G692" s="128"/>
      <c r="H692" s="128"/>
      <c r="I692" s="128"/>
      <c r="J692" s="81"/>
      <c r="K692" s="81"/>
      <c r="L692" s="81"/>
      <c r="M692" s="81"/>
      <c r="N692" s="82"/>
    </row>
    <row r="693">
      <c r="C693" s="41"/>
      <c r="D693" s="141"/>
      <c r="E693" s="118"/>
      <c r="F693" s="126"/>
      <c r="G693" s="126"/>
      <c r="H693" s="126"/>
      <c r="I693" s="126"/>
      <c r="J693" s="76"/>
      <c r="K693" s="76"/>
      <c r="L693" s="76"/>
      <c r="M693" s="76"/>
      <c r="N693" s="114"/>
    </row>
    <row r="694">
      <c r="C694" s="41"/>
      <c r="D694" s="142"/>
      <c r="E694" s="130"/>
      <c r="F694" s="128"/>
      <c r="G694" s="128"/>
      <c r="H694" s="128"/>
      <c r="I694" s="128"/>
      <c r="J694" s="81"/>
      <c r="K694" s="81"/>
      <c r="L694" s="81"/>
      <c r="M694" s="81"/>
      <c r="N694" s="82"/>
    </row>
    <row r="695">
      <c r="C695" s="41"/>
      <c r="D695" s="141"/>
      <c r="E695" s="118"/>
      <c r="F695" s="126"/>
      <c r="G695" s="126"/>
      <c r="H695" s="126"/>
      <c r="I695" s="126"/>
      <c r="J695" s="76"/>
      <c r="K695" s="76"/>
      <c r="L695" s="76"/>
      <c r="M695" s="76"/>
      <c r="N695" s="114"/>
    </row>
    <row r="696">
      <c r="C696" s="41"/>
      <c r="D696" s="142"/>
      <c r="E696" s="130"/>
      <c r="F696" s="128"/>
      <c r="G696" s="128"/>
      <c r="H696" s="128"/>
      <c r="I696" s="128"/>
      <c r="J696" s="81"/>
      <c r="K696" s="81"/>
      <c r="L696" s="81"/>
      <c r="M696" s="81"/>
      <c r="N696" s="82"/>
    </row>
    <row r="697">
      <c r="C697" s="41"/>
      <c r="D697" s="141"/>
      <c r="E697" s="118"/>
      <c r="F697" s="126"/>
      <c r="G697" s="126"/>
      <c r="H697" s="126"/>
      <c r="I697" s="126"/>
      <c r="J697" s="76"/>
      <c r="K697" s="76"/>
      <c r="L697" s="76"/>
      <c r="M697" s="76"/>
      <c r="N697" s="114"/>
    </row>
    <row r="698">
      <c r="C698" s="41"/>
      <c r="D698" s="142"/>
      <c r="E698" s="130"/>
      <c r="F698" s="128"/>
      <c r="G698" s="128"/>
      <c r="H698" s="128"/>
      <c r="I698" s="128"/>
      <c r="J698" s="81"/>
      <c r="K698" s="81"/>
      <c r="L698" s="81"/>
      <c r="M698" s="81"/>
      <c r="N698" s="82"/>
    </row>
    <row r="699">
      <c r="C699" s="41"/>
      <c r="D699" s="141"/>
      <c r="E699" s="118"/>
      <c r="F699" s="126"/>
      <c r="G699" s="126"/>
      <c r="H699" s="126"/>
      <c r="I699" s="126"/>
      <c r="J699" s="76"/>
      <c r="K699" s="76"/>
      <c r="L699" s="76"/>
      <c r="M699" s="76"/>
      <c r="N699" s="114"/>
    </row>
    <row r="700">
      <c r="C700" s="41"/>
      <c r="D700" s="142"/>
      <c r="E700" s="130"/>
      <c r="F700" s="128"/>
      <c r="G700" s="128"/>
      <c r="H700" s="128"/>
      <c r="I700" s="128"/>
      <c r="J700" s="81"/>
      <c r="K700" s="81"/>
      <c r="L700" s="81"/>
      <c r="M700" s="81"/>
      <c r="N700" s="82"/>
    </row>
    <row r="701">
      <c r="C701" s="41"/>
      <c r="D701" s="141"/>
      <c r="E701" s="118"/>
      <c r="F701" s="126"/>
      <c r="G701" s="126"/>
      <c r="H701" s="126"/>
      <c r="I701" s="126"/>
      <c r="J701" s="76"/>
      <c r="K701" s="76"/>
      <c r="L701" s="76"/>
      <c r="M701" s="76"/>
      <c r="N701" s="114"/>
    </row>
    <row r="702">
      <c r="C702" s="41"/>
      <c r="D702" s="142"/>
      <c r="E702" s="130"/>
      <c r="F702" s="128"/>
      <c r="G702" s="128"/>
      <c r="H702" s="128"/>
      <c r="I702" s="128"/>
      <c r="J702" s="81"/>
      <c r="K702" s="81"/>
      <c r="L702" s="81"/>
      <c r="M702" s="81"/>
      <c r="N702" s="82"/>
    </row>
    <row r="703">
      <c r="C703" s="41"/>
      <c r="D703" s="141"/>
      <c r="E703" s="118"/>
      <c r="F703" s="126"/>
      <c r="G703" s="126"/>
      <c r="H703" s="126"/>
      <c r="I703" s="126"/>
      <c r="J703" s="76"/>
      <c r="K703" s="76"/>
      <c r="L703" s="76"/>
      <c r="M703" s="76"/>
      <c r="N703" s="114"/>
    </row>
    <row r="704">
      <c r="C704" s="41"/>
      <c r="D704" s="142"/>
      <c r="E704" s="130"/>
      <c r="F704" s="128"/>
      <c r="G704" s="128"/>
      <c r="H704" s="128"/>
      <c r="I704" s="128"/>
      <c r="J704" s="81"/>
      <c r="K704" s="81"/>
      <c r="L704" s="81"/>
      <c r="M704" s="81"/>
      <c r="N704" s="82"/>
    </row>
    <row r="705">
      <c r="C705" s="41"/>
      <c r="D705" s="141"/>
      <c r="E705" s="118"/>
      <c r="F705" s="126"/>
      <c r="G705" s="126"/>
      <c r="H705" s="126"/>
      <c r="I705" s="126"/>
      <c r="J705" s="76"/>
      <c r="K705" s="76"/>
      <c r="L705" s="76"/>
      <c r="M705" s="76"/>
      <c r="N705" s="114"/>
    </row>
    <row r="706">
      <c r="C706" s="41"/>
      <c r="D706" s="142"/>
      <c r="E706" s="130"/>
      <c r="F706" s="128"/>
      <c r="G706" s="128"/>
      <c r="H706" s="128"/>
      <c r="I706" s="128"/>
      <c r="J706" s="81"/>
      <c r="K706" s="81"/>
      <c r="L706" s="81"/>
      <c r="M706" s="81"/>
      <c r="N706" s="82"/>
    </row>
    <row r="707">
      <c r="C707" s="41"/>
      <c r="D707" s="141"/>
      <c r="E707" s="118"/>
      <c r="F707" s="126"/>
      <c r="G707" s="126"/>
      <c r="H707" s="126"/>
      <c r="I707" s="126"/>
      <c r="J707" s="76"/>
      <c r="K707" s="76"/>
      <c r="L707" s="76"/>
      <c r="M707" s="76"/>
      <c r="N707" s="114"/>
    </row>
    <row r="708">
      <c r="C708" s="41"/>
      <c r="D708" s="142"/>
      <c r="E708" s="130"/>
      <c r="F708" s="128"/>
      <c r="G708" s="128"/>
      <c r="H708" s="128"/>
      <c r="I708" s="128"/>
      <c r="J708" s="81"/>
      <c r="K708" s="81"/>
      <c r="L708" s="81"/>
      <c r="M708" s="81"/>
      <c r="N708" s="82"/>
    </row>
    <row r="709">
      <c r="C709" s="41"/>
      <c r="D709" s="141"/>
      <c r="E709" s="118"/>
      <c r="F709" s="126"/>
      <c r="G709" s="126"/>
      <c r="H709" s="126"/>
      <c r="I709" s="126"/>
      <c r="J709" s="76"/>
      <c r="K709" s="76"/>
      <c r="L709" s="76"/>
      <c r="M709" s="76"/>
      <c r="N709" s="114"/>
    </row>
    <row r="710">
      <c r="C710" s="41"/>
      <c r="D710" s="142"/>
      <c r="E710" s="130"/>
      <c r="F710" s="128"/>
      <c r="G710" s="128"/>
      <c r="H710" s="128"/>
      <c r="I710" s="128"/>
      <c r="J710" s="81"/>
      <c r="K710" s="81"/>
      <c r="L710" s="81"/>
      <c r="M710" s="81"/>
      <c r="N710" s="82"/>
    </row>
    <row r="711">
      <c r="C711" s="41"/>
      <c r="D711" s="141"/>
      <c r="E711" s="118"/>
      <c r="F711" s="126"/>
      <c r="G711" s="126"/>
      <c r="H711" s="126"/>
      <c r="I711" s="126"/>
      <c r="J711" s="76"/>
      <c r="K711" s="76"/>
      <c r="L711" s="76"/>
      <c r="M711" s="76"/>
      <c r="N711" s="114"/>
    </row>
    <row r="712">
      <c r="C712" s="41"/>
      <c r="D712" s="142"/>
      <c r="E712" s="130"/>
      <c r="F712" s="128"/>
      <c r="G712" s="128"/>
      <c r="H712" s="128"/>
      <c r="I712" s="128"/>
      <c r="J712" s="81"/>
      <c r="K712" s="81"/>
      <c r="L712" s="81"/>
      <c r="M712" s="81"/>
      <c r="N712" s="82"/>
    </row>
    <row r="713">
      <c r="C713" s="41"/>
      <c r="D713" s="141"/>
      <c r="E713" s="118"/>
      <c r="F713" s="126"/>
      <c r="G713" s="126"/>
      <c r="H713" s="126"/>
      <c r="I713" s="126"/>
      <c r="J713" s="76"/>
      <c r="K713" s="76"/>
      <c r="L713" s="76"/>
      <c r="M713" s="76"/>
      <c r="N713" s="114"/>
    </row>
    <row r="714">
      <c r="C714" s="41"/>
      <c r="D714" s="142"/>
      <c r="E714" s="130"/>
      <c r="F714" s="128"/>
      <c r="G714" s="128"/>
      <c r="H714" s="128"/>
      <c r="I714" s="128"/>
      <c r="J714" s="81"/>
      <c r="K714" s="81"/>
      <c r="L714" s="81"/>
      <c r="M714" s="81"/>
      <c r="N714" s="82"/>
    </row>
    <row r="715">
      <c r="C715" s="41"/>
      <c r="D715" s="141"/>
      <c r="E715" s="118"/>
      <c r="F715" s="126"/>
      <c r="G715" s="126"/>
      <c r="H715" s="126"/>
      <c r="I715" s="126"/>
      <c r="J715" s="76"/>
      <c r="K715" s="76"/>
      <c r="L715" s="76"/>
      <c r="M715" s="76"/>
      <c r="N715" s="114"/>
    </row>
    <row r="716">
      <c r="C716" s="41"/>
      <c r="D716" s="142"/>
      <c r="E716" s="130"/>
      <c r="F716" s="128"/>
      <c r="G716" s="128"/>
      <c r="H716" s="128"/>
      <c r="I716" s="128"/>
      <c r="J716" s="81"/>
      <c r="K716" s="81"/>
      <c r="L716" s="81"/>
      <c r="M716" s="81"/>
      <c r="N716" s="82"/>
    </row>
    <row r="717">
      <c r="C717" s="41"/>
      <c r="D717" s="141"/>
      <c r="E717" s="118"/>
      <c r="F717" s="126"/>
      <c r="G717" s="126"/>
      <c r="H717" s="126"/>
      <c r="I717" s="126"/>
      <c r="J717" s="76"/>
      <c r="K717" s="76"/>
      <c r="L717" s="76"/>
      <c r="M717" s="76"/>
      <c r="N717" s="114"/>
    </row>
    <row r="718">
      <c r="C718" s="41"/>
      <c r="D718" s="142"/>
      <c r="E718" s="130"/>
      <c r="F718" s="128"/>
      <c r="G718" s="128"/>
      <c r="H718" s="128"/>
      <c r="I718" s="128"/>
      <c r="J718" s="81"/>
      <c r="K718" s="81"/>
      <c r="L718" s="81"/>
      <c r="M718" s="81"/>
      <c r="N718" s="82"/>
    </row>
    <row r="719">
      <c r="C719" s="41"/>
      <c r="D719" s="141"/>
      <c r="E719" s="118"/>
      <c r="F719" s="126"/>
      <c r="G719" s="126"/>
      <c r="H719" s="126"/>
      <c r="I719" s="126"/>
      <c r="J719" s="76"/>
      <c r="K719" s="76"/>
      <c r="L719" s="76"/>
      <c r="M719" s="76"/>
      <c r="N719" s="114"/>
    </row>
    <row r="720">
      <c r="C720" s="41"/>
      <c r="D720" s="142"/>
      <c r="E720" s="130"/>
      <c r="F720" s="128"/>
      <c r="G720" s="128"/>
      <c r="H720" s="128"/>
      <c r="I720" s="128"/>
      <c r="J720" s="81"/>
      <c r="K720" s="81"/>
      <c r="L720" s="81"/>
      <c r="M720" s="81"/>
      <c r="N720" s="82"/>
    </row>
    <row r="721">
      <c r="C721" s="41"/>
      <c r="D721" s="141"/>
      <c r="E721" s="118"/>
      <c r="F721" s="126"/>
      <c r="G721" s="126"/>
      <c r="H721" s="126"/>
      <c r="I721" s="126"/>
      <c r="J721" s="76"/>
      <c r="K721" s="76"/>
      <c r="L721" s="76"/>
      <c r="M721" s="76"/>
      <c r="N721" s="114"/>
    </row>
    <row r="722">
      <c r="C722" s="41"/>
      <c r="D722" s="142"/>
      <c r="E722" s="130"/>
      <c r="F722" s="128"/>
      <c r="G722" s="128"/>
      <c r="H722" s="128"/>
      <c r="I722" s="128"/>
      <c r="J722" s="81"/>
      <c r="K722" s="81"/>
      <c r="L722" s="81"/>
      <c r="M722" s="81"/>
      <c r="N722" s="82"/>
    </row>
    <row r="723">
      <c r="C723" s="41"/>
      <c r="D723" s="141"/>
      <c r="E723" s="118"/>
      <c r="F723" s="126"/>
      <c r="G723" s="126"/>
      <c r="H723" s="126"/>
      <c r="I723" s="126"/>
      <c r="J723" s="76"/>
      <c r="K723" s="76"/>
      <c r="L723" s="76"/>
      <c r="M723" s="76"/>
      <c r="N723" s="114"/>
    </row>
    <row r="724">
      <c r="C724" s="41"/>
      <c r="D724" s="142"/>
      <c r="E724" s="130"/>
      <c r="F724" s="128"/>
      <c r="G724" s="128"/>
      <c r="H724" s="128"/>
      <c r="I724" s="128"/>
      <c r="J724" s="81"/>
      <c r="K724" s="81"/>
      <c r="L724" s="81"/>
      <c r="M724" s="81"/>
      <c r="N724" s="82"/>
    </row>
    <row r="725">
      <c r="C725" s="41"/>
      <c r="D725" s="141"/>
      <c r="E725" s="118"/>
      <c r="F725" s="126"/>
      <c r="G725" s="126"/>
      <c r="H725" s="126"/>
      <c r="I725" s="126"/>
      <c r="J725" s="76"/>
      <c r="K725" s="76"/>
      <c r="L725" s="76"/>
      <c r="M725" s="76"/>
      <c r="N725" s="114"/>
    </row>
    <row r="726">
      <c r="C726" s="41"/>
      <c r="D726" s="142"/>
      <c r="E726" s="130"/>
      <c r="F726" s="128"/>
      <c r="G726" s="128"/>
      <c r="H726" s="128"/>
      <c r="I726" s="128"/>
      <c r="J726" s="81"/>
      <c r="K726" s="81"/>
      <c r="L726" s="81"/>
      <c r="M726" s="81"/>
      <c r="N726" s="82"/>
    </row>
    <row r="727">
      <c r="C727" s="41"/>
      <c r="D727" s="141"/>
      <c r="E727" s="118"/>
      <c r="F727" s="126"/>
      <c r="G727" s="126"/>
      <c r="H727" s="126"/>
      <c r="I727" s="126"/>
      <c r="J727" s="76"/>
      <c r="K727" s="76"/>
      <c r="L727" s="76"/>
      <c r="M727" s="76"/>
      <c r="N727" s="114"/>
    </row>
    <row r="728">
      <c r="C728" s="41"/>
      <c r="D728" s="142"/>
      <c r="E728" s="130"/>
      <c r="F728" s="128"/>
      <c r="G728" s="128"/>
      <c r="H728" s="128"/>
      <c r="I728" s="128"/>
      <c r="J728" s="81"/>
      <c r="K728" s="81"/>
      <c r="L728" s="81"/>
      <c r="M728" s="81"/>
      <c r="N728" s="82"/>
    </row>
    <row r="729">
      <c r="C729" s="41"/>
      <c r="D729" s="141"/>
      <c r="E729" s="118"/>
      <c r="F729" s="126"/>
      <c r="G729" s="126"/>
      <c r="H729" s="126"/>
      <c r="I729" s="126"/>
      <c r="J729" s="76"/>
      <c r="K729" s="76"/>
      <c r="L729" s="76"/>
      <c r="M729" s="76"/>
      <c r="N729" s="114"/>
    </row>
    <row r="730">
      <c r="C730" s="41"/>
      <c r="D730" s="142"/>
      <c r="E730" s="130"/>
      <c r="F730" s="128"/>
      <c r="G730" s="128"/>
      <c r="H730" s="128"/>
      <c r="I730" s="128"/>
      <c r="J730" s="81"/>
      <c r="K730" s="81"/>
      <c r="L730" s="81"/>
      <c r="M730" s="81"/>
      <c r="N730" s="82"/>
    </row>
    <row r="731">
      <c r="C731" s="41"/>
      <c r="D731" s="141"/>
      <c r="E731" s="118"/>
      <c r="F731" s="126"/>
      <c r="G731" s="126"/>
      <c r="H731" s="126"/>
      <c r="I731" s="126"/>
      <c r="J731" s="76"/>
      <c r="K731" s="76"/>
      <c r="L731" s="76"/>
      <c r="M731" s="76"/>
      <c r="N731" s="114"/>
    </row>
    <row r="732">
      <c r="C732" s="41"/>
      <c r="D732" s="142"/>
      <c r="E732" s="130"/>
      <c r="F732" s="128"/>
      <c r="G732" s="128"/>
      <c r="H732" s="128"/>
      <c r="I732" s="128"/>
      <c r="J732" s="81"/>
      <c r="K732" s="81"/>
      <c r="L732" s="81"/>
      <c r="M732" s="81"/>
      <c r="N732" s="82"/>
    </row>
    <row r="733">
      <c r="C733" s="41"/>
      <c r="D733" s="141"/>
      <c r="E733" s="118"/>
      <c r="F733" s="126"/>
      <c r="G733" s="126"/>
      <c r="H733" s="126"/>
      <c r="I733" s="126"/>
      <c r="J733" s="76"/>
      <c r="K733" s="76"/>
      <c r="L733" s="76"/>
      <c r="M733" s="76"/>
      <c r="N733" s="114"/>
    </row>
    <row r="734">
      <c r="C734" s="41"/>
      <c r="D734" s="142"/>
      <c r="E734" s="130"/>
      <c r="F734" s="128"/>
      <c r="G734" s="128"/>
      <c r="H734" s="128"/>
      <c r="I734" s="128"/>
      <c r="J734" s="81"/>
      <c r="K734" s="81"/>
      <c r="L734" s="81"/>
      <c r="M734" s="81"/>
      <c r="N734" s="82"/>
    </row>
    <row r="735">
      <c r="C735" s="41"/>
      <c r="D735" s="141"/>
      <c r="E735" s="118"/>
      <c r="F735" s="126"/>
      <c r="G735" s="126"/>
      <c r="H735" s="126"/>
      <c r="I735" s="126"/>
      <c r="J735" s="76"/>
      <c r="K735" s="76"/>
      <c r="L735" s="76"/>
      <c r="M735" s="76"/>
      <c r="N735" s="114"/>
    </row>
    <row r="736">
      <c r="C736" s="41"/>
      <c r="D736" s="142"/>
      <c r="E736" s="130"/>
      <c r="F736" s="128"/>
      <c r="G736" s="128"/>
      <c r="H736" s="128"/>
      <c r="I736" s="128"/>
      <c r="J736" s="81"/>
      <c r="K736" s="81"/>
      <c r="L736" s="81"/>
      <c r="M736" s="81"/>
      <c r="N736" s="82"/>
    </row>
    <row r="737">
      <c r="C737" s="41"/>
      <c r="D737" s="141"/>
      <c r="E737" s="118"/>
      <c r="F737" s="126"/>
      <c r="G737" s="126"/>
      <c r="H737" s="126"/>
      <c r="I737" s="126"/>
      <c r="J737" s="76"/>
      <c r="K737" s="76"/>
      <c r="L737" s="76"/>
      <c r="M737" s="76"/>
      <c r="N737" s="114"/>
    </row>
    <row r="738">
      <c r="C738" s="41"/>
      <c r="D738" s="142"/>
      <c r="E738" s="130"/>
      <c r="F738" s="128"/>
      <c r="G738" s="128"/>
      <c r="H738" s="128"/>
      <c r="I738" s="128"/>
      <c r="J738" s="81"/>
      <c r="K738" s="81"/>
      <c r="L738" s="81"/>
      <c r="M738" s="81"/>
      <c r="N738" s="82"/>
    </row>
    <row r="739">
      <c r="C739" s="41"/>
      <c r="D739" s="141"/>
      <c r="E739" s="118"/>
      <c r="F739" s="126"/>
      <c r="G739" s="126"/>
      <c r="H739" s="126"/>
      <c r="I739" s="126"/>
      <c r="J739" s="76"/>
      <c r="K739" s="76"/>
      <c r="L739" s="76"/>
      <c r="M739" s="76"/>
      <c r="N739" s="114"/>
    </row>
    <row r="740">
      <c r="C740" s="41"/>
      <c r="D740" s="142"/>
      <c r="E740" s="130"/>
      <c r="F740" s="128"/>
      <c r="G740" s="128"/>
      <c r="H740" s="128"/>
      <c r="I740" s="128"/>
      <c r="J740" s="81"/>
      <c r="K740" s="81"/>
      <c r="L740" s="81"/>
      <c r="M740" s="81"/>
      <c r="N740" s="82"/>
    </row>
    <row r="741">
      <c r="C741" s="41"/>
      <c r="D741" s="141"/>
      <c r="E741" s="118"/>
      <c r="F741" s="126"/>
      <c r="G741" s="126"/>
      <c r="H741" s="126"/>
      <c r="I741" s="126"/>
      <c r="J741" s="76"/>
      <c r="K741" s="76"/>
      <c r="L741" s="76"/>
      <c r="M741" s="76"/>
      <c r="N741" s="114"/>
    </row>
    <row r="742">
      <c r="C742" s="41"/>
      <c r="D742" s="142"/>
      <c r="E742" s="130"/>
      <c r="F742" s="128"/>
      <c r="G742" s="128"/>
      <c r="H742" s="128"/>
      <c r="I742" s="128"/>
      <c r="J742" s="81"/>
      <c r="K742" s="81"/>
      <c r="L742" s="81"/>
      <c r="M742" s="81"/>
      <c r="N742" s="82"/>
    </row>
    <row r="743">
      <c r="C743" s="41"/>
      <c r="D743" s="141"/>
      <c r="E743" s="118"/>
      <c r="F743" s="126"/>
      <c r="G743" s="126"/>
      <c r="H743" s="126"/>
      <c r="I743" s="126"/>
      <c r="J743" s="76"/>
      <c r="K743" s="76"/>
      <c r="L743" s="76"/>
      <c r="M743" s="76"/>
      <c r="N743" s="114"/>
    </row>
    <row r="744">
      <c r="C744" s="41"/>
      <c r="D744" s="142"/>
      <c r="E744" s="130"/>
      <c r="F744" s="128"/>
      <c r="G744" s="128"/>
      <c r="H744" s="128"/>
      <c r="I744" s="128"/>
      <c r="J744" s="81"/>
      <c r="K744" s="81"/>
      <c r="L744" s="81"/>
      <c r="M744" s="81"/>
      <c r="N744" s="82"/>
    </row>
    <row r="745">
      <c r="C745" s="41"/>
      <c r="D745" s="141"/>
      <c r="E745" s="118"/>
      <c r="F745" s="126"/>
      <c r="G745" s="126"/>
      <c r="H745" s="126"/>
      <c r="I745" s="126"/>
      <c r="J745" s="76"/>
      <c r="K745" s="76"/>
      <c r="L745" s="76"/>
      <c r="M745" s="76"/>
      <c r="N745" s="114"/>
    </row>
    <row r="746">
      <c r="C746" s="41"/>
      <c r="D746" s="142"/>
      <c r="E746" s="130"/>
      <c r="F746" s="128"/>
      <c r="G746" s="128"/>
      <c r="H746" s="128"/>
      <c r="I746" s="128"/>
      <c r="J746" s="81"/>
      <c r="K746" s="81"/>
      <c r="L746" s="81"/>
      <c r="M746" s="81"/>
      <c r="N746" s="82"/>
    </row>
    <row r="747">
      <c r="C747" s="41"/>
      <c r="D747" s="141"/>
      <c r="E747" s="118"/>
      <c r="F747" s="126"/>
      <c r="G747" s="126"/>
      <c r="H747" s="126"/>
      <c r="I747" s="126"/>
      <c r="J747" s="76"/>
      <c r="K747" s="76"/>
      <c r="L747" s="76"/>
      <c r="M747" s="76"/>
      <c r="N747" s="114"/>
    </row>
    <row r="748">
      <c r="C748" s="41"/>
      <c r="D748" s="142"/>
      <c r="E748" s="130"/>
      <c r="F748" s="128"/>
      <c r="G748" s="128"/>
      <c r="H748" s="128"/>
      <c r="I748" s="128"/>
      <c r="J748" s="81"/>
      <c r="K748" s="81"/>
      <c r="L748" s="81"/>
      <c r="M748" s="81"/>
      <c r="N748" s="82"/>
    </row>
    <row r="749">
      <c r="C749" s="41"/>
      <c r="D749" s="141"/>
      <c r="E749" s="118"/>
      <c r="F749" s="126"/>
      <c r="G749" s="126"/>
      <c r="H749" s="126"/>
      <c r="I749" s="126"/>
      <c r="J749" s="76"/>
      <c r="K749" s="76"/>
      <c r="L749" s="76"/>
      <c r="M749" s="76"/>
      <c r="N749" s="114"/>
    </row>
    <row r="750">
      <c r="C750" s="41"/>
      <c r="D750" s="142"/>
      <c r="E750" s="130"/>
      <c r="F750" s="128"/>
      <c r="G750" s="128"/>
      <c r="H750" s="128"/>
      <c r="I750" s="128"/>
      <c r="J750" s="81"/>
      <c r="K750" s="81"/>
      <c r="L750" s="81"/>
      <c r="M750" s="81"/>
      <c r="N750" s="82"/>
    </row>
    <row r="751">
      <c r="C751" s="41"/>
      <c r="D751" s="141"/>
      <c r="E751" s="118"/>
      <c r="F751" s="126"/>
      <c r="G751" s="126"/>
      <c r="H751" s="126"/>
      <c r="I751" s="126"/>
      <c r="J751" s="76"/>
      <c r="K751" s="76"/>
      <c r="L751" s="76"/>
      <c r="M751" s="76"/>
      <c r="N751" s="114"/>
    </row>
    <row r="752">
      <c r="C752" s="41"/>
      <c r="D752" s="142"/>
      <c r="E752" s="130"/>
      <c r="F752" s="128"/>
      <c r="G752" s="128"/>
      <c r="H752" s="128"/>
      <c r="I752" s="128"/>
      <c r="J752" s="81"/>
      <c r="K752" s="81"/>
      <c r="L752" s="81"/>
      <c r="M752" s="81"/>
      <c r="N752" s="82"/>
    </row>
    <row r="753">
      <c r="C753" s="41"/>
      <c r="D753" s="141"/>
      <c r="E753" s="118"/>
      <c r="F753" s="126"/>
      <c r="G753" s="126"/>
      <c r="H753" s="126"/>
      <c r="I753" s="126"/>
      <c r="J753" s="76"/>
      <c r="K753" s="76"/>
      <c r="L753" s="76"/>
      <c r="M753" s="76"/>
      <c r="N753" s="114"/>
    </row>
    <row r="754">
      <c r="C754" s="41"/>
      <c r="D754" s="142"/>
      <c r="E754" s="130"/>
      <c r="F754" s="128"/>
      <c r="G754" s="128"/>
      <c r="H754" s="128"/>
      <c r="I754" s="128"/>
      <c r="J754" s="81"/>
      <c r="K754" s="81"/>
      <c r="L754" s="81"/>
      <c r="M754" s="81"/>
      <c r="N754" s="82"/>
    </row>
    <row r="755">
      <c r="C755" s="41"/>
      <c r="D755" s="141"/>
      <c r="E755" s="118"/>
      <c r="F755" s="126"/>
      <c r="G755" s="126"/>
      <c r="H755" s="126"/>
      <c r="I755" s="126"/>
      <c r="J755" s="76"/>
      <c r="K755" s="76"/>
      <c r="L755" s="76"/>
      <c r="M755" s="76"/>
      <c r="N755" s="114"/>
    </row>
    <row r="756">
      <c r="C756" s="41"/>
      <c r="D756" s="142"/>
      <c r="E756" s="130"/>
      <c r="F756" s="128"/>
      <c r="G756" s="128"/>
      <c r="H756" s="128"/>
      <c r="I756" s="128"/>
      <c r="J756" s="81"/>
      <c r="K756" s="81"/>
      <c r="L756" s="81"/>
      <c r="M756" s="81"/>
      <c r="N756" s="82"/>
    </row>
    <row r="757">
      <c r="C757" s="41"/>
      <c r="D757" s="141"/>
      <c r="E757" s="118"/>
      <c r="F757" s="126"/>
      <c r="G757" s="126"/>
      <c r="H757" s="126"/>
      <c r="I757" s="126"/>
      <c r="J757" s="76"/>
      <c r="K757" s="76"/>
      <c r="L757" s="76"/>
      <c r="M757" s="76"/>
      <c r="N757" s="114"/>
    </row>
    <row r="758">
      <c r="C758" s="41"/>
      <c r="D758" s="142"/>
      <c r="E758" s="130"/>
      <c r="F758" s="128"/>
      <c r="G758" s="128"/>
      <c r="H758" s="128"/>
      <c r="I758" s="128"/>
      <c r="J758" s="81"/>
      <c r="K758" s="81"/>
      <c r="L758" s="81"/>
      <c r="M758" s="81"/>
      <c r="N758" s="82"/>
    </row>
    <row r="759">
      <c r="C759" s="41"/>
      <c r="D759" s="141"/>
      <c r="E759" s="118"/>
      <c r="F759" s="126"/>
      <c r="G759" s="126"/>
      <c r="H759" s="126"/>
      <c r="I759" s="126"/>
      <c r="J759" s="76"/>
      <c r="K759" s="76"/>
      <c r="L759" s="76"/>
      <c r="M759" s="76"/>
      <c r="N759" s="114"/>
    </row>
    <row r="760">
      <c r="C760" s="41"/>
      <c r="D760" s="142"/>
      <c r="E760" s="130"/>
      <c r="F760" s="128"/>
      <c r="G760" s="128"/>
      <c r="H760" s="128"/>
      <c r="I760" s="128"/>
      <c r="J760" s="81"/>
      <c r="K760" s="81"/>
      <c r="L760" s="81"/>
      <c r="M760" s="81"/>
      <c r="N760" s="82"/>
    </row>
    <row r="761">
      <c r="C761" s="41"/>
      <c r="D761" s="141"/>
      <c r="E761" s="118"/>
      <c r="F761" s="126"/>
      <c r="G761" s="126"/>
      <c r="H761" s="126"/>
      <c r="I761" s="126"/>
      <c r="J761" s="76"/>
      <c r="K761" s="76"/>
      <c r="L761" s="76"/>
      <c r="M761" s="76"/>
      <c r="N761" s="114"/>
    </row>
    <row r="762">
      <c r="C762" s="41"/>
      <c r="D762" s="142"/>
      <c r="E762" s="130"/>
      <c r="F762" s="128"/>
      <c r="G762" s="128"/>
      <c r="H762" s="128"/>
      <c r="I762" s="128"/>
      <c r="J762" s="81"/>
      <c r="K762" s="81"/>
      <c r="L762" s="81"/>
      <c r="M762" s="81"/>
      <c r="N762" s="82"/>
    </row>
    <row r="763">
      <c r="C763" s="41"/>
      <c r="D763" s="141"/>
      <c r="E763" s="118"/>
      <c r="F763" s="126"/>
      <c r="G763" s="126"/>
      <c r="H763" s="126"/>
      <c r="I763" s="126"/>
      <c r="J763" s="76"/>
      <c r="K763" s="76"/>
      <c r="L763" s="76"/>
      <c r="M763" s="76"/>
      <c r="N763" s="114"/>
    </row>
    <row r="764">
      <c r="C764" s="41"/>
      <c r="D764" s="142"/>
      <c r="E764" s="130"/>
      <c r="F764" s="128"/>
      <c r="G764" s="128"/>
      <c r="H764" s="128"/>
      <c r="I764" s="128"/>
      <c r="J764" s="81"/>
      <c r="K764" s="81"/>
      <c r="L764" s="81"/>
      <c r="M764" s="81"/>
      <c r="N764" s="82"/>
    </row>
    <row r="765">
      <c r="C765" s="41"/>
      <c r="D765" s="141"/>
      <c r="E765" s="118"/>
      <c r="F765" s="126"/>
      <c r="G765" s="126"/>
      <c r="H765" s="126"/>
      <c r="I765" s="126"/>
      <c r="J765" s="76"/>
      <c r="K765" s="76"/>
      <c r="L765" s="76"/>
      <c r="M765" s="76"/>
      <c r="N765" s="114"/>
    </row>
    <row r="766">
      <c r="C766" s="41"/>
      <c r="D766" s="142"/>
      <c r="E766" s="130"/>
      <c r="F766" s="128"/>
      <c r="G766" s="128"/>
      <c r="H766" s="128"/>
      <c r="I766" s="128"/>
      <c r="J766" s="81"/>
      <c r="K766" s="81"/>
      <c r="L766" s="81"/>
      <c r="M766" s="81"/>
      <c r="N766" s="82"/>
    </row>
    <row r="767">
      <c r="C767" s="41"/>
      <c r="D767" s="141"/>
      <c r="E767" s="118"/>
      <c r="F767" s="126"/>
      <c r="G767" s="126"/>
      <c r="H767" s="126"/>
      <c r="I767" s="126"/>
      <c r="J767" s="76"/>
      <c r="K767" s="76"/>
      <c r="L767" s="76"/>
      <c r="M767" s="76"/>
      <c r="N767" s="114"/>
    </row>
    <row r="768">
      <c r="C768" s="41"/>
      <c r="D768" s="142"/>
      <c r="E768" s="130"/>
      <c r="F768" s="128"/>
      <c r="G768" s="128"/>
      <c r="H768" s="128"/>
      <c r="I768" s="128"/>
      <c r="J768" s="81"/>
      <c r="K768" s="81"/>
      <c r="L768" s="81"/>
      <c r="M768" s="81"/>
      <c r="N768" s="82"/>
    </row>
    <row r="769">
      <c r="C769" s="41"/>
      <c r="D769" s="141"/>
      <c r="E769" s="118"/>
      <c r="F769" s="126"/>
      <c r="G769" s="126"/>
      <c r="H769" s="126"/>
      <c r="I769" s="126"/>
      <c r="J769" s="76"/>
      <c r="K769" s="76"/>
      <c r="L769" s="76"/>
      <c r="M769" s="76"/>
      <c r="N769" s="114"/>
    </row>
    <row r="770">
      <c r="C770" s="41"/>
      <c r="D770" s="142"/>
      <c r="E770" s="130"/>
      <c r="F770" s="128"/>
      <c r="G770" s="128"/>
      <c r="H770" s="128"/>
      <c r="I770" s="128"/>
      <c r="J770" s="81"/>
      <c r="K770" s="81"/>
      <c r="L770" s="81"/>
      <c r="M770" s="81"/>
      <c r="N770" s="82"/>
    </row>
    <row r="771">
      <c r="C771" s="41"/>
      <c r="D771" s="141"/>
      <c r="E771" s="118"/>
      <c r="F771" s="126"/>
      <c r="G771" s="126"/>
      <c r="H771" s="126"/>
      <c r="I771" s="126"/>
      <c r="J771" s="76"/>
      <c r="K771" s="76"/>
      <c r="L771" s="76"/>
      <c r="M771" s="76"/>
      <c r="N771" s="114"/>
    </row>
    <row r="772">
      <c r="C772" s="41"/>
      <c r="D772" s="142"/>
      <c r="E772" s="130"/>
      <c r="F772" s="128"/>
      <c r="G772" s="128"/>
      <c r="H772" s="128"/>
      <c r="I772" s="128"/>
      <c r="J772" s="81"/>
      <c r="K772" s="81"/>
      <c r="L772" s="81"/>
      <c r="M772" s="81"/>
      <c r="N772" s="82"/>
    </row>
    <row r="773">
      <c r="C773" s="41"/>
      <c r="D773" s="141"/>
      <c r="E773" s="118"/>
      <c r="F773" s="126"/>
      <c r="G773" s="126"/>
      <c r="H773" s="126"/>
      <c r="I773" s="126"/>
      <c r="J773" s="76"/>
      <c r="K773" s="76"/>
      <c r="L773" s="76"/>
      <c r="M773" s="76"/>
      <c r="N773" s="114"/>
    </row>
    <row r="774">
      <c r="C774" s="41"/>
      <c r="D774" s="142"/>
      <c r="E774" s="130"/>
      <c r="F774" s="128"/>
      <c r="G774" s="128"/>
      <c r="H774" s="128"/>
      <c r="I774" s="128"/>
      <c r="J774" s="81"/>
      <c r="K774" s="81"/>
      <c r="L774" s="81"/>
      <c r="M774" s="81"/>
      <c r="N774" s="82"/>
    </row>
    <row r="775">
      <c r="C775" s="41"/>
      <c r="D775" s="141"/>
      <c r="E775" s="118"/>
      <c r="F775" s="126"/>
      <c r="G775" s="126"/>
      <c r="H775" s="126"/>
      <c r="I775" s="126"/>
      <c r="J775" s="76"/>
      <c r="K775" s="76"/>
      <c r="L775" s="76"/>
      <c r="M775" s="76"/>
      <c r="N775" s="114"/>
    </row>
    <row r="776">
      <c r="C776" s="41"/>
      <c r="D776" s="142"/>
      <c r="E776" s="130"/>
      <c r="F776" s="128"/>
      <c r="G776" s="128"/>
      <c r="H776" s="128"/>
      <c r="I776" s="128"/>
      <c r="J776" s="81"/>
      <c r="K776" s="81"/>
      <c r="L776" s="81"/>
      <c r="M776" s="81"/>
      <c r="N776" s="82"/>
    </row>
    <row r="777">
      <c r="C777" s="41"/>
      <c r="D777" s="141"/>
      <c r="E777" s="118"/>
      <c r="F777" s="126"/>
      <c r="G777" s="126"/>
      <c r="H777" s="126"/>
      <c r="I777" s="126"/>
      <c r="J777" s="76"/>
      <c r="K777" s="76"/>
      <c r="L777" s="76"/>
      <c r="M777" s="76"/>
      <c r="N777" s="114"/>
    </row>
    <row r="778">
      <c r="C778" s="41"/>
      <c r="D778" s="142"/>
      <c r="E778" s="130"/>
      <c r="F778" s="128"/>
      <c r="G778" s="128"/>
      <c r="H778" s="128"/>
      <c r="I778" s="128"/>
      <c r="J778" s="81"/>
      <c r="K778" s="81"/>
      <c r="L778" s="81"/>
      <c r="M778" s="81"/>
      <c r="N778" s="82"/>
    </row>
    <row r="779">
      <c r="C779" s="41"/>
      <c r="D779" s="141"/>
      <c r="E779" s="118"/>
      <c r="F779" s="126"/>
      <c r="G779" s="126"/>
      <c r="H779" s="126"/>
      <c r="I779" s="126"/>
      <c r="J779" s="76"/>
      <c r="K779" s="76"/>
      <c r="L779" s="76"/>
      <c r="M779" s="76"/>
      <c r="N779" s="114"/>
    </row>
    <row r="780">
      <c r="C780" s="41"/>
      <c r="D780" s="142"/>
      <c r="E780" s="130"/>
      <c r="F780" s="128"/>
      <c r="G780" s="128"/>
      <c r="H780" s="128"/>
      <c r="I780" s="128"/>
      <c r="J780" s="81"/>
      <c r="K780" s="81"/>
      <c r="L780" s="81"/>
      <c r="M780" s="81"/>
      <c r="N780" s="82"/>
    </row>
    <row r="781">
      <c r="C781" s="41"/>
      <c r="D781" s="141"/>
      <c r="E781" s="118"/>
      <c r="F781" s="126"/>
      <c r="G781" s="126"/>
      <c r="H781" s="126"/>
      <c r="I781" s="126"/>
      <c r="J781" s="76"/>
      <c r="K781" s="76"/>
      <c r="L781" s="76"/>
      <c r="M781" s="76"/>
      <c r="N781" s="114"/>
    </row>
    <row r="782">
      <c r="C782" s="41"/>
      <c r="D782" s="142"/>
      <c r="E782" s="130"/>
      <c r="F782" s="128"/>
      <c r="G782" s="128"/>
      <c r="H782" s="128"/>
      <c r="I782" s="128"/>
      <c r="J782" s="81"/>
      <c r="K782" s="81"/>
      <c r="L782" s="81"/>
      <c r="M782" s="81"/>
      <c r="N782" s="82"/>
    </row>
    <row r="783">
      <c r="C783" s="41"/>
      <c r="D783" s="141"/>
      <c r="E783" s="118"/>
      <c r="F783" s="126"/>
      <c r="G783" s="126"/>
      <c r="H783" s="126"/>
      <c r="I783" s="126"/>
      <c r="J783" s="76"/>
      <c r="K783" s="76"/>
      <c r="L783" s="76"/>
      <c r="M783" s="76"/>
      <c r="N783" s="114"/>
    </row>
    <row r="784">
      <c r="C784" s="41"/>
      <c r="D784" s="142"/>
      <c r="E784" s="130"/>
      <c r="F784" s="128"/>
      <c r="G784" s="128"/>
      <c r="H784" s="128"/>
      <c r="I784" s="128"/>
      <c r="J784" s="81"/>
      <c r="K784" s="81"/>
      <c r="L784" s="81"/>
      <c r="M784" s="81"/>
      <c r="N784" s="82"/>
    </row>
    <row r="785">
      <c r="C785" s="41"/>
      <c r="D785" s="141"/>
      <c r="E785" s="118"/>
      <c r="F785" s="126"/>
      <c r="G785" s="126"/>
      <c r="H785" s="126"/>
      <c r="I785" s="126"/>
      <c r="J785" s="76"/>
      <c r="K785" s="76"/>
      <c r="L785" s="76"/>
      <c r="M785" s="76"/>
      <c r="N785" s="114"/>
    </row>
    <row r="786">
      <c r="C786" s="41"/>
      <c r="D786" s="142"/>
      <c r="E786" s="130"/>
      <c r="F786" s="128"/>
      <c r="G786" s="128"/>
      <c r="H786" s="128"/>
      <c r="I786" s="128"/>
      <c r="J786" s="81"/>
      <c r="K786" s="81"/>
      <c r="L786" s="81"/>
      <c r="M786" s="81"/>
      <c r="N786" s="82"/>
    </row>
    <row r="787">
      <c r="C787" s="41"/>
      <c r="D787" s="141"/>
      <c r="E787" s="118"/>
      <c r="F787" s="126"/>
      <c r="G787" s="126"/>
      <c r="H787" s="126"/>
      <c r="I787" s="126"/>
      <c r="J787" s="76"/>
      <c r="K787" s="76"/>
      <c r="L787" s="76"/>
      <c r="M787" s="76"/>
      <c r="N787" s="114"/>
    </row>
    <row r="788">
      <c r="C788" s="41"/>
      <c r="D788" s="142"/>
      <c r="E788" s="130"/>
      <c r="F788" s="128"/>
      <c r="G788" s="128"/>
      <c r="H788" s="128"/>
      <c r="I788" s="128"/>
      <c r="J788" s="81"/>
      <c r="K788" s="81"/>
      <c r="L788" s="81"/>
      <c r="M788" s="81"/>
      <c r="N788" s="82"/>
    </row>
    <row r="789">
      <c r="C789" s="41"/>
      <c r="D789" s="141"/>
      <c r="E789" s="118"/>
      <c r="F789" s="126"/>
      <c r="G789" s="126"/>
      <c r="H789" s="126"/>
      <c r="I789" s="126"/>
      <c r="J789" s="76"/>
      <c r="K789" s="76"/>
      <c r="L789" s="76"/>
      <c r="M789" s="76"/>
      <c r="N789" s="114"/>
    </row>
    <row r="790">
      <c r="C790" s="41"/>
      <c r="D790" s="142"/>
      <c r="E790" s="130"/>
      <c r="F790" s="128"/>
      <c r="G790" s="128"/>
      <c r="H790" s="128"/>
      <c r="I790" s="128"/>
      <c r="J790" s="81"/>
      <c r="K790" s="81"/>
      <c r="L790" s="81"/>
      <c r="M790" s="81"/>
      <c r="N790" s="82"/>
    </row>
    <row r="791">
      <c r="C791" s="41"/>
      <c r="D791" s="141"/>
      <c r="E791" s="118"/>
      <c r="F791" s="126"/>
      <c r="G791" s="126"/>
      <c r="H791" s="126"/>
      <c r="I791" s="126"/>
      <c r="J791" s="76"/>
      <c r="K791" s="76"/>
      <c r="L791" s="76"/>
      <c r="M791" s="76"/>
      <c r="N791" s="114"/>
    </row>
    <row r="792">
      <c r="C792" s="41"/>
      <c r="D792" s="142"/>
      <c r="E792" s="130"/>
      <c r="F792" s="128"/>
      <c r="G792" s="128"/>
      <c r="H792" s="128"/>
      <c r="I792" s="128"/>
      <c r="J792" s="81"/>
      <c r="K792" s="81"/>
      <c r="L792" s="81"/>
      <c r="M792" s="81"/>
      <c r="N792" s="82"/>
    </row>
    <row r="793">
      <c r="C793" s="41"/>
      <c r="D793" s="141"/>
      <c r="E793" s="118"/>
      <c r="F793" s="126"/>
      <c r="G793" s="126"/>
      <c r="H793" s="126"/>
      <c r="I793" s="126"/>
      <c r="J793" s="76"/>
      <c r="K793" s="76"/>
      <c r="L793" s="76"/>
      <c r="M793" s="76"/>
      <c r="N793" s="114"/>
    </row>
    <row r="794">
      <c r="C794" s="41"/>
      <c r="D794" s="142"/>
      <c r="E794" s="130"/>
      <c r="F794" s="128"/>
      <c r="G794" s="128"/>
      <c r="H794" s="128"/>
      <c r="I794" s="128"/>
      <c r="J794" s="81"/>
      <c r="K794" s="81"/>
      <c r="L794" s="81"/>
      <c r="M794" s="81"/>
      <c r="N794" s="82"/>
    </row>
    <row r="795">
      <c r="C795" s="41"/>
      <c r="D795" s="141"/>
      <c r="E795" s="118"/>
      <c r="F795" s="126"/>
      <c r="G795" s="126"/>
      <c r="H795" s="126"/>
      <c r="I795" s="126"/>
      <c r="J795" s="76"/>
      <c r="K795" s="76"/>
      <c r="L795" s="76"/>
      <c r="M795" s="76"/>
      <c r="N795" s="114"/>
    </row>
    <row r="796">
      <c r="C796" s="41"/>
      <c r="D796" s="142"/>
      <c r="E796" s="130"/>
      <c r="F796" s="128"/>
      <c r="G796" s="128"/>
      <c r="H796" s="128"/>
      <c r="I796" s="128"/>
      <c r="J796" s="81"/>
      <c r="K796" s="81"/>
      <c r="L796" s="81"/>
      <c r="M796" s="81"/>
      <c r="N796" s="82"/>
    </row>
    <row r="797">
      <c r="C797" s="41"/>
      <c r="D797" s="141"/>
      <c r="E797" s="118"/>
      <c r="F797" s="126"/>
      <c r="G797" s="126"/>
      <c r="H797" s="126"/>
      <c r="I797" s="126"/>
      <c r="J797" s="76"/>
      <c r="K797" s="76"/>
      <c r="L797" s="76"/>
      <c r="M797" s="76"/>
      <c r="N797" s="114"/>
    </row>
    <row r="798">
      <c r="C798" s="41"/>
      <c r="D798" s="142"/>
      <c r="E798" s="130"/>
      <c r="F798" s="128"/>
      <c r="G798" s="128"/>
      <c r="H798" s="128"/>
      <c r="I798" s="128"/>
      <c r="J798" s="81"/>
      <c r="K798" s="81"/>
      <c r="L798" s="81"/>
      <c r="M798" s="81"/>
      <c r="N798" s="82"/>
    </row>
    <row r="799">
      <c r="C799" s="41"/>
      <c r="D799" s="141"/>
      <c r="E799" s="118"/>
      <c r="F799" s="126"/>
      <c r="G799" s="126"/>
      <c r="H799" s="126"/>
      <c r="I799" s="126"/>
      <c r="J799" s="76"/>
      <c r="K799" s="76"/>
      <c r="L799" s="76"/>
      <c r="M799" s="76"/>
      <c r="N799" s="114"/>
    </row>
    <row r="800">
      <c r="C800" s="41"/>
      <c r="D800" s="142"/>
      <c r="E800" s="130"/>
      <c r="F800" s="128"/>
      <c r="G800" s="128"/>
      <c r="H800" s="128"/>
      <c r="I800" s="128"/>
      <c r="J800" s="81"/>
      <c r="K800" s="81"/>
      <c r="L800" s="81"/>
      <c r="M800" s="81"/>
      <c r="N800" s="82"/>
    </row>
    <row r="801">
      <c r="C801" s="41"/>
      <c r="D801" s="141"/>
      <c r="E801" s="118"/>
      <c r="F801" s="126"/>
      <c r="G801" s="126"/>
      <c r="H801" s="126"/>
      <c r="I801" s="126"/>
      <c r="J801" s="76"/>
      <c r="K801" s="76"/>
      <c r="L801" s="76"/>
      <c r="M801" s="76"/>
      <c r="N801" s="114"/>
    </row>
    <row r="802">
      <c r="C802" s="41"/>
      <c r="D802" s="142"/>
      <c r="E802" s="130"/>
      <c r="F802" s="128"/>
      <c r="G802" s="128"/>
      <c r="H802" s="128"/>
      <c r="I802" s="128"/>
      <c r="J802" s="81"/>
      <c r="K802" s="81"/>
      <c r="L802" s="81"/>
      <c r="M802" s="81"/>
      <c r="N802" s="82"/>
    </row>
    <row r="803">
      <c r="C803" s="41"/>
      <c r="D803" s="141"/>
      <c r="E803" s="118"/>
      <c r="F803" s="126"/>
      <c r="G803" s="126"/>
      <c r="H803" s="126"/>
      <c r="I803" s="126"/>
      <c r="J803" s="76"/>
      <c r="K803" s="76"/>
      <c r="L803" s="76"/>
      <c r="M803" s="76"/>
      <c r="N803" s="114"/>
    </row>
    <row r="804">
      <c r="C804" s="41"/>
      <c r="D804" s="142"/>
      <c r="E804" s="130"/>
      <c r="F804" s="128"/>
      <c r="G804" s="128"/>
      <c r="H804" s="128"/>
      <c r="I804" s="128"/>
      <c r="J804" s="81"/>
      <c r="K804" s="81"/>
      <c r="L804" s="81"/>
      <c r="M804" s="81"/>
      <c r="N804" s="82"/>
    </row>
    <row r="805">
      <c r="C805" s="41"/>
      <c r="D805" s="141"/>
      <c r="E805" s="118"/>
      <c r="F805" s="126"/>
      <c r="G805" s="126"/>
      <c r="H805" s="126"/>
      <c r="I805" s="126"/>
      <c r="J805" s="76"/>
      <c r="K805" s="76"/>
      <c r="L805" s="76"/>
      <c r="M805" s="76"/>
      <c r="N805" s="114"/>
    </row>
    <row r="806">
      <c r="C806" s="41"/>
      <c r="D806" s="142"/>
      <c r="E806" s="130"/>
      <c r="F806" s="128"/>
      <c r="G806" s="128"/>
      <c r="H806" s="128"/>
      <c r="I806" s="128"/>
      <c r="J806" s="81"/>
      <c r="K806" s="81"/>
      <c r="L806" s="81"/>
      <c r="M806" s="81"/>
      <c r="N806" s="82"/>
    </row>
    <row r="807">
      <c r="C807" s="41"/>
      <c r="D807" s="141"/>
      <c r="E807" s="118"/>
      <c r="F807" s="126"/>
      <c r="G807" s="126"/>
      <c r="H807" s="126"/>
      <c r="I807" s="126"/>
      <c r="J807" s="76"/>
      <c r="K807" s="76"/>
      <c r="L807" s="76"/>
      <c r="M807" s="76"/>
      <c r="N807" s="114"/>
    </row>
    <row r="808">
      <c r="C808" s="41"/>
      <c r="D808" s="142"/>
      <c r="E808" s="130"/>
      <c r="F808" s="128"/>
      <c r="G808" s="128"/>
      <c r="H808" s="128"/>
      <c r="I808" s="128"/>
      <c r="J808" s="81"/>
      <c r="K808" s="81"/>
      <c r="L808" s="81"/>
      <c r="M808" s="81"/>
      <c r="N808" s="82"/>
    </row>
    <row r="809">
      <c r="C809" s="41"/>
      <c r="D809" s="141"/>
      <c r="E809" s="118"/>
      <c r="F809" s="126"/>
      <c r="G809" s="126"/>
      <c r="H809" s="126"/>
      <c r="I809" s="126"/>
      <c r="J809" s="76"/>
      <c r="K809" s="76"/>
      <c r="L809" s="76"/>
      <c r="M809" s="76"/>
      <c r="N809" s="114"/>
    </row>
    <row r="810">
      <c r="C810" s="41"/>
      <c r="D810" s="142"/>
      <c r="E810" s="130"/>
      <c r="F810" s="128"/>
      <c r="G810" s="128"/>
      <c r="H810" s="128"/>
      <c r="I810" s="128"/>
      <c r="J810" s="81"/>
      <c r="K810" s="81"/>
      <c r="L810" s="81"/>
      <c r="M810" s="81"/>
      <c r="N810" s="82"/>
    </row>
    <row r="811">
      <c r="C811" s="41"/>
      <c r="D811" s="141"/>
      <c r="E811" s="118"/>
      <c r="F811" s="126"/>
      <c r="G811" s="126"/>
      <c r="H811" s="126"/>
      <c r="I811" s="126"/>
      <c r="J811" s="76"/>
      <c r="K811" s="76"/>
      <c r="L811" s="76"/>
      <c r="M811" s="76"/>
      <c r="N811" s="114"/>
    </row>
    <row r="812">
      <c r="C812" s="41"/>
      <c r="D812" s="142"/>
      <c r="E812" s="130"/>
      <c r="F812" s="128"/>
      <c r="G812" s="128"/>
      <c r="H812" s="128"/>
      <c r="I812" s="128"/>
      <c r="J812" s="81"/>
      <c r="K812" s="81"/>
      <c r="L812" s="81"/>
      <c r="M812" s="81"/>
      <c r="N812" s="82"/>
    </row>
    <row r="813">
      <c r="C813" s="41"/>
      <c r="D813" s="141"/>
      <c r="E813" s="118"/>
      <c r="F813" s="126"/>
      <c r="G813" s="126"/>
      <c r="H813" s="126"/>
      <c r="I813" s="126"/>
      <c r="J813" s="76"/>
      <c r="K813" s="76"/>
      <c r="L813" s="76"/>
      <c r="M813" s="76"/>
      <c r="N813" s="114"/>
    </row>
    <row r="814">
      <c r="C814" s="41"/>
      <c r="D814" s="142"/>
      <c r="E814" s="130"/>
      <c r="F814" s="128"/>
      <c r="G814" s="128"/>
      <c r="H814" s="128"/>
      <c r="I814" s="128"/>
      <c r="J814" s="81"/>
      <c r="K814" s="81"/>
      <c r="L814" s="81"/>
      <c r="M814" s="81"/>
      <c r="N814" s="82"/>
    </row>
    <row r="815">
      <c r="C815" s="41"/>
      <c r="D815" s="141"/>
      <c r="E815" s="118"/>
      <c r="F815" s="126"/>
      <c r="G815" s="126"/>
      <c r="H815" s="126"/>
      <c r="I815" s="126"/>
      <c r="J815" s="76"/>
      <c r="K815" s="76"/>
      <c r="L815" s="76"/>
      <c r="M815" s="76"/>
      <c r="N815" s="114"/>
    </row>
    <row r="816">
      <c r="C816" s="41"/>
      <c r="D816" s="142"/>
      <c r="E816" s="130"/>
      <c r="F816" s="128"/>
      <c r="G816" s="128"/>
      <c r="H816" s="128"/>
      <c r="I816" s="128"/>
      <c r="J816" s="81"/>
      <c r="K816" s="81"/>
      <c r="L816" s="81"/>
      <c r="M816" s="81"/>
      <c r="N816" s="82"/>
    </row>
    <row r="817">
      <c r="C817" s="41"/>
      <c r="D817" s="141"/>
      <c r="E817" s="118"/>
      <c r="F817" s="126"/>
      <c r="G817" s="126"/>
      <c r="H817" s="126"/>
      <c r="I817" s="126"/>
      <c r="J817" s="76"/>
      <c r="K817" s="76"/>
      <c r="L817" s="76"/>
      <c r="M817" s="76"/>
      <c r="N817" s="114"/>
    </row>
    <row r="818">
      <c r="C818" s="41"/>
      <c r="D818" s="142"/>
      <c r="E818" s="130"/>
      <c r="F818" s="128"/>
      <c r="G818" s="128"/>
      <c r="H818" s="128"/>
      <c r="I818" s="128"/>
      <c r="J818" s="81"/>
      <c r="K818" s="81"/>
      <c r="L818" s="81"/>
      <c r="M818" s="81"/>
      <c r="N818" s="82"/>
    </row>
    <row r="819">
      <c r="C819" s="41"/>
      <c r="D819" s="141"/>
      <c r="E819" s="118"/>
      <c r="F819" s="126"/>
      <c r="G819" s="126"/>
      <c r="H819" s="126"/>
      <c r="I819" s="126"/>
      <c r="J819" s="76"/>
      <c r="K819" s="76"/>
      <c r="L819" s="76"/>
      <c r="M819" s="76"/>
      <c r="N819" s="114"/>
    </row>
    <row r="820">
      <c r="C820" s="41"/>
      <c r="D820" s="142"/>
      <c r="E820" s="130"/>
      <c r="F820" s="128"/>
      <c r="G820" s="128"/>
      <c r="H820" s="128"/>
      <c r="I820" s="128"/>
      <c r="J820" s="81"/>
      <c r="K820" s="81"/>
      <c r="L820" s="81"/>
      <c r="M820" s="81"/>
      <c r="N820" s="82"/>
    </row>
    <row r="821">
      <c r="C821" s="41"/>
      <c r="D821" s="141"/>
      <c r="E821" s="118"/>
      <c r="F821" s="126"/>
      <c r="G821" s="126"/>
      <c r="H821" s="126"/>
      <c r="I821" s="126"/>
      <c r="J821" s="76"/>
      <c r="K821" s="76"/>
      <c r="L821" s="76"/>
      <c r="M821" s="76"/>
      <c r="N821" s="114"/>
    </row>
    <row r="822">
      <c r="C822" s="41"/>
      <c r="D822" s="142"/>
      <c r="E822" s="130"/>
      <c r="F822" s="128"/>
      <c r="G822" s="128"/>
      <c r="H822" s="128"/>
      <c r="I822" s="128"/>
      <c r="J822" s="81"/>
      <c r="K822" s="81"/>
      <c r="L822" s="81"/>
      <c r="M822" s="81"/>
      <c r="N822" s="82"/>
    </row>
    <row r="823">
      <c r="C823" s="41"/>
      <c r="D823" s="141"/>
      <c r="E823" s="118"/>
      <c r="F823" s="126"/>
      <c r="G823" s="126"/>
      <c r="H823" s="126"/>
      <c r="I823" s="126"/>
      <c r="J823" s="76"/>
      <c r="K823" s="76"/>
      <c r="L823" s="76"/>
      <c r="M823" s="76"/>
      <c r="N823" s="114"/>
    </row>
    <row r="824">
      <c r="C824" s="41"/>
      <c r="D824" s="142"/>
      <c r="E824" s="130"/>
      <c r="F824" s="128"/>
      <c r="G824" s="128"/>
      <c r="H824" s="128"/>
      <c r="I824" s="128"/>
      <c r="J824" s="81"/>
      <c r="K824" s="81"/>
      <c r="L824" s="81"/>
      <c r="M824" s="81"/>
      <c r="N824" s="82"/>
    </row>
    <row r="825">
      <c r="C825" s="41"/>
      <c r="D825" s="141"/>
      <c r="E825" s="118"/>
      <c r="F825" s="126"/>
      <c r="G825" s="126"/>
      <c r="H825" s="126"/>
      <c r="I825" s="126"/>
      <c r="J825" s="76"/>
      <c r="K825" s="76"/>
      <c r="L825" s="76"/>
      <c r="M825" s="76"/>
      <c r="N825" s="114"/>
    </row>
    <row r="826">
      <c r="C826" s="41"/>
      <c r="D826" s="142"/>
      <c r="E826" s="130"/>
      <c r="F826" s="128"/>
      <c r="G826" s="128"/>
      <c r="H826" s="128"/>
      <c r="I826" s="128"/>
      <c r="J826" s="81"/>
      <c r="K826" s="81"/>
      <c r="L826" s="81"/>
      <c r="M826" s="81"/>
      <c r="N826" s="82"/>
    </row>
    <row r="827">
      <c r="C827" s="41"/>
      <c r="D827" s="141"/>
      <c r="E827" s="118"/>
      <c r="F827" s="126"/>
      <c r="G827" s="126"/>
      <c r="H827" s="126"/>
      <c r="I827" s="126"/>
      <c r="J827" s="76"/>
      <c r="K827" s="76"/>
      <c r="L827" s="76"/>
      <c r="M827" s="76"/>
      <c r="N827" s="114"/>
    </row>
    <row r="828">
      <c r="C828" s="41"/>
      <c r="D828" s="142"/>
      <c r="E828" s="130"/>
      <c r="F828" s="128"/>
      <c r="G828" s="128"/>
      <c r="H828" s="128"/>
      <c r="I828" s="128"/>
      <c r="J828" s="81"/>
      <c r="K828" s="81"/>
      <c r="L828" s="81"/>
      <c r="M828" s="81"/>
      <c r="N828" s="82"/>
    </row>
    <row r="829">
      <c r="C829" s="41"/>
      <c r="D829" s="141"/>
      <c r="E829" s="118"/>
      <c r="F829" s="126"/>
      <c r="G829" s="126"/>
      <c r="H829" s="126"/>
      <c r="I829" s="126"/>
      <c r="J829" s="76"/>
      <c r="K829" s="76"/>
      <c r="L829" s="76"/>
      <c r="M829" s="76"/>
      <c r="N829" s="114"/>
    </row>
    <row r="830">
      <c r="C830" s="41"/>
      <c r="D830" s="142"/>
      <c r="E830" s="130"/>
      <c r="F830" s="128"/>
      <c r="G830" s="128"/>
      <c r="H830" s="128"/>
      <c r="I830" s="128"/>
      <c r="J830" s="81"/>
      <c r="K830" s="81"/>
      <c r="L830" s="81"/>
      <c r="M830" s="81"/>
      <c r="N830" s="82"/>
    </row>
    <row r="831">
      <c r="C831" s="41"/>
      <c r="D831" s="141"/>
      <c r="E831" s="118"/>
      <c r="F831" s="126"/>
      <c r="G831" s="126"/>
      <c r="H831" s="126"/>
      <c r="I831" s="126"/>
      <c r="J831" s="76"/>
      <c r="K831" s="76"/>
      <c r="L831" s="76"/>
      <c r="M831" s="76"/>
      <c r="N831" s="114"/>
    </row>
    <row r="832">
      <c r="C832" s="41"/>
      <c r="D832" s="142"/>
      <c r="E832" s="130"/>
      <c r="F832" s="128"/>
      <c r="G832" s="128"/>
      <c r="H832" s="128"/>
      <c r="I832" s="128"/>
      <c r="J832" s="81"/>
      <c r="K832" s="81"/>
      <c r="L832" s="81"/>
      <c r="M832" s="81"/>
      <c r="N832" s="82"/>
    </row>
    <row r="833">
      <c r="C833" s="41"/>
      <c r="D833" s="141"/>
      <c r="E833" s="118"/>
      <c r="F833" s="126"/>
      <c r="G833" s="126"/>
      <c r="H833" s="126"/>
      <c r="I833" s="126"/>
      <c r="J833" s="76"/>
      <c r="K833" s="76"/>
      <c r="L833" s="76"/>
      <c r="M833" s="76"/>
      <c r="N833" s="114"/>
    </row>
    <row r="834">
      <c r="C834" s="41"/>
      <c r="D834" s="142"/>
      <c r="E834" s="130"/>
      <c r="F834" s="128"/>
      <c r="G834" s="128"/>
      <c r="H834" s="128"/>
      <c r="I834" s="128"/>
      <c r="J834" s="81"/>
      <c r="K834" s="81"/>
      <c r="L834" s="81"/>
      <c r="M834" s="81"/>
      <c r="N834" s="82"/>
    </row>
    <row r="835">
      <c r="C835" s="41"/>
      <c r="D835" s="141"/>
      <c r="E835" s="118"/>
      <c r="F835" s="126"/>
      <c r="G835" s="126"/>
      <c r="H835" s="126"/>
      <c r="I835" s="126"/>
      <c r="J835" s="76"/>
      <c r="K835" s="76"/>
      <c r="L835" s="76"/>
      <c r="M835" s="76"/>
      <c r="N835" s="114"/>
    </row>
    <row r="836">
      <c r="C836" s="41"/>
      <c r="D836" s="142"/>
      <c r="E836" s="130"/>
      <c r="F836" s="128"/>
      <c r="G836" s="128"/>
      <c r="H836" s="128"/>
      <c r="I836" s="128"/>
      <c r="J836" s="81"/>
      <c r="K836" s="81"/>
      <c r="L836" s="81"/>
      <c r="M836" s="81"/>
      <c r="N836" s="82"/>
    </row>
    <row r="837">
      <c r="C837" s="41"/>
      <c r="D837" s="141"/>
      <c r="E837" s="118"/>
      <c r="F837" s="126"/>
      <c r="G837" s="126"/>
      <c r="H837" s="126"/>
      <c r="I837" s="126"/>
      <c r="J837" s="76"/>
      <c r="K837" s="76"/>
      <c r="L837" s="76"/>
      <c r="M837" s="76"/>
      <c r="N837" s="114"/>
    </row>
    <row r="838">
      <c r="C838" s="41"/>
      <c r="D838" s="142"/>
      <c r="E838" s="130"/>
      <c r="F838" s="128"/>
      <c r="G838" s="128"/>
      <c r="H838" s="128"/>
      <c r="I838" s="128"/>
      <c r="J838" s="81"/>
      <c r="K838" s="81"/>
      <c r="L838" s="81"/>
      <c r="M838" s="81"/>
      <c r="N838" s="82"/>
    </row>
    <row r="839">
      <c r="C839" s="41"/>
      <c r="D839" s="141"/>
      <c r="E839" s="118"/>
      <c r="F839" s="126"/>
      <c r="G839" s="126"/>
      <c r="H839" s="126"/>
      <c r="I839" s="126"/>
      <c r="J839" s="76"/>
      <c r="K839" s="76"/>
      <c r="L839" s="76"/>
      <c r="M839" s="76"/>
      <c r="N839" s="114"/>
    </row>
    <row r="840">
      <c r="C840" s="41"/>
      <c r="D840" s="142"/>
      <c r="E840" s="130"/>
      <c r="F840" s="128"/>
      <c r="G840" s="128"/>
      <c r="H840" s="128"/>
      <c r="I840" s="128"/>
      <c r="J840" s="81"/>
      <c r="K840" s="81"/>
      <c r="L840" s="81"/>
      <c r="M840" s="81"/>
      <c r="N840" s="82"/>
    </row>
    <row r="841">
      <c r="C841" s="41"/>
      <c r="D841" s="141"/>
      <c r="E841" s="118"/>
      <c r="F841" s="126"/>
      <c r="G841" s="126"/>
      <c r="H841" s="126"/>
      <c r="I841" s="126"/>
      <c r="J841" s="76"/>
      <c r="K841" s="76"/>
      <c r="L841" s="76"/>
      <c r="M841" s="76"/>
      <c r="N841" s="114"/>
    </row>
    <row r="842">
      <c r="C842" s="41"/>
      <c r="D842" s="142"/>
      <c r="E842" s="130"/>
      <c r="F842" s="128"/>
      <c r="G842" s="128"/>
      <c r="H842" s="128"/>
      <c r="I842" s="128"/>
      <c r="J842" s="81"/>
      <c r="K842" s="81"/>
      <c r="L842" s="81"/>
      <c r="M842" s="81"/>
      <c r="N842" s="82"/>
    </row>
    <row r="843">
      <c r="C843" s="41"/>
      <c r="D843" s="141"/>
      <c r="E843" s="118"/>
      <c r="F843" s="126"/>
      <c r="G843" s="126"/>
      <c r="H843" s="126"/>
      <c r="I843" s="126"/>
      <c r="J843" s="76"/>
      <c r="K843" s="76"/>
      <c r="L843" s="76"/>
      <c r="M843" s="76"/>
      <c r="N843" s="114"/>
    </row>
    <row r="844">
      <c r="C844" s="41"/>
      <c r="D844" s="142"/>
      <c r="E844" s="130"/>
      <c r="F844" s="128"/>
      <c r="G844" s="128"/>
      <c r="H844" s="128"/>
      <c r="I844" s="128"/>
      <c r="J844" s="81"/>
      <c r="K844" s="81"/>
      <c r="L844" s="81"/>
      <c r="M844" s="81"/>
      <c r="N844" s="82"/>
    </row>
    <row r="845">
      <c r="C845" s="41"/>
      <c r="D845" s="141"/>
      <c r="E845" s="118"/>
      <c r="F845" s="126"/>
      <c r="G845" s="126"/>
      <c r="H845" s="126"/>
      <c r="I845" s="126"/>
      <c r="J845" s="76"/>
      <c r="K845" s="76"/>
      <c r="L845" s="76"/>
      <c r="M845" s="76"/>
      <c r="N845" s="114"/>
    </row>
    <row r="846">
      <c r="C846" s="41"/>
      <c r="D846" s="142"/>
      <c r="E846" s="130"/>
      <c r="F846" s="128"/>
      <c r="G846" s="128"/>
      <c r="H846" s="128"/>
      <c r="I846" s="128"/>
      <c r="J846" s="81"/>
      <c r="K846" s="81"/>
      <c r="L846" s="81"/>
      <c r="M846" s="81"/>
      <c r="N846" s="82"/>
    </row>
    <row r="847">
      <c r="C847" s="41"/>
      <c r="D847" s="141"/>
      <c r="E847" s="118"/>
      <c r="F847" s="126"/>
      <c r="G847" s="126"/>
      <c r="H847" s="126"/>
      <c r="I847" s="126"/>
      <c r="J847" s="76"/>
      <c r="K847" s="76"/>
      <c r="L847" s="76"/>
      <c r="M847" s="76"/>
      <c r="N847" s="114"/>
    </row>
    <row r="848">
      <c r="C848" s="41"/>
      <c r="D848" s="142"/>
      <c r="E848" s="130"/>
      <c r="F848" s="128"/>
      <c r="G848" s="128"/>
      <c r="H848" s="128"/>
      <c r="I848" s="128"/>
      <c r="J848" s="81"/>
      <c r="K848" s="81"/>
      <c r="L848" s="81"/>
      <c r="M848" s="81"/>
      <c r="N848" s="82"/>
    </row>
    <row r="849">
      <c r="C849" s="41"/>
      <c r="D849" s="141"/>
      <c r="E849" s="118"/>
      <c r="F849" s="126"/>
      <c r="G849" s="126"/>
      <c r="H849" s="126"/>
      <c r="I849" s="126"/>
      <c r="J849" s="76"/>
      <c r="K849" s="76"/>
      <c r="L849" s="76"/>
      <c r="M849" s="76"/>
      <c r="N849" s="114"/>
    </row>
    <row r="850">
      <c r="C850" s="41"/>
      <c r="D850" s="142"/>
      <c r="E850" s="130"/>
      <c r="F850" s="128"/>
      <c r="G850" s="128"/>
      <c r="H850" s="128"/>
      <c r="I850" s="128"/>
      <c r="J850" s="81"/>
      <c r="K850" s="81"/>
      <c r="L850" s="81"/>
      <c r="M850" s="81"/>
      <c r="N850" s="82"/>
    </row>
    <row r="851">
      <c r="C851" s="41"/>
      <c r="D851" s="141"/>
      <c r="E851" s="118"/>
      <c r="F851" s="126"/>
      <c r="G851" s="126"/>
      <c r="H851" s="126"/>
      <c r="I851" s="126"/>
      <c r="J851" s="76"/>
      <c r="K851" s="76"/>
      <c r="L851" s="76"/>
      <c r="M851" s="76"/>
      <c r="N851" s="114"/>
    </row>
    <row r="852">
      <c r="C852" s="41"/>
      <c r="D852" s="142"/>
      <c r="E852" s="130"/>
      <c r="F852" s="128"/>
      <c r="G852" s="128"/>
      <c r="H852" s="128"/>
      <c r="I852" s="128"/>
      <c r="J852" s="81"/>
      <c r="K852" s="81"/>
      <c r="L852" s="81"/>
      <c r="M852" s="81"/>
      <c r="N852" s="82"/>
    </row>
    <row r="853">
      <c r="C853" s="41"/>
      <c r="D853" s="141"/>
      <c r="E853" s="118"/>
      <c r="F853" s="126"/>
      <c r="G853" s="126"/>
      <c r="H853" s="126"/>
      <c r="I853" s="126"/>
      <c r="J853" s="76"/>
      <c r="K853" s="76"/>
      <c r="L853" s="76"/>
      <c r="M853" s="76"/>
      <c r="N853" s="114"/>
    </row>
    <row r="854">
      <c r="C854" s="41"/>
      <c r="D854" s="142"/>
      <c r="E854" s="130"/>
      <c r="F854" s="128"/>
      <c r="G854" s="128"/>
      <c r="H854" s="128"/>
      <c r="I854" s="128"/>
      <c r="J854" s="81"/>
      <c r="K854" s="81"/>
      <c r="L854" s="81"/>
      <c r="M854" s="81"/>
      <c r="N854" s="82"/>
    </row>
    <row r="855">
      <c r="C855" s="41"/>
      <c r="D855" s="141"/>
      <c r="E855" s="118"/>
      <c r="F855" s="126"/>
      <c r="G855" s="126"/>
      <c r="H855" s="126"/>
      <c r="I855" s="126"/>
      <c r="J855" s="76"/>
      <c r="K855" s="76"/>
      <c r="L855" s="76"/>
      <c r="M855" s="76"/>
      <c r="N855" s="114"/>
    </row>
    <row r="856">
      <c r="C856" s="41"/>
      <c r="D856" s="142"/>
      <c r="E856" s="130"/>
      <c r="F856" s="128"/>
      <c r="G856" s="128"/>
      <c r="H856" s="128"/>
      <c r="I856" s="128"/>
      <c r="J856" s="81"/>
      <c r="K856" s="81"/>
      <c r="L856" s="81"/>
      <c r="M856" s="81"/>
      <c r="N856" s="82"/>
    </row>
    <row r="857">
      <c r="C857" s="41"/>
      <c r="D857" s="141"/>
      <c r="E857" s="118"/>
      <c r="F857" s="126"/>
      <c r="G857" s="126"/>
      <c r="H857" s="126"/>
      <c r="I857" s="126"/>
      <c r="J857" s="76"/>
      <c r="K857" s="76"/>
      <c r="L857" s="76"/>
      <c r="M857" s="76"/>
      <c r="N857" s="114"/>
    </row>
    <row r="858">
      <c r="C858" s="41"/>
      <c r="D858" s="142"/>
      <c r="E858" s="130"/>
      <c r="F858" s="128"/>
      <c r="G858" s="128"/>
      <c r="H858" s="128"/>
      <c r="I858" s="128"/>
      <c r="J858" s="81"/>
      <c r="K858" s="81"/>
      <c r="L858" s="81"/>
      <c r="M858" s="81"/>
      <c r="N858" s="82"/>
    </row>
    <row r="859">
      <c r="C859" s="41"/>
      <c r="D859" s="141"/>
      <c r="E859" s="118"/>
      <c r="F859" s="126"/>
      <c r="G859" s="126"/>
      <c r="H859" s="126"/>
      <c r="I859" s="126"/>
      <c r="J859" s="76"/>
      <c r="K859" s="76"/>
      <c r="L859" s="76"/>
      <c r="M859" s="76"/>
      <c r="N859" s="114"/>
    </row>
    <row r="860">
      <c r="C860" s="41"/>
      <c r="D860" s="142"/>
      <c r="E860" s="130"/>
      <c r="F860" s="128"/>
      <c r="G860" s="128"/>
      <c r="H860" s="128"/>
      <c r="I860" s="128"/>
      <c r="J860" s="81"/>
      <c r="K860" s="81"/>
      <c r="L860" s="81"/>
      <c r="M860" s="81"/>
      <c r="N860" s="82"/>
    </row>
    <row r="861">
      <c r="C861" s="41"/>
      <c r="D861" s="141"/>
      <c r="E861" s="118"/>
      <c r="F861" s="126"/>
      <c r="G861" s="126"/>
      <c r="H861" s="126"/>
      <c r="I861" s="126"/>
      <c r="J861" s="76"/>
      <c r="K861" s="76"/>
      <c r="L861" s="76"/>
      <c r="M861" s="76"/>
      <c r="N861" s="114"/>
    </row>
    <row r="862">
      <c r="C862" s="41"/>
      <c r="D862" s="142"/>
      <c r="E862" s="130"/>
      <c r="F862" s="128"/>
      <c r="G862" s="128"/>
      <c r="H862" s="128"/>
      <c r="I862" s="128"/>
      <c r="J862" s="81"/>
      <c r="K862" s="81"/>
      <c r="L862" s="81"/>
      <c r="M862" s="81"/>
      <c r="N862" s="82"/>
    </row>
    <row r="863">
      <c r="C863" s="41"/>
      <c r="D863" s="141"/>
      <c r="E863" s="118"/>
      <c r="F863" s="126"/>
      <c r="G863" s="126"/>
      <c r="H863" s="126"/>
      <c r="I863" s="126"/>
      <c r="J863" s="76"/>
      <c r="K863" s="76"/>
      <c r="L863" s="76"/>
      <c r="M863" s="76"/>
      <c r="N863" s="114"/>
    </row>
    <row r="864">
      <c r="C864" s="41"/>
      <c r="D864" s="142"/>
      <c r="E864" s="130"/>
      <c r="F864" s="128"/>
      <c r="G864" s="128"/>
      <c r="H864" s="128"/>
      <c r="I864" s="128"/>
      <c r="J864" s="81"/>
      <c r="K864" s="81"/>
      <c r="L864" s="81"/>
      <c r="M864" s="81"/>
      <c r="N864" s="82"/>
    </row>
    <row r="865">
      <c r="C865" s="41"/>
      <c r="D865" s="141"/>
      <c r="E865" s="118"/>
      <c r="F865" s="126"/>
      <c r="G865" s="126"/>
      <c r="H865" s="126"/>
      <c r="I865" s="126"/>
      <c r="J865" s="76"/>
      <c r="K865" s="76"/>
      <c r="L865" s="76"/>
      <c r="M865" s="76"/>
      <c r="N865" s="114"/>
    </row>
    <row r="866">
      <c r="C866" s="41"/>
      <c r="D866" s="142"/>
      <c r="E866" s="130"/>
      <c r="F866" s="128"/>
      <c r="G866" s="128"/>
      <c r="H866" s="128"/>
      <c r="I866" s="128"/>
      <c r="J866" s="81"/>
      <c r="K866" s="81"/>
      <c r="L866" s="81"/>
      <c r="M866" s="81"/>
      <c r="N866" s="82"/>
    </row>
    <row r="867">
      <c r="C867" s="41"/>
      <c r="D867" s="141"/>
      <c r="E867" s="118"/>
      <c r="F867" s="126"/>
      <c r="G867" s="126"/>
      <c r="H867" s="126"/>
      <c r="I867" s="126"/>
      <c r="J867" s="76"/>
      <c r="K867" s="76"/>
      <c r="L867" s="76"/>
      <c r="M867" s="76"/>
      <c r="N867" s="114"/>
    </row>
    <row r="868">
      <c r="C868" s="41"/>
      <c r="D868" s="142"/>
      <c r="E868" s="130"/>
      <c r="F868" s="128"/>
      <c r="G868" s="128"/>
      <c r="H868" s="128"/>
      <c r="I868" s="128"/>
      <c r="J868" s="81"/>
      <c r="K868" s="81"/>
      <c r="L868" s="81"/>
      <c r="M868" s="81"/>
      <c r="N868" s="82"/>
    </row>
    <row r="869">
      <c r="C869" s="41"/>
      <c r="D869" s="141"/>
      <c r="E869" s="118"/>
      <c r="F869" s="126"/>
      <c r="G869" s="126"/>
      <c r="H869" s="126"/>
      <c r="I869" s="126"/>
      <c r="J869" s="76"/>
      <c r="K869" s="76"/>
      <c r="L869" s="76"/>
      <c r="M869" s="76"/>
      <c r="N869" s="114"/>
    </row>
    <row r="870">
      <c r="C870" s="41"/>
      <c r="D870" s="142"/>
      <c r="E870" s="130"/>
      <c r="F870" s="128"/>
      <c r="G870" s="128"/>
      <c r="H870" s="128"/>
      <c r="I870" s="128"/>
      <c r="J870" s="81"/>
      <c r="K870" s="81"/>
      <c r="L870" s="81"/>
      <c r="M870" s="81"/>
      <c r="N870" s="82"/>
    </row>
    <row r="871">
      <c r="C871" s="41"/>
      <c r="D871" s="141"/>
      <c r="E871" s="118"/>
      <c r="F871" s="126"/>
      <c r="G871" s="126"/>
      <c r="H871" s="126"/>
      <c r="I871" s="126"/>
      <c r="J871" s="76"/>
      <c r="K871" s="76"/>
      <c r="L871" s="76"/>
      <c r="M871" s="76"/>
      <c r="N871" s="114"/>
    </row>
    <row r="872">
      <c r="C872" s="41"/>
      <c r="D872" s="142"/>
      <c r="E872" s="130"/>
      <c r="F872" s="128"/>
      <c r="G872" s="128"/>
      <c r="H872" s="128"/>
      <c r="I872" s="128"/>
      <c r="J872" s="81"/>
      <c r="K872" s="81"/>
      <c r="L872" s="81"/>
      <c r="M872" s="81"/>
      <c r="N872" s="82"/>
    </row>
    <row r="873">
      <c r="C873" s="41"/>
      <c r="D873" s="141"/>
      <c r="E873" s="118"/>
      <c r="F873" s="126"/>
      <c r="G873" s="126"/>
      <c r="H873" s="126"/>
      <c r="I873" s="126"/>
      <c r="J873" s="76"/>
      <c r="K873" s="76"/>
      <c r="L873" s="76"/>
      <c r="M873" s="76"/>
      <c r="N873" s="114"/>
    </row>
    <row r="874">
      <c r="C874" s="41"/>
      <c r="D874" s="142"/>
      <c r="E874" s="130"/>
      <c r="F874" s="128"/>
      <c r="G874" s="128"/>
      <c r="H874" s="128"/>
      <c r="I874" s="128"/>
      <c r="J874" s="81"/>
      <c r="K874" s="81"/>
      <c r="L874" s="81"/>
      <c r="M874" s="81"/>
      <c r="N874" s="82"/>
    </row>
    <row r="875">
      <c r="C875" s="41"/>
      <c r="D875" s="141"/>
      <c r="E875" s="118"/>
      <c r="F875" s="126"/>
      <c r="G875" s="126"/>
      <c r="H875" s="126"/>
      <c r="I875" s="126"/>
      <c r="J875" s="76"/>
      <c r="K875" s="76"/>
      <c r="L875" s="76"/>
      <c r="M875" s="76"/>
      <c r="N875" s="114"/>
    </row>
    <row r="876">
      <c r="C876" s="41"/>
      <c r="D876" s="142"/>
      <c r="E876" s="130"/>
      <c r="F876" s="128"/>
      <c r="G876" s="128"/>
      <c r="H876" s="128"/>
      <c r="I876" s="128"/>
      <c r="J876" s="81"/>
      <c r="K876" s="81"/>
      <c r="L876" s="81"/>
      <c r="M876" s="81"/>
      <c r="N876" s="82"/>
    </row>
    <row r="877">
      <c r="C877" s="41"/>
      <c r="D877" s="141"/>
      <c r="E877" s="118"/>
      <c r="F877" s="126"/>
      <c r="G877" s="126"/>
      <c r="H877" s="126"/>
      <c r="I877" s="126"/>
      <c r="J877" s="76"/>
      <c r="K877" s="76"/>
      <c r="L877" s="76"/>
      <c r="M877" s="76"/>
      <c r="N877" s="114"/>
    </row>
    <row r="878">
      <c r="C878" s="41"/>
      <c r="D878" s="142"/>
      <c r="E878" s="130"/>
      <c r="F878" s="128"/>
      <c r="G878" s="128"/>
      <c r="H878" s="128"/>
      <c r="I878" s="128"/>
      <c r="J878" s="81"/>
      <c r="K878" s="81"/>
      <c r="L878" s="81"/>
      <c r="M878" s="81"/>
      <c r="N878" s="82"/>
    </row>
    <row r="879">
      <c r="C879" s="41"/>
      <c r="D879" s="141"/>
      <c r="E879" s="118"/>
      <c r="F879" s="126"/>
      <c r="G879" s="126"/>
      <c r="H879" s="126"/>
      <c r="I879" s="126"/>
      <c r="J879" s="76"/>
      <c r="K879" s="76"/>
      <c r="L879" s="76"/>
      <c r="M879" s="76"/>
      <c r="N879" s="114"/>
    </row>
    <row r="880">
      <c r="C880" s="41"/>
      <c r="D880" s="142"/>
      <c r="E880" s="130"/>
      <c r="F880" s="128"/>
      <c r="G880" s="128"/>
      <c r="H880" s="128"/>
      <c r="I880" s="128"/>
      <c r="J880" s="81"/>
      <c r="K880" s="81"/>
      <c r="L880" s="81"/>
      <c r="M880" s="81"/>
      <c r="N880" s="82"/>
    </row>
    <row r="881">
      <c r="C881" s="41"/>
      <c r="D881" s="141"/>
      <c r="E881" s="118"/>
      <c r="F881" s="126"/>
      <c r="G881" s="126"/>
      <c r="H881" s="126"/>
      <c r="I881" s="126"/>
      <c r="J881" s="76"/>
      <c r="K881" s="76"/>
      <c r="L881" s="76"/>
      <c r="M881" s="76"/>
      <c r="N881" s="114"/>
    </row>
    <row r="882">
      <c r="C882" s="41"/>
      <c r="D882" s="142"/>
      <c r="E882" s="130"/>
      <c r="F882" s="128"/>
      <c r="G882" s="128"/>
      <c r="H882" s="128"/>
      <c r="I882" s="128"/>
      <c r="J882" s="81"/>
      <c r="K882" s="81"/>
      <c r="L882" s="81"/>
      <c r="M882" s="81"/>
      <c r="N882" s="82"/>
    </row>
    <row r="883">
      <c r="C883" s="41"/>
      <c r="D883" s="141"/>
      <c r="E883" s="118"/>
      <c r="F883" s="126"/>
      <c r="G883" s="126"/>
      <c r="H883" s="126"/>
      <c r="I883" s="126"/>
      <c r="J883" s="76"/>
      <c r="K883" s="76"/>
      <c r="L883" s="76"/>
      <c r="M883" s="76"/>
      <c r="N883" s="114"/>
    </row>
    <row r="884">
      <c r="C884" s="41"/>
      <c r="D884" s="142"/>
      <c r="E884" s="130"/>
      <c r="F884" s="128"/>
      <c r="G884" s="128"/>
      <c r="H884" s="128"/>
      <c r="I884" s="128"/>
      <c r="J884" s="81"/>
      <c r="K884" s="81"/>
      <c r="L884" s="81"/>
      <c r="M884" s="81"/>
      <c r="N884" s="82"/>
    </row>
    <row r="885">
      <c r="C885" s="41"/>
      <c r="D885" s="141"/>
      <c r="E885" s="118"/>
      <c r="F885" s="126"/>
      <c r="G885" s="126"/>
      <c r="H885" s="126"/>
      <c r="I885" s="126"/>
      <c r="J885" s="76"/>
      <c r="K885" s="76"/>
      <c r="L885" s="76"/>
      <c r="M885" s="76"/>
      <c r="N885" s="114"/>
    </row>
    <row r="886">
      <c r="C886" s="41"/>
      <c r="D886" s="142"/>
      <c r="E886" s="130"/>
      <c r="F886" s="128"/>
      <c r="G886" s="128"/>
      <c r="H886" s="128"/>
      <c r="I886" s="128"/>
      <c r="J886" s="81"/>
      <c r="K886" s="81"/>
      <c r="L886" s="81"/>
      <c r="M886" s="81"/>
      <c r="N886" s="82"/>
    </row>
    <row r="887">
      <c r="C887" s="41"/>
      <c r="D887" s="141"/>
      <c r="E887" s="118"/>
      <c r="F887" s="126"/>
      <c r="G887" s="126"/>
      <c r="H887" s="126"/>
      <c r="I887" s="126"/>
      <c r="J887" s="76"/>
      <c r="K887" s="76"/>
      <c r="L887" s="76"/>
      <c r="M887" s="76"/>
      <c r="N887" s="114"/>
    </row>
    <row r="888">
      <c r="C888" s="41"/>
      <c r="D888" s="142"/>
      <c r="E888" s="130"/>
      <c r="F888" s="128"/>
      <c r="G888" s="128"/>
      <c r="H888" s="128"/>
      <c r="I888" s="128"/>
      <c r="J888" s="81"/>
      <c r="K888" s="81"/>
      <c r="L888" s="81"/>
      <c r="M888" s="81"/>
      <c r="N888" s="82"/>
    </row>
    <row r="889">
      <c r="C889" s="41"/>
      <c r="D889" s="141"/>
      <c r="E889" s="118"/>
      <c r="F889" s="126"/>
      <c r="G889" s="126"/>
      <c r="H889" s="126"/>
      <c r="I889" s="126"/>
      <c r="J889" s="76"/>
      <c r="K889" s="76"/>
      <c r="L889" s="76"/>
      <c r="M889" s="76"/>
      <c r="N889" s="114"/>
    </row>
    <row r="890">
      <c r="C890" s="41"/>
      <c r="D890" s="142"/>
      <c r="E890" s="130"/>
      <c r="F890" s="128"/>
      <c r="G890" s="128"/>
      <c r="H890" s="128"/>
      <c r="I890" s="128"/>
      <c r="J890" s="81"/>
      <c r="K890" s="81"/>
      <c r="L890" s="81"/>
      <c r="M890" s="81"/>
      <c r="N890" s="82"/>
    </row>
    <row r="891">
      <c r="C891" s="41"/>
      <c r="D891" s="141"/>
      <c r="E891" s="118"/>
      <c r="F891" s="126"/>
      <c r="G891" s="126"/>
      <c r="H891" s="126"/>
      <c r="I891" s="126"/>
      <c r="J891" s="76"/>
      <c r="K891" s="76"/>
      <c r="L891" s="76"/>
      <c r="M891" s="76"/>
      <c r="N891" s="114"/>
    </row>
    <row r="892">
      <c r="C892" s="41"/>
      <c r="D892" s="142"/>
      <c r="E892" s="130"/>
      <c r="F892" s="128"/>
      <c r="G892" s="128"/>
      <c r="H892" s="128"/>
      <c r="I892" s="128"/>
      <c r="J892" s="81"/>
      <c r="K892" s="81"/>
      <c r="L892" s="81"/>
      <c r="M892" s="81"/>
      <c r="N892" s="82"/>
    </row>
    <row r="893">
      <c r="C893" s="41"/>
      <c r="D893" s="141"/>
      <c r="E893" s="118"/>
      <c r="F893" s="126"/>
      <c r="G893" s="126"/>
      <c r="H893" s="126"/>
      <c r="I893" s="126"/>
      <c r="J893" s="76"/>
      <c r="K893" s="76"/>
      <c r="L893" s="76"/>
      <c r="M893" s="76"/>
      <c r="N893" s="114"/>
    </row>
    <row r="894">
      <c r="C894" s="41"/>
      <c r="D894" s="142"/>
      <c r="E894" s="130"/>
      <c r="F894" s="128"/>
      <c r="G894" s="128"/>
      <c r="H894" s="128"/>
      <c r="I894" s="128"/>
      <c r="J894" s="81"/>
      <c r="K894" s="81"/>
      <c r="L894" s="81"/>
      <c r="M894" s="81"/>
      <c r="N894" s="82"/>
    </row>
    <row r="895">
      <c r="C895" s="41"/>
      <c r="D895" s="141"/>
      <c r="E895" s="118"/>
      <c r="F895" s="126"/>
      <c r="G895" s="126"/>
      <c r="H895" s="126"/>
      <c r="I895" s="126"/>
      <c r="J895" s="76"/>
      <c r="K895" s="76"/>
      <c r="L895" s="76"/>
      <c r="M895" s="76"/>
      <c r="N895" s="114"/>
    </row>
    <row r="896">
      <c r="C896" s="41"/>
      <c r="D896" s="142"/>
      <c r="E896" s="130"/>
      <c r="F896" s="128"/>
      <c r="G896" s="128"/>
      <c r="H896" s="128"/>
      <c r="I896" s="128"/>
      <c r="J896" s="81"/>
      <c r="K896" s="81"/>
      <c r="L896" s="81"/>
      <c r="M896" s="81"/>
      <c r="N896" s="82"/>
    </row>
    <row r="897">
      <c r="C897" s="41"/>
      <c r="D897" s="141"/>
      <c r="E897" s="118"/>
      <c r="F897" s="126"/>
      <c r="G897" s="126"/>
      <c r="H897" s="126"/>
      <c r="I897" s="126"/>
      <c r="J897" s="76"/>
      <c r="K897" s="76"/>
      <c r="L897" s="76"/>
      <c r="M897" s="76"/>
      <c r="N897" s="114"/>
    </row>
    <row r="898">
      <c r="C898" s="41"/>
      <c r="D898" s="142"/>
      <c r="E898" s="130"/>
      <c r="F898" s="128"/>
      <c r="G898" s="128"/>
      <c r="H898" s="128"/>
      <c r="I898" s="128"/>
      <c r="J898" s="81"/>
      <c r="K898" s="81"/>
      <c r="L898" s="81"/>
      <c r="M898" s="81"/>
      <c r="N898" s="82"/>
    </row>
    <row r="899">
      <c r="C899" s="41"/>
      <c r="D899" s="141"/>
      <c r="E899" s="118"/>
      <c r="F899" s="126"/>
      <c r="G899" s="126"/>
      <c r="H899" s="126"/>
      <c r="I899" s="126"/>
      <c r="J899" s="76"/>
      <c r="K899" s="76"/>
      <c r="L899" s="76"/>
      <c r="M899" s="76"/>
      <c r="N899" s="114"/>
    </row>
    <row r="900">
      <c r="C900" s="41"/>
      <c r="D900" s="142"/>
      <c r="E900" s="130"/>
      <c r="F900" s="128"/>
      <c r="G900" s="128"/>
      <c r="H900" s="128"/>
      <c r="I900" s="128"/>
      <c r="J900" s="81"/>
      <c r="K900" s="81"/>
      <c r="L900" s="81"/>
      <c r="M900" s="81"/>
      <c r="N900" s="82"/>
    </row>
    <row r="901">
      <c r="C901" s="41"/>
      <c r="D901" s="141"/>
      <c r="E901" s="118"/>
      <c r="F901" s="126"/>
      <c r="G901" s="126"/>
      <c r="H901" s="126"/>
      <c r="I901" s="126"/>
      <c r="J901" s="76"/>
      <c r="K901" s="76"/>
      <c r="L901" s="76"/>
      <c r="M901" s="76"/>
      <c r="N901" s="114"/>
    </row>
    <row r="902">
      <c r="C902" s="41"/>
      <c r="D902" s="142"/>
      <c r="E902" s="130"/>
      <c r="F902" s="128"/>
      <c r="G902" s="128"/>
      <c r="H902" s="128"/>
      <c r="I902" s="128"/>
      <c r="J902" s="81"/>
      <c r="K902" s="81"/>
      <c r="L902" s="81"/>
      <c r="M902" s="81"/>
      <c r="N902" s="82"/>
    </row>
    <row r="903">
      <c r="C903" s="41"/>
      <c r="D903" s="141"/>
      <c r="E903" s="118"/>
      <c r="F903" s="126"/>
      <c r="G903" s="126"/>
      <c r="H903" s="126"/>
      <c r="I903" s="126"/>
      <c r="J903" s="76"/>
      <c r="K903" s="76"/>
      <c r="L903" s="76"/>
      <c r="M903" s="76"/>
      <c r="N903" s="114"/>
    </row>
    <row r="904">
      <c r="C904" s="41"/>
      <c r="D904" s="142"/>
      <c r="E904" s="130"/>
      <c r="F904" s="128"/>
      <c r="G904" s="128"/>
      <c r="H904" s="128"/>
      <c r="I904" s="128"/>
      <c r="J904" s="81"/>
      <c r="K904" s="81"/>
      <c r="L904" s="81"/>
      <c r="M904" s="81"/>
      <c r="N904" s="82"/>
    </row>
    <row r="905">
      <c r="C905" s="41"/>
      <c r="D905" s="141"/>
      <c r="E905" s="118"/>
      <c r="F905" s="126"/>
      <c r="G905" s="126"/>
      <c r="H905" s="126"/>
      <c r="I905" s="126"/>
      <c r="J905" s="76"/>
      <c r="K905" s="76"/>
      <c r="L905" s="76"/>
      <c r="M905" s="76"/>
      <c r="N905" s="114"/>
    </row>
    <row r="906">
      <c r="C906" s="41"/>
      <c r="D906" s="142"/>
      <c r="E906" s="130"/>
      <c r="F906" s="128"/>
      <c r="G906" s="128"/>
      <c r="H906" s="128"/>
      <c r="I906" s="128"/>
      <c r="J906" s="81"/>
      <c r="K906" s="81"/>
      <c r="L906" s="81"/>
      <c r="M906" s="81"/>
      <c r="N906" s="82"/>
    </row>
    <row r="907">
      <c r="C907" s="41"/>
      <c r="D907" s="141"/>
      <c r="E907" s="118"/>
      <c r="F907" s="126"/>
      <c r="G907" s="126"/>
      <c r="H907" s="126"/>
      <c r="I907" s="126"/>
      <c r="J907" s="76"/>
      <c r="K907" s="76"/>
      <c r="L907" s="76"/>
      <c r="M907" s="76"/>
      <c r="N907" s="114"/>
    </row>
    <row r="908">
      <c r="C908" s="41"/>
      <c r="D908" s="142"/>
      <c r="E908" s="130"/>
      <c r="F908" s="128"/>
      <c r="G908" s="128"/>
      <c r="H908" s="128"/>
      <c r="I908" s="128"/>
      <c r="J908" s="81"/>
      <c r="K908" s="81"/>
      <c r="L908" s="81"/>
      <c r="M908" s="81"/>
      <c r="N908" s="82"/>
    </row>
    <row r="909">
      <c r="C909" s="41"/>
      <c r="D909" s="141"/>
      <c r="E909" s="118"/>
      <c r="F909" s="126"/>
      <c r="G909" s="126"/>
      <c r="H909" s="126"/>
      <c r="I909" s="126"/>
      <c r="J909" s="76"/>
      <c r="K909" s="76"/>
      <c r="L909" s="76"/>
      <c r="M909" s="76"/>
      <c r="N909" s="114"/>
    </row>
    <row r="910">
      <c r="C910" s="41"/>
      <c r="D910" s="142"/>
      <c r="E910" s="130"/>
      <c r="F910" s="128"/>
      <c r="G910" s="128"/>
      <c r="H910" s="128"/>
      <c r="I910" s="128"/>
      <c r="J910" s="81"/>
      <c r="K910" s="81"/>
      <c r="L910" s="81"/>
      <c r="M910" s="81"/>
      <c r="N910" s="82"/>
    </row>
    <row r="911">
      <c r="C911" s="41"/>
      <c r="D911" s="141"/>
      <c r="E911" s="118"/>
      <c r="F911" s="126"/>
      <c r="G911" s="126"/>
      <c r="H911" s="126"/>
      <c r="I911" s="126"/>
      <c r="J911" s="76"/>
      <c r="K911" s="76"/>
      <c r="L911" s="76"/>
      <c r="M911" s="76"/>
      <c r="N911" s="114"/>
    </row>
    <row r="912">
      <c r="C912" s="41"/>
      <c r="D912" s="142"/>
      <c r="E912" s="130"/>
      <c r="F912" s="128"/>
      <c r="G912" s="128"/>
      <c r="H912" s="128"/>
      <c r="I912" s="128"/>
      <c r="J912" s="81"/>
      <c r="K912" s="81"/>
      <c r="L912" s="81"/>
      <c r="M912" s="81"/>
      <c r="N912" s="82"/>
    </row>
    <row r="913">
      <c r="C913" s="41"/>
      <c r="D913" s="141"/>
      <c r="E913" s="118"/>
      <c r="F913" s="126"/>
      <c r="G913" s="126"/>
      <c r="H913" s="126"/>
      <c r="I913" s="126"/>
      <c r="J913" s="76"/>
      <c r="K913" s="76"/>
      <c r="L913" s="76"/>
      <c r="M913" s="76"/>
      <c r="N913" s="114"/>
    </row>
    <row r="914">
      <c r="C914" s="41"/>
      <c r="D914" s="142"/>
      <c r="E914" s="130"/>
      <c r="F914" s="128"/>
      <c r="G914" s="128"/>
      <c r="H914" s="128"/>
      <c r="I914" s="128"/>
      <c r="J914" s="81"/>
      <c r="K914" s="81"/>
      <c r="L914" s="81"/>
      <c r="M914" s="81"/>
      <c r="N914" s="82"/>
    </row>
    <row r="915">
      <c r="C915" s="41"/>
      <c r="D915" s="141"/>
      <c r="E915" s="118"/>
      <c r="F915" s="126"/>
      <c r="G915" s="126"/>
      <c r="H915" s="126"/>
      <c r="I915" s="126"/>
      <c r="J915" s="76"/>
      <c r="K915" s="76"/>
      <c r="L915" s="76"/>
      <c r="M915" s="76"/>
      <c r="N915" s="114"/>
    </row>
    <row r="916">
      <c r="C916" s="41"/>
      <c r="D916" s="142"/>
      <c r="E916" s="130"/>
      <c r="F916" s="128"/>
      <c r="G916" s="128"/>
      <c r="H916" s="128"/>
      <c r="I916" s="128"/>
      <c r="J916" s="81"/>
      <c r="K916" s="81"/>
      <c r="L916" s="81"/>
      <c r="M916" s="81"/>
      <c r="N916" s="82"/>
    </row>
    <row r="917">
      <c r="C917" s="41"/>
      <c r="D917" s="141"/>
      <c r="E917" s="118"/>
      <c r="F917" s="126"/>
      <c r="G917" s="126"/>
      <c r="H917" s="126"/>
      <c r="I917" s="126"/>
      <c r="J917" s="76"/>
      <c r="K917" s="76"/>
      <c r="L917" s="76"/>
      <c r="M917" s="76"/>
      <c r="N917" s="114"/>
    </row>
    <row r="918">
      <c r="C918" s="41"/>
      <c r="D918" s="142"/>
      <c r="E918" s="130"/>
      <c r="F918" s="128"/>
      <c r="G918" s="128"/>
      <c r="H918" s="128"/>
      <c r="I918" s="128"/>
      <c r="J918" s="81"/>
      <c r="K918" s="81"/>
      <c r="L918" s="81"/>
      <c r="M918" s="81"/>
      <c r="N918" s="82"/>
    </row>
    <row r="919">
      <c r="C919" s="41"/>
      <c r="D919" s="141"/>
      <c r="E919" s="118"/>
      <c r="F919" s="126"/>
      <c r="G919" s="126"/>
      <c r="H919" s="126"/>
      <c r="I919" s="126"/>
      <c r="J919" s="76"/>
      <c r="K919" s="76"/>
      <c r="L919" s="76"/>
      <c r="M919" s="76"/>
      <c r="N919" s="114"/>
    </row>
    <row r="920">
      <c r="C920" s="41"/>
      <c r="D920" s="142"/>
      <c r="E920" s="130"/>
      <c r="F920" s="128"/>
      <c r="G920" s="128"/>
      <c r="H920" s="128"/>
      <c r="I920" s="128"/>
      <c r="J920" s="81"/>
      <c r="K920" s="81"/>
      <c r="L920" s="81"/>
      <c r="M920" s="81"/>
      <c r="N920" s="82"/>
    </row>
    <row r="921">
      <c r="C921" s="41"/>
      <c r="D921" s="141"/>
      <c r="E921" s="118"/>
      <c r="F921" s="126"/>
      <c r="G921" s="126"/>
      <c r="H921" s="126"/>
      <c r="I921" s="126"/>
      <c r="J921" s="76"/>
      <c r="K921" s="76"/>
      <c r="L921" s="76"/>
      <c r="M921" s="76"/>
      <c r="N921" s="114"/>
    </row>
    <row r="922">
      <c r="C922" s="41"/>
      <c r="D922" s="142"/>
      <c r="E922" s="130"/>
      <c r="F922" s="128"/>
      <c r="G922" s="128"/>
      <c r="H922" s="128"/>
      <c r="I922" s="128"/>
      <c r="J922" s="81"/>
      <c r="K922" s="81"/>
      <c r="L922" s="81"/>
      <c r="M922" s="81"/>
      <c r="N922" s="82"/>
    </row>
    <row r="923">
      <c r="C923" s="41"/>
      <c r="D923" s="141"/>
      <c r="E923" s="118"/>
      <c r="F923" s="126"/>
      <c r="G923" s="126"/>
      <c r="H923" s="126"/>
      <c r="I923" s="126"/>
      <c r="J923" s="76"/>
      <c r="K923" s="76"/>
      <c r="L923" s="76"/>
      <c r="M923" s="76"/>
      <c r="N923" s="114"/>
    </row>
    <row r="924">
      <c r="C924" s="41"/>
      <c r="D924" s="142"/>
      <c r="E924" s="130"/>
      <c r="F924" s="128"/>
      <c r="G924" s="128"/>
      <c r="H924" s="128"/>
      <c r="I924" s="128"/>
      <c r="J924" s="81"/>
      <c r="K924" s="81"/>
      <c r="L924" s="81"/>
      <c r="M924" s="81"/>
      <c r="N924" s="82"/>
    </row>
    <row r="925">
      <c r="C925" s="41"/>
      <c r="D925" s="141"/>
      <c r="E925" s="118"/>
      <c r="F925" s="126"/>
      <c r="G925" s="126"/>
      <c r="H925" s="126"/>
      <c r="I925" s="126"/>
      <c r="J925" s="76"/>
      <c r="K925" s="76"/>
      <c r="L925" s="76"/>
      <c r="M925" s="76"/>
      <c r="N925" s="114"/>
    </row>
    <row r="926">
      <c r="C926" s="41"/>
      <c r="D926" s="142"/>
      <c r="E926" s="130"/>
      <c r="F926" s="128"/>
      <c r="G926" s="128"/>
      <c r="H926" s="128"/>
      <c r="I926" s="128"/>
      <c r="J926" s="81"/>
      <c r="K926" s="81"/>
      <c r="L926" s="81"/>
      <c r="M926" s="81"/>
      <c r="N926" s="82"/>
    </row>
    <row r="927">
      <c r="C927" s="41"/>
      <c r="D927" s="141"/>
      <c r="E927" s="118"/>
      <c r="F927" s="126"/>
      <c r="G927" s="126"/>
      <c r="H927" s="126"/>
      <c r="I927" s="126"/>
      <c r="J927" s="76"/>
      <c r="K927" s="76"/>
      <c r="L927" s="76"/>
      <c r="M927" s="76"/>
      <c r="N927" s="114"/>
    </row>
    <row r="928">
      <c r="C928" s="41"/>
      <c r="D928" s="142"/>
      <c r="E928" s="130"/>
      <c r="F928" s="128"/>
      <c r="G928" s="128"/>
      <c r="H928" s="128"/>
      <c r="I928" s="128"/>
      <c r="J928" s="81"/>
      <c r="K928" s="81"/>
      <c r="L928" s="81"/>
      <c r="M928" s="81"/>
      <c r="N928" s="82"/>
    </row>
    <row r="929">
      <c r="C929" s="41"/>
      <c r="D929" s="141"/>
      <c r="E929" s="118"/>
      <c r="F929" s="126"/>
      <c r="G929" s="126"/>
      <c r="H929" s="126"/>
      <c r="I929" s="126"/>
      <c r="J929" s="76"/>
      <c r="K929" s="76"/>
      <c r="L929" s="76"/>
      <c r="M929" s="76"/>
      <c r="N929" s="114"/>
    </row>
    <row r="930">
      <c r="C930" s="41"/>
      <c r="D930" s="142"/>
      <c r="E930" s="130"/>
      <c r="F930" s="128"/>
      <c r="G930" s="128"/>
      <c r="H930" s="128"/>
      <c r="I930" s="128"/>
      <c r="J930" s="81"/>
      <c r="K930" s="81"/>
      <c r="L930" s="81"/>
      <c r="M930" s="81"/>
      <c r="N930" s="82"/>
    </row>
    <row r="931">
      <c r="C931" s="41"/>
      <c r="D931" s="141"/>
      <c r="E931" s="118"/>
      <c r="F931" s="126"/>
      <c r="G931" s="126"/>
      <c r="H931" s="126"/>
      <c r="I931" s="126"/>
      <c r="J931" s="76"/>
      <c r="K931" s="76"/>
      <c r="L931" s="76"/>
      <c r="M931" s="76"/>
      <c r="N931" s="114"/>
    </row>
    <row r="932">
      <c r="C932" s="41"/>
      <c r="D932" s="142"/>
      <c r="E932" s="130"/>
      <c r="F932" s="128"/>
      <c r="G932" s="128"/>
      <c r="H932" s="128"/>
      <c r="I932" s="128"/>
      <c r="J932" s="81"/>
      <c r="K932" s="81"/>
      <c r="L932" s="81"/>
      <c r="M932" s="81"/>
      <c r="N932" s="82"/>
    </row>
    <row r="933">
      <c r="C933" s="41"/>
      <c r="D933" s="141"/>
      <c r="E933" s="118"/>
      <c r="F933" s="126"/>
      <c r="G933" s="126"/>
      <c r="H933" s="126"/>
      <c r="I933" s="126"/>
      <c r="J933" s="76"/>
      <c r="K933" s="76"/>
      <c r="L933" s="76"/>
      <c r="M933" s="76"/>
      <c r="N933" s="114"/>
    </row>
    <row r="934">
      <c r="C934" s="41"/>
      <c r="D934" s="142"/>
      <c r="E934" s="130"/>
      <c r="F934" s="128"/>
      <c r="G934" s="128"/>
      <c r="H934" s="128"/>
      <c r="I934" s="128"/>
      <c r="J934" s="81"/>
      <c r="K934" s="81"/>
      <c r="L934" s="81"/>
      <c r="M934" s="81"/>
      <c r="N934" s="82"/>
    </row>
    <row r="935">
      <c r="C935" s="41"/>
      <c r="D935" s="141"/>
      <c r="E935" s="118"/>
      <c r="F935" s="126"/>
      <c r="G935" s="126"/>
      <c r="H935" s="126"/>
      <c r="I935" s="126"/>
      <c r="J935" s="76"/>
      <c r="K935" s="76"/>
      <c r="L935" s="76"/>
      <c r="M935" s="76"/>
      <c r="N935" s="114"/>
    </row>
    <row r="936">
      <c r="C936" s="41"/>
      <c r="D936" s="142"/>
      <c r="E936" s="130"/>
      <c r="F936" s="128"/>
      <c r="G936" s="128"/>
      <c r="H936" s="128"/>
      <c r="I936" s="128"/>
      <c r="J936" s="81"/>
      <c r="K936" s="81"/>
      <c r="L936" s="81"/>
      <c r="M936" s="81"/>
      <c r="N936" s="82"/>
    </row>
    <row r="937">
      <c r="C937" s="41"/>
      <c r="D937" s="141"/>
      <c r="E937" s="118"/>
      <c r="F937" s="126"/>
      <c r="G937" s="126"/>
      <c r="H937" s="126"/>
      <c r="I937" s="126"/>
      <c r="J937" s="76"/>
      <c r="K937" s="76"/>
      <c r="L937" s="76"/>
      <c r="M937" s="76"/>
      <c r="N937" s="114"/>
    </row>
    <row r="938">
      <c r="C938" s="41"/>
      <c r="D938" s="142"/>
      <c r="E938" s="130"/>
      <c r="F938" s="128"/>
      <c r="G938" s="128"/>
      <c r="H938" s="128"/>
      <c r="I938" s="128"/>
      <c r="J938" s="81"/>
      <c r="K938" s="81"/>
      <c r="L938" s="81"/>
      <c r="M938" s="81"/>
      <c r="N938" s="82"/>
    </row>
    <row r="939">
      <c r="C939" s="41"/>
      <c r="D939" s="141"/>
      <c r="E939" s="118"/>
      <c r="F939" s="126"/>
      <c r="G939" s="126"/>
      <c r="H939" s="126"/>
      <c r="I939" s="126"/>
      <c r="J939" s="76"/>
      <c r="K939" s="76"/>
      <c r="L939" s="76"/>
      <c r="M939" s="76"/>
      <c r="N939" s="114"/>
    </row>
    <row r="940">
      <c r="C940" s="41"/>
      <c r="D940" s="142"/>
      <c r="E940" s="130"/>
      <c r="F940" s="128"/>
      <c r="G940" s="128"/>
      <c r="H940" s="128"/>
      <c r="I940" s="128"/>
      <c r="J940" s="81"/>
      <c r="K940" s="81"/>
      <c r="L940" s="81"/>
      <c r="M940" s="81"/>
      <c r="N940" s="82"/>
    </row>
    <row r="941">
      <c r="C941" s="41"/>
      <c r="D941" s="141"/>
      <c r="E941" s="118"/>
      <c r="F941" s="126"/>
      <c r="G941" s="126"/>
      <c r="H941" s="126"/>
      <c r="I941" s="126"/>
      <c r="J941" s="76"/>
      <c r="K941" s="76"/>
      <c r="L941" s="76"/>
      <c r="M941" s="76"/>
      <c r="N941" s="114"/>
    </row>
    <row r="942">
      <c r="C942" s="41"/>
      <c r="D942" s="142"/>
      <c r="E942" s="130"/>
      <c r="F942" s="128"/>
      <c r="G942" s="128"/>
      <c r="H942" s="128"/>
      <c r="I942" s="128"/>
      <c r="J942" s="81"/>
      <c r="K942" s="81"/>
      <c r="L942" s="81"/>
      <c r="M942" s="81"/>
      <c r="N942" s="82"/>
    </row>
    <row r="943">
      <c r="C943" s="41"/>
      <c r="D943" s="141"/>
      <c r="E943" s="118"/>
      <c r="F943" s="126"/>
      <c r="G943" s="126"/>
      <c r="H943" s="126"/>
      <c r="I943" s="126"/>
      <c r="J943" s="76"/>
      <c r="K943" s="76"/>
      <c r="L943" s="76"/>
      <c r="M943" s="76"/>
      <c r="N943" s="114"/>
    </row>
    <row r="944">
      <c r="C944" s="41"/>
      <c r="D944" s="142"/>
      <c r="E944" s="130"/>
      <c r="F944" s="128"/>
      <c r="G944" s="128"/>
      <c r="H944" s="128"/>
      <c r="I944" s="128"/>
      <c r="J944" s="81"/>
      <c r="K944" s="81"/>
      <c r="L944" s="81"/>
      <c r="M944" s="81"/>
      <c r="N944" s="82"/>
    </row>
    <row r="945">
      <c r="C945" s="41"/>
      <c r="D945" s="141"/>
      <c r="E945" s="118"/>
      <c r="F945" s="126"/>
      <c r="G945" s="126"/>
      <c r="H945" s="126"/>
      <c r="I945" s="126"/>
      <c r="J945" s="76"/>
      <c r="K945" s="76"/>
      <c r="L945" s="76"/>
      <c r="M945" s="76"/>
      <c r="N945" s="114"/>
    </row>
    <row r="946">
      <c r="C946" s="41"/>
      <c r="D946" s="142"/>
      <c r="E946" s="130"/>
      <c r="F946" s="128"/>
      <c r="G946" s="128"/>
      <c r="H946" s="128"/>
      <c r="I946" s="128"/>
      <c r="J946" s="81"/>
      <c r="K946" s="81"/>
      <c r="L946" s="81"/>
      <c r="M946" s="81"/>
      <c r="N946" s="82"/>
    </row>
    <row r="947">
      <c r="C947" s="41"/>
      <c r="D947" s="141"/>
      <c r="E947" s="118"/>
      <c r="F947" s="126"/>
      <c r="G947" s="126"/>
      <c r="H947" s="126"/>
      <c r="I947" s="126"/>
      <c r="J947" s="76"/>
      <c r="K947" s="76"/>
      <c r="L947" s="76"/>
      <c r="M947" s="76"/>
      <c r="N947" s="114"/>
    </row>
    <row r="948">
      <c r="C948" s="41"/>
      <c r="D948" s="142"/>
      <c r="E948" s="130"/>
      <c r="F948" s="128"/>
      <c r="G948" s="128"/>
      <c r="H948" s="128"/>
      <c r="I948" s="128"/>
      <c r="J948" s="81"/>
      <c r="K948" s="81"/>
      <c r="L948" s="81"/>
      <c r="M948" s="81"/>
      <c r="N948" s="82"/>
    </row>
    <row r="949">
      <c r="C949" s="41"/>
      <c r="D949" s="141"/>
      <c r="E949" s="118"/>
      <c r="F949" s="126"/>
      <c r="G949" s="126"/>
      <c r="H949" s="126"/>
      <c r="I949" s="126"/>
      <c r="J949" s="76"/>
      <c r="K949" s="76"/>
      <c r="L949" s="76"/>
      <c r="M949" s="76"/>
      <c r="N949" s="114"/>
    </row>
    <row r="950">
      <c r="C950" s="41"/>
      <c r="D950" s="142"/>
      <c r="E950" s="130"/>
      <c r="F950" s="128"/>
      <c r="G950" s="128"/>
      <c r="H950" s="128"/>
      <c r="I950" s="128"/>
      <c r="J950" s="81"/>
      <c r="K950" s="81"/>
      <c r="L950" s="81"/>
      <c r="M950" s="81"/>
      <c r="N950" s="82"/>
    </row>
    <row r="951">
      <c r="C951" s="41"/>
      <c r="D951" s="141"/>
      <c r="E951" s="118"/>
      <c r="F951" s="126"/>
      <c r="G951" s="126"/>
      <c r="H951" s="126"/>
      <c r="I951" s="126"/>
      <c r="J951" s="76"/>
      <c r="K951" s="76"/>
      <c r="L951" s="76"/>
      <c r="M951" s="76"/>
      <c r="N951" s="114"/>
    </row>
    <row r="952">
      <c r="C952" s="41"/>
      <c r="D952" s="142"/>
      <c r="E952" s="130"/>
      <c r="F952" s="128"/>
      <c r="G952" s="128"/>
      <c r="H952" s="128"/>
      <c r="I952" s="128"/>
      <c r="J952" s="81"/>
      <c r="K952" s="81"/>
      <c r="L952" s="81"/>
      <c r="M952" s="81"/>
      <c r="N952" s="82"/>
    </row>
    <row r="953">
      <c r="C953" s="41"/>
      <c r="D953" s="141"/>
      <c r="E953" s="118"/>
      <c r="F953" s="126"/>
      <c r="G953" s="126"/>
      <c r="H953" s="126"/>
      <c r="I953" s="126"/>
      <c r="J953" s="76"/>
      <c r="K953" s="76"/>
      <c r="L953" s="76"/>
      <c r="M953" s="76"/>
      <c r="N953" s="114"/>
    </row>
    <row r="954">
      <c r="C954" s="41"/>
      <c r="D954" s="142"/>
      <c r="E954" s="130"/>
      <c r="F954" s="128"/>
      <c r="G954" s="128"/>
      <c r="H954" s="128"/>
      <c r="I954" s="128"/>
      <c r="J954" s="81"/>
      <c r="K954" s="81"/>
      <c r="L954" s="81"/>
      <c r="M954" s="81"/>
      <c r="N954" s="82"/>
    </row>
    <row r="955">
      <c r="C955" s="41"/>
      <c r="D955" s="141"/>
      <c r="E955" s="118"/>
      <c r="F955" s="126"/>
      <c r="G955" s="126"/>
      <c r="H955" s="126"/>
      <c r="I955" s="126"/>
      <c r="J955" s="76"/>
      <c r="K955" s="76"/>
      <c r="L955" s="76"/>
      <c r="M955" s="76"/>
      <c r="N955" s="114"/>
    </row>
    <row r="956">
      <c r="C956" s="41"/>
      <c r="D956" s="142"/>
      <c r="E956" s="130"/>
      <c r="F956" s="128"/>
      <c r="G956" s="128"/>
      <c r="H956" s="128"/>
      <c r="I956" s="128"/>
      <c r="J956" s="81"/>
      <c r="K956" s="81"/>
      <c r="L956" s="81"/>
      <c r="M956" s="81"/>
      <c r="N956" s="82"/>
    </row>
    <row r="957">
      <c r="C957" s="41"/>
      <c r="D957" s="141"/>
      <c r="E957" s="118"/>
      <c r="F957" s="126"/>
      <c r="G957" s="126"/>
      <c r="H957" s="126"/>
      <c r="I957" s="126"/>
      <c r="J957" s="76"/>
      <c r="K957" s="76"/>
      <c r="L957" s="76"/>
      <c r="M957" s="76"/>
      <c r="N957" s="114"/>
    </row>
    <row r="958">
      <c r="C958" s="41"/>
      <c r="D958" s="142"/>
      <c r="E958" s="130"/>
      <c r="F958" s="128"/>
      <c r="G958" s="128"/>
      <c r="H958" s="128"/>
      <c r="I958" s="128"/>
      <c r="J958" s="81"/>
      <c r="K958" s="81"/>
      <c r="L958" s="81"/>
      <c r="M958" s="81"/>
      <c r="N958" s="82"/>
    </row>
    <row r="959">
      <c r="C959" s="41"/>
      <c r="D959" s="141"/>
      <c r="E959" s="118"/>
      <c r="F959" s="126"/>
      <c r="G959" s="126"/>
      <c r="H959" s="126"/>
      <c r="I959" s="126"/>
      <c r="J959" s="76"/>
      <c r="K959" s="76"/>
      <c r="L959" s="76"/>
      <c r="M959" s="76"/>
      <c r="N959" s="114"/>
    </row>
    <row r="960">
      <c r="C960" s="41"/>
      <c r="D960" s="142"/>
      <c r="E960" s="130"/>
      <c r="F960" s="128"/>
      <c r="G960" s="128"/>
      <c r="H960" s="128"/>
      <c r="I960" s="128"/>
      <c r="J960" s="81"/>
      <c r="K960" s="81"/>
      <c r="L960" s="81"/>
      <c r="M960" s="81"/>
      <c r="N960" s="82"/>
    </row>
    <row r="961">
      <c r="C961" s="41"/>
      <c r="D961" s="141"/>
      <c r="E961" s="118"/>
      <c r="F961" s="126"/>
      <c r="G961" s="126"/>
      <c r="H961" s="126"/>
      <c r="I961" s="126"/>
      <c r="J961" s="76"/>
      <c r="K961" s="76"/>
      <c r="L961" s="76"/>
      <c r="M961" s="76"/>
      <c r="N961" s="114"/>
    </row>
    <row r="962">
      <c r="C962" s="41"/>
      <c r="D962" s="142"/>
      <c r="E962" s="130"/>
      <c r="F962" s="128"/>
      <c r="G962" s="128"/>
      <c r="H962" s="128"/>
      <c r="I962" s="128"/>
      <c r="J962" s="81"/>
      <c r="K962" s="81"/>
      <c r="L962" s="81"/>
      <c r="M962" s="81"/>
      <c r="N962" s="82"/>
    </row>
    <row r="963">
      <c r="C963" s="41"/>
      <c r="D963" s="141"/>
      <c r="E963" s="118"/>
      <c r="F963" s="126"/>
      <c r="G963" s="126"/>
      <c r="H963" s="126"/>
      <c r="I963" s="126"/>
      <c r="J963" s="76"/>
      <c r="K963" s="76"/>
      <c r="L963" s="76"/>
      <c r="M963" s="76"/>
      <c r="N963" s="114"/>
    </row>
    <row r="964">
      <c r="C964" s="41"/>
      <c r="D964" s="142"/>
      <c r="E964" s="130"/>
      <c r="F964" s="128"/>
      <c r="G964" s="128"/>
      <c r="H964" s="128"/>
      <c r="I964" s="128"/>
      <c r="J964" s="81"/>
      <c r="K964" s="81"/>
      <c r="L964" s="81"/>
      <c r="M964" s="81"/>
      <c r="N964" s="82"/>
    </row>
    <row r="965">
      <c r="C965" s="41"/>
      <c r="D965" s="141"/>
      <c r="E965" s="118"/>
      <c r="F965" s="126"/>
      <c r="G965" s="126"/>
      <c r="H965" s="126"/>
      <c r="I965" s="126"/>
      <c r="J965" s="76"/>
      <c r="K965" s="76"/>
      <c r="L965" s="76"/>
      <c r="M965" s="76"/>
      <c r="N965" s="114"/>
    </row>
    <row r="966">
      <c r="C966" s="41"/>
      <c r="D966" s="142"/>
      <c r="E966" s="130"/>
      <c r="F966" s="128"/>
      <c r="G966" s="128"/>
      <c r="H966" s="128"/>
      <c r="I966" s="128"/>
      <c r="J966" s="81"/>
      <c r="K966" s="81"/>
      <c r="L966" s="81"/>
      <c r="M966" s="81"/>
      <c r="N966" s="82"/>
    </row>
    <row r="967">
      <c r="C967" s="41"/>
      <c r="D967" s="141"/>
      <c r="E967" s="118"/>
      <c r="F967" s="126"/>
      <c r="G967" s="126"/>
      <c r="H967" s="126"/>
      <c r="I967" s="126"/>
      <c r="J967" s="76"/>
      <c r="K967" s="76"/>
      <c r="L967" s="76"/>
      <c r="M967" s="76"/>
      <c r="N967" s="114"/>
    </row>
    <row r="968">
      <c r="C968" s="41"/>
      <c r="D968" s="142"/>
      <c r="E968" s="130"/>
      <c r="F968" s="128"/>
      <c r="G968" s="128"/>
      <c r="H968" s="128"/>
      <c r="I968" s="128"/>
      <c r="J968" s="81"/>
      <c r="K968" s="81"/>
      <c r="L968" s="81"/>
      <c r="M968" s="81"/>
      <c r="N968" s="82"/>
    </row>
    <row r="969">
      <c r="C969" s="41"/>
      <c r="D969" s="141"/>
      <c r="E969" s="118"/>
      <c r="F969" s="126"/>
      <c r="G969" s="126"/>
      <c r="H969" s="126"/>
      <c r="I969" s="126"/>
      <c r="J969" s="76"/>
      <c r="K969" s="76"/>
      <c r="L969" s="76"/>
      <c r="M969" s="76"/>
      <c r="N969" s="114"/>
    </row>
    <row r="970">
      <c r="C970" s="41"/>
      <c r="D970" s="142"/>
      <c r="E970" s="130"/>
      <c r="F970" s="128"/>
      <c r="G970" s="128"/>
      <c r="H970" s="128"/>
      <c r="I970" s="128"/>
      <c r="J970" s="81"/>
      <c r="K970" s="81"/>
      <c r="L970" s="81"/>
      <c r="M970" s="81"/>
      <c r="N970" s="82"/>
    </row>
    <row r="971">
      <c r="C971" s="41"/>
      <c r="D971" s="141"/>
      <c r="E971" s="118"/>
      <c r="F971" s="126"/>
      <c r="G971" s="126"/>
      <c r="H971" s="126"/>
      <c r="I971" s="126"/>
      <c r="J971" s="76"/>
      <c r="K971" s="76"/>
      <c r="L971" s="76"/>
      <c r="M971" s="76"/>
      <c r="N971" s="114"/>
    </row>
    <row r="972">
      <c r="C972" s="41"/>
      <c r="D972" s="142"/>
      <c r="E972" s="130"/>
      <c r="F972" s="128"/>
      <c r="G972" s="128"/>
      <c r="H972" s="128"/>
      <c r="I972" s="128"/>
      <c r="J972" s="81"/>
      <c r="K972" s="81"/>
      <c r="L972" s="81"/>
      <c r="M972" s="81"/>
      <c r="N972" s="82"/>
    </row>
    <row r="973">
      <c r="C973" s="41"/>
      <c r="D973" s="141"/>
      <c r="E973" s="118"/>
      <c r="F973" s="126"/>
      <c r="G973" s="126"/>
      <c r="H973" s="126"/>
      <c r="I973" s="126"/>
      <c r="J973" s="76"/>
      <c r="K973" s="76"/>
      <c r="L973" s="76"/>
      <c r="M973" s="76"/>
      <c r="N973" s="114"/>
    </row>
    <row r="974">
      <c r="C974" s="41"/>
      <c r="D974" s="142"/>
      <c r="E974" s="130"/>
      <c r="F974" s="128"/>
      <c r="G974" s="128"/>
      <c r="H974" s="128"/>
      <c r="I974" s="128"/>
      <c r="J974" s="81"/>
      <c r="K974" s="81"/>
      <c r="L974" s="81"/>
      <c r="M974" s="81"/>
      <c r="N974" s="82"/>
    </row>
    <row r="975">
      <c r="C975" s="41"/>
      <c r="D975" s="141"/>
      <c r="E975" s="118"/>
      <c r="F975" s="126"/>
      <c r="G975" s="126"/>
      <c r="H975" s="126"/>
      <c r="I975" s="126"/>
      <c r="J975" s="76"/>
      <c r="K975" s="76"/>
      <c r="L975" s="76"/>
      <c r="M975" s="76"/>
      <c r="N975" s="114"/>
    </row>
    <row r="976">
      <c r="C976" s="41"/>
      <c r="D976" s="142"/>
      <c r="E976" s="130"/>
      <c r="F976" s="128"/>
      <c r="G976" s="128"/>
      <c r="H976" s="128"/>
      <c r="I976" s="128"/>
      <c r="J976" s="81"/>
      <c r="K976" s="81"/>
      <c r="L976" s="81"/>
      <c r="M976" s="81"/>
      <c r="N976" s="82"/>
    </row>
    <row r="977">
      <c r="C977" s="41"/>
      <c r="D977" s="141"/>
      <c r="E977" s="118"/>
      <c r="F977" s="126"/>
      <c r="G977" s="126"/>
      <c r="H977" s="126"/>
      <c r="I977" s="126"/>
      <c r="J977" s="76"/>
      <c r="K977" s="76"/>
      <c r="L977" s="76"/>
      <c r="M977" s="76"/>
      <c r="N977" s="114"/>
    </row>
    <row r="978">
      <c r="C978" s="41"/>
      <c r="D978" s="142"/>
      <c r="E978" s="130"/>
      <c r="F978" s="128"/>
      <c r="G978" s="128"/>
      <c r="H978" s="128"/>
      <c r="I978" s="128"/>
      <c r="J978" s="81"/>
      <c r="K978" s="81"/>
      <c r="L978" s="81"/>
      <c r="M978" s="81"/>
      <c r="N978" s="82"/>
    </row>
    <row r="979">
      <c r="C979" s="41"/>
      <c r="D979" s="141"/>
      <c r="E979" s="118"/>
      <c r="F979" s="126"/>
      <c r="G979" s="126"/>
      <c r="H979" s="126"/>
      <c r="I979" s="126"/>
      <c r="J979" s="76"/>
      <c r="K979" s="76"/>
      <c r="L979" s="76"/>
      <c r="M979" s="76"/>
      <c r="N979" s="114"/>
    </row>
    <row r="980">
      <c r="C980" s="41"/>
      <c r="D980" s="142"/>
      <c r="E980" s="130"/>
      <c r="F980" s="128"/>
      <c r="G980" s="128"/>
      <c r="H980" s="128"/>
      <c r="I980" s="128"/>
      <c r="J980" s="81"/>
      <c r="K980" s="81"/>
      <c r="L980" s="81"/>
      <c r="M980" s="81"/>
      <c r="N980" s="82"/>
    </row>
    <row r="981">
      <c r="C981" s="41"/>
      <c r="D981" s="141"/>
      <c r="E981" s="118"/>
      <c r="F981" s="126"/>
      <c r="G981" s="126"/>
      <c r="H981" s="126"/>
      <c r="I981" s="126"/>
      <c r="J981" s="76"/>
      <c r="K981" s="76"/>
      <c r="L981" s="76"/>
      <c r="M981" s="76"/>
      <c r="N981" s="114"/>
    </row>
    <row r="982">
      <c r="C982" s="41"/>
      <c r="D982" s="142"/>
      <c r="E982" s="130"/>
      <c r="F982" s="128"/>
      <c r="G982" s="128"/>
      <c r="H982" s="128"/>
      <c r="I982" s="128"/>
      <c r="J982" s="81"/>
      <c r="K982" s="81"/>
      <c r="L982" s="81"/>
      <c r="M982" s="81"/>
      <c r="N982" s="82"/>
    </row>
    <row r="983">
      <c r="C983" s="41"/>
      <c r="D983" s="141"/>
      <c r="E983" s="118"/>
      <c r="F983" s="126"/>
      <c r="G983" s="126"/>
      <c r="H983" s="126"/>
      <c r="I983" s="126"/>
      <c r="J983" s="76"/>
      <c r="K983" s="76"/>
      <c r="L983" s="76"/>
      <c r="M983" s="76"/>
      <c r="N983" s="114"/>
    </row>
    <row r="984">
      <c r="C984" s="41"/>
      <c r="D984" s="142"/>
      <c r="E984" s="130"/>
      <c r="F984" s="128"/>
      <c r="G984" s="128"/>
      <c r="H984" s="128"/>
      <c r="I984" s="128"/>
      <c r="J984" s="81"/>
      <c r="K984" s="81"/>
      <c r="L984" s="81"/>
      <c r="M984" s="81"/>
      <c r="N984" s="82"/>
    </row>
    <row r="985">
      <c r="C985" s="41"/>
      <c r="D985" s="141"/>
      <c r="E985" s="118"/>
      <c r="F985" s="126"/>
      <c r="G985" s="126"/>
      <c r="H985" s="126"/>
      <c r="I985" s="126"/>
      <c r="J985" s="76"/>
      <c r="K985" s="76"/>
      <c r="L985" s="76"/>
      <c r="M985" s="76"/>
      <c r="N985" s="114"/>
    </row>
    <row r="986">
      <c r="C986" s="41"/>
      <c r="D986" s="142"/>
      <c r="E986" s="130"/>
      <c r="F986" s="128"/>
      <c r="G986" s="128"/>
      <c r="H986" s="128"/>
      <c r="I986" s="128"/>
      <c r="J986" s="81"/>
      <c r="K986" s="81"/>
      <c r="L986" s="81"/>
      <c r="M986" s="81"/>
      <c r="N986" s="82"/>
    </row>
    <row r="987">
      <c r="C987" s="41"/>
      <c r="D987" s="141"/>
      <c r="E987" s="118"/>
      <c r="F987" s="126"/>
      <c r="G987" s="126"/>
      <c r="H987" s="126"/>
      <c r="I987" s="126"/>
      <c r="J987" s="76"/>
      <c r="K987" s="76"/>
      <c r="L987" s="76"/>
      <c r="M987" s="76"/>
      <c r="N987" s="114"/>
    </row>
    <row r="988">
      <c r="C988" s="41"/>
      <c r="D988" s="142"/>
      <c r="E988" s="130"/>
      <c r="F988" s="128"/>
      <c r="G988" s="128"/>
      <c r="H988" s="128"/>
      <c r="I988" s="128"/>
      <c r="J988" s="81"/>
      <c r="K988" s="81"/>
      <c r="L988" s="81"/>
      <c r="M988" s="81"/>
      <c r="N988" s="82"/>
    </row>
    <row r="989">
      <c r="C989" s="41"/>
      <c r="D989" s="141"/>
      <c r="E989" s="118"/>
      <c r="F989" s="126"/>
      <c r="G989" s="126"/>
      <c r="H989" s="126"/>
      <c r="I989" s="126"/>
      <c r="J989" s="76"/>
      <c r="K989" s="76"/>
      <c r="L989" s="76"/>
      <c r="M989" s="76"/>
      <c r="N989" s="114"/>
    </row>
    <row r="990">
      <c r="C990" s="41"/>
      <c r="D990" s="142"/>
      <c r="E990" s="130"/>
      <c r="F990" s="128"/>
      <c r="G990" s="128"/>
      <c r="H990" s="128"/>
      <c r="I990" s="128"/>
      <c r="J990" s="81"/>
      <c r="K990" s="81"/>
      <c r="L990" s="81"/>
      <c r="M990" s="81"/>
      <c r="N990" s="82"/>
    </row>
    <row r="991">
      <c r="C991" s="41"/>
      <c r="D991" s="141"/>
      <c r="E991" s="118"/>
      <c r="F991" s="126"/>
      <c r="G991" s="126"/>
      <c r="H991" s="126"/>
      <c r="I991" s="126"/>
      <c r="J991" s="76"/>
      <c r="K991" s="76"/>
      <c r="L991" s="76"/>
      <c r="M991" s="76"/>
      <c r="N991" s="114"/>
    </row>
    <row r="992">
      <c r="C992" s="41"/>
      <c r="D992" s="142"/>
      <c r="E992" s="130"/>
      <c r="F992" s="128"/>
      <c r="G992" s="128"/>
      <c r="H992" s="128"/>
      <c r="I992" s="128"/>
      <c r="J992" s="81"/>
      <c r="K992" s="81"/>
      <c r="L992" s="81"/>
      <c r="M992" s="81"/>
      <c r="N992" s="82"/>
    </row>
    <row r="993">
      <c r="C993" s="41"/>
      <c r="D993" s="141"/>
      <c r="E993" s="118"/>
      <c r="F993" s="126"/>
      <c r="G993" s="126"/>
      <c r="H993" s="126"/>
      <c r="I993" s="126"/>
      <c r="J993" s="76"/>
      <c r="K993" s="76"/>
      <c r="L993" s="76"/>
      <c r="M993" s="76"/>
      <c r="N993" s="114"/>
    </row>
    <row r="994">
      <c r="C994" s="41"/>
      <c r="D994" s="142"/>
      <c r="E994" s="130"/>
      <c r="F994" s="128"/>
      <c r="G994" s="128"/>
      <c r="H994" s="128"/>
      <c r="I994" s="128"/>
      <c r="J994" s="81"/>
      <c r="K994" s="81"/>
      <c r="L994" s="81"/>
      <c r="M994" s="81"/>
      <c r="N994" s="82"/>
    </row>
    <row r="995">
      <c r="C995" s="41"/>
      <c r="D995" s="141"/>
      <c r="E995" s="118"/>
      <c r="F995" s="126"/>
      <c r="G995" s="126"/>
      <c r="H995" s="126"/>
      <c r="I995" s="126"/>
      <c r="J995" s="76"/>
      <c r="K995" s="76"/>
      <c r="L995" s="76"/>
      <c r="M995" s="76"/>
      <c r="N995" s="114"/>
    </row>
    <row r="996">
      <c r="C996" s="41"/>
      <c r="D996" s="142"/>
      <c r="E996" s="130"/>
      <c r="F996" s="128"/>
      <c r="G996" s="128"/>
      <c r="H996" s="128"/>
      <c r="I996" s="128"/>
      <c r="J996" s="81"/>
      <c r="K996" s="81"/>
      <c r="L996" s="81"/>
      <c r="M996" s="81"/>
      <c r="N996" s="82"/>
    </row>
    <row r="997">
      <c r="C997" s="41"/>
      <c r="D997" s="141"/>
      <c r="E997" s="118"/>
      <c r="F997" s="126"/>
      <c r="G997" s="126"/>
      <c r="H997" s="126"/>
      <c r="I997" s="126"/>
      <c r="J997" s="76"/>
      <c r="K997" s="76"/>
      <c r="L997" s="76"/>
      <c r="M997" s="76"/>
      <c r="N997" s="114"/>
    </row>
    <row r="998">
      <c r="C998" s="41"/>
      <c r="D998" s="142"/>
      <c r="E998" s="130"/>
      <c r="F998" s="128"/>
      <c r="G998" s="128"/>
      <c r="H998" s="128"/>
      <c r="I998" s="128"/>
      <c r="J998" s="81"/>
      <c r="K998" s="81"/>
      <c r="L998" s="81"/>
      <c r="M998" s="81"/>
      <c r="N998" s="82"/>
    </row>
    <row r="999">
      <c r="C999" s="41"/>
      <c r="D999" s="141"/>
      <c r="E999" s="118"/>
      <c r="F999" s="126"/>
      <c r="G999" s="126"/>
      <c r="H999" s="126"/>
      <c r="I999" s="126"/>
      <c r="J999" s="76"/>
      <c r="K999" s="76"/>
      <c r="L999" s="76"/>
      <c r="M999" s="76"/>
      <c r="N999" s="114"/>
    </row>
    <row r="1000">
      <c r="C1000" s="41"/>
      <c r="D1000" s="142"/>
      <c r="E1000" s="130"/>
      <c r="F1000" s="128"/>
      <c r="G1000" s="128"/>
      <c r="H1000" s="128"/>
      <c r="I1000" s="128"/>
      <c r="J1000" s="81"/>
      <c r="K1000" s="81"/>
      <c r="L1000" s="81"/>
      <c r="M1000" s="81"/>
      <c r="N1000" s="82"/>
    </row>
    <row r="1001">
      <c r="C1001" s="41"/>
      <c r="D1001" s="141"/>
      <c r="E1001" s="118"/>
      <c r="F1001" s="126"/>
      <c r="G1001" s="126"/>
      <c r="H1001" s="126"/>
      <c r="I1001" s="126"/>
      <c r="J1001" s="76"/>
      <c r="K1001" s="76"/>
      <c r="L1001" s="76"/>
      <c r="M1001" s="76"/>
      <c r="N1001" s="114"/>
    </row>
    <row r="1002">
      <c r="C1002" s="41"/>
      <c r="D1002" s="142"/>
      <c r="E1002" s="130"/>
      <c r="F1002" s="128"/>
      <c r="G1002" s="128"/>
      <c r="H1002" s="128"/>
      <c r="I1002" s="128"/>
      <c r="J1002" s="81"/>
      <c r="K1002" s="81"/>
      <c r="L1002" s="81"/>
      <c r="M1002" s="81"/>
      <c r="N1002" s="82"/>
    </row>
    <row r="1003">
      <c r="C1003" s="41"/>
      <c r="D1003" s="141"/>
      <c r="E1003" s="118"/>
      <c r="F1003" s="126"/>
      <c r="G1003" s="126"/>
      <c r="H1003" s="126"/>
      <c r="I1003" s="126"/>
      <c r="J1003" s="76"/>
      <c r="K1003" s="76"/>
      <c r="L1003" s="76"/>
      <c r="M1003" s="76"/>
      <c r="N1003" s="114"/>
    </row>
    <row r="1004">
      <c r="C1004" s="41"/>
      <c r="D1004" s="142"/>
      <c r="E1004" s="130"/>
      <c r="F1004" s="128"/>
      <c r="G1004" s="128"/>
      <c r="H1004" s="128"/>
      <c r="I1004" s="128"/>
      <c r="J1004" s="81"/>
      <c r="K1004" s="81"/>
      <c r="L1004" s="81"/>
      <c r="M1004" s="81"/>
      <c r="N1004" s="82"/>
    </row>
    <row r="1005">
      <c r="C1005" s="41"/>
      <c r="D1005" s="141"/>
      <c r="E1005" s="118"/>
      <c r="F1005" s="126"/>
      <c r="G1005" s="126"/>
      <c r="H1005" s="126"/>
      <c r="I1005" s="126"/>
      <c r="J1005" s="76"/>
      <c r="K1005" s="76"/>
      <c r="L1005" s="76"/>
      <c r="M1005" s="76"/>
      <c r="N1005" s="114"/>
    </row>
    <row r="1006">
      <c r="C1006" s="41"/>
      <c r="D1006" s="142"/>
      <c r="E1006" s="130"/>
      <c r="F1006" s="128"/>
      <c r="G1006" s="128"/>
      <c r="H1006" s="128"/>
      <c r="I1006" s="128"/>
      <c r="J1006" s="81"/>
      <c r="K1006" s="81"/>
      <c r="L1006" s="81"/>
      <c r="M1006" s="81"/>
      <c r="N1006" s="82"/>
    </row>
    <row r="1007">
      <c r="C1007" s="41"/>
      <c r="D1007" s="141"/>
      <c r="E1007" s="118"/>
      <c r="F1007" s="126"/>
      <c r="G1007" s="126"/>
      <c r="H1007" s="126"/>
      <c r="I1007" s="126"/>
      <c r="J1007" s="76"/>
      <c r="K1007" s="76"/>
      <c r="L1007" s="76"/>
      <c r="M1007" s="76"/>
      <c r="N1007" s="114"/>
    </row>
    <row r="1008">
      <c r="C1008" s="41"/>
      <c r="D1008" s="142"/>
      <c r="E1008" s="130"/>
      <c r="F1008" s="128"/>
      <c r="G1008" s="128"/>
      <c r="H1008" s="128"/>
      <c r="I1008" s="128"/>
      <c r="J1008" s="81"/>
      <c r="K1008" s="81"/>
      <c r="L1008" s="81"/>
      <c r="M1008" s="81"/>
      <c r="N1008" s="82"/>
    </row>
    <row r="1009">
      <c r="C1009" s="41"/>
      <c r="D1009" s="141"/>
      <c r="E1009" s="118"/>
      <c r="F1009" s="126"/>
      <c r="G1009" s="126"/>
      <c r="H1009" s="126"/>
      <c r="I1009" s="126"/>
      <c r="J1009" s="76"/>
      <c r="K1009" s="76"/>
      <c r="L1009" s="76"/>
      <c r="M1009" s="76"/>
      <c r="N1009" s="114"/>
    </row>
    <row r="1010">
      <c r="C1010" s="41"/>
      <c r="D1010" s="142"/>
      <c r="E1010" s="130"/>
      <c r="F1010" s="128"/>
      <c r="G1010" s="128"/>
      <c r="H1010" s="128"/>
      <c r="I1010" s="128"/>
      <c r="J1010" s="81"/>
      <c r="K1010" s="81"/>
      <c r="L1010" s="81"/>
      <c r="M1010" s="81"/>
      <c r="N1010" s="82"/>
    </row>
    <row r="1011">
      <c r="C1011" s="41"/>
      <c r="D1011" s="141"/>
      <c r="E1011" s="118"/>
      <c r="F1011" s="126"/>
      <c r="G1011" s="126"/>
      <c r="H1011" s="126"/>
      <c r="I1011" s="126"/>
      <c r="J1011" s="76"/>
      <c r="K1011" s="76"/>
      <c r="L1011" s="76"/>
      <c r="M1011" s="76"/>
      <c r="N1011" s="114"/>
    </row>
    <row r="1012">
      <c r="C1012" s="41"/>
      <c r="D1012" s="142"/>
      <c r="E1012" s="130"/>
      <c r="F1012" s="128"/>
      <c r="G1012" s="128"/>
      <c r="H1012" s="128"/>
      <c r="I1012" s="128"/>
      <c r="J1012" s="81"/>
      <c r="K1012" s="81"/>
      <c r="L1012" s="81"/>
      <c r="M1012" s="81"/>
      <c r="N1012" s="82"/>
    </row>
    <row r="1013">
      <c r="C1013" s="41"/>
      <c r="D1013" s="141"/>
      <c r="E1013" s="118"/>
      <c r="F1013" s="126"/>
      <c r="G1013" s="126"/>
      <c r="H1013" s="126"/>
      <c r="I1013" s="126"/>
      <c r="J1013" s="76"/>
      <c r="K1013" s="76"/>
      <c r="L1013" s="76"/>
      <c r="M1013" s="76"/>
      <c r="N1013" s="114"/>
    </row>
    <row r="1014">
      <c r="C1014" s="41"/>
      <c r="D1014" s="142"/>
      <c r="E1014" s="130"/>
      <c r="F1014" s="128"/>
      <c r="G1014" s="128"/>
      <c r="H1014" s="128"/>
      <c r="I1014" s="128"/>
      <c r="J1014" s="81"/>
      <c r="K1014" s="81"/>
      <c r="L1014" s="81"/>
      <c r="M1014" s="81"/>
      <c r="N1014" s="82"/>
    </row>
    <row r="1015">
      <c r="C1015" s="41"/>
      <c r="D1015" s="141"/>
      <c r="E1015" s="118"/>
      <c r="F1015" s="126"/>
      <c r="G1015" s="126"/>
      <c r="H1015" s="126"/>
      <c r="I1015" s="126"/>
      <c r="J1015" s="76"/>
      <c r="K1015" s="76"/>
      <c r="L1015" s="76"/>
      <c r="M1015" s="76"/>
      <c r="N1015" s="114"/>
    </row>
    <row r="1016">
      <c r="C1016" s="41"/>
      <c r="D1016" s="142"/>
      <c r="E1016" s="130"/>
      <c r="F1016" s="128"/>
      <c r="G1016" s="128"/>
      <c r="H1016" s="128"/>
      <c r="I1016" s="128"/>
      <c r="J1016" s="81"/>
      <c r="K1016" s="81"/>
      <c r="L1016" s="81"/>
      <c r="M1016" s="81"/>
      <c r="N1016" s="82"/>
    </row>
    <row r="1017">
      <c r="C1017" s="41"/>
      <c r="D1017" s="141"/>
      <c r="E1017" s="118"/>
      <c r="F1017" s="126"/>
      <c r="G1017" s="126"/>
      <c r="H1017" s="126"/>
      <c r="I1017" s="126"/>
      <c r="J1017" s="76"/>
      <c r="K1017" s="76"/>
      <c r="L1017" s="76"/>
      <c r="M1017" s="76"/>
      <c r="N1017" s="114"/>
    </row>
    <row r="1018">
      <c r="C1018" s="41"/>
      <c r="D1018" s="142"/>
      <c r="E1018" s="130"/>
      <c r="F1018" s="128"/>
      <c r="G1018" s="128"/>
      <c r="H1018" s="128"/>
      <c r="I1018" s="128"/>
      <c r="J1018" s="81"/>
      <c r="K1018" s="81"/>
      <c r="L1018" s="81"/>
      <c r="M1018" s="81"/>
      <c r="N1018" s="82"/>
    </row>
    <row r="1019">
      <c r="C1019" s="41"/>
      <c r="D1019" s="141"/>
      <c r="E1019" s="118"/>
      <c r="F1019" s="126"/>
      <c r="G1019" s="126"/>
      <c r="H1019" s="126"/>
      <c r="I1019" s="126"/>
      <c r="J1019" s="76"/>
      <c r="K1019" s="76"/>
      <c r="L1019" s="76"/>
      <c r="M1019" s="76"/>
      <c r="N1019" s="114"/>
    </row>
    <row r="1020">
      <c r="C1020" s="41"/>
      <c r="D1020" s="142"/>
      <c r="E1020" s="130"/>
      <c r="F1020" s="128"/>
      <c r="G1020" s="128"/>
      <c r="H1020" s="128"/>
      <c r="I1020" s="128"/>
      <c r="J1020" s="81"/>
      <c r="K1020" s="81"/>
      <c r="L1020" s="81"/>
      <c r="M1020" s="81"/>
      <c r="N1020" s="82"/>
    </row>
    <row r="1021">
      <c r="C1021" s="41"/>
      <c r="D1021" s="141"/>
      <c r="E1021" s="118"/>
      <c r="F1021" s="126"/>
      <c r="G1021" s="126"/>
      <c r="H1021" s="126"/>
      <c r="I1021" s="126"/>
      <c r="J1021" s="76"/>
      <c r="K1021" s="76"/>
      <c r="L1021" s="76"/>
      <c r="M1021" s="76"/>
      <c r="N1021" s="114"/>
    </row>
    <row r="1022">
      <c r="C1022" s="41"/>
      <c r="D1022" s="142"/>
      <c r="E1022" s="130"/>
      <c r="F1022" s="128"/>
      <c r="G1022" s="128"/>
      <c r="H1022" s="128"/>
      <c r="I1022" s="128"/>
      <c r="J1022" s="81"/>
      <c r="K1022" s="81"/>
      <c r="L1022" s="81"/>
      <c r="M1022" s="81"/>
      <c r="N1022" s="82"/>
    </row>
    <row r="1023">
      <c r="C1023" s="41"/>
      <c r="D1023" s="141"/>
      <c r="E1023" s="118"/>
      <c r="F1023" s="126"/>
      <c r="G1023" s="126"/>
      <c r="H1023" s="126"/>
      <c r="I1023" s="126"/>
      <c r="J1023" s="76"/>
      <c r="K1023" s="76"/>
      <c r="L1023" s="76"/>
      <c r="M1023" s="76"/>
      <c r="N1023" s="114"/>
    </row>
    <row r="1024">
      <c r="C1024" s="41"/>
      <c r="D1024" s="142"/>
      <c r="E1024" s="130"/>
      <c r="F1024" s="128"/>
      <c r="G1024" s="128"/>
      <c r="H1024" s="128"/>
      <c r="I1024" s="128"/>
      <c r="J1024" s="81"/>
      <c r="K1024" s="81"/>
      <c r="L1024" s="81"/>
      <c r="M1024" s="81"/>
      <c r="N1024" s="82"/>
    </row>
    <row r="1025">
      <c r="C1025" s="41"/>
      <c r="D1025" s="141"/>
      <c r="E1025" s="118"/>
      <c r="F1025" s="126"/>
      <c r="G1025" s="126"/>
      <c r="H1025" s="126"/>
      <c r="I1025" s="126"/>
      <c r="J1025" s="76"/>
      <c r="K1025" s="76"/>
      <c r="L1025" s="76"/>
      <c r="M1025" s="76"/>
      <c r="N1025" s="114"/>
    </row>
    <row r="1026">
      <c r="C1026" s="41"/>
      <c r="D1026" s="142"/>
      <c r="E1026" s="130"/>
      <c r="F1026" s="128"/>
      <c r="G1026" s="128"/>
      <c r="H1026" s="128"/>
      <c r="I1026" s="128"/>
      <c r="J1026" s="81"/>
      <c r="K1026" s="81"/>
      <c r="L1026" s="81"/>
      <c r="M1026" s="81"/>
      <c r="N1026" s="82"/>
    </row>
    <row r="1027">
      <c r="C1027" s="41"/>
      <c r="D1027" s="141"/>
      <c r="E1027" s="118"/>
      <c r="F1027" s="126"/>
      <c r="G1027" s="126"/>
      <c r="H1027" s="126"/>
      <c r="I1027" s="126"/>
      <c r="J1027" s="76"/>
      <c r="K1027" s="76"/>
      <c r="L1027" s="76"/>
      <c r="M1027" s="76"/>
      <c r="N1027" s="114"/>
    </row>
    <row r="1028">
      <c r="C1028" s="41"/>
      <c r="D1028" s="142"/>
      <c r="E1028" s="130"/>
      <c r="F1028" s="128"/>
      <c r="G1028" s="128"/>
      <c r="H1028" s="128"/>
      <c r="I1028" s="128"/>
      <c r="J1028" s="81"/>
      <c r="K1028" s="81"/>
      <c r="L1028" s="81"/>
      <c r="M1028" s="81"/>
      <c r="N1028" s="82"/>
    </row>
    <row r="1029">
      <c r="C1029" s="41"/>
      <c r="D1029" s="141"/>
      <c r="E1029" s="118"/>
      <c r="F1029" s="126"/>
      <c r="G1029" s="126"/>
      <c r="H1029" s="126"/>
      <c r="I1029" s="126"/>
      <c r="J1029" s="76"/>
      <c r="K1029" s="76"/>
      <c r="L1029" s="76"/>
      <c r="M1029" s="76"/>
      <c r="N1029" s="114"/>
    </row>
    <row r="1030">
      <c r="C1030" s="41"/>
      <c r="D1030" s="142"/>
      <c r="E1030" s="130"/>
      <c r="F1030" s="128"/>
      <c r="G1030" s="128"/>
      <c r="H1030" s="128"/>
      <c r="I1030" s="128"/>
      <c r="J1030" s="81"/>
      <c r="K1030" s="81"/>
      <c r="L1030" s="81"/>
      <c r="M1030" s="81"/>
      <c r="N1030" s="82"/>
    </row>
    <row r="1031">
      <c r="C1031" s="41"/>
      <c r="D1031" s="141"/>
      <c r="E1031" s="118"/>
      <c r="F1031" s="126"/>
      <c r="G1031" s="126"/>
      <c r="H1031" s="126"/>
      <c r="I1031" s="126"/>
      <c r="J1031" s="76"/>
      <c r="K1031" s="76"/>
      <c r="L1031" s="76"/>
      <c r="M1031" s="76"/>
      <c r="N1031" s="114"/>
    </row>
    <row r="1032">
      <c r="C1032" s="41"/>
      <c r="D1032" s="142"/>
      <c r="E1032" s="130"/>
      <c r="F1032" s="128"/>
      <c r="G1032" s="128"/>
      <c r="H1032" s="128"/>
      <c r="I1032" s="128"/>
      <c r="J1032" s="81"/>
      <c r="K1032" s="81"/>
      <c r="L1032" s="81"/>
      <c r="M1032" s="81"/>
      <c r="N1032" s="82"/>
    </row>
    <row r="1033">
      <c r="C1033" s="41"/>
      <c r="D1033" s="141"/>
      <c r="E1033" s="118"/>
      <c r="F1033" s="126"/>
      <c r="G1033" s="126"/>
      <c r="H1033" s="126"/>
      <c r="I1033" s="126"/>
      <c r="J1033" s="76"/>
      <c r="K1033" s="76"/>
      <c r="L1033" s="76"/>
      <c r="M1033" s="76"/>
      <c r="N1033" s="114"/>
    </row>
    <row r="1034">
      <c r="C1034" s="41"/>
      <c r="D1034" s="142"/>
      <c r="E1034" s="130"/>
      <c r="F1034" s="128"/>
      <c r="G1034" s="128"/>
      <c r="H1034" s="128"/>
      <c r="I1034" s="128"/>
      <c r="J1034" s="81"/>
      <c r="K1034" s="81"/>
      <c r="L1034" s="81"/>
      <c r="M1034" s="81"/>
      <c r="N1034" s="82"/>
    </row>
    <row r="1035">
      <c r="C1035" s="41"/>
      <c r="D1035" s="141"/>
      <c r="E1035" s="118"/>
      <c r="F1035" s="126"/>
      <c r="G1035" s="126"/>
      <c r="H1035" s="126"/>
      <c r="I1035" s="126"/>
      <c r="J1035" s="76"/>
      <c r="K1035" s="76"/>
      <c r="L1035" s="76"/>
      <c r="M1035" s="76"/>
      <c r="N1035" s="114"/>
    </row>
    <row r="1036">
      <c r="C1036" s="41"/>
      <c r="D1036" s="142"/>
      <c r="E1036" s="130"/>
      <c r="F1036" s="128"/>
      <c r="G1036" s="128"/>
      <c r="H1036" s="128"/>
      <c r="I1036" s="128"/>
      <c r="J1036" s="81"/>
      <c r="K1036" s="81"/>
      <c r="L1036" s="81"/>
      <c r="M1036" s="81"/>
      <c r="N1036" s="82"/>
    </row>
    <row r="1037">
      <c r="C1037" s="41"/>
      <c r="D1037" s="141"/>
      <c r="E1037" s="118"/>
      <c r="F1037" s="126"/>
      <c r="G1037" s="126"/>
      <c r="H1037" s="126"/>
      <c r="I1037" s="126"/>
      <c r="J1037" s="76"/>
      <c r="K1037" s="76"/>
      <c r="L1037" s="76"/>
      <c r="M1037" s="76"/>
      <c r="N1037" s="114"/>
    </row>
    <row r="1038">
      <c r="C1038" s="41"/>
      <c r="D1038" s="142"/>
      <c r="E1038" s="130"/>
      <c r="F1038" s="128"/>
      <c r="G1038" s="128"/>
      <c r="H1038" s="128"/>
      <c r="I1038" s="128"/>
      <c r="J1038" s="81"/>
      <c r="K1038" s="81"/>
      <c r="L1038" s="81"/>
      <c r="M1038" s="81"/>
      <c r="N1038" s="82"/>
    </row>
    <row r="1039">
      <c r="C1039" s="41"/>
      <c r="D1039" s="141"/>
      <c r="E1039" s="118"/>
      <c r="F1039" s="126"/>
      <c r="G1039" s="126"/>
      <c r="H1039" s="126"/>
      <c r="I1039" s="126"/>
      <c r="J1039" s="76"/>
      <c r="K1039" s="76"/>
      <c r="L1039" s="76"/>
      <c r="M1039" s="76"/>
      <c r="N1039" s="114"/>
    </row>
    <row r="1040">
      <c r="C1040" s="41"/>
      <c r="D1040" s="142"/>
      <c r="E1040" s="130"/>
      <c r="F1040" s="128"/>
      <c r="G1040" s="128"/>
      <c r="H1040" s="128"/>
      <c r="I1040" s="128"/>
      <c r="J1040" s="81"/>
      <c r="K1040" s="81"/>
      <c r="L1040" s="81"/>
      <c r="M1040" s="81"/>
      <c r="N1040" s="82"/>
    </row>
    <row r="1041">
      <c r="C1041" s="41"/>
      <c r="D1041" s="141"/>
      <c r="E1041" s="118"/>
      <c r="F1041" s="126"/>
      <c r="G1041" s="126"/>
      <c r="H1041" s="126"/>
      <c r="I1041" s="126"/>
      <c r="J1041" s="76"/>
      <c r="K1041" s="76"/>
      <c r="L1041" s="76"/>
      <c r="M1041" s="76"/>
      <c r="N1041" s="114"/>
    </row>
    <row r="1042">
      <c r="C1042" s="41"/>
      <c r="D1042" s="142"/>
      <c r="E1042" s="130"/>
      <c r="F1042" s="128"/>
      <c r="G1042" s="128"/>
      <c r="H1042" s="128"/>
      <c r="I1042" s="128"/>
      <c r="J1042" s="81"/>
      <c r="K1042" s="81"/>
      <c r="L1042" s="81"/>
      <c r="M1042" s="81"/>
      <c r="N1042" s="82"/>
    </row>
    <row r="1043">
      <c r="C1043" s="41"/>
      <c r="D1043" s="141"/>
      <c r="E1043" s="118"/>
      <c r="F1043" s="126"/>
      <c r="G1043" s="126"/>
      <c r="H1043" s="126"/>
      <c r="I1043" s="126"/>
      <c r="J1043" s="76"/>
      <c r="K1043" s="76"/>
      <c r="L1043" s="76"/>
      <c r="M1043" s="76"/>
      <c r="N1043" s="114"/>
    </row>
    <row r="1044">
      <c r="C1044" s="41"/>
      <c r="D1044" s="142"/>
      <c r="E1044" s="130"/>
      <c r="F1044" s="128"/>
      <c r="G1044" s="128"/>
      <c r="H1044" s="128"/>
      <c r="I1044" s="128"/>
      <c r="J1044" s="81"/>
      <c r="K1044" s="81"/>
      <c r="L1044" s="81"/>
      <c r="M1044" s="81"/>
      <c r="N1044" s="82"/>
    </row>
    <row r="1045">
      <c r="C1045" s="41"/>
      <c r="D1045" s="141"/>
      <c r="E1045" s="118"/>
      <c r="F1045" s="126"/>
      <c r="G1045" s="126"/>
      <c r="H1045" s="126"/>
      <c r="I1045" s="126"/>
      <c r="J1045" s="76"/>
      <c r="K1045" s="76"/>
      <c r="L1045" s="76"/>
      <c r="M1045" s="76"/>
      <c r="N1045" s="114"/>
    </row>
    <row r="1046">
      <c r="C1046" s="41"/>
      <c r="D1046" s="142"/>
      <c r="E1046" s="130"/>
      <c r="F1046" s="128"/>
      <c r="G1046" s="128"/>
      <c r="H1046" s="128"/>
      <c r="I1046" s="128"/>
      <c r="J1046" s="81"/>
      <c r="K1046" s="81"/>
      <c r="L1046" s="81"/>
      <c r="M1046" s="81"/>
      <c r="N1046" s="82"/>
    </row>
    <row r="1047">
      <c r="C1047" s="41"/>
      <c r="D1047" s="141"/>
      <c r="E1047" s="118"/>
      <c r="F1047" s="126"/>
      <c r="G1047" s="126"/>
      <c r="H1047" s="126"/>
      <c r="I1047" s="126"/>
      <c r="J1047" s="76"/>
      <c r="K1047" s="76"/>
      <c r="L1047" s="76"/>
      <c r="M1047" s="76"/>
      <c r="N1047" s="114"/>
    </row>
    <row r="1048">
      <c r="C1048" s="41"/>
      <c r="D1048" s="142"/>
      <c r="E1048" s="130"/>
      <c r="F1048" s="128"/>
      <c r="G1048" s="128"/>
      <c r="H1048" s="128"/>
      <c r="I1048" s="128"/>
      <c r="J1048" s="81"/>
      <c r="K1048" s="81"/>
      <c r="L1048" s="81"/>
      <c r="M1048" s="81"/>
      <c r="N1048" s="82"/>
    </row>
    <row r="1049">
      <c r="C1049" s="41"/>
      <c r="D1049" s="141"/>
      <c r="E1049" s="118"/>
      <c r="F1049" s="126"/>
      <c r="G1049" s="126"/>
      <c r="H1049" s="126"/>
      <c r="I1049" s="126"/>
      <c r="J1049" s="76"/>
      <c r="K1049" s="76"/>
      <c r="L1049" s="76"/>
      <c r="M1049" s="76"/>
      <c r="N1049" s="114"/>
    </row>
    <row r="1050">
      <c r="C1050" s="41"/>
      <c r="D1050" s="142"/>
      <c r="E1050" s="130"/>
      <c r="F1050" s="128"/>
      <c r="G1050" s="128"/>
      <c r="H1050" s="128"/>
      <c r="I1050" s="128"/>
      <c r="J1050" s="81"/>
      <c r="K1050" s="81"/>
      <c r="L1050" s="81"/>
      <c r="M1050" s="81"/>
      <c r="N1050" s="82"/>
    </row>
    <row r="1051">
      <c r="C1051" s="41"/>
      <c r="D1051" s="141"/>
      <c r="E1051" s="118"/>
      <c r="F1051" s="126"/>
      <c r="G1051" s="126"/>
      <c r="H1051" s="126"/>
      <c r="I1051" s="126"/>
      <c r="J1051" s="76"/>
      <c r="K1051" s="76"/>
      <c r="L1051" s="76"/>
      <c r="M1051" s="76"/>
      <c r="N1051" s="114"/>
    </row>
    <row r="1052">
      <c r="C1052" s="41"/>
      <c r="D1052" s="142"/>
      <c r="E1052" s="130"/>
      <c r="F1052" s="128"/>
      <c r="G1052" s="128"/>
      <c r="H1052" s="128"/>
      <c r="I1052" s="128"/>
      <c r="J1052" s="81"/>
      <c r="K1052" s="81"/>
      <c r="L1052" s="81"/>
      <c r="M1052" s="81"/>
      <c r="N1052" s="82"/>
    </row>
    <row r="1053">
      <c r="C1053" s="41"/>
      <c r="D1053" s="141"/>
      <c r="E1053" s="118"/>
      <c r="F1053" s="126"/>
      <c r="G1053" s="126"/>
      <c r="H1053" s="126"/>
      <c r="I1053" s="126"/>
      <c r="J1053" s="76"/>
      <c r="K1053" s="76"/>
      <c r="L1053" s="76"/>
      <c r="M1053" s="76"/>
      <c r="N1053" s="114"/>
    </row>
    <row r="1054">
      <c r="C1054" s="41"/>
      <c r="D1054" s="142"/>
      <c r="E1054" s="130"/>
      <c r="F1054" s="128"/>
      <c r="G1054" s="128"/>
      <c r="H1054" s="128"/>
      <c r="I1054" s="128"/>
      <c r="J1054" s="81"/>
      <c r="K1054" s="81"/>
      <c r="L1054" s="81"/>
      <c r="M1054" s="81"/>
      <c r="N1054" s="82"/>
    </row>
    <row r="1055">
      <c r="C1055" s="41"/>
      <c r="D1055" s="141"/>
      <c r="E1055" s="118"/>
      <c r="F1055" s="126"/>
      <c r="G1055" s="126"/>
      <c r="H1055" s="126"/>
      <c r="I1055" s="126"/>
      <c r="J1055" s="76"/>
      <c r="K1055" s="76"/>
      <c r="L1055" s="76"/>
      <c r="M1055" s="76"/>
      <c r="N1055" s="114"/>
    </row>
    <row r="1056">
      <c r="C1056" s="41"/>
      <c r="D1056" s="142"/>
      <c r="E1056" s="130"/>
      <c r="F1056" s="128"/>
      <c r="G1056" s="128"/>
      <c r="H1056" s="128"/>
      <c r="I1056" s="128"/>
      <c r="J1056" s="81"/>
      <c r="K1056" s="81"/>
      <c r="L1056" s="81"/>
      <c r="M1056" s="81"/>
      <c r="N1056" s="82"/>
    </row>
    <row r="1057">
      <c r="C1057" s="41"/>
      <c r="D1057" s="141"/>
      <c r="E1057" s="118"/>
      <c r="F1057" s="126"/>
      <c r="G1057" s="126"/>
      <c r="H1057" s="126"/>
      <c r="I1057" s="126"/>
      <c r="J1057" s="76"/>
      <c r="K1057" s="76"/>
      <c r="L1057" s="76"/>
      <c r="M1057" s="76"/>
      <c r="N1057" s="114"/>
    </row>
    <row r="1058">
      <c r="C1058" s="41"/>
      <c r="D1058" s="142"/>
      <c r="E1058" s="130"/>
      <c r="F1058" s="128"/>
      <c r="G1058" s="128"/>
      <c r="H1058" s="128"/>
      <c r="I1058" s="128"/>
      <c r="J1058" s="81"/>
      <c r="K1058" s="81"/>
      <c r="L1058" s="81"/>
      <c r="M1058" s="81"/>
      <c r="N1058" s="82"/>
    </row>
    <row r="1059">
      <c r="C1059" s="41"/>
      <c r="D1059" s="141"/>
      <c r="E1059" s="118"/>
      <c r="F1059" s="126"/>
      <c r="G1059" s="126"/>
      <c r="H1059" s="126"/>
      <c r="I1059" s="126"/>
      <c r="J1059" s="76"/>
      <c r="K1059" s="76"/>
      <c r="L1059" s="76"/>
      <c r="M1059" s="76"/>
      <c r="N1059" s="114"/>
    </row>
    <row r="1060">
      <c r="C1060" s="41"/>
      <c r="D1060" s="142"/>
      <c r="E1060" s="130"/>
      <c r="F1060" s="128"/>
      <c r="G1060" s="128"/>
      <c r="H1060" s="128"/>
      <c r="I1060" s="128"/>
      <c r="J1060" s="81"/>
      <c r="K1060" s="81"/>
      <c r="L1060" s="81"/>
      <c r="M1060" s="81"/>
      <c r="N1060" s="82"/>
    </row>
    <row r="1061">
      <c r="C1061" s="41"/>
      <c r="D1061" s="141"/>
      <c r="E1061" s="118"/>
      <c r="F1061" s="126"/>
      <c r="G1061" s="126"/>
      <c r="H1061" s="126"/>
      <c r="I1061" s="126"/>
      <c r="J1061" s="76"/>
      <c r="K1061" s="76"/>
      <c r="L1061" s="76"/>
      <c r="M1061" s="76"/>
      <c r="N1061" s="114"/>
    </row>
    <row r="1062">
      <c r="C1062" s="41"/>
      <c r="D1062" s="142"/>
      <c r="E1062" s="130"/>
      <c r="F1062" s="128"/>
      <c r="G1062" s="128"/>
      <c r="H1062" s="128"/>
      <c r="I1062" s="128"/>
      <c r="J1062" s="81"/>
      <c r="K1062" s="81"/>
      <c r="L1062" s="81"/>
      <c r="M1062" s="81"/>
      <c r="N1062" s="82"/>
    </row>
    <row r="1063">
      <c r="C1063" s="41"/>
      <c r="D1063" s="141"/>
      <c r="E1063" s="118"/>
      <c r="F1063" s="126"/>
      <c r="G1063" s="126"/>
      <c r="H1063" s="126"/>
      <c r="I1063" s="126"/>
      <c r="J1063" s="76"/>
      <c r="K1063" s="76"/>
      <c r="L1063" s="76"/>
      <c r="M1063" s="76"/>
      <c r="N1063" s="114"/>
    </row>
    <row r="1064">
      <c r="C1064" s="41"/>
      <c r="D1064" s="142"/>
      <c r="E1064" s="130"/>
      <c r="F1064" s="128"/>
      <c r="G1064" s="128"/>
      <c r="H1064" s="128"/>
      <c r="I1064" s="128"/>
      <c r="J1064" s="81"/>
      <c r="K1064" s="81"/>
      <c r="L1064" s="81"/>
      <c r="M1064" s="81"/>
      <c r="N1064" s="82"/>
    </row>
    <row r="1065">
      <c r="C1065" s="41"/>
      <c r="D1065" s="141"/>
      <c r="E1065" s="118"/>
      <c r="F1065" s="126"/>
      <c r="G1065" s="126"/>
      <c r="H1065" s="126"/>
      <c r="I1065" s="126"/>
      <c r="J1065" s="76"/>
      <c r="K1065" s="76"/>
      <c r="L1065" s="76"/>
      <c r="M1065" s="76"/>
      <c r="N1065" s="114"/>
    </row>
    <row r="1066">
      <c r="C1066" s="41"/>
      <c r="D1066" s="142"/>
      <c r="E1066" s="130"/>
      <c r="F1066" s="128"/>
      <c r="G1066" s="128"/>
      <c r="H1066" s="128"/>
      <c r="I1066" s="128"/>
      <c r="J1066" s="81"/>
      <c r="K1066" s="81"/>
      <c r="L1066" s="81"/>
      <c r="M1066" s="81"/>
      <c r="N1066" s="82"/>
    </row>
    <row r="1067">
      <c r="C1067" s="41"/>
      <c r="D1067" s="141"/>
      <c r="E1067" s="118"/>
      <c r="F1067" s="126"/>
      <c r="G1067" s="126"/>
      <c r="H1067" s="126"/>
      <c r="I1067" s="126"/>
      <c r="J1067" s="76"/>
      <c r="K1067" s="76"/>
      <c r="L1067" s="76"/>
      <c r="M1067" s="76"/>
      <c r="N1067" s="114"/>
    </row>
    <row r="1068">
      <c r="C1068" s="41"/>
      <c r="D1068" s="142"/>
      <c r="E1068" s="130"/>
      <c r="F1068" s="128"/>
      <c r="G1068" s="128"/>
      <c r="H1068" s="128"/>
      <c r="I1068" s="128"/>
      <c r="J1068" s="81"/>
      <c r="K1068" s="81"/>
      <c r="L1068" s="81"/>
      <c r="M1068" s="81"/>
      <c r="N1068" s="82"/>
    </row>
    <row r="1069">
      <c r="C1069" s="41"/>
      <c r="D1069" s="141"/>
      <c r="E1069" s="118"/>
      <c r="F1069" s="126"/>
      <c r="G1069" s="126"/>
      <c r="H1069" s="126"/>
      <c r="I1069" s="126"/>
      <c r="J1069" s="76"/>
      <c r="K1069" s="76"/>
      <c r="L1069" s="76"/>
      <c r="M1069" s="76"/>
      <c r="N1069" s="114"/>
    </row>
    <row r="1070">
      <c r="C1070" s="41"/>
      <c r="D1070" s="142"/>
      <c r="E1070" s="130"/>
      <c r="F1070" s="128"/>
      <c r="G1070" s="128"/>
      <c r="H1070" s="128"/>
      <c r="I1070" s="128"/>
      <c r="J1070" s="81"/>
      <c r="K1070" s="81"/>
      <c r="L1070" s="81"/>
      <c r="M1070" s="81"/>
      <c r="N1070" s="82"/>
    </row>
    <row r="1071">
      <c r="C1071" s="41"/>
      <c r="D1071" s="141"/>
      <c r="E1071" s="118"/>
      <c r="F1071" s="126"/>
      <c r="G1071" s="126"/>
      <c r="H1071" s="126"/>
      <c r="I1071" s="126"/>
      <c r="J1071" s="76"/>
      <c r="K1071" s="76"/>
      <c r="L1071" s="76"/>
      <c r="M1071" s="76"/>
      <c r="N1071" s="114"/>
    </row>
    <row r="1072">
      <c r="C1072" s="41"/>
      <c r="D1072" s="142"/>
      <c r="E1072" s="130"/>
      <c r="F1072" s="128"/>
      <c r="G1072" s="128"/>
      <c r="H1072" s="128"/>
      <c r="I1072" s="128"/>
      <c r="J1072" s="81"/>
      <c r="K1072" s="81"/>
      <c r="L1072" s="81"/>
      <c r="M1072" s="81"/>
      <c r="N1072" s="82"/>
    </row>
    <row r="1073">
      <c r="C1073" s="41"/>
      <c r="D1073" s="141"/>
      <c r="E1073" s="118"/>
      <c r="F1073" s="126"/>
      <c r="G1073" s="126"/>
      <c r="H1073" s="126"/>
      <c r="I1073" s="126"/>
      <c r="J1073" s="76"/>
      <c r="K1073" s="76"/>
      <c r="L1073" s="76"/>
      <c r="M1073" s="76"/>
      <c r="N1073" s="114"/>
    </row>
    <row r="1074">
      <c r="C1074" s="41"/>
      <c r="D1074" s="142"/>
      <c r="E1074" s="130"/>
      <c r="F1074" s="128"/>
      <c r="G1074" s="128"/>
      <c r="H1074" s="128"/>
      <c r="I1074" s="128"/>
      <c r="J1074" s="81"/>
      <c r="K1074" s="81"/>
      <c r="L1074" s="81"/>
      <c r="M1074" s="81"/>
      <c r="N1074" s="82"/>
    </row>
    <row r="1075">
      <c r="C1075" s="41"/>
      <c r="D1075" s="141"/>
      <c r="E1075" s="118"/>
      <c r="F1075" s="126"/>
      <c r="G1075" s="126"/>
      <c r="H1075" s="126"/>
      <c r="I1075" s="126"/>
      <c r="J1075" s="76"/>
      <c r="K1075" s="76"/>
      <c r="L1075" s="76"/>
      <c r="M1075" s="76"/>
      <c r="N1075" s="114"/>
    </row>
    <row r="1076">
      <c r="C1076" s="41"/>
      <c r="D1076" s="142"/>
      <c r="E1076" s="130"/>
      <c r="F1076" s="128"/>
      <c r="G1076" s="128"/>
      <c r="H1076" s="128"/>
      <c r="I1076" s="128"/>
      <c r="J1076" s="81"/>
      <c r="K1076" s="81"/>
      <c r="L1076" s="81"/>
      <c r="M1076" s="81"/>
      <c r="N1076" s="82"/>
    </row>
    <row r="1077">
      <c r="C1077" s="41"/>
      <c r="D1077" s="141"/>
      <c r="E1077" s="118"/>
      <c r="F1077" s="126"/>
      <c r="G1077" s="126"/>
      <c r="H1077" s="126"/>
      <c r="I1077" s="126"/>
      <c r="J1077" s="76"/>
      <c r="K1077" s="76"/>
      <c r="L1077" s="76"/>
      <c r="M1077" s="76"/>
      <c r="N1077" s="114"/>
    </row>
    <row r="1078">
      <c r="C1078" s="41"/>
      <c r="D1078" s="142"/>
      <c r="E1078" s="130"/>
      <c r="F1078" s="128"/>
      <c r="G1078" s="128"/>
      <c r="H1078" s="128"/>
      <c r="I1078" s="128"/>
      <c r="J1078" s="81"/>
      <c r="K1078" s="81"/>
      <c r="L1078" s="81"/>
      <c r="M1078" s="81"/>
      <c r="N1078" s="82"/>
    </row>
    <row r="1079">
      <c r="C1079" s="41"/>
      <c r="D1079" s="141"/>
      <c r="E1079" s="118"/>
      <c r="F1079" s="126"/>
      <c r="G1079" s="126"/>
      <c r="H1079" s="126"/>
      <c r="I1079" s="126"/>
      <c r="J1079" s="76"/>
      <c r="K1079" s="76"/>
      <c r="L1079" s="76"/>
      <c r="M1079" s="76"/>
      <c r="N1079" s="114"/>
    </row>
    <row r="1080">
      <c r="C1080" s="41"/>
      <c r="D1080" s="142"/>
      <c r="E1080" s="130"/>
      <c r="F1080" s="128"/>
      <c r="G1080" s="128"/>
      <c r="H1080" s="128"/>
      <c r="I1080" s="128"/>
      <c r="J1080" s="81"/>
      <c r="K1080" s="81"/>
      <c r="L1080" s="81"/>
      <c r="M1080" s="81"/>
      <c r="N1080" s="82"/>
    </row>
    <row r="1081">
      <c r="C1081" s="41"/>
      <c r="D1081" s="141"/>
      <c r="E1081" s="118"/>
      <c r="F1081" s="126"/>
      <c r="G1081" s="126"/>
      <c r="H1081" s="126"/>
      <c r="I1081" s="126"/>
      <c r="J1081" s="76"/>
      <c r="K1081" s="76"/>
      <c r="L1081" s="76"/>
      <c r="M1081" s="76"/>
      <c r="N1081" s="114"/>
    </row>
    <row r="1082">
      <c r="C1082" s="41"/>
      <c r="D1082" s="142"/>
      <c r="E1082" s="130"/>
      <c r="F1082" s="128"/>
      <c r="G1082" s="128"/>
      <c r="H1082" s="128"/>
      <c r="I1082" s="128"/>
      <c r="J1082" s="81"/>
      <c r="K1082" s="81"/>
      <c r="L1082" s="81"/>
      <c r="M1082" s="81"/>
      <c r="N1082" s="82"/>
    </row>
    <row r="1083">
      <c r="C1083" s="41"/>
      <c r="D1083" s="141"/>
      <c r="E1083" s="118"/>
      <c r="F1083" s="126"/>
      <c r="G1083" s="126"/>
      <c r="H1083" s="126"/>
      <c r="I1083" s="126"/>
      <c r="J1083" s="76"/>
      <c r="K1083" s="76"/>
      <c r="L1083" s="76"/>
      <c r="M1083" s="76"/>
      <c r="N1083" s="114"/>
    </row>
    <row r="1084">
      <c r="C1084" s="41"/>
      <c r="D1084" s="142"/>
      <c r="E1084" s="130"/>
      <c r="F1084" s="128"/>
      <c r="G1084" s="128"/>
      <c r="H1084" s="128"/>
      <c r="I1084" s="128"/>
      <c r="J1084" s="81"/>
      <c r="K1084" s="81"/>
      <c r="L1084" s="81"/>
      <c r="M1084" s="81"/>
      <c r="N1084" s="82"/>
    </row>
    <row r="1085">
      <c r="C1085" s="41"/>
      <c r="D1085" s="141"/>
      <c r="E1085" s="118"/>
      <c r="F1085" s="126"/>
      <c r="G1085" s="126"/>
      <c r="H1085" s="126"/>
      <c r="I1085" s="126"/>
      <c r="J1085" s="76"/>
      <c r="K1085" s="76"/>
      <c r="L1085" s="76"/>
      <c r="M1085" s="76"/>
      <c r="N1085" s="114"/>
    </row>
    <row r="1086">
      <c r="C1086" s="41"/>
      <c r="D1086" s="142"/>
      <c r="E1086" s="130"/>
      <c r="F1086" s="128"/>
      <c r="G1086" s="128"/>
      <c r="H1086" s="128"/>
      <c r="I1086" s="128"/>
      <c r="J1086" s="81"/>
      <c r="K1086" s="81"/>
      <c r="L1086" s="81"/>
      <c r="M1086" s="81"/>
      <c r="N1086" s="82"/>
    </row>
    <row r="1087">
      <c r="C1087" s="41"/>
      <c r="D1087" s="141"/>
      <c r="E1087" s="118"/>
      <c r="F1087" s="126"/>
      <c r="G1087" s="126"/>
      <c r="H1087" s="126"/>
      <c r="I1087" s="126"/>
      <c r="J1087" s="76"/>
      <c r="K1087" s="76"/>
      <c r="L1087" s="76"/>
      <c r="M1087" s="76"/>
      <c r="N1087" s="114"/>
    </row>
    <row r="1088">
      <c r="C1088" s="41"/>
      <c r="D1088" s="142"/>
      <c r="E1088" s="130"/>
      <c r="F1088" s="128"/>
      <c r="G1088" s="128"/>
      <c r="H1088" s="128"/>
      <c r="I1088" s="128"/>
      <c r="J1088" s="81"/>
      <c r="K1088" s="81"/>
      <c r="L1088" s="81"/>
      <c r="M1088" s="81"/>
      <c r="N1088" s="82"/>
    </row>
    <row r="1089">
      <c r="C1089" s="41"/>
      <c r="D1089" s="141"/>
      <c r="E1089" s="118"/>
      <c r="F1089" s="126"/>
      <c r="G1089" s="126"/>
      <c r="H1089" s="126"/>
      <c r="I1089" s="126"/>
      <c r="J1089" s="76"/>
      <c r="K1089" s="76"/>
      <c r="L1089" s="76"/>
      <c r="M1089" s="76"/>
      <c r="N1089" s="114"/>
    </row>
    <row r="1090">
      <c r="C1090" s="41"/>
      <c r="D1090" s="142"/>
      <c r="E1090" s="130"/>
      <c r="F1090" s="128"/>
      <c r="G1090" s="128"/>
      <c r="H1090" s="128"/>
      <c r="I1090" s="128"/>
      <c r="J1090" s="81"/>
      <c r="K1090" s="81"/>
      <c r="L1090" s="81"/>
      <c r="M1090" s="81"/>
      <c r="N1090" s="82"/>
    </row>
    <row r="1091">
      <c r="C1091" s="41"/>
      <c r="D1091" s="141"/>
      <c r="E1091" s="118"/>
      <c r="F1091" s="126"/>
      <c r="G1091" s="126"/>
      <c r="H1091" s="126"/>
      <c r="I1091" s="126"/>
      <c r="J1091" s="76"/>
      <c r="K1091" s="76"/>
      <c r="L1091" s="76"/>
      <c r="M1091" s="76"/>
      <c r="N1091" s="114"/>
    </row>
    <row r="1092">
      <c r="C1092" s="41"/>
      <c r="D1092" s="142"/>
      <c r="E1092" s="130"/>
      <c r="F1092" s="128"/>
      <c r="G1092" s="128"/>
      <c r="H1092" s="128"/>
      <c r="I1092" s="128"/>
      <c r="J1092" s="81"/>
      <c r="K1092" s="81"/>
      <c r="L1092" s="81"/>
      <c r="M1092" s="81"/>
      <c r="N1092" s="82"/>
    </row>
    <row r="1093">
      <c r="C1093" s="41"/>
      <c r="D1093" s="141"/>
      <c r="E1093" s="118"/>
      <c r="F1093" s="126"/>
      <c r="G1093" s="126"/>
      <c r="H1093" s="126"/>
      <c r="I1093" s="126"/>
      <c r="J1093" s="76"/>
      <c r="K1093" s="76"/>
      <c r="L1093" s="76"/>
      <c r="M1093" s="76"/>
      <c r="N1093" s="114"/>
    </row>
    <row r="1094">
      <c r="C1094" s="41"/>
      <c r="D1094" s="142"/>
      <c r="E1094" s="130"/>
      <c r="F1094" s="128"/>
      <c r="G1094" s="128"/>
      <c r="H1094" s="128"/>
      <c r="I1094" s="128"/>
      <c r="J1094" s="81"/>
      <c r="K1094" s="81"/>
      <c r="L1094" s="81"/>
      <c r="M1094" s="81"/>
      <c r="N1094" s="82"/>
    </row>
    <row r="1095">
      <c r="C1095" s="41"/>
      <c r="D1095" s="141"/>
      <c r="E1095" s="118"/>
      <c r="F1095" s="126"/>
      <c r="G1095" s="126"/>
      <c r="H1095" s="126"/>
      <c r="I1095" s="126"/>
      <c r="J1095" s="76"/>
      <c r="K1095" s="76"/>
      <c r="L1095" s="76"/>
      <c r="M1095" s="76"/>
      <c r="N1095" s="114"/>
    </row>
    <row r="1096">
      <c r="C1096" s="41"/>
      <c r="D1096" s="142"/>
      <c r="E1096" s="130"/>
      <c r="F1096" s="128"/>
      <c r="G1096" s="128"/>
      <c r="H1096" s="128"/>
      <c r="I1096" s="128"/>
      <c r="J1096" s="81"/>
      <c r="K1096" s="81"/>
      <c r="L1096" s="81"/>
      <c r="M1096" s="81"/>
      <c r="N1096" s="82"/>
    </row>
    <row r="1097">
      <c r="C1097" s="41"/>
      <c r="D1097" s="141"/>
      <c r="E1097" s="118"/>
      <c r="F1097" s="126"/>
      <c r="G1097" s="126"/>
      <c r="H1097" s="126"/>
      <c r="I1097" s="126"/>
      <c r="J1097" s="76"/>
      <c r="K1097" s="76"/>
      <c r="L1097" s="76"/>
      <c r="M1097" s="76"/>
      <c r="N1097" s="114"/>
    </row>
    <row r="1098">
      <c r="C1098" s="41"/>
      <c r="D1098" s="142"/>
      <c r="E1098" s="130"/>
      <c r="F1098" s="128"/>
      <c r="G1098" s="128"/>
      <c r="H1098" s="128"/>
      <c r="I1098" s="128"/>
      <c r="J1098" s="81"/>
      <c r="K1098" s="81"/>
      <c r="L1098" s="81"/>
      <c r="M1098" s="81"/>
      <c r="N1098" s="82"/>
    </row>
    <row r="1099">
      <c r="C1099" s="41"/>
      <c r="D1099" s="141"/>
      <c r="E1099" s="118"/>
      <c r="F1099" s="126"/>
      <c r="G1099" s="126"/>
      <c r="H1099" s="126"/>
      <c r="I1099" s="126"/>
      <c r="J1099" s="76"/>
      <c r="K1099" s="76"/>
      <c r="L1099" s="76"/>
      <c r="M1099" s="76"/>
      <c r="N1099" s="114"/>
    </row>
    <row r="1100">
      <c r="C1100" s="41"/>
      <c r="D1100" s="142"/>
      <c r="E1100" s="130"/>
      <c r="F1100" s="128"/>
      <c r="G1100" s="128"/>
      <c r="H1100" s="128"/>
      <c r="I1100" s="128"/>
      <c r="J1100" s="81"/>
      <c r="K1100" s="81"/>
      <c r="L1100" s="81"/>
      <c r="M1100" s="81"/>
      <c r="N1100" s="82"/>
    </row>
    <row r="1101">
      <c r="C1101" s="41"/>
      <c r="D1101" s="141"/>
      <c r="E1101" s="118"/>
      <c r="F1101" s="126"/>
      <c r="G1101" s="126"/>
      <c r="H1101" s="126"/>
      <c r="I1101" s="126"/>
      <c r="J1101" s="76"/>
      <c r="K1101" s="76"/>
      <c r="L1101" s="76"/>
      <c r="M1101" s="76"/>
      <c r="N1101" s="114"/>
    </row>
    <row r="1102">
      <c r="C1102" s="41"/>
      <c r="D1102" s="142"/>
      <c r="E1102" s="130"/>
      <c r="F1102" s="128"/>
      <c r="G1102" s="128"/>
      <c r="H1102" s="128"/>
      <c r="I1102" s="128"/>
      <c r="J1102" s="81"/>
      <c r="K1102" s="81"/>
      <c r="L1102" s="81"/>
      <c r="M1102" s="81"/>
      <c r="N1102" s="82"/>
    </row>
    <row r="1103">
      <c r="C1103" s="41"/>
      <c r="D1103" s="141"/>
      <c r="E1103" s="118"/>
      <c r="F1103" s="126"/>
      <c r="G1103" s="126"/>
      <c r="H1103" s="126"/>
      <c r="I1103" s="126"/>
      <c r="J1103" s="76"/>
      <c r="K1103" s="76"/>
      <c r="L1103" s="76"/>
      <c r="M1103" s="76"/>
      <c r="N1103" s="114"/>
    </row>
    <row r="1104">
      <c r="C1104" s="41"/>
      <c r="D1104" s="142"/>
      <c r="E1104" s="130"/>
      <c r="F1104" s="128"/>
      <c r="G1104" s="128"/>
      <c r="H1104" s="128"/>
      <c r="I1104" s="128"/>
      <c r="J1104" s="81"/>
      <c r="K1104" s="81"/>
      <c r="L1104" s="81"/>
      <c r="M1104" s="81"/>
      <c r="N1104" s="82"/>
    </row>
    <row r="1105">
      <c r="C1105" s="41"/>
      <c r="D1105" s="141"/>
      <c r="E1105" s="118"/>
      <c r="F1105" s="126"/>
      <c r="G1105" s="126"/>
      <c r="H1105" s="126"/>
      <c r="I1105" s="126"/>
      <c r="J1105" s="76"/>
      <c r="K1105" s="76"/>
      <c r="L1105" s="76"/>
      <c r="M1105" s="76"/>
      <c r="N1105" s="114"/>
    </row>
    <row r="1106">
      <c r="C1106" s="41"/>
      <c r="D1106" s="142"/>
      <c r="E1106" s="130"/>
      <c r="F1106" s="128"/>
      <c r="G1106" s="128"/>
      <c r="H1106" s="128"/>
      <c r="I1106" s="128"/>
      <c r="J1106" s="81"/>
      <c r="K1106" s="81"/>
      <c r="L1106" s="81"/>
      <c r="M1106" s="81"/>
      <c r="N1106" s="82"/>
    </row>
    <row r="1107">
      <c r="C1107" s="41"/>
      <c r="D1107" s="141"/>
      <c r="E1107" s="118"/>
      <c r="F1107" s="126"/>
      <c r="G1107" s="126"/>
      <c r="H1107" s="126"/>
      <c r="I1107" s="126"/>
      <c r="J1107" s="76"/>
      <c r="K1107" s="76"/>
      <c r="L1107" s="76"/>
      <c r="M1107" s="76"/>
      <c r="N1107" s="114"/>
    </row>
    <row r="1108">
      <c r="C1108" s="41"/>
      <c r="D1108" s="142"/>
      <c r="E1108" s="130"/>
      <c r="F1108" s="128"/>
      <c r="G1108" s="128"/>
      <c r="H1108" s="128"/>
      <c r="I1108" s="128"/>
      <c r="J1108" s="81"/>
      <c r="K1108" s="81"/>
      <c r="L1108" s="81"/>
      <c r="M1108" s="81"/>
      <c r="N1108" s="82"/>
    </row>
    <row r="1109">
      <c r="C1109" s="41"/>
      <c r="D1109" s="141"/>
      <c r="E1109" s="118"/>
      <c r="F1109" s="126"/>
      <c r="G1109" s="126"/>
      <c r="H1109" s="126"/>
      <c r="I1109" s="126"/>
      <c r="J1109" s="76"/>
      <c r="K1109" s="76"/>
      <c r="L1109" s="76"/>
      <c r="M1109" s="76"/>
      <c r="N1109" s="114"/>
    </row>
    <row r="1110">
      <c r="C1110" s="41"/>
      <c r="D1110" s="142"/>
      <c r="E1110" s="130"/>
      <c r="F1110" s="128"/>
      <c r="G1110" s="128"/>
      <c r="H1110" s="128"/>
      <c r="I1110" s="128"/>
      <c r="J1110" s="81"/>
      <c r="K1110" s="81"/>
      <c r="L1110" s="81"/>
      <c r="M1110" s="81"/>
      <c r="N1110" s="82"/>
    </row>
    <row r="1111">
      <c r="C1111" s="41"/>
      <c r="D1111" s="141"/>
      <c r="E1111" s="118"/>
      <c r="F1111" s="126"/>
      <c r="G1111" s="126"/>
      <c r="H1111" s="126"/>
      <c r="I1111" s="126"/>
      <c r="J1111" s="76"/>
      <c r="K1111" s="76"/>
      <c r="L1111" s="76"/>
      <c r="M1111" s="76"/>
      <c r="N1111" s="114"/>
    </row>
    <row r="1112">
      <c r="C1112" s="41"/>
      <c r="D1112" s="142"/>
      <c r="E1112" s="130"/>
      <c r="F1112" s="128"/>
      <c r="G1112" s="128"/>
      <c r="H1112" s="128"/>
      <c r="I1112" s="128"/>
      <c r="J1112" s="81"/>
      <c r="K1112" s="81"/>
      <c r="L1112" s="81"/>
      <c r="M1112" s="81"/>
      <c r="N1112" s="82"/>
    </row>
    <row r="1113">
      <c r="C1113" s="41"/>
      <c r="D1113" s="141"/>
      <c r="E1113" s="118"/>
      <c r="F1113" s="126"/>
      <c r="G1113" s="126"/>
      <c r="H1113" s="126"/>
      <c r="I1113" s="126"/>
      <c r="J1113" s="76"/>
      <c r="K1113" s="76"/>
      <c r="L1113" s="76"/>
      <c r="M1113" s="76"/>
      <c r="N1113" s="114"/>
    </row>
    <row r="1114">
      <c r="C1114" s="41"/>
      <c r="D1114" s="142"/>
      <c r="E1114" s="130"/>
      <c r="F1114" s="128"/>
      <c r="G1114" s="128"/>
      <c r="H1114" s="128"/>
      <c r="I1114" s="128"/>
      <c r="J1114" s="81"/>
      <c r="K1114" s="81"/>
      <c r="L1114" s="81"/>
      <c r="M1114" s="81"/>
      <c r="N1114" s="82"/>
    </row>
    <row r="1115">
      <c r="C1115" s="41"/>
      <c r="D1115" s="141"/>
      <c r="E1115" s="118"/>
      <c r="F1115" s="126"/>
      <c r="G1115" s="126"/>
      <c r="H1115" s="126"/>
      <c r="I1115" s="126"/>
      <c r="J1115" s="76"/>
      <c r="K1115" s="76"/>
      <c r="L1115" s="76"/>
      <c r="M1115" s="76"/>
      <c r="N1115" s="114"/>
    </row>
    <row r="1116">
      <c r="C1116" s="41"/>
      <c r="D1116" s="142"/>
      <c r="E1116" s="130"/>
      <c r="F1116" s="128"/>
      <c r="G1116" s="128"/>
      <c r="H1116" s="128"/>
      <c r="I1116" s="128"/>
      <c r="J1116" s="81"/>
      <c r="K1116" s="81"/>
      <c r="L1116" s="81"/>
      <c r="M1116" s="81"/>
      <c r="N1116" s="82"/>
    </row>
    <row r="1117">
      <c r="C1117" s="41"/>
      <c r="D1117" s="141"/>
      <c r="E1117" s="118"/>
      <c r="F1117" s="126"/>
      <c r="G1117" s="126"/>
      <c r="H1117" s="126"/>
      <c r="I1117" s="126"/>
      <c r="J1117" s="76"/>
      <c r="K1117" s="76"/>
      <c r="L1117" s="76"/>
      <c r="M1117" s="76"/>
      <c r="N1117" s="114"/>
    </row>
    <row r="1118">
      <c r="C1118" s="41"/>
      <c r="D1118" s="142"/>
      <c r="E1118" s="130"/>
      <c r="F1118" s="128"/>
      <c r="G1118" s="128"/>
      <c r="H1118" s="128"/>
      <c r="I1118" s="128"/>
      <c r="J1118" s="81"/>
      <c r="K1118" s="81"/>
      <c r="L1118" s="81"/>
      <c r="M1118" s="81"/>
      <c r="N1118" s="82"/>
    </row>
    <row r="1119">
      <c r="C1119" s="41"/>
      <c r="D1119" s="141"/>
      <c r="E1119" s="118"/>
      <c r="F1119" s="126"/>
      <c r="G1119" s="126"/>
      <c r="H1119" s="126"/>
      <c r="I1119" s="126"/>
      <c r="J1119" s="76"/>
      <c r="K1119" s="76"/>
      <c r="L1119" s="76"/>
      <c r="M1119" s="76"/>
      <c r="N1119" s="114"/>
    </row>
    <row r="1120">
      <c r="C1120" s="41"/>
      <c r="D1120" s="142"/>
      <c r="E1120" s="130"/>
      <c r="F1120" s="128"/>
      <c r="G1120" s="128"/>
      <c r="H1120" s="128"/>
      <c r="I1120" s="128"/>
      <c r="J1120" s="81"/>
      <c r="K1120" s="81"/>
      <c r="L1120" s="81"/>
      <c r="M1120" s="81"/>
      <c r="N1120" s="82"/>
    </row>
    <row r="1121">
      <c r="C1121" s="41"/>
      <c r="D1121" s="141"/>
      <c r="E1121" s="118"/>
      <c r="F1121" s="126"/>
      <c r="G1121" s="126"/>
      <c r="H1121" s="126"/>
      <c r="I1121" s="126"/>
      <c r="J1121" s="76"/>
      <c r="K1121" s="76"/>
      <c r="L1121" s="76"/>
      <c r="M1121" s="76"/>
      <c r="N1121" s="114"/>
    </row>
    <row r="1122">
      <c r="C1122" s="41"/>
      <c r="D1122" s="142"/>
      <c r="E1122" s="130"/>
      <c r="F1122" s="128"/>
      <c r="G1122" s="128"/>
      <c r="H1122" s="128"/>
      <c r="I1122" s="128"/>
      <c r="J1122" s="81"/>
      <c r="K1122" s="81"/>
      <c r="L1122" s="81"/>
      <c r="M1122" s="81"/>
      <c r="N1122" s="82"/>
    </row>
    <row r="1123">
      <c r="C1123" s="41"/>
      <c r="D1123" s="141"/>
      <c r="E1123" s="118"/>
      <c r="F1123" s="126"/>
      <c r="G1123" s="126"/>
      <c r="H1123" s="126"/>
      <c r="I1123" s="126"/>
      <c r="J1123" s="76"/>
      <c r="K1123" s="76"/>
      <c r="L1123" s="76"/>
      <c r="M1123" s="76"/>
      <c r="N1123" s="114"/>
    </row>
    <row r="1124">
      <c r="C1124" s="41"/>
      <c r="D1124" s="142"/>
      <c r="E1124" s="130"/>
      <c r="F1124" s="128"/>
      <c r="G1124" s="128"/>
      <c r="H1124" s="128"/>
      <c r="I1124" s="128"/>
      <c r="J1124" s="81"/>
      <c r="K1124" s="81"/>
      <c r="L1124" s="81"/>
      <c r="M1124" s="81"/>
      <c r="N1124" s="82"/>
    </row>
    <row r="1125">
      <c r="C1125" s="41"/>
      <c r="D1125" s="141"/>
      <c r="E1125" s="118"/>
      <c r="F1125" s="126"/>
      <c r="G1125" s="126"/>
      <c r="H1125" s="126"/>
      <c r="I1125" s="126"/>
      <c r="J1125" s="76"/>
      <c r="K1125" s="76"/>
      <c r="L1125" s="76"/>
      <c r="M1125" s="76"/>
      <c r="N1125" s="114"/>
    </row>
    <row r="1126">
      <c r="C1126" s="41"/>
      <c r="D1126" s="142"/>
      <c r="E1126" s="130"/>
      <c r="F1126" s="128"/>
      <c r="G1126" s="128"/>
      <c r="H1126" s="128"/>
      <c r="I1126" s="128"/>
      <c r="J1126" s="81"/>
      <c r="K1126" s="81"/>
      <c r="L1126" s="81"/>
      <c r="M1126" s="81"/>
      <c r="N1126" s="82"/>
    </row>
    <row r="1127">
      <c r="C1127" s="41"/>
      <c r="D1127" s="141"/>
      <c r="E1127" s="118"/>
      <c r="F1127" s="126"/>
      <c r="G1127" s="126"/>
      <c r="H1127" s="126"/>
      <c r="I1127" s="126"/>
      <c r="J1127" s="76"/>
      <c r="K1127" s="76"/>
      <c r="L1127" s="76"/>
      <c r="M1127" s="76"/>
      <c r="N1127" s="114"/>
    </row>
    <row r="1128">
      <c r="C1128" s="41"/>
      <c r="D1128" s="142"/>
      <c r="E1128" s="130"/>
      <c r="F1128" s="128"/>
      <c r="G1128" s="128"/>
      <c r="H1128" s="128"/>
      <c r="I1128" s="128"/>
      <c r="J1128" s="81"/>
      <c r="K1128" s="81"/>
      <c r="L1128" s="81"/>
      <c r="M1128" s="81"/>
      <c r="N1128" s="82"/>
    </row>
    <row r="1129">
      <c r="C1129" s="41"/>
      <c r="D1129" s="141"/>
      <c r="E1129" s="118"/>
      <c r="F1129" s="126"/>
      <c r="G1129" s="126"/>
      <c r="H1129" s="126"/>
      <c r="I1129" s="126"/>
      <c r="J1129" s="76"/>
      <c r="K1129" s="76"/>
      <c r="L1129" s="76"/>
      <c r="M1129" s="76"/>
      <c r="N1129" s="114"/>
    </row>
    <row r="1130">
      <c r="C1130" s="41"/>
      <c r="D1130" s="142"/>
      <c r="E1130" s="130"/>
      <c r="F1130" s="128"/>
      <c r="G1130" s="128"/>
      <c r="H1130" s="128"/>
      <c r="I1130" s="128"/>
      <c r="J1130" s="81"/>
      <c r="K1130" s="81"/>
      <c r="L1130" s="81"/>
      <c r="M1130" s="81"/>
      <c r="N1130" s="82"/>
    </row>
    <row r="1131">
      <c r="C1131" s="41"/>
      <c r="D1131" s="141"/>
      <c r="E1131" s="118"/>
      <c r="F1131" s="126"/>
      <c r="G1131" s="126"/>
      <c r="H1131" s="126"/>
      <c r="I1131" s="126"/>
      <c r="J1131" s="76"/>
      <c r="K1131" s="76"/>
      <c r="L1131" s="76"/>
      <c r="M1131" s="76"/>
      <c r="N1131" s="114"/>
    </row>
    <row r="1132">
      <c r="C1132" s="41"/>
      <c r="D1132" s="142"/>
      <c r="E1132" s="130"/>
      <c r="F1132" s="128"/>
      <c r="G1132" s="128"/>
      <c r="H1132" s="128"/>
      <c r="I1132" s="128"/>
      <c r="J1132" s="81"/>
      <c r="K1132" s="81"/>
      <c r="L1132" s="81"/>
      <c r="M1132" s="81"/>
      <c r="N1132" s="82"/>
    </row>
    <row r="1133">
      <c r="C1133" s="41"/>
      <c r="D1133" s="141"/>
      <c r="E1133" s="118"/>
      <c r="F1133" s="126"/>
      <c r="G1133" s="126"/>
      <c r="H1133" s="126"/>
      <c r="I1133" s="126"/>
      <c r="J1133" s="76"/>
      <c r="K1133" s="76"/>
      <c r="L1133" s="76"/>
      <c r="M1133" s="76"/>
      <c r="N1133" s="114"/>
    </row>
    <row r="1134">
      <c r="C1134" s="41"/>
      <c r="D1134" s="142"/>
      <c r="E1134" s="130"/>
      <c r="F1134" s="128"/>
      <c r="G1134" s="128"/>
      <c r="H1134" s="128"/>
      <c r="I1134" s="128"/>
      <c r="J1134" s="81"/>
      <c r="K1134" s="81"/>
      <c r="L1134" s="81"/>
      <c r="M1134" s="81"/>
      <c r="N1134" s="82"/>
    </row>
    <row r="1135">
      <c r="C1135" s="41"/>
      <c r="D1135" s="141"/>
      <c r="E1135" s="118"/>
      <c r="F1135" s="126"/>
      <c r="G1135" s="126"/>
      <c r="H1135" s="126"/>
      <c r="I1135" s="126"/>
      <c r="J1135" s="76"/>
      <c r="K1135" s="76"/>
      <c r="L1135" s="76"/>
      <c r="M1135" s="76"/>
      <c r="N1135" s="114"/>
    </row>
    <row r="1136">
      <c r="C1136" s="41"/>
      <c r="D1136" s="142"/>
      <c r="E1136" s="130"/>
      <c r="F1136" s="128"/>
      <c r="G1136" s="128"/>
      <c r="H1136" s="128"/>
      <c r="I1136" s="128"/>
      <c r="J1136" s="81"/>
      <c r="K1136" s="81"/>
      <c r="L1136" s="81"/>
      <c r="M1136" s="81"/>
      <c r="N1136" s="82"/>
    </row>
    <row r="1137">
      <c r="C1137" s="41"/>
      <c r="D1137" s="141"/>
      <c r="E1137" s="118"/>
      <c r="F1137" s="126"/>
      <c r="G1137" s="126"/>
      <c r="H1137" s="126"/>
      <c r="I1137" s="126"/>
      <c r="J1137" s="76"/>
      <c r="K1137" s="76"/>
      <c r="L1137" s="76"/>
      <c r="M1137" s="76"/>
      <c r="N1137" s="114"/>
    </row>
    <row r="1138">
      <c r="C1138" s="41"/>
      <c r="D1138" s="142"/>
      <c r="E1138" s="130"/>
      <c r="F1138" s="128"/>
      <c r="G1138" s="128"/>
      <c r="H1138" s="128"/>
      <c r="I1138" s="128"/>
      <c r="J1138" s="81"/>
      <c r="K1138" s="81"/>
      <c r="L1138" s="81"/>
      <c r="M1138" s="81"/>
      <c r="N1138" s="82"/>
    </row>
    <row r="1139">
      <c r="C1139" s="41"/>
      <c r="D1139" s="141"/>
      <c r="E1139" s="118"/>
      <c r="F1139" s="126"/>
      <c r="G1139" s="126"/>
      <c r="H1139" s="126"/>
      <c r="I1139" s="126"/>
      <c r="J1139" s="76"/>
      <c r="K1139" s="76"/>
      <c r="L1139" s="76"/>
      <c r="M1139" s="76"/>
      <c r="N1139" s="114"/>
    </row>
    <row r="1140">
      <c r="C1140" s="41"/>
      <c r="D1140" s="142"/>
      <c r="E1140" s="130"/>
      <c r="F1140" s="128"/>
      <c r="G1140" s="128"/>
      <c r="H1140" s="128"/>
      <c r="I1140" s="128"/>
      <c r="J1140" s="81"/>
      <c r="K1140" s="81"/>
      <c r="L1140" s="81"/>
      <c r="M1140" s="81"/>
      <c r="N1140" s="82"/>
    </row>
    <row r="1141">
      <c r="C1141" s="41"/>
      <c r="D1141" s="141"/>
      <c r="E1141" s="118"/>
      <c r="F1141" s="126"/>
      <c r="G1141" s="126"/>
      <c r="H1141" s="126"/>
      <c r="I1141" s="126"/>
      <c r="J1141" s="76"/>
      <c r="K1141" s="76"/>
      <c r="L1141" s="76"/>
      <c r="M1141" s="76"/>
      <c r="N1141" s="114"/>
    </row>
    <row r="1142">
      <c r="C1142" s="41"/>
      <c r="D1142" s="142"/>
      <c r="E1142" s="130"/>
      <c r="F1142" s="128"/>
      <c r="G1142" s="128"/>
      <c r="H1142" s="128"/>
      <c r="I1142" s="128"/>
      <c r="J1142" s="81"/>
      <c r="K1142" s="81"/>
      <c r="L1142" s="81"/>
      <c r="M1142" s="81"/>
      <c r="N1142" s="82"/>
    </row>
    <row r="1143">
      <c r="C1143" s="41"/>
      <c r="D1143" s="141"/>
      <c r="E1143" s="118"/>
      <c r="F1143" s="126"/>
      <c r="G1143" s="126"/>
      <c r="H1143" s="126"/>
      <c r="I1143" s="126"/>
      <c r="J1143" s="76"/>
      <c r="K1143" s="76"/>
      <c r="L1143" s="76"/>
      <c r="M1143" s="76"/>
      <c r="N1143" s="114"/>
    </row>
    <row r="1144">
      <c r="C1144" s="41"/>
      <c r="D1144" s="142"/>
      <c r="E1144" s="130"/>
      <c r="F1144" s="128"/>
      <c r="G1144" s="128"/>
      <c r="H1144" s="128"/>
      <c r="I1144" s="128"/>
      <c r="J1144" s="81"/>
      <c r="K1144" s="81"/>
      <c r="L1144" s="81"/>
      <c r="M1144" s="81"/>
      <c r="N1144" s="82"/>
    </row>
    <row r="1145">
      <c r="C1145" s="41"/>
      <c r="D1145" s="141"/>
      <c r="E1145" s="118"/>
      <c r="F1145" s="126"/>
      <c r="G1145" s="126"/>
      <c r="H1145" s="126"/>
      <c r="I1145" s="126"/>
      <c r="J1145" s="76"/>
      <c r="K1145" s="76"/>
      <c r="L1145" s="76"/>
      <c r="M1145" s="76"/>
      <c r="N1145" s="114"/>
    </row>
    <row r="1146">
      <c r="C1146" s="41"/>
      <c r="D1146" s="142"/>
      <c r="E1146" s="130"/>
      <c r="F1146" s="128"/>
      <c r="G1146" s="128"/>
      <c r="H1146" s="128"/>
      <c r="I1146" s="128"/>
      <c r="J1146" s="81"/>
      <c r="K1146" s="81"/>
      <c r="L1146" s="81"/>
      <c r="M1146" s="81"/>
      <c r="N1146" s="82"/>
    </row>
    <row r="1147">
      <c r="C1147" s="41"/>
      <c r="D1147" s="141"/>
      <c r="E1147" s="118"/>
      <c r="F1147" s="126"/>
      <c r="G1147" s="126"/>
      <c r="H1147" s="126"/>
      <c r="I1147" s="126"/>
      <c r="J1147" s="76"/>
      <c r="K1147" s="76"/>
      <c r="L1147" s="76"/>
      <c r="M1147" s="76"/>
      <c r="N1147" s="114"/>
    </row>
    <row r="1148">
      <c r="C1148" s="41"/>
      <c r="D1148" s="142"/>
      <c r="E1148" s="130"/>
      <c r="F1148" s="128"/>
      <c r="G1148" s="128"/>
      <c r="H1148" s="128"/>
      <c r="I1148" s="128"/>
      <c r="J1148" s="81"/>
      <c r="K1148" s="81"/>
      <c r="L1148" s="81"/>
      <c r="M1148" s="81"/>
      <c r="N1148" s="82"/>
    </row>
    <row r="1149">
      <c r="C1149" s="41"/>
      <c r="D1149" s="141"/>
      <c r="E1149" s="118"/>
      <c r="F1149" s="126"/>
      <c r="G1149" s="126"/>
      <c r="H1149" s="126"/>
      <c r="I1149" s="126"/>
      <c r="J1149" s="76"/>
      <c r="K1149" s="76"/>
      <c r="L1149" s="76"/>
      <c r="M1149" s="76"/>
      <c r="N1149" s="114"/>
    </row>
    <row r="1150">
      <c r="C1150" s="41"/>
      <c r="D1150" s="142"/>
      <c r="E1150" s="130"/>
      <c r="F1150" s="128"/>
      <c r="G1150" s="128"/>
      <c r="H1150" s="128"/>
      <c r="I1150" s="128"/>
      <c r="J1150" s="81"/>
      <c r="K1150" s="81"/>
      <c r="L1150" s="81"/>
      <c r="M1150" s="81"/>
      <c r="N1150" s="82"/>
    </row>
    <row r="1151">
      <c r="C1151" s="41"/>
      <c r="D1151" s="141"/>
      <c r="E1151" s="118"/>
      <c r="F1151" s="126"/>
      <c r="G1151" s="126"/>
      <c r="H1151" s="126"/>
      <c r="I1151" s="126"/>
      <c r="J1151" s="76"/>
      <c r="K1151" s="76"/>
      <c r="L1151" s="76"/>
      <c r="M1151" s="76"/>
      <c r="N1151" s="114"/>
    </row>
    <row r="1152">
      <c r="C1152" s="41"/>
      <c r="D1152" s="142"/>
      <c r="E1152" s="130"/>
      <c r="F1152" s="128"/>
      <c r="G1152" s="128"/>
      <c r="H1152" s="128"/>
      <c r="I1152" s="128"/>
      <c r="J1152" s="81"/>
      <c r="K1152" s="81"/>
      <c r="L1152" s="81"/>
      <c r="M1152" s="81"/>
      <c r="N1152" s="82"/>
    </row>
    <row r="1153">
      <c r="C1153" s="41"/>
      <c r="D1153" s="141"/>
      <c r="E1153" s="118"/>
      <c r="F1153" s="126"/>
      <c r="G1153" s="126"/>
      <c r="H1153" s="126"/>
      <c r="I1153" s="126"/>
      <c r="J1153" s="76"/>
      <c r="K1153" s="76"/>
      <c r="L1153" s="76"/>
      <c r="M1153" s="76"/>
      <c r="N1153" s="114"/>
    </row>
    <row r="1154">
      <c r="C1154" s="41"/>
      <c r="D1154" s="142"/>
      <c r="E1154" s="130"/>
      <c r="F1154" s="128"/>
      <c r="G1154" s="128"/>
      <c r="H1154" s="128"/>
      <c r="I1154" s="128"/>
      <c r="J1154" s="81"/>
      <c r="K1154" s="81"/>
      <c r="L1154" s="81"/>
      <c r="M1154" s="81"/>
      <c r="N1154" s="82"/>
    </row>
    <row r="1155">
      <c r="C1155" s="41"/>
      <c r="D1155" s="141"/>
      <c r="E1155" s="118"/>
      <c r="F1155" s="126"/>
      <c r="G1155" s="126"/>
      <c r="H1155" s="126"/>
      <c r="I1155" s="126"/>
      <c r="J1155" s="76"/>
      <c r="K1155" s="76"/>
      <c r="L1155" s="76"/>
      <c r="M1155" s="76"/>
      <c r="N1155" s="114"/>
    </row>
    <row r="1156">
      <c r="C1156" s="41"/>
      <c r="D1156" s="142"/>
      <c r="E1156" s="130"/>
      <c r="F1156" s="128"/>
      <c r="G1156" s="128"/>
      <c r="H1156" s="128"/>
      <c r="I1156" s="128"/>
      <c r="J1156" s="81"/>
      <c r="K1156" s="81"/>
      <c r="L1156" s="81"/>
      <c r="M1156" s="81"/>
      <c r="N1156" s="82"/>
    </row>
    <row r="1157">
      <c r="C1157" s="41"/>
      <c r="D1157" s="141"/>
      <c r="E1157" s="118"/>
      <c r="F1157" s="126"/>
      <c r="G1157" s="126"/>
      <c r="H1157" s="126"/>
      <c r="I1157" s="126"/>
      <c r="J1157" s="76"/>
      <c r="K1157" s="76"/>
      <c r="L1157" s="76"/>
      <c r="M1157" s="76"/>
      <c r="N1157" s="114"/>
    </row>
    <row r="1158">
      <c r="C1158" s="41"/>
      <c r="D1158" s="142"/>
      <c r="E1158" s="130"/>
      <c r="F1158" s="128"/>
      <c r="G1158" s="128"/>
      <c r="H1158" s="128"/>
      <c r="I1158" s="128"/>
      <c r="J1158" s="81"/>
      <c r="K1158" s="81"/>
      <c r="L1158" s="81"/>
      <c r="M1158" s="81"/>
      <c r="N1158" s="82"/>
    </row>
    <row r="1159">
      <c r="C1159" s="41"/>
      <c r="D1159" s="141"/>
      <c r="E1159" s="118"/>
      <c r="F1159" s="126"/>
      <c r="G1159" s="126"/>
      <c r="H1159" s="126"/>
      <c r="I1159" s="126"/>
      <c r="J1159" s="76"/>
      <c r="K1159" s="76"/>
      <c r="L1159" s="76"/>
      <c r="M1159" s="76"/>
      <c r="N1159" s="114"/>
    </row>
    <row r="1160">
      <c r="C1160" s="41"/>
      <c r="D1160" s="142"/>
      <c r="E1160" s="130"/>
      <c r="F1160" s="128"/>
      <c r="G1160" s="128"/>
      <c r="H1160" s="128"/>
      <c r="I1160" s="128"/>
      <c r="J1160" s="81"/>
      <c r="K1160" s="81"/>
      <c r="L1160" s="81"/>
      <c r="M1160" s="81"/>
      <c r="N1160" s="82"/>
    </row>
    <row r="1161">
      <c r="C1161" s="41"/>
      <c r="D1161" s="141"/>
      <c r="E1161" s="118"/>
      <c r="F1161" s="126"/>
      <c r="G1161" s="126"/>
      <c r="H1161" s="126"/>
      <c r="I1161" s="126"/>
      <c r="J1161" s="76"/>
      <c r="K1161" s="76"/>
      <c r="L1161" s="76"/>
      <c r="M1161" s="76"/>
      <c r="N1161" s="114"/>
    </row>
    <row r="1162">
      <c r="C1162" s="41"/>
      <c r="D1162" s="142"/>
      <c r="E1162" s="130"/>
      <c r="F1162" s="128"/>
      <c r="G1162" s="128"/>
      <c r="H1162" s="128"/>
      <c r="I1162" s="128"/>
      <c r="J1162" s="81"/>
      <c r="K1162" s="81"/>
      <c r="L1162" s="81"/>
      <c r="M1162" s="81"/>
      <c r="N1162" s="82"/>
    </row>
    <row r="1163">
      <c r="C1163" s="41"/>
      <c r="D1163" s="141"/>
      <c r="E1163" s="118"/>
      <c r="F1163" s="126"/>
      <c r="G1163" s="126"/>
      <c r="H1163" s="126"/>
      <c r="I1163" s="126"/>
      <c r="J1163" s="76"/>
      <c r="K1163" s="76"/>
      <c r="L1163" s="76"/>
      <c r="M1163" s="76"/>
      <c r="N1163" s="114"/>
    </row>
    <row r="1164">
      <c r="C1164" s="41"/>
      <c r="D1164" s="142"/>
      <c r="E1164" s="130"/>
      <c r="F1164" s="128"/>
      <c r="G1164" s="128"/>
      <c r="H1164" s="128"/>
      <c r="I1164" s="128"/>
      <c r="J1164" s="81"/>
      <c r="K1164" s="81"/>
      <c r="L1164" s="81"/>
      <c r="M1164" s="81"/>
      <c r="N1164" s="82"/>
    </row>
    <row r="1165">
      <c r="C1165" s="41"/>
      <c r="D1165" s="141"/>
      <c r="E1165" s="118"/>
      <c r="F1165" s="126"/>
      <c r="G1165" s="126"/>
      <c r="H1165" s="126"/>
      <c r="I1165" s="126"/>
      <c r="J1165" s="76"/>
      <c r="K1165" s="76"/>
      <c r="L1165" s="76"/>
      <c r="M1165" s="76"/>
      <c r="N1165" s="114"/>
    </row>
    <row r="1166">
      <c r="C1166" s="41"/>
      <c r="D1166" s="142"/>
      <c r="E1166" s="130"/>
      <c r="F1166" s="128"/>
      <c r="G1166" s="128"/>
      <c r="H1166" s="128"/>
      <c r="I1166" s="128"/>
      <c r="J1166" s="81"/>
      <c r="K1166" s="81"/>
      <c r="L1166" s="81"/>
      <c r="M1166" s="81"/>
      <c r="N1166" s="82"/>
    </row>
    <row r="1167">
      <c r="C1167" s="41"/>
      <c r="D1167" s="141"/>
      <c r="E1167" s="118"/>
      <c r="F1167" s="126"/>
      <c r="G1167" s="126"/>
      <c r="H1167" s="126"/>
      <c r="I1167" s="126"/>
      <c r="J1167" s="76"/>
      <c r="K1167" s="76"/>
      <c r="L1167" s="76"/>
      <c r="M1167" s="76"/>
      <c r="N1167" s="114"/>
    </row>
    <row r="1168">
      <c r="C1168" s="41"/>
      <c r="D1168" s="142"/>
      <c r="E1168" s="130"/>
      <c r="F1168" s="128"/>
      <c r="G1168" s="128"/>
      <c r="H1168" s="128"/>
      <c r="I1168" s="128"/>
      <c r="J1168" s="81"/>
      <c r="K1168" s="81"/>
      <c r="L1168" s="81"/>
      <c r="M1168" s="81"/>
      <c r="N1168" s="82"/>
    </row>
    <row r="1169">
      <c r="C1169" s="41"/>
      <c r="D1169" s="141"/>
      <c r="E1169" s="118"/>
      <c r="F1169" s="126"/>
      <c r="G1169" s="126"/>
      <c r="H1169" s="126"/>
      <c r="I1169" s="126"/>
      <c r="J1169" s="76"/>
      <c r="K1169" s="76"/>
      <c r="L1169" s="76"/>
      <c r="M1169" s="76"/>
      <c r="N1169" s="114"/>
    </row>
    <row r="1170">
      <c r="C1170" s="41"/>
      <c r="D1170" s="142"/>
      <c r="E1170" s="130"/>
      <c r="F1170" s="128"/>
      <c r="G1170" s="128"/>
      <c r="H1170" s="128"/>
      <c r="I1170" s="128"/>
      <c r="J1170" s="81"/>
      <c r="K1170" s="81"/>
      <c r="L1170" s="81"/>
      <c r="M1170" s="81"/>
      <c r="N1170" s="82"/>
    </row>
    <row r="1171">
      <c r="C1171" s="41"/>
      <c r="D1171" s="141"/>
      <c r="E1171" s="118"/>
      <c r="F1171" s="126"/>
      <c r="G1171" s="126"/>
      <c r="H1171" s="126"/>
      <c r="I1171" s="126"/>
      <c r="J1171" s="76"/>
      <c r="K1171" s="76"/>
      <c r="L1171" s="76"/>
      <c r="M1171" s="76"/>
      <c r="N1171" s="114"/>
    </row>
    <row r="1172">
      <c r="C1172" s="41"/>
      <c r="D1172" s="142"/>
      <c r="E1172" s="130"/>
      <c r="F1172" s="128"/>
      <c r="G1172" s="128"/>
      <c r="H1172" s="128"/>
      <c r="I1172" s="128"/>
      <c r="J1172" s="81"/>
      <c r="K1172" s="81"/>
      <c r="L1172" s="81"/>
      <c r="M1172" s="81"/>
      <c r="N1172" s="82"/>
    </row>
    <row r="1173">
      <c r="C1173" s="41"/>
      <c r="D1173" s="141"/>
      <c r="E1173" s="118"/>
      <c r="F1173" s="126"/>
      <c r="G1173" s="126"/>
      <c r="H1173" s="126"/>
      <c r="I1173" s="126"/>
      <c r="J1173" s="76"/>
      <c r="K1173" s="76"/>
      <c r="L1173" s="76"/>
      <c r="M1173" s="76"/>
      <c r="N1173" s="114"/>
    </row>
    <row r="1174">
      <c r="C1174" s="41"/>
      <c r="D1174" s="142"/>
      <c r="E1174" s="130"/>
      <c r="F1174" s="128"/>
      <c r="G1174" s="128"/>
      <c r="H1174" s="128"/>
      <c r="I1174" s="128"/>
      <c r="J1174" s="81"/>
      <c r="K1174" s="81"/>
      <c r="L1174" s="81"/>
      <c r="M1174" s="81"/>
      <c r="N1174" s="82"/>
    </row>
    <row r="1175">
      <c r="C1175" s="41"/>
      <c r="D1175" s="141"/>
      <c r="E1175" s="118"/>
      <c r="F1175" s="126"/>
      <c r="G1175" s="126"/>
      <c r="H1175" s="126"/>
      <c r="I1175" s="126"/>
      <c r="J1175" s="76"/>
      <c r="K1175" s="76"/>
      <c r="L1175" s="76"/>
      <c r="M1175" s="76"/>
      <c r="N1175" s="114"/>
    </row>
    <row r="1176">
      <c r="C1176" s="41"/>
      <c r="D1176" s="142"/>
      <c r="E1176" s="130"/>
      <c r="F1176" s="128"/>
      <c r="G1176" s="128"/>
      <c r="H1176" s="128"/>
      <c r="I1176" s="128"/>
      <c r="J1176" s="81"/>
      <c r="K1176" s="81"/>
      <c r="L1176" s="81"/>
      <c r="M1176" s="81"/>
      <c r="N1176" s="82"/>
    </row>
    <row r="1177">
      <c r="C1177" s="41"/>
      <c r="D1177" s="141"/>
      <c r="E1177" s="118"/>
      <c r="F1177" s="126"/>
      <c r="G1177" s="126"/>
      <c r="H1177" s="126"/>
      <c r="I1177" s="126"/>
      <c r="J1177" s="76"/>
      <c r="K1177" s="76"/>
      <c r="L1177" s="76"/>
      <c r="M1177" s="76"/>
      <c r="N1177" s="114"/>
    </row>
    <row r="1178">
      <c r="C1178" s="41"/>
      <c r="D1178" s="142"/>
      <c r="E1178" s="130"/>
      <c r="F1178" s="128"/>
      <c r="G1178" s="128"/>
      <c r="H1178" s="128"/>
      <c r="I1178" s="128"/>
      <c r="J1178" s="81"/>
      <c r="K1178" s="81"/>
      <c r="L1178" s="81"/>
      <c r="M1178" s="81"/>
      <c r="N1178" s="82"/>
    </row>
    <row r="1179">
      <c r="C1179" s="41"/>
      <c r="D1179" s="141"/>
      <c r="E1179" s="118"/>
      <c r="F1179" s="126"/>
      <c r="G1179" s="126"/>
      <c r="H1179" s="126"/>
      <c r="I1179" s="126"/>
      <c r="J1179" s="76"/>
      <c r="K1179" s="76"/>
      <c r="L1179" s="76"/>
      <c r="M1179" s="76"/>
      <c r="N1179" s="114"/>
    </row>
    <row r="1180">
      <c r="C1180" s="41"/>
      <c r="D1180" s="142"/>
      <c r="E1180" s="130"/>
      <c r="F1180" s="128"/>
      <c r="G1180" s="128"/>
      <c r="H1180" s="128"/>
      <c r="I1180" s="128"/>
      <c r="J1180" s="81"/>
      <c r="K1180" s="81"/>
      <c r="L1180" s="81"/>
      <c r="M1180" s="81"/>
      <c r="N1180" s="82"/>
    </row>
    <row r="1181">
      <c r="C1181" s="41"/>
      <c r="D1181" s="141"/>
      <c r="E1181" s="118"/>
      <c r="F1181" s="126"/>
      <c r="G1181" s="126"/>
      <c r="H1181" s="126"/>
      <c r="I1181" s="126"/>
      <c r="J1181" s="76"/>
      <c r="K1181" s="76"/>
      <c r="L1181" s="76"/>
      <c r="M1181" s="76"/>
      <c r="N1181" s="114"/>
    </row>
    <row r="1182">
      <c r="C1182" s="41"/>
      <c r="D1182" s="142"/>
      <c r="E1182" s="130"/>
      <c r="F1182" s="128"/>
      <c r="G1182" s="128"/>
      <c r="H1182" s="128"/>
      <c r="I1182" s="128"/>
      <c r="J1182" s="81"/>
      <c r="K1182" s="81"/>
      <c r="L1182" s="81"/>
      <c r="M1182" s="81"/>
      <c r="N1182" s="82"/>
    </row>
    <row r="1183">
      <c r="C1183" s="41"/>
      <c r="D1183" s="141"/>
      <c r="E1183" s="118"/>
      <c r="F1183" s="126"/>
      <c r="G1183" s="126"/>
      <c r="H1183" s="126"/>
      <c r="I1183" s="126"/>
      <c r="J1183" s="76"/>
      <c r="K1183" s="76"/>
      <c r="L1183" s="76"/>
      <c r="M1183" s="76"/>
      <c r="N1183" s="114"/>
    </row>
    <row r="1184">
      <c r="C1184" s="41"/>
      <c r="D1184" s="142"/>
      <c r="E1184" s="130"/>
      <c r="F1184" s="128"/>
      <c r="G1184" s="128"/>
      <c r="H1184" s="128"/>
      <c r="I1184" s="128"/>
      <c r="J1184" s="81"/>
      <c r="K1184" s="81"/>
      <c r="L1184" s="81"/>
      <c r="M1184" s="81"/>
      <c r="N1184" s="82"/>
    </row>
    <row r="1185">
      <c r="C1185" s="41"/>
      <c r="D1185" s="141"/>
      <c r="E1185" s="118"/>
      <c r="F1185" s="126"/>
      <c r="G1185" s="126"/>
      <c r="H1185" s="126"/>
      <c r="I1185" s="126"/>
      <c r="J1185" s="76"/>
      <c r="K1185" s="76"/>
      <c r="L1185" s="76"/>
      <c r="M1185" s="76"/>
      <c r="N1185" s="114"/>
    </row>
    <row r="1186">
      <c r="C1186" s="41"/>
      <c r="D1186" s="142"/>
      <c r="E1186" s="130"/>
      <c r="F1186" s="128"/>
      <c r="G1186" s="128"/>
      <c r="H1186" s="128"/>
      <c r="I1186" s="128"/>
      <c r="J1186" s="81"/>
      <c r="K1186" s="81"/>
      <c r="L1186" s="81"/>
      <c r="M1186" s="81"/>
      <c r="N1186" s="82"/>
    </row>
    <row r="1187">
      <c r="C1187" s="41"/>
      <c r="D1187" s="141"/>
      <c r="E1187" s="118"/>
      <c r="F1187" s="126"/>
      <c r="G1187" s="126"/>
      <c r="H1187" s="126"/>
      <c r="I1187" s="126"/>
      <c r="J1187" s="76"/>
      <c r="K1187" s="76"/>
      <c r="L1187" s="76"/>
      <c r="M1187" s="76"/>
      <c r="N1187" s="114"/>
    </row>
    <row r="1188">
      <c r="C1188" s="41"/>
      <c r="D1188" s="142"/>
      <c r="E1188" s="130"/>
      <c r="F1188" s="128"/>
      <c r="G1188" s="128"/>
      <c r="H1188" s="128"/>
      <c r="I1188" s="128"/>
      <c r="J1188" s="81"/>
      <c r="K1188" s="81"/>
      <c r="L1188" s="81"/>
      <c r="M1188" s="81"/>
      <c r="N1188" s="82"/>
    </row>
    <row r="1189">
      <c r="C1189" s="41"/>
      <c r="D1189" s="141"/>
      <c r="E1189" s="118"/>
      <c r="F1189" s="126"/>
      <c r="G1189" s="126"/>
      <c r="H1189" s="126"/>
      <c r="I1189" s="126"/>
      <c r="J1189" s="76"/>
      <c r="K1189" s="76"/>
      <c r="L1189" s="76"/>
      <c r="M1189" s="76"/>
      <c r="N1189" s="114"/>
    </row>
    <row r="1190">
      <c r="C1190" s="41"/>
      <c r="D1190" s="142"/>
      <c r="E1190" s="130"/>
      <c r="F1190" s="128"/>
      <c r="G1190" s="128"/>
      <c r="H1190" s="128"/>
      <c r="I1190" s="128"/>
      <c r="J1190" s="81"/>
      <c r="K1190" s="81"/>
      <c r="L1190" s="81"/>
      <c r="M1190" s="81"/>
      <c r="N1190" s="82"/>
    </row>
    <row r="1191">
      <c r="C1191" s="41"/>
      <c r="D1191" s="141"/>
      <c r="E1191" s="118"/>
      <c r="F1191" s="126"/>
      <c r="G1191" s="126"/>
      <c r="H1191" s="126"/>
      <c r="I1191" s="126"/>
      <c r="J1191" s="76"/>
      <c r="K1191" s="76"/>
      <c r="L1191" s="76"/>
      <c r="M1191" s="76"/>
      <c r="N1191" s="114"/>
    </row>
    <row r="1192">
      <c r="C1192" s="41"/>
      <c r="D1192" s="142"/>
      <c r="E1192" s="130"/>
      <c r="F1192" s="128"/>
      <c r="G1192" s="128"/>
      <c r="H1192" s="128"/>
      <c r="I1192" s="128"/>
      <c r="J1192" s="81"/>
      <c r="K1192" s="81"/>
      <c r="L1192" s="81"/>
      <c r="M1192" s="81"/>
      <c r="N1192" s="82"/>
    </row>
    <row r="1193">
      <c r="C1193" s="41"/>
      <c r="D1193" s="141"/>
      <c r="E1193" s="118"/>
      <c r="F1193" s="126"/>
      <c r="G1193" s="126"/>
      <c r="H1193" s="126"/>
      <c r="I1193" s="126"/>
      <c r="J1193" s="76"/>
      <c r="K1193" s="76"/>
      <c r="L1193" s="76"/>
      <c r="M1193" s="76"/>
      <c r="N1193" s="114"/>
    </row>
    <row r="1194">
      <c r="C1194" s="41"/>
      <c r="D1194" s="142"/>
      <c r="E1194" s="130"/>
      <c r="F1194" s="128"/>
      <c r="G1194" s="128"/>
      <c r="H1194" s="128"/>
      <c r="I1194" s="128"/>
      <c r="J1194" s="81"/>
      <c r="K1194" s="81"/>
      <c r="L1194" s="81"/>
      <c r="M1194" s="81"/>
      <c r="N1194" s="82"/>
    </row>
    <row r="1195">
      <c r="C1195" s="41"/>
      <c r="D1195" s="141"/>
      <c r="E1195" s="118"/>
      <c r="F1195" s="126"/>
      <c r="G1195" s="126"/>
      <c r="H1195" s="126"/>
      <c r="I1195" s="126"/>
      <c r="J1195" s="76"/>
      <c r="K1195" s="76"/>
      <c r="L1195" s="76"/>
      <c r="M1195" s="76"/>
      <c r="N1195" s="114"/>
    </row>
    <row r="1196">
      <c r="C1196" s="41"/>
      <c r="D1196" s="142"/>
      <c r="E1196" s="130"/>
      <c r="F1196" s="128"/>
      <c r="G1196" s="128"/>
      <c r="H1196" s="128"/>
      <c r="I1196" s="128"/>
      <c r="J1196" s="81"/>
      <c r="K1196" s="81"/>
      <c r="L1196" s="81"/>
      <c r="M1196" s="81"/>
      <c r="N1196" s="82"/>
    </row>
    <row r="1197">
      <c r="C1197" s="41"/>
      <c r="D1197" s="141"/>
      <c r="E1197" s="118"/>
      <c r="F1197" s="126"/>
      <c r="G1197" s="126"/>
      <c r="H1197" s="126"/>
      <c r="I1197" s="126"/>
      <c r="J1197" s="76"/>
      <c r="K1197" s="76"/>
      <c r="L1197" s="76"/>
      <c r="M1197" s="76"/>
      <c r="N1197" s="114"/>
    </row>
    <row r="1198">
      <c r="C1198" s="41"/>
      <c r="D1198" s="142"/>
      <c r="E1198" s="130"/>
      <c r="F1198" s="128"/>
      <c r="G1198" s="128"/>
      <c r="H1198" s="128"/>
      <c r="I1198" s="128"/>
      <c r="J1198" s="81"/>
      <c r="K1198" s="81"/>
      <c r="L1198" s="81"/>
      <c r="M1198" s="81"/>
      <c r="N1198" s="82"/>
    </row>
    <row r="1199">
      <c r="C1199" s="41"/>
      <c r="D1199" s="141"/>
      <c r="E1199" s="118"/>
      <c r="F1199" s="126"/>
      <c r="G1199" s="126"/>
      <c r="H1199" s="126"/>
      <c r="I1199" s="126"/>
      <c r="J1199" s="76"/>
      <c r="K1199" s="76"/>
      <c r="L1199" s="76"/>
      <c r="M1199" s="76"/>
      <c r="N1199" s="114"/>
    </row>
    <row r="1200">
      <c r="C1200" s="41"/>
      <c r="D1200" s="142"/>
      <c r="E1200" s="130"/>
      <c r="F1200" s="128"/>
      <c r="G1200" s="128"/>
      <c r="H1200" s="128"/>
      <c r="I1200" s="128"/>
      <c r="J1200" s="81"/>
      <c r="K1200" s="81"/>
      <c r="L1200" s="81"/>
      <c r="M1200" s="81"/>
      <c r="N1200" s="82"/>
    </row>
    <row r="1201">
      <c r="C1201" s="41"/>
      <c r="D1201" s="141"/>
      <c r="E1201" s="118"/>
      <c r="F1201" s="126"/>
      <c r="G1201" s="126"/>
      <c r="H1201" s="126"/>
      <c r="I1201" s="126"/>
      <c r="J1201" s="76"/>
      <c r="K1201" s="76"/>
      <c r="L1201" s="76"/>
      <c r="M1201" s="76"/>
      <c r="N1201" s="114"/>
    </row>
    <row r="1202">
      <c r="C1202" s="41"/>
      <c r="D1202" s="142"/>
      <c r="E1202" s="130"/>
      <c r="F1202" s="128"/>
      <c r="G1202" s="128"/>
      <c r="H1202" s="128"/>
      <c r="I1202" s="128"/>
      <c r="J1202" s="81"/>
      <c r="K1202" s="81"/>
      <c r="L1202" s="81"/>
      <c r="M1202" s="81"/>
      <c r="N1202" s="82"/>
    </row>
    <row r="1203">
      <c r="C1203" s="41"/>
      <c r="D1203" s="141"/>
      <c r="E1203" s="118"/>
      <c r="F1203" s="126"/>
      <c r="G1203" s="126"/>
      <c r="H1203" s="126"/>
      <c r="I1203" s="126"/>
      <c r="J1203" s="76"/>
      <c r="K1203" s="76"/>
      <c r="L1203" s="76"/>
      <c r="M1203" s="76"/>
      <c r="N1203" s="114"/>
    </row>
    <row r="1204">
      <c r="C1204" s="41"/>
      <c r="D1204" s="142"/>
      <c r="E1204" s="130"/>
      <c r="F1204" s="128"/>
      <c r="G1204" s="128"/>
      <c r="H1204" s="128"/>
      <c r="I1204" s="128"/>
      <c r="J1204" s="81"/>
      <c r="K1204" s="81"/>
      <c r="L1204" s="81"/>
      <c r="M1204" s="81"/>
      <c r="N1204" s="82"/>
    </row>
    <row r="1205">
      <c r="C1205" s="41"/>
      <c r="D1205" s="141"/>
      <c r="E1205" s="118"/>
      <c r="F1205" s="126"/>
      <c r="G1205" s="126"/>
      <c r="H1205" s="126"/>
      <c r="I1205" s="126"/>
      <c r="J1205" s="76"/>
      <c r="K1205" s="76"/>
      <c r="L1205" s="76"/>
      <c r="M1205" s="76"/>
      <c r="N1205" s="114"/>
    </row>
    <row r="1206">
      <c r="C1206" s="41"/>
      <c r="D1206" s="142"/>
      <c r="E1206" s="130"/>
      <c r="F1206" s="128"/>
      <c r="G1206" s="128"/>
      <c r="H1206" s="128"/>
      <c r="I1206" s="128"/>
      <c r="J1206" s="81"/>
      <c r="K1206" s="81"/>
      <c r="L1206" s="81"/>
      <c r="M1206" s="81"/>
      <c r="N1206" s="82"/>
    </row>
    <row r="1207">
      <c r="C1207" s="41"/>
      <c r="D1207" s="141"/>
      <c r="E1207" s="118"/>
      <c r="F1207" s="126"/>
      <c r="G1207" s="126"/>
      <c r="H1207" s="126"/>
      <c r="I1207" s="126"/>
      <c r="J1207" s="76"/>
      <c r="K1207" s="76"/>
      <c r="L1207" s="76"/>
      <c r="M1207" s="76"/>
      <c r="N1207" s="114"/>
    </row>
    <row r="1208">
      <c r="C1208" s="41"/>
      <c r="D1208" s="142"/>
      <c r="E1208" s="130"/>
      <c r="F1208" s="128"/>
      <c r="G1208" s="128"/>
      <c r="H1208" s="128"/>
      <c r="I1208" s="128"/>
      <c r="J1208" s="81"/>
      <c r="K1208" s="81"/>
      <c r="L1208" s="81"/>
      <c r="M1208" s="81"/>
      <c r="N1208" s="82"/>
    </row>
    <row r="1209">
      <c r="C1209" s="41"/>
      <c r="D1209" s="141"/>
      <c r="E1209" s="118"/>
      <c r="F1209" s="126"/>
      <c r="G1209" s="126"/>
      <c r="H1209" s="126"/>
      <c r="I1209" s="126"/>
      <c r="J1209" s="76"/>
      <c r="K1209" s="76"/>
      <c r="L1209" s="76"/>
      <c r="M1209" s="76"/>
      <c r="N1209" s="114"/>
    </row>
    <row r="1210">
      <c r="C1210" s="41"/>
      <c r="D1210" s="142"/>
      <c r="E1210" s="130"/>
      <c r="F1210" s="128"/>
      <c r="G1210" s="128"/>
      <c r="H1210" s="128"/>
      <c r="I1210" s="128"/>
      <c r="J1210" s="81"/>
      <c r="K1210" s="81"/>
      <c r="L1210" s="81"/>
      <c r="M1210" s="81"/>
      <c r="N1210" s="82"/>
    </row>
    <row r="1211">
      <c r="C1211" s="41"/>
      <c r="D1211" s="141"/>
      <c r="E1211" s="118"/>
      <c r="F1211" s="126"/>
      <c r="G1211" s="126"/>
      <c r="H1211" s="126"/>
      <c r="I1211" s="126"/>
      <c r="J1211" s="76"/>
      <c r="K1211" s="76"/>
      <c r="L1211" s="76"/>
      <c r="M1211" s="76"/>
      <c r="N1211" s="114"/>
    </row>
    <row r="1212">
      <c r="C1212" s="41"/>
      <c r="D1212" s="142"/>
      <c r="E1212" s="130"/>
      <c r="F1212" s="128"/>
      <c r="G1212" s="128"/>
      <c r="H1212" s="128"/>
      <c r="I1212" s="128"/>
      <c r="J1212" s="81"/>
      <c r="K1212" s="81"/>
      <c r="L1212" s="81"/>
      <c r="M1212" s="81"/>
      <c r="N1212" s="82"/>
    </row>
    <row r="1213">
      <c r="C1213" s="41"/>
      <c r="D1213" s="141"/>
      <c r="E1213" s="118"/>
      <c r="F1213" s="126"/>
      <c r="G1213" s="126"/>
      <c r="H1213" s="126"/>
      <c r="I1213" s="126"/>
      <c r="J1213" s="76"/>
      <c r="K1213" s="76"/>
      <c r="L1213" s="76"/>
      <c r="M1213" s="76"/>
      <c r="N1213" s="114"/>
    </row>
    <row r="1214">
      <c r="C1214" s="41"/>
      <c r="D1214" s="142"/>
      <c r="E1214" s="130"/>
      <c r="F1214" s="128"/>
      <c r="G1214" s="128"/>
      <c r="H1214" s="128"/>
      <c r="I1214" s="128"/>
      <c r="J1214" s="81"/>
      <c r="K1214" s="81"/>
      <c r="L1214" s="81"/>
      <c r="M1214" s="81"/>
      <c r="N1214" s="82"/>
    </row>
    <row r="1215">
      <c r="C1215" s="41"/>
      <c r="D1215" s="141"/>
      <c r="E1215" s="118"/>
      <c r="F1215" s="126"/>
      <c r="G1215" s="126"/>
      <c r="H1215" s="126"/>
      <c r="I1215" s="126"/>
      <c r="J1215" s="76"/>
      <c r="K1215" s="76"/>
      <c r="L1215" s="76"/>
      <c r="M1215" s="76"/>
      <c r="N1215" s="114"/>
    </row>
    <row r="1216">
      <c r="C1216" s="41"/>
      <c r="D1216" s="142"/>
      <c r="E1216" s="130"/>
      <c r="F1216" s="128"/>
      <c r="G1216" s="128"/>
      <c r="H1216" s="128"/>
      <c r="I1216" s="128"/>
      <c r="J1216" s="81"/>
      <c r="K1216" s="81"/>
      <c r="L1216" s="81"/>
      <c r="M1216" s="81"/>
      <c r="N1216" s="82"/>
    </row>
    <row r="1217">
      <c r="C1217" s="41"/>
      <c r="D1217" s="141"/>
      <c r="E1217" s="118"/>
      <c r="F1217" s="126"/>
      <c r="G1217" s="126"/>
      <c r="H1217" s="126"/>
      <c r="I1217" s="126"/>
      <c r="J1217" s="76"/>
      <c r="K1217" s="76"/>
      <c r="L1217" s="76"/>
      <c r="M1217" s="76"/>
      <c r="N1217" s="114"/>
    </row>
    <row r="1218">
      <c r="C1218" s="41"/>
      <c r="D1218" s="142"/>
      <c r="E1218" s="130"/>
      <c r="F1218" s="128"/>
      <c r="G1218" s="128"/>
      <c r="H1218" s="128"/>
      <c r="I1218" s="128"/>
      <c r="J1218" s="81"/>
      <c r="K1218" s="81"/>
      <c r="L1218" s="81"/>
      <c r="M1218" s="81"/>
      <c r="N1218" s="82"/>
    </row>
    <row r="1219">
      <c r="C1219" s="41"/>
      <c r="D1219" s="141"/>
      <c r="E1219" s="118"/>
      <c r="F1219" s="126"/>
      <c r="G1219" s="126"/>
      <c r="H1219" s="126"/>
      <c r="I1219" s="126"/>
      <c r="J1219" s="76"/>
      <c r="K1219" s="76"/>
      <c r="L1219" s="76"/>
      <c r="M1219" s="76"/>
      <c r="N1219" s="114"/>
    </row>
    <row r="1220">
      <c r="C1220" s="41"/>
      <c r="D1220" s="142"/>
      <c r="E1220" s="130"/>
      <c r="F1220" s="128"/>
      <c r="G1220" s="128"/>
      <c r="H1220" s="128"/>
      <c r="I1220" s="128"/>
      <c r="J1220" s="81"/>
      <c r="K1220" s="81"/>
      <c r="L1220" s="81"/>
      <c r="M1220" s="81"/>
      <c r="N1220" s="82"/>
    </row>
    <row r="1221">
      <c r="C1221" s="41"/>
      <c r="D1221" s="141"/>
      <c r="E1221" s="118"/>
      <c r="F1221" s="126"/>
      <c r="G1221" s="126"/>
      <c r="H1221" s="126"/>
      <c r="I1221" s="126"/>
      <c r="J1221" s="76"/>
      <c r="K1221" s="76"/>
      <c r="L1221" s="76"/>
      <c r="M1221" s="76"/>
      <c r="N1221" s="114"/>
    </row>
    <row r="1222">
      <c r="C1222" s="41"/>
      <c r="D1222" s="142"/>
      <c r="E1222" s="130"/>
      <c r="F1222" s="128"/>
      <c r="G1222" s="128"/>
      <c r="H1222" s="128"/>
      <c r="I1222" s="128"/>
      <c r="J1222" s="81"/>
      <c r="K1222" s="81"/>
      <c r="L1222" s="81"/>
      <c r="M1222" s="81"/>
      <c r="N1222" s="82"/>
    </row>
    <row r="1223">
      <c r="C1223" s="41"/>
      <c r="D1223" s="141"/>
      <c r="E1223" s="118"/>
      <c r="F1223" s="126"/>
      <c r="G1223" s="126"/>
      <c r="H1223" s="126"/>
      <c r="I1223" s="126"/>
      <c r="J1223" s="76"/>
      <c r="K1223" s="76"/>
      <c r="L1223" s="76"/>
      <c r="M1223" s="76"/>
      <c r="N1223" s="114"/>
    </row>
    <row r="1224">
      <c r="C1224" s="41"/>
      <c r="D1224" s="142"/>
      <c r="E1224" s="130"/>
      <c r="F1224" s="128"/>
      <c r="G1224" s="128"/>
      <c r="H1224" s="128"/>
      <c r="I1224" s="128"/>
      <c r="J1224" s="81"/>
      <c r="K1224" s="81"/>
      <c r="L1224" s="81"/>
      <c r="M1224" s="81"/>
      <c r="N1224" s="82"/>
    </row>
    <row r="1225">
      <c r="C1225" s="41"/>
      <c r="D1225" s="141"/>
      <c r="E1225" s="118"/>
      <c r="F1225" s="126"/>
      <c r="G1225" s="126"/>
      <c r="H1225" s="126"/>
      <c r="I1225" s="126"/>
      <c r="J1225" s="76"/>
      <c r="K1225" s="76"/>
      <c r="L1225" s="76"/>
      <c r="M1225" s="76"/>
      <c r="N1225" s="114"/>
    </row>
    <row r="1226">
      <c r="C1226" s="41"/>
      <c r="D1226" s="142"/>
      <c r="E1226" s="130"/>
      <c r="F1226" s="128"/>
      <c r="G1226" s="128"/>
      <c r="H1226" s="128"/>
      <c r="I1226" s="128"/>
      <c r="J1226" s="81"/>
      <c r="K1226" s="81"/>
      <c r="L1226" s="81"/>
      <c r="M1226" s="81"/>
      <c r="N1226" s="82"/>
    </row>
    <row r="1227">
      <c r="C1227" s="41"/>
      <c r="D1227" s="141"/>
      <c r="E1227" s="118"/>
      <c r="F1227" s="126"/>
      <c r="G1227" s="126"/>
      <c r="H1227" s="126"/>
      <c r="I1227" s="126"/>
      <c r="J1227" s="76"/>
      <c r="K1227" s="76"/>
      <c r="L1227" s="76"/>
      <c r="M1227" s="76"/>
      <c r="N1227" s="114"/>
    </row>
    <row r="1228">
      <c r="C1228" s="41"/>
      <c r="D1228" s="142"/>
      <c r="E1228" s="130"/>
      <c r="F1228" s="128"/>
      <c r="G1228" s="128"/>
      <c r="H1228" s="128"/>
      <c r="I1228" s="128"/>
      <c r="J1228" s="81"/>
      <c r="K1228" s="81"/>
      <c r="L1228" s="81"/>
      <c r="M1228" s="81"/>
      <c r="N1228" s="82"/>
    </row>
    <row r="1229">
      <c r="C1229" s="41"/>
      <c r="D1229" s="141"/>
      <c r="E1229" s="118"/>
      <c r="F1229" s="126"/>
      <c r="G1229" s="126"/>
      <c r="H1229" s="126"/>
      <c r="I1229" s="126"/>
      <c r="J1229" s="76"/>
      <c r="K1229" s="76"/>
      <c r="L1229" s="76"/>
      <c r="M1229" s="76"/>
      <c r="N1229" s="114"/>
    </row>
    <row r="1230">
      <c r="C1230" s="41"/>
      <c r="D1230" s="142"/>
      <c r="E1230" s="130"/>
      <c r="F1230" s="128"/>
      <c r="G1230" s="128"/>
      <c r="H1230" s="128"/>
      <c r="I1230" s="128"/>
      <c r="J1230" s="81"/>
      <c r="K1230" s="81"/>
      <c r="L1230" s="81"/>
      <c r="M1230" s="81"/>
      <c r="N1230" s="82"/>
    </row>
    <row r="1231">
      <c r="C1231" s="41"/>
      <c r="D1231" s="141"/>
      <c r="E1231" s="118"/>
      <c r="F1231" s="126"/>
      <c r="G1231" s="126"/>
      <c r="H1231" s="126"/>
      <c r="I1231" s="126"/>
      <c r="J1231" s="76"/>
      <c r="K1231" s="76"/>
      <c r="L1231" s="76"/>
      <c r="M1231" s="76"/>
      <c r="N1231" s="114"/>
    </row>
    <row r="1232">
      <c r="C1232" s="41"/>
      <c r="D1232" s="142"/>
      <c r="E1232" s="130"/>
      <c r="F1232" s="128"/>
      <c r="G1232" s="128"/>
      <c r="H1232" s="128"/>
      <c r="I1232" s="128"/>
      <c r="J1232" s="81"/>
      <c r="K1232" s="81"/>
      <c r="L1232" s="81"/>
      <c r="M1232" s="81"/>
      <c r="N1232" s="82"/>
    </row>
    <row r="1233">
      <c r="C1233" s="41"/>
      <c r="D1233" s="141"/>
      <c r="E1233" s="118"/>
      <c r="F1233" s="126"/>
      <c r="G1233" s="126"/>
      <c r="H1233" s="126"/>
      <c r="I1233" s="126"/>
      <c r="J1233" s="76"/>
      <c r="K1233" s="76"/>
      <c r="L1233" s="76"/>
      <c r="M1233" s="76"/>
      <c r="N1233" s="114"/>
    </row>
    <row r="1234">
      <c r="C1234" s="41"/>
      <c r="D1234" s="142"/>
      <c r="E1234" s="130"/>
      <c r="F1234" s="128"/>
      <c r="G1234" s="128"/>
      <c r="H1234" s="128"/>
      <c r="I1234" s="128"/>
      <c r="J1234" s="81"/>
      <c r="K1234" s="81"/>
      <c r="L1234" s="81"/>
      <c r="M1234" s="81"/>
      <c r="N1234" s="82"/>
    </row>
    <row r="1235">
      <c r="C1235" s="41"/>
      <c r="D1235" s="141"/>
      <c r="E1235" s="118"/>
      <c r="F1235" s="126"/>
      <c r="G1235" s="126"/>
      <c r="H1235" s="126"/>
      <c r="I1235" s="126"/>
      <c r="J1235" s="76"/>
      <c r="K1235" s="76"/>
      <c r="L1235" s="76"/>
      <c r="M1235" s="76"/>
      <c r="N1235" s="114"/>
    </row>
    <row r="1236">
      <c r="C1236" s="41"/>
      <c r="D1236" s="142"/>
      <c r="E1236" s="130"/>
      <c r="F1236" s="128"/>
      <c r="G1236" s="128"/>
      <c r="H1236" s="128"/>
      <c r="I1236" s="128"/>
      <c r="J1236" s="81"/>
      <c r="K1236" s="81"/>
      <c r="L1236" s="81"/>
      <c r="M1236" s="81"/>
      <c r="N1236" s="82"/>
    </row>
    <row r="1237">
      <c r="C1237" s="41"/>
      <c r="D1237" s="141"/>
      <c r="E1237" s="118"/>
      <c r="F1237" s="126"/>
      <c r="G1237" s="126"/>
      <c r="H1237" s="126"/>
      <c r="I1237" s="126"/>
      <c r="J1237" s="76"/>
      <c r="K1237" s="76"/>
      <c r="L1237" s="76"/>
      <c r="M1237" s="76"/>
      <c r="N1237" s="114"/>
    </row>
    <row r="1238">
      <c r="C1238" s="41"/>
      <c r="D1238" s="142"/>
      <c r="E1238" s="130"/>
      <c r="F1238" s="128"/>
      <c r="G1238" s="128"/>
      <c r="H1238" s="128"/>
      <c r="I1238" s="128"/>
      <c r="J1238" s="81"/>
      <c r="K1238" s="81"/>
      <c r="L1238" s="81"/>
      <c r="M1238" s="81"/>
      <c r="N1238" s="82"/>
    </row>
    <row r="1239">
      <c r="C1239" s="41"/>
      <c r="D1239" s="141"/>
      <c r="E1239" s="118"/>
      <c r="F1239" s="126"/>
      <c r="G1239" s="126"/>
      <c r="H1239" s="126"/>
      <c r="I1239" s="126"/>
      <c r="J1239" s="76"/>
      <c r="K1239" s="76"/>
      <c r="L1239" s="76"/>
      <c r="M1239" s="76"/>
      <c r="N1239" s="114"/>
    </row>
    <row r="1240">
      <c r="C1240" s="41"/>
      <c r="D1240" s="142"/>
      <c r="E1240" s="130"/>
      <c r="F1240" s="128"/>
      <c r="G1240" s="128"/>
      <c r="H1240" s="128"/>
      <c r="I1240" s="128"/>
      <c r="J1240" s="81"/>
      <c r="K1240" s="81"/>
      <c r="L1240" s="81"/>
      <c r="M1240" s="81"/>
      <c r="N1240" s="82"/>
    </row>
    <row r="1241">
      <c r="C1241" s="41"/>
      <c r="D1241" s="141"/>
      <c r="E1241" s="118"/>
      <c r="F1241" s="126"/>
      <c r="G1241" s="126"/>
      <c r="H1241" s="126"/>
      <c r="I1241" s="126"/>
      <c r="J1241" s="76"/>
      <c r="K1241" s="76"/>
      <c r="L1241" s="76"/>
      <c r="M1241" s="76"/>
      <c r="N1241" s="114"/>
    </row>
    <row r="1242">
      <c r="C1242" s="41"/>
      <c r="D1242" s="142"/>
      <c r="E1242" s="130"/>
      <c r="F1242" s="128"/>
      <c r="G1242" s="128"/>
      <c r="H1242" s="128"/>
      <c r="I1242" s="128"/>
      <c r="J1242" s="81"/>
      <c r="K1242" s="81"/>
      <c r="L1242" s="81"/>
      <c r="M1242" s="81"/>
      <c r="N1242" s="82"/>
    </row>
    <row r="1243">
      <c r="C1243" s="41"/>
      <c r="D1243" s="141"/>
      <c r="E1243" s="118"/>
      <c r="F1243" s="126"/>
      <c r="G1243" s="126"/>
      <c r="H1243" s="126"/>
      <c r="I1243" s="126"/>
      <c r="J1243" s="76"/>
      <c r="K1243" s="76"/>
      <c r="L1243" s="76"/>
      <c r="M1243" s="76"/>
      <c r="N1243" s="114"/>
    </row>
    <row r="1244">
      <c r="C1244" s="41"/>
      <c r="D1244" s="142"/>
      <c r="E1244" s="130"/>
      <c r="F1244" s="128"/>
      <c r="G1244" s="128"/>
      <c r="H1244" s="128"/>
      <c r="I1244" s="128"/>
      <c r="J1244" s="81"/>
      <c r="K1244" s="81"/>
      <c r="L1244" s="81"/>
      <c r="M1244" s="81"/>
      <c r="N1244" s="82"/>
    </row>
    <row r="1245">
      <c r="C1245" s="41"/>
      <c r="D1245" s="141"/>
      <c r="E1245" s="118"/>
      <c r="F1245" s="126"/>
      <c r="G1245" s="126"/>
      <c r="H1245" s="126"/>
      <c r="I1245" s="126"/>
      <c r="J1245" s="76"/>
      <c r="K1245" s="76"/>
      <c r="L1245" s="76"/>
      <c r="M1245" s="76"/>
      <c r="N1245" s="114"/>
    </row>
    <row r="1246">
      <c r="C1246" s="41"/>
      <c r="D1246" s="142"/>
      <c r="E1246" s="130"/>
      <c r="F1246" s="128"/>
      <c r="G1246" s="128"/>
      <c r="H1246" s="128"/>
      <c r="I1246" s="128"/>
      <c r="J1246" s="81"/>
      <c r="K1246" s="81"/>
      <c r="L1246" s="81"/>
      <c r="M1246" s="81"/>
      <c r="N1246" s="82"/>
    </row>
    <row r="1247">
      <c r="C1247" s="41"/>
      <c r="D1247" s="141"/>
      <c r="E1247" s="118"/>
      <c r="F1247" s="126"/>
      <c r="G1247" s="126"/>
      <c r="H1247" s="126"/>
      <c r="I1247" s="126"/>
      <c r="J1247" s="76"/>
      <c r="K1247" s="76"/>
      <c r="L1247" s="76"/>
      <c r="M1247" s="76"/>
      <c r="N1247" s="114"/>
    </row>
    <row r="1248">
      <c r="C1248" s="41"/>
      <c r="D1248" s="142"/>
      <c r="E1248" s="130"/>
      <c r="F1248" s="128"/>
      <c r="G1248" s="128"/>
      <c r="H1248" s="128"/>
      <c r="I1248" s="128"/>
      <c r="J1248" s="81"/>
      <c r="K1248" s="81"/>
      <c r="L1248" s="81"/>
      <c r="M1248" s="81"/>
      <c r="N1248" s="82"/>
    </row>
    <row r="1249">
      <c r="C1249" s="41"/>
      <c r="D1249" s="141"/>
      <c r="E1249" s="118"/>
      <c r="F1249" s="126"/>
      <c r="G1249" s="126"/>
      <c r="H1249" s="126"/>
      <c r="I1249" s="126"/>
      <c r="J1249" s="76"/>
      <c r="K1249" s="76"/>
      <c r="L1249" s="76"/>
      <c r="M1249" s="76"/>
      <c r="N1249" s="114"/>
    </row>
    <row r="1250">
      <c r="C1250" s="41"/>
      <c r="D1250" s="142"/>
      <c r="E1250" s="130"/>
      <c r="F1250" s="128"/>
      <c r="G1250" s="128"/>
      <c r="H1250" s="128"/>
      <c r="I1250" s="128"/>
      <c r="J1250" s="81"/>
      <c r="K1250" s="81"/>
      <c r="L1250" s="81"/>
      <c r="M1250" s="81"/>
      <c r="N1250" s="82"/>
    </row>
    <row r="1251">
      <c r="C1251" s="41"/>
      <c r="D1251" s="141"/>
      <c r="E1251" s="118"/>
      <c r="F1251" s="126"/>
      <c r="G1251" s="126"/>
      <c r="H1251" s="126"/>
      <c r="I1251" s="126"/>
      <c r="J1251" s="76"/>
      <c r="K1251" s="76"/>
      <c r="L1251" s="76"/>
      <c r="M1251" s="76"/>
      <c r="N1251" s="114"/>
    </row>
    <row r="1252">
      <c r="C1252" s="41"/>
      <c r="D1252" s="142"/>
      <c r="E1252" s="130"/>
      <c r="F1252" s="128"/>
      <c r="G1252" s="128"/>
      <c r="H1252" s="128"/>
      <c r="I1252" s="128"/>
      <c r="J1252" s="81"/>
      <c r="K1252" s="81"/>
      <c r="L1252" s="81"/>
      <c r="M1252" s="81"/>
      <c r="N1252" s="82"/>
    </row>
    <row r="1253">
      <c r="C1253" s="41"/>
      <c r="D1253" s="141"/>
      <c r="E1253" s="118"/>
      <c r="F1253" s="126"/>
      <c r="G1253" s="126"/>
      <c r="H1253" s="126"/>
      <c r="I1253" s="126"/>
      <c r="J1253" s="76"/>
      <c r="K1253" s="76"/>
      <c r="L1253" s="76"/>
      <c r="M1253" s="76"/>
      <c r="N1253" s="114"/>
    </row>
    <row r="1254">
      <c r="C1254" s="41"/>
      <c r="D1254" s="142"/>
      <c r="E1254" s="130"/>
      <c r="F1254" s="128"/>
      <c r="G1254" s="128"/>
      <c r="H1254" s="128"/>
      <c r="I1254" s="128"/>
      <c r="J1254" s="81"/>
      <c r="K1254" s="81"/>
      <c r="L1254" s="81"/>
      <c r="M1254" s="81"/>
      <c r="N1254" s="82"/>
    </row>
    <row r="1255">
      <c r="C1255" s="41"/>
      <c r="D1255" s="141"/>
      <c r="E1255" s="118"/>
      <c r="F1255" s="126"/>
      <c r="G1255" s="126"/>
      <c r="H1255" s="126"/>
      <c r="I1255" s="126"/>
      <c r="J1255" s="76"/>
      <c r="K1255" s="76"/>
      <c r="L1255" s="76"/>
      <c r="M1255" s="76"/>
      <c r="N1255" s="114"/>
    </row>
    <row r="1256">
      <c r="C1256" s="41"/>
      <c r="D1256" s="142"/>
      <c r="E1256" s="130"/>
      <c r="F1256" s="128"/>
      <c r="G1256" s="128"/>
      <c r="H1256" s="128"/>
      <c r="I1256" s="128"/>
      <c r="J1256" s="81"/>
      <c r="K1256" s="81"/>
      <c r="L1256" s="81"/>
      <c r="M1256" s="81"/>
      <c r="N1256" s="82"/>
    </row>
    <row r="1257">
      <c r="C1257" s="41"/>
      <c r="D1257" s="141"/>
      <c r="E1257" s="118"/>
      <c r="F1257" s="126"/>
      <c r="G1257" s="126"/>
      <c r="H1257" s="126"/>
      <c r="I1257" s="126"/>
      <c r="J1257" s="76"/>
      <c r="K1257" s="76"/>
      <c r="L1257" s="76"/>
      <c r="M1257" s="76"/>
      <c r="N1257" s="114"/>
    </row>
    <row r="1258">
      <c r="C1258" s="41"/>
      <c r="D1258" s="142"/>
      <c r="E1258" s="130"/>
      <c r="F1258" s="128"/>
      <c r="G1258" s="128"/>
      <c r="H1258" s="128"/>
      <c r="I1258" s="128"/>
      <c r="J1258" s="81"/>
      <c r="K1258" s="81"/>
      <c r="L1258" s="81"/>
      <c r="M1258" s="81"/>
      <c r="N1258" s="82"/>
    </row>
    <row r="1259">
      <c r="C1259" s="41"/>
      <c r="D1259" s="141"/>
      <c r="E1259" s="118"/>
      <c r="F1259" s="126"/>
      <c r="G1259" s="126"/>
      <c r="H1259" s="126"/>
      <c r="I1259" s="126"/>
      <c r="J1259" s="76"/>
      <c r="K1259" s="76"/>
      <c r="L1259" s="76"/>
      <c r="M1259" s="76"/>
      <c r="N1259" s="114"/>
    </row>
    <row r="1260">
      <c r="C1260" s="41"/>
      <c r="D1260" s="142"/>
      <c r="E1260" s="130"/>
      <c r="F1260" s="128"/>
      <c r="G1260" s="128"/>
      <c r="H1260" s="128"/>
      <c r="I1260" s="128"/>
      <c r="J1260" s="81"/>
      <c r="K1260" s="81"/>
      <c r="L1260" s="81"/>
      <c r="M1260" s="81"/>
      <c r="N1260" s="82"/>
    </row>
    <row r="1261">
      <c r="C1261" s="41"/>
      <c r="D1261" s="141"/>
      <c r="E1261" s="118"/>
      <c r="F1261" s="126"/>
      <c r="G1261" s="126"/>
      <c r="H1261" s="126"/>
      <c r="I1261" s="126"/>
      <c r="J1261" s="76"/>
      <c r="K1261" s="76"/>
      <c r="L1261" s="76"/>
      <c r="M1261" s="76"/>
      <c r="N1261" s="114"/>
    </row>
    <row r="1262">
      <c r="C1262" s="41"/>
      <c r="D1262" s="142"/>
      <c r="E1262" s="130"/>
      <c r="F1262" s="128"/>
      <c r="G1262" s="128"/>
      <c r="H1262" s="128"/>
      <c r="I1262" s="128"/>
      <c r="J1262" s="81"/>
      <c r="K1262" s="81"/>
      <c r="L1262" s="81"/>
      <c r="M1262" s="81"/>
      <c r="N1262" s="82"/>
    </row>
    <row r="1263">
      <c r="C1263" s="41"/>
      <c r="D1263" s="141"/>
      <c r="E1263" s="118"/>
      <c r="F1263" s="126"/>
      <c r="G1263" s="126"/>
      <c r="H1263" s="126"/>
      <c r="I1263" s="126"/>
      <c r="J1263" s="76"/>
      <c r="K1263" s="76"/>
      <c r="L1263" s="76"/>
      <c r="M1263" s="76"/>
      <c r="N1263" s="114"/>
    </row>
    <row r="1264">
      <c r="C1264" s="41"/>
      <c r="D1264" s="142"/>
      <c r="E1264" s="130"/>
      <c r="F1264" s="128"/>
      <c r="G1264" s="128"/>
      <c r="H1264" s="128"/>
      <c r="I1264" s="128"/>
      <c r="J1264" s="81"/>
      <c r="K1264" s="81"/>
      <c r="L1264" s="81"/>
      <c r="M1264" s="81"/>
      <c r="N1264" s="82"/>
    </row>
    <row r="1265">
      <c r="C1265" s="41"/>
      <c r="D1265" s="141"/>
      <c r="E1265" s="118"/>
      <c r="F1265" s="126"/>
      <c r="G1265" s="126"/>
      <c r="H1265" s="126"/>
      <c r="I1265" s="126"/>
      <c r="J1265" s="76"/>
      <c r="K1265" s="76"/>
      <c r="L1265" s="76"/>
      <c r="M1265" s="76"/>
      <c r="N1265" s="114"/>
    </row>
    <row r="1266">
      <c r="C1266" s="41"/>
      <c r="D1266" s="142"/>
      <c r="E1266" s="130"/>
      <c r="F1266" s="128"/>
      <c r="G1266" s="128"/>
      <c r="H1266" s="128"/>
      <c r="I1266" s="128"/>
      <c r="J1266" s="81"/>
      <c r="K1266" s="81"/>
      <c r="L1266" s="81"/>
      <c r="M1266" s="81"/>
      <c r="N1266" s="82"/>
    </row>
    <row r="1267">
      <c r="C1267" s="41"/>
      <c r="D1267" s="141"/>
      <c r="E1267" s="118"/>
      <c r="F1267" s="126"/>
      <c r="G1267" s="126"/>
      <c r="H1267" s="126"/>
      <c r="I1267" s="126"/>
      <c r="J1267" s="76"/>
      <c r="K1267" s="76"/>
      <c r="L1267" s="76"/>
      <c r="M1267" s="76"/>
      <c r="N1267" s="114"/>
    </row>
    <row r="1268">
      <c r="C1268" s="41"/>
      <c r="D1268" s="142"/>
      <c r="E1268" s="130"/>
      <c r="F1268" s="128"/>
      <c r="G1268" s="128"/>
      <c r="H1268" s="128"/>
      <c r="I1268" s="128"/>
      <c r="J1268" s="81"/>
      <c r="K1268" s="81"/>
      <c r="L1268" s="81"/>
      <c r="M1268" s="81"/>
      <c r="N1268" s="82"/>
    </row>
    <row r="1269">
      <c r="C1269" s="41"/>
      <c r="D1269" s="141"/>
      <c r="E1269" s="118"/>
      <c r="F1269" s="126"/>
      <c r="G1269" s="126"/>
      <c r="H1269" s="126"/>
      <c r="I1269" s="126"/>
      <c r="J1269" s="76"/>
      <c r="K1269" s="76"/>
      <c r="L1269" s="76"/>
      <c r="M1269" s="76"/>
      <c r="N1269" s="114"/>
    </row>
    <row r="1270">
      <c r="C1270" s="41"/>
      <c r="D1270" s="142"/>
      <c r="E1270" s="130"/>
      <c r="F1270" s="128"/>
      <c r="G1270" s="128"/>
      <c r="H1270" s="128"/>
      <c r="I1270" s="128"/>
      <c r="J1270" s="81"/>
      <c r="K1270" s="81"/>
      <c r="L1270" s="81"/>
      <c r="M1270" s="81"/>
      <c r="N1270" s="82"/>
    </row>
    <row r="1271">
      <c r="C1271" s="41"/>
      <c r="D1271" s="141"/>
      <c r="E1271" s="118"/>
      <c r="F1271" s="126"/>
      <c r="G1271" s="126"/>
      <c r="H1271" s="126"/>
      <c r="I1271" s="126"/>
      <c r="J1271" s="76"/>
      <c r="K1271" s="76"/>
      <c r="L1271" s="76"/>
      <c r="M1271" s="76"/>
      <c r="N1271" s="114"/>
    </row>
    <row r="1272">
      <c r="C1272" s="41"/>
      <c r="D1272" s="142"/>
      <c r="E1272" s="130"/>
      <c r="F1272" s="128"/>
      <c r="G1272" s="128"/>
      <c r="H1272" s="128"/>
      <c r="I1272" s="128"/>
      <c r="J1272" s="81"/>
      <c r="K1272" s="81"/>
      <c r="L1272" s="81"/>
      <c r="M1272" s="81"/>
      <c r="N1272" s="82"/>
    </row>
    <row r="1273">
      <c r="C1273" s="41"/>
      <c r="D1273" s="141"/>
      <c r="E1273" s="118"/>
      <c r="F1273" s="126"/>
      <c r="G1273" s="126"/>
      <c r="H1273" s="126"/>
      <c r="I1273" s="126"/>
      <c r="J1273" s="76"/>
      <c r="K1273" s="76"/>
      <c r="L1273" s="76"/>
      <c r="M1273" s="76"/>
      <c r="N1273" s="114"/>
    </row>
    <row r="1274">
      <c r="C1274" s="41"/>
      <c r="D1274" s="142"/>
      <c r="E1274" s="130"/>
      <c r="F1274" s="128"/>
      <c r="G1274" s="128"/>
      <c r="H1274" s="128"/>
      <c r="I1274" s="128"/>
      <c r="J1274" s="81"/>
      <c r="K1274" s="81"/>
      <c r="L1274" s="81"/>
      <c r="M1274" s="81"/>
      <c r="N1274" s="82"/>
    </row>
    <row r="1275">
      <c r="C1275" s="41"/>
      <c r="D1275" s="141"/>
      <c r="E1275" s="118"/>
      <c r="F1275" s="126"/>
      <c r="G1275" s="126"/>
      <c r="H1275" s="126"/>
      <c r="I1275" s="126"/>
      <c r="J1275" s="76"/>
      <c r="K1275" s="76"/>
      <c r="L1275" s="76"/>
      <c r="M1275" s="76"/>
      <c r="N1275" s="114"/>
    </row>
    <row r="1276">
      <c r="C1276" s="41"/>
      <c r="D1276" s="142"/>
      <c r="E1276" s="130"/>
      <c r="F1276" s="128"/>
      <c r="G1276" s="128"/>
      <c r="H1276" s="128"/>
      <c r="I1276" s="128"/>
      <c r="J1276" s="81"/>
      <c r="K1276" s="81"/>
      <c r="L1276" s="81"/>
      <c r="M1276" s="81"/>
      <c r="N1276" s="82"/>
    </row>
    <row r="1277">
      <c r="C1277" s="41"/>
      <c r="D1277" s="141"/>
      <c r="E1277" s="118"/>
      <c r="F1277" s="126"/>
      <c r="G1277" s="126"/>
      <c r="H1277" s="126"/>
      <c r="I1277" s="126"/>
      <c r="J1277" s="76"/>
      <c r="K1277" s="76"/>
      <c r="L1277" s="76"/>
      <c r="M1277" s="76"/>
      <c r="N1277" s="114"/>
    </row>
    <row r="1278">
      <c r="C1278" s="41"/>
      <c r="D1278" s="142"/>
      <c r="E1278" s="130"/>
      <c r="F1278" s="128"/>
      <c r="G1278" s="128"/>
      <c r="H1278" s="128"/>
      <c r="I1278" s="128"/>
      <c r="J1278" s="81"/>
      <c r="K1278" s="81"/>
      <c r="L1278" s="81"/>
      <c r="M1278" s="81"/>
      <c r="N1278" s="82"/>
    </row>
    <row r="1279">
      <c r="C1279" s="41"/>
      <c r="D1279" s="141"/>
      <c r="E1279" s="118"/>
      <c r="F1279" s="126"/>
      <c r="G1279" s="126"/>
      <c r="H1279" s="126"/>
      <c r="I1279" s="126"/>
      <c r="J1279" s="76"/>
      <c r="K1279" s="76"/>
      <c r="L1279" s="76"/>
      <c r="M1279" s="76"/>
      <c r="N1279" s="114"/>
    </row>
    <row r="1280">
      <c r="C1280" s="41"/>
      <c r="D1280" s="142"/>
      <c r="E1280" s="130"/>
      <c r="F1280" s="128"/>
      <c r="G1280" s="128"/>
      <c r="H1280" s="128"/>
      <c r="I1280" s="128"/>
      <c r="J1280" s="81"/>
      <c r="K1280" s="81"/>
      <c r="L1280" s="81"/>
      <c r="M1280" s="81"/>
      <c r="N1280" s="82"/>
    </row>
    <row r="1281">
      <c r="C1281" s="41"/>
      <c r="D1281" s="141"/>
      <c r="E1281" s="118"/>
      <c r="F1281" s="126"/>
      <c r="G1281" s="126"/>
      <c r="H1281" s="126"/>
      <c r="I1281" s="126"/>
      <c r="J1281" s="76"/>
      <c r="K1281" s="76"/>
      <c r="L1281" s="76"/>
      <c r="M1281" s="76"/>
      <c r="N1281" s="114"/>
    </row>
    <row r="1282">
      <c r="C1282" s="41"/>
      <c r="D1282" s="142"/>
      <c r="E1282" s="130"/>
      <c r="F1282" s="128"/>
      <c r="G1282" s="128"/>
      <c r="H1282" s="128"/>
      <c r="I1282" s="128"/>
      <c r="J1282" s="81"/>
      <c r="K1282" s="81"/>
      <c r="L1282" s="81"/>
      <c r="M1282" s="81"/>
      <c r="N1282" s="82"/>
    </row>
    <row r="1283">
      <c r="C1283" s="41"/>
      <c r="D1283" s="141"/>
      <c r="E1283" s="118"/>
      <c r="F1283" s="126"/>
      <c r="G1283" s="126"/>
      <c r="H1283" s="126"/>
      <c r="I1283" s="126"/>
      <c r="J1283" s="76"/>
      <c r="K1283" s="76"/>
      <c r="L1283" s="76"/>
      <c r="M1283" s="76"/>
      <c r="N1283" s="114"/>
    </row>
    <row r="1284">
      <c r="C1284" s="41"/>
      <c r="D1284" s="142"/>
      <c r="E1284" s="130"/>
      <c r="F1284" s="128"/>
      <c r="G1284" s="128"/>
      <c r="H1284" s="128"/>
      <c r="I1284" s="128"/>
      <c r="J1284" s="81"/>
      <c r="K1284" s="81"/>
      <c r="L1284" s="81"/>
      <c r="M1284" s="81"/>
      <c r="N1284" s="82"/>
    </row>
    <row r="1285">
      <c r="C1285" s="41"/>
      <c r="D1285" s="141"/>
      <c r="E1285" s="118"/>
      <c r="F1285" s="126"/>
      <c r="G1285" s="126"/>
      <c r="H1285" s="126"/>
      <c r="I1285" s="126"/>
      <c r="J1285" s="76"/>
      <c r="K1285" s="76"/>
      <c r="L1285" s="76"/>
      <c r="M1285" s="76"/>
      <c r="N1285" s="114"/>
    </row>
    <row r="1286">
      <c r="C1286" s="41"/>
      <c r="D1286" s="142"/>
      <c r="E1286" s="130"/>
      <c r="F1286" s="128"/>
      <c r="G1286" s="128"/>
      <c r="H1286" s="128"/>
      <c r="I1286" s="128"/>
      <c r="J1286" s="81"/>
      <c r="K1286" s="81"/>
      <c r="L1286" s="81"/>
      <c r="M1286" s="81"/>
      <c r="N1286" s="82"/>
    </row>
    <row r="1287">
      <c r="C1287" s="41"/>
      <c r="D1287" s="141"/>
      <c r="E1287" s="118"/>
      <c r="F1287" s="126"/>
      <c r="G1287" s="126"/>
      <c r="H1287" s="126"/>
      <c r="I1287" s="126"/>
      <c r="J1287" s="76"/>
      <c r="K1287" s="76"/>
      <c r="L1287" s="76"/>
      <c r="M1287" s="76"/>
      <c r="N1287" s="114"/>
    </row>
    <row r="1288">
      <c r="C1288" s="41"/>
      <c r="D1288" s="142"/>
      <c r="E1288" s="130"/>
      <c r="F1288" s="128"/>
      <c r="G1288" s="128"/>
      <c r="H1288" s="128"/>
      <c r="I1288" s="128"/>
      <c r="J1288" s="81"/>
      <c r="K1288" s="81"/>
      <c r="L1288" s="81"/>
      <c r="M1288" s="81"/>
      <c r="N1288" s="82"/>
    </row>
    <row r="1289">
      <c r="C1289" s="41"/>
      <c r="D1289" s="141"/>
      <c r="E1289" s="118"/>
      <c r="F1289" s="126"/>
      <c r="G1289" s="126"/>
      <c r="H1289" s="126"/>
      <c r="I1289" s="126"/>
      <c r="J1289" s="76"/>
      <c r="K1289" s="76"/>
      <c r="L1289" s="76"/>
      <c r="M1289" s="76"/>
      <c r="N1289" s="114"/>
    </row>
    <row r="1290">
      <c r="C1290" s="41"/>
      <c r="D1290" s="142"/>
      <c r="E1290" s="130"/>
      <c r="F1290" s="128"/>
      <c r="G1290" s="128"/>
      <c r="H1290" s="128"/>
      <c r="I1290" s="128"/>
      <c r="J1290" s="81"/>
      <c r="K1290" s="81"/>
      <c r="L1290" s="81"/>
      <c r="M1290" s="81"/>
      <c r="N1290" s="82"/>
    </row>
    <row r="1291">
      <c r="C1291" s="41"/>
      <c r="D1291" s="141"/>
      <c r="E1291" s="118"/>
      <c r="F1291" s="126"/>
      <c r="G1291" s="126"/>
      <c r="H1291" s="126"/>
      <c r="I1291" s="126"/>
      <c r="J1291" s="76"/>
      <c r="K1291" s="76"/>
      <c r="L1291" s="76"/>
      <c r="M1291" s="76"/>
      <c r="N1291" s="114"/>
    </row>
    <row r="1292">
      <c r="C1292" s="41"/>
      <c r="D1292" s="142"/>
      <c r="E1292" s="130"/>
      <c r="F1292" s="128"/>
      <c r="G1292" s="128"/>
      <c r="H1292" s="128"/>
      <c r="I1292" s="128"/>
      <c r="J1292" s="81"/>
      <c r="K1292" s="81"/>
      <c r="L1292" s="81"/>
      <c r="M1292" s="81"/>
      <c r="N1292" s="82"/>
    </row>
    <row r="1293">
      <c r="C1293" s="41"/>
      <c r="D1293" s="141"/>
      <c r="E1293" s="118"/>
      <c r="F1293" s="126"/>
      <c r="G1293" s="126"/>
      <c r="H1293" s="126"/>
      <c r="I1293" s="126"/>
      <c r="J1293" s="76"/>
      <c r="K1293" s="76"/>
      <c r="L1293" s="76"/>
      <c r="M1293" s="76"/>
      <c r="N1293" s="114"/>
    </row>
    <row r="1294">
      <c r="C1294" s="41"/>
      <c r="D1294" s="142"/>
      <c r="E1294" s="130"/>
      <c r="F1294" s="128"/>
      <c r="G1294" s="128"/>
      <c r="H1294" s="128"/>
      <c r="I1294" s="128"/>
      <c r="J1294" s="81"/>
      <c r="K1294" s="81"/>
      <c r="L1294" s="81"/>
      <c r="M1294" s="81"/>
      <c r="N1294" s="82"/>
    </row>
    <row r="1295">
      <c r="C1295" s="41"/>
      <c r="D1295" s="141"/>
      <c r="E1295" s="118"/>
      <c r="F1295" s="126"/>
      <c r="G1295" s="126"/>
      <c r="H1295" s="126"/>
      <c r="I1295" s="126"/>
      <c r="J1295" s="76"/>
      <c r="K1295" s="76"/>
      <c r="L1295" s="76"/>
      <c r="M1295" s="76"/>
      <c r="N1295" s="114"/>
    </row>
    <row r="1296">
      <c r="C1296" s="41"/>
      <c r="D1296" s="142"/>
      <c r="E1296" s="130"/>
      <c r="F1296" s="128"/>
      <c r="G1296" s="128"/>
      <c r="H1296" s="128"/>
      <c r="I1296" s="128"/>
      <c r="J1296" s="81"/>
      <c r="K1296" s="81"/>
      <c r="L1296" s="81"/>
      <c r="M1296" s="81"/>
      <c r="N1296" s="82"/>
    </row>
    <row r="1297">
      <c r="C1297" s="41"/>
      <c r="D1297" s="141"/>
      <c r="E1297" s="118"/>
      <c r="F1297" s="126"/>
      <c r="G1297" s="126"/>
      <c r="H1297" s="126"/>
      <c r="I1297" s="126"/>
      <c r="J1297" s="76"/>
      <c r="K1297" s="76"/>
      <c r="L1297" s="76"/>
      <c r="M1297" s="76"/>
      <c r="N1297" s="114"/>
    </row>
    <row r="1298">
      <c r="C1298" s="41"/>
      <c r="D1298" s="142"/>
      <c r="E1298" s="130"/>
      <c r="F1298" s="128"/>
      <c r="G1298" s="128"/>
      <c r="H1298" s="128"/>
      <c r="I1298" s="128"/>
      <c r="J1298" s="81"/>
      <c r="K1298" s="81"/>
      <c r="L1298" s="81"/>
      <c r="M1298" s="81"/>
      <c r="N1298" s="82"/>
    </row>
    <row r="1299">
      <c r="C1299" s="41"/>
      <c r="D1299" s="141"/>
      <c r="E1299" s="118"/>
      <c r="F1299" s="126"/>
      <c r="G1299" s="126"/>
      <c r="H1299" s="126"/>
      <c r="I1299" s="126"/>
      <c r="J1299" s="76"/>
      <c r="K1299" s="76"/>
      <c r="L1299" s="76"/>
      <c r="M1299" s="76"/>
      <c r="N1299" s="114"/>
    </row>
    <row r="1300">
      <c r="C1300" s="41"/>
      <c r="D1300" s="142"/>
      <c r="E1300" s="130"/>
      <c r="F1300" s="128"/>
      <c r="G1300" s="128"/>
      <c r="H1300" s="128"/>
      <c r="I1300" s="128"/>
      <c r="J1300" s="81"/>
      <c r="K1300" s="81"/>
      <c r="L1300" s="81"/>
      <c r="M1300" s="81"/>
      <c r="N1300" s="82"/>
    </row>
    <row r="1301">
      <c r="C1301" s="41"/>
      <c r="D1301" s="141"/>
      <c r="E1301" s="118"/>
      <c r="F1301" s="126"/>
      <c r="G1301" s="126"/>
      <c r="H1301" s="126"/>
      <c r="I1301" s="126"/>
      <c r="J1301" s="76"/>
      <c r="K1301" s="76"/>
      <c r="L1301" s="76"/>
      <c r="M1301" s="76"/>
      <c r="N1301" s="114"/>
    </row>
    <row r="1302">
      <c r="C1302" s="41"/>
      <c r="D1302" s="142"/>
      <c r="E1302" s="130"/>
      <c r="F1302" s="128"/>
      <c r="G1302" s="128"/>
      <c r="H1302" s="128"/>
      <c r="I1302" s="128"/>
      <c r="J1302" s="81"/>
      <c r="K1302" s="81"/>
      <c r="L1302" s="81"/>
      <c r="M1302" s="81"/>
      <c r="N1302" s="82"/>
    </row>
    <row r="1303">
      <c r="C1303" s="41"/>
      <c r="D1303" s="141"/>
      <c r="E1303" s="118"/>
      <c r="F1303" s="126"/>
      <c r="G1303" s="126"/>
      <c r="H1303" s="126"/>
      <c r="I1303" s="126"/>
      <c r="J1303" s="76"/>
      <c r="K1303" s="76"/>
      <c r="L1303" s="76"/>
      <c r="M1303" s="76"/>
      <c r="N1303" s="114"/>
    </row>
    <row r="1304">
      <c r="C1304" s="41"/>
      <c r="D1304" s="142"/>
      <c r="E1304" s="130"/>
      <c r="F1304" s="128"/>
      <c r="G1304" s="128"/>
      <c r="H1304" s="128"/>
      <c r="I1304" s="128"/>
      <c r="J1304" s="81"/>
      <c r="K1304" s="81"/>
      <c r="L1304" s="81"/>
      <c r="M1304" s="81"/>
      <c r="N1304" s="82"/>
    </row>
    <row r="1305">
      <c r="C1305" s="41"/>
      <c r="D1305" s="141"/>
      <c r="E1305" s="118"/>
      <c r="F1305" s="126"/>
      <c r="G1305" s="126"/>
      <c r="H1305" s="126"/>
      <c r="I1305" s="126"/>
      <c r="J1305" s="76"/>
      <c r="K1305" s="76"/>
      <c r="L1305" s="76"/>
      <c r="M1305" s="76"/>
      <c r="N1305" s="114"/>
    </row>
    <row r="1306">
      <c r="C1306" s="41"/>
      <c r="D1306" s="142"/>
      <c r="E1306" s="130"/>
      <c r="F1306" s="128"/>
      <c r="G1306" s="128"/>
      <c r="H1306" s="128"/>
      <c r="I1306" s="128"/>
      <c r="J1306" s="81"/>
      <c r="K1306" s="81"/>
      <c r="L1306" s="81"/>
      <c r="M1306" s="81"/>
      <c r="N1306" s="82"/>
    </row>
    <row r="1307">
      <c r="C1307" s="41"/>
      <c r="D1307" s="141"/>
      <c r="E1307" s="118"/>
      <c r="F1307" s="126"/>
      <c r="G1307" s="126"/>
      <c r="H1307" s="126"/>
      <c r="I1307" s="126"/>
      <c r="J1307" s="76"/>
      <c r="K1307" s="76"/>
      <c r="L1307" s="76"/>
      <c r="M1307" s="76"/>
      <c r="N1307" s="114"/>
    </row>
    <row r="1308">
      <c r="C1308" s="41"/>
      <c r="D1308" s="142"/>
      <c r="E1308" s="130"/>
      <c r="F1308" s="128"/>
      <c r="G1308" s="128"/>
      <c r="H1308" s="128"/>
      <c r="I1308" s="128"/>
      <c r="J1308" s="81"/>
      <c r="K1308" s="81"/>
      <c r="L1308" s="81"/>
      <c r="M1308" s="81"/>
      <c r="N1308" s="82"/>
    </row>
    <row r="1309">
      <c r="C1309" s="41"/>
      <c r="D1309" s="141"/>
      <c r="E1309" s="118"/>
      <c r="F1309" s="126"/>
      <c r="G1309" s="126"/>
      <c r="H1309" s="126"/>
      <c r="I1309" s="126"/>
      <c r="J1309" s="76"/>
      <c r="K1309" s="76"/>
      <c r="L1309" s="76"/>
      <c r="M1309" s="76"/>
      <c r="N1309" s="114"/>
    </row>
    <row r="1310">
      <c r="C1310" s="41"/>
      <c r="D1310" s="142"/>
      <c r="E1310" s="130"/>
      <c r="F1310" s="128"/>
      <c r="G1310" s="128"/>
      <c r="H1310" s="128"/>
      <c r="I1310" s="128"/>
      <c r="J1310" s="81"/>
      <c r="K1310" s="81"/>
      <c r="L1310" s="81"/>
      <c r="M1310" s="81"/>
      <c r="N1310" s="82"/>
    </row>
    <row r="1311">
      <c r="C1311" s="41"/>
      <c r="D1311" s="141"/>
      <c r="E1311" s="118"/>
      <c r="F1311" s="126"/>
      <c r="G1311" s="126"/>
      <c r="H1311" s="126"/>
      <c r="I1311" s="126"/>
      <c r="J1311" s="76"/>
      <c r="K1311" s="76"/>
      <c r="L1311" s="76"/>
      <c r="M1311" s="76"/>
      <c r="N1311" s="114"/>
    </row>
    <row r="1312">
      <c r="C1312" s="41"/>
      <c r="D1312" s="142"/>
      <c r="E1312" s="130"/>
      <c r="F1312" s="128"/>
      <c r="G1312" s="128"/>
      <c r="H1312" s="128"/>
      <c r="I1312" s="128"/>
      <c r="J1312" s="81"/>
      <c r="K1312" s="81"/>
      <c r="L1312" s="81"/>
      <c r="M1312" s="81"/>
      <c r="N1312" s="82"/>
    </row>
    <row r="1313">
      <c r="C1313" s="41"/>
      <c r="D1313" s="141"/>
      <c r="E1313" s="118"/>
      <c r="F1313" s="126"/>
      <c r="G1313" s="126"/>
      <c r="H1313" s="126"/>
      <c r="I1313" s="126"/>
      <c r="J1313" s="76"/>
      <c r="K1313" s="76"/>
      <c r="L1313" s="76"/>
      <c r="M1313" s="76"/>
      <c r="N1313" s="114"/>
    </row>
    <row r="1314">
      <c r="C1314" s="41"/>
      <c r="D1314" s="142"/>
      <c r="E1314" s="130"/>
      <c r="F1314" s="128"/>
      <c r="G1314" s="128"/>
      <c r="H1314" s="128"/>
      <c r="I1314" s="128"/>
      <c r="J1314" s="81"/>
      <c r="K1314" s="81"/>
      <c r="L1314" s="81"/>
      <c r="M1314" s="81"/>
      <c r="N1314" s="82"/>
    </row>
    <row r="1315">
      <c r="C1315" s="41"/>
      <c r="D1315" s="141"/>
      <c r="E1315" s="118"/>
      <c r="F1315" s="126"/>
      <c r="G1315" s="126"/>
      <c r="H1315" s="126"/>
      <c r="I1315" s="126"/>
      <c r="J1315" s="76"/>
      <c r="K1315" s="76"/>
      <c r="L1315" s="76"/>
      <c r="M1315" s="76"/>
      <c r="N1315" s="114"/>
    </row>
    <row r="1316">
      <c r="C1316" s="41"/>
      <c r="D1316" s="142"/>
      <c r="E1316" s="130"/>
      <c r="F1316" s="128"/>
      <c r="G1316" s="128"/>
      <c r="H1316" s="128"/>
      <c r="I1316" s="128"/>
      <c r="J1316" s="81"/>
      <c r="K1316" s="81"/>
      <c r="L1316" s="81"/>
      <c r="M1316" s="81"/>
      <c r="N1316" s="82"/>
    </row>
    <row r="1317">
      <c r="C1317" s="41"/>
      <c r="D1317" s="141"/>
      <c r="E1317" s="118"/>
      <c r="F1317" s="126"/>
      <c r="G1317" s="126"/>
      <c r="H1317" s="126"/>
      <c r="I1317" s="126"/>
      <c r="J1317" s="76"/>
      <c r="K1317" s="76"/>
      <c r="L1317" s="76"/>
      <c r="M1317" s="76"/>
      <c r="N1317" s="114"/>
    </row>
    <row r="1318">
      <c r="C1318" s="41"/>
      <c r="D1318" s="142"/>
      <c r="E1318" s="130"/>
      <c r="F1318" s="128"/>
      <c r="G1318" s="128"/>
      <c r="H1318" s="128"/>
      <c r="I1318" s="128"/>
      <c r="J1318" s="81"/>
      <c r="K1318" s="81"/>
      <c r="L1318" s="81"/>
      <c r="M1318" s="81"/>
      <c r="N1318" s="82"/>
    </row>
    <row r="1319">
      <c r="C1319" s="41"/>
      <c r="D1319" s="141"/>
      <c r="E1319" s="118"/>
      <c r="F1319" s="126"/>
      <c r="G1319" s="126"/>
      <c r="H1319" s="126"/>
      <c r="I1319" s="126"/>
      <c r="J1319" s="76"/>
      <c r="K1319" s="76"/>
      <c r="L1319" s="76"/>
      <c r="M1319" s="76"/>
      <c r="N1319" s="114"/>
    </row>
    <row r="1320">
      <c r="C1320" s="41"/>
      <c r="D1320" s="142"/>
      <c r="E1320" s="130"/>
      <c r="F1320" s="128"/>
      <c r="G1320" s="128"/>
      <c r="H1320" s="128"/>
      <c r="I1320" s="128"/>
      <c r="J1320" s="81"/>
      <c r="K1320" s="81"/>
      <c r="L1320" s="81"/>
      <c r="M1320" s="81"/>
      <c r="N1320" s="82"/>
    </row>
    <row r="1321">
      <c r="C1321" s="41"/>
      <c r="D1321" s="141"/>
      <c r="E1321" s="118"/>
      <c r="F1321" s="126"/>
      <c r="G1321" s="126"/>
      <c r="H1321" s="126"/>
      <c r="I1321" s="126"/>
      <c r="J1321" s="76"/>
      <c r="K1321" s="76"/>
      <c r="L1321" s="76"/>
      <c r="M1321" s="76"/>
      <c r="N1321" s="114"/>
    </row>
    <row r="1322">
      <c r="C1322" s="41"/>
      <c r="D1322" s="142"/>
      <c r="E1322" s="130"/>
      <c r="F1322" s="128"/>
      <c r="G1322" s="128"/>
      <c r="H1322" s="128"/>
      <c r="I1322" s="128"/>
      <c r="J1322" s="81"/>
      <c r="K1322" s="81"/>
      <c r="L1322" s="81"/>
      <c r="M1322" s="81"/>
      <c r="N1322" s="82"/>
    </row>
    <row r="1323">
      <c r="C1323" s="41"/>
      <c r="D1323" s="141"/>
      <c r="E1323" s="118"/>
      <c r="F1323" s="126"/>
      <c r="G1323" s="126"/>
      <c r="H1323" s="126"/>
      <c r="I1323" s="126"/>
      <c r="J1323" s="76"/>
      <c r="K1323" s="76"/>
      <c r="L1323" s="76"/>
      <c r="M1323" s="76"/>
      <c r="N1323" s="114"/>
    </row>
    <row r="1324">
      <c r="C1324" s="41"/>
      <c r="D1324" s="142"/>
      <c r="E1324" s="130"/>
      <c r="F1324" s="128"/>
      <c r="G1324" s="128"/>
      <c r="H1324" s="128"/>
      <c r="I1324" s="128"/>
      <c r="J1324" s="81"/>
      <c r="K1324" s="81"/>
      <c r="L1324" s="81"/>
      <c r="M1324" s="81"/>
      <c r="N1324" s="82"/>
    </row>
    <row r="1325">
      <c r="C1325" s="41"/>
      <c r="D1325" s="141"/>
      <c r="E1325" s="118"/>
      <c r="F1325" s="126"/>
      <c r="G1325" s="126"/>
      <c r="H1325" s="126"/>
      <c r="I1325" s="126"/>
      <c r="J1325" s="76"/>
      <c r="K1325" s="76"/>
      <c r="L1325" s="76"/>
      <c r="M1325" s="76"/>
      <c r="N1325" s="114"/>
    </row>
    <row r="1326">
      <c r="C1326" s="41"/>
      <c r="D1326" s="142"/>
      <c r="E1326" s="130"/>
      <c r="F1326" s="128"/>
      <c r="G1326" s="128"/>
      <c r="H1326" s="128"/>
      <c r="I1326" s="128"/>
      <c r="J1326" s="81"/>
      <c r="K1326" s="81"/>
      <c r="L1326" s="81"/>
      <c r="M1326" s="81"/>
      <c r="N1326" s="82"/>
    </row>
    <row r="1327">
      <c r="C1327" s="41"/>
      <c r="D1327" s="141"/>
      <c r="E1327" s="118"/>
      <c r="F1327" s="126"/>
      <c r="G1327" s="126"/>
      <c r="H1327" s="126"/>
      <c r="I1327" s="126"/>
      <c r="J1327" s="76"/>
      <c r="K1327" s="76"/>
      <c r="L1327" s="76"/>
      <c r="M1327" s="76"/>
      <c r="N1327" s="114"/>
    </row>
    <row r="1328">
      <c r="C1328" s="41"/>
      <c r="D1328" s="142"/>
      <c r="E1328" s="130"/>
      <c r="F1328" s="128"/>
      <c r="G1328" s="128"/>
      <c r="H1328" s="128"/>
      <c r="I1328" s="128"/>
      <c r="J1328" s="81"/>
      <c r="K1328" s="81"/>
      <c r="L1328" s="81"/>
      <c r="M1328" s="81"/>
      <c r="N1328" s="82"/>
    </row>
    <row r="1329">
      <c r="C1329" s="41"/>
      <c r="D1329" s="141"/>
      <c r="E1329" s="118"/>
      <c r="F1329" s="126"/>
      <c r="G1329" s="126"/>
      <c r="H1329" s="126"/>
      <c r="I1329" s="126"/>
      <c r="J1329" s="76"/>
      <c r="K1329" s="76"/>
      <c r="L1329" s="76"/>
      <c r="M1329" s="76"/>
      <c r="N1329" s="114"/>
    </row>
    <row r="1330">
      <c r="C1330" s="41"/>
      <c r="D1330" s="142"/>
      <c r="E1330" s="130"/>
      <c r="F1330" s="128"/>
      <c r="G1330" s="128"/>
      <c r="H1330" s="128"/>
      <c r="I1330" s="128"/>
      <c r="J1330" s="81"/>
      <c r="K1330" s="81"/>
      <c r="L1330" s="81"/>
      <c r="M1330" s="81"/>
      <c r="N1330" s="82"/>
    </row>
    <row r="1331">
      <c r="C1331" s="41"/>
      <c r="D1331" s="141"/>
      <c r="E1331" s="118"/>
      <c r="F1331" s="126"/>
      <c r="G1331" s="126"/>
      <c r="H1331" s="126"/>
      <c r="I1331" s="126"/>
      <c r="J1331" s="76"/>
      <c r="K1331" s="76"/>
      <c r="L1331" s="76"/>
      <c r="M1331" s="76"/>
      <c r="N1331" s="114"/>
    </row>
    <row r="1332">
      <c r="C1332" s="41"/>
      <c r="D1332" s="142"/>
      <c r="E1332" s="130"/>
      <c r="F1332" s="128"/>
      <c r="G1332" s="128"/>
      <c r="H1332" s="128"/>
      <c r="I1332" s="128"/>
      <c r="J1332" s="81"/>
      <c r="K1332" s="81"/>
      <c r="L1332" s="81"/>
      <c r="M1332" s="81"/>
      <c r="N1332" s="82"/>
    </row>
    <row r="1333">
      <c r="C1333" s="41"/>
      <c r="D1333" s="141"/>
      <c r="E1333" s="118"/>
      <c r="F1333" s="126"/>
      <c r="G1333" s="126"/>
      <c r="H1333" s="126"/>
      <c r="I1333" s="126"/>
      <c r="J1333" s="76"/>
      <c r="K1333" s="76"/>
      <c r="L1333" s="76"/>
      <c r="M1333" s="76"/>
      <c r="N1333" s="114"/>
    </row>
    <row r="1334">
      <c r="C1334" s="41"/>
      <c r="D1334" s="142"/>
      <c r="E1334" s="130"/>
      <c r="F1334" s="128"/>
      <c r="G1334" s="128"/>
      <c r="H1334" s="128"/>
      <c r="I1334" s="128"/>
      <c r="J1334" s="81"/>
      <c r="K1334" s="81"/>
      <c r="L1334" s="81"/>
      <c r="M1334" s="81"/>
      <c r="N1334" s="82"/>
    </row>
    <row r="1335">
      <c r="C1335" s="41"/>
      <c r="D1335" s="141"/>
      <c r="E1335" s="118"/>
      <c r="F1335" s="126"/>
      <c r="G1335" s="126"/>
      <c r="H1335" s="126"/>
      <c r="I1335" s="126"/>
      <c r="J1335" s="76"/>
      <c r="K1335" s="76"/>
      <c r="L1335" s="76"/>
      <c r="M1335" s="76"/>
      <c r="N1335" s="114"/>
    </row>
    <row r="1336">
      <c r="C1336" s="41"/>
      <c r="D1336" s="142"/>
      <c r="E1336" s="130"/>
      <c r="F1336" s="128"/>
      <c r="G1336" s="128"/>
      <c r="H1336" s="128"/>
      <c r="I1336" s="128"/>
      <c r="J1336" s="81"/>
      <c r="K1336" s="81"/>
      <c r="L1336" s="81"/>
      <c r="M1336" s="81"/>
      <c r="N1336" s="82"/>
    </row>
    <row r="1337">
      <c r="C1337" s="41"/>
      <c r="D1337" s="141"/>
      <c r="E1337" s="118"/>
      <c r="F1337" s="126"/>
      <c r="G1337" s="126"/>
      <c r="H1337" s="126"/>
      <c r="I1337" s="126"/>
      <c r="J1337" s="76"/>
      <c r="K1337" s="76"/>
      <c r="L1337" s="76"/>
      <c r="M1337" s="76"/>
      <c r="N1337" s="114"/>
    </row>
    <row r="1338">
      <c r="C1338" s="41"/>
      <c r="D1338" s="142"/>
      <c r="E1338" s="130"/>
      <c r="F1338" s="128"/>
      <c r="G1338" s="128"/>
      <c r="H1338" s="128"/>
      <c r="I1338" s="128"/>
      <c r="J1338" s="81"/>
      <c r="K1338" s="81"/>
      <c r="L1338" s="81"/>
      <c r="M1338" s="81"/>
      <c r="N1338" s="82"/>
    </row>
    <row r="1339">
      <c r="C1339" s="41"/>
      <c r="D1339" s="141"/>
      <c r="E1339" s="118"/>
      <c r="F1339" s="126"/>
      <c r="G1339" s="126"/>
      <c r="H1339" s="126"/>
      <c r="I1339" s="126"/>
      <c r="J1339" s="76"/>
      <c r="K1339" s="76"/>
      <c r="L1339" s="76"/>
      <c r="M1339" s="76"/>
      <c r="N1339" s="114"/>
    </row>
    <row r="1340">
      <c r="C1340" s="41"/>
      <c r="D1340" s="142"/>
      <c r="E1340" s="130"/>
      <c r="F1340" s="128"/>
      <c r="G1340" s="128"/>
      <c r="H1340" s="128"/>
      <c r="I1340" s="128"/>
      <c r="J1340" s="81"/>
      <c r="K1340" s="81"/>
      <c r="L1340" s="81"/>
      <c r="M1340" s="81"/>
      <c r="N1340" s="82"/>
    </row>
    <row r="1341">
      <c r="C1341" s="41"/>
      <c r="D1341" s="141"/>
      <c r="E1341" s="118"/>
      <c r="F1341" s="126"/>
      <c r="G1341" s="126"/>
      <c r="H1341" s="126"/>
      <c r="I1341" s="126"/>
      <c r="J1341" s="76"/>
      <c r="K1341" s="76"/>
      <c r="L1341" s="76"/>
      <c r="M1341" s="76"/>
      <c r="N1341" s="114"/>
    </row>
    <row r="1342">
      <c r="C1342" s="41"/>
      <c r="D1342" s="142"/>
      <c r="E1342" s="130"/>
      <c r="F1342" s="128"/>
      <c r="G1342" s="128"/>
      <c r="H1342" s="128"/>
      <c r="I1342" s="128"/>
      <c r="J1342" s="81"/>
      <c r="K1342" s="81"/>
      <c r="L1342" s="81"/>
      <c r="M1342" s="81"/>
      <c r="N1342" s="82"/>
    </row>
    <row r="1343">
      <c r="C1343" s="41"/>
      <c r="D1343" s="141"/>
      <c r="E1343" s="118"/>
      <c r="F1343" s="126"/>
      <c r="G1343" s="126"/>
      <c r="H1343" s="126"/>
      <c r="I1343" s="126"/>
      <c r="J1343" s="76"/>
      <c r="K1343" s="76"/>
      <c r="L1343" s="76"/>
      <c r="M1343" s="76"/>
      <c r="N1343" s="114"/>
    </row>
    <row r="1344">
      <c r="C1344" s="41"/>
      <c r="D1344" s="142"/>
      <c r="E1344" s="130"/>
      <c r="F1344" s="128"/>
      <c r="G1344" s="128"/>
      <c r="H1344" s="128"/>
      <c r="I1344" s="128"/>
      <c r="J1344" s="81"/>
      <c r="K1344" s="81"/>
      <c r="L1344" s="81"/>
      <c r="M1344" s="81"/>
      <c r="N1344" s="82"/>
    </row>
    <row r="1345">
      <c r="C1345" s="41"/>
      <c r="D1345" s="141"/>
      <c r="E1345" s="118"/>
      <c r="F1345" s="126"/>
      <c r="G1345" s="126"/>
      <c r="H1345" s="126"/>
      <c r="I1345" s="126"/>
      <c r="J1345" s="76"/>
      <c r="K1345" s="76"/>
      <c r="L1345" s="76"/>
      <c r="M1345" s="76"/>
      <c r="N1345" s="114"/>
    </row>
    <row r="1346">
      <c r="C1346" s="41"/>
      <c r="D1346" s="142"/>
      <c r="E1346" s="130"/>
      <c r="F1346" s="128"/>
      <c r="G1346" s="128"/>
      <c r="H1346" s="128"/>
      <c r="I1346" s="128"/>
      <c r="J1346" s="81"/>
      <c r="K1346" s="81"/>
      <c r="L1346" s="81"/>
      <c r="M1346" s="81"/>
      <c r="N1346" s="82"/>
    </row>
    <row r="1347">
      <c r="C1347" s="41"/>
      <c r="D1347" s="141"/>
      <c r="E1347" s="118"/>
      <c r="F1347" s="126"/>
      <c r="G1347" s="126"/>
      <c r="H1347" s="126"/>
      <c r="I1347" s="126"/>
      <c r="J1347" s="76"/>
      <c r="K1347" s="76"/>
      <c r="L1347" s="76"/>
      <c r="M1347" s="76"/>
      <c r="N1347" s="114"/>
    </row>
    <row r="1348">
      <c r="C1348" s="41"/>
      <c r="D1348" s="142"/>
      <c r="E1348" s="130"/>
      <c r="F1348" s="128"/>
      <c r="G1348" s="128"/>
      <c r="H1348" s="128"/>
      <c r="I1348" s="128"/>
      <c r="J1348" s="81"/>
      <c r="K1348" s="81"/>
      <c r="L1348" s="81"/>
      <c r="M1348" s="81"/>
      <c r="N1348" s="82"/>
    </row>
    <row r="1349">
      <c r="C1349" s="41"/>
      <c r="D1349" s="141"/>
      <c r="E1349" s="118"/>
      <c r="F1349" s="126"/>
      <c r="G1349" s="126"/>
      <c r="H1349" s="126"/>
      <c r="I1349" s="126"/>
      <c r="J1349" s="76"/>
      <c r="K1349" s="76"/>
      <c r="L1349" s="76"/>
      <c r="M1349" s="76"/>
      <c r="N1349" s="114"/>
    </row>
    <row r="1350">
      <c r="C1350" s="41"/>
      <c r="D1350" s="142"/>
      <c r="E1350" s="130"/>
      <c r="F1350" s="128"/>
      <c r="G1350" s="128"/>
      <c r="H1350" s="128"/>
      <c r="I1350" s="128"/>
      <c r="J1350" s="81"/>
      <c r="K1350" s="81"/>
      <c r="L1350" s="81"/>
      <c r="M1350" s="81"/>
      <c r="N1350" s="82"/>
    </row>
    <row r="1351">
      <c r="C1351" s="41"/>
      <c r="D1351" s="141"/>
      <c r="E1351" s="118"/>
      <c r="F1351" s="126"/>
      <c r="G1351" s="126"/>
      <c r="H1351" s="126"/>
      <c r="I1351" s="126"/>
      <c r="J1351" s="76"/>
      <c r="K1351" s="76"/>
      <c r="L1351" s="76"/>
      <c r="M1351" s="76"/>
      <c r="N1351" s="114"/>
    </row>
    <row r="1352">
      <c r="C1352" s="41"/>
      <c r="D1352" s="142"/>
      <c r="E1352" s="130"/>
      <c r="F1352" s="128"/>
      <c r="G1352" s="128"/>
      <c r="H1352" s="128"/>
      <c r="I1352" s="128"/>
      <c r="J1352" s="81"/>
      <c r="K1352" s="81"/>
      <c r="L1352" s="81"/>
      <c r="M1352" s="81"/>
      <c r="N1352" s="82"/>
    </row>
    <row r="1353">
      <c r="C1353" s="41"/>
      <c r="D1353" s="141"/>
      <c r="E1353" s="118"/>
      <c r="F1353" s="126"/>
      <c r="G1353" s="126"/>
      <c r="H1353" s="126"/>
      <c r="I1353" s="126"/>
      <c r="J1353" s="76"/>
      <c r="K1353" s="76"/>
      <c r="L1353" s="76"/>
      <c r="M1353" s="76"/>
      <c r="N1353" s="114"/>
    </row>
    <row r="1354">
      <c r="C1354" s="41"/>
      <c r="D1354" s="142"/>
      <c r="E1354" s="130"/>
      <c r="F1354" s="128"/>
      <c r="G1354" s="128"/>
      <c r="H1354" s="128"/>
      <c r="I1354" s="128"/>
      <c r="J1354" s="81"/>
      <c r="K1354" s="81"/>
      <c r="L1354" s="81"/>
      <c r="M1354" s="81"/>
      <c r="N1354" s="82"/>
    </row>
    <row r="1355">
      <c r="C1355" s="41"/>
      <c r="D1355" s="141"/>
      <c r="E1355" s="118"/>
      <c r="F1355" s="126"/>
      <c r="G1355" s="126"/>
      <c r="H1355" s="126"/>
      <c r="I1355" s="126"/>
      <c r="J1355" s="76"/>
      <c r="K1355" s="76"/>
      <c r="L1355" s="76"/>
      <c r="M1355" s="76"/>
      <c r="N1355" s="114"/>
    </row>
    <row r="1356">
      <c r="C1356" s="41"/>
      <c r="D1356" s="142"/>
      <c r="E1356" s="130"/>
      <c r="F1356" s="128"/>
      <c r="G1356" s="128"/>
      <c r="H1356" s="128"/>
      <c r="I1356" s="128"/>
      <c r="J1356" s="81"/>
      <c r="K1356" s="81"/>
      <c r="L1356" s="81"/>
      <c r="M1356" s="81"/>
      <c r="N1356" s="82"/>
    </row>
    <row r="1357">
      <c r="C1357" s="41"/>
      <c r="D1357" s="141"/>
      <c r="E1357" s="118"/>
      <c r="F1357" s="126"/>
      <c r="G1357" s="126"/>
      <c r="H1357" s="126"/>
      <c r="I1357" s="126"/>
      <c r="J1357" s="76"/>
      <c r="K1357" s="76"/>
      <c r="L1357" s="76"/>
      <c r="M1357" s="76"/>
      <c r="N1357" s="114"/>
    </row>
    <row r="1358">
      <c r="C1358" s="41"/>
      <c r="D1358" s="142"/>
      <c r="E1358" s="130"/>
      <c r="F1358" s="128"/>
      <c r="G1358" s="128"/>
      <c r="H1358" s="128"/>
      <c r="I1358" s="128"/>
      <c r="J1358" s="81"/>
      <c r="K1358" s="81"/>
      <c r="L1358" s="81"/>
      <c r="M1358" s="81"/>
      <c r="N1358" s="82"/>
    </row>
    <row r="1359">
      <c r="C1359" s="41"/>
      <c r="D1359" s="141"/>
      <c r="E1359" s="118"/>
      <c r="F1359" s="126"/>
      <c r="G1359" s="126"/>
      <c r="H1359" s="126"/>
      <c r="I1359" s="126"/>
      <c r="J1359" s="76"/>
      <c r="K1359" s="76"/>
      <c r="L1359" s="76"/>
      <c r="M1359" s="76"/>
      <c r="N1359" s="114"/>
    </row>
    <row r="1360">
      <c r="C1360" s="41"/>
      <c r="D1360" s="142"/>
      <c r="E1360" s="130"/>
      <c r="F1360" s="128"/>
      <c r="G1360" s="128"/>
      <c r="H1360" s="128"/>
      <c r="I1360" s="128"/>
      <c r="J1360" s="81"/>
      <c r="K1360" s="81"/>
      <c r="L1360" s="81"/>
      <c r="M1360" s="81"/>
      <c r="N1360" s="82"/>
    </row>
    <row r="1361">
      <c r="C1361" s="41"/>
      <c r="D1361" s="141"/>
      <c r="E1361" s="118"/>
      <c r="F1361" s="126"/>
      <c r="G1361" s="126"/>
      <c r="H1361" s="126"/>
      <c r="I1361" s="126"/>
      <c r="J1361" s="76"/>
      <c r="K1361" s="76"/>
      <c r="L1361" s="76"/>
      <c r="M1361" s="76"/>
      <c r="N1361" s="114"/>
    </row>
    <row r="1362">
      <c r="C1362" s="41"/>
      <c r="D1362" s="142"/>
      <c r="E1362" s="130"/>
      <c r="F1362" s="128"/>
      <c r="G1362" s="128"/>
      <c r="H1362" s="128"/>
      <c r="I1362" s="128"/>
      <c r="J1362" s="81"/>
      <c r="K1362" s="81"/>
      <c r="L1362" s="81"/>
      <c r="M1362" s="81"/>
      <c r="N1362" s="82"/>
    </row>
    <row r="1363">
      <c r="C1363" s="41"/>
      <c r="D1363" s="141"/>
      <c r="E1363" s="118"/>
      <c r="F1363" s="126"/>
      <c r="G1363" s="126"/>
      <c r="H1363" s="126"/>
      <c r="I1363" s="126"/>
      <c r="J1363" s="76"/>
      <c r="K1363" s="76"/>
      <c r="L1363" s="76"/>
      <c r="M1363" s="76"/>
      <c r="N1363" s="114"/>
    </row>
    <row r="1364">
      <c r="C1364" s="41"/>
      <c r="D1364" s="142"/>
      <c r="E1364" s="130"/>
      <c r="F1364" s="128"/>
      <c r="G1364" s="128"/>
      <c r="H1364" s="128"/>
      <c r="I1364" s="128"/>
      <c r="J1364" s="81"/>
      <c r="K1364" s="81"/>
      <c r="L1364" s="81"/>
      <c r="M1364" s="81"/>
      <c r="N1364" s="82"/>
    </row>
    <row r="1365">
      <c r="C1365" s="41"/>
      <c r="D1365" s="141"/>
      <c r="E1365" s="118"/>
      <c r="F1365" s="126"/>
      <c r="G1365" s="126"/>
      <c r="H1365" s="126"/>
      <c r="I1365" s="126"/>
      <c r="J1365" s="76"/>
      <c r="K1365" s="76"/>
      <c r="L1365" s="76"/>
      <c r="M1365" s="76"/>
      <c r="N1365" s="114"/>
    </row>
    <row r="1366">
      <c r="C1366" s="41"/>
      <c r="D1366" s="142"/>
      <c r="E1366" s="130"/>
      <c r="F1366" s="128"/>
      <c r="G1366" s="128"/>
      <c r="H1366" s="128"/>
      <c r="I1366" s="128"/>
      <c r="J1366" s="81"/>
      <c r="K1366" s="81"/>
      <c r="L1366" s="81"/>
      <c r="M1366" s="81"/>
      <c r="N1366" s="82"/>
    </row>
    <row r="1367">
      <c r="C1367" s="41"/>
      <c r="D1367" s="141"/>
      <c r="E1367" s="118"/>
      <c r="F1367" s="126"/>
      <c r="G1367" s="126"/>
      <c r="H1367" s="126"/>
      <c r="I1367" s="126"/>
      <c r="J1367" s="76"/>
      <c r="K1367" s="76"/>
      <c r="L1367" s="76"/>
      <c r="M1367" s="76"/>
      <c r="N1367" s="114"/>
    </row>
    <row r="1368">
      <c r="C1368" s="41"/>
      <c r="D1368" s="142"/>
      <c r="E1368" s="130"/>
      <c r="F1368" s="128"/>
      <c r="G1368" s="128"/>
      <c r="H1368" s="128"/>
      <c r="I1368" s="128"/>
      <c r="J1368" s="81"/>
      <c r="K1368" s="81"/>
      <c r="L1368" s="81"/>
      <c r="M1368" s="81"/>
      <c r="N1368" s="82"/>
    </row>
    <row r="1369">
      <c r="C1369" s="41"/>
      <c r="D1369" s="141"/>
      <c r="E1369" s="118"/>
      <c r="F1369" s="126"/>
      <c r="G1369" s="126"/>
      <c r="H1369" s="126"/>
      <c r="I1369" s="126"/>
      <c r="J1369" s="76"/>
      <c r="K1369" s="76"/>
      <c r="L1369" s="76"/>
      <c r="M1369" s="76"/>
      <c r="N1369" s="114"/>
    </row>
    <row r="1370">
      <c r="C1370" s="41"/>
      <c r="D1370" s="142"/>
      <c r="E1370" s="130"/>
      <c r="F1370" s="128"/>
      <c r="G1370" s="128"/>
      <c r="H1370" s="128"/>
      <c r="I1370" s="128"/>
      <c r="J1370" s="81"/>
      <c r="K1370" s="81"/>
      <c r="L1370" s="81"/>
      <c r="M1370" s="81"/>
      <c r="N1370" s="82"/>
    </row>
    <row r="1371">
      <c r="C1371" s="41"/>
      <c r="D1371" s="141"/>
      <c r="E1371" s="118"/>
      <c r="F1371" s="126"/>
      <c r="G1371" s="126"/>
      <c r="H1371" s="126"/>
      <c r="I1371" s="126"/>
      <c r="J1371" s="76"/>
      <c r="K1371" s="76"/>
      <c r="L1371" s="76"/>
      <c r="M1371" s="76"/>
      <c r="N1371" s="114"/>
    </row>
    <row r="1372">
      <c r="C1372" s="41"/>
      <c r="D1372" s="142"/>
      <c r="E1372" s="130"/>
      <c r="F1372" s="128"/>
      <c r="G1372" s="128"/>
      <c r="H1372" s="128"/>
      <c r="I1372" s="128"/>
      <c r="J1372" s="81"/>
      <c r="K1372" s="81"/>
      <c r="L1372" s="81"/>
      <c r="M1372" s="81"/>
      <c r="N1372" s="82"/>
    </row>
    <row r="1373">
      <c r="C1373" s="41"/>
      <c r="D1373" s="141"/>
      <c r="E1373" s="118"/>
      <c r="F1373" s="126"/>
      <c r="G1373" s="126"/>
      <c r="H1373" s="126"/>
      <c r="I1373" s="126"/>
      <c r="J1373" s="76"/>
      <c r="K1373" s="76"/>
      <c r="L1373" s="76"/>
      <c r="M1373" s="76"/>
      <c r="N1373" s="114"/>
    </row>
    <row r="1374">
      <c r="C1374" s="41"/>
      <c r="D1374" s="142"/>
      <c r="E1374" s="130"/>
      <c r="F1374" s="128"/>
      <c r="G1374" s="128"/>
      <c r="H1374" s="128"/>
      <c r="I1374" s="128"/>
      <c r="J1374" s="81"/>
      <c r="K1374" s="81"/>
      <c r="L1374" s="81"/>
      <c r="M1374" s="81"/>
      <c r="N1374" s="82"/>
    </row>
    <row r="1375">
      <c r="C1375" s="41"/>
      <c r="D1375" s="141"/>
      <c r="E1375" s="118"/>
      <c r="F1375" s="126"/>
      <c r="G1375" s="126"/>
      <c r="H1375" s="126"/>
      <c r="I1375" s="126"/>
      <c r="J1375" s="76"/>
      <c r="K1375" s="76"/>
      <c r="L1375" s="76"/>
      <c r="M1375" s="76"/>
      <c r="N1375" s="114"/>
    </row>
    <row r="1376">
      <c r="C1376" s="41"/>
      <c r="D1376" s="142"/>
      <c r="E1376" s="130"/>
      <c r="F1376" s="128"/>
      <c r="G1376" s="128"/>
      <c r="H1376" s="128"/>
      <c r="I1376" s="128"/>
      <c r="J1376" s="81"/>
      <c r="K1376" s="81"/>
      <c r="L1376" s="81"/>
      <c r="M1376" s="81"/>
      <c r="N1376" s="82"/>
    </row>
    <row r="1377">
      <c r="C1377" s="41"/>
      <c r="D1377" s="141"/>
      <c r="E1377" s="118"/>
      <c r="F1377" s="126"/>
      <c r="G1377" s="126"/>
      <c r="H1377" s="126"/>
      <c r="I1377" s="126"/>
      <c r="J1377" s="76"/>
      <c r="K1377" s="76"/>
      <c r="L1377" s="76"/>
      <c r="M1377" s="76"/>
      <c r="N1377" s="114"/>
    </row>
    <row r="1378">
      <c r="C1378" s="41"/>
      <c r="D1378" s="142"/>
      <c r="E1378" s="130"/>
      <c r="F1378" s="128"/>
      <c r="G1378" s="128"/>
      <c r="H1378" s="128"/>
      <c r="I1378" s="128"/>
      <c r="J1378" s="81"/>
      <c r="K1378" s="81"/>
      <c r="L1378" s="81"/>
      <c r="M1378" s="81"/>
      <c r="N1378" s="82"/>
    </row>
    <row r="1379">
      <c r="C1379" s="41"/>
      <c r="D1379" s="141"/>
      <c r="E1379" s="118"/>
      <c r="F1379" s="126"/>
      <c r="G1379" s="126"/>
      <c r="H1379" s="126"/>
      <c r="I1379" s="126"/>
      <c r="J1379" s="76"/>
      <c r="K1379" s="76"/>
      <c r="L1379" s="76"/>
      <c r="M1379" s="76"/>
      <c r="N1379" s="114"/>
    </row>
    <row r="1380">
      <c r="C1380" s="41"/>
      <c r="D1380" s="142"/>
      <c r="E1380" s="130"/>
      <c r="F1380" s="128"/>
      <c r="G1380" s="128"/>
      <c r="H1380" s="128"/>
      <c r="I1380" s="128"/>
      <c r="J1380" s="81"/>
      <c r="K1380" s="81"/>
      <c r="L1380" s="81"/>
      <c r="M1380" s="81"/>
      <c r="N1380" s="82"/>
    </row>
    <row r="1381">
      <c r="C1381" s="41"/>
      <c r="D1381" s="141"/>
      <c r="E1381" s="118"/>
      <c r="F1381" s="126"/>
      <c r="G1381" s="126"/>
      <c r="H1381" s="126"/>
      <c r="I1381" s="126"/>
      <c r="J1381" s="76"/>
      <c r="K1381" s="76"/>
      <c r="L1381" s="76"/>
      <c r="M1381" s="76"/>
      <c r="N1381" s="114"/>
    </row>
    <row r="1382">
      <c r="C1382" s="41"/>
      <c r="D1382" s="142"/>
      <c r="E1382" s="130"/>
      <c r="F1382" s="128"/>
      <c r="G1382" s="128"/>
      <c r="H1382" s="128"/>
      <c r="I1382" s="128"/>
      <c r="J1382" s="81"/>
      <c r="K1382" s="81"/>
      <c r="L1382" s="81"/>
      <c r="M1382" s="81"/>
      <c r="N1382" s="82"/>
    </row>
    <row r="1383">
      <c r="C1383" s="41"/>
      <c r="D1383" s="141"/>
      <c r="E1383" s="118"/>
      <c r="F1383" s="126"/>
      <c r="G1383" s="126"/>
      <c r="H1383" s="126"/>
      <c r="I1383" s="126"/>
      <c r="J1383" s="76"/>
      <c r="K1383" s="76"/>
      <c r="L1383" s="76"/>
      <c r="M1383" s="76"/>
      <c r="N1383" s="114"/>
    </row>
    <row r="1384">
      <c r="C1384" s="41"/>
      <c r="D1384" s="142"/>
      <c r="E1384" s="130"/>
      <c r="F1384" s="128"/>
      <c r="G1384" s="128"/>
      <c r="H1384" s="128"/>
      <c r="I1384" s="128"/>
      <c r="J1384" s="81"/>
      <c r="K1384" s="81"/>
      <c r="L1384" s="81"/>
      <c r="M1384" s="81"/>
      <c r="N1384" s="82"/>
    </row>
    <row r="1385">
      <c r="C1385" s="41"/>
      <c r="D1385" s="141"/>
      <c r="E1385" s="118"/>
      <c r="F1385" s="126"/>
      <c r="G1385" s="126"/>
      <c r="H1385" s="126"/>
      <c r="I1385" s="126"/>
      <c r="J1385" s="76"/>
      <c r="K1385" s="76"/>
      <c r="L1385" s="76"/>
      <c r="M1385" s="76"/>
      <c r="N1385" s="114"/>
    </row>
    <row r="1386">
      <c r="C1386" s="41"/>
      <c r="D1386" s="142"/>
      <c r="E1386" s="130"/>
      <c r="F1386" s="128"/>
      <c r="G1386" s="128"/>
      <c r="H1386" s="128"/>
      <c r="I1386" s="128"/>
      <c r="J1386" s="81"/>
      <c r="K1386" s="81"/>
      <c r="L1386" s="81"/>
      <c r="M1386" s="81"/>
      <c r="N1386" s="82"/>
    </row>
    <row r="1387">
      <c r="C1387" s="41"/>
      <c r="D1387" s="141"/>
      <c r="E1387" s="118"/>
      <c r="F1387" s="126"/>
      <c r="G1387" s="126"/>
      <c r="H1387" s="126"/>
      <c r="I1387" s="126"/>
      <c r="J1387" s="76"/>
      <c r="K1387" s="76"/>
      <c r="L1387" s="76"/>
      <c r="M1387" s="76"/>
      <c r="N1387" s="114"/>
    </row>
    <row r="1388">
      <c r="C1388" s="41"/>
      <c r="D1388" s="142"/>
      <c r="E1388" s="130"/>
      <c r="F1388" s="128"/>
      <c r="G1388" s="128"/>
      <c r="H1388" s="128"/>
      <c r="I1388" s="128"/>
      <c r="J1388" s="81"/>
      <c r="K1388" s="81"/>
      <c r="L1388" s="81"/>
      <c r="M1388" s="81"/>
      <c r="N1388" s="82"/>
    </row>
    <row r="1389">
      <c r="C1389" s="41"/>
      <c r="D1389" s="141"/>
      <c r="E1389" s="118"/>
      <c r="F1389" s="126"/>
      <c r="G1389" s="126"/>
      <c r="H1389" s="126"/>
      <c r="I1389" s="126"/>
      <c r="J1389" s="76"/>
      <c r="K1389" s="76"/>
      <c r="L1389" s="76"/>
      <c r="M1389" s="76"/>
      <c r="N1389" s="114"/>
    </row>
    <row r="1390">
      <c r="C1390" s="41"/>
      <c r="D1390" s="142"/>
      <c r="E1390" s="130"/>
      <c r="F1390" s="128"/>
      <c r="G1390" s="128"/>
      <c r="H1390" s="128"/>
      <c r="I1390" s="128"/>
      <c r="J1390" s="81"/>
      <c r="K1390" s="81"/>
      <c r="L1390" s="81"/>
      <c r="M1390" s="81"/>
      <c r="N1390" s="82"/>
    </row>
    <row r="1391">
      <c r="C1391" s="41"/>
      <c r="D1391" s="141"/>
      <c r="E1391" s="118"/>
      <c r="F1391" s="126"/>
      <c r="G1391" s="126"/>
      <c r="H1391" s="126"/>
      <c r="I1391" s="126"/>
      <c r="J1391" s="76"/>
      <c r="K1391" s="76"/>
      <c r="L1391" s="76"/>
      <c r="M1391" s="76"/>
      <c r="N1391" s="114"/>
    </row>
    <row r="1392">
      <c r="C1392" s="41"/>
      <c r="D1392" s="142"/>
      <c r="E1392" s="130"/>
      <c r="F1392" s="128"/>
      <c r="G1392" s="128"/>
      <c r="H1392" s="128"/>
      <c r="I1392" s="128"/>
      <c r="J1392" s="81"/>
      <c r="K1392" s="81"/>
      <c r="L1392" s="81"/>
      <c r="M1392" s="81"/>
      <c r="N1392" s="82"/>
    </row>
    <row r="1393">
      <c r="C1393" s="41"/>
      <c r="D1393" s="141"/>
      <c r="E1393" s="118"/>
      <c r="F1393" s="126"/>
      <c r="G1393" s="126"/>
      <c r="H1393" s="126"/>
      <c r="I1393" s="126"/>
      <c r="J1393" s="76"/>
      <c r="K1393" s="76"/>
      <c r="L1393" s="76"/>
      <c r="M1393" s="76"/>
      <c r="N1393" s="114"/>
    </row>
    <row r="1394">
      <c r="C1394" s="41"/>
      <c r="D1394" s="142"/>
      <c r="E1394" s="130"/>
      <c r="F1394" s="128"/>
      <c r="G1394" s="128"/>
      <c r="H1394" s="128"/>
      <c r="I1394" s="128"/>
      <c r="J1394" s="81"/>
      <c r="K1394" s="81"/>
      <c r="L1394" s="81"/>
      <c r="M1394" s="81"/>
      <c r="N1394" s="82"/>
    </row>
    <row r="1395">
      <c r="C1395" s="41"/>
      <c r="D1395" s="141"/>
      <c r="E1395" s="118"/>
      <c r="F1395" s="126"/>
      <c r="G1395" s="126"/>
      <c r="H1395" s="126"/>
      <c r="I1395" s="126"/>
      <c r="J1395" s="76"/>
      <c r="K1395" s="76"/>
      <c r="L1395" s="76"/>
      <c r="M1395" s="76"/>
      <c r="N1395" s="114"/>
    </row>
    <row r="1396">
      <c r="C1396" s="41"/>
      <c r="D1396" s="142"/>
      <c r="E1396" s="130"/>
      <c r="F1396" s="128"/>
      <c r="G1396" s="128"/>
      <c r="H1396" s="128"/>
      <c r="I1396" s="128"/>
      <c r="J1396" s="81"/>
      <c r="K1396" s="81"/>
      <c r="L1396" s="81"/>
      <c r="M1396" s="81"/>
      <c r="N1396" s="82"/>
    </row>
    <row r="1397">
      <c r="C1397" s="41"/>
      <c r="D1397" s="141"/>
      <c r="E1397" s="118"/>
      <c r="F1397" s="126"/>
      <c r="G1397" s="126"/>
      <c r="H1397" s="126"/>
      <c r="I1397" s="126"/>
      <c r="J1397" s="76"/>
      <c r="K1397" s="76"/>
      <c r="L1397" s="76"/>
      <c r="M1397" s="76"/>
      <c r="N1397" s="114"/>
    </row>
    <row r="1398">
      <c r="C1398" s="41"/>
      <c r="D1398" s="142"/>
      <c r="E1398" s="130"/>
      <c r="F1398" s="128"/>
      <c r="G1398" s="128"/>
      <c r="H1398" s="128"/>
      <c r="I1398" s="128"/>
      <c r="J1398" s="81"/>
      <c r="K1398" s="81"/>
      <c r="L1398" s="81"/>
      <c r="M1398" s="81"/>
      <c r="N1398" s="82"/>
    </row>
    <row r="1399">
      <c r="C1399" s="41"/>
      <c r="D1399" s="141"/>
      <c r="E1399" s="118"/>
      <c r="F1399" s="126"/>
      <c r="G1399" s="126"/>
      <c r="H1399" s="126"/>
      <c r="I1399" s="126"/>
      <c r="J1399" s="76"/>
      <c r="K1399" s="76"/>
      <c r="L1399" s="76"/>
      <c r="M1399" s="76"/>
      <c r="N1399" s="114"/>
    </row>
    <row r="1400">
      <c r="C1400" s="41"/>
      <c r="D1400" s="142"/>
      <c r="E1400" s="130"/>
      <c r="F1400" s="128"/>
      <c r="G1400" s="128"/>
      <c r="H1400" s="128"/>
      <c r="I1400" s="128"/>
      <c r="J1400" s="81"/>
      <c r="K1400" s="81"/>
      <c r="L1400" s="81"/>
      <c r="M1400" s="81"/>
      <c r="N1400" s="82"/>
    </row>
    <row r="1401">
      <c r="C1401" s="41"/>
      <c r="D1401" s="141"/>
      <c r="E1401" s="118"/>
      <c r="F1401" s="126"/>
      <c r="G1401" s="126"/>
      <c r="H1401" s="126"/>
      <c r="I1401" s="126"/>
      <c r="J1401" s="76"/>
      <c r="K1401" s="76"/>
      <c r="L1401" s="76"/>
      <c r="M1401" s="76"/>
      <c r="N1401" s="114"/>
    </row>
    <row r="1402">
      <c r="C1402" s="41"/>
      <c r="D1402" s="142"/>
      <c r="E1402" s="130"/>
      <c r="F1402" s="128"/>
      <c r="G1402" s="128"/>
      <c r="H1402" s="128"/>
      <c r="I1402" s="128"/>
      <c r="J1402" s="81"/>
      <c r="K1402" s="81"/>
      <c r="L1402" s="81"/>
      <c r="M1402" s="81"/>
      <c r="N1402" s="82"/>
    </row>
    <row r="1403">
      <c r="C1403" s="41"/>
      <c r="D1403" s="141"/>
      <c r="E1403" s="118"/>
      <c r="F1403" s="126"/>
      <c r="G1403" s="126"/>
      <c r="H1403" s="126"/>
      <c r="I1403" s="126"/>
      <c r="J1403" s="76"/>
      <c r="K1403" s="76"/>
      <c r="L1403" s="76"/>
      <c r="M1403" s="76"/>
      <c r="N1403" s="114"/>
    </row>
    <row r="1404">
      <c r="C1404" s="41"/>
      <c r="D1404" s="142"/>
      <c r="E1404" s="130"/>
      <c r="F1404" s="128"/>
      <c r="G1404" s="128"/>
      <c r="H1404" s="128"/>
      <c r="I1404" s="128"/>
      <c r="J1404" s="81"/>
      <c r="K1404" s="81"/>
      <c r="L1404" s="81"/>
      <c r="M1404" s="81"/>
      <c r="N1404" s="82"/>
    </row>
    <row r="1405">
      <c r="C1405" s="41"/>
      <c r="D1405" s="141"/>
      <c r="E1405" s="118"/>
      <c r="F1405" s="126"/>
      <c r="G1405" s="126"/>
      <c r="H1405" s="126"/>
      <c r="I1405" s="126"/>
      <c r="J1405" s="76"/>
      <c r="K1405" s="76"/>
      <c r="L1405" s="76"/>
      <c r="M1405" s="76"/>
      <c r="N1405" s="114"/>
    </row>
    <row r="1406">
      <c r="C1406" s="41"/>
      <c r="D1406" s="142"/>
      <c r="E1406" s="130"/>
      <c r="F1406" s="128"/>
      <c r="G1406" s="128"/>
      <c r="H1406" s="128"/>
      <c r="I1406" s="128"/>
      <c r="J1406" s="81"/>
      <c r="K1406" s="81"/>
      <c r="L1406" s="81"/>
      <c r="M1406" s="81"/>
      <c r="N1406" s="82"/>
    </row>
    <row r="1407">
      <c r="C1407" s="41"/>
      <c r="D1407" s="141"/>
      <c r="E1407" s="118"/>
      <c r="F1407" s="126"/>
      <c r="G1407" s="126"/>
      <c r="H1407" s="126"/>
      <c r="I1407" s="126"/>
      <c r="J1407" s="76"/>
      <c r="K1407" s="76"/>
      <c r="L1407" s="76"/>
      <c r="M1407" s="76"/>
      <c r="N1407" s="114"/>
    </row>
    <row r="1408">
      <c r="C1408" s="41"/>
      <c r="D1408" s="142"/>
      <c r="E1408" s="130"/>
      <c r="F1408" s="128"/>
      <c r="G1408" s="128"/>
      <c r="H1408" s="128"/>
      <c r="I1408" s="128"/>
      <c r="J1408" s="81"/>
      <c r="K1408" s="81"/>
      <c r="L1408" s="81"/>
      <c r="M1408" s="81"/>
      <c r="N1408" s="82"/>
    </row>
    <row r="1409">
      <c r="C1409" s="41"/>
      <c r="D1409" s="141"/>
      <c r="E1409" s="118"/>
      <c r="F1409" s="126"/>
      <c r="G1409" s="126"/>
      <c r="H1409" s="126"/>
      <c r="I1409" s="126"/>
      <c r="J1409" s="76"/>
      <c r="K1409" s="76"/>
      <c r="L1409" s="76"/>
      <c r="M1409" s="76"/>
      <c r="N1409" s="114"/>
    </row>
    <row r="1410">
      <c r="C1410" s="41"/>
      <c r="D1410" s="142"/>
      <c r="E1410" s="130"/>
      <c r="F1410" s="128"/>
      <c r="G1410" s="128"/>
      <c r="H1410" s="128"/>
      <c r="I1410" s="128"/>
      <c r="J1410" s="81"/>
      <c r="K1410" s="81"/>
      <c r="L1410" s="81"/>
      <c r="M1410" s="81"/>
      <c r="N1410" s="82"/>
    </row>
    <row r="1411">
      <c r="C1411" s="41"/>
      <c r="D1411" s="141"/>
      <c r="E1411" s="118"/>
      <c r="F1411" s="126"/>
      <c r="G1411" s="126"/>
      <c r="H1411" s="126"/>
      <c r="I1411" s="126"/>
      <c r="J1411" s="76"/>
      <c r="K1411" s="76"/>
      <c r="L1411" s="76"/>
      <c r="M1411" s="76"/>
      <c r="N1411" s="114"/>
    </row>
    <row r="1412">
      <c r="C1412" s="41"/>
      <c r="D1412" s="142"/>
      <c r="E1412" s="130"/>
      <c r="F1412" s="128"/>
      <c r="G1412" s="128"/>
      <c r="H1412" s="128"/>
      <c r="I1412" s="128"/>
      <c r="J1412" s="81"/>
      <c r="K1412" s="81"/>
      <c r="L1412" s="81"/>
      <c r="M1412" s="81"/>
      <c r="N1412" s="82"/>
    </row>
    <row r="1413">
      <c r="C1413" s="41"/>
      <c r="D1413" s="141"/>
      <c r="E1413" s="118"/>
      <c r="F1413" s="126"/>
      <c r="G1413" s="126"/>
      <c r="H1413" s="126"/>
      <c r="I1413" s="126"/>
      <c r="J1413" s="76"/>
      <c r="K1413" s="76"/>
      <c r="L1413" s="76"/>
      <c r="M1413" s="76"/>
      <c r="N1413" s="114"/>
    </row>
    <row r="1414">
      <c r="C1414" s="41"/>
      <c r="D1414" s="142"/>
      <c r="E1414" s="130"/>
      <c r="F1414" s="128"/>
      <c r="G1414" s="128"/>
      <c r="H1414" s="128"/>
      <c r="I1414" s="128"/>
      <c r="J1414" s="81"/>
      <c r="K1414" s="81"/>
      <c r="L1414" s="81"/>
      <c r="M1414" s="81"/>
      <c r="N1414" s="82"/>
    </row>
    <row r="1415">
      <c r="C1415" s="41"/>
      <c r="D1415" s="141"/>
      <c r="E1415" s="118"/>
      <c r="F1415" s="126"/>
      <c r="G1415" s="126"/>
      <c r="H1415" s="126"/>
      <c r="I1415" s="126"/>
      <c r="J1415" s="76"/>
      <c r="K1415" s="76"/>
      <c r="L1415" s="76"/>
      <c r="M1415" s="76"/>
      <c r="N1415" s="114"/>
    </row>
    <row r="1416">
      <c r="C1416" s="41"/>
      <c r="D1416" s="142"/>
      <c r="E1416" s="130"/>
      <c r="F1416" s="128"/>
      <c r="G1416" s="128"/>
      <c r="H1416" s="128"/>
      <c r="I1416" s="128"/>
      <c r="J1416" s="81"/>
      <c r="K1416" s="81"/>
      <c r="L1416" s="81"/>
      <c r="M1416" s="81"/>
      <c r="N1416" s="82"/>
    </row>
    <row r="1417">
      <c r="C1417" s="41"/>
      <c r="D1417" s="141"/>
      <c r="E1417" s="118"/>
      <c r="F1417" s="126"/>
      <c r="G1417" s="126"/>
      <c r="H1417" s="126"/>
      <c r="I1417" s="126"/>
      <c r="J1417" s="76"/>
      <c r="K1417" s="76"/>
      <c r="L1417" s="76"/>
      <c r="M1417" s="76"/>
      <c r="N1417" s="114"/>
    </row>
    <row r="1418">
      <c r="C1418" s="41"/>
      <c r="D1418" s="142"/>
      <c r="E1418" s="130"/>
      <c r="F1418" s="128"/>
      <c r="G1418" s="128"/>
      <c r="H1418" s="128"/>
      <c r="I1418" s="128"/>
      <c r="J1418" s="81"/>
      <c r="K1418" s="81"/>
      <c r="L1418" s="81"/>
      <c r="M1418" s="81"/>
      <c r="N1418" s="82"/>
    </row>
    <row r="1419">
      <c r="C1419" s="41"/>
      <c r="D1419" s="141"/>
      <c r="E1419" s="118"/>
      <c r="F1419" s="126"/>
      <c r="G1419" s="126"/>
      <c r="H1419" s="126"/>
      <c r="I1419" s="126"/>
      <c r="J1419" s="76"/>
      <c r="K1419" s="76"/>
      <c r="L1419" s="76"/>
      <c r="M1419" s="76"/>
      <c r="N1419" s="114"/>
    </row>
    <row r="1420">
      <c r="C1420" s="41"/>
      <c r="D1420" s="142"/>
      <c r="E1420" s="130"/>
      <c r="F1420" s="128"/>
      <c r="G1420" s="128"/>
      <c r="H1420" s="128"/>
      <c r="I1420" s="128"/>
      <c r="J1420" s="81"/>
      <c r="K1420" s="81"/>
      <c r="L1420" s="81"/>
      <c r="M1420" s="81"/>
      <c r="N1420" s="82"/>
    </row>
    <row r="1421">
      <c r="C1421" s="41"/>
      <c r="D1421" s="141"/>
      <c r="E1421" s="118"/>
      <c r="F1421" s="126"/>
      <c r="G1421" s="126"/>
      <c r="H1421" s="126"/>
      <c r="I1421" s="126"/>
      <c r="J1421" s="76"/>
      <c r="K1421" s="76"/>
      <c r="L1421" s="76"/>
      <c r="M1421" s="76"/>
      <c r="N1421" s="114"/>
    </row>
    <row r="1422">
      <c r="C1422" s="41"/>
      <c r="D1422" s="142"/>
      <c r="E1422" s="130"/>
      <c r="F1422" s="128"/>
      <c r="G1422" s="128"/>
      <c r="H1422" s="128"/>
      <c r="I1422" s="128"/>
      <c r="J1422" s="81"/>
      <c r="K1422" s="81"/>
      <c r="L1422" s="81"/>
      <c r="M1422" s="81"/>
      <c r="N1422" s="82"/>
    </row>
    <row r="1423">
      <c r="C1423" s="41"/>
      <c r="D1423" s="141"/>
      <c r="E1423" s="118"/>
      <c r="F1423" s="126"/>
      <c r="G1423" s="126"/>
      <c r="H1423" s="126"/>
      <c r="I1423" s="126"/>
      <c r="J1423" s="76"/>
      <c r="K1423" s="76"/>
      <c r="L1423" s="76"/>
      <c r="M1423" s="76"/>
      <c r="N1423" s="114"/>
    </row>
    <row r="1424">
      <c r="C1424" s="41"/>
      <c r="D1424" s="142"/>
      <c r="E1424" s="130"/>
      <c r="F1424" s="128"/>
      <c r="G1424" s="128"/>
      <c r="H1424" s="128"/>
      <c r="I1424" s="128"/>
      <c r="J1424" s="81"/>
      <c r="K1424" s="81"/>
      <c r="L1424" s="81"/>
      <c r="M1424" s="81"/>
      <c r="N1424" s="82"/>
    </row>
    <row r="1425">
      <c r="C1425" s="41"/>
      <c r="D1425" s="141"/>
      <c r="E1425" s="118"/>
      <c r="F1425" s="126"/>
      <c r="G1425" s="126"/>
      <c r="H1425" s="126"/>
      <c r="I1425" s="126"/>
      <c r="J1425" s="76"/>
      <c r="K1425" s="76"/>
      <c r="L1425" s="76"/>
      <c r="M1425" s="76"/>
      <c r="N1425" s="114"/>
    </row>
    <row r="1426">
      <c r="C1426" s="41"/>
      <c r="D1426" s="142"/>
      <c r="E1426" s="130"/>
      <c r="F1426" s="128"/>
      <c r="G1426" s="128"/>
      <c r="H1426" s="128"/>
      <c r="I1426" s="128"/>
      <c r="J1426" s="81"/>
      <c r="K1426" s="81"/>
      <c r="L1426" s="81"/>
      <c r="M1426" s="81"/>
      <c r="N1426" s="82"/>
    </row>
    <row r="1427">
      <c r="C1427" s="41"/>
      <c r="D1427" s="141"/>
      <c r="E1427" s="118"/>
      <c r="F1427" s="126"/>
      <c r="G1427" s="126"/>
      <c r="H1427" s="126"/>
      <c r="I1427" s="126"/>
      <c r="J1427" s="76"/>
      <c r="K1427" s="76"/>
      <c r="L1427" s="76"/>
      <c r="M1427" s="76"/>
      <c r="N1427" s="114"/>
    </row>
    <row r="1428">
      <c r="C1428" s="41"/>
      <c r="D1428" s="142"/>
      <c r="E1428" s="130"/>
      <c r="F1428" s="128"/>
      <c r="G1428" s="128"/>
      <c r="H1428" s="128"/>
      <c r="I1428" s="128"/>
      <c r="J1428" s="81"/>
      <c r="K1428" s="81"/>
      <c r="L1428" s="81"/>
      <c r="M1428" s="81"/>
      <c r="N1428" s="82"/>
    </row>
    <row r="1429">
      <c r="C1429" s="41"/>
      <c r="D1429" s="141"/>
      <c r="E1429" s="118"/>
      <c r="F1429" s="126"/>
      <c r="G1429" s="126"/>
      <c r="H1429" s="126"/>
      <c r="I1429" s="126"/>
      <c r="J1429" s="76"/>
      <c r="K1429" s="76"/>
      <c r="L1429" s="76"/>
      <c r="M1429" s="76"/>
      <c r="N1429" s="114"/>
    </row>
    <row r="1430">
      <c r="C1430" s="41"/>
      <c r="D1430" s="142"/>
      <c r="E1430" s="130"/>
      <c r="F1430" s="128"/>
      <c r="G1430" s="128"/>
      <c r="H1430" s="128"/>
      <c r="I1430" s="128"/>
      <c r="J1430" s="81"/>
      <c r="K1430" s="81"/>
      <c r="L1430" s="81"/>
      <c r="M1430" s="81"/>
      <c r="N1430" s="82"/>
    </row>
    <row r="1431">
      <c r="C1431" s="41"/>
      <c r="D1431" s="141"/>
      <c r="E1431" s="118"/>
      <c r="F1431" s="126"/>
      <c r="G1431" s="126"/>
      <c r="H1431" s="126"/>
      <c r="I1431" s="126"/>
      <c r="J1431" s="76"/>
      <c r="K1431" s="76"/>
      <c r="L1431" s="76"/>
      <c r="M1431" s="76"/>
      <c r="N1431" s="114"/>
    </row>
    <row r="1432">
      <c r="C1432" s="41"/>
      <c r="D1432" s="142"/>
      <c r="E1432" s="130"/>
      <c r="F1432" s="128"/>
      <c r="G1432" s="128"/>
      <c r="H1432" s="128"/>
      <c r="I1432" s="128"/>
      <c r="J1432" s="81"/>
      <c r="K1432" s="81"/>
      <c r="L1432" s="81"/>
      <c r="M1432" s="81"/>
      <c r="N1432" s="82"/>
    </row>
    <row r="1433">
      <c r="C1433" s="41"/>
      <c r="D1433" s="141"/>
      <c r="E1433" s="118"/>
      <c r="F1433" s="126"/>
      <c r="G1433" s="126"/>
      <c r="H1433" s="126"/>
      <c r="I1433" s="126"/>
      <c r="J1433" s="76"/>
      <c r="K1433" s="76"/>
      <c r="L1433" s="76"/>
      <c r="M1433" s="76"/>
      <c r="N1433" s="114"/>
    </row>
    <row r="1434">
      <c r="C1434" s="41"/>
      <c r="D1434" s="142"/>
      <c r="E1434" s="130"/>
      <c r="F1434" s="128"/>
      <c r="G1434" s="128"/>
      <c r="H1434" s="128"/>
      <c r="I1434" s="128"/>
      <c r="J1434" s="81"/>
      <c r="K1434" s="81"/>
      <c r="L1434" s="81"/>
      <c r="M1434" s="81"/>
      <c r="N1434" s="82"/>
    </row>
    <row r="1435">
      <c r="C1435" s="41"/>
      <c r="D1435" s="141"/>
      <c r="E1435" s="118"/>
      <c r="F1435" s="126"/>
      <c r="G1435" s="126"/>
      <c r="H1435" s="126"/>
      <c r="I1435" s="126"/>
      <c r="J1435" s="76"/>
      <c r="K1435" s="76"/>
      <c r="L1435" s="76"/>
      <c r="M1435" s="76"/>
      <c r="N1435" s="114"/>
    </row>
    <row r="1436">
      <c r="C1436" s="41"/>
      <c r="D1436" s="142"/>
      <c r="E1436" s="130"/>
      <c r="F1436" s="128"/>
      <c r="G1436" s="128"/>
      <c r="H1436" s="128"/>
      <c r="I1436" s="128"/>
      <c r="J1436" s="81"/>
      <c r="K1436" s="81"/>
      <c r="L1436" s="81"/>
      <c r="M1436" s="81"/>
      <c r="N1436" s="82"/>
    </row>
    <row r="1437">
      <c r="C1437" s="41"/>
      <c r="D1437" s="141"/>
      <c r="E1437" s="118"/>
      <c r="F1437" s="126"/>
      <c r="G1437" s="126"/>
      <c r="H1437" s="126"/>
      <c r="I1437" s="126"/>
      <c r="J1437" s="76"/>
      <c r="K1437" s="76"/>
      <c r="L1437" s="76"/>
      <c r="M1437" s="76"/>
      <c r="N1437" s="114"/>
    </row>
    <row r="1438">
      <c r="C1438" s="41"/>
      <c r="D1438" s="142"/>
      <c r="E1438" s="130"/>
      <c r="F1438" s="128"/>
      <c r="G1438" s="128"/>
      <c r="H1438" s="128"/>
      <c r="I1438" s="128"/>
      <c r="J1438" s="81"/>
      <c r="K1438" s="81"/>
      <c r="L1438" s="81"/>
      <c r="M1438" s="81"/>
      <c r="N1438" s="82"/>
    </row>
    <row r="1439">
      <c r="C1439" s="41"/>
      <c r="D1439" s="141"/>
      <c r="E1439" s="118"/>
      <c r="F1439" s="126"/>
      <c r="G1439" s="126"/>
      <c r="H1439" s="126"/>
      <c r="I1439" s="126"/>
      <c r="J1439" s="76"/>
      <c r="K1439" s="76"/>
      <c r="L1439" s="76"/>
      <c r="M1439" s="76"/>
      <c r="N1439" s="114"/>
    </row>
    <row r="1440">
      <c r="C1440" s="41"/>
      <c r="D1440" s="142"/>
      <c r="E1440" s="130"/>
      <c r="F1440" s="128"/>
      <c r="G1440" s="128"/>
      <c r="H1440" s="128"/>
      <c r="I1440" s="128"/>
      <c r="J1440" s="81"/>
      <c r="K1440" s="81"/>
      <c r="L1440" s="81"/>
      <c r="M1440" s="81"/>
      <c r="N1440" s="82"/>
    </row>
    <row r="1441">
      <c r="C1441" s="41"/>
      <c r="D1441" s="141"/>
      <c r="E1441" s="118"/>
      <c r="F1441" s="126"/>
      <c r="G1441" s="126"/>
      <c r="H1441" s="126"/>
      <c r="I1441" s="126"/>
      <c r="J1441" s="76"/>
      <c r="K1441" s="76"/>
      <c r="L1441" s="76"/>
      <c r="M1441" s="76"/>
      <c r="N1441" s="114"/>
    </row>
    <row r="1442">
      <c r="C1442" s="41"/>
      <c r="D1442" s="142"/>
      <c r="E1442" s="130"/>
      <c r="F1442" s="128"/>
      <c r="G1442" s="128"/>
      <c r="H1442" s="128"/>
      <c r="I1442" s="128"/>
      <c r="J1442" s="81"/>
      <c r="K1442" s="81"/>
      <c r="L1442" s="81"/>
      <c r="M1442" s="81"/>
      <c r="N1442" s="82"/>
    </row>
    <row r="1443">
      <c r="C1443" s="41"/>
      <c r="D1443" s="141"/>
      <c r="E1443" s="118"/>
      <c r="F1443" s="126"/>
      <c r="G1443" s="126"/>
      <c r="H1443" s="126"/>
      <c r="I1443" s="126"/>
      <c r="J1443" s="76"/>
      <c r="K1443" s="76"/>
      <c r="L1443" s="76"/>
      <c r="M1443" s="76"/>
      <c r="N1443" s="114"/>
    </row>
    <row r="1444">
      <c r="C1444" s="41"/>
      <c r="D1444" s="142"/>
      <c r="E1444" s="130"/>
      <c r="F1444" s="128"/>
      <c r="G1444" s="128"/>
      <c r="H1444" s="128"/>
      <c r="I1444" s="128"/>
      <c r="J1444" s="81"/>
      <c r="K1444" s="81"/>
      <c r="L1444" s="81"/>
      <c r="M1444" s="81"/>
      <c r="N1444" s="82"/>
    </row>
    <row r="1445">
      <c r="C1445" s="41"/>
      <c r="D1445" s="141"/>
      <c r="E1445" s="118"/>
      <c r="F1445" s="126"/>
      <c r="G1445" s="126"/>
      <c r="H1445" s="126"/>
      <c r="I1445" s="126"/>
      <c r="J1445" s="76"/>
      <c r="K1445" s="76"/>
      <c r="L1445" s="76"/>
      <c r="M1445" s="76"/>
      <c r="N1445" s="114"/>
    </row>
    <row r="1446">
      <c r="C1446" s="41"/>
      <c r="D1446" s="142"/>
      <c r="E1446" s="130"/>
      <c r="F1446" s="128"/>
      <c r="G1446" s="128"/>
      <c r="H1446" s="128"/>
      <c r="I1446" s="128"/>
      <c r="J1446" s="81"/>
      <c r="K1446" s="81"/>
      <c r="L1446" s="81"/>
      <c r="M1446" s="81"/>
      <c r="N1446" s="82"/>
    </row>
    <row r="1447">
      <c r="C1447" s="41"/>
      <c r="D1447" s="141"/>
      <c r="E1447" s="118"/>
      <c r="F1447" s="126"/>
      <c r="G1447" s="126"/>
      <c r="H1447" s="126"/>
      <c r="I1447" s="126"/>
      <c r="J1447" s="76"/>
      <c r="K1447" s="76"/>
      <c r="L1447" s="76"/>
      <c r="M1447" s="76"/>
      <c r="N1447" s="114"/>
    </row>
    <row r="1448">
      <c r="C1448" s="41"/>
      <c r="D1448" s="142"/>
      <c r="E1448" s="130"/>
      <c r="F1448" s="128"/>
      <c r="G1448" s="128"/>
      <c r="H1448" s="128"/>
      <c r="I1448" s="128"/>
      <c r="J1448" s="81"/>
      <c r="K1448" s="81"/>
      <c r="L1448" s="81"/>
      <c r="M1448" s="81"/>
      <c r="N1448" s="82"/>
    </row>
    <row r="1449">
      <c r="C1449" s="41"/>
      <c r="D1449" s="141"/>
      <c r="E1449" s="118"/>
      <c r="F1449" s="126"/>
      <c r="G1449" s="126"/>
      <c r="H1449" s="126"/>
      <c r="I1449" s="126"/>
      <c r="J1449" s="76"/>
      <c r="K1449" s="76"/>
      <c r="L1449" s="76"/>
      <c r="M1449" s="76"/>
      <c r="N1449" s="114"/>
    </row>
    <row r="1450">
      <c r="C1450" s="41"/>
      <c r="D1450" s="142"/>
      <c r="E1450" s="130"/>
      <c r="F1450" s="128"/>
      <c r="G1450" s="128"/>
      <c r="H1450" s="128"/>
      <c r="I1450" s="128"/>
      <c r="J1450" s="81"/>
      <c r="K1450" s="81"/>
      <c r="L1450" s="81"/>
      <c r="M1450" s="81"/>
      <c r="N1450" s="82"/>
    </row>
    <row r="1451">
      <c r="C1451" s="41"/>
      <c r="D1451" s="141"/>
      <c r="E1451" s="118"/>
      <c r="F1451" s="126"/>
      <c r="G1451" s="126"/>
      <c r="H1451" s="126"/>
      <c r="I1451" s="126"/>
      <c r="J1451" s="76"/>
      <c r="K1451" s="76"/>
      <c r="L1451" s="76"/>
      <c r="M1451" s="76"/>
      <c r="N1451" s="114"/>
    </row>
    <row r="1452">
      <c r="C1452" s="41"/>
      <c r="D1452" s="142"/>
      <c r="E1452" s="130"/>
      <c r="F1452" s="128"/>
      <c r="G1452" s="128"/>
      <c r="H1452" s="128"/>
      <c r="I1452" s="128"/>
      <c r="J1452" s="81"/>
      <c r="K1452" s="81"/>
      <c r="L1452" s="81"/>
      <c r="M1452" s="81"/>
      <c r="N1452" s="82"/>
    </row>
    <row r="1453">
      <c r="C1453" s="41"/>
      <c r="D1453" s="141"/>
      <c r="E1453" s="118"/>
      <c r="F1453" s="126"/>
      <c r="G1453" s="126"/>
      <c r="H1453" s="126"/>
      <c r="I1453" s="126"/>
      <c r="J1453" s="76"/>
      <c r="K1453" s="76"/>
      <c r="L1453" s="76"/>
      <c r="M1453" s="76"/>
      <c r="N1453" s="114"/>
    </row>
    <row r="1454">
      <c r="C1454" s="41"/>
      <c r="D1454" s="142"/>
      <c r="E1454" s="130"/>
      <c r="F1454" s="128"/>
      <c r="G1454" s="128"/>
      <c r="H1454" s="128"/>
      <c r="I1454" s="128"/>
      <c r="J1454" s="81"/>
      <c r="K1454" s="81"/>
      <c r="L1454" s="81"/>
      <c r="M1454" s="81"/>
      <c r="N1454" s="82"/>
    </row>
    <row r="1455">
      <c r="C1455" s="41"/>
      <c r="D1455" s="141"/>
      <c r="E1455" s="118"/>
      <c r="F1455" s="126"/>
      <c r="G1455" s="126"/>
      <c r="H1455" s="126"/>
      <c r="I1455" s="126"/>
      <c r="J1455" s="76"/>
      <c r="K1455" s="76"/>
      <c r="L1455" s="76"/>
      <c r="M1455" s="76"/>
      <c r="N1455" s="114"/>
    </row>
    <row r="1456">
      <c r="C1456" s="41"/>
      <c r="D1456" s="142"/>
      <c r="E1456" s="130"/>
      <c r="F1456" s="128"/>
      <c r="G1456" s="128"/>
      <c r="H1456" s="128"/>
      <c r="I1456" s="128"/>
      <c r="J1456" s="81"/>
      <c r="K1456" s="81"/>
      <c r="L1456" s="81"/>
      <c r="M1456" s="81"/>
      <c r="N1456" s="82"/>
    </row>
    <row r="1457">
      <c r="C1457" s="41"/>
      <c r="D1457" s="141"/>
      <c r="E1457" s="118"/>
      <c r="F1457" s="126"/>
      <c r="G1457" s="126"/>
      <c r="H1457" s="126"/>
      <c r="I1457" s="126"/>
      <c r="J1457" s="76"/>
      <c r="K1457" s="76"/>
      <c r="L1457" s="76"/>
      <c r="M1457" s="76"/>
      <c r="N1457" s="114"/>
    </row>
    <row r="1458">
      <c r="C1458" s="41"/>
      <c r="D1458" s="142"/>
      <c r="E1458" s="130"/>
      <c r="F1458" s="128"/>
      <c r="G1458" s="128"/>
      <c r="H1458" s="128"/>
      <c r="I1458" s="128"/>
      <c r="J1458" s="81"/>
      <c r="K1458" s="81"/>
      <c r="L1458" s="81"/>
      <c r="M1458" s="81"/>
      <c r="N1458" s="82"/>
    </row>
    <row r="1459">
      <c r="C1459" s="41"/>
      <c r="D1459" s="141"/>
      <c r="E1459" s="118"/>
      <c r="F1459" s="126"/>
      <c r="G1459" s="126"/>
      <c r="H1459" s="126"/>
      <c r="I1459" s="126"/>
      <c r="J1459" s="76"/>
      <c r="K1459" s="76"/>
      <c r="L1459" s="76"/>
      <c r="M1459" s="76"/>
      <c r="N1459" s="114"/>
    </row>
    <row r="1460">
      <c r="C1460" s="41"/>
      <c r="D1460" s="142"/>
      <c r="E1460" s="130"/>
      <c r="F1460" s="128"/>
      <c r="G1460" s="128"/>
      <c r="H1460" s="128"/>
      <c r="I1460" s="128"/>
      <c r="J1460" s="81"/>
      <c r="K1460" s="81"/>
      <c r="L1460" s="81"/>
      <c r="M1460" s="81"/>
      <c r="N1460" s="82"/>
    </row>
    <row r="1461">
      <c r="C1461" s="41"/>
      <c r="D1461" s="141"/>
      <c r="E1461" s="118"/>
      <c r="F1461" s="126"/>
      <c r="G1461" s="126"/>
      <c r="H1461" s="126"/>
      <c r="I1461" s="126"/>
      <c r="J1461" s="76"/>
      <c r="K1461" s="76"/>
      <c r="L1461" s="76"/>
      <c r="M1461" s="76"/>
      <c r="N1461" s="114"/>
    </row>
    <row r="1462">
      <c r="C1462" s="41"/>
      <c r="D1462" s="142"/>
      <c r="E1462" s="130"/>
      <c r="F1462" s="128"/>
      <c r="G1462" s="128"/>
      <c r="H1462" s="128"/>
      <c r="I1462" s="128"/>
      <c r="J1462" s="81"/>
      <c r="K1462" s="81"/>
      <c r="L1462" s="81"/>
      <c r="M1462" s="81"/>
      <c r="N1462" s="82"/>
    </row>
    <row r="1463">
      <c r="C1463" s="41"/>
      <c r="D1463" s="141"/>
      <c r="E1463" s="118"/>
      <c r="F1463" s="126"/>
      <c r="G1463" s="126"/>
      <c r="H1463" s="126"/>
      <c r="I1463" s="126"/>
      <c r="J1463" s="76"/>
      <c r="K1463" s="76"/>
      <c r="L1463" s="76"/>
      <c r="M1463" s="76"/>
      <c r="N1463" s="114"/>
    </row>
    <row r="1464">
      <c r="C1464" s="41"/>
      <c r="D1464" s="142"/>
      <c r="E1464" s="130"/>
      <c r="F1464" s="128"/>
      <c r="G1464" s="128"/>
      <c r="H1464" s="128"/>
      <c r="I1464" s="128"/>
      <c r="J1464" s="81"/>
      <c r="K1464" s="81"/>
      <c r="L1464" s="81"/>
      <c r="M1464" s="81"/>
      <c r="N1464" s="82"/>
    </row>
    <row r="1465">
      <c r="C1465" s="41"/>
      <c r="D1465" s="141"/>
      <c r="E1465" s="118"/>
      <c r="F1465" s="126"/>
      <c r="G1465" s="126"/>
      <c r="H1465" s="126"/>
      <c r="I1465" s="126"/>
      <c r="J1465" s="76"/>
      <c r="K1465" s="76"/>
      <c r="L1465" s="76"/>
      <c r="M1465" s="76"/>
      <c r="N1465" s="114"/>
    </row>
    <row r="1466">
      <c r="C1466" s="41"/>
      <c r="D1466" s="142"/>
      <c r="E1466" s="130"/>
      <c r="F1466" s="128"/>
      <c r="G1466" s="128"/>
      <c r="H1466" s="128"/>
      <c r="I1466" s="128"/>
      <c r="J1466" s="81"/>
      <c r="K1466" s="81"/>
      <c r="L1466" s="81"/>
      <c r="M1466" s="81"/>
      <c r="N1466" s="82"/>
    </row>
    <row r="1467">
      <c r="C1467" s="41"/>
      <c r="D1467" s="141"/>
      <c r="E1467" s="118"/>
      <c r="F1467" s="126"/>
      <c r="G1467" s="126"/>
      <c r="H1467" s="126"/>
      <c r="I1467" s="126"/>
      <c r="J1467" s="76"/>
      <c r="K1467" s="76"/>
      <c r="L1467" s="76"/>
      <c r="M1467" s="76"/>
      <c r="N1467" s="114"/>
    </row>
    <row r="1468">
      <c r="C1468" s="41"/>
      <c r="D1468" s="142"/>
      <c r="E1468" s="130"/>
      <c r="F1468" s="128"/>
      <c r="G1468" s="128"/>
      <c r="H1468" s="128"/>
      <c r="I1468" s="128"/>
      <c r="J1468" s="81"/>
      <c r="K1468" s="81"/>
      <c r="L1468" s="81"/>
      <c r="M1468" s="81"/>
      <c r="N1468" s="82"/>
    </row>
    <row r="1469">
      <c r="C1469" s="41"/>
      <c r="D1469" s="141"/>
      <c r="E1469" s="118"/>
      <c r="F1469" s="126"/>
      <c r="G1469" s="126"/>
      <c r="H1469" s="126"/>
      <c r="I1469" s="126"/>
      <c r="J1469" s="76"/>
      <c r="K1469" s="76"/>
      <c r="L1469" s="76"/>
      <c r="M1469" s="76"/>
      <c r="N1469" s="114"/>
    </row>
    <row r="1470">
      <c r="C1470" s="41"/>
      <c r="D1470" s="142"/>
      <c r="E1470" s="130"/>
      <c r="F1470" s="128"/>
      <c r="G1470" s="128"/>
      <c r="H1470" s="128"/>
      <c r="I1470" s="128"/>
      <c r="J1470" s="81"/>
      <c r="K1470" s="81"/>
      <c r="L1470" s="81"/>
      <c r="M1470" s="81"/>
      <c r="N1470" s="82"/>
    </row>
    <row r="1471">
      <c r="C1471" s="41"/>
      <c r="D1471" s="141"/>
      <c r="E1471" s="118"/>
      <c r="F1471" s="126"/>
      <c r="G1471" s="126"/>
      <c r="H1471" s="126"/>
      <c r="I1471" s="126"/>
      <c r="J1471" s="76"/>
      <c r="K1471" s="76"/>
      <c r="L1471" s="76"/>
      <c r="M1471" s="76"/>
      <c r="N1471" s="114"/>
    </row>
    <row r="1472">
      <c r="C1472" s="41"/>
      <c r="D1472" s="142"/>
      <c r="E1472" s="130"/>
      <c r="F1472" s="128"/>
      <c r="G1472" s="128"/>
      <c r="H1472" s="128"/>
      <c r="I1472" s="128"/>
      <c r="J1472" s="81"/>
      <c r="K1472" s="81"/>
      <c r="L1472" s="81"/>
      <c r="M1472" s="81"/>
      <c r="N1472" s="82"/>
    </row>
    <row r="1473">
      <c r="C1473" s="41"/>
      <c r="D1473" s="141"/>
      <c r="E1473" s="118"/>
      <c r="F1473" s="126"/>
      <c r="G1473" s="126"/>
      <c r="H1473" s="126"/>
      <c r="I1473" s="126"/>
      <c r="J1473" s="76"/>
      <c r="K1473" s="76"/>
      <c r="L1473" s="76"/>
      <c r="M1473" s="76"/>
      <c r="N1473" s="114"/>
    </row>
    <row r="1474">
      <c r="C1474" s="41"/>
      <c r="D1474" s="142"/>
      <c r="E1474" s="130"/>
      <c r="F1474" s="128"/>
      <c r="G1474" s="128"/>
      <c r="H1474" s="128"/>
      <c r="I1474" s="128"/>
      <c r="J1474" s="81"/>
      <c r="K1474" s="81"/>
      <c r="L1474" s="81"/>
      <c r="M1474" s="81"/>
      <c r="N1474" s="82"/>
    </row>
    <row r="1475">
      <c r="C1475" s="41"/>
      <c r="D1475" s="141"/>
      <c r="E1475" s="118"/>
      <c r="F1475" s="126"/>
      <c r="G1475" s="126"/>
      <c r="H1475" s="126"/>
      <c r="I1475" s="126"/>
      <c r="J1475" s="76"/>
      <c r="K1475" s="76"/>
      <c r="L1475" s="76"/>
      <c r="M1475" s="76"/>
      <c r="N1475" s="114"/>
    </row>
    <row r="1476">
      <c r="C1476" s="41"/>
      <c r="D1476" s="142"/>
      <c r="E1476" s="130"/>
      <c r="F1476" s="128"/>
      <c r="G1476" s="128"/>
      <c r="H1476" s="128"/>
      <c r="I1476" s="128"/>
      <c r="J1476" s="81"/>
      <c r="K1476" s="81"/>
      <c r="L1476" s="81"/>
      <c r="M1476" s="81"/>
      <c r="N1476" s="82"/>
    </row>
    <row r="1477">
      <c r="C1477" s="41"/>
      <c r="D1477" s="141"/>
      <c r="E1477" s="118"/>
      <c r="F1477" s="126"/>
      <c r="G1477" s="126"/>
      <c r="H1477" s="126"/>
      <c r="I1477" s="126"/>
      <c r="J1477" s="76"/>
      <c r="K1477" s="76"/>
      <c r="L1477" s="76"/>
      <c r="M1477" s="76"/>
      <c r="N1477" s="114"/>
    </row>
    <row r="1478">
      <c r="C1478" s="41"/>
      <c r="D1478" s="142"/>
      <c r="E1478" s="130"/>
      <c r="F1478" s="128"/>
      <c r="G1478" s="128"/>
      <c r="H1478" s="128"/>
      <c r="I1478" s="128"/>
      <c r="J1478" s="81"/>
      <c r="K1478" s="81"/>
      <c r="L1478" s="81"/>
      <c r="M1478" s="81"/>
      <c r="N1478" s="82"/>
    </row>
    <row r="1479">
      <c r="C1479" s="41"/>
      <c r="D1479" s="141"/>
      <c r="E1479" s="118"/>
      <c r="F1479" s="126"/>
      <c r="G1479" s="126"/>
      <c r="H1479" s="126"/>
      <c r="I1479" s="126"/>
      <c r="J1479" s="76"/>
      <c r="K1479" s="76"/>
      <c r="L1479" s="76"/>
      <c r="M1479" s="76"/>
      <c r="N1479" s="114"/>
    </row>
    <row r="1480">
      <c r="C1480" s="41"/>
      <c r="D1480" s="142"/>
      <c r="E1480" s="130"/>
      <c r="F1480" s="128"/>
      <c r="G1480" s="128"/>
      <c r="H1480" s="128"/>
      <c r="I1480" s="128"/>
      <c r="J1480" s="81"/>
      <c r="K1480" s="81"/>
      <c r="L1480" s="81"/>
      <c r="M1480" s="81"/>
      <c r="N1480" s="82"/>
    </row>
    <row r="1481">
      <c r="C1481" s="41"/>
      <c r="D1481" s="141"/>
      <c r="E1481" s="118"/>
      <c r="F1481" s="126"/>
      <c r="G1481" s="126"/>
      <c r="H1481" s="126"/>
      <c r="I1481" s="126"/>
      <c r="J1481" s="76"/>
      <c r="K1481" s="76"/>
      <c r="L1481" s="76"/>
      <c r="M1481" s="76"/>
      <c r="N1481" s="114"/>
    </row>
    <row r="1482">
      <c r="C1482" s="41"/>
      <c r="D1482" s="142"/>
      <c r="E1482" s="130"/>
      <c r="F1482" s="128"/>
      <c r="G1482" s="128"/>
      <c r="H1482" s="128"/>
      <c r="I1482" s="128"/>
      <c r="J1482" s="81"/>
      <c r="K1482" s="81"/>
      <c r="L1482" s="81"/>
      <c r="M1482" s="81"/>
      <c r="N1482" s="82"/>
    </row>
    <row r="1483">
      <c r="C1483" s="41"/>
      <c r="D1483" s="141"/>
      <c r="E1483" s="118"/>
      <c r="F1483" s="126"/>
      <c r="G1483" s="126"/>
      <c r="H1483" s="126"/>
      <c r="I1483" s="126"/>
      <c r="J1483" s="76"/>
      <c r="K1483" s="76"/>
      <c r="L1483" s="76"/>
      <c r="M1483" s="76"/>
      <c r="N1483" s="114"/>
    </row>
    <row r="1484">
      <c r="C1484" s="41"/>
      <c r="D1484" s="142"/>
      <c r="E1484" s="130"/>
      <c r="F1484" s="128"/>
      <c r="G1484" s="128"/>
      <c r="H1484" s="128"/>
      <c r="I1484" s="128"/>
      <c r="J1484" s="81"/>
      <c r="K1484" s="81"/>
      <c r="L1484" s="81"/>
      <c r="M1484" s="81"/>
      <c r="N1484" s="82"/>
    </row>
    <row r="1485">
      <c r="C1485" s="41"/>
      <c r="D1485" s="141"/>
      <c r="E1485" s="118"/>
      <c r="F1485" s="126"/>
      <c r="G1485" s="126"/>
      <c r="H1485" s="126"/>
      <c r="I1485" s="126"/>
      <c r="J1485" s="76"/>
      <c r="K1485" s="76"/>
      <c r="L1485" s="76"/>
      <c r="M1485" s="76"/>
      <c r="N1485" s="114"/>
    </row>
    <row r="1486">
      <c r="C1486" s="41"/>
      <c r="D1486" s="142"/>
      <c r="E1486" s="130"/>
      <c r="F1486" s="128"/>
      <c r="G1486" s="128"/>
      <c r="H1486" s="128"/>
      <c r="I1486" s="128"/>
      <c r="J1486" s="81"/>
      <c r="K1486" s="81"/>
      <c r="L1486" s="81"/>
      <c r="M1486" s="81"/>
      <c r="N1486" s="82"/>
    </row>
    <row r="1487">
      <c r="C1487" s="41"/>
      <c r="D1487" s="141"/>
      <c r="E1487" s="118"/>
      <c r="F1487" s="126"/>
      <c r="G1487" s="126"/>
      <c r="H1487" s="126"/>
      <c r="I1487" s="126"/>
      <c r="J1487" s="76"/>
      <c r="K1487" s="76"/>
      <c r="L1487" s="76"/>
      <c r="M1487" s="76"/>
      <c r="N1487" s="114"/>
    </row>
    <row r="1488">
      <c r="C1488" s="41"/>
      <c r="D1488" s="142"/>
      <c r="E1488" s="130"/>
      <c r="F1488" s="128"/>
      <c r="G1488" s="128"/>
      <c r="H1488" s="128"/>
      <c r="I1488" s="128"/>
      <c r="J1488" s="81"/>
      <c r="K1488" s="81"/>
      <c r="L1488" s="81"/>
      <c r="M1488" s="81"/>
      <c r="N1488" s="82"/>
    </row>
    <row r="1489">
      <c r="C1489" s="41"/>
      <c r="D1489" s="141"/>
      <c r="E1489" s="118"/>
      <c r="F1489" s="126"/>
      <c r="G1489" s="126"/>
      <c r="H1489" s="126"/>
      <c r="I1489" s="126"/>
      <c r="J1489" s="76"/>
      <c r="K1489" s="76"/>
      <c r="L1489" s="76"/>
      <c r="M1489" s="76"/>
      <c r="N1489" s="114"/>
    </row>
    <row r="1490">
      <c r="C1490" s="41"/>
      <c r="D1490" s="142"/>
      <c r="E1490" s="130"/>
      <c r="F1490" s="128"/>
      <c r="G1490" s="128"/>
      <c r="H1490" s="128"/>
      <c r="I1490" s="128"/>
      <c r="J1490" s="81"/>
      <c r="K1490" s="81"/>
      <c r="L1490" s="81"/>
      <c r="M1490" s="81"/>
      <c r="N1490" s="82"/>
    </row>
    <row r="1491">
      <c r="C1491" s="41"/>
      <c r="D1491" s="141"/>
      <c r="E1491" s="118"/>
      <c r="F1491" s="126"/>
      <c r="G1491" s="126"/>
      <c r="H1491" s="126"/>
      <c r="I1491" s="126"/>
      <c r="J1491" s="76"/>
      <c r="K1491" s="76"/>
      <c r="L1491" s="76"/>
      <c r="M1491" s="76"/>
      <c r="N1491" s="114"/>
    </row>
    <row r="1492">
      <c r="C1492" s="41"/>
      <c r="D1492" s="142"/>
      <c r="E1492" s="130"/>
      <c r="F1492" s="128"/>
      <c r="G1492" s="128"/>
      <c r="H1492" s="128"/>
      <c r="I1492" s="128"/>
      <c r="J1492" s="81"/>
      <c r="K1492" s="81"/>
      <c r="L1492" s="81"/>
      <c r="M1492" s="81"/>
      <c r="N1492" s="82"/>
    </row>
    <row r="1493">
      <c r="C1493" s="41"/>
      <c r="D1493" s="141"/>
      <c r="E1493" s="118"/>
      <c r="F1493" s="126"/>
      <c r="G1493" s="126"/>
      <c r="H1493" s="126"/>
      <c r="I1493" s="126"/>
      <c r="J1493" s="76"/>
      <c r="K1493" s="76"/>
      <c r="L1493" s="76"/>
      <c r="M1493" s="76"/>
      <c r="N1493" s="114"/>
    </row>
    <row r="1494">
      <c r="C1494" s="41"/>
      <c r="D1494" s="142"/>
      <c r="E1494" s="130"/>
      <c r="F1494" s="128"/>
      <c r="G1494" s="128"/>
      <c r="H1494" s="128"/>
      <c r="I1494" s="128"/>
      <c r="J1494" s="81"/>
      <c r="K1494" s="81"/>
      <c r="L1494" s="81"/>
      <c r="M1494" s="81"/>
      <c r="N1494" s="82"/>
    </row>
    <row r="1495">
      <c r="C1495" s="41"/>
      <c r="D1495" s="141"/>
      <c r="E1495" s="118"/>
      <c r="F1495" s="126"/>
      <c r="G1495" s="126"/>
      <c r="H1495" s="126"/>
      <c r="I1495" s="126"/>
      <c r="J1495" s="76"/>
      <c r="K1495" s="76"/>
      <c r="L1495" s="76"/>
      <c r="M1495" s="76"/>
      <c r="N1495" s="114"/>
    </row>
    <row r="1496">
      <c r="C1496" s="41"/>
      <c r="D1496" s="142"/>
      <c r="E1496" s="130"/>
      <c r="F1496" s="128"/>
      <c r="G1496" s="128"/>
      <c r="H1496" s="128"/>
      <c r="I1496" s="128"/>
      <c r="J1496" s="81"/>
      <c r="K1496" s="81"/>
      <c r="L1496" s="81"/>
      <c r="M1496" s="81"/>
      <c r="N1496" s="82"/>
    </row>
    <row r="1497">
      <c r="C1497" s="41"/>
      <c r="D1497" s="141"/>
      <c r="E1497" s="118"/>
      <c r="F1497" s="126"/>
      <c r="G1497" s="126"/>
      <c r="H1497" s="126"/>
      <c r="I1497" s="126"/>
      <c r="J1497" s="76"/>
      <c r="K1497" s="76"/>
      <c r="L1497" s="76"/>
      <c r="M1497" s="76"/>
      <c r="N1497" s="114"/>
    </row>
    <row r="1498">
      <c r="C1498" s="41"/>
      <c r="D1498" s="142"/>
      <c r="E1498" s="130"/>
      <c r="F1498" s="128"/>
      <c r="G1498" s="128"/>
      <c r="H1498" s="128"/>
      <c r="I1498" s="128"/>
      <c r="J1498" s="81"/>
      <c r="K1498" s="81"/>
      <c r="L1498" s="81"/>
      <c r="M1498" s="81"/>
      <c r="N1498" s="82"/>
    </row>
    <row r="1499">
      <c r="C1499" s="41"/>
      <c r="D1499" s="141"/>
      <c r="E1499" s="118"/>
      <c r="F1499" s="126"/>
      <c r="G1499" s="126"/>
      <c r="H1499" s="126"/>
      <c r="I1499" s="126"/>
      <c r="J1499" s="76"/>
      <c r="K1499" s="76"/>
      <c r="L1499" s="76"/>
      <c r="M1499" s="76"/>
      <c r="N1499" s="114"/>
    </row>
    <row r="1500">
      <c r="C1500" s="41"/>
      <c r="D1500" s="142"/>
      <c r="E1500" s="130"/>
      <c r="F1500" s="128"/>
      <c r="G1500" s="128"/>
      <c r="H1500" s="128"/>
      <c r="I1500" s="128"/>
      <c r="J1500" s="81"/>
      <c r="K1500" s="81"/>
      <c r="L1500" s="81"/>
      <c r="M1500" s="81"/>
      <c r="N1500" s="82"/>
    </row>
    <row r="1501">
      <c r="C1501" s="41"/>
      <c r="D1501" s="141"/>
      <c r="E1501" s="118"/>
      <c r="F1501" s="126"/>
      <c r="G1501" s="126"/>
      <c r="H1501" s="126"/>
      <c r="I1501" s="126"/>
      <c r="J1501" s="76"/>
      <c r="K1501" s="76"/>
      <c r="L1501" s="76"/>
      <c r="M1501" s="76"/>
      <c r="N1501" s="114"/>
    </row>
    <row r="1502">
      <c r="C1502" s="41"/>
      <c r="D1502" s="142"/>
      <c r="E1502" s="130"/>
      <c r="F1502" s="128"/>
      <c r="G1502" s="128"/>
      <c r="H1502" s="128"/>
      <c r="I1502" s="128"/>
      <c r="J1502" s="81"/>
      <c r="K1502" s="81"/>
      <c r="L1502" s="81"/>
      <c r="M1502" s="81"/>
      <c r="N1502" s="82"/>
    </row>
    <row r="1503">
      <c r="C1503" s="41"/>
      <c r="D1503" s="141"/>
      <c r="E1503" s="118"/>
      <c r="F1503" s="126"/>
      <c r="G1503" s="126"/>
      <c r="H1503" s="126"/>
      <c r="I1503" s="126"/>
      <c r="J1503" s="76"/>
      <c r="K1503" s="76"/>
      <c r="L1503" s="76"/>
      <c r="M1503" s="76"/>
      <c r="N1503" s="114"/>
    </row>
    <row r="1504">
      <c r="C1504" s="41"/>
      <c r="D1504" s="142"/>
      <c r="E1504" s="130"/>
      <c r="F1504" s="128"/>
      <c r="G1504" s="128"/>
      <c r="H1504" s="128"/>
      <c r="I1504" s="128"/>
      <c r="J1504" s="81"/>
      <c r="K1504" s="81"/>
      <c r="L1504" s="81"/>
      <c r="M1504" s="81"/>
      <c r="N1504" s="82"/>
    </row>
    <row r="1505">
      <c r="C1505" s="41"/>
      <c r="D1505" s="141"/>
      <c r="E1505" s="118"/>
      <c r="F1505" s="126"/>
      <c r="G1505" s="126"/>
      <c r="H1505" s="126"/>
      <c r="I1505" s="126"/>
      <c r="J1505" s="76"/>
      <c r="K1505" s="76"/>
      <c r="L1505" s="76"/>
      <c r="M1505" s="76"/>
      <c r="N1505" s="114"/>
    </row>
    <row r="1506">
      <c r="C1506" s="41"/>
      <c r="D1506" s="142"/>
      <c r="E1506" s="130"/>
      <c r="F1506" s="128"/>
      <c r="G1506" s="128"/>
      <c r="H1506" s="128"/>
      <c r="I1506" s="128"/>
      <c r="J1506" s="81"/>
      <c r="K1506" s="81"/>
      <c r="L1506" s="81"/>
      <c r="M1506" s="81"/>
      <c r="N1506" s="82"/>
    </row>
    <row r="1507">
      <c r="C1507" s="41"/>
      <c r="D1507" s="141"/>
      <c r="E1507" s="118"/>
      <c r="F1507" s="126"/>
      <c r="G1507" s="126"/>
      <c r="H1507" s="126"/>
      <c r="I1507" s="126"/>
      <c r="J1507" s="76"/>
      <c r="K1507" s="76"/>
      <c r="L1507" s="76"/>
      <c r="M1507" s="76"/>
      <c r="N1507" s="114"/>
    </row>
    <row r="1508">
      <c r="C1508" s="41"/>
      <c r="D1508" s="142"/>
      <c r="E1508" s="130"/>
      <c r="F1508" s="128"/>
      <c r="G1508" s="128"/>
      <c r="H1508" s="128"/>
      <c r="I1508" s="128"/>
      <c r="J1508" s="81"/>
      <c r="K1508" s="81"/>
      <c r="L1508" s="81"/>
      <c r="M1508" s="81"/>
      <c r="N1508" s="82"/>
    </row>
    <row r="1509">
      <c r="C1509" s="41"/>
      <c r="D1509" s="141"/>
      <c r="E1509" s="118"/>
      <c r="F1509" s="126"/>
      <c r="G1509" s="126"/>
      <c r="H1509" s="126"/>
      <c r="I1509" s="126"/>
      <c r="J1509" s="76"/>
      <c r="K1509" s="76"/>
      <c r="L1509" s="76"/>
      <c r="M1509" s="76"/>
      <c r="N1509" s="114"/>
    </row>
    <row r="1510">
      <c r="C1510" s="41"/>
      <c r="D1510" s="142"/>
      <c r="E1510" s="130"/>
      <c r="F1510" s="128"/>
      <c r="G1510" s="128"/>
      <c r="H1510" s="128"/>
      <c r="I1510" s="128"/>
      <c r="J1510" s="81"/>
      <c r="K1510" s="81"/>
      <c r="L1510" s="81"/>
      <c r="M1510" s="81"/>
      <c r="N1510" s="82"/>
    </row>
    <row r="1511">
      <c r="C1511" s="41"/>
      <c r="D1511" s="141"/>
      <c r="E1511" s="118"/>
      <c r="F1511" s="126"/>
      <c r="G1511" s="126"/>
      <c r="H1511" s="126"/>
      <c r="I1511" s="126"/>
      <c r="J1511" s="76"/>
      <c r="K1511" s="76"/>
      <c r="L1511" s="76"/>
      <c r="M1511" s="76"/>
      <c r="N1511" s="114"/>
    </row>
    <row r="1512">
      <c r="C1512" s="41"/>
      <c r="D1512" s="142"/>
      <c r="E1512" s="130"/>
      <c r="F1512" s="128"/>
      <c r="G1512" s="128"/>
      <c r="H1512" s="128"/>
      <c r="I1512" s="128"/>
      <c r="J1512" s="81"/>
      <c r="K1512" s="81"/>
      <c r="L1512" s="81"/>
      <c r="M1512" s="81"/>
      <c r="N1512" s="82"/>
    </row>
    <row r="1513">
      <c r="C1513" s="41"/>
      <c r="D1513" s="141"/>
      <c r="E1513" s="118"/>
      <c r="F1513" s="126"/>
      <c r="G1513" s="126"/>
      <c r="H1513" s="126"/>
      <c r="I1513" s="126"/>
      <c r="J1513" s="76"/>
      <c r="K1513" s="76"/>
      <c r="L1513" s="76"/>
      <c r="M1513" s="76"/>
      <c r="N1513" s="114"/>
    </row>
    <row r="1514">
      <c r="C1514" s="41"/>
      <c r="D1514" s="142"/>
      <c r="E1514" s="130"/>
      <c r="F1514" s="128"/>
      <c r="G1514" s="128"/>
      <c r="H1514" s="128"/>
      <c r="I1514" s="128"/>
      <c r="J1514" s="81"/>
      <c r="K1514" s="81"/>
      <c r="L1514" s="81"/>
      <c r="M1514" s="81"/>
      <c r="N1514" s="82"/>
    </row>
    <row r="1515">
      <c r="C1515" s="41"/>
      <c r="D1515" s="141"/>
      <c r="E1515" s="118"/>
      <c r="F1515" s="126"/>
      <c r="G1515" s="126"/>
      <c r="H1515" s="126"/>
      <c r="I1515" s="126"/>
      <c r="J1515" s="76"/>
      <c r="K1515" s="76"/>
      <c r="L1515" s="76"/>
      <c r="M1515" s="76"/>
      <c r="N1515" s="114"/>
    </row>
    <row r="1516">
      <c r="C1516" s="41"/>
      <c r="D1516" s="142"/>
      <c r="E1516" s="130"/>
      <c r="F1516" s="128"/>
      <c r="G1516" s="128"/>
      <c r="H1516" s="128"/>
      <c r="I1516" s="128"/>
      <c r="J1516" s="81"/>
      <c r="K1516" s="81"/>
      <c r="L1516" s="81"/>
      <c r="M1516" s="81"/>
      <c r="N1516" s="82"/>
    </row>
    <row r="1517">
      <c r="C1517" s="41"/>
      <c r="D1517" s="141"/>
      <c r="E1517" s="118"/>
      <c r="F1517" s="126"/>
      <c r="G1517" s="126"/>
      <c r="H1517" s="126"/>
      <c r="I1517" s="126"/>
      <c r="J1517" s="76"/>
      <c r="K1517" s="76"/>
      <c r="L1517" s="76"/>
      <c r="M1517" s="76"/>
      <c r="N1517" s="114"/>
    </row>
    <row r="1518">
      <c r="C1518" s="41"/>
      <c r="D1518" s="142"/>
      <c r="E1518" s="130"/>
      <c r="F1518" s="128"/>
      <c r="G1518" s="128"/>
      <c r="H1518" s="128"/>
      <c r="I1518" s="128"/>
      <c r="J1518" s="81"/>
      <c r="K1518" s="81"/>
      <c r="L1518" s="81"/>
      <c r="M1518" s="81"/>
      <c r="N1518" s="82"/>
    </row>
    <row r="1519">
      <c r="C1519" s="41"/>
      <c r="D1519" s="141"/>
      <c r="E1519" s="118"/>
      <c r="F1519" s="126"/>
      <c r="G1519" s="126"/>
      <c r="H1519" s="126"/>
      <c r="I1519" s="126"/>
      <c r="J1519" s="76"/>
      <c r="K1519" s="76"/>
      <c r="L1519" s="76"/>
      <c r="M1519" s="76"/>
      <c r="N1519" s="114"/>
    </row>
    <row r="1520">
      <c r="C1520" s="41"/>
      <c r="D1520" s="142"/>
      <c r="E1520" s="130"/>
      <c r="F1520" s="128"/>
      <c r="G1520" s="128"/>
      <c r="H1520" s="128"/>
      <c r="I1520" s="128"/>
      <c r="J1520" s="81"/>
      <c r="K1520" s="81"/>
      <c r="L1520" s="81"/>
      <c r="M1520" s="81"/>
      <c r="N1520" s="82"/>
    </row>
    <row r="1521">
      <c r="C1521" s="41"/>
      <c r="D1521" s="141"/>
      <c r="E1521" s="118"/>
      <c r="F1521" s="126"/>
      <c r="G1521" s="126"/>
      <c r="H1521" s="126"/>
      <c r="I1521" s="126"/>
      <c r="J1521" s="76"/>
      <c r="K1521" s="76"/>
      <c r="L1521" s="76"/>
      <c r="M1521" s="76"/>
      <c r="N1521" s="114"/>
    </row>
    <row r="1522">
      <c r="C1522" s="41"/>
      <c r="D1522" s="142"/>
      <c r="E1522" s="130"/>
      <c r="F1522" s="128"/>
      <c r="G1522" s="128"/>
      <c r="H1522" s="128"/>
      <c r="I1522" s="128"/>
      <c r="J1522" s="81"/>
      <c r="K1522" s="81"/>
      <c r="L1522" s="81"/>
      <c r="M1522" s="81"/>
      <c r="N1522" s="82"/>
    </row>
    <row r="1523">
      <c r="C1523" s="41"/>
      <c r="D1523" s="141"/>
      <c r="E1523" s="118"/>
      <c r="F1523" s="126"/>
      <c r="G1523" s="126"/>
      <c r="H1523" s="126"/>
      <c r="I1523" s="126"/>
      <c r="J1523" s="76"/>
      <c r="K1523" s="76"/>
      <c r="L1523" s="76"/>
      <c r="M1523" s="76"/>
      <c r="N1523" s="114"/>
    </row>
    <row r="1524">
      <c r="C1524" s="41"/>
      <c r="D1524" s="142"/>
      <c r="E1524" s="130"/>
      <c r="F1524" s="128"/>
      <c r="G1524" s="128"/>
      <c r="H1524" s="128"/>
      <c r="I1524" s="128"/>
      <c r="J1524" s="81"/>
      <c r="K1524" s="81"/>
      <c r="L1524" s="81"/>
      <c r="M1524" s="81"/>
      <c r="N1524" s="82"/>
    </row>
    <row r="1525">
      <c r="C1525" s="41"/>
      <c r="D1525" s="141"/>
      <c r="E1525" s="118"/>
      <c r="F1525" s="126"/>
      <c r="G1525" s="126"/>
      <c r="H1525" s="126"/>
      <c r="I1525" s="126"/>
      <c r="J1525" s="76"/>
      <c r="K1525" s="76"/>
      <c r="L1525" s="76"/>
      <c r="M1525" s="76"/>
      <c r="N1525" s="114"/>
    </row>
    <row r="1526">
      <c r="C1526" s="41"/>
      <c r="D1526" s="142"/>
      <c r="E1526" s="130"/>
      <c r="F1526" s="128"/>
      <c r="G1526" s="128"/>
      <c r="H1526" s="128"/>
      <c r="I1526" s="128"/>
      <c r="J1526" s="81"/>
      <c r="K1526" s="81"/>
      <c r="L1526" s="81"/>
      <c r="M1526" s="81"/>
      <c r="N1526" s="82"/>
    </row>
    <row r="1527">
      <c r="C1527" s="41"/>
      <c r="D1527" s="141"/>
      <c r="E1527" s="118"/>
      <c r="F1527" s="126"/>
      <c r="G1527" s="126"/>
      <c r="H1527" s="126"/>
      <c r="I1527" s="126"/>
      <c r="J1527" s="76"/>
      <c r="K1527" s="76"/>
      <c r="L1527" s="76"/>
      <c r="M1527" s="76"/>
      <c r="N1527" s="114"/>
    </row>
    <row r="1528">
      <c r="C1528" s="41"/>
      <c r="D1528" s="142"/>
      <c r="E1528" s="130"/>
      <c r="F1528" s="128"/>
      <c r="G1528" s="128"/>
      <c r="H1528" s="128"/>
      <c r="I1528" s="128"/>
      <c r="J1528" s="81"/>
      <c r="K1528" s="81"/>
      <c r="L1528" s="81"/>
      <c r="M1528" s="81"/>
      <c r="N1528" s="82"/>
    </row>
    <row r="1529">
      <c r="C1529" s="41"/>
      <c r="D1529" s="141"/>
      <c r="E1529" s="118"/>
      <c r="F1529" s="126"/>
      <c r="G1529" s="126"/>
      <c r="H1529" s="126"/>
      <c r="I1529" s="126"/>
      <c r="J1529" s="76"/>
      <c r="K1529" s="76"/>
      <c r="L1529" s="76"/>
      <c r="M1529" s="76"/>
      <c r="N1529" s="114"/>
    </row>
    <row r="1530">
      <c r="C1530" s="41"/>
      <c r="D1530" s="142"/>
      <c r="E1530" s="130"/>
      <c r="F1530" s="128"/>
      <c r="G1530" s="128"/>
      <c r="H1530" s="128"/>
      <c r="I1530" s="128"/>
      <c r="J1530" s="81"/>
      <c r="K1530" s="81"/>
      <c r="L1530" s="81"/>
      <c r="M1530" s="81"/>
      <c r="N1530" s="82"/>
    </row>
    <row r="1531">
      <c r="C1531" s="41"/>
      <c r="D1531" s="141"/>
      <c r="E1531" s="118"/>
      <c r="F1531" s="126"/>
      <c r="G1531" s="126"/>
      <c r="H1531" s="126"/>
      <c r="I1531" s="126"/>
      <c r="J1531" s="76"/>
      <c r="K1531" s="76"/>
      <c r="L1531" s="76"/>
      <c r="M1531" s="76"/>
      <c r="N1531" s="114"/>
    </row>
    <row r="1532">
      <c r="C1532" s="41"/>
      <c r="D1532" s="142"/>
      <c r="E1532" s="130"/>
      <c r="F1532" s="128"/>
      <c r="G1532" s="128"/>
      <c r="H1532" s="128"/>
      <c r="I1532" s="128"/>
      <c r="J1532" s="81"/>
      <c r="K1532" s="81"/>
      <c r="L1532" s="81"/>
      <c r="M1532" s="81"/>
      <c r="N1532" s="82"/>
    </row>
    <row r="1533">
      <c r="C1533" s="41"/>
      <c r="D1533" s="141"/>
      <c r="E1533" s="118"/>
      <c r="F1533" s="126"/>
      <c r="G1533" s="126"/>
      <c r="H1533" s="126"/>
      <c r="I1533" s="126"/>
      <c r="J1533" s="76"/>
      <c r="K1533" s="76"/>
      <c r="L1533" s="76"/>
      <c r="M1533" s="76"/>
      <c r="N1533" s="114"/>
    </row>
    <row r="1534">
      <c r="C1534" s="41"/>
      <c r="D1534" s="142"/>
      <c r="E1534" s="130"/>
      <c r="F1534" s="128"/>
      <c r="G1534" s="128"/>
      <c r="H1534" s="128"/>
      <c r="I1534" s="128"/>
      <c r="J1534" s="81"/>
      <c r="K1534" s="81"/>
      <c r="L1534" s="81"/>
      <c r="M1534" s="81"/>
      <c r="N1534" s="82"/>
    </row>
    <row r="1535">
      <c r="C1535" s="41"/>
      <c r="D1535" s="141"/>
      <c r="E1535" s="118"/>
      <c r="F1535" s="126"/>
      <c r="G1535" s="126"/>
      <c r="H1535" s="126"/>
      <c r="I1535" s="126"/>
      <c r="J1535" s="76"/>
      <c r="K1535" s="76"/>
      <c r="L1535" s="76"/>
      <c r="M1535" s="76"/>
      <c r="N1535" s="114"/>
    </row>
    <row r="1536">
      <c r="C1536" s="41"/>
      <c r="D1536" s="142"/>
      <c r="E1536" s="130"/>
      <c r="F1536" s="128"/>
      <c r="G1536" s="128"/>
      <c r="H1536" s="128"/>
      <c r="I1536" s="128"/>
      <c r="J1536" s="81"/>
      <c r="K1536" s="81"/>
      <c r="L1536" s="81"/>
      <c r="M1536" s="81"/>
      <c r="N1536" s="82"/>
    </row>
    <row r="1537">
      <c r="C1537" s="41"/>
      <c r="D1537" s="141"/>
      <c r="E1537" s="118"/>
      <c r="F1537" s="126"/>
      <c r="G1537" s="126"/>
      <c r="H1537" s="126"/>
      <c r="I1537" s="126"/>
      <c r="J1537" s="76"/>
      <c r="K1537" s="76"/>
      <c r="L1537" s="76"/>
      <c r="M1537" s="76"/>
      <c r="N1537" s="114"/>
    </row>
    <row r="1538">
      <c r="C1538" s="41"/>
      <c r="D1538" s="142"/>
      <c r="E1538" s="130"/>
      <c r="F1538" s="128"/>
      <c r="G1538" s="128"/>
      <c r="H1538" s="128"/>
      <c r="I1538" s="128"/>
      <c r="J1538" s="81"/>
      <c r="K1538" s="81"/>
      <c r="L1538" s="81"/>
      <c r="M1538" s="81"/>
      <c r="N1538" s="82"/>
    </row>
    <row r="1539">
      <c r="C1539" s="41"/>
      <c r="D1539" s="141"/>
      <c r="E1539" s="118"/>
      <c r="F1539" s="126"/>
      <c r="G1539" s="126"/>
      <c r="H1539" s="126"/>
      <c r="I1539" s="126"/>
      <c r="J1539" s="76"/>
      <c r="K1539" s="76"/>
      <c r="L1539" s="76"/>
      <c r="M1539" s="76"/>
      <c r="N1539" s="114"/>
    </row>
    <row r="1540">
      <c r="C1540" s="41"/>
      <c r="D1540" s="142"/>
      <c r="E1540" s="130"/>
      <c r="F1540" s="128"/>
      <c r="G1540" s="128"/>
      <c r="H1540" s="128"/>
      <c r="I1540" s="128"/>
      <c r="J1540" s="81"/>
      <c r="K1540" s="81"/>
      <c r="L1540" s="81"/>
      <c r="M1540" s="81"/>
      <c r="N1540" s="82"/>
    </row>
    <row r="1541">
      <c r="C1541" s="41"/>
      <c r="D1541" s="141"/>
      <c r="E1541" s="118"/>
      <c r="F1541" s="126"/>
      <c r="G1541" s="126"/>
      <c r="H1541" s="126"/>
      <c r="I1541" s="126"/>
      <c r="J1541" s="76"/>
      <c r="K1541" s="76"/>
      <c r="L1541" s="76"/>
      <c r="M1541" s="76"/>
      <c r="N1541" s="114"/>
    </row>
    <row r="1542">
      <c r="C1542" s="41"/>
      <c r="D1542" s="142"/>
      <c r="E1542" s="130"/>
      <c r="F1542" s="128"/>
      <c r="G1542" s="128"/>
      <c r="H1542" s="128"/>
      <c r="I1542" s="128"/>
      <c r="J1542" s="81"/>
      <c r="K1542" s="81"/>
      <c r="L1542" s="81"/>
      <c r="M1542" s="81"/>
      <c r="N1542" s="82"/>
    </row>
    <row r="1543">
      <c r="C1543" s="41"/>
      <c r="D1543" s="141"/>
      <c r="E1543" s="118"/>
      <c r="F1543" s="126"/>
      <c r="G1543" s="126"/>
      <c r="H1543" s="126"/>
      <c r="I1543" s="126"/>
      <c r="J1543" s="76"/>
      <c r="K1543" s="76"/>
      <c r="L1543" s="76"/>
      <c r="M1543" s="76"/>
      <c r="N1543" s="114"/>
    </row>
    <row r="1544">
      <c r="C1544" s="41"/>
      <c r="D1544" s="142"/>
      <c r="E1544" s="130"/>
      <c r="F1544" s="128"/>
      <c r="G1544" s="128"/>
      <c r="H1544" s="128"/>
      <c r="I1544" s="128"/>
      <c r="J1544" s="81"/>
      <c r="K1544" s="81"/>
      <c r="L1544" s="81"/>
      <c r="M1544" s="81"/>
      <c r="N1544" s="82"/>
    </row>
    <row r="1545">
      <c r="C1545" s="41"/>
      <c r="D1545" s="141"/>
      <c r="E1545" s="118"/>
      <c r="F1545" s="126"/>
      <c r="G1545" s="126"/>
      <c r="H1545" s="126"/>
      <c r="I1545" s="126"/>
      <c r="J1545" s="76"/>
      <c r="K1545" s="76"/>
      <c r="L1545" s="76"/>
      <c r="M1545" s="76"/>
      <c r="N1545" s="114"/>
    </row>
    <row r="1546">
      <c r="C1546" s="41"/>
      <c r="D1546" s="142"/>
      <c r="E1546" s="130"/>
      <c r="F1546" s="128"/>
      <c r="G1546" s="128"/>
      <c r="H1546" s="128"/>
      <c r="I1546" s="128"/>
      <c r="J1546" s="81"/>
      <c r="K1546" s="81"/>
      <c r="L1546" s="81"/>
      <c r="M1546" s="81"/>
      <c r="N1546" s="82"/>
    </row>
    <row r="1547">
      <c r="C1547" s="41"/>
      <c r="D1547" s="141"/>
      <c r="E1547" s="118"/>
      <c r="F1547" s="126"/>
      <c r="G1547" s="126"/>
      <c r="H1547" s="126"/>
      <c r="I1547" s="126"/>
      <c r="J1547" s="76"/>
      <c r="K1547" s="76"/>
      <c r="L1547" s="76"/>
      <c r="M1547" s="76"/>
      <c r="N1547" s="114"/>
    </row>
    <row r="1548">
      <c r="C1548" s="41"/>
      <c r="D1548" s="142"/>
      <c r="E1548" s="130"/>
      <c r="F1548" s="128"/>
      <c r="G1548" s="128"/>
      <c r="H1548" s="128"/>
      <c r="I1548" s="128"/>
      <c r="J1548" s="81"/>
      <c r="K1548" s="81"/>
      <c r="L1548" s="81"/>
      <c r="M1548" s="81"/>
      <c r="N1548" s="82"/>
    </row>
    <row r="1549">
      <c r="C1549" s="41"/>
      <c r="D1549" s="141"/>
      <c r="E1549" s="118"/>
      <c r="F1549" s="126"/>
      <c r="G1549" s="126"/>
      <c r="H1549" s="126"/>
      <c r="I1549" s="126"/>
      <c r="J1549" s="76"/>
      <c r="K1549" s="76"/>
      <c r="L1549" s="76"/>
      <c r="M1549" s="76"/>
      <c r="N1549" s="114"/>
    </row>
    <row r="1550">
      <c r="C1550" s="41"/>
      <c r="D1550" s="142"/>
      <c r="E1550" s="130"/>
      <c r="F1550" s="128"/>
      <c r="G1550" s="128"/>
      <c r="H1550" s="128"/>
      <c r="I1550" s="128"/>
      <c r="J1550" s="81"/>
      <c r="K1550" s="81"/>
      <c r="L1550" s="81"/>
      <c r="M1550" s="81"/>
      <c r="N1550" s="82"/>
    </row>
    <row r="1551">
      <c r="C1551" s="41"/>
      <c r="D1551" s="141"/>
      <c r="E1551" s="118"/>
      <c r="F1551" s="126"/>
      <c r="G1551" s="126"/>
      <c r="H1551" s="126"/>
      <c r="I1551" s="126"/>
      <c r="J1551" s="76"/>
      <c r="K1551" s="76"/>
      <c r="L1551" s="76"/>
      <c r="M1551" s="76"/>
      <c r="N1551" s="114"/>
    </row>
    <row r="1552">
      <c r="C1552" s="41"/>
      <c r="D1552" s="142"/>
      <c r="E1552" s="130"/>
      <c r="F1552" s="128"/>
      <c r="G1552" s="128"/>
      <c r="H1552" s="128"/>
      <c r="I1552" s="128"/>
      <c r="J1552" s="81"/>
      <c r="K1552" s="81"/>
      <c r="L1552" s="81"/>
      <c r="M1552" s="81"/>
      <c r="N1552" s="82"/>
    </row>
    <row r="1553">
      <c r="C1553" s="41"/>
      <c r="D1553" s="141"/>
      <c r="E1553" s="118"/>
      <c r="F1553" s="126"/>
      <c r="G1553" s="126"/>
      <c r="H1553" s="126"/>
      <c r="I1553" s="126"/>
      <c r="J1553" s="76"/>
      <c r="K1553" s="76"/>
      <c r="L1553" s="76"/>
      <c r="M1553" s="76"/>
      <c r="N1553" s="114"/>
    </row>
    <row r="1554">
      <c r="C1554" s="41"/>
      <c r="D1554" s="142"/>
      <c r="E1554" s="130"/>
      <c r="F1554" s="128"/>
      <c r="G1554" s="128"/>
      <c r="H1554" s="128"/>
      <c r="I1554" s="128"/>
      <c r="J1554" s="81"/>
      <c r="K1554" s="81"/>
      <c r="L1554" s="81"/>
      <c r="M1554" s="81"/>
      <c r="N1554" s="82"/>
    </row>
    <row r="1555">
      <c r="C1555" s="41"/>
      <c r="D1555" s="141"/>
      <c r="E1555" s="118"/>
      <c r="F1555" s="126"/>
      <c r="G1555" s="126"/>
      <c r="H1555" s="126"/>
      <c r="I1555" s="126"/>
      <c r="J1555" s="76"/>
      <c r="K1555" s="76"/>
      <c r="L1555" s="76"/>
      <c r="M1555" s="76"/>
      <c r="N1555" s="114"/>
    </row>
    <row r="1556">
      <c r="C1556" s="41"/>
      <c r="D1556" s="142"/>
      <c r="E1556" s="130"/>
      <c r="F1556" s="128"/>
      <c r="G1556" s="128"/>
      <c r="H1556" s="128"/>
      <c r="I1556" s="128"/>
      <c r="J1556" s="81"/>
      <c r="K1556" s="81"/>
      <c r="L1556" s="81"/>
      <c r="M1556" s="81"/>
      <c r="N1556" s="82"/>
    </row>
    <row r="1557">
      <c r="C1557" s="41"/>
      <c r="D1557" s="141"/>
      <c r="E1557" s="118"/>
      <c r="F1557" s="126"/>
      <c r="G1557" s="126"/>
      <c r="H1557" s="126"/>
      <c r="I1557" s="126"/>
      <c r="J1557" s="76"/>
      <c r="K1557" s="76"/>
      <c r="L1557" s="76"/>
      <c r="M1557" s="76"/>
      <c r="N1557" s="114"/>
    </row>
    <row r="1558">
      <c r="C1558" s="41"/>
      <c r="D1558" s="142"/>
      <c r="E1558" s="130"/>
      <c r="F1558" s="128"/>
      <c r="G1558" s="128"/>
      <c r="H1558" s="128"/>
      <c r="I1558" s="128"/>
      <c r="J1558" s="81"/>
      <c r="K1558" s="81"/>
      <c r="L1558" s="81"/>
      <c r="M1558" s="81"/>
      <c r="N1558" s="82"/>
    </row>
    <row r="1559">
      <c r="C1559" s="41"/>
      <c r="D1559" s="141"/>
      <c r="E1559" s="118"/>
      <c r="F1559" s="126"/>
      <c r="G1559" s="126"/>
      <c r="H1559" s="126"/>
      <c r="I1559" s="126"/>
      <c r="J1559" s="76"/>
      <c r="K1559" s="76"/>
      <c r="L1559" s="76"/>
      <c r="M1559" s="76"/>
      <c r="N1559" s="114"/>
    </row>
    <row r="1560">
      <c r="C1560" s="41"/>
      <c r="D1560" s="142"/>
      <c r="E1560" s="130"/>
      <c r="F1560" s="128"/>
      <c r="G1560" s="128"/>
      <c r="H1560" s="128"/>
      <c r="I1560" s="128"/>
      <c r="J1560" s="81"/>
      <c r="K1560" s="81"/>
      <c r="L1560" s="81"/>
      <c r="M1560" s="81"/>
      <c r="N1560" s="82"/>
    </row>
    <row r="1561">
      <c r="C1561" s="41"/>
      <c r="D1561" s="141"/>
      <c r="E1561" s="118"/>
      <c r="F1561" s="126"/>
      <c r="G1561" s="126"/>
      <c r="H1561" s="126"/>
      <c r="I1561" s="126"/>
      <c r="J1561" s="76"/>
      <c r="K1561" s="76"/>
      <c r="L1561" s="76"/>
      <c r="M1561" s="76"/>
      <c r="N1561" s="114"/>
    </row>
    <row r="1562">
      <c r="C1562" s="41"/>
      <c r="D1562" s="142"/>
      <c r="E1562" s="130"/>
      <c r="F1562" s="128"/>
      <c r="G1562" s="128"/>
      <c r="H1562" s="128"/>
      <c r="I1562" s="128"/>
      <c r="J1562" s="81"/>
      <c r="K1562" s="81"/>
      <c r="L1562" s="81"/>
      <c r="M1562" s="81"/>
      <c r="N1562" s="82"/>
    </row>
    <row r="1563">
      <c r="C1563" s="41"/>
      <c r="D1563" s="141"/>
      <c r="E1563" s="118"/>
      <c r="F1563" s="126"/>
      <c r="G1563" s="126"/>
      <c r="H1563" s="126"/>
      <c r="I1563" s="126"/>
      <c r="J1563" s="76"/>
      <c r="K1563" s="76"/>
      <c r="L1563" s="76"/>
      <c r="M1563" s="76"/>
      <c r="N1563" s="114"/>
    </row>
    <row r="1564">
      <c r="C1564" s="41"/>
      <c r="D1564" s="142"/>
      <c r="E1564" s="130"/>
      <c r="F1564" s="128"/>
      <c r="G1564" s="128"/>
      <c r="H1564" s="128"/>
      <c r="I1564" s="128"/>
      <c r="J1564" s="81"/>
      <c r="K1564" s="81"/>
      <c r="L1564" s="81"/>
      <c r="M1564" s="81"/>
      <c r="N1564" s="82"/>
    </row>
    <row r="1565">
      <c r="C1565" s="41"/>
      <c r="D1565" s="141"/>
      <c r="E1565" s="118"/>
      <c r="F1565" s="126"/>
      <c r="G1565" s="126"/>
      <c r="H1565" s="126"/>
      <c r="I1565" s="126"/>
      <c r="J1565" s="76"/>
      <c r="K1565" s="76"/>
      <c r="L1565" s="76"/>
      <c r="M1565" s="76"/>
      <c r="N1565" s="114"/>
    </row>
    <row r="1566">
      <c r="C1566" s="41"/>
      <c r="D1566" s="142"/>
      <c r="E1566" s="130"/>
      <c r="F1566" s="128"/>
      <c r="G1566" s="128"/>
      <c r="H1566" s="128"/>
      <c r="I1566" s="128"/>
      <c r="J1566" s="81"/>
      <c r="K1566" s="81"/>
      <c r="L1566" s="81"/>
      <c r="M1566" s="81"/>
      <c r="N1566" s="82"/>
    </row>
    <row r="1567">
      <c r="C1567" s="41"/>
      <c r="D1567" s="141"/>
      <c r="E1567" s="118"/>
      <c r="F1567" s="126"/>
      <c r="G1567" s="126"/>
      <c r="H1567" s="126"/>
      <c r="I1567" s="126"/>
      <c r="J1567" s="76"/>
      <c r="K1567" s="76"/>
      <c r="L1567" s="76"/>
      <c r="M1567" s="76"/>
      <c r="N1567" s="114"/>
    </row>
    <row r="1568">
      <c r="C1568" s="41"/>
      <c r="D1568" s="142"/>
      <c r="E1568" s="130"/>
      <c r="F1568" s="128"/>
      <c r="G1568" s="128"/>
      <c r="H1568" s="128"/>
      <c r="I1568" s="128"/>
      <c r="J1568" s="81"/>
      <c r="K1568" s="81"/>
      <c r="L1568" s="81"/>
      <c r="M1568" s="81"/>
      <c r="N1568" s="82"/>
    </row>
    <row r="1569">
      <c r="C1569" s="41"/>
      <c r="D1569" s="141"/>
      <c r="E1569" s="118"/>
      <c r="F1569" s="126"/>
      <c r="G1569" s="126"/>
      <c r="H1569" s="126"/>
      <c r="I1569" s="126"/>
      <c r="J1569" s="76"/>
      <c r="K1569" s="76"/>
      <c r="L1569" s="76"/>
      <c r="M1569" s="76"/>
      <c r="N1569" s="114"/>
    </row>
    <row r="1570">
      <c r="C1570" s="41"/>
      <c r="D1570" s="142"/>
      <c r="E1570" s="130"/>
      <c r="F1570" s="128"/>
      <c r="G1570" s="128"/>
      <c r="H1570" s="128"/>
      <c r="I1570" s="128"/>
      <c r="J1570" s="81"/>
      <c r="K1570" s="81"/>
      <c r="L1570" s="81"/>
      <c r="M1570" s="81"/>
      <c r="N1570" s="82"/>
    </row>
    <row r="1571">
      <c r="C1571" s="41"/>
      <c r="D1571" s="141"/>
      <c r="E1571" s="118"/>
      <c r="F1571" s="126"/>
      <c r="G1571" s="126"/>
      <c r="H1571" s="126"/>
      <c r="I1571" s="126"/>
      <c r="J1571" s="76"/>
      <c r="K1571" s="76"/>
      <c r="L1571" s="76"/>
      <c r="M1571" s="76"/>
      <c r="N1571" s="114"/>
    </row>
    <row r="1572">
      <c r="C1572" s="41"/>
      <c r="D1572" s="142"/>
      <c r="E1572" s="130"/>
      <c r="F1572" s="128"/>
      <c r="G1572" s="128"/>
      <c r="H1572" s="128"/>
      <c r="I1572" s="128"/>
      <c r="J1572" s="81"/>
      <c r="K1572" s="81"/>
      <c r="L1572" s="81"/>
      <c r="M1572" s="81"/>
      <c r="N1572" s="82"/>
    </row>
    <row r="1573">
      <c r="C1573" s="41"/>
      <c r="D1573" s="141"/>
      <c r="E1573" s="118"/>
      <c r="F1573" s="126"/>
      <c r="G1573" s="126"/>
      <c r="H1573" s="126"/>
      <c r="I1573" s="126"/>
      <c r="J1573" s="76"/>
      <c r="K1573" s="76"/>
      <c r="L1573" s="76"/>
      <c r="M1573" s="76"/>
      <c r="N1573" s="114"/>
    </row>
    <row r="1574">
      <c r="C1574" s="41"/>
      <c r="D1574" s="142"/>
      <c r="E1574" s="130"/>
      <c r="F1574" s="128"/>
      <c r="G1574" s="128"/>
      <c r="H1574" s="128"/>
      <c r="I1574" s="128"/>
      <c r="J1574" s="81"/>
      <c r="K1574" s="81"/>
      <c r="L1574" s="81"/>
      <c r="M1574" s="81"/>
      <c r="N1574" s="82"/>
    </row>
    <row r="1575">
      <c r="C1575" s="41"/>
      <c r="D1575" s="141"/>
      <c r="E1575" s="118"/>
      <c r="F1575" s="126"/>
      <c r="G1575" s="126"/>
      <c r="H1575" s="126"/>
      <c r="I1575" s="126"/>
      <c r="J1575" s="76"/>
      <c r="K1575" s="76"/>
      <c r="L1575" s="76"/>
      <c r="M1575" s="76"/>
      <c r="N1575" s="114"/>
    </row>
    <row r="1576">
      <c r="C1576" s="41"/>
      <c r="D1576" s="142"/>
      <c r="E1576" s="130"/>
      <c r="F1576" s="128"/>
      <c r="G1576" s="128"/>
      <c r="H1576" s="128"/>
      <c r="I1576" s="128"/>
      <c r="J1576" s="81"/>
      <c r="K1576" s="81"/>
      <c r="L1576" s="81"/>
      <c r="M1576" s="81"/>
      <c r="N1576" s="82"/>
    </row>
    <row r="1577">
      <c r="C1577" s="41"/>
      <c r="D1577" s="141"/>
      <c r="E1577" s="118"/>
      <c r="F1577" s="126"/>
      <c r="G1577" s="126"/>
      <c r="H1577" s="126"/>
      <c r="I1577" s="126"/>
      <c r="J1577" s="76"/>
      <c r="K1577" s="76"/>
      <c r="L1577" s="76"/>
      <c r="M1577" s="76"/>
      <c r="N1577" s="114"/>
    </row>
    <row r="1578">
      <c r="C1578" s="41"/>
      <c r="D1578" s="142"/>
      <c r="E1578" s="130"/>
      <c r="F1578" s="128"/>
      <c r="G1578" s="128"/>
      <c r="H1578" s="128"/>
      <c r="I1578" s="128"/>
      <c r="J1578" s="81"/>
      <c r="K1578" s="81"/>
      <c r="L1578" s="81"/>
      <c r="M1578" s="81"/>
      <c r="N1578" s="82"/>
    </row>
    <row r="1579">
      <c r="C1579" s="41"/>
      <c r="D1579" s="141"/>
      <c r="E1579" s="118"/>
      <c r="F1579" s="126"/>
      <c r="G1579" s="126"/>
      <c r="H1579" s="126"/>
      <c r="I1579" s="126"/>
      <c r="J1579" s="76"/>
      <c r="K1579" s="76"/>
      <c r="L1579" s="76"/>
      <c r="M1579" s="76"/>
      <c r="N1579" s="114"/>
    </row>
    <row r="1580">
      <c r="C1580" s="41"/>
      <c r="D1580" s="142"/>
      <c r="E1580" s="130"/>
      <c r="F1580" s="128"/>
      <c r="G1580" s="128"/>
      <c r="H1580" s="128"/>
      <c r="I1580" s="128"/>
      <c r="J1580" s="81"/>
      <c r="K1580" s="81"/>
      <c r="L1580" s="81"/>
      <c r="M1580" s="81"/>
      <c r="N1580" s="82"/>
    </row>
    <row r="1581">
      <c r="C1581" s="41"/>
      <c r="D1581" s="141"/>
      <c r="E1581" s="118"/>
      <c r="F1581" s="126"/>
      <c r="G1581" s="126"/>
      <c r="H1581" s="126"/>
      <c r="I1581" s="126"/>
      <c r="J1581" s="76"/>
      <c r="K1581" s="76"/>
      <c r="L1581" s="76"/>
      <c r="M1581" s="76"/>
      <c r="N1581" s="114"/>
    </row>
    <row r="1582">
      <c r="C1582" s="41"/>
      <c r="D1582" s="142"/>
      <c r="E1582" s="130"/>
      <c r="F1582" s="128"/>
      <c r="G1582" s="128"/>
      <c r="H1582" s="128"/>
      <c r="I1582" s="128"/>
      <c r="J1582" s="81"/>
      <c r="K1582" s="81"/>
      <c r="L1582" s="81"/>
      <c r="M1582" s="81"/>
      <c r="N1582" s="82"/>
    </row>
    <row r="1583">
      <c r="C1583" s="41"/>
      <c r="D1583" s="141"/>
      <c r="E1583" s="118"/>
      <c r="F1583" s="126"/>
      <c r="G1583" s="126"/>
      <c r="H1583" s="126"/>
      <c r="I1583" s="126"/>
      <c r="J1583" s="76"/>
      <c r="K1583" s="76"/>
      <c r="L1583" s="76"/>
      <c r="M1583" s="76"/>
      <c r="N1583" s="114"/>
    </row>
    <row r="1584">
      <c r="C1584" s="41"/>
      <c r="D1584" s="142"/>
      <c r="E1584" s="130"/>
      <c r="F1584" s="128"/>
      <c r="G1584" s="128"/>
      <c r="H1584" s="128"/>
      <c r="I1584" s="128"/>
      <c r="J1584" s="81"/>
      <c r="K1584" s="81"/>
      <c r="L1584" s="81"/>
      <c r="M1584" s="81"/>
      <c r="N1584" s="82"/>
    </row>
    <row r="1585">
      <c r="C1585" s="41"/>
      <c r="D1585" s="141"/>
      <c r="E1585" s="118"/>
      <c r="F1585" s="126"/>
      <c r="G1585" s="126"/>
      <c r="H1585" s="126"/>
      <c r="I1585" s="126"/>
      <c r="J1585" s="76"/>
      <c r="K1585" s="76"/>
      <c r="L1585" s="76"/>
      <c r="M1585" s="76"/>
      <c r="N1585" s="114"/>
    </row>
    <row r="1586">
      <c r="C1586" s="41"/>
      <c r="D1586" s="142"/>
      <c r="E1586" s="130"/>
      <c r="F1586" s="128"/>
      <c r="G1586" s="128"/>
      <c r="H1586" s="128"/>
      <c r="I1586" s="128"/>
      <c r="J1586" s="81"/>
      <c r="K1586" s="81"/>
      <c r="L1586" s="81"/>
      <c r="M1586" s="81"/>
      <c r="N1586" s="82"/>
    </row>
    <row r="1587">
      <c r="C1587" s="41"/>
      <c r="D1587" s="141"/>
      <c r="E1587" s="118"/>
      <c r="F1587" s="126"/>
      <c r="G1587" s="126"/>
      <c r="H1587" s="126"/>
      <c r="I1587" s="126"/>
      <c r="J1587" s="76"/>
      <c r="K1587" s="76"/>
      <c r="L1587" s="76"/>
      <c r="M1587" s="76"/>
      <c r="N1587" s="114"/>
    </row>
    <row r="1588">
      <c r="C1588" s="41"/>
      <c r="D1588" s="142"/>
      <c r="E1588" s="130"/>
      <c r="F1588" s="128"/>
      <c r="G1588" s="128"/>
      <c r="H1588" s="128"/>
      <c r="I1588" s="128"/>
      <c r="J1588" s="81"/>
      <c r="K1588" s="81"/>
      <c r="L1588" s="81"/>
      <c r="M1588" s="81"/>
      <c r="N1588" s="82"/>
    </row>
    <row r="1589">
      <c r="C1589" s="41"/>
      <c r="D1589" s="141"/>
      <c r="E1589" s="118"/>
      <c r="F1589" s="126"/>
      <c r="G1589" s="126"/>
      <c r="H1589" s="126"/>
      <c r="I1589" s="126"/>
      <c r="J1589" s="76"/>
      <c r="K1589" s="76"/>
      <c r="L1589" s="76"/>
      <c r="M1589" s="76"/>
      <c r="N1589" s="114"/>
    </row>
    <row r="1590">
      <c r="C1590" s="41"/>
      <c r="D1590" s="142"/>
      <c r="E1590" s="130"/>
      <c r="F1590" s="128"/>
      <c r="G1590" s="128"/>
      <c r="H1590" s="128"/>
      <c r="I1590" s="128"/>
      <c r="J1590" s="81"/>
      <c r="K1590" s="81"/>
      <c r="L1590" s="81"/>
      <c r="M1590" s="81"/>
      <c r="N1590" s="82"/>
    </row>
    <row r="1591">
      <c r="C1591" s="41"/>
      <c r="D1591" s="141"/>
      <c r="E1591" s="118"/>
      <c r="F1591" s="126"/>
      <c r="G1591" s="126"/>
      <c r="H1591" s="126"/>
      <c r="I1591" s="126"/>
      <c r="J1591" s="76"/>
      <c r="K1591" s="76"/>
      <c r="L1591" s="76"/>
      <c r="M1591" s="76"/>
      <c r="N1591" s="114"/>
    </row>
    <row r="1592">
      <c r="C1592" s="41"/>
      <c r="D1592" s="142"/>
      <c r="E1592" s="130"/>
      <c r="F1592" s="128"/>
      <c r="G1592" s="128"/>
      <c r="H1592" s="128"/>
      <c r="I1592" s="128"/>
      <c r="J1592" s="81"/>
      <c r="K1592" s="81"/>
      <c r="L1592" s="81"/>
      <c r="M1592" s="81"/>
      <c r="N1592" s="82"/>
    </row>
    <row r="1593">
      <c r="C1593" s="41"/>
      <c r="D1593" s="141"/>
      <c r="E1593" s="118"/>
      <c r="F1593" s="126"/>
      <c r="G1593" s="126"/>
      <c r="H1593" s="126"/>
      <c r="I1593" s="126"/>
      <c r="J1593" s="76"/>
      <c r="K1593" s="76"/>
      <c r="L1593" s="76"/>
      <c r="M1593" s="76"/>
      <c r="N1593" s="114"/>
    </row>
    <row r="1594">
      <c r="C1594" s="41"/>
      <c r="D1594" s="142"/>
      <c r="E1594" s="130"/>
      <c r="F1594" s="128"/>
      <c r="G1594" s="128"/>
      <c r="H1594" s="128"/>
      <c r="I1594" s="128"/>
      <c r="J1594" s="81"/>
      <c r="K1594" s="81"/>
      <c r="L1594" s="81"/>
      <c r="M1594" s="81"/>
      <c r="N1594" s="82"/>
    </row>
    <row r="1595">
      <c r="C1595" s="41"/>
      <c r="D1595" s="141"/>
      <c r="E1595" s="118"/>
      <c r="F1595" s="126"/>
      <c r="G1595" s="126"/>
      <c r="H1595" s="126"/>
      <c r="I1595" s="126"/>
      <c r="J1595" s="76"/>
      <c r="K1595" s="76"/>
      <c r="L1595" s="76"/>
      <c r="M1595" s="76"/>
      <c r="N1595" s="114"/>
    </row>
    <row r="1596">
      <c r="C1596" s="41"/>
      <c r="D1596" s="142"/>
      <c r="E1596" s="130"/>
      <c r="F1596" s="128"/>
      <c r="G1596" s="128"/>
      <c r="H1596" s="128"/>
      <c r="I1596" s="128"/>
      <c r="J1596" s="81"/>
      <c r="K1596" s="81"/>
      <c r="L1596" s="81"/>
      <c r="M1596" s="81"/>
      <c r="N1596" s="82"/>
    </row>
    <row r="1597">
      <c r="C1597" s="41"/>
      <c r="D1597" s="141"/>
      <c r="E1597" s="118"/>
      <c r="F1597" s="126"/>
      <c r="G1597" s="126"/>
      <c r="H1597" s="126"/>
      <c r="I1597" s="126"/>
      <c r="J1597" s="76"/>
      <c r="K1597" s="76"/>
      <c r="L1597" s="76"/>
      <c r="M1597" s="76"/>
      <c r="N1597" s="114"/>
    </row>
    <row r="1598">
      <c r="C1598" s="41"/>
      <c r="D1598" s="142"/>
      <c r="E1598" s="130"/>
      <c r="F1598" s="128"/>
      <c r="G1598" s="128"/>
      <c r="H1598" s="128"/>
      <c r="I1598" s="128"/>
      <c r="J1598" s="81"/>
      <c r="K1598" s="81"/>
      <c r="L1598" s="81"/>
      <c r="M1598" s="81"/>
      <c r="N1598" s="82"/>
    </row>
    <row r="1599">
      <c r="C1599" s="41"/>
      <c r="D1599" s="141"/>
      <c r="E1599" s="118"/>
      <c r="F1599" s="126"/>
      <c r="G1599" s="126"/>
      <c r="H1599" s="126"/>
      <c r="I1599" s="126"/>
      <c r="J1599" s="76"/>
      <c r="K1599" s="76"/>
      <c r="L1599" s="76"/>
      <c r="M1599" s="76"/>
      <c r="N1599" s="114"/>
    </row>
    <row r="1600">
      <c r="C1600" s="41"/>
      <c r="D1600" s="142"/>
      <c r="E1600" s="130"/>
      <c r="F1600" s="128"/>
      <c r="G1600" s="128"/>
      <c r="H1600" s="128"/>
      <c r="I1600" s="128"/>
      <c r="J1600" s="81"/>
      <c r="K1600" s="81"/>
      <c r="L1600" s="81"/>
      <c r="M1600" s="81"/>
      <c r="N1600" s="82"/>
    </row>
    <row r="1601">
      <c r="C1601" s="41"/>
      <c r="D1601" s="141"/>
      <c r="E1601" s="118"/>
      <c r="F1601" s="126"/>
      <c r="G1601" s="126"/>
      <c r="H1601" s="126"/>
      <c r="I1601" s="126"/>
      <c r="J1601" s="76"/>
      <c r="K1601" s="76"/>
      <c r="L1601" s="76"/>
      <c r="M1601" s="76"/>
      <c r="N1601" s="114"/>
    </row>
    <row r="1602">
      <c r="C1602" s="41"/>
      <c r="D1602" s="142"/>
      <c r="E1602" s="130"/>
      <c r="F1602" s="128"/>
      <c r="G1602" s="128"/>
      <c r="H1602" s="128"/>
      <c r="I1602" s="128"/>
      <c r="J1602" s="81"/>
      <c r="K1602" s="81"/>
      <c r="L1602" s="81"/>
      <c r="M1602" s="81"/>
      <c r="N1602" s="82"/>
    </row>
    <row r="1603">
      <c r="C1603" s="41"/>
      <c r="D1603" s="141"/>
      <c r="E1603" s="118"/>
      <c r="F1603" s="126"/>
      <c r="G1603" s="126"/>
      <c r="H1603" s="126"/>
      <c r="I1603" s="126"/>
      <c r="J1603" s="76"/>
      <c r="K1603" s="76"/>
      <c r="L1603" s="76"/>
      <c r="M1603" s="76"/>
      <c r="N1603" s="114"/>
    </row>
    <row r="1604">
      <c r="C1604" s="41"/>
      <c r="D1604" s="142"/>
      <c r="E1604" s="130"/>
      <c r="F1604" s="128"/>
      <c r="G1604" s="128"/>
      <c r="H1604" s="128"/>
      <c r="I1604" s="128"/>
      <c r="J1604" s="81"/>
      <c r="K1604" s="81"/>
      <c r="L1604" s="81"/>
      <c r="M1604" s="81"/>
      <c r="N1604" s="82"/>
    </row>
    <row r="1605">
      <c r="C1605" s="41"/>
      <c r="D1605" s="141"/>
      <c r="E1605" s="118"/>
      <c r="F1605" s="126"/>
      <c r="G1605" s="126"/>
      <c r="H1605" s="126"/>
      <c r="I1605" s="126"/>
      <c r="J1605" s="76"/>
      <c r="K1605" s="76"/>
      <c r="L1605" s="76"/>
      <c r="M1605" s="76"/>
      <c r="N1605" s="114"/>
    </row>
    <row r="1606">
      <c r="C1606" s="41"/>
      <c r="D1606" s="142"/>
      <c r="E1606" s="130"/>
      <c r="F1606" s="128"/>
      <c r="G1606" s="128"/>
      <c r="H1606" s="128"/>
      <c r="I1606" s="128"/>
      <c r="J1606" s="81"/>
      <c r="K1606" s="81"/>
      <c r="L1606" s="81"/>
      <c r="M1606" s="81"/>
      <c r="N1606" s="82"/>
    </row>
    <row r="1607">
      <c r="C1607" s="41"/>
      <c r="D1607" s="141"/>
      <c r="E1607" s="118"/>
      <c r="F1607" s="126"/>
      <c r="G1607" s="126"/>
      <c r="H1607" s="126"/>
      <c r="I1607" s="126"/>
      <c r="J1607" s="76"/>
      <c r="K1607" s="76"/>
      <c r="L1607" s="76"/>
      <c r="M1607" s="76"/>
      <c r="N1607" s="114"/>
    </row>
    <row r="1608">
      <c r="C1608" s="41"/>
      <c r="D1608" s="142"/>
      <c r="E1608" s="130"/>
      <c r="F1608" s="128"/>
      <c r="G1608" s="128"/>
      <c r="H1608" s="128"/>
      <c r="I1608" s="128"/>
      <c r="J1608" s="81"/>
      <c r="K1608" s="81"/>
      <c r="L1608" s="81"/>
      <c r="M1608" s="81"/>
      <c r="N1608" s="82"/>
    </row>
    <row r="1609">
      <c r="C1609" s="41"/>
      <c r="D1609" s="141"/>
      <c r="E1609" s="118"/>
      <c r="F1609" s="126"/>
      <c r="G1609" s="126"/>
      <c r="H1609" s="126"/>
      <c r="I1609" s="126"/>
      <c r="J1609" s="76"/>
      <c r="K1609" s="76"/>
      <c r="L1609" s="76"/>
      <c r="M1609" s="76"/>
      <c r="N1609" s="114"/>
    </row>
    <row r="1610">
      <c r="C1610" s="41"/>
      <c r="D1610" s="142"/>
      <c r="E1610" s="130"/>
      <c r="F1610" s="128"/>
      <c r="G1610" s="128"/>
      <c r="H1610" s="128"/>
      <c r="I1610" s="128"/>
      <c r="J1610" s="81"/>
      <c r="K1610" s="81"/>
      <c r="L1610" s="81"/>
      <c r="M1610" s="81"/>
      <c r="N1610" s="82"/>
    </row>
    <row r="1611">
      <c r="C1611" s="41"/>
      <c r="D1611" s="141"/>
      <c r="E1611" s="118"/>
      <c r="F1611" s="126"/>
      <c r="G1611" s="126"/>
      <c r="H1611" s="126"/>
      <c r="I1611" s="126"/>
      <c r="J1611" s="76"/>
      <c r="K1611" s="76"/>
      <c r="L1611" s="76"/>
      <c r="M1611" s="76"/>
      <c r="N1611" s="114"/>
    </row>
    <row r="1612">
      <c r="C1612" s="41"/>
      <c r="D1612" s="142"/>
      <c r="E1612" s="130"/>
      <c r="F1612" s="128"/>
      <c r="G1612" s="128"/>
      <c r="H1612" s="128"/>
      <c r="I1612" s="128"/>
      <c r="J1612" s="81"/>
      <c r="K1612" s="81"/>
      <c r="L1612" s="81"/>
      <c r="M1612" s="81"/>
      <c r="N1612" s="82"/>
    </row>
    <row r="1613">
      <c r="C1613" s="41"/>
      <c r="D1613" s="141"/>
      <c r="E1613" s="118"/>
      <c r="F1613" s="126"/>
      <c r="G1613" s="126"/>
      <c r="H1613" s="126"/>
      <c r="I1613" s="126"/>
      <c r="J1613" s="76"/>
      <c r="K1613" s="76"/>
      <c r="L1613" s="76"/>
      <c r="M1613" s="76"/>
      <c r="N1613" s="114"/>
    </row>
    <row r="1614">
      <c r="C1614" s="41"/>
      <c r="D1614" s="142"/>
      <c r="E1614" s="130"/>
      <c r="F1614" s="128"/>
      <c r="G1614" s="128"/>
      <c r="H1614" s="128"/>
      <c r="I1614" s="128"/>
      <c r="J1614" s="81"/>
      <c r="K1614" s="81"/>
      <c r="L1614" s="81"/>
      <c r="M1614" s="81"/>
      <c r="N1614" s="82"/>
    </row>
    <row r="1615">
      <c r="C1615" s="41"/>
      <c r="D1615" s="141"/>
      <c r="E1615" s="118"/>
      <c r="F1615" s="126"/>
      <c r="G1615" s="126"/>
      <c r="H1615" s="126"/>
      <c r="I1615" s="126"/>
      <c r="J1615" s="76"/>
      <c r="K1615" s="76"/>
      <c r="L1615" s="76"/>
      <c r="M1615" s="76"/>
      <c r="N1615" s="114"/>
    </row>
    <row r="1616">
      <c r="C1616" s="41"/>
      <c r="D1616" s="142"/>
      <c r="E1616" s="130"/>
      <c r="F1616" s="128"/>
      <c r="G1616" s="128"/>
      <c r="H1616" s="128"/>
      <c r="I1616" s="128"/>
      <c r="J1616" s="81"/>
      <c r="K1616" s="81"/>
      <c r="L1616" s="81"/>
      <c r="M1616" s="81"/>
      <c r="N1616" s="82"/>
    </row>
    <row r="1617">
      <c r="C1617" s="41"/>
      <c r="D1617" s="141"/>
      <c r="E1617" s="118"/>
      <c r="F1617" s="126"/>
      <c r="G1617" s="126"/>
      <c r="H1617" s="126"/>
      <c r="I1617" s="126"/>
      <c r="J1617" s="76"/>
      <c r="K1617" s="76"/>
      <c r="L1617" s="76"/>
      <c r="M1617" s="76"/>
      <c r="N1617" s="114"/>
    </row>
    <row r="1618">
      <c r="C1618" s="41"/>
      <c r="D1618" s="142"/>
      <c r="E1618" s="130"/>
      <c r="F1618" s="128"/>
      <c r="G1618" s="128"/>
      <c r="H1618" s="128"/>
      <c r="I1618" s="128"/>
      <c r="J1618" s="81"/>
      <c r="K1618" s="81"/>
      <c r="L1618" s="81"/>
      <c r="M1618" s="81"/>
      <c r="N1618" s="82"/>
    </row>
    <row r="1619">
      <c r="C1619" s="41"/>
      <c r="D1619" s="141"/>
      <c r="E1619" s="118"/>
      <c r="F1619" s="126"/>
      <c r="G1619" s="126"/>
      <c r="H1619" s="126"/>
      <c r="I1619" s="126"/>
      <c r="J1619" s="76"/>
      <c r="K1619" s="76"/>
      <c r="L1619" s="76"/>
      <c r="M1619" s="76"/>
      <c r="N1619" s="114"/>
    </row>
    <row r="1620">
      <c r="C1620" s="41"/>
      <c r="D1620" s="142"/>
      <c r="E1620" s="130"/>
      <c r="F1620" s="128"/>
      <c r="G1620" s="128"/>
      <c r="H1620" s="128"/>
      <c r="I1620" s="128"/>
      <c r="J1620" s="81"/>
      <c r="K1620" s="81"/>
      <c r="L1620" s="81"/>
      <c r="M1620" s="81"/>
      <c r="N1620" s="82"/>
    </row>
    <row r="1621">
      <c r="C1621" s="41"/>
      <c r="D1621" s="141"/>
      <c r="E1621" s="118"/>
      <c r="F1621" s="126"/>
      <c r="G1621" s="126"/>
      <c r="H1621" s="126"/>
      <c r="I1621" s="126"/>
      <c r="J1621" s="76"/>
      <c r="K1621" s="76"/>
      <c r="L1621" s="76"/>
      <c r="M1621" s="76"/>
      <c r="N1621" s="114"/>
    </row>
    <row r="1622">
      <c r="C1622" s="41"/>
      <c r="D1622" s="142"/>
      <c r="E1622" s="130"/>
      <c r="F1622" s="128"/>
      <c r="G1622" s="128"/>
      <c r="H1622" s="128"/>
      <c r="I1622" s="128"/>
      <c r="J1622" s="81"/>
      <c r="K1622" s="81"/>
      <c r="L1622" s="81"/>
      <c r="M1622" s="81"/>
      <c r="N1622" s="82"/>
    </row>
    <row r="1623">
      <c r="C1623" s="41"/>
      <c r="D1623" s="141"/>
      <c r="E1623" s="118"/>
      <c r="F1623" s="126"/>
      <c r="G1623" s="126"/>
      <c r="H1623" s="126"/>
      <c r="I1623" s="126"/>
      <c r="J1623" s="76"/>
      <c r="K1623" s="76"/>
      <c r="L1623" s="76"/>
      <c r="M1623" s="76"/>
      <c r="N1623" s="114"/>
    </row>
    <row r="1624">
      <c r="C1624" s="41"/>
      <c r="D1624" s="142"/>
      <c r="E1624" s="130"/>
      <c r="F1624" s="128"/>
      <c r="G1624" s="128"/>
      <c r="H1624" s="128"/>
      <c r="I1624" s="128"/>
      <c r="J1624" s="81"/>
      <c r="K1624" s="81"/>
      <c r="L1624" s="81"/>
      <c r="M1624" s="81"/>
      <c r="N1624" s="82"/>
    </row>
    <row r="1625">
      <c r="C1625" s="41"/>
      <c r="D1625" s="141"/>
      <c r="E1625" s="118"/>
      <c r="F1625" s="126"/>
      <c r="G1625" s="126"/>
      <c r="H1625" s="126"/>
      <c r="I1625" s="126"/>
      <c r="J1625" s="76"/>
      <c r="K1625" s="76"/>
      <c r="L1625" s="76"/>
      <c r="M1625" s="76"/>
      <c r="N1625" s="114"/>
    </row>
    <row r="1626">
      <c r="C1626" s="41"/>
      <c r="D1626" s="142"/>
      <c r="E1626" s="130"/>
      <c r="F1626" s="128"/>
      <c r="G1626" s="128"/>
      <c r="H1626" s="128"/>
      <c r="I1626" s="128"/>
      <c r="J1626" s="81"/>
      <c r="K1626" s="81"/>
      <c r="L1626" s="81"/>
      <c r="M1626" s="81"/>
      <c r="N1626" s="82"/>
    </row>
    <row r="1627">
      <c r="C1627" s="41"/>
      <c r="D1627" s="141"/>
      <c r="E1627" s="118"/>
      <c r="F1627" s="126"/>
      <c r="G1627" s="126"/>
      <c r="H1627" s="126"/>
      <c r="I1627" s="126"/>
      <c r="J1627" s="76"/>
      <c r="K1627" s="76"/>
      <c r="L1627" s="76"/>
      <c r="M1627" s="76"/>
      <c r="N1627" s="114"/>
    </row>
    <row r="1628">
      <c r="C1628" s="41"/>
      <c r="D1628" s="142"/>
      <c r="E1628" s="130"/>
      <c r="F1628" s="128"/>
      <c r="G1628" s="128"/>
      <c r="H1628" s="128"/>
      <c r="I1628" s="128"/>
      <c r="J1628" s="81"/>
      <c r="K1628" s="81"/>
      <c r="L1628" s="81"/>
      <c r="M1628" s="81"/>
      <c r="N1628" s="82"/>
    </row>
    <row r="1629">
      <c r="C1629" s="41"/>
      <c r="D1629" s="141"/>
      <c r="E1629" s="118"/>
      <c r="F1629" s="126"/>
      <c r="G1629" s="126"/>
      <c r="H1629" s="126"/>
      <c r="I1629" s="126"/>
      <c r="J1629" s="76"/>
      <c r="K1629" s="76"/>
      <c r="L1629" s="76"/>
      <c r="M1629" s="76"/>
      <c r="N1629" s="114"/>
    </row>
    <row r="1630">
      <c r="C1630" s="41"/>
      <c r="D1630" s="142"/>
      <c r="E1630" s="130"/>
      <c r="F1630" s="128"/>
      <c r="G1630" s="128"/>
      <c r="H1630" s="128"/>
      <c r="I1630" s="128"/>
      <c r="J1630" s="81"/>
      <c r="K1630" s="81"/>
      <c r="L1630" s="81"/>
      <c r="M1630" s="81"/>
      <c r="N1630" s="82"/>
    </row>
    <row r="1631">
      <c r="C1631" s="41"/>
      <c r="D1631" s="141"/>
      <c r="E1631" s="118"/>
      <c r="F1631" s="126"/>
      <c r="G1631" s="126"/>
      <c r="H1631" s="126"/>
      <c r="I1631" s="126"/>
      <c r="J1631" s="76"/>
      <c r="K1631" s="76"/>
      <c r="L1631" s="76"/>
      <c r="M1631" s="76"/>
      <c r="N1631" s="114"/>
    </row>
    <row r="1632">
      <c r="C1632" s="41"/>
      <c r="D1632" s="142"/>
      <c r="E1632" s="130"/>
      <c r="F1632" s="128"/>
      <c r="G1632" s="128"/>
      <c r="H1632" s="128"/>
      <c r="I1632" s="128"/>
      <c r="J1632" s="81"/>
      <c r="K1632" s="81"/>
      <c r="L1632" s="81"/>
      <c r="M1632" s="81"/>
      <c r="N1632" s="82"/>
    </row>
    <row r="1633">
      <c r="C1633" s="41"/>
      <c r="D1633" s="141"/>
      <c r="E1633" s="118"/>
      <c r="F1633" s="126"/>
      <c r="G1633" s="126"/>
      <c r="H1633" s="126"/>
      <c r="I1633" s="126"/>
      <c r="J1633" s="76"/>
      <c r="K1633" s="76"/>
      <c r="L1633" s="76"/>
      <c r="M1633" s="76"/>
      <c r="N1633" s="114"/>
    </row>
    <row r="1634">
      <c r="C1634" s="41"/>
      <c r="D1634" s="142"/>
      <c r="E1634" s="130"/>
      <c r="F1634" s="128"/>
      <c r="G1634" s="128"/>
      <c r="H1634" s="128"/>
      <c r="I1634" s="128"/>
      <c r="J1634" s="81"/>
      <c r="K1634" s="81"/>
      <c r="L1634" s="81"/>
      <c r="M1634" s="81"/>
      <c r="N1634" s="82"/>
    </row>
    <row r="1635">
      <c r="C1635" s="41"/>
      <c r="D1635" s="141"/>
      <c r="E1635" s="118"/>
      <c r="F1635" s="126"/>
      <c r="G1635" s="126"/>
      <c r="H1635" s="126"/>
      <c r="I1635" s="126"/>
      <c r="J1635" s="76"/>
      <c r="K1635" s="76"/>
      <c r="L1635" s="76"/>
      <c r="M1635" s="76"/>
      <c r="N1635" s="114"/>
    </row>
    <row r="1636">
      <c r="C1636" s="41"/>
      <c r="D1636" s="142"/>
      <c r="E1636" s="130"/>
      <c r="F1636" s="128"/>
      <c r="G1636" s="128"/>
      <c r="H1636" s="128"/>
      <c r="I1636" s="128"/>
      <c r="J1636" s="81"/>
      <c r="K1636" s="81"/>
      <c r="L1636" s="81"/>
      <c r="M1636" s="81"/>
      <c r="N1636" s="82"/>
    </row>
    <row r="1637">
      <c r="C1637" s="41"/>
      <c r="D1637" s="141"/>
      <c r="E1637" s="118"/>
      <c r="F1637" s="126"/>
      <c r="G1637" s="126"/>
      <c r="H1637" s="126"/>
      <c r="I1637" s="126"/>
      <c r="J1637" s="76"/>
      <c r="K1637" s="76"/>
      <c r="L1637" s="76"/>
      <c r="M1637" s="76"/>
      <c r="N1637" s="114"/>
    </row>
    <row r="1638">
      <c r="C1638" s="41"/>
      <c r="D1638" s="142"/>
      <c r="E1638" s="130"/>
      <c r="F1638" s="128"/>
      <c r="G1638" s="128"/>
      <c r="H1638" s="128"/>
      <c r="I1638" s="128"/>
      <c r="J1638" s="81"/>
      <c r="K1638" s="81"/>
      <c r="L1638" s="81"/>
      <c r="M1638" s="81"/>
      <c r="N1638" s="82"/>
    </row>
    <row r="1639">
      <c r="C1639" s="41"/>
      <c r="D1639" s="141"/>
      <c r="E1639" s="118"/>
      <c r="F1639" s="126"/>
      <c r="G1639" s="126"/>
      <c r="H1639" s="126"/>
      <c r="I1639" s="126"/>
      <c r="J1639" s="76"/>
      <c r="K1639" s="76"/>
      <c r="L1639" s="76"/>
      <c r="M1639" s="76"/>
      <c r="N1639" s="114"/>
    </row>
    <row r="1640">
      <c r="C1640" s="41"/>
      <c r="D1640" s="142"/>
      <c r="E1640" s="130"/>
      <c r="F1640" s="128"/>
      <c r="G1640" s="128"/>
      <c r="H1640" s="128"/>
      <c r="I1640" s="128"/>
      <c r="J1640" s="81"/>
      <c r="K1640" s="81"/>
      <c r="L1640" s="81"/>
      <c r="M1640" s="81"/>
      <c r="N1640" s="82"/>
    </row>
    <row r="1641">
      <c r="C1641" s="41"/>
      <c r="D1641" s="141"/>
      <c r="E1641" s="118"/>
      <c r="F1641" s="126"/>
      <c r="G1641" s="126"/>
      <c r="H1641" s="126"/>
      <c r="I1641" s="126"/>
      <c r="J1641" s="76"/>
      <c r="K1641" s="76"/>
      <c r="L1641" s="76"/>
      <c r="M1641" s="76"/>
      <c r="N1641" s="114"/>
    </row>
    <row r="1642">
      <c r="C1642" s="41"/>
      <c r="D1642" s="142"/>
      <c r="E1642" s="130"/>
      <c r="F1642" s="128"/>
      <c r="G1642" s="128"/>
      <c r="H1642" s="128"/>
      <c r="I1642" s="128"/>
      <c r="J1642" s="81"/>
      <c r="K1642" s="81"/>
      <c r="L1642" s="81"/>
      <c r="M1642" s="81"/>
      <c r="N1642" s="82"/>
    </row>
    <row r="1643">
      <c r="C1643" s="41"/>
      <c r="D1643" s="141"/>
      <c r="E1643" s="118"/>
      <c r="F1643" s="126"/>
      <c r="G1643" s="126"/>
      <c r="H1643" s="126"/>
      <c r="I1643" s="126"/>
      <c r="J1643" s="76"/>
      <c r="K1643" s="76"/>
      <c r="L1643" s="76"/>
      <c r="M1643" s="76"/>
      <c r="N1643" s="114"/>
    </row>
    <row r="1644">
      <c r="C1644" s="41"/>
      <c r="D1644" s="142"/>
      <c r="E1644" s="130"/>
      <c r="F1644" s="128"/>
      <c r="G1644" s="128"/>
      <c r="H1644" s="128"/>
      <c r="I1644" s="128"/>
      <c r="J1644" s="81"/>
      <c r="K1644" s="81"/>
      <c r="L1644" s="81"/>
      <c r="M1644" s="81"/>
      <c r="N1644" s="82"/>
    </row>
    <row r="1645">
      <c r="C1645" s="41"/>
      <c r="D1645" s="141"/>
      <c r="E1645" s="118"/>
      <c r="F1645" s="126"/>
      <c r="G1645" s="126"/>
      <c r="H1645" s="126"/>
      <c r="I1645" s="126"/>
      <c r="J1645" s="76"/>
      <c r="K1645" s="76"/>
      <c r="L1645" s="76"/>
      <c r="M1645" s="76"/>
      <c r="N1645" s="114"/>
    </row>
    <row r="1646">
      <c r="C1646" s="41"/>
      <c r="D1646" s="142"/>
      <c r="E1646" s="130"/>
      <c r="F1646" s="128"/>
      <c r="G1646" s="128"/>
      <c r="H1646" s="128"/>
      <c r="I1646" s="128"/>
      <c r="J1646" s="81"/>
      <c r="K1646" s="81"/>
      <c r="L1646" s="81"/>
      <c r="M1646" s="81"/>
      <c r="N1646" s="82"/>
    </row>
    <row r="1647">
      <c r="C1647" s="41"/>
      <c r="D1647" s="141"/>
      <c r="E1647" s="118"/>
      <c r="F1647" s="126"/>
      <c r="G1647" s="126"/>
      <c r="H1647" s="126"/>
      <c r="I1647" s="126"/>
      <c r="J1647" s="76"/>
      <c r="K1647" s="76"/>
      <c r="L1647" s="76"/>
      <c r="M1647" s="76"/>
      <c r="N1647" s="114"/>
    </row>
    <row r="1648">
      <c r="C1648" s="41"/>
      <c r="D1648" s="142"/>
      <c r="E1648" s="130"/>
      <c r="F1648" s="128"/>
      <c r="G1648" s="128"/>
      <c r="H1648" s="128"/>
      <c r="I1648" s="128"/>
      <c r="J1648" s="81"/>
      <c r="K1648" s="81"/>
      <c r="L1648" s="81"/>
      <c r="M1648" s="81"/>
      <c r="N1648" s="82"/>
    </row>
    <row r="1649">
      <c r="C1649" s="41"/>
      <c r="D1649" s="141"/>
      <c r="E1649" s="118"/>
      <c r="F1649" s="126"/>
      <c r="G1649" s="126"/>
      <c r="H1649" s="126"/>
      <c r="I1649" s="126"/>
      <c r="J1649" s="76"/>
      <c r="K1649" s="76"/>
      <c r="L1649" s="76"/>
      <c r="M1649" s="76"/>
      <c r="N1649" s="114"/>
    </row>
    <row r="1650">
      <c r="C1650" s="41"/>
      <c r="D1650" s="142"/>
      <c r="E1650" s="130"/>
      <c r="F1650" s="128"/>
      <c r="G1650" s="128"/>
      <c r="H1650" s="128"/>
      <c r="I1650" s="128"/>
      <c r="J1650" s="81"/>
      <c r="K1650" s="81"/>
      <c r="L1650" s="81"/>
      <c r="M1650" s="81"/>
      <c r="N1650" s="82"/>
    </row>
    <row r="1651">
      <c r="C1651" s="41"/>
      <c r="D1651" s="141"/>
      <c r="E1651" s="118"/>
      <c r="F1651" s="126"/>
      <c r="G1651" s="126"/>
      <c r="H1651" s="126"/>
      <c r="I1651" s="126"/>
      <c r="J1651" s="76"/>
      <c r="K1651" s="76"/>
      <c r="L1651" s="76"/>
      <c r="M1651" s="76"/>
      <c r="N1651" s="114"/>
    </row>
    <row r="1652">
      <c r="C1652" s="41"/>
      <c r="D1652" s="142"/>
      <c r="E1652" s="130"/>
      <c r="F1652" s="128"/>
      <c r="G1652" s="128"/>
      <c r="H1652" s="128"/>
      <c r="I1652" s="128"/>
      <c r="J1652" s="81"/>
      <c r="K1652" s="81"/>
      <c r="L1652" s="81"/>
      <c r="M1652" s="81"/>
      <c r="N1652" s="82"/>
    </row>
    <row r="1653">
      <c r="C1653" s="41"/>
      <c r="D1653" s="141"/>
      <c r="E1653" s="118"/>
      <c r="F1653" s="126"/>
      <c r="G1653" s="126"/>
      <c r="H1653" s="126"/>
      <c r="I1653" s="126"/>
      <c r="J1653" s="76"/>
      <c r="K1653" s="76"/>
      <c r="L1653" s="76"/>
      <c r="M1653" s="76"/>
      <c r="N1653" s="114"/>
    </row>
    <row r="1654">
      <c r="C1654" s="41"/>
      <c r="D1654" s="142"/>
      <c r="E1654" s="130"/>
      <c r="F1654" s="128"/>
      <c r="G1654" s="128"/>
      <c r="H1654" s="128"/>
      <c r="I1654" s="128"/>
      <c r="J1654" s="81"/>
      <c r="K1654" s="81"/>
      <c r="L1654" s="81"/>
      <c r="M1654" s="81"/>
      <c r="N1654" s="82"/>
    </row>
    <row r="1655">
      <c r="C1655" s="41"/>
      <c r="D1655" s="141"/>
      <c r="E1655" s="118"/>
      <c r="F1655" s="126"/>
      <c r="G1655" s="126"/>
      <c r="H1655" s="126"/>
      <c r="I1655" s="126"/>
      <c r="J1655" s="76"/>
      <c r="K1655" s="76"/>
      <c r="L1655" s="76"/>
      <c r="M1655" s="76"/>
      <c r="N1655" s="114"/>
    </row>
    <row r="1656">
      <c r="C1656" s="41"/>
      <c r="D1656" s="142"/>
      <c r="E1656" s="130"/>
      <c r="F1656" s="128"/>
      <c r="G1656" s="128"/>
      <c r="H1656" s="128"/>
      <c r="I1656" s="128"/>
      <c r="J1656" s="81"/>
      <c r="K1656" s="81"/>
      <c r="L1656" s="81"/>
      <c r="M1656" s="81"/>
      <c r="N1656" s="82"/>
    </row>
    <row r="1657">
      <c r="C1657" s="41"/>
      <c r="D1657" s="141"/>
      <c r="E1657" s="118"/>
      <c r="F1657" s="126"/>
      <c r="G1657" s="126"/>
      <c r="H1657" s="126"/>
      <c r="I1657" s="126"/>
      <c r="J1657" s="76"/>
      <c r="K1657" s="76"/>
      <c r="L1657" s="76"/>
      <c r="M1657" s="76"/>
      <c r="N1657" s="114"/>
    </row>
    <row r="1658">
      <c r="C1658" s="41"/>
      <c r="D1658" s="142"/>
      <c r="E1658" s="130"/>
      <c r="F1658" s="128"/>
      <c r="G1658" s="128"/>
      <c r="H1658" s="128"/>
      <c r="I1658" s="128"/>
      <c r="J1658" s="81"/>
      <c r="K1658" s="81"/>
      <c r="L1658" s="81"/>
      <c r="M1658" s="81"/>
      <c r="N1658" s="82"/>
    </row>
    <row r="1659">
      <c r="C1659" s="41"/>
      <c r="D1659" s="141"/>
      <c r="E1659" s="118"/>
      <c r="F1659" s="126"/>
      <c r="G1659" s="126"/>
      <c r="H1659" s="126"/>
      <c r="I1659" s="126"/>
      <c r="J1659" s="76"/>
      <c r="K1659" s="76"/>
      <c r="L1659" s="76"/>
      <c r="M1659" s="76"/>
      <c r="N1659" s="114"/>
    </row>
    <row r="1660">
      <c r="C1660" s="41"/>
      <c r="D1660" s="142"/>
      <c r="E1660" s="130"/>
      <c r="F1660" s="128"/>
      <c r="G1660" s="128"/>
      <c r="H1660" s="128"/>
      <c r="I1660" s="128"/>
      <c r="J1660" s="81"/>
      <c r="K1660" s="81"/>
      <c r="L1660" s="81"/>
      <c r="M1660" s="81"/>
      <c r="N1660" s="82"/>
    </row>
    <row r="1661">
      <c r="C1661" s="41"/>
      <c r="D1661" s="141"/>
      <c r="E1661" s="118"/>
      <c r="F1661" s="126"/>
      <c r="G1661" s="126"/>
      <c r="H1661" s="126"/>
      <c r="I1661" s="126"/>
      <c r="J1661" s="76"/>
      <c r="K1661" s="76"/>
      <c r="L1661" s="76"/>
      <c r="M1661" s="76"/>
      <c r="N1661" s="114"/>
    </row>
    <row r="1662">
      <c r="C1662" s="41"/>
      <c r="D1662" s="142"/>
      <c r="E1662" s="130"/>
      <c r="F1662" s="128"/>
      <c r="G1662" s="128"/>
      <c r="H1662" s="128"/>
      <c r="I1662" s="128"/>
      <c r="J1662" s="81"/>
      <c r="K1662" s="81"/>
      <c r="L1662" s="81"/>
      <c r="M1662" s="81"/>
      <c r="N1662" s="82"/>
    </row>
    <row r="1663">
      <c r="C1663" s="41"/>
      <c r="D1663" s="141"/>
      <c r="E1663" s="118"/>
      <c r="F1663" s="126"/>
      <c r="G1663" s="126"/>
      <c r="H1663" s="126"/>
      <c r="I1663" s="126"/>
      <c r="J1663" s="76"/>
      <c r="K1663" s="76"/>
      <c r="L1663" s="76"/>
      <c r="M1663" s="76"/>
      <c r="N1663" s="114"/>
    </row>
    <row r="1664">
      <c r="C1664" s="41"/>
      <c r="D1664" s="142"/>
      <c r="E1664" s="130"/>
      <c r="F1664" s="128"/>
      <c r="G1664" s="128"/>
      <c r="H1664" s="128"/>
      <c r="I1664" s="128"/>
      <c r="J1664" s="81"/>
      <c r="K1664" s="81"/>
      <c r="L1664" s="81"/>
      <c r="M1664" s="81"/>
      <c r="N1664" s="82"/>
    </row>
    <row r="1665">
      <c r="C1665" s="41"/>
      <c r="D1665" s="141"/>
      <c r="E1665" s="118"/>
      <c r="F1665" s="126"/>
      <c r="G1665" s="126"/>
      <c r="H1665" s="126"/>
      <c r="I1665" s="126"/>
      <c r="J1665" s="76"/>
      <c r="K1665" s="76"/>
      <c r="L1665" s="76"/>
      <c r="M1665" s="76"/>
      <c r="N1665" s="114"/>
    </row>
    <row r="1666">
      <c r="C1666" s="41"/>
      <c r="D1666" s="142"/>
      <c r="E1666" s="130"/>
      <c r="F1666" s="128"/>
      <c r="G1666" s="128"/>
      <c r="H1666" s="128"/>
      <c r="I1666" s="128"/>
      <c r="J1666" s="81"/>
      <c r="K1666" s="81"/>
      <c r="L1666" s="81"/>
      <c r="M1666" s="81"/>
      <c r="N1666" s="82"/>
    </row>
    <row r="1667">
      <c r="C1667" s="41"/>
      <c r="D1667" s="141"/>
      <c r="E1667" s="118"/>
      <c r="F1667" s="126"/>
      <c r="G1667" s="126"/>
      <c r="H1667" s="126"/>
      <c r="I1667" s="126"/>
      <c r="J1667" s="76"/>
      <c r="K1667" s="76"/>
      <c r="L1667" s="76"/>
      <c r="M1667" s="76"/>
      <c r="N1667" s="114"/>
    </row>
    <row r="1668">
      <c r="C1668" s="41"/>
      <c r="D1668" s="142"/>
      <c r="E1668" s="130"/>
      <c r="F1668" s="128"/>
      <c r="G1668" s="128"/>
      <c r="H1668" s="128"/>
      <c r="I1668" s="128"/>
      <c r="J1668" s="81"/>
      <c r="K1668" s="81"/>
      <c r="L1668" s="81"/>
      <c r="M1668" s="81"/>
      <c r="N1668" s="82"/>
    </row>
    <row r="1669">
      <c r="C1669" s="41"/>
      <c r="D1669" s="141"/>
      <c r="E1669" s="118"/>
      <c r="F1669" s="126"/>
      <c r="G1669" s="126"/>
      <c r="H1669" s="126"/>
      <c r="I1669" s="126"/>
      <c r="J1669" s="76"/>
      <c r="K1669" s="76"/>
      <c r="L1669" s="76"/>
      <c r="M1669" s="76"/>
      <c r="N1669" s="114"/>
    </row>
    <row r="1670">
      <c r="C1670" s="41"/>
      <c r="D1670" s="142"/>
      <c r="E1670" s="130"/>
      <c r="F1670" s="128"/>
      <c r="G1670" s="128"/>
      <c r="H1670" s="128"/>
      <c r="I1670" s="128"/>
      <c r="J1670" s="81"/>
      <c r="K1670" s="81"/>
      <c r="L1670" s="81"/>
      <c r="M1670" s="81"/>
      <c r="N1670" s="82"/>
    </row>
    <row r="1671">
      <c r="C1671" s="41"/>
      <c r="D1671" s="141"/>
      <c r="E1671" s="118"/>
      <c r="F1671" s="126"/>
      <c r="G1671" s="126"/>
      <c r="H1671" s="126"/>
      <c r="I1671" s="126"/>
      <c r="J1671" s="76"/>
      <c r="K1671" s="76"/>
      <c r="L1671" s="76"/>
      <c r="M1671" s="76"/>
      <c r="N1671" s="114"/>
    </row>
    <row r="1672">
      <c r="C1672" s="41"/>
      <c r="D1672" s="142"/>
      <c r="E1672" s="130"/>
      <c r="F1672" s="128"/>
      <c r="G1672" s="128"/>
      <c r="H1672" s="128"/>
      <c r="I1672" s="128"/>
      <c r="J1672" s="81"/>
      <c r="K1672" s="81"/>
      <c r="L1672" s="81"/>
      <c r="M1672" s="81"/>
      <c r="N1672" s="82"/>
    </row>
    <row r="1673">
      <c r="C1673" s="41"/>
      <c r="D1673" s="141"/>
      <c r="E1673" s="118"/>
      <c r="F1673" s="126"/>
      <c r="G1673" s="126"/>
      <c r="H1673" s="126"/>
      <c r="I1673" s="126"/>
      <c r="J1673" s="76"/>
      <c r="K1673" s="76"/>
      <c r="L1673" s="76"/>
      <c r="M1673" s="76"/>
      <c r="N1673" s="114"/>
    </row>
    <row r="1674">
      <c r="C1674" s="41"/>
      <c r="D1674" s="142"/>
      <c r="E1674" s="130"/>
      <c r="F1674" s="128"/>
      <c r="G1674" s="128"/>
      <c r="H1674" s="128"/>
      <c r="I1674" s="128"/>
      <c r="J1674" s="81"/>
      <c r="K1674" s="81"/>
      <c r="L1674" s="81"/>
      <c r="M1674" s="81"/>
      <c r="N1674" s="82"/>
    </row>
    <row r="1675">
      <c r="C1675" s="41"/>
      <c r="D1675" s="141"/>
      <c r="E1675" s="118"/>
      <c r="F1675" s="126"/>
      <c r="G1675" s="126"/>
      <c r="H1675" s="126"/>
      <c r="I1675" s="126"/>
      <c r="J1675" s="76"/>
      <c r="K1675" s="76"/>
      <c r="L1675" s="76"/>
      <c r="M1675" s="76"/>
      <c r="N1675" s="114"/>
    </row>
    <row r="1676">
      <c r="C1676" s="41"/>
      <c r="D1676" s="142"/>
      <c r="E1676" s="130"/>
      <c r="F1676" s="128"/>
      <c r="G1676" s="128"/>
      <c r="H1676" s="128"/>
      <c r="I1676" s="128"/>
      <c r="J1676" s="81"/>
      <c r="K1676" s="81"/>
      <c r="L1676" s="81"/>
      <c r="M1676" s="81"/>
      <c r="N1676" s="82"/>
    </row>
    <row r="1677">
      <c r="C1677" s="41"/>
      <c r="D1677" s="141"/>
      <c r="E1677" s="118"/>
      <c r="F1677" s="126"/>
      <c r="G1677" s="126"/>
      <c r="H1677" s="126"/>
      <c r="I1677" s="126"/>
      <c r="J1677" s="76"/>
      <c r="K1677" s="76"/>
      <c r="L1677" s="76"/>
      <c r="M1677" s="76"/>
      <c r="N1677" s="114"/>
    </row>
    <row r="1678">
      <c r="C1678" s="41"/>
      <c r="D1678" s="142"/>
      <c r="E1678" s="130"/>
      <c r="F1678" s="128"/>
      <c r="G1678" s="128"/>
      <c r="H1678" s="128"/>
      <c r="I1678" s="128"/>
      <c r="J1678" s="81"/>
      <c r="K1678" s="81"/>
      <c r="L1678" s="81"/>
      <c r="M1678" s="81"/>
      <c r="N1678" s="82"/>
    </row>
    <row r="1679">
      <c r="C1679" s="41"/>
      <c r="D1679" s="141"/>
      <c r="E1679" s="118"/>
      <c r="F1679" s="126"/>
      <c r="G1679" s="126"/>
      <c r="H1679" s="126"/>
      <c r="I1679" s="126"/>
      <c r="J1679" s="76"/>
      <c r="K1679" s="76"/>
      <c r="L1679" s="76"/>
      <c r="M1679" s="76"/>
      <c r="N1679" s="114"/>
    </row>
    <row r="1680">
      <c r="C1680" s="41"/>
      <c r="D1680" s="142"/>
      <c r="E1680" s="130"/>
      <c r="F1680" s="128"/>
      <c r="G1680" s="128"/>
      <c r="H1680" s="128"/>
      <c r="I1680" s="128"/>
      <c r="J1680" s="81"/>
      <c r="K1680" s="81"/>
      <c r="L1680" s="81"/>
      <c r="M1680" s="81"/>
      <c r="N1680" s="82"/>
    </row>
    <row r="1681">
      <c r="C1681" s="41"/>
      <c r="D1681" s="141"/>
      <c r="E1681" s="118"/>
      <c r="F1681" s="126"/>
      <c r="G1681" s="126"/>
      <c r="H1681" s="126"/>
      <c r="I1681" s="126"/>
      <c r="J1681" s="76"/>
      <c r="K1681" s="76"/>
      <c r="L1681" s="76"/>
      <c r="M1681" s="76"/>
      <c r="N1681" s="114"/>
    </row>
    <row r="1682">
      <c r="C1682" s="41"/>
      <c r="D1682" s="142"/>
      <c r="E1682" s="130"/>
      <c r="F1682" s="128"/>
      <c r="G1682" s="128"/>
      <c r="H1682" s="128"/>
      <c r="I1682" s="128"/>
      <c r="J1682" s="81"/>
      <c r="K1682" s="81"/>
      <c r="L1682" s="81"/>
      <c r="M1682" s="81"/>
      <c r="N1682" s="82"/>
    </row>
    <row r="1683">
      <c r="C1683" s="41"/>
      <c r="D1683" s="141"/>
      <c r="E1683" s="118"/>
      <c r="F1683" s="126"/>
      <c r="G1683" s="126"/>
      <c r="H1683" s="126"/>
      <c r="I1683" s="126"/>
      <c r="J1683" s="76"/>
      <c r="K1683" s="76"/>
      <c r="L1683" s="76"/>
      <c r="M1683" s="76"/>
      <c r="N1683" s="114"/>
    </row>
    <row r="1684">
      <c r="C1684" s="41"/>
      <c r="D1684" s="142"/>
      <c r="E1684" s="130"/>
      <c r="F1684" s="128"/>
      <c r="G1684" s="128"/>
      <c r="H1684" s="128"/>
      <c r="I1684" s="128"/>
      <c r="J1684" s="81"/>
      <c r="K1684" s="81"/>
      <c r="L1684" s="81"/>
      <c r="M1684" s="81"/>
      <c r="N1684" s="82"/>
    </row>
    <row r="1685">
      <c r="C1685" s="41"/>
      <c r="D1685" s="141"/>
      <c r="E1685" s="118"/>
      <c r="F1685" s="126"/>
      <c r="G1685" s="126"/>
      <c r="H1685" s="126"/>
      <c r="I1685" s="126"/>
      <c r="J1685" s="76"/>
      <c r="K1685" s="76"/>
      <c r="L1685" s="76"/>
      <c r="M1685" s="76"/>
      <c r="N1685" s="114"/>
    </row>
    <row r="1686">
      <c r="C1686" s="41"/>
      <c r="D1686" s="142"/>
      <c r="E1686" s="130"/>
      <c r="F1686" s="128"/>
      <c r="G1686" s="128"/>
      <c r="H1686" s="128"/>
      <c r="I1686" s="128"/>
      <c r="J1686" s="81"/>
      <c r="K1686" s="81"/>
      <c r="L1686" s="81"/>
      <c r="M1686" s="81"/>
      <c r="N1686" s="82"/>
    </row>
    <row r="1687">
      <c r="C1687" s="41"/>
      <c r="D1687" s="141"/>
      <c r="E1687" s="118"/>
      <c r="F1687" s="126"/>
      <c r="G1687" s="126"/>
      <c r="H1687" s="126"/>
      <c r="I1687" s="126"/>
      <c r="J1687" s="76"/>
      <c r="K1687" s="76"/>
      <c r="L1687" s="76"/>
      <c r="M1687" s="76"/>
      <c r="N1687" s="114"/>
    </row>
    <row r="1688">
      <c r="C1688" s="41"/>
      <c r="D1688" s="142"/>
      <c r="E1688" s="130"/>
      <c r="F1688" s="128"/>
      <c r="G1688" s="128"/>
      <c r="H1688" s="128"/>
      <c r="I1688" s="128"/>
      <c r="J1688" s="81"/>
      <c r="K1688" s="81"/>
      <c r="L1688" s="81"/>
      <c r="M1688" s="81"/>
      <c r="N1688" s="82"/>
    </row>
    <row r="1689">
      <c r="C1689" s="41"/>
      <c r="D1689" s="141"/>
      <c r="E1689" s="118"/>
      <c r="F1689" s="126"/>
      <c r="G1689" s="126"/>
      <c r="H1689" s="126"/>
      <c r="I1689" s="126"/>
      <c r="J1689" s="76"/>
      <c r="K1689" s="76"/>
      <c r="L1689" s="76"/>
      <c r="M1689" s="76"/>
      <c r="N1689" s="114"/>
    </row>
    <row r="1690">
      <c r="C1690" s="41"/>
      <c r="D1690" s="142"/>
      <c r="E1690" s="130"/>
      <c r="F1690" s="128"/>
      <c r="G1690" s="128"/>
      <c r="H1690" s="128"/>
      <c r="I1690" s="128"/>
      <c r="J1690" s="81"/>
      <c r="K1690" s="81"/>
      <c r="L1690" s="81"/>
      <c r="M1690" s="81"/>
      <c r="N1690" s="82"/>
    </row>
    <row r="1691">
      <c r="C1691" s="41"/>
      <c r="D1691" s="141"/>
      <c r="E1691" s="118"/>
      <c r="F1691" s="126"/>
      <c r="G1691" s="126"/>
      <c r="H1691" s="126"/>
      <c r="I1691" s="126"/>
      <c r="J1691" s="76"/>
      <c r="K1691" s="76"/>
      <c r="L1691" s="76"/>
      <c r="M1691" s="76"/>
      <c r="N1691" s="114"/>
    </row>
    <row r="1692">
      <c r="C1692" s="41"/>
      <c r="D1692" s="142"/>
      <c r="E1692" s="130"/>
      <c r="F1692" s="128"/>
      <c r="G1692" s="128"/>
      <c r="H1692" s="128"/>
      <c r="I1692" s="128"/>
      <c r="J1692" s="81"/>
      <c r="K1692" s="81"/>
      <c r="L1692" s="81"/>
      <c r="M1692" s="81"/>
      <c r="N1692" s="82"/>
    </row>
    <row r="1693">
      <c r="C1693" s="41"/>
      <c r="D1693" s="141"/>
      <c r="E1693" s="118"/>
      <c r="F1693" s="126"/>
      <c r="G1693" s="126"/>
      <c r="H1693" s="126"/>
      <c r="I1693" s="126"/>
      <c r="J1693" s="76"/>
      <c r="K1693" s="76"/>
      <c r="L1693" s="76"/>
      <c r="M1693" s="76"/>
      <c r="N1693" s="114"/>
    </row>
    <row r="1694">
      <c r="C1694" s="41"/>
      <c r="D1694" s="142"/>
      <c r="E1694" s="130"/>
      <c r="F1694" s="128"/>
      <c r="G1694" s="128"/>
      <c r="H1694" s="128"/>
      <c r="I1694" s="128"/>
      <c r="J1694" s="81"/>
      <c r="K1694" s="81"/>
      <c r="L1694" s="81"/>
      <c r="M1694" s="81"/>
      <c r="N1694" s="82"/>
    </row>
    <row r="1695">
      <c r="C1695" s="41"/>
      <c r="D1695" s="141"/>
      <c r="E1695" s="118"/>
      <c r="F1695" s="126"/>
      <c r="G1695" s="126"/>
      <c r="H1695" s="126"/>
      <c r="I1695" s="126"/>
      <c r="J1695" s="76"/>
      <c r="K1695" s="76"/>
      <c r="L1695" s="76"/>
      <c r="M1695" s="76"/>
      <c r="N1695" s="114"/>
    </row>
    <row r="1696">
      <c r="C1696" s="41"/>
      <c r="D1696" s="142"/>
      <c r="E1696" s="130"/>
      <c r="F1696" s="128"/>
      <c r="G1696" s="128"/>
      <c r="H1696" s="128"/>
      <c r="I1696" s="128"/>
      <c r="J1696" s="81"/>
      <c r="K1696" s="81"/>
      <c r="L1696" s="81"/>
      <c r="M1696" s="81"/>
      <c r="N1696" s="82"/>
    </row>
    <row r="1697">
      <c r="C1697" s="41"/>
      <c r="D1697" s="141"/>
      <c r="E1697" s="118"/>
      <c r="F1697" s="126"/>
      <c r="G1697" s="126"/>
      <c r="H1697" s="126"/>
      <c r="I1697" s="126"/>
      <c r="J1697" s="76"/>
      <c r="K1697" s="76"/>
      <c r="L1697" s="76"/>
      <c r="M1697" s="76"/>
      <c r="N1697" s="114"/>
    </row>
    <row r="1698">
      <c r="C1698" s="41"/>
      <c r="D1698" s="142"/>
      <c r="E1698" s="130"/>
      <c r="F1698" s="128"/>
      <c r="G1698" s="128"/>
      <c r="H1698" s="128"/>
      <c r="I1698" s="128"/>
      <c r="J1698" s="81"/>
      <c r="K1698" s="81"/>
      <c r="L1698" s="81"/>
      <c r="M1698" s="81"/>
      <c r="N1698" s="82"/>
    </row>
    <row r="1699">
      <c r="C1699" s="41"/>
      <c r="D1699" s="141"/>
      <c r="E1699" s="118"/>
      <c r="F1699" s="126"/>
      <c r="G1699" s="126"/>
      <c r="H1699" s="126"/>
      <c r="I1699" s="126"/>
      <c r="J1699" s="76"/>
      <c r="K1699" s="76"/>
      <c r="L1699" s="76"/>
      <c r="M1699" s="76"/>
      <c r="N1699" s="114"/>
    </row>
    <row r="1700">
      <c r="C1700" s="41"/>
      <c r="D1700" s="142"/>
      <c r="E1700" s="130"/>
      <c r="F1700" s="128"/>
      <c r="G1700" s="128"/>
      <c r="H1700" s="128"/>
      <c r="I1700" s="128"/>
      <c r="J1700" s="81"/>
      <c r="K1700" s="81"/>
      <c r="L1700" s="81"/>
      <c r="M1700" s="81"/>
      <c r="N1700" s="82"/>
    </row>
    <row r="1701">
      <c r="C1701" s="41"/>
      <c r="D1701" s="141"/>
      <c r="E1701" s="118"/>
      <c r="F1701" s="126"/>
      <c r="G1701" s="126"/>
      <c r="H1701" s="126"/>
      <c r="I1701" s="126"/>
      <c r="J1701" s="76"/>
      <c r="K1701" s="76"/>
      <c r="L1701" s="76"/>
      <c r="M1701" s="76"/>
      <c r="N1701" s="114"/>
    </row>
    <row r="1702">
      <c r="C1702" s="41"/>
      <c r="D1702" s="142"/>
      <c r="E1702" s="130"/>
      <c r="F1702" s="128"/>
      <c r="G1702" s="128"/>
      <c r="H1702" s="128"/>
      <c r="I1702" s="128"/>
      <c r="J1702" s="81"/>
      <c r="K1702" s="81"/>
      <c r="L1702" s="81"/>
      <c r="M1702" s="81"/>
      <c r="N1702" s="82"/>
    </row>
    <row r="1703">
      <c r="C1703" s="41"/>
      <c r="D1703" s="141"/>
      <c r="E1703" s="118"/>
      <c r="F1703" s="126"/>
      <c r="G1703" s="126"/>
      <c r="H1703" s="126"/>
      <c r="I1703" s="126"/>
      <c r="J1703" s="76"/>
      <c r="K1703" s="76"/>
      <c r="L1703" s="76"/>
      <c r="M1703" s="76"/>
      <c r="N1703" s="114"/>
    </row>
    <row r="1704">
      <c r="C1704" s="41"/>
      <c r="D1704" s="142"/>
      <c r="E1704" s="130"/>
      <c r="F1704" s="128"/>
      <c r="G1704" s="128"/>
      <c r="H1704" s="128"/>
      <c r="I1704" s="128"/>
      <c r="J1704" s="81"/>
      <c r="K1704" s="81"/>
      <c r="L1704" s="81"/>
      <c r="M1704" s="81"/>
      <c r="N1704" s="82"/>
    </row>
    <row r="1705">
      <c r="C1705" s="41"/>
      <c r="D1705" s="141"/>
      <c r="E1705" s="118"/>
      <c r="F1705" s="126"/>
      <c r="G1705" s="126"/>
      <c r="H1705" s="126"/>
      <c r="I1705" s="126"/>
      <c r="J1705" s="76"/>
      <c r="K1705" s="76"/>
      <c r="L1705" s="76"/>
      <c r="M1705" s="76"/>
      <c r="N1705" s="114"/>
    </row>
    <row r="1706">
      <c r="C1706" s="41"/>
      <c r="D1706" s="142"/>
      <c r="E1706" s="130"/>
      <c r="F1706" s="128"/>
      <c r="G1706" s="128"/>
      <c r="H1706" s="128"/>
      <c r="I1706" s="128"/>
      <c r="J1706" s="81"/>
      <c r="K1706" s="81"/>
      <c r="L1706" s="81"/>
      <c r="M1706" s="81"/>
      <c r="N1706" s="82"/>
    </row>
    <row r="1707">
      <c r="C1707" s="41"/>
      <c r="D1707" s="141"/>
      <c r="E1707" s="118"/>
      <c r="F1707" s="126"/>
      <c r="G1707" s="126"/>
      <c r="H1707" s="126"/>
      <c r="I1707" s="126"/>
      <c r="J1707" s="76"/>
      <c r="K1707" s="76"/>
      <c r="L1707" s="76"/>
      <c r="M1707" s="76"/>
      <c r="N1707" s="114"/>
    </row>
    <row r="1708">
      <c r="C1708" s="41"/>
      <c r="D1708" s="142"/>
      <c r="E1708" s="130"/>
      <c r="F1708" s="128"/>
      <c r="G1708" s="128"/>
      <c r="H1708" s="128"/>
      <c r="I1708" s="128"/>
      <c r="J1708" s="81"/>
      <c r="K1708" s="81"/>
      <c r="L1708" s="81"/>
      <c r="M1708" s="81"/>
      <c r="N1708" s="82"/>
    </row>
    <row r="1709">
      <c r="C1709" s="41"/>
      <c r="D1709" s="141"/>
      <c r="E1709" s="118"/>
      <c r="F1709" s="126"/>
      <c r="G1709" s="126"/>
      <c r="H1709" s="126"/>
      <c r="I1709" s="126"/>
      <c r="J1709" s="76"/>
      <c r="K1709" s="76"/>
      <c r="L1709" s="76"/>
      <c r="M1709" s="76"/>
      <c r="N1709" s="114"/>
    </row>
    <row r="1710">
      <c r="C1710" s="41"/>
      <c r="D1710" s="142"/>
      <c r="E1710" s="130"/>
      <c r="F1710" s="128"/>
      <c r="G1710" s="128"/>
      <c r="H1710" s="128"/>
      <c r="I1710" s="128"/>
      <c r="J1710" s="81"/>
      <c r="K1710" s="81"/>
      <c r="L1710" s="81"/>
      <c r="M1710" s="81"/>
      <c r="N1710" s="82"/>
    </row>
    <row r="1711">
      <c r="C1711" s="41"/>
      <c r="D1711" s="141"/>
      <c r="E1711" s="118"/>
      <c r="F1711" s="126"/>
      <c r="G1711" s="126"/>
      <c r="H1711" s="126"/>
      <c r="I1711" s="126"/>
      <c r="J1711" s="76"/>
      <c r="K1711" s="76"/>
      <c r="L1711" s="76"/>
      <c r="M1711" s="76"/>
      <c r="N1711" s="114"/>
    </row>
    <row r="1712">
      <c r="C1712" s="41"/>
      <c r="D1712" s="142"/>
      <c r="E1712" s="130"/>
      <c r="F1712" s="128"/>
      <c r="G1712" s="128"/>
      <c r="H1712" s="128"/>
      <c r="I1712" s="128"/>
      <c r="J1712" s="81"/>
      <c r="K1712" s="81"/>
      <c r="L1712" s="81"/>
      <c r="M1712" s="81"/>
      <c r="N1712" s="82"/>
    </row>
    <row r="1713">
      <c r="C1713" s="41"/>
      <c r="D1713" s="141"/>
      <c r="E1713" s="118"/>
      <c r="F1713" s="126"/>
      <c r="G1713" s="126"/>
      <c r="H1713" s="126"/>
      <c r="I1713" s="126"/>
      <c r="J1713" s="76"/>
      <c r="K1713" s="76"/>
      <c r="L1713" s="76"/>
      <c r="M1713" s="76"/>
      <c r="N1713" s="114"/>
    </row>
    <row r="1714">
      <c r="C1714" s="41"/>
      <c r="D1714" s="142"/>
      <c r="E1714" s="130"/>
      <c r="F1714" s="128"/>
      <c r="G1714" s="128"/>
      <c r="H1714" s="128"/>
      <c r="I1714" s="128"/>
      <c r="J1714" s="81"/>
      <c r="K1714" s="81"/>
      <c r="L1714" s="81"/>
      <c r="M1714" s="81"/>
      <c r="N1714" s="82"/>
    </row>
    <row r="1715">
      <c r="C1715" s="41"/>
      <c r="D1715" s="141"/>
      <c r="E1715" s="118"/>
      <c r="F1715" s="126"/>
      <c r="G1715" s="126"/>
      <c r="H1715" s="126"/>
      <c r="I1715" s="126"/>
      <c r="J1715" s="76"/>
      <c r="K1715" s="76"/>
      <c r="L1715" s="76"/>
      <c r="M1715" s="76"/>
      <c r="N1715" s="114"/>
    </row>
    <row r="1716">
      <c r="C1716" s="41"/>
      <c r="D1716" s="142"/>
      <c r="E1716" s="130"/>
      <c r="F1716" s="128"/>
      <c r="G1716" s="128"/>
      <c r="H1716" s="128"/>
      <c r="I1716" s="128"/>
      <c r="J1716" s="81"/>
      <c r="K1716" s="81"/>
      <c r="L1716" s="81"/>
      <c r="M1716" s="81"/>
      <c r="N1716" s="82"/>
    </row>
    <row r="1717">
      <c r="C1717" s="41"/>
      <c r="D1717" s="141"/>
      <c r="E1717" s="118"/>
      <c r="F1717" s="126"/>
      <c r="G1717" s="126"/>
      <c r="H1717" s="126"/>
      <c r="I1717" s="126"/>
      <c r="J1717" s="76"/>
      <c r="K1717" s="76"/>
      <c r="L1717" s="76"/>
      <c r="M1717" s="76"/>
      <c r="N1717" s="114"/>
    </row>
    <row r="1718">
      <c r="C1718" s="41"/>
      <c r="D1718" s="142"/>
      <c r="E1718" s="130"/>
      <c r="F1718" s="128"/>
      <c r="G1718" s="128"/>
      <c r="H1718" s="128"/>
      <c r="I1718" s="128"/>
      <c r="J1718" s="81"/>
      <c r="K1718" s="81"/>
      <c r="L1718" s="81"/>
      <c r="M1718" s="81"/>
      <c r="N1718" s="82"/>
    </row>
    <row r="1719">
      <c r="C1719" s="41"/>
      <c r="D1719" s="141"/>
      <c r="E1719" s="118"/>
      <c r="F1719" s="126"/>
      <c r="G1719" s="126"/>
      <c r="H1719" s="126"/>
      <c r="I1719" s="126"/>
      <c r="J1719" s="76"/>
      <c r="K1719" s="76"/>
      <c r="L1719" s="76"/>
      <c r="M1719" s="76"/>
      <c r="N1719" s="114"/>
    </row>
    <row r="1720">
      <c r="C1720" s="41"/>
      <c r="D1720" s="142"/>
      <c r="E1720" s="130"/>
      <c r="F1720" s="128"/>
      <c r="G1720" s="128"/>
      <c r="H1720" s="128"/>
      <c r="I1720" s="128"/>
      <c r="J1720" s="81"/>
      <c r="K1720" s="81"/>
      <c r="L1720" s="81"/>
      <c r="M1720" s="81"/>
      <c r="N1720" s="82"/>
    </row>
    <row r="1721">
      <c r="C1721" s="41"/>
      <c r="D1721" s="141"/>
      <c r="E1721" s="118"/>
      <c r="F1721" s="126"/>
      <c r="G1721" s="126"/>
      <c r="H1721" s="126"/>
      <c r="I1721" s="126"/>
      <c r="J1721" s="76"/>
      <c r="K1721" s="76"/>
      <c r="L1721" s="76"/>
      <c r="M1721" s="76"/>
      <c r="N1721" s="114"/>
    </row>
    <row r="1722">
      <c r="C1722" s="41"/>
      <c r="D1722" s="142"/>
      <c r="E1722" s="130"/>
      <c r="F1722" s="128"/>
      <c r="G1722" s="128"/>
      <c r="H1722" s="128"/>
      <c r="I1722" s="128"/>
      <c r="J1722" s="81"/>
      <c r="K1722" s="81"/>
      <c r="L1722" s="81"/>
      <c r="M1722" s="81"/>
      <c r="N1722" s="82"/>
    </row>
    <row r="1723">
      <c r="C1723" s="41"/>
      <c r="D1723" s="141"/>
      <c r="E1723" s="118"/>
      <c r="F1723" s="126"/>
      <c r="G1723" s="126"/>
      <c r="H1723" s="126"/>
      <c r="I1723" s="126"/>
      <c r="J1723" s="76"/>
      <c r="K1723" s="76"/>
      <c r="L1723" s="76"/>
      <c r="M1723" s="76"/>
      <c r="N1723" s="114"/>
    </row>
    <row r="1724">
      <c r="C1724" s="41"/>
      <c r="D1724" s="142"/>
      <c r="E1724" s="130"/>
      <c r="F1724" s="128"/>
      <c r="G1724" s="128"/>
      <c r="H1724" s="128"/>
      <c r="I1724" s="128"/>
      <c r="J1724" s="81"/>
      <c r="K1724" s="81"/>
      <c r="L1724" s="81"/>
      <c r="M1724" s="81"/>
      <c r="N1724" s="82"/>
    </row>
    <row r="1725">
      <c r="C1725" s="41"/>
      <c r="D1725" s="141"/>
      <c r="E1725" s="118"/>
      <c r="F1725" s="126"/>
      <c r="G1725" s="126"/>
      <c r="H1725" s="126"/>
      <c r="I1725" s="126"/>
      <c r="J1725" s="76"/>
      <c r="K1725" s="76"/>
      <c r="L1725" s="76"/>
      <c r="M1725" s="76"/>
      <c r="N1725" s="114"/>
    </row>
    <row r="1726">
      <c r="C1726" s="41"/>
      <c r="D1726" s="142"/>
      <c r="E1726" s="130"/>
      <c r="F1726" s="128"/>
      <c r="G1726" s="128"/>
      <c r="H1726" s="128"/>
      <c r="I1726" s="128"/>
      <c r="J1726" s="81"/>
      <c r="K1726" s="81"/>
      <c r="L1726" s="81"/>
      <c r="M1726" s="81"/>
      <c r="N1726" s="82"/>
    </row>
    <row r="1727">
      <c r="C1727" s="41"/>
      <c r="D1727" s="141"/>
      <c r="E1727" s="118"/>
      <c r="F1727" s="126"/>
      <c r="G1727" s="126"/>
      <c r="H1727" s="126"/>
      <c r="I1727" s="126"/>
      <c r="J1727" s="76"/>
      <c r="K1727" s="76"/>
      <c r="L1727" s="76"/>
      <c r="M1727" s="76"/>
      <c r="N1727" s="114"/>
    </row>
    <row r="1728">
      <c r="C1728" s="41"/>
      <c r="D1728" s="142"/>
      <c r="E1728" s="130"/>
      <c r="F1728" s="128"/>
      <c r="G1728" s="128"/>
      <c r="H1728" s="128"/>
      <c r="I1728" s="128"/>
      <c r="J1728" s="81"/>
      <c r="K1728" s="81"/>
      <c r="L1728" s="81"/>
      <c r="M1728" s="81"/>
      <c r="N1728" s="82"/>
    </row>
    <row r="1729">
      <c r="C1729" s="41"/>
      <c r="D1729" s="141"/>
      <c r="E1729" s="118"/>
      <c r="F1729" s="126"/>
      <c r="G1729" s="126"/>
      <c r="H1729" s="126"/>
      <c r="I1729" s="126"/>
      <c r="J1729" s="76"/>
      <c r="K1729" s="76"/>
      <c r="L1729" s="76"/>
      <c r="M1729" s="76"/>
      <c r="N1729" s="114"/>
    </row>
    <row r="1730">
      <c r="C1730" s="41"/>
      <c r="D1730" s="142"/>
      <c r="E1730" s="130"/>
      <c r="F1730" s="128"/>
      <c r="G1730" s="128"/>
      <c r="H1730" s="128"/>
      <c r="I1730" s="128"/>
      <c r="J1730" s="81"/>
      <c r="K1730" s="81"/>
      <c r="L1730" s="81"/>
      <c r="M1730" s="81"/>
      <c r="N1730" s="82"/>
    </row>
    <row r="1731">
      <c r="C1731" s="41"/>
      <c r="D1731" s="141"/>
      <c r="E1731" s="118"/>
      <c r="F1731" s="126"/>
      <c r="G1731" s="126"/>
      <c r="H1731" s="126"/>
      <c r="I1731" s="126"/>
      <c r="J1731" s="76"/>
      <c r="K1731" s="76"/>
      <c r="L1731" s="76"/>
      <c r="M1731" s="76"/>
      <c r="N1731" s="114"/>
    </row>
    <row r="1732">
      <c r="C1732" s="41"/>
      <c r="D1732" s="142"/>
      <c r="E1732" s="130"/>
      <c r="F1732" s="128"/>
      <c r="G1732" s="128"/>
      <c r="H1732" s="128"/>
      <c r="I1732" s="128"/>
      <c r="J1732" s="81"/>
      <c r="K1732" s="81"/>
      <c r="L1732" s="81"/>
      <c r="M1732" s="81"/>
      <c r="N1732" s="82"/>
    </row>
    <row r="1733">
      <c r="C1733" s="41"/>
      <c r="D1733" s="141"/>
      <c r="E1733" s="118"/>
      <c r="F1733" s="126"/>
      <c r="G1733" s="126"/>
      <c r="H1733" s="126"/>
      <c r="I1733" s="126"/>
      <c r="J1733" s="76"/>
      <c r="K1733" s="76"/>
      <c r="L1733" s="76"/>
      <c r="M1733" s="76"/>
      <c r="N1733" s="114"/>
    </row>
    <row r="1734">
      <c r="C1734" s="41"/>
      <c r="D1734" s="142"/>
      <c r="E1734" s="130"/>
      <c r="F1734" s="128"/>
      <c r="G1734" s="128"/>
      <c r="H1734" s="128"/>
      <c r="I1734" s="128"/>
      <c r="J1734" s="81"/>
      <c r="K1734" s="81"/>
      <c r="L1734" s="81"/>
      <c r="M1734" s="81"/>
      <c r="N1734" s="82"/>
    </row>
    <row r="1735">
      <c r="C1735" s="41"/>
      <c r="D1735" s="141"/>
      <c r="E1735" s="118"/>
      <c r="F1735" s="126"/>
      <c r="G1735" s="126"/>
      <c r="H1735" s="126"/>
      <c r="I1735" s="126"/>
      <c r="J1735" s="76"/>
      <c r="K1735" s="76"/>
      <c r="L1735" s="76"/>
      <c r="M1735" s="76"/>
      <c r="N1735" s="114"/>
    </row>
    <row r="1736">
      <c r="C1736" s="41"/>
      <c r="D1736" s="142"/>
      <c r="E1736" s="130"/>
      <c r="F1736" s="128"/>
      <c r="G1736" s="128"/>
      <c r="H1736" s="128"/>
      <c r="I1736" s="128"/>
      <c r="J1736" s="81"/>
      <c r="K1736" s="81"/>
      <c r="L1736" s="81"/>
      <c r="M1736" s="81"/>
      <c r="N1736" s="82"/>
    </row>
    <row r="1737">
      <c r="C1737" s="41"/>
      <c r="D1737" s="141"/>
      <c r="E1737" s="118"/>
      <c r="F1737" s="126"/>
      <c r="G1737" s="126"/>
      <c r="H1737" s="126"/>
      <c r="I1737" s="126"/>
      <c r="J1737" s="76"/>
      <c r="K1737" s="76"/>
      <c r="L1737" s="76"/>
      <c r="M1737" s="76"/>
      <c r="N1737" s="114"/>
    </row>
    <row r="1738">
      <c r="C1738" s="41"/>
      <c r="D1738" s="142"/>
      <c r="E1738" s="130"/>
      <c r="F1738" s="128"/>
      <c r="G1738" s="128"/>
      <c r="H1738" s="128"/>
      <c r="I1738" s="128"/>
      <c r="J1738" s="81"/>
      <c r="K1738" s="81"/>
      <c r="L1738" s="81"/>
      <c r="M1738" s="81"/>
      <c r="N1738" s="82"/>
    </row>
    <row r="1739">
      <c r="C1739" s="41"/>
      <c r="D1739" s="141"/>
      <c r="E1739" s="118"/>
      <c r="F1739" s="126"/>
      <c r="G1739" s="126"/>
      <c r="H1739" s="126"/>
      <c r="I1739" s="126"/>
      <c r="J1739" s="76"/>
      <c r="K1739" s="76"/>
      <c r="L1739" s="76"/>
      <c r="M1739" s="76"/>
      <c r="N1739" s="114"/>
    </row>
    <row r="1740">
      <c r="C1740" s="41"/>
      <c r="D1740" s="142"/>
      <c r="E1740" s="130"/>
      <c r="F1740" s="128"/>
      <c r="G1740" s="128"/>
      <c r="H1740" s="128"/>
      <c r="I1740" s="128"/>
      <c r="J1740" s="81"/>
      <c r="K1740" s="81"/>
      <c r="L1740" s="81"/>
      <c r="M1740" s="81"/>
      <c r="N1740" s="82"/>
    </row>
    <row r="1741">
      <c r="C1741" s="41"/>
      <c r="D1741" s="141"/>
      <c r="E1741" s="118"/>
      <c r="F1741" s="126"/>
      <c r="G1741" s="126"/>
      <c r="H1741" s="126"/>
      <c r="I1741" s="126"/>
      <c r="J1741" s="76"/>
      <c r="K1741" s="76"/>
      <c r="L1741" s="76"/>
      <c r="M1741" s="76"/>
      <c r="N1741" s="114"/>
    </row>
    <row r="1742">
      <c r="C1742" s="41"/>
      <c r="D1742" s="142"/>
      <c r="E1742" s="130"/>
      <c r="F1742" s="128"/>
      <c r="G1742" s="128"/>
      <c r="H1742" s="128"/>
      <c r="I1742" s="128"/>
      <c r="J1742" s="81"/>
      <c r="K1742" s="81"/>
      <c r="L1742" s="81"/>
      <c r="M1742" s="81"/>
      <c r="N1742" s="82"/>
    </row>
    <row r="1743">
      <c r="C1743" s="41"/>
      <c r="D1743" s="141"/>
      <c r="E1743" s="118"/>
      <c r="F1743" s="126"/>
      <c r="G1743" s="126"/>
      <c r="H1743" s="126"/>
      <c r="I1743" s="126"/>
      <c r="J1743" s="76"/>
      <c r="K1743" s="76"/>
      <c r="L1743" s="76"/>
      <c r="M1743" s="76"/>
      <c r="N1743" s="114"/>
    </row>
    <row r="1744">
      <c r="C1744" s="41"/>
      <c r="D1744" s="142"/>
      <c r="E1744" s="130"/>
      <c r="F1744" s="128"/>
      <c r="G1744" s="128"/>
      <c r="H1744" s="128"/>
      <c r="I1744" s="128"/>
      <c r="J1744" s="81"/>
      <c r="K1744" s="81"/>
      <c r="L1744" s="81"/>
      <c r="M1744" s="81"/>
      <c r="N1744" s="82"/>
    </row>
    <row r="1745">
      <c r="C1745" s="41"/>
      <c r="D1745" s="141"/>
      <c r="E1745" s="118"/>
      <c r="F1745" s="126"/>
      <c r="G1745" s="126"/>
      <c r="H1745" s="126"/>
      <c r="I1745" s="126"/>
      <c r="J1745" s="76"/>
      <c r="K1745" s="76"/>
      <c r="L1745" s="76"/>
      <c r="M1745" s="76"/>
      <c r="N1745" s="114"/>
    </row>
    <row r="1746">
      <c r="C1746" s="41"/>
      <c r="D1746" s="142"/>
      <c r="E1746" s="130"/>
      <c r="F1746" s="128"/>
      <c r="G1746" s="128"/>
      <c r="H1746" s="128"/>
      <c r="I1746" s="128"/>
      <c r="J1746" s="81"/>
      <c r="K1746" s="81"/>
      <c r="L1746" s="81"/>
      <c r="M1746" s="81"/>
      <c r="N1746" s="82"/>
    </row>
    <row r="1747">
      <c r="C1747" s="41"/>
      <c r="D1747" s="141"/>
      <c r="E1747" s="118"/>
      <c r="F1747" s="126"/>
      <c r="G1747" s="126"/>
      <c r="H1747" s="126"/>
      <c r="I1747" s="126"/>
      <c r="J1747" s="76"/>
      <c r="K1747" s="76"/>
      <c r="L1747" s="76"/>
      <c r="M1747" s="76"/>
      <c r="N1747" s="114"/>
    </row>
    <row r="1748">
      <c r="C1748" s="41"/>
      <c r="D1748" s="142"/>
      <c r="E1748" s="130"/>
      <c r="F1748" s="128"/>
      <c r="G1748" s="128"/>
      <c r="H1748" s="128"/>
      <c r="I1748" s="128"/>
      <c r="J1748" s="81"/>
      <c r="K1748" s="81"/>
      <c r="L1748" s="81"/>
      <c r="M1748" s="81"/>
      <c r="N1748" s="82"/>
    </row>
    <row r="1749">
      <c r="C1749" s="41"/>
      <c r="D1749" s="141"/>
      <c r="E1749" s="118"/>
      <c r="F1749" s="126"/>
      <c r="G1749" s="126"/>
      <c r="H1749" s="126"/>
      <c r="I1749" s="126"/>
      <c r="J1749" s="76"/>
      <c r="K1749" s="76"/>
      <c r="L1749" s="76"/>
      <c r="M1749" s="76"/>
      <c r="N1749" s="114"/>
    </row>
    <row r="1750">
      <c r="C1750" s="41"/>
      <c r="D1750" s="142"/>
      <c r="E1750" s="130"/>
      <c r="F1750" s="128"/>
      <c r="G1750" s="128"/>
      <c r="H1750" s="128"/>
      <c r="I1750" s="128"/>
      <c r="J1750" s="81"/>
      <c r="K1750" s="81"/>
      <c r="L1750" s="81"/>
      <c r="M1750" s="81"/>
      <c r="N1750" s="82"/>
    </row>
    <row r="1751">
      <c r="C1751" s="41"/>
      <c r="D1751" s="141"/>
      <c r="E1751" s="118"/>
      <c r="F1751" s="126"/>
      <c r="G1751" s="126"/>
      <c r="H1751" s="126"/>
      <c r="I1751" s="126"/>
      <c r="J1751" s="76"/>
      <c r="K1751" s="76"/>
      <c r="L1751" s="76"/>
      <c r="M1751" s="76"/>
      <c r="N1751" s="114"/>
    </row>
    <row r="1752">
      <c r="C1752" s="41"/>
      <c r="D1752" s="142"/>
      <c r="E1752" s="130"/>
      <c r="F1752" s="128"/>
      <c r="G1752" s="128"/>
      <c r="H1752" s="128"/>
      <c r="I1752" s="128"/>
      <c r="J1752" s="81"/>
      <c r="K1752" s="81"/>
      <c r="L1752" s="81"/>
      <c r="M1752" s="81"/>
      <c r="N1752" s="82"/>
    </row>
    <row r="1753">
      <c r="C1753" s="41"/>
      <c r="D1753" s="141"/>
      <c r="E1753" s="118"/>
      <c r="F1753" s="126"/>
      <c r="G1753" s="126"/>
      <c r="H1753" s="126"/>
      <c r="I1753" s="126"/>
      <c r="J1753" s="76"/>
      <c r="K1753" s="76"/>
      <c r="L1753" s="76"/>
      <c r="M1753" s="76"/>
      <c r="N1753" s="114"/>
    </row>
    <row r="1754">
      <c r="C1754" s="41"/>
      <c r="D1754" s="142"/>
      <c r="E1754" s="130"/>
      <c r="F1754" s="128"/>
      <c r="G1754" s="128"/>
      <c r="H1754" s="128"/>
      <c r="I1754" s="128"/>
      <c r="J1754" s="81"/>
      <c r="K1754" s="81"/>
      <c r="L1754" s="81"/>
      <c r="M1754" s="81"/>
      <c r="N1754" s="82"/>
    </row>
    <row r="1755">
      <c r="C1755" s="41"/>
      <c r="D1755" s="141"/>
      <c r="E1755" s="118"/>
      <c r="F1755" s="126"/>
      <c r="G1755" s="126"/>
      <c r="H1755" s="126"/>
      <c r="I1755" s="126"/>
      <c r="J1755" s="76"/>
      <c r="K1755" s="76"/>
      <c r="L1755" s="76"/>
      <c r="M1755" s="76"/>
      <c r="N1755" s="114"/>
    </row>
    <row r="1756">
      <c r="C1756" s="41"/>
      <c r="D1756" s="142"/>
      <c r="E1756" s="130"/>
      <c r="F1756" s="128"/>
      <c r="G1756" s="128"/>
      <c r="H1756" s="128"/>
      <c r="I1756" s="128"/>
      <c r="J1756" s="81"/>
      <c r="K1756" s="81"/>
      <c r="L1756" s="81"/>
      <c r="M1756" s="81"/>
      <c r="N1756" s="82"/>
    </row>
    <row r="1757">
      <c r="C1757" s="41"/>
      <c r="D1757" s="141"/>
      <c r="E1757" s="118"/>
      <c r="F1757" s="126"/>
      <c r="G1757" s="126"/>
      <c r="H1757" s="126"/>
      <c r="I1757" s="126"/>
      <c r="J1757" s="76"/>
      <c r="K1757" s="76"/>
      <c r="L1757" s="76"/>
      <c r="M1757" s="76"/>
      <c r="N1757" s="114"/>
    </row>
    <row r="1758">
      <c r="C1758" s="41"/>
      <c r="D1758" s="142"/>
      <c r="E1758" s="130"/>
      <c r="F1758" s="128"/>
      <c r="G1758" s="128"/>
      <c r="H1758" s="128"/>
      <c r="I1758" s="128"/>
      <c r="J1758" s="81"/>
      <c r="K1758" s="81"/>
      <c r="L1758" s="81"/>
      <c r="M1758" s="81"/>
      <c r="N1758" s="82"/>
    </row>
    <row r="1759">
      <c r="C1759" s="41"/>
      <c r="D1759" s="141"/>
      <c r="E1759" s="118"/>
      <c r="F1759" s="126"/>
      <c r="G1759" s="126"/>
      <c r="H1759" s="126"/>
      <c r="I1759" s="126"/>
      <c r="J1759" s="76"/>
      <c r="K1759" s="76"/>
      <c r="L1759" s="76"/>
      <c r="M1759" s="76"/>
      <c r="N1759" s="114"/>
    </row>
    <row r="1760">
      <c r="C1760" s="41"/>
      <c r="D1760" s="142"/>
      <c r="E1760" s="130"/>
      <c r="F1760" s="128"/>
      <c r="G1760" s="128"/>
      <c r="H1760" s="128"/>
      <c r="I1760" s="128"/>
      <c r="J1760" s="81"/>
      <c r="K1760" s="81"/>
      <c r="L1760" s="81"/>
      <c r="M1760" s="81"/>
      <c r="N1760" s="82"/>
    </row>
    <row r="1761">
      <c r="C1761" s="41"/>
      <c r="D1761" s="141"/>
      <c r="E1761" s="118"/>
      <c r="F1761" s="126"/>
      <c r="G1761" s="126"/>
      <c r="H1761" s="126"/>
      <c r="I1761" s="126"/>
      <c r="J1761" s="76"/>
      <c r="K1761" s="76"/>
      <c r="L1761" s="76"/>
      <c r="M1761" s="76"/>
      <c r="N1761" s="114"/>
    </row>
    <row r="1762">
      <c r="C1762" s="41"/>
      <c r="D1762" s="142"/>
      <c r="E1762" s="130"/>
      <c r="F1762" s="128"/>
      <c r="G1762" s="128"/>
      <c r="H1762" s="128"/>
      <c r="I1762" s="128"/>
      <c r="J1762" s="81"/>
      <c r="K1762" s="81"/>
      <c r="L1762" s="81"/>
      <c r="M1762" s="81"/>
      <c r="N1762" s="82"/>
    </row>
    <row r="1763">
      <c r="C1763" s="41"/>
      <c r="D1763" s="141"/>
      <c r="E1763" s="118"/>
      <c r="F1763" s="126"/>
      <c r="G1763" s="126"/>
      <c r="H1763" s="126"/>
      <c r="I1763" s="126"/>
      <c r="J1763" s="76"/>
      <c r="K1763" s="76"/>
      <c r="L1763" s="76"/>
      <c r="M1763" s="76"/>
      <c r="N1763" s="114"/>
    </row>
    <row r="1764">
      <c r="C1764" s="41"/>
      <c r="D1764" s="142"/>
      <c r="E1764" s="130"/>
      <c r="F1764" s="128"/>
      <c r="G1764" s="128"/>
      <c r="H1764" s="128"/>
      <c r="I1764" s="128"/>
      <c r="J1764" s="81"/>
      <c r="K1764" s="81"/>
      <c r="L1764" s="81"/>
      <c r="M1764" s="81"/>
      <c r="N1764" s="82"/>
    </row>
    <row r="1765">
      <c r="C1765" s="41"/>
      <c r="D1765" s="141"/>
      <c r="E1765" s="118"/>
      <c r="F1765" s="126"/>
      <c r="G1765" s="126"/>
      <c r="H1765" s="126"/>
      <c r="I1765" s="126"/>
      <c r="J1765" s="76"/>
      <c r="K1765" s="76"/>
      <c r="L1765" s="76"/>
      <c r="M1765" s="76"/>
      <c r="N1765" s="114"/>
    </row>
    <row r="1766">
      <c r="C1766" s="41"/>
      <c r="D1766" s="142"/>
      <c r="E1766" s="130"/>
      <c r="F1766" s="128"/>
      <c r="G1766" s="128"/>
      <c r="H1766" s="128"/>
      <c r="I1766" s="128"/>
      <c r="J1766" s="81"/>
      <c r="K1766" s="81"/>
      <c r="L1766" s="81"/>
      <c r="M1766" s="81"/>
      <c r="N1766" s="82"/>
    </row>
    <row r="1767">
      <c r="C1767" s="41"/>
      <c r="D1767" s="141"/>
      <c r="E1767" s="118"/>
      <c r="F1767" s="126"/>
      <c r="G1767" s="126"/>
      <c r="H1767" s="126"/>
      <c r="I1767" s="126"/>
      <c r="J1767" s="76"/>
      <c r="K1767" s="76"/>
      <c r="L1767" s="76"/>
      <c r="M1767" s="76"/>
      <c r="N1767" s="114"/>
    </row>
    <row r="1768">
      <c r="C1768" s="41"/>
      <c r="D1768" s="142"/>
      <c r="E1768" s="130"/>
      <c r="F1768" s="128"/>
      <c r="G1768" s="128"/>
      <c r="H1768" s="128"/>
      <c r="I1768" s="128"/>
      <c r="J1768" s="81"/>
      <c r="K1768" s="81"/>
      <c r="L1768" s="81"/>
      <c r="M1768" s="81"/>
      <c r="N1768" s="82"/>
    </row>
    <row r="1769">
      <c r="C1769" s="41"/>
      <c r="D1769" s="141"/>
      <c r="E1769" s="118"/>
      <c r="F1769" s="126"/>
      <c r="G1769" s="126"/>
      <c r="H1769" s="126"/>
      <c r="I1769" s="126"/>
      <c r="J1769" s="76"/>
      <c r="K1769" s="76"/>
      <c r="L1769" s="76"/>
      <c r="M1769" s="76"/>
      <c r="N1769" s="114"/>
    </row>
    <row r="1770">
      <c r="C1770" s="41"/>
      <c r="D1770" s="142"/>
      <c r="E1770" s="130"/>
      <c r="F1770" s="128"/>
      <c r="G1770" s="128"/>
      <c r="H1770" s="128"/>
      <c r="I1770" s="128"/>
      <c r="J1770" s="81"/>
      <c r="K1770" s="81"/>
      <c r="L1770" s="81"/>
      <c r="M1770" s="81"/>
      <c r="N1770" s="82"/>
    </row>
    <row r="1771">
      <c r="C1771" s="41"/>
      <c r="D1771" s="141"/>
      <c r="E1771" s="118"/>
      <c r="F1771" s="126"/>
      <c r="G1771" s="126"/>
      <c r="H1771" s="126"/>
      <c r="I1771" s="126"/>
      <c r="J1771" s="76"/>
      <c r="K1771" s="76"/>
      <c r="L1771" s="76"/>
      <c r="M1771" s="76"/>
      <c r="N1771" s="114"/>
    </row>
    <row r="1772">
      <c r="C1772" s="41"/>
      <c r="D1772" s="142"/>
      <c r="E1772" s="130"/>
      <c r="F1772" s="128"/>
      <c r="G1772" s="128"/>
      <c r="H1772" s="128"/>
      <c r="I1772" s="128"/>
      <c r="J1772" s="81"/>
      <c r="K1772" s="81"/>
      <c r="L1772" s="81"/>
      <c r="M1772" s="81"/>
      <c r="N1772" s="82"/>
    </row>
    <row r="1773">
      <c r="C1773" s="41"/>
      <c r="D1773" s="141"/>
      <c r="E1773" s="118"/>
      <c r="F1773" s="126"/>
      <c r="G1773" s="126"/>
      <c r="H1773" s="126"/>
      <c r="I1773" s="126"/>
      <c r="J1773" s="76"/>
      <c r="K1773" s="76"/>
      <c r="L1773" s="76"/>
      <c r="M1773" s="76"/>
      <c r="N1773" s="114"/>
    </row>
    <row r="1774">
      <c r="C1774" s="41"/>
      <c r="D1774" s="142"/>
      <c r="E1774" s="130"/>
      <c r="F1774" s="128"/>
      <c r="G1774" s="128"/>
      <c r="H1774" s="128"/>
      <c r="I1774" s="128"/>
      <c r="J1774" s="81"/>
      <c r="K1774" s="81"/>
      <c r="L1774" s="81"/>
      <c r="M1774" s="81"/>
      <c r="N1774" s="82"/>
    </row>
    <row r="1775">
      <c r="C1775" s="41"/>
      <c r="D1775" s="141"/>
      <c r="E1775" s="118"/>
      <c r="F1775" s="126"/>
      <c r="G1775" s="126"/>
      <c r="H1775" s="126"/>
      <c r="I1775" s="126"/>
      <c r="J1775" s="76"/>
      <c r="K1775" s="76"/>
      <c r="L1775" s="76"/>
      <c r="M1775" s="76"/>
      <c r="N1775" s="114"/>
    </row>
    <row r="1776">
      <c r="C1776" s="41"/>
      <c r="D1776" s="142"/>
      <c r="E1776" s="130"/>
      <c r="F1776" s="128"/>
      <c r="G1776" s="128"/>
      <c r="H1776" s="128"/>
      <c r="I1776" s="128"/>
      <c r="J1776" s="81"/>
      <c r="K1776" s="81"/>
      <c r="L1776" s="81"/>
      <c r="M1776" s="81"/>
      <c r="N1776" s="82"/>
    </row>
    <row r="1777">
      <c r="C1777" s="41"/>
      <c r="D1777" s="141"/>
      <c r="E1777" s="118"/>
      <c r="F1777" s="126"/>
      <c r="G1777" s="126"/>
      <c r="H1777" s="126"/>
      <c r="I1777" s="126"/>
      <c r="J1777" s="76"/>
      <c r="K1777" s="76"/>
      <c r="L1777" s="76"/>
      <c r="M1777" s="76"/>
      <c r="N1777" s="114"/>
    </row>
    <row r="1778">
      <c r="C1778" s="41"/>
      <c r="D1778" s="142"/>
      <c r="E1778" s="130"/>
      <c r="F1778" s="128"/>
      <c r="G1778" s="128"/>
      <c r="H1778" s="128"/>
      <c r="I1778" s="128"/>
      <c r="J1778" s="81"/>
      <c r="K1778" s="81"/>
      <c r="L1778" s="81"/>
      <c r="M1778" s="81"/>
      <c r="N1778" s="82"/>
    </row>
    <row r="1779">
      <c r="C1779" s="41"/>
      <c r="D1779" s="141"/>
      <c r="E1779" s="118"/>
      <c r="F1779" s="126"/>
      <c r="G1779" s="126"/>
      <c r="H1779" s="126"/>
      <c r="I1779" s="126"/>
      <c r="J1779" s="76"/>
      <c r="K1779" s="76"/>
      <c r="L1779" s="76"/>
      <c r="M1779" s="76"/>
      <c r="N1779" s="114"/>
    </row>
    <row r="1780">
      <c r="C1780" s="41"/>
      <c r="D1780" s="142"/>
      <c r="E1780" s="130"/>
      <c r="F1780" s="128"/>
      <c r="G1780" s="128"/>
      <c r="H1780" s="128"/>
      <c r="I1780" s="128"/>
      <c r="J1780" s="81"/>
      <c r="K1780" s="81"/>
      <c r="L1780" s="81"/>
      <c r="M1780" s="81"/>
      <c r="N1780" s="82"/>
    </row>
    <row r="1781">
      <c r="C1781" s="41"/>
      <c r="D1781" s="141"/>
      <c r="E1781" s="118"/>
      <c r="F1781" s="126"/>
      <c r="G1781" s="126"/>
      <c r="H1781" s="126"/>
      <c r="I1781" s="126"/>
      <c r="J1781" s="76"/>
      <c r="K1781" s="76"/>
      <c r="L1781" s="76"/>
      <c r="M1781" s="76"/>
      <c r="N1781" s="114"/>
    </row>
    <row r="1782">
      <c r="C1782" s="41"/>
      <c r="D1782" s="142"/>
      <c r="E1782" s="130"/>
      <c r="F1782" s="128"/>
      <c r="G1782" s="128"/>
      <c r="H1782" s="128"/>
      <c r="I1782" s="128"/>
      <c r="J1782" s="81"/>
      <c r="K1782" s="81"/>
      <c r="L1782" s="81"/>
      <c r="M1782" s="81"/>
      <c r="N1782" s="82"/>
    </row>
    <row r="1783">
      <c r="C1783" s="41"/>
      <c r="D1783" s="141"/>
      <c r="E1783" s="118"/>
      <c r="F1783" s="126"/>
      <c r="G1783" s="126"/>
      <c r="H1783" s="126"/>
      <c r="I1783" s="126"/>
      <c r="J1783" s="76"/>
      <c r="K1783" s="76"/>
      <c r="L1783" s="76"/>
      <c r="M1783" s="76"/>
      <c r="N1783" s="114"/>
    </row>
    <row r="1784">
      <c r="C1784" s="41"/>
      <c r="D1784" s="142"/>
      <c r="E1784" s="130"/>
      <c r="F1784" s="128"/>
      <c r="G1784" s="128"/>
      <c r="H1784" s="128"/>
      <c r="I1784" s="128"/>
      <c r="J1784" s="81"/>
      <c r="K1784" s="81"/>
      <c r="L1784" s="81"/>
      <c r="M1784" s="81"/>
      <c r="N1784" s="82"/>
    </row>
    <row r="1785">
      <c r="C1785" s="41"/>
      <c r="D1785" s="141"/>
      <c r="E1785" s="118"/>
      <c r="F1785" s="126"/>
      <c r="G1785" s="126"/>
      <c r="H1785" s="126"/>
      <c r="I1785" s="126"/>
      <c r="J1785" s="76"/>
      <c r="K1785" s="76"/>
      <c r="L1785" s="76"/>
      <c r="M1785" s="76"/>
      <c r="N1785" s="114"/>
    </row>
    <row r="1786">
      <c r="C1786" s="41"/>
      <c r="D1786" s="142"/>
      <c r="E1786" s="130"/>
      <c r="F1786" s="128"/>
      <c r="G1786" s="128"/>
      <c r="H1786" s="128"/>
      <c r="I1786" s="128"/>
      <c r="J1786" s="81"/>
      <c r="K1786" s="81"/>
      <c r="L1786" s="81"/>
      <c r="M1786" s="81"/>
      <c r="N1786" s="82"/>
    </row>
    <row r="1787">
      <c r="C1787" s="41"/>
      <c r="D1787" s="141"/>
      <c r="E1787" s="118"/>
      <c r="F1787" s="126"/>
      <c r="G1787" s="126"/>
      <c r="H1787" s="126"/>
      <c r="I1787" s="126"/>
      <c r="J1787" s="76"/>
      <c r="K1787" s="76"/>
      <c r="L1787" s="76"/>
      <c r="M1787" s="76"/>
      <c r="N1787" s="114"/>
    </row>
    <row r="1788">
      <c r="C1788" s="41"/>
      <c r="D1788" s="142"/>
      <c r="E1788" s="130"/>
      <c r="F1788" s="128"/>
      <c r="G1788" s="128"/>
      <c r="H1788" s="128"/>
      <c r="I1788" s="128"/>
      <c r="J1788" s="81"/>
      <c r="K1788" s="81"/>
      <c r="L1788" s="81"/>
      <c r="M1788" s="81"/>
      <c r="N1788" s="82"/>
    </row>
    <row r="1789">
      <c r="C1789" s="41"/>
      <c r="D1789" s="141"/>
      <c r="E1789" s="118"/>
      <c r="F1789" s="126"/>
      <c r="G1789" s="126"/>
      <c r="H1789" s="126"/>
      <c r="I1789" s="126"/>
      <c r="J1789" s="76"/>
      <c r="K1789" s="76"/>
      <c r="L1789" s="76"/>
      <c r="M1789" s="76"/>
      <c r="N1789" s="114"/>
    </row>
    <row r="1790">
      <c r="C1790" s="41"/>
      <c r="D1790" s="142"/>
      <c r="E1790" s="130"/>
      <c r="F1790" s="128"/>
      <c r="G1790" s="128"/>
      <c r="H1790" s="128"/>
      <c r="I1790" s="128"/>
      <c r="J1790" s="81"/>
      <c r="K1790" s="81"/>
      <c r="L1790" s="81"/>
      <c r="M1790" s="81"/>
      <c r="N1790" s="82"/>
    </row>
    <row r="1791">
      <c r="C1791" s="41"/>
      <c r="D1791" s="141"/>
      <c r="E1791" s="118"/>
      <c r="F1791" s="126"/>
      <c r="G1791" s="126"/>
      <c r="H1791" s="126"/>
      <c r="I1791" s="126"/>
      <c r="J1791" s="76"/>
      <c r="K1791" s="76"/>
      <c r="L1791" s="76"/>
      <c r="M1791" s="76"/>
      <c r="N1791" s="114"/>
    </row>
    <row r="1792">
      <c r="C1792" s="41"/>
      <c r="D1792" s="142"/>
      <c r="E1792" s="130"/>
      <c r="F1792" s="128"/>
      <c r="G1792" s="128"/>
      <c r="H1792" s="128"/>
      <c r="I1792" s="128"/>
      <c r="J1792" s="81"/>
      <c r="K1792" s="81"/>
      <c r="L1792" s="81"/>
      <c r="M1792" s="81"/>
      <c r="N1792" s="82"/>
    </row>
    <row r="1793">
      <c r="C1793" s="41"/>
      <c r="D1793" s="141"/>
      <c r="E1793" s="118"/>
      <c r="F1793" s="126"/>
      <c r="G1793" s="126"/>
      <c r="H1793" s="126"/>
      <c r="I1793" s="126"/>
      <c r="J1793" s="76"/>
      <c r="K1793" s="76"/>
      <c r="L1793" s="76"/>
      <c r="M1793" s="76"/>
      <c r="N1793" s="114"/>
    </row>
    <row r="1794">
      <c r="C1794" s="41"/>
      <c r="D1794" s="142"/>
      <c r="E1794" s="130"/>
      <c r="F1794" s="128"/>
      <c r="G1794" s="128"/>
      <c r="H1794" s="128"/>
      <c r="I1794" s="128"/>
      <c r="J1794" s="81"/>
      <c r="K1794" s="81"/>
      <c r="L1794" s="81"/>
      <c r="M1794" s="81"/>
      <c r="N1794" s="82"/>
    </row>
    <row r="1795">
      <c r="C1795" s="41"/>
      <c r="D1795" s="141"/>
      <c r="E1795" s="118"/>
      <c r="F1795" s="126"/>
      <c r="G1795" s="126"/>
      <c r="H1795" s="126"/>
      <c r="I1795" s="126"/>
      <c r="J1795" s="76"/>
      <c r="K1795" s="76"/>
      <c r="L1795" s="76"/>
      <c r="M1795" s="76"/>
      <c r="N1795" s="114"/>
    </row>
    <row r="1796">
      <c r="C1796" s="41"/>
      <c r="D1796" s="142"/>
      <c r="E1796" s="130"/>
      <c r="F1796" s="128"/>
      <c r="G1796" s="128"/>
      <c r="H1796" s="128"/>
      <c r="I1796" s="128"/>
      <c r="J1796" s="81"/>
      <c r="K1796" s="81"/>
      <c r="L1796" s="81"/>
      <c r="M1796" s="81"/>
      <c r="N1796" s="82"/>
    </row>
    <row r="1797">
      <c r="C1797" s="41"/>
      <c r="D1797" s="141"/>
      <c r="E1797" s="118"/>
      <c r="F1797" s="126"/>
      <c r="G1797" s="126"/>
      <c r="H1797" s="126"/>
      <c r="I1797" s="126"/>
      <c r="J1797" s="76"/>
      <c r="K1797" s="76"/>
      <c r="L1797" s="76"/>
      <c r="M1797" s="76"/>
      <c r="N1797" s="114"/>
    </row>
    <row r="1798">
      <c r="C1798" s="41"/>
      <c r="D1798" s="142"/>
      <c r="E1798" s="130"/>
      <c r="F1798" s="128"/>
      <c r="G1798" s="128"/>
      <c r="H1798" s="128"/>
      <c r="I1798" s="128"/>
      <c r="J1798" s="81"/>
      <c r="K1798" s="81"/>
      <c r="L1798" s="81"/>
      <c r="M1798" s="81"/>
      <c r="N1798" s="82"/>
    </row>
    <row r="1799">
      <c r="C1799" s="41"/>
      <c r="D1799" s="141"/>
      <c r="E1799" s="118"/>
      <c r="F1799" s="126"/>
      <c r="G1799" s="126"/>
      <c r="H1799" s="126"/>
      <c r="I1799" s="126"/>
      <c r="J1799" s="76"/>
      <c r="K1799" s="76"/>
      <c r="L1799" s="76"/>
      <c r="M1799" s="76"/>
      <c r="N1799" s="114"/>
    </row>
    <row r="1800">
      <c r="C1800" s="41"/>
      <c r="D1800" s="142"/>
      <c r="E1800" s="130"/>
      <c r="F1800" s="128"/>
      <c r="G1800" s="128"/>
      <c r="H1800" s="128"/>
      <c r="I1800" s="128"/>
      <c r="J1800" s="81"/>
      <c r="K1800" s="81"/>
      <c r="L1800" s="81"/>
      <c r="M1800" s="81"/>
      <c r="N1800" s="82"/>
    </row>
    <row r="1801">
      <c r="C1801" s="41"/>
      <c r="D1801" s="141"/>
      <c r="E1801" s="118"/>
      <c r="F1801" s="126"/>
      <c r="G1801" s="126"/>
      <c r="H1801" s="126"/>
      <c r="I1801" s="126"/>
      <c r="J1801" s="76"/>
      <c r="K1801" s="76"/>
      <c r="L1801" s="76"/>
      <c r="M1801" s="76"/>
      <c r="N1801" s="114"/>
    </row>
    <row r="1802">
      <c r="C1802" s="41"/>
      <c r="D1802" s="142"/>
      <c r="E1802" s="130"/>
      <c r="F1802" s="128"/>
      <c r="G1802" s="128"/>
      <c r="H1802" s="128"/>
      <c r="I1802" s="128"/>
      <c r="J1802" s="81"/>
      <c r="K1802" s="81"/>
      <c r="L1802" s="81"/>
      <c r="M1802" s="81"/>
      <c r="N1802" s="82"/>
    </row>
    <row r="1803">
      <c r="C1803" s="41"/>
      <c r="D1803" s="141"/>
      <c r="E1803" s="118"/>
      <c r="F1803" s="126"/>
      <c r="G1803" s="126"/>
      <c r="H1803" s="126"/>
      <c r="I1803" s="126"/>
      <c r="J1803" s="76"/>
      <c r="K1803" s="76"/>
      <c r="L1803" s="76"/>
      <c r="M1803" s="76"/>
      <c r="N1803" s="114"/>
    </row>
    <row r="1804">
      <c r="C1804" s="41"/>
      <c r="D1804" s="142"/>
      <c r="E1804" s="130"/>
      <c r="F1804" s="128"/>
      <c r="G1804" s="128"/>
      <c r="H1804" s="128"/>
      <c r="I1804" s="128"/>
      <c r="J1804" s="81"/>
      <c r="K1804" s="81"/>
      <c r="L1804" s="81"/>
      <c r="M1804" s="81"/>
      <c r="N1804" s="82"/>
    </row>
    <row r="1805">
      <c r="C1805" s="41"/>
      <c r="D1805" s="141"/>
      <c r="E1805" s="118"/>
      <c r="F1805" s="126"/>
      <c r="G1805" s="126"/>
      <c r="H1805" s="126"/>
      <c r="I1805" s="126"/>
      <c r="J1805" s="76"/>
      <c r="K1805" s="76"/>
      <c r="L1805" s="76"/>
      <c r="M1805" s="76"/>
      <c r="N1805" s="114"/>
    </row>
    <row r="1806">
      <c r="C1806" s="41"/>
      <c r="D1806" s="142"/>
      <c r="E1806" s="130"/>
      <c r="F1806" s="128"/>
      <c r="G1806" s="128"/>
      <c r="H1806" s="128"/>
      <c r="I1806" s="128"/>
      <c r="J1806" s="81"/>
      <c r="K1806" s="81"/>
      <c r="L1806" s="81"/>
      <c r="M1806" s="81"/>
      <c r="N1806" s="82"/>
    </row>
    <row r="1807">
      <c r="C1807" s="41"/>
      <c r="D1807" s="141"/>
      <c r="E1807" s="118"/>
      <c r="F1807" s="126"/>
      <c r="G1807" s="126"/>
      <c r="H1807" s="126"/>
      <c r="I1807" s="126"/>
      <c r="J1807" s="76"/>
      <c r="K1807" s="76"/>
      <c r="L1807" s="76"/>
      <c r="M1807" s="76"/>
      <c r="N1807" s="114"/>
    </row>
    <row r="1808">
      <c r="C1808" s="41"/>
      <c r="D1808" s="142"/>
      <c r="E1808" s="130"/>
      <c r="F1808" s="128"/>
      <c r="G1808" s="128"/>
      <c r="H1808" s="128"/>
      <c r="I1808" s="128"/>
      <c r="J1808" s="81"/>
      <c r="K1808" s="81"/>
      <c r="L1808" s="81"/>
      <c r="M1808" s="81"/>
      <c r="N1808" s="82"/>
    </row>
    <row r="1809">
      <c r="C1809" s="41"/>
      <c r="D1809" s="141"/>
      <c r="E1809" s="118"/>
      <c r="F1809" s="126"/>
      <c r="G1809" s="126"/>
      <c r="H1809" s="126"/>
      <c r="I1809" s="126"/>
      <c r="J1809" s="76"/>
      <c r="K1809" s="76"/>
      <c r="L1809" s="76"/>
      <c r="M1809" s="76"/>
      <c r="N1809" s="114"/>
    </row>
    <row r="1810">
      <c r="C1810" s="41"/>
      <c r="D1810" s="142"/>
      <c r="E1810" s="130"/>
      <c r="F1810" s="128"/>
      <c r="G1810" s="128"/>
      <c r="H1810" s="128"/>
      <c r="I1810" s="128"/>
      <c r="J1810" s="81"/>
      <c r="K1810" s="81"/>
      <c r="L1810" s="81"/>
      <c r="M1810" s="81"/>
      <c r="N1810" s="82"/>
    </row>
    <row r="1811">
      <c r="C1811" s="41"/>
      <c r="D1811" s="141"/>
      <c r="E1811" s="118"/>
      <c r="F1811" s="126"/>
      <c r="G1811" s="126"/>
      <c r="H1811" s="126"/>
      <c r="I1811" s="126"/>
      <c r="J1811" s="76"/>
      <c r="K1811" s="76"/>
      <c r="L1811" s="76"/>
      <c r="M1811" s="76"/>
      <c r="N1811" s="114"/>
    </row>
    <row r="1812">
      <c r="C1812" s="41"/>
      <c r="D1812" s="142"/>
      <c r="E1812" s="130"/>
      <c r="F1812" s="128"/>
      <c r="G1812" s="128"/>
      <c r="H1812" s="128"/>
      <c r="I1812" s="128"/>
      <c r="J1812" s="81"/>
      <c r="K1812" s="81"/>
      <c r="L1812" s="81"/>
      <c r="M1812" s="81"/>
      <c r="N1812" s="82"/>
    </row>
    <row r="1813">
      <c r="C1813" s="41"/>
      <c r="D1813" s="141"/>
      <c r="E1813" s="118"/>
      <c r="F1813" s="126"/>
      <c r="G1813" s="126"/>
      <c r="H1813" s="126"/>
      <c r="I1813" s="126"/>
      <c r="J1813" s="76"/>
      <c r="K1813" s="76"/>
      <c r="L1813" s="76"/>
      <c r="M1813" s="76"/>
      <c r="N1813" s="114"/>
    </row>
    <row r="1814">
      <c r="C1814" s="41"/>
      <c r="D1814" s="142"/>
      <c r="E1814" s="130"/>
      <c r="F1814" s="128"/>
      <c r="G1814" s="128"/>
      <c r="H1814" s="128"/>
      <c r="I1814" s="128"/>
      <c r="J1814" s="81"/>
      <c r="K1814" s="81"/>
      <c r="L1814" s="81"/>
      <c r="M1814" s="81"/>
      <c r="N1814" s="82"/>
    </row>
    <row r="1815">
      <c r="C1815" s="41"/>
      <c r="D1815" s="141"/>
      <c r="E1815" s="118"/>
      <c r="F1815" s="126"/>
      <c r="G1815" s="126"/>
      <c r="H1815" s="126"/>
      <c r="I1815" s="126"/>
      <c r="J1815" s="76"/>
      <c r="K1815" s="76"/>
      <c r="L1815" s="76"/>
      <c r="M1815" s="76"/>
      <c r="N1815" s="114"/>
    </row>
    <row r="1816">
      <c r="C1816" s="41"/>
      <c r="D1816" s="142"/>
      <c r="E1816" s="130"/>
      <c r="F1816" s="128"/>
      <c r="G1816" s="128"/>
      <c r="H1816" s="128"/>
      <c r="I1816" s="128"/>
      <c r="J1816" s="81"/>
      <c r="K1816" s="81"/>
      <c r="L1816" s="81"/>
      <c r="M1816" s="81"/>
      <c r="N1816" s="82"/>
    </row>
    <row r="1817">
      <c r="C1817" s="41"/>
      <c r="D1817" s="141"/>
      <c r="E1817" s="118"/>
      <c r="F1817" s="126"/>
      <c r="G1817" s="126"/>
      <c r="H1817" s="126"/>
      <c r="I1817" s="126"/>
      <c r="J1817" s="76"/>
      <c r="K1817" s="76"/>
      <c r="L1817" s="76"/>
      <c r="M1817" s="76"/>
      <c r="N1817" s="114"/>
    </row>
    <row r="1818">
      <c r="C1818" s="41"/>
      <c r="D1818" s="142"/>
      <c r="E1818" s="130"/>
      <c r="F1818" s="128"/>
      <c r="G1818" s="128"/>
      <c r="H1818" s="128"/>
      <c r="I1818" s="128"/>
      <c r="J1818" s="81"/>
      <c r="K1818" s="81"/>
      <c r="L1818" s="81"/>
      <c r="M1818" s="81"/>
      <c r="N1818" s="82"/>
    </row>
    <row r="1819">
      <c r="C1819" s="41"/>
      <c r="D1819" s="141"/>
      <c r="E1819" s="118"/>
      <c r="F1819" s="126"/>
      <c r="G1819" s="126"/>
      <c r="H1819" s="126"/>
      <c r="I1819" s="126"/>
      <c r="J1819" s="76"/>
      <c r="K1819" s="76"/>
      <c r="L1819" s="76"/>
      <c r="M1819" s="76"/>
      <c r="N1819" s="114"/>
    </row>
    <row r="1820">
      <c r="C1820" s="41"/>
      <c r="D1820" s="142"/>
      <c r="E1820" s="130"/>
      <c r="F1820" s="128"/>
      <c r="G1820" s="128"/>
      <c r="H1820" s="128"/>
      <c r="I1820" s="128"/>
      <c r="J1820" s="81"/>
      <c r="K1820" s="81"/>
      <c r="L1820" s="81"/>
      <c r="M1820" s="81"/>
      <c r="N1820" s="82"/>
    </row>
    <row r="1821">
      <c r="C1821" s="41"/>
      <c r="D1821" s="141"/>
      <c r="E1821" s="118"/>
      <c r="F1821" s="126"/>
      <c r="G1821" s="126"/>
      <c r="H1821" s="126"/>
      <c r="I1821" s="126"/>
      <c r="J1821" s="76"/>
      <c r="K1821" s="76"/>
      <c r="L1821" s="76"/>
      <c r="M1821" s="76"/>
      <c r="N1821" s="114"/>
    </row>
    <row r="1822">
      <c r="C1822" s="41"/>
      <c r="D1822" s="142"/>
      <c r="E1822" s="130"/>
      <c r="F1822" s="128"/>
      <c r="G1822" s="128"/>
      <c r="H1822" s="128"/>
      <c r="I1822" s="128"/>
      <c r="J1822" s="81"/>
      <c r="K1822" s="81"/>
      <c r="L1822" s="81"/>
      <c r="M1822" s="81"/>
      <c r="N1822" s="82"/>
    </row>
    <row r="1823">
      <c r="C1823" s="41"/>
      <c r="D1823" s="141"/>
      <c r="E1823" s="118"/>
      <c r="F1823" s="126"/>
      <c r="G1823" s="126"/>
      <c r="H1823" s="126"/>
      <c r="I1823" s="126"/>
      <c r="J1823" s="76"/>
      <c r="K1823" s="76"/>
      <c r="L1823" s="76"/>
      <c r="M1823" s="76"/>
      <c r="N1823" s="114"/>
    </row>
    <row r="1824">
      <c r="C1824" s="41"/>
      <c r="D1824" s="142"/>
      <c r="E1824" s="130"/>
      <c r="F1824" s="128"/>
      <c r="G1824" s="128"/>
      <c r="H1824" s="128"/>
      <c r="I1824" s="128"/>
      <c r="J1824" s="81"/>
      <c r="K1824" s="81"/>
      <c r="L1824" s="81"/>
      <c r="M1824" s="81"/>
      <c r="N1824" s="82"/>
    </row>
    <row r="1825">
      <c r="C1825" s="41"/>
      <c r="D1825" s="141"/>
      <c r="E1825" s="118"/>
      <c r="F1825" s="126"/>
      <c r="G1825" s="126"/>
      <c r="H1825" s="126"/>
      <c r="I1825" s="126"/>
      <c r="J1825" s="76"/>
      <c r="K1825" s="76"/>
      <c r="L1825" s="76"/>
      <c r="M1825" s="76"/>
      <c r="N1825" s="114"/>
    </row>
    <row r="1826">
      <c r="C1826" s="41"/>
      <c r="D1826" s="142"/>
      <c r="E1826" s="130"/>
      <c r="F1826" s="128"/>
      <c r="G1826" s="128"/>
      <c r="H1826" s="128"/>
      <c r="I1826" s="128"/>
      <c r="J1826" s="81"/>
      <c r="K1826" s="81"/>
      <c r="L1826" s="81"/>
      <c r="M1826" s="81"/>
      <c r="N1826" s="82"/>
    </row>
    <row r="1827">
      <c r="C1827" s="41"/>
      <c r="D1827" s="141"/>
      <c r="E1827" s="118"/>
      <c r="F1827" s="126"/>
      <c r="G1827" s="126"/>
      <c r="H1827" s="126"/>
      <c r="I1827" s="126"/>
      <c r="J1827" s="76"/>
      <c r="K1827" s="76"/>
      <c r="L1827" s="76"/>
      <c r="M1827" s="76"/>
      <c r="N1827" s="114"/>
    </row>
    <row r="1828">
      <c r="C1828" s="41"/>
      <c r="D1828" s="142"/>
      <c r="E1828" s="130"/>
      <c r="F1828" s="128"/>
      <c r="G1828" s="128"/>
      <c r="H1828" s="128"/>
      <c r="I1828" s="128"/>
      <c r="J1828" s="81"/>
      <c r="K1828" s="81"/>
      <c r="L1828" s="81"/>
      <c r="M1828" s="81"/>
      <c r="N1828" s="82"/>
    </row>
    <row r="1829">
      <c r="C1829" s="41"/>
      <c r="D1829" s="141"/>
      <c r="E1829" s="118"/>
      <c r="F1829" s="126"/>
      <c r="G1829" s="126"/>
      <c r="H1829" s="126"/>
      <c r="I1829" s="126"/>
      <c r="J1829" s="76"/>
      <c r="K1829" s="76"/>
      <c r="L1829" s="76"/>
      <c r="M1829" s="76"/>
      <c r="N1829" s="114"/>
    </row>
    <row r="1830">
      <c r="C1830" s="41"/>
      <c r="D1830" s="142"/>
      <c r="E1830" s="130"/>
      <c r="F1830" s="128"/>
      <c r="G1830" s="128"/>
      <c r="H1830" s="128"/>
      <c r="I1830" s="128"/>
      <c r="J1830" s="81"/>
      <c r="K1830" s="81"/>
      <c r="L1830" s="81"/>
      <c r="M1830" s="81"/>
      <c r="N1830" s="82"/>
    </row>
    <row r="1831">
      <c r="C1831" s="41"/>
      <c r="D1831" s="141"/>
      <c r="E1831" s="118"/>
      <c r="F1831" s="126"/>
      <c r="G1831" s="126"/>
      <c r="H1831" s="126"/>
      <c r="I1831" s="126"/>
      <c r="J1831" s="76"/>
      <c r="K1831" s="76"/>
      <c r="L1831" s="76"/>
      <c r="M1831" s="76"/>
      <c r="N1831" s="114"/>
    </row>
    <row r="1832">
      <c r="C1832" s="41"/>
      <c r="D1832" s="142"/>
      <c r="E1832" s="130"/>
      <c r="F1832" s="128"/>
      <c r="G1832" s="128"/>
      <c r="H1832" s="128"/>
      <c r="I1832" s="128"/>
      <c r="J1832" s="81"/>
      <c r="K1832" s="81"/>
      <c r="L1832" s="81"/>
      <c r="M1832" s="81"/>
      <c r="N1832" s="82"/>
    </row>
    <row r="1833">
      <c r="C1833" s="41"/>
      <c r="D1833" s="141"/>
      <c r="E1833" s="118"/>
      <c r="F1833" s="126"/>
      <c r="G1833" s="126"/>
      <c r="H1833" s="126"/>
      <c r="I1833" s="126"/>
      <c r="J1833" s="76"/>
      <c r="K1833" s="76"/>
      <c r="L1833" s="76"/>
      <c r="M1833" s="76"/>
      <c r="N1833" s="114"/>
    </row>
    <row r="1834">
      <c r="C1834" s="41"/>
      <c r="D1834" s="142"/>
      <c r="E1834" s="130"/>
      <c r="F1834" s="128"/>
      <c r="G1834" s="128"/>
      <c r="H1834" s="128"/>
      <c r="I1834" s="128"/>
      <c r="J1834" s="81"/>
      <c r="K1834" s="81"/>
      <c r="L1834" s="81"/>
      <c r="M1834" s="81"/>
      <c r="N1834" s="82"/>
    </row>
    <row r="1835">
      <c r="C1835" s="41"/>
      <c r="D1835" s="141"/>
      <c r="E1835" s="118"/>
      <c r="F1835" s="126"/>
      <c r="G1835" s="126"/>
      <c r="H1835" s="126"/>
      <c r="I1835" s="126"/>
      <c r="J1835" s="76"/>
      <c r="K1835" s="76"/>
      <c r="L1835" s="76"/>
      <c r="M1835" s="76"/>
      <c r="N1835" s="114"/>
    </row>
    <row r="1836">
      <c r="C1836" s="41"/>
      <c r="D1836" s="142"/>
      <c r="E1836" s="130"/>
      <c r="F1836" s="128"/>
      <c r="G1836" s="128"/>
      <c r="H1836" s="128"/>
      <c r="I1836" s="128"/>
      <c r="J1836" s="81"/>
      <c r="K1836" s="81"/>
      <c r="L1836" s="81"/>
      <c r="M1836" s="81"/>
      <c r="N1836" s="82"/>
    </row>
    <row r="1837">
      <c r="C1837" s="41"/>
      <c r="D1837" s="141"/>
      <c r="E1837" s="118"/>
      <c r="F1837" s="126"/>
      <c r="G1837" s="126"/>
      <c r="H1837" s="126"/>
      <c r="I1837" s="126"/>
      <c r="J1837" s="76"/>
      <c r="K1837" s="76"/>
      <c r="L1837" s="76"/>
      <c r="M1837" s="76"/>
      <c r="N1837" s="114"/>
    </row>
    <row r="1838">
      <c r="C1838" s="41"/>
      <c r="D1838" s="142"/>
      <c r="E1838" s="130"/>
      <c r="F1838" s="128"/>
      <c r="G1838" s="128"/>
      <c r="H1838" s="128"/>
      <c r="I1838" s="128"/>
      <c r="J1838" s="81"/>
      <c r="K1838" s="81"/>
      <c r="L1838" s="81"/>
      <c r="M1838" s="81"/>
      <c r="N1838" s="82"/>
    </row>
    <row r="1839">
      <c r="C1839" s="41"/>
      <c r="D1839" s="141"/>
      <c r="E1839" s="118"/>
      <c r="F1839" s="126"/>
      <c r="G1839" s="126"/>
      <c r="H1839" s="126"/>
      <c r="I1839" s="126"/>
      <c r="J1839" s="76"/>
      <c r="K1839" s="76"/>
      <c r="L1839" s="76"/>
      <c r="M1839" s="76"/>
      <c r="N1839" s="114"/>
    </row>
    <row r="1840">
      <c r="C1840" s="41"/>
      <c r="D1840" s="142"/>
      <c r="E1840" s="130"/>
      <c r="F1840" s="128"/>
      <c r="G1840" s="128"/>
      <c r="H1840" s="128"/>
      <c r="I1840" s="128"/>
      <c r="J1840" s="81"/>
      <c r="K1840" s="81"/>
      <c r="L1840" s="81"/>
      <c r="M1840" s="81"/>
      <c r="N1840" s="82"/>
    </row>
    <row r="1841">
      <c r="C1841" s="41"/>
      <c r="D1841" s="141"/>
      <c r="E1841" s="118"/>
      <c r="F1841" s="126"/>
      <c r="G1841" s="126"/>
      <c r="H1841" s="126"/>
      <c r="I1841" s="126"/>
      <c r="J1841" s="76"/>
      <c r="K1841" s="76"/>
      <c r="L1841" s="76"/>
      <c r="M1841" s="76"/>
      <c r="N1841" s="114"/>
    </row>
    <row r="1842">
      <c r="C1842" s="41"/>
      <c r="D1842" s="142"/>
      <c r="E1842" s="130"/>
      <c r="F1842" s="128"/>
      <c r="G1842" s="128"/>
      <c r="H1842" s="128"/>
      <c r="I1842" s="128"/>
      <c r="J1842" s="81"/>
      <c r="K1842" s="81"/>
      <c r="L1842" s="81"/>
      <c r="M1842" s="81"/>
      <c r="N1842" s="82"/>
    </row>
    <row r="1843">
      <c r="C1843" s="41"/>
      <c r="D1843" s="141"/>
      <c r="E1843" s="118"/>
      <c r="F1843" s="126"/>
      <c r="G1843" s="126"/>
      <c r="H1843" s="126"/>
      <c r="I1843" s="126"/>
      <c r="J1843" s="76"/>
      <c r="K1843" s="76"/>
      <c r="L1843" s="76"/>
      <c r="M1843" s="76"/>
      <c r="N1843" s="114"/>
    </row>
    <row r="1844">
      <c r="C1844" s="41"/>
      <c r="D1844" s="142"/>
      <c r="E1844" s="130"/>
      <c r="F1844" s="128"/>
      <c r="G1844" s="128"/>
      <c r="H1844" s="128"/>
      <c r="I1844" s="128"/>
      <c r="J1844" s="81"/>
      <c r="K1844" s="81"/>
      <c r="L1844" s="81"/>
      <c r="M1844" s="81"/>
      <c r="N1844" s="82"/>
    </row>
    <row r="1845">
      <c r="C1845" s="41"/>
      <c r="D1845" s="141"/>
      <c r="E1845" s="118"/>
      <c r="F1845" s="126"/>
      <c r="G1845" s="126"/>
      <c r="H1845" s="126"/>
      <c r="I1845" s="126"/>
      <c r="J1845" s="76"/>
      <c r="K1845" s="76"/>
      <c r="L1845" s="76"/>
      <c r="M1845" s="76"/>
      <c r="N1845" s="114"/>
    </row>
    <row r="1846">
      <c r="C1846" s="41"/>
      <c r="D1846" s="142"/>
      <c r="E1846" s="130"/>
      <c r="F1846" s="128"/>
      <c r="G1846" s="128"/>
      <c r="H1846" s="128"/>
      <c r="I1846" s="128"/>
      <c r="J1846" s="81"/>
      <c r="K1846" s="81"/>
      <c r="L1846" s="81"/>
      <c r="M1846" s="81"/>
      <c r="N1846" s="82"/>
    </row>
    <row r="1847">
      <c r="C1847" s="41"/>
      <c r="D1847" s="141"/>
      <c r="E1847" s="118"/>
      <c r="F1847" s="126"/>
      <c r="G1847" s="126"/>
      <c r="H1847" s="126"/>
      <c r="I1847" s="126"/>
      <c r="J1847" s="76"/>
      <c r="K1847" s="76"/>
      <c r="L1847" s="76"/>
      <c r="M1847" s="76"/>
      <c r="N1847" s="114"/>
    </row>
    <row r="1848">
      <c r="C1848" s="41"/>
      <c r="D1848" s="142"/>
      <c r="E1848" s="130"/>
      <c r="F1848" s="128"/>
      <c r="G1848" s="128"/>
      <c r="H1848" s="128"/>
      <c r="I1848" s="128"/>
      <c r="J1848" s="81"/>
      <c r="K1848" s="81"/>
      <c r="L1848" s="81"/>
      <c r="M1848" s="81"/>
      <c r="N1848" s="82"/>
    </row>
    <row r="1849">
      <c r="C1849" s="41"/>
      <c r="D1849" s="141"/>
      <c r="E1849" s="118"/>
      <c r="F1849" s="126"/>
      <c r="G1849" s="126"/>
      <c r="H1849" s="126"/>
      <c r="I1849" s="126"/>
      <c r="J1849" s="76"/>
      <c r="K1849" s="76"/>
      <c r="L1849" s="76"/>
      <c r="M1849" s="76"/>
      <c r="N1849" s="114"/>
    </row>
    <row r="1850">
      <c r="C1850" s="41"/>
      <c r="D1850" s="142"/>
      <c r="E1850" s="130"/>
      <c r="F1850" s="128"/>
      <c r="G1850" s="128"/>
      <c r="H1850" s="128"/>
      <c r="I1850" s="128"/>
      <c r="J1850" s="81"/>
      <c r="K1850" s="81"/>
      <c r="L1850" s="81"/>
      <c r="M1850" s="81"/>
      <c r="N1850" s="82"/>
    </row>
    <row r="1851">
      <c r="C1851" s="41"/>
      <c r="D1851" s="141"/>
      <c r="E1851" s="118"/>
      <c r="F1851" s="126"/>
      <c r="G1851" s="126"/>
      <c r="H1851" s="126"/>
      <c r="I1851" s="126"/>
      <c r="J1851" s="76"/>
      <c r="K1851" s="76"/>
      <c r="L1851" s="76"/>
      <c r="M1851" s="76"/>
      <c r="N1851" s="114"/>
    </row>
    <row r="1852">
      <c r="C1852" s="41"/>
      <c r="D1852" s="142"/>
      <c r="E1852" s="130"/>
      <c r="F1852" s="128"/>
      <c r="G1852" s="128"/>
      <c r="H1852" s="128"/>
      <c r="I1852" s="128"/>
      <c r="J1852" s="81"/>
      <c r="K1852" s="81"/>
      <c r="L1852" s="81"/>
      <c r="M1852" s="81"/>
      <c r="N1852" s="82"/>
    </row>
    <row r="1853">
      <c r="C1853" s="41"/>
      <c r="D1853" s="141"/>
      <c r="E1853" s="118"/>
      <c r="F1853" s="126"/>
      <c r="G1853" s="126"/>
      <c r="H1853" s="126"/>
      <c r="I1853" s="126"/>
      <c r="J1853" s="76"/>
      <c r="K1853" s="76"/>
      <c r="L1853" s="76"/>
      <c r="M1853" s="76"/>
      <c r="N1853" s="114"/>
    </row>
    <row r="1854">
      <c r="C1854" s="41"/>
      <c r="D1854" s="142"/>
      <c r="E1854" s="130"/>
      <c r="F1854" s="128"/>
      <c r="G1854" s="128"/>
      <c r="H1854" s="128"/>
      <c r="I1854" s="128"/>
      <c r="J1854" s="81"/>
      <c r="K1854" s="81"/>
      <c r="L1854" s="81"/>
      <c r="M1854" s="81"/>
      <c r="N1854" s="82"/>
    </row>
    <row r="1855">
      <c r="C1855" s="41"/>
      <c r="D1855" s="141"/>
      <c r="E1855" s="118"/>
      <c r="F1855" s="126"/>
      <c r="G1855" s="126"/>
      <c r="H1855" s="126"/>
      <c r="I1855" s="126"/>
      <c r="J1855" s="76"/>
      <c r="K1855" s="76"/>
      <c r="L1855" s="76"/>
      <c r="M1855" s="76"/>
      <c r="N1855" s="114"/>
    </row>
    <row r="1856">
      <c r="C1856" s="41"/>
      <c r="D1856" s="142"/>
      <c r="E1856" s="130"/>
      <c r="F1856" s="128"/>
      <c r="G1856" s="128"/>
      <c r="H1856" s="128"/>
      <c r="I1856" s="128"/>
      <c r="J1856" s="81"/>
      <c r="K1856" s="81"/>
      <c r="L1856" s="81"/>
      <c r="M1856" s="81"/>
      <c r="N1856" s="82"/>
    </row>
    <row r="1857">
      <c r="C1857" s="41"/>
      <c r="D1857" s="141"/>
      <c r="E1857" s="118"/>
      <c r="F1857" s="126"/>
      <c r="G1857" s="126"/>
      <c r="H1857" s="126"/>
      <c r="I1857" s="126"/>
      <c r="J1857" s="76"/>
      <c r="K1857" s="76"/>
      <c r="L1857" s="76"/>
      <c r="M1857" s="76"/>
      <c r="N1857" s="114"/>
    </row>
    <row r="1858">
      <c r="C1858" s="41"/>
      <c r="D1858" s="142"/>
      <c r="E1858" s="130"/>
      <c r="F1858" s="128"/>
      <c r="G1858" s="128"/>
      <c r="H1858" s="128"/>
      <c r="I1858" s="128"/>
      <c r="J1858" s="81"/>
      <c r="K1858" s="81"/>
      <c r="L1858" s="81"/>
      <c r="M1858" s="81"/>
      <c r="N1858" s="82"/>
    </row>
    <row r="1859">
      <c r="C1859" s="41"/>
      <c r="D1859" s="141"/>
      <c r="E1859" s="118"/>
      <c r="F1859" s="126"/>
      <c r="G1859" s="126"/>
      <c r="H1859" s="126"/>
      <c r="I1859" s="126"/>
      <c r="J1859" s="76"/>
      <c r="K1859" s="76"/>
      <c r="L1859" s="76"/>
      <c r="M1859" s="76"/>
      <c r="N1859" s="114"/>
    </row>
    <row r="1860">
      <c r="C1860" s="41"/>
      <c r="D1860" s="142"/>
      <c r="E1860" s="130"/>
      <c r="F1860" s="128"/>
      <c r="G1860" s="128"/>
      <c r="H1860" s="128"/>
      <c r="I1860" s="128"/>
      <c r="J1860" s="81"/>
      <c r="K1860" s="81"/>
      <c r="L1860" s="81"/>
      <c r="M1860" s="81"/>
      <c r="N1860" s="82"/>
    </row>
    <row r="1861">
      <c r="C1861" s="41"/>
      <c r="D1861" s="141"/>
      <c r="E1861" s="118"/>
      <c r="F1861" s="126"/>
      <c r="G1861" s="126"/>
      <c r="H1861" s="126"/>
      <c r="I1861" s="126"/>
      <c r="J1861" s="76"/>
      <c r="K1861" s="76"/>
      <c r="L1861" s="76"/>
      <c r="M1861" s="76"/>
      <c r="N1861" s="114"/>
    </row>
    <row r="1862">
      <c r="C1862" s="41"/>
      <c r="D1862" s="142"/>
      <c r="E1862" s="130"/>
      <c r="F1862" s="128"/>
      <c r="G1862" s="128"/>
      <c r="H1862" s="128"/>
      <c r="I1862" s="128"/>
      <c r="J1862" s="81"/>
      <c r="K1862" s="81"/>
      <c r="L1862" s="81"/>
      <c r="M1862" s="81"/>
      <c r="N1862" s="82"/>
    </row>
    <row r="1863">
      <c r="C1863" s="41"/>
      <c r="D1863" s="141"/>
      <c r="E1863" s="118"/>
      <c r="F1863" s="126"/>
      <c r="G1863" s="126"/>
      <c r="H1863" s="126"/>
      <c r="I1863" s="126"/>
      <c r="J1863" s="76"/>
      <c r="K1863" s="76"/>
      <c r="L1863" s="76"/>
      <c r="M1863" s="76"/>
      <c r="N1863" s="114"/>
    </row>
    <row r="1864">
      <c r="C1864" s="41"/>
      <c r="D1864" s="142"/>
      <c r="E1864" s="130"/>
      <c r="F1864" s="128"/>
      <c r="G1864" s="128"/>
      <c r="H1864" s="128"/>
      <c r="I1864" s="128"/>
      <c r="J1864" s="81"/>
      <c r="K1864" s="81"/>
      <c r="L1864" s="81"/>
      <c r="M1864" s="81"/>
      <c r="N1864" s="82"/>
    </row>
    <row r="1865">
      <c r="C1865" s="41"/>
      <c r="D1865" s="141"/>
      <c r="E1865" s="118"/>
      <c r="F1865" s="126"/>
      <c r="G1865" s="126"/>
      <c r="H1865" s="126"/>
      <c r="I1865" s="126"/>
      <c r="J1865" s="76"/>
      <c r="K1865" s="76"/>
      <c r="L1865" s="76"/>
      <c r="M1865" s="76"/>
      <c r="N1865" s="114"/>
    </row>
    <row r="1866">
      <c r="C1866" s="41"/>
      <c r="D1866" s="142"/>
      <c r="E1866" s="130"/>
      <c r="F1866" s="128"/>
      <c r="G1866" s="128"/>
      <c r="H1866" s="128"/>
      <c r="I1866" s="128"/>
      <c r="J1866" s="81"/>
      <c r="K1866" s="81"/>
      <c r="L1866" s="81"/>
      <c r="M1866" s="81"/>
      <c r="N1866" s="82"/>
    </row>
    <row r="1867">
      <c r="C1867" s="41"/>
      <c r="D1867" s="141"/>
      <c r="E1867" s="118"/>
      <c r="F1867" s="126"/>
      <c r="G1867" s="126"/>
      <c r="H1867" s="126"/>
      <c r="I1867" s="126"/>
      <c r="J1867" s="76"/>
      <c r="K1867" s="76"/>
      <c r="L1867" s="76"/>
      <c r="M1867" s="76"/>
      <c r="N1867" s="114"/>
    </row>
    <row r="1868">
      <c r="C1868" s="41"/>
      <c r="D1868" s="142"/>
      <c r="E1868" s="130"/>
      <c r="F1868" s="128"/>
      <c r="G1868" s="128"/>
      <c r="H1868" s="128"/>
      <c r="I1868" s="128"/>
      <c r="J1868" s="81"/>
      <c r="K1868" s="81"/>
      <c r="L1868" s="81"/>
      <c r="M1868" s="81"/>
      <c r="N1868" s="82"/>
    </row>
    <row r="1869">
      <c r="C1869" s="41"/>
      <c r="D1869" s="141"/>
      <c r="E1869" s="118"/>
      <c r="F1869" s="126"/>
      <c r="G1869" s="126"/>
      <c r="H1869" s="126"/>
      <c r="I1869" s="126"/>
      <c r="J1869" s="76"/>
      <c r="K1869" s="76"/>
      <c r="L1869" s="76"/>
      <c r="M1869" s="76"/>
      <c r="N1869" s="114"/>
    </row>
    <row r="1870">
      <c r="C1870" s="41"/>
      <c r="D1870" s="142"/>
      <c r="E1870" s="130"/>
      <c r="F1870" s="128"/>
      <c r="G1870" s="128"/>
      <c r="H1870" s="128"/>
      <c r="I1870" s="128"/>
      <c r="J1870" s="81"/>
      <c r="K1870" s="81"/>
      <c r="L1870" s="81"/>
      <c r="M1870" s="81"/>
      <c r="N1870" s="82"/>
    </row>
    <row r="1871">
      <c r="C1871" s="41"/>
      <c r="D1871" s="141"/>
      <c r="E1871" s="118"/>
      <c r="F1871" s="126"/>
      <c r="G1871" s="126"/>
      <c r="H1871" s="126"/>
      <c r="I1871" s="126"/>
      <c r="J1871" s="76"/>
      <c r="K1871" s="76"/>
      <c r="L1871" s="76"/>
      <c r="M1871" s="76"/>
      <c r="N1871" s="114"/>
    </row>
    <row r="1872">
      <c r="C1872" s="41"/>
      <c r="D1872" s="142"/>
      <c r="E1872" s="130"/>
      <c r="F1872" s="128"/>
      <c r="G1872" s="128"/>
      <c r="H1872" s="128"/>
      <c r="I1872" s="128"/>
      <c r="J1872" s="81"/>
      <c r="K1872" s="81"/>
      <c r="L1872" s="81"/>
      <c r="M1872" s="81"/>
      <c r="N1872" s="82"/>
    </row>
    <row r="1873">
      <c r="C1873" s="41"/>
      <c r="D1873" s="141"/>
      <c r="E1873" s="118"/>
      <c r="F1873" s="126"/>
      <c r="G1873" s="126"/>
      <c r="H1873" s="126"/>
      <c r="I1873" s="126"/>
      <c r="J1873" s="76"/>
      <c r="K1873" s="76"/>
      <c r="L1873" s="76"/>
      <c r="M1873" s="76"/>
      <c r="N1873" s="114"/>
    </row>
    <row r="1874">
      <c r="C1874" s="41"/>
      <c r="D1874" s="142"/>
      <c r="E1874" s="130"/>
      <c r="F1874" s="128"/>
      <c r="G1874" s="128"/>
      <c r="H1874" s="128"/>
      <c r="I1874" s="128"/>
      <c r="J1874" s="81"/>
      <c r="K1874" s="81"/>
      <c r="L1874" s="81"/>
      <c r="M1874" s="81"/>
      <c r="N1874" s="82"/>
    </row>
    <row r="1875">
      <c r="C1875" s="41"/>
      <c r="D1875" s="141"/>
      <c r="E1875" s="118"/>
      <c r="F1875" s="126"/>
      <c r="G1875" s="126"/>
      <c r="H1875" s="126"/>
      <c r="I1875" s="126"/>
      <c r="J1875" s="76"/>
      <c r="K1875" s="76"/>
      <c r="L1875" s="76"/>
      <c r="M1875" s="76"/>
      <c r="N1875" s="114"/>
    </row>
    <row r="1876">
      <c r="C1876" s="41"/>
      <c r="D1876" s="142"/>
      <c r="E1876" s="130"/>
      <c r="F1876" s="128"/>
      <c r="G1876" s="128"/>
      <c r="H1876" s="128"/>
      <c r="I1876" s="128"/>
      <c r="J1876" s="81"/>
      <c r="K1876" s="81"/>
      <c r="L1876" s="81"/>
      <c r="M1876" s="81"/>
      <c r="N1876" s="82"/>
    </row>
    <row r="1877">
      <c r="C1877" s="41"/>
      <c r="D1877" s="141"/>
      <c r="E1877" s="118"/>
      <c r="F1877" s="126"/>
      <c r="G1877" s="126"/>
      <c r="H1877" s="126"/>
      <c r="I1877" s="126"/>
      <c r="J1877" s="76"/>
      <c r="K1877" s="76"/>
      <c r="L1877" s="76"/>
      <c r="M1877" s="76"/>
      <c r="N1877" s="114"/>
    </row>
    <row r="1878">
      <c r="C1878" s="41"/>
      <c r="D1878" s="142"/>
      <c r="E1878" s="130"/>
      <c r="F1878" s="128"/>
      <c r="G1878" s="128"/>
      <c r="H1878" s="128"/>
      <c r="I1878" s="128"/>
      <c r="J1878" s="81"/>
      <c r="K1878" s="81"/>
      <c r="L1878" s="81"/>
      <c r="M1878" s="81"/>
      <c r="N1878" s="82"/>
    </row>
    <row r="1879">
      <c r="C1879" s="41"/>
      <c r="D1879" s="141"/>
      <c r="E1879" s="118"/>
      <c r="F1879" s="126"/>
      <c r="G1879" s="126"/>
      <c r="H1879" s="126"/>
      <c r="I1879" s="126"/>
      <c r="J1879" s="76"/>
      <c r="K1879" s="76"/>
      <c r="L1879" s="76"/>
      <c r="M1879" s="76"/>
      <c r="N1879" s="114"/>
    </row>
    <row r="1880">
      <c r="C1880" s="41"/>
      <c r="D1880" s="142"/>
      <c r="E1880" s="130"/>
      <c r="F1880" s="128"/>
      <c r="G1880" s="128"/>
      <c r="H1880" s="128"/>
      <c r="I1880" s="128"/>
      <c r="J1880" s="81"/>
      <c r="K1880" s="81"/>
      <c r="L1880" s="81"/>
      <c r="M1880" s="81"/>
      <c r="N1880" s="82"/>
    </row>
    <row r="1881">
      <c r="C1881" s="41"/>
      <c r="D1881" s="141"/>
      <c r="E1881" s="118"/>
      <c r="F1881" s="126"/>
      <c r="G1881" s="126"/>
      <c r="H1881" s="126"/>
      <c r="I1881" s="126"/>
      <c r="J1881" s="76"/>
      <c r="K1881" s="76"/>
      <c r="L1881" s="76"/>
      <c r="M1881" s="76"/>
      <c r="N1881" s="114"/>
    </row>
    <row r="1882">
      <c r="C1882" s="41"/>
      <c r="D1882" s="142"/>
      <c r="E1882" s="130"/>
      <c r="F1882" s="128"/>
      <c r="G1882" s="128"/>
      <c r="H1882" s="128"/>
      <c r="I1882" s="128"/>
      <c r="J1882" s="81"/>
      <c r="K1882" s="81"/>
      <c r="L1882" s="81"/>
      <c r="M1882" s="81"/>
      <c r="N1882" s="82"/>
    </row>
    <row r="1883">
      <c r="C1883" s="41"/>
      <c r="D1883" s="141"/>
      <c r="E1883" s="118"/>
      <c r="F1883" s="126"/>
      <c r="G1883" s="126"/>
      <c r="H1883" s="126"/>
      <c r="I1883" s="126"/>
      <c r="J1883" s="76"/>
      <c r="K1883" s="76"/>
      <c r="L1883" s="76"/>
      <c r="M1883" s="76"/>
      <c r="N1883" s="114"/>
    </row>
    <row r="1884">
      <c r="C1884" s="41"/>
      <c r="D1884" s="142"/>
      <c r="E1884" s="130"/>
      <c r="F1884" s="128"/>
      <c r="G1884" s="128"/>
      <c r="H1884" s="128"/>
      <c r="I1884" s="128"/>
      <c r="J1884" s="81"/>
      <c r="K1884" s="81"/>
      <c r="L1884" s="81"/>
      <c r="M1884" s="81"/>
      <c r="N1884" s="82"/>
    </row>
    <row r="1885">
      <c r="C1885" s="41"/>
      <c r="D1885" s="141"/>
      <c r="E1885" s="118"/>
      <c r="F1885" s="126"/>
      <c r="G1885" s="126"/>
      <c r="H1885" s="126"/>
      <c r="I1885" s="126"/>
      <c r="J1885" s="76"/>
      <c r="K1885" s="76"/>
      <c r="L1885" s="76"/>
      <c r="M1885" s="76"/>
      <c r="N1885" s="114"/>
    </row>
    <row r="1886">
      <c r="C1886" s="41"/>
      <c r="D1886" s="142"/>
      <c r="E1886" s="130"/>
      <c r="F1886" s="128"/>
      <c r="G1886" s="128"/>
      <c r="H1886" s="128"/>
      <c r="I1886" s="128"/>
      <c r="J1886" s="81"/>
      <c r="K1886" s="81"/>
      <c r="L1886" s="81"/>
      <c r="M1886" s="81"/>
      <c r="N1886" s="82"/>
    </row>
    <row r="1887">
      <c r="C1887" s="41"/>
      <c r="D1887" s="141"/>
      <c r="E1887" s="118"/>
      <c r="F1887" s="126"/>
      <c r="G1887" s="126"/>
      <c r="H1887" s="126"/>
      <c r="I1887" s="126"/>
      <c r="J1887" s="76"/>
      <c r="K1887" s="76"/>
      <c r="L1887" s="76"/>
      <c r="M1887" s="76"/>
      <c r="N1887" s="114"/>
    </row>
    <row r="1888">
      <c r="C1888" s="41"/>
      <c r="D1888" s="142"/>
      <c r="E1888" s="130"/>
      <c r="F1888" s="128"/>
      <c r="G1888" s="128"/>
      <c r="H1888" s="128"/>
      <c r="I1888" s="128"/>
      <c r="J1888" s="81"/>
      <c r="K1888" s="81"/>
      <c r="L1888" s="81"/>
      <c r="M1888" s="81"/>
      <c r="N1888" s="82"/>
    </row>
    <row r="1889">
      <c r="C1889" s="41"/>
      <c r="D1889" s="141"/>
      <c r="E1889" s="118"/>
      <c r="F1889" s="126"/>
      <c r="G1889" s="126"/>
      <c r="H1889" s="126"/>
      <c r="I1889" s="126"/>
      <c r="J1889" s="76"/>
      <c r="K1889" s="76"/>
      <c r="L1889" s="76"/>
      <c r="M1889" s="76"/>
      <c r="N1889" s="114"/>
    </row>
    <row r="1890">
      <c r="C1890" s="41"/>
      <c r="D1890" s="142"/>
      <c r="E1890" s="130"/>
      <c r="F1890" s="128"/>
      <c r="G1890" s="128"/>
      <c r="H1890" s="128"/>
      <c r="I1890" s="128"/>
      <c r="J1890" s="81"/>
      <c r="K1890" s="81"/>
      <c r="L1890" s="81"/>
      <c r="M1890" s="81"/>
      <c r="N1890" s="82"/>
    </row>
    <row r="1891">
      <c r="C1891" s="41"/>
      <c r="D1891" s="141"/>
      <c r="E1891" s="118"/>
      <c r="F1891" s="126"/>
      <c r="G1891" s="126"/>
      <c r="H1891" s="126"/>
      <c r="I1891" s="126"/>
      <c r="J1891" s="76"/>
      <c r="K1891" s="76"/>
      <c r="L1891" s="76"/>
      <c r="M1891" s="76"/>
      <c r="N1891" s="114"/>
    </row>
    <row r="1892">
      <c r="C1892" s="41"/>
      <c r="D1892" s="142"/>
      <c r="E1892" s="130"/>
      <c r="F1892" s="128"/>
      <c r="G1892" s="128"/>
      <c r="H1892" s="128"/>
      <c r="I1892" s="128"/>
      <c r="J1892" s="81"/>
      <c r="K1892" s="81"/>
      <c r="L1892" s="81"/>
      <c r="M1892" s="81"/>
      <c r="N1892" s="82"/>
    </row>
    <row r="1893">
      <c r="C1893" s="41"/>
      <c r="D1893" s="141"/>
      <c r="E1893" s="118"/>
      <c r="F1893" s="126"/>
      <c r="G1893" s="126"/>
      <c r="H1893" s="126"/>
      <c r="I1893" s="126"/>
      <c r="J1893" s="76"/>
      <c r="K1893" s="76"/>
      <c r="L1893" s="76"/>
      <c r="M1893" s="76"/>
      <c r="N1893" s="114"/>
    </row>
    <row r="1894">
      <c r="C1894" s="41"/>
      <c r="D1894" s="142"/>
      <c r="E1894" s="130"/>
      <c r="F1894" s="128"/>
      <c r="G1894" s="128"/>
      <c r="H1894" s="128"/>
      <c r="I1894" s="128"/>
      <c r="J1894" s="81"/>
      <c r="K1894" s="81"/>
      <c r="L1894" s="81"/>
      <c r="M1894" s="81"/>
      <c r="N1894" s="82"/>
    </row>
    <row r="1895">
      <c r="C1895" s="41"/>
      <c r="D1895" s="141"/>
      <c r="E1895" s="118"/>
      <c r="F1895" s="126"/>
      <c r="G1895" s="126"/>
      <c r="H1895" s="126"/>
      <c r="I1895" s="126"/>
      <c r="J1895" s="76"/>
      <c r="K1895" s="76"/>
      <c r="L1895" s="76"/>
      <c r="M1895" s="76"/>
      <c r="N1895" s="114"/>
    </row>
    <row r="1896">
      <c r="C1896" s="41"/>
      <c r="D1896" s="142"/>
      <c r="E1896" s="130"/>
      <c r="F1896" s="128"/>
      <c r="G1896" s="128"/>
      <c r="H1896" s="128"/>
      <c r="I1896" s="128"/>
      <c r="J1896" s="81"/>
      <c r="K1896" s="81"/>
      <c r="L1896" s="81"/>
      <c r="M1896" s="81"/>
      <c r="N1896" s="82"/>
    </row>
    <row r="1897">
      <c r="C1897" s="41"/>
      <c r="D1897" s="141"/>
      <c r="E1897" s="118"/>
      <c r="F1897" s="126"/>
      <c r="G1897" s="126"/>
      <c r="H1897" s="126"/>
      <c r="I1897" s="126"/>
      <c r="J1897" s="76"/>
      <c r="K1897" s="76"/>
      <c r="L1897" s="76"/>
      <c r="M1897" s="76"/>
      <c r="N1897" s="114"/>
    </row>
    <row r="1898">
      <c r="C1898" s="41"/>
      <c r="D1898" s="142"/>
      <c r="E1898" s="130"/>
      <c r="F1898" s="128"/>
      <c r="G1898" s="128"/>
      <c r="H1898" s="128"/>
      <c r="I1898" s="128"/>
      <c r="J1898" s="81"/>
      <c r="K1898" s="81"/>
      <c r="L1898" s="81"/>
      <c r="M1898" s="81"/>
      <c r="N1898" s="82"/>
    </row>
    <row r="1899">
      <c r="C1899" s="41"/>
      <c r="D1899" s="141"/>
      <c r="E1899" s="118"/>
      <c r="F1899" s="126"/>
      <c r="G1899" s="126"/>
      <c r="H1899" s="126"/>
      <c r="I1899" s="126"/>
      <c r="J1899" s="76"/>
      <c r="K1899" s="76"/>
      <c r="L1899" s="76"/>
      <c r="M1899" s="76"/>
      <c r="N1899" s="114"/>
    </row>
    <row r="1900">
      <c r="C1900" s="41"/>
      <c r="D1900" s="142"/>
      <c r="E1900" s="130"/>
      <c r="F1900" s="128"/>
      <c r="G1900" s="128"/>
      <c r="H1900" s="128"/>
      <c r="I1900" s="128"/>
      <c r="J1900" s="81"/>
      <c r="K1900" s="81"/>
      <c r="L1900" s="81"/>
      <c r="M1900" s="81"/>
      <c r="N1900" s="82"/>
    </row>
    <row r="1901">
      <c r="C1901" s="41"/>
      <c r="D1901" s="141"/>
      <c r="E1901" s="118"/>
      <c r="F1901" s="126"/>
      <c r="G1901" s="126"/>
      <c r="H1901" s="126"/>
      <c r="I1901" s="126"/>
      <c r="J1901" s="76"/>
      <c r="K1901" s="76"/>
      <c r="L1901" s="76"/>
      <c r="M1901" s="76"/>
      <c r="N1901" s="114"/>
    </row>
    <row r="1902">
      <c r="C1902" s="41"/>
      <c r="D1902" s="142"/>
      <c r="E1902" s="130"/>
      <c r="F1902" s="128"/>
      <c r="G1902" s="128"/>
      <c r="H1902" s="128"/>
      <c r="I1902" s="128"/>
      <c r="J1902" s="81"/>
      <c r="K1902" s="81"/>
      <c r="L1902" s="81"/>
      <c r="M1902" s="81"/>
      <c r="N1902" s="82"/>
    </row>
    <row r="1903">
      <c r="C1903" s="41"/>
      <c r="D1903" s="141"/>
      <c r="E1903" s="118"/>
      <c r="F1903" s="126"/>
      <c r="G1903" s="126"/>
      <c r="H1903" s="126"/>
      <c r="I1903" s="126"/>
      <c r="J1903" s="76"/>
      <c r="K1903" s="76"/>
      <c r="L1903" s="76"/>
      <c r="M1903" s="76"/>
      <c r="N1903" s="114"/>
    </row>
    <row r="1904">
      <c r="C1904" s="41"/>
      <c r="D1904" s="142"/>
      <c r="E1904" s="130"/>
      <c r="F1904" s="128"/>
      <c r="G1904" s="128"/>
      <c r="H1904" s="128"/>
      <c r="I1904" s="128"/>
      <c r="J1904" s="81"/>
      <c r="K1904" s="81"/>
      <c r="L1904" s="81"/>
      <c r="M1904" s="81"/>
      <c r="N1904" s="82"/>
    </row>
    <row r="1905">
      <c r="C1905" s="41"/>
      <c r="D1905" s="141"/>
      <c r="E1905" s="118"/>
      <c r="F1905" s="126"/>
      <c r="G1905" s="126"/>
      <c r="H1905" s="126"/>
      <c r="I1905" s="126"/>
      <c r="J1905" s="76"/>
      <c r="K1905" s="76"/>
      <c r="L1905" s="76"/>
      <c r="M1905" s="76"/>
      <c r="N1905" s="114"/>
    </row>
    <row r="1906">
      <c r="C1906" s="41"/>
      <c r="D1906" s="142"/>
      <c r="E1906" s="130"/>
      <c r="F1906" s="128"/>
      <c r="G1906" s="128"/>
      <c r="H1906" s="128"/>
      <c r="I1906" s="128"/>
      <c r="J1906" s="81"/>
      <c r="K1906" s="81"/>
      <c r="L1906" s="81"/>
      <c r="M1906" s="81"/>
      <c r="N1906" s="82"/>
    </row>
    <row r="1907">
      <c r="C1907" s="41"/>
      <c r="D1907" s="141"/>
      <c r="E1907" s="118"/>
      <c r="F1907" s="126"/>
      <c r="G1907" s="126"/>
      <c r="H1907" s="126"/>
      <c r="I1907" s="126"/>
      <c r="J1907" s="76"/>
      <c r="K1907" s="76"/>
      <c r="L1907" s="76"/>
      <c r="M1907" s="76"/>
      <c r="N1907" s="114"/>
    </row>
    <row r="1908">
      <c r="C1908" s="41"/>
      <c r="D1908" s="142"/>
      <c r="E1908" s="130"/>
      <c r="F1908" s="128"/>
      <c r="G1908" s="128"/>
      <c r="H1908" s="128"/>
      <c r="I1908" s="128"/>
      <c r="J1908" s="81"/>
      <c r="K1908" s="81"/>
      <c r="L1908" s="81"/>
      <c r="M1908" s="81"/>
      <c r="N1908" s="82"/>
    </row>
    <row r="1909">
      <c r="C1909" s="41"/>
      <c r="D1909" s="141"/>
      <c r="E1909" s="118"/>
      <c r="F1909" s="126"/>
      <c r="G1909" s="126"/>
      <c r="H1909" s="126"/>
      <c r="I1909" s="126"/>
      <c r="J1909" s="76"/>
      <c r="K1909" s="76"/>
      <c r="L1909" s="76"/>
      <c r="M1909" s="76"/>
      <c r="N1909" s="114"/>
    </row>
    <row r="1910">
      <c r="C1910" s="41"/>
      <c r="D1910" s="142"/>
      <c r="E1910" s="130"/>
      <c r="F1910" s="128"/>
      <c r="G1910" s="128"/>
      <c r="H1910" s="128"/>
      <c r="I1910" s="128"/>
      <c r="J1910" s="81"/>
      <c r="K1910" s="81"/>
      <c r="L1910" s="81"/>
      <c r="M1910" s="81"/>
      <c r="N1910" s="82"/>
    </row>
    <row r="1911">
      <c r="C1911" s="41"/>
      <c r="D1911" s="141"/>
      <c r="E1911" s="118"/>
      <c r="F1911" s="126"/>
      <c r="G1911" s="126"/>
      <c r="H1911" s="126"/>
      <c r="I1911" s="126"/>
      <c r="J1911" s="76"/>
      <c r="K1911" s="76"/>
      <c r="L1911" s="76"/>
      <c r="M1911" s="76"/>
      <c r="N1911" s="114"/>
    </row>
    <row r="1912">
      <c r="C1912" s="41"/>
      <c r="D1912" s="142"/>
      <c r="E1912" s="130"/>
      <c r="F1912" s="128"/>
      <c r="G1912" s="128"/>
      <c r="H1912" s="128"/>
      <c r="I1912" s="128"/>
      <c r="J1912" s="81"/>
      <c r="K1912" s="81"/>
      <c r="L1912" s="81"/>
      <c r="M1912" s="81"/>
      <c r="N1912" s="82"/>
    </row>
    <row r="1913">
      <c r="C1913" s="41"/>
      <c r="D1913" s="141"/>
      <c r="E1913" s="118"/>
      <c r="F1913" s="126"/>
      <c r="G1913" s="126"/>
      <c r="H1913" s="126"/>
      <c r="I1913" s="126"/>
      <c r="J1913" s="76"/>
      <c r="K1913" s="76"/>
      <c r="L1913" s="76"/>
      <c r="M1913" s="76"/>
      <c r="N1913" s="114"/>
    </row>
    <row r="1914">
      <c r="C1914" s="41"/>
      <c r="D1914" s="142"/>
      <c r="E1914" s="130"/>
      <c r="F1914" s="128"/>
      <c r="G1914" s="128"/>
      <c r="H1914" s="128"/>
      <c r="I1914" s="128"/>
      <c r="J1914" s="81"/>
      <c r="K1914" s="81"/>
      <c r="L1914" s="81"/>
      <c r="M1914" s="81"/>
      <c r="N1914" s="82"/>
    </row>
    <row r="1915">
      <c r="C1915" s="41"/>
      <c r="D1915" s="141"/>
      <c r="E1915" s="118"/>
      <c r="F1915" s="126"/>
      <c r="G1915" s="126"/>
      <c r="H1915" s="126"/>
      <c r="I1915" s="126"/>
      <c r="J1915" s="76"/>
      <c r="K1915" s="76"/>
      <c r="L1915" s="76"/>
      <c r="M1915" s="76"/>
      <c r="N1915" s="114"/>
    </row>
    <row r="1916">
      <c r="C1916" s="41"/>
      <c r="D1916" s="142"/>
      <c r="E1916" s="130"/>
      <c r="F1916" s="128"/>
      <c r="G1916" s="128"/>
      <c r="H1916" s="128"/>
      <c r="I1916" s="128"/>
      <c r="J1916" s="81"/>
      <c r="K1916" s="81"/>
      <c r="L1916" s="81"/>
      <c r="M1916" s="81"/>
      <c r="N1916" s="82"/>
    </row>
    <row r="1917">
      <c r="C1917" s="41"/>
      <c r="D1917" s="141"/>
      <c r="E1917" s="118"/>
      <c r="F1917" s="126"/>
      <c r="G1917" s="126"/>
      <c r="H1917" s="126"/>
      <c r="I1917" s="126"/>
      <c r="J1917" s="76"/>
      <c r="K1917" s="76"/>
      <c r="L1917" s="76"/>
      <c r="M1917" s="76"/>
      <c r="N1917" s="114"/>
    </row>
    <row r="1918">
      <c r="C1918" s="41"/>
      <c r="D1918" s="142"/>
      <c r="E1918" s="130"/>
      <c r="F1918" s="128"/>
      <c r="G1918" s="128"/>
      <c r="H1918" s="128"/>
      <c r="I1918" s="128"/>
      <c r="J1918" s="81"/>
      <c r="K1918" s="81"/>
      <c r="L1918" s="81"/>
      <c r="M1918" s="81"/>
      <c r="N1918" s="82"/>
    </row>
    <row r="1919">
      <c r="C1919" s="41"/>
      <c r="D1919" s="141"/>
      <c r="E1919" s="118"/>
      <c r="F1919" s="126"/>
      <c r="G1919" s="126"/>
      <c r="H1919" s="126"/>
      <c r="I1919" s="126"/>
      <c r="J1919" s="76"/>
      <c r="K1919" s="76"/>
      <c r="L1919" s="76"/>
      <c r="M1919" s="76"/>
      <c r="N1919" s="114"/>
    </row>
    <row r="1920">
      <c r="C1920" s="41"/>
      <c r="D1920" s="142"/>
      <c r="E1920" s="130"/>
      <c r="F1920" s="128"/>
      <c r="G1920" s="128"/>
      <c r="H1920" s="128"/>
      <c r="I1920" s="128"/>
      <c r="J1920" s="81"/>
      <c r="K1920" s="81"/>
      <c r="L1920" s="81"/>
      <c r="M1920" s="81"/>
      <c r="N1920" s="82"/>
    </row>
    <row r="1921">
      <c r="C1921" s="41"/>
      <c r="D1921" s="141"/>
      <c r="E1921" s="118"/>
      <c r="F1921" s="126"/>
      <c r="G1921" s="126"/>
      <c r="H1921" s="126"/>
      <c r="I1921" s="126"/>
      <c r="J1921" s="76"/>
      <c r="K1921" s="76"/>
      <c r="L1921" s="76"/>
      <c r="M1921" s="76"/>
      <c r="N1921" s="114"/>
    </row>
    <row r="1922">
      <c r="C1922" s="41"/>
      <c r="D1922" s="142"/>
      <c r="E1922" s="130"/>
      <c r="F1922" s="128"/>
      <c r="G1922" s="128"/>
      <c r="H1922" s="128"/>
      <c r="I1922" s="128"/>
      <c r="J1922" s="81"/>
      <c r="K1922" s="81"/>
      <c r="L1922" s="81"/>
      <c r="M1922" s="81"/>
      <c r="N1922" s="82"/>
    </row>
    <row r="1923">
      <c r="C1923" s="41"/>
      <c r="D1923" s="141"/>
      <c r="E1923" s="118"/>
      <c r="F1923" s="126"/>
      <c r="G1923" s="126"/>
      <c r="H1923" s="126"/>
      <c r="I1923" s="126"/>
      <c r="J1923" s="76"/>
      <c r="K1923" s="76"/>
      <c r="L1923" s="76"/>
      <c r="M1923" s="76"/>
      <c r="N1923" s="114"/>
    </row>
    <row r="1924">
      <c r="C1924" s="41"/>
      <c r="D1924" s="142"/>
      <c r="E1924" s="130"/>
      <c r="F1924" s="128"/>
      <c r="G1924" s="128"/>
      <c r="H1924" s="128"/>
      <c r="I1924" s="128"/>
      <c r="J1924" s="81"/>
      <c r="K1924" s="81"/>
      <c r="L1924" s="81"/>
      <c r="M1924" s="81"/>
      <c r="N1924" s="82"/>
    </row>
    <row r="1925">
      <c r="C1925" s="41"/>
      <c r="D1925" s="141"/>
      <c r="E1925" s="118"/>
      <c r="F1925" s="126"/>
      <c r="G1925" s="126"/>
      <c r="H1925" s="126"/>
      <c r="I1925" s="126"/>
      <c r="J1925" s="76"/>
      <c r="K1925" s="76"/>
      <c r="L1925" s="76"/>
      <c r="M1925" s="76"/>
      <c r="N1925" s="114"/>
    </row>
    <row r="1926">
      <c r="C1926" s="41"/>
      <c r="D1926" s="142"/>
      <c r="E1926" s="130"/>
      <c r="F1926" s="128"/>
      <c r="G1926" s="128"/>
      <c r="H1926" s="128"/>
      <c r="I1926" s="128"/>
      <c r="J1926" s="81"/>
      <c r="K1926" s="81"/>
      <c r="L1926" s="81"/>
      <c r="M1926" s="81"/>
      <c r="N1926" s="82"/>
    </row>
    <row r="1927">
      <c r="C1927" s="41"/>
      <c r="D1927" s="141"/>
      <c r="E1927" s="118"/>
      <c r="F1927" s="126"/>
      <c r="G1927" s="126"/>
      <c r="H1927" s="126"/>
      <c r="I1927" s="126"/>
      <c r="J1927" s="76"/>
      <c r="K1927" s="76"/>
      <c r="L1927" s="76"/>
      <c r="M1927" s="76"/>
      <c r="N1927" s="114"/>
    </row>
    <row r="1928">
      <c r="C1928" s="41"/>
      <c r="D1928" s="142"/>
      <c r="E1928" s="130"/>
      <c r="F1928" s="128"/>
      <c r="G1928" s="128"/>
      <c r="H1928" s="128"/>
      <c r="I1928" s="128"/>
      <c r="J1928" s="81"/>
      <c r="K1928" s="81"/>
      <c r="L1928" s="81"/>
      <c r="M1928" s="81"/>
      <c r="N1928" s="82"/>
    </row>
    <row r="1929">
      <c r="C1929" s="41"/>
      <c r="D1929" s="141"/>
      <c r="E1929" s="118"/>
      <c r="F1929" s="126"/>
      <c r="G1929" s="126"/>
      <c r="H1929" s="126"/>
      <c r="I1929" s="126"/>
      <c r="J1929" s="76"/>
      <c r="K1929" s="76"/>
      <c r="L1929" s="76"/>
      <c r="M1929" s="76"/>
      <c r="N1929" s="114"/>
    </row>
    <row r="1930">
      <c r="C1930" s="41"/>
      <c r="D1930" s="142"/>
      <c r="E1930" s="130"/>
      <c r="F1930" s="128"/>
      <c r="G1930" s="128"/>
      <c r="H1930" s="128"/>
      <c r="I1930" s="128"/>
      <c r="J1930" s="81"/>
      <c r="K1930" s="81"/>
      <c r="L1930" s="81"/>
      <c r="M1930" s="81"/>
      <c r="N1930" s="82"/>
    </row>
    <row r="1931">
      <c r="C1931" s="41"/>
      <c r="D1931" s="141"/>
      <c r="E1931" s="118"/>
      <c r="F1931" s="126"/>
      <c r="G1931" s="126"/>
      <c r="H1931" s="126"/>
      <c r="I1931" s="126"/>
      <c r="J1931" s="76"/>
      <c r="K1931" s="76"/>
      <c r="L1931" s="76"/>
      <c r="M1931" s="76"/>
      <c r="N1931" s="114"/>
    </row>
    <row r="1932">
      <c r="C1932" s="41"/>
      <c r="D1932" s="142"/>
      <c r="E1932" s="130"/>
      <c r="F1932" s="128"/>
      <c r="G1932" s="128"/>
      <c r="H1932" s="128"/>
      <c r="I1932" s="128"/>
      <c r="J1932" s="81"/>
      <c r="K1932" s="81"/>
      <c r="L1932" s="81"/>
      <c r="M1932" s="81"/>
      <c r="N1932" s="82"/>
    </row>
    <row r="1933">
      <c r="C1933" s="41"/>
      <c r="D1933" s="141"/>
      <c r="E1933" s="118"/>
      <c r="F1933" s="126"/>
      <c r="G1933" s="126"/>
      <c r="H1933" s="126"/>
      <c r="I1933" s="126"/>
      <c r="J1933" s="76"/>
      <c r="K1933" s="76"/>
      <c r="L1933" s="76"/>
      <c r="M1933" s="76"/>
      <c r="N1933" s="114"/>
    </row>
    <row r="1934">
      <c r="C1934" s="41"/>
      <c r="D1934" s="142"/>
      <c r="E1934" s="130"/>
      <c r="F1934" s="128"/>
      <c r="G1934" s="128"/>
      <c r="H1934" s="128"/>
      <c r="I1934" s="128"/>
      <c r="J1934" s="81"/>
      <c r="K1934" s="81"/>
      <c r="L1934" s="81"/>
      <c r="M1934" s="81"/>
      <c r="N1934" s="82"/>
    </row>
    <row r="1935">
      <c r="C1935" s="41"/>
      <c r="D1935" s="141"/>
      <c r="E1935" s="118"/>
      <c r="F1935" s="126"/>
      <c r="G1935" s="126"/>
      <c r="H1935" s="126"/>
      <c r="I1935" s="126"/>
      <c r="J1935" s="76"/>
      <c r="K1935" s="76"/>
      <c r="L1935" s="76"/>
      <c r="M1935" s="76"/>
      <c r="N1935" s="114"/>
    </row>
    <row r="1936">
      <c r="C1936" s="41"/>
      <c r="D1936" s="142"/>
      <c r="E1936" s="130"/>
      <c r="F1936" s="128"/>
      <c r="G1936" s="128"/>
      <c r="H1936" s="128"/>
      <c r="I1936" s="128"/>
      <c r="J1936" s="81"/>
      <c r="K1936" s="81"/>
      <c r="L1936" s="81"/>
      <c r="M1936" s="81"/>
      <c r="N1936" s="82"/>
    </row>
    <row r="1937">
      <c r="C1937" s="41"/>
      <c r="D1937" s="141"/>
      <c r="E1937" s="118"/>
      <c r="F1937" s="126"/>
      <c r="G1937" s="126"/>
      <c r="H1937" s="126"/>
      <c r="I1937" s="126"/>
      <c r="J1937" s="76"/>
      <c r="K1937" s="76"/>
      <c r="L1937" s="76"/>
      <c r="M1937" s="76"/>
      <c r="N1937" s="114"/>
    </row>
    <row r="1938">
      <c r="C1938" s="41"/>
      <c r="D1938" s="142"/>
      <c r="E1938" s="130"/>
      <c r="F1938" s="128"/>
      <c r="G1938" s="128"/>
      <c r="H1938" s="128"/>
      <c r="I1938" s="128"/>
      <c r="J1938" s="81"/>
      <c r="K1938" s="81"/>
      <c r="L1938" s="81"/>
      <c r="M1938" s="81"/>
      <c r="N1938" s="82"/>
    </row>
    <row r="1939">
      <c r="C1939" s="41"/>
      <c r="D1939" s="141"/>
      <c r="E1939" s="118"/>
      <c r="F1939" s="126"/>
      <c r="G1939" s="126"/>
      <c r="H1939" s="126"/>
      <c r="I1939" s="126"/>
      <c r="J1939" s="76"/>
      <c r="K1939" s="76"/>
      <c r="L1939" s="76"/>
      <c r="M1939" s="76"/>
      <c r="N1939" s="114"/>
    </row>
    <row r="1940">
      <c r="C1940" s="41"/>
      <c r="D1940" s="142"/>
      <c r="E1940" s="130"/>
      <c r="F1940" s="128"/>
      <c r="G1940" s="128"/>
      <c r="H1940" s="128"/>
      <c r="I1940" s="128"/>
      <c r="J1940" s="81"/>
      <c r="K1940" s="81"/>
      <c r="L1940" s="81"/>
      <c r="M1940" s="81"/>
      <c r="N1940" s="82"/>
    </row>
    <row r="1941">
      <c r="C1941" s="41"/>
      <c r="D1941" s="141"/>
      <c r="E1941" s="118"/>
      <c r="F1941" s="126"/>
      <c r="G1941" s="126"/>
      <c r="H1941" s="126"/>
      <c r="I1941" s="126"/>
      <c r="J1941" s="76"/>
      <c r="K1941" s="76"/>
      <c r="L1941" s="76"/>
      <c r="M1941" s="76"/>
      <c r="N1941" s="114"/>
    </row>
    <row r="1942">
      <c r="C1942" s="41"/>
      <c r="D1942" s="142"/>
      <c r="E1942" s="130"/>
      <c r="F1942" s="128"/>
      <c r="G1942" s="128"/>
      <c r="H1942" s="128"/>
      <c r="I1942" s="128"/>
      <c r="J1942" s="81"/>
      <c r="K1942" s="81"/>
      <c r="L1942" s="81"/>
      <c r="M1942" s="81"/>
      <c r="N1942" s="82"/>
    </row>
    <row r="1943">
      <c r="C1943" s="41"/>
      <c r="D1943" s="141"/>
      <c r="E1943" s="118"/>
      <c r="F1943" s="126"/>
      <c r="G1943" s="126"/>
      <c r="H1943" s="126"/>
      <c r="I1943" s="126"/>
      <c r="J1943" s="76"/>
      <c r="K1943" s="76"/>
      <c r="L1943" s="76"/>
      <c r="M1943" s="76"/>
      <c r="N1943" s="114"/>
    </row>
    <row r="1944">
      <c r="C1944" s="41"/>
      <c r="D1944" s="142"/>
      <c r="E1944" s="130"/>
      <c r="F1944" s="128"/>
      <c r="G1944" s="128"/>
      <c r="H1944" s="128"/>
      <c r="I1944" s="128"/>
      <c r="J1944" s="81"/>
      <c r="K1944" s="81"/>
      <c r="L1944" s="81"/>
      <c r="M1944" s="81"/>
      <c r="N1944" s="82"/>
    </row>
    <row r="1945">
      <c r="C1945" s="41"/>
      <c r="D1945" s="141"/>
      <c r="E1945" s="118"/>
      <c r="F1945" s="126"/>
      <c r="G1945" s="126"/>
      <c r="H1945" s="126"/>
      <c r="I1945" s="126"/>
      <c r="J1945" s="76"/>
      <c r="K1945" s="76"/>
      <c r="L1945" s="76"/>
      <c r="M1945" s="76"/>
      <c r="N1945" s="114"/>
    </row>
    <row r="1946">
      <c r="C1946" s="41"/>
      <c r="D1946" s="142"/>
      <c r="E1946" s="130"/>
      <c r="F1946" s="128"/>
      <c r="G1946" s="128"/>
      <c r="H1946" s="128"/>
      <c r="I1946" s="128"/>
      <c r="J1946" s="81"/>
      <c r="K1946" s="81"/>
      <c r="L1946" s="81"/>
      <c r="M1946" s="81"/>
      <c r="N1946" s="82"/>
    </row>
    <row r="1947">
      <c r="C1947" s="41"/>
      <c r="D1947" s="141"/>
      <c r="E1947" s="118"/>
      <c r="F1947" s="126"/>
      <c r="G1947" s="126"/>
      <c r="H1947" s="126"/>
      <c r="I1947" s="126"/>
      <c r="J1947" s="76"/>
      <c r="K1947" s="76"/>
      <c r="L1947" s="76"/>
      <c r="M1947" s="76"/>
      <c r="N1947" s="114"/>
    </row>
    <row r="1948">
      <c r="C1948" s="41"/>
      <c r="D1948" s="142"/>
      <c r="E1948" s="130"/>
      <c r="F1948" s="128"/>
      <c r="G1948" s="128"/>
      <c r="H1948" s="128"/>
      <c r="I1948" s="128"/>
      <c r="J1948" s="81"/>
      <c r="K1948" s="81"/>
      <c r="L1948" s="81"/>
      <c r="M1948" s="81"/>
      <c r="N1948" s="82"/>
    </row>
    <row r="1949">
      <c r="C1949" s="41"/>
      <c r="D1949" s="141"/>
      <c r="E1949" s="118"/>
      <c r="F1949" s="126"/>
      <c r="G1949" s="126"/>
      <c r="H1949" s="126"/>
      <c r="I1949" s="126"/>
      <c r="J1949" s="76"/>
      <c r="K1949" s="76"/>
      <c r="L1949" s="76"/>
      <c r="M1949" s="76"/>
      <c r="N1949" s="114"/>
    </row>
    <row r="1950">
      <c r="C1950" s="41"/>
      <c r="D1950" s="142"/>
      <c r="E1950" s="130"/>
      <c r="F1950" s="128"/>
      <c r="G1950" s="128"/>
      <c r="H1950" s="128"/>
      <c r="I1950" s="128"/>
      <c r="J1950" s="81"/>
      <c r="K1950" s="81"/>
      <c r="L1950" s="81"/>
      <c r="M1950" s="81"/>
      <c r="N1950" s="82"/>
    </row>
    <row r="1951">
      <c r="C1951" s="41"/>
      <c r="D1951" s="141"/>
      <c r="E1951" s="118"/>
      <c r="F1951" s="126"/>
      <c r="G1951" s="126"/>
      <c r="H1951" s="126"/>
      <c r="I1951" s="126"/>
      <c r="J1951" s="76"/>
      <c r="K1951" s="76"/>
      <c r="L1951" s="76"/>
      <c r="M1951" s="76"/>
      <c r="N1951" s="114"/>
    </row>
    <row r="1952">
      <c r="C1952" s="41"/>
      <c r="D1952" s="142"/>
      <c r="E1952" s="130"/>
      <c r="F1952" s="128"/>
      <c r="G1952" s="128"/>
      <c r="H1952" s="128"/>
      <c r="I1952" s="128"/>
      <c r="J1952" s="81"/>
      <c r="K1952" s="81"/>
      <c r="L1952" s="81"/>
      <c r="M1952" s="81"/>
      <c r="N1952" s="82"/>
    </row>
    <row r="1953">
      <c r="C1953" s="41"/>
      <c r="D1953" s="141"/>
      <c r="E1953" s="118"/>
      <c r="F1953" s="126"/>
      <c r="G1953" s="126"/>
      <c r="H1953" s="126"/>
      <c r="I1953" s="126"/>
      <c r="J1953" s="76"/>
      <c r="K1953" s="76"/>
      <c r="L1953" s="76"/>
      <c r="M1953" s="76"/>
      <c r="N1953" s="114"/>
    </row>
    <row r="1954">
      <c r="C1954" s="41"/>
      <c r="D1954" s="142"/>
      <c r="E1954" s="130"/>
      <c r="F1954" s="128"/>
      <c r="G1954" s="128"/>
      <c r="H1954" s="128"/>
      <c r="I1954" s="128"/>
      <c r="J1954" s="81"/>
      <c r="K1954" s="81"/>
      <c r="L1954" s="81"/>
      <c r="M1954" s="81"/>
      <c r="N1954" s="82"/>
    </row>
    <row r="1955">
      <c r="C1955" s="41"/>
      <c r="D1955" s="141"/>
      <c r="E1955" s="118"/>
      <c r="F1955" s="126"/>
      <c r="G1955" s="126"/>
      <c r="H1955" s="126"/>
      <c r="I1955" s="126"/>
      <c r="J1955" s="76"/>
      <c r="K1955" s="76"/>
      <c r="L1955" s="76"/>
      <c r="M1955" s="76"/>
      <c r="N1955" s="114"/>
    </row>
    <row r="1956">
      <c r="C1956" s="41"/>
      <c r="D1956" s="142"/>
      <c r="E1956" s="130"/>
      <c r="F1956" s="128"/>
      <c r="G1956" s="128"/>
      <c r="H1956" s="128"/>
      <c r="I1956" s="128"/>
      <c r="J1956" s="81"/>
      <c r="K1956" s="81"/>
      <c r="L1956" s="81"/>
      <c r="M1956" s="81"/>
      <c r="N1956" s="82"/>
    </row>
    <row r="1957">
      <c r="C1957" s="41"/>
      <c r="D1957" s="141"/>
      <c r="E1957" s="118"/>
      <c r="F1957" s="126"/>
      <c r="G1957" s="126"/>
      <c r="H1957" s="126"/>
      <c r="I1957" s="126"/>
      <c r="J1957" s="76"/>
      <c r="K1957" s="76"/>
      <c r="L1957" s="76"/>
      <c r="M1957" s="76"/>
      <c r="N1957" s="114"/>
    </row>
    <row r="1958">
      <c r="C1958" s="41"/>
      <c r="D1958" s="142"/>
      <c r="E1958" s="130"/>
      <c r="F1958" s="128"/>
      <c r="G1958" s="128"/>
      <c r="H1958" s="128"/>
      <c r="I1958" s="128"/>
      <c r="J1958" s="81"/>
      <c r="K1958" s="81"/>
      <c r="L1958" s="81"/>
      <c r="M1958" s="81"/>
      <c r="N1958" s="82"/>
    </row>
    <row r="1959">
      <c r="C1959" s="41"/>
      <c r="D1959" s="141"/>
      <c r="E1959" s="118"/>
      <c r="F1959" s="126"/>
      <c r="G1959" s="126"/>
      <c r="H1959" s="126"/>
      <c r="I1959" s="126"/>
      <c r="J1959" s="76"/>
      <c r="K1959" s="76"/>
      <c r="L1959" s="76"/>
      <c r="M1959" s="76"/>
      <c r="N1959" s="114"/>
    </row>
    <row r="1960">
      <c r="C1960" s="41"/>
      <c r="D1960" s="142"/>
      <c r="E1960" s="130"/>
      <c r="F1960" s="128"/>
      <c r="G1960" s="128"/>
      <c r="H1960" s="128"/>
      <c r="I1960" s="128"/>
      <c r="J1960" s="81"/>
      <c r="K1960" s="81"/>
      <c r="L1960" s="81"/>
      <c r="M1960" s="81"/>
      <c r="N1960" s="82"/>
    </row>
    <row r="1961">
      <c r="C1961" s="41"/>
      <c r="D1961" s="141"/>
      <c r="E1961" s="118"/>
      <c r="F1961" s="126"/>
      <c r="G1961" s="126"/>
      <c r="H1961" s="126"/>
      <c r="I1961" s="126"/>
      <c r="J1961" s="76"/>
      <c r="K1961" s="76"/>
      <c r="L1961" s="76"/>
      <c r="M1961" s="76"/>
      <c r="N1961" s="114"/>
    </row>
    <row r="1962">
      <c r="C1962" s="41"/>
      <c r="D1962" s="142"/>
      <c r="E1962" s="130"/>
      <c r="F1962" s="128"/>
      <c r="G1962" s="128"/>
      <c r="H1962" s="128"/>
      <c r="I1962" s="128"/>
      <c r="J1962" s="81"/>
      <c r="K1962" s="81"/>
      <c r="L1962" s="81"/>
      <c r="M1962" s="81"/>
      <c r="N1962" s="82"/>
    </row>
    <row r="1963">
      <c r="C1963" s="41"/>
      <c r="D1963" s="141"/>
      <c r="E1963" s="118"/>
      <c r="F1963" s="126"/>
      <c r="G1963" s="126"/>
      <c r="H1963" s="126"/>
      <c r="I1963" s="126"/>
      <c r="J1963" s="76"/>
      <c r="K1963" s="76"/>
      <c r="L1963" s="76"/>
      <c r="M1963" s="76"/>
      <c r="N1963" s="114"/>
    </row>
    <row r="1964">
      <c r="C1964" s="41"/>
      <c r="D1964" s="142"/>
      <c r="E1964" s="130"/>
      <c r="F1964" s="128"/>
      <c r="G1964" s="128"/>
      <c r="H1964" s="128"/>
      <c r="I1964" s="128"/>
      <c r="J1964" s="81"/>
      <c r="K1964" s="81"/>
      <c r="L1964" s="81"/>
      <c r="M1964" s="81"/>
      <c r="N1964" s="82"/>
    </row>
    <row r="1965">
      <c r="C1965" s="41"/>
      <c r="D1965" s="141"/>
      <c r="E1965" s="118"/>
      <c r="F1965" s="126"/>
      <c r="G1965" s="126"/>
      <c r="H1965" s="126"/>
      <c r="I1965" s="126"/>
      <c r="J1965" s="76"/>
      <c r="K1965" s="76"/>
      <c r="L1965" s="76"/>
      <c r="M1965" s="76"/>
      <c r="N1965" s="114"/>
    </row>
    <row r="1966">
      <c r="C1966" s="41"/>
      <c r="D1966" s="142"/>
      <c r="E1966" s="130"/>
      <c r="F1966" s="128"/>
      <c r="G1966" s="128"/>
      <c r="H1966" s="128"/>
      <c r="I1966" s="128"/>
      <c r="J1966" s="81"/>
      <c r="K1966" s="81"/>
      <c r="L1966" s="81"/>
      <c r="M1966" s="81"/>
      <c r="N1966" s="82"/>
    </row>
    <row r="1967">
      <c r="C1967" s="41"/>
      <c r="D1967" s="141"/>
      <c r="E1967" s="118"/>
      <c r="F1967" s="126"/>
      <c r="G1967" s="126"/>
      <c r="H1967" s="126"/>
      <c r="I1967" s="126"/>
      <c r="J1967" s="76"/>
      <c r="K1967" s="76"/>
      <c r="L1967" s="76"/>
      <c r="M1967" s="76"/>
      <c r="N1967" s="114"/>
    </row>
    <row r="1968">
      <c r="C1968" s="41"/>
      <c r="D1968" s="142"/>
      <c r="E1968" s="130"/>
      <c r="F1968" s="128"/>
      <c r="G1968" s="128"/>
      <c r="H1968" s="128"/>
      <c r="I1968" s="128"/>
      <c r="J1968" s="81"/>
      <c r="K1968" s="81"/>
      <c r="L1968" s="81"/>
      <c r="M1968" s="81"/>
      <c r="N1968" s="82"/>
    </row>
    <row r="1969">
      <c r="C1969" s="41"/>
      <c r="D1969" s="141"/>
      <c r="E1969" s="118"/>
      <c r="F1969" s="126"/>
      <c r="G1969" s="126"/>
      <c r="H1969" s="126"/>
      <c r="I1969" s="126"/>
      <c r="J1969" s="76"/>
      <c r="K1969" s="76"/>
      <c r="L1969" s="76"/>
      <c r="M1969" s="76"/>
      <c r="N1969" s="114"/>
    </row>
    <row r="1970">
      <c r="C1970" s="41"/>
      <c r="D1970" s="142"/>
      <c r="E1970" s="130"/>
      <c r="F1970" s="128"/>
      <c r="G1970" s="128"/>
      <c r="H1970" s="128"/>
      <c r="I1970" s="128"/>
      <c r="J1970" s="81"/>
      <c r="K1970" s="81"/>
      <c r="L1970" s="81"/>
      <c r="M1970" s="81"/>
      <c r="N1970" s="82"/>
    </row>
    <row r="1971">
      <c r="C1971" s="41"/>
      <c r="D1971" s="141"/>
      <c r="E1971" s="118"/>
      <c r="F1971" s="126"/>
      <c r="G1971" s="126"/>
      <c r="H1971" s="126"/>
      <c r="I1971" s="126"/>
      <c r="J1971" s="76"/>
      <c r="K1971" s="76"/>
      <c r="L1971" s="76"/>
      <c r="M1971" s="76"/>
      <c r="N1971" s="114"/>
    </row>
    <row r="1972">
      <c r="C1972" s="41"/>
      <c r="D1972" s="142"/>
      <c r="E1972" s="130"/>
      <c r="F1972" s="128"/>
      <c r="G1972" s="128"/>
      <c r="H1972" s="128"/>
      <c r="I1972" s="128"/>
      <c r="J1972" s="81"/>
      <c r="K1972" s="81"/>
      <c r="L1972" s="81"/>
      <c r="M1972" s="81"/>
      <c r="N1972" s="82"/>
    </row>
    <row r="1973">
      <c r="C1973" s="41"/>
      <c r="D1973" s="141"/>
      <c r="E1973" s="118"/>
      <c r="F1973" s="126"/>
      <c r="G1973" s="126"/>
      <c r="H1973" s="126"/>
      <c r="I1973" s="126"/>
      <c r="J1973" s="76"/>
      <c r="K1973" s="76"/>
      <c r="L1973" s="76"/>
      <c r="M1973" s="76"/>
      <c r="N1973" s="114"/>
    </row>
    <row r="1974">
      <c r="C1974" s="41"/>
      <c r="D1974" s="142"/>
      <c r="E1974" s="130"/>
      <c r="F1974" s="128"/>
      <c r="G1974" s="128"/>
      <c r="H1974" s="128"/>
      <c r="I1974" s="128"/>
      <c r="J1974" s="81"/>
      <c r="K1974" s="81"/>
      <c r="L1974" s="81"/>
      <c r="M1974" s="81"/>
      <c r="N1974" s="82"/>
    </row>
    <row r="1975">
      <c r="C1975" s="41"/>
      <c r="D1975" s="141"/>
      <c r="E1975" s="118"/>
      <c r="F1975" s="126"/>
      <c r="G1975" s="126"/>
      <c r="H1975" s="126"/>
      <c r="I1975" s="126"/>
      <c r="J1975" s="76"/>
      <c r="K1975" s="76"/>
      <c r="L1975" s="76"/>
      <c r="M1975" s="76"/>
      <c r="N1975" s="114"/>
    </row>
    <row r="1976">
      <c r="C1976" s="41"/>
      <c r="D1976" s="142"/>
      <c r="E1976" s="130"/>
      <c r="F1976" s="128"/>
      <c r="G1976" s="128"/>
      <c r="H1976" s="128"/>
      <c r="I1976" s="128"/>
      <c r="J1976" s="81"/>
      <c r="K1976" s="81"/>
      <c r="L1976" s="81"/>
      <c r="M1976" s="81"/>
      <c r="N1976" s="82"/>
    </row>
    <row r="1977">
      <c r="C1977" s="41"/>
      <c r="D1977" s="141"/>
      <c r="E1977" s="118"/>
      <c r="F1977" s="126"/>
      <c r="G1977" s="126"/>
      <c r="H1977" s="126"/>
      <c r="I1977" s="126"/>
      <c r="J1977" s="76"/>
      <c r="K1977" s="76"/>
      <c r="L1977" s="76"/>
      <c r="M1977" s="76"/>
      <c r="N1977" s="114"/>
    </row>
    <row r="1978">
      <c r="C1978" s="41"/>
      <c r="D1978" s="142"/>
      <c r="E1978" s="130"/>
      <c r="F1978" s="128"/>
      <c r="G1978" s="128"/>
      <c r="H1978" s="128"/>
      <c r="I1978" s="128"/>
      <c r="J1978" s="81"/>
      <c r="K1978" s="81"/>
      <c r="L1978" s="81"/>
      <c r="M1978" s="81"/>
      <c r="N1978" s="82"/>
    </row>
    <row r="1979">
      <c r="C1979" s="41"/>
      <c r="D1979" s="141"/>
      <c r="E1979" s="118"/>
      <c r="F1979" s="126"/>
      <c r="G1979" s="126"/>
      <c r="H1979" s="126"/>
      <c r="I1979" s="126"/>
      <c r="J1979" s="76"/>
      <c r="K1979" s="76"/>
      <c r="L1979" s="76"/>
      <c r="M1979" s="76"/>
      <c r="N1979" s="114"/>
    </row>
    <row r="1980">
      <c r="C1980" s="41"/>
      <c r="D1980" s="142"/>
      <c r="E1980" s="130"/>
      <c r="F1980" s="128"/>
      <c r="G1980" s="128"/>
      <c r="H1980" s="128"/>
      <c r="I1980" s="128"/>
      <c r="J1980" s="81"/>
      <c r="K1980" s="81"/>
      <c r="L1980" s="81"/>
      <c r="M1980" s="81"/>
      <c r="N1980" s="82"/>
    </row>
    <row r="1981">
      <c r="C1981" s="41"/>
      <c r="D1981" s="141"/>
      <c r="E1981" s="118"/>
      <c r="F1981" s="126"/>
      <c r="G1981" s="126"/>
      <c r="H1981" s="126"/>
      <c r="I1981" s="126"/>
      <c r="J1981" s="76"/>
      <c r="K1981" s="76"/>
      <c r="L1981" s="76"/>
      <c r="M1981" s="76"/>
      <c r="N1981" s="114"/>
    </row>
    <row r="1982">
      <c r="C1982" s="41"/>
      <c r="D1982" s="142"/>
      <c r="E1982" s="130"/>
      <c r="F1982" s="128"/>
      <c r="G1982" s="128"/>
      <c r="H1982" s="128"/>
      <c r="I1982" s="128"/>
      <c r="J1982" s="81"/>
      <c r="K1982" s="81"/>
      <c r="L1982" s="81"/>
      <c r="M1982" s="81"/>
      <c r="N1982" s="82"/>
    </row>
    <row r="1983">
      <c r="C1983" s="41"/>
      <c r="D1983" s="141"/>
      <c r="E1983" s="118"/>
      <c r="F1983" s="126"/>
      <c r="G1983" s="126"/>
      <c r="H1983" s="126"/>
      <c r="I1983" s="126"/>
      <c r="J1983" s="76"/>
      <c r="K1983" s="76"/>
      <c r="L1983" s="76"/>
      <c r="M1983" s="76"/>
      <c r="N1983" s="114"/>
    </row>
    <row r="1984">
      <c r="C1984" s="41"/>
      <c r="D1984" s="142"/>
      <c r="E1984" s="130"/>
      <c r="F1984" s="128"/>
      <c r="G1984" s="128"/>
      <c r="H1984" s="128"/>
      <c r="I1984" s="128"/>
      <c r="J1984" s="81"/>
      <c r="K1984" s="81"/>
      <c r="L1984" s="81"/>
      <c r="M1984" s="81"/>
      <c r="N1984" s="82"/>
    </row>
    <row r="1985">
      <c r="C1985" s="41"/>
      <c r="D1985" s="141"/>
      <c r="E1985" s="118"/>
      <c r="F1985" s="126"/>
      <c r="G1985" s="126"/>
      <c r="H1985" s="126"/>
      <c r="I1985" s="126"/>
      <c r="J1985" s="76"/>
      <c r="K1985" s="76"/>
      <c r="L1985" s="76"/>
      <c r="M1985" s="76"/>
      <c r="N1985" s="114"/>
    </row>
    <row r="1986">
      <c r="C1986" s="41"/>
      <c r="D1986" s="142"/>
      <c r="E1986" s="130"/>
      <c r="F1986" s="128"/>
      <c r="G1986" s="128"/>
      <c r="H1986" s="128"/>
      <c r="I1986" s="128"/>
      <c r="J1986" s="81"/>
      <c r="K1986" s="81"/>
      <c r="L1986" s="81"/>
      <c r="M1986" s="81"/>
      <c r="N1986" s="82"/>
    </row>
    <row r="1987">
      <c r="C1987" s="41"/>
      <c r="D1987" s="141"/>
      <c r="E1987" s="118"/>
      <c r="F1987" s="126"/>
      <c r="G1987" s="126"/>
      <c r="H1987" s="126"/>
      <c r="I1987" s="126"/>
      <c r="J1987" s="76"/>
      <c r="K1987" s="76"/>
      <c r="L1987" s="76"/>
      <c r="M1987" s="76"/>
      <c r="N1987" s="114"/>
    </row>
    <row r="1988">
      <c r="C1988" s="41"/>
      <c r="D1988" s="142"/>
      <c r="E1988" s="130"/>
      <c r="F1988" s="128"/>
      <c r="G1988" s="128"/>
      <c r="H1988" s="128"/>
      <c r="I1988" s="128"/>
      <c r="J1988" s="81"/>
      <c r="K1988" s="81"/>
      <c r="L1988" s="81"/>
      <c r="M1988" s="81"/>
      <c r="N1988" s="82"/>
    </row>
    <row r="1989">
      <c r="C1989" s="41"/>
      <c r="D1989" s="141"/>
      <c r="E1989" s="118"/>
      <c r="F1989" s="126"/>
      <c r="G1989" s="126"/>
      <c r="H1989" s="126"/>
      <c r="I1989" s="126"/>
      <c r="J1989" s="76"/>
      <c r="K1989" s="76"/>
      <c r="L1989" s="76"/>
      <c r="M1989" s="76"/>
      <c r="N1989" s="114"/>
    </row>
    <row r="1990">
      <c r="C1990" s="41"/>
      <c r="D1990" s="142"/>
      <c r="E1990" s="130"/>
      <c r="F1990" s="128"/>
      <c r="G1990" s="128"/>
      <c r="H1990" s="128"/>
      <c r="I1990" s="128"/>
      <c r="J1990" s="81"/>
      <c r="K1990" s="81"/>
      <c r="L1990" s="81"/>
      <c r="M1990" s="81"/>
      <c r="N1990" s="82"/>
    </row>
    <row r="1991">
      <c r="C1991" s="41"/>
      <c r="D1991" s="141"/>
      <c r="E1991" s="118"/>
      <c r="F1991" s="126"/>
      <c r="G1991" s="126"/>
      <c r="H1991" s="126"/>
      <c r="I1991" s="126"/>
      <c r="J1991" s="76"/>
      <c r="K1991" s="76"/>
      <c r="L1991" s="76"/>
      <c r="M1991" s="76"/>
      <c r="N1991" s="114"/>
    </row>
    <row r="1992">
      <c r="C1992" s="41"/>
      <c r="D1992" s="142"/>
      <c r="E1992" s="130"/>
      <c r="F1992" s="128"/>
      <c r="G1992" s="128"/>
      <c r="H1992" s="128"/>
      <c r="I1992" s="128"/>
      <c r="J1992" s="81"/>
      <c r="K1992" s="81"/>
      <c r="L1992" s="81"/>
      <c r="M1992" s="81"/>
      <c r="N1992" s="82"/>
    </row>
    <row r="1993">
      <c r="C1993" s="41"/>
      <c r="D1993" s="141"/>
      <c r="E1993" s="118"/>
      <c r="F1993" s="126"/>
      <c r="G1993" s="126"/>
      <c r="H1993" s="126"/>
      <c r="I1993" s="126"/>
      <c r="J1993" s="76"/>
      <c r="K1993" s="76"/>
      <c r="L1993" s="76"/>
      <c r="M1993" s="76"/>
      <c r="N1993" s="114"/>
    </row>
    <row r="1994">
      <c r="C1994" s="41"/>
      <c r="D1994" s="142"/>
      <c r="E1994" s="130"/>
      <c r="F1994" s="128"/>
      <c r="G1994" s="128"/>
      <c r="H1994" s="128"/>
      <c r="I1994" s="128"/>
      <c r="J1994" s="81"/>
      <c r="K1994" s="81"/>
      <c r="L1994" s="81"/>
      <c r="M1994" s="81"/>
      <c r="N1994" s="82"/>
    </row>
    <row r="1995">
      <c r="C1995" s="41"/>
      <c r="D1995" s="141"/>
      <c r="E1995" s="118"/>
      <c r="F1995" s="126"/>
      <c r="G1995" s="126"/>
      <c r="H1995" s="126"/>
      <c r="I1995" s="126"/>
      <c r="J1995" s="76"/>
      <c r="K1995" s="76"/>
      <c r="L1995" s="76"/>
      <c r="M1995" s="76"/>
      <c r="N1995" s="114"/>
    </row>
    <row r="1996">
      <c r="C1996" s="41"/>
      <c r="D1996" s="142"/>
      <c r="E1996" s="130"/>
      <c r="F1996" s="128"/>
      <c r="G1996" s="128"/>
      <c r="H1996" s="128"/>
      <c r="I1996" s="128"/>
      <c r="J1996" s="81"/>
      <c r="K1996" s="81"/>
      <c r="L1996" s="81"/>
      <c r="M1996" s="81"/>
      <c r="N1996" s="82"/>
    </row>
    <row r="1997">
      <c r="C1997" s="41"/>
      <c r="D1997" s="141"/>
      <c r="E1997" s="118"/>
      <c r="F1997" s="126"/>
      <c r="G1997" s="126"/>
      <c r="H1997" s="126"/>
      <c r="I1997" s="126"/>
      <c r="J1997" s="76"/>
      <c r="K1997" s="76"/>
      <c r="L1997" s="76"/>
      <c r="M1997" s="76"/>
      <c r="N1997" s="114"/>
    </row>
    <row r="1998">
      <c r="C1998" s="41"/>
      <c r="D1998" s="142"/>
      <c r="E1998" s="130"/>
      <c r="F1998" s="128"/>
      <c r="G1998" s="128"/>
      <c r="H1998" s="128"/>
      <c r="I1998" s="128"/>
      <c r="J1998" s="81"/>
      <c r="K1998" s="81"/>
      <c r="L1998" s="81"/>
      <c r="M1998" s="81"/>
      <c r="N1998" s="82"/>
    </row>
    <row r="1999">
      <c r="C1999" s="41"/>
      <c r="D1999" s="141"/>
      <c r="E1999" s="118"/>
      <c r="F1999" s="126"/>
      <c r="G1999" s="126"/>
      <c r="H1999" s="126"/>
      <c r="I1999" s="126"/>
      <c r="J1999" s="76"/>
      <c r="K1999" s="76"/>
      <c r="L1999" s="76"/>
      <c r="M1999" s="76"/>
      <c r="N1999" s="114"/>
    </row>
    <row r="2000">
      <c r="C2000" s="41"/>
      <c r="D2000" s="142"/>
      <c r="E2000" s="130"/>
      <c r="F2000" s="128"/>
      <c r="G2000" s="128"/>
      <c r="H2000" s="128"/>
      <c r="I2000" s="128"/>
      <c r="J2000" s="81"/>
      <c r="K2000" s="81"/>
      <c r="L2000" s="81"/>
      <c r="M2000" s="81"/>
      <c r="N2000" s="82"/>
    </row>
    <row r="2001">
      <c r="C2001" s="41"/>
      <c r="D2001" s="141"/>
      <c r="E2001" s="118"/>
      <c r="F2001" s="126"/>
      <c r="G2001" s="126"/>
      <c r="H2001" s="126"/>
      <c r="I2001" s="126"/>
      <c r="J2001" s="76"/>
      <c r="K2001" s="76"/>
      <c r="L2001" s="76"/>
      <c r="M2001" s="76"/>
      <c r="N2001" s="114"/>
    </row>
    <row r="2002">
      <c r="C2002" s="41"/>
      <c r="D2002" s="142"/>
      <c r="E2002" s="130"/>
      <c r="F2002" s="128"/>
      <c r="G2002" s="128"/>
      <c r="H2002" s="128"/>
      <c r="I2002" s="128"/>
      <c r="J2002" s="81"/>
      <c r="K2002" s="81"/>
      <c r="L2002" s="81"/>
      <c r="M2002" s="81"/>
      <c r="N2002" s="82"/>
    </row>
    <row r="2003">
      <c r="C2003" s="41"/>
      <c r="D2003" s="141"/>
      <c r="E2003" s="118"/>
      <c r="F2003" s="126"/>
      <c r="G2003" s="126"/>
      <c r="H2003" s="126"/>
      <c r="I2003" s="126"/>
      <c r="J2003" s="76"/>
      <c r="K2003" s="76"/>
      <c r="L2003" s="76"/>
      <c r="M2003" s="76"/>
      <c r="N2003" s="114"/>
    </row>
    <row r="2004">
      <c r="C2004" s="41"/>
      <c r="D2004" s="142"/>
      <c r="E2004" s="130"/>
      <c r="F2004" s="128"/>
      <c r="G2004" s="128"/>
      <c r="H2004" s="128"/>
      <c r="I2004" s="128"/>
      <c r="J2004" s="81"/>
      <c r="K2004" s="81"/>
      <c r="L2004" s="81"/>
      <c r="M2004" s="81"/>
      <c r="N2004" s="82"/>
    </row>
    <row r="2005">
      <c r="C2005" s="41"/>
      <c r="D2005" s="141"/>
      <c r="E2005" s="118"/>
      <c r="F2005" s="126"/>
      <c r="G2005" s="126"/>
      <c r="H2005" s="126"/>
      <c r="I2005" s="126"/>
      <c r="J2005" s="76"/>
      <c r="K2005" s="76"/>
      <c r="L2005" s="76"/>
      <c r="M2005" s="76"/>
      <c r="N2005" s="114"/>
    </row>
    <row r="2006">
      <c r="C2006" s="41"/>
      <c r="D2006" s="142"/>
      <c r="E2006" s="130"/>
      <c r="F2006" s="128"/>
      <c r="G2006" s="128"/>
      <c r="H2006" s="128"/>
      <c r="I2006" s="128"/>
      <c r="J2006" s="81"/>
      <c r="K2006" s="81"/>
      <c r="L2006" s="81"/>
      <c r="M2006" s="81"/>
      <c r="N2006" s="82"/>
    </row>
    <row r="2007">
      <c r="C2007" s="41"/>
      <c r="D2007" s="141"/>
      <c r="E2007" s="118"/>
      <c r="F2007" s="126"/>
      <c r="G2007" s="126"/>
      <c r="H2007" s="126"/>
      <c r="I2007" s="126"/>
      <c r="J2007" s="76"/>
      <c r="K2007" s="76"/>
      <c r="L2007" s="76"/>
      <c r="M2007" s="76"/>
      <c r="N2007" s="114"/>
    </row>
    <row r="2008">
      <c r="C2008" s="41"/>
      <c r="D2008" s="142"/>
      <c r="E2008" s="130"/>
      <c r="F2008" s="128"/>
      <c r="G2008" s="128"/>
      <c r="H2008" s="128"/>
      <c r="I2008" s="128"/>
      <c r="J2008" s="81"/>
      <c r="K2008" s="81"/>
      <c r="L2008" s="81"/>
      <c r="M2008" s="81"/>
      <c r="N2008" s="82"/>
    </row>
    <row r="2009">
      <c r="C2009" s="41"/>
      <c r="D2009" s="141"/>
      <c r="E2009" s="118"/>
      <c r="F2009" s="126"/>
      <c r="G2009" s="126"/>
      <c r="H2009" s="126"/>
      <c r="I2009" s="126"/>
      <c r="J2009" s="76"/>
      <c r="K2009" s="76"/>
      <c r="L2009" s="76"/>
      <c r="M2009" s="76"/>
      <c r="N2009" s="114"/>
    </row>
    <row r="2010">
      <c r="C2010" s="41"/>
      <c r="D2010" s="142"/>
      <c r="E2010" s="130"/>
      <c r="F2010" s="128"/>
      <c r="G2010" s="128"/>
      <c r="H2010" s="128"/>
      <c r="I2010" s="128"/>
      <c r="J2010" s="81"/>
      <c r="K2010" s="81"/>
      <c r="L2010" s="81"/>
      <c r="M2010" s="81"/>
      <c r="N2010" s="82"/>
    </row>
    <row r="2011">
      <c r="C2011" s="41"/>
      <c r="D2011" s="141"/>
      <c r="E2011" s="118"/>
      <c r="F2011" s="126"/>
      <c r="G2011" s="126"/>
      <c r="H2011" s="126"/>
      <c r="I2011" s="126"/>
      <c r="J2011" s="76"/>
      <c r="K2011" s="76"/>
      <c r="L2011" s="76"/>
      <c r="M2011" s="76"/>
      <c r="N2011" s="114"/>
    </row>
    <row r="2012">
      <c r="C2012" s="41"/>
      <c r="D2012" s="142"/>
      <c r="E2012" s="130"/>
      <c r="F2012" s="128"/>
      <c r="G2012" s="128"/>
      <c r="H2012" s="128"/>
      <c r="I2012" s="128"/>
      <c r="J2012" s="81"/>
      <c r="K2012" s="81"/>
      <c r="L2012" s="81"/>
      <c r="M2012" s="81"/>
      <c r="N2012" s="82"/>
    </row>
    <row r="2013">
      <c r="C2013" s="41"/>
      <c r="D2013" s="141"/>
      <c r="E2013" s="118"/>
      <c r="F2013" s="126"/>
      <c r="G2013" s="126"/>
      <c r="H2013" s="126"/>
      <c r="I2013" s="126"/>
      <c r="J2013" s="76"/>
      <c r="K2013" s="76"/>
      <c r="L2013" s="76"/>
      <c r="M2013" s="76"/>
      <c r="N2013" s="114"/>
    </row>
    <row r="2014">
      <c r="C2014" s="41"/>
      <c r="D2014" s="142"/>
      <c r="E2014" s="130"/>
      <c r="F2014" s="128"/>
      <c r="G2014" s="128"/>
      <c r="H2014" s="128"/>
      <c r="I2014" s="128"/>
      <c r="J2014" s="81"/>
      <c r="K2014" s="81"/>
      <c r="L2014" s="81"/>
      <c r="M2014" s="81"/>
      <c r="N2014" s="82"/>
    </row>
    <row r="2015">
      <c r="C2015" s="41"/>
      <c r="D2015" s="141"/>
      <c r="E2015" s="118"/>
      <c r="F2015" s="126"/>
      <c r="G2015" s="126"/>
      <c r="H2015" s="126"/>
      <c r="I2015" s="126"/>
      <c r="J2015" s="76"/>
      <c r="K2015" s="76"/>
      <c r="L2015" s="76"/>
      <c r="M2015" s="76"/>
      <c r="N2015" s="114"/>
    </row>
    <row r="2016">
      <c r="C2016" s="41"/>
      <c r="D2016" s="142"/>
      <c r="E2016" s="130"/>
      <c r="F2016" s="128"/>
      <c r="G2016" s="128"/>
      <c r="H2016" s="128"/>
      <c r="I2016" s="128"/>
      <c r="J2016" s="81"/>
      <c r="K2016" s="81"/>
      <c r="L2016" s="81"/>
      <c r="M2016" s="81"/>
      <c r="N2016" s="82"/>
    </row>
    <row r="2017">
      <c r="C2017" s="41"/>
      <c r="D2017" s="141"/>
      <c r="E2017" s="118"/>
      <c r="F2017" s="126"/>
      <c r="G2017" s="126"/>
      <c r="H2017" s="126"/>
      <c r="I2017" s="126"/>
      <c r="J2017" s="76"/>
      <c r="K2017" s="76"/>
      <c r="L2017" s="76"/>
      <c r="M2017" s="76"/>
      <c r="N2017" s="114"/>
    </row>
    <row r="2018">
      <c r="C2018" s="41"/>
      <c r="D2018" s="142"/>
      <c r="E2018" s="130"/>
      <c r="F2018" s="128"/>
      <c r="G2018" s="128"/>
      <c r="H2018" s="128"/>
      <c r="I2018" s="128"/>
      <c r="J2018" s="81"/>
      <c r="K2018" s="81"/>
      <c r="L2018" s="81"/>
      <c r="M2018" s="81"/>
      <c r="N2018" s="82"/>
    </row>
    <row r="2019">
      <c r="C2019" s="41"/>
      <c r="D2019" s="141"/>
      <c r="E2019" s="118"/>
      <c r="F2019" s="126"/>
      <c r="G2019" s="126"/>
      <c r="H2019" s="126"/>
      <c r="I2019" s="126"/>
      <c r="J2019" s="76"/>
      <c r="K2019" s="76"/>
      <c r="L2019" s="76"/>
      <c r="M2019" s="76"/>
      <c r="N2019" s="114"/>
    </row>
    <row r="2020">
      <c r="C2020" s="41"/>
      <c r="D2020" s="142"/>
      <c r="E2020" s="130"/>
      <c r="F2020" s="128"/>
      <c r="G2020" s="128"/>
      <c r="H2020" s="128"/>
      <c r="I2020" s="128"/>
      <c r="J2020" s="81"/>
      <c r="K2020" s="81"/>
      <c r="L2020" s="81"/>
      <c r="M2020" s="81"/>
      <c r="N2020" s="82"/>
    </row>
    <row r="2021">
      <c r="C2021" s="41"/>
      <c r="D2021" s="141"/>
      <c r="E2021" s="118"/>
      <c r="F2021" s="126"/>
      <c r="G2021" s="126"/>
      <c r="H2021" s="126"/>
      <c r="I2021" s="126"/>
      <c r="J2021" s="76"/>
      <c r="K2021" s="76"/>
      <c r="L2021" s="76"/>
      <c r="M2021" s="76"/>
      <c r="N2021" s="114"/>
    </row>
    <row r="2022">
      <c r="C2022" s="41"/>
      <c r="D2022" s="142"/>
      <c r="E2022" s="130"/>
      <c r="F2022" s="128"/>
      <c r="G2022" s="128"/>
      <c r="H2022" s="128"/>
      <c r="I2022" s="128"/>
      <c r="J2022" s="81"/>
      <c r="K2022" s="81"/>
      <c r="L2022" s="81"/>
      <c r="M2022" s="81"/>
      <c r="N2022" s="82"/>
    </row>
    <row r="2023">
      <c r="C2023" s="41"/>
      <c r="D2023" s="141"/>
      <c r="E2023" s="118"/>
      <c r="F2023" s="126"/>
      <c r="G2023" s="126"/>
      <c r="H2023" s="126"/>
      <c r="I2023" s="126"/>
      <c r="J2023" s="76"/>
      <c r="K2023" s="76"/>
      <c r="L2023" s="76"/>
      <c r="M2023" s="76"/>
      <c r="N2023" s="114"/>
    </row>
    <row r="2024">
      <c r="C2024" s="41"/>
      <c r="D2024" s="142"/>
      <c r="E2024" s="130"/>
      <c r="F2024" s="128"/>
      <c r="G2024" s="128"/>
      <c r="H2024" s="128"/>
      <c r="I2024" s="128"/>
      <c r="J2024" s="81"/>
      <c r="K2024" s="81"/>
      <c r="L2024" s="81"/>
      <c r="M2024" s="81"/>
      <c r="N2024" s="82"/>
    </row>
    <row r="2025">
      <c r="C2025" s="41"/>
      <c r="D2025" s="141"/>
      <c r="E2025" s="118"/>
      <c r="F2025" s="126"/>
      <c r="G2025" s="126"/>
      <c r="H2025" s="126"/>
      <c r="I2025" s="126"/>
      <c r="J2025" s="76"/>
      <c r="K2025" s="76"/>
      <c r="L2025" s="76"/>
      <c r="M2025" s="76"/>
      <c r="N2025" s="114"/>
    </row>
    <row r="2026">
      <c r="C2026" s="41"/>
      <c r="D2026" s="142"/>
      <c r="E2026" s="130"/>
      <c r="F2026" s="128"/>
      <c r="G2026" s="128"/>
      <c r="H2026" s="128"/>
      <c r="I2026" s="128"/>
      <c r="J2026" s="81"/>
      <c r="K2026" s="81"/>
      <c r="L2026" s="81"/>
      <c r="M2026" s="81"/>
      <c r="N2026" s="82"/>
    </row>
    <row r="2027">
      <c r="C2027" s="41"/>
      <c r="D2027" s="141"/>
      <c r="E2027" s="118"/>
      <c r="F2027" s="126"/>
      <c r="G2027" s="126"/>
      <c r="H2027" s="126"/>
      <c r="I2027" s="126"/>
      <c r="J2027" s="76"/>
      <c r="K2027" s="76"/>
      <c r="L2027" s="76"/>
      <c r="M2027" s="76"/>
      <c r="N2027" s="114"/>
    </row>
    <row r="2028">
      <c r="C2028" s="41"/>
      <c r="D2028" s="142"/>
      <c r="E2028" s="130"/>
      <c r="F2028" s="128"/>
      <c r="G2028" s="128"/>
      <c r="H2028" s="128"/>
      <c r="I2028" s="128"/>
      <c r="J2028" s="81"/>
      <c r="K2028" s="81"/>
      <c r="L2028" s="81"/>
      <c r="M2028" s="81"/>
      <c r="N2028" s="82"/>
    </row>
    <row r="2029">
      <c r="C2029" s="41"/>
      <c r="D2029" s="141"/>
      <c r="E2029" s="118"/>
      <c r="F2029" s="126"/>
      <c r="G2029" s="126"/>
      <c r="H2029" s="126"/>
      <c r="I2029" s="126"/>
      <c r="J2029" s="76"/>
      <c r="K2029" s="76"/>
      <c r="L2029" s="76"/>
      <c r="M2029" s="76"/>
      <c r="N2029" s="114"/>
    </row>
    <row r="2030">
      <c r="C2030" s="41"/>
      <c r="D2030" s="142"/>
      <c r="E2030" s="130"/>
      <c r="F2030" s="128"/>
      <c r="G2030" s="128"/>
      <c r="H2030" s="128"/>
      <c r="I2030" s="128"/>
      <c r="J2030" s="81"/>
      <c r="K2030" s="81"/>
      <c r="L2030" s="81"/>
      <c r="M2030" s="81"/>
      <c r="N2030" s="82"/>
    </row>
    <row r="2031">
      <c r="C2031" s="41"/>
      <c r="D2031" s="141"/>
      <c r="E2031" s="118"/>
      <c r="F2031" s="126"/>
      <c r="G2031" s="126"/>
      <c r="H2031" s="126"/>
      <c r="I2031" s="126"/>
      <c r="J2031" s="76"/>
      <c r="K2031" s="76"/>
      <c r="L2031" s="76"/>
      <c r="M2031" s="76"/>
      <c r="N2031" s="114"/>
    </row>
    <row r="2032">
      <c r="C2032" s="41"/>
      <c r="D2032" s="142"/>
      <c r="E2032" s="130"/>
      <c r="F2032" s="128"/>
      <c r="G2032" s="128"/>
      <c r="H2032" s="128"/>
      <c r="I2032" s="128"/>
      <c r="J2032" s="81"/>
      <c r="K2032" s="81"/>
      <c r="L2032" s="81"/>
      <c r="M2032" s="81"/>
      <c r="N2032" s="82"/>
    </row>
    <row r="2033">
      <c r="C2033" s="41"/>
      <c r="D2033" s="141"/>
      <c r="E2033" s="118"/>
      <c r="F2033" s="126"/>
      <c r="G2033" s="126"/>
      <c r="H2033" s="126"/>
      <c r="I2033" s="126"/>
      <c r="J2033" s="76"/>
      <c r="K2033" s="76"/>
      <c r="L2033" s="76"/>
      <c r="M2033" s="76"/>
      <c r="N2033" s="114"/>
    </row>
    <row r="2034">
      <c r="C2034" s="41"/>
      <c r="D2034" s="142"/>
      <c r="E2034" s="130"/>
      <c r="F2034" s="128"/>
      <c r="G2034" s="128"/>
      <c r="H2034" s="128"/>
      <c r="I2034" s="128"/>
      <c r="J2034" s="81"/>
      <c r="K2034" s="81"/>
      <c r="L2034" s="81"/>
      <c r="M2034" s="81"/>
      <c r="N2034" s="82"/>
    </row>
    <row r="2035">
      <c r="C2035" s="41"/>
      <c r="D2035" s="141"/>
      <c r="E2035" s="118"/>
      <c r="F2035" s="126"/>
      <c r="G2035" s="126"/>
      <c r="H2035" s="126"/>
      <c r="I2035" s="126"/>
      <c r="J2035" s="76"/>
      <c r="K2035" s="76"/>
      <c r="L2035" s="76"/>
      <c r="M2035" s="76"/>
      <c r="N2035" s="114"/>
    </row>
    <row r="2036">
      <c r="C2036" s="41"/>
      <c r="D2036" s="142"/>
      <c r="E2036" s="130"/>
      <c r="F2036" s="128"/>
      <c r="G2036" s="128"/>
      <c r="H2036" s="128"/>
      <c r="I2036" s="128"/>
      <c r="J2036" s="81"/>
      <c r="K2036" s="81"/>
      <c r="L2036" s="81"/>
      <c r="M2036" s="81"/>
      <c r="N2036" s="82"/>
    </row>
    <row r="2037">
      <c r="C2037" s="41"/>
      <c r="D2037" s="141"/>
      <c r="E2037" s="118"/>
      <c r="F2037" s="126"/>
      <c r="G2037" s="126"/>
      <c r="H2037" s="126"/>
      <c r="I2037" s="126"/>
      <c r="J2037" s="76"/>
      <c r="K2037" s="76"/>
      <c r="L2037" s="76"/>
      <c r="M2037" s="76"/>
      <c r="N2037" s="114"/>
    </row>
    <row r="2038">
      <c r="C2038" s="41"/>
      <c r="D2038" s="142"/>
      <c r="E2038" s="130"/>
      <c r="F2038" s="128"/>
      <c r="G2038" s="128"/>
      <c r="H2038" s="128"/>
      <c r="I2038" s="128"/>
      <c r="J2038" s="81"/>
      <c r="K2038" s="81"/>
      <c r="L2038" s="81"/>
      <c r="M2038" s="81"/>
      <c r="N2038" s="82"/>
    </row>
    <row r="2039">
      <c r="C2039" s="41"/>
      <c r="D2039" s="141"/>
      <c r="E2039" s="118"/>
      <c r="F2039" s="126"/>
      <c r="G2039" s="126"/>
      <c r="H2039" s="126"/>
      <c r="I2039" s="126"/>
      <c r="J2039" s="76"/>
      <c r="K2039" s="76"/>
      <c r="L2039" s="76"/>
      <c r="M2039" s="76"/>
      <c r="N2039" s="114"/>
    </row>
    <row r="2040">
      <c r="C2040" s="41"/>
      <c r="D2040" s="142"/>
      <c r="E2040" s="130"/>
      <c r="F2040" s="128"/>
      <c r="G2040" s="128"/>
      <c r="H2040" s="128"/>
      <c r="I2040" s="128"/>
      <c r="J2040" s="81"/>
      <c r="K2040" s="81"/>
      <c r="L2040" s="81"/>
      <c r="M2040" s="81"/>
      <c r="N2040" s="82"/>
    </row>
    <row r="2041">
      <c r="C2041" s="41"/>
      <c r="D2041" s="141"/>
      <c r="E2041" s="118"/>
      <c r="F2041" s="126"/>
      <c r="G2041" s="126"/>
      <c r="H2041" s="126"/>
      <c r="I2041" s="126"/>
      <c r="J2041" s="76"/>
      <c r="K2041" s="76"/>
      <c r="L2041" s="76"/>
      <c r="M2041" s="76"/>
      <c r="N2041" s="114"/>
    </row>
    <row r="2042">
      <c r="C2042" s="41"/>
      <c r="D2042" s="142"/>
      <c r="E2042" s="130"/>
      <c r="F2042" s="128"/>
      <c r="G2042" s="128"/>
      <c r="H2042" s="128"/>
      <c r="I2042" s="128"/>
      <c r="J2042" s="81"/>
      <c r="K2042" s="81"/>
      <c r="L2042" s="81"/>
      <c r="M2042" s="81"/>
      <c r="N2042" s="82"/>
    </row>
    <row r="2043">
      <c r="C2043" s="41"/>
      <c r="D2043" s="141"/>
      <c r="E2043" s="118"/>
      <c r="F2043" s="126"/>
      <c r="G2043" s="126"/>
      <c r="H2043" s="126"/>
      <c r="I2043" s="126"/>
      <c r="J2043" s="76"/>
      <c r="K2043" s="76"/>
      <c r="L2043" s="76"/>
      <c r="M2043" s="76"/>
      <c r="N2043" s="114"/>
    </row>
    <row r="2044">
      <c r="C2044" s="41"/>
      <c r="D2044" s="142"/>
      <c r="E2044" s="130"/>
      <c r="F2044" s="128"/>
      <c r="G2044" s="128"/>
      <c r="H2044" s="128"/>
      <c r="I2044" s="128"/>
      <c r="J2044" s="81"/>
      <c r="K2044" s="81"/>
      <c r="L2044" s="81"/>
      <c r="M2044" s="81"/>
      <c r="N2044" s="82"/>
    </row>
    <row r="2045">
      <c r="C2045" s="41"/>
      <c r="D2045" s="141"/>
      <c r="E2045" s="118"/>
      <c r="F2045" s="126"/>
      <c r="G2045" s="126"/>
      <c r="H2045" s="126"/>
      <c r="I2045" s="126"/>
      <c r="J2045" s="76"/>
      <c r="K2045" s="76"/>
      <c r="L2045" s="76"/>
      <c r="M2045" s="76"/>
      <c r="N2045" s="114"/>
    </row>
    <row r="2046">
      <c r="C2046" s="41"/>
      <c r="D2046" s="142"/>
      <c r="E2046" s="130"/>
      <c r="F2046" s="128"/>
      <c r="G2046" s="128"/>
      <c r="H2046" s="128"/>
      <c r="I2046" s="128"/>
      <c r="J2046" s="81"/>
      <c r="K2046" s="81"/>
      <c r="L2046" s="81"/>
      <c r="M2046" s="81"/>
      <c r="N2046" s="82"/>
    </row>
    <row r="2047">
      <c r="C2047" s="41"/>
      <c r="D2047" s="141"/>
      <c r="E2047" s="118"/>
      <c r="F2047" s="126"/>
      <c r="G2047" s="126"/>
      <c r="H2047" s="126"/>
      <c r="I2047" s="126"/>
      <c r="J2047" s="76"/>
      <c r="K2047" s="76"/>
      <c r="L2047" s="76"/>
      <c r="M2047" s="76"/>
      <c r="N2047" s="114"/>
    </row>
    <row r="2048">
      <c r="C2048" s="41"/>
      <c r="D2048" s="142"/>
      <c r="E2048" s="130"/>
      <c r="F2048" s="128"/>
      <c r="G2048" s="128"/>
      <c r="H2048" s="128"/>
      <c r="I2048" s="128"/>
      <c r="J2048" s="81"/>
      <c r="K2048" s="81"/>
      <c r="L2048" s="81"/>
      <c r="M2048" s="81"/>
      <c r="N2048" s="82"/>
    </row>
    <row r="2049">
      <c r="C2049" s="41"/>
      <c r="D2049" s="141"/>
      <c r="E2049" s="118"/>
      <c r="F2049" s="126"/>
      <c r="G2049" s="126"/>
      <c r="H2049" s="126"/>
      <c r="I2049" s="126"/>
      <c r="J2049" s="76"/>
      <c r="K2049" s="76"/>
      <c r="L2049" s="76"/>
      <c r="M2049" s="76"/>
      <c r="N2049" s="114"/>
    </row>
    <row r="2050">
      <c r="C2050" s="41"/>
      <c r="D2050" s="142"/>
      <c r="E2050" s="130"/>
      <c r="F2050" s="128"/>
      <c r="G2050" s="128"/>
      <c r="H2050" s="128"/>
      <c r="I2050" s="128"/>
      <c r="J2050" s="81"/>
      <c r="K2050" s="81"/>
      <c r="L2050" s="81"/>
      <c r="M2050" s="81"/>
      <c r="N2050" s="82"/>
    </row>
    <row r="2051">
      <c r="C2051" s="41"/>
      <c r="D2051" s="141"/>
      <c r="E2051" s="118"/>
      <c r="F2051" s="126"/>
      <c r="G2051" s="126"/>
      <c r="H2051" s="126"/>
      <c r="I2051" s="126"/>
      <c r="J2051" s="76"/>
      <c r="K2051" s="76"/>
      <c r="L2051" s="76"/>
      <c r="M2051" s="76"/>
      <c r="N2051" s="114"/>
    </row>
    <row r="2052">
      <c r="C2052" s="41"/>
      <c r="D2052" s="142"/>
      <c r="E2052" s="130"/>
      <c r="F2052" s="128"/>
      <c r="G2052" s="128"/>
      <c r="H2052" s="128"/>
      <c r="I2052" s="128"/>
      <c r="J2052" s="81"/>
      <c r="K2052" s="81"/>
      <c r="L2052" s="81"/>
      <c r="M2052" s="81"/>
      <c r="N2052" s="82"/>
    </row>
    <row r="2053">
      <c r="C2053" s="41"/>
      <c r="D2053" s="141"/>
      <c r="E2053" s="118"/>
      <c r="F2053" s="126"/>
      <c r="G2053" s="126"/>
      <c r="H2053" s="126"/>
      <c r="I2053" s="126"/>
      <c r="J2053" s="76"/>
      <c r="K2053" s="76"/>
      <c r="L2053" s="76"/>
      <c r="M2053" s="76"/>
      <c r="N2053" s="114"/>
    </row>
    <row r="2054">
      <c r="C2054" s="41"/>
      <c r="D2054" s="142"/>
      <c r="E2054" s="130"/>
      <c r="F2054" s="128"/>
      <c r="G2054" s="128"/>
      <c r="H2054" s="128"/>
      <c r="I2054" s="128"/>
      <c r="J2054" s="81"/>
      <c r="K2054" s="81"/>
      <c r="L2054" s="81"/>
      <c r="M2054" s="81"/>
      <c r="N2054" s="82"/>
    </row>
    <row r="2055">
      <c r="C2055" s="41"/>
      <c r="D2055" s="141"/>
      <c r="E2055" s="118"/>
      <c r="F2055" s="126"/>
      <c r="G2055" s="126"/>
      <c r="H2055" s="126"/>
      <c r="I2055" s="126"/>
      <c r="J2055" s="76"/>
      <c r="K2055" s="76"/>
      <c r="L2055" s="76"/>
      <c r="M2055" s="76"/>
      <c r="N2055" s="114"/>
    </row>
    <row r="2056">
      <c r="C2056" s="41"/>
      <c r="D2056" s="142"/>
      <c r="E2056" s="130"/>
      <c r="F2056" s="128"/>
      <c r="G2056" s="128"/>
      <c r="H2056" s="128"/>
      <c r="I2056" s="128"/>
      <c r="J2056" s="81"/>
      <c r="K2056" s="81"/>
      <c r="L2056" s="81"/>
      <c r="M2056" s="81"/>
      <c r="N2056" s="82"/>
    </row>
    <row r="2057">
      <c r="C2057" s="41"/>
      <c r="D2057" s="141"/>
      <c r="E2057" s="118"/>
      <c r="F2057" s="126"/>
      <c r="G2057" s="126"/>
      <c r="H2057" s="126"/>
      <c r="I2057" s="126"/>
      <c r="J2057" s="76"/>
      <c r="K2057" s="76"/>
      <c r="L2057" s="76"/>
      <c r="M2057" s="76"/>
      <c r="N2057" s="114"/>
    </row>
    <row r="2058">
      <c r="C2058" s="41"/>
      <c r="D2058" s="142"/>
      <c r="E2058" s="130"/>
      <c r="F2058" s="128"/>
      <c r="G2058" s="128"/>
      <c r="H2058" s="128"/>
      <c r="I2058" s="128"/>
      <c r="J2058" s="81"/>
      <c r="K2058" s="81"/>
      <c r="L2058" s="81"/>
      <c r="M2058" s="81"/>
      <c r="N2058" s="82"/>
    </row>
    <row r="2059">
      <c r="C2059" s="41"/>
      <c r="D2059" s="141"/>
      <c r="E2059" s="118"/>
      <c r="F2059" s="126"/>
      <c r="G2059" s="126"/>
      <c r="H2059" s="126"/>
      <c r="I2059" s="126"/>
      <c r="J2059" s="76"/>
      <c r="K2059" s="76"/>
      <c r="L2059" s="76"/>
      <c r="M2059" s="76"/>
      <c r="N2059" s="114"/>
    </row>
    <row r="2060">
      <c r="C2060" s="41"/>
      <c r="D2060" s="142"/>
      <c r="E2060" s="130"/>
      <c r="F2060" s="128"/>
      <c r="G2060" s="128"/>
      <c r="H2060" s="128"/>
      <c r="I2060" s="128"/>
      <c r="J2060" s="81"/>
      <c r="K2060" s="81"/>
      <c r="L2060" s="81"/>
      <c r="M2060" s="81"/>
      <c r="N2060" s="82"/>
    </row>
    <row r="2061">
      <c r="C2061" s="41"/>
      <c r="D2061" s="141"/>
      <c r="E2061" s="118"/>
      <c r="F2061" s="126"/>
      <c r="G2061" s="126"/>
      <c r="H2061" s="126"/>
      <c r="I2061" s="126"/>
      <c r="J2061" s="76"/>
      <c r="K2061" s="76"/>
      <c r="L2061" s="76"/>
      <c r="M2061" s="76"/>
      <c r="N2061" s="114"/>
    </row>
    <row r="2062">
      <c r="C2062" s="41"/>
      <c r="D2062" s="142"/>
      <c r="E2062" s="130"/>
      <c r="F2062" s="128"/>
      <c r="G2062" s="128"/>
      <c r="H2062" s="128"/>
      <c r="I2062" s="128"/>
      <c r="J2062" s="81"/>
      <c r="K2062" s="81"/>
      <c r="L2062" s="81"/>
      <c r="M2062" s="81"/>
      <c r="N2062" s="82"/>
    </row>
    <row r="2063">
      <c r="C2063" s="41"/>
      <c r="D2063" s="141"/>
      <c r="E2063" s="118"/>
      <c r="F2063" s="126"/>
      <c r="G2063" s="126"/>
      <c r="H2063" s="126"/>
      <c r="I2063" s="126"/>
      <c r="J2063" s="76"/>
      <c r="K2063" s="76"/>
      <c r="L2063" s="76"/>
      <c r="M2063" s="76"/>
      <c r="N2063" s="114"/>
    </row>
    <row r="2064">
      <c r="C2064" s="41"/>
      <c r="D2064" s="142"/>
      <c r="E2064" s="130"/>
      <c r="F2064" s="128"/>
      <c r="G2064" s="128"/>
      <c r="H2064" s="128"/>
      <c r="I2064" s="128"/>
      <c r="J2064" s="81"/>
      <c r="K2064" s="81"/>
      <c r="L2064" s="81"/>
      <c r="M2064" s="81"/>
      <c r="N2064" s="82"/>
    </row>
    <row r="2065">
      <c r="C2065" s="41"/>
      <c r="D2065" s="141"/>
      <c r="E2065" s="118"/>
      <c r="F2065" s="126"/>
      <c r="G2065" s="126"/>
      <c r="H2065" s="126"/>
      <c r="I2065" s="126"/>
      <c r="J2065" s="76"/>
      <c r="K2065" s="76"/>
      <c r="L2065" s="76"/>
      <c r="M2065" s="76"/>
      <c r="N2065" s="114"/>
    </row>
    <row r="2066">
      <c r="C2066" s="41"/>
      <c r="D2066" s="142"/>
      <c r="E2066" s="130"/>
      <c r="F2066" s="128"/>
      <c r="G2066" s="128"/>
      <c r="H2066" s="128"/>
      <c r="I2066" s="128"/>
      <c r="J2066" s="81"/>
      <c r="K2066" s="81"/>
      <c r="L2066" s="81"/>
      <c r="M2066" s="81"/>
      <c r="N2066" s="82"/>
    </row>
    <row r="2067">
      <c r="C2067" s="41"/>
      <c r="D2067" s="141"/>
      <c r="E2067" s="118"/>
      <c r="F2067" s="126"/>
      <c r="G2067" s="126"/>
      <c r="H2067" s="126"/>
      <c r="I2067" s="126"/>
      <c r="J2067" s="76"/>
      <c r="K2067" s="76"/>
      <c r="L2067" s="76"/>
      <c r="M2067" s="76"/>
      <c r="N2067" s="114"/>
    </row>
    <row r="2068">
      <c r="C2068" s="41"/>
      <c r="D2068" s="142"/>
      <c r="E2068" s="130"/>
      <c r="F2068" s="128"/>
      <c r="G2068" s="128"/>
      <c r="H2068" s="128"/>
      <c r="I2068" s="128"/>
      <c r="J2068" s="81"/>
      <c r="K2068" s="81"/>
      <c r="L2068" s="81"/>
      <c r="M2068" s="81"/>
      <c r="N2068" s="82"/>
    </row>
    <row r="2069">
      <c r="C2069" s="41"/>
      <c r="D2069" s="141"/>
      <c r="E2069" s="118"/>
      <c r="F2069" s="126"/>
      <c r="G2069" s="126"/>
      <c r="H2069" s="126"/>
      <c r="I2069" s="126"/>
      <c r="J2069" s="76"/>
      <c r="K2069" s="76"/>
      <c r="L2069" s="76"/>
      <c r="M2069" s="76"/>
      <c r="N2069" s="114"/>
    </row>
    <row r="2070">
      <c r="C2070" s="41"/>
      <c r="D2070" s="142"/>
      <c r="E2070" s="130"/>
      <c r="F2070" s="128"/>
      <c r="G2070" s="128"/>
      <c r="H2070" s="128"/>
      <c r="I2070" s="128"/>
      <c r="J2070" s="81"/>
      <c r="K2070" s="81"/>
      <c r="L2070" s="81"/>
      <c r="M2070" s="81"/>
      <c r="N2070" s="82"/>
    </row>
    <row r="2071">
      <c r="C2071" s="41"/>
      <c r="D2071" s="141"/>
      <c r="E2071" s="118"/>
      <c r="F2071" s="126"/>
      <c r="G2071" s="126"/>
      <c r="H2071" s="126"/>
      <c r="I2071" s="126"/>
      <c r="J2071" s="76"/>
      <c r="K2071" s="76"/>
      <c r="L2071" s="76"/>
      <c r="M2071" s="76"/>
      <c r="N2071" s="114"/>
    </row>
    <row r="2072">
      <c r="C2072" s="41"/>
      <c r="D2072" s="142"/>
      <c r="E2072" s="130"/>
      <c r="F2072" s="128"/>
      <c r="G2072" s="128"/>
      <c r="H2072" s="128"/>
      <c r="I2072" s="128"/>
      <c r="J2072" s="81"/>
      <c r="K2072" s="81"/>
      <c r="L2072" s="81"/>
      <c r="M2072" s="81"/>
      <c r="N2072" s="82"/>
    </row>
    <row r="2073">
      <c r="C2073" s="41"/>
      <c r="D2073" s="141"/>
      <c r="E2073" s="118"/>
      <c r="F2073" s="126"/>
      <c r="G2073" s="126"/>
      <c r="H2073" s="126"/>
      <c r="I2073" s="126"/>
      <c r="J2073" s="76"/>
      <c r="K2073" s="76"/>
      <c r="L2073" s="76"/>
      <c r="M2073" s="76"/>
      <c r="N2073" s="114"/>
    </row>
    <row r="2074">
      <c r="C2074" s="41"/>
      <c r="D2074" s="142"/>
      <c r="E2074" s="130"/>
      <c r="F2074" s="128"/>
      <c r="G2074" s="128"/>
      <c r="H2074" s="128"/>
      <c r="I2074" s="128"/>
      <c r="J2074" s="81"/>
      <c r="K2074" s="81"/>
      <c r="L2074" s="81"/>
      <c r="M2074" s="81"/>
      <c r="N2074" s="82"/>
    </row>
    <row r="2075">
      <c r="C2075" s="41"/>
      <c r="D2075" s="141"/>
      <c r="E2075" s="118"/>
      <c r="F2075" s="126"/>
      <c r="G2075" s="126"/>
      <c r="H2075" s="126"/>
      <c r="I2075" s="126"/>
      <c r="J2075" s="76"/>
      <c r="K2075" s="76"/>
      <c r="L2075" s="76"/>
      <c r="M2075" s="76"/>
      <c r="N2075" s="114"/>
    </row>
    <row r="2076">
      <c r="C2076" s="41"/>
      <c r="D2076" s="142"/>
      <c r="E2076" s="130"/>
      <c r="F2076" s="128"/>
      <c r="G2076" s="128"/>
      <c r="H2076" s="128"/>
      <c r="I2076" s="128"/>
      <c r="J2076" s="81"/>
      <c r="K2076" s="81"/>
      <c r="L2076" s="81"/>
      <c r="M2076" s="81"/>
      <c r="N2076" s="82"/>
    </row>
    <row r="2077">
      <c r="C2077" s="41"/>
      <c r="D2077" s="141"/>
      <c r="E2077" s="118"/>
      <c r="F2077" s="126"/>
      <c r="G2077" s="126"/>
      <c r="H2077" s="126"/>
      <c r="I2077" s="126"/>
      <c r="J2077" s="76"/>
      <c r="K2077" s="76"/>
      <c r="L2077" s="76"/>
      <c r="M2077" s="76"/>
      <c r="N2077" s="114"/>
    </row>
    <row r="2078">
      <c r="C2078" s="41"/>
      <c r="D2078" s="142"/>
      <c r="E2078" s="130"/>
      <c r="F2078" s="128"/>
      <c r="G2078" s="128"/>
      <c r="H2078" s="128"/>
      <c r="I2078" s="128"/>
      <c r="J2078" s="81"/>
      <c r="K2078" s="81"/>
      <c r="L2078" s="81"/>
      <c r="M2078" s="81"/>
      <c r="N2078" s="82"/>
    </row>
    <row r="2079">
      <c r="C2079" s="41"/>
      <c r="D2079" s="141"/>
      <c r="E2079" s="118"/>
      <c r="F2079" s="126"/>
      <c r="G2079" s="126"/>
      <c r="H2079" s="126"/>
      <c r="I2079" s="126"/>
      <c r="J2079" s="76"/>
      <c r="K2079" s="76"/>
      <c r="L2079" s="76"/>
      <c r="M2079" s="76"/>
      <c r="N2079" s="114"/>
    </row>
    <row r="2080">
      <c r="C2080" s="41"/>
      <c r="D2080" s="142"/>
      <c r="E2080" s="130"/>
      <c r="F2080" s="128"/>
      <c r="G2080" s="128"/>
      <c r="H2080" s="128"/>
      <c r="I2080" s="128"/>
      <c r="J2080" s="81"/>
      <c r="K2080" s="81"/>
      <c r="L2080" s="81"/>
      <c r="M2080" s="81"/>
      <c r="N2080" s="82"/>
    </row>
    <row r="2081">
      <c r="C2081" s="41"/>
      <c r="D2081" s="141"/>
      <c r="E2081" s="118"/>
      <c r="F2081" s="126"/>
      <c r="G2081" s="126"/>
      <c r="H2081" s="126"/>
      <c r="I2081" s="126"/>
      <c r="J2081" s="76"/>
      <c r="K2081" s="76"/>
      <c r="L2081" s="76"/>
      <c r="M2081" s="76"/>
      <c r="N2081" s="114"/>
    </row>
    <row r="2082">
      <c r="C2082" s="41"/>
      <c r="D2082" s="142"/>
      <c r="E2082" s="130"/>
      <c r="F2082" s="128"/>
      <c r="G2082" s="128"/>
      <c r="H2082" s="128"/>
      <c r="I2082" s="128"/>
      <c r="J2082" s="81"/>
      <c r="K2082" s="81"/>
      <c r="L2082" s="81"/>
      <c r="M2082" s="81"/>
      <c r="N2082" s="82"/>
    </row>
    <row r="2083">
      <c r="C2083" s="41"/>
      <c r="D2083" s="141"/>
      <c r="E2083" s="118"/>
      <c r="F2083" s="126"/>
      <c r="G2083" s="126"/>
      <c r="H2083" s="126"/>
      <c r="I2083" s="126"/>
      <c r="J2083" s="76"/>
      <c r="K2083" s="76"/>
      <c r="L2083" s="76"/>
      <c r="M2083" s="76"/>
      <c r="N2083" s="114"/>
    </row>
    <row r="2084">
      <c r="C2084" s="41"/>
      <c r="D2084" s="142"/>
      <c r="E2084" s="130"/>
      <c r="F2084" s="128"/>
      <c r="G2084" s="128"/>
      <c r="H2084" s="128"/>
      <c r="I2084" s="128"/>
      <c r="J2084" s="81"/>
      <c r="K2084" s="81"/>
      <c r="L2084" s="81"/>
      <c r="M2084" s="81"/>
      <c r="N2084" s="82"/>
    </row>
    <row r="2085">
      <c r="C2085" s="41"/>
      <c r="D2085" s="141"/>
      <c r="E2085" s="118"/>
      <c r="F2085" s="126"/>
      <c r="G2085" s="126"/>
      <c r="H2085" s="126"/>
      <c r="I2085" s="126"/>
      <c r="J2085" s="76"/>
      <c r="K2085" s="76"/>
      <c r="L2085" s="76"/>
      <c r="M2085" s="76"/>
      <c r="N2085" s="114"/>
    </row>
    <row r="2086">
      <c r="C2086" s="41"/>
      <c r="D2086" s="142"/>
      <c r="E2086" s="130"/>
      <c r="F2086" s="128"/>
      <c r="G2086" s="128"/>
      <c r="H2086" s="128"/>
      <c r="I2086" s="128"/>
      <c r="J2086" s="81"/>
      <c r="K2086" s="81"/>
      <c r="L2086" s="81"/>
      <c r="M2086" s="81"/>
      <c r="N2086" s="82"/>
    </row>
    <row r="2087">
      <c r="C2087" s="41"/>
      <c r="D2087" s="141"/>
      <c r="E2087" s="118"/>
      <c r="F2087" s="126"/>
      <c r="G2087" s="126"/>
      <c r="H2087" s="126"/>
      <c r="I2087" s="126"/>
      <c r="J2087" s="76"/>
      <c r="K2087" s="76"/>
      <c r="L2087" s="76"/>
      <c r="M2087" s="76"/>
      <c r="N2087" s="114"/>
    </row>
    <row r="2088">
      <c r="C2088" s="41"/>
      <c r="D2088" s="142"/>
      <c r="E2088" s="130"/>
      <c r="F2088" s="128"/>
      <c r="G2088" s="128"/>
      <c r="H2088" s="128"/>
      <c r="I2088" s="128"/>
      <c r="J2088" s="81"/>
      <c r="K2088" s="81"/>
      <c r="L2088" s="81"/>
      <c r="M2088" s="81"/>
      <c r="N2088" s="82"/>
    </row>
    <row r="2089">
      <c r="C2089" s="41"/>
      <c r="D2089" s="141"/>
      <c r="E2089" s="118"/>
      <c r="F2089" s="126"/>
      <c r="G2089" s="126"/>
      <c r="H2089" s="126"/>
      <c r="I2089" s="126"/>
      <c r="J2089" s="76"/>
      <c r="K2089" s="76"/>
      <c r="L2089" s="76"/>
      <c r="M2089" s="76"/>
      <c r="N2089" s="114"/>
    </row>
    <row r="2090">
      <c r="C2090" s="41"/>
      <c r="D2090" s="142"/>
      <c r="E2090" s="130"/>
      <c r="F2090" s="128"/>
      <c r="G2090" s="128"/>
      <c r="H2090" s="128"/>
      <c r="I2090" s="128"/>
      <c r="J2090" s="81"/>
      <c r="K2090" s="81"/>
      <c r="L2090" s="81"/>
      <c r="M2090" s="81"/>
      <c r="N2090" s="82"/>
    </row>
    <row r="2091">
      <c r="C2091" s="41"/>
      <c r="D2091" s="141"/>
      <c r="E2091" s="118"/>
      <c r="F2091" s="126"/>
      <c r="G2091" s="126"/>
      <c r="H2091" s="126"/>
      <c r="I2091" s="126"/>
      <c r="J2091" s="76"/>
      <c r="K2091" s="76"/>
      <c r="L2091" s="76"/>
      <c r="M2091" s="76"/>
      <c r="N2091" s="114"/>
    </row>
    <row r="2092">
      <c r="C2092" s="41"/>
      <c r="D2092" s="142"/>
      <c r="E2092" s="130"/>
      <c r="F2092" s="128"/>
      <c r="G2092" s="128"/>
      <c r="H2092" s="128"/>
      <c r="I2092" s="128"/>
      <c r="J2092" s="81"/>
      <c r="K2092" s="81"/>
      <c r="L2092" s="81"/>
      <c r="M2092" s="81"/>
      <c r="N2092" s="82"/>
    </row>
    <row r="2093">
      <c r="C2093" s="41"/>
      <c r="D2093" s="141"/>
      <c r="E2093" s="118"/>
      <c r="F2093" s="126"/>
      <c r="G2093" s="126"/>
      <c r="H2093" s="126"/>
      <c r="I2093" s="126"/>
      <c r="J2093" s="76"/>
      <c r="K2093" s="76"/>
      <c r="L2093" s="76"/>
      <c r="M2093" s="76"/>
      <c r="N2093" s="114"/>
    </row>
    <row r="2094">
      <c r="C2094" s="41"/>
      <c r="D2094" s="142"/>
      <c r="E2094" s="130"/>
      <c r="F2094" s="128"/>
      <c r="G2094" s="128"/>
      <c r="H2094" s="128"/>
      <c r="I2094" s="128"/>
      <c r="J2094" s="81"/>
      <c r="K2094" s="81"/>
      <c r="L2094" s="81"/>
      <c r="M2094" s="81"/>
      <c r="N2094" s="82"/>
    </row>
    <row r="2095">
      <c r="C2095" s="41"/>
      <c r="D2095" s="141"/>
      <c r="E2095" s="118"/>
      <c r="F2095" s="126"/>
      <c r="G2095" s="126"/>
      <c r="H2095" s="126"/>
      <c r="I2095" s="126"/>
      <c r="J2095" s="76"/>
      <c r="K2095" s="76"/>
      <c r="L2095" s="76"/>
      <c r="M2095" s="76"/>
      <c r="N2095" s="114"/>
    </row>
    <row r="2096">
      <c r="C2096" s="41"/>
      <c r="D2096" s="142"/>
      <c r="E2096" s="130"/>
      <c r="F2096" s="128"/>
      <c r="G2096" s="128"/>
      <c r="H2096" s="128"/>
      <c r="I2096" s="128"/>
      <c r="J2096" s="81"/>
      <c r="K2096" s="81"/>
      <c r="L2096" s="81"/>
      <c r="M2096" s="81"/>
      <c r="N2096" s="82"/>
    </row>
    <row r="2097">
      <c r="C2097" s="41"/>
      <c r="D2097" s="141"/>
      <c r="E2097" s="118"/>
      <c r="F2097" s="126"/>
      <c r="G2097" s="126"/>
      <c r="H2097" s="126"/>
      <c r="I2097" s="126"/>
      <c r="J2097" s="76"/>
      <c r="K2097" s="76"/>
      <c r="L2097" s="76"/>
      <c r="M2097" s="76"/>
      <c r="N2097" s="114"/>
    </row>
    <row r="2098">
      <c r="C2098" s="41"/>
      <c r="D2098" s="142"/>
      <c r="E2098" s="130"/>
      <c r="F2098" s="128"/>
      <c r="G2098" s="128"/>
      <c r="H2098" s="128"/>
      <c r="I2098" s="128"/>
      <c r="J2098" s="81"/>
      <c r="K2098" s="81"/>
      <c r="L2098" s="81"/>
      <c r="M2098" s="81"/>
      <c r="N2098" s="82"/>
    </row>
    <row r="2099">
      <c r="C2099" s="41"/>
      <c r="D2099" s="141"/>
      <c r="E2099" s="118"/>
      <c r="F2099" s="126"/>
      <c r="G2099" s="126"/>
      <c r="H2099" s="126"/>
      <c r="I2099" s="126"/>
      <c r="J2099" s="76"/>
      <c r="K2099" s="76"/>
      <c r="L2099" s="76"/>
      <c r="M2099" s="76"/>
      <c r="N2099" s="114"/>
    </row>
    <row r="2100">
      <c r="C2100" s="41"/>
      <c r="D2100" s="142"/>
      <c r="E2100" s="130"/>
      <c r="F2100" s="128"/>
      <c r="G2100" s="128"/>
      <c r="H2100" s="128"/>
      <c r="I2100" s="128"/>
      <c r="J2100" s="81"/>
      <c r="K2100" s="81"/>
      <c r="L2100" s="81"/>
      <c r="M2100" s="81"/>
      <c r="N2100" s="82"/>
    </row>
    <row r="2101">
      <c r="C2101" s="41"/>
      <c r="D2101" s="141"/>
      <c r="E2101" s="118"/>
      <c r="F2101" s="126"/>
      <c r="G2101" s="126"/>
      <c r="H2101" s="126"/>
      <c r="I2101" s="126"/>
      <c r="J2101" s="76"/>
      <c r="K2101" s="76"/>
      <c r="L2101" s="76"/>
      <c r="M2101" s="76"/>
      <c r="N2101" s="114"/>
    </row>
    <row r="2102">
      <c r="C2102" s="41"/>
      <c r="D2102" s="142"/>
      <c r="E2102" s="130"/>
      <c r="F2102" s="128"/>
      <c r="G2102" s="128"/>
      <c r="H2102" s="128"/>
      <c r="I2102" s="128"/>
      <c r="J2102" s="81"/>
      <c r="K2102" s="81"/>
      <c r="L2102" s="81"/>
      <c r="M2102" s="81"/>
      <c r="N2102" s="82"/>
    </row>
    <row r="2103">
      <c r="C2103" s="41"/>
      <c r="D2103" s="141"/>
      <c r="E2103" s="118"/>
      <c r="F2103" s="126"/>
      <c r="G2103" s="126"/>
      <c r="H2103" s="126"/>
      <c r="I2103" s="126"/>
      <c r="J2103" s="76"/>
      <c r="K2103" s="76"/>
      <c r="L2103" s="76"/>
      <c r="M2103" s="76"/>
      <c r="N2103" s="114"/>
    </row>
    <row r="2104">
      <c r="C2104" s="41"/>
      <c r="D2104" s="142"/>
      <c r="E2104" s="130"/>
      <c r="F2104" s="128"/>
      <c r="G2104" s="128"/>
      <c r="H2104" s="128"/>
      <c r="I2104" s="128"/>
      <c r="J2104" s="81"/>
      <c r="K2104" s="81"/>
      <c r="L2104" s="81"/>
      <c r="M2104" s="81"/>
      <c r="N2104" s="82"/>
    </row>
    <row r="2105">
      <c r="C2105" s="41"/>
      <c r="D2105" s="141"/>
      <c r="E2105" s="118"/>
      <c r="F2105" s="126"/>
      <c r="G2105" s="126"/>
      <c r="H2105" s="126"/>
      <c r="I2105" s="126"/>
      <c r="J2105" s="76"/>
      <c r="K2105" s="76"/>
      <c r="L2105" s="76"/>
      <c r="M2105" s="76"/>
      <c r="N2105" s="114"/>
    </row>
    <row r="2106">
      <c r="C2106" s="41"/>
      <c r="D2106" s="142"/>
      <c r="E2106" s="130"/>
      <c r="F2106" s="128"/>
      <c r="G2106" s="128"/>
      <c r="H2106" s="128"/>
      <c r="I2106" s="128"/>
      <c r="J2106" s="81"/>
      <c r="K2106" s="81"/>
      <c r="L2106" s="81"/>
      <c r="M2106" s="81"/>
      <c r="N2106" s="82"/>
    </row>
    <row r="2107">
      <c r="C2107" s="41"/>
      <c r="D2107" s="141"/>
      <c r="E2107" s="118"/>
      <c r="F2107" s="126"/>
      <c r="G2107" s="126"/>
      <c r="H2107" s="126"/>
      <c r="I2107" s="126"/>
      <c r="J2107" s="76"/>
      <c r="K2107" s="76"/>
      <c r="L2107" s="76"/>
      <c r="M2107" s="76"/>
      <c r="N2107" s="114"/>
    </row>
    <row r="2108">
      <c r="C2108" s="41"/>
      <c r="D2108" s="142"/>
      <c r="E2108" s="130"/>
      <c r="F2108" s="128"/>
      <c r="G2108" s="128"/>
      <c r="H2108" s="128"/>
      <c r="I2108" s="128"/>
      <c r="J2108" s="81"/>
      <c r="K2108" s="81"/>
      <c r="L2108" s="81"/>
      <c r="M2108" s="81"/>
      <c r="N2108" s="82"/>
    </row>
    <row r="2109">
      <c r="C2109" s="41"/>
      <c r="D2109" s="141"/>
      <c r="E2109" s="118"/>
      <c r="F2109" s="126"/>
      <c r="G2109" s="126"/>
      <c r="H2109" s="126"/>
      <c r="I2109" s="126"/>
      <c r="J2109" s="76"/>
      <c r="K2109" s="76"/>
      <c r="L2109" s="76"/>
      <c r="M2109" s="76"/>
      <c r="N2109" s="114"/>
    </row>
    <row r="2110">
      <c r="C2110" s="41"/>
      <c r="D2110" s="142"/>
      <c r="E2110" s="130"/>
      <c r="F2110" s="128"/>
      <c r="G2110" s="128"/>
      <c r="H2110" s="128"/>
      <c r="I2110" s="128"/>
      <c r="J2110" s="81"/>
      <c r="K2110" s="81"/>
      <c r="L2110" s="81"/>
      <c r="M2110" s="81"/>
      <c r="N2110" s="82"/>
    </row>
    <row r="2111">
      <c r="C2111" s="41"/>
      <c r="D2111" s="141"/>
      <c r="E2111" s="118"/>
      <c r="F2111" s="126"/>
      <c r="G2111" s="126"/>
      <c r="H2111" s="126"/>
      <c r="I2111" s="126"/>
      <c r="J2111" s="76"/>
      <c r="K2111" s="76"/>
      <c r="L2111" s="76"/>
      <c r="M2111" s="76"/>
      <c r="N2111" s="114"/>
    </row>
    <row r="2112">
      <c r="C2112" s="41"/>
      <c r="D2112" s="142"/>
      <c r="E2112" s="130"/>
      <c r="F2112" s="128"/>
      <c r="G2112" s="128"/>
      <c r="H2112" s="128"/>
      <c r="I2112" s="128"/>
      <c r="J2112" s="81"/>
      <c r="K2112" s="81"/>
      <c r="L2112" s="81"/>
      <c r="M2112" s="81"/>
      <c r="N2112" s="82"/>
    </row>
    <row r="2113">
      <c r="C2113" s="41"/>
      <c r="D2113" s="141"/>
      <c r="E2113" s="118"/>
      <c r="F2113" s="126"/>
      <c r="G2113" s="126"/>
      <c r="H2113" s="126"/>
      <c r="I2113" s="126"/>
      <c r="J2113" s="76"/>
      <c r="K2113" s="76"/>
      <c r="L2113" s="76"/>
      <c r="M2113" s="76"/>
      <c r="N2113" s="114"/>
    </row>
    <row r="2114">
      <c r="C2114" s="41"/>
      <c r="D2114" s="142"/>
      <c r="E2114" s="130"/>
      <c r="F2114" s="128"/>
      <c r="G2114" s="128"/>
      <c r="H2114" s="128"/>
      <c r="I2114" s="128"/>
      <c r="J2114" s="81"/>
      <c r="K2114" s="81"/>
      <c r="L2114" s="81"/>
      <c r="M2114" s="81"/>
      <c r="N2114" s="82"/>
    </row>
    <row r="2115">
      <c r="C2115" s="41"/>
      <c r="D2115" s="141"/>
      <c r="E2115" s="118"/>
      <c r="F2115" s="126"/>
      <c r="G2115" s="126"/>
      <c r="H2115" s="126"/>
      <c r="I2115" s="126"/>
      <c r="J2115" s="76"/>
      <c r="K2115" s="76"/>
      <c r="L2115" s="76"/>
      <c r="M2115" s="76"/>
      <c r="N2115" s="114"/>
    </row>
    <row r="2116">
      <c r="C2116" s="41"/>
      <c r="D2116" s="142"/>
      <c r="E2116" s="130"/>
      <c r="F2116" s="128"/>
      <c r="G2116" s="128"/>
      <c r="H2116" s="128"/>
      <c r="I2116" s="128"/>
      <c r="J2116" s="81"/>
      <c r="K2116" s="81"/>
      <c r="L2116" s="81"/>
      <c r="M2116" s="81"/>
      <c r="N2116" s="82"/>
    </row>
    <row r="2117">
      <c r="C2117" s="41"/>
      <c r="D2117" s="141"/>
      <c r="E2117" s="118"/>
      <c r="F2117" s="126"/>
      <c r="G2117" s="126"/>
      <c r="H2117" s="126"/>
      <c r="I2117" s="126"/>
      <c r="J2117" s="76"/>
      <c r="K2117" s="76"/>
      <c r="L2117" s="76"/>
      <c r="M2117" s="76"/>
      <c r="N2117" s="114"/>
    </row>
    <row r="2118">
      <c r="C2118" s="41"/>
      <c r="D2118" s="142"/>
      <c r="E2118" s="130"/>
      <c r="F2118" s="128"/>
      <c r="G2118" s="128"/>
      <c r="H2118" s="128"/>
      <c r="I2118" s="128"/>
      <c r="J2118" s="81"/>
      <c r="K2118" s="81"/>
      <c r="L2118" s="81"/>
      <c r="M2118" s="81"/>
      <c r="N2118" s="82"/>
    </row>
    <row r="2119">
      <c r="C2119" s="41"/>
      <c r="D2119" s="141"/>
      <c r="E2119" s="118"/>
      <c r="F2119" s="126"/>
      <c r="G2119" s="126"/>
      <c r="H2119" s="126"/>
      <c r="I2119" s="126"/>
      <c r="J2119" s="76"/>
      <c r="K2119" s="76"/>
      <c r="L2119" s="76"/>
      <c r="M2119" s="76"/>
      <c r="N2119" s="114"/>
    </row>
    <row r="2120">
      <c r="C2120" s="41"/>
      <c r="D2120" s="142"/>
      <c r="E2120" s="130"/>
      <c r="F2120" s="128"/>
      <c r="G2120" s="128"/>
      <c r="H2120" s="128"/>
      <c r="I2120" s="128"/>
      <c r="J2120" s="81"/>
      <c r="K2120" s="81"/>
      <c r="L2120" s="81"/>
      <c r="M2120" s="81"/>
      <c r="N2120" s="82"/>
    </row>
    <row r="2121">
      <c r="C2121" s="41"/>
      <c r="D2121" s="141"/>
      <c r="E2121" s="118"/>
      <c r="F2121" s="126"/>
      <c r="G2121" s="126"/>
      <c r="H2121" s="126"/>
      <c r="I2121" s="126"/>
      <c r="J2121" s="76"/>
      <c r="K2121" s="76"/>
      <c r="L2121" s="76"/>
      <c r="M2121" s="76"/>
      <c r="N2121" s="114"/>
    </row>
    <row r="2122">
      <c r="C2122" s="41"/>
      <c r="D2122" s="142"/>
      <c r="E2122" s="130"/>
      <c r="F2122" s="128"/>
      <c r="G2122" s="128"/>
      <c r="H2122" s="128"/>
      <c r="I2122" s="128"/>
      <c r="J2122" s="81"/>
      <c r="K2122" s="81"/>
      <c r="L2122" s="81"/>
      <c r="M2122" s="81"/>
      <c r="N2122" s="82"/>
    </row>
    <row r="2123">
      <c r="C2123" s="41"/>
      <c r="D2123" s="141"/>
      <c r="E2123" s="118"/>
      <c r="F2123" s="126"/>
      <c r="G2123" s="126"/>
      <c r="H2123" s="126"/>
      <c r="I2123" s="126"/>
      <c r="J2123" s="76"/>
      <c r="K2123" s="76"/>
      <c r="L2123" s="76"/>
      <c r="M2123" s="76"/>
      <c r="N2123" s="114"/>
    </row>
    <row r="2124">
      <c r="C2124" s="41"/>
      <c r="D2124" s="142"/>
      <c r="E2124" s="130"/>
      <c r="F2124" s="128"/>
      <c r="G2124" s="128"/>
      <c r="H2124" s="128"/>
      <c r="I2124" s="128"/>
      <c r="J2124" s="81"/>
      <c r="K2124" s="81"/>
      <c r="L2124" s="81"/>
      <c r="M2124" s="81"/>
      <c r="N2124" s="82"/>
    </row>
    <row r="2125">
      <c r="C2125" s="41"/>
      <c r="D2125" s="141"/>
      <c r="E2125" s="118"/>
      <c r="F2125" s="126"/>
      <c r="G2125" s="126"/>
      <c r="H2125" s="126"/>
      <c r="I2125" s="126"/>
      <c r="J2125" s="76"/>
      <c r="K2125" s="76"/>
      <c r="L2125" s="76"/>
      <c r="M2125" s="76"/>
      <c r="N2125" s="114"/>
    </row>
    <row r="2126">
      <c r="C2126" s="41"/>
      <c r="D2126" s="142"/>
      <c r="E2126" s="130"/>
      <c r="F2126" s="128"/>
      <c r="G2126" s="128"/>
      <c r="H2126" s="128"/>
      <c r="I2126" s="128"/>
      <c r="J2126" s="81"/>
      <c r="K2126" s="81"/>
      <c r="L2126" s="81"/>
      <c r="M2126" s="81"/>
      <c r="N2126" s="82"/>
    </row>
    <row r="2127">
      <c r="C2127" s="41"/>
      <c r="D2127" s="141"/>
      <c r="E2127" s="118"/>
      <c r="F2127" s="126"/>
      <c r="G2127" s="126"/>
      <c r="H2127" s="126"/>
      <c r="I2127" s="126"/>
      <c r="J2127" s="76"/>
      <c r="K2127" s="76"/>
      <c r="L2127" s="76"/>
      <c r="M2127" s="76"/>
      <c r="N2127" s="114"/>
    </row>
    <row r="2128">
      <c r="C2128" s="41"/>
      <c r="D2128" s="142"/>
      <c r="E2128" s="130"/>
      <c r="F2128" s="128"/>
      <c r="G2128" s="128"/>
      <c r="H2128" s="128"/>
      <c r="I2128" s="128"/>
      <c r="J2128" s="81"/>
      <c r="K2128" s="81"/>
      <c r="L2128" s="81"/>
      <c r="M2128" s="81"/>
      <c r="N2128" s="82"/>
    </row>
    <row r="2129">
      <c r="C2129" s="41"/>
      <c r="D2129" s="141"/>
      <c r="E2129" s="118"/>
      <c r="F2129" s="126"/>
      <c r="G2129" s="126"/>
      <c r="H2129" s="126"/>
      <c r="I2129" s="126"/>
      <c r="J2129" s="76"/>
      <c r="K2129" s="76"/>
      <c r="L2129" s="76"/>
      <c r="M2129" s="76"/>
      <c r="N2129" s="114"/>
    </row>
    <row r="2130">
      <c r="C2130" s="41"/>
      <c r="D2130" s="142"/>
      <c r="E2130" s="130"/>
      <c r="F2130" s="128"/>
      <c r="G2130" s="128"/>
      <c r="H2130" s="128"/>
      <c r="I2130" s="128"/>
      <c r="J2130" s="81"/>
      <c r="K2130" s="81"/>
      <c r="L2130" s="81"/>
      <c r="M2130" s="81"/>
      <c r="N2130" s="82"/>
    </row>
    <row r="2131">
      <c r="C2131" s="41"/>
      <c r="D2131" s="141"/>
      <c r="E2131" s="118"/>
      <c r="F2131" s="126"/>
      <c r="G2131" s="126"/>
      <c r="H2131" s="126"/>
      <c r="I2131" s="126"/>
      <c r="J2131" s="76"/>
      <c r="K2131" s="76"/>
      <c r="L2131" s="76"/>
      <c r="M2131" s="76"/>
      <c r="N2131" s="114"/>
    </row>
    <row r="2132">
      <c r="C2132" s="41"/>
      <c r="D2132" s="142"/>
      <c r="E2132" s="130"/>
      <c r="F2132" s="128"/>
      <c r="G2132" s="128"/>
      <c r="H2132" s="128"/>
      <c r="I2132" s="128"/>
      <c r="J2132" s="81"/>
      <c r="K2132" s="81"/>
      <c r="L2132" s="81"/>
      <c r="M2132" s="81"/>
      <c r="N2132" s="82"/>
    </row>
    <row r="2133">
      <c r="C2133" s="41"/>
      <c r="D2133" s="141"/>
      <c r="E2133" s="118"/>
      <c r="F2133" s="126"/>
      <c r="G2133" s="126"/>
      <c r="H2133" s="126"/>
      <c r="I2133" s="126"/>
      <c r="J2133" s="76"/>
      <c r="K2133" s="76"/>
      <c r="L2133" s="76"/>
      <c r="M2133" s="76"/>
      <c r="N2133" s="114"/>
    </row>
    <row r="2134">
      <c r="C2134" s="41"/>
      <c r="D2134" s="142"/>
      <c r="E2134" s="130"/>
      <c r="F2134" s="128"/>
      <c r="G2134" s="128"/>
      <c r="H2134" s="128"/>
      <c r="I2134" s="128"/>
      <c r="J2134" s="81"/>
      <c r="K2134" s="81"/>
      <c r="L2134" s="81"/>
      <c r="M2134" s="81"/>
      <c r="N2134" s="82"/>
    </row>
    <row r="2135">
      <c r="C2135" s="41"/>
      <c r="D2135" s="141"/>
      <c r="E2135" s="118"/>
      <c r="F2135" s="126"/>
      <c r="G2135" s="126"/>
      <c r="H2135" s="126"/>
      <c r="I2135" s="126"/>
      <c r="J2135" s="76"/>
      <c r="K2135" s="76"/>
      <c r="L2135" s="76"/>
      <c r="M2135" s="76"/>
      <c r="N2135" s="114"/>
    </row>
    <row r="2136">
      <c r="C2136" s="41"/>
      <c r="D2136" s="142"/>
      <c r="E2136" s="130"/>
      <c r="F2136" s="128"/>
      <c r="G2136" s="128"/>
      <c r="H2136" s="128"/>
      <c r="I2136" s="128"/>
      <c r="J2136" s="81"/>
      <c r="K2136" s="81"/>
      <c r="L2136" s="81"/>
      <c r="M2136" s="81"/>
      <c r="N2136" s="82"/>
    </row>
    <row r="2137">
      <c r="C2137" s="41"/>
      <c r="D2137" s="141"/>
      <c r="E2137" s="118"/>
      <c r="F2137" s="126"/>
      <c r="G2137" s="126"/>
      <c r="H2137" s="126"/>
      <c r="I2137" s="126"/>
      <c r="J2137" s="76"/>
      <c r="K2137" s="76"/>
      <c r="L2137" s="76"/>
      <c r="M2137" s="76"/>
      <c r="N2137" s="114"/>
    </row>
    <row r="2138">
      <c r="C2138" s="41"/>
      <c r="D2138" s="142"/>
      <c r="E2138" s="130"/>
      <c r="F2138" s="128"/>
      <c r="G2138" s="128"/>
      <c r="H2138" s="128"/>
      <c r="I2138" s="128"/>
      <c r="J2138" s="81"/>
      <c r="K2138" s="81"/>
      <c r="L2138" s="81"/>
      <c r="M2138" s="81"/>
      <c r="N2138" s="82"/>
    </row>
    <row r="2139">
      <c r="C2139" s="41"/>
      <c r="D2139" s="141"/>
      <c r="E2139" s="118"/>
      <c r="F2139" s="126"/>
      <c r="G2139" s="126"/>
      <c r="H2139" s="126"/>
      <c r="I2139" s="126"/>
      <c r="J2139" s="76"/>
      <c r="K2139" s="76"/>
      <c r="L2139" s="76"/>
      <c r="M2139" s="76"/>
      <c r="N2139" s="114"/>
    </row>
    <row r="2140">
      <c r="C2140" s="41"/>
      <c r="D2140" s="142"/>
      <c r="E2140" s="130"/>
      <c r="F2140" s="128"/>
      <c r="G2140" s="128"/>
      <c r="H2140" s="128"/>
      <c r="I2140" s="128"/>
      <c r="J2140" s="81"/>
      <c r="K2140" s="81"/>
      <c r="L2140" s="81"/>
      <c r="M2140" s="81"/>
      <c r="N2140" s="82"/>
    </row>
    <row r="2141">
      <c r="C2141" s="41"/>
      <c r="D2141" s="141"/>
      <c r="E2141" s="118"/>
      <c r="F2141" s="126"/>
      <c r="G2141" s="126"/>
      <c r="H2141" s="126"/>
      <c r="I2141" s="126"/>
      <c r="J2141" s="76"/>
      <c r="K2141" s="76"/>
      <c r="L2141" s="76"/>
      <c r="M2141" s="76"/>
      <c r="N2141" s="114"/>
    </row>
    <row r="2142">
      <c r="C2142" s="41"/>
      <c r="D2142" s="142"/>
      <c r="E2142" s="130"/>
      <c r="F2142" s="128"/>
      <c r="G2142" s="128"/>
      <c r="H2142" s="128"/>
      <c r="I2142" s="128"/>
      <c r="J2142" s="81"/>
      <c r="K2142" s="81"/>
      <c r="L2142" s="81"/>
      <c r="M2142" s="81"/>
      <c r="N2142" s="82"/>
    </row>
    <row r="2143">
      <c r="C2143" s="41"/>
      <c r="D2143" s="141"/>
      <c r="E2143" s="118"/>
      <c r="F2143" s="126"/>
      <c r="G2143" s="126"/>
      <c r="H2143" s="126"/>
      <c r="I2143" s="126"/>
      <c r="J2143" s="76"/>
      <c r="K2143" s="76"/>
      <c r="L2143" s="76"/>
      <c r="M2143" s="76"/>
      <c r="N2143" s="114"/>
    </row>
    <row r="2144">
      <c r="C2144" s="41"/>
      <c r="D2144" s="142"/>
      <c r="E2144" s="130"/>
      <c r="F2144" s="128"/>
      <c r="G2144" s="128"/>
      <c r="H2144" s="128"/>
      <c r="I2144" s="128"/>
      <c r="J2144" s="81"/>
      <c r="K2144" s="81"/>
      <c r="L2144" s="81"/>
      <c r="M2144" s="81"/>
      <c r="N2144" s="82"/>
    </row>
    <row r="2145">
      <c r="C2145" s="41"/>
      <c r="D2145" s="141"/>
      <c r="E2145" s="118"/>
      <c r="F2145" s="126"/>
      <c r="G2145" s="126"/>
      <c r="H2145" s="126"/>
      <c r="I2145" s="126"/>
      <c r="J2145" s="76"/>
      <c r="K2145" s="76"/>
      <c r="L2145" s="76"/>
      <c r="M2145" s="76"/>
      <c r="N2145" s="114"/>
    </row>
    <row r="2146">
      <c r="C2146" s="41"/>
      <c r="D2146" s="142"/>
      <c r="E2146" s="130"/>
      <c r="F2146" s="128"/>
      <c r="G2146" s="128"/>
      <c r="H2146" s="128"/>
      <c r="I2146" s="128"/>
      <c r="J2146" s="81"/>
      <c r="K2146" s="81"/>
      <c r="L2146" s="81"/>
      <c r="M2146" s="81"/>
      <c r="N2146" s="82"/>
    </row>
    <row r="2147">
      <c r="C2147" s="41"/>
      <c r="D2147" s="141"/>
      <c r="E2147" s="118"/>
      <c r="F2147" s="126"/>
      <c r="G2147" s="126"/>
      <c r="H2147" s="126"/>
      <c r="I2147" s="126"/>
      <c r="J2147" s="76"/>
      <c r="K2147" s="76"/>
      <c r="L2147" s="76"/>
      <c r="M2147" s="76"/>
      <c r="N2147" s="114"/>
    </row>
    <row r="2148">
      <c r="C2148" s="41"/>
      <c r="D2148" s="142"/>
      <c r="E2148" s="130"/>
      <c r="F2148" s="128"/>
      <c r="G2148" s="128"/>
      <c r="H2148" s="128"/>
      <c r="I2148" s="128"/>
      <c r="J2148" s="81"/>
      <c r="K2148" s="81"/>
      <c r="L2148" s="81"/>
      <c r="M2148" s="81"/>
      <c r="N2148" s="82"/>
    </row>
    <row r="2149">
      <c r="C2149" s="41"/>
      <c r="D2149" s="141"/>
      <c r="E2149" s="118"/>
      <c r="F2149" s="126"/>
      <c r="G2149" s="126"/>
      <c r="H2149" s="126"/>
      <c r="I2149" s="126"/>
      <c r="J2149" s="76"/>
      <c r="K2149" s="76"/>
      <c r="L2149" s="76"/>
      <c r="M2149" s="76"/>
      <c r="N2149" s="114"/>
    </row>
    <row r="2150">
      <c r="C2150" s="41"/>
      <c r="D2150" s="142"/>
      <c r="E2150" s="130"/>
      <c r="F2150" s="128"/>
      <c r="G2150" s="128"/>
      <c r="H2150" s="128"/>
      <c r="I2150" s="128"/>
      <c r="J2150" s="81"/>
      <c r="K2150" s="81"/>
      <c r="L2150" s="81"/>
      <c r="M2150" s="81"/>
      <c r="N2150" s="82"/>
    </row>
    <row r="2151">
      <c r="C2151" s="41"/>
      <c r="D2151" s="141"/>
      <c r="E2151" s="118"/>
      <c r="F2151" s="126"/>
      <c r="G2151" s="126"/>
      <c r="H2151" s="126"/>
      <c r="I2151" s="126"/>
      <c r="J2151" s="76"/>
      <c r="K2151" s="76"/>
      <c r="L2151" s="76"/>
      <c r="M2151" s="76"/>
      <c r="N2151" s="114"/>
    </row>
    <row r="2152">
      <c r="C2152" s="41"/>
      <c r="D2152" s="142"/>
      <c r="E2152" s="130"/>
      <c r="F2152" s="128"/>
      <c r="G2152" s="128"/>
      <c r="H2152" s="128"/>
      <c r="I2152" s="128"/>
      <c r="J2152" s="81"/>
      <c r="K2152" s="81"/>
      <c r="L2152" s="81"/>
      <c r="M2152" s="81"/>
      <c r="N2152" s="82"/>
    </row>
    <row r="2153">
      <c r="C2153" s="41"/>
      <c r="D2153" s="141"/>
      <c r="E2153" s="118"/>
      <c r="F2153" s="126"/>
      <c r="G2153" s="126"/>
      <c r="H2153" s="126"/>
      <c r="I2153" s="126"/>
      <c r="J2153" s="76"/>
      <c r="K2153" s="76"/>
      <c r="L2153" s="76"/>
      <c r="M2153" s="76"/>
      <c r="N2153" s="114"/>
    </row>
    <row r="2154">
      <c r="C2154" s="41"/>
      <c r="D2154" s="142"/>
      <c r="E2154" s="130"/>
      <c r="F2154" s="128"/>
      <c r="G2154" s="128"/>
      <c r="H2154" s="128"/>
      <c r="I2154" s="128"/>
      <c r="J2154" s="81"/>
      <c r="K2154" s="81"/>
      <c r="L2154" s="81"/>
      <c r="M2154" s="81"/>
      <c r="N2154" s="82"/>
    </row>
    <row r="2155">
      <c r="C2155" s="41"/>
      <c r="D2155" s="141"/>
      <c r="E2155" s="118"/>
      <c r="F2155" s="126"/>
      <c r="G2155" s="126"/>
      <c r="H2155" s="126"/>
      <c r="I2155" s="126"/>
      <c r="J2155" s="76"/>
      <c r="K2155" s="76"/>
      <c r="L2155" s="76"/>
      <c r="M2155" s="76"/>
      <c r="N2155" s="114"/>
    </row>
    <row r="2156">
      <c r="C2156" s="41"/>
      <c r="D2156" s="142"/>
      <c r="E2156" s="130"/>
      <c r="F2156" s="128"/>
      <c r="G2156" s="128"/>
      <c r="H2156" s="128"/>
      <c r="I2156" s="128"/>
      <c r="J2156" s="81"/>
      <c r="K2156" s="81"/>
      <c r="L2156" s="81"/>
      <c r="M2156" s="81"/>
      <c r="N2156" s="82"/>
    </row>
    <row r="2157">
      <c r="C2157" s="41"/>
      <c r="D2157" s="141"/>
      <c r="E2157" s="118"/>
      <c r="F2157" s="126"/>
      <c r="G2157" s="126"/>
      <c r="H2157" s="126"/>
      <c r="I2157" s="126"/>
      <c r="J2157" s="76"/>
      <c r="K2157" s="76"/>
      <c r="L2157" s="76"/>
      <c r="M2157" s="76"/>
      <c r="N2157" s="114"/>
    </row>
    <row r="2158">
      <c r="C2158" s="41"/>
      <c r="D2158" s="142"/>
      <c r="E2158" s="130"/>
      <c r="F2158" s="128"/>
      <c r="G2158" s="128"/>
      <c r="H2158" s="128"/>
      <c r="I2158" s="128"/>
      <c r="J2158" s="81"/>
      <c r="K2158" s="81"/>
      <c r="L2158" s="81"/>
      <c r="M2158" s="81"/>
      <c r="N2158" s="82"/>
    </row>
    <row r="2159">
      <c r="C2159" s="41"/>
      <c r="D2159" s="141"/>
      <c r="E2159" s="118"/>
      <c r="F2159" s="126"/>
      <c r="G2159" s="126"/>
      <c r="H2159" s="126"/>
      <c r="I2159" s="126"/>
      <c r="J2159" s="76"/>
      <c r="K2159" s="76"/>
      <c r="L2159" s="76"/>
      <c r="M2159" s="76"/>
      <c r="N2159" s="114"/>
    </row>
    <row r="2160">
      <c r="C2160" s="41"/>
      <c r="D2160" s="142"/>
      <c r="E2160" s="130"/>
      <c r="F2160" s="128"/>
      <c r="G2160" s="128"/>
      <c r="H2160" s="128"/>
      <c r="I2160" s="128"/>
      <c r="J2160" s="81"/>
      <c r="K2160" s="81"/>
      <c r="L2160" s="81"/>
      <c r="M2160" s="81"/>
      <c r="N2160" s="82"/>
    </row>
    <row r="2161">
      <c r="C2161" s="41"/>
      <c r="D2161" s="141"/>
      <c r="E2161" s="118"/>
      <c r="F2161" s="126"/>
      <c r="G2161" s="126"/>
      <c r="H2161" s="126"/>
      <c r="I2161" s="126"/>
      <c r="J2161" s="76"/>
      <c r="K2161" s="76"/>
      <c r="L2161" s="76"/>
      <c r="M2161" s="76"/>
      <c r="N2161" s="114"/>
    </row>
    <row r="2162">
      <c r="C2162" s="41"/>
      <c r="D2162" s="142"/>
      <c r="E2162" s="130"/>
      <c r="F2162" s="128"/>
      <c r="G2162" s="128"/>
      <c r="H2162" s="128"/>
      <c r="I2162" s="128"/>
      <c r="J2162" s="81"/>
      <c r="K2162" s="81"/>
      <c r="L2162" s="81"/>
      <c r="M2162" s="81"/>
      <c r="N2162" s="82"/>
    </row>
    <row r="2163">
      <c r="C2163" s="41"/>
      <c r="D2163" s="141"/>
      <c r="E2163" s="118"/>
      <c r="F2163" s="126"/>
      <c r="G2163" s="126"/>
      <c r="H2163" s="126"/>
      <c r="I2163" s="126"/>
      <c r="J2163" s="76"/>
      <c r="K2163" s="76"/>
      <c r="L2163" s="76"/>
      <c r="M2163" s="76"/>
      <c r="N2163" s="114"/>
    </row>
    <row r="2164">
      <c r="C2164" s="41"/>
      <c r="D2164" s="142"/>
      <c r="E2164" s="130"/>
      <c r="F2164" s="128"/>
      <c r="G2164" s="128"/>
      <c r="H2164" s="128"/>
      <c r="I2164" s="128"/>
      <c r="J2164" s="81"/>
      <c r="K2164" s="81"/>
      <c r="L2164" s="81"/>
      <c r="M2164" s="81"/>
      <c r="N2164" s="82"/>
    </row>
    <row r="2165">
      <c r="C2165" s="41"/>
      <c r="D2165" s="141"/>
      <c r="E2165" s="118"/>
      <c r="F2165" s="126"/>
      <c r="G2165" s="126"/>
      <c r="H2165" s="126"/>
      <c r="I2165" s="126"/>
      <c r="J2165" s="76"/>
      <c r="K2165" s="76"/>
      <c r="L2165" s="76"/>
      <c r="M2165" s="76"/>
      <c r="N2165" s="114"/>
    </row>
    <row r="2166">
      <c r="C2166" s="41"/>
      <c r="D2166" s="142"/>
      <c r="E2166" s="130"/>
      <c r="F2166" s="128"/>
      <c r="G2166" s="128"/>
      <c r="H2166" s="128"/>
      <c r="I2166" s="128"/>
      <c r="J2166" s="81"/>
      <c r="K2166" s="81"/>
      <c r="L2166" s="81"/>
      <c r="M2166" s="81"/>
      <c r="N2166" s="82"/>
    </row>
    <row r="2167">
      <c r="C2167" s="41"/>
      <c r="D2167" s="141"/>
      <c r="E2167" s="118"/>
      <c r="F2167" s="126"/>
      <c r="G2167" s="126"/>
      <c r="H2167" s="126"/>
      <c r="I2167" s="126"/>
      <c r="J2167" s="76"/>
      <c r="K2167" s="76"/>
      <c r="L2167" s="76"/>
      <c r="M2167" s="76"/>
      <c r="N2167" s="114"/>
    </row>
    <row r="2168">
      <c r="C2168" s="41"/>
      <c r="D2168" s="142"/>
      <c r="E2168" s="130"/>
      <c r="F2168" s="128"/>
      <c r="G2168" s="128"/>
      <c r="H2168" s="128"/>
      <c r="I2168" s="128"/>
      <c r="J2168" s="81"/>
      <c r="K2168" s="81"/>
      <c r="L2168" s="81"/>
      <c r="M2168" s="81"/>
      <c r="N2168" s="82"/>
    </row>
    <row r="2169">
      <c r="C2169" s="41"/>
      <c r="D2169" s="141"/>
      <c r="E2169" s="118"/>
      <c r="F2169" s="126"/>
      <c r="G2169" s="126"/>
      <c r="H2169" s="126"/>
      <c r="I2169" s="126"/>
      <c r="J2169" s="76"/>
      <c r="K2169" s="76"/>
      <c r="L2169" s="76"/>
      <c r="M2169" s="76"/>
      <c r="N2169" s="114"/>
    </row>
    <row r="2170">
      <c r="C2170" s="41"/>
      <c r="D2170" s="142"/>
      <c r="E2170" s="130"/>
      <c r="F2170" s="128"/>
      <c r="G2170" s="128"/>
      <c r="H2170" s="128"/>
      <c r="I2170" s="128"/>
      <c r="J2170" s="81"/>
      <c r="K2170" s="81"/>
      <c r="L2170" s="81"/>
      <c r="M2170" s="81"/>
      <c r="N2170" s="82"/>
    </row>
    <row r="2171">
      <c r="C2171" s="41"/>
      <c r="D2171" s="141"/>
      <c r="E2171" s="118"/>
      <c r="F2171" s="126"/>
      <c r="G2171" s="126"/>
      <c r="H2171" s="126"/>
      <c r="I2171" s="126"/>
      <c r="J2171" s="76"/>
      <c r="K2171" s="76"/>
      <c r="L2171" s="76"/>
      <c r="M2171" s="76"/>
      <c r="N2171" s="114"/>
    </row>
    <row r="2172">
      <c r="C2172" s="41"/>
      <c r="D2172" s="142"/>
      <c r="E2172" s="130"/>
      <c r="F2172" s="128"/>
      <c r="G2172" s="128"/>
      <c r="H2172" s="128"/>
      <c r="I2172" s="128"/>
      <c r="J2172" s="81"/>
      <c r="K2172" s="81"/>
      <c r="L2172" s="81"/>
      <c r="M2172" s="81"/>
      <c r="N2172" s="82"/>
    </row>
    <row r="2173">
      <c r="C2173" s="41"/>
      <c r="D2173" s="141"/>
      <c r="E2173" s="118"/>
      <c r="F2173" s="126"/>
      <c r="G2173" s="126"/>
      <c r="H2173" s="126"/>
      <c r="I2173" s="126"/>
      <c r="J2173" s="76"/>
      <c r="K2173" s="76"/>
      <c r="L2173" s="76"/>
      <c r="M2173" s="76"/>
      <c r="N2173" s="114"/>
    </row>
    <row r="2174">
      <c r="C2174" s="41"/>
      <c r="D2174" s="142"/>
      <c r="E2174" s="130"/>
      <c r="F2174" s="128"/>
      <c r="G2174" s="128"/>
      <c r="H2174" s="128"/>
      <c r="I2174" s="128"/>
      <c r="J2174" s="81"/>
      <c r="K2174" s="81"/>
      <c r="L2174" s="81"/>
      <c r="M2174" s="81"/>
      <c r="N2174" s="82"/>
    </row>
    <row r="2175">
      <c r="C2175" s="41"/>
      <c r="D2175" s="141"/>
      <c r="E2175" s="118"/>
      <c r="F2175" s="126"/>
      <c r="G2175" s="126"/>
      <c r="H2175" s="126"/>
      <c r="I2175" s="126"/>
      <c r="J2175" s="76"/>
      <c r="K2175" s="76"/>
      <c r="L2175" s="76"/>
      <c r="M2175" s="76"/>
      <c r="N2175" s="114"/>
    </row>
    <row r="2176">
      <c r="C2176" s="41"/>
      <c r="D2176" s="142"/>
      <c r="E2176" s="130"/>
      <c r="F2176" s="128"/>
      <c r="G2176" s="128"/>
      <c r="H2176" s="128"/>
      <c r="I2176" s="128"/>
      <c r="J2176" s="81"/>
      <c r="K2176" s="81"/>
      <c r="L2176" s="81"/>
      <c r="M2176" s="81"/>
      <c r="N2176" s="82"/>
    </row>
    <row r="2177">
      <c r="C2177" s="41"/>
      <c r="D2177" s="141"/>
      <c r="E2177" s="118"/>
      <c r="F2177" s="126"/>
      <c r="G2177" s="126"/>
      <c r="H2177" s="126"/>
      <c r="I2177" s="126"/>
      <c r="J2177" s="76"/>
      <c r="K2177" s="76"/>
      <c r="L2177" s="76"/>
      <c r="M2177" s="76"/>
      <c r="N2177" s="114"/>
    </row>
    <row r="2178">
      <c r="C2178" s="41"/>
      <c r="D2178" s="142"/>
      <c r="E2178" s="130"/>
      <c r="F2178" s="128"/>
      <c r="G2178" s="128"/>
      <c r="H2178" s="128"/>
      <c r="I2178" s="128"/>
      <c r="J2178" s="81"/>
      <c r="K2178" s="81"/>
      <c r="L2178" s="81"/>
      <c r="M2178" s="81"/>
      <c r="N2178" s="82"/>
    </row>
    <row r="2179">
      <c r="C2179" s="41"/>
      <c r="D2179" s="141"/>
      <c r="E2179" s="118"/>
      <c r="F2179" s="126"/>
      <c r="G2179" s="126"/>
      <c r="H2179" s="126"/>
      <c r="I2179" s="126"/>
      <c r="J2179" s="76"/>
      <c r="K2179" s="76"/>
      <c r="L2179" s="76"/>
      <c r="M2179" s="76"/>
      <c r="N2179" s="114"/>
    </row>
    <row r="2180">
      <c r="C2180" s="41"/>
      <c r="D2180" s="142"/>
      <c r="E2180" s="130"/>
      <c r="F2180" s="128"/>
      <c r="G2180" s="128"/>
      <c r="H2180" s="128"/>
      <c r="I2180" s="128"/>
      <c r="J2180" s="81"/>
      <c r="K2180" s="81"/>
      <c r="L2180" s="81"/>
      <c r="M2180" s="81"/>
      <c r="N2180" s="82"/>
    </row>
    <row r="2181">
      <c r="C2181" s="41"/>
      <c r="D2181" s="141"/>
      <c r="E2181" s="118"/>
      <c r="F2181" s="126"/>
      <c r="G2181" s="126"/>
      <c r="H2181" s="126"/>
      <c r="I2181" s="126"/>
      <c r="J2181" s="76"/>
      <c r="K2181" s="76"/>
      <c r="L2181" s="76"/>
      <c r="M2181" s="76"/>
      <c r="N2181" s="114"/>
    </row>
    <row r="2182">
      <c r="C2182" s="41"/>
      <c r="D2182" s="142"/>
      <c r="E2182" s="130"/>
      <c r="F2182" s="128"/>
      <c r="G2182" s="128"/>
      <c r="H2182" s="128"/>
      <c r="I2182" s="128"/>
      <c r="J2182" s="81"/>
      <c r="K2182" s="81"/>
      <c r="L2182" s="81"/>
      <c r="M2182" s="81"/>
      <c r="N2182" s="82"/>
    </row>
    <row r="2183">
      <c r="C2183" s="41"/>
      <c r="D2183" s="141"/>
      <c r="E2183" s="118"/>
      <c r="F2183" s="126"/>
      <c r="G2183" s="126"/>
      <c r="H2183" s="126"/>
      <c r="I2183" s="126"/>
      <c r="J2183" s="76"/>
      <c r="K2183" s="76"/>
      <c r="L2183" s="76"/>
      <c r="M2183" s="76"/>
      <c r="N2183" s="114"/>
    </row>
    <row r="2184">
      <c r="C2184" s="41"/>
      <c r="D2184" s="142"/>
      <c r="E2184" s="130"/>
      <c r="F2184" s="128"/>
      <c r="G2184" s="128"/>
      <c r="H2184" s="128"/>
      <c r="I2184" s="128"/>
      <c r="J2184" s="81"/>
      <c r="K2184" s="81"/>
      <c r="L2184" s="81"/>
      <c r="M2184" s="81"/>
      <c r="N2184" s="82"/>
    </row>
    <row r="2185">
      <c r="C2185" s="41"/>
      <c r="D2185" s="141"/>
      <c r="E2185" s="118"/>
      <c r="F2185" s="126"/>
      <c r="G2185" s="126"/>
      <c r="H2185" s="126"/>
      <c r="I2185" s="126"/>
      <c r="J2185" s="76"/>
      <c r="K2185" s="76"/>
      <c r="L2185" s="76"/>
      <c r="M2185" s="76"/>
      <c r="N2185" s="114"/>
    </row>
    <row r="2186">
      <c r="C2186" s="41"/>
      <c r="D2186" s="142"/>
      <c r="E2186" s="130"/>
      <c r="F2186" s="128"/>
      <c r="G2186" s="128"/>
      <c r="H2186" s="128"/>
      <c r="I2186" s="128"/>
      <c r="J2186" s="81"/>
      <c r="K2186" s="81"/>
      <c r="L2186" s="81"/>
      <c r="M2186" s="81"/>
      <c r="N2186" s="82"/>
    </row>
    <row r="2187">
      <c r="C2187" s="41"/>
      <c r="D2187" s="141"/>
      <c r="E2187" s="118"/>
      <c r="F2187" s="126"/>
      <c r="G2187" s="126"/>
      <c r="H2187" s="126"/>
      <c r="I2187" s="126"/>
      <c r="J2187" s="76"/>
      <c r="K2187" s="76"/>
      <c r="L2187" s="76"/>
      <c r="M2187" s="76"/>
      <c r="N2187" s="114"/>
    </row>
    <row r="2188">
      <c r="C2188" s="41"/>
      <c r="D2188" s="142"/>
      <c r="E2188" s="130"/>
      <c r="F2188" s="128"/>
      <c r="G2188" s="128"/>
      <c r="H2188" s="128"/>
      <c r="I2188" s="128"/>
      <c r="J2188" s="81"/>
      <c r="K2188" s="81"/>
      <c r="L2188" s="81"/>
      <c r="M2188" s="81"/>
      <c r="N2188" s="82"/>
    </row>
    <row r="2189">
      <c r="C2189" s="41"/>
      <c r="D2189" s="141"/>
      <c r="E2189" s="118"/>
      <c r="F2189" s="126"/>
      <c r="G2189" s="126"/>
      <c r="H2189" s="126"/>
      <c r="I2189" s="126"/>
      <c r="J2189" s="76"/>
      <c r="K2189" s="76"/>
      <c r="L2189" s="76"/>
      <c r="M2189" s="76"/>
      <c r="N2189" s="114"/>
    </row>
    <row r="2190">
      <c r="C2190" s="41"/>
      <c r="D2190" s="142"/>
      <c r="E2190" s="130"/>
      <c r="F2190" s="128"/>
      <c r="G2190" s="128"/>
      <c r="H2190" s="128"/>
      <c r="I2190" s="128"/>
      <c r="J2190" s="81"/>
      <c r="K2190" s="81"/>
      <c r="L2190" s="81"/>
      <c r="M2190" s="81"/>
      <c r="N2190" s="82"/>
    </row>
    <row r="2191">
      <c r="C2191" s="41"/>
      <c r="D2191" s="141"/>
      <c r="E2191" s="118"/>
      <c r="F2191" s="126"/>
      <c r="G2191" s="126"/>
      <c r="H2191" s="126"/>
      <c r="I2191" s="126"/>
      <c r="J2191" s="76"/>
      <c r="K2191" s="76"/>
      <c r="L2191" s="76"/>
      <c r="M2191" s="76"/>
      <c r="N2191" s="114"/>
    </row>
    <row r="2192">
      <c r="C2192" s="41"/>
      <c r="D2192" s="142"/>
      <c r="E2192" s="130"/>
      <c r="F2192" s="128"/>
      <c r="G2192" s="128"/>
      <c r="H2192" s="128"/>
      <c r="I2192" s="128"/>
      <c r="J2192" s="81"/>
      <c r="K2192" s="81"/>
      <c r="L2192" s="81"/>
      <c r="M2192" s="81"/>
      <c r="N2192" s="82"/>
    </row>
    <row r="2193">
      <c r="C2193" s="41"/>
      <c r="D2193" s="141"/>
      <c r="E2193" s="118"/>
      <c r="F2193" s="126"/>
      <c r="G2193" s="126"/>
      <c r="H2193" s="126"/>
      <c r="I2193" s="126"/>
      <c r="J2193" s="76"/>
      <c r="K2193" s="76"/>
      <c r="L2193" s="76"/>
      <c r="M2193" s="76"/>
      <c r="N2193" s="114"/>
    </row>
    <row r="2194">
      <c r="C2194" s="41"/>
      <c r="D2194" s="142"/>
      <c r="E2194" s="130"/>
      <c r="F2194" s="128"/>
      <c r="G2194" s="128"/>
      <c r="H2194" s="128"/>
      <c r="I2194" s="128"/>
      <c r="J2194" s="81"/>
      <c r="K2194" s="81"/>
      <c r="L2194" s="81"/>
      <c r="M2194" s="81"/>
      <c r="N2194" s="82"/>
    </row>
    <row r="2195">
      <c r="C2195" s="41"/>
      <c r="D2195" s="141"/>
      <c r="E2195" s="118"/>
      <c r="F2195" s="126"/>
      <c r="G2195" s="126"/>
      <c r="H2195" s="126"/>
      <c r="I2195" s="126"/>
      <c r="J2195" s="76"/>
      <c r="K2195" s="76"/>
      <c r="L2195" s="76"/>
      <c r="M2195" s="76"/>
      <c r="N2195" s="114"/>
    </row>
    <row r="2196">
      <c r="C2196" s="41"/>
      <c r="D2196" s="142"/>
      <c r="E2196" s="130"/>
      <c r="F2196" s="128"/>
      <c r="G2196" s="128"/>
      <c r="H2196" s="128"/>
      <c r="I2196" s="128"/>
      <c r="J2196" s="81"/>
      <c r="K2196" s="81"/>
      <c r="L2196" s="81"/>
      <c r="M2196" s="81"/>
      <c r="N2196" s="82"/>
    </row>
    <row r="2197">
      <c r="C2197" s="41"/>
      <c r="D2197" s="141"/>
      <c r="E2197" s="118"/>
      <c r="F2197" s="126"/>
      <c r="G2197" s="126"/>
      <c r="H2197" s="126"/>
      <c r="I2197" s="126"/>
      <c r="J2197" s="76"/>
      <c r="K2197" s="76"/>
      <c r="L2197" s="76"/>
      <c r="M2197" s="76"/>
      <c r="N2197" s="114"/>
    </row>
    <row r="2198">
      <c r="C2198" s="41"/>
      <c r="D2198" s="142"/>
      <c r="E2198" s="130"/>
      <c r="F2198" s="128"/>
      <c r="G2198" s="128"/>
      <c r="H2198" s="128"/>
      <c r="I2198" s="128"/>
      <c r="J2198" s="81"/>
      <c r="K2198" s="81"/>
      <c r="L2198" s="81"/>
      <c r="M2198" s="81"/>
      <c r="N2198" s="82"/>
    </row>
    <row r="2199">
      <c r="C2199" s="41"/>
      <c r="D2199" s="141"/>
      <c r="E2199" s="118"/>
      <c r="F2199" s="126"/>
      <c r="G2199" s="126"/>
      <c r="H2199" s="126"/>
      <c r="I2199" s="126"/>
      <c r="J2199" s="76"/>
      <c r="K2199" s="76"/>
      <c r="L2199" s="76"/>
      <c r="M2199" s="76"/>
      <c r="N2199" s="114"/>
    </row>
    <row r="2200">
      <c r="C2200" s="41"/>
      <c r="D2200" s="142"/>
      <c r="E2200" s="130"/>
      <c r="F2200" s="128"/>
      <c r="G2200" s="128"/>
      <c r="H2200" s="128"/>
      <c r="I2200" s="128"/>
      <c r="J2200" s="81"/>
      <c r="K2200" s="81"/>
      <c r="L2200" s="81"/>
      <c r="M2200" s="81"/>
      <c r="N2200" s="82"/>
    </row>
    <row r="2201">
      <c r="C2201" s="41"/>
      <c r="D2201" s="141"/>
      <c r="E2201" s="118"/>
      <c r="F2201" s="126"/>
      <c r="G2201" s="126"/>
      <c r="H2201" s="126"/>
      <c r="I2201" s="126"/>
      <c r="J2201" s="76"/>
      <c r="K2201" s="76"/>
      <c r="L2201" s="76"/>
      <c r="M2201" s="76"/>
      <c r="N2201" s="114"/>
    </row>
    <row r="2202">
      <c r="C2202" s="41"/>
      <c r="D2202" s="142"/>
      <c r="E2202" s="130"/>
      <c r="F2202" s="128"/>
      <c r="G2202" s="128"/>
      <c r="H2202" s="128"/>
      <c r="I2202" s="128"/>
      <c r="J2202" s="81"/>
      <c r="K2202" s="81"/>
      <c r="L2202" s="81"/>
      <c r="M2202" s="81"/>
      <c r="N2202" s="82"/>
    </row>
    <row r="2203">
      <c r="C2203" s="41"/>
      <c r="D2203" s="141"/>
      <c r="E2203" s="118"/>
      <c r="F2203" s="126"/>
      <c r="G2203" s="126"/>
      <c r="H2203" s="126"/>
      <c r="I2203" s="126"/>
      <c r="J2203" s="76"/>
      <c r="K2203" s="76"/>
      <c r="L2203" s="76"/>
      <c r="M2203" s="76"/>
      <c r="N2203" s="114"/>
    </row>
    <row r="2204">
      <c r="C2204" s="41"/>
      <c r="D2204" s="142"/>
      <c r="E2204" s="130"/>
      <c r="F2204" s="128"/>
      <c r="G2204" s="128"/>
      <c r="H2204" s="128"/>
      <c r="I2204" s="128"/>
      <c r="J2204" s="81"/>
      <c r="K2204" s="81"/>
      <c r="L2204" s="81"/>
      <c r="M2204" s="81"/>
      <c r="N2204" s="82"/>
    </row>
    <row r="2205">
      <c r="C2205" s="41"/>
      <c r="D2205" s="141"/>
      <c r="E2205" s="118"/>
      <c r="F2205" s="126"/>
      <c r="G2205" s="126"/>
      <c r="H2205" s="126"/>
      <c r="I2205" s="126"/>
      <c r="J2205" s="76"/>
      <c r="K2205" s="76"/>
      <c r="L2205" s="76"/>
      <c r="M2205" s="76"/>
      <c r="N2205" s="114"/>
    </row>
    <row r="2206">
      <c r="C2206" s="41"/>
      <c r="D2206" s="142"/>
      <c r="E2206" s="130"/>
      <c r="F2206" s="128"/>
      <c r="G2206" s="128"/>
      <c r="H2206" s="128"/>
      <c r="I2206" s="128"/>
      <c r="J2206" s="81"/>
      <c r="K2206" s="81"/>
      <c r="L2206" s="81"/>
      <c r="M2206" s="81"/>
      <c r="N2206" s="82"/>
    </row>
    <row r="2207">
      <c r="C2207" s="41"/>
      <c r="D2207" s="141"/>
      <c r="E2207" s="118"/>
      <c r="F2207" s="126"/>
      <c r="G2207" s="126"/>
      <c r="H2207" s="126"/>
      <c r="I2207" s="126"/>
      <c r="J2207" s="76"/>
      <c r="K2207" s="76"/>
      <c r="L2207" s="76"/>
      <c r="M2207" s="76"/>
      <c r="N2207" s="114"/>
    </row>
    <row r="2208">
      <c r="C2208" s="41"/>
      <c r="D2208" s="142"/>
      <c r="E2208" s="130"/>
      <c r="F2208" s="128"/>
      <c r="G2208" s="128"/>
      <c r="H2208" s="128"/>
      <c r="I2208" s="128"/>
      <c r="J2208" s="81"/>
      <c r="K2208" s="81"/>
      <c r="L2208" s="81"/>
      <c r="M2208" s="81"/>
      <c r="N2208" s="82"/>
    </row>
    <row r="2209">
      <c r="C2209" s="41"/>
      <c r="D2209" s="141"/>
      <c r="E2209" s="118"/>
      <c r="F2209" s="126"/>
      <c r="G2209" s="126"/>
      <c r="H2209" s="126"/>
      <c r="I2209" s="126"/>
      <c r="J2209" s="76"/>
      <c r="K2209" s="76"/>
      <c r="L2209" s="76"/>
      <c r="M2209" s="76"/>
      <c r="N2209" s="114"/>
    </row>
    <row r="2210">
      <c r="C2210" s="41"/>
      <c r="D2210" s="142"/>
      <c r="E2210" s="130"/>
      <c r="F2210" s="128"/>
      <c r="G2210" s="128"/>
      <c r="H2210" s="128"/>
      <c r="I2210" s="128"/>
      <c r="J2210" s="81"/>
      <c r="K2210" s="81"/>
      <c r="L2210" s="81"/>
      <c r="M2210" s="81"/>
      <c r="N2210" s="82"/>
    </row>
    <row r="2211">
      <c r="C2211" s="41"/>
      <c r="D2211" s="141"/>
      <c r="E2211" s="118"/>
      <c r="F2211" s="126"/>
      <c r="G2211" s="126"/>
      <c r="H2211" s="126"/>
      <c r="I2211" s="126"/>
      <c r="J2211" s="76"/>
      <c r="K2211" s="76"/>
      <c r="L2211" s="76"/>
      <c r="M2211" s="76"/>
      <c r="N2211" s="114"/>
    </row>
    <row r="2212">
      <c r="C2212" s="41"/>
      <c r="D2212" s="142"/>
      <c r="E2212" s="130"/>
      <c r="F2212" s="128"/>
      <c r="G2212" s="128"/>
      <c r="H2212" s="128"/>
      <c r="I2212" s="128"/>
      <c r="J2212" s="81"/>
      <c r="K2212" s="81"/>
      <c r="L2212" s="81"/>
      <c r="M2212" s="81"/>
      <c r="N2212" s="82"/>
    </row>
    <row r="2213">
      <c r="C2213" s="41"/>
      <c r="D2213" s="141"/>
      <c r="E2213" s="118"/>
      <c r="F2213" s="126"/>
      <c r="G2213" s="126"/>
      <c r="H2213" s="126"/>
      <c r="I2213" s="126"/>
      <c r="J2213" s="76"/>
      <c r="K2213" s="76"/>
      <c r="L2213" s="76"/>
      <c r="M2213" s="76"/>
      <c r="N2213" s="114"/>
    </row>
    <row r="2214">
      <c r="C2214" s="41"/>
      <c r="D2214" s="142"/>
      <c r="E2214" s="130"/>
      <c r="F2214" s="128"/>
      <c r="G2214" s="128"/>
      <c r="H2214" s="128"/>
      <c r="I2214" s="128"/>
      <c r="J2214" s="81"/>
      <c r="K2214" s="81"/>
      <c r="L2214" s="81"/>
      <c r="M2214" s="81"/>
      <c r="N2214" s="82"/>
    </row>
    <row r="2215">
      <c r="C2215" s="41"/>
      <c r="D2215" s="141"/>
      <c r="E2215" s="118"/>
      <c r="F2215" s="126"/>
      <c r="G2215" s="126"/>
      <c r="H2215" s="126"/>
      <c r="I2215" s="126"/>
      <c r="J2215" s="76"/>
      <c r="K2215" s="76"/>
      <c r="L2215" s="76"/>
      <c r="M2215" s="76"/>
      <c r="N2215" s="114"/>
    </row>
    <row r="2216">
      <c r="C2216" s="41"/>
      <c r="D2216" s="142"/>
      <c r="E2216" s="130"/>
      <c r="F2216" s="128"/>
      <c r="G2216" s="128"/>
      <c r="H2216" s="128"/>
      <c r="I2216" s="128"/>
      <c r="J2216" s="81"/>
      <c r="K2216" s="81"/>
      <c r="L2216" s="81"/>
      <c r="M2216" s="81"/>
      <c r="N2216" s="82"/>
    </row>
    <row r="2217">
      <c r="C2217" s="41"/>
      <c r="D2217" s="141"/>
      <c r="E2217" s="118"/>
      <c r="F2217" s="126"/>
      <c r="G2217" s="126"/>
      <c r="H2217" s="126"/>
      <c r="I2217" s="126"/>
      <c r="J2217" s="76"/>
      <c r="K2217" s="76"/>
      <c r="L2217" s="76"/>
      <c r="M2217" s="76"/>
      <c r="N2217" s="114"/>
    </row>
    <row r="2218">
      <c r="C2218" s="41"/>
      <c r="D2218" s="142"/>
      <c r="E2218" s="130"/>
      <c r="F2218" s="128"/>
      <c r="G2218" s="128"/>
      <c r="H2218" s="128"/>
      <c r="I2218" s="128"/>
      <c r="J2218" s="81"/>
      <c r="K2218" s="81"/>
      <c r="L2218" s="81"/>
      <c r="M2218" s="81"/>
      <c r="N2218" s="82"/>
    </row>
    <row r="2219">
      <c r="C2219" s="41"/>
      <c r="D2219" s="141"/>
      <c r="E2219" s="118"/>
      <c r="F2219" s="126"/>
      <c r="G2219" s="126"/>
      <c r="H2219" s="126"/>
      <c r="I2219" s="126"/>
      <c r="J2219" s="76"/>
      <c r="K2219" s="76"/>
      <c r="L2219" s="76"/>
      <c r="M2219" s="76"/>
      <c r="N2219" s="114"/>
    </row>
    <row r="2220">
      <c r="C2220" s="41"/>
      <c r="D2220" s="142"/>
      <c r="E2220" s="130"/>
      <c r="F2220" s="128"/>
      <c r="G2220" s="128"/>
      <c r="H2220" s="128"/>
      <c r="I2220" s="128"/>
      <c r="J2220" s="81"/>
      <c r="K2220" s="81"/>
      <c r="L2220" s="81"/>
      <c r="M2220" s="81"/>
      <c r="N2220" s="82"/>
    </row>
    <row r="2221">
      <c r="C2221" s="41"/>
      <c r="D2221" s="141"/>
      <c r="E2221" s="118"/>
      <c r="F2221" s="126"/>
      <c r="G2221" s="126"/>
      <c r="H2221" s="126"/>
      <c r="I2221" s="126"/>
      <c r="J2221" s="76"/>
      <c r="K2221" s="76"/>
      <c r="L2221" s="76"/>
      <c r="M2221" s="76"/>
      <c r="N2221" s="114"/>
    </row>
    <row r="2222">
      <c r="C2222" s="41"/>
      <c r="D2222" s="142"/>
      <c r="E2222" s="130"/>
      <c r="F2222" s="128"/>
      <c r="G2222" s="128"/>
      <c r="H2222" s="128"/>
      <c r="I2222" s="128"/>
      <c r="J2222" s="81"/>
      <c r="K2222" s="81"/>
      <c r="L2222" s="81"/>
      <c r="M2222" s="81"/>
      <c r="N2222" s="82"/>
    </row>
    <row r="2223">
      <c r="C2223" s="41"/>
      <c r="D2223" s="141"/>
      <c r="E2223" s="118"/>
      <c r="F2223" s="126"/>
      <c r="G2223" s="126"/>
      <c r="H2223" s="126"/>
      <c r="I2223" s="126"/>
      <c r="J2223" s="76"/>
      <c r="K2223" s="76"/>
      <c r="L2223" s="76"/>
      <c r="M2223" s="76"/>
      <c r="N2223" s="114"/>
    </row>
    <row r="2224">
      <c r="C2224" s="41"/>
      <c r="D2224" s="142"/>
      <c r="E2224" s="130"/>
      <c r="F2224" s="128"/>
      <c r="G2224" s="128"/>
      <c r="H2224" s="128"/>
      <c r="I2224" s="128"/>
      <c r="J2224" s="81"/>
      <c r="K2224" s="81"/>
      <c r="L2224" s="81"/>
      <c r="M2224" s="81"/>
      <c r="N2224" s="82"/>
    </row>
    <row r="2225">
      <c r="C2225" s="41"/>
      <c r="D2225" s="141"/>
      <c r="E2225" s="118"/>
      <c r="F2225" s="126"/>
      <c r="G2225" s="126"/>
      <c r="H2225" s="126"/>
      <c r="I2225" s="126"/>
      <c r="J2225" s="76"/>
      <c r="K2225" s="76"/>
      <c r="L2225" s="76"/>
      <c r="M2225" s="76"/>
      <c r="N2225" s="114"/>
    </row>
    <row r="2226">
      <c r="C2226" s="41"/>
      <c r="D2226" s="142"/>
      <c r="E2226" s="130"/>
      <c r="F2226" s="128"/>
      <c r="G2226" s="128"/>
      <c r="H2226" s="128"/>
      <c r="I2226" s="128"/>
      <c r="J2226" s="81"/>
      <c r="K2226" s="81"/>
      <c r="L2226" s="81"/>
      <c r="M2226" s="81"/>
      <c r="N2226" s="82"/>
    </row>
    <row r="2227">
      <c r="C2227" s="41"/>
      <c r="D2227" s="141"/>
      <c r="E2227" s="118"/>
      <c r="F2227" s="126"/>
      <c r="G2227" s="126"/>
      <c r="H2227" s="126"/>
      <c r="I2227" s="126"/>
      <c r="J2227" s="76"/>
      <c r="K2227" s="76"/>
      <c r="L2227" s="76"/>
      <c r="M2227" s="76"/>
      <c r="N2227" s="114"/>
    </row>
    <row r="2228">
      <c r="C2228" s="41"/>
      <c r="D2228" s="142"/>
      <c r="E2228" s="130"/>
      <c r="F2228" s="128"/>
      <c r="G2228" s="128"/>
      <c r="H2228" s="128"/>
      <c r="I2228" s="128"/>
      <c r="J2228" s="81"/>
      <c r="K2228" s="81"/>
      <c r="L2228" s="81"/>
      <c r="M2228" s="81"/>
      <c r="N2228" s="82"/>
    </row>
    <row r="2229">
      <c r="C2229" s="41"/>
      <c r="D2229" s="141"/>
      <c r="E2229" s="118"/>
      <c r="F2229" s="126"/>
      <c r="G2229" s="126"/>
      <c r="H2229" s="126"/>
      <c r="I2229" s="126"/>
      <c r="J2229" s="76"/>
      <c r="K2229" s="76"/>
      <c r="L2229" s="76"/>
      <c r="M2229" s="76"/>
      <c r="N2229" s="114"/>
    </row>
    <row r="2230">
      <c r="C2230" s="41"/>
      <c r="D2230" s="142"/>
      <c r="E2230" s="130"/>
      <c r="F2230" s="128"/>
      <c r="G2230" s="128"/>
      <c r="H2230" s="128"/>
      <c r="I2230" s="128"/>
      <c r="J2230" s="81"/>
      <c r="K2230" s="81"/>
      <c r="L2230" s="81"/>
      <c r="M2230" s="81"/>
      <c r="N2230" s="82"/>
    </row>
    <row r="2231">
      <c r="C2231" s="41"/>
      <c r="D2231" s="141"/>
      <c r="E2231" s="118"/>
      <c r="F2231" s="126"/>
      <c r="G2231" s="126"/>
      <c r="H2231" s="126"/>
      <c r="I2231" s="126"/>
      <c r="J2231" s="76"/>
      <c r="K2231" s="76"/>
      <c r="L2231" s="76"/>
      <c r="M2231" s="76"/>
      <c r="N2231" s="114"/>
    </row>
    <row r="2232">
      <c r="C2232" s="41"/>
      <c r="D2232" s="142"/>
      <c r="E2232" s="130"/>
      <c r="F2232" s="128"/>
      <c r="G2232" s="128"/>
      <c r="H2232" s="128"/>
      <c r="I2232" s="128"/>
      <c r="J2232" s="81"/>
      <c r="K2232" s="81"/>
      <c r="L2232" s="81"/>
      <c r="M2232" s="81"/>
      <c r="N2232" s="82"/>
    </row>
    <row r="2233">
      <c r="C2233" s="41"/>
      <c r="D2233" s="141"/>
      <c r="E2233" s="118"/>
      <c r="F2233" s="126"/>
      <c r="G2233" s="126"/>
      <c r="H2233" s="126"/>
      <c r="I2233" s="126"/>
      <c r="J2233" s="76"/>
      <c r="K2233" s="76"/>
      <c r="L2233" s="76"/>
      <c r="M2233" s="76"/>
      <c r="N2233" s="114"/>
    </row>
    <row r="2234">
      <c r="C2234" s="41"/>
      <c r="D2234" s="142"/>
      <c r="E2234" s="130"/>
      <c r="F2234" s="128"/>
      <c r="G2234" s="128"/>
      <c r="H2234" s="128"/>
      <c r="I2234" s="128"/>
      <c r="J2234" s="81"/>
      <c r="K2234" s="81"/>
      <c r="L2234" s="81"/>
      <c r="M2234" s="81"/>
      <c r="N2234" s="82"/>
    </row>
    <row r="2235">
      <c r="C2235" s="41"/>
      <c r="D2235" s="141"/>
      <c r="E2235" s="118"/>
      <c r="F2235" s="126"/>
      <c r="G2235" s="126"/>
      <c r="H2235" s="126"/>
      <c r="I2235" s="126"/>
      <c r="J2235" s="76"/>
      <c r="K2235" s="76"/>
      <c r="L2235" s="76"/>
      <c r="M2235" s="76"/>
      <c r="N2235" s="114"/>
    </row>
    <row r="2236">
      <c r="C2236" s="41"/>
      <c r="D2236" s="142"/>
      <c r="E2236" s="130"/>
      <c r="F2236" s="128"/>
      <c r="G2236" s="128"/>
      <c r="H2236" s="128"/>
      <c r="I2236" s="128"/>
      <c r="J2236" s="81"/>
      <c r="K2236" s="81"/>
      <c r="L2236" s="81"/>
      <c r="M2236" s="81"/>
      <c r="N2236" s="82"/>
    </row>
    <row r="2237">
      <c r="C2237" s="41"/>
      <c r="D2237" s="141"/>
      <c r="E2237" s="118"/>
      <c r="F2237" s="126"/>
      <c r="G2237" s="126"/>
      <c r="H2237" s="126"/>
      <c r="I2237" s="126"/>
      <c r="J2237" s="76"/>
      <c r="K2237" s="76"/>
      <c r="L2237" s="76"/>
      <c r="M2237" s="76"/>
      <c r="N2237" s="114"/>
    </row>
    <row r="2238">
      <c r="C2238" s="41"/>
      <c r="D2238" s="142"/>
      <c r="E2238" s="130"/>
      <c r="F2238" s="128"/>
      <c r="G2238" s="128"/>
      <c r="H2238" s="128"/>
      <c r="I2238" s="128"/>
      <c r="J2238" s="81"/>
      <c r="K2238" s="81"/>
      <c r="L2238" s="81"/>
      <c r="M2238" s="81"/>
      <c r="N2238" s="82"/>
    </row>
    <row r="2239">
      <c r="C2239" s="41"/>
      <c r="D2239" s="141"/>
      <c r="E2239" s="118"/>
      <c r="F2239" s="126"/>
      <c r="G2239" s="126"/>
      <c r="H2239" s="126"/>
      <c r="I2239" s="126"/>
      <c r="J2239" s="76"/>
      <c r="K2239" s="76"/>
      <c r="L2239" s="76"/>
      <c r="M2239" s="76"/>
      <c r="N2239" s="114"/>
    </row>
    <row r="2240">
      <c r="C2240" s="41"/>
      <c r="D2240" s="142"/>
      <c r="E2240" s="130"/>
      <c r="F2240" s="128"/>
      <c r="G2240" s="128"/>
      <c r="H2240" s="128"/>
      <c r="I2240" s="128"/>
      <c r="J2240" s="81"/>
      <c r="K2240" s="81"/>
      <c r="L2240" s="81"/>
      <c r="M2240" s="81"/>
      <c r="N2240" s="82"/>
    </row>
    <row r="2241">
      <c r="C2241" s="41"/>
      <c r="D2241" s="141"/>
      <c r="E2241" s="118"/>
      <c r="F2241" s="126"/>
      <c r="G2241" s="126"/>
      <c r="H2241" s="126"/>
      <c r="I2241" s="126"/>
      <c r="J2241" s="76"/>
      <c r="K2241" s="76"/>
      <c r="L2241" s="76"/>
      <c r="M2241" s="76"/>
      <c r="N2241" s="114"/>
    </row>
    <row r="2242">
      <c r="C2242" s="41"/>
      <c r="D2242" s="142"/>
      <c r="E2242" s="130"/>
      <c r="F2242" s="128"/>
      <c r="G2242" s="128"/>
      <c r="H2242" s="128"/>
      <c r="I2242" s="128"/>
      <c r="J2242" s="81"/>
      <c r="K2242" s="81"/>
      <c r="L2242" s="81"/>
      <c r="M2242" s="81"/>
      <c r="N2242" s="82"/>
    </row>
    <row r="2243">
      <c r="C2243" s="41"/>
      <c r="D2243" s="141"/>
      <c r="E2243" s="118"/>
      <c r="F2243" s="126"/>
      <c r="G2243" s="126"/>
      <c r="H2243" s="126"/>
      <c r="I2243" s="126"/>
      <c r="J2243" s="76"/>
      <c r="K2243" s="76"/>
      <c r="L2243" s="76"/>
      <c r="M2243" s="76"/>
      <c r="N2243" s="114"/>
    </row>
    <row r="2244">
      <c r="C2244" s="41"/>
      <c r="D2244" s="142"/>
      <c r="E2244" s="130"/>
      <c r="F2244" s="128"/>
      <c r="G2244" s="128"/>
      <c r="H2244" s="128"/>
      <c r="I2244" s="128"/>
      <c r="J2244" s="81"/>
      <c r="K2244" s="81"/>
      <c r="L2244" s="81"/>
      <c r="M2244" s="81"/>
      <c r="N2244" s="82"/>
    </row>
    <row r="2245">
      <c r="C2245" s="41"/>
      <c r="D2245" s="141"/>
      <c r="E2245" s="118"/>
      <c r="F2245" s="126"/>
      <c r="G2245" s="126"/>
      <c r="H2245" s="126"/>
      <c r="I2245" s="126"/>
      <c r="J2245" s="76"/>
      <c r="K2245" s="76"/>
      <c r="L2245" s="76"/>
      <c r="M2245" s="76"/>
      <c r="N2245" s="114"/>
    </row>
    <row r="2246">
      <c r="C2246" s="41"/>
      <c r="D2246" s="142"/>
      <c r="E2246" s="130"/>
      <c r="F2246" s="128"/>
      <c r="G2246" s="128"/>
      <c r="H2246" s="128"/>
      <c r="I2246" s="128"/>
      <c r="J2246" s="81"/>
      <c r="K2246" s="81"/>
      <c r="L2246" s="81"/>
      <c r="M2246" s="81"/>
      <c r="N2246" s="82"/>
    </row>
    <row r="2247">
      <c r="C2247" s="41"/>
      <c r="D2247" s="141"/>
      <c r="E2247" s="118"/>
      <c r="F2247" s="126"/>
      <c r="G2247" s="126"/>
      <c r="H2247" s="126"/>
      <c r="I2247" s="126"/>
      <c r="J2247" s="76"/>
      <c r="K2247" s="76"/>
      <c r="L2247" s="76"/>
      <c r="M2247" s="76"/>
      <c r="N2247" s="114"/>
    </row>
    <row r="2248">
      <c r="C2248" s="41"/>
      <c r="D2248" s="142"/>
      <c r="E2248" s="130"/>
      <c r="F2248" s="128"/>
      <c r="G2248" s="128"/>
      <c r="H2248" s="128"/>
      <c r="I2248" s="128"/>
      <c r="J2248" s="81"/>
      <c r="K2248" s="81"/>
      <c r="L2248" s="81"/>
      <c r="M2248" s="81"/>
      <c r="N2248" s="82"/>
    </row>
    <row r="2249">
      <c r="C2249" s="41"/>
      <c r="D2249" s="141"/>
      <c r="E2249" s="118"/>
      <c r="F2249" s="126"/>
      <c r="G2249" s="126"/>
      <c r="H2249" s="126"/>
      <c r="I2249" s="126"/>
      <c r="J2249" s="76"/>
      <c r="K2249" s="76"/>
      <c r="L2249" s="76"/>
      <c r="M2249" s="76"/>
      <c r="N2249" s="114"/>
    </row>
    <row r="2250">
      <c r="C2250" s="41"/>
      <c r="D2250" s="142"/>
      <c r="E2250" s="130"/>
      <c r="F2250" s="128"/>
      <c r="G2250" s="128"/>
      <c r="H2250" s="128"/>
      <c r="I2250" s="128"/>
      <c r="J2250" s="81"/>
      <c r="K2250" s="81"/>
      <c r="L2250" s="81"/>
      <c r="M2250" s="81"/>
      <c r="N2250" s="82"/>
    </row>
    <row r="2251">
      <c r="C2251" s="41"/>
      <c r="D2251" s="141"/>
      <c r="E2251" s="118"/>
      <c r="F2251" s="126"/>
      <c r="G2251" s="126"/>
      <c r="H2251" s="126"/>
      <c r="I2251" s="126"/>
      <c r="J2251" s="76"/>
      <c r="K2251" s="76"/>
      <c r="L2251" s="76"/>
      <c r="M2251" s="76"/>
      <c r="N2251" s="114"/>
    </row>
    <row r="2252">
      <c r="C2252" s="41"/>
      <c r="D2252" s="142"/>
      <c r="E2252" s="130"/>
      <c r="F2252" s="128"/>
      <c r="G2252" s="128"/>
      <c r="H2252" s="128"/>
      <c r="I2252" s="128"/>
      <c r="J2252" s="81"/>
      <c r="K2252" s="81"/>
      <c r="L2252" s="81"/>
      <c r="M2252" s="81"/>
      <c r="N2252" s="82"/>
    </row>
    <row r="2253">
      <c r="C2253" s="41"/>
      <c r="D2253" s="141"/>
      <c r="E2253" s="118"/>
      <c r="F2253" s="126"/>
      <c r="G2253" s="126"/>
      <c r="H2253" s="126"/>
      <c r="I2253" s="126"/>
      <c r="J2253" s="76"/>
      <c r="K2253" s="76"/>
      <c r="L2253" s="76"/>
      <c r="M2253" s="76"/>
      <c r="N2253" s="114"/>
    </row>
    <row r="2254">
      <c r="C2254" s="41"/>
      <c r="D2254" s="142"/>
      <c r="E2254" s="130"/>
      <c r="F2254" s="128"/>
      <c r="G2254" s="128"/>
      <c r="H2254" s="128"/>
      <c r="I2254" s="128"/>
      <c r="J2254" s="81"/>
      <c r="K2254" s="81"/>
      <c r="L2254" s="81"/>
      <c r="M2254" s="81"/>
      <c r="N2254" s="82"/>
    </row>
    <row r="2255">
      <c r="C2255" s="41"/>
      <c r="D2255" s="141"/>
      <c r="E2255" s="118"/>
      <c r="F2255" s="126"/>
      <c r="G2255" s="126"/>
      <c r="H2255" s="126"/>
      <c r="I2255" s="126"/>
      <c r="J2255" s="76"/>
      <c r="K2255" s="76"/>
      <c r="L2255" s="76"/>
      <c r="M2255" s="76"/>
      <c r="N2255" s="114"/>
    </row>
    <row r="2256">
      <c r="C2256" s="41"/>
      <c r="D2256" s="142"/>
      <c r="E2256" s="130"/>
      <c r="F2256" s="128"/>
      <c r="G2256" s="128"/>
      <c r="H2256" s="128"/>
      <c r="I2256" s="128"/>
      <c r="J2256" s="81"/>
      <c r="K2256" s="81"/>
      <c r="L2256" s="81"/>
      <c r="M2256" s="81"/>
      <c r="N2256" s="82"/>
    </row>
    <row r="2257">
      <c r="C2257" s="41"/>
      <c r="D2257" s="141"/>
      <c r="E2257" s="118"/>
      <c r="F2257" s="126"/>
      <c r="G2257" s="126"/>
      <c r="H2257" s="126"/>
      <c r="I2257" s="126"/>
      <c r="J2257" s="76"/>
      <c r="K2257" s="76"/>
      <c r="L2257" s="76"/>
      <c r="M2257" s="76"/>
      <c r="N2257" s="114"/>
    </row>
    <row r="2258">
      <c r="C2258" s="41"/>
      <c r="D2258" s="142"/>
      <c r="E2258" s="130"/>
      <c r="F2258" s="128"/>
      <c r="G2258" s="128"/>
      <c r="H2258" s="128"/>
      <c r="I2258" s="128"/>
      <c r="J2258" s="81"/>
      <c r="K2258" s="81"/>
      <c r="L2258" s="81"/>
      <c r="M2258" s="81"/>
      <c r="N2258" s="82"/>
    </row>
    <row r="2259">
      <c r="C2259" s="41"/>
      <c r="D2259" s="141"/>
      <c r="E2259" s="118"/>
      <c r="F2259" s="126"/>
      <c r="G2259" s="126"/>
      <c r="H2259" s="126"/>
      <c r="I2259" s="126"/>
      <c r="J2259" s="76"/>
      <c r="K2259" s="76"/>
      <c r="L2259" s="76"/>
      <c r="M2259" s="76"/>
      <c r="N2259" s="114"/>
    </row>
    <row r="2260">
      <c r="C2260" s="41"/>
      <c r="D2260" s="142"/>
      <c r="E2260" s="130"/>
      <c r="F2260" s="128"/>
      <c r="G2260" s="128"/>
      <c r="H2260" s="128"/>
      <c r="I2260" s="128"/>
      <c r="J2260" s="81"/>
      <c r="K2260" s="81"/>
      <c r="L2260" s="81"/>
      <c r="M2260" s="81"/>
      <c r="N2260" s="82"/>
    </row>
    <row r="2261">
      <c r="C2261" s="41"/>
      <c r="D2261" s="141"/>
      <c r="E2261" s="118"/>
      <c r="F2261" s="126"/>
      <c r="G2261" s="126"/>
      <c r="H2261" s="126"/>
      <c r="I2261" s="126"/>
      <c r="J2261" s="76"/>
      <c r="K2261" s="76"/>
      <c r="L2261" s="76"/>
      <c r="M2261" s="76"/>
      <c r="N2261" s="114"/>
    </row>
    <row r="2262">
      <c r="C2262" s="41"/>
      <c r="D2262" s="142"/>
      <c r="E2262" s="130"/>
      <c r="F2262" s="128"/>
      <c r="G2262" s="128"/>
      <c r="H2262" s="128"/>
      <c r="I2262" s="128"/>
      <c r="J2262" s="81"/>
      <c r="K2262" s="81"/>
      <c r="L2262" s="81"/>
      <c r="M2262" s="81"/>
      <c r="N2262" s="82"/>
    </row>
    <row r="2263">
      <c r="C2263" s="41"/>
      <c r="D2263" s="141"/>
      <c r="E2263" s="118"/>
      <c r="F2263" s="126"/>
      <c r="G2263" s="126"/>
      <c r="H2263" s="126"/>
      <c r="I2263" s="126"/>
      <c r="J2263" s="76"/>
      <c r="K2263" s="76"/>
      <c r="L2263" s="76"/>
      <c r="M2263" s="76"/>
      <c r="N2263" s="114"/>
    </row>
    <row r="2264">
      <c r="C2264" s="41"/>
      <c r="D2264" s="142"/>
      <c r="E2264" s="130"/>
      <c r="F2264" s="128"/>
      <c r="G2264" s="128"/>
      <c r="H2264" s="128"/>
      <c r="I2264" s="128"/>
      <c r="J2264" s="81"/>
      <c r="K2264" s="81"/>
      <c r="L2264" s="81"/>
      <c r="M2264" s="81"/>
      <c r="N2264" s="82"/>
    </row>
    <row r="2265">
      <c r="C2265" s="41"/>
      <c r="D2265" s="141"/>
      <c r="E2265" s="118"/>
      <c r="F2265" s="126"/>
      <c r="G2265" s="126"/>
      <c r="H2265" s="126"/>
      <c r="I2265" s="126"/>
      <c r="J2265" s="76"/>
      <c r="K2265" s="76"/>
      <c r="L2265" s="76"/>
      <c r="M2265" s="76"/>
      <c r="N2265" s="114"/>
    </row>
    <row r="2266">
      <c r="C2266" s="41"/>
      <c r="D2266" s="142"/>
      <c r="E2266" s="130"/>
      <c r="F2266" s="128"/>
      <c r="G2266" s="128"/>
      <c r="H2266" s="128"/>
      <c r="I2266" s="128"/>
      <c r="J2266" s="81"/>
      <c r="K2266" s="81"/>
      <c r="L2266" s="81"/>
      <c r="M2266" s="81"/>
      <c r="N2266" s="82"/>
    </row>
    <row r="2267">
      <c r="C2267" s="41"/>
      <c r="D2267" s="141"/>
      <c r="E2267" s="118"/>
      <c r="F2267" s="126"/>
      <c r="G2267" s="126"/>
      <c r="H2267" s="126"/>
      <c r="I2267" s="126"/>
      <c r="J2267" s="76"/>
      <c r="K2267" s="76"/>
      <c r="L2267" s="76"/>
      <c r="M2267" s="76"/>
      <c r="N2267" s="114"/>
    </row>
    <row r="2268">
      <c r="C2268" s="41"/>
      <c r="D2268" s="142"/>
      <c r="E2268" s="130"/>
      <c r="F2268" s="128"/>
      <c r="G2268" s="128"/>
      <c r="H2268" s="128"/>
      <c r="I2268" s="128"/>
      <c r="J2268" s="81"/>
      <c r="K2268" s="81"/>
      <c r="L2268" s="81"/>
      <c r="M2268" s="81"/>
      <c r="N2268" s="82"/>
    </row>
    <row r="2269">
      <c r="C2269" s="41"/>
      <c r="D2269" s="141"/>
      <c r="E2269" s="118"/>
      <c r="F2269" s="126"/>
      <c r="G2269" s="126"/>
      <c r="H2269" s="126"/>
      <c r="I2269" s="126"/>
      <c r="J2269" s="76"/>
      <c r="K2269" s="76"/>
      <c r="L2269" s="76"/>
      <c r="M2269" s="76"/>
      <c r="N2269" s="114"/>
    </row>
    <row r="2270">
      <c r="C2270" s="41"/>
      <c r="D2270" s="142"/>
      <c r="E2270" s="130"/>
      <c r="F2270" s="128"/>
      <c r="G2270" s="128"/>
      <c r="H2270" s="128"/>
      <c r="I2270" s="128"/>
      <c r="J2270" s="81"/>
      <c r="K2270" s="81"/>
      <c r="L2270" s="81"/>
      <c r="M2270" s="81"/>
      <c r="N2270" s="82"/>
    </row>
    <row r="2271">
      <c r="C2271" s="41"/>
      <c r="D2271" s="141"/>
      <c r="E2271" s="118"/>
      <c r="F2271" s="126"/>
      <c r="G2271" s="126"/>
      <c r="H2271" s="126"/>
      <c r="I2271" s="126"/>
      <c r="J2271" s="76"/>
      <c r="K2271" s="76"/>
      <c r="L2271" s="76"/>
      <c r="M2271" s="76"/>
      <c r="N2271" s="114"/>
    </row>
    <row r="2272">
      <c r="C2272" s="41"/>
      <c r="D2272" s="142"/>
      <c r="E2272" s="130"/>
      <c r="F2272" s="128"/>
      <c r="G2272" s="128"/>
      <c r="H2272" s="128"/>
      <c r="I2272" s="128"/>
      <c r="J2272" s="81"/>
      <c r="K2272" s="81"/>
      <c r="L2272" s="81"/>
      <c r="M2272" s="81"/>
      <c r="N2272" s="82"/>
    </row>
    <row r="2273">
      <c r="C2273" s="41"/>
      <c r="D2273" s="141"/>
      <c r="E2273" s="118"/>
      <c r="F2273" s="126"/>
      <c r="G2273" s="126"/>
      <c r="H2273" s="126"/>
      <c r="I2273" s="126"/>
      <c r="J2273" s="76"/>
      <c r="K2273" s="76"/>
      <c r="L2273" s="76"/>
      <c r="M2273" s="76"/>
      <c r="N2273" s="114"/>
    </row>
    <row r="2274">
      <c r="C2274" s="41"/>
      <c r="D2274" s="142"/>
      <c r="E2274" s="130"/>
      <c r="F2274" s="128"/>
      <c r="G2274" s="128"/>
      <c r="H2274" s="128"/>
      <c r="I2274" s="128"/>
      <c r="J2274" s="81"/>
      <c r="K2274" s="81"/>
      <c r="L2274" s="81"/>
      <c r="M2274" s="81"/>
      <c r="N2274" s="82"/>
    </row>
    <row r="2275">
      <c r="C2275" s="41"/>
      <c r="D2275" s="141"/>
      <c r="E2275" s="118"/>
      <c r="F2275" s="126"/>
      <c r="G2275" s="126"/>
      <c r="H2275" s="126"/>
      <c r="I2275" s="126"/>
      <c r="J2275" s="76"/>
      <c r="K2275" s="76"/>
      <c r="L2275" s="76"/>
      <c r="M2275" s="76"/>
      <c r="N2275" s="114"/>
    </row>
    <row r="2276">
      <c r="C2276" s="41"/>
      <c r="D2276" s="142"/>
      <c r="E2276" s="130"/>
      <c r="F2276" s="128"/>
      <c r="G2276" s="128"/>
      <c r="H2276" s="128"/>
      <c r="I2276" s="128"/>
      <c r="J2276" s="81"/>
      <c r="K2276" s="81"/>
      <c r="L2276" s="81"/>
      <c r="M2276" s="81"/>
      <c r="N2276" s="82"/>
    </row>
    <row r="2277">
      <c r="C2277" s="41"/>
      <c r="D2277" s="141"/>
      <c r="E2277" s="118"/>
      <c r="F2277" s="126"/>
      <c r="G2277" s="126"/>
      <c r="H2277" s="126"/>
      <c r="I2277" s="126"/>
      <c r="J2277" s="76"/>
      <c r="K2277" s="76"/>
      <c r="L2277" s="76"/>
      <c r="M2277" s="76"/>
      <c r="N2277" s="114"/>
    </row>
    <row r="2278">
      <c r="C2278" s="41"/>
      <c r="D2278" s="142"/>
      <c r="E2278" s="130"/>
      <c r="F2278" s="128"/>
      <c r="G2278" s="128"/>
      <c r="H2278" s="128"/>
      <c r="I2278" s="128"/>
      <c r="J2278" s="81"/>
      <c r="K2278" s="81"/>
      <c r="L2278" s="81"/>
      <c r="M2278" s="81"/>
      <c r="N2278" s="82"/>
    </row>
    <row r="2279">
      <c r="C2279" s="41"/>
      <c r="D2279" s="141"/>
      <c r="E2279" s="118"/>
      <c r="F2279" s="126"/>
      <c r="G2279" s="126"/>
      <c r="H2279" s="126"/>
      <c r="I2279" s="126"/>
      <c r="J2279" s="76"/>
      <c r="K2279" s="76"/>
      <c r="L2279" s="76"/>
      <c r="M2279" s="76"/>
      <c r="N2279" s="114"/>
    </row>
    <row r="2280">
      <c r="C2280" s="41"/>
      <c r="D2280" s="142"/>
      <c r="E2280" s="130"/>
      <c r="F2280" s="128"/>
      <c r="G2280" s="128"/>
      <c r="H2280" s="128"/>
      <c r="I2280" s="128"/>
      <c r="J2280" s="81"/>
      <c r="K2280" s="81"/>
      <c r="L2280" s="81"/>
      <c r="M2280" s="81"/>
      <c r="N2280" s="82"/>
    </row>
    <row r="2281">
      <c r="C2281" s="41"/>
      <c r="D2281" s="141"/>
      <c r="E2281" s="118"/>
      <c r="F2281" s="126"/>
      <c r="G2281" s="126"/>
      <c r="H2281" s="126"/>
      <c r="I2281" s="126"/>
      <c r="J2281" s="76"/>
      <c r="K2281" s="76"/>
      <c r="L2281" s="76"/>
      <c r="M2281" s="76"/>
      <c r="N2281" s="114"/>
    </row>
    <row r="2282">
      <c r="C2282" s="41"/>
      <c r="D2282" s="142"/>
      <c r="E2282" s="130"/>
      <c r="F2282" s="128"/>
      <c r="G2282" s="128"/>
      <c r="H2282" s="128"/>
      <c r="I2282" s="128"/>
      <c r="J2282" s="81"/>
      <c r="K2282" s="81"/>
      <c r="L2282" s="81"/>
      <c r="M2282" s="81"/>
      <c r="N2282" s="82"/>
    </row>
    <row r="2283">
      <c r="C2283" s="41"/>
      <c r="D2283" s="141"/>
      <c r="E2283" s="118"/>
      <c r="F2283" s="126"/>
      <c r="G2283" s="126"/>
      <c r="H2283" s="126"/>
      <c r="I2283" s="126"/>
      <c r="J2283" s="76"/>
      <c r="K2283" s="76"/>
      <c r="L2283" s="76"/>
      <c r="M2283" s="76"/>
      <c r="N2283" s="114"/>
    </row>
    <row r="2284">
      <c r="C2284" s="41"/>
      <c r="D2284" s="142"/>
      <c r="E2284" s="130"/>
      <c r="F2284" s="128"/>
      <c r="G2284" s="128"/>
      <c r="H2284" s="128"/>
      <c r="I2284" s="128"/>
      <c r="J2284" s="81"/>
      <c r="K2284" s="81"/>
      <c r="L2284" s="81"/>
      <c r="M2284" s="81"/>
      <c r="N2284" s="82"/>
    </row>
    <row r="2285">
      <c r="C2285" s="41"/>
      <c r="D2285" s="141"/>
      <c r="E2285" s="118"/>
      <c r="F2285" s="126"/>
      <c r="G2285" s="126"/>
      <c r="H2285" s="126"/>
      <c r="I2285" s="126"/>
      <c r="J2285" s="76"/>
      <c r="K2285" s="76"/>
      <c r="L2285" s="76"/>
      <c r="M2285" s="76"/>
      <c r="N2285" s="114"/>
    </row>
    <row r="2286">
      <c r="C2286" s="41"/>
      <c r="D2286" s="142"/>
      <c r="E2286" s="130"/>
      <c r="F2286" s="128"/>
      <c r="G2286" s="128"/>
      <c r="H2286" s="128"/>
      <c r="I2286" s="128"/>
      <c r="J2286" s="81"/>
      <c r="K2286" s="81"/>
      <c r="L2286" s="81"/>
      <c r="M2286" s="81"/>
      <c r="N2286" s="82"/>
    </row>
    <row r="2287">
      <c r="C2287" s="41"/>
      <c r="D2287" s="141"/>
      <c r="E2287" s="118"/>
      <c r="F2287" s="126"/>
      <c r="G2287" s="126"/>
      <c r="H2287" s="126"/>
      <c r="I2287" s="126"/>
      <c r="J2287" s="76"/>
      <c r="K2287" s="76"/>
      <c r="L2287" s="76"/>
      <c r="M2287" s="76"/>
      <c r="N2287" s="114"/>
    </row>
    <row r="2288">
      <c r="C2288" s="41"/>
      <c r="D2288" s="142"/>
      <c r="E2288" s="130"/>
      <c r="F2288" s="128"/>
      <c r="G2288" s="128"/>
      <c r="H2288" s="128"/>
      <c r="I2288" s="128"/>
      <c r="J2288" s="81"/>
      <c r="K2288" s="81"/>
      <c r="L2288" s="81"/>
      <c r="M2288" s="81"/>
      <c r="N2288" s="82"/>
    </row>
    <row r="2289">
      <c r="C2289" s="41"/>
      <c r="D2289" s="141"/>
      <c r="E2289" s="118"/>
      <c r="F2289" s="126"/>
      <c r="G2289" s="126"/>
      <c r="H2289" s="126"/>
      <c r="I2289" s="126"/>
      <c r="J2289" s="76"/>
      <c r="K2289" s="76"/>
      <c r="L2289" s="76"/>
      <c r="M2289" s="76"/>
      <c r="N2289" s="114"/>
    </row>
    <row r="2290">
      <c r="C2290" s="41"/>
      <c r="D2290" s="142"/>
      <c r="E2290" s="130"/>
      <c r="F2290" s="128"/>
      <c r="G2290" s="128"/>
      <c r="H2290" s="128"/>
      <c r="I2290" s="128"/>
      <c r="J2290" s="81"/>
      <c r="K2290" s="81"/>
      <c r="L2290" s="81"/>
      <c r="M2290" s="81"/>
      <c r="N2290" s="82"/>
    </row>
    <row r="2291">
      <c r="C2291" s="41"/>
      <c r="D2291" s="141"/>
      <c r="E2291" s="118"/>
      <c r="F2291" s="126"/>
      <c r="G2291" s="126"/>
      <c r="H2291" s="126"/>
      <c r="I2291" s="126"/>
      <c r="J2291" s="76"/>
      <c r="K2291" s="76"/>
      <c r="L2291" s="76"/>
      <c r="M2291" s="76"/>
      <c r="N2291" s="114"/>
    </row>
    <row r="2292">
      <c r="C2292" s="41"/>
      <c r="D2292" s="142"/>
      <c r="E2292" s="130"/>
      <c r="F2292" s="128"/>
      <c r="G2292" s="128"/>
      <c r="H2292" s="128"/>
      <c r="I2292" s="128"/>
      <c r="J2292" s="81"/>
      <c r="K2292" s="81"/>
      <c r="L2292" s="81"/>
      <c r="M2292" s="81"/>
      <c r="N2292" s="82"/>
    </row>
    <row r="2293">
      <c r="C2293" s="41"/>
      <c r="D2293" s="141"/>
      <c r="E2293" s="118"/>
      <c r="F2293" s="126"/>
      <c r="G2293" s="126"/>
      <c r="H2293" s="126"/>
      <c r="I2293" s="126"/>
      <c r="J2293" s="76"/>
      <c r="K2293" s="76"/>
      <c r="L2293" s="76"/>
      <c r="M2293" s="76"/>
      <c r="N2293" s="114"/>
    </row>
    <row r="2294">
      <c r="C2294" s="41"/>
      <c r="D2294" s="142"/>
      <c r="E2294" s="130"/>
      <c r="F2294" s="128"/>
      <c r="G2294" s="128"/>
      <c r="H2294" s="128"/>
      <c r="I2294" s="128"/>
      <c r="J2294" s="81"/>
      <c r="K2294" s="81"/>
      <c r="L2294" s="81"/>
      <c r="M2294" s="81"/>
      <c r="N2294" s="82"/>
    </row>
    <row r="2295">
      <c r="C2295" s="41"/>
      <c r="D2295" s="141"/>
      <c r="E2295" s="118"/>
      <c r="F2295" s="126"/>
      <c r="G2295" s="126"/>
      <c r="H2295" s="126"/>
      <c r="I2295" s="126"/>
      <c r="J2295" s="76"/>
      <c r="K2295" s="76"/>
      <c r="L2295" s="76"/>
      <c r="M2295" s="76"/>
      <c r="N2295" s="114"/>
    </row>
    <row r="2296">
      <c r="C2296" s="41"/>
      <c r="D2296" s="142"/>
      <c r="E2296" s="130"/>
      <c r="F2296" s="128"/>
      <c r="G2296" s="128"/>
      <c r="H2296" s="128"/>
      <c r="I2296" s="128"/>
      <c r="J2296" s="81"/>
      <c r="K2296" s="81"/>
      <c r="L2296" s="81"/>
      <c r="M2296" s="81"/>
      <c r="N2296" s="82"/>
    </row>
    <row r="2297">
      <c r="C2297" s="41"/>
      <c r="D2297" s="141"/>
      <c r="E2297" s="118"/>
      <c r="F2297" s="126"/>
      <c r="G2297" s="126"/>
      <c r="H2297" s="126"/>
      <c r="I2297" s="126"/>
      <c r="J2297" s="76"/>
      <c r="K2297" s="76"/>
      <c r="L2297" s="76"/>
      <c r="M2297" s="76"/>
      <c r="N2297" s="114"/>
    </row>
    <row r="2298">
      <c r="C2298" s="41"/>
      <c r="D2298" s="142"/>
      <c r="E2298" s="130"/>
      <c r="F2298" s="128"/>
      <c r="G2298" s="128"/>
      <c r="H2298" s="128"/>
      <c r="I2298" s="128"/>
      <c r="J2298" s="81"/>
      <c r="K2298" s="81"/>
      <c r="L2298" s="81"/>
      <c r="M2298" s="81"/>
      <c r="N2298" s="82"/>
    </row>
    <row r="2299">
      <c r="C2299" s="41"/>
      <c r="D2299" s="141"/>
      <c r="E2299" s="118"/>
      <c r="F2299" s="126"/>
      <c r="G2299" s="126"/>
      <c r="H2299" s="126"/>
      <c r="I2299" s="126"/>
      <c r="J2299" s="76"/>
      <c r="K2299" s="76"/>
      <c r="L2299" s="76"/>
      <c r="M2299" s="76"/>
      <c r="N2299" s="114"/>
    </row>
    <row r="2300">
      <c r="C2300" s="41"/>
      <c r="D2300" s="142"/>
      <c r="E2300" s="130"/>
      <c r="F2300" s="128"/>
      <c r="G2300" s="128"/>
      <c r="H2300" s="128"/>
      <c r="I2300" s="128"/>
      <c r="J2300" s="81"/>
      <c r="K2300" s="81"/>
      <c r="L2300" s="81"/>
      <c r="M2300" s="81"/>
      <c r="N2300" s="82"/>
    </row>
    <row r="2301">
      <c r="C2301" s="41"/>
      <c r="D2301" s="141"/>
      <c r="E2301" s="118"/>
      <c r="F2301" s="126"/>
      <c r="G2301" s="126"/>
      <c r="H2301" s="126"/>
      <c r="I2301" s="126"/>
      <c r="J2301" s="76"/>
      <c r="K2301" s="76"/>
      <c r="L2301" s="76"/>
      <c r="M2301" s="76"/>
      <c r="N2301" s="114"/>
    </row>
    <row r="2302">
      <c r="C2302" s="41"/>
      <c r="D2302" s="142"/>
      <c r="E2302" s="130"/>
      <c r="F2302" s="128"/>
      <c r="G2302" s="128"/>
      <c r="H2302" s="128"/>
      <c r="I2302" s="128"/>
      <c r="J2302" s="81"/>
      <c r="K2302" s="81"/>
      <c r="L2302" s="81"/>
      <c r="M2302" s="81"/>
      <c r="N2302" s="82"/>
    </row>
    <row r="2303">
      <c r="C2303" s="41"/>
      <c r="D2303" s="141"/>
      <c r="E2303" s="118"/>
      <c r="F2303" s="126"/>
      <c r="G2303" s="126"/>
      <c r="H2303" s="126"/>
      <c r="I2303" s="126"/>
      <c r="J2303" s="76"/>
      <c r="K2303" s="76"/>
      <c r="L2303" s="76"/>
      <c r="M2303" s="76"/>
      <c r="N2303" s="114"/>
    </row>
    <row r="2304">
      <c r="C2304" s="41"/>
      <c r="D2304" s="142"/>
      <c r="E2304" s="130"/>
      <c r="F2304" s="128"/>
      <c r="G2304" s="128"/>
      <c r="H2304" s="128"/>
      <c r="I2304" s="128"/>
      <c r="J2304" s="81"/>
      <c r="K2304" s="81"/>
      <c r="L2304" s="81"/>
      <c r="M2304" s="81"/>
      <c r="N2304" s="82"/>
    </row>
    <row r="2305">
      <c r="C2305" s="41"/>
      <c r="D2305" s="141"/>
      <c r="E2305" s="118"/>
      <c r="F2305" s="126"/>
      <c r="G2305" s="126"/>
      <c r="H2305" s="126"/>
      <c r="I2305" s="126"/>
      <c r="J2305" s="76"/>
      <c r="K2305" s="76"/>
      <c r="L2305" s="76"/>
      <c r="M2305" s="76"/>
      <c r="N2305" s="114"/>
    </row>
    <row r="2306">
      <c r="C2306" s="41"/>
      <c r="D2306" s="142"/>
      <c r="E2306" s="130"/>
      <c r="F2306" s="128"/>
      <c r="G2306" s="128"/>
      <c r="H2306" s="128"/>
      <c r="I2306" s="128"/>
      <c r="J2306" s="81"/>
      <c r="K2306" s="81"/>
      <c r="L2306" s="81"/>
      <c r="M2306" s="81"/>
      <c r="N2306" s="82"/>
    </row>
    <row r="2307">
      <c r="C2307" s="41"/>
      <c r="D2307" s="141"/>
      <c r="E2307" s="118"/>
      <c r="F2307" s="126"/>
      <c r="G2307" s="126"/>
      <c r="H2307" s="126"/>
      <c r="I2307" s="126"/>
      <c r="J2307" s="76"/>
      <c r="K2307" s="76"/>
      <c r="L2307" s="76"/>
      <c r="M2307" s="76"/>
      <c r="N2307" s="114"/>
    </row>
    <row r="2308">
      <c r="C2308" s="41"/>
      <c r="D2308" s="142"/>
      <c r="E2308" s="130"/>
      <c r="F2308" s="128"/>
      <c r="G2308" s="128"/>
      <c r="H2308" s="128"/>
      <c r="I2308" s="128"/>
      <c r="J2308" s="81"/>
      <c r="K2308" s="81"/>
      <c r="L2308" s="81"/>
      <c r="M2308" s="81"/>
      <c r="N2308" s="82"/>
    </row>
    <row r="2309">
      <c r="C2309" s="41"/>
      <c r="D2309" s="141"/>
      <c r="E2309" s="118"/>
      <c r="F2309" s="126"/>
      <c r="G2309" s="126"/>
      <c r="H2309" s="126"/>
      <c r="I2309" s="126"/>
      <c r="J2309" s="76"/>
      <c r="K2309" s="76"/>
      <c r="L2309" s="76"/>
      <c r="M2309" s="76"/>
      <c r="N2309" s="114"/>
    </row>
    <row r="2310">
      <c r="C2310" s="41"/>
      <c r="D2310" s="142"/>
      <c r="E2310" s="130"/>
      <c r="F2310" s="128"/>
      <c r="G2310" s="128"/>
      <c r="H2310" s="128"/>
      <c r="I2310" s="128"/>
      <c r="J2310" s="81"/>
      <c r="K2310" s="81"/>
      <c r="L2310" s="81"/>
      <c r="M2310" s="81"/>
      <c r="N2310" s="82"/>
    </row>
    <row r="2311">
      <c r="C2311" s="41"/>
      <c r="D2311" s="141"/>
      <c r="E2311" s="118"/>
      <c r="F2311" s="126"/>
      <c r="G2311" s="126"/>
      <c r="H2311" s="126"/>
      <c r="I2311" s="126"/>
      <c r="J2311" s="76"/>
      <c r="K2311" s="76"/>
      <c r="L2311" s="76"/>
      <c r="M2311" s="76"/>
      <c r="N2311" s="114"/>
    </row>
    <row r="2312">
      <c r="C2312" s="41"/>
      <c r="D2312" s="142"/>
      <c r="E2312" s="130"/>
      <c r="F2312" s="128"/>
      <c r="G2312" s="128"/>
      <c r="H2312" s="128"/>
      <c r="I2312" s="128"/>
      <c r="J2312" s="81"/>
      <c r="K2312" s="81"/>
      <c r="L2312" s="81"/>
      <c r="M2312" s="81"/>
      <c r="N2312" s="82"/>
    </row>
    <row r="2313">
      <c r="C2313" s="41"/>
      <c r="D2313" s="141"/>
      <c r="E2313" s="118"/>
      <c r="F2313" s="126"/>
      <c r="G2313" s="126"/>
      <c r="H2313" s="126"/>
      <c r="I2313" s="126"/>
      <c r="J2313" s="76"/>
      <c r="K2313" s="76"/>
      <c r="L2313" s="76"/>
      <c r="M2313" s="76"/>
      <c r="N2313" s="114"/>
    </row>
    <row r="2314">
      <c r="C2314" s="41"/>
      <c r="D2314" s="142"/>
      <c r="E2314" s="130"/>
      <c r="F2314" s="128"/>
      <c r="G2314" s="128"/>
      <c r="H2314" s="128"/>
      <c r="I2314" s="128"/>
      <c r="J2314" s="81"/>
      <c r="K2314" s="81"/>
      <c r="L2314" s="81"/>
      <c r="M2314" s="81"/>
      <c r="N2314" s="82"/>
    </row>
    <row r="2315">
      <c r="C2315" s="41"/>
      <c r="D2315" s="141"/>
      <c r="E2315" s="118"/>
      <c r="F2315" s="126"/>
      <c r="G2315" s="126"/>
      <c r="H2315" s="126"/>
      <c r="I2315" s="126"/>
      <c r="J2315" s="76"/>
      <c r="K2315" s="76"/>
      <c r="L2315" s="76"/>
      <c r="M2315" s="76"/>
      <c r="N2315" s="114"/>
    </row>
    <row r="2316">
      <c r="C2316" s="41"/>
      <c r="D2316" s="142"/>
      <c r="E2316" s="130"/>
      <c r="F2316" s="128"/>
      <c r="G2316" s="128"/>
      <c r="H2316" s="128"/>
      <c r="I2316" s="128"/>
      <c r="J2316" s="81"/>
      <c r="K2316" s="81"/>
      <c r="L2316" s="81"/>
      <c r="M2316" s="81"/>
      <c r="N2316" s="82"/>
    </row>
    <row r="2317">
      <c r="C2317" s="41"/>
      <c r="D2317" s="141"/>
      <c r="E2317" s="118"/>
      <c r="F2317" s="126"/>
      <c r="G2317" s="126"/>
      <c r="H2317" s="126"/>
      <c r="I2317" s="126"/>
      <c r="J2317" s="76"/>
      <c r="K2317" s="76"/>
      <c r="L2317" s="76"/>
      <c r="M2317" s="76"/>
      <c r="N2317" s="114"/>
    </row>
    <row r="2318">
      <c r="C2318" s="41"/>
      <c r="D2318" s="142"/>
      <c r="E2318" s="130"/>
      <c r="F2318" s="128"/>
      <c r="G2318" s="128"/>
      <c r="H2318" s="128"/>
      <c r="I2318" s="128"/>
      <c r="J2318" s="81"/>
      <c r="K2318" s="81"/>
      <c r="L2318" s="81"/>
      <c r="M2318" s="81"/>
      <c r="N2318" s="82"/>
    </row>
    <row r="2319">
      <c r="C2319" s="41"/>
      <c r="D2319" s="141"/>
      <c r="E2319" s="118"/>
      <c r="F2319" s="126"/>
      <c r="G2319" s="126"/>
      <c r="H2319" s="126"/>
      <c r="I2319" s="126"/>
      <c r="J2319" s="76"/>
      <c r="K2319" s="76"/>
      <c r="L2319" s="76"/>
      <c r="M2319" s="76"/>
      <c r="N2319" s="114"/>
    </row>
    <row r="2320">
      <c r="C2320" s="41"/>
      <c r="D2320" s="142"/>
      <c r="E2320" s="130"/>
      <c r="F2320" s="128"/>
      <c r="G2320" s="128"/>
      <c r="H2320" s="128"/>
      <c r="I2320" s="128"/>
      <c r="J2320" s="81"/>
      <c r="K2320" s="81"/>
      <c r="L2320" s="81"/>
      <c r="M2320" s="81"/>
      <c r="N2320" s="82"/>
    </row>
    <row r="2321">
      <c r="C2321" s="41"/>
      <c r="D2321" s="141"/>
      <c r="E2321" s="118"/>
      <c r="F2321" s="126"/>
      <c r="G2321" s="126"/>
      <c r="H2321" s="126"/>
      <c r="I2321" s="126"/>
      <c r="J2321" s="76"/>
      <c r="K2321" s="76"/>
      <c r="L2321" s="76"/>
      <c r="M2321" s="76"/>
      <c r="N2321" s="114"/>
    </row>
    <row r="2322">
      <c r="C2322" s="41"/>
      <c r="D2322" s="142"/>
      <c r="E2322" s="130"/>
      <c r="F2322" s="128"/>
      <c r="G2322" s="128"/>
      <c r="H2322" s="128"/>
      <c r="I2322" s="128"/>
      <c r="J2322" s="81"/>
      <c r="K2322" s="81"/>
      <c r="L2322" s="81"/>
      <c r="M2322" s="81"/>
      <c r="N2322" s="82"/>
    </row>
    <row r="2323">
      <c r="C2323" s="41"/>
      <c r="D2323" s="141"/>
      <c r="E2323" s="118"/>
      <c r="F2323" s="126"/>
      <c r="G2323" s="126"/>
      <c r="H2323" s="126"/>
      <c r="I2323" s="126"/>
      <c r="J2323" s="76"/>
      <c r="K2323" s="76"/>
      <c r="L2323" s="76"/>
      <c r="M2323" s="76"/>
      <c r="N2323" s="114"/>
    </row>
    <row r="2324">
      <c r="C2324" s="41"/>
      <c r="D2324" s="142"/>
      <c r="E2324" s="130"/>
      <c r="F2324" s="128"/>
      <c r="G2324" s="128"/>
      <c r="H2324" s="128"/>
      <c r="I2324" s="128"/>
      <c r="J2324" s="81"/>
      <c r="K2324" s="81"/>
      <c r="L2324" s="81"/>
      <c r="M2324" s="81"/>
      <c r="N2324" s="82"/>
    </row>
    <row r="2325">
      <c r="C2325" s="41"/>
      <c r="D2325" s="141"/>
      <c r="E2325" s="118"/>
      <c r="F2325" s="126"/>
      <c r="G2325" s="126"/>
      <c r="H2325" s="126"/>
      <c r="I2325" s="126"/>
      <c r="J2325" s="76"/>
      <c r="K2325" s="76"/>
      <c r="L2325" s="76"/>
      <c r="M2325" s="76"/>
      <c r="N2325" s="114"/>
    </row>
    <row r="2326">
      <c r="C2326" s="41"/>
      <c r="D2326" s="142"/>
      <c r="E2326" s="130"/>
      <c r="F2326" s="128"/>
      <c r="G2326" s="128"/>
      <c r="H2326" s="128"/>
      <c r="I2326" s="128"/>
      <c r="J2326" s="81"/>
      <c r="K2326" s="81"/>
      <c r="L2326" s="81"/>
      <c r="M2326" s="81"/>
      <c r="N2326" s="82"/>
    </row>
    <row r="2327">
      <c r="C2327" s="41"/>
      <c r="D2327" s="141"/>
      <c r="E2327" s="118"/>
      <c r="F2327" s="126"/>
      <c r="G2327" s="126"/>
      <c r="H2327" s="126"/>
      <c r="I2327" s="126"/>
      <c r="J2327" s="76"/>
      <c r="K2327" s="76"/>
      <c r="L2327" s="76"/>
      <c r="M2327" s="76"/>
      <c r="N2327" s="114"/>
    </row>
    <row r="2328">
      <c r="C2328" s="41"/>
      <c r="D2328" s="142"/>
      <c r="E2328" s="130"/>
      <c r="F2328" s="128"/>
      <c r="G2328" s="128"/>
      <c r="H2328" s="128"/>
      <c r="I2328" s="128"/>
      <c r="J2328" s="81"/>
      <c r="K2328" s="81"/>
      <c r="L2328" s="81"/>
      <c r="M2328" s="81"/>
      <c r="N2328" s="82"/>
    </row>
    <row r="2329">
      <c r="C2329" s="41"/>
      <c r="D2329" s="141"/>
      <c r="E2329" s="118"/>
      <c r="F2329" s="126"/>
      <c r="G2329" s="126"/>
      <c r="H2329" s="126"/>
      <c r="I2329" s="126"/>
      <c r="J2329" s="76"/>
      <c r="K2329" s="76"/>
      <c r="L2329" s="76"/>
      <c r="M2329" s="76"/>
      <c r="N2329" s="114"/>
    </row>
    <row r="2330">
      <c r="C2330" s="41"/>
      <c r="D2330" s="142"/>
      <c r="E2330" s="130"/>
      <c r="F2330" s="128"/>
      <c r="G2330" s="128"/>
      <c r="H2330" s="128"/>
      <c r="I2330" s="128"/>
      <c r="J2330" s="81"/>
      <c r="K2330" s="81"/>
      <c r="L2330" s="81"/>
      <c r="M2330" s="81"/>
      <c r="N2330" s="82"/>
    </row>
    <row r="2331">
      <c r="C2331" s="41"/>
      <c r="D2331" s="141"/>
      <c r="E2331" s="118"/>
      <c r="F2331" s="126"/>
      <c r="G2331" s="126"/>
      <c r="H2331" s="126"/>
      <c r="I2331" s="126"/>
      <c r="J2331" s="76"/>
      <c r="K2331" s="76"/>
      <c r="L2331" s="76"/>
      <c r="M2331" s="76"/>
      <c r="N2331" s="114"/>
    </row>
    <row r="2332">
      <c r="C2332" s="41"/>
      <c r="D2332" s="142"/>
      <c r="E2332" s="130"/>
      <c r="F2332" s="128"/>
      <c r="G2332" s="128"/>
      <c r="H2332" s="128"/>
      <c r="I2332" s="128"/>
      <c r="J2332" s="81"/>
      <c r="K2332" s="81"/>
      <c r="L2332" s="81"/>
      <c r="M2332" s="81"/>
      <c r="N2332" s="82"/>
    </row>
    <row r="2333">
      <c r="C2333" s="41"/>
      <c r="D2333" s="141"/>
      <c r="E2333" s="118"/>
      <c r="F2333" s="126"/>
      <c r="G2333" s="126"/>
      <c r="H2333" s="126"/>
      <c r="I2333" s="126"/>
      <c r="J2333" s="76"/>
      <c r="K2333" s="76"/>
      <c r="L2333" s="76"/>
      <c r="M2333" s="76"/>
      <c r="N2333" s="114"/>
    </row>
    <row r="2334">
      <c r="C2334" s="41"/>
      <c r="D2334" s="142"/>
      <c r="E2334" s="130"/>
      <c r="F2334" s="128"/>
      <c r="G2334" s="128"/>
      <c r="H2334" s="128"/>
      <c r="I2334" s="128"/>
      <c r="J2334" s="81"/>
      <c r="K2334" s="81"/>
      <c r="L2334" s="81"/>
      <c r="M2334" s="81"/>
      <c r="N2334" s="82"/>
    </row>
    <row r="2335">
      <c r="C2335" s="41"/>
      <c r="D2335" s="141"/>
      <c r="E2335" s="118"/>
      <c r="F2335" s="126"/>
      <c r="G2335" s="126"/>
      <c r="H2335" s="126"/>
      <c r="I2335" s="126"/>
      <c r="J2335" s="76"/>
      <c r="K2335" s="76"/>
      <c r="L2335" s="76"/>
      <c r="M2335" s="76"/>
      <c r="N2335" s="114"/>
    </row>
    <row r="2336">
      <c r="C2336" s="41"/>
      <c r="D2336" s="142"/>
      <c r="E2336" s="130"/>
      <c r="F2336" s="128"/>
      <c r="G2336" s="128"/>
      <c r="H2336" s="128"/>
      <c r="I2336" s="128"/>
      <c r="J2336" s="81"/>
      <c r="K2336" s="81"/>
      <c r="L2336" s="81"/>
      <c r="M2336" s="81"/>
      <c r="N2336" s="82"/>
    </row>
    <row r="2337">
      <c r="C2337" s="41"/>
      <c r="D2337" s="141"/>
      <c r="E2337" s="118"/>
      <c r="F2337" s="126"/>
      <c r="G2337" s="126"/>
      <c r="H2337" s="126"/>
      <c r="I2337" s="126"/>
      <c r="J2337" s="76"/>
      <c r="K2337" s="76"/>
      <c r="L2337" s="76"/>
      <c r="M2337" s="76"/>
      <c r="N2337" s="114"/>
    </row>
    <row r="2338">
      <c r="C2338" s="41"/>
      <c r="D2338" s="142"/>
      <c r="E2338" s="130"/>
      <c r="F2338" s="128"/>
      <c r="G2338" s="128"/>
      <c r="H2338" s="128"/>
      <c r="I2338" s="128"/>
      <c r="J2338" s="81"/>
      <c r="K2338" s="81"/>
      <c r="L2338" s="81"/>
      <c r="M2338" s="81"/>
      <c r="N2338" s="82"/>
    </row>
    <row r="2339">
      <c r="C2339" s="41"/>
      <c r="D2339" s="141"/>
      <c r="E2339" s="118"/>
      <c r="F2339" s="126"/>
      <c r="G2339" s="126"/>
      <c r="H2339" s="126"/>
      <c r="I2339" s="126"/>
      <c r="J2339" s="76"/>
      <c r="K2339" s="76"/>
      <c r="L2339" s="76"/>
      <c r="M2339" s="76"/>
      <c r="N2339" s="114"/>
    </row>
    <row r="2340">
      <c r="C2340" s="41"/>
      <c r="D2340" s="142"/>
      <c r="E2340" s="130"/>
      <c r="F2340" s="128"/>
      <c r="G2340" s="128"/>
      <c r="H2340" s="128"/>
      <c r="I2340" s="128"/>
      <c r="J2340" s="81"/>
      <c r="K2340" s="81"/>
      <c r="L2340" s="81"/>
      <c r="M2340" s="81"/>
      <c r="N2340" s="82"/>
    </row>
    <row r="2341">
      <c r="C2341" s="41"/>
      <c r="D2341" s="141"/>
      <c r="E2341" s="118"/>
      <c r="F2341" s="126"/>
      <c r="G2341" s="126"/>
      <c r="H2341" s="126"/>
      <c r="I2341" s="126"/>
      <c r="J2341" s="76"/>
      <c r="K2341" s="76"/>
      <c r="L2341" s="76"/>
      <c r="M2341" s="76"/>
      <c r="N2341" s="114"/>
    </row>
    <row r="2342">
      <c r="C2342" s="41"/>
      <c r="D2342" s="142"/>
      <c r="E2342" s="130"/>
      <c r="F2342" s="128"/>
      <c r="G2342" s="128"/>
      <c r="H2342" s="128"/>
      <c r="I2342" s="128"/>
      <c r="J2342" s="81"/>
      <c r="K2342" s="81"/>
      <c r="L2342" s="81"/>
      <c r="M2342" s="81"/>
      <c r="N2342" s="82"/>
    </row>
    <row r="2343">
      <c r="C2343" s="41"/>
      <c r="D2343" s="141"/>
      <c r="E2343" s="118"/>
      <c r="F2343" s="126"/>
      <c r="G2343" s="126"/>
      <c r="H2343" s="126"/>
      <c r="I2343" s="126"/>
      <c r="J2343" s="76"/>
      <c r="K2343" s="76"/>
      <c r="L2343" s="76"/>
      <c r="M2343" s="76"/>
      <c r="N2343" s="114"/>
    </row>
    <row r="2344">
      <c r="C2344" s="41"/>
      <c r="D2344" s="142"/>
      <c r="E2344" s="130"/>
      <c r="F2344" s="128"/>
      <c r="G2344" s="128"/>
      <c r="H2344" s="128"/>
      <c r="I2344" s="128"/>
      <c r="J2344" s="81"/>
      <c r="K2344" s="81"/>
      <c r="L2344" s="81"/>
      <c r="M2344" s="81"/>
      <c r="N2344" s="82"/>
    </row>
    <row r="2345">
      <c r="C2345" s="41"/>
      <c r="D2345" s="141"/>
      <c r="E2345" s="118"/>
      <c r="F2345" s="126"/>
      <c r="G2345" s="126"/>
      <c r="H2345" s="126"/>
      <c r="I2345" s="126"/>
      <c r="J2345" s="76"/>
      <c r="K2345" s="76"/>
      <c r="L2345" s="76"/>
      <c r="M2345" s="76"/>
      <c r="N2345" s="114"/>
    </row>
    <row r="2346">
      <c r="C2346" s="41"/>
      <c r="D2346" s="142"/>
      <c r="E2346" s="130"/>
      <c r="F2346" s="128"/>
      <c r="G2346" s="128"/>
      <c r="H2346" s="128"/>
      <c r="I2346" s="128"/>
      <c r="J2346" s="81"/>
      <c r="K2346" s="81"/>
      <c r="L2346" s="81"/>
      <c r="M2346" s="81"/>
      <c r="N2346" s="82"/>
    </row>
    <row r="2347">
      <c r="C2347" s="41"/>
      <c r="D2347" s="141"/>
      <c r="E2347" s="118"/>
      <c r="F2347" s="126"/>
      <c r="G2347" s="126"/>
      <c r="H2347" s="126"/>
      <c r="I2347" s="126"/>
      <c r="J2347" s="76"/>
      <c r="K2347" s="76"/>
      <c r="L2347" s="76"/>
      <c r="M2347" s="76"/>
      <c r="N2347" s="114"/>
    </row>
    <row r="2348">
      <c r="C2348" s="41"/>
      <c r="D2348" s="142"/>
      <c r="E2348" s="130"/>
      <c r="F2348" s="128"/>
      <c r="G2348" s="128"/>
      <c r="H2348" s="128"/>
      <c r="I2348" s="128"/>
      <c r="J2348" s="81"/>
      <c r="K2348" s="81"/>
      <c r="L2348" s="81"/>
      <c r="M2348" s="81"/>
      <c r="N2348" s="82"/>
    </row>
    <row r="2349">
      <c r="C2349" s="41"/>
      <c r="D2349" s="141"/>
      <c r="E2349" s="118"/>
      <c r="F2349" s="126"/>
      <c r="G2349" s="126"/>
      <c r="H2349" s="126"/>
      <c r="I2349" s="126"/>
      <c r="J2349" s="76"/>
      <c r="K2349" s="76"/>
      <c r="L2349" s="76"/>
      <c r="M2349" s="76"/>
      <c r="N2349" s="114"/>
    </row>
    <row r="2350">
      <c r="C2350" s="41"/>
      <c r="D2350" s="142"/>
      <c r="E2350" s="130"/>
      <c r="F2350" s="128"/>
      <c r="G2350" s="128"/>
      <c r="H2350" s="128"/>
      <c r="I2350" s="128"/>
      <c r="J2350" s="81"/>
      <c r="K2350" s="81"/>
      <c r="L2350" s="81"/>
      <c r="M2350" s="81"/>
      <c r="N2350" s="82"/>
    </row>
    <row r="2351">
      <c r="C2351" s="41"/>
      <c r="D2351" s="141"/>
      <c r="E2351" s="118"/>
      <c r="F2351" s="126"/>
      <c r="G2351" s="126"/>
      <c r="H2351" s="126"/>
      <c r="I2351" s="126"/>
      <c r="J2351" s="76"/>
      <c r="K2351" s="76"/>
      <c r="L2351" s="76"/>
      <c r="M2351" s="76"/>
      <c r="N2351" s="114"/>
    </row>
    <row r="2352">
      <c r="C2352" s="41"/>
      <c r="D2352" s="142"/>
      <c r="E2352" s="130"/>
      <c r="F2352" s="128"/>
      <c r="G2352" s="128"/>
      <c r="H2352" s="128"/>
      <c r="I2352" s="128"/>
      <c r="J2352" s="81"/>
      <c r="K2352" s="81"/>
      <c r="L2352" s="81"/>
      <c r="M2352" s="81"/>
      <c r="N2352" s="82"/>
    </row>
    <row r="2353">
      <c r="C2353" s="41"/>
      <c r="D2353" s="141"/>
      <c r="E2353" s="118"/>
      <c r="F2353" s="126"/>
      <c r="G2353" s="126"/>
      <c r="H2353" s="126"/>
      <c r="I2353" s="126"/>
      <c r="J2353" s="76"/>
      <c r="K2353" s="76"/>
      <c r="L2353" s="76"/>
      <c r="M2353" s="76"/>
      <c r="N2353" s="114"/>
    </row>
    <row r="2354">
      <c r="C2354" s="41"/>
      <c r="D2354" s="142"/>
      <c r="E2354" s="130"/>
      <c r="F2354" s="128"/>
      <c r="G2354" s="128"/>
      <c r="H2354" s="128"/>
      <c r="I2354" s="128"/>
      <c r="J2354" s="81"/>
      <c r="K2354" s="81"/>
      <c r="L2354" s="81"/>
      <c r="M2354" s="81"/>
      <c r="N2354" s="82"/>
    </row>
    <row r="2355">
      <c r="C2355" s="41"/>
      <c r="D2355" s="141"/>
      <c r="E2355" s="118"/>
      <c r="F2355" s="126"/>
      <c r="G2355" s="126"/>
      <c r="H2355" s="126"/>
      <c r="I2355" s="126"/>
      <c r="J2355" s="76"/>
      <c r="K2355" s="76"/>
      <c r="L2355" s="76"/>
      <c r="M2355" s="76"/>
      <c r="N2355" s="114"/>
    </row>
    <row r="2356">
      <c r="C2356" s="41"/>
      <c r="D2356" s="142"/>
      <c r="E2356" s="130"/>
      <c r="F2356" s="128"/>
      <c r="G2356" s="128"/>
      <c r="H2356" s="128"/>
      <c r="I2356" s="128"/>
      <c r="J2356" s="81"/>
      <c r="K2356" s="81"/>
      <c r="L2356" s="81"/>
      <c r="M2356" s="81"/>
      <c r="N2356" s="82"/>
    </row>
    <row r="2357">
      <c r="C2357" s="41"/>
      <c r="D2357" s="141"/>
      <c r="E2357" s="118"/>
      <c r="F2357" s="126"/>
      <c r="G2357" s="126"/>
      <c r="H2357" s="126"/>
      <c r="I2357" s="126"/>
      <c r="J2357" s="76"/>
      <c r="K2357" s="76"/>
      <c r="L2357" s="76"/>
      <c r="M2357" s="76"/>
      <c r="N2357" s="114"/>
    </row>
    <row r="2358">
      <c r="C2358" s="41"/>
      <c r="D2358" s="142"/>
      <c r="E2358" s="130"/>
      <c r="F2358" s="128"/>
      <c r="G2358" s="128"/>
      <c r="H2358" s="128"/>
      <c r="I2358" s="128"/>
      <c r="J2358" s="81"/>
      <c r="K2358" s="81"/>
      <c r="L2358" s="81"/>
      <c r="M2358" s="81"/>
      <c r="N2358" s="82"/>
    </row>
    <row r="2359">
      <c r="C2359" s="41"/>
      <c r="D2359" s="141"/>
      <c r="E2359" s="118"/>
      <c r="F2359" s="126"/>
      <c r="G2359" s="126"/>
      <c r="H2359" s="126"/>
      <c r="I2359" s="126"/>
      <c r="J2359" s="76"/>
      <c r="K2359" s="76"/>
      <c r="L2359" s="76"/>
      <c r="M2359" s="76"/>
      <c r="N2359" s="114"/>
    </row>
    <row r="2360">
      <c r="C2360" s="41"/>
      <c r="D2360" s="142"/>
      <c r="E2360" s="130"/>
      <c r="F2360" s="128"/>
      <c r="G2360" s="128"/>
      <c r="H2360" s="128"/>
      <c r="I2360" s="128"/>
      <c r="J2360" s="81"/>
      <c r="K2360" s="81"/>
      <c r="L2360" s="81"/>
      <c r="M2360" s="81"/>
      <c r="N2360" s="82"/>
    </row>
    <row r="2361">
      <c r="C2361" s="41"/>
      <c r="D2361" s="141"/>
      <c r="E2361" s="118"/>
      <c r="F2361" s="126"/>
      <c r="G2361" s="126"/>
      <c r="H2361" s="126"/>
      <c r="I2361" s="126"/>
      <c r="J2361" s="76"/>
      <c r="K2361" s="76"/>
      <c r="L2361" s="76"/>
      <c r="M2361" s="76"/>
      <c r="N2361" s="114"/>
    </row>
    <row r="2362">
      <c r="C2362" s="41"/>
      <c r="D2362" s="142"/>
      <c r="E2362" s="130"/>
      <c r="F2362" s="128"/>
      <c r="G2362" s="128"/>
      <c r="H2362" s="128"/>
      <c r="I2362" s="128"/>
      <c r="J2362" s="81"/>
      <c r="K2362" s="81"/>
      <c r="L2362" s="81"/>
      <c r="M2362" s="81"/>
      <c r="N2362" s="82"/>
    </row>
    <row r="2363">
      <c r="C2363" s="41"/>
      <c r="D2363" s="141"/>
      <c r="E2363" s="118"/>
      <c r="F2363" s="126"/>
      <c r="G2363" s="126"/>
      <c r="H2363" s="126"/>
      <c r="I2363" s="126"/>
      <c r="J2363" s="76"/>
      <c r="K2363" s="76"/>
      <c r="L2363" s="76"/>
      <c r="M2363" s="76"/>
      <c r="N2363" s="114"/>
    </row>
    <row r="2364">
      <c r="C2364" s="41"/>
      <c r="D2364" s="142"/>
      <c r="E2364" s="130"/>
      <c r="F2364" s="128"/>
      <c r="G2364" s="128"/>
      <c r="H2364" s="128"/>
      <c r="I2364" s="128"/>
      <c r="J2364" s="81"/>
      <c r="K2364" s="81"/>
      <c r="L2364" s="81"/>
      <c r="M2364" s="81"/>
      <c r="N2364" s="82"/>
    </row>
    <row r="2365">
      <c r="C2365" s="41"/>
      <c r="D2365" s="141"/>
      <c r="E2365" s="118"/>
      <c r="F2365" s="126"/>
      <c r="G2365" s="126"/>
      <c r="H2365" s="126"/>
      <c r="I2365" s="126"/>
      <c r="J2365" s="76"/>
      <c r="K2365" s="76"/>
      <c r="L2365" s="76"/>
      <c r="M2365" s="76"/>
      <c r="N2365" s="114"/>
    </row>
    <row r="2366">
      <c r="C2366" s="41"/>
      <c r="D2366" s="142"/>
      <c r="E2366" s="130"/>
      <c r="F2366" s="128"/>
      <c r="G2366" s="128"/>
      <c r="H2366" s="128"/>
      <c r="I2366" s="128"/>
      <c r="J2366" s="81"/>
      <c r="K2366" s="81"/>
      <c r="L2366" s="81"/>
      <c r="M2366" s="81"/>
      <c r="N2366" s="82"/>
    </row>
    <row r="2367">
      <c r="C2367" s="41"/>
      <c r="D2367" s="141"/>
      <c r="E2367" s="118"/>
      <c r="F2367" s="126"/>
      <c r="G2367" s="126"/>
      <c r="H2367" s="126"/>
      <c r="I2367" s="126"/>
      <c r="J2367" s="76"/>
      <c r="K2367" s="76"/>
      <c r="L2367" s="76"/>
      <c r="M2367" s="76"/>
      <c r="N2367" s="114"/>
    </row>
    <row r="2368">
      <c r="C2368" s="41"/>
      <c r="D2368" s="142"/>
      <c r="E2368" s="130"/>
      <c r="F2368" s="128"/>
      <c r="G2368" s="128"/>
      <c r="H2368" s="128"/>
      <c r="I2368" s="128"/>
      <c r="J2368" s="81"/>
      <c r="K2368" s="81"/>
      <c r="L2368" s="81"/>
      <c r="M2368" s="81"/>
      <c r="N2368" s="82"/>
    </row>
    <row r="2369">
      <c r="C2369" s="41"/>
      <c r="D2369" s="141"/>
      <c r="E2369" s="118"/>
      <c r="F2369" s="126"/>
      <c r="G2369" s="126"/>
      <c r="H2369" s="126"/>
      <c r="I2369" s="126"/>
      <c r="J2369" s="76"/>
      <c r="K2369" s="76"/>
      <c r="L2369" s="76"/>
      <c r="M2369" s="76"/>
      <c r="N2369" s="114"/>
    </row>
    <row r="2370">
      <c r="C2370" s="41"/>
      <c r="D2370" s="142"/>
      <c r="E2370" s="130"/>
      <c r="F2370" s="128"/>
      <c r="G2370" s="128"/>
      <c r="H2370" s="128"/>
      <c r="I2370" s="128"/>
      <c r="J2370" s="81"/>
      <c r="K2370" s="81"/>
      <c r="L2370" s="81"/>
      <c r="M2370" s="81"/>
      <c r="N2370" s="82"/>
    </row>
    <row r="2371">
      <c r="C2371" s="41"/>
      <c r="D2371" s="141"/>
      <c r="E2371" s="118"/>
      <c r="F2371" s="126"/>
      <c r="G2371" s="126"/>
      <c r="H2371" s="126"/>
      <c r="I2371" s="126"/>
      <c r="J2371" s="76"/>
      <c r="K2371" s="76"/>
      <c r="L2371" s="76"/>
      <c r="M2371" s="76"/>
      <c r="N2371" s="114"/>
    </row>
    <row r="2372">
      <c r="C2372" s="41"/>
      <c r="D2372" s="142"/>
      <c r="E2372" s="130"/>
      <c r="F2372" s="128"/>
      <c r="G2372" s="128"/>
      <c r="H2372" s="128"/>
      <c r="I2372" s="128"/>
      <c r="J2372" s="81"/>
      <c r="K2372" s="81"/>
      <c r="L2372" s="81"/>
      <c r="M2372" s="81"/>
      <c r="N2372" s="82"/>
    </row>
    <row r="2373">
      <c r="C2373" s="41"/>
      <c r="D2373" s="141"/>
      <c r="E2373" s="118"/>
      <c r="F2373" s="126"/>
      <c r="G2373" s="126"/>
      <c r="H2373" s="126"/>
      <c r="I2373" s="126"/>
      <c r="J2373" s="76"/>
      <c r="K2373" s="76"/>
      <c r="L2373" s="76"/>
      <c r="M2373" s="76"/>
      <c r="N2373" s="114"/>
    </row>
    <row r="2374">
      <c r="C2374" s="41"/>
      <c r="D2374" s="142"/>
      <c r="E2374" s="130"/>
      <c r="F2374" s="128"/>
      <c r="G2374" s="128"/>
      <c r="H2374" s="128"/>
      <c r="I2374" s="128"/>
      <c r="J2374" s="81"/>
      <c r="K2374" s="81"/>
      <c r="L2374" s="81"/>
      <c r="M2374" s="81"/>
      <c r="N2374" s="82"/>
    </row>
    <row r="2375">
      <c r="C2375" s="41"/>
      <c r="D2375" s="141"/>
      <c r="E2375" s="118"/>
      <c r="F2375" s="126"/>
      <c r="G2375" s="126"/>
      <c r="H2375" s="126"/>
      <c r="I2375" s="126"/>
      <c r="J2375" s="76"/>
      <c r="K2375" s="76"/>
      <c r="L2375" s="76"/>
      <c r="M2375" s="76"/>
      <c r="N2375" s="114"/>
    </row>
    <row r="2376">
      <c r="C2376" s="41"/>
      <c r="D2376" s="142"/>
      <c r="E2376" s="130"/>
      <c r="F2376" s="128"/>
      <c r="G2376" s="128"/>
      <c r="H2376" s="128"/>
      <c r="I2376" s="128"/>
      <c r="J2376" s="81"/>
      <c r="K2376" s="81"/>
      <c r="L2376" s="81"/>
      <c r="M2376" s="81"/>
      <c r="N2376" s="82"/>
    </row>
    <row r="2377">
      <c r="C2377" s="41"/>
      <c r="D2377" s="141"/>
      <c r="E2377" s="118"/>
      <c r="F2377" s="126"/>
      <c r="G2377" s="126"/>
      <c r="H2377" s="126"/>
      <c r="I2377" s="126"/>
      <c r="J2377" s="76"/>
      <c r="K2377" s="76"/>
      <c r="L2377" s="76"/>
      <c r="M2377" s="76"/>
      <c r="N2377" s="114"/>
    </row>
    <row r="2378">
      <c r="C2378" s="41"/>
      <c r="D2378" s="142"/>
      <c r="E2378" s="130"/>
      <c r="F2378" s="128"/>
      <c r="G2378" s="128"/>
      <c r="H2378" s="128"/>
      <c r="I2378" s="128"/>
      <c r="J2378" s="81"/>
      <c r="K2378" s="81"/>
      <c r="L2378" s="81"/>
      <c r="M2378" s="81"/>
      <c r="N2378" s="82"/>
    </row>
    <row r="2379">
      <c r="C2379" s="41"/>
      <c r="D2379" s="141"/>
      <c r="E2379" s="118"/>
      <c r="F2379" s="126"/>
      <c r="G2379" s="126"/>
      <c r="H2379" s="126"/>
      <c r="I2379" s="126"/>
      <c r="J2379" s="76"/>
      <c r="K2379" s="76"/>
      <c r="L2379" s="76"/>
      <c r="M2379" s="76"/>
      <c r="N2379" s="114"/>
    </row>
    <row r="2380">
      <c r="C2380" s="41"/>
      <c r="D2380" s="142"/>
      <c r="E2380" s="130"/>
      <c r="F2380" s="128"/>
      <c r="G2380" s="128"/>
      <c r="H2380" s="128"/>
      <c r="I2380" s="128"/>
      <c r="J2380" s="81"/>
      <c r="K2380" s="81"/>
      <c r="L2380" s="81"/>
      <c r="M2380" s="81"/>
      <c r="N2380" s="82"/>
    </row>
    <row r="2381">
      <c r="C2381" s="41"/>
      <c r="D2381" s="141"/>
      <c r="E2381" s="118"/>
      <c r="F2381" s="126"/>
      <c r="G2381" s="126"/>
      <c r="H2381" s="126"/>
      <c r="I2381" s="126"/>
      <c r="J2381" s="76"/>
      <c r="K2381" s="76"/>
      <c r="L2381" s="76"/>
      <c r="M2381" s="76"/>
      <c r="N2381" s="114"/>
    </row>
    <row r="2382">
      <c r="C2382" s="41"/>
      <c r="D2382" s="142"/>
      <c r="E2382" s="130"/>
      <c r="F2382" s="128"/>
      <c r="G2382" s="128"/>
      <c r="H2382" s="128"/>
      <c r="I2382" s="128"/>
      <c r="J2382" s="81"/>
      <c r="K2382" s="81"/>
      <c r="L2382" s="81"/>
      <c r="M2382" s="81"/>
      <c r="N2382" s="82"/>
    </row>
    <row r="2383">
      <c r="C2383" s="41"/>
      <c r="D2383" s="141"/>
      <c r="E2383" s="118"/>
      <c r="F2383" s="126"/>
      <c r="G2383" s="126"/>
      <c r="H2383" s="126"/>
      <c r="I2383" s="126"/>
      <c r="J2383" s="76"/>
      <c r="K2383" s="76"/>
      <c r="L2383" s="76"/>
      <c r="M2383" s="76"/>
      <c r="N2383" s="114"/>
    </row>
    <row r="2384">
      <c r="C2384" s="41"/>
      <c r="D2384" s="142"/>
      <c r="E2384" s="130"/>
      <c r="F2384" s="128"/>
      <c r="G2384" s="128"/>
      <c r="H2384" s="128"/>
      <c r="I2384" s="128"/>
      <c r="J2384" s="81"/>
      <c r="K2384" s="81"/>
      <c r="L2384" s="81"/>
      <c r="M2384" s="81"/>
      <c r="N2384" s="82"/>
    </row>
    <row r="2385">
      <c r="C2385" s="41"/>
      <c r="D2385" s="141"/>
      <c r="E2385" s="118"/>
      <c r="F2385" s="126"/>
      <c r="G2385" s="126"/>
      <c r="H2385" s="126"/>
      <c r="I2385" s="126"/>
      <c r="J2385" s="76"/>
      <c r="K2385" s="76"/>
      <c r="L2385" s="76"/>
      <c r="M2385" s="76"/>
      <c r="N2385" s="114"/>
    </row>
    <row r="2386">
      <c r="C2386" s="41"/>
      <c r="D2386" s="142"/>
      <c r="E2386" s="130"/>
      <c r="F2386" s="128"/>
      <c r="G2386" s="128"/>
      <c r="H2386" s="128"/>
      <c r="I2386" s="128"/>
      <c r="J2386" s="81"/>
      <c r="K2386" s="81"/>
      <c r="L2386" s="81"/>
      <c r="M2386" s="81"/>
      <c r="N2386" s="82"/>
    </row>
    <row r="2387">
      <c r="C2387" s="41"/>
      <c r="D2387" s="141"/>
      <c r="E2387" s="118"/>
      <c r="F2387" s="126"/>
      <c r="G2387" s="126"/>
      <c r="H2387" s="126"/>
      <c r="I2387" s="126"/>
      <c r="J2387" s="76"/>
      <c r="K2387" s="76"/>
      <c r="L2387" s="76"/>
      <c r="M2387" s="76"/>
      <c r="N2387" s="114"/>
    </row>
    <row r="2388">
      <c r="C2388" s="41"/>
      <c r="D2388" s="142"/>
      <c r="E2388" s="130"/>
      <c r="F2388" s="128"/>
      <c r="G2388" s="128"/>
      <c r="H2388" s="128"/>
      <c r="I2388" s="128"/>
      <c r="J2388" s="81"/>
      <c r="K2388" s="81"/>
      <c r="L2388" s="81"/>
      <c r="M2388" s="81"/>
      <c r="N2388" s="82"/>
    </row>
    <row r="2389">
      <c r="C2389" s="41"/>
      <c r="D2389" s="141"/>
      <c r="E2389" s="118"/>
      <c r="F2389" s="126"/>
      <c r="G2389" s="126"/>
      <c r="H2389" s="126"/>
      <c r="I2389" s="126"/>
      <c r="J2389" s="76"/>
      <c r="K2389" s="76"/>
      <c r="L2389" s="76"/>
      <c r="M2389" s="76"/>
      <c r="N2389" s="114"/>
    </row>
    <row r="2390">
      <c r="C2390" s="41"/>
      <c r="D2390" s="142"/>
      <c r="E2390" s="130"/>
      <c r="F2390" s="128"/>
      <c r="G2390" s="128"/>
      <c r="H2390" s="128"/>
      <c r="I2390" s="128"/>
      <c r="J2390" s="81"/>
      <c r="K2390" s="81"/>
      <c r="L2390" s="81"/>
      <c r="M2390" s="81"/>
      <c r="N2390" s="82"/>
    </row>
    <row r="2391">
      <c r="C2391" s="41"/>
      <c r="D2391" s="141"/>
      <c r="E2391" s="118"/>
      <c r="F2391" s="126"/>
      <c r="G2391" s="126"/>
      <c r="H2391" s="126"/>
      <c r="I2391" s="126"/>
      <c r="J2391" s="76"/>
      <c r="K2391" s="76"/>
      <c r="L2391" s="76"/>
      <c r="M2391" s="76"/>
      <c r="N2391" s="114"/>
    </row>
    <row r="2392">
      <c r="C2392" s="41"/>
      <c r="D2392" s="142"/>
      <c r="E2392" s="130"/>
      <c r="F2392" s="128"/>
      <c r="G2392" s="128"/>
      <c r="H2392" s="128"/>
      <c r="I2392" s="128"/>
      <c r="J2392" s="81"/>
      <c r="K2392" s="81"/>
      <c r="L2392" s="81"/>
      <c r="M2392" s="81"/>
      <c r="N2392" s="82"/>
    </row>
    <row r="2393">
      <c r="C2393" s="41"/>
      <c r="D2393" s="141"/>
      <c r="E2393" s="118"/>
      <c r="F2393" s="126"/>
      <c r="G2393" s="126"/>
      <c r="H2393" s="126"/>
      <c r="I2393" s="126"/>
      <c r="J2393" s="76"/>
      <c r="K2393" s="76"/>
      <c r="L2393" s="76"/>
      <c r="M2393" s="76"/>
      <c r="N2393" s="114"/>
    </row>
    <row r="2394">
      <c r="C2394" s="41"/>
      <c r="D2394" s="142"/>
      <c r="E2394" s="130"/>
      <c r="F2394" s="128"/>
      <c r="G2394" s="128"/>
      <c r="H2394" s="128"/>
      <c r="I2394" s="128"/>
      <c r="J2394" s="81"/>
      <c r="K2394" s="81"/>
      <c r="L2394" s="81"/>
      <c r="M2394" s="81"/>
      <c r="N2394" s="82"/>
    </row>
    <row r="2395">
      <c r="C2395" s="41"/>
      <c r="D2395" s="141"/>
      <c r="E2395" s="118"/>
      <c r="F2395" s="126"/>
      <c r="G2395" s="126"/>
      <c r="H2395" s="126"/>
      <c r="I2395" s="126"/>
      <c r="J2395" s="76"/>
      <c r="K2395" s="76"/>
      <c r="L2395" s="76"/>
      <c r="M2395" s="76"/>
      <c r="N2395" s="114"/>
    </row>
    <row r="2396">
      <c r="C2396" s="41"/>
      <c r="D2396" s="142"/>
      <c r="E2396" s="130"/>
      <c r="F2396" s="128"/>
      <c r="G2396" s="128"/>
      <c r="H2396" s="128"/>
      <c r="I2396" s="128"/>
      <c r="J2396" s="81"/>
      <c r="K2396" s="81"/>
      <c r="L2396" s="81"/>
      <c r="M2396" s="81"/>
      <c r="N2396" s="82"/>
    </row>
    <row r="2397">
      <c r="C2397" s="41"/>
      <c r="D2397" s="141"/>
      <c r="E2397" s="118"/>
      <c r="F2397" s="126"/>
      <c r="G2397" s="126"/>
      <c r="H2397" s="126"/>
      <c r="I2397" s="126"/>
      <c r="J2397" s="76"/>
      <c r="K2397" s="76"/>
      <c r="L2397" s="76"/>
      <c r="M2397" s="76"/>
      <c r="N2397" s="114"/>
    </row>
    <row r="2398">
      <c r="C2398" s="41"/>
      <c r="D2398" s="142"/>
      <c r="E2398" s="130"/>
      <c r="F2398" s="128"/>
      <c r="G2398" s="128"/>
      <c r="H2398" s="128"/>
      <c r="I2398" s="128"/>
      <c r="J2398" s="81"/>
      <c r="K2398" s="81"/>
      <c r="L2398" s="81"/>
      <c r="M2398" s="81"/>
      <c r="N2398" s="82"/>
    </row>
    <row r="2399">
      <c r="C2399" s="41"/>
      <c r="D2399" s="141"/>
      <c r="E2399" s="118"/>
      <c r="F2399" s="126"/>
      <c r="G2399" s="126"/>
      <c r="H2399" s="126"/>
      <c r="I2399" s="126"/>
      <c r="J2399" s="76"/>
      <c r="K2399" s="76"/>
      <c r="L2399" s="76"/>
      <c r="M2399" s="76"/>
      <c r="N2399" s="114"/>
    </row>
    <row r="2400">
      <c r="C2400" s="41"/>
      <c r="D2400" s="142"/>
      <c r="E2400" s="130"/>
      <c r="F2400" s="128"/>
      <c r="G2400" s="128"/>
      <c r="H2400" s="128"/>
      <c r="I2400" s="128"/>
      <c r="J2400" s="81"/>
      <c r="K2400" s="81"/>
      <c r="L2400" s="81"/>
      <c r="M2400" s="81"/>
      <c r="N2400" s="82"/>
    </row>
    <row r="2401">
      <c r="C2401" s="41"/>
      <c r="D2401" s="141"/>
      <c r="E2401" s="118"/>
      <c r="F2401" s="126"/>
      <c r="G2401" s="126"/>
      <c r="H2401" s="126"/>
      <c r="I2401" s="126"/>
      <c r="J2401" s="76"/>
      <c r="K2401" s="76"/>
      <c r="L2401" s="76"/>
      <c r="M2401" s="76"/>
      <c r="N2401" s="114"/>
    </row>
    <row r="2402">
      <c r="C2402" s="41"/>
      <c r="D2402" s="142"/>
      <c r="E2402" s="130"/>
      <c r="F2402" s="128"/>
      <c r="G2402" s="128"/>
      <c r="H2402" s="128"/>
      <c r="I2402" s="128"/>
      <c r="J2402" s="81"/>
      <c r="K2402" s="81"/>
      <c r="L2402" s="81"/>
      <c r="M2402" s="81"/>
      <c r="N2402" s="82"/>
    </row>
    <row r="2403">
      <c r="C2403" s="41"/>
      <c r="D2403" s="141"/>
      <c r="E2403" s="118"/>
      <c r="F2403" s="126"/>
      <c r="G2403" s="126"/>
      <c r="H2403" s="126"/>
      <c r="I2403" s="126"/>
      <c r="J2403" s="76"/>
      <c r="K2403" s="76"/>
      <c r="L2403" s="76"/>
      <c r="M2403" s="76"/>
      <c r="N2403" s="114"/>
    </row>
    <row r="2404">
      <c r="C2404" s="41"/>
      <c r="D2404" s="142"/>
      <c r="E2404" s="130"/>
      <c r="F2404" s="128"/>
      <c r="G2404" s="128"/>
      <c r="H2404" s="128"/>
      <c r="I2404" s="128"/>
      <c r="J2404" s="81"/>
      <c r="K2404" s="81"/>
      <c r="L2404" s="81"/>
      <c r="M2404" s="81"/>
      <c r="N2404" s="82"/>
    </row>
    <row r="2405">
      <c r="C2405" s="41"/>
      <c r="D2405" s="141"/>
      <c r="E2405" s="118"/>
      <c r="F2405" s="126"/>
      <c r="G2405" s="126"/>
      <c r="H2405" s="126"/>
      <c r="I2405" s="126"/>
      <c r="J2405" s="76"/>
      <c r="K2405" s="76"/>
      <c r="L2405" s="76"/>
      <c r="M2405" s="76"/>
      <c r="N2405" s="114"/>
    </row>
    <row r="2406">
      <c r="C2406" s="41"/>
      <c r="D2406" s="142"/>
      <c r="E2406" s="130"/>
      <c r="F2406" s="128"/>
      <c r="G2406" s="128"/>
      <c r="H2406" s="128"/>
      <c r="I2406" s="128"/>
      <c r="J2406" s="81"/>
      <c r="K2406" s="81"/>
      <c r="L2406" s="81"/>
      <c r="M2406" s="81"/>
      <c r="N2406" s="82"/>
    </row>
    <row r="2407">
      <c r="C2407" s="41"/>
      <c r="D2407" s="141"/>
      <c r="E2407" s="118"/>
      <c r="F2407" s="126"/>
      <c r="G2407" s="126"/>
      <c r="H2407" s="126"/>
      <c r="I2407" s="126"/>
      <c r="J2407" s="76"/>
      <c r="K2407" s="76"/>
      <c r="L2407" s="76"/>
      <c r="M2407" s="76"/>
      <c r="N2407" s="114"/>
    </row>
    <row r="2408">
      <c r="C2408" s="41"/>
      <c r="D2408" s="142"/>
      <c r="E2408" s="130"/>
      <c r="F2408" s="128"/>
      <c r="G2408" s="128"/>
      <c r="H2408" s="128"/>
      <c r="I2408" s="128"/>
      <c r="J2408" s="81"/>
      <c r="K2408" s="81"/>
      <c r="L2408" s="81"/>
      <c r="M2408" s="81"/>
      <c r="N2408" s="82"/>
    </row>
    <row r="2409">
      <c r="C2409" s="41"/>
      <c r="D2409" s="141"/>
      <c r="E2409" s="118"/>
      <c r="F2409" s="126"/>
      <c r="G2409" s="126"/>
      <c r="H2409" s="126"/>
      <c r="I2409" s="126"/>
      <c r="J2409" s="76"/>
      <c r="K2409" s="76"/>
      <c r="L2409" s="76"/>
      <c r="M2409" s="76"/>
      <c r="N2409" s="114"/>
    </row>
    <row r="2410">
      <c r="C2410" s="41"/>
      <c r="D2410" s="142"/>
      <c r="E2410" s="130"/>
      <c r="F2410" s="128"/>
      <c r="G2410" s="128"/>
      <c r="H2410" s="128"/>
      <c r="I2410" s="128"/>
      <c r="J2410" s="81"/>
      <c r="K2410" s="81"/>
      <c r="L2410" s="81"/>
      <c r="M2410" s="81"/>
      <c r="N2410" s="82"/>
    </row>
    <row r="2411">
      <c r="C2411" s="41"/>
      <c r="D2411" s="141"/>
      <c r="E2411" s="118"/>
      <c r="F2411" s="126"/>
      <c r="G2411" s="126"/>
      <c r="H2411" s="126"/>
      <c r="I2411" s="126"/>
      <c r="J2411" s="76"/>
      <c r="K2411" s="76"/>
      <c r="L2411" s="76"/>
      <c r="M2411" s="76"/>
      <c r="N2411" s="114"/>
    </row>
    <row r="2412">
      <c r="C2412" s="41"/>
      <c r="D2412" s="142"/>
      <c r="E2412" s="130"/>
      <c r="F2412" s="128"/>
      <c r="G2412" s="128"/>
      <c r="H2412" s="128"/>
      <c r="I2412" s="128"/>
      <c r="J2412" s="81"/>
      <c r="K2412" s="81"/>
      <c r="L2412" s="81"/>
      <c r="M2412" s="81"/>
      <c r="N2412" s="82"/>
    </row>
    <row r="2413">
      <c r="C2413" s="41"/>
      <c r="D2413" s="141"/>
      <c r="E2413" s="118"/>
      <c r="F2413" s="126"/>
      <c r="G2413" s="126"/>
      <c r="H2413" s="126"/>
      <c r="I2413" s="126"/>
      <c r="J2413" s="76"/>
      <c r="K2413" s="76"/>
      <c r="L2413" s="76"/>
      <c r="M2413" s="76"/>
      <c r="N2413" s="114"/>
    </row>
    <row r="2414">
      <c r="C2414" s="41"/>
      <c r="D2414" s="142"/>
      <c r="E2414" s="130"/>
      <c r="F2414" s="128"/>
      <c r="G2414" s="128"/>
      <c r="H2414" s="128"/>
      <c r="I2414" s="128"/>
      <c r="J2414" s="81"/>
      <c r="K2414" s="81"/>
      <c r="L2414" s="81"/>
      <c r="M2414" s="81"/>
      <c r="N2414" s="82"/>
    </row>
    <row r="2415">
      <c r="C2415" s="41"/>
      <c r="D2415" s="141"/>
      <c r="E2415" s="118"/>
      <c r="F2415" s="126"/>
      <c r="G2415" s="126"/>
      <c r="H2415" s="126"/>
      <c r="I2415" s="126"/>
      <c r="J2415" s="76"/>
      <c r="K2415" s="76"/>
      <c r="L2415" s="76"/>
      <c r="M2415" s="76"/>
      <c r="N2415" s="114"/>
    </row>
    <row r="2416">
      <c r="C2416" s="41"/>
      <c r="D2416" s="142"/>
      <c r="E2416" s="130"/>
      <c r="F2416" s="128"/>
      <c r="G2416" s="128"/>
      <c r="H2416" s="128"/>
      <c r="I2416" s="128"/>
      <c r="J2416" s="81"/>
      <c r="K2416" s="81"/>
      <c r="L2416" s="81"/>
      <c r="M2416" s="81"/>
      <c r="N2416" s="82"/>
    </row>
    <row r="2417">
      <c r="C2417" s="41"/>
      <c r="D2417" s="141"/>
      <c r="E2417" s="118"/>
      <c r="F2417" s="126"/>
      <c r="G2417" s="126"/>
      <c r="H2417" s="126"/>
      <c r="I2417" s="126"/>
      <c r="J2417" s="76"/>
      <c r="K2417" s="76"/>
      <c r="L2417" s="76"/>
      <c r="M2417" s="76"/>
      <c r="N2417" s="114"/>
    </row>
    <row r="2418">
      <c r="C2418" s="41"/>
      <c r="D2418" s="142"/>
      <c r="E2418" s="130"/>
      <c r="F2418" s="128"/>
      <c r="G2418" s="128"/>
      <c r="H2418" s="128"/>
      <c r="I2418" s="128"/>
      <c r="J2418" s="81"/>
      <c r="K2418" s="81"/>
      <c r="L2418" s="81"/>
      <c r="M2418" s="81"/>
      <c r="N2418" s="82"/>
    </row>
    <row r="2419">
      <c r="C2419" s="41"/>
      <c r="D2419" s="141"/>
      <c r="E2419" s="118"/>
      <c r="F2419" s="126"/>
      <c r="G2419" s="126"/>
      <c r="H2419" s="126"/>
      <c r="I2419" s="126"/>
      <c r="J2419" s="76"/>
      <c r="K2419" s="76"/>
      <c r="L2419" s="76"/>
      <c r="M2419" s="76"/>
      <c r="N2419" s="114"/>
    </row>
    <row r="2420">
      <c r="C2420" s="41"/>
      <c r="D2420" s="142"/>
      <c r="E2420" s="130"/>
      <c r="F2420" s="128"/>
      <c r="G2420" s="128"/>
      <c r="H2420" s="128"/>
      <c r="I2420" s="128"/>
      <c r="J2420" s="81"/>
      <c r="K2420" s="81"/>
      <c r="L2420" s="81"/>
      <c r="M2420" s="81"/>
      <c r="N2420" s="82"/>
    </row>
    <row r="2421">
      <c r="C2421" s="41"/>
      <c r="D2421" s="141"/>
      <c r="E2421" s="118"/>
      <c r="F2421" s="126"/>
      <c r="G2421" s="126"/>
      <c r="H2421" s="126"/>
      <c r="I2421" s="126"/>
      <c r="J2421" s="76"/>
      <c r="K2421" s="76"/>
      <c r="L2421" s="76"/>
      <c r="M2421" s="76"/>
      <c r="N2421" s="114"/>
    </row>
    <row r="2422">
      <c r="C2422" s="41"/>
      <c r="D2422" s="142"/>
      <c r="E2422" s="130"/>
      <c r="F2422" s="128"/>
      <c r="G2422" s="128"/>
      <c r="H2422" s="128"/>
      <c r="I2422" s="128"/>
      <c r="J2422" s="81"/>
      <c r="K2422" s="81"/>
      <c r="L2422" s="81"/>
      <c r="M2422" s="81"/>
      <c r="N2422" s="82"/>
    </row>
    <row r="2423">
      <c r="C2423" s="41"/>
      <c r="D2423" s="141"/>
      <c r="E2423" s="118"/>
      <c r="F2423" s="126"/>
      <c r="G2423" s="126"/>
      <c r="H2423" s="126"/>
      <c r="I2423" s="126"/>
      <c r="J2423" s="76"/>
      <c r="K2423" s="76"/>
      <c r="L2423" s="76"/>
      <c r="M2423" s="76"/>
      <c r="N2423" s="114"/>
    </row>
    <row r="2424">
      <c r="C2424" s="41"/>
      <c r="D2424" s="142"/>
      <c r="E2424" s="130"/>
      <c r="F2424" s="128"/>
      <c r="G2424" s="128"/>
      <c r="H2424" s="128"/>
      <c r="I2424" s="128"/>
      <c r="J2424" s="81"/>
      <c r="K2424" s="81"/>
      <c r="L2424" s="81"/>
      <c r="M2424" s="81"/>
      <c r="N2424" s="82"/>
    </row>
    <row r="2425">
      <c r="C2425" s="41"/>
      <c r="D2425" s="141"/>
      <c r="E2425" s="118"/>
      <c r="F2425" s="126"/>
      <c r="G2425" s="126"/>
      <c r="H2425" s="126"/>
      <c r="I2425" s="126"/>
      <c r="J2425" s="76"/>
      <c r="K2425" s="76"/>
      <c r="L2425" s="76"/>
      <c r="M2425" s="76"/>
      <c r="N2425" s="114"/>
    </row>
    <row r="2426">
      <c r="C2426" s="41"/>
      <c r="D2426" s="142"/>
      <c r="E2426" s="130"/>
      <c r="F2426" s="128"/>
      <c r="G2426" s="128"/>
      <c r="H2426" s="128"/>
      <c r="I2426" s="128"/>
      <c r="J2426" s="81"/>
      <c r="K2426" s="81"/>
      <c r="L2426" s="81"/>
      <c r="M2426" s="81"/>
      <c r="N2426" s="82"/>
    </row>
    <row r="2427">
      <c r="C2427" s="41"/>
      <c r="D2427" s="141"/>
      <c r="E2427" s="118"/>
      <c r="F2427" s="126"/>
      <c r="G2427" s="126"/>
      <c r="H2427" s="126"/>
      <c r="I2427" s="126"/>
      <c r="J2427" s="76"/>
      <c r="K2427" s="76"/>
      <c r="L2427" s="76"/>
      <c r="M2427" s="76"/>
      <c r="N2427" s="114"/>
    </row>
    <row r="2428">
      <c r="C2428" s="41"/>
      <c r="D2428" s="142"/>
      <c r="E2428" s="130"/>
      <c r="F2428" s="128"/>
      <c r="G2428" s="128"/>
      <c r="H2428" s="128"/>
      <c r="I2428" s="128"/>
      <c r="J2428" s="81"/>
      <c r="K2428" s="81"/>
      <c r="L2428" s="81"/>
      <c r="M2428" s="81"/>
      <c r="N2428" s="82"/>
    </row>
    <row r="2429">
      <c r="C2429" s="41"/>
      <c r="D2429" s="141"/>
      <c r="E2429" s="118"/>
      <c r="F2429" s="126"/>
      <c r="G2429" s="126"/>
      <c r="H2429" s="126"/>
      <c r="I2429" s="126"/>
      <c r="J2429" s="76"/>
      <c r="K2429" s="76"/>
      <c r="L2429" s="76"/>
      <c r="M2429" s="76"/>
      <c r="N2429" s="114"/>
    </row>
    <row r="2430">
      <c r="C2430" s="41"/>
      <c r="D2430" s="142"/>
      <c r="E2430" s="130"/>
      <c r="F2430" s="128"/>
      <c r="G2430" s="128"/>
      <c r="H2430" s="128"/>
      <c r="I2430" s="128"/>
      <c r="J2430" s="81"/>
      <c r="K2430" s="81"/>
      <c r="L2430" s="81"/>
      <c r="M2430" s="81"/>
      <c r="N2430" s="82"/>
    </row>
    <row r="2431">
      <c r="C2431" s="41"/>
      <c r="D2431" s="141"/>
      <c r="E2431" s="118"/>
      <c r="F2431" s="126"/>
      <c r="G2431" s="126"/>
      <c r="H2431" s="126"/>
      <c r="I2431" s="126"/>
      <c r="J2431" s="76"/>
      <c r="K2431" s="76"/>
      <c r="L2431" s="76"/>
      <c r="M2431" s="76"/>
      <c r="N2431" s="114"/>
    </row>
    <row r="2432">
      <c r="C2432" s="41"/>
      <c r="D2432" s="142"/>
      <c r="E2432" s="130"/>
      <c r="F2432" s="128"/>
      <c r="G2432" s="128"/>
      <c r="H2432" s="128"/>
      <c r="I2432" s="128"/>
      <c r="J2432" s="81"/>
      <c r="K2432" s="81"/>
      <c r="L2432" s="81"/>
      <c r="M2432" s="81"/>
      <c r="N2432" s="82"/>
    </row>
    <row r="2433">
      <c r="C2433" s="41"/>
      <c r="D2433" s="141"/>
      <c r="E2433" s="118"/>
      <c r="F2433" s="126"/>
      <c r="G2433" s="126"/>
      <c r="H2433" s="126"/>
      <c r="I2433" s="126"/>
      <c r="J2433" s="76"/>
      <c r="K2433" s="76"/>
      <c r="L2433" s="76"/>
      <c r="M2433" s="76"/>
      <c r="N2433" s="114"/>
    </row>
    <row r="2434">
      <c r="C2434" s="41"/>
      <c r="D2434" s="142"/>
      <c r="E2434" s="130"/>
      <c r="F2434" s="128"/>
      <c r="G2434" s="128"/>
      <c r="H2434" s="128"/>
      <c r="I2434" s="128"/>
      <c r="J2434" s="81"/>
      <c r="K2434" s="81"/>
      <c r="L2434" s="81"/>
      <c r="M2434" s="81"/>
      <c r="N2434" s="82"/>
    </row>
    <row r="2435">
      <c r="C2435" s="41"/>
      <c r="D2435" s="141"/>
      <c r="E2435" s="118"/>
      <c r="F2435" s="126"/>
      <c r="G2435" s="126"/>
      <c r="H2435" s="126"/>
      <c r="I2435" s="126"/>
      <c r="J2435" s="76"/>
      <c r="K2435" s="76"/>
      <c r="L2435" s="76"/>
      <c r="M2435" s="76"/>
      <c r="N2435" s="114"/>
    </row>
    <row r="2436">
      <c r="C2436" s="41"/>
      <c r="D2436" s="142"/>
      <c r="E2436" s="130"/>
      <c r="F2436" s="128"/>
      <c r="G2436" s="128"/>
      <c r="H2436" s="128"/>
      <c r="I2436" s="128"/>
      <c r="J2436" s="81"/>
      <c r="K2436" s="81"/>
      <c r="L2436" s="81"/>
      <c r="M2436" s="81"/>
      <c r="N2436" s="82"/>
    </row>
    <row r="2437">
      <c r="C2437" s="41"/>
      <c r="D2437" s="141"/>
      <c r="E2437" s="118"/>
      <c r="F2437" s="126"/>
      <c r="G2437" s="126"/>
      <c r="H2437" s="126"/>
      <c r="I2437" s="126"/>
      <c r="J2437" s="76"/>
      <c r="K2437" s="76"/>
      <c r="L2437" s="76"/>
      <c r="M2437" s="76"/>
      <c r="N2437" s="114"/>
    </row>
    <row r="2438">
      <c r="C2438" s="41"/>
      <c r="D2438" s="142"/>
      <c r="E2438" s="130"/>
      <c r="F2438" s="128"/>
      <c r="G2438" s="128"/>
      <c r="H2438" s="128"/>
      <c r="I2438" s="128"/>
      <c r="J2438" s="81"/>
      <c r="K2438" s="81"/>
      <c r="L2438" s="81"/>
      <c r="M2438" s="81"/>
      <c r="N2438" s="82"/>
    </row>
    <row r="2439">
      <c r="C2439" s="41"/>
      <c r="D2439" s="141"/>
      <c r="E2439" s="118"/>
      <c r="F2439" s="126"/>
      <c r="G2439" s="126"/>
      <c r="H2439" s="126"/>
      <c r="I2439" s="126"/>
      <c r="J2439" s="76"/>
      <c r="K2439" s="76"/>
      <c r="L2439" s="76"/>
      <c r="M2439" s="76"/>
      <c r="N2439" s="114"/>
    </row>
    <row r="2440">
      <c r="C2440" s="41"/>
      <c r="D2440" s="142"/>
      <c r="E2440" s="130"/>
      <c r="F2440" s="128"/>
      <c r="G2440" s="128"/>
      <c r="H2440" s="128"/>
      <c r="I2440" s="128"/>
      <c r="J2440" s="81"/>
      <c r="K2440" s="81"/>
      <c r="L2440" s="81"/>
      <c r="M2440" s="81"/>
      <c r="N2440" s="82"/>
    </row>
    <row r="2441">
      <c r="C2441" s="41"/>
      <c r="D2441" s="141"/>
      <c r="E2441" s="118"/>
      <c r="F2441" s="126"/>
      <c r="G2441" s="126"/>
      <c r="H2441" s="126"/>
      <c r="I2441" s="126"/>
      <c r="J2441" s="76"/>
      <c r="K2441" s="76"/>
      <c r="L2441" s="76"/>
      <c r="M2441" s="76"/>
      <c r="N2441" s="114"/>
    </row>
    <row r="2442">
      <c r="C2442" s="41"/>
      <c r="D2442" s="142"/>
      <c r="E2442" s="130"/>
      <c r="F2442" s="128"/>
      <c r="G2442" s="128"/>
      <c r="H2442" s="128"/>
      <c r="I2442" s="128"/>
      <c r="J2442" s="81"/>
      <c r="K2442" s="81"/>
      <c r="L2442" s="81"/>
      <c r="M2442" s="81"/>
      <c r="N2442" s="82"/>
    </row>
    <row r="2443">
      <c r="C2443" s="41"/>
      <c r="D2443" s="141"/>
      <c r="E2443" s="118"/>
      <c r="F2443" s="126"/>
      <c r="G2443" s="126"/>
      <c r="H2443" s="126"/>
      <c r="I2443" s="126"/>
      <c r="J2443" s="76"/>
      <c r="K2443" s="76"/>
      <c r="L2443" s="76"/>
      <c r="M2443" s="76"/>
      <c r="N2443" s="114"/>
    </row>
    <row r="2444">
      <c r="C2444" s="41"/>
      <c r="D2444" s="142"/>
      <c r="E2444" s="130"/>
      <c r="F2444" s="128"/>
      <c r="G2444" s="128"/>
      <c r="H2444" s="128"/>
      <c r="I2444" s="128"/>
      <c r="J2444" s="81"/>
      <c r="K2444" s="81"/>
      <c r="L2444" s="81"/>
      <c r="M2444" s="81"/>
      <c r="N2444" s="82"/>
    </row>
    <row r="2445">
      <c r="C2445" s="41"/>
      <c r="D2445" s="141"/>
      <c r="E2445" s="118"/>
      <c r="F2445" s="126"/>
      <c r="G2445" s="126"/>
      <c r="H2445" s="126"/>
      <c r="I2445" s="126"/>
      <c r="J2445" s="76"/>
      <c r="K2445" s="76"/>
      <c r="L2445" s="76"/>
      <c r="M2445" s="76"/>
      <c r="N2445" s="114"/>
    </row>
    <row r="2446">
      <c r="C2446" s="41"/>
      <c r="D2446" s="142"/>
      <c r="E2446" s="130"/>
      <c r="F2446" s="128"/>
      <c r="G2446" s="128"/>
      <c r="H2446" s="128"/>
      <c r="I2446" s="128"/>
      <c r="J2446" s="81"/>
      <c r="K2446" s="81"/>
      <c r="L2446" s="81"/>
      <c r="M2446" s="81"/>
      <c r="N2446" s="82"/>
    </row>
    <row r="2447">
      <c r="C2447" s="41"/>
      <c r="D2447" s="141"/>
      <c r="E2447" s="118"/>
      <c r="F2447" s="126"/>
      <c r="G2447" s="126"/>
      <c r="H2447" s="126"/>
      <c r="I2447" s="126"/>
      <c r="J2447" s="76"/>
      <c r="K2447" s="76"/>
      <c r="L2447" s="76"/>
      <c r="M2447" s="76"/>
      <c r="N2447" s="114"/>
    </row>
    <row r="2448">
      <c r="C2448" s="41"/>
      <c r="D2448" s="142"/>
      <c r="E2448" s="130"/>
      <c r="F2448" s="128"/>
      <c r="G2448" s="128"/>
      <c r="H2448" s="128"/>
      <c r="I2448" s="128"/>
      <c r="J2448" s="81"/>
      <c r="K2448" s="81"/>
      <c r="L2448" s="81"/>
      <c r="M2448" s="81"/>
      <c r="N2448" s="82"/>
    </row>
    <row r="2449">
      <c r="C2449" s="41"/>
      <c r="D2449" s="141"/>
      <c r="E2449" s="118"/>
      <c r="F2449" s="126"/>
      <c r="G2449" s="126"/>
      <c r="H2449" s="126"/>
      <c r="I2449" s="126"/>
      <c r="J2449" s="76"/>
      <c r="K2449" s="76"/>
      <c r="L2449" s="76"/>
      <c r="M2449" s="76"/>
      <c r="N2449" s="114"/>
    </row>
    <row r="2450">
      <c r="C2450" s="41"/>
      <c r="D2450" s="142"/>
      <c r="E2450" s="130"/>
      <c r="F2450" s="128"/>
      <c r="G2450" s="128"/>
      <c r="H2450" s="128"/>
      <c r="I2450" s="128"/>
      <c r="J2450" s="81"/>
      <c r="K2450" s="81"/>
      <c r="L2450" s="81"/>
      <c r="M2450" s="81"/>
      <c r="N2450" s="82"/>
    </row>
    <row r="2451">
      <c r="C2451" s="41"/>
      <c r="D2451" s="141"/>
      <c r="E2451" s="118"/>
      <c r="F2451" s="126"/>
      <c r="G2451" s="126"/>
      <c r="H2451" s="126"/>
      <c r="I2451" s="126"/>
      <c r="J2451" s="76"/>
      <c r="K2451" s="76"/>
      <c r="L2451" s="76"/>
      <c r="M2451" s="76"/>
      <c r="N2451" s="114"/>
    </row>
    <row r="2452">
      <c r="C2452" s="41"/>
      <c r="D2452" s="142"/>
      <c r="E2452" s="130"/>
      <c r="F2452" s="128"/>
      <c r="G2452" s="128"/>
      <c r="H2452" s="128"/>
      <c r="I2452" s="128"/>
      <c r="J2452" s="81"/>
      <c r="K2452" s="81"/>
      <c r="L2452" s="81"/>
      <c r="M2452" s="81"/>
      <c r="N2452" s="82"/>
    </row>
    <row r="2453">
      <c r="C2453" s="41"/>
      <c r="D2453" s="141"/>
      <c r="E2453" s="118"/>
      <c r="F2453" s="126"/>
      <c r="G2453" s="126"/>
      <c r="H2453" s="126"/>
      <c r="I2453" s="126"/>
      <c r="J2453" s="76"/>
      <c r="K2453" s="76"/>
      <c r="L2453" s="76"/>
      <c r="M2453" s="76"/>
      <c r="N2453" s="114"/>
    </row>
    <row r="2454">
      <c r="C2454" s="41"/>
      <c r="D2454" s="142"/>
      <c r="E2454" s="130"/>
      <c r="F2454" s="128"/>
      <c r="G2454" s="128"/>
      <c r="H2454" s="128"/>
      <c r="I2454" s="128"/>
      <c r="J2454" s="81"/>
      <c r="K2454" s="81"/>
      <c r="L2454" s="81"/>
      <c r="M2454" s="81"/>
      <c r="N2454" s="82"/>
    </row>
    <row r="2455">
      <c r="C2455" s="41"/>
      <c r="D2455" s="141"/>
      <c r="E2455" s="118"/>
      <c r="F2455" s="126"/>
      <c r="G2455" s="126"/>
      <c r="H2455" s="126"/>
      <c r="I2455" s="126"/>
      <c r="J2455" s="76"/>
      <c r="K2455" s="76"/>
      <c r="L2455" s="76"/>
      <c r="M2455" s="76"/>
      <c r="N2455" s="114"/>
    </row>
    <row r="2456">
      <c r="C2456" s="41"/>
      <c r="D2456" s="142"/>
      <c r="E2456" s="130"/>
      <c r="F2456" s="128"/>
      <c r="G2456" s="128"/>
      <c r="H2456" s="128"/>
      <c r="I2456" s="128"/>
      <c r="J2456" s="81"/>
      <c r="K2456" s="81"/>
      <c r="L2456" s="81"/>
      <c r="M2456" s="81"/>
      <c r="N2456" s="82"/>
    </row>
    <row r="2457">
      <c r="C2457" s="41"/>
      <c r="D2457" s="141"/>
      <c r="E2457" s="118"/>
      <c r="F2457" s="126"/>
      <c r="G2457" s="126"/>
      <c r="H2457" s="126"/>
      <c r="I2457" s="126"/>
      <c r="J2457" s="76"/>
      <c r="K2457" s="76"/>
      <c r="L2457" s="76"/>
      <c r="M2457" s="76"/>
      <c r="N2457" s="114"/>
    </row>
    <row r="2458">
      <c r="C2458" s="41"/>
      <c r="D2458" s="142"/>
      <c r="E2458" s="130"/>
      <c r="F2458" s="128"/>
      <c r="G2458" s="128"/>
      <c r="H2458" s="128"/>
      <c r="I2458" s="128"/>
      <c r="J2458" s="81"/>
      <c r="K2458" s="81"/>
      <c r="L2458" s="81"/>
      <c r="M2458" s="81"/>
      <c r="N2458" s="82"/>
    </row>
    <row r="2459">
      <c r="C2459" s="41"/>
      <c r="D2459" s="141"/>
      <c r="E2459" s="118"/>
      <c r="F2459" s="126"/>
      <c r="G2459" s="126"/>
      <c r="H2459" s="126"/>
      <c r="I2459" s="126"/>
      <c r="J2459" s="76"/>
      <c r="K2459" s="76"/>
      <c r="L2459" s="76"/>
      <c r="M2459" s="76"/>
      <c r="N2459" s="114"/>
    </row>
    <row r="2460">
      <c r="C2460" s="41"/>
      <c r="D2460" s="142"/>
      <c r="E2460" s="130"/>
      <c r="F2460" s="128"/>
      <c r="G2460" s="128"/>
      <c r="H2460" s="128"/>
      <c r="I2460" s="128"/>
      <c r="J2460" s="81"/>
      <c r="K2460" s="81"/>
      <c r="L2460" s="81"/>
      <c r="M2460" s="81"/>
      <c r="N2460" s="82"/>
    </row>
    <row r="2461">
      <c r="C2461" s="41"/>
      <c r="D2461" s="141"/>
      <c r="E2461" s="118"/>
      <c r="F2461" s="126"/>
      <c r="G2461" s="126"/>
      <c r="H2461" s="126"/>
      <c r="I2461" s="126"/>
      <c r="J2461" s="76"/>
      <c r="K2461" s="76"/>
      <c r="L2461" s="76"/>
      <c r="M2461" s="76"/>
      <c r="N2461" s="114"/>
    </row>
    <row r="2462">
      <c r="C2462" s="41"/>
      <c r="D2462" s="142"/>
      <c r="E2462" s="130"/>
      <c r="F2462" s="128"/>
      <c r="G2462" s="128"/>
      <c r="H2462" s="128"/>
      <c r="I2462" s="128"/>
      <c r="J2462" s="81"/>
      <c r="K2462" s="81"/>
      <c r="L2462" s="81"/>
      <c r="M2462" s="81"/>
      <c r="N2462" s="82"/>
    </row>
    <row r="2463">
      <c r="C2463" s="41"/>
      <c r="D2463" s="141"/>
      <c r="E2463" s="118"/>
      <c r="F2463" s="126"/>
      <c r="G2463" s="126"/>
      <c r="H2463" s="126"/>
      <c r="I2463" s="126"/>
      <c r="J2463" s="76"/>
      <c r="K2463" s="76"/>
      <c r="L2463" s="76"/>
      <c r="M2463" s="76"/>
      <c r="N2463" s="114"/>
    </row>
    <row r="2464">
      <c r="C2464" s="41"/>
      <c r="D2464" s="142"/>
      <c r="E2464" s="130"/>
      <c r="F2464" s="128"/>
      <c r="G2464" s="128"/>
      <c r="H2464" s="128"/>
      <c r="I2464" s="128"/>
      <c r="J2464" s="81"/>
      <c r="K2464" s="81"/>
      <c r="L2464" s="81"/>
      <c r="M2464" s="81"/>
      <c r="N2464" s="82"/>
    </row>
    <row r="2465">
      <c r="C2465" s="41"/>
      <c r="D2465" s="141"/>
      <c r="E2465" s="118"/>
      <c r="F2465" s="126"/>
      <c r="G2465" s="126"/>
      <c r="H2465" s="126"/>
      <c r="I2465" s="126"/>
      <c r="J2465" s="76"/>
      <c r="K2465" s="76"/>
      <c r="L2465" s="76"/>
      <c r="M2465" s="76"/>
      <c r="N2465" s="114"/>
    </row>
    <row r="2466">
      <c r="C2466" s="41"/>
      <c r="D2466" s="142"/>
      <c r="E2466" s="130"/>
      <c r="F2466" s="128"/>
      <c r="G2466" s="128"/>
      <c r="H2466" s="128"/>
      <c r="I2466" s="128"/>
      <c r="J2466" s="81"/>
      <c r="K2466" s="81"/>
      <c r="L2466" s="81"/>
      <c r="M2466" s="81"/>
      <c r="N2466" s="82"/>
    </row>
    <row r="2467">
      <c r="C2467" s="41"/>
      <c r="D2467" s="141"/>
      <c r="E2467" s="118"/>
      <c r="F2467" s="126"/>
      <c r="G2467" s="126"/>
      <c r="H2467" s="126"/>
      <c r="I2467" s="126"/>
      <c r="J2467" s="76"/>
      <c r="K2467" s="76"/>
      <c r="L2467" s="76"/>
      <c r="M2467" s="76"/>
      <c r="N2467" s="114"/>
    </row>
    <row r="2468">
      <c r="C2468" s="41"/>
      <c r="D2468" s="142"/>
      <c r="E2468" s="130"/>
      <c r="F2468" s="128"/>
      <c r="G2468" s="128"/>
      <c r="H2468" s="128"/>
      <c r="I2468" s="128"/>
      <c r="J2468" s="81"/>
      <c r="K2468" s="81"/>
      <c r="L2468" s="81"/>
      <c r="M2468" s="81"/>
      <c r="N2468" s="82"/>
    </row>
    <row r="2469">
      <c r="C2469" s="41"/>
      <c r="D2469" s="141"/>
      <c r="E2469" s="118"/>
      <c r="F2469" s="126"/>
      <c r="G2469" s="126"/>
      <c r="H2469" s="126"/>
      <c r="I2469" s="126"/>
      <c r="J2469" s="76"/>
      <c r="K2469" s="76"/>
      <c r="L2469" s="76"/>
      <c r="M2469" s="76"/>
      <c r="N2469" s="114"/>
    </row>
    <row r="2470">
      <c r="C2470" s="41"/>
      <c r="D2470" s="142"/>
      <c r="E2470" s="130"/>
      <c r="F2470" s="128"/>
      <c r="G2470" s="128"/>
      <c r="H2470" s="128"/>
      <c r="I2470" s="128"/>
      <c r="J2470" s="81"/>
      <c r="K2470" s="81"/>
      <c r="L2470" s="81"/>
      <c r="M2470" s="81"/>
      <c r="N2470" s="82"/>
    </row>
    <row r="2471">
      <c r="C2471" s="41"/>
      <c r="D2471" s="141"/>
      <c r="E2471" s="118"/>
      <c r="F2471" s="126"/>
      <c r="G2471" s="126"/>
      <c r="H2471" s="126"/>
      <c r="I2471" s="126"/>
      <c r="J2471" s="76"/>
      <c r="K2471" s="76"/>
      <c r="L2471" s="76"/>
      <c r="M2471" s="76"/>
      <c r="N2471" s="114"/>
    </row>
    <row r="2472">
      <c r="C2472" s="41"/>
      <c r="D2472" s="142"/>
      <c r="E2472" s="130"/>
      <c r="F2472" s="128"/>
      <c r="G2472" s="128"/>
      <c r="H2472" s="128"/>
      <c r="I2472" s="128"/>
      <c r="J2472" s="81"/>
      <c r="K2472" s="81"/>
      <c r="L2472" s="81"/>
      <c r="M2472" s="81"/>
      <c r="N2472" s="82"/>
    </row>
    <row r="2473">
      <c r="C2473" s="41"/>
      <c r="D2473" s="141"/>
      <c r="E2473" s="118"/>
      <c r="F2473" s="126"/>
      <c r="G2473" s="126"/>
      <c r="H2473" s="126"/>
      <c r="I2473" s="126"/>
      <c r="J2473" s="76"/>
      <c r="K2473" s="76"/>
      <c r="L2473" s="76"/>
      <c r="M2473" s="76"/>
      <c r="N2473" s="114"/>
    </row>
    <row r="2474">
      <c r="C2474" s="41"/>
      <c r="D2474" s="142"/>
      <c r="E2474" s="130"/>
      <c r="F2474" s="128"/>
      <c r="G2474" s="128"/>
      <c r="H2474" s="128"/>
      <c r="I2474" s="128"/>
      <c r="J2474" s="81"/>
      <c r="K2474" s="81"/>
      <c r="L2474" s="81"/>
      <c r="M2474" s="81"/>
      <c r="N2474" s="82"/>
    </row>
    <row r="2475">
      <c r="C2475" s="41"/>
      <c r="D2475" s="141"/>
      <c r="E2475" s="118"/>
      <c r="F2475" s="126"/>
      <c r="G2475" s="126"/>
      <c r="H2475" s="126"/>
      <c r="I2475" s="126"/>
      <c r="J2475" s="76"/>
      <c r="K2475" s="76"/>
      <c r="L2475" s="76"/>
      <c r="M2475" s="76"/>
      <c r="N2475" s="114"/>
    </row>
    <row r="2476">
      <c r="C2476" s="41"/>
      <c r="D2476" s="142"/>
      <c r="E2476" s="130"/>
      <c r="F2476" s="128"/>
      <c r="G2476" s="128"/>
      <c r="H2476" s="128"/>
      <c r="I2476" s="128"/>
      <c r="J2476" s="81"/>
      <c r="K2476" s="81"/>
      <c r="L2476" s="81"/>
      <c r="M2476" s="81"/>
      <c r="N2476" s="82"/>
    </row>
    <row r="2477">
      <c r="C2477" s="41"/>
      <c r="D2477" s="141"/>
      <c r="E2477" s="118"/>
      <c r="F2477" s="126"/>
      <c r="G2477" s="126"/>
      <c r="H2477" s="126"/>
      <c r="I2477" s="126"/>
      <c r="J2477" s="76"/>
      <c r="K2477" s="76"/>
      <c r="L2477" s="76"/>
      <c r="M2477" s="76"/>
      <c r="N2477" s="114"/>
    </row>
    <row r="2478">
      <c r="C2478" s="41"/>
      <c r="D2478" s="142"/>
      <c r="E2478" s="130"/>
      <c r="F2478" s="128"/>
      <c r="G2478" s="128"/>
      <c r="H2478" s="128"/>
      <c r="I2478" s="128"/>
      <c r="J2478" s="81"/>
      <c r="K2478" s="81"/>
      <c r="L2478" s="81"/>
      <c r="M2478" s="81"/>
      <c r="N2478" s="82"/>
    </row>
    <row r="2479">
      <c r="C2479" s="41"/>
      <c r="D2479" s="141"/>
      <c r="E2479" s="118"/>
      <c r="F2479" s="126"/>
      <c r="G2479" s="126"/>
      <c r="H2479" s="126"/>
      <c r="I2479" s="126"/>
      <c r="J2479" s="76"/>
      <c r="K2479" s="76"/>
      <c r="L2479" s="76"/>
      <c r="M2479" s="76"/>
      <c r="N2479" s="114"/>
    </row>
    <row r="2480">
      <c r="C2480" s="41"/>
      <c r="D2480" s="142"/>
      <c r="E2480" s="130"/>
      <c r="F2480" s="128"/>
      <c r="G2480" s="128"/>
      <c r="H2480" s="128"/>
      <c r="I2480" s="128"/>
      <c r="J2480" s="81"/>
      <c r="K2480" s="81"/>
      <c r="L2480" s="81"/>
      <c r="M2480" s="81"/>
      <c r="N2480" s="82"/>
    </row>
    <row r="2481">
      <c r="C2481" s="41"/>
      <c r="D2481" s="141"/>
      <c r="E2481" s="118"/>
      <c r="F2481" s="126"/>
      <c r="G2481" s="126"/>
      <c r="H2481" s="126"/>
      <c r="I2481" s="126"/>
      <c r="J2481" s="76"/>
      <c r="K2481" s="76"/>
      <c r="L2481" s="76"/>
      <c r="M2481" s="76"/>
      <c r="N2481" s="114"/>
    </row>
    <row r="2482">
      <c r="C2482" s="41"/>
      <c r="D2482" s="142"/>
      <c r="E2482" s="130"/>
      <c r="F2482" s="128"/>
      <c r="G2482" s="128"/>
      <c r="H2482" s="128"/>
      <c r="I2482" s="128"/>
      <c r="J2482" s="81"/>
      <c r="K2482" s="81"/>
      <c r="L2482" s="81"/>
      <c r="M2482" s="81"/>
      <c r="N2482" s="82"/>
    </row>
    <row r="2483">
      <c r="C2483" s="41"/>
      <c r="D2483" s="141"/>
      <c r="E2483" s="118"/>
      <c r="F2483" s="126"/>
      <c r="G2483" s="126"/>
      <c r="H2483" s="126"/>
      <c r="I2483" s="126"/>
      <c r="J2483" s="76"/>
      <c r="K2483" s="76"/>
      <c r="L2483" s="76"/>
      <c r="M2483" s="76"/>
      <c r="N2483" s="114"/>
    </row>
    <row r="2484">
      <c r="C2484" s="41"/>
      <c r="D2484" s="142"/>
      <c r="E2484" s="130"/>
      <c r="F2484" s="128"/>
      <c r="G2484" s="128"/>
      <c r="H2484" s="128"/>
      <c r="I2484" s="128"/>
      <c r="J2484" s="81"/>
      <c r="K2484" s="81"/>
      <c r="L2484" s="81"/>
      <c r="M2484" s="81"/>
      <c r="N2484" s="82"/>
    </row>
    <row r="2485">
      <c r="C2485" s="41"/>
      <c r="D2485" s="141"/>
      <c r="E2485" s="118"/>
      <c r="F2485" s="126"/>
      <c r="G2485" s="126"/>
      <c r="H2485" s="126"/>
      <c r="I2485" s="126"/>
      <c r="J2485" s="76"/>
      <c r="K2485" s="76"/>
      <c r="L2485" s="76"/>
      <c r="M2485" s="76"/>
      <c r="N2485" s="114"/>
    </row>
    <row r="2486">
      <c r="C2486" s="41"/>
      <c r="D2486" s="142"/>
      <c r="E2486" s="130"/>
      <c r="F2486" s="128"/>
      <c r="G2486" s="128"/>
      <c r="H2486" s="128"/>
      <c r="I2486" s="128"/>
      <c r="J2486" s="81"/>
      <c r="K2486" s="81"/>
      <c r="L2486" s="81"/>
      <c r="M2486" s="81"/>
      <c r="N2486" s="82"/>
    </row>
    <row r="2487">
      <c r="C2487" s="41"/>
      <c r="D2487" s="141"/>
      <c r="E2487" s="118"/>
      <c r="F2487" s="126"/>
      <c r="G2487" s="126"/>
      <c r="H2487" s="126"/>
      <c r="I2487" s="126"/>
      <c r="J2487" s="76"/>
      <c r="K2487" s="76"/>
      <c r="L2487" s="76"/>
      <c r="M2487" s="76"/>
      <c r="N2487" s="114"/>
    </row>
    <row r="2488">
      <c r="C2488" s="41"/>
      <c r="D2488" s="142"/>
      <c r="E2488" s="130"/>
      <c r="F2488" s="128"/>
      <c r="G2488" s="128"/>
      <c r="H2488" s="128"/>
      <c r="I2488" s="128"/>
      <c r="J2488" s="81"/>
      <c r="K2488" s="81"/>
      <c r="L2488" s="81"/>
      <c r="M2488" s="81"/>
      <c r="N2488" s="82"/>
    </row>
    <row r="2489">
      <c r="C2489" s="41"/>
      <c r="D2489" s="141"/>
      <c r="E2489" s="118"/>
      <c r="F2489" s="126"/>
      <c r="G2489" s="126"/>
      <c r="H2489" s="126"/>
      <c r="I2489" s="126"/>
      <c r="J2489" s="76"/>
      <c r="K2489" s="76"/>
      <c r="L2489" s="76"/>
      <c r="M2489" s="76"/>
      <c r="N2489" s="114"/>
    </row>
    <row r="2490">
      <c r="C2490" s="41"/>
      <c r="D2490" s="142"/>
      <c r="E2490" s="130"/>
      <c r="F2490" s="128"/>
      <c r="G2490" s="128"/>
      <c r="H2490" s="128"/>
      <c r="I2490" s="128"/>
      <c r="J2490" s="81"/>
      <c r="K2490" s="81"/>
      <c r="L2490" s="81"/>
      <c r="M2490" s="81"/>
      <c r="N2490" s="82"/>
    </row>
    <row r="2491">
      <c r="C2491" s="41"/>
      <c r="D2491" s="141"/>
      <c r="E2491" s="118"/>
      <c r="F2491" s="126"/>
      <c r="G2491" s="126"/>
      <c r="H2491" s="126"/>
      <c r="I2491" s="126"/>
      <c r="J2491" s="76"/>
      <c r="K2491" s="76"/>
      <c r="L2491" s="76"/>
      <c r="M2491" s="76"/>
      <c r="N2491" s="114"/>
    </row>
    <row r="2492">
      <c r="C2492" s="41"/>
      <c r="D2492" s="142"/>
      <c r="E2492" s="130"/>
      <c r="F2492" s="128"/>
      <c r="G2492" s="128"/>
      <c r="H2492" s="128"/>
      <c r="I2492" s="128"/>
      <c r="J2492" s="81"/>
      <c r="K2492" s="81"/>
      <c r="L2492" s="81"/>
      <c r="M2492" s="81"/>
      <c r="N2492" s="82"/>
    </row>
    <row r="2493">
      <c r="C2493" s="41"/>
      <c r="D2493" s="141"/>
      <c r="E2493" s="118"/>
      <c r="F2493" s="126"/>
      <c r="G2493" s="126"/>
      <c r="H2493" s="126"/>
      <c r="I2493" s="126"/>
      <c r="J2493" s="76"/>
      <c r="K2493" s="76"/>
      <c r="L2493" s="76"/>
      <c r="M2493" s="76"/>
      <c r="N2493" s="114"/>
    </row>
    <row r="2494">
      <c r="C2494" s="41"/>
      <c r="D2494" s="142"/>
      <c r="E2494" s="130"/>
      <c r="F2494" s="128"/>
      <c r="G2494" s="128"/>
      <c r="H2494" s="128"/>
      <c r="I2494" s="128"/>
      <c r="J2494" s="81"/>
      <c r="K2494" s="81"/>
      <c r="L2494" s="81"/>
      <c r="M2494" s="81"/>
      <c r="N2494" s="82"/>
    </row>
    <row r="2495">
      <c r="C2495" s="41"/>
      <c r="D2495" s="141"/>
      <c r="E2495" s="118"/>
      <c r="F2495" s="126"/>
      <c r="G2495" s="126"/>
      <c r="H2495" s="126"/>
      <c r="I2495" s="126"/>
      <c r="J2495" s="76"/>
      <c r="K2495" s="76"/>
      <c r="L2495" s="76"/>
      <c r="M2495" s="76"/>
      <c r="N2495" s="114"/>
    </row>
    <row r="2496">
      <c r="C2496" s="41"/>
      <c r="D2496" s="142"/>
      <c r="E2496" s="130"/>
      <c r="F2496" s="128"/>
      <c r="G2496" s="128"/>
      <c r="H2496" s="128"/>
      <c r="I2496" s="128"/>
      <c r="J2496" s="81"/>
      <c r="K2496" s="81"/>
      <c r="L2496" s="81"/>
      <c r="M2496" s="81"/>
      <c r="N2496" s="82"/>
    </row>
    <row r="2497">
      <c r="C2497" s="41"/>
      <c r="D2497" s="141"/>
      <c r="E2497" s="118"/>
      <c r="F2497" s="126"/>
      <c r="G2497" s="126"/>
      <c r="H2497" s="126"/>
      <c r="I2497" s="126"/>
      <c r="J2497" s="76"/>
      <c r="K2497" s="76"/>
      <c r="L2497" s="76"/>
      <c r="M2497" s="76"/>
      <c r="N2497" s="114"/>
    </row>
    <row r="2498">
      <c r="C2498" s="41"/>
      <c r="D2498" s="142"/>
      <c r="E2498" s="130"/>
      <c r="F2498" s="128"/>
      <c r="G2498" s="128"/>
      <c r="H2498" s="128"/>
      <c r="I2498" s="128"/>
      <c r="J2498" s="81"/>
      <c r="K2498" s="81"/>
      <c r="L2498" s="81"/>
      <c r="M2498" s="81"/>
      <c r="N2498" s="82"/>
    </row>
    <row r="2499">
      <c r="C2499" s="41"/>
      <c r="D2499" s="141"/>
      <c r="E2499" s="118"/>
      <c r="F2499" s="126"/>
      <c r="G2499" s="126"/>
      <c r="H2499" s="126"/>
      <c r="I2499" s="126"/>
      <c r="J2499" s="76"/>
      <c r="K2499" s="76"/>
      <c r="L2499" s="76"/>
      <c r="M2499" s="76"/>
      <c r="N2499" s="114"/>
    </row>
    <row r="2500">
      <c r="C2500" s="41"/>
      <c r="D2500" s="142"/>
      <c r="E2500" s="130"/>
      <c r="F2500" s="128"/>
      <c r="G2500" s="128"/>
      <c r="H2500" s="128"/>
      <c r="I2500" s="128"/>
      <c r="J2500" s="81"/>
      <c r="K2500" s="81"/>
      <c r="L2500" s="81"/>
      <c r="M2500" s="81"/>
      <c r="N2500" s="82"/>
    </row>
    <row r="2501">
      <c r="C2501" s="41"/>
      <c r="D2501" s="141"/>
      <c r="E2501" s="118"/>
      <c r="F2501" s="126"/>
      <c r="G2501" s="126"/>
      <c r="H2501" s="126"/>
      <c r="I2501" s="126"/>
      <c r="J2501" s="76"/>
      <c r="K2501" s="76"/>
      <c r="L2501" s="76"/>
      <c r="M2501" s="76"/>
      <c r="N2501" s="114"/>
    </row>
    <row r="2502">
      <c r="C2502" s="41"/>
      <c r="D2502" s="142"/>
      <c r="E2502" s="130"/>
      <c r="F2502" s="128"/>
      <c r="G2502" s="128"/>
      <c r="H2502" s="128"/>
      <c r="I2502" s="128"/>
      <c r="J2502" s="81"/>
      <c r="K2502" s="81"/>
      <c r="L2502" s="81"/>
      <c r="M2502" s="81"/>
      <c r="N2502" s="82"/>
    </row>
    <row r="2503">
      <c r="C2503" s="41"/>
      <c r="D2503" s="141"/>
      <c r="E2503" s="118"/>
      <c r="F2503" s="126"/>
      <c r="G2503" s="126"/>
      <c r="H2503" s="126"/>
      <c r="I2503" s="126"/>
      <c r="J2503" s="76"/>
      <c r="K2503" s="76"/>
      <c r="L2503" s="76"/>
      <c r="M2503" s="76"/>
      <c r="N2503" s="114"/>
    </row>
    <row r="2504">
      <c r="C2504" s="41"/>
      <c r="D2504" s="142"/>
      <c r="E2504" s="130"/>
      <c r="F2504" s="128"/>
      <c r="G2504" s="128"/>
      <c r="H2504" s="128"/>
      <c r="I2504" s="128"/>
      <c r="J2504" s="81"/>
      <c r="K2504" s="81"/>
      <c r="L2504" s="81"/>
      <c r="M2504" s="81"/>
      <c r="N2504" s="82"/>
    </row>
    <row r="2505">
      <c r="C2505" s="41"/>
      <c r="D2505" s="141"/>
      <c r="E2505" s="118"/>
      <c r="F2505" s="126"/>
      <c r="G2505" s="126"/>
      <c r="H2505" s="126"/>
      <c r="I2505" s="126"/>
      <c r="J2505" s="76"/>
      <c r="K2505" s="76"/>
      <c r="L2505" s="76"/>
      <c r="M2505" s="76"/>
      <c r="N2505" s="114"/>
    </row>
    <row r="2506">
      <c r="C2506" s="41"/>
      <c r="D2506" s="142"/>
      <c r="E2506" s="130"/>
      <c r="F2506" s="128"/>
      <c r="G2506" s="128"/>
      <c r="H2506" s="128"/>
      <c r="I2506" s="128"/>
      <c r="J2506" s="81"/>
      <c r="K2506" s="81"/>
      <c r="L2506" s="81"/>
      <c r="M2506" s="81"/>
      <c r="N2506" s="82"/>
    </row>
    <row r="2507">
      <c r="C2507" s="41"/>
      <c r="D2507" s="141"/>
      <c r="E2507" s="118"/>
      <c r="F2507" s="126"/>
      <c r="G2507" s="126"/>
      <c r="H2507" s="126"/>
      <c r="I2507" s="126"/>
      <c r="J2507" s="76"/>
      <c r="K2507" s="76"/>
      <c r="L2507" s="76"/>
      <c r="M2507" s="76"/>
      <c r="N2507" s="114"/>
    </row>
    <row r="2508">
      <c r="C2508" s="41"/>
      <c r="D2508" s="142"/>
      <c r="E2508" s="130"/>
      <c r="F2508" s="128"/>
      <c r="G2508" s="128"/>
      <c r="H2508" s="128"/>
      <c r="I2508" s="128"/>
      <c r="J2508" s="81"/>
      <c r="K2508" s="81"/>
      <c r="L2508" s="81"/>
      <c r="M2508" s="81"/>
      <c r="N2508" s="82"/>
    </row>
    <row r="2509">
      <c r="C2509" s="41"/>
      <c r="D2509" s="141"/>
      <c r="E2509" s="118"/>
      <c r="F2509" s="126"/>
      <c r="G2509" s="126"/>
      <c r="H2509" s="126"/>
      <c r="I2509" s="126"/>
      <c r="J2509" s="76"/>
      <c r="K2509" s="76"/>
      <c r="L2509" s="76"/>
      <c r="M2509" s="76"/>
      <c r="N2509" s="114"/>
    </row>
    <row r="2510">
      <c r="C2510" s="41"/>
      <c r="D2510" s="142"/>
      <c r="E2510" s="130"/>
      <c r="F2510" s="128"/>
      <c r="G2510" s="128"/>
      <c r="H2510" s="128"/>
      <c r="I2510" s="128"/>
      <c r="J2510" s="81"/>
      <c r="K2510" s="81"/>
      <c r="L2510" s="81"/>
      <c r="M2510" s="81"/>
      <c r="N2510" s="82"/>
    </row>
    <row r="2511">
      <c r="C2511" s="41"/>
      <c r="D2511" s="141"/>
      <c r="E2511" s="118"/>
      <c r="F2511" s="126"/>
      <c r="G2511" s="126"/>
      <c r="H2511" s="126"/>
      <c r="I2511" s="126"/>
      <c r="J2511" s="76"/>
      <c r="K2511" s="76"/>
      <c r="L2511" s="76"/>
      <c r="M2511" s="76"/>
      <c r="N2511" s="114"/>
    </row>
    <row r="2512">
      <c r="C2512" s="41"/>
      <c r="D2512" s="142"/>
      <c r="E2512" s="130"/>
      <c r="F2512" s="128"/>
      <c r="G2512" s="128"/>
      <c r="H2512" s="128"/>
      <c r="I2512" s="128"/>
      <c r="J2512" s="81"/>
      <c r="K2512" s="81"/>
      <c r="L2512" s="81"/>
      <c r="M2512" s="81"/>
      <c r="N2512" s="82"/>
    </row>
    <row r="2513">
      <c r="C2513" s="41"/>
      <c r="D2513" s="141"/>
      <c r="E2513" s="118"/>
      <c r="F2513" s="126"/>
      <c r="G2513" s="126"/>
      <c r="H2513" s="126"/>
      <c r="I2513" s="126"/>
      <c r="J2513" s="76"/>
      <c r="K2513" s="76"/>
      <c r="L2513" s="76"/>
      <c r="M2513" s="76"/>
      <c r="N2513" s="114"/>
    </row>
    <row r="2514">
      <c r="C2514" s="41"/>
      <c r="D2514" s="142"/>
      <c r="E2514" s="130"/>
      <c r="F2514" s="128"/>
      <c r="G2514" s="128"/>
      <c r="H2514" s="128"/>
      <c r="I2514" s="128"/>
      <c r="J2514" s="81"/>
      <c r="K2514" s="81"/>
      <c r="L2514" s="81"/>
      <c r="M2514" s="81"/>
      <c r="N2514" s="82"/>
    </row>
    <row r="2515">
      <c r="C2515" s="41"/>
      <c r="D2515" s="141"/>
      <c r="E2515" s="118"/>
      <c r="F2515" s="126"/>
      <c r="G2515" s="126"/>
      <c r="H2515" s="126"/>
      <c r="I2515" s="126"/>
      <c r="J2515" s="76"/>
      <c r="K2515" s="76"/>
      <c r="L2515" s="76"/>
      <c r="M2515" s="76"/>
      <c r="N2515" s="114"/>
    </row>
    <row r="2516">
      <c r="C2516" s="41"/>
      <c r="D2516" s="142"/>
      <c r="E2516" s="130"/>
      <c r="F2516" s="128"/>
      <c r="G2516" s="128"/>
      <c r="H2516" s="128"/>
      <c r="I2516" s="128"/>
      <c r="J2516" s="81"/>
      <c r="K2516" s="81"/>
      <c r="L2516" s="81"/>
      <c r="M2516" s="81"/>
      <c r="N2516" s="82"/>
    </row>
    <row r="2517">
      <c r="C2517" s="41"/>
      <c r="D2517" s="141"/>
      <c r="E2517" s="118"/>
      <c r="F2517" s="126"/>
      <c r="G2517" s="126"/>
      <c r="H2517" s="126"/>
      <c r="I2517" s="126"/>
      <c r="J2517" s="76"/>
      <c r="K2517" s="76"/>
      <c r="L2517" s="76"/>
      <c r="M2517" s="76"/>
      <c r="N2517" s="114"/>
    </row>
    <row r="2518">
      <c r="C2518" s="41"/>
      <c r="D2518" s="142"/>
      <c r="E2518" s="130"/>
      <c r="F2518" s="128"/>
      <c r="G2518" s="128"/>
      <c r="H2518" s="128"/>
      <c r="I2518" s="128"/>
      <c r="J2518" s="81"/>
      <c r="K2518" s="81"/>
      <c r="L2518" s="81"/>
      <c r="M2518" s="81"/>
      <c r="N2518" s="82"/>
    </row>
    <row r="2519">
      <c r="C2519" s="41"/>
      <c r="D2519" s="141"/>
      <c r="E2519" s="118"/>
      <c r="F2519" s="126"/>
      <c r="G2519" s="126"/>
      <c r="H2519" s="126"/>
      <c r="I2519" s="126"/>
      <c r="J2519" s="76"/>
      <c r="K2519" s="76"/>
      <c r="L2519" s="76"/>
      <c r="M2519" s="76"/>
      <c r="N2519" s="114"/>
    </row>
    <row r="2520">
      <c r="C2520" s="41"/>
      <c r="D2520" s="142"/>
      <c r="E2520" s="130"/>
      <c r="F2520" s="128"/>
      <c r="G2520" s="128"/>
      <c r="H2520" s="128"/>
      <c r="I2520" s="128"/>
      <c r="J2520" s="81"/>
      <c r="K2520" s="81"/>
      <c r="L2520" s="81"/>
      <c r="M2520" s="81"/>
      <c r="N2520" s="82"/>
    </row>
    <row r="2521">
      <c r="C2521" s="41"/>
      <c r="D2521" s="141"/>
      <c r="E2521" s="118"/>
      <c r="F2521" s="126"/>
      <c r="G2521" s="126"/>
      <c r="H2521" s="126"/>
      <c r="I2521" s="126"/>
      <c r="J2521" s="76"/>
      <c r="K2521" s="76"/>
      <c r="L2521" s="76"/>
      <c r="M2521" s="76"/>
      <c r="N2521" s="114"/>
    </row>
    <row r="2522">
      <c r="C2522" s="41"/>
      <c r="D2522" s="142"/>
      <c r="E2522" s="130"/>
      <c r="F2522" s="128"/>
      <c r="G2522" s="128"/>
      <c r="H2522" s="128"/>
      <c r="I2522" s="128"/>
      <c r="J2522" s="81"/>
      <c r="K2522" s="81"/>
      <c r="L2522" s="81"/>
      <c r="M2522" s="81"/>
      <c r="N2522" s="82"/>
    </row>
    <row r="2523">
      <c r="C2523" s="41"/>
      <c r="D2523" s="141"/>
      <c r="E2523" s="118"/>
      <c r="F2523" s="126"/>
      <c r="G2523" s="126"/>
      <c r="H2523" s="126"/>
      <c r="I2523" s="126"/>
      <c r="J2523" s="76"/>
      <c r="K2523" s="76"/>
      <c r="L2523" s="76"/>
      <c r="M2523" s="76"/>
      <c r="N2523" s="114"/>
    </row>
    <row r="2524">
      <c r="C2524" s="41"/>
      <c r="D2524" s="142"/>
      <c r="E2524" s="130"/>
      <c r="F2524" s="128"/>
      <c r="G2524" s="128"/>
      <c r="H2524" s="128"/>
      <c r="I2524" s="128"/>
      <c r="J2524" s="81"/>
      <c r="K2524" s="81"/>
      <c r="L2524" s="81"/>
      <c r="M2524" s="81"/>
      <c r="N2524" s="82"/>
    </row>
    <row r="2525">
      <c r="C2525" s="41"/>
      <c r="D2525" s="141"/>
      <c r="E2525" s="118"/>
      <c r="F2525" s="126"/>
      <c r="G2525" s="126"/>
      <c r="H2525" s="126"/>
      <c r="I2525" s="126"/>
      <c r="J2525" s="76"/>
      <c r="K2525" s="76"/>
      <c r="L2525" s="76"/>
      <c r="M2525" s="76"/>
      <c r="N2525" s="114"/>
    </row>
    <row r="2526">
      <c r="C2526" s="41"/>
      <c r="D2526" s="142"/>
      <c r="E2526" s="130"/>
      <c r="F2526" s="128"/>
      <c r="G2526" s="128"/>
      <c r="H2526" s="128"/>
      <c r="I2526" s="128"/>
      <c r="J2526" s="81"/>
      <c r="K2526" s="81"/>
      <c r="L2526" s="81"/>
      <c r="M2526" s="81"/>
      <c r="N2526" s="82"/>
    </row>
    <row r="2527">
      <c r="C2527" s="41"/>
      <c r="D2527" s="141"/>
      <c r="E2527" s="118"/>
      <c r="F2527" s="126"/>
      <c r="G2527" s="126"/>
      <c r="H2527" s="126"/>
      <c r="I2527" s="126"/>
      <c r="J2527" s="76"/>
      <c r="K2527" s="76"/>
      <c r="L2527" s="76"/>
      <c r="M2527" s="76"/>
      <c r="N2527" s="114"/>
    </row>
    <row r="2528">
      <c r="C2528" s="41"/>
      <c r="D2528" s="142"/>
      <c r="E2528" s="130"/>
      <c r="F2528" s="128"/>
      <c r="G2528" s="128"/>
      <c r="H2528" s="128"/>
      <c r="I2528" s="128"/>
      <c r="J2528" s="81"/>
      <c r="K2528" s="81"/>
      <c r="L2528" s="81"/>
      <c r="M2528" s="81"/>
      <c r="N2528" s="82"/>
    </row>
    <row r="2529">
      <c r="C2529" s="41"/>
      <c r="D2529" s="141"/>
      <c r="E2529" s="118"/>
      <c r="F2529" s="126"/>
      <c r="G2529" s="126"/>
      <c r="H2529" s="126"/>
      <c r="I2529" s="126"/>
      <c r="J2529" s="76"/>
      <c r="K2529" s="76"/>
      <c r="L2529" s="76"/>
      <c r="M2529" s="76"/>
      <c r="N2529" s="114"/>
    </row>
    <row r="2530">
      <c r="C2530" s="41"/>
      <c r="D2530" s="142"/>
      <c r="E2530" s="130"/>
      <c r="F2530" s="128"/>
      <c r="G2530" s="128"/>
      <c r="H2530" s="128"/>
      <c r="I2530" s="128"/>
      <c r="J2530" s="81"/>
      <c r="K2530" s="81"/>
      <c r="L2530" s="81"/>
      <c r="M2530" s="81"/>
      <c r="N2530" s="82"/>
    </row>
    <row r="2531">
      <c r="C2531" s="41"/>
      <c r="D2531" s="141"/>
      <c r="E2531" s="118"/>
      <c r="F2531" s="126"/>
      <c r="G2531" s="126"/>
      <c r="H2531" s="126"/>
      <c r="I2531" s="126"/>
      <c r="J2531" s="76"/>
      <c r="K2531" s="76"/>
      <c r="L2531" s="76"/>
      <c r="M2531" s="76"/>
      <c r="N2531" s="114"/>
    </row>
    <row r="2532">
      <c r="C2532" s="41"/>
      <c r="D2532" s="142"/>
      <c r="E2532" s="130"/>
      <c r="F2532" s="128"/>
      <c r="G2532" s="128"/>
      <c r="H2532" s="128"/>
      <c r="I2532" s="128"/>
      <c r="J2532" s="81"/>
      <c r="K2532" s="81"/>
      <c r="L2532" s="81"/>
      <c r="M2532" s="81"/>
      <c r="N2532" s="82"/>
    </row>
    <row r="2533">
      <c r="C2533" s="41"/>
      <c r="D2533" s="141"/>
      <c r="E2533" s="118"/>
      <c r="F2533" s="126"/>
      <c r="G2533" s="126"/>
      <c r="H2533" s="126"/>
      <c r="I2533" s="126"/>
      <c r="J2533" s="76"/>
      <c r="K2533" s="76"/>
      <c r="L2533" s="76"/>
      <c r="M2533" s="76"/>
      <c r="N2533" s="114"/>
    </row>
    <row r="2534">
      <c r="C2534" s="41"/>
      <c r="D2534" s="142"/>
      <c r="E2534" s="130"/>
      <c r="F2534" s="128"/>
      <c r="G2534" s="128"/>
      <c r="H2534" s="128"/>
      <c r="I2534" s="128"/>
      <c r="J2534" s="81"/>
      <c r="K2534" s="81"/>
      <c r="L2534" s="81"/>
      <c r="M2534" s="81"/>
      <c r="N2534" s="82"/>
    </row>
    <row r="2535">
      <c r="C2535" s="41"/>
      <c r="D2535" s="141"/>
      <c r="E2535" s="118"/>
      <c r="F2535" s="126"/>
      <c r="G2535" s="126"/>
      <c r="H2535" s="126"/>
      <c r="I2535" s="126"/>
      <c r="J2535" s="76"/>
      <c r="K2535" s="76"/>
      <c r="L2535" s="76"/>
      <c r="M2535" s="76"/>
      <c r="N2535" s="114"/>
    </row>
    <row r="2536">
      <c r="C2536" s="41"/>
      <c r="D2536" s="142"/>
      <c r="E2536" s="130"/>
      <c r="F2536" s="128"/>
      <c r="G2536" s="128"/>
      <c r="H2536" s="128"/>
      <c r="I2536" s="128"/>
      <c r="J2536" s="81"/>
      <c r="K2536" s="81"/>
      <c r="L2536" s="81"/>
      <c r="M2536" s="81"/>
      <c r="N2536" s="82"/>
    </row>
    <row r="2537">
      <c r="C2537" s="41"/>
      <c r="D2537" s="141"/>
      <c r="E2537" s="118"/>
      <c r="F2537" s="126"/>
      <c r="G2537" s="126"/>
      <c r="H2537" s="126"/>
      <c r="I2537" s="126"/>
      <c r="J2537" s="76"/>
      <c r="K2537" s="76"/>
      <c r="L2537" s="76"/>
      <c r="M2537" s="76"/>
      <c r="N2537" s="114"/>
    </row>
    <row r="2538">
      <c r="C2538" s="41"/>
      <c r="D2538" s="142"/>
      <c r="E2538" s="130"/>
      <c r="F2538" s="128"/>
      <c r="G2538" s="128"/>
      <c r="H2538" s="128"/>
      <c r="I2538" s="128"/>
      <c r="J2538" s="81"/>
      <c r="K2538" s="81"/>
      <c r="L2538" s="81"/>
      <c r="M2538" s="81"/>
      <c r="N2538" s="82"/>
    </row>
    <row r="2539">
      <c r="C2539" s="41"/>
      <c r="D2539" s="141"/>
      <c r="E2539" s="118"/>
      <c r="F2539" s="126"/>
      <c r="G2539" s="126"/>
      <c r="H2539" s="126"/>
      <c r="I2539" s="126"/>
      <c r="J2539" s="76"/>
      <c r="K2539" s="76"/>
      <c r="L2539" s="76"/>
      <c r="M2539" s="76"/>
      <c r="N2539" s="114"/>
    </row>
    <row r="2540">
      <c r="C2540" s="41"/>
      <c r="D2540" s="142"/>
      <c r="E2540" s="130"/>
      <c r="F2540" s="128"/>
      <c r="G2540" s="128"/>
      <c r="H2540" s="128"/>
      <c r="I2540" s="128"/>
      <c r="J2540" s="81"/>
      <c r="K2540" s="81"/>
      <c r="L2540" s="81"/>
      <c r="M2540" s="81"/>
      <c r="N2540" s="82"/>
    </row>
    <row r="2541">
      <c r="C2541" s="41"/>
      <c r="D2541" s="141"/>
      <c r="E2541" s="118"/>
      <c r="F2541" s="126"/>
      <c r="G2541" s="126"/>
      <c r="H2541" s="126"/>
      <c r="I2541" s="126"/>
      <c r="J2541" s="76"/>
      <c r="K2541" s="76"/>
      <c r="L2541" s="76"/>
      <c r="M2541" s="76"/>
      <c r="N2541" s="114"/>
    </row>
    <row r="2542">
      <c r="C2542" s="41"/>
      <c r="D2542" s="142"/>
      <c r="E2542" s="130"/>
      <c r="F2542" s="128"/>
      <c r="G2542" s="128"/>
      <c r="H2542" s="128"/>
      <c r="I2542" s="128"/>
      <c r="J2542" s="81"/>
      <c r="K2542" s="81"/>
      <c r="L2542" s="81"/>
      <c r="M2542" s="81"/>
      <c r="N2542" s="82"/>
    </row>
    <row r="2543">
      <c r="C2543" s="41"/>
      <c r="D2543" s="141"/>
      <c r="E2543" s="118"/>
      <c r="F2543" s="126"/>
      <c r="G2543" s="126"/>
      <c r="H2543" s="126"/>
      <c r="I2543" s="126"/>
      <c r="J2543" s="76"/>
      <c r="K2543" s="76"/>
      <c r="L2543" s="76"/>
      <c r="M2543" s="76"/>
      <c r="N2543" s="114"/>
    </row>
    <row r="2544">
      <c r="C2544" s="41"/>
      <c r="D2544" s="142"/>
      <c r="E2544" s="130"/>
      <c r="F2544" s="128"/>
      <c r="G2544" s="128"/>
      <c r="H2544" s="128"/>
      <c r="I2544" s="128"/>
      <c r="J2544" s="81"/>
      <c r="K2544" s="81"/>
      <c r="L2544" s="81"/>
      <c r="M2544" s="81"/>
      <c r="N2544" s="82"/>
    </row>
    <row r="2545">
      <c r="C2545" s="41"/>
      <c r="D2545" s="141"/>
      <c r="E2545" s="118"/>
      <c r="F2545" s="126"/>
      <c r="G2545" s="126"/>
      <c r="H2545" s="126"/>
      <c r="I2545" s="126"/>
      <c r="J2545" s="76"/>
      <c r="K2545" s="76"/>
      <c r="L2545" s="76"/>
      <c r="M2545" s="76"/>
      <c r="N2545" s="114"/>
    </row>
    <row r="2546">
      <c r="C2546" s="41"/>
      <c r="D2546" s="142"/>
      <c r="E2546" s="130"/>
      <c r="F2546" s="128"/>
      <c r="G2546" s="128"/>
      <c r="H2546" s="128"/>
      <c r="I2546" s="128"/>
      <c r="J2546" s="81"/>
      <c r="K2546" s="81"/>
      <c r="L2546" s="81"/>
      <c r="M2546" s="81"/>
      <c r="N2546" s="82"/>
    </row>
    <row r="2547">
      <c r="C2547" s="41"/>
      <c r="D2547" s="141"/>
      <c r="E2547" s="118"/>
      <c r="F2547" s="126"/>
      <c r="G2547" s="126"/>
      <c r="H2547" s="126"/>
      <c r="I2547" s="126"/>
      <c r="J2547" s="76"/>
      <c r="K2547" s="76"/>
      <c r="L2547" s="76"/>
      <c r="M2547" s="76"/>
      <c r="N2547" s="114"/>
    </row>
    <row r="2548">
      <c r="C2548" s="41"/>
      <c r="D2548" s="142"/>
      <c r="E2548" s="130"/>
      <c r="F2548" s="128"/>
      <c r="G2548" s="128"/>
      <c r="H2548" s="128"/>
      <c r="I2548" s="128"/>
      <c r="J2548" s="81"/>
      <c r="K2548" s="81"/>
      <c r="L2548" s="81"/>
      <c r="M2548" s="81"/>
      <c r="N2548" s="82"/>
    </row>
    <row r="2549">
      <c r="C2549" s="41"/>
      <c r="D2549" s="141"/>
      <c r="E2549" s="118"/>
      <c r="F2549" s="126"/>
      <c r="G2549" s="126"/>
      <c r="H2549" s="126"/>
      <c r="I2549" s="126"/>
      <c r="J2549" s="76"/>
      <c r="K2549" s="76"/>
      <c r="L2549" s="76"/>
      <c r="M2549" s="76"/>
      <c r="N2549" s="114"/>
    </row>
    <row r="2550">
      <c r="C2550" s="41"/>
      <c r="D2550" s="142"/>
      <c r="E2550" s="130"/>
      <c r="F2550" s="128"/>
      <c r="G2550" s="128"/>
      <c r="H2550" s="128"/>
      <c r="I2550" s="128"/>
      <c r="J2550" s="81"/>
      <c r="K2550" s="81"/>
      <c r="L2550" s="81"/>
      <c r="M2550" s="81"/>
      <c r="N2550" s="82"/>
    </row>
    <row r="2551">
      <c r="C2551" s="41"/>
      <c r="D2551" s="141"/>
      <c r="E2551" s="118"/>
      <c r="F2551" s="126"/>
      <c r="G2551" s="126"/>
      <c r="H2551" s="126"/>
      <c r="I2551" s="126"/>
      <c r="J2551" s="76"/>
      <c r="K2551" s="76"/>
      <c r="L2551" s="76"/>
      <c r="M2551" s="76"/>
      <c r="N2551" s="114"/>
    </row>
    <row r="2552">
      <c r="C2552" s="41"/>
      <c r="D2552" s="142"/>
      <c r="E2552" s="130"/>
      <c r="F2552" s="128"/>
      <c r="G2552" s="128"/>
      <c r="H2552" s="128"/>
      <c r="I2552" s="128"/>
      <c r="J2552" s="81"/>
      <c r="K2552" s="81"/>
      <c r="L2552" s="81"/>
      <c r="M2552" s="81"/>
      <c r="N2552" s="82"/>
    </row>
    <row r="2553">
      <c r="C2553" s="41"/>
      <c r="D2553" s="141"/>
      <c r="E2553" s="118"/>
      <c r="F2553" s="126"/>
      <c r="G2553" s="126"/>
      <c r="H2553" s="126"/>
      <c r="I2553" s="126"/>
      <c r="J2553" s="76"/>
      <c r="K2553" s="76"/>
      <c r="L2553" s="76"/>
      <c r="M2553" s="76"/>
      <c r="N2553" s="114"/>
    </row>
    <row r="2554">
      <c r="C2554" s="41"/>
      <c r="D2554" s="142"/>
      <c r="E2554" s="130"/>
      <c r="F2554" s="128"/>
      <c r="G2554" s="128"/>
      <c r="H2554" s="128"/>
      <c r="I2554" s="128"/>
      <c r="J2554" s="81"/>
      <c r="K2554" s="81"/>
      <c r="L2554" s="81"/>
      <c r="M2554" s="81"/>
      <c r="N2554" s="82"/>
    </row>
    <row r="2555">
      <c r="C2555" s="41"/>
      <c r="D2555" s="141"/>
      <c r="E2555" s="118"/>
      <c r="F2555" s="126"/>
      <c r="G2555" s="126"/>
      <c r="H2555" s="126"/>
      <c r="I2555" s="126"/>
      <c r="J2555" s="76"/>
      <c r="K2555" s="76"/>
      <c r="L2555" s="76"/>
      <c r="M2555" s="76"/>
      <c r="N2555" s="114"/>
    </row>
    <row r="2556">
      <c r="C2556" s="41"/>
      <c r="D2556" s="142"/>
      <c r="E2556" s="130"/>
      <c r="F2556" s="128"/>
      <c r="G2556" s="128"/>
      <c r="H2556" s="128"/>
      <c r="I2556" s="128"/>
      <c r="J2556" s="81"/>
      <c r="K2556" s="81"/>
      <c r="L2556" s="81"/>
      <c r="M2556" s="81"/>
      <c r="N2556" s="82"/>
    </row>
    <row r="2557">
      <c r="C2557" s="41"/>
      <c r="D2557" s="141"/>
      <c r="E2557" s="118"/>
      <c r="F2557" s="126"/>
      <c r="G2557" s="126"/>
      <c r="H2557" s="126"/>
      <c r="I2557" s="126"/>
      <c r="J2557" s="76"/>
      <c r="K2557" s="76"/>
      <c r="L2557" s="76"/>
      <c r="M2557" s="76"/>
      <c r="N2557" s="114"/>
    </row>
    <row r="2558">
      <c r="C2558" s="41"/>
      <c r="D2558" s="142"/>
      <c r="E2558" s="130"/>
      <c r="F2558" s="128"/>
      <c r="G2558" s="128"/>
      <c r="H2558" s="128"/>
      <c r="I2558" s="128"/>
      <c r="J2558" s="81"/>
      <c r="K2558" s="81"/>
      <c r="L2558" s="81"/>
      <c r="M2558" s="81"/>
      <c r="N2558" s="82"/>
    </row>
    <row r="2559">
      <c r="C2559" s="41"/>
      <c r="D2559" s="141"/>
      <c r="E2559" s="118"/>
      <c r="F2559" s="126"/>
      <c r="G2559" s="126"/>
      <c r="H2559" s="126"/>
      <c r="I2559" s="126"/>
      <c r="J2559" s="76"/>
      <c r="K2559" s="76"/>
      <c r="L2559" s="76"/>
      <c r="M2559" s="76"/>
      <c r="N2559" s="114"/>
    </row>
    <row r="2560">
      <c r="C2560" s="41"/>
      <c r="D2560" s="142"/>
      <c r="E2560" s="130"/>
      <c r="F2560" s="128"/>
      <c r="G2560" s="128"/>
      <c r="H2560" s="128"/>
      <c r="I2560" s="128"/>
      <c r="J2560" s="81"/>
      <c r="K2560" s="81"/>
      <c r="L2560" s="81"/>
      <c r="M2560" s="81"/>
      <c r="N2560" s="82"/>
    </row>
    <row r="2561">
      <c r="C2561" s="41"/>
      <c r="D2561" s="141"/>
      <c r="E2561" s="118"/>
      <c r="F2561" s="126"/>
      <c r="G2561" s="126"/>
      <c r="H2561" s="126"/>
      <c r="I2561" s="126"/>
      <c r="J2561" s="76"/>
      <c r="K2561" s="76"/>
      <c r="L2561" s="76"/>
      <c r="M2561" s="76"/>
      <c r="N2561" s="114"/>
    </row>
    <row r="2562">
      <c r="C2562" s="41"/>
      <c r="D2562" s="142"/>
      <c r="E2562" s="130"/>
      <c r="F2562" s="128"/>
      <c r="G2562" s="128"/>
      <c r="H2562" s="128"/>
      <c r="I2562" s="128"/>
      <c r="J2562" s="81"/>
      <c r="K2562" s="81"/>
      <c r="L2562" s="81"/>
      <c r="M2562" s="81"/>
      <c r="N2562" s="82"/>
    </row>
    <row r="2563">
      <c r="C2563" s="41"/>
      <c r="D2563" s="141"/>
      <c r="E2563" s="118"/>
      <c r="F2563" s="126"/>
      <c r="G2563" s="126"/>
      <c r="H2563" s="126"/>
      <c r="I2563" s="126"/>
      <c r="J2563" s="76"/>
      <c r="K2563" s="76"/>
      <c r="L2563" s="76"/>
      <c r="M2563" s="76"/>
      <c r="N2563" s="114"/>
    </row>
    <row r="2564">
      <c r="C2564" s="41"/>
      <c r="D2564" s="142"/>
      <c r="E2564" s="130"/>
      <c r="F2564" s="128"/>
      <c r="G2564" s="128"/>
      <c r="H2564" s="128"/>
      <c r="I2564" s="128"/>
      <c r="J2564" s="81"/>
      <c r="K2564" s="81"/>
      <c r="L2564" s="81"/>
      <c r="M2564" s="81"/>
      <c r="N2564" s="82"/>
    </row>
    <row r="2565">
      <c r="C2565" s="41"/>
      <c r="D2565" s="141"/>
      <c r="E2565" s="118"/>
      <c r="F2565" s="126"/>
      <c r="G2565" s="126"/>
      <c r="H2565" s="126"/>
      <c r="I2565" s="126"/>
      <c r="J2565" s="76"/>
      <c r="K2565" s="76"/>
      <c r="L2565" s="76"/>
      <c r="M2565" s="76"/>
      <c r="N2565" s="114"/>
    </row>
    <row r="2566">
      <c r="C2566" s="41"/>
      <c r="D2566" s="142"/>
      <c r="E2566" s="130"/>
      <c r="F2566" s="128"/>
      <c r="G2566" s="128"/>
      <c r="H2566" s="128"/>
      <c r="I2566" s="128"/>
      <c r="J2566" s="81"/>
      <c r="K2566" s="81"/>
      <c r="L2566" s="81"/>
      <c r="M2566" s="81"/>
      <c r="N2566" s="82"/>
    </row>
    <row r="2567">
      <c r="C2567" s="41"/>
      <c r="D2567" s="141"/>
      <c r="E2567" s="118"/>
      <c r="F2567" s="126"/>
      <c r="G2567" s="126"/>
      <c r="H2567" s="126"/>
      <c r="I2567" s="126"/>
      <c r="J2567" s="76"/>
      <c r="K2567" s="76"/>
      <c r="L2567" s="76"/>
      <c r="M2567" s="76"/>
      <c r="N2567" s="114"/>
    </row>
    <row r="2568">
      <c r="C2568" s="41"/>
      <c r="D2568" s="142"/>
      <c r="E2568" s="130"/>
      <c r="F2568" s="128"/>
      <c r="G2568" s="128"/>
      <c r="H2568" s="128"/>
      <c r="I2568" s="128"/>
      <c r="J2568" s="81"/>
      <c r="K2568" s="81"/>
      <c r="L2568" s="81"/>
      <c r="M2568" s="81"/>
      <c r="N2568" s="82"/>
    </row>
    <row r="2569">
      <c r="C2569" s="41"/>
      <c r="D2569" s="141"/>
      <c r="E2569" s="118"/>
      <c r="F2569" s="126"/>
      <c r="G2569" s="126"/>
      <c r="H2569" s="126"/>
      <c r="I2569" s="126"/>
      <c r="J2569" s="76"/>
      <c r="K2569" s="76"/>
      <c r="L2569" s="76"/>
      <c r="M2569" s="76"/>
      <c r="N2569" s="114"/>
    </row>
    <row r="2570">
      <c r="C2570" s="41"/>
      <c r="D2570" s="142"/>
      <c r="E2570" s="130"/>
      <c r="F2570" s="128"/>
      <c r="G2570" s="128"/>
      <c r="H2570" s="128"/>
      <c r="I2570" s="128"/>
      <c r="J2570" s="81"/>
      <c r="K2570" s="81"/>
      <c r="L2570" s="81"/>
      <c r="M2570" s="81"/>
      <c r="N2570" s="82"/>
    </row>
    <row r="2571">
      <c r="C2571" s="41"/>
      <c r="D2571" s="141"/>
      <c r="E2571" s="118"/>
      <c r="F2571" s="126"/>
      <c r="G2571" s="126"/>
      <c r="H2571" s="126"/>
      <c r="I2571" s="126"/>
      <c r="J2571" s="76"/>
      <c r="K2571" s="76"/>
      <c r="L2571" s="76"/>
      <c r="M2571" s="76"/>
      <c r="N2571" s="114"/>
    </row>
    <row r="2572">
      <c r="C2572" s="41"/>
      <c r="D2572" s="142"/>
      <c r="E2572" s="130"/>
      <c r="F2572" s="128"/>
      <c r="G2572" s="128"/>
      <c r="H2572" s="128"/>
      <c r="I2572" s="128"/>
      <c r="J2572" s="81"/>
      <c r="K2572" s="81"/>
      <c r="L2572" s="81"/>
      <c r="M2572" s="81"/>
      <c r="N2572" s="82"/>
    </row>
    <row r="2573">
      <c r="C2573" s="41"/>
      <c r="D2573" s="141"/>
      <c r="E2573" s="118"/>
      <c r="F2573" s="126"/>
      <c r="G2573" s="126"/>
      <c r="H2573" s="126"/>
      <c r="I2573" s="126"/>
      <c r="J2573" s="76"/>
      <c r="K2573" s="76"/>
      <c r="L2573" s="76"/>
      <c r="M2573" s="76"/>
      <c r="N2573" s="114"/>
    </row>
    <row r="2574">
      <c r="C2574" s="41"/>
      <c r="D2574" s="142"/>
      <c r="E2574" s="130"/>
      <c r="F2574" s="128"/>
      <c r="G2574" s="128"/>
      <c r="H2574" s="128"/>
      <c r="I2574" s="128"/>
      <c r="J2574" s="81"/>
      <c r="K2574" s="81"/>
      <c r="L2574" s="81"/>
      <c r="M2574" s="81"/>
      <c r="N2574" s="82"/>
    </row>
    <row r="2575">
      <c r="C2575" s="41"/>
      <c r="D2575" s="141"/>
      <c r="E2575" s="118"/>
      <c r="F2575" s="126"/>
      <c r="G2575" s="126"/>
      <c r="H2575" s="126"/>
      <c r="I2575" s="126"/>
      <c r="J2575" s="76"/>
      <c r="K2575" s="76"/>
      <c r="L2575" s="76"/>
      <c r="M2575" s="76"/>
      <c r="N2575" s="114"/>
    </row>
    <row r="2576">
      <c r="C2576" s="41"/>
      <c r="D2576" s="142"/>
      <c r="E2576" s="130"/>
      <c r="F2576" s="128"/>
      <c r="G2576" s="128"/>
      <c r="H2576" s="128"/>
      <c r="I2576" s="128"/>
      <c r="J2576" s="81"/>
      <c r="K2576" s="81"/>
      <c r="L2576" s="81"/>
      <c r="M2576" s="81"/>
      <c r="N2576" s="82"/>
    </row>
    <row r="2577">
      <c r="C2577" s="41"/>
      <c r="D2577" s="141"/>
      <c r="E2577" s="118"/>
      <c r="F2577" s="126"/>
      <c r="G2577" s="126"/>
      <c r="H2577" s="126"/>
      <c r="I2577" s="126"/>
      <c r="J2577" s="76"/>
      <c r="K2577" s="76"/>
      <c r="L2577" s="76"/>
      <c r="M2577" s="76"/>
      <c r="N2577" s="114"/>
    </row>
    <row r="2578">
      <c r="C2578" s="41"/>
      <c r="D2578" s="142"/>
      <c r="E2578" s="130"/>
      <c r="F2578" s="128"/>
      <c r="G2578" s="128"/>
      <c r="H2578" s="128"/>
      <c r="I2578" s="128"/>
      <c r="J2578" s="81"/>
      <c r="K2578" s="81"/>
      <c r="L2578" s="81"/>
      <c r="M2578" s="81"/>
      <c r="N2578" s="82"/>
    </row>
    <row r="2579">
      <c r="C2579" s="41"/>
      <c r="D2579" s="141"/>
      <c r="E2579" s="118"/>
      <c r="F2579" s="126"/>
      <c r="G2579" s="126"/>
      <c r="H2579" s="126"/>
      <c r="I2579" s="126"/>
      <c r="J2579" s="76"/>
      <c r="K2579" s="76"/>
      <c r="L2579" s="76"/>
      <c r="M2579" s="76"/>
      <c r="N2579" s="114"/>
    </row>
    <row r="2580">
      <c r="C2580" s="41"/>
      <c r="D2580" s="142"/>
      <c r="E2580" s="130"/>
      <c r="F2580" s="128"/>
      <c r="G2580" s="128"/>
      <c r="H2580" s="128"/>
      <c r="I2580" s="128"/>
      <c r="J2580" s="81"/>
      <c r="K2580" s="81"/>
      <c r="L2580" s="81"/>
      <c r="M2580" s="81"/>
      <c r="N2580" s="82"/>
    </row>
    <row r="2581">
      <c r="C2581" s="41"/>
      <c r="D2581" s="141"/>
      <c r="E2581" s="118"/>
      <c r="F2581" s="126"/>
      <c r="G2581" s="126"/>
      <c r="H2581" s="126"/>
      <c r="I2581" s="126"/>
      <c r="J2581" s="76"/>
      <c r="K2581" s="76"/>
      <c r="L2581" s="76"/>
      <c r="M2581" s="76"/>
      <c r="N2581" s="114"/>
    </row>
    <row r="2582">
      <c r="C2582" s="41"/>
      <c r="D2582" s="142"/>
      <c r="E2582" s="130"/>
      <c r="F2582" s="128"/>
      <c r="G2582" s="128"/>
      <c r="H2582" s="128"/>
      <c r="I2582" s="128"/>
      <c r="J2582" s="81"/>
      <c r="K2582" s="81"/>
      <c r="L2582" s="81"/>
      <c r="M2582" s="81"/>
      <c r="N2582" s="82"/>
    </row>
    <row r="2583">
      <c r="C2583" s="41"/>
      <c r="D2583" s="141"/>
      <c r="E2583" s="118"/>
      <c r="F2583" s="126"/>
      <c r="G2583" s="126"/>
      <c r="H2583" s="126"/>
      <c r="I2583" s="126"/>
      <c r="J2583" s="76"/>
      <c r="K2583" s="76"/>
      <c r="L2583" s="76"/>
      <c r="M2583" s="76"/>
      <c r="N2583" s="114"/>
    </row>
    <row r="2584">
      <c r="C2584" s="41"/>
      <c r="D2584" s="142"/>
      <c r="E2584" s="130"/>
      <c r="F2584" s="128"/>
      <c r="G2584" s="128"/>
      <c r="H2584" s="128"/>
      <c r="I2584" s="128"/>
      <c r="J2584" s="81"/>
      <c r="K2584" s="81"/>
      <c r="L2584" s="81"/>
      <c r="M2584" s="81"/>
      <c r="N2584" s="82"/>
    </row>
    <row r="2585">
      <c r="C2585" s="41"/>
      <c r="D2585" s="141"/>
      <c r="E2585" s="118"/>
      <c r="F2585" s="126"/>
      <c r="G2585" s="126"/>
      <c r="H2585" s="126"/>
      <c r="I2585" s="126"/>
      <c r="J2585" s="76"/>
      <c r="K2585" s="76"/>
      <c r="L2585" s="76"/>
      <c r="M2585" s="76"/>
      <c r="N2585" s="114"/>
    </row>
    <row r="2586">
      <c r="C2586" s="41"/>
      <c r="D2586" s="142"/>
      <c r="E2586" s="130"/>
      <c r="F2586" s="128"/>
      <c r="G2586" s="128"/>
      <c r="H2586" s="128"/>
      <c r="I2586" s="128"/>
      <c r="J2586" s="81"/>
      <c r="K2586" s="81"/>
      <c r="L2586" s="81"/>
      <c r="M2586" s="81"/>
      <c r="N2586" s="82"/>
    </row>
    <row r="2587">
      <c r="C2587" s="41"/>
      <c r="D2587" s="141"/>
      <c r="E2587" s="118"/>
      <c r="F2587" s="126"/>
      <c r="G2587" s="126"/>
      <c r="H2587" s="126"/>
      <c r="I2587" s="126"/>
      <c r="J2587" s="76"/>
      <c r="K2587" s="76"/>
      <c r="L2587" s="76"/>
      <c r="M2587" s="76"/>
      <c r="N2587" s="114"/>
    </row>
    <row r="2588">
      <c r="C2588" s="41"/>
      <c r="D2588" s="142"/>
      <c r="E2588" s="130"/>
      <c r="F2588" s="128"/>
      <c r="G2588" s="128"/>
      <c r="H2588" s="128"/>
      <c r="I2588" s="128"/>
      <c r="J2588" s="81"/>
      <c r="K2588" s="81"/>
      <c r="L2588" s="81"/>
      <c r="M2588" s="81"/>
      <c r="N2588" s="82"/>
    </row>
    <row r="2589">
      <c r="C2589" s="41"/>
      <c r="D2589" s="141"/>
      <c r="E2589" s="118"/>
      <c r="F2589" s="126"/>
      <c r="G2589" s="126"/>
      <c r="H2589" s="126"/>
      <c r="I2589" s="126"/>
      <c r="J2589" s="76"/>
      <c r="K2589" s="76"/>
      <c r="L2589" s="76"/>
      <c r="M2589" s="76"/>
      <c r="N2589" s="114"/>
    </row>
    <row r="2590">
      <c r="C2590" s="41"/>
      <c r="D2590" s="142"/>
      <c r="E2590" s="130"/>
      <c r="F2590" s="128"/>
      <c r="G2590" s="128"/>
      <c r="H2590" s="128"/>
      <c r="I2590" s="128"/>
      <c r="J2590" s="81"/>
      <c r="K2590" s="81"/>
      <c r="L2590" s="81"/>
      <c r="M2590" s="81"/>
      <c r="N2590" s="82"/>
    </row>
    <row r="2591">
      <c r="C2591" s="41"/>
      <c r="D2591" s="141"/>
      <c r="E2591" s="118"/>
      <c r="F2591" s="126"/>
      <c r="G2591" s="126"/>
      <c r="H2591" s="126"/>
      <c r="I2591" s="126"/>
      <c r="J2591" s="76"/>
      <c r="K2591" s="76"/>
      <c r="L2591" s="76"/>
      <c r="M2591" s="76"/>
      <c r="N2591" s="114"/>
    </row>
    <row r="2592">
      <c r="C2592" s="41"/>
      <c r="D2592" s="142"/>
      <c r="E2592" s="130"/>
      <c r="F2592" s="128"/>
      <c r="G2592" s="128"/>
      <c r="H2592" s="128"/>
      <c r="I2592" s="128"/>
      <c r="J2592" s="81"/>
      <c r="K2592" s="81"/>
      <c r="L2592" s="81"/>
      <c r="M2592" s="81"/>
      <c r="N2592" s="82"/>
    </row>
    <row r="2593">
      <c r="C2593" s="41"/>
      <c r="D2593" s="141"/>
      <c r="E2593" s="118"/>
      <c r="F2593" s="126"/>
      <c r="G2593" s="126"/>
      <c r="H2593" s="126"/>
      <c r="I2593" s="126"/>
      <c r="J2593" s="76"/>
      <c r="K2593" s="76"/>
      <c r="L2593" s="76"/>
      <c r="M2593" s="76"/>
      <c r="N2593" s="114"/>
    </row>
    <row r="2594">
      <c r="C2594" s="41"/>
      <c r="D2594" s="142"/>
      <c r="E2594" s="130"/>
      <c r="F2594" s="128"/>
      <c r="G2594" s="128"/>
      <c r="H2594" s="128"/>
      <c r="I2594" s="128"/>
      <c r="J2594" s="81"/>
      <c r="K2594" s="81"/>
      <c r="L2594" s="81"/>
      <c r="M2594" s="81"/>
      <c r="N2594" s="82"/>
    </row>
    <row r="2595">
      <c r="C2595" s="41"/>
      <c r="D2595" s="141"/>
      <c r="E2595" s="118"/>
      <c r="F2595" s="126"/>
      <c r="G2595" s="126"/>
      <c r="H2595" s="126"/>
      <c r="I2595" s="126"/>
      <c r="J2595" s="76"/>
      <c r="K2595" s="76"/>
      <c r="L2595" s="76"/>
      <c r="M2595" s="76"/>
      <c r="N2595" s="114"/>
    </row>
    <row r="2596">
      <c r="C2596" s="41"/>
      <c r="D2596" s="142"/>
      <c r="E2596" s="130"/>
      <c r="F2596" s="128"/>
      <c r="G2596" s="128"/>
      <c r="H2596" s="128"/>
      <c r="I2596" s="128"/>
      <c r="J2596" s="81"/>
      <c r="K2596" s="81"/>
      <c r="L2596" s="81"/>
      <c r="M2596" s="81"/>
      <c r="N2596" s="82"/>
    </row>
    <row r="2597">
      <c r="C2597" s="41"/>
      <c r="D2597" s="141"/>
      <c r="E2597" s="118"/>
      <c r="F2597" s="126"/>
      <c r="G2597" s="126"/>
      <c r="H2597" s="126"/>
      <c r="I2597" s="126"/>
      <c r="J2597" s="76"/>
      <c r="K2597" s="76"/>
      <c r="L2597" s="76"/>
      <c r="M2597" s="76"/>
      <c r="N2597" s="114"/>
    </row>
    <row r="2598">
      <c r="C2598" s="41"/>
      <c r="D2598" s="142"/>
      <c r="E2598" s="130"/>
      <c r="F2598" s="128"/>
      <c r="G2598" s="128"/>
      <c r="H2598" s="128"/>
      <c r="I2598" s="128"/>
      <c r="J2598" s="81"/>
      <c r="K2598" s="81"/>
      <c r="L2598" s="81"/>
      <c r="M2598" s="81"/>
      <c r="N2598" s="82"/>
    </row>
    <row r="2599">
      <c r="C2599" s="41"/>
      <c r="D2599" s="141"/>
      <c r="E2599" s="118"/>
      <c r="F2599" s="126"/>
      <c r="G2599" s="126"/>
      <c r="H2599" s="126"/>
      <c r="I2599" s="126"/>
      <c r="J2599" s="76"/>
      <c r="K2599" s="76"/>
      <c r="L2599" s="76"/>
      <c r="M2599" s="76"/>
      <c r="N2599" s="114"/>
    </row>
    <row r="2600">
      <c r="C2600" s="41"/>
      <c r="D2600" s="142"/>
      <c r="E2600" s="130"/>
      <c r="F2600" s="128"/>
      <c r="G2600" s="128"/>
      <c r="H2600" s="128"/>
      <c r="I2600" s="128"/>
      <c r="J2600" s="81"/>
      <c r="K2600" s="81"/>
      <c r="L2600" s="81"/>
      <c r="M2600" s="81"/>
      <c r="N2600" s="82"/>
    </row>
    <row r="2601">
      <c r="C2601" s="41"/>
      <c r="D2601" s="141"/>
      <c r="E2601" s="118"/>
      <c r="F2601" s="126"/>
      <c r="G2601" s="126"/>
      <c r="H2601" s="126"/>
      <c r="I2601" s="126"/>
      <c r="J2601" s="76"/>
      <c r="K2601" s="76"/>
      <c r="L2601" s="76"/>
      <c r="M2601" s="76"/>
      <c r="N2601" s="114"/>
    </row>
    <row r="2602">
      <c r="C2602" s="41"/>
      <c r="D2602" s="142"/>
      <c r="E2602" s="130"/>
      <c r="F2602" s="128"/>
      <c r="G2602" s="128"/>
      <c r="H2602" s="128"/>
      <c r="I2602" s="128"/>
      <c r="J2602" s="81"/>
      <c r="K2602" s="81"/>
      <c r="L2602" s="81"/>
      <c r="M2602" s="81"/>
      <c r="N2602" s="82"/>
    </row>
    <row r="2603">
      <c r="C2603" s="41"/>
      <c r="D2603" s="141"/>
      <c r="E2603" s="118"/>
      <c r="F2603" s="126"/>
      <c r="G2603" s="126"/>
      <c r="H2603" s="126"/>
      <c r="I2603" s="126"/>
      <c r="J2603" s="76"/>
      <c r="K2603" s="76"/>
      <c r="L2603" s="76"/>
      <c r="M2603" s="76"/>
      <c r="N2603" s="114"/>
    </row>
    <row r="2604">
      <c r="C2604" s="41"/>
      <c r="D2604" s="142"/>
      <c r="E2604" s="130"/>
      <c r="F2604" s="128"/>
      <c r="G2604" s="128"/>
      <c r="H2604" s="128"/>
      <c r="I2604" s="128"/>
      <c r="J2604" s="81"/>
      <c r="K2604" s="81"/>
      <c r="L2604" s="81"/>
      <c r="M2604" s="81"/>
      <c r="N2604" s="82"/>
    </row>
    <row r="2605">
      <c r="C2605" s="41"/>
      <c r="D2605" s="141"/>
      <c r="E2605" s="118"/>
      <c r="F2605" s="126"/>
      <c r="G2605" s="126"/>
      <c r="H2605" s="126"/>
      <c r="I2605" s="126"/>
      <c r="J2605" s="76"/>
      <c r="K2605" s="76"/>
      <c r="L2605" s="76"/>
      <c r="M2605" s="76"/>
      <c r="N2605" s="114"/>
    </row>
    <row r="2606">
      <c r="C2606" s="41"/>
      <c r="D2606" s="142"/>
      <c r="E2606" s="130"/>
      <c r="F2606" s="128"/>
      <c r="G2606" s="128"/>
      <c r="H2606" s="128"/>
      <c r="I2606" s="128"/>
      <c r="J2606" s="81"/>
      <c r="K2606" s="81"/>
      <c r="L2606" s="81"/>
      <c r="M2606" s="81"/>
      <c r="N2606" s="82"/>
    </row>
    <row r="2607">
      <c r="C2607" s="41"/>
      <c r="D2607" s="141"/>
      <c r="E2607" s="118"/>
      <c r="F2607" s="126"/>
      <c r="G2607" s="126"/>
      <c r="H2607" s="126"/>
      <c r="I2607" s="126"/>
      <c r="J2607" s="76"/>
      <c r="K2607" s="76"/>
      <c r="L2607" s="76"/>
      <c r="M2607" s="76"/>
      <c r="N2607" s="114"/>
    </row>
    <row r="2608">
      <c r="C2608" s="41"/>
      <c r="D2608" s="142"/>
      <c r="E2608" s="130"/>
      <c r="F2608" s="128"/>
      <c r="G2608" s="128"/>
      <c r="H2608" s="128"/>
      <c r="I2608" s="128"/>
      <c r="J2608" s="81"/>
      <c r="K2608" s="81"/>
      <c r="L2608" s="81"/>
      <c r="M2608" s="81"/>
      <c r="N2608" s="82"/>
    </row>
    <row r="2609">
      <c r="C2609" s="41"/>
      <c r="D2609" s="141"/>
      <c r="E2609" s="118"/>
      <c r="F2609" s="126"/>
      <c r="G2609" s="126"/>
      <c r="H2609" s="126"/>
      <c r="I2609" s="126"/>
      <c r="J2609" s="76"/>
      <c r="K2609" s="76"/>
      <c r="L2609" s="76"/>
      <c r="M2609" s="76"/>
      <c r="N2609" s="114"/>
    </row>
    <row r="2610">
      <c r="C2610" s="41"/>
      <c r="D2610" s="142"/>
      <c r="E2610" s="130"/>
      <c r="F2610" s="128"/>
      <c r="G2610" s="128"/>
      <c r="H2610" s="128"/>
      <c r="I2610" s="128"/>
      <c r="J2610" s="81"/>
      <c r="K2610" s="81"/>
      <c r="L2610" s="81"/>
      <c r="M2610" s="81"/>
      <c r="N2610" s="82"/>
    </row>
    <row r="2611">
      <c r="C2611" s="41"/>
      <c r="D2611" s="141"/>
      <c r="E2611" s="118"/>
      <c r="F2611" s="126"/>
      <c r="G2611" s="126"/>
      <c r="H2611" s="126"/>
      <c r="I2611" s="126"/>
      <c r="J2611" s="76"/>
      <c r="K2611" s="76"/>
      <c r="L2611" s="76"/>
      <c r="M2611" s="76"/>
      <c r="N2611" s="114"/>
    </row>
    <row r="2612">
      <c r="C2612" s="41"/>
      <c r="D2612" s="142"/>
      <c r="E2612" s="130"/>
      <c r="F2612" s="128"/>
      <c r="G2612" s="128"/>
      <c r="H2612" s="128"/>
      <c r="I2612" s="128"/>
      <c r="J2612" s="81"/>
      <c r="K2612" s="81"/>
      <c r="L2612" s="81"/>
      <c r="M2612" s="81"/>
      <c r="N2612" s="82"/>
    </row>
    <row r="2613">
      <c r="C2613" s="41"/>
      <c r="D2613" s="141"/>
      <c r="E2613" s="118"/>
      <c r="F2613" s="126"/>
      <c r="G2613" s="126"/>
      <c r="H2613" s="126"/>
      <c r="I2613" s="126"/>
      <c r="J2613" s="76"/>
      <c r="K2613" s="76"/>
      <c r="L2613" s="76"/>
      <c r="M2613" s="76"/>
      <c r="N2613" s="114"/>
    </row>
    <row r="2614">
      <c r="C2614" s="41"/>
      <c r="D2614" s="142"/>
      <c r="E2614" s="130"/>
      <c r="F2614" s="128"/>
      <c r="G2614" s="128"/>
      <c r="H2614" s="128"/>
      <c r="I2614" s="128"/>
      <c r="J2614" s="81"/>
      <c r="K2614" s="81"/>
      <c r="L2614" s="81"/>
      <c r="M2614" s="81"/>
      <c r="N2614" s="82"/>
    </row>
    <row r="2615">
      <c r="C2615" s="41"/>
      <c r="D2615" s="141"/>
      <c r="E2615" s="118"/>
      <c r="F2615" s="126"/>
      <c r="G2615" s="126"/>
      <c r="H2615" s="126"/>
      <c r="I2615" s="126"/>
      <c r="J2615" s="76"/>
      <c r="K2615" s="76"/>
      <c r="L2615" s="76"/>
      <c r="M2615" s="76"/>
      <c r="N2615" s="114"/>
    </row>
    <row r="2616">
      <c r="C2616" s="41"/>
      <c r="D2616" s="142"/>
      <c r="E2616" s="130"/>
      <c r="F2616" s="128"/>
      <c r="G2616" s="128"/>
      <c r="H2616" s="128"/>
      <c r="I2616" s="128"/>
      <c r="J2616" s="81"/>
      <c r="K2616" s="81"/>
      <c r="L2616" s="81"/>
      <c r="M2616" s="81"/>
      <c r="N2616" s="82"/>
    </row>
    <row r="2617">
      <c r="C2617" s="41"/>
      <c r="D2617" s="141"/>
      <c r="E2617" s="118"/>
      <c r="F2617" s="126"/>
      <c r="G2617" s="126"/>
      <c r="H2617" s="126"/>
      <c r="I2617" s="126"/>
      <c r="J2617" s="76"/>
      <c r="K2617" s="76"/>
      <c r="L2617" s="76"/>
      <c r="M2617" s="76"/>
      <c r="N2617" s="114"/>
    </row>
    <row r="2618">
      <c r="C2618" s="41"/>
      <c r="D2618" s="142"/>
      <c r="E2618" s="130"/>
      <c r="F2618" s="128"/>
      <c r="G2618" s="128"/>
      <c r="H2618" s="128"/>
      <c r="I2618" s="128"/>
      <c r="J2618" s="81"/>
      <c r="K2618" s="81"/>
      <c r="L2618" s="81"/>
      <c r="M2618" s="81"/>
      <c r="N2618" s="82"/>
    </row>
    <row r="2619">
      <c r="C2619" s="41"/>
      <c r="D2619" s="141"/>
      <c r="E2619" s="118"/>
      <c r="F2619" s="126"/>
      <c r="G2619" s="126"/>
      <c r="H2619" s="126"/>
      <c r="I2619" s="126"/>
      <c r="J2619" s="76"/>
      <c r="K2619" s="76"/>
      <c r="L2619" s="76"/>
      <c r="M2619" s="76"/>
      <c r="N2619" s="114"/>
    </row>
    <row r="2620">
      <c r="C2620" s="41"/>
      <c r="D2620" s="142"/>
      <c r="E2620" s="130"/>
      <c r="F2620" s="128"/>
      <c r="G2620" s="128"/>
      <c r="H2620" s="128"/>
      <c r="I2620" s="128"/>
      <c r="J2620" s="81"/>
      <c r="K2620" s="81"/>
      <c r="L2620" s="81"/>
      <c r="M2620" s="81"/>
      <c r="N2620" s="82"/>
    </row>
    <row r="2621">
      <c r="C2621" s="41"/>
      <c r="D2621" s="141"/>
      <c r="E2621" s="118"/>
      <c r="F2621" s="126"/>
      <c r="G2621" s="126"/>
      <c r="H2621" s="126"/>
      <c r="I2621" s="126"/>
      <c r="J2621" s="76"/>
      <c r="K2621" s="76"/>
      <c r="L2621" s="76"/>
      <c r="M2621" s="76"/>
      <c r="N2621" s="114"/>
    </row>
    <row r="2622">
      <c r="C2622" s="41"/>
      <c r="D2622" s="142"/>
      <c r="E2622" s="130"/>
      <c r="F2622" s="128"/>
      <c r="G2622" s="128"/>
      <c r="H2622" s="128"/>
      <c r="I2622" s="128"/>
      <c r="J2622" s="81"/>
      <c r="K2622" s="81"/>
      <c r="L2622" s="81"/>
      <c r="M2622" s="81"/>
      <c r="N2622" s="82"/>
    </row>
    <row r="2623">
      <c r="C2623" s="41"/>
      <c r="D2623" s="141"/>
      <c r="E2623" s="118"/>
      <c r="F2623" s="126"/>
      <c r="G2623" s="126"/>
      <c r="H2623" s="126"/>
      <c r="I2623" s="126"/>
      <c r="J2623" s="76"/>
      <c r="K2623" s="76"/>
      <c r="L2623" s="76"/>
      <c r="M2623" s="76"/>
      <c r="N2623" s="114"/>
    </row>
    <row r="2624">
      <c r="C2624" s="41"/>
      <c r="D2624" s="142"/>
      <c r="E2624" s="130"/>
      <c r="F2624" s="128"/>
      <c r="G2624" s="128"/>
      <c r="H2624" s="128"/>
      <c r="I2624" s="128"/>
      <c r="J2624" s="81"/>
      <c r="K2624" s="81"/>
      <c r="L2624" s="81"/>
      <c r="M2624" s="81"/>
      <c r="N2624" s="82"/>
    </row>
    <row r="2625">
      <c r="C2625" s="41"/>
      <c r="D2625" s="141"/>
      <c r="E2625" s="118"/>
      <c r="F2625" s="126"/>
      <c r="G2625" s="126"/>
      <c r="H2625" s="126"/>
      <c r="I2625" s="126"/>
      <c r="J2625" s="76"/>
      <c r="K2625" s="76"/>
      <c r="L2625" s="76"/>
      <c r="M2625" s="76"/>
      <c r="N2625" s="114"/>
    </row>
    <row r="2626">
      <c r="C2626" s="41"/>
      <c r="D2626" s="142"/>
      <c r="E2626" s="130"/>
      <c r="F2626" s="128"/>
      <c r="G2626" s="128"/>
      <c r="H2626" s="128"/>
      <c r="I2626" s="128"/>
      <c r="J2626" s="81"/>
      <c r="K2626" s="81"/>
      <c r="L2626" s="81"/>
      <c r="M2626" s="81"/>
      <c r="N2626" s="82"/>
    </row>
    <row r="2627">
      <c r="C2627" s="41"/>
      <c r="D2627" s="141"/>
      <c r="E2627" s="118"/>
      <c r="F2627" s="126"/>
      <c r="G2627" s="126"/>
      <c r="H2627" s="126"/>
      <c r="I2627" s="126"/>
      <c r="J2627" s="76"/>
      <c r="K2627" s="76"/>
      <c r="L2627" s="76"/>
      <c r="M2627" s="76"/>
      <c r="N2627" s="114"/>
    </row>
    <row r="2628">
      <c r="C2628" s="41"/>
      <c r="D2628" s="142"/>
      <c r="E2628" s="130"/>
      <c r="F2628" s="128"/>
      <c r="G2628" s="128"/>
      <c r="H2628" s="128"/>
      <c r="I2628" s="128"/>
      <c r="J2628" s="81"/>
      <c r="K2628" s="81"/>
      <c r="L2628" s="81"/>
      <c r="M2628" s="81"/>
      <c r="N2628" s="82"/>
    </row>
    <row r="2629">
      <c r="C2629" s="41"/>
      <c r="D2629" s="141"/>
      <c r="E2629" s="118"/>
      <c r="F2629" s="126"/>
      <c r="G2629" s="126"/>
      <c r="H2629" s="126"/>
      <c r="I2629" s="126"/>
      <c r="J2629" s="76"/>
      <c r="K2629" s="76"/>
      <c r="L2629" s="76"/>
      <c r="M2629" s="76"/>
      <c r="N2629" s="114"/>
    </row>
    <row r="2630">
      <c r="C2630" s="41"/>
      <c r="D2630" s="142"/>
      <c r="E2630" s="130"/>
      <c r="F2630" s="128"/>
      <c r="G2630" s="128"/>
      <c r="H2630" s="128"/>
      <c r="I2630" s="128"/>
      <c r="J2630" s="81"/>
      <c r="K2630" s="81"/>
      <c r="L2630" s="81"/>
      <c r="M2630" s="81"/>
      <c r="N2630" s="82"/>
    </row>
    <row r="2631">
      <c r="C2631" s="41"/>
      <c r="D2631" s="141"/>
      <c r="E2631" s="118"/>
      <c r="F2631" s="126"/>
      <c r="G2631" s="126"/>
      <c r="H2631" s="126"/>
      <c r="I2631" s="126"/>
      <c r="J2631" s="76"/>
      <c r="K2631" s="76"/>
      <c r="L2631" s="76"/>
      <c r="M2631" s="76"/>
      <c r="N2631" s="114"/>
    </row>
    <row r="2632">
      <c r="C2632" s="41"/>
      <c r="D2632" s="142"/>
      <c r="E2632" s="130"/>
      <c r="F2632" s="128"/>
      <c r="G2632" s="128"/>
      <c r="H2632" s="128"/>
      <c r="I2632" s="128"/>
      <c r="J2632" s="81"/>
      <c r="K2632" s="81"/>
      <c r="L2632" s="81"/>
      <c r="M2632" s="81"/>
      <c r="N2632" s="82"/>
    </row>
    <row r="2633">
      <c r="C2633" s="41"/>
      <c r="D2633" s="141"/>
      <c r="E2633" s="118"/>
      <c r="F2633" s="126"/>
      <c r="G2633" s="126"/>
      <c r="H2633" s="126"/>
      <c r="I2633" s="126"/>
      <c r="J2633" s="76"/>
      <c r="K2633" s="76"/>
      <c r="L2633" s="76"/>
      <c r="M2633" s="76"/>
      <c r="N2633" s="114"/>
    </row>
    <row r="2634">
      <c r="C2634" s="41"/>
      <c r="D2634" s="142"/>
      <c r="E2634" s="130"/>
      <c r="F2634" s="128"/>
      <c r="G2634" s="128"/>
      <c r="H2634" s="128"/>
      <c r="I2634" s="128"/>
      <c r="J2634" s="81"/>
      <c r="K2634" s="81"/>
      <c r="L2634" s="81"/>
      <c r="M2634" s="81"/>
      <c r="N2634" s="82"/>
    </row>
    <row r="2635">
      <c r="C2635" s="41"/>
      <c r="D2635" s="141"/>
      <c r="E2635" s="118"/>
      <c r="F2635" s="126"/>
      <c r="G2635" s="126"/>
      <c r="H2635" s="126"/>
      <c r="I2635" s="126"/>
      <c r="J2635" s="76"/>
      <c r="K2635" s="76"/>
      <c r="L2635" s="76"/>
      <c r="M2635" s="76"/>
      <c r="N2635" s="114"/>
    </row>
    <row r="2636">
      <c r="C2636" s="41"/>
      <c r="D2636" s="142"/>
      <c r="E2636" s="130"/>
      <c r="F2636" s="128"/>
      <c r="G2636" s="128"/>
      <c r="H2636" s="128"/>
      <c r="I2636" s="128"/>
      <c r="J2636" s="81"/>
      <c r="K2636" s="81"/>
      <c r="L2636" s="81"/>
      <c r="M2636" s="81"/>
      <c r="N2636" s="82"/>
    </row>
    <row r="2637">
      <c r="C2637" s="41"/>
      <c r="D2637" s="141"/>
      <c r="E2637" s="118"/>
      <c r="F2637" s="126"/>
      <c r="G2637" s="126"/>
      <c r="H2637" s="126"/>
      <c r="I2637" s="126"/>
      <c r="J2637" s="76"/>
      <c r="K2637" s="76"/>
      <c r="L2637" s="76"/>
      <c r="M2637" s="76"/>
      <c r="N2637" s="114"/>
    </row>
    <row r="2638">
      <c r="C2638" s="41"/>
      <c r="D2638" s="142"/>
      <c r="E2638" s="130"/>
      <c r="F2638" s="128"/>
      <c r="G2638" s="128"/>
      <c r="H2638" s="128"/>
      <c r="I2638" s="128"/>
      <c r="J2638" s="81"/>
      <c r="K2638" s="81"/>
      <c r="L2638" s="81"/>
      <c r="M2638" s="81"/>
      <c r="N2638" s="82"/>
    </row>
    <row r="2639">
      <c r="C2639" s="41"/>
      <c r="D2639" s="141"/>
      <c r="E2639" s="118"/>
      <c r="F2639" s="126"/>
      <c r="G2639" s="126"/>
      <c r="H2639" s="126"/>
      <c r="I2639" s="126"/>
      <c r="J2639" s="76"/>
      <c r="K2639" s="76"/>
      <c r="L2639" s="76"/>
      <c r="M2639" s="76"/>
      <c r="N2639" s="114"/>
    </row>
    <row r="2640">
      <c r="C2640" s="41"/>
      <c r="D2640" s="142"/>
      <c r="E2640" s="130"/>
      <c r="F2640" s="128"/>
      <c r="G2640" s="128"/>
      <c r="H2640" s="128"/>
      <c r="I2640" s="128"/>
      <c r="J2640" s="81"/>
      <c r="K2640" s="81"/>
      <c r="L2640" s="81"/>
      <c r="M2640" s="81"/>
      <c r="N2640" s="82"/>
    </row>
    <row r="2641">
      <c r="C2641" s="41"/>
      <c r="D2641" s="141"/>
      <c r="E2641" s="118"/>
      <c r="F2641" s="126"/>
      <c r="G2641" s="126"/>
      <c r="H2641" s="126"/>
      <c r="I2641" s="126"/>
      <c r="J2641" s="76"/>
      <c r="K2641" s="76"/>
      <c r="L2641" s="76"/>
      <c r="M2641" s="76"/>
      <c r="N2641" s="114"/>
    </row>
    <row r="2642">
      <c r="C2642" s="41"/>
      <c r="D2642" s="142"/>
      <c r="E2642" s="130"/>
      <c r="F2642" s="128"/>
      <c r="G2642" s="128"/>
      <c r="H2642" s="128"/>
      <c r="I2642" s="128"/>
      <c r="J2642" s="81"/>
      <c r="K2642" s="81"/>
      <c r="L2642" s="81"/>
      <c r="M2642" s="81"/>
      <c r="N2642" s="82"/>
    </row>
    <row r="2643">
      <c r="C2643" s="41"/>
      <c r="D2643" s="141"/>
      <c r="E2643" s="118"/>
      <c r="F2643" s="126"/>
      <c r="G2643" s="126"/>
      <c r="H2643" s="126"/>
      <c r="I2643" s="126"/>
      <c r="J2643" s="76"/>
      <c r="K2643" s="76"/>
      <c r="L2643" s="76"/>
      <c r="M2643" s="76"/>
      <c r="N2643" s="114"/>
    </row>
    <row r="2644">
      <c r="C2644" s="41"/>
      <c r="D2644" s="142"/>
      <c r="E2644" s="130"/>
      <c r="F2644" s="128"/>
      <c r="G2644" s="128"/>
      <c r="H2644" s="128"/>
      <c r="I2644" s="128"/>
      <c r="J2644" s="81"/>
      <c r="K2644" s="81"/>
      <c r="L2644" s="81"/>
      <c r="M2644" s="81"/>
      <c r="N2644" s="82"/>
    </row>
    <row r="2645">
      <c r="C2645" s="41"/>
      <c r="D2645" s="141"/>
      <c r="E2645" s="118"/>
      <c r="F2645" s="126"/>
      <c r="G2645" s="126"/>
      <c r="H2645" s="126"/>
      <c r="I2645" s="126"/>
      <c r="J2645" s="76"/>
      <c r="K2645" s="76"/>
      <c r="L2645" s="76"/>
      <c r="M2645" s="76"/>
      <c r="N2645" s="114"/>
    </row>
    <row r="2646">
      <c r="C2646" s="41"/>
      <c r="D2646" s="142"/>
      <c r="E2646" s="130"/>
      <c r="F2646" s="128"/>
      <c r="G2646" s="128"/>
      <c r="H2646" s="128"/>
      <c r="I2646" s="128"/>
      <c r="J2646" s="81"/>
      <c r="K2646" s="81"/>
      <c r="L2646" s="81"/>
      <c r="M2646" s="81"/>
      <c r="N2646" s="82"/>
    </row>
    <row r="2647">
      <c r="C2647" s="41"/>
      <c r="D2647" s="141"/>
      <c r="E2647" s="118"/>
      <c r="F2647" s="126"/>
      <c r="G2647" s="126"/>
      <c r="H2647" s="126"/>
      <c r="I2647" s="126"/>
      <c r="J2647" s="76"/>
      <c r="K2647" s="76"/>
      <c r="L2647" s="76"/>
      <c r="M2647" s="76"/>
      <c r="N2647" s="114"/>
    </row>
    <row r="2648">
      <c r="C2648" s="41"/>
      <c r="D2648" s="142"/>
      <c r="E2648" s="130"/>
      <c r="F2648" s="128"/>
      <c r="G2648" s="128"/>
      <c r="H2648" s="128"/>
      <c r="I2648" s="128"/>
      <c r="J2648" s="81"/>
      <c r="K2648" s="81"/>
      <c r="L2648" s="81"/>
      <c r="M2648" s="81"/>
      <c r="N2648" s="82"/>
    </row>
    <row r="2649">
      <c r="C2649" s="41"/>
      <c r="D2649" s="141"/>
      <c r="E2649" s="118"/>
      <c r="F2649" s="126"/>
      <c r="G2649" s="126"/>
      <c r="H2649" s="126"/>
      <c r="I2649" s="126"/>
      <c r="J2649" s="76"/>
      <c r="K2649" s="76"/>
      <c r="L2649" s="76"/>
      <c r="M2649" s="76"/>
      <c r="N2649" s="114"/>
    </row>
    <row r="2650">
      <c r="C2650" s="41"/>
      <c r="D2650" s="142"/>
      <c r="E2650" s="130"/>
      <c r="F2650" s="128"/>
      <c r="G2650" s="128"/>
      <c r="H2650" s="128"/>
      <c r="I2650" s="128"/>
      <c r="J2650" s="81"/>
      <c r="K2650" s="81"/>
      <c r="L2650" s="81"/>
      <c r="M2650" s="81"/>
      <c r="N2650" s="82"/>
    </row>
    <row r="2651">
      <c r="C2651" s="41"/>
      <c r="D2651" s="141"/>
      <c r="E2651" s="118"/>
      <c r="F2651" s="126"/>
      <c r="G2651" s="126"/>
      <c r="H2651" s="126"/>
      <c r="I2651" s="126"/>
      <c r="J2651" s="76"/>
      <c r="K2651" s="76"/>
      <c r="L2651" s="76"/>
      <c r="M2651" s="76"/>
      <c r="N2651" s="114"/>
    </row>
    <row r="2652">
      <c r="C2652" s="41"/>
      <c r="D2652" s="142"/>
      <c r="E2652" s="130"/>
      <c r="F2652" s="128"/>
      <c r="G2652" s="128"/>
      <c r="H2652" s="128"/>
      <c r="I2652" s="128"/>
      <c r="J2652" s="81"/>
      <c r="K2652" s="81"/>
      <c r="L2652" s="81"/>
      <c r="M2652" s="81"/>
      <c r="N2652" s="82"/>
    </row>
    <row r="2653">
      <c r="C2653" s="41"/>
      <c r="D2653" s="141"/>
      <c r="E2653" s="118"/>
      <c r="F2653" s="126"/>
      <c r="G2653" s="126"/>
      <c r="H2653" s="126"/>
      <c r="I2653" s="126"/>
      <c r="J2653" s="76"/>
      <c r="K2653" s="76"/>
      <c r="L2653" s="76"/>
      <c r="M2653" s="76"/>
      <c r="N2653" s="114"/>
    </row>
    <row r="2654">
      <c r="C2654" s="41"/>
      <c r="D2654" s="142"/>
      <c r="E2654" s="130"/>
      <c r="F2654" s="128"/>
      <c r="G2654" s="128"/>
      <c r="H2654" s="128"/>
      <c r="I2654" s="128"/>
      <c r="J2654" s="81"/>
      <c r="K2654" s="81"/>
      <c r="L2654" s="81"/>
      <c r="M2654" s="81"/>
      <c r="N2654" s="82"/>
    </row>
    <row r="2655">
      <c r="C2655" s="41"/>
      <c r="D2655" s="141"/>
      <c r="E2655" s="118"/>
      <c r="F2655" s="126"/>
      <c r="G2655" s="126"/>
      <c r="H2655" s="126"/>
      <c r="I2655" s="126"/>
      <c r="J2655" s="76"/>
      <c r="K2655" s="76"/>
      <c r="L2655" s="76"/>
      <c r="M2655" s="76"/>
      <c r="N2655" s="114"/>
    </row>
    <row r="2656">
      <c r="C2656" s="41"/>
      <c r="D2656" s="142"/>
      <c r="E2656" s="130"/>
      <c r="F2656" s="128"/>
      <c r="G2656" s="128"/>
      <c r="H2656" s="128"/>
      <c r="I2656" s="128"/>
      <c r="J2656" s="81"/>
      <c r="K2656" s="81"/>
      <c r="L2656" s="81"/>
      <c r="M2656" s="81"/>
      <c r="N2656" s="82"/>
    </row>
    <row r="2657">
      <c r="C2657" s="41"/>
      <c r="D2657" s="141"/>
      <c r="E2657" s="118"/>
      <c r="F2657" s="126"/>
      <c r="G2657" s="126"/>
      <c r="H2657" s="126"/>
      <c r="I2657" s="126"/>
      <c r="J2657" s="76"/>
      <c r="K2657" s="76"/>
      <c r="L2657" s="76"/>
      <c r="M2657" s="76"/>
      <c r="N2657" s="114"/>
    </row>
    <row r="2658">
      <c r="C2658" s="41"/>
      <c r="D2658" s="142"/>
      <c r="E2658" s="130"/>
      <c r="F2658" s="128"/>
      <c r="G2658" s="128"/>
      <c r="H2658" s="128"/>
      <c r="I2658" s="128"/>
      <c r="J2658" s="81"/>
      <c r="K2658" s="81"/>
      <c r="L2658" s="81"/>
      <c r="M2658" s="81"/>
      <c r="N2658" s="82"/>
    </row>
    <row r="2659">
      <c r="C2659" s="41"/>
      <c r="D2659" s="141"/>
      <c r="E2659" s="118"/>
      <c r="F2659" s="126"/>
      <c r="G2659" s="126"/>
      <c r="H2659" s="126"/>
      <c r="I2659" s="126"/>
      <c r="J2659" s="76"/>
      <c r="K2659" s="76"/>
      <c r="L2659" s="76"/>
      <c r="M2659" s="76"/>
      <c r="N2659" s="114"/>
    </row>
    <row r="2660">
      <c r="C2660" s="41"/>
      <c r="D2660" s="142"/>
      <c r="E2660" s="130"/>
      <c r="F2660" s="128"/>
      <c r="G2660" s="128"/>
      <c r="H2660" s="128"/>
      <c r="I2660" s="128"/>
      <c r="J2660" s="81"/>
      <c r="K2660" s="81"/>
      <c r="L2660" s="81"/>
      <c r="M2660" s="81"/>
      <c r="N2660" s="82"/>
    </row>
    <row r="2661">
      <c r="C2661" s="41"/>
      <c r="D2661" s="141"/>
      <c r="E2661" s="118"/>
      <c r="F2661" s="126"/>
      <c r="G2661" s="126"/>
      <c r="H2661" s="126"/>
      <c r="I2661" s="126"/>
      <c r="J2661" s="76"/>
      <c r="K2661" s="76"/>
      <c r="L2661" s="76"/>
      <c r="M2661" s="76"/>
      <c r="N2661" s="114"/>
    </row>
    <row r="2662">
      <c r="C2662" s="41"/>
      <c r="D2662" s="142"/>
      <c r="E2662" s="130"/>
      <c r="F2662" s="128"/>
      <c r="G2662" s="128"/>
      <c r="H2662" s="128"/>
      <c r="I2662" s="128"/>
      <c r="J2662" s="81"/>
      <c r="K2662" s="81"/>
      <c r="L2662" s="81"/>
      <c r="M2662" s="81"/>
      <c r="N2662" s="82"/>
    </row>
    <row r="2663">
      <c r="C2663" s="41"/>
      <c r="D2663" s="141"/>
      <c r="E2663" s="118"/>
      <c r="F2663" s="126"/>
      <c r="G2663" s="126"/>
      <c r="H2663" s="126"/>
      <c r="I2663" s="126"/>
      <c r="J2663" s="76"/>
      <c r="K2663" s="76"/>
      <c r="L2663" s="76"/>
      <c r="M2663" s="76"/>
      <c r="N2663" s="114"/>
    </row>
    <row r="2664">
      <c r="C2664" s="41"/>
      <c r="D2664" s="142"/>
      <c r="E2664" s="130"/>
      <c r="F2664" s="128"/>
      <c r="G2664" s="128"/>
      <c r="H2664" s="128"/>
      <c r="I2664" s="128"/>
      <c r="J2664" s="81"/>
      <c r="K2664" s="81"/>
      <c r="L2664" s="81"/>
      <c r="M2664" s="81"/>
      <c r="N2664" s="82"/>
    </row>
    <row r="2665">
      <c r="C2665" s="41"/>
      <c r="D2665" s="141"/>
      <c r="E2665" s="118"/>
      <c r="F2665" s="126"/>
      <c r="G2665" s="126"/>
      <c r="H2665" s="126"/>
      <c r="I2665" s="126"/>
      <c r="J2665" s="76"/>
      <c r="K2665" s="76"/>
      <c r="L2665" s="76"/>
      <c r="M2665" s="76"/>
      <c r="N2665" s="114"/>
    </row>
    <row r="2666">
      <c r="C2666" s="41"/>
      <c r="D2666" s="142"/>
      <c r="E2666" s="130"/>
      <c r="F2666" s="128"/>
      <c r="G2666" s="128"/>
      <c r="H2666" s="128"/>
      <c r="I2666" s="128"/>
      <c r="J2666" s="81"/>
      <c r="K2666" s="81"/>
      <c r="L2666" s="81"/>
      <c r="M2666" s="81"/>
      <c r="N2666" s="82"/>
    </row>
    <row r="2667">
      <c r="C2667" s="41"/>
      <c r="D2667" s="141"/>
      <c r="E2667" s="118"/>
      <c r="F2667" s="126"/>
      <c r="G2667" s="126"/>
      <c r="H2667" s="126"/>
      <c r="I2667" s="126"/>
      <c r="J2667" s="76"/>
      <c r="K2667" s="76"/>
      <c r="L2667" s="76"/>
      <c r="M2667" s="76"/>
      <c r="N2667" s="114"/>
    </row>
    <row r="2668">
      <c r="C2668" s="41"/>
      <c r="D2668" s="142"/>
      <c r="E2668" s="130"/>
      <c r="F2668" s="128"/>
      <c r="G2668" s="128"/>
      <c r="H2668" s="128"/>
      <c r="I2668" s="128"/>
      <c r="J2668" s="81"/>
      <c r="K2668" s="81"/>
      <c r="L2668" s="81"/>
      <c r="M2668" s="81"/>
      <c r="N2668" s="82"/>
    </row>
    <row r="2669">
      <c r="C2669" s="41"/>
      <c r="D2669" s="141"/>
      <c r="E2669" s="118"/>
      <c r="F2669" s="126"/>
      <c r="G2669" s="126"/>
      <c r="H2669" s="126"/>
      <c r="I2669" s="126"/>
      <c r="J2669" s="76"/>
      <c r="K2669" s="76"/>
      <c r="L2669" s="76"/>
      <c r="M2669" s="76"/>
      <c r="N2669" s="114"/>
    </row>
    <row r="2670">
      <c r="C2670" s="41"/>
      <c r="D2670" s="142"/>
      <c r="E2670" s="130"/>
      <c r="F2670" s="128"/>
      <c r="G2670" s="128"/>
      <c r="H2670" s="128"/>
      <c r="I2670" s="128"/>
      <c r="J2670" s="81"/>
      <c r="K2670" s="81"/>
      <c r="L2670" s="81"/>
      <c r="M2670" s="81"/>
      <c r="N2670" s="82"/>
    </row>
    <row r="2671">
      <c r="C2671" s="41"/>
      <c r="D2671" s="141"/>
      <c r="E2671" s="118"/>
      <c r="F2671" s="126"/>
      <c r="G2671" s="126"/>
      <c r="H2671" s="126"/>
      <c r="I2671" s="126"/>
      <c r="J2671" s="76"/>
      <c r="K2671" s="76"/>
      <c r="L2671" s="76"/>
      <c r="M2671" s="76"/>
      <c r="N2671" s="114"/>
    </row>
    <row r="2672">
      <c r="C2672" s="41"/>
      <c r="D2672" s="142"/>
      <c r="E2672" s="130"/>
      <c r="F2672" s="128"/>
      <c r="G2672" s="128"/>
      <c r="H2672" s="128"/>
      <c r="I2672" s="128"/>
      <c r="J2672" s="81"/>
      <c r="K2672" s="81"/>
      <c r="L2672" s="81"/>
      <c r="M2672" s="81"/>
      <c r="N2672" s="82"/>
    </row>
    <row r="2673">
      <c r="C2673" s="41"/>
      <c r="D2673" s="141"/>
      <c r="E2673" s="118"/>
      <c r="F2673" s="126"/>
      <c r="G2673" s="126"/>
      <c r="H2673" s="126"/>
      <c r="I2673" s="126"/>
      <c r="J2673" s="76"/>
      <c r="K2673" s="76"/>
      <c r="L2673" s="76"/>
      <c r="M2673" s="76"/>
      <c r="N2673" s="114"/>
    </row>
    <row r="2674">
      <c r="C2674" s="41"/>
      <c r="D2674" s="142"/>
      <c r="E2674" s="130"/>
      <c r="F2674" s="128"/>
      <c r="G2674" s="128"/>
      <c r="H2674" s="128"/>
      <c r="I2674" s="128"/>
      <c r="J2674" s="81"/>
      <c r="K2674" s="81"/>
      <c r="L2674" s="81"/>
      <c r="M2674" s="81"/>
      <c r="N2674" s="82"/>
    </row>
    <row r="2675">
      <c r="C2675" s="41"/>
      <c r="D2675" s="141"/>
      <c r="E2675" s="118"/>
      <c r="F2675" s="126"/>
      <c r="G2675" s="126"/>
      <c r="H2675" s="126"/>
      <c r="I2675" s="126"/>
      <c r="J2675" s="76"/>
      <c r="K2675" s="76"/>
      <c r="L2675" s="76"/>
      <c r="M2675" s="76"/>
      <c r="N2675" s="114"/>
    </row>
    <row r="2676">
      <c r="C2676" s="41"/>
      <c r="D2676" s="142"/>
      <c r="E2676" s="130"/>
      <c r="F2676" s="128"/>
      <c r="G2676" s="128"/>
      <c r="H2676" s="128"/>
      <c r="I2676" s="128"/>
      <c r="J2676" s="81"/>
      <c r="K2676" s="81"/>
      <c r="L2676" s="81"/>
      <c r="M2676" s="81"/>
      <c r="N2676" s="82"/>
    </row>
    <row r="2677">
      <c r="C2677" s="41"/>
      <c r="D2677" s="141"/>
      <c r="E2677" s="118"/>
      <c r="F2677" s="126"/>
      <c r="G2677" s="126"/>
      <c r="H2677" s="126"/>
      <c r="I2677" s="126"/>
      <c r="J2677" s="76"/>
      <c r="K2677" s="76"/>
      <c r="L2677" s="76"/>
      <c r="M2677" s="76"/>
      <c r="N2677" s="114"/>
    </row>
    <row r="2678">
      <c r="C2678" s="41"/>
      <c r="D2678" s="142"/>
      <c r="E2678" s="130"/>
      <c r="F2678" s="128"/>
      <c r="G2678" s="128"/>
      <c r="H2678" s="128"/>
      <c r="I2678" s="128"/>
      <c r="J2678" s="81"/>
      <c r="K2678" s="81"/>
      <c r="L2678" s="81"/>
      <c r="M2678" s="81"/>
      <c r="N2678" s="82"/>
    </row>
    <row r="2679">
      <c r="C2679" s="41"/>
      <c r="D2679" s="141"/>
      <c r="E2679" s="118"/>
      <c r="F2679" s="126"/>
      <c r="G2679" s="126"/>
      <c r="H2679" s="126"/>
      <c r="I2679" s="126"/>
      <c r="J2679" s="76"/>
      <c r="K2679" s="76"/>
      <c r="L2679" s="76"/>
      <c r="M2679" s="76"/>
      <c r="N2679" s="114"/>
    </row>
    <row r="2680">
      <c r="C2680" s="41"/>
      <c r="D2680" s="142"/>
      <c r="E2680" s="130"/>
      <c r="F2680" s="128"/>
      <c r="G2680" s="128"/>
      <c r="H2680" s="128"/>
      <c r="I2680" s="128"/>
      <c r="J2680" s="81"/>
      <c r="K2680" s="81"/>
      <c r="L2680" s="81"/>
      <c r="M2680" s="81"/>
      <c r="N2680" s="82"/>
    </row>
    <row r="2681">
      <c r="C2681" s="41"/>
      <c r="D2681" s="141"/>
      <c r="E2681" s="118"/>
      <c r="F2681" s="126"/>
      <c r="G2681" s="126"/>
      <c r="H2681" s="126"/>
      <c r="I2681" s="126"/>
      <c r="J2681" s="76"/>
      <c r="K2681" s="76"/>
      <c r="L2681" s="76"/>
      <c r="M2681" s="76"/>
      <c r="N2681" s="114"/>
    </row>
    <row r="2682">
      <c r="C2682" s="41"/>
      <c r="D2682" s="142"/>
      <c r="E2682" s="130"/>
      <c r="F2682" s="128"/>
      <c r="G2682" s="128"/>
      <c r="H2682" s="128"/>
      <c r="I2682" s="128"/>
      <c r="J2682" s="81"/>
      <c r="K2682" s="81"/>
      <c r="L2682" s="81"/>
      <c r="M2682" s="81"/>
      <c r="N2682" s="82"/>
    </row>
    <row r="2683">
      <c r="C2683" s="41"/>
      <c r="D2683" s="141"/>
      <c r="E2683" s="118"/>
      <c r="F2683" s="126"/>
      <c r="G2683" s="126"/>
      <c r="H2683" s="126"/>
      <c r="I2683" s="126"/>
      <c r="J2683" s="76"/>
      <c r="K2683" s="76"/>
      <c r="L2683" s="76"/>
      <c r="M2683" s="76"/>
      <c r="N2683" s="114"/>
    </row>
    <row r="2684">
      <c r="C2684" s="41"/>
      <c r="D2684" s="142"/>
      <c r="E2684" s="130"/>
      <c r="F2684" s="128"/>
      <c r="G2684" s="128"/>
      <c r="H2684" s="128"/>
      <c r="I2684" s="128"/>
      <c r="J2684" s="81"/>
      <c r="K2684" s="81"/>
      <c r="L2684" s="81"/>
      <c r="M2684" s="81"/>
      <c r="N2684" s="82"/>
    </row>
    <row r="2685">
      <c r="C2685" s="41"/>
      <c r="D2685" s="141"/>
      <c r="E2685" s="118"/>
      <c r="F2685" s="126"/>
      <c r="G2685" s="126"/>
      <c r="H2685" s="126"/>
      <c r="I2685" s="126"/>
      <c r="J2685" s="76"/>
      <c r="K2685" s="76"/>
      <c r="L2685" s="76"/>
      <c r="M2685" s="76"/>
      <c r="N2685" s="114"/>
    </row>
    <row r="2686">
      <c r="C2686" s="41"/>
      <c r="D2686" s="142"/>
      <c r="E2686" s="130"/>
      <c r="F2686" s="128"/>
      <c r="G2686" s="128"/>
      <c r="H2686" s="128"/>
      <c r="I2686" s="128"/>
      <c r="J2686" s="81"/>
      <c r="K2686" s="81"/>
      <c r="L2686" s="81"/>
      <c r="M2686" s="81"/>
      <c r="N2686" s="82"/>
    </row>
    <row r="2687">
      <c r="C2687" s="41"/>
      <c r="D2687" s="141"/>
      <c r="E2687" s="118"/>
      <c r="F2687" s="126"/>
      <c r="G2687" s="126"/>
      <c r="H2687" s="126"/>
      <c r="I2687" s="126"/>
      <c r="J2687" s="76"/>
      <c r="K2687" s="76"/>
      <c r="L2687" s="76"/>
      <c r="M2687" s="76"/>
      <c r="N2687" s="114"/>
    </row>
    <row r="2688">
      <c r="C2688" s="41"/>
      <c r="D2688" s="142"/>
      <c r="E2688" s="130"/>
      <c r="F2688" s="128"/>
      <c r="G2688" s="128"/>
      <c r="H2688" s="128"/>
      <c r="I2688" s="128"/>
      <c r="J2688" s="81"/>
      <c r="K2688" s="81"/>
      <c r="L2688" s="81"/>
      <c r="M2688" s="81"/>
      <c r="N2688" s="82"/>
    </row>
    <row r="2689">
      <c r="C2689" s="41"/>
      <c r="D2689" s="141"/>
      <c r="E2689" s="118"/>
      <c r="F2689" s="126"/>
      <c r="G2689" s="126"/>
      <c r="H2689" s="126"/>
      <c r="I2689" s="126"/>
      <c r="J2689" s="76"/>
      <c r="K2689" s="76"/>
      <c r="L2689" s="76"/>
      <c r="M2689" s="76"/>
      <c r="N2689" s="114"/>
    </row>
    <row r="2690">
      <c r="C2690" s="41"/>
      <c r="D2690" s="142"/>
      <c r="E2690" s="130"/>
      <c r="F2690" s="128"/>
      <c r="G2690" s="128"/>
      <c r="H2690" s="128"/>
      <c r="I2690" s="128"/>
      <c r="J2690" s="81"/>
      <c r="K2690" s="81"/>
      <c r="L2690" s="81"/>
      <c r="M2690" s="81"/>
      <c r="N2690" s="82"/>
    </row>
    <row r="2691">
      <c r="C2691" s="41"/>
      <c r="D2691" s="141"/>
      <c r="E2691" s="118"/>
      <c r="F2691" s="126"/>
      <c r="G2691" s="126"/>
      <c r="H2691" s="126"/>
      <c r="I2691" s="126"/>
      <c r="J2691" s="76"/>
      <c r="K2691" s="76"/>
      <c r="L2691" s="76"/>
      <c r="M2691" s="76"/>
      <c r="N2691" s="114"/>
    </row>
    <row r="2692">
      <c r="C2692" s="41"/>
      <c r="D2692" s="142"/>
      <c r="E2692" s="130"/>
      <c r="F2692" s="128"/>
      <c r="G2692" s="128"/>
      <c r="H2692" s="128"/>
      <c r="I2692" s="128"/>
      <c r="J2692" s="81"/>
      <c r="K2692" s="81"/>
      <c r="L2692" s="81"/>
      <c r="M2692" s="81"/>
      <c r="N2692" s="82"/>
    </row>
    <row r="2693">
      <c r="C2693" s="41"/>
      <c r="D2693" s="141"/>
      <c r="E2693" s="118"/>
      <c r="F2693" s="126"/>
      <c r="G2693" s="126"/>
      <c r="H2693" s="126"/>
      <c r="I2693" s="126"/>
      <c r="J2693" s="76"/>
      <c r="K2693" s="76"/>
      <c r="L2693" s="76"/>
      <c r="M2693" s="76"/>
      <c r="N2693" s="114"/>
    </row>
    <row r="2694">
      <c r="C2694" s="41"/>
      <c r="D2694" s="142"/>
      <c r="E2694" s="130"/>
      <c r="F2694" s="128"/>
      <c r="G2694" s="128"/>
      <c r="H2694" s="128"/>
      <c r="I2694" s="128"/>
      <c r="J2694" s="81"/>
      <c r="K2694" s="81"/>
      <c r="L2694" s="81"/>
      <c r="M2694" s="81"/>
      <c r="N2694" s="82"/>
    </row>
    <row r="2695">
      <c r="C2695" s="41"/>
      <c r="D2695" s="141"/>
      <c r="E2695" s="118"/>
      <c r="F2695" s="126"/>
      <c r="G2695" s="126"/>
      <c r="H2695" s="126"/>
      <c r="I2695" s="126"/>
      <c r="J2695" s="76"/>
      <c r="K2695" s="76"/>
      <c r="L2695" s="76"/>
      <c r="M2695" s="76"/>
      <c r="N2695" s="114"/>
    </row>
    <row r="2696">
      <c r="C2696" s="41"/>
      <c r="D2696" s="142"/>
      <c r="E2696" s="130"/>
      <c r="F2696" s="128"/>
      <c r="G2696" s="128"/>
      <c r="H2696" s="128"/>
      <c r="I2696" s="128"/>
      <c r="J2696" s="81"/>
      <c r="K2696" s="81"/>
      <c r="L2696" s="81"/>
      <c r="M2696" s="81"/>
      <c r="N2696" s="82"/>
    </row>
    <row r="2697">
      <c r="C2697" s="41"/>
      <c r="D2697" s="141"/>
      <c r="E2697" s="118"/>
      <c r="F2697" s="126"/>
      <c r="G2697" s="126"/>
      <c r="H2697" s="126"/>
      <c r="I2697" s="126"/>
      <c r="J2697" s="76"/>
      <c r="K2697" s="76"/>
      <c r="L2697" s="76"/>
      <c r="M2697" s="76"/>
      <c r="N2697" s="114"/>
    </row>
    <row r="2698">
      <c r="C2698" s="41"/>
      <c r="D2698" s="142"/>
      <c r="E2698" s="130"/>
      <c r="F2698" s="128"/>
      <c r="G2698" s="128"/>
      <c r="H2698" s="128"/>
      <c r="I2698" s="128"/>
      <c r="J2698" s="81"/>
      <c r="K2698" s="81"/>
      <c r="L2698" s="81"/>
      <c r="M2698" s="81"/>
      <c r="N2698" s="82"/>
    </row>
    <row r="2699">
      <c r="C2699" s="41"/>
      <c r="D2699" s="141"/>
      <c r="E2699" s="118"/>
      <c r="F2699" s="126"/>
      <c r="G2699" s="126"/>
      <c r="H2699" s="126"/>
      <c r="I2699" s="126"/>
      <c r="J2699" s="76"/>
      <c r="K2699" s="76"/>
      <c r="L2699" s="76"/>
      <c r="M2699" s="76"/>
      <c r="N2699" s="114"/>
    </row>
    <row r="2700">
      <c r="C2700" s="41"/>
      <c r="D2700" s="142"/>
      <c r="E2700" s="130"/>
      <c r="F2700" s="128"/>
      <c r="G2700" s="128"/>
      <c r="H2700" s="128"/>
      <c r="I2700" s="128"/>
      <c r="J2700" s="81"/>
      <c r="K2700" s="81"/>
      <c r="L2700" s="81"/>
      <c r="M2700" s="81"/>
      <c r="N2700" s="82"/>
    </row>
    <row r="2701">
      <c r="C2701" s="41"/>
      <c r="D2701" s="141"/>
      <c r="E2701" s="118"/>
      <c r="F2701" s="126"/>
      <c r="G2701" s="126"/>
      <c r="H2701" s="126"/>
      <c r="I2701" s="126"/>
      <c r="J2701" s="76"/>
      <c r="K2701" s="76"/>
      <c r="L2701" s="76"/>
      <c r="M2701" s="76"/>
      <c r="N2701" s="114"/>
    </row>
    <row r="2702">
      <c r="C2702" s="41"/>
      <c r="D2702" s="142"/>
      <c r="E2702" s="130"/>
      <c r="F2702" s="128"/>
      <c r="G2702" s="128"/>
      <c r="H2702" s="128"/>
      <c r="I2702" s="128"/>
      <c r="J2702" s="81"/>
      <c r="K2702" s="81"/>
      <c r="L2702" s="81"/>
      <c r="M2702" s="81"/>
      <c r="N2702" s="82"/>
    </row>
    <row r="2703">
      <c r="C2703" s="41"/>
      <c r="D2703" s="141"/>
      <c r="E2703" s="118"/>
      <c r="F2703" s="126"/>
      <c r="G2703" s="126"/>
      <c r="H2703" s="126"/>
      <c r="I2703" s="126"/>
      <c r="J2703" s="76"/>
      <c r="K2703" s="76"/>
      <c r="L2703" s="76"/>
      <c r="M2703" s="76"/>
      <c r="N2703" s="114"/>
    </row>
    <row r="2704">
      <c r="C2704" s="41"/>
      <c r="D2704" s="142"/>
      <c r="E2704" s="130"/>
      <c r="F2704" s="128"/>
      <c r="G2704" s="128"/>
      <c r="H2704" s="128"/>
      <c r="I2704" s="128"/>
      <c r="J2704" s="81"/>
      <c r="K2704" s="81"/>
      <c r="L2704" s="81"/>
      <c r="M2704" s="81"/>
      <c r="N2704" s="82"/>
    </row>
    <row r="2705">
      <c r="C2705" s="41"/>
      <c r="D2705" s="141"/>
      <c r="E2705" s="118"/>
      <c r="F2705" s="126"/>
      <c r="G2705" s="126"/>
      <c r="H2705" s="126"/>
      <c r="I2705" s="126"/>
      <c r="J2705" s="76"/>
      <c r="K2705" s="76"/>
      <c r="L2705" s="76"/>
      <c r="M2705" s="76"/>
      <c r="N2705" s="114"/>
    </row>
    <row r="2706">
      <c r="C2706" s="41"/>
      <c r="D2706" s="142"/>
      <c r="E2706" s="130"/>
      <c r="F2706" s="128"/>
      <c r="G2706" s="128"/>
      <c r="H2706" s="128"/>
      <c r="I2706" s="128"/>
      <c r="J2706" s="81"/>
      <c r="K2706" s="81"/>
      <c r="L2706" s="81"/>
      <c r="M2706" s="81"/>
      <c r="N2706" s="82"/>
    </row>
    <row r="2707">
      <c r="C2707" s="41"/>
      <c r="D2707" s="141"/>
      <c r="E2707" s="118"/>
      <c r="F2707" s="126"/>
      <c r="G2707" s="126"/>
      <c r="H2707" s="126"/>
      <c r="I2707" s="126"/>
      <c r="J2707" s="76"/>
      <c r="K2707" s="76"/>
      <c r="L2707" s="76"/>
      <c r="M2707" s="76"/>
      <c r="N2707" s="114"/>
    </row>
    <row r="2708">
      <c r="C2708" s="41"/>
      <c r="D2708" s="142"/>
      <c r="E2708" s="130"/>
      <c r="F2708" s="128"/>
      <c r="G2708" s="128"/>
      <c r="H2708" s="128"/>
      <c r="I2708" s="128"/>
      <c r="J2708" s="81"/>
      <c r="K2708" s="81"/>
      <c r="L2708" s="81"/>
      <c r="M2708" s="81"/>
      <c r="N2708" s="82"/>
    </row>
    <row r="2709">
      <c r="C2709" s="41"/>
      <c r="D2709" s="141"/>
      <c r="E2709" s="118"/>
      <c r="F2709" s="126"/>
      <c r="G2709" s="126"/>
      <c r="H2709" s="126"/>
      <c r="I2709" s="126"/>
      <c r="J2709" s="76"/>
      <c r="K2709" s="76"/>
      <c r="L2709" s="76"/>
      <c r="M2709" s="76"/>
      <c r="N2709" s="114"/>
    </row>
    <row r="2710">
      <c r="C2710" s="41"/>
      <c r="D2710" s="142"/>
      <c r="E2710" s="130"/>
      <c r="F2710" s="128"/>
      <c r="G2710" s="128"/>
      <c r="H2710" s="128"/>
      <c r="I2710" s="128"/>
      <c r="J2710" s="81"/>
      <c r="K2710" s="81"/>
      <c r="L2710" s="81"/>
      <c r="M2710" s="81"/>
      <c r="N2710" s="82"/>
    </row>
    <row r="2711">
      <c r="C2711" s="41"/>
      <c r="D2711" s="141"/>
      <c r="E2711" s="118"/>
      <c r="F2711" s="126"/>
      <c r="G2711" s="126"/>
      <c r="H2711" s="126"/>
      <c r="I2711" s="126"/>
      <c r="J2711" s="76"/>
      <c r="K2711" s="76"/>
      <c r="L2711" s="76"/>
      <c r="M2711" s="76"/>
      <c r="N2711" s="114"/>
    </row>
    <row r="2712">
      <c r="C2712" s="41"/>
      <c r="D2712" s="142"/>
      <c r="E2712" s="130"/>
      <c r="F2712" s="128"/>
      <c r="G2712" s="128"/>
      <c r="H2712" s="128"/>
      <c r="I2712" s="128"/>
      <c r="J2712" s="81"/>
      <c r="K2712" s="81"/>
      <c r="L2712" s="81"/>
      <c r="M2712" s="81"/>
      <c r="N2712" s="82"/>
    </row>
    <row r="2713">
      <c r="C2713" s="41"/>
      <c r="D2713" s="141"/>
      <c r="E2713" s="118"/>
      <c r="F2713" s="126"/>
      <c r="G2713" s="126"/>
      <c r="H2713" s="126"/>
      <c r="I2713" s="126"/>
      <c r="J2713" s="76"/>
      <c r="K2713" s="76"/>
      <c r="L2713" s="76"/>
      <c r="M2713" s="76"/>
      <c r="N2713" s="114"/>
    </row>
    <row r="2714">
      <c r="C2714" s="41"/>
      <c r="D2714" s="142"/>
      <c r="E2714" s="130"/>
      <c r="F2714" s="128"/>
      <c r="G2714" s="128"/>
      <c r="H2714" s="128"/>
      <c r="I2714" s="128"/>
      <c r="J2714" s="81"/>
      <c r="K2714" s="81"/>
      <c r="L2714" s="81"/>
      <c r="M2714" s="81"/>
      <c r="N2714" s="82"/>
    </row>
    <row r="2715">
      <c r="C2715" s="41"/>
      <c r="D2715" s="141"/>
      <c r="E2715" s="118"/>
      <c r="F2715" s="126"/>
      <c r="G2715" s="126"/>
      <c r="H2715" s="126"/>
      <c r="I2715" s="126"/>
      <c r="J2715" s="76"/>
      <c r="K2715" s="76"/>
      <c r="L2715" s="76"/>
      <c r="M2715" s="76"/>
      <c r="N2715" s="114"/>
    </row>
    <row r="2716">
      <c r="C2716" s="41"/>
      <c r="D2716" s="142"/>
      <c r="E2716" s="130"/>
      <c r="F2716" s="128"/>
      <c r="G2716" s="128"/>
      <c r="H2716" s="128"/>
      <c r="I2716" s="128"/>
      <c r="J2716" s="81"/>
      <c r="K2716" s="81"/>
      <c r="L2716" s="81"/>
      <c r="M2716" s="81"/>
      <c r="N2716" s="82"/>
    </row>
    <row r="2717">
      <c r="C2717" s="41"/>
      <c r="D2717" s="141"/>
      <c r="E2717" s="118"/>
      <c r="F2717" s="126"/>
      <c r="G2717" s="126"/>
      <c r="H2717" s="126"/>
      <c r="I2717" s="126"/>
      <c r="J2717" s="76"/>
      <c r="K2717" s="76"/>
      <c r="L2717" s="76"/>
      <c r="M2717" s="76"/>
      <c r="N2717" s="114"/>
    </row>
    <row r="2718">
      <c r="C2718" s="41"/>
      <c r="D2718" s="142"/>
      <c r="E2718" s="130"/>
      <c r="F2718" s="128"/>
      <c r="G2718" s="128"/>
      <c r="H2718" s="128"/>
      <c r="I2718" s="128"/>
      <c r="J2718" s="81"/>
      <c r="K2718" s="81"/>
      <c r="L2718" s="81"/>
      <c r="M2718" s="81"/>
      <c r="N2718" s="82"/>
    </row>
    <row r="2719">
      <c r="C2719" s="41"/>
      <c r="D2719" s="141"/>
      <c r="E2719" s="118"/>
      <c r="F2719" s="126"/>
      <c r="G2719" s="126"/>
      <c r="H2719" s="126"/>
      <c r="I2719" s="126"/>
      <c r="J2719" s="76"/>
      <c r="K2719" s="76"/>
      <c r="L2719" s="76"/>
      <c r="M2719" s="76"/>
      <c r="N2719" s="114"/>
    </row>
    <row r="2720">
      <c r="C2720" s="41"/>
      <c r="D2720" s="142"/>
      <c r="E2720" s="130"/>
      <c r="F2720" s="128"/>
      <c r="G2720" s="128"/>
      <c r="H2720" s="128"/>
      <c r="I2720" s="128"/>
      <c r="J2720" s="81"/>
      <c r="K2720" s="81"/>
      <c r="L2720" s="81"/>
      <c r="M2720" s="81"/>
      <c r="N2720" s="82"/>
    </row>
    <row r="2721">
      <c r="C2721" s="41"/>
      <c r="D2721" s="141"/>
      <c r="E2721" s="118"/>
      <c r="F2721" s="126"/>
      <c r="G2721" s="126"/>
      <c r="H2721" s="126"/>
      <c r="I2721" s="126"/>
      <c r="J2721" s="76"/>
      <c r="K2721" s="76"/>
      <c r="L2721" s="76"/>
      <c r="M2721" s="76"/>
      <c r="N2721" s="114"/>
    </row>
    <row r="2722">
      <c r="C2722" s="41"/>
      <c r="D2722" s="142"/>
      <c r="E2722" s="130"/>
      <c r="F2722" s="128"/>
      <c r="G2722" s="128"/>
      <c r="H2722" s="128"/>
      <c r="I2722" s="128"/>
      <c r="J2722" s="81"/>
      <c r="K2722" s="81"/>
      <c r="L2722" s="81"/>
      <c r="M2722" s="81"/>
      <c r="N2722" s="82"/>
    </row>
    <row r="2723">
      <c r="C2723" s="41"/>
      <c r="D2723" s="141"/>
      <c r="E2723" s="118"/>
      <c r="F2723" s="126"/>
      <c r="G2723" s="126"/>
      <c r="H2723" s="126"/>
      <c r="I2723" s="126"/>
      <c r="J2723" s="76"/>
      <c r="K2723" s="76"/>
      <c r="L2723" s="76"/>
      <c r="M2723" s="76"/>
      <c r="N2723" s="114"/>
    </row>
    <row r="2724">
      <c r="C2724" s="41"/>
      <c r="D2724" s="142"/>
      <c r="E2724" s="130"/>
      <c r="F2724" s="128"/>
      <c r="G2724" s="128"/>
      <c r="H2724" s="128"/>
      <c r="I2724" s="128"/>
      <c r="J2724" s="81"/>
      <c r="K2724" s="81"/>
      <c r="L2724" s="81"/>
      <c r="M2724" s="81"/>
      <c r="N2724" s="82"/>
    </row>
    <row r="2725">
      <c r="C2725" s="41"/>
      <c r="D2725" s="141"/>
      <c r="E2725" s="118"/>
      <c r="F2725" s="126"/>
      <c r="G2725" s="126"/>
      <c r="H2725" s="126"/>
      <c r="I2725" s="126"/>
      <c r="J2725" s="76"/>
      <c r="K2725" s="76"/>
      <c r="L2725" s="76"/>
      <c r="M2725" s="76"/>
      <c r="N2725" s="114"/>
    </row>
    <row r="2726">
      <c r="C2726" s="41"/>
      <c r="D2726" s="142"/>
      <c r="E2726" s="130"/>
      <c r="F2726" s="128"/>
      <c r="G2726" s="128"/>
      <c r="H2726" s="128"/>
      <c r="I2726" s="128"/>
      <c r="J2726" s="81"/>
      <c r="K2726" s="81"/>
      <c r="L2726" s="81"/>
      <c r="M2726" s="81"/>
      <c r="N2726" s="82"/>
    </row>
    <row r="2727">
      <c r="C2727" s="41"/>
      <c r="D2727" s="141"/>
      <c r="E2727" s="118"/>
      <c r="F2727" s="126"/>
      <c r="G2727" s="126"/>
      <c r="H2727" s="126"/>
      <c r="I2727" s="126"/>
      <c r="J2727" s="76"/>
      <c r="K2727" s="76"/>
      <c r="L2727" s="76"/>
      <c r="M2727" s="76"/>
      <c r="N2727" s="114"/>
    </row>
    <row r="2728">
      <c r="C2728" s="41"/>
      <c r="D2728" s="142"/>
      <c r="E2728" s="130"/>
      <c r="F2728" s="128"/>
      <c r="G2728" s="128"/>
      <c r="H2728" s="128"/>
      <c r="I2728" s="128"/>
      <c r="J2728" s="81"/>
      <c r="K2728" s="81"/>
      <c r="L2728" s="81"/>
      <c r="M2728" s="81"/>
      <c r="N2728" s="82"/>
    </row>
    <row r="2729">
      <c r="C2729" s="41"/>
      <c r="D2729" s="141"/>
      <c r="E2729" s="118"/>
      <c r="F2729" s="126"/>
      <c r="G2729" s="126"/>
      <c r="H2729" s="126"/>
      <c r="I2729" s="126"/>
      <c r="J2729" s="76"/>
      <c r="K2729" s="76"/>
      <c r="L2729" s="76"/>
      <c r="M2729" s="76"/>
      <c r="N2729" s="114"/>
    </row>
    <row r="2730">
      <c r="C2730" s="41"/>
      <c r="D2730" s="142"/>
      <c r="E2730" s="130"/>
      <c r="F2730" s="128"/>
      <c r="G2730" s="128"/>
      <c r="H2730" s="128"/>
      <c r="I2730" s="128"/>
      <c r="J2730" s="81"/>
      <c r="K2730" s="81"/>
      <c r="L2730" s="81"/>
      <c r="M2730" s="81"/>
      <c r="N2730" s="82"/>
    </row>
    <row r="2731">
      <c r="C2731" s="41"/>
      <c r="D2731" s="141"/>
      <c r="E2731" s="118"/>
      <c r="F2731" s="126"/>
      <c r="G2731" s="126"/>
      <c r="H2731" s="126"/>
      <c r="I2731" s="126"/>
      <c r="J2731" s="76"/>
      <c r="K2731" s="76"/>
      <c r="L2731" s="76"/>
      <c r="M2731" s="76"/>
      <c r="N2731" s="114"/>
    </row>
    <row r="2732">
      <c r="C2732" s="41"/>
      <c r="D2732" s="142"/>
      <c r="E2732" s="130"/>
      <c r="F2732" s="128"/>
      <c r="G2732" s="128"/>
      <c r="H2732" s="128"/>
      <c r="I2732" s="128"/>
      <c r="J2732" s="81"/>
      <c r="K2732" s="81"/>
      <c r="L2732" s="81"/>
      <c r="M2732" s="81"/>
      <c r="N2732" s="82"/>
    </row>
    <row r="2733">
      <c r="C2733" s="41"/>
      <c r="D2733" s="141"/>
      <c r="E2733" s="118"/>
      <c r="F2733" s="126"/>
      <c r="G2733" s="126"/>
      <c r="H2733" s="126"/>
      <c r="I2733" s="126"/>
      <c r="J2733" s="76"/>
      <c r="K2733" s="76"/>
      <c r="L2733" s="76"/>
      <c r="M2733" s="76"/>
      <c r="N2733" s="114"/>
    </row>
    <row r="2734">
      <c r="C2734" s="41"/>
      <c r="D2734" s="142"/>
      <c r="E2734" s="130"/>
      <c r="F2734" s="128"/>
      <c r="G2734" s="128"/>
      <c r="H2734" s="128"/>
      <c r="I2734" s="128"/>
      <c r="J2734" s="81"/>
      <c r="K2734" s="81"/>
      <c r="L2734" s="81"/>
      <c r="M2734" s="81"/>
      <c r="N2734" s="82"/>
    </row>
    <row r="2735">
      <c r="C2735" s="41"/>
      <c r="D2735" s="141"/>
      <c r="E2735" s="118"/>
      <c r="F2735" s="126"/>
      <c r="G2735" s="126"/>
      <c r="H2735" s="126"/>
      <c r="I2735" s="126"/>
      <c r="J2735" s="76"/>
      <c r="K2735" s="76"/>
      <c r="L2735" s="76"/>
      <c r="M2735" s="76"/>
      <c r="N2735" s="114"/>
    </row>
    <row r="2736">
      <c r="C2736" s="41"/>
      <c r="D2736" s="142"/>
      <c r="E2736" s="130"/>
      <c r="F2736" s="128"/>
      <c r="G2736" s="128"/>
      <c r="H2736" s="128"/>
      <c r="I2736" s="128"/>
      <c r="J2736" s="81"/>
      <c r="K2736" s="81"/>
      <c r="L2736" s="81"/>
      <c r="M2736" s="81"/>
      <c r="N2736" s="82"/>
    </row>
    <row r="2737">
      <c r="C2737" s="41"/>
      <c r="D2737" s="141"/>
      <c r="E2737" s="118"/>
      <c r="F2737" s="126"/>
      <c r="G2737" s="126"/>
      <c r="H2737" s="126"/>
      <c r="I2737" s="126"/>
      <c r="J2737" s="76"/>
      <c r="K2737" s="76"/>
      <c r="L2737" s="76"/>
      <c r="M2737" s="76"/>
      <c r="N2737" s="114"/>
    </row>
    <row r="2738">
      <c r="C2738" s="41"/>
      <c r="D2738" s="142"/>
      <c r="E2738" s="130"/>
      <c r="F2738" s="128"/>
      <c r="G2738" s="128"/>
      <c r="H2738" s="128"/>
      <c r="I2738" s="128"/>
      <c r="J2738" s="81"/>
      <c r="K2738" s="81"/>
      <c r="L2738" s="81"/>
      <c r="M2738" s="81"/>
      <c r="N2738" s="82"/>
    </row>
    <row r="2739">
      <c r="C2739" s="41"/>
      <c r="D2739" s="141"/>
      <c r="E2739" s="118"/>
      <c r="F2739" s="126"/>
      <c r="G2739" s="126"/>
      <c r="H2739" s="126"/>
      <c r="I2739" s="126"/>
      <c r="J2739" s="76"/>
      <c r="K2739" s="76"/>
      <c r="L2739" s="76"/>
      <c r="M2739" s="76"/>
      <c r="N2739" s="114"/>
    </row>
    <row r="2740">
      <c r="C2740" s="41"/>
      <c r="D2740" s="142"/>
      <c r="E2740" s="130"/>
      <c r="F2740" s="128"/>
      <c r="G2740" s="128"/>
      <c r="H2740" s="128"/>
      <c r="I2740" s="128"/>
      <c r="J2740" s="81"/>
      <c r="K2740" s="81"/>
      <c r="L2740" s="81"/>
      <c r="M2740" s="81"/>
      <c r="N2740" s="82"/>
    </row>
    <row r="2741">
      <c r="C2741" s="41"/>
      <c r="D2741" s="141"/>
      <c r="E2741" s="118"/>
      <c r="F2741" s="126"/>
      <c r="G2741" s="126"/>
      <c r="H2741" s="126"/>
      <c r="I2741" s="126"/>
      <c r="J2741" s="76"/>
      <c r="K2741" s="76"/>
      <c r="L2741" s="76"/>
      <c r="M2741" s="76"/>
      <c r="N2741" s="114"/>
    </row>
    <row r="2742">
      <c r="C2742" s="41"/>
      <c r="D2742" s="142"/>
      <c r="E2742" s="130"/>
      <c r="F2742" s="128"/>
      <c r="G2742" s="128"/>
      <c r="H2742" s="128"/>
      <c r="I2742" s="128"/>
      <c r="J2742" s="81"/>
      <c r="K2742" s="81"/>
      <c r="L2742" s="81"/>
      <c r="M2742" s="81"/>
      <c r="N2742" s="82"/>
    </row>
    <row r="2743">
      <c r="C2743" s="41"/>
      <c r="D2743" s="141"/>
      <c r="E2743" s="118"/>
      <c r="F2743" s="126"/>
      <c r="G2743" s="126"/>
      <c r="H2743" s="126"/>
      <c r="I2743" s="126"/>
      <c r="J2743" s="76"/>
      <c r="K2743" s="76"/>
      <c r="L2743" s="76"/>
      <c r="M2743" s="76"/>
      <c r="N2743" s="114"/>
    </row>
    <row r="2744">
      <c r="C2744" s="41"/>
      <c r="D2744" s="142"/>
      <c r="E2744" s="130"/>
      <c r="F2744" s="128"/>
      <c r="G2744" s="128"/>
      <c r="H2744" s="128"/>
      <c r="I2744" s="128"/>
      <c r="J2744" s="81"/>
      <c r="K2744" s="81"/>
      <c r="L2744" s="81"/>
      <c r="M2744" s="81"/>
      <c r="N2744" s="82"/>
    </row>
    <row r="2745">
      <c r="C2745" s="41"/>
      <c r="D2745" s="141"/>
      <c r="E2745" s="118"/>
      <c r="F2745" s="126"/>
      <c r="G2745" s="126"/>
      <c r="H2745" s="126"/>
      <c r="I2745" s="126"/>
      <c r="J2745" s="76"/>
      <c r="K2745" s="76"/>
      <c r="L2745" s="76"/>
      <c r="M2745" s="76"/>
      <c r="N2745" s="114"/>
    </row>
    <row r="2746">
      <c r="C2746" s="41"/>
      <c r="D2746" s="142"/>
      <c r="E2746" s="130"/>
      <c r="F2746" s="128"/>
      <c r="G2746" s="128"/>
      <c r="H2746" s="128"/>
      <c r="I2746" s="128"/>
      <c r="J2746" s="81"/>
      <c r="K2746" s="81"/>
      <c r="L2746" s="81"/>
      <c r="M2746" s="81"/>
      <c r="N2746" s="82"/>
    </row>
    <row r="2747">
      <c r="C2747" s="41"/>
      <c r="D2747" s="141"/>
      <c r="E2747" s="118"/>
      <c r="F2747" s="126"/>
      <c r="G2747" s="126"/>
      <c r="H2747" s="126"/>
      <c r="I2747" s="126"/>
      <c r="J2747" s="76"/>
      <c r="K2747" s="76"/>
      <c r="L2747" s="76"/>
      <c r="M2747" s="76"/>
      <c r="N2747" s="114"/>
    </row>
    <row r="2748">
      <c r="C2748" s="41"/>
      <c r="D2748" s="142"/>
      <c r="E2748" s="130"/>
      <c r="F2748" s="128"/>
      <c r="G2748" s="128"/>
      <c r="H2748" s="128"/>
      <c r="I2748" s="128"/>
      <c r="J2748" s="81"/>
      <c r="K2748" s="81"/>
      <c r="L2748" s="81"/>
      <c r="M2748" s="81"/>
      <c r="N2748" s="82"/>
    </row>
    <row r="2749">
      <c r="C2749" s="41"/>
      <c r="D2749" s="141"/>
      <c r="E2749" s="118"/>
      <c r="F2749" s="126"/>
      <c r="G2749" s="126"/>
      <c r="H2749" s="126"/>
      <c r="I2749" s="126"/>
      <c r="J2749" s="76"/>
      <c r="K2749" s="76"/>
      <c r="L2749" s="76"/>
      <c r="M2749" s="76"/>
      <c r="N2749" s="114"/>
    </row>
    <row r="2750">
      <c r="C2750" s="41"/>
      <c r="D2750" s="142"/>
      <c r="E2750" s="130"/>
      <c r="F2750" s="128"/>
      <c r="G2750" s="128"/>
      <c r="H2750" s="128"/>
      <c r="I2750" s="128"/>
      <c r="J2750" s="81"/>
      <c r="K2750" s="81"/>
      <c r="L2750" s="81"/>
      <c r="M2750" s="81"/>
      <c r="N2750" s="82"/>
    </row>
    <row r="2751">
      <c r="C2751" s="41"/>
      <c r="D2751" s="141"/>
      <c r="E2751" s="118"/>
      <c r="F2751" s="126"/>
      <c r="G2751" s="126"/>
      <c r="H2751" s="126"/>
      <c r="I2751" s="126"/>
      <c r="J2751" s="76"/>
      <c r="K2751" s="76"/>
      <c r="L2751" s="76"/>
      <c r="M2751" s="76"/>
      <c r="N2751" s="114"/>
    </row>
    <row r="2752">
      <c r="C2752" s="41"/>
      <c r="D2752" s="142"/>
      <c r="E2752" s="130"/>
      <c r="F2752" s="128"/>
      <c r="G2752" s="128"/>
      <c r="H2752" s="128"/>
      <c r="I2752" s="128"/>
      <c r="J2752" s="81"/>
      <c r="K2752" s="81"/>
      <c r="L2752" s="81"/>
      <c r="M2752" s="81"/>
      <c r="N2752" s="82"/>
    </row>
    <row r="2753">
      <c r="C2753" s="41"/>
      <c r="D2753" s="141"/>
      <c r="E2753" s="118"/>
      <c r="F2753" s="126"/>
      <c r="G2753" s="126"/>
      <c r="H2753" s="126"/>
      <c r="I2753" s="126"/>
      <c r="J2753" s="76"/>
      <c r="K2753" s="76"/>
      <c r="L2753" s="76"/>
      <c r="M2753" s="76"/>
      <c r="N2753" s="114"/>
    </row>
    <row r="2754">
      <c r="C2754" s="41"/>
      <c r="D2754" s="142"/>
      <c r="E2754" s="130"/>
      <c r="F2754" s="128"/>
      <c r="G2754" s="128"/>
      <c r="H2754" s="128"/>
      <c r="I2754" s="128"/>
      <c r="J2754" s="81"/>
      <c r="K2754" s="81"/>
      <c r="L2754" s="81"/>
      <c r="M2754" s="81"/>
      <c r="N2754" s="82"/>
    </row>
    <row r="2755">
      <c r="C2755" s="41"/>
      <c r="D2755" s="141"/>
      <c r="E2755" s="118"/>
      <c r="F2755" s="126"/>
      <c r="G2755" s="126"/>
      <c r="H2755" s="126"/>
      <c r="I2755" s="126"/>
      <c r="J2755" s="76"/>
      <c r="K2755" s="76"/>
      <c r="L2755" s="76"/>
      <c r="M2755" s="76"/>
      <c r="N2755" s="114"/>
    </row>
    <row r="2756">
      <c r="C2756" s="41"/>
      <c r="D2756" s="142"/>
      <c r="E2756" s="130"/>
      <c r="F2756" s="128"/>
      <c r="G2756" s="128"/>
      <c r="H2756" s="128"/>
      <c r="I2756" s="128"/>
      <c r="J2756" s="81"/>
      <c r="K2756" s="81"/>
      <c r="L2756" s="81"/>
      <c r="M2756" s="81"/>
      <c r="N2756" s="82"/>
    </row>
    <row r="2757">
      <c r="C2757" s="41"/>
      <c r="D2757" s="141"/>
      <c r="E2757" s="118"/>
      <c r="F2757" s="126"/>
      <c r="G2757" s="126"/>
      <c r="H2757" s="126"/>
      <c r="I2757" s="126"/>
      <c r="J2757" s="76"/>
      <c r="K2757" s="76"/>
      <c r="L2757" s="76"/>
      <c r="M2757" s="76"/>
      <c r="N2757" s="114"/>
    </row>
    <row r="2758">
      <c r="C2758" s="41"/>
      <c r="D2758" s="142"/>
      <c r="E2758" s="130"/>
      <c r="F2758" s="128"/>
      <c r="G2758" s="128"/>
      <c r="H2758" s="128"/>
      <c r="I2758" s="128"/>
      <c r="J2758" s="81"/>
      <c r="K2758" s="81"/>
      <c r="L2758" s="81"/>
      <c r="M2758" s="81"/>
      <c r="N2758" s="82"/>
    </row>
    <row r="2759">
      <c r="C2759" s="41"/>
      <c r="D2759" s="141"/>
      <c r="E2759" s="118"/>
      <c r="F2759" s="126"/>
      <c r="G2759" s="126"/>
      <c r="H2759" s="126"/>
      <c r="I2759" s="126"/>
      <c r="J2759" s="76"/>
      <c r="K2759" s="76"/>
      <c r="L2759" s="76"/>
      <c r="M2759" s="76"/>
      <c r="N2759" s="114"/>
    </row>
    <row r="2760">
      <c r="C2760" s="41"/>
      <c r="D2760" s="142"/>
      <c r="E2760" s="130"/>
      <c r="F2760" s="128"/>
      <c r="G2760" s="128"/>
      <c r="H2760" s="128"/>
      <c r="I2760" s="128"/>
      <c r="J2760" s="81"/>
      <c r="K2760" s="81"/>
      <c r="L2760" s="81"/>
      <c r="M2760" s="81"/>
      <c r="N2760" s="82"/>
    </row>
    <row r="2761">
      <c r="C2761" s="41"/>
      <c r="D2761" s="141"/>
      <c r="E2761" s="118"/>
      <c r="F2761" s="126"/>
      <c r="G2761" s="126"/>
      <c r="H2761" s="126"/>
      <c r="I2761" s="126"/>
      <c r="J2761" s="76"/>
      <c r="K2761" s="76"/>
      <c r="L2761" s="76"/>
      <c r="M2761" s="76"/>
      <c r="N2761" s="114"/>
    </row>
    <row r="2762">
      <c r="C2762" s="41"/>
      <c r="D2762" s="142"/>
      <c r="E2762" s="130"/>
      <c r="F2762" s="128"/>
      <c r="G2762" s="128"/>
      <c r="H2762" s="128"/>
      <c r="I2762" s="128"/>
      <c r="J2762" s="81"/>
      <c r="K2762" s="81"/>
      <c r="L2762" s="81"/>
      <c r="M2762" s="81"/>
      <c r="N2762" s="82"/>
    </row>
    <row r="2763">
      <c r="C2763" s="41"/>
      <c r="D2763" s="141"/>
      <c r="E2763" s="118"/>
      <c r="F2763" s="126"/>
      <c r="G2763" s="126"/>
      <c r="H2763" s="126"/>
      <c r="I2763" s="126"/>
      <c r="J2763" s="76"/>
      <c r="K2763" s="76"/>
      <c r="L2763" s="76"/>
      <c r="M2763" s="76"/>
      <c r="N2763" s="114"/>
    </row>
    <row r="2764">
      <c r="C2764" s="41"/>
      <c r="D2764" s="142"/>
      <c r="E2764" s="130"/>
      <c r="F2764" s="128"/>
      <c r="G2764" s="128"/>
      <c r="H2764" s="128"/>
      <c r="I2764" s="128"/>
      <c r="J2764" s="81"/>
      <c r="K2764" s="81"/>
      <c r="L2764" s="81"/>
      <c r="M2764" s="81"/>
      <c r="N2764" s="82"/>
    </row>
    <row r="2765">
      <c r="C2765" s="41"/>
      <c r="D2765" s="141"/>
      <c r="E2765" s="118"/>
      <c r="F2765" s="126"/>
      <c r="G2765" s="126"/>
      <c r="H2765" s="126"/>
      <c r="I2765" s="126"/>
      <c r="J2765" s="76"/>
      <c r="K2765" s="76"/>
      <c r="L2765" s="76"/>
      <c r="M2765" s="76"/>
      <c r="N2765" s="114"/>
    </row>
    <row r="2766">
      <c r="C2766" s="41"/>
      <c r="D2766" s="142"/>
      <c r="E2766" s="130"/>
      <c r="F2766" s="128"/>
      <c r="G2766" s="128"/>
      <c r="H2766" s="128"/>
      <c r="I2766" s="128"/>
      <c r="J2766" s="81"/>
      <c r="K2766" s="81"/>
      <c r="L2766" s="81"/>
      <c r="M2766" s="81"/>
      <c r="N2766" s="82"/>
    </row>
    <row r="2767">
      <c r="C2767" s="41"/>
      <c r="D2767" s="141"/>
      <c r="E2767" s="118"/>
      <c r="F2767" s="126"/>
      <c r="G2767" s="126"/>
      <c r="H2767" s="126"/>
      <c r="I2767" s="126"/>
      <c r="J2767" s="76"/>
      <c r="K2767" s="76"/>
      <c r="L2767" s="76"/>
      <c r="M2767" s="76"/>
      <c r="N2767" s="114"/>
    </row>
    <row r="2768">
      <c r="C2768" s="41"/>
      <c r="D2768" s="142"/>
      <c r="E2768" s="130"/>
      <c r="F2768" s="128"/>
      <c r="G2768" s="128"/>
      <c r="H2768" s="128"/>
      <c r="I2768" s="128"/>
      <c r="J2768" s="81"/>
      <c r="K2768" s="81"/>
      <c r="L2768" s="81"/>
      <c r="M2768" s="81"/>
      <c r="N2768" s="82"/>
    </row>
    <row r="2769">
      <c r="C2769" s="41"/>
      <c r="D2769" s="141"/>
      <c r="E2769" s="118"/>
      <c r="F2769" s="126"/>
      <c r="G2769" s="126"/>
      <c r="H2769" s="126"/>
      <c r="I2769" s="126"/>
      <c r="J2769" s="76"/>
      <c r="K2769" s="76"/>
      <c r="L2769" s="76"/>
      <c r="M2769" s="76"/>
      <c r="N2769" s="114"/>
    </row>
    <row r="2770">
      <c r="C2770" s="41"/>
      <c r="D2770" s="142"/>
      <c r="E2770" s="130"/>
      <c r="F2770" s="128"/>
      <c r="G2770" s="128"/>
      <c r="H2770" s="128"/>
      <c r="I2770" s="128"/>
      <c r="J2770" s="81"/>
      <c r="K2770" s="81"/>
      <c r="L2770" s="81"/>
      <c r="M2770" s="81"/>
      <c r="N2770" s="82"/>
    </row>
    <row r="2771">
      <c r="C2771" s="41"/>
      <c r="D2771" s="141"/>
      <c r="E2771" s="118"/>
      <c r="F2771" s="126"/>
      <c r="G2771" s="126"/>
      <c r="H2771" s="126"/>
      <c r="I2771" s="126"/>
      <c r="J2771" s="76"/>
      <c r="K2771" s="76"/>
      <c r="L2771" s="76"/>
      <c r="M2771" s="76"/>
      <c r="N2771" s="114"/>
    </row>
    <row r="2772">
      <c r="C2772" s="41"/>
      <c r="D2772" s="142"/>
      <c r="E2772" s="130"/>
      <c r="F2772" s="128"/>
      <c r="G2772" s="128"/>
      <c r="H2772" s="128"/>
      <c r="I2772" s="128"/>
      <c r="J2772" s="81"/>
      <c r="K2772" s="81"/>
      <c r="L2772" s="81"/>
      <c r="M2772" s="81"/>
      <c r="N2772" s="82"/>
    </row>
    <row r="2773">
      <c r="C2773" s="41"/>
      <c r="D2773" s="141"/>
      <c r="E2773" s="118"/>
      <c r="F2773" s="126"/>
      <c r="G2773" s="126"/>
      <c r="H2773" s="126"/>
      <c r="I2773" s="126"/>
      <c r="J2773" s="76"/>
      <c r="K2773" s="76"/>
      <c r="L2773" s="76"/>
      <c r="M2773" s="76"/>
      <c r="N2773" s="114"/>
    </row>
    <row r="2774">
      <c r="C2774" s="41"/>
      <c r="D2774" s="142"/>
      <c r="E2774" s="130"/>
      <c r="F2774" s="128"/>
      <c r="G2774" s="128"/>
      <c r="H2774" s="128"/>
      <c r="I2774" s="128"/>
      <c r="J2774" s="81"/>
      <c r="K2774" s="81"/>
      <c r="L2774" s="81"/>
      <c r="M2774" s="81"/>
      <c r="N2774" s="82"/>
    </row>
    <row r="2775">
      <c r="C2775" s="41"/>
      <c r="D2775" s="141"/>
      <c r="E2775" s="118"/>
      <c r="F2775" s="126"/>
      <c r="G2775" s="126"/>
      <c r="H2775" s="126"/>
      <c r="I2775" s="126"/>
      <c r="J2775" s="76"/>
      <c r="K2775" s="76"/>
      <c r="L2775" s="76"/>
      <c r="M2775" s="76"/>
      <c r="N2775" s="114"/>
    </row>
    <row r="2776">
      <c r="C2776" s="41"/>
      <c r="D2776" s="142"/>
      <c r="E2776" s="130"/>
      <c r="F2776" s="128"/>
      <c r="G2776" s="128"/>
      <c r="H2776" s="128"/>
      <c r="I2776" s="128"/>
      <c r="J2776" s="81"/>
      <c r="K2776" s="81"/>
      <c r="L2776" s="81"/>
      <c r="M2776" s="81"/>
      <c r="N2776" s="82"/>
    </row>
    <row r="2777">
      <c r="C2777" s="41"/>
      <c r="D2777" s="141"/>
      <c r="E2777" s="118"/>
      <c r="F2777" s="126"/>
      <c r="G2777" s="126"/>
      <c r="H2777" s="126"/>
      <c r="I2777" s="126"/>
      <c r="J2777" s="76"/>
      <c r="K2777" s="76"/>
      <c r="L2777" s="76"/>
      <c r="M2777" s="76"/>
      <c r="N2777" s="114"/>
    </row>
    <row r="2778">
      <c r="C2778" s="41"/>
      <c r="D2778" s="142"/>
      <c r="E2778" s="130"/>
      <c r="F2778" s="128"/>
      <c r="G2778" s="128"/>
      <c r="H2778" s="128"/>
      <c r="I2778" s="128"/>
      <c r="J2778" s="81"/>
      <c r="K2778" s="81"/>
      <c r="L2778" s="81"/>
      <c r="M2778" s="81"/>
      <c r="N2778" s="82"/>
    </row>
    <row r="2779">
      <c r="C2779" s="41"/>
      <c r="D2779" s="141"/>
      <c r="E2779" s="118"/>
      <c r="F2779" s="126"/>
      <c r="G2779" s="126"/>
      <c r="H2779" s="126"/>
      <c r="I2779" s="126"/>
      <c r="J2779" s="76"/>
      <c r="K2779" s="76"/>
      <c r="L2779" s="76"/>
      <c r="M2779" s="76"/>
      <c r="N2779" s="114"/>
    </row>
    <row r="2780">
      <c r="C2780" s="41"/>
      <c r="D2780" s="142"/>
      <c r="E2780" s="130"/>
      <c r="F2780" s="128"/>
      <c r="G2780" s="128"/>
      <c r="H2780" s="128"/>
      <c r="I2780" s="128"/>
      <c r="J2780" s="81"/>
      <c r="K2780" s="81"/>
      <c r="L2780" s="81"/>
      <c r="M2780" s="81"/>
      <c r="N2780" s="82"/>
    </row>
    <row r="2781">
      <c r="C2781" s="41"/>
      <c r="D2781" s="141"/>
      <c r="E2781" s="118"/>
      <c r="F2781" s="126"/>
      <c r="G2781" s="126"/>
      <c r="H2781" s="126"/>
      <c r="I2781" s="126"/>
      <c r="J2781" s="76"/>
      <c r="K2781" s="76"/>
      <c r="L2781" s="76"/>
      <c r="M2781" s="76"/>
      <c r="N2781" s="114"/>
    </row>
    <row r="2782">
      <c r="C2782" s="41"/>
      <c r="D2782" s="142"/>
      <c r="E2782" s="130"/>
      <c r="F2782" s="128"/>
      <c r="G2782" s="128"/>
      <c r="H2782" s="128"/>
      <c r="I2782" s="128"/>
      <c r="J2782" s="81"/>
      <c r="K2782" s="81"/>
      <c r="L2782" s="81"/>
      <c r="M2782" s="81"/>
      <c r="N2782" s="82"/>
    </row>
    <row r="2783">
      <c r="C2783" s="41"/>
      <c r="D2783" s="141"/>
      <c r="E2783" s="118"/>
      <c r="F2783" s="126"/>
      <c r="G2783" s="126"/>
      <c r="H2783" s="126"/>
      <c r="I2783" s="126"/>
      <c r="J2783" s="76"/>
      <c r="K2783" s="76"/>
      <c r="L2783" s="76"/>
      <c r="M2783" s="76"/>
      <c r="N2783" s="114"/>
    </row>
    <row r="2784">
      <c r="C2784" s="41"/>
      <c r="D2784" s="142"/>
      <c r="E2784" s="130"/>
      <c r="F2784" s="128"/>
      <c r="G2784" s="128"/>
      <c r="H2784" s="128"/>
      <c r="I2784" s="128"/>
      <c r="J2784" s="81"/>
      <c r="K2784" s="81"/>
      <c r="L2784" s="81"/>
      <c r="M2784" s="81"/>
      <c r="N2784" s="82"/>
    </row>
    <row r="2785">
      <c r="C2785" s="41"/>
      <c r="D2785" s="141"/>
      <c r="E2785" s="118"/>
      <c r="F2785" s="126"/>
      <c r="G2785" s="126"/>
      <c r="H2785" s="126"/>
      <c r="I2785" s="126"/>
      <c r="J2785" s="76"/>
      <c r="K2785" s="76"/>
      <c r="L2785" s="76"/>
      <c r="M2785" s="76"/>
      <c r="N2785" s="114"/>
    </row>
    <row r="2786">
      <c r="C2786" s="41"/>
      <c r="D2786" s="142"/>
      <c r="E2786" s="130"/>
      <c r="F2786" s="128"/>
      <c r="G2786" s="128"/>
      <c r="H2786" s="128"/>
      <c r="I2786" s="128"/>
      <c r="J2786" s="81"/>
      <c r="K2786" s="81"/>
      <c r="L2786" s="81"/>
      <c r="M2786" s="81"/>
      <c r="N2786" s="82"/>
    </row>
    <row r="2787">
      <c r="C2787" s="41"/>
      <c r="D2787" s="141"/>
      <c r="E2787" s="118"/>
      <c r="F2787" s="126"/>
      <c r="G2787" s="126"/>
      <c r="H2787" s="126"/>
      <c r="I2787" s="126"/>
      <c r="J2787" s="76"/>
      <c r="K2787" s="76"/>
      <c r="L2787" s="76"/>
      <c r="M2787" s="76"/>
      <c r="N2787" s="114"/>
    </row>
    <row r="2788">
      <c r="C2788" s="41"/>
      <c r="D2788" s="142"/>
      <c r="E2788" s="130"/>
      <c r="F2788" s="128"/>
      <c r="G2788" s="128"/>
      <c r="H2788" s="128"/>
      <c r="I2788" s="128"/>
      <c r="J2788" s="81"/>
      <c r="K2788" s="81"/>
      <c r="L2788" s="81"/>
      <c r="M2788" s="81"/>
      <c r="N2788" s="82"/>
    </row>
    <row r="2789">
      <c r="C2789" s="41"/>
      <c r="D2789" s="141"/>
      <c r="E2789" s="118"/>
      <c r="F2789" s="126"/>
      <c r="G2789" s="126"/>
      <c r="H2789" s="126"/>
      <c r="I2789" s="126"/>
      <c r="J2789" s="76"/>
      <c r="K2789" s="76"/>
      <c r="L2789" s="76"/>
      <c r="M2789" s="76"/>
      <c r="N2789" s="114"/>
    </row>
    <row r="2790">
      <c r="C2790" s="41"/>
      <c r="D2790" s="142"/>
      <c r="E2790" s="130"/>
      <c r="F2790" s="128"/>
      <c r="G2790" s="128"/>
      <c r="H2790" s="128"/>
      <c r="I2790" s="128"/>
      <c r="J2790" s="81"/>
      <c r="K2790" s="81"/>
      <c r="L2790" s="81"/>
      <c r="M2790" s="81"/>
      <c r="N2790" s="82"/>
    </row>
    <row r="2791">
      <c r="C2791" s="41"/>
      <c r="D2791" s="141"/>
      <c r="E2791" s="118"/>
      <c r="F2791" s="126"/>
      <c r="G2791" s="126"/>
      <c r="H2791" s="126"/>
      <c r="I2791" s="126"/>
      <c r="J2791" s="76"/>
      <c r="K2791" s="76"/>
      <c r="L2791" s="76"/>
      <c r="M2791" s="76"/>
      <c r="N2791" s="114"/>
    </row>
    <row r="2792">
      <c r="C2792" s="41"/>
      <c r="D2792" s="142"/>
      <c r="E2792" s="130"/>
      <c r="F2792" s="128"/>
      <c r="G2792" s="128"/>
      <c r="H2792" s="128"/>
      <c r="I2792" s="128"/>
      <c r="J2792" s="81"/>
      <c r="K2792" s="81"/>
      <c r="L2792" s="81"/>
      <c r="M2792" s="81"/>
      <c r="N2792" s="82"/>
    </row>
    <row r="2793">
      <c r="C2793" s="41"/>
      <c r="D2793" s="141"/>
      <c r="E2793" s="118"/>
      <c r="F2793" s="126"/>
      <c r="G2793" s="126"/>
      <c r="H2793" s="126"/>
      <c r="I2793" s="126"/>
      <c r="J2793" s="76"/>
      <c r="K2793" s="76"/>
      <c r="L2793" s="76"/>
      <c r="M2793" s="76"/>
      <c r="N2793" s="114"/>
    </row>
    <row r="2794">
      <c r="C2794" s="41"/>
      <c r="D2794" s="142"/>
      <c r="E2794" s="130"/>
      <c r="F2794" s="128"/>
      <c r="G2794" s="128"/>
      <c r="H2794" s="128"/>
      <c r="I2794" s="128"/>
      <c r="J2794" s="81"/>
      <c r="K2794" s="81"/>
      <c r="L2794" s="81"/>
      <c r="M2794" s="81"/>
      <c r="N2794" s="82"/>
    </row>
    <row r="2795">
      <c r="C2795" s="41"/>
      <c r="D2795" s="141"/>
      <c r="E2795" s="118"/>
      <c r="F2795" s="126"/>
      <c r="G2795" s="126"/>
      <c r="H2795" s="126"/>
      <c r="I2795" s="126"/>
      <c r="J2795" s="76"/>
      <c r="K2795" s="76"/>
      <c r="L2795" s="76"/>
      <c r="M2795" s="76"/>
      <c r="N2795" s="114"/>
    </row>
    <row r="2796">
      <c r="C2796" s="41"/>
      <c r="D2796" s="142"/>
      <c r="E2796" s="130"/>
      <c r="F2796" s="128"/>
      <c r="G2796" s="128"/>
      <c r="H2796" s="128"/>
      <c r="I2796" s="128"/>
      <c r="J2796" s="81"/>
      <c r="K2796" s="81"/>
      <c r="L2796" s="81"/>
      <c r="M2796" s="81"/>
      <c r="N2796" s="82"/>
    </row>
    <row r="2797">
      <c r="C2797" s="41"/>
      <c r="D2797" s="141"/>
      <c r="E2797" s="118"/>
      <c r="F2797" s="126"/>
      <c r="G2797" s="126"/>
      <c r="H2797" s="126"/>
      <c r="I2797" s="126"/>
      <c r="J2797" s="76"/>
      <c r="K2797" s="76"/>
      <c r="L2797" s="76"/>
      <c r="M2797" s="76"/>
      <c r="N2797" s="114"/>
    </row>
    <row r="2798">
      <c r="C2798" s="41"/>
      <c r="D2798" s="142"/>
      <c r="E2798" s="130"/>
      <c r="F2798" s="128"/>
      <c r="G2798" s="128"/>
      <c r="H2798" s="128"/>
      <c r="I2798" s="128"/>
      <c r="J2798" s="81"/>
      <c r="K2798" s="81"/>
      <c r="L2798" s="81"/>
      <c r="M2798" s="81"/>
      <c r="N2798" s="82"/>
    </row>
    <row r="2799">
      <c r="C2799" s="41"/>
      <c r="D2799" s="141"/>
      <c r="E2799" s="118"/>
      <c r="F2799" s="126"/>
      <c r="G2799" s="126"/>
      <c r="H2799" s="126"/>
      <c r="I2799" s="126"/>
      <c r="J2799" s="76"/>
      <c r="K2799" s="76"/>
      <c r="L2799" s="76"/>
      <c r="M2799" s="76"/>
      <c r="N2799" s="114"/>
    </row>
    <row r="2800">
      <c r="C2800" s="41"/>
      <c r="D2800" s="142"/>
      <c r="E2800" s="130"/>
      <c r="F2800" s="128"/>
      <c r="G2800" s="128"/>
      <c r="H2800" s="128"/>
      <c r="I2800" s="128"/>
      <c r="J2800" s="81"/>
      <c r="K2800" s="81"/>
      <c r="L2800" s="81"/>
      <c r="M2800" s="81"/>
      <c r="N2800" s="82"/>
    </row>
    <row r="2801">
      <c r="C2801" s="41"/>
      <c r="D2801" s="141"/>
      <c r="E2801" s="118"/>
      <c r="F2801" s="126"/>
      <c r="G2801" s="126"/>
      <c r="H2801" s="126"/>
      <c r="I2801" s="126"/>
      <c r="J2801" s="76"/>
      <c r="K2801" s="76"/>
      <c r="L2801" s="76"/>
      <c r="M2801" s="76"/>
      <c r="N2801" s="114"/>
    </row>
    <row r="2802">
      <c r="C2802" s="41"/>
      <c r="D2802" s="142"/>
      <c r="E2802" s="130"/>
      <c r="F2802" s="128"/>
      <c r="G2802" s="128"/>
      <c r="H2802" s="128"/>
      <c r="I2802" s="128"/>
      <c r="J2802" s="81"/>
      <c r="K2802" s="81"/>
      <c r="L2802" s="81"/>
      <c r="M2802" s="81"/>
      <c r="N2802" s="82"/>
    </row>
    <row r="2803">
      <c r="C2803" s="41"/>
      <c r="D2803" s="141"/>
      <c r="E2803" s="118"/>
      <c r="F2803" s="126"/>
      <c r="G2803" s="126"/>
      <c r="H2803" s="126"/>
      <c r="I2803" s="126"/>
      <c r="J2803" s="76"/>
      <c r="K2803" s="76"/>
      <c r="L2803" s="76"/>
      <c r="M2803" s="76"/>
      <c r="N2803" s="114"/>
    </row>
    <row r="2804">
      <c r="C2804" s="41"/>
      <c r="D2804" s="142"/>
      <c r="E2804" s="130"/>
      <c r="F2804" s="128"/>
      <c r="G2804" s="128"/>
      <c r="H2804" s="128"/>
      <c r="I2804" s="128"/>
      <c r="J2804" s="81"/>
      <c r="K2804" s="81"/>
      <c r="L2804" s="81"/>
      <c r="M2804" s="81"/>
      <c r="N2804" s="82"/>
    </row>
    <row r="2805">
      <c r="C2805" s="41"/>
      <c r="D2805" s="141"/>
      <c r="E2805" s="118"/>
      <c r="F2805" s="126"/>
      <c r="G2805" s="126"/>
      <c r="H2805" s="126"/>
      <c r="I2805" s="126"/>
      <c r="J2805" s="76"/>
      <c r="K2805" s="76"/>
      <c r="L2805" s="76"/>
      <c r="M2805" s="76"/>
      <c r="N2805" s="114"/>
    </row>
    <row r="2806">
      <c r="C2806" s="41"/>
      <c r="D2806" s="142"/>
      <c r="E2806" s="130"/>
      <c r="F2806" s="128"/>
      <c r="G2806" s="128"/>
      <c r="H2806" s="128"/>
      <c r="I2806" s="128"/>
      <c r="J2806" s="81"/>
      <c r="K2806" s="81"/>
      <c r="L2806" s="81"/>
      <c r="M2806" s="81"/>
      <c r="N2806" s="82"/>
    </row>
    <row r="2807">
      <c r="C2807" s="41"/>
      <c r="D2807" s="141"/>
      <c r="E2807" s="118"/>
      <c r="F2807" s="126"/>
      <c r="G2807" s="126"/>
      <c r="H2807" s="126"/>
      <c r="I2807" s="126"/>
      <c r="J2807" s="76"/>
      <c r="K2807" s="76"/>
      <c r="L2807" s="76"/>
      <c r="M2807" s="76"/>
      <c r="N2807" s="114"/>
    </row>
    <row r="2808">
      <c r="C2808" s="41"/>
      <c r="D2808" s="142"/>
      <c r="E2808" s="130"/>
      <c r="F2808" s="128"/>
      <c r="G2808" s="128"/>
      <c r="H2808" s="128"/>
      <c r="I2808" s="128"/>
      <c r="J2808" s="81"/>
      <c r="K2808" s="81"/>
      <c r="L2808" s="81"/>
      <c r="M2808" s="81"/>
      <c r="N2808" s="82"/>
    </row>
    <row r="2809">
      <c r="C2809" s="41"/>
      <c r="D2809" s="141"/>
      <c r="E2809" s="118"/>
      <c r="F2809" s="126"/>
      <c r="G2809" s="126"/>
      <c r="H2809" s="126"/>
      <c r="I2809" s="126"/>
      <c r="J2809" s="76"/>
      <c r="K2809" s="76"/>
      <c r="L2809" s="76"/>
      <c r="M2809" s="76"/>
      <c r="N2809" s="114"/>
    </row>
    <row r="2810">
      <c r="C2810" s="41"/>
      <c r="D2810" s="142"/>
      <c r="E2810" s="130"/>
      <c r="F2810" s="128"/>
      <c r="G2810" s="128"/>
      <c r="H2810" s="128"/>
      <c r="I2810" s="128"/>
      <c r="J2810" s="81"/>
      <c r="K2810" s="81"/>
      <c r="L2810" s="81"/>
      <c r="M2810" s="81"/>
      <c r="N2810" s="82"/>
    </row>
    <row r="2811">
      <c r="C2811" s="41"/>
      <c r="D2811" s="141"/>
      <c r="E2811" s="118"/>
      <c r="F2811" s="126"/>
      <c r="G2811" s="126"/>
      <c r="H2811" s="126"/>
      <c r="I2811" s="126"/>
      <c r="J2811" s="76"/>
      <c r="K2811" s="76"/>
      <c r="L2811" s="76"/>
      <c r="M2811" s="76"/>
      <c r="N2811" s="114"/>
    </row>
    <row r="2812">
      <c r="C2812" s="41"/>
      <c r="D2812" s="142"/>
      <c r="E2812" s="130"/>
      <c r="F2812" s="128"/>
      <c r="G2812" s="128"/>
      <c r="H2812" s="128"/>
      <c r="I2812" s="128"/>
      <c r="J2812" s="81"/>
      <c r="K2812" s="81"/>
      <c r="L2812" s="81"/>
      <c r="M2812" s="81"/>
      <c r="N2812" s="82"/>
    </row>
    <row r="2813">
      <c r="C2813" s="41"/>
      <c r="D2813" s="141"/>
      <c r="E2813" s="118"/>
      <c r="F2813" s="126"/>
      <c r="G2813" s="126"/>
      <c r="H2813" s="126"/>
      <c r="I2813" s="126"/>
      <c r="J2813" s="76"/>
      <c r="K2813" s="76"/>
      <c r="L2813" s="76"/>
      <c r="M2813" s="76"/>
      <c r="N2813" s="114"/>
    </row>
    <row r="2814">
      <c r="C2814" s="41"/>
      <c r="D2814" s="142"/>
      <c r="E2814" s="130"/>
      <c r="F2814" s="128"/>
      <c r="G2814" s="128"/>
      <c r="H2814" s="128"/>
      <c r="I2814" s="128"/>
      <c r="J2814" s="81"/>
      <c r="K2814" s="81"/>
      <c r="L2814" s="81"/>
      <c r="M2814" s="81"/>
      <c r="N2814" s="82"/>
    </row>
    <row r="2815">
      <c r="C2815" s="41"/>
      <c r="D2815" s="141"/>
      <c r="E2815" s="118"/>
      <c r="F2815" s="126"/>
      <c r="G2815" s="126"/>
      <c r="H2815" s="126"/>
      <c r="I2815" s="126"/>
      <c r="J2815" s="76"/>
      <c r="K2815" s="76"/>
      <c r="L2815" s="76"/>
      <c r="M2815" s="76"/>
      <c r="N2815" s="114"/>
    </row>
    <row r="2816">
      <c r="C2816" s="41"/>
      <c r="D2816" s="142"/>
      <c r="E2816" s="130"/>
      <c r="F2816" s="128"/>
      <c r="G2816" s="128"/>
      <c r="H2816" s="128"/>
      <c r="I2816" s="128"/>
      <c r="J2816" s="81"/>
      <c r="K2816" s="81"/>
      <c r="L2816" s="81"/>
      <c r="M2816" s="81"/>
      <c r="N2816" s="82"/>
    </row>
    <row r="2817">
      <c r="C2817" s="41"/>
      <c r="D2817" s="141"/>
      <c r="E2817" s="118"/>
      <c r="F2817" s="126"/>
      <c r="G2817" s="126"/>
      <c r="H2817" s="126"/>
      <c r="I2817" s="126"/>
      <c r="J2817" s="76"/>
      <c r="K2817" s="76"/>
      <c r="L2817" s="76"/>
      <c r="M2817" s="76"/>
      <c r="N2817" s="114"/>
    </row>
    <row r="2818">
      <c r="C2818" s="41"/>
      <c r="D2818" s="142"/>
      <c r="E2818" s="130"/>
      <c r="F2818" s="128"/>
      <c r="G2818" s="128"/>
      <c r="H2818" s="128"/>
      <c r="I2818" s="128"/>
      <c r="J2818" s="81"/>
      <c r="K2818" s="81"/>
      <c r="L2818" s="81"/>
      <c r="M2818" s="81"/>
      <c r="N2818" s="82"/>
    </row>
    <row r="2819">
      <c r="C2819" s="41"/>
      <c r="D2819" s="141"/>
      <c r="E2819" s="118"/>
      <c r="F2819" s="126"/>
      <c r="G2819" s="126"/>
      <c r="H2819" s="126"/>
      <c r="I2819" s="126"/>
      <c r="J2819" s="76"/>
      <c r="K2819" s="76"/>
      <c r="L2819" s="76"/>
      <c r="M2819" s="76"/>
      <c r="N2819" s="114"/>
    </row>
    <row r="2820">
      <c r="C2820" s="41"/>
      <c r="D2820" s="142"/>
      <c r="E2820" s="130"/>
      <c r="F2820" s="128"/>
      <c r="G2820" s="128"/>
      <c r="H2820" s="128"/>
      <c r="I2820" s="128"/>
      <c r="J2820" s="81"/>
      <c r="K2820" s="81"/>
      <c r="L2820" s="81"/>
      <c r="M2820" s="81"/>
      <c r="N2820" s="82"/>
    </row>
    <row r="2821">
      <c r="C2821" s="41"/>
      <c r="D2821" s="141"/>
      <c r="E2821" s="118"/>
      <c r="F2821" s="126"/>
      <c r="G2821" s="126"/>
      <c r="H2821" s="126"/>
      <c r="I2821" s="126"/>
      <c r="J2821" s="76"/>
      <c r="K2821" s="76"/>
      <c r="L2821" s="76"/>
      <c r="M2821" s="76"/>
      <c r="N2821" s="114"/>
    </row>
    <row r="2822">
      <c r="C2822" s="41"/>
      <c r="D2822" s="142"/>
      <c r="E2822" s="130"/>
      <c r="F2822" s="128"/>
      <c r="G2822" s="128"/>
      <c r="H2822" s="128"/>
      <c r="I2822" s="128"/>
      <c r="J2822" s="81"/>
      <c r="K2822" s="81"/>
      <c r="L2822" s="81"/>
      <c r="M2822" s="81"/>
      <c r="N2822" s="82"/>
    </row>
    <row r="2823">
      <c r="C2823" s="41"/>
      <c r="D2823" s="141"/>
      <c r="E2823" s="118"/>
      <c r="F2823" s="126"/>
      <c r="G2823" s="126"/>
      <c r="H2823" s="126"/>
      <c r="I2823" s="126"/>
      <c r="J2823" s="76"/>
      <c r="K2823" s="76"/>
      <c r="L2823" s="76"/>
      <c r="M2823" s="76"/>
      <c r="N2823" s="114"/>
    </row>
    <row r="2824">
      <c r="C2824" s="41"/>
      <c r="D2824" s="142"/>
      <c r="E2824" s="130"/>
      <c r="F2824" s="128"/>
      <c r="G2824" s="128"/>
      <c r="H2824" s="128"/>
      <c r="I2824" s="128"/>
      <c r="J2824" s="81"/>
      <c r="K2824" s="81"/>
      <c r="L2824" s="81"/>
      <c r="M2824" s="81"/>
      <c r="N2824" s="82"/>
    </row>
    <row r="2825">
      <c r="C2825" s="41"/>
      <c r="D2825" s="141"/>
      <c r="E2825" s="118"/>
      <c r="F2825" s="126"/>
      <c r="G2825" s="126"/>
      <c r="H2825" s="126"/>
      <c r="I2825" s="126"/>
      <c r="J2825" s="76"/>
      <c r="K2825" s="76"/>
      <c r="L2825" s="76"/>
      <c r="M2825" s="76"/>
      <c r="N2825" s="114"/>
    </row>
    <row r="2826">
      <c r="C2826" s="41"/>
      <c r="D2826" s="142"/>
      <c r="E2826" s="130"/>
      <c r="F2826" s="128"/>
      <c r="G2826" s="128"/>
      <c r="H2826" s="128"/>
      <c r="I2826" s="128"/>
      <c r="J2826" s="81"/>
      <c r="K2826" s="81"/>
      <c r="L2826" s="81"/>
      <c r="M2826" s="81"/>
      <c r="N2826" s="82"/>
    </row>
    <row r="2827">
      <c r="C2827" s="41"/>
      <c r="D2827" s="141"/>
      <c r="E2827" s="118"/>
      <c r="F2827" s="126"/>
      <c r="G2827" s="126"/>
      <c r="H2827" s="126"/>
      <c r="I2827" s="126"/>
      <c r="J2827" s="76"/>
      <c r="K2827" s="76"/>
      <c r="L2827" s="76"/>
      <c r="M2827" s="76"/>
      <c r="N2827" s="114"/>
    </row>
    <row r="2828">
      <c r="C2828" s="41"/>
      <c r="D2828" s="142"/>
      <c r="E2828" s="130"/>
      <c r="F2828" s="128"/>
      <c r="G2828" s="128"/>
      <c r="H2828" s="128"/>
      <c r="I2828" s="128"/>
      <c r="J2828" s="81"/>
      <c r="K2828" s="81"/>
      <c r="L2828" s="81"/>
      <c r="M2828" s="81"/>
      <c r="N2828" s="82"/>
    </row>
    <row r="2829">
      <c r="C2829" s="41"/>
      <c r="D2829" s="141"/>
      <c r="E2829" s="118"/>
      <c r="F2829" s="126"/>
      <c r="G2829" s="126"/>
      <c r="H2829" s="126"/>
      <c r="I2829" s="126"/>
      <c r="J2829" s="76"/>
      <c r="K2829" s="76"/>
      <c r="L2829" s="76"/>
      <c r="M2829" s="76"/>
      <c r="N2829" s="114"/>
    </row>
    <row r="2830">
      <c r="C2830" s="41"/>
      <c r="D2830" s="142"/>
      <c r="E2830" s="130"/>
      <c r="F2830" s="128"/>
      <c r="G2830" s="128"/>
      <c r="H2830" s="128"/>
      <c r="I2830" s="128"/>
      <c r="J2830" s="81"/>
      <c r="K2830" s="81"/>
      <c r="L2830" s="81"/>
      <c r="M2830" s="81"/>
      <c r="N2830" s="82"/>
    </row>
    <row r="2831">
      <c r="C2831" s="41"/>
      <c r="D2831" s="141"/>
      <c r="E2831" s="118"/>
      <c r="F2831" s="126"/>
      <c r="G2831" s="126"/>
      <c r="H2831" s="126"/>
      <c r="I2831" s="126"/>
      <c r="J2831" s="76"/>
      <c r="K2831" s="76"/>
      <c r="L2831" s="76"/>
      <c r="M2831" s="76"/>
      <c r="N2831" s="114"/>
    </row>
    <row r="2832">
      <c r="C2832" s="41"/>
      <c r="D2832" s="142"/>
      <c r="E2832" s="130"/>
      <c r="F2832" s="128"/>
      <c r="G2832" s="128"/>
      <c r="H2832" s="128"/>
      <c r="I2832" s="128"/>
      <c r="J2832" s="81"/>
      <c r="K2832" s="81"/>
      <c r="L2832" s="81"/>
      <c r="M2832" s="81"/>
      <c r="N2832" s="82"/>
    </row>
    <row r="2833">
      <c r="C2833" s="41"/>
      <c r="D2833" s="141"/>
      <c r="E2833" s="118"/>
      <c r="F2833" s="126"/>
      <c r="G2833" s="126"/>
      <c r="H2833" s="126"/>
      <c r="I2833" s="126"/>
      <c r="J2833" s="76"/>
      <c r="K2833" s="76"/>
      <c r="L2833" s="76"/>
      <c r="M2833" s="76"/>
      <c r="N2833" s="114"/>
    </row>
    <row r="2834">
      <c r="C2834" s="41"/>
      <c r="D2834" s="142"/>
      <c r="E2834" s="130"/>
      <c r="F2834" s="128"/>
      <c r="G2834" s="128"/>
      <c r="H2834" s="128"/>
      <c r="I2834" s="128"/>
      <c r="J2834" s="81"/>
      <c r="K2834" s="81"/>
      <c r="L2834" s="81"/>
      <c r="M2834" s="81"/>
      <c r="N2834" s="82"/>
    </row>
    <row r="2835">
      <c r="C2835" s="41"/>
      <c r="D2835" s="141"/>
      <c r="E2835" s="118"/>
      <c r="F2835" s="126"/>
      <c r="G2835" s="126"/>
      <c r="H2835" s="126"/>
      <c r="I2835" s="126"/>
      <c r="J2835" s="76"/>
      <c r="K2835" s="76"/>
      <c r="L2835" s="76"/>
      <c r="M2835" s="76"/>
      <c r="N2835" s="114"/>
    </row>
    <row r="2836">
      <c r="C2836" s="41"/>
      <c r="D2836" s="142"/>
      <c r="E2836" s="130"/>
      <c r="F2836" s="128"/>
      <c r="G2836" s="128"/>
      <c r="H2836" s="128"/>
      <c r="I2836" s="128"/>
      <c r="J2836" s="81"/>
      <c r="K2836" s="81"/>
      <c r="L2836" s="81"/>
      <c r="M2836" s="81"/>
      <c r="N2836" s="82"/>
    </row>
    <row r="2837">
      <c r="C2837" s="41"/>
      <c r="D2837" s="141"/>
      <c r="E2837" s="118"/>
      <c r="F2837" s="126"/>
      <c r="G2837" s="126"/>
      <c r="H2837" s="126"/>
      <c r="I2837" s="126"/>
      <c r="J2837" s="76"/>
      <c r="K2837" s="76"/>
      <c r="L2837" s="76"/>
      <c r="M2837" s="76"/>
      <c r="N2837" s="114"/>
    </row>
    <row r="2838">
      <c r="C2838" s="41"/>
      <c r="D2838" s="142"/>
      <c r="E2838" s="130"/>
      <c r="F2838" s="128"/>
      <c r="G2838" s="128"/>
      <c r="H2838" s="128"/>
      <c r="I2838" s="128"/>
      <c r="J2838" s="81"/>
      <c r="K2838" s="81"/>
      <c r="L2838" s="81"/>
      <c r="M2838" s="81"/>
      <c r="N2838" s="82"/>
    </row>
    <row r="2839">
      <c r="C2839" s="41"/>
      <c r="D2839" s="141"/>
      <c r="E2839" s="118"/>
      <c r="F2839" s="126"/>
      <c r="G2839" s="126"/>
      <c r="H2839" s="126"/>
      <c r="I2839" s="126"/>
      <c r="J2839" s="76"/>
      <c r="K2839" s="76"/>
      <c r="L2839" s="76"/>
      <c r="M2839" s="76"/>
      <c r="N2839" s="114"/>
    </row>
    <row r="2840">
      <c r="C2840" s="41"/>
      <c r="D2840" s="142"/>
      <c r="E2840" s="130"/>
      <c r="F2840" s="128"/>
      <c r="G2840" s="128"/>
      <c r="H2840" s="128"/>
      <c r="I2840" s="128"/>
      <c r="J2840" s="81"/>
      <c r="K2840" s="81"/>
      <c r="L2840" s="81"/>
      <c r="M2840" s="81"/>
      <c r="N2840" s="82"/>
    </row>
    <row r="2841">
      <c r="C2841" s="41"/>
      <c r="D2841" s="141"/>
      <c r="E2841" s="118"/>
      <c r="F2841" s="126"/>
      <c r="G2841" s="126"/>
      <c r="H2841" s="126"/>
      <c r="I2841" s="126"/>
      <c r="J2841" s="76"/>
      <c r="K2841" s="76"/>
      <c r="L2841" s="76"/>
      <c r="M2841" s="76"/>
      <c r="N2841" s="114"/>
    </row>
    <row r="2842">
      <c r="C2842" s="41"/>
      <c r="D2842" s="142"/>
      <c r="E2842" s="130"/>
      <c r="F2842" s="128"/>
      <c r="G2842" s="128"/>
      <c r="H2842" s="128"/>
      <c r="I2842" s="128"/>
      <c r="J2842" s="81"/>
      <c r="K2842" s="81"/>
      <c r="L2842" s="81"/>
      <c r="M2842" s="81"/>
      <c r="N2842" s="82"/>
    </row>
    <row r="2843">
      <c r="C2843" s="41"/>
      <c r="D2843" s="141"/>
      <c r="E2843" s="118"/>
      <c r="F2843" s="126"/>
      <c r="G2843" s="126"/>
      <c r="H2843" s="126"/>
      <c r="I2843" s="126"/>
      <c r="J2843" s="76"/>
      <c r="K2843" s="76"/>
      <c r="L2843" s="76"/>
      <c r="M2843" s="76"/>
      <c r="N2843" s="114"/>
    </row>
    <row r="2844">
      <c r="C2844" s="41"/>
      <c r="D2844" s="142"/>
      <c r="E2844" s="130"/>
      <c r="F2844" s="128"/>
      <c r="G2844" s="128"/>
      <c r="H2844" s="128"/>
      <c r="I2844" s="128"/>
      <c r="J2844" s="81"/>
      <c r="K2844" s="81"/>
      <c r="L2844" s="81"/>
      <c r="M2844" s="81"/>
      <c r="N2844" s="82"/>
    </row>
    <row r="2845">
      <c r="C2845" s="41"/>
      <c r="D2845" s="141"/>
      <c r="E2845" s="118"/>
      <c r="F2845" s="126"/>
      <c r="G2845" s="126"/>
      <c r="H2845" s="126"/>
      <c r="I2845" s="126"/>
      <c r="J2845" s="76"/>
      <c r="K2845" s="76"/>
      <c r="L2845" s="76"/>
      <c r="M2845" s="76"/>
      <c r="N2845" s="114"/>
    </row>
    <row r="2846">
      <c r="C2846" s="41"/>
      <c r="D2846" s="142"/>
      <c r="E2846" s="130"/>
      <c r="F2846" s="128"/>
      <c r="G2846" s="128"/>
      <c r="H2846" s="128"/>
      <c r="I2846" s="128"/>
      <c r="J2846" s="81"/>
      <c r="K2846" s="81"/>
      <c r="L2846" s="81"/>
      <c r="M2846" s="81"/>
      <c r="N2846" s="82"/>
    </row>
    <row r="2847">
      <c r="C2847" s="41"/>
      <c r="D2847" s="141"/>
      <c r="E2847" s="118"/>
      <c r="F2847" s="126"/>
      <c r="G2847" s="126"/>
      <c r="H2847" s="126"/>
      <c r="I2847" s="126"/>
      <c r="J2847" s="76"/>
      <c r="K2847" s="76"/>
      <c r="L2847" s="76"/>
      <c r="M2847" s="76"/>
      <c r="N2847" s="114"/>
    </row>
    <row r="2848">
      <c r="C2848" s="41"/>
      <c r="D2848" s="142"/>
      <c r="E2848" s="130"/>
      <c r="F2848" s="128"/>
      <c r="G2848" s="128"/>
      <c r="H2848" s="128"/>
      <c r="I2848" s="128"/>
      <c r="J2848" s="81"/>
      <c r="K2848" s="81"/>
      <c r="L2848" s="81"/>
      <c r="M2848" s="81"/>
      <c r="N2848" s="82"/>
    </row>
    <row r="2849">
      <c r="C2849" s="41"/>
      <c r="D2849" s="141"/>
      <c r="E2849" s="118"/>
      <c r="F2849" s="126"/>
      <c r="G2849" s="126"/>
      <c r="H2849" s="126"/>
      <c r="I2849" s="126"/>
      <c r="J2849" s="76"/>
      <c r="K2849" s="76"/>
      <c r="L2849" s="76"/>
      <c r="M2849" s="76"/>
      <c r="N2849" s="114"/>
    </row>
    <row r="2850">
      <c r="C2850" s="41"/>
      <c r="D2850" s="142"/>
      <c r="E2850" s="130"/>
      <c r="F2850" s="128"/>
      <c r="G2850" s="128"/>
      <c r="H2850" s="128"/>
      <c r="I2850" s="128"/>
      <c r="J2850" s="81"/>
      <c r="K2850" s="81"/>
      <c r="L2850" s="81"/>
      <c r="M2850" s="81"/>
      <c r="N2850" s="82"/>
    </row>
    <row r="2851">
      <c r="C2851" s="41"/>
      <c r="D2851" s="141"/>
      <c r="E2851" s="118"/>
      <c r="F2851" s="126"/>
      <c r="G2851" s="126"/>
      <c r="H2851" s="126"/>
      <c r="I2851" s="126"/>
      <c r="J2851" s="76"/>
      <c r="K2851" s="76"/>
      <c r="L2851" s="76"/>
      <c r="M2851" s="76"/>
      <c r="N2851" s="114"/>
    </row>
    <row r="2852">
      <c r="C2852" s="41"/>
      <c r="D2852" s="142"/>
      <c r="E2852" s="130"/>
      <c r="F2852" s="128"/>
      <c r="G2852" s="128"/>
      <c r="H2852" s="128"/>
      <c r="I2852" s="128"/>
      <c r="J2852" s="81"/>
      <c r="K2852" s="81"/>
      <c r="L2852" s="81"/>
      <c r="M2852" s="81"/>
      <c r="N2852" s="82"/>
    </row>
    <row r="2853">
      <c r="C2853" s="41"/>
      <c r="D2853" s="141"/>
      <c r="E2853" s="118"/>
      <c r="F2853" s="126"/>
      <c r="G2853" s="126"/>
      <c r="H2853" s="126"/>
      <c r="I2853" s="126"/>
      <c r="J2853" s="76"/>
      <c r="K2853" s="76"/>
      <c r="L2853" s="76"/>
      <c r="M2853" s="76"/>
      <c r="N2853" s="114"/>
    </row>
    <row r="2854">
      <c r="C2854" s="41"/>
      <c r="D2854" s="142"/>
      <c r="E2854" s="130"/>
      <c r="F2854" s="128"/>
      <c r="G2854" s="128"/>
      <c r="H2854" s="128"/>
      <c r="I2854" s="128"/>
      <c r="J2854" s="81"/>
      <c r="K2854" s="81"/>
      <c r="L2854" s="81"/>
      <c r="M2854" s="81"/>
      <c r="N2854" s="82"/>
    </row>
    <row r="2855">
      <c r="C2855" s="41"/>
      <c r="D2855" s="141"/>
      <c r="E2855" s="118"/>
      <c r="F2855" s="126"/>
      <c r="G2855" s="126"/>
      <c r="H2855" s="126"/>
      <c r="I2855" s="126"/>
      <c r="J2855" s="76"/>
      <c r="K2855" s="76"/>
      <c r="L2855" s="76"/>
      <c r="M2855" s="76"/>
      <c r="N2855" s="114"/>
    </row>
    <row r="2856">
      <c r="C2856" s="41"/>
      <c r="D2856" s="142"/>
      <c r="E2856" s="130"/>
      <c r="F2856" s="128"/>
      <c r="G2856" s="128"/>
      <c r="H2856" s="128"/>
      <c r="I2856" s="128"/>
      <c r="J2856" s="81"/>
      <c r="K2856" s="81"/>
      <c r="L2856" s="81"/>
      <c r="M2856" s="81"/>
      <c r="N2856" s="82"/>
    </row>
    <row r="2857">
      <c r="C2857" s="41"/>
      <c r="D2857" s="141"/>
      <c r="E2857" s="118"/>
      <c r="F2857" s="126"/>
      <c r="G2857" s="126"/>
      <c r="H2857" s="126"/>
      <c r="I2857" s="126"/>
      <c r="J2857" s="76"/>
      <c r="K2857" s="76"/>
      <c r="L2857" s="76"/>
      <c r="M2857" s="76"/>
      <c r="N2857" s="114"/>
    </row>
    <row r="2858">
      <c r="C2858" s="41"/>
      <c r="D2858" s="142"/>
      <c r="E2858" s="130"/>
      <c r="F2858" s="128"/>
      <c r="G2858" s="128"/>
      <c r="H2858" s="128"/>
      <c r="I2858" s="128"/>
      <c r="J2858" s="81"/>
      <c r="K2858" s="81"/>
      <c r="L2858" s="81"/>
      <c r="M2858" s="81"/>
      <c r="N2858" s="82"/>
    </row>
    <row r="2859">
      <c r="C2859" s="41"/>
      <c r="D2859" s="141"/>
      <c r="E2859" s="118"/>
      <c r="F2859" s="126"/>
      <c r="G2859" s="126"/>
      <c r="H2859" s="126"/>
      <c r="I2859" s="126"/>
      <c r="J2859" s="76"/>
      <c r="K2859" s="76"/>
      <c r="L2859" s="76"/>
      <c r="M2859" s="76"/>
      <c r="N2859" s="114"/>
    </row>
    <row r="2860">
      <c r="C2860" s="41"/>
      <c r="D2860" s="142"/>
      <c r="E2860" s="130"/>
      <c r="F2860" s="128"/>
      <c r="G2860" s="128"/>
      <c r="H2860" s="128"/>
      <c r="I2860" s="128"/>
      <c r="J2860" s="81"/>
      <c r="K2860" s="81"/>
      <c r="L2860" s="81"/>
      <c r="M2860" s="81"/>
      <c r="N2860" s="82"/>
    </row>
    <row r="2861">
      <c r="C2861" s="41"/>
      <c r="D2861" s="141"/>
      <c r="E2861" s="118"/>
      <c r="F2861" s="126"/>
      <c r="G2861" s="126"/>
      <c r="H2861" s="126"/>
      <c r="I2861" s="126"/>
      <c r="J2861" s="76"/>
      <c r="K2861" s="76"/>
      <c r="L2861" s="76"/>
      <c r="M2861" s="76"/>
      <c r="N2861" s="114"/>
    </row>
    <row r="2862">
      <c r="C2862" s="41"/>
      <c r="D2862" s="142"/>
      <c r="E2862" s="130"/>
      <c r="F2862" s="128"/>
      <c r="G2862" s="128"/>
      <c r="H2862" s="128"/>
      <c r="I2862" s="128"/>
      <c r="J2862" s="81"/>
      <c r="K2862" s="81"/>
      <c r="L2862" s="81"/>
      <c r="M2862" s="81"/>
      <c r="N2862" s="82"/>
    </row>
    <row r="2863">
      <c r="C2863" s="41"/>
      <c r="D2863" s="141"/>
      <c r="E2863" s="118"/>
      <c r="F2863" s="126"/>
      <c r="G2863" s="126"/>
      <c r="H2863" s="126"/>
      <c r="I2863" s="126"/>
      <c r="J2863" s="76"/>
      <c r="K2863" s="76"/>
      <c r="L2863" s="76"/>
      <c r="M2863" s="76"/>
      <c r="N2863" s="114"/>
    </row>
    <row r="2864">
      <c r="C2864" s="41"/>
      <c r="D2864" s="142"/>
      <c r="E2864" s="130"/>
      <c r="F2864" s="128"/>
      <c r="G2864" s="128"/>
      <c r="H2864" s="128"/>
      <c r="I2864" s="128"/>
      <c r="J2864" s="81"/>
      <c r="K2864" s="81"/>
      <c r="L2864" s="81"/>
      <c r="M2864" s="81"/>
      <c r="N2864" s="82"/>
    </row>
    <row r="2865">
      <c r="C2865" s="41"/>
      <c r="D2865" s="141"/>
      <c r="E2865" s="118"/>
      <c r="F2865" s="126"/>
      <c r="G2865" s="126"/>
      <c r="H2865" s="126"/>
      <c r="I2865" s="126"/>
      <c r="J2865" s="76"/>
      <c r="K2865" s="76"/>
      <c r="L2865" s="76"/>
      <c r="M2865" s="76"/>
      <c r="N2865" s="114"/>
    </row>
    <row r="2866">
      <c r="C2866" s="41"/>
      <c r="D2866" s="142"/>
      <c r="E2866" s="130"/>
      <c r="F2866" s="128"/>
      <c r="G2866" s="128"/>
      <c r="H2866" s="128"/>
      <c r="I2866" s="128"/>
      <c r="J2866" s="81"/>
      <c r="K2866" s="81"/>
      <c r="L2866" s="81"/>
      <c r="M2866" s="81"/>
      <c r="N2866" s="82"/>
    </row>
    <row r="2867">
      <c r="C2867" s="41"/>
      <c r="D2867" s="141"/>
      <c r="E2867" s="118"/>
      <c r="F2867" s="126"/>
      <c r="G2867" s="126"/>
      <c r="H2867" s="126"/>
      <c r="I2867" s="126"/>
      <c r="J2867" s="76"/>
      <c r="K2867" s="76"/>
      <c r="L2867" s="76"/>
      <c r="M2867" s="76"/>
      <c r="N2867" s="114"/>
    </row>
    <row r="2868">
      <c r="C2868" s="41"/>
      <c r="D2868" s="142"/>
      <c r="E2868" s="130"/>
      <c r="F2868" s="128"/>
      <c r="G2868" s="128"/>
      <c r="H2868" s="128"/>
      <c r="I2868" s="128"/>
      <c r="J2868" s="81"/>
      <c r="K2868" s="81"/>
      <c r="L2868" s="81"/>
      <c r="M2868" s="81"/>
      <c r="N2868" s="82"/>
    </row>
    <row r="2869">
      <c r="C2869" s="41"/>
      <c r="D2869" s="141"/>
      <c r="E2869" s="118"/>
      <c r="F2869" s="126"/>
      <c r="G2869" s="126"/>
      <c r="H2869" s="126"/>
      <c r="I2869" s="126"/>
      <c r="J2869" s="76"/>
      <c r="K2869" s="76"/>
      <c r="L2869" s="76"/>
      <c r="M2869" s="76"/>
      <c r="N2869" s="114"/>
    </row>
    <row r="2870">
      <c r="C2870" s="41"/>
      <c r="D2870" s="142"/>
      <c r="E2870" s="130"/>
      <c r="F2870" s="128"/>
      <c r="G2870" s="128"/>
      <c r="H2870" s="128"/>
      <c r="I2870" s="128"/>
      <c r="J2870" s="81"/>
      <c r="K2870" s="81"/>
      <c r="L2870" s="81"/>
      <c r="M2870" s="81"/>
      <c r="N2870" s="82"/>
    </row>
    <row r="2871">
      <c r="C2871" s="41"/>
      <c r="D2871" s="141"/>
      <c r="E2871" s="118"/>
      <c r="F2871" s="126"/>
      <c r="G2871" s="126"/>
      <c r="H2871" s="126"/>
      <c r="I2871" s="126"/>
      <c r="J2871" s="76"/>
      <c r="K2871" s="76"/>
      <c r="L2871" s="76"/>
      <c r="M2871" s="76"/>
      <c r="N2871" s="114"/>
    </row>
    <row r="2872">
      <c r="C2872" s="41"/>
      <c r="D2872" s="142"/>
      <c r="E2872" s="130"/>
      <c r="F2872" s="128"/>
      <c r="G2872" s="128"/>
      <c r="H2872" s="128"/>
      <c r="I2872" s="128"/>
      <c r="J2872" s="81"/>
      <c r="K2872" s="81"/>
      <c r="L2872" s="81"/>
      <c r="M2872" s="81"/>
      <c r="N2872" s="82"/>
    </row>
    <row r="2873">
      <c r="C2873" s="41"/>
      <c r="D2873" s="141"/>
      <c r="E2873" s="118"/>
      <c r="F2873" s="126"/>
      <c r="G2873" s="126"/>
      <c r="H2873" s="126"/>
      <c r="I2873" s="126"/>
      <c r="J2873" s="76"/>
      <c r="K2873" s="76"/>
      <c r="L2873" s="76"/>
      <c r="M2873" s="76"/>
      <c r="N2873" s="114"/>
    </row>
    <row r="2874">
      <c r="C2874" s="41"/>
      <c r="D2874" s="142"/>
      <c r="E2874" s="130"/>
      <c r="F2874" s="128"/>
      <c r="G2874" s="128"/>
      <c r="H2874" s="128"/>
      <c r="I2874" s="128"/>
      <c r="J2874" s="81"/>
      <c r="K2874" s="81"/>
      <c r="L2874" s="81"/>
      <c r="M2874" s="81"/>
      <c r="N2874" s="82"/>
    </row>
    <row r="2875">
      <c r="C2875" s="41"/>
      <c r="D2875" s="141"/>
      <c r="E2875" s="118"/>
      <c r="F2875" s="126"/>
      <c r="G2875" s="126"/>
      <c r="H2875" s="126"/>
      <c r="I2875" s="126"/>
      <c r="J2875" s="76"/>
      <c r="K2875" s="76"/>
      <c r="L2875" s="76"/>
      <c r="M2875" s="76"/>
      <c r="N2875" s="114"/>
    </row>
    <row r="2876">
      <c r="C2876" s="41"/>
      <c r="D2876" s="142"/>
      <c r="E2876" s="130"/>
      <c r="F2876" s="128"/>
      <c r="G2876" s="128"/>
      <c r="H2876" s="128"/>
      <c r="I2876" s="128"/>
      <c r="J2876" s="81"/>
      <c r="K2876" s="81"/>
      <c r="L2876" s="81"/>
      <c r="M2876" s="81"/>
      <c r="N2876" s="82"/>
    </row>
    <row r="2877">
      <c r="C2877" s="41"/>
      <c r="D2877" s="141"/>
      <c r="E2877" s="118"/>
      <c r="F2877" s="126"/>
      <c r="G2877" s="126"/>
      <c r="H2877" s="126"/>
      <c r="I2877" s="126"/>
      <c r="J2877" s="76"/>
      <c r="K2877" s="76"/>
      <c r="L2877" s="76"/>
      <c r="M2877" s="76"/>
      <c r="N2877" s="114"/>
    </row>
    <row r="2878">
      <c r="C2878" s="41"/>
      <c r="D2878" s="142"/>
      <c r="E2878" s="130"/>
      <c r="F2878" s="128"/>
      <c r="G2878" s="128"/>
      <c r="H2878" s="128"/>
      <c r="I2878" s="128"/>
      <c r="J2878" s="81"/>
      <c r="K2878" s="81"/>
      <c r="L2878" s="81"/>
      <c r="M2878" s="81"/>
      <c r="N2878" s="82"/>
    </row>
    <row r="2879">
      <c r="C2879" s="41"/>
      <c r="D2879" s="141"/>
      <c r="E2879" s="118"/>
      <c r="F2879" s="126"/>
      <c r="G2879" s="126"/>
      <c r="H2879" s="126"/>
      <c r="I2879" s="126"/>
      <c r="J2879" s="76"/>
      <c r="K2879" s="76"/>
      <c r="L2879" s="76"/>
      <c r="M2879" s="76"/>
      <c r="N2879" s="114"/>
    </row>
    <row r="2880">
      <c r="C2880" s="41"/>
      <c r="D2880" s="142"/>
      <c r="E2880" s="130"/>
      <c r="F2880" s="128"/>
      <c r="G2880" s="128"/>
      <c r="H2880" s="128"/>
      <c r="I2880" s="128"/>
      <c r="J2880" s="81"/>
      <c r="K2880" s="81"/>
      <c r="L2880" s="81"/>
      <c r="M2880" s="81"/>
      <c r="N2880" s="82"/>
    </row>
    <row r="2881">
      <c r="C2881" s="41"/>
      <c r="D2881" s="141"/>
      <c r="E2881" s="118"/>
      <c r="F2881" s="126"/>
      <c r="G2881" s="126"/>
      <c r="H2881" s="126"/>
      <c r="I2881" s="126"/>
      <c r="J2881" s="76"/>
      <c r="K2881" s="76"/>
      <c r="L2881" s="76"/>
      <c r="M2881" s="76"/>
      <c r="N2881" s="114"/>
    </row>
    <row r="2882">
      <c r="C2882" s="41"/>
      <c r="D2882" s="142"/>
      <c r="E2882" s="130"/>
      <c r="F2882" s="128"/>
      <c r="G2882" s="128"/>
      <c r="H2882" s="128"/>
      <c r="I2882" s="128"/>
      <c r="J2882" s="81"/>
      <c r="K2882" s="81"/>
      <c r="L2882" s="81"/>
      <c r="M2882" s="81"/>
      <c r="N2882" s="82"/>
    </row>
    <row r="2883">
      <c r="C2883" s="41"/>
      <c r="D2883" s="141"/>
      <c r="E2883" s="118"/>
      <c r="F2883" s="126"/>
      <c r="G2883" s="126"/>
      <c r="H2883" s="126"/>
      <c r="I2883" s="126"/>
      <c r="J2883" s="76"/>
      <c r="K2883" s="76"/>
      <c r="L2883" s="76"/>
      <c r="M2883" s="76"/>
      <c r="N2883" s="114"/>
    </row>
    <row r="2884">
      <c r="C2884" s="41"/>
      <c r="D2884" s="142"/>
      <c r="E2884" s="130"/>
      <c r="F2884" s="128"/>
      <c r="G2884" s="128"/>
      <c r="H2884" s="128"/>
      <c r="I2884" s="128"/>
      <c r="J2884" s="81"/>
      <c r="K2884" s="81"/>
      <c r="L2884" s="81"/>
      <c r="M2884" s="81"/>
      <c r="N2884" s="82"/>
    </row>
    <row r="2885">
      <c r="C2885" s="41"/>
      <c r="D2885" s="141"/>
      <c r="E2885" s="118"/>
      <c r="F2885" s="126"/>
      <c r="G2885" s="126"/>
      <c r="H2885" s="126"/>
      <c r="I2885" s="126"/>
      <c r="J2885" s="76"/>
      <c r="K2885" s="76"/>
      <c r="L2885" s="76"/>
      <c r="M2885" s="76"/>
      <c r="N2885" s="114"/>
    </row>
    <row r="2886">
      <c r="C2886" s="41"/>
      <c r="D2886" s="142"/>
      <c r="E2886" s="130"/>
      <c r="F2886" s="128"/>
      <c r="G2886" s="128"/>
      <c r="H2886" s="128"/>
      <c r="I2886" s="128"/>
      <c r="J2886" s="81"/>
      <c r="K2886" s="81"/>
      <c r="L2886" s="81"/>
      <c r="M2886" s="81"/>
      <c r="N2886" s="82"/>
    </row>
    <row r="2887">
      <c r="C2887" s="41"/>
      <c r="D2887" s="141"/>
      <c r="E2887" s="118"/>
      <c r="F2887" s="126"/>
      <c r="G2887" s="126"/>
      <c r="H2887" s="126"/>
      <c r="I2887" s="126"/>
      <c r="J2887" s="76"/>
      <c r="K2887" s="76"/>
      <c r="L2887" s="76"/>
      <c r="M2887" s="76"/>
      <c r="N2887" s="114"/>
    </row>
    <row r="2888">
      <c r="C2888" s="41"/>
      <c r="D2888" s="142"/>
      <c r="E2888" s="130"/>
      <c r="F2888" s="128"/>
      <c r="G2888" s="128"/>
      <c r="H2888" s="128"/>
      <c r="I2888" s="128"/>
      <c r="J2888" s="81"/>
      <c r="K2888" s="81"/>
      <c r="L2888" s="81"/>
      <c r="M2888" s="81"/>
      <c r="N2888" s="82"/>
    </row>
    <row r="2889">
      <c r="C2889" s="41"/>
      <c r="D2889" s="141"/>
      <c r="E2889" s="118"/>
      <c r="F2889" s="126"/>
      <c r="G2889" s="126"/>
      <c r="H2889" s="126"/>
      <c r="I2889" s="126"/>
      <c r="J2889" s="76"/>
      <c r="K2889" s="76"/>
      <c r="L2889" s="76"/>
      <c r="M2889" s="76"/>
      <c r="N2889" s="114"/>
    </row>
    <row r="2890">
      <c r="C2890" s="41"/>
      <c r="D2890" s="142"/>
      <c r="E2890" s="130"/>
      <c r="F2890" s="128"/>
      <c r="G2890" s="128"/>
      <c r="H2890" s="128"/>
      <c r="I2890" s="128"/>
      <c r="J2890" s="81"/>
      <c r="K2890" s="81"/>
      <c r="L2890" s="81"/>
      <c r="M2890" s="81"/>
      <c r="N2890" s="82"/>
    </row>
    <row r="2891">
      <c r="C2891" s="41"/>
      <c r="D2891" s="141"/>
      <c r="E2891" s="118"/>
      <c r="F2891" s="126"/>
      <c r="G2891" s="126"/>
      <c r="H2891" s="126"/>
      <c r="I2891" s="126"/>
      <c r="J2891" s="76"/>
      <c r="K2891" s="76"/>
      <c r="L2891" s="76"/>
      <c r="M2891" s="76"/>
      <c r="N2891" s="114"/>
    </row>
    <row r="2892">
      <c r="C2892" s="41"/>
      <c r="D2892" s="142"/>
      <c r="E2892" s="130"/>
      <c r="F2892" s="128"/>
      <c r="G2892" s="128"/>
      <c r="H2892" s="128"/>
      <c r="I2892" s="128"/>
      <c r="J2892" s="81"/>
      <c r="K2892" s="81"/>
      <c r="L2892" s="81"/>
      <c r="M2892" s="81"/>
      <c r="N2892" s="82"/>
    </row>
    <row r="2893">
      <c r="C2893" s="41"/>
      <c r="D2893" s="141"/>
      <c r="E2893" s="118"/>
      <c r="F2893" s="126"/>
      <c r="G2893" s="126"/>
      <c r="H2893" s="126"/>
      <c r="I2893" s="126"/>
      <c r="J2893" s="76"/>
      <c r="K2893" s="76"/>
      <c r="L2893" s="76"/>
      <c r="M2893" s="76"/>
      <c r="N2893" s="114"/>
    </row>
    <row r="2894">
      <c r="C2894" s="41"/>
      <c r="D2894" s="142"/>
      <c r="E2894" s="130"/>
      <c r="F2894" s="128"/>
      <c r="G2894" s="128"/>
      <c r="H2894" s="128"/>
      <c r="I2894" s="128"/>
      <c r="J2894" s="81"/>
      <c r="K2894" s="81"/>
      <c r="L2894" s="81"/>
      <c r="M2894" s="81"/>
      <c r="N2894" s="82"/>
    </row>
    <row r="2895">
      <c r="C2895" s="41"/>
      <c r="D2895" s="141"/>
      <c r="E2895" s="118"/>
      <c r="F2895" s="126"/>
      <c r="G2895" s="126"/>
      <c r="H2895" s="126"/>
      <c r="I2895" s="126"/>
      <c r="J2895" s="76"/>
      <c r="K2895" s="76"/>
      <c r="L2895" s="76"/>
      <c r="M2895" s="76"/>
      <c r="N2895" s="114"/>
    </row>
    <row r="2896">
      <c r="C2896" s="41"/>
      <c r="D2896" s="142"/>
      <c r="E2896" s="130"/>
      <c r="F2896" s="128"/>
      <c r="G2896" s="128"/>
      <c r="H2896" s="128"/>
      <c r="I2896" s="128"/>
      <c r="J2896" s="81"/>
      <c r="K2896" s="81"/>
      <c r="L2896" s="81"/>
      <c r="M2896" s="81"/>
      <c r="N2896" s="82"/>
    </row>
    <row r="2897">
      <c r="C2897" s="41"/>
      <c r="D2897" s="141"/>
      <c r="E2897" s="118"/>
      <c r="F2897" s="126"/>
      <c r="G2897" s="126"/>
      <c r="H2897" s="126"/>
      <c r="I2897" s="126"/>
      <c r="J2897" s="76"/>
      <c r="K2897" s="76"/>
      <c r="L2897" s="76"/>
      <c r="M2897" s="76"/>
      <c r="N2897" s="114"/>
    </row>
    <row r="2898">
      <c r="C2898" s="41"/>
      <c r="D2898" s="142"/>
      <c r="E2898" s="130"/>
      <c r="F2898" s="128"/>
      <c r="G2898" s="128"/>
      <c r="H2898" s="128"/>
      <c r="I2898" s="128"/>
      <c r="J2898" s="81"/>
      <c r="K2898" s="81"/>
      <c r="L2898" s="81"/>
      <c r="M2898" s="81"/>
      <c r="N2898" s="82"/>
    </row>
    <row r="2899">
      <c r="C2899" s="41"/>
      <c r="D2899" s="141"/>
      <c r="E2899" s="118"/>
      <c r="F2899" s="126"/>
      <c r="G2899" s="126"/>
      <c r="H2899" s="126"/>
      <c r="I2899" s="126"/>
      <c r="J2899" s="76"/>
      <c r="K2899" s="76"/>
      <c r="L2899" s="76"/>
      <c r="M2899" s="76"/>
      <c r="N2899" s="114"/>
    </row>
    <row r="2900">
      <c r="C2900" s="41"/>
      <c r="D2900" s="142"/>
      <c r="E2900" s="130"/>
      <c r="F2900" s="128"/>
      <c r="G2900" s="128"/>
      <c r="H2900" s="128"/>
      <c r="I2900" s="128"/>
      <c r="J2900" s="81"/>
      <c r="K2900" s="81"/>
      <c r="L2900" s="81"/>
      <c r="M2900" s="81"/>
      <c r="N2900" s="82"/>
    </row>
    <row r="2901">
      <c r="C2901" s="41"/>
      <c r="D2901" s="141"/>
      <c r="E2901" s="118"/>
      <c r="F2901" s="126"/>
      <c r="G2901" s="126"/>
      <c r="H2901" s="126"/>
      <c r="I2901" s="126"/>
      <c r="J2901" s="76"/>
      <c r="K2901" s="76"/>
      <c r="L2901" s="76"/>
      <c r="M2901" s="76"/>
      <c r="N2901" s="114"/>
    </row>
    <row r="2902">
      <c r="C2902" s="41"/>
      <c r="D2902" s="142"/>
      <c r="E2902" s="130"/>
      <c r="F2902" s="128"/>
      <c r="G2902" s="128"/>
      <c r="H2902" s="128"/>
      <c r="I2902" s="128"/>
      <c r="J2902" s="81"/>
      <c r="K2902" s="81"/>
      <c r="L2902" s="81"/>
      <c r="M2902" s="81"/>
      <c r="N2902" s="82"/>
    </row>
    <row r="2903">
      <c r="C2903" s="41"/>
      <c r="D2903" s="141"/>
      <c r="E2903" s="118"/>
      <c r="F2903" s="126"/>
      <c r="G2903" s="126"/>
      <c r="H2903" s="126"/>
      <c r="I2903" s="126"/>
      <c r="J2903" s="76"/>
      <c r="K2903" s="76"/>
      <c r="L2903" s="76"/>
      <c r="M2903" s="76"/>
      <c r="N2903" s="114"/>
    </row>
    <row r="2904">
      <c r="C2904" s="41"/>
      <c r="D2904" s="142"/>
      <c r="E2904" s="130"/>
      <c r="F2904" s="128"/>
      <c r="G2904" s="128"/>
      <c r="H2904" s="128"/>
      <c r="I2904" s="128"/>
      <c r="J2904" s="81"/>
      <c r="K2904" s="81"/>
      <c r="L2904" s="81"/>
      <c r="M2904" s="81"/>
      <c r="N2904" s="82"/>
    </row>
    <row r="2905">
      <c r="C2905" s="41"/>
      <c r="D2905" s="141"/>
      <c r="E2905" s="118"/>
      <c r="F2905" s="126"/>
      <c r="G2905" s="126"/>
      <c r="H2905" s="126"/>
      <c r="I2905" s="126"/>
      <c r="J2905" s="76"/>
      <c r="K2905" s="76"/>
      <c r="L2905" s="76"/>
      <c r="M2905" s="76"/>
      <c r="N2905" s="114"/>
    </row>
    <row r="2906">
      <c r="C2906" s="41"/>
      <c r="D2906" s="142"/>
      <c r="E2906" s="130"/>
      <c r="F2906" s="128"/>
      <c r="G2906" s="128"/>
      <c r="H2906" s="128"/>
      <c r="I2906" s="128"/>
      <c r="J2906" s="81"/>
      <c r="K2906" s="81"/>
      <c r="L2906" s="81"/>
      <c r="M2906" s="81"/>
      <c r="N2906" s="82"/>
    </row>
    <row r="2907">
      <c r="C2907" s="41"/>
      <c r="D2907" s="141"/>
      <c r="E2907" s="118"/>
      <c r="F2907" s="126"/>
      <c r="G2907" s="126"/>
      <c r="H2907" s="126"/>
      <c r="I2907" s="126"/>
      <c r="J2907" s="76"/>
      <c r="K2907" s="76"/>
      <c r="L2907" s="76"/>
      <c r="M2907" s="76"/>
      <c r="N2907" s="114"/>
    </row>
    <row r="2908">
      <c r="C2908" s="41"/>
      <c r="D2908" s="142"/>
      <c r="E2908" s="130"/>
      <c r="F2908" s="128"/>
      <c r="G2908" s="128"/>
      <c r="H2908" s="128"/>
      <c r="I2908" s="128"/>
      <c r="J2908" s="81"/>
      <c r="K2908" s="81"/>
      <c r="L2908" s="81"/>
      <c r="M2908" s="81"/>
      <c r="N2908" s="82"/>
    </row>
    <row r="2909">
      <c r="C2909" s="41"/>
      <c r="D2909" s="141"/>
      <c r="E2909" s="118"/>
      <c r="F2909" s="126"/>
      <c r="G2909" s="126"/>
      <c r="H2909" s="126"/>
      <c r="I2909" s="126"/>
      <c r="J2909" s="76"/>
      <c r="K2909" s="76"/>
      <c r="L2909" s="76"/>
      <c r="M2909" s="76"/>
      <c r="N2909" s="114"/>
    </row>
    <row r="2910">
      <c r="C2910" s="41"/>
      <c r="D2910" s="142"/>
      <c r="E2910" s="130"/>
      <c r="F2910" s="128"/>
      <c r="G2910" s="128"/>
      <c r="H2910" s="128"/>
      <c r="I2910" s="128"/>
      <c r="J2910" s="81"/>
      <c r="K2910" s="81"/>
      <c r="L2910" s="81"/>
      <c r="M2910" s="81"/>
      <c r="N2910" s="82"/>
    </row>
    <row r="2911">
      <c r="C2911" s="41"/>
      <c r="D2911" s="141"/>
      <c r="E2911" s="118"/>
      <c r="F2911" s="126"/>
      <c r="G2911" s="126"/>
      <c r="H2911" s="126"/>
      <c r="I2911" s="126"/>
      <c r="J2911" s="76"/>
      <c r="K2911" s="76"/>
      <c r="L2911" s="76"/>
      <c r="M2911" s="76"/>
      <c r="N2911" s="114"/>
    </row>
    <row r="2912">
      <c r="C2912" s="41"/>
      <c r="D2912" s="142"/>
      <c r="E2912" s="130"/>
      <c r="F2912" s="128"/>
      <c r="G2912" s="128"/>
      <c r="H2912" s="128"/>
      <c r="I2912" s="128"/>
      <c r="J2912" s="81"/>
      <c r="K2912" s="81"/>
      <c r="L2912" s="81"/>
      <c r="M2912" s="81"/>
      <c r="N2912" s="82"/>
    </row>
    <row r="2913">
      <c r="C2913" s="41"/>
      <c r="D2913" s="141"/>
      <c r="E2913" s="118"/>
      <c r="F2913" s="126"/>
      <c r="G2913" s="126"/>
      <c r="H2913" s="126"/>
      <c r="I2913" s="126"/>
      <c r="J2913" s="76"/>
      <c r="K2913" s="76"/>
      <c r="L2913" s="76"/>
      <c r="M2913" s="76"/>
      <c r="N2913" s="114"/>
    </row>
    <row r="2914">
      <c r="C2914" s="41"/>
      <c r="D2914" s="142"/>
      <c r="E2914" s="130"/>
      <c r="F2914" s="128"/>
      <c r="G2914" s="128"/>
      <c r="H2914" s="128"/>
      <c r="I2914" s="128"/>
      <c r="J2914" s="81"/>
      <c r="K2914" s="81"/>
      <c r="L2914" s="81"/>
      <c r="M2914" s="81"/>
      <c r="N2914" s="82"/>
    </row>
    <row r="2915">
      <c r="C2915" s="41"/>
      <c r="D2915" s="141"/>
      <c r="E2915" s="118"/>
      <c r="F2915" s="126"/>
      <c r="G2915" s="126"/>
      <c r="H2915" s="126"/>
      <c r="I2915" s="126"/>
      <c r="J2915" s="76"/>
      <c r="K2915" s="76"/>
      <c r="L2915" s="76"/>
      <c r="M2915" s="76"/>
      <c r="N2915" s="114"/>
    </row>
    <row r="2916">
      <c r="C2916" s="41"/>
      <c r="D2916" s="142"/>
      <c r="E2916" s="130"/>
      <c r="F2916" s="128"/>
      <c r="G2916" s="128"/>
      <c r="H2916" s="128"/>
      <c r="I2916" s="128"/>
      <c r="J2916" s="81"/>
      <c r="K2916" s="81"/>
      <c r="L2916" s="81"/>
      <c r="M2916" s="81"/>
      <c r="N2916" s="82"/>
    </row>
    <row r="2917">
      <c r="C2917" s="41"/>
      <c r="D2917" s="141"/>
      <c r="E2917" s="118"/>
      <c r="F2917" s="126"/>
      <c r="G2917" s="126"/>
      <c r="H2917" s="126"/>
      <c r="I2917" s="126"/>
      <c r="J2917" s="76"/>
      <c r="K2917" s="76"/>
      <c r="L2917" s="76"/>
      <c r="M2917" s="76"/>
      <c r="N2917" s="114"/>
    </row>
    <row r="2918">
      <c r="C2918" s="41"/>
      <c r="D2918" s="142"/>
      <c r="E2918" s="130"/>
      <c r="F2918" s="128"/>
      <c r="G2918" s="128"/>
      <c r="H2918" s="128"/>
      <c r="I2918" s="128"/>
      <c r="J2918" s="81"/>
      <c r="K2918" s="81"/>
      <c r="L2918" s="81"/>
      <c r="M2918" s="81"/>
      <c r="N2918" s="82"/>
    </row>
    <row r="2919">
      <c r="C2919" s="41"/>
      <c r="D2919" s="141"/>
      <c r="E2919" s="118"/>
      <c r="F2919" s="126"/>
      <c r="G2919" s="126"/>
      <c r="H2919" s="126"/>
      <c r="I2919" s="126"/>
      <c r="J2919" s="76"/>
      <c r="K2919" s="76"/>
      <c r="L2919" s="76"/>
      <c r="M2919" s="76"/>
      <c r="N2919" s="114"/>
    </row>
    <row r="2920">
      <c r="C2920" s="41"/>
      <c r="D2920" s="142"/>
      <c r="E2920" s="130"/>
      <c r="F2920" s="128"/>
      <c r="G2920" s="128"/>
      <c r="H2920" s="128"/>
      <c r="I2920" s="128"/>
      <c r="J2920" s="81"/>
      <c r="K2920" s="81"/>
      <c r="L2920" s="81"/>
      <c r="M2920" s="81"/>
      <c r="N2920" s="82"/>
    </row>
    <row r="2921">
      <c r="C2921" s="41"/>
      <c r="D2921" s="141"/>
      <c r="E2921" s="118"/>
      <c r="F2921" s="126"/>
      <c r="G2921" s="126"/>
      <c r="H2921" s="126"/>
      <c r="I2921" s="126"/>
      <c r="J2921" s="76"/>
      <c r="K2921" s="76"/>
      <c r="L2921" s="76"/>
      <c r="M2921" s="76"/>
      <c r="N2921" s="114"/>
    </row>
    <row r="2922">
      <c r="C2922" s="41"/>
      <c r="D2922" s="142"/>
      <c r="E2922" s="130"/>
      <c r="F2922" s="128"/>
      <c r="G2922" s="128"/>
      <c r="H2922" s="128"/>
      <c r="I2922" s="128"/>
      <c r="J2922" s="81"/>
      <c r="K2922" s="81"/>
      <c r="L2922" s="81"/>
      <c r="M2922" s="81"/>
      <c r="N2922" s="82"/>
    </row>
    <row r="2923">
      <c r="C2923" s="41"/>
      <c r="D2923" s="141"/>
      <c r="E2923" s="118"/>
      <c r="F2923" s="126"/>
      <c r="G2923" s="126"/>
      <c r="H2923" s="126"/>
      <c r="I2923" s="126"/>
      <c r="J2923" s="76"/>
      <c r="K2923" s="76"/>
      <c r="L2923" s="76"/>
      <c r="M2923" s="76"/>
      <c r="N2923" s="114"/>
    </row>
    <row r="2924">
      <c r="C2924" s="41"/>
      <c r="D2924" s="142"/>
      <c r="E2924" s="130"/>
      <c r="F2924" s="128"/>
      <c r="G2924" s="128"/>
      <c r="H2924" s="128"/>
      <c r="I2924" s="128"/>
      <c r="J2924" s="81"/>
      <c r="K2924" s="81"/>
      <c r="L2924" s="81"/>
      <c r="M2924" s="81"/>
      <c r="N2924" s="82"/>
    </row>
    <row r="2925">
      <c r="C2925" s="41"/>
      <c r="D2925" s="141"/>
      <c r="E2925" s="118"/>
      <c r="F2925" s="126"/>
      <c r="G2925" s="126"/>
      <c r="H2925" s="126"/>
      <c r="I2925" s="126"/>
      <c r="J2925" s="76"/>
      <c r="K2925" s="76"/>
      <c r="L2925" s="76"/>
      <c r="M2925" s="76"/>
      <c r="N2925" s="114"/>
    </row>
    <row r="2926">
      <c r="C2926" s="41"/>
      <c r="D2926" s="142"/>
      <c r="E2926" s="130"/>
      <c r="F2926" s="128"/>
      <c r="G2926" s="128"/>
      <c r="H2926" s="128"/>
      <c r="I2926" s="128"/>
      <c r="J2926" s="81"/>
      <c r="K2926" s="81"/>
      <c r="L2926" s="81"/>
      <c r="M2926" s="81"/>
      <c r="N2926" s="82"/>
    </row>
    <row r="2927">
      <c r="C2927" s="41"/>
      <c r="D2927" s="141"/>
      <c r="E2927" s="118"/>
      <c r="F2927" s="126"/>
      <c r="G2927" s="126"/>
      <c r="H2927" s="126"/>
      <c r="I2927" s="126"/>
      <c r="J2927" s="76"/>
      <c r="K2927" s="76"/>
      <c r="L2927" s="76"/>
      <c r="M2927" s="76"/>
      <c r="N2927" s="114"/>
    </row>
    <row r="2928">
      <c r="C2928" s="41"/>
      <c r="D2928" s="142"/>
      <c r="E2928" s="130"/>
      <c r="F2928" s="128"/>
      <c r="G2928" s="128"/>
      <c r="H2928" s="128"/>
      <c r="I2928" s="128"/>
      <c r="J2928" s="81"/>
      <c r="K2928" s="81"/>
      <c r="L2928" s="81"/>
      <c r="M2928" s="81"/>
      <c r="N2928" s="82"/>
    </row>
    <row r="2929">
      <c r="C2929" s="41"/>
      <c r="D2929" s="141"/>
      <c r="E2929" s="118"/>
      <c r="F2929" s="126"/>
      <c r="G2929" s="126"/>
      <c r="H2929" s="126"/>
      <c r="I2929" s="126"/>
      <c r="J2929" s="76"/>
      <c r="K2929" s="76"/>
      <c r="L2929" s="76"/>
      <c r="M2929" s="76"/>
      <c r="N2929" s="114"/>
    </row>
    <row r="2930">
      <c r="C2930" s="41"/>
      <c r="D2930" s="142"/>
      <c r="E2930" s="130"/>
      <c r="F2930" s="128"/>
      <c r="G2930" s="128"/>
      <c r="H2930" s="128"/>
      <c r="I2930" s="128"/>
      <c r="J2930" s="81"/>
      <c r="K2930" s="81"/>
      <c r="L2930" s="81"/>
      <c r="M2930" s="81"/>
      <c r="N2930" s="82"/>
    </row>
    <row r="2931">
      <c r="C2931" s="41"/>
      <c r="D2931" s="141"/>
      <c r="E2931" s="118"/>
      <c r="F2931" s="126"/>
      <c r="G2931" s="126"/>
      <c r="H2931" s="126"/>
      <c r="I2931" s="126"/>
      <c r="J2931" s="76"/>
      <c r="K2931" s="76"/>
      <c r="L2931" s="76"/>
      <c r="M2931" s="76"/>
      <c r="N2931" s="114"/>
    </row>
    <row r="2932">
      <c r="C2932" s="41"/>
      <c r="D2932" s="142"/>
      <c r="E2932" s="130"/>
      <c r="F2932" s="128"/>
      <c r="G2932" s="128"/>
      <c r="H2932" s="128"/>
      <c r="I2932" s="128"/>
      <c r="J2932" s="81"/>
      <c r="K2932" s="81"/>
      <c r="L2932" s="81"/>
      <c r="M2932" s="81"/>
      <c r="N2932" s="82"/>
    </row>
    <row r="2933">
      <c r="C2933" s="41"/>
      <c r="D2933" s="141"/>
      <c r="E2933" s="118"/>
      <c r="F2933" s="126"/>
      <c r="G2933" s="126"/>
      <c r="H2933" s="126"/>
      <c r="I2933" s="126"/>
      <c r="J2933" s="76"/>
      <c r="K2933" s="76"/>
      <c r="L2933" s="76"/>
      <c r="M2933" s="76"/>
      <c r="N2933" s="114"/>
    </row>
    <row r="2934">
      <c r="C2934" s="41"/>
      <c r="D2934" s="142"/>
      <c r="E2934" s="130"/>
      <c r="F2934" s="128"/>
      <c r="G2934" s="128"/>
      <c r="H2934" s="128"/>
      <c r="I2934" s="128"/>
      <c r="J2934" s="81"/>
      <c r="K2934" s="81"/>
      <c r="L2934" s="81"/>
      <c r="M2934" s="81"/>
      <c r="N2934" s="82"/>
    </row>
    <row r="2935">
      <c r="C2935" s="41"/>
      <c r="D2935" s="141"/>
      <c r="E2935" s="118"/>
      <c r="F2935" s="126"/>
      <c r="G2935" s="126"/>
      <c r="H2935" s="126"/>
      <c r="I2935" s="126"/>
      <c r="J2935" s="76"/>
      <c r="K2935" s="76"/>
      <c r="L2935" s="76"/>
      <c r="M2935" s="76"/>
      <c r="N2935" s="114"/>
    </row>
    <row r="2936">
      <c r="C2936" s="41"/>
      <c r="D2936" s="142"/>
      <c r="E2936" s="130"/>
      <c r="F2936" s="128"/>
      <c r="G2936" s="128"/>
      <c r="H2936" s="128"/>
      <c r="I2936" s="128"/>
      <c r="J2936" s="81"/>
      <c r="K2936" s="81"/>
      <c r="L2936" s="81"/>
      <c r="M2936" s="81"/>
      <c r="N2936" s="82"/>
    </row>
    <row r="2937">
      <c r="C2937" s="41"/>
      <c r="D2937" s="141"/>
      <c r="E2937" s="118"/>
      <c r="F2937" s="126"/>
      <c r="G2937" s="126"/>
      <c r="H2937" s="126"/>
      <c r="I2937" s="126"/>
      <c r="J2937" s="76"/>
      <c r="K2937" s="76"/>
      <c r="L2937" s="76"/>
      <c r="M2937" s="76"/>
      <c r="N2937" s="114"/>
    </row>
    <row r="2938">
      <c r="C2938" s="41"/>
      <c r="D2938" s="142"/>
      <c r="E2938" s="130"/>
      <c r="F2938" s="128"/>
      <c r="G2938" s="128"/>
      <c r="H2938" s="128"/>
      <c r="I2938" s="128"/>
      <c r="J2938" s="81"/>
      <c r="K2938" s="81"/>
      <c r="L2938" s="81"/>
      <c r="M2938" s="81"/>
      <c r="N2938" s="82"/>
    </row>
    <row r="2939">
      <c r="C2939" s="41"/>
      <c r="D2939" s="141"/>
      <c r="E2939" s="118"/>
      <c r="F2939" s="126"/>
      <c r="G2939" s="126"/>
      <c r="H2939" s="126"/>
      <c r="I2939" s="126"/>
      <c r="J2939" s="76"/>
      <c r="K2939" s="76"/>
      <c r="L2939" s="76"/>
      <c r="M2939" s="76"/>
      <c r="N2939" s="114"/>
    </row>
    <row r="2940">
      <c r="C2940" s="41"/>
      <c r="D2940" s="142"/>
      <c r="E2940" s="130"/>
      <c r="F2940" s="128"/>
      <c r="G2940" s="128"/>
      <c r="H2940" s="128"/>
      <c r="I2940" s="128"/>
      <c r="J2940" s="81"/>
      <c r="K2940" s="81"/>
      <c r="L2940" s="81"/>
      <c r="M2940" s="81"/>
      <c r="N2940" s="82"/>
    </row>
    <row r="2941">
      <c r="C2941" s="41"/>
      <c r="D2941" s="141"/>
      <c r="E2941" s="118"/>
      <c r="F2941" s="126"/>
      <c r="G2941" s="126"/>
      <c r="H2941" s="126"/>
      <c r="I2941" s="126"/>
      <c r="J2941" s="76"/>
      <c r="K2941" s="76"/>
      <c r="L2941" s="76"/>
      <c r="M2941" s="76"/>
      <c r="N2941" s="114"/>
    </row>
    <row r="2942">
      <c r="C2942" s="41"/>
      <c r="D2942" s="142"/>
      <c r="E2942" s="130"/>
      <c r="F2942" s="128"/>
      <c r="G2942" s="128"/>
      <c r="H2942" s="128"/>
      <c r="I2942" s="128"/>
      <c r="J2942" s="81"/>
      <c r="K2942" s="81"/>
      <c r="L2942" s="81"/>
      <c r="M2942" s="81"/>
      <c r="N2942" s="82"/>
    </row>
    <row r="2943">
      <c r="C2943" s="41"/>
      <c r="D2943" s="141"/>
      <c r="E2943" s="118"/>
      <c r="F2943" s="126"/>
      <c r="G2943" s="126"/>
      <c r="H2943" s="126"/>
      <c r="I2943" s="126"/>
      <c r="J2943" s="76"/>
      <c r="K2943" s="76"/>
      <c r="L2943" s="76"/>
      <c r="M2943" s="76"/>
      <c r="N2943" s="114"/>
    </row>
    <row r="2944">
      <c r="C2944" s="41"/>
      <c r="D2944" s="142"/>
      <c r="E2944" s="130"/>
      <c r="F2944" s="128"/>
      <c r="G2944" s="128"/>
      <c r="H2944" s="128"/>
      <c r="I2944" s="128"/>
      <c r="J2944" s="81"/>
      <c r="K2944" s="81"/>
      <c r="L2944" s="81"/>
      <c r="M2944" s="81"/>
      <c r="N2944" s="82"/>
    </row>
    <row r="2945">
      <c r="C2945" s="41"/>
      <c r="D2945" s="141"/>
      <c r="E2945" s="118"/>
      <c r="F2945" s="126"/>
      <c r="G2945" s="126"/>
      <c r="H2945" s="126"/>
      <c r="I2945" s="126"/>
      <c r="J2945" s="76"/>
      <c r="K2945" s="76"/>
      <c r="L2945" s="76"/>
      <c r="M2945" s="76"/>
      <c r="N2945" s="114"/>
    </row>
    <row r="2946">
      <c r="C2946" s="41"/>
      <c r="D2946" s="142"/>
      <c r="E2946" s="130"/>
      <c r="F2946" s="128"/>
      <c r="G2946" s="128"/>
      <c r="H2946" s="128"/>
      <c r="I2946" s="128"/>
      <c r="J2946" s="81"/>
      <c r="K2946" s="81"/>
      <c r="L2946" s="81"/>
      <c r="M2946" s="81"/>
      <c r="N2946" s="82"/>
    </row>
    <row r="2947">
      <c r="C2947" s="41"/>
      <c r="D2947" s="141"/>
      <c r="E2947" s="118"/>
      <c r="F2947" s="126"/>
      <c r="G2947" s="126"/>
      <c r="H2947" s="126"/>
      <c r="I2947" s="126"/>
      <c r="J2947" s="76"/>
      <c r="K2947" s="76"/>
      <c r="L2947" s="76"/>
      <c r="M2947" s="76"/>
      <c r="N2947" s="114"/>
    </row>
    <row r="2948">
      <c r="C2948" s="41"/>
      <c r="D2948" s="142"/>
      <c r="E2948" s="130"/>
      <c r="F2948" s="128"/>
      <c r="G2948" s="128"/>
      <c r="H2948" s="128"/>
      <c r="I2948" s="128"/>
      <c r="J2948" s="81"/>
      <c r="K2948" s="81"/>
      <c r="L2948" s="81"/>
      <c r="M2948" s="81"/>
      <c r="N2948" s="82"/>
    </row>
    <row r="2949">
      <c r="C2949" s="41"/>
      <c r="D2949" s="141"/>
      <c r="E2949" s="118"/>
      <c r="F2949" s="126"/>
      <c r="G2949" s="126"/>
      <c r="H2949" s="126"/>
      <c r="I2949" s="126"/>
      <c r="J2949" s="76"/>
      <c r="K2949" s="76"/>
      <c r="L2949" s="76"/>
      <c r="M2949" s="76"/>
      <c r="N2949" s="114"/>
    </row>
    <row r="2950">
      <c r="C2950" s="41"/>
      <c r="D2950" s="142"/>
      <c r="E2950" s="130"/>
      <c r="F2950" s="128"/>
      <c r="G2950" s="128"/>
      <c r="H2950" s="128"/>
      <c r="I2950" s="128"/>
      <c r="J2950" s="81"/>
      <c r="K2950" s="81"/>
      <c r="L2950" s="81"/>
      <c r="M2950" s="81"/>
      <c r="N2950" s="82"/>
    </row>
    <row r="2951">
      <c r="C2951" s="41"/>
      <c r="D2951" s="141"/>
      <c r="E2951" s="118"/>
      <c r="F2951" s="126"/>
      <c r="G2951" s="126"/>
      <c r="H2951" s="126"/>
      <c r="I2951" s="126"/>
      <c r="J2951" s="76"/>
      <c r="K2951" s="76"/>
      <c r="L2951" s="76"/>
      <c r="M2951" s="76"/>
      <c r="N2951" s="114"/>
    </row>
    <row r="2952">
      <c r="C2952" s="41"/>
      <c r="D2952" s="142"/>
      <c r="E2952" s="130"/>
      <c r="F2952" s="128"/>
      <c r="G2952" s="128"/>
      <c r="H2952" s="128"/>
      <c r="I2952" s="128"/>
      <c r="J2952" s="81"/>
      <c r="K2952" s="81"/>
      <c r="L2952" s="81"/>
      <c r="M2952" s="81"/>
      <c r="N2952" s="82"/>
    </row>
    <row r="2953">
      <c r="C2953" s="41"/>
      <c r="D2953" s="141"/>
      <c r="E2953" s="118"/>
      <c r="F2953" s="126"/>
      <c r="G2953" s="126"/>
      <c r="H2953" s="126"/>
      <c r="I2953" s="126"/>
      <c r="J2953" s="76"/>
      <c r="K2953" s="76"/>
      <c r="L2953" s="76"/>
      <c r="M2953" s="76"/>
      <c r="N2953" s="114"/>
    </row>
    <row r="2954">
      <c r="C2954" s="41"/>
      <c r="D2954" s="142"/>
      <c r="E2954" s="130"/>
      <c r="F2954" s="128"/>
      <c r="G2954" s="128"/>
      <c r="H2954" s="128"/>
      <c r="I2954" s="128"/>
      <c r="J2954" s="81"/>
      <c r="K2954" s="81"/>
      <c r="L2954" s="81"/>
      <c r="M2954" s="81"/>
      <c r="N2954" s="82"/>
    </row>
    <row r="2955">
      <c r="C2955" s="41"/>
      <c r="D2955" s="141"/>
      <c r="E2955" s="118"/>
      <c r="F2955" s="126"/>
      <c r="G2955" s="126"/>
      <c r="H2955" s="126"/>
      <c r="I2955" s="126"/>
      <c r="J2955" s="76"/>
      <c r="K2955" s="76"/>
      <c r="L2955" s="76"/>
      <c r="M2955" s="76"/>
      <c r="N2955" s="114"/>
    </row>
    <row r="2956">
      <c r="C2956" s="41"/>
      <c r="D2956" s="142"/>
      <c r="E2956" s="130"/>
      <c r="F2956" s="128"/>
      <c r="G2956" s="128"/>
      <c r="H2956" s="128"/>
      <c r="I2956" s="128"/>
      <c r="J2956" s="81"/>
      <c r="K2956" s="81"/>
      <c r="L2956" s="81"/>
      <c r="M2956" s="81"/>
      <c r="N2956" s="82"/>
    </row>
    <row r="2957">
      <c r="C2957" s="41"/>
      <c r="D2957" s="141"/>
      <c r="E2957" s="118"/>
      <c r="F2957" s="126"/>
      <c r="G2957" s="126"/>
      <c r="H2957" s="126"/>
      <c r="I2957" s="126"/>
      <c r="J2957" s="76"/>
      <c r="K2957" s="76"/>
      <c r="L2957" s="76"/>
      <c r="M2957" s="76"/>
      <c r="N2957" s="114"/>
    </row>
    <row r="2958">
      <c r="C2958" s="41"/>
      <c r="D2958" s="142"/>
      <c r="E2958" s="130"/>
      <c r="F2958" s="128"/>
      <c r="G2958" s="128"/>
      <c r="H2958" s="128"/>
      <c r="I2958" s="128"/>
      <c r="J2958" s="81"/>
      <c r="K2958" s="81"/>
      <c r="L2958" s="81"/>
      <c r="M2958" s="81"/>
      <c r="N2958" s="82"/>
    </row>
    <row r="2959">
      <c r="C2959" s="41"/>
      <c r="D2959" s="141"/>
      <c r="E2959" s="118"/>
      <c r="F2959" s="126"/>
      <c r="G2959" s="126"/>
      <c r="H2959" s="126"/>
      <c r="I2959" s="126"/>
      <c r="J2959" s="76"/>
      <c r="K2959" s="76"/>
      <c r="L2959" s="76"/>
      <c r="M2959" s="76"/>
      <c r="N2959" s="114"/>
    </row>
    <row r="2960">
      <c r="C2960" s="41"/>
      <c r="D2960" s="142"/>
      <c r="E2960" s="130"/>
      <c r="F2960" s="128"/>
      <c r="G2960" s="128"/>
      <c r="H2960" s="128"/>
      <c r="I2960" s="128"/>
      <c r="J2960" s="81"/>
      <c r="K2960" s="81"/>
      <c r="L2960" s="81"/>
      <c r="M2960" s="81"/>
      <c r="N2960" s="82"/>
    </row>
    <row r="2961">
      <c r="C2961" s="41"/>
      <c r="D2961" s="141"/>
      <c r="E2961" s="118"/>
      <c r="F2961" s="126"/>
      <c r="G2961" s="126"/>
      <c r="H2961" s="126"/>
      <c r="I2961" s="126"/>
      <c r="J2961" s="76"/>
      <c r="K2961" s="76"/>
      <c r="L2961" s="76"/>
      <c r="M2961" s="76"/>
      <c r="N2961" s="114"/>
    </row>
    <row r="2962">
      <c r="C2962" s="41"/>
      <c r="D2962" s="142"/>
      <c r="E2962" s="130"/>
      <c r="F2962" s="128"/>
      <c r="G2962" s="128"/>
      <c r="H2962" s="128"/>
      <c r="I2962" s="128"/>
      <c r="J2962" s="81"/>
      <c r="K2962" s="81"/>
      <c r="L2962" s="81"/>
      <c r="M2962" s="81"/>
      <c r="N2962" s="82"/>
    </row>
    <row r="2963">
      <c r="C2963" s="41"/>
      <c r="D2963" s="141"/>
      <c r="E2963" s="118"/>
      <c r="F2963" s="126"/>
      <c r="G2963" s="126"/>
      <c r="H2963" s="126"/>
      <c r="I2963" s="126"/>
      <c r="J2963" s="76"/>
      <c r="K2963" s="76"/>
      <c r="L2963" s="76"/>
      <c r="M2963" s="76"/>
      <c r="N2963" s="114"/>
    </row>
    <row r="2964">
      <c r="C2964" s="41"/>
      <c r="D2964" s="142"/>
      <c r="E2964" s="130"/>
      <c r="F2964" s="128"/>
      <c r="G2964" s="128"/>
      <c r="H2964" s="128"/>
      <c r="I2964" s="128"/>
      <c r="J2964" s="81"/>
      <c r="K2964" s="81"/>
      <c r="L2964" s="81"/>
      <c r="M2964" s="81"/>
      <c r="N2964" s="82"/>
    </row>
    <row r="2965">
      <c r="C2965" s="41"/>
      <c r="D2965" s="141"/>
      <c r="E2965" s="118"/>
      <c r="F2965" s="126"/>
      <c r="G2965" s="126"/>
      <c r="H2965" s="126"/>
      <c r="I2965" s="126"/>
      <c r="J2965" s="76"/>
      <c r="K2965" s="76"/>
      <c r="L2965" s="76"/>
      <c r="M2965" s="76"/>
      <c r="N2965" s="114"/>
    </row>
    <row r="2966">
      <c r="C2966" s="41"/>
      <c r="D2966" s="142"/>
      <c r="E2966" s="130"/>
      <c r="F2966" s="128"/>
      <c r="G2966" s="128"/>
      <c r="H2966" s="128"/>
      <c r="I2966" s="128"/>
      <c r="J2966" s="81"/>
      <c r="K2966" s="81"/>
      <c r="L2966" s="81"/>
      <c r="M2966" s="81"/>
      <c r="N2966" s="82"/>
    </row>
    <row r="2967">
      <c r="C2967" s="41"/>
      <c r="D2967" s="141"/>
      <c r="E2967" s="118"/>
      <c r="F2967" s="126"/>
      <c r="G2967" s="126"/>
      <c r="H2967" s="126"/>
      <c r="I2967" s="126"/>
      <c r="J2967" s="76"/>
      <c r="K2967" s="76"/>
      <c r="L2967" s="76"/>
      <c r="M2967" s="76"/>
      <c r="N2967" s="114"/>
    </row>
    <row r="2968">
      <c r="C2968" s="41"/>
      <c r="D2968" s="142"/>
      <c r="E2968" s="130"/>
      <c r="F2968" s="128"/>
      <c r="G2968" s="128"/>
      <c r="H2968" s="128"/>
      <c r="I2968" s="128"/>
      <c r="J2968" s="81"/>
      <c r="K2968" s="81"/>
      <c r="L2968" s="81"/>
      <c r="M2968" s="81"/>
      <c r="N2968" s="82"/>
    </row>
    <row r="2969">
      <c r="C2969" s="41"/>
      <c r="D2969" s="141"/>
      <c r="E2969" s="118"/>
      <c r="F2969" s="126"/>
      <c r="G2969" s="126"/>
      <c r="H2969" s="126"/>
      <c r="I2969" s="126"/>
      <c r="J2969" s="76"/>
      <c r="K2969" s="76"/>
      <c r="L2969" s="76"/>
      <c r="M2969" s="76"/>
      <c r="N2969" s="114"/>
    </row>
    <row r="2970">
      <c r="C2970" s="41"/>
      <c r="D2970" s="142"/>
      <c r="E2970" s="130"/>
      <c r="F2970" s="128"/>
      <c r="G2970" s="128"/>
      <c r="H2970" s="128"/>
      <c r="I2970" s="128"/>
      <c r="J2970" s="81"/>
      <c r="K2970" s="81"/>
      <c r="L2970" s="81"/>
      <c r="M2970" s="81"/>
      <c r="N2970" s="82"/>
    </row>
    <row r="2971">
      <c r="C2971" s="41"/>
      <c r="D2971" s="141"/>
      <c r="E2971" s="118"/>
      <c r="F2971" s="126"/>
      <c r="G2971" s="126"/>
      <c r="H2971" s="126"/>
      <c r="I2971" s="126"/>
      <c r="J2971" s="76"/>
      <c r="K2971" s="76"/>
      <c r="L2971" s="76"/>
      <c r="M2971" s="76"/>
      <c r="N2971" s="114"/>
    </row>
    <row r="2972">
      <c r="C2972" s="41"/>
      <c r="D2972" s="142"/>
      <c r="E2972" s="130"/>
      <c r="F2972" s="128"/>
      <c r="G2972" s="128"/>
      <c r="H2972" s="128"/>
      <c r="I2972" s="128"/>
      <c r="J2972" s="81"/>
      <c r="K2972" s="81"/>
      <c r="L2972" s="81"/>
      <c r="M2972" s="81"/>
      <c r="N2972" s="82"/>
    </row>
    <row r="2973">
      <c r="C2973" s="41"/>
      <c r="D2973" s="141"/>
      <c r="E2973" s="118"/>
      <c r="F2973" s="126"/>
      <c r="G2973" s="126"/>
      <c r="H2973" s="126"/>
      <c r="I2973" s="126"/>
      <c r="J2973" s="76"/>
      <c r="K2973" s="76"/>
      <c r="L2973" s="76"/>
      <c r="M2973" s="76"/>
      <c r="N2973" s="114"/>
    </row>
    <row r="2974">
      <c r="C2974" s="41"/>
      <c r="D2974" s="142"/>
      <c r="E2974" s="130"/>
      <c r="F2974" s="128"/>
      <c r="G2974" s="128"/>
      <c r="H2974" s="128"/>
      <c r="I2974" s="128"/>
      <c r="J2974" s="81"/>
      <c r="K2974" s="81"/>
      <c r="L2974" s="81"/>
      <c r="M2974" s="81"/>
      <c r="N2974" s="82"/>
    </row>
    <row r="2975">
      <c r="C2975" s="41"/>
      <c r="D2975" s="141"/>
      <c r="E2975" s="118"/>
      <c r="F2975" s="126"/>
      <c r="G2975" s="126"/>
      <c r="H2975" s="126"/>
      <c r="I2975" s="126"/>
      <c r="J2975" s="76"/>
      <c r="K2975" s="76"/>
      <c r="L2975" s="76"/>
      <c r="M2975" s="76"/>
      <c r="N2975" s="114"/>
    </row>
    <row r="2976">
      <c r="C2976" s="41"/>
      <c r="D2976" s="142"/>
      <c r="E2976" s="130"/>
      <c r="F2976" s="128"/>
      <c r="G2976" s="128"/>
      <c r="H2976" s="128"/>
      <c r="I2976" s="128"/>
      <c r="J2976" s="81"/>
      <c r="K2976" s="81"/>
      <c r="L2976" s="81"/>
      <c r="M2976" s="81"/>
      <c r="N2976" s="82"/>
    </row>
    <row r="2977">
      <c r="C2977" s="41"/>
      <c r="D2977" s="141"/>
      <c r="E2977" s="118"/>
      <c r="F2977" s="126"/>
      <c r="G2977" s="126"/>
      <c r="H2977" s="126"/>
      <c r="I2977" s="126"/>
      <c r="J2977" s="76"/>
      <c r="K2977" s="76"/>
      <c r="L2977" s="76"/>
      <c r="M2977" s="76"/>
      <c r="N2977" s="114"/>
    </row>
    <row r="2978">
      <c r="C2978" s="41"/>
      <c r="D2978" s="142"/>
      <c r="E2978" s="130"/>
      <c r="F2978" s="128"/>
      <c r="G2978" s="128"/>
      <c r="H2978" s="128"/>
      <c r="I2978" s="128"/>
      <c r="J2978" s="81"/>
      <c r="K2978" s="81"/>
      <c r="L2978" s="81"/>
      <c r="M2978" s="81"/>
      <c r="N2978" s="82"/>
    </row>
    <row r="2979">
      <c r="C2979" s="41"/>
      <c r="D2979" s="141"/>
      <c r="E2979" s="118"/>
      <c r="F2979" s="126"/>
      <c r="G2979" s="126"/>
      <c r="H2979" s="126"/>
      <c r="I2979" s="126"/>
      <c r="J2979" s="76"/>
      <c r="K2979" s="76"/>
      <c r="L2979" s="76"/>
      <c r="M2979" s="76"/>
      <c r="N2979" s="114"/>
    </row>
    <row r="2980">
      <c r="C2980" s="41"/>
      <c r="D2980" s="142"/>
      <c r="E2980" s="130"/>
      <c r="F2980" s="128"/>
      <c r="G2980" s="128"/>
      <c r="H2980" s="128"/>
      <c r="I2980" s="128"/>
      <c r="J2980" s="81"/>
      <c r="K2980" s="81"/>
      <c r="L2980" s="81"/>
      <c r="M2980" s="81"/>
      <c r="N2980" s="82"/>
    </row>
    <row r="2981">
      <c r="C2981" s="41"/>
      <c r="D2981" s="141"/>
      <c r="E2981" s="118"/>
      <c r="F2981" s="126"/>
      <c r="G2981" s="126"/>
      <c r="H2981" s="126"/>
      <c r="I2981" s="126"/>
      <c r="J2981" s="76"/>
      <c r="K2981" s="76"/>
      <c r="L2981" s="76"/>
      <c r="M2981" s="76"/>
      <c r="N2981" s="114"/>
    </row>
    <row r="2982">
      <c r="C2982" s="41"/>
      <c r="D2982" s="142"/>
      <c r="E2982" s="130"/>
      <c r="F2982" s="128"/>
      <c r="G2982" s="128"/>
      <c r="H2982" s="128"/>
      <c r="I2982" s="128"/>
      <c r="J2982" s="81"/>
      <c r="K2982" s="81"/>
      <c r="L2982" s="81"/>
      <c r="M2982" s="81"/>
      <c r="N2982" s="82"/>
    </row>
    <row r="2983">
      <c r="C2983" s="41"/>
      <c r="D2983" s="141"/>
      <c r="E2983" s="118"/>
      <c r="F2983" s="126"/>
      <c r="G2983" s="126"/>
      <c r="H2983" s="126"/>
      <c r="I2983" s="126"/>
      <c r="J2983" s="76"/>
      <c r="K2983" s="76"/>
      <c r="L2983" s="76"/>
      <c r="M2983" s="76"/>
      <c r="N2983" s="114"/>
    </row>
    <row r="2984">
      <c r="C2984" s="41"/>
      <c r="D2984" s="142"/>
      <c r="E2984" s="130"/>
      <c r="F2984" s="128"/>
      <c r="G2984" s="128"/>
      <c r="H2984" s="128"/>
      <c r="I2984" s="128"/>
      <c r="J2984" s="81"/>
      <c r="K2984" s="81"/>
      <c r="L2984" s="81"/>
      <c r="M2984" s="81"/>
      <c r="N2984" s="82"/>
    </row>
    <row r="2985">
      <c r="C2985" s="41"/>
      <c r="D2985" s="141"/>
      <c r="E2985" s="118"/>
      <c r="F2985" s="126"/>
      <c r="G2985" s="126"/>
      <c r="H2985" s="126"/>
      <c r="I2985" s="126"/>
      <c r="J2985" s="76"/>
      <c r="K2985" s="76"/>
      <c r="L2985" s="76"/>
      <c r="M2985" s="76"/>
      <c r="N2985" s="114"/>
    </row>
    <row r="2986">
      <c r="C2986" s="41"/>
      <c r="D2986" s="142"/>
      <c r="E2986" s="130"/>
      <c r="F2986" s="128"/>
      <c r="G2986" s="128"/>
      <c r="H2986" s="128"/>
      <c r="I2986" s="128"/>
      <c r="J2986" s="81"/>
      <c r="K2986" s="81"/>
      <c r="L2986" s="81"/>
      <c r="M2986" s="81"/>
      <c r="N2986" s="82"/>
    </row>
    <row r="2987">
      <c r="C2987" s="41"/>
      <c r="D2987" s="141"/>
      <c r="E2987" s="118"/>
      <c r="F2987" s="126"/>
      <c r="G2987" s="126"/>
      <c r="H2987" s="126"/>
      <c r="I2987" s="126"/>
      <c r="J2987" s="76"/>
      <c r="K2987" s="76"/>
      <c r="L2987" s="76"/>
      <c r="M2987" s="76"/>
      <c r="N2987" s="114"/>
    </row>
    <row r="2988">
      <c r="C2988" s="41"/>
      <c r="D2988" s="142"/>
      <c r="E2988" s="130"/>
      <c r="F2988" s="128"/>
      <c r="G2988" s="128"/>
      <c r="H2988" s="128"/>
      <c r="I2988" s="128"/>
      <c r="J2988" s="81"/>
      <c r="K2988" s="81"/>
      <c r="L2988" s="81"/>
      <c r="M2988" s="81"/>
      <c r="N2988" s="82"/>
    </row>
    <row r="2989">
      <c r="C2989" s="41"/>
      <c r="D2989" s="141"/>
      <c r="E2989" s="118"/>
      <c r="F2989" s="126"/>
      <c r="G2989" s="126"/>
      <c r="H2989" s="126"/>
      <c r="I2989" s="126"/>
      <c r="J2989" s="76"/>
      <c r="K2989" s="76"/>
      <c r="L2989" s="76"/>
      <c r="M2989" s="76"/>
      <c r="N2989" s="114"/>
    </row>
    <row r="2990">
      <c r="C2990" s="41"/>
      <c r="D2990" s="142"/>
      <c r="E2990" s="130"/>
      <c r="F2990" s="128"/>
      <c r="G2990" s="128"/>
      <c r="H2990" s="128"/>
      <c r="I2990" s="128"/>
      <c r="J2990" s="81"/>
      <c r="K2990" s="81"/>
      <c r="L2990" s="81"/>
      <c r="M2990" s="81"/>
      <c r="N2990" s="82"/>
    </row>
    <row r="2991">
      <c r="C2991" s="41"/>
      <c r="D2991" s="141"/>
      <c r="E2991" s="118"/>
      <c r="F2991" s="126"/>
      <c r="G2991" s="126"/>
      <c r="H2991" s="126"/>
      <c r="I2991" s="126"/>
      <c r="J2991" s="76"/>
      <c r="K2991" s="76"/>
      <c r="L2991" s="76"/>
      <c r="M2991" s="76"/>
      <c r="N2991" s="114"/>
    </row>
    <row r="2992">
      <c r="C2992" s="41"/>
      <c r="D2992" s="142"/>
      <c r="E2992" s="130"/>
      <c r="F2992" s="128"/>
      <c r="G2992" s="128"/>
      <c r="H2992" s="128"/>
      <c r="I2992" s="128"/>
      <c r="J2992" s="81"/>
      <c r="K2992" s="81"/>
      <c r="L2992" s="81"/>
      <c r="M2992" s="81"/>
      <c r="N2992" s="82"/>
    </row>
    <row r="2993">
      <c r="C2993" s="41"/>
      <c r="D2993" s="141"/>
      <c r="E2993" s="118"/>
      <c r="F2993" s="126"/>
      <c r="G2993" s="126"/>
      <c r="H2993" s="126"/>
      <c r="I2993" s="126"/>
      <c r="J2993" s="76"/>
      <c r="K2993" s="76"/>
      <c r="L2993" s="76"/>
      <c r="M2993" s="76"/>
      <c r="N2993" s="114"/>
    </row>
    <row r="2994">
      <c r="C2994" s="41"/>
      <c r="D2994" s="142"/>
      <c r="E2994" s="130"/>
      <c r="F2994" s="128"/>
      <c r="G2994" s="128"/>
      <c r="H2994" s="128"/>
      <c r="I2994" s="128"/>
      <c r="J2994" s="81"/>
      <c r="K2994" s="81"/>
      <c r="L2994" s="81"/>
      <c r="M2994" s="81"/>
      <c r="N2994" s="82"/>
    </row>
    <row r="2995">
      <c r="C2995" s="41"/>
      <c r="D2995" s="141"/>
      <c r="E2995" s="118"/>
      <c r="F2995" s="126"/>
      <c r="G2995" s="126"/>
      <c r="H2995" s="126"/>
      <c r="I2995" s="126"/>
      <c r="J2995" s="76"/>
      <c r="K2995" s="76"/>
      <c r="L2995" s="76"/>
      <c r="M2995" s="76"/>
      <c r="N2995" s="114"/>
    </row>
    <row r="2996">
      <c r="C2996" s="41"/>
      <c r="D2996" s="142"/>
      <c r="E2996" s="130"/>
      <c r="F2996" s="128"/>
      <c r="G2996" s="128"/>
      <c r="H2996" s="128"/>
      <c r="I2996" s="128"/>
      <c r="J2996" s="81"/>
      <c r="K2996" s="81"/>
      <c r="L2996" s="81"/>
      <c r="M2996" s="81"/>
      <c r="N2996" s="82"/>
    </row>
    <row r="2997">
      <c r="C2997" s="41"/>
      <c r="D2997" s="141"/>
      <c r="E2997" s="118"/>
      <c r="F2997" s="126"/>
      <c r="G2997" s="126"/>
      <c r="H2997" s="126"/>
      <c r="I2997" s="126"/>
      <c r="J2997" s="76"/>
      <c r="K2997" s="76"/>
      <c r="L2997" s="76"/>
      <c r="M2997" s="76"/>
      <c r="N2997" s="114"/>
    </row>
    <row r="2998">
      <c r="C2998" s="41"/>
      <c r="D2998" s="142"/>
      <c r="E2998" s="130"/>
      <c r="F2998" s="128"/>
      <c r="G2998" s="128"/>
      <c r="H2998" s="128"/>
      <c r="I2998" s="128"/>
      <c r="J2998" s="81"/>
      <c r="K2998" s="81"/>
      <c r="L2998" s="81"/>
      <c r="M2998" s="81"/>
      <c r="N2998" s="82"/>
    </row>
    <row r="2999">
      <c r="C2999" s="41"/>
      <c r="D2999" s="141"/>
      <c r="E2999" s="118"/>
      <c r="F2999" s="126"/>
      <c r="G2999" s="126"/>
      <c r="H2999" s="126"/>
      <c r="I2999" s="126"/>
      <c r="J2999" s="76"/>
      <c r="K2999" s="76"/>
      <c r="L2999" s="76"/>
      <c r="M2999" s="76"/>
      <c r="N2999" s="114"/>
    </row>
    <row r="3000">
      <c r="C3000" s="41"/>
      <c r="D3000" s="142"/>
      <c r="E3000" s="130"/>
      <c r="F3000" s="128"/>
      <c r="G3000" s="128"/>
      <c r="H3000" s="128"/>
      <c r="I3000" s="128"/>
      <c r="J3000" s="81"/>
      <c r="K3000" s="81"/>
      <c r="L3000" s="81"/>
      <c r="M3000" s="81"/>
      <c r="N3000" s="82"/>
    </row>
    <row r="3001">
      <c r="C3001" s="41"/>
      <c r="D3001" s="141"/>
      <c r="E3001" s="118"/>
      <c r="F3001" s="126"/>
      <c r="G3001" s="126"/>
      <c r="H3001" s="126"/>
      <c r="I3001" s="126"/>
      <c r="J3001" s="76"/>
      <c r="K3001" s="76"/>
      <c r="L3001" s="76"/>
      <c r="M3001" s="76"/>
      <c r="N3001" s="114"/>
    </row>
    <row r="3002">
      <c r="C3002" s="41"/>
      <c r="D3002" s="142"/>
      <c r="E3002" s="130"/>
      <c r="F3002" s="128"/>
      <c r="G3002" s="128"/>
      <c r="H3002" s="128"/>
      <c r="I3002" s="128"/>
      <c r="J3002" s="81"/>
      <c r="K3002" s="81"/>
      <c r="L3002" s="81"/>
      <c r="M3002" s="81"/>
      <c r="N3002" s="82"/>
    </row>
    <row r="3003">
      <c r="C3003" s="41"/>
      <c r="D3003" s="141"/>
      <c r="E3003" s="118"/>
      <c r="F3003" s="126"/>
      <c r="G3003" s="126"/>
      <c r="H3003" s="126"/>
      <c r="I3003" s="126"/>
      <c r="J3003" s="76"/>
      <c r="K3003" s="76"/>
      <c r="L3003" s="76"/>
      <c r="M3003" s="76"/>
      <c r="N3003" s="114"/>
    </row>
    <row r="3004">
      <c r="C3004" s="41"/>
      <c r="D3004" s="142"/>
      <c r="E3004" s="130"/>
      <c r="F3004" s="128"/>
      <c r="G3004" s="128"/>
      <c r="H3004" s="128"/>
      <c r="I3004" s="128"/>
      <c r="J3004" s="81"/>
      <c r="K3004" s="81"/>
      <c r="L3004" s="81"/>
      <c r="M3004" s="81"/>
      <c r="N3004" s="82"/>
    </row>
    <row r="3005">
      <c r="C3005" s="41"/>
      <c r="D3005" s="141"/>
      <c r="E3005" s="118"/>
      <c r="F3005" s="126"/>
      <c r="G3005" s="126"/>
      <c r="H3005" s="126"/>
      <c r="I3005" s="126"/>
      <c r="J3005" s="76"/>
      <c r="K3005" s="76"/>
      <c r="L3005" s="76"/>
      <c r="M3005" s="76"/>
      <c r="N3005" s="114"/>
    </row>
    <row r="3006">
      <c r="C3006" s="41"/>
      <c r="D3006" s="142"/>
      <c r="E3006" s="130"/>
      <c r="F3006" s="128"/>
      <c r="G3006" s="128"/>
      <c r="H3006" s="128"/>
      <c r="I3006" s="128"/>
      <c r="J3006" s="81"/>
      <c r="K3006" s="81"/>
      <c r="L3006" s="81"/>
      <c r="M3006" s="81"/>
      <c r="N3006" s="82"/>
    </row>
    <row r="3007">
      <c r="C3007" s="41"/>
      <c r="D3007" s="141"/>
      <c r="E3007" s="118"/>
      <c r="F3007" s="126"/>
      <c r="G3007" s="126"/>
      <c r="H3007" s="126"/>
      <c r="I3007" s="126"/>
      <c r="J3007" s="76"/>
      <c r="K3007" s="76"/>
      <c r="L3007" s="76"/>
      <c r="M3007" s="76"/>
      <c r="N3007" s="114"/>
    </row>
    <row r="3008">
      <c r="C3008" s="41"/>
      <c r="D3008" s="142"/>
      <c r="E3008" s="130"/>
      <c r="F3008" s="128"/>
      <c r="G3008" s="128"/>
      <c r="H3008" s="128"/>
      <c r="I3008" s="128"/>
      <c r="J3008" s="81"/>
      <c r="K3008" s="81"/>
      <c r="L3008" s="81"/>
      <c r="M3008" s="81"/>
      <c r="N3008" s="82"/>
    </row>
    <row r="3009">
      <c r="C3009" s="41"/>
      <c r="D3009" s="141"/>
      <c r="E3009" s="118"/>
      <c r="F3009" s="126"/>
      <c r="G3009" s="126"/>
      <c r="H3009" s="126"/>
      <c r="I3009" s="126"/>
      <c r="J3009" s="76"/>
      <c r="K3009" s="76"/>
      <c r="L3009" s="76"/>
      <c r="M3009" s="76"/>
      <c r="N3009" s="114"/>
    </row>
    <row r="3010">
      <c r="C3010" s="41"/>
      <c r="D3010" s="142"/>
      <c r="E3010" s="130"/>
      <c r="F3010" s="128"/>
      <c r="G3010" s="128"/>
      <c r="H3010" s="128"/>
      <c r="I3010" s="128"/>
      <c r="J3010" s="81"/>
      <c r="K3010" s="81"/>
      <c r="L3010" s="81"/>
      <c r="M3010" s="81"/>
      <c r="N3010" s="82"/>
    </row>
    <row r="3011">
      <c r="C3011" s="41"/>
      <c r="D3011" s="141"/>
      <c r="E3011" s="118"/>
      <c r="F3011" s="126"/>
      <c r="G3011" s="126"/>
      <c r="H3011" s="126"/>
      <c r="I3011" s="126"/>
      <c r="J3011" s="76"/>
      <c r="K3011" s="76"/>
      <c r="L3011" s="76"/>
      <c r="M3011" s="76"/>
      <c r="N3011" s="114"/>
    </row>
    <row r="3012">
      <c r="C3012" s="41"/>
      <c r="D3012" s="142"/>
      <c r="E3012" s="130"/>
      <c r="F3012" s="128"/>
      <c r="G3012" s="128"/>
      <c r="H3012" s="128"/>
      <c r="I3012" s="128"/>
      <c r="J3012" s="81"/>
      <c r="K3012" s="81"/>
      <c r="L3012" s="81"/>
      <c r="M3012" s="81"/>
      <c r="N3012" s="82"/>
    </row>
    <row r="3013">
      <c r="C3013" s="41"/>
      <c r="D3013" s="141"/>
      <c r="E3013" s="118"/>
      <c r="F3013" s="126"/>
      <c r="G3013" s="126"/>
      <c r="H3013" s="126"/>
      <c r="I3013" s="126"/>
      <c r="J3013" s="76"/>
      <c r="K3013" s="76"/>
      <c r="L3013" s="76"/>
      <c r="M3013" s="76"/>
      <c r="N3013" s="114"/>
    </row>
    <row r="3014">
      <c r="C3014" s="41"/>
      <c r="D3014" s="142"/>
      <c r="E3014" s="130"/>
      <c r="F3014" s="128"/>
      <c r="G3014" s="128"/>
      <c r="H3014" s="128"/>
      <c r="I3014" s="128"/>
      <c r="J3014" s="81"/>
      <c r="K3014" s="81"/>
      <c r="L3014" s="81"/>
      <c r="M3014" s="81"/>
      <c r="N3014" s="82"/>
    </row>
    <row r="3015">
      <c r="C3015" s="41"/>
      <c r="D3015" s="141"/>
      <c r="E3015" s="118"/>
      <c r="F3015" s="126"/>
      <c r="G3015" s="126"/>
      <c r="H3015" s="126"/>
      <c r="I3015" s="126"/>
      <c r="J3015" s="76"/>
      <c r="K3015" s="76"/>
      <c r="L3015" s="76"/>
      <c r="M3015" s="76"/>
      <c r="N3015" s="114"/>
    </row>
    <row r="3016">
      <c r="C3016" s="41"/>
      <c r="D3016" s="142"/>
      <c r="E3016" s="130"/>
      <c r="F3016" s="128"/>
      <c r="G3016" s="128"/>
      <c r="H3016" s="128"/>
      <c r="I3016" s="128"/>
      <c r="J3016" s="81"/>
      <c r="K3016" s="81"/>
      <c r="L3016" s="81"/>
      <c r="M3016" s="81"/>
      <c r="N3016" s="82"/>
    </row>
    <row r="3017">
      <c r="C3017" s="41"/>
      <c r="D3017" s="141"/>
      <c r="E3017" s="118"/>
      <c r="F3017" s="126"/>
      <c r="G3017" s="126"/>
      <c r="H3017" s="126"/>
      <c r="I3017" s="126"/>
      <c r="J3017" s="76"/>
      <c r="K3017" s="76"/>
      <c r="L3017" s="76"/>
      <c r="M3017" s="76"/>
      <c r="N3017" s="114"/>
    </row>
    <row r="3018">
      <c r="C3018" s="41"/>
      <c r="D3018" s="142"/>
      <c r="E3018" s="130"/>
      <c r="F3018" s="128"/>
      <c r="G3018" s="128"/>
      <c r="H3018" s="128"/>
      <c r="I3018" s="128"/>
      <c r="J3018" s="81"/>
      <c r="K3018" s="81"/>
      <c r="L3018" s="81"/>
      <c r="M3018" s="81"/>
      <c r="N3018" s="82"/>
    </row>
    <row r="3019">
      <c r="C3019" s="41"/>
      <c r="D3019" s="141"/>
      <c r="E3019" s="118"/>
      <c r="F3019" s="126"/>
      <c r="G3019" s="126"/>
      <c r="H3019" s="126"/>
      <c r="I3019" s="126"/>
      <c r="J3019" s="76"/>
      <c r="K3019" s="76"/>
      <c r="L3019" s="76"/>
      <c r="M3019" s="76"/>
      <c r="N3019" s="114"/>
    </row>
    <row r="3020">
      <c r="C3020" s="41"/>
      <c r="D3020" s="142"/>
      <c r="E3020" s="130"/>
      <c r="F3020" s="128"/>
      <c r="G3020" s="128"/>
      <c r="H3020" s="128"/>
      <c r="I3020" s="128"/>
      <c r="J3020" s="81"/>
      <c r="K3020" s="81"/>
      <c r="L3020" s="81"/>
      <c r="M3020" s="81"/>
      <c r="N3020" s="82"/>
    </row>
    <row r="3021">
      <c r="C3021" s="41"/>
      <c r="D3021" s="141"/>
      <c r="E3021" s="118"/>
      <c r="F3021" s="126"/>
      <c r="G3021" s="126"/>
      <c r="H3021" s="126"/>
      <c r="I3021" s="126"/>
      <c r="J3021" s="76"/>
      <c r="K3021" s="76"/>
      <c r="L3021" s="76"/>
      <c r="M3021" s="76"/>
      <c r="N3021" s="114"/>
    </row>
    <row r="3022">
      <c r="C3022" s="41"/>
      <c r="D3022" s="142"/>
      <c r="E3022" s="130"/>
      <c r="F3022" s="128"/>
      <c r="G3022" s="128"/>
      <c r="H3022" s="128"/>
      <c r="I3022" s="128"/>
      <c r="J3022" s="81"/>
      <c r="K3022" s="81"/>
      <c r="L3022" s="81"/>
      <c r="M3022" s="81"/>
      <c r="N3022" s="82"/>
    </row>
    <row r="3023">
      <c r="C3023" s="41"/>
      <c r="D3023" s="141"/>
      <c r="E3023" s="118"/>
      <c r="F3023" s="126"/>
      <c r="G3023" s="126"/>
      <c r="H3023" s="126"/>
      <c r="I3023" s="126"/>
      <c r="J3023" s="76"/>
      <c r="K3023" s="76"/>
      <c r="L3023" s="76"/>
      <c r="M3023" s="76"/>
      <c r="N3023" s="114"/>
    </row>
    <row r="3024">
      <c r="C3024" s="41"/>
      <c r="D3024" s="142"/>
      <c r="E3024" s="130"/>
      <c r="F3024" s="128"/>
      <c r="G3024" s="128"/>
      <c r="H3024" s="128"/>
      <c r="I3024" s="128"/>
      <c r="J3024" s="81"/>
      <c r="K3024" s="81"/>
      <c r="L3024" s="81"/>
      <c r="M3024" s="81"/>
      <c r="N3024" s="82"/>
    </row>
    <row r="3025">
      <c r="C3025" s="41"/>
      <c r="D3025" s="141"/>
      <c r="E3025" s="118"/>
      <c r="F3025" s="126"/>
      <c r="G3025" s="126"/>
      <c r="H3025" s="126"/>
      <c r="I3025" s="126"/>
      <c r="J3025" s="76"/>
      <c r="K3025" s="76"/>
      <c r="L3025" s="76"/>
      <c r="M3025" s="76"/>
      <c r="N3025" s="114"/>
    </row>
    <row r="3026">
      <c r="C3026" s="41"/>
      <c r="D3026" s="142"/>
      <c r="E3026" s="130"/>
      <c r="F3026" s="128"/>
      <c r="G3026" s="128"/>
      <c r="H3026" s="128"/>
      <c r="I3026" s="128"/>
      <c r="J3026" s="81"/>
      <c r="K3026" s="81"/>
      <c r="L3026" s="81"/>
      <c r="M3026" s="81"/>
      <c r="N3026" s="82"/>
    </row>
    <row r="3027">
      <c r="C3027" s="41"/>
      <c r="D3027" s="141"/>
      <c r="E3027" s="118"/>
      <c r="F3027" s="126"/>
      <c r="G3027" s="126"/>
      <c r="H3027" s="126"/>
      <c r="I3027" s="126"/>
      <c r="J3027" s="76"/>
      <c r="K3027" s="76"/>
      <c r="L3027" s="76"/>
      <c r="M3027" s="76"/>
      <c r="N3027" s="114"/>
    </row>
    <row r="3028">
      <c r="C3028" s="41"/>
      <c r="D3028" s="142"/>
      <c r="E3028" s="130"/>
      <c r="F3028" s="128"/>
      <c r="G3028" s="128"/>
      <c r="H3028" s="128"/>
      <c r="I3028" s="128"/>
      <c r="J3028" s="81"/>
      <c r="K3028" s="81"/>
      <c r="L3028" s="81"/>
      <c r="M3028" s="81"/>
      <c r="N3028" s="82"/>
    </row>
    <row r="3029">
      <c r="C3029" s="41"/>
      <c r="D3029" s="141"/>
      <c r="E3029" s="118"/>
      <c r="F3029" s="126"/>
      <c r="G3029" s="126"/>
      <c r="H3029" s="126"/>
      <c r="I3029" s="126"/>
      <c r="J3029" s="76"/>
      <c r="K3029" s="76"/>
      <c r="L3029" s="76"/>
      <c r="M3029" s="76"/>
      <c r="N3029" s="114"/>
    </row>
    <row r="3030">
      <c r="C3030" s="41"/>
      <c r="D3030" s="142"/>
      <c r="E3030" s="130"/>
      <c r="F3030" s="128"/>
      <c r="G3030" s="128"/>
      <c r="H3030" s="128"/>
      <c r="I3030" s="128"/>
      <c r="J3030" s="81"/>
      <c r="K3030" s="81"/>
      <c r="L3030" s="81"/>
      <c r="M3030" s="81"/>
      <c r="N3030" s="82"/>
    </row>
    <row r="3031">
      <c r="C3031" s="41"/>
      <c r="D3031" s="141"/>
      <c r="E3031" s="118"/>
      <c r="F3031" s="126"/>
      <c r="G3031" s="126"/>
      <c r="H3031" s="126"/>
      <c r="I3031" s="126"/>
      <c r="J3031" s="76"/>
      <c r="K3031" s="76"/>
      <c r="L3031" s="76"/>
      <c r="M3031" s="76"/>
      <c r="N3031" s="114"/>
    </row>
    <row r="3032">
      <c r="C3032" s="41"/>
      <c r="D3032" s="142"/>
      <c r="E3032" s="130"/>
      <c r="F3032" s="128"/>
      <c r="G3032" s="128"/>
      <c r="H3032" s="128"/>
      <c r="I3032" s="128"/>
      <c r="J3032" s="81"/>
      <c r="K3032" s="81"/>
      <c r="L3032" s="81"/>
      <c r="M3032" s="81"/>
      <c r="N3032" s="82"/>
    </row>
    <row r="3033">
      <c r="C3033" s="41"/>
      <c r="D3033" s="141"/>
      <c r="E3033" s="118"/>
      <c r="F3033" s="126"/>
      <c r="G3033" s="126"/>
      <c r="H3033" s="126"/>
      <c r="I3033" s="126"/>
      <c r="J3033" s="76"/>
      <c r="K3033" s="76"/>
      <c r="L3033" s="76"/>
      <c r="M3033" s="76"/>
      <c r="N3033" s="114"/>
    </row>
    <row r="3034">
      <c r="C3034" s="41"/>
      <c r="D3034" s="142"/>
      <c r="E3034" s="130"/>
      <c r="F3034" s="128"/>
      <c r="G3034" s="128"/>
      <c r="H3034" s="128"/>
      <c r="I3034" s="128"/>
      <c r="J3034" s="81"/>
      <c r="K3034" s="81"/>
      <c r="L3034" s="81"/>
      <c r="M3034" s="81"/>
      <c r="N3034" s="82"/>
    </row>
    <row r="3035">
      <c r="C3035" s="41"/>
      <c r="D3035" s="141"/>
      <c r="E3035" s="118"/>
      <c r="F3035" s="126"/>
      <c r="G3035" s="126"/>
      <c r="H3035" s="126"/>
      <c r="I3035" s="126"/>
      <c r="J3035" s="76"/>
      <c r="K3035" s="76"/>
      <c r="L3035" s="76"/>
      <c r="M3035" s="76"/>
      <c r="N3035" s="114"/>
    </row>
    <row r="3036">
      <c r="C3036" s="41"/>
      <c r="D3036" s="142"/>
      <c r="E3036" s="130"/>
      <c r="F3036" s="128"/>
      <c r="G3036" s="128"/>
      <c r="H3036" s="128"/>
      <c r="I3036" s="128"/>
      <c r="J3036" s="81"/>
      <c r="K3036" s="81"/>
      <c r="L3036" s="81"/>
      <c r="M3036" s="81"/>
      <c r="N3036" s="82"/>
    </row>
    <row r="3037">
      <c r="C3037" s="41"/>
      <c r="D3037" s="141"/>
      <c r="E3037" s="118"/>
      <c r="F3037" s="126"/>
      <c r="G3037" s="126"/>
      <c r="H3037" s="126"/>
      <c r="I3037" s="126"/>
      <c r="J3037" s="76"/>
      <c r="K3037" s="76"/>
      <c r="L3037" s="76"/>
      <c r="M3037" s="76"/>
      <c r="N3037" s="114"/>
    </row>
    <row r="3038">
      <c r="C3038" s="41"/>
      <c r="D3038" s="142"/>
      <c r="E3038" s="130"/>
      <c r="F3038" s="128"/>
      <c r="G3038" s="128"/>
      <c r="H3038" s="128"/>
      <c r="I3038" s="128"/>
      <c r="J3038" s="81"/>
      <c r="K3038" s="81"/>
      <c r="L3038" s="81"/>
      <c r="M3038" s="81"/>
      <c r="N3038" s="82"/>
    </row>
    <row r="3039">
      <c r="C3039" s="41"/>
      <c r="D3039" s="141"/>
      <c r="E3039" s="118"/>
      <c r="F3039" s="126"/>
      <c r="G3039" s="126"/>
      <c r="H3039" s="126"/>
      <c r="I3039" s="126"/>
      <c r="J3039" s="76"/>
      <c r="K3039" s="76"/>
      <c r="L3039" s="76"/>
      <c r="M3039" s="76"/>
      <c r="N3039" s="114"/>
    </row>
    <row r="3040">
      <c r="C3040" s="41"/>
      <c r="D3040" s="142"/>
      <c r="E3040" s="130"/>
      <c r="F3040" s="128"/>
      <c r="G3040" s="128"/>
      <c r="H3040" s="128"/>
      <c r="I3040" s="128"/>
      <c r="J3040" s="81"/>
      <c r="K3040" s="81"/>
      <c r="L3040" s="81"/>
      <c r="M3040" s="81"/>
      <c r="N3040" s="82"/>
    </row>
    <row r="3041">
      <c r="C3041" s="41"/>
      <c r="D3041" s="141"/>
      <c r="E3041" s="118"/>
      <c r="F3041" s="126"/>
      <c r="G3041" s="126"/>
      <c r="H3041" s="126"/>
      <c r="I3041" s="126"/>
      <c r="J3041" s="76"/>
      <c r="K3041" s="76"/>
      <c r="L3041" s="76"/>
      <c r="M3041" s="76"/>
      <c r="N3041" s="114"/>
    </row>
    <row r="3042">
      <c r="C3042" s="41"/>
      <c r="D3042" s="142"/>
      <c r="E3042" s="130"/>
      <c r="F3042" s="128"/>
      <c r="G3042" s="128"/>
      <c r="H3042" s="128"/>
      <c r="I3042" s="128"/>
      <c r="J3042" s="81"/>
      <c r="K3042" s="81"/>
      <c r="L3042" s="81"/>
      <c r="M3042" s="81"/>
      <c r="N3042" s="82"/>
    </row>
    <row r="3043">
      <c r="C3043" s="41"/>
      <c r="D3043" s="141"/>
      <c r="E3043" s="118"/>
      <c r="F3043" s="126"/>
      <c r="G3043" s="126"/>
      <c r="H3043" s="126"/>
      <c r="I3043" s="126"/>
      <c r="J3043" s="76"/>
      <c r="K3043" s="76"/>
      <c r="L3043" s="76"/>
      <c r="M3043" s="76"/>
      <c r="N3043" s="114"/>
    </row>
    <row r="3044">
      <c r="C3044" s="41"/>
      <c r="D3044" s="142"/>
      <c r="E3044" s="130"/>
      <c r="F3044" s="128"/>
      <c r="G3044" s="128"/>
      <c r="H3044" s="128"/>
      <c r="I3044" s="128"/>
      <c r="J3044" s="81"/>
      <c r="K3044" s="81"/>
      <c r="L3044" s="81"/>
      <c r="M3044" s="81"/>
      <c r="N3044" s="82"/>
    </row>
    <row r="3045">
      <c r="C3045" s="41"/>
      <c r="D3045" s="141"/>
      <c r="E3045" s="118"/>
      <c r="F3045" s="126"/>
      <c r="G3045" s="126"/>
      <c r="H3045" s="126"/>
      <c r="I3045" s="126"/>
      <c r="J3045" s="76"/>
      <c r="K3045" s="76"/>
      <c r="L3045" s="76"/>
      <c r="M3045" s="76"/>
      <c r="N3045" s="114"/>
    </row>
    <row r="3046">
      <c r="C3046" s="41"/>
      <c r="D3046" s="142"/>
      <c r="E3046" s="130"/>
      <c r="F3046" s="128"/>
      <c r="G3046" s="128"/>
      <c r="H3046" s="128"/>
      <c r="I3046" s="128"/>
      <c r="J3046" s="81"/>
      <c r="K3046" s="81"/>
      <c r="L3046" s="81"/>
      <c r="M3046" s="81"/>
      <c r="N3046" s="82"/>
    </row>
    <row r="3047">
      <c r="C3047" s="41"/>
      <c r="D3047" s="141"/>
      <c r="E3047" s="118"/>
      <c r="F3047" s="126"/>
      <c r="G3047" s="126"/>
      <c r="H3047" s="126"/>
      <c r="I3047" s="126"/>
      <c r="J3047" s="76"/>
      <c r="K3047" s="76"/>
      <c r="L3047" s="76"/>
      <c r="M3047" s="76"/>
      <c r="N3047" s="114"/>
    </row>
    <row r="3048">
      <c r="C3048" s="41"/>
      <c r="D3048" s="142"/>
      <c r="E3048" s="130"/>
      <c r="F3048" s="128"/>
      <c r="G3048" s="128"/>
      <c r="H3048" s="128"/>
      <c r="I3048" s="128"/>
      <c r="J3048" s="81"/>
      <c r="K3048" s="81"/>
      <c r="L3048" s="81"/>
      <c r="M3048" s="81"/>
      <c r="N3048" s="82"/>
    </row>
    <row r="3049">
      <c r="C3049" s="41"/>
      <c r="D3049" s="141"/>
      <c r="E3049" s="118"/>
      <c r="F3049" s="126"/>
      <c r="G3049" s="126"/>
      <c r="H3049" s="126"/>
      <c r="I3049" s="126"/>
      <c r="J3049" s="76"/>
      <c r="K3049" s="76"/>
      <c r="L3049" s="76"/>
      <c r="M3049" s="76"/>
      <c r="N3049" s="114"/>
    </row>
    <row r="3050">
      <c r="C3050" s="41"/>
      <c r="D3050" s="142"/>
      <c r="E3050" s="130"/>
      <c r="F3050" s="128"/>
      <c r="G3050" s="128"/>
      <c r="H3050" s="128"/>
      <c r="I3050" s="128"/>
      <c r="J3050" s="81"/>
      <c r="K3050" s="81"/>
      <c r="L3050" s="81"/>
      <c r="M3050" s="81"/>
      <c r="N3050" s="82"/>
    </row>
    <row r="3051">
      <c r="C3051" s="41"/>
      <c r="D3051" s="141"/>
      <c r="E3051" s="118"/>
      <c r="F3051" s="126"/>
      <c r="G3051" s="126"/>
      <c r="H3051" s="126"/>
      <c r="I3051" s="126"/>
      <c r="J3051" s="76"/>
      <c r="K3051" s="76"/>
      <c r="L3051" s="76"/>
      <c r="M3051" s="76"/>
      <c r="N3051" s="114"/>
    </row>
    <row r="3052">
      <c r="C3052" s="41"/>
      <c r="D3052" s="142"/>
      <c r="E3052" s="130"/>
      <c r="F3052" s="128"/>
      <c r="G3052" s="128"/>
      <c r="H3052" s="128"/>
      <c r="I3052" s="128"/>
      <c r="J3052" s="81"/>
      <c r="K3052" s="81"/>
      <c r="L3052" s="81"/>
      <c r="M3052" s="81"/>
      <c r="N3052" s="82"/>
    </row>
    <row r="3053">
      <c r="C3053" s="41"/>
      <c r="D3053" s="141"/>
      <c r="E3053" s="118"/>
      <c r="F3053" s="126"/>
      <c r="G3053" s="126"/>
      <c r="H3053" s="126"/>
      <c r="I3053" s="126"/>
      <c r="J3053" s="76"/>
      <c r="K3053" s="76"/>
      <c r="L3053" s="76"/>
      <c r="M3053" s="76"/>
      <c r="N3053" s="114"/>
    </row>
    <row r="3054">
      <c r="C3054" s="41"/>
      <c r="D3054" s="142"/>
      <c r="E3054" s="130"/>
      <c r="F3054" s="128"/>
      <c r="G3054" s="128"/>
      <c r="H3054" s="128"/>
      <c r="I3054" s="128"/>
      <c r="J3054" s="81"/>
      <c r="K3054" s="81"/>
      <c r="L3054" s="81"/>
      <c r="M3054" s="81"/>
      <c r="N3054" s="82"/>
    </row>
    <row r="3055">
      <c r="C3055" s="41"/>
      <c r="D3055" s="141"/>
      <c r="E3055" s="118"/>
      <c r="F3055" s="126"/>
      <c r="G3055" s="126"/>
      <c r="H3055" s="126"/>
      <c r="I3055" s="126"/>
      <c r="J3055" s="76"/>
      <c r="K3055" s="76"/>
      <c r="L3055" s="76"/>
      <c r="M3055" s="76"/>
      <c r="N3055" s="114"/>
    </row>
    <row r="3056">
      <c r="C3056" s="41"/>
      <c r="D3056" s="142"/>
      <c r="E3056" s="130"/>
      <c r="F3056" s="128"/>
      <c r="G3056" s="128"/>
      <c r="H3056" s="128"/>
      <c r="I3056" s="128"/>
      <c r="J3056" s="81"/>
      <c r="K3056" s="81"/>
      <c r="L3056" s="81"/>
      <c r="M3056" s="81"/>
      <c r="N3056" s="82"/>
    </row>
    <row r="3057">
      <c r="C3057" s="41"/>
      <c r="D3057" s="141"/>
      <c r="E3057" s="118"/>
      <c r="F3057" s="126"/>
      <c r="G3057" s="126"/>
      <c r="H3057" s="126"/>
      <c r="I3057" s="126"/>
      <c r="J3057" s="76"/>
      <c r="K3057" s="76"/>
      <c r="L3057" s="76"/>
      <c r="M3057" s="76"/>
      <c r="N3057" s="114"/>
    </row>
    <row r="3058">
      <c r="C3058" s="41"/>
      <c r="D3058" s="142"/>
      <c r="E3058" s="130"/>
      <c r="F3058" s="128"/>
      <c r="G3058" s="128"/>
      <c r="H3058" s="128"/>
      <c r="I3058" s="128"/>
      <c r="J3058" s="81"/>
      <c r="K3058" s="81"/>
      <c r="L3058" s="81"/>
      <c r="M3058" s="81"/>
      <c r="N3058" s="82"/>
    </row>
    <row r="3059">
      <c r="C3059" s="41"/>
      <c r="D3059" s="141"/>
      <c r="E3059" s="118"/>
      <c r="F3059" s="126"/>
      <c r="G3059" s="126"/>
      <c r="H3059" s="126"/>
      <c r="I3059" s="126"/>
      <c r="J3059" s="76"/>
      <c r="K3059" s="76"/>
      <c r="L3059" s="76"/>
      <c r="M3059" s="76"/>
      <c r="N3059" s="114"/>
    </row>
    <row r="3060">
      <c r="C3060" s="41"/>
      <c r="D3060" s="142"/>
      <c r="E3060" s="130"/>
      <c r="F3060" s="128"/>
      <c r="G3060" s="128"/>
      <c r="H3060" s="128"/>
      <c r="I3060" s="128"/>
      <c r="J3060" s="81"/>
      <c r="K3060" s="81"/>
      <c r="L3060" s="81"/>
      <c r="M3060" s="81"/>
      <c r="N3060" s="82"/>
    </row>
    <row r="3061">
      <c r="C3061" s="41"/>
      <c r="D3061" s="141"/>
      <c r="E3061" s="118"/>
      <c r="F3061" s="126"/>
      <c r="G3061" s="126"/>
      <c r="H3061" s="126"/>
      <c r="I3061" s="126"/>
      <c r="J3061" s="76"/>
      <c r="K3061" s="76"/>
      <c r="L3061" s="76"/>
      <c r="M3061" s="76"/>
      <c r="N3061" s="114"/>
    </row>
    <row r="3062">
      <c r="C3062" s="41"/>
      <c r="D3062" s="142"/>
      <c r="E3062" s="130"/>
      <c r="F3062" s="128"/>
      <c r="G3062" s="128"/>
      <c r="H3062" s="128"/>
      <c r="I3062" s="128"/>
      <c r="J3062" s="81"/>
      <c r="K3062" s="81"/>
      <c r="L3062" s="81"/>
      <c r="M3062" s="81"/>
      <c r="N3062" s="82"/>
    </row>
    <row r="3063">
      <c r="C3063" s="41"/>
      <c r="D3063" s="141"/>
      <c r="E3063" s="118"/>
      <c r="F3063" s="126"/>
      <c r="G3063" s="126"/>
      <c r="H3063" s="126"/>
      <c r="I3063" s="126"/>
      <c r="J3063" s="76"/>
      <c r="K3063" s="76"/>
      <c r="L3063" s="76"/>
      <c r="M3063" s="76"/>
      <c r="N3063" s="114"/>
    </row>
    <row r="3064">
      <c r="C3064" s="41"/>
      <c r="D3064" s="142"/>
      <c r="E3064" s="130"/>
      <c r="F3064" s="128"/>
      <c r="G3064" s="128"/>
      <c r="H3064" s="128"/>
      <c r="I3064" s="128"/>
      <c r="J3064" s="81"/>
      <c r="K3064" s="81"/>
      <c r="L3064" s="81"/>
      <c r="M3064" s="81"/>
      <c r="N3064" s="82"/>
    </row>
    <row r="3065">
      <c r="C3065" s="41"/>
      <c r="D3065" s="141"/>
      <c r="E3065" s="118"/>
      <c r="F3065" s="126"/>
      <c r="G3065" s="126"/>
      <c r="H3065" s="126"/>
      <c r="I3065" s="126"/>
      <c r="J3065" s="76"/>
      <c r="K3065" s="76"/>
      <c r="L3065" s="76"/>
      <c r="M3065" s="76"/>
      <c r="N3065" s="114"/>
    </row>
    <row r="3066">
      <c r="C3066" s="41"/>
      <c r="D3066" s="142"/>
      <c r="E3066" s="130"/>
      <c r="F3066" s="128"/>
      <c r="G3066" s="128"/>
      <c r="H3066" s="128"/>
      <c r="I3066" s="128"/>
      <c r="J3066" s="81"/>
      <c r="K3066" s="81"/>
      <c r="L3066" s="81"/>
      <c r="M3066" s="81"/>
      <c r="N3066" s="82"/>
    </row>
    <row r="3067">
      <c r="C3067" s="41"/>
      <c r="D3067" s="141"/>
      <c r="E3067" s="118"/>
      <c r="F3067" s="126"/>
      <c r="G3067" s="126"/>
      <c r="H3067" s="126"/>
      <c r="I3067" s="126"/>
      <c r="J3067" s="76"/>
      <c r="K3067" s="76"/>
      <c r="L3067" s="76"/>
      <c r="M3067" s="76"/>
      <c r="N3067" s="114"/>
    </row>
    <row r="3068">
      <c r="C3068" s="41"/>
      <c r="D3068" s="142"/>
      <c r="E3068" s="130"/>
      <c r="F3068" s="128"/>
      <c r="G3068" s="128"/>
      <c r="H3068" s="128"/>
      <c r="I3068" s="128"/>
      <c r="J3068" s="81"/>
      <c r="K3068" s="81"/>
      <c r="L3068" s="81"/>
      <c r="M3068" s="81"/>
      <c r="N3068" s="82"/>
    </row>
    <row r="3069">
      <c r="C3069" s="41"/>
      <c r="D3069" s="141"/>
      <c r="E3069" s="118"/>
      <c r="F3069" s="126"/>
      <c r="G3069" s="126"/>
      <c r="H3069" s="126"/>
      <c r="I3069" s="126"/>
      <c r="J3069" s="76"/>
      <c r="K3069" s="76"/>
      <c r="L3069" s="76"/>
      <c r="M3069" s="76"/>
      <c r="N3069" s="114"/>
    </row>
    <row r="3070">
      <c r="C3070" s="41"/>
      <c r="D3070" s="142"/>
      <c r="E3070" s="130"/>
      <c r="F3070" s="128"/>
      <c r="G3070" s="128"/>
      <c r="H3070" s="128"/>
      <c r="I3070" s="128"/>
      <c r="J3070" s="81"/>
      <c r="K3070" s="81"/>
      <c r="L3070" s="81"/>
      <c r="M3070" s="81"/>
      <c r="N3070" s="82"/>
    </row>
    <row r="3071">
      <c r="C3071" s="41"/>
      <c r="D3071" s="141"/>
      <c r="E3071" s="118"/>
      <c r="F3071" s="126"/>
      <c r="G3071" s="126"/>
      <c r="H3071" s="126"/>
      <c r="I3071" s="126"/>
      <c r="J3071" s="76"/>
      <c r="K3071" s="76"/>
      <c r="L3071" s="76"/>
      <c r="M3071" s="76"/>
      <c r="N3071" s="114"/>
    </row>
    <row r="3072">
      <c r="C3072" s="41"/>
      <c r="D3072" s="142"/>
      <c r="E3072" s="130"/>
      <c r="F3072" s="128"/>
      <c r="G3072" s="128"/>
      <c r="H3072" s="128"/>
      <c r="I3072" s="128"/>
      <c r="J3072" s="81"/>
      <c r="K3072" s="81"/>
      <c r="L3072" s="81"/>
      <c r="M3072" s="81"/>
      <c r="N3072" s="82"/>
    </row>
    <row r="3073">
      <c r="C3073" s="41"/>
      <c r="D3073" s="141"/>
      <c r="E3073" s="118"/>
      <c r="F3073" s="126"/>
      <c r="G3073" s="126"/>
      <c r="H3073" s="126"/>
      <c r="I3073" s="126"/>
      <c r="J3073" s="76"/>
      <c r="K3073" s="76"/>
      <c r="L3073" s="76"/>
      <c r="M3073" s="76"/>
      <c r="N3073" s="114"/>
    </row>
    <row r="3074">
      <c r="C3074" s="41"/>
      <c r="D3074" s="142"/>
      <c r="E3074" s="130"/>
      <c r="F3074" s="128"/>
      <c r="G3074" s="128"/>
      <c r="H3074" s="128"/>
      <c r="I3074" s="128"/>
      <c r="J3074" s="81"/>
      <c r="K3074" s="81"/>
      <c r="L3074" s="81"/>
      <c r="M3074" s="81"/>
      <c r="N3074" s="82"/>
    </row>
    <row r="3075">
      <c r="C3075" s="41"/>
      <c r="D3075" s="141"/>
      <c r="E3075" s="118"/>
      <c r="F3075" s="126"/>
      <c r="G3075" s="126"/>
      <c r="H3075" s="126"/>
      <c r="I3075" s="126"/>
      <c r="J3075" s="76"/>
      <c r="K3075" s="76"/>
      <c r="L3075" s="76"/>
      <c r="M3075" s="76"/>
      <c r="N3075" s="114"/>
    </row>
    <row r="3076">
      <c r="C3076" s="41"/>
      <c r="D3076" s="142"/>
      <c r="E3076" s="130"/>
      <c r="F3076" s="128"/>
      <c r="G3076" s="128"/>
      <c r="H3076" s="128"/>
      <c r="I3076" s="128"/>
      <c r="J3076" s="81"/>
      <c r="K3076" s="81"/>
      <c r="L3076" s="81"/>
      <c r="M3076" s="81"/>
      <c r="N3076" s="82"/>
    </row>
    <row r="3077">
      <c r="C3077" s="41"/>
      <c r="D3077" s="141"/>
      <c r="E3077" s="118"/>
      <c r="F3077" s="126"/>
      <c r="G3077" s="126"/>
      <c r="H3077" s="126"/>
      <c r="I3077" s="126"/>
      <c r="J3077" s="76"/>
      <c r="K3077" s="76"/>
      <c r="L3077" s="76"/>
      <c r="M3077" s="76"/>
      <c r="N3077" s="114"/>
    </row>
    <row r="3078">
      <c r="C3078" s="41"/>
      <c r="D3078" s="142"/>
      <c r="E3078" s="130"/>
      <c r="F3078" s="128"/>
      <c r="G3078" s="128"/>
      <c r="H3078" s="128"/>
      <c r="I3078" s="128"/>
      <c r="J3078" s="81"/>
      <c r="K3078" s="81"/>
      <c r="L3078" s="81"/>
      <c r="M3078" s="81"/>
      <c r="N3078" s="82"/>
    </row>
    <row r="3079">
      <c r="C3079" s="41"/>
      <c r="D3079" s="141"/>
      <c r="E3079" s="118"/>
      <c r="F3079" s="126"/>
      <c r="G3079" s="126"/>
      <c r="H3079" s="126"/>
      <c r="I3079" s="126"/>
      <c r="J3079" s="76"/>
      <c r="K3079" s="76"/>
      <c r="L3079" s="76"/>
      <c r="M3079" s="76"/>
      <c r="N3079" s="114"/>
    </row>
    <row r="3080">
      <c r="C3080" s="41"/>
      <c r="D3080" s="142"/>
      <c r="E3080" s="130"/>
      <c r="F3080" s="128"/>
      <c r="G3080" s="128"/>
      <c r="H3080" s="128"/>
      <c r="I3080" s="128"/>
      <c r="J3080" s="81"/>
      <c r="K3080" s="81"/>
      <c r="L3080" s="81"/>
      <c r="M3080" s="81"/>
      <c r="N3080" s="82"/>
    </row>
    <row r="3081">
      <c r="C3081" s="41"/>
      <c r="D3081" s="141"/>
      <c r="E3081" s="118"/>
      <c r="F3081" s="126"/>
      <c r="G3081" s="126"/>
      <c r="H3081" s="126"/>
      <c r="I3081" s="126"/>
      <c r="J3081" s="76"/>
      <c r="K3081" s="76"/>
      <c r="L3081" s="76"/>
      <c r="M3081" s="76"/>
      <c r="N3081" s="114"/>
    </row>
    <row r="3082">
      <c r="C3082" s="41"/>
      <c r="D3082" s="142"/>
      <c r="E3082" s="130"/>
      <c r="F3082" s="128"/>
      <c r="G3082" s="128"/>
      <c r="H3082" s="128"/>
      <c r="I3082" s="128"/>
      <c r="J3082" s="81"/>
      <c r="K3082" s="81"/>
      <c r="L3082" s="81"/>
      <c r="M3082" s="81"/>
      <c r="N3082" s="82"/>
    </row>
    <row r="3083">
      <c r="C3083" s="41"/>
      <c r="D3083" s="141"/>
      <c r="E3083" s="118"/>
      <c r="F3083" s="126"/>
      <c r="G3083" s="126"/>
      <c r="H3083" s="126"/>
      <c r="I3083" s="126"/>
      <c r="J3083" s="76"/>
      <c r="K3083" s="76"/>
      <c r="L3083" s="76"/>
      <c r="M3083" s="76"/>
      <c r="N3083" s="114"/>
    </row>
    <row r="3084">
      <c r="C3084" s="41"/>
      <c r="D3084" s="142"/>
      <c r="E3084" s="130"/>
      <c r="F3084" s="128"/>
      <c r="G3084" s="128"/>
      <c r="H3084" s="128"/>
      <c r="I3084" s="128"/>
      <c r="J3084" s="81"/>
      <c r="K3084" s="81"/>
      <c r="L3084" s="81"/>
      <c r="M3084" s="81"/>
      <c r="N3084" s="82"/>
    </row>
    <row r="3085">
      <c r="C3085" s="41"/>
      <c r="D3085" s="141"/>
      <c r="E3085" s="118"/>
      <c r="F3085" s="126"/>
      <c r="G3085" s="126"/>
      <c r="H3085" s="126"/>
      <c r="I3085" s="126"/>
      <c r="J3085" s="76"/>
      <c r="K3085" s="76"/>
      <c r="L3085" s="76"/>
      <c r="M3085" s="76"/>
      <c r="N3085" s="114"/>
    </row>
    <row r="3086">
      <c r="C3086" s="41"/>
      <c r="D3086" s="142"/>
      <c r="E3086" s="130"/>
      <c r="F3086" s="128"/>
      <c r="G3086" s="128"/>
      <c r="H3086" s="128"/>
      <c r="I3086" s="128"/>
      <c r="J3086" s="81"/>
      <c r="K3086" s="81"/>
      <c r="L3086" s="81"/>
      <c r="M3086" s="81"/>
      <c r="N3086" s="82"/>
    </row>
    <row r="3087">
      <c r="C3087" s="41"/>
      <c r="D3087" s="141"/>
      <c r="E3087" s="118"/>
      <c r="F3087" s="126"/>
      <c r="G3087" s="126"/>
      <c r="H3087" s="126"/>
      <c r="I3087" s="126"/>
      <c r="J3087" s="76"/>
      <c r="K3087" s="76"/>
      <c r="L3087" s="76"/>
      <c r="M3087" s="76"/>
      <c r="N3087" s="114"/>
    </row>
    <row r="3088">
      <c r="C3088" s="41"/>
      <c r="D3088" s="142"/>
      <c r="E3088" s="130"/>
      <c r="F3088" s="128"/>
      <c r="G3088" s="128"/>
      <c r="H3088" s="128"/>
      <c r="I3088" s="128"/>
      <c r="J3088" s="81"/>
      <c r="K3088" s="81"/>
      <c r="L3088" s="81"/>
      <c r="M3088" s="81"/>
      <c r="N3088" s="82"/>
    </row>
    <row r="3089">
      <c r="C3089" s="41"/>
      <c r="D3089" s="141"/>
      <c r="E3089" s="118"/>
      <c r="F3089" s="126"/>
      <c r="G3089" s="126"/>
      <c r="H3089" s="126"/>
      <c r="I3089" s="126"/>
      <c r="J3089" s="76"/>
      <c r="K3089" s="76"/>
      <c r="L3089" s="76"/>
      <c r="M3089" s="76"/>
      <c r="N3089" s="114"/>
    </row>
    <row r="3090">
      <c r="C3090" s="41"/>
      <c r="D3090" s="142"/>
      <c r="E3090" s="130"/>
      <c r="F3090" s="128"/>
      <c r="G3090" s="128"/>
      <c r="H3090" s="128"/>
      <c r="I3090" s="128"/>
      <c r="J3090" s="81"/>
      <c r="K3090" s="81"/>
      <c r="L3090" s="81"/>
      <c r="M3090" s="81"/>
      <c r="N3090" s="82"/>
    </row>
    <row r="3091">
      <c r="C3091" s="41"/>
      <c r="D3091" s="141"/>
      <c r="E3091" s="118"/>
      <c r="F3091" s="126"/>
      <c r="G3091" s="126"/>
      <c r="H3091" s="126"/>
      <c r="I3091" s="126"/>
      <c r="J3091" s="76"/>
      <c r="K3091" s="76"/>
      <c r="L3091" s="76"/>
      <c r="M3091" s="76"/>
      <c r="N3091" s="114"/>
    </row>
    <row r="3092">
      <c r="C3092" s="41"/>
      <c r="D3092" s="142"/>
      <c r="E3092" s="130"/>
      <c r="F3092" s="128"/>
      <c r="G3092" s="128"/>
      <c r="H3092" s="128"/>
      <c r="I3092" s="128"/>
      <c r="J3092" s="81"/>
      <c r="K3092" s="81"/>
      <c r="L3092" s="81"/>
      <c r="M3092" s="81"/>
      <c r="N3092" s="82"/>
    </row>
    <row r="3093">
      <c r="C3093" s="41"/>
      <c r="D3093" s="141"/>
      <c r="E3093" s="118"/>
      <c r="F3093" s="126"/>
      <c r="G3093" s="126"/>
      <c r="H3093" s="126"/>
      <c r="I3093" s="126"/>
      <c r="J3093" s="76"/>
      <c r="K3093" s="76"/>
      <c r="L3093" s="76"/>
      <c r="M3093" s="76"/>
      <c r="N3093" s="114"/>
    </row>
    <row r="3094">
      <c r="C3094" s="41"/>
      <c r="D3094" s="142"/>
      <c r="E3094" s="130"/>
      <c r="F3094" s="128"/>
      <c r="G3094" s="128"/>
      <c r="H3094" s="128"/>
      <c r="I3094" s="128"/>
      <c r="J3094" s="81"/>
      <c r="K3094" s="81"/>
      <c r="L3094" s="81"/>
      <c r="M3094" s="81"/>
      <c r="N3094" s="82"/>
    </row>
    <row r="3095">
      <c r="C3095" s="41"/>
      <c r="D3095" s="141"/>
      <c r="E3095" s="118"/>
      <c r="F3095" s="126"/>
      <c r="G3095" s="126"/>
      <c r="H3095" s="126"/>
      <c r="I3095" s="126"/>
      <c r="J3095" s="76"/>
      <c r="K3095" s="76"/>
      <c r="L3095" s="76"/>
      <c r="M3095" s="76"/>
      <c r="N3095" s="114"/>
    </row>
    <row r="3096">
      <c r="C3096" s="41"/>
      <c r="D3096" s="142"/>
      <c r="E3096" s="130"/>
      <c r="F3096" s="128"/>
      <c r="G3096" s="128"/>
      <c r="H3096" s="128"/>
      <c r="I3096" s="128"/>
      <c r="J3096" s="81"/>
      <c r="K3096" s="81"/>
      <c r="L3096" s="81"/>
      <c r="M3096" s="81"/>
      <c r="N3096" s="82"/>
    </row>
    <row r="3097">
      <c r="C3097" s="41"/>
      <c r="D3097" s="141"/>
      <c r="E3097" s="118"/>
      <c r="F3097" s="126"/>
      <c r="G3097" s="126"/>
      <c r="H3097" s="126"/>
      <c r="I3097" s="126"/>
      <c r="J3097" s="76"/>
      <c r="K3097" s="76"/>
      <c r="L3097" s="76"/>
      <c r="M3097" s="76"/>
      <c r="N3097" s="114"/>
    </row>
    <row r="3098">
      <c r="C3098" s="41"/>
      <c r="D3098" s="142"/>
      <c r="E3098" s="130"/>
      <c r="F3098" s="128"/>
      <c r="G3098" s="128"/>
      <c r="H3098" s="128"/>
      <c r="I3098" s="128"/>
      <c r="J3098" s="81"/>
      <c r="K3098" s="81"/>
      <c r="L3098" s="81"/>
      <c r="M3098" s="81"/>
      <c r="N3098" s="82"/>
    </row>
    <row r="3099">
      <c r="C3099" s="41"/>
      <c r="D3099" s="141"/>
      <c r="E3099" s="118"/>
      <c r="F3099" s="126"/>
      <c r="G3099" s="126"/>
      <c r="H3099" s="126"/>
      <c r="I3099" s="126"/>
      <c r="J3099" s="76"/>
      <c r="K3099" s="76"/>
      <c r="L3099" s="76"/>
      <c r="M3099" s="76"/>
      <c r="N3099" s="114"/>
    </row>
    <row r="3100">
      <c r="C3100" s="41"/>
      <c r="D3100" s="142"/>
      <c r="E3100" s="130"/>
      <c r="F3100" s="128"/>
      <c r="G3100" s="128"/>
      <c r="H3100" s="128"/>
      <c r="I3100" s="128"/>
      <c r="J3100" s="81"/>
      <c r="K3100" s="81"/>
      <c r="L3100" s="81"/>
      <c r="M3100" s="81"/>
      <c r="N3100" s="82"/>
    </row>
    <row r="3101">
      <c r="C3101" s="41"/>
      <c r="D3101" s="141"/>
      <c r="E3101" s="118"/>
      <c r="F3101" s="126"/>
      <c r="G3101" s="126"/>
      <c r="H3101" s="126"/>
      <c r="I3101" s="126"/>
      <c r="J3101" s="76"/>
      <c r="K3101" s="76"/>
      <c r="L3101" s="76"/>
      <c r="M3101" s="76"/>
      <c r="N3101" s="114"/>
    </row>
    <row r="3102">
      <c r="C3102" s="41"/>
      <c r="D3102" s="142"/>
      <c r="E3102" s="130"/>
      <c r="F3102" s="128"/>
      <c r="G3102" s="128"/>
      <c r="H3102" s="128"/>
      <c r="I3102" s="128"/>
      <c r="J3102" s="81"/>
      <c r="K3102" s="81"/>
      <c r="L3102" s="81"/>
      <c r="M3102" s="81"/>
      <c r="N3102" s="82"/>
    </row>
    <row r="3103">
      <c r="C3103" s="41"/>
      <c r="D3103" s="141"/>
      <c r="E3103" s="118"/>
      <c r="F3103" s="126"/>
      <c r="G3103" s="126"/>
      <c r="H3103" s="126"/>
      <c r="I3103" s="126"/>
      <c r="J3103" s="76"/>
      <c r="K3103" s="76"/>
      <c r="L3103" s="76"/>
      <c r="M3103" s="76"/>
      <c r="N3103" s="114"/>
    </row>
    <row r="3104">
      <c r="C3104" s="41"/>
      <c r="D3104" s="142"/>
      <c r="E3104" s="130"/>
      <c r="F3104" s="128"/>
      <c r="G3104" s="128"/>
      <c r="H3104" s="128"/>
      <c r="I3104" s="128"/>
      <c r="J3104" s="81"/>
      <c r="K3104" s="81"/>
      <c r="L3104" s="81"/>
      <c r="M3104" s="81"/>
      <c r="N3104" s="82"/>
    </row>
    <row r="3105">
      <c r="C3105" s="41"/>
      <c r="D3105" s="141"/>
      <c r="E3105" s="118"/>
      <c r="F3105" s="126"/>
      <c r="G3105" s="126"/>
      <c r="H3105" s="126"/>
      <c r="I3105" s="126"/>
      <c r="J3105" s="76"/>
      <c r="K3105" s="76"/>
      <c r="L3105" s="76"/>
      <c r="M3105" s="76"/>
      <c r="N3105" s="114"/>
    </row>
    <row r="3106">
      <c r="C3106" s="41"/>
      <c r="D3106" s="142"/>
      <c r="E3106" s="130"/>
      <c r="F3106" s="128"/>
      <c r="G3106" s="128"/>
      <c r="H3106" s="128"/>
      <c r="I3106" s="128"/>
      <c r="J3106" s="81"/>
      <c r="K3106" s="81"/>
      <c r="L3106" s="81"/>
      <c r="M3106" s="81"/>
      <c r="N3106" s="82"/>
    </row>
    <row r="3107">
      <c r="C3107" s="41"/>
      <c r="D3107" s="141"/>
      <c r="E3107" s="118"/>
      <c r="F3107" s="126"/>
      <c r="G3107" s="126"/>
      <c r="H3107" s="126"/>
      <c r="I3107" s="126"/>
      <c r="J3107" s="76"/>
      <c r="K3107" s="76"/>
      <c r="L3107" s="76"/>
      <c r="M3107" s="76"/>
      <c r="N3107" s="114"/>
    </row>
    <row r="3108">
      <c r="C3108" s="41"/>
      <c r="D3108" s="142"/>
      <c r="E3108" s="130"/>
      <c r="F3108" s="128"/>
      <c r="G3108" s="128"/>
      <c r="H3108" s="128"/>
      <c r="I3108" s="128"/>
      <c r="J3108" s="81"/>
      <c r="K3108" s="81"/>
      <c r="L3108" s="81"/>
      <c r="M3108" s="81"/>
      <c r="N3108" s="82"/>
    </row>
    <row r="3109">
      <c r="C3109" s="41"/>
      <c r="D3109" s="141"/>
      <c r="E3109" s="118"/>
      <c r="F3109" s="126"/>
      <c r="G3109" s="126"/>
      <c r="H3109" s="126"/>
      <c r="I3109" s="126"/>
      <c r="J3109" s="76"/>
      <c r="K3109" s="76"/>
      <c r="L3109" s="76"/>
      <c r="M3109" s="76"/>
      <c r="N3109" s="114"/>
    </row>
    <row r="3110">
      <c r="C3110" s="41"/>
      <c r="D3110" s="142"/>
      <c r="E3110" s="130"/>
      <c r="F3110" s="128"/>
      <c r="G3110" s="128"/>
      <c r="H3110" s="128"/>
      <c r="I3110" s="128"/>
      <c r="J3110" s="81"/>
      <c r="K3110" s="81"/>
      <c r="L3110" s="81"/>
      <c r="M3110" s="81"/>
      <c r="N3110" s="82"/>
    </row>
    <row r="3111">
      <c r="C3111" s="41"/>
      <c r="D3111" s="141"/>
      <c r="E3111" s="118"/>
      <c r="F3111" s="126"/>
      <c r="G3111" s="126"/>
      <c r="H3111" s="126"/>
      <c r="I3111" s="126"/>
      <c r="J3111" s="76"/>
      <c r="K3111" s="76"/>
      <c r="L3111" s="76"/>
      <c r="M3111" s="76"/>
      <c r="N3111" s="114"/>
    </row>
    <row r="3112">
      <c r="C3112" s="41"/>
      <c r="D3112" s="142"/>
      <c r="E3112" s="130"/>
      <c r="F3112" s="128"/>
      <c r="G3112" s="128"/>
      <c r="H3112" s="128"/>
      <c r="I3112" s="128"/>
      <c r="J3112" s="81"/>
      <c r="K3112" s="81"/>
      <c r="L3112" s="81"/>
      <c r="M3112" s="81"/>
      <c r="N3112" s="82"/>
    </row>
    <row r="3113">
      <c r="C3113" s="41"/>
      <c r="D3113" s="141"/>
      <c r="E3113" s="118"/>
      <c r="F3113" s="126"/>
      <c r="G3113" s="126"/>
      <c r="H3113" s="126"/>
      <c r="I3113" s="126"/>
      <c r="J3113" s="76"/>
      <c r="K3113" s="76"/>
      <c r="L3113" s="76"/>
      <c r="M3113" s="76"/>
      <c r="N3113" s="114"/>
    </row>
    <row r="3114">
      <c r="C3114" s="41"/>
      <c r="D3114" s="142"/>
      <c r="E3114" s="130"/>
      <c r="F3114" s="128"/>
      <c r="G3114" s="128"/>
      <c r="H3114" s="128"/>
      <c r="I3114" s="128"/>
      <c r="J3114" s="81"/>
      <c r="K3114" s="81"/>
      <c r="L3114" s="81"/>
      <c r="M3114" s="81"/>
      <c r="N3114" s="82"/>
    </row>
    <row r="3115">
      <c r="C3115" s="41"/>
      <c r="D3115" s="141"/>
      <c r="E3115" s="118"/>
      <c r="F3115" s="126"/>
      <c r="G3115" s="126"/>
      <c r="H3115" s="126"/>
      <c r="I3115" s="126"/>
      <c r="J3115" s="76"/>
      <c r="K3115" s="76"/>
      <c r="L3115" s="76"/>
      <c r="M3115" s="76"/>
      <c r="N3115" s="114"/>
    </row>
    <row r="3116">
      <c r="C3116" s="41"/>
      <c r="D3116" s="142"/>
      <c r="E3116" s="130"/>
      <c r="F3116" s="128"/>
      <c r="G3116" s="128"/>
      <c r="H3116" s="128"/>
      <c r="I3116" s="128"/>
      <c r="J3116" s="81"/>
      <c r="K3116" s="81"/>
      <c r="L3116" s="81"/>
      <c r="M3116" s="81"/>
      <c r="N3116" s="82"/>
    </row>
    <row r="3117">
      <c r="C3117" s="41"/>
      <c r="D3117" s="141"/>
      <c r="E3117" s="118"/>
      <c r="F3117" s="126"/>
      <c r="G3117" s="126"/>
      <c r="H3117" s="126"/>
      <c r="I3117" s="126"/>
      <c r="J3117" s="76"/>
      <c r="K3117" s="76"/>
      <c r="L3117" s="76"/>
      <c r="M3117" s="76"/>
      <c r="N3117" s="114"/>
    </row>
    <row r="3118">
      <c r="C3118" s="41"/>
      <c r="D3118" s="142"/>
      <c r="E3118" s="130"/>
      <c r="F3118" s="128"/>
      <c r="G3118" s="128"/>
      <c r="H3118" s="128"/>
      <c r="I3118" s="128"/>
      <c r="J3118" s="81"/>
      <c r="K3118" s="81"/>
      <c r="L3118" s="81"/>
      <c r="M3118" s="81"/>
      <c r="N3118" s="82"/>
    </row>
    <row r="3119">
      <c r="C3119" s="41"/>
      <c r="D3119" s="141"/>
      <c r="E3119" s="118"/>
      <c r="F3119" s="126"/>
      <c r="G3119" s="126"/>
      <c r="H3119" s="126"/>
      <c r="I3119" s="126"/>
      <c r="J3119" s="76"/>
      <c r="K3119" s="76"/>
      <c r="L3119" s="76"/>
      <c r="M3119" s="76"/>
      <c r="N3119" s="114"/>
    </row>
    <row r="3120">
      <c r="C3120" s="41"/>
      <c r="D3120" s="142"/>
      <c r="E3120" s="130"/>
      <c r="F3120" s="128"/>
      <c r="G3120" s="128"/>
      <c r="H3120" s="128"/>
      <c r="I3120" s="128"/>
      <c r="J3120" s="81"/>
      <c r="K3120" s="81"/>
      <c r="L3120" s="81"/>
      <c r="M3120" s="81"/>
      <c r="N3120" s="82"/>
    </row>
    <row r="3121">
      <c r="C3121" s="41"/>
      <c r="D3121" s="141"/>
      <c r="E3121" s="118"/>
      <c r="F3121" s="126"/>
      <c r="G3121" s="126"/>
      <c r="H3121" s="126"/>
      <c r="I3121" s="126"/>
      <c r="J3121" s="76"/>
      <c r="K3121" s="76"/>
      <c r="L3121" s="76"/>
      <c r="M3121" s="76"/>
      <c r="N3121" s="114"/>
    </row>
    <row r="3122">
      <c r="C3122" s="41"/>
      <c r="D3122" s="142"/>
      <c r="E3122" s="130"/>
      <c r="F3122" s="128"/>
      <c r="G3122" s="128"/>
      <c r="H3122" s="128"/>
      <c r="I3122" s="128"/>
      <c r="J3122" s="81"/>
      <c r="K3122" s="81"/>
      <c r="L3122" s="81"/>
      <c r="M3122" s="81"/>
      <c r="N3122" s="82"/>
    </row>
    <row r="3123">
      <c r="C3123" s="41"/>
      <c r="D3123" s="141"/>
      <c r="E3123" s="118"/>
      <c r="F3123" s="126"/>
      <c r="G3123" s="126"/>
      <c r="H3123" s="126"/>
      <c r="I3123" s="126"/>
      <c r="J3123" s="76"/>
      <c r="K3123" s="76"/>
      <c r="L3123" s="76"/>
      <c r="M3123" s="76"/>
      <c r="N3123" s="114"/>
    </row>
    <row r="3124">
      <c r="C3124" s="41"/>
      <c r="D3124" s="142"/>
      <c r="E3124" s="130"/>
      <c r="F3124" s="128"/>
      <c r="G3124" s="128"/>
      <c r="H3124" s="128"/>
      <c r="I3124" s="128"/>
      <c r="J3124" s="81"/>
      <c r="K3124" s="81"/>
      <c r="L3124" s="81"/>
      <c r="M3124" s="81"/>
      <c r="N3124" s="82"/>
    </row>
    <row r="3125">
      <c r="C3125" s="41"/>
      <c r="D3125" s="141"/>
      <c r="E3125" s="118"/>
      <c r="F3125" s="126"/>
      <c r="G3125" s="126"/>
      <c r="H3125" s="126"/>
      <c r="I3125" s="126"/>
      <c r="J3125" s="76"/>
      <c r="K3125" s="76"/>
      <c r="L3125" s="76"/>
      <c r="M3125" s="76"/>
      <c r="N3125" s="114"/>
    </row>
    <row r="3126">
      <c r="C3126" s="41"/>
      <c r="D3126" s="142"/>
      <c r="E3126" s="130"/>
      <c r="F3126" s="128"/>
      <c r="G3126" s="128"/>
      <c r="H3126" s="128"/>
      <c r="I3126" s="128"/>
      <c r="J3126" s="81"/>
      <c r="K3126" s="81"/>
      <c r="L3126" s="81"/>
      <c r="M3126" s="81"/>
      <c r="N3126" s="82"/>
    </row>
    <row r="3127">
      <c r="C3127" s="41"/>
      <c r="D3127" s="141"/>
      <c r="E3127" s="118"/>
      <c r="F3127" s="126"/>
      <c r="G3127" s="126"/>
      <c r="H3127" s="126"/>
      <c r="I3127" s="126"/>
      <c r="J3127" s="76"/>
      <c r="K3127" s="76"/>
      <c r="L3127" s="76"/>
      <c r="M3127" s="76"/>
      <c r="N3127" s="114"/>
    </row>
    <row r="3128">
      <c r="C3128" s="41"/>
      <c r="D3128" s="142"/>
      <c r="E3128" s="130"/>
      <c r="F3128" s="128"/>
      <c r="G3128" s="128"/>
      <c r="H3128" s="128"/>
      <c r="I3128" s="128"/>
      <c r="J3128" s="81"/>
      <c r="K3128" s="81"/>
      <c r="L3128" s="81"/>
      <c r="M3128" s="81"/>
      <c r="N3128" s="82"/>
    </row>
    <row r="3129">
      <c r="C3129" s="41"/>
      <c r="D3129" s="141"/>
      <c r="E3129" s="118"/>
      <c r="F3129" s="126"/>
      <c r="G3129" s="126"/>
      <c r="H3129" s="126"/>
      <c r="I3129" s="126"/>
      <c r="J3129" s="76"/>
      <c r="K3129" s="76"/>
      <c r="L3129" s="76"/>
      <c r="M3129" s="76"/>
      <c r="N3129" s="114"/>
    </row>
    <row r="3130">
      <c r="C3130" s="41"/>
      <c r="D3130" s="142"/>
      <c r="E3130" s="130"/>
      <c r="F3130" s="128"/>
      <c r="G3130" s="128"/>
      <c r="H3130" s="128"/>
      <c r="I3130" s="128"/>
      <c r="J3130" s="81"/>
      <c r="K3130" s="81"/>
      <c r="L3130" s="81"/>
      <c r="M3130" s="81"/>
      <c r="N3130" s="82"/>
    </row>
    <row r="3131">
      <c r="C3131" s="41"/>
      <c r="D3131" s="141"/>
      <c r="E3131" s="118"/>
      <c r="F3131" s="126"/>
      <c r="G3131" s="126"/>
      <c r="H3131" s="126"/>
      <c r="I3131" s="126"/>
      <c r="J3131" s="76"/>
      <c r="K3131" s="76"/>
      <c r="L3131" s="76"/>
      <c r="M3131" s="76"/>
      <c r="N3131" s="114"/>
    </row>
    <row r="3132">
      <c r="C3132" s="41"/>
      <c r="D3132" s="142"/>
      <c r="E3132" s="130"/>
      <c r="F3132" s="128"/>
      <c r="G3132" s="128"/>
      <c r="H3132" s="128"/>
      <c r="I3132" s="128"/>
      <c r="J3132" s="81"/>
      <c r="K3132" s="81"/>
      <c r="L3132" s="81"/>
      <c r="M3132" s="81"/>
      <c r="N3132" s="82"/>
    </row>
    <row r="3133">
      <c r="C3133" s="41"/>
      <c r="D3133" s="141"/>
      <c r="E3133" s="118"/>
      <c r="F3133" s="126"/>
      <c r="G3133" s="126"/>
      <c r="H3133" s="126"/>
      <c r="I3133" s="126"/>
      <c r="J3133" s="76"/>
      <c r="K3133" s="76"/>
      <c r="L3133" s="76"/>
      <c r="M3133" s="76"/>
      <c r="N3133" s="114"/>
    </row>
    <row r="3134">
      <c r="C3134" s="41"/>
      <c r="D3134" s="142"/>
      <c r="E3134" s="130"/>
      <c r="F3134" s="128"/>
      <c r="G3134" s="128"/>
      <c r="H3134" s="128"/>
      <c r="I3134" s="128"/>
      <c r="J3134" s="81"/>
      <c r="K3134" s="81"/>
      <c r="L3134" s="81"/>
      <c r="M3134" s="81"/>
      <c r="N3134" s="82"/>
    </row>
    <row r="3135">
      <c r="C3135" s="41"/>
      <c r="D3135" s="141"/>
      <c r="E3135" s="118"/>
      <c r="F3135" s="126"/>
      <c r="G3135" s="126"/>
      <c r="H3135" s="126"/>
      <c r="I3135" s="126"/>
      <c r="J3135" s="76"/>
      <c r="K3135" s="76"/>
      <c r="L3135" s="76"/>
      <c r="M3135" s="76"/>
      <c r="N3135" s="114"/>
    </row>
    <row r="3136">
      <c r="C3136" s="41"/>
      <c r="D3136" s="142"/>
      <c r="E3136" s="130"/>
      <c r="F3136" s="128"/>
      <c r="G3136" s="128"/>
      <c r="H3136" s="128"/>
      <c r="I3136" s="128"/>
      <c r="J3136" s="81"/>
      <c r="K3136" s="81"/>
      <c r="L3136" s="81"/>
      <c r="M3136" s="81"/>
      <c r="N3136" s="82"/>
    </row>
    <row r="3137">
      <c r="C3137" s="41"/>
      <c r="D3137" s="141"/>
      <c r="E3137" s="118"/>
      <c r="F3137" s="126"/>
      <c r="G3137" s="126"/>
      <c r="H3137" s="126"/>
      <c r="I3137" s="126"/>
      <c r="J3137" s="76"/>
      <c r="K3137" s="76"/>
      <c r="L3137" s="76"/>
      <c r="M3137" s="76"/>
      <c r="N3137" s="114"/>
    </row>
    <row r="3138">
      <c r="C3138" s="41"/>
      <c r="D3138" s="142"/>
      <c r="E3138" s="130"/>
      <c r="F3138" s="128"/>
      <c r="G3138" s="128"/>
      <c r="H3138" s="128"/>
      <c r="I3138" s="128"/>
      <c r="J3138" s="81"/>
      <c r="K3138" s="81"/>
      <c r="L3138" s="81"/>
      <c r="M3138" s="81"/>
      <c r="N3138" s="82"/>
    </row>
    <row r="3139">
      <c r="C3139" s="41"/>
      <c r="D3139" s="141"/>
      <c r="E3139" s="118"/>
      <c r="F3139" s="126"/>
      <c r="G3139" s="126"/>
      <c r="H3139" s="126"/>
      <c r="I3139" s="126"/>
      <c r="J3139" s="76"/>
      <c r="K3139" s="76"/>
      <c r="L3139" s="76"/>
      <c r="M3139" s="76"/>
      <c r="N3139" s="114"/>
    </row>
    <row r="3140">
      <c r="C3140" s="41"/>
      <c r="D3140" s="142"/>
      <c r="E3140" s="130"/>
      <c r="F3140" s="128"/>
      <c r="G3140" s="128"/>
      <c r="H3140" s="128"/>
      <c r="I3140" s="128"/>
      <c r="J3140" s="81"/>
      <c r="K3140" s="81"/>
      <c r="L3140" s="81"/>
      <c r="M3140" s="81"/>
      <c r="N3140" s="82"/>
    </row>
    <row r="3141">
      <c r="C3141" s="41"/>
      <c r="D3141" s="141"/>
      <c r="E3141" s="118"/>
      <c r="F3141" s="126"/>
      <c r="G3141" s="126"/>
      <c r="H3141" s="126"/>
      <c r="I3141" s="126"/>
      <c r="J3141" s="76"/>
      <c r="K3141" s="76"/>
      <c r="L3141" s="76"/>
      <c r="M3141" s="76"/>
      <c r="N3141" s="114"/>
    </row>
    <row r="3142">
      <c r="C3142" s="41"/>
      <c r="D3142" s="142"/>
      <c r="E3142" s="130"/>
      <c r="F3142" s="128"/>
      <c r="G3142" s="128"/>
      <c r="H3142" s="128"/>
      <c r="I3142" s="128"/>
      <c r="J3142" s="81"/>
      <c r="K3142" s="81"/>
      <c r="L3142" s="81"/>
      <c r="M3142" s="81"/>
      <c r="N3142" s="82"/>
    </row>
    <row r="3143">
      <c r="C3143" s="41"/>
      <c r="D3143" s="141"/>
      <c r="E3143" s="118"/>
      <c r="F3143" s="126"/>
      <c r="G3143" s="126"/>
      <c r="H3143" s="126"/>
      <c r="I3143" s="126"/>
      <c r="J3143" s="76"/>
      <c r="K3143" s="76"/>
      <c r="L3143" s="76"/>
      <c r="M3143" s="76"/>
      <c r="N3143" s="114"/>
    </row>
    <row r="3144">
      <c r="C3144" s="41"/>
      <c r="D3144" s="142"/>
      <c r="E3144" s="130"/>
      <c r="F3144" s="128"/>
      <c r="G3144" s="128"/>
      <c r="H3144" s="128"/>
      <c r="I3144" s="128"/>
      <c r="J3144" s="81"/>
      <c r="K3144" s="81"/>
      <c r="L3144" s="81"/>
      <c r="M3144" s="81"/>
      <c r="N3144" s="82"/>
    </row>
    <row r="3145">
      <c r="C3145" s="41"/>
      <c r="D3145" s="141"/>
      <c r="E3145" s="118"/>
      <c r="F3145" s="126"/>
      <c r="G3145" s="126"/>
      <c r="H3145" s="126"/>
      <c r="I3145" s="126"/>
      <c r="J3145" s="76"/>
      <c r="K3145" s="76"/>
      <c r="L3145" s="76"/>
      <c r="M3145" s="76"/>
      <c r="N3145" s="114"/>
    </row>
    <row r="3146">
      <c r="C3146" s="41"/>
      <c r="D3146" s="142"/>
      <c r="E3146" s="130"/>
      <c r="F3146" s="128"/>
      <c r="G3146" s="128"/>
      <c r="H3146" s="128"/>
      <c r="I3146" s="128"/>
      <c r="J3146" s="81"/>
      <c r="K3146" s="81"/>
      <c r="L3146" s="81"/>
      <c r="M3146" s="81"/>
      <c r="N3146" s="82"/>
    </row>
    <row r="3147">
      <c r="C3147" s="41"/>
      <c r="D3147" s="141"/>
      <c r="E3147" s="118"/>
      <c r="F3147" s="126"/>
      <c r="G3147" s="126"/>
      <c r="H3147" s="126"/>
      <c r="I3147" s="126"/>
      <c r="J3147" s="76"/>
      <c r="K3147" s="76"/>
      <c r="L3147" s="76"/>
      <c r="M3147" s="76"/>
      <c r="N3147" s="114"/>
    </row>
    <row r="3148">
      <c r="C3148" s="41"/>
      <c r="D3148" s="142"/>
      <c r="E3148" s="130"/>
      <c r="F3148" s="128"/>
      <c r="G3148" s="128"/>
      <c r="H3148" s="128"/>
      <c r="I3148" s="128"/>
      <c r="J3148" s="81"/>
      <c r="K3148" s="81"/>
      <c r="L3148" s="81"/>
      <c r="M3148" s="81"/>
      <c r="N3148" s="82"/>
    </row>
    <row r="3149">
      <c r="C3149" s="41"/>
      <c r="D3149" s="141"/>
      <c r="E3149" s="118"/>
      <c r="F3149" s="126"/>
      <c r="G3149" s="126"/>
      <c r="H3149" s="126"/>
      <c r="I3149" s="126"/>
      <c r="J3149" s="76"/>
      <c r="K3149" s="76"/>
      <c r="L3149" s="76"/>
      <c r="M3149" s="76"/>
      <c r="N3149" s="114"/>
    </row>
    <row r="3150">
      <c r="C3150" s="41"/>
      <c r="D3150" s="142"/>
      <c r="E3150" s="130"/>
      <c r="F3150" s="128"/>
      <c r="G3150" s="128"/>
      <c r="H3150" s="128"/>
      <c r="I3150" s="128"/>
      <c r="J3150" s="81"/>
      <c r="K3150" s="81"/>
      <c r="L3150" s="81"/>
      <c r="M3150" s="81"/>
      <c r="N3150" s="82"/>
    </row>
    <row r="3151">
      <c r="C3151" s="41"/>
      <c r="D3151" s="141"/>
      <c r="E3151" s="118"/>
      <c r="F3151" s="126"/>
      <c r="G3151" s="126"/>
      <c r="H3151" s="126"/>
      <c r="I3151" s="126"/>
      <c r="J3151" s="76"/>
      <c r="K3151" s="76"/>
      <c r="L3151" s="76"/>
      <c r="M3151" s="76"/>
      <c r="N3151" s="114"/>
    </row>
    <row r="3152">
      <c r="C3152" s="41"/>
      <c r="D3152" s="142"/>
      <c r="E3152" s="130"/>
      <c r="F3152" s="128"/>
      <c r="G3152" s="128"/>
      <c r="H3152" s="128"/>
      <c r="I3152" s="128"/>
      <c r="J3152" s="81"/>
      <c r="K3152" s="81"/>
      <c r="L3152" s="81"/>
      <c r="M3152" s="81"/>
      <c r="N3152" s="82"/>
    </row>
    <row r="3153">
      <c r="C3153" s="41"/>
      <c r="D3153" s="141"/>
      <c r="E3153" s="118"/>
      <c r="F3153" s="126"/>
      <c r="G3153" s="126"/>
      <c r="H3153" s="126"/>
      <c r="I3153" s="126"/>
      <c r="J3153" s="76"/>
      <c r="K3153" s="76"/>
      <c r="L3153" s="76"/>
      <c r="M3153" s="76"/>
      <c r="N3153" s="114"/>
    </row>
    <row r="3154">
      <c r="C3154" s="41"/>
      <c r="D3154" s="142"/>
      <c r="E3154" s="130"/>
      <c r="F3154" s="128"/>
      <c r="G3154" s="128"/>
      <c r="H3154" s="128"/>
      <c r="I3154" s="128"/>
      <c r="J3154" s="81"/>
      <c r="K3154" s="81"/>
      <c r="L3154" s="81"/>
      <c r="M3154" s="81"/>
      <c r="N3154" s="82"/>
    </row>
    <row r="3155">
      <c r="C3155" s="41"/>
      <c r="D3155" s="141"/>
      <c r="E3155" s="118"/>
      <c r="F3155" s="126"/>
      <c r="G3155" s="126"/>
      <c r="H3155" s="126"/>
      <c r="I3155" s="126"/>
      <c r="J3155" s="76"/>
      <c r="K3155" s="76"/>
      <c r="L3155" s="76"/>
      <c r="M3155" s="76"/>
      <c r="N3155" s="114"/>
    </row>
    <row r="3156">
      <c r="C3156" s="41"/>
      <c r="D3156" s="142"/>
      <c r="E3156" s="130"/>
      <c r="F3156" s="128"/>
      <c r="G3156" s="128"/>
      <c r="H3156" s="128"/>
      <c r="I3156" s="128"/>
      <c r="J3156" s="81"/>
      <c r="K3156" s="81"/>
      <c r="L3156" s="81"/>
      <c r="M3156" s="81"/>
      <c r="N3156" s="82"/>
    </row>
    <row r="3157">
      <c r="C3157" s="41"/>
      <c r="D3157" s="141"/>
      <c r="E3157" s="118"/>
      <c r="F3157" s="126"/>
      <c r="G3157" s="126"/>
      <c r="H3157" s="126"/>
      <c r="I3157" s="126"/>
      <c r="J3157" s="76"/>
      <c r="K3157" s="76"/>
      <c r="L3157" s="76"/>
      <c r="M3157" s="76"/>
      <c r="N3157" s="114"/>
    </row>
    <row r="3158">
      <c r="C3158" s="41"/>
      <c r="D3158" s="142"/>
      <c r="E3158" s="130"/>
      <c r="F3158" s="128"/>
      <c r="G3158" s="128"/>
      <c r="H3158" s="128"/>
      <c r="I3158" s="128"/>
      <c r="J3158" s="81"/>
      <c r="K3158" s="81"/>
      <c r="L3158" s="81"/>
      <c r="M3158" s="81"/>
      <c r="N3158" s="82"/>
    </row>
    <row r="3159">
      <c r="C3159" s="41"/>
      <c r="D3159" s="141"/>
      <c r="E3159" s="118"/>
      <c r="F3159" s="126"/>
      <c r="G3159" s="126"/>
      <c r="H3159" s="126"/>
      <c r="I3159" s="126"/>
      <c r="J3159" s="76"/>
      <c r="K3159" s="76"/>
      <c r="L3159" s="76"/>
      <c r="M3159" s="76"/>
      <c r="N3159" s="114"/>
    </row>
    <row r="3160">
      <c r="C3160" s="41"/>
      <c r="D3160" s="142"/>
      <c r="E3160" s="130"/>
      <c r="F3160" s="128"/>
      <c r="G3160" s="128"/>
      <c r="H3160" s="128"/>
      <c r="I3160" s="128"/>
      <c r="J3160" s="81"/>
      <c r="K3160" s="81"/>
      <c r="L3160" s="81"/>
      <c r="M3160" s="81"/>
      <c r="N3160" s="82"/>
    </row>
    <row r="3161">
      <c r="C3161" s="41"/>
      <c r="D3161" s="141"/>
      <c r="E3161" s="118"/>
      <c r="F3161" s="126"/>
      <c r="G3161" s="126"/>
      <c r="H3161" s="126"/>
      <c r="I3161" s="126"/>
      <c r="J3161" s="76"/>
      <c r="K3161" s="76"/>
      <c r="L3161" s="76"/>
      <c r="M3161" s="76"/>
      <c r="N3161" s="114"/>
    </row>
    <row r="3162">
      <c r="C3162" s="41"/>
      <c r="D3162" s="142"/>
      <c r="E3162" s="130"/>
      <c r="F3162" s="128"/>
      <c r="G3162" s="128"/>
      <c r="H3162" s="128"/>
      <c r="I3162" s="128"/>
      <c r="J3162" s="81"/>
      <c r="K3162" s="81"/>
      <c r="L3162" s="81"/>
      <c r="M3162" s="81"/>
      <c r="N3162" s="82"/>
    </row>
    <row r="3163">
      <c r="C3163" s="41"/>
      <c r="D3163" s="141"/>
      <c r="E3163" s="118"/>
      <c r="F3163" s="126"/>
      <c r="G3163" s="126"/>
      <c r="H3163" s="126"/>
      <c r="I3163" s="126"/>
      <c r="J3163" s="76"/>
      <c r="K3163" s="76"/>
      <c r="L3163" s="76"/>
      <c r="M3163" s="76"/>
      <c r="N3163" s="114"/>
    </row>
    <row r="3164">
      <c r="C3164" s="41"/>
      <c r="D3164" s="142"/>
      <c r="E3164" s="130"/>
      <c r="F3164" s="128"/>
      <c r="G3164" s="128"/>
      <c r="H3164" s="128"/>
      <c r="I3164" s="128"/>
      <c r="J3164" s="81"/>
      <c r="K3164" s="81"/>
      <c r="L3164" s="81"/>
      <c r="M3164" s="81"/>
      <c r="N3164" s="82"/>
    </row>
    <row r="3165">
      <c r="C3165" s="41"/>
      <c r="D3165" s="141"/>
      <c r="E3165" s="118"/>
      <c r="F3165" s="126"/>
      <c r="G3165" s="126"/>
      <c r="H3165" s="126"/>
      <c r="I3165" s="126"/>
      <c r="J3165" s="76"/>
      <c r="K3165" s="76"/>
      <c r="L3165" s="76"/>
      <c r="M3165" s="76"/>
      <c r="N3165" s="114"/>
    </row>
    <row r="3166">
      <c r="C3166" s="41"/>
      <c r="D3166" s="142"/>
      <c r="E3166" s="130"/>
      <c r="F3166" s="128"/>
      <c r="G3166" s="128"/>
      <c r="H3166" s="128"/>
      <c r="I3166" s="128"/>
      <c r="J3166" s="81"/>
      <c r="K3166" s="81"/>
      <c r="L3166" s="81"/>
      <c r="M3166" s="81"/>
      <c r="N3166" s="82"/>
    </row>
    <row r="3167">
      <c r="C3167" s="41"/>
      <c r="D3167" s="141"/>
      <c r="E3167" s="118"/>
      <c r="F3167" s="126"/>
      <c r="G3167" s="126"/>
      <c r="H3167" s="126"/>
      <c r="I3167" s="126"/>
      <c r="J3167" s="76"/>
      <c r="K3167" s="76"/>
      <c r="L3167" s="76"/>
      <c r="M3167" s="76"/>
      <c r="N3167" s="114"/>
    </row>
    <row r="3168">
      <c r="C3168" s="41"/>
      <c r="D3168" s="142"/>
      <c r="E3168" s="130"/>
      <c r="F3168" s="128"/>
      <c r="G3168" s="128"/>
      <c r="H3168" s="128"/>
      <c r="I3168" s="128"/>
      <c r="J3168" s="81"/>
      <c r="K3168" s="81"/>
      <c r="L3168" s="81"/>
      <c r="M3168" s="81"/>
      <c r="N3168" s="82"/>
    </row>
    <row r="3169">
      <c r="C3169" s="41"/>
      <c r="D3169" s="141"/>
      <c r="E3169" s="118"/>
      <c r="F3169" s="126"/>
      <c r="G3169" s="126"/>
      <c r="H3169" s="126"/>
      <c r="I3169" s="126"/>
      <c r="J3169" s="76"/>
      <c r="K3169" s="76"/>
      <c r="L3169" s="76"/>
      <c r="M3169" s="76"/>
      <c r="N3169" s="114"/>
    </row>
    <row r="3170">
      <c r="C3170" s="41"/>
      <c r="D3170" s="142"/>
      <c r="E3170" s="130"/>
      <c r="F3170" s="128"/>
      <c r="G3170" s="128"/>
      <c r="H3170" s="128"/>
      <c r="I3170" s="128"/>
      <c r="J3170" s="81"/>
      <c r="K3170" s="81"/>
      <c r="L3170" s="81"/>
      <c r="M3170" s="81"/>
      <c r="N3170" s="82"/>
    </row>
    <row r="3171">
      <c r="C3171" s="41"/>
      <c r="D3171" s="141"/>
      <c r="E3171" s="118"/>
      <c r="F3171" s="126"/>
      <c r="G3171" s="126"/>
      <c r="H3171" s="126"/>
      <c r="I3171" s="126"/>
      <c r="J3171" s="76"/>
      <c r="K3171" s="76"/>
      <c r="L3171" s="76"/>
      <c r="M3171" s="76"/>
      <c r="N3171" s="114"/>
    </row>
    <row r="3172">
      <c r="C3172" s="41"/>
      <c r="D3172" s="142"/>
      <c r="E3172" s="130"/>
      <c r="F3172" s="128"/>
      <c r="G3172" s="128"/>
      <c r="H3172" s="128"/>
      <c r="I3172" s="128"/>
      <c r="J3172" s="81"/>
      <c r="K3172" s="81"/>
      <c r="L3172" s="81"/>
      <c r="M3172" s="81"/>
      <c r="N3172" s="82"/>
    </row>
    <row r="3173">
      <c r="C3173" s="41"/>
      <c r="D3173" s="141"/>
      <c r="E3173" s="118"/>
      <c r="F3173" s="126"/>
      <c r="G3173" s="126"/>
      <c r="H3173" s="126"/>
      <c r="I3173" s="126"/>
      <c r="J3173" s="76"/>
      <c r="K3173" s="76"/>
      <c r="L3173" s="76"/>
      <c r="M3173" s="76"/>
      <c r="N3173" s="114"/>
    </row>
    <row r="3174">
      <c r="C3174" s="41"/>
      <c r="D3174" s="142"/>
      <c r="E3174" s="130"/>
      <c r="F3174" s="128"/>
      <c r="G3174" s="128"/>
      <c r="H3174" s="128"/>
      <c r="I3174" s="128"/>
      <c r="J3174" s="81"/>
      <c r="K3174" s="81"/>
      <c r="L3174" s="81"/>
      <c r="M3174" s="81"/>
      <c r="N3174" s="82"/>
    </row>
    <row r="3175">
      <c r="C3175" s="41"/>
      <c r="D3175" s="141"/>
      <c r="E3175" s="118"/>
      <c r="F3175" s="126"/>
      <c r="G3175" s="126"/>
      <c r="H3175" s="126"/>
      <c r="I3175" s="126"/>
      <c r="J3175" s="76"/>
      <c r="K3175" s="76"/>
      <c r="L3175" s="76"/>
      <c r="M3175" s="76"/>
      <c r="N3175" s="114"/>
    </row>
    <row r="3176">
      <c r="C3176" s="41"/>
      <c r="D3176" s="142"/>
      <c r="E3176" s="130"/>
      <c r="F3176" s="128"/>
      <c r="G3176" s="128"/>
      <c r="H3176" s="128"/>
      <c r="I3176" s="128"/>
      <c r="J3176" s="81"/>
      <c r="K3176" s="81"/>
      <c r="L3176" s="81"/>
      <c r="M3176" s="81"/>
      <c r="N3176" s="82"/>
    </row>
    <row r="3177">
      <c r="C3177" s="41"/>
      <c r="D3177" s="141"/>
      <c r="E3177" s="118"/>
      <c r="F3177" s="126"/>
      <c r="G3177" s="126"/>
      <c r="H3177" s="126"/>
      <c r="I3177" s="126"/>
      <c r="J3177" s="76"/>
      <c r="K3177" s="76"/>
      <c r="L3177" s="76"/>
      <c r="M3177" s="76"/>
      <c r="N3177" s="114"/>
    </row>
    <row r="3178">
      <c r="C3178" s="41"/>
      <c r="D3178" s="142"/>
      <c r="E3178" s="130"/>
      <c r="F3178" s="128"/>
      <c r="G3178" s="128"/>
      <c r="H3178" s="128"/>
      <c r="I3178" s="128"/>
      <c r="J3178" s="81"/>
      <c r="K3178" s="81"/>
      <c r="L3178" s="81"/>
      <c r="M3178" s="81"/>
      <c r="N3178" s="82"/>
    </row>
    <row r="3179">
      <c r="C3179" s="41"/>
      <c r="D3179" s="141"/>
      <c r="E3179" s="118"/>
      <c r="F3179" s="126"/>
      <c r="G3179" s="126"/>
      <c r="H3179" s="126"/>
      <c r="I3179" s="126"/>
      <c r="J3179" s="76"/>
      <c r="K3179" s="76"/>
      <c r="L3179" s="76"/>
      <c r="M3179" s="76"/>
      <c r="N3179" s="114"/>
    </row>
    <row r="3180">
      <c r="C3180" s="41"/>
      <c r="D3180" s="142"/>
      <c r="E3180" s="130"/>
      <c r="F3180" s="128"/>
      <c r="G3180" s="128"/>
      <c r="H3180" s="128"/>
      <c r="I3180" s="128"/>
      <c r="J3180" s="81"/>
      <c r="K3180" s="81"/>
      <c r="L3180" s="81"/>
      <c r="M3180" s="81"/>
      <c r="N3180" s="82"/>
    </row>
    <row r="3181">
      <c r="C3181" s="41"/>
      <c r="D3181" s="141"/>
      <c r="E3181" s="118"/>
      <c r="F3181" s="126"/>
      <c r="G3181" s="126"/>
      <c r="H3181" s="126"/>
      <c r="I3181" s="126"/>
      <c r="J3181" s="76"/>
      <c r="K3181" s="76"/>
      <c r="L3181" s="76"/>
      <c r="M3181" s="76"/>
      <c r="N3181" s="114"/>
    </row>
    <row r="3182">
      <c r="C3182" s="41"/>
      <c r="D3182" s="142"/>
      <c r="E3182" s="130"/>
      <c r="F3182" s="128"/>
      <c r="G3182" s="128"/>
      <c r="H3182" s="128"/>
      <c r="I3182" s="128"/>
      <c r="J3182" s="81"/>
      <c r="K3182" s="81"/>
      <c r="L3182" s="81"/>
      <c r="M3182" s="81"/>
      <c r="N3182" s="82"/>
    </row>
    <row r="3183">
      <c r="C3183" s="41"/>
      <c r="D3183" s="141"/>
      <c r="E3183" s="118"/>
      <c r="F3183" s="126"/>
      <c r="G3183" s="126"/>
      <c r="H3183" s="126"/>
      <c r="I3183" s="126"/>
      <c r="J3183" s="76"/>
      <c r="K3183" s="76"/>
      <c r="L3183" s="76"/>
      <c r="M3183" s="76"/>
      <c r="N3183" s="114"/>
    </row>
    <row r="3184">
      <c r="C3184" s="41"/>
      <c r="D3184" s="142"/>
      <c r="E3184" s="130"/>
      <c r="F3184" s="128"/>
      <c r="G3184" s="128"/>
      <c r="H3184" s="128"/>
      <c r="I3184" s="128"/>
      <c r="J3184" s="81"/>
      <c r="K3184" s="81"/>
      <c r="L3184" s="81"/>
      <c r="M3184" s="81"/>
      <c r="N3184" s="82"/>
    </row>
    <row r="3185">
      <c r="C3185" s="41"/>
      <c r="D3185" s="141"/>
      <c r="E3185" s="118"/>
      <c r="F3185" s="126"/>
      <c r="G3185" s="126"/>
      <c r="H3185" s="126"/>
      <c r="I3185" s="126"/>
      <c r="J3185" s="76"/>
      <c r="K3185" s="76"/>
      <c r="L3185" s="76"/>
      <c r="M3185" s="76"/>
      <c r="N3185" s="114"/>
    </row>
    <row r="3186">
      <c r="C3186" s="41"/>
      <c r="D3186" s="142"/>
      <c r="E3186" s="130"/>
      <c r="F3186" s="128"/>
      <c r="G3186" s="128"/>
      <c r="H3186" s="128"/>
      <c r="I3186" s="128"/>
      <c r="J3186" s="81"/>
      <c r="K3186" s="81"/>
      <c r="L3186" s="81"/>
      <c r="M3186" s="81"/>
      <c r="N3186" s="82"/>
    </row>
    <row r="3187">
      <c r="C3187" s="41"/>
      <c r="D3187" s="141"/>
      <c r="E3187" s="118"/>
      <c r="F3187" s="126"/>
      <c r="G3187" s="126"/>
      <c r="H3187" s="126"/>
      <c r="I3187" s="126"/>
      <c r="J3187" s="76"/>
      <c r="K3187" s="76"/>
      <c r="L3187" s="76"/>
      <c r="M3187" s="76"/>
      <c r="N3187" s="114"/>
    </row>
    <row r="3188">
      <c r="C3188" s="41"/>
      <c r="D3188" s="142"/>
      <c r="E3188" s="130"/>
      <c r="F3188" s="128"/>
      <c r="G3188" s="128"/>
      <c r="H3188" s="128"/>
      <c r="I3188" s="128"/>
      <c r="J3188" s="81"/>
      <c r="K3188" s="81"/>
      <c r="L3188" s="81"/>
      <c r="M3188" s="81"/>
      <c r="N3188" s="82"/>
    </row>
    <row r="3189">
      <c r="C3189" s="41"/>
      <c r="D3189" s="141"/>
      <c r="E3189" s="118"/>
      <c r="F3189" s="126"/>
      <c r="G3189" s="126"/>
      <c r="H3189" s="126"/>
      <c r="I3189" s="126"/>
      <c r="J3189" s="76"/>
      <c r="K3189" s="76"/>
      <c r="L3189" s="76"/>
      <c r="M3189" s="76"/>
      <c r="N3189" s="114"/>
    </row>
    <row r="3190">
      <c r="C3190" s="41"/>
      <c r="D3190" s="142"/>
      <c r="E3190" s="130"/>
      <c r="F3190" s="128"/>
      <c r="G3190" s="128"/>
      <c r="H3190" s="128"/>
      <c r="I3190" s="128"/>
      <c r="J3190" s="81"/>
      <c r="K3190" s="81"/>
      <c r="L3190" s="81"/>
      <c r="M3190" s="81"/>
      <c r="N3190" s="82"/>
    </row>
    <row r="3191">
      <c r="C3191" s="41"/>
      <c r="D3191" s="141"/>
      <c r="E3191" s="118"/>
      <c r="F3191" s="126"/>
      <c r="G3191" s="126"/>
      <c r="H3191" s="126"/>
      <c r="I3191" s="126"/>
      <c r="J3191" s="76"/>
      <c r="K3191" s="76"/>
      <c r="L3191" s="76"/>
      <c r="M3191" s="76"/>
      <c r="N3191" s="114"/>
    </row>
    <row r="3192">
      <c r="C3192" s="41"/>
      <c r="D3192" s="142"/>
      <c r="E3192" s="130"/>
      <c r="F3192" s="128"/>
      <c r="G3192" s="128"/>
      <c r="H3192" s="128"/>
      <c r="I3192" s="128"/>
      <c r="J3192" s="81"/>
      <c r="K3192" s="81"/>
      <c r="L3192" s="81"/>
      <c r="M3192" s="81"/>
      <c r="N3192" s="82"/>
    </row>
    <row r="3193">
      <c r="C3193" s="41"/>
      <c r="D3193" s="141"/>
      <c r="E3193" s="118"/>
      <c r="F3193" s="126"/>
      <c r="G3193" s="126"/>
      <c r="H3193" s="126"/>
      <c r="I3193" s="126"/>
      <c r="J3193" s="76"/>
      <c r="K3193" s="76"/>
      <c r="L3193" s="76"/>
      <c r="M3193" s="76"/>
      <c r="N3193" s="114"/>
    </row>
    <row r="3194">
      <c r="C3194" s="41"/>
      <c r="D3194" s="142"/>
      <c r="E3194" s="130"/>
      <c r="F3194" s="128"/>
      <c r="G3194" s="128"/>
      <c r="H3194" s="128"/>
      <c r="I3194" s="128"/>
      <c r="J3194" s="81"/>
      <c r="K3194" s="81"/>
      <c r="L3194" s="81"/>
      <c r="M3194" s="81"/>
      <c r="N3194" s="82"/>
    </row>
    <row r="3195">
      <c r="C3195" s="41"/>
      <c r="D3195" s="141"/>
      <c r="E3195" s="118"/>
      <c r="F3195" s="126"/>
      <c r="G3195" s="126"/>
      <c r="H3195" s="126"/>
      <c r="I3195" s="126"/>
      <c r="J3195" s="76"/>
      <c r="K3195" s="76"/>
      <c r="L3195" s="76"/>
      <c r="M3195" s="76"/>
      <c r="N3195" s="114"/>
    </row>
    <row r="3196">
      <c r="C3196" s="41"/>
      <c r="D3196" s="142"/>
      <c r="E3196" s="130"/>
      <c r="F3196" s="128"/>
      <c r="G3196" s="128"/>
      <c r="H3196" s="128"/>
      <c r="I3196" s="128"/>
      <c r="J3196" s="81"/>
      <c r="K3196" s="81"/>
      <c r="L3196" s="81"/>
      <c r="M3196" s="81"/>
      <c r="N3196" s="82"/>
    </row>
    <row r="3197">
      <c r="C3197" s="41"/>
      <c r="D3197" s="141"/>
      <c r="E3197" s="118"/>
      <c r="F3197" s="126"/>
      <c r="G3197" s="126"/>
      <c r="H3197" s="126"/>
      <c r="I3197" s="126"/>
      <c r="J3197" s="76"/>
      <c r="K3197" s="76"/>
      <c r="L3197" s="76"/>
      <c r="M3197" s="76"/>
      <c r="N3197" s="114"/>
    </row>
    <row r="3198">
      <c r="C3198" s="41"/>
      <c r="D3198" s="142"/>
      <c r="E3198" s="130"/>
      <c r="F3198" s="128"/>
      <c r="G3198" s="128"/>
      <c r="H3198" s="128"/>
      <c r="I3198" s="128"/>
      <c r="J3198" s="81"/>
      <c r="K3198" s="81"/>
      <c r="L3198" s="81"/>
      <c r="M3198" s="81"/>
      <c r="N3198" s="82"/>
    </row>
    <row r="3199">
      <c r="C3199" s="41"/>
      <c r="D3199" s="141"/>
      <c r="E3199" s="118"/>
      <c r="F3199" s="126"/>
      <c r="G3199" s="126"/>
      <c r="H3199" s="126"/>
      <c r="I3199" s="126"/>
      <c r="J3199" s="76"/>
      <c r="K3199" s="76"/>
      <c r="L3199" s="76"/>
      <c r="M3199" s="76"/>
      <c r="N3199" s="114"/>
    </row>
    <row r="3200">
      <c r="C3200" s="41"/>
      <c r="D3200" s="142"/>
      <c r="E3200" s="130"/>
      <c r="F3200" s="128"/>
      <c r="G3200" s="128"/>
      <c r="H3200" s="128"/>
      <c r="I3200" s="128"/>
      <c r="J3200" s="81"/>
      <c r="K3200" s="81"/>
      <c r="L3200" s="81"/>
      <c r="M3200" s="81"/>
      <c r="N3200" s="82"/>
    </row>
    <row r="3201">
      <c r="C3201" s="41"/>
      <c r="D3201" s="141"/>
      <c r="E3201" s="118"/>
      <c r="F3201" s="126"/>
      <c r="G3201" s="126"/>
      <c r="H3201" s="126"/>
      <c r="I3201" s="126"/>
      <c r="J3201" s="76"/>
      <c r="K3201" s="76"/>
      <c r="L3201" s="76"/>
      <c r="M3201" s="76"/>
      <c r="N3201" s="114"/>
    </row>
    <row r="3202">
      <c r="C3202" s="41"/>
      <c r="D3202" s="142"/>
      <c r="E3202" s="130"/>
      <c r="F3202" s="128"/>
      <c r="G3202" s="128"/>
      <c r="H3202" s="128"/>
      <c r="I3202" s="128"/>
      <c r="J3202" s="81"/>
      <c r="K3202" s="81"/>
      <c r="L3202" s="81"/>
      <c r="M3202" s="81"/>
      <c r="N3202" s="82"/>
    </row>
    <row r="3203">
      <c r="C3203" s="41"/>
      <c r="D3203" s="141"/>
      <c r="E3203" s="118"/>
      <c r="F3203" s="126"/>
      <c r="G3203" s="126"/>
      <c r="H3203" s="126"/>
      <c r="I3203" s="126"/>
      <c r="J3203" s="76"/>
      <c r="K3203" s="76"/>
      <c r="L3203" s="76"/>
      <c r="M3203" s="76"/>
      <c r="N3203" s="114"/>
    </row>
    <row r="3204">
      <c r="C3204" s="41"/>
      <c r="D3204" s="142"/>
      <c r="E3204" s="130"/>
      <c r="F3204" s="128"/>
      <c r="G3204" s="128"/>
      <c r="H3204" s="128"/>
      <c r="I3204" s="128"/>
      <c r="J3204" s="81"/>
      <c r="K3204" s="81"/>
      <c r="L3204" s="81"/>
      <c r="M3204" s="81"/>
      <c r="N3204" s="82"/>
    </row>
    <row r="3205">
      <c r="C3205" s="41"/>
      <c r="D3205" s="141"/>
      <c r="E3205" s="118"/>
      <c r="F3205" s="126"/>
      <c r="G3205" s="126"/>
      <c r="H3205" s="126"/>
      <c r="I3205" s="126"/>
      <c r="J3205" s="76"/>
      <c r="K3205" s="76"/>
      <c r="L3205" s="76"/>
      <c r="M3205" s="76"/>
      <c r="N3205" s="114"/>
    </row>
    <row r="3206">
      <c r="C3206" s="41"/>
      <c r="D3206" s="142"/>
      <c r="E3206" s="130"/>
      <c r="F3206" s="128"/>
      <c r="G3206" s="128"/>
      <c r="H3206" s="128"/>
      <c r="I3206" s="128"/>
      <c r="J3206" s="81"/>
      <c r="K3206" s="81"/>
      <c r="L3206" s="81"/>
      <c r="M3206" s="81"/>
      <c r="N3206" s="82"/>
    </row>
    <row r="3207">
      <c r="C3207" s="41"/>
      <c r="D3207" s="141"/>
      <c r="E3207" s="118"/>
      <c r="F3207" s="126"/>
      <c r="G3207" s="126"/>
      <c r="H3207" s="126"/>
      <c r="I3207" s="126"/>
      <c r="J3207" s="76"/>
      <c r="K3207" s="76"/>
      <c r="L3207" s="76"/>
      <c r="M3207" s="76"/>
      <c r="N3207" s="114"/>
    </row>
    <row r="3208">
      <c r="C3208" s="41"/>
      <c r="D3208" s="142"/>
      <c r="E3208" s="130"/>
      <c r="F3208" s="128"/>
      <c r="G3208" s="128"/>
      <c r="H3208" s="128"/>
      <c r="I3208" s="128"/>
      <c r="J3208" s="81"/>
      <c r="K3208" s="81"/>
      <c r="L3208" s="81"/>
      <c r="M3208" s="81"/>
      <c r="N3208" s="82"/>
    </row>
    <row r="3209">
      <c r="C3209" s="41"/>
      <c r="D3209" s="141"/>
      <c r="E3209" s="118"/>
      <c r="F3209" s="126"/>
      <c r="G3209" s="126"/>
      <c r="H3209" s="126"/>
      <c r="I3209" s="126"/>
      <c r="J3209" s="76"/>
      <c r="K3209" s="76"/>
      <c r="L3209" s="76"/>
      <c r="M3209" s="76"/>
      <c r="N3209" s="114"/>
    </row>
    <row r="3210">
      <c r="C3210" s="41"/>
      <c r="D3210" s="142"/>
      <c r="E3210" s="130"/>
      <c r="F3210" s="128"/>
      <c r="G3210" s="128"/>
      <c r="H3210" s="128"/>
      <c r="I3210" s="128"/>
      <c r="J3210" s="81"/>
      <c r="K3210" s="81"/>
      <c r="L3210" s="81"/>
      <c r="M3210" s="81"/>
      <c r="N3210" s="82"/>
    </row>
    <row r="3211">
      <c r="C3211" s="41"/>
      <c r="D3211" s="141"/>
      <c r="E3211" s="118"/>
      <c r="F3211" s="126"/>
      <c r="G3211" s="126"/>
      <c r="H3211" s="126"/>
      <c r="I3211" s="126"/>
      <c r="J3211" s="76"/>
      <c r="K3211" s="76"/>
      <c r="L3211" s="76"/>
      <c r="M3211" s="76"/>
      <c r="N3211" s="114"/>
    </row>
    <row r="3212">
      <c r="C3212" s="41"/>
      <c r="D3212" s="142"/>
      <c r="E3212" s="130"/>
      <c r="F3212" s="128"/>
      <c r="G3212" s="128"/>
      <c r="H3212" s="128"/>
      <c r="I3212" s="128"/>
      <c r="J3212" s="81"/>
      <c r="K3212" s="81"/>
      <c r="L3212" s="81"/>
      <c r="M3212" s="81"/>
      <c r="N3212" s="82"/>
    </row>
    <row r="3213">
      <c r="C3213" s="41"/>
      <c r="D3213" s="141"/>
      <c r="E3213" s="118"/>
      <c r="F3213" s="126"/>
      <c r="G3213" s="126"/>
      <c r="H3213" s="126"/>
      <c r="I3213" s="126"/>
      <c r="J3213" s="76"/>
      <c r="K3213" s="76"/>
      <c r="L3213" s="76"/>
      <c r="M3213" s="76"/>
      <c r="N3213" s="114"/>
    </row>
    <row r="3214">
      <c r="C3214" s="41"/>
      <c r="D3214" s="142"/>
      <c r="E3214" s="130"/>
      <c r="F3214" s="128"/>
      <c r="G3214" s="128"/>
      <c r="H3214" s="128"/>
      <c r="I3214" s="128"/>
      <c r="J3214" s="81"/>
      <c r="K3214" s="81"/>
      <c r="L3214" s="81"/>
      <c r="M3214" s="81"/>
      <c r="N3214" s="82"/>
    </row>
    <row r="3215">
      <c r="C3215" s="41"/>
      <c r="D3215" s="141"/>
      <c r="E3215" s="118"/>
      <c r="F3215" s="126"/>
      <c r="G3215" s="126"/>
      <c r="H3215" s="126"/>
      <c r="I3215" s="126"/>
      <c r="J3215" s="76"/>
      <c r="K3215" s="76"/>
      <c r="L3215" s="76"/>
      <c r="M3215" s="76"/>
      <c r="N3215" s="114"/>
    </row>
    <row r="3216">
      <c r="C3216" s="41"/>
      <c r="D3216" s="142"/>
      <c r="E3216" s="130"/>
      <c r="F3216" s="128"/>
      <c r="G3216" s="128"/>
      <c r="H3216" s="128"/>
      <c r="I3216" s="128"/>
      <c r="J3216" s="81"/>
      <c r="K3216" s="81"/>
      <c r="L3216" s="81"/>
      <c r="M3216" s="81"/>
      <c r="N3216" s="82"/>
    </row>
    <row r="3217">
      <c r="C3217" s="41"/>
      <c r="D3217" s="141"/>
      <c r="E3217" s="118"/>
      <c r="F3217" s="126"/>
      <c r="G3217" s="126"/>
      <c r="H3217" s="126"/>
      <c r="I3217" s="126"/>
      <c r="J3217" s="76"/>
      <c r="K3217" s="76"/>
      <c r="L3217" s="76"/>
      <c r="M3217" s="76"/>
      <c r="N3217" s="114"/>
    </row>
    <row r="3218">
      <c r="C3218" s="41"/>
      <c r="D3218" s="142"/>
      <c r="E3218" s="130"/>
      <c r="F3218" s="128"/>
      <c r="G3218" s="128"/>
      <c r="H3218" s="128"/>
      <c r="I3218" s="128"/>
      <c r="J3218" s="81"/>
      <c r="K3218" s="81"/>
      <c r="L3218" s="81"/>
      <c r="M3218" s="81"/>
      <c r="N3218" s="82"/>
    </row>
    <row r="3219">
      <c r="C3219" s="41"/>
      <c r="D3219" s="141"/>
      <c r="E3219" s="118"/>
      <c r="F3219" s="126"/>
      <c r="G3219" s="126"/>
      <c r="H3219" s="126"/>
      <c r="I3219" s="126"/>
      <c r="J3219" s="76"/>
      <c r="K3219" s="76"/>
      <c r="L3219" s="76"/>
      <c r="M3219" s="76"/>
      <c r="N3219" s="114"/>
    </row>
    <row r="3220">
      <c r="C3220" s="41"/>
      <c r="D3220" s="142"/>
      <c r="E3220" s="130"/>
      <c r="F3220" s="128"/>
      <c r="G3220" s="128"/>
      <c r="H3220" s="128"/>
      <c r="I3220" s="128"/>
      <c r="J3220" s="81"/>
      <c r="K3220" s="81"/>
      <c r="L3220" s="81"/>
      <c r="M3220" s="81"/>
      <c r="N3220" s="82"/>
    </row>
    <row r="3221">
      <c r="C3221" s="41"/>
      <c r="D3221" s="141"/>
      <c r="E3221" s="118"/>
      <c r="F3221" s="126"/>
      <c r="G3221" s="126"/>
      <c r="H3221" s="126"/>
      <c r="I3221" s="126"/>
      <c r="J3221" s="76"/>
      <c r="K3221" s="76"/>
      <c r="L3221" s="76"/>
      <c r="M3221" s="76"/>
      <c r="N3221" s="114"/>
    </row>
    <row r="3222">
      <c r="C3222" s="41"/>
      <c r="D3222" s="142"/>
      <c r="E3222" s="130"/>
      <c r="F3222" s="128"/>
      <c r="G3222" s="128"/>
      <c r="H3222" s="128"/>
      <c r="I3222" s="128"/>
      <c r="J3222" s="81"/>
      <c r="K3222" s="81"/>
      <c r="L3222" s="81"/>
      <c r="M3222" s="81"/>
      <c r="N3222" s="82"/>
    </row>
    <row r="3223">
      <c r="C3223" s="41"/>
      <c r="D3223" s="141"/>
      <c r="E3223" s="118"/>
      <c r="F3223" s="126"/>
      <c r="G3223" s="126"/>
      <c r="H3223" s="126"/>
      <c r="I3223" s="126"/>
      <c r="J3223" s="76"/>
      <c r="K3223" s="76"/>
      <c r="L3223" s="76"/>
      <c r="M3223" s="76"/>
      <c r="N3223" s="114"/>
    </row>
    <row r="3224">
      <c r="C3224" s="41"/>
      <c r="D3224" s="142"/>
      <c r="E3224" s="130"/>
      <c r="F3224" s="128"/>
      <c r="G3224" s="128"/>
      <c r="H3224" s="128"/>
      <c r="I3224" s="128"/>
      <c r="J3224" s="81"/>
      <c r="K3224" s="81"/>
      <c r="L3224" s="81"/>
      <c r="M3224" s="81"/>
      <c r="N3224" s="82"/>
    </row>
    <row r="3225">
      <c r="C3225" s="41"/>
      <c r="D3225" s="141"/>
      <c r="E3225" s="118"/>
      <c r="F3225" s="126"/>
      <c r="G3225" s="126"/>
      <c r="H3225" s="126"/>
      <c r="I3225" s="126"/>
      <c r="J3225" s="76"/>
      <c r="K3225" s="76"/>
      <c r="L3225" s="76"/>
      <c r="M3225" s="76"/>
      <c r="N3225" s="114"/>
    </row>
    <row r="3226">
      <c r="C3226" s="41"/>
      <c r="D3226" s="142"/>
      <c r="E3226" s="130"/>
      <c r="F3226" s="128"/>
      <c r="G3226" s="128"/>
      <c r="H3226" s="128"/>
      <c r="I3226" s="128"/>
      <c r="J3226" s="81"/>
      <c r="K3226" s="81"/>
      <c r="L3226" s="81"/>
      <c r="M3226" s="81"/>
      <c r="N3226" s="82"/>
    </row>
    <row r="3227">
      <c r="C3227" s="41"/>
      <c r="D3227" s="141"/>
      <c r="E3227" s="118"/>
      <c r="F3227" s="126"/>
      <c r="G3227" s="126"/>
      <c r="H3227" s="126"/>
      <c r="I3227" s="126"/>
      <c r="J3227" s="76"/>
      <c r="K3227" s="76"/>
      <c r="L3227" s="76"/>
      <c r="M3227" s="76"/>
      <c r="N3227" s="114"/>
    </row>
    <row r="3228">
      <c r="C3228" s="41"/>
      <c r="D3228" s="142"/>
      <c r="E3228" s="130"/>
      <c r="F3228" s="128"/>
      <c r="G3228" s="128"/>
      <c r="H3228" s="128"/>
      <c r="I3228" s="128"/>
      <c r="J3228" s="81"/>
      <c r="K3228" s="81"/>
      <c r="L3228" s="81"/>
      <c r="M3228" s="81"/>
      <c r="N3228" s="82"/>
    </row>
    <row r="3229">
      <c r="C3229" s="41"/>
      <c r="D3229" s="141"/>
      <c r="E3229" s="118"/>
      <c r="F3229" s="126"/>
      <c r="G3229" s="126"/>
      <c r="H3229" s="126"/>
      <c r="I3229" s="126"/>
      <c r="J3229" s="76"/>
      <c r="K3229" s="76"/>
      <c r="L3229" s="76"/>
      <c r="M3229" s="76"/>
      <c r="N3229" s="114"/>
    </row>
    <row r="3230">
      <c r="C3230" s="41"/>
      <c r="D3230" s="142"/>
      <c r="E3230" s="130"/>
      <c r="F3230" s="128"/>
      <c r="G3230" s="128"/>
      <c r="H3230" s="128"/>
      <c r="I3230" s="128"/>
      <c r="J3230" s="81"/>
      <c r="K3230" s="81"/>
      <c r="L3230" s="81"/>
      <c r="M3230" s="81"/>
      <c r="N3230" s="82"/>
    </row>
    <row r="3231">
      <c r="C3231" s="41"/>
      <c r="D3231" s="141"/>
      <c r="E3231" s="118"/>
      <c r="F3231" s="126"/>
      <c r="G3231" s="126"/>
      <c r="H3231" s="126"/>
      <c r="I3231" s="126"/>
      <c r="J3231" s="76"/>
      <c r="K3231" s="76"/>
      <c r="L3231" s="76"/>
      <c r="M3231" s="76"/>
      <c r="N3231" s="114"/>
    </row>
    <row r="3232">
      <c r="C3232" s="41"/>
      <c r="D3232" s="142"/>
      <c r="E3232" s="130"/>
      <c r="F3232" s="128"/>
      <c r="G3232" s="128"/>
      <c r="H3232" s="128"/>
      <c r="I3232" s="128"/>
      <c r="J3232" s="81"/>
      <c r="K3232" s="81"/>
      <c r="L3232" s="81"/>
      <c r="M3232" s="81"/>
      <c r="N3232" s="82"/>
    </row>
    <row r="3233">
      <c r="C3233" s="41"/>
      <c r="D3233" s="141"/>
      <c r="E3233" s="118"/>
      <c r="F3233" s="126"/>
      <c r="G3233" s="126"/>
      <c r="H3233" s="126"/>
      <c r="I3233" s="126"/>
      <c r="J3233" s="76"/>
      <c r="K3233" s="76"/>
      <c r="L3233" s="76"/>
      <c r="M3233" s="76"/>
      <c r="N3233" s="114"/>
    </row>
    <row r="3234">
      <c r="C3234" s="41"/>
      <c r="D3234" s="142"/>
      <c r="E3234" s="130"/>
      <c r="F3234" s="128"/>
      <c r="G3234" s="128"/>
      <c r="H3234" s="128"/>
      <c r="I3234" s="128"/>
      <c r="J3234" s="81"/>
      <c r="K3234" s="81"/>
      <c r="L3234" s="81"/>
      <c r="M3234" s="81"/>
      <c r="N3234" s="82"/>
    </row>
    <row r="3235">
      <c r="C3235" s="41"/>
      <c r="D3235" s="141"/>
      <c r="E3235" s="118"/>
      <c r="F3235" s="126"/>
      <c r="G3235" s="126"/>
      <c r="H3235" s="126"/>
      <c r="I3235" s="126"/>
      <c r="J3235" s="76"/>
      <c r="K3235" s="76"/>
      <c r="L3235" s="76"/>
      <c r="M3235" s="76"/>
      <c r="N3235" s="114"/>
    </row>
    <row r="3236">
      <c r="C3236" s="41"/>
      <c r="D3236" s="142"/>
      <c r="E3236" s="130"/>
      <c r="F3236" s="128"/>
      <c r="G3236" s="128"/>
      <c r="H3236" s="128"/>
      <c r="I3236" s="128"/>
      <c r="J3236" s="81"/>
      <c r="K3236" s="81"/>
      <c r="L3236" s="81"/>
      <c r="M3236" s="81"/>
      <c r="N3236" s="82"/>
    </row>
    <row r="3237">
      <c r="C3237" s="41"/>
      <c r="D3237" s="141"/>
      <c r="E3237" s="118"/>
      <c r="F3237" s="126"/>
      <c r="G3237" s="126"/>
      <c r="H3237" s="126"/>
      <c r="I3237" s="126"/>
      <c r="J3237" s="76"/>
      <c r="K3237" s="76"/>
      <c r="L3237" s="76"/>
      <c r="M3237" s="76"/>
      <c r="N3237" s="114"/>
    </row>
    <row r="3238">
      <c r="C3238" s="41"/>
      <c r="D3238" s="142"/>
      <c r="E3238" s="130"/>
      <c r="F3238" s="128"/>
      <c r="G3238" s="128"/>
      <c r="H3238" s="128"/>
      <c r="I3238" s="128"/>
      <c r="J3238" s="81"/>
      <c r="K3238" s="81"/>
      <c r="L3238" s="81"/>
      <c r="M3238" s="81"/>
      <c r="N3238" s="82"/>
    </row>
    <row r="3239">
      <c r="C3239" s="41"/>
      <c r="D3239" s="141"/>
      <c r="E3239" s="118"/>
      <c r="F3239" s="126"/>
      <c r="G3239" s="126"/>
      <c r="H3239" s="126"/>
      <c r="I3239" s="126"/>
      <c r="J3239" s="76"/>
      <c r="K3239" s="76"/>
      <c r="L3239" s="76"/>
      <c r="M3239" s="76"/>
      <c r="N3239" s="114"/>
    </row>
    <row r="3240">
      <c r="C3240" s="41"/>
      <c r="D3240" s="142"/>
      <c r="E3240" s="130"/>
      <c r="F3240" s="128"/>
      <c r="G3240" s="128"/>
      <c r="H3240" s="128"/>
      <c r="I3240" s="128"/>
      <c r="J3240" s="81"/>
      <c r="K3240" s="81"/>
      <c r="L3240" s="81"/>
      <c r="M3240" s="81"/>
      <c r="N3240" s="82"/>
    </row>
    <row r="3241">
      <c r="C3241" s="41"/>
      <c r="D3241" s="141"/>
      <c r="E3241" s="118"/>
      <c r="F3241" s="126"/>
      <c r="G3241" s="126"/>
      <c r="H3241" s="126"/>
      <c r="I3241" s="126"/>
      <c r="J3241" s="76"/>
      <c r="K3241" s="76"/>
      <c r="L3241" s="76"/>
      <c r="M3241" s="76"/>
      <c r="N3241" s="114"/>
    </row>
    <row r="3242">
      <c r="C3242" s="41"/>
      <c r="D3242" s="142"/>
      <c r="E3242" s="130"/>
      <c r="F3242" s="128"/>
      <c r="G3242" s="128"/>
      <c r="H3242" s="128"/>
      <c r="I3242" s="128"/>
      <c r="J3242" s="81"/>
      <c r="K3242" s="81"/>
      <c r="L3242" s="81"/>
      <c r="M3242" s="81"/>
      <c r="N3242" s="82"/>
    </row>
    <row r="3243">
      <c r="C3243" s="41"/>
      <c r="D3243" s="141"/>
      <c r="E3243" s="118"/>
      <c r="F3243" s="126"/>
      <c r="G3243" s="126"/>
      <c r="H3243" s="126"/>
      <c r="I3243" s="126"/>
      <c r="J3243" s="76"/>
      <c r="K3243" s="76"/>
      <c r="L3243" s="76"/>
      <c r="M3243" s="76"/>
      <c r="N3243" s="114"/>
    </row>
    <row r="3244">
      <c r="C3244" s="41"/>
      <c r="D3244" s="142"/>
      <c r="E3244" s="130"/>
      <c r="F3244" s="128"/>
      <c r="G3244" s="128"/>
      <c r="H3244" s="128"/>
      <c r="I3244" s="128"/>
      <c r="J3244" s="81"/>
      <c r="K3244" s="81"/>
      <c r="L3244" s="81"/>
      <c r="M3244" s="81"/>
      <c r="N3244" s="82"/>
    </row>
    <row r="3245">
      <c r="C3245" s="41"/>
      <c r="D3245" s="141"/>
      <c r="E3245" s="118"/>
      <c r="F3245" s="126"/>
      <c r="G3245" s="126"/>
      <c r="H3245" s="126"/>
      <c r="I3245" s="126"/>
      <c r="J3245" s="76"/>
      <c r="K3245" s="76"/>
      <c r="L3245" s="76"/>
      <c r="M3245" s="76"/>
      <c r="N3245" s="114"/>
    </row>
    <row r="3246">
      <c r="C3246" s="41"/>
      <c r="D3246" s="142"/>
      <c r="E3246" s="130"/>
      <c r="F3246" s="128"/>
      <c r="G3246" s="128"/>
      <c r="H3246" s="128"/>
      <c r="I3246" s="128"/>
      <c r="J3246" s="81"/>
      <c r="K3246" s="81"/>
      <c r="L3246" s="81"/>
      <c r="M3246" s="81"/>
      <c r="N3246" s="82"/>
    </row>
    <row r="3247">
      <c r="C3247" s="41"/>
      <c r="D3247" s="141"/>
      <c r="E3247" s="118"/>
      <c r="F3247" s="126"/>
      <c r="G3247" s="126"/>
      <c r="H3247" s="126"/>
      <c r="I3247" s="126"/>
      <c r="J3247" s="76"/>
      <c r="K3247" s="76"/>
      <c r="L3247" s="76"/>
      <c r="M3247" s="76"/>
      <c r="N3247" s="114"/>
    </row>
    <row r="3248">
      <c r="C3248" s="41"/>
      <c r="D3248" s="142"/>
      <c r="E3248" s="130"/>
      <c r="F3248" s="128"/>
      <c r="G3248" s="128"/>
      <c r="H3248" s="128"/>
      <c r="I3248" s="128"/>
      <c r="J3248" s="81"/>
      <c r="K3248" s="81"/>
      <c r="L3248" s="81"/>
      <c r="M3248" s="81"/>
      <c r="N3248" s="82"/>
    </row>
    <row r="3249">
      <c r="C3249" s="41"/>
      <c r="D3249" s="141"/>
      <c r="E3249" s="118"/>
      <c r="F3249" s="126"/>
      <c r="G3249" s="126"/>
      <c r="H3249" s="126"/>
      <c r="I3249" s="126"/>
      <c r="J3249" s="76"/>
      <c r="K3249" s="76"/>
      <c r="L3249" s="76"/>
      <c r="M3249" s="76"/>
      <c r="N3249" s="114"/>
    </row>
    <row r="3250">
      <c r="C3250" s="41"/>
      <c r="D3250" s="142"/>
      <c r="E3250" s="130"/>
      <c r="F3250" s="128"/>
      <c r="G3250" s="128"/>
      <c r="H3250" s="128"/>
      <c r="I3250" s="128"/>
      <c r="J3250" s="81"/>
      <c r="K3250" s="81"/>
      <c r="L3250" s="81"/>
      <c r="M3250" s="81"/>
      <c r="N3250" s="82"/>
    </row>
    <row r="3251">
      <c r="C3251" s="41"/>
      <c r="D3251" s="141"/>
      <c r="E3251" s="118"/>
      <c r="F3251" s="126"/>
      <c r="G3251" s="126"/>
      <c r="H3251" s="126"/>
      <c r="I3251" s="126"/>
      <c r="J3251" s="76"/>
      <c r="K3251" s="76"/>
      <c r="L3251" s="76"/>
      <c r="M3251" s="76"/>
      <c r="N3251" s="114"/>
    </row>
    <row r="3252">
      <c r="C3252" s="41"/>
      <c r="D3252" s="142"/>
      <c r="E3252" s="130"/>
      <c r="F3252" s="128"/>
      <c r="G3252" s="128"/>
      <c r="H3252" s="128"/>
      <c r="I3252" s="128"/>
      <c r="J3252" s="81"/>
      <c r="K3252" s="81"/>
      <c r="L3252" s="81"/>
      <c r="M3252" s="81"/>
      <c r="N3252" s="82"/>
    </row>
    <row r="3253">
      <c r="C3253" s="41"/>
      <c r="D3253" s="141"/>
      <c r="E3253" s="118"/>
      <c r="F3253" s="126"/>
      <c r="G3253" s="126"/>
      <c r="H3253" s="126"/>
      <c r="I3253" s="126"/>
      <c r="J3253" s="76"/>
      <c r="K3253" s="76"/>
      <c r="L3253" s="76"/>
      <c r="M3253" s="76"/>
      <c r="N3253" s="114"/>
    </row>
    <row r="3254">
      <c r="C3254" s="41"/>
      <c r="D3254" s="142"/>
      <c r="E3254" s="130"/>
      <c r="F3254" s="128"/>
      <c r="G3254" s="128"/>
      <c r="H3254" s="128"/>
      <c r="I3254" s="128"/>
      <c r="J3254" s="81"/>
      <c r="K3254" s="81"/>
      <c r="L3254" s="81"/>
      <c r="M3254" s="81"/>
      <c r="N3254" s="82"/>
    </row>
    <row r="3255">
      <c r="C3255" s="41"/>
      <c r="D3255" s="141"/>
      <c r="E3255" s="118"/>
      <c r="F3255" s="126"/>
      <c r="G3255" s="126"/>
      <c r="H3255" s="126"/>
      <c r="I3255" s="126"/>
      <c r="J3255" s="76"/>
      <c r="K3255" s="76"/>
      <c r="L3255" s="76"/>
      <c r="M3255" s="76"/>
      <c r="N3255" s="114"/>
    </row>
    <row r="3256">
      <c r="C3256" s="41"/>
      <c r="D3256" s="142"/>
      <c r="E3256" s="130"/>
      <c r="F3256" s="128"/>
      <c r="G3256" s="128"/>
      <c r="H3256" s="128"/>
      <c r="I3256" s="128"/>
      <c r="J3256" s="81"/>
      <c r="K3256" s="81"/>
      <c r="L3256" s="81"/>
      <c r="M3256" s="81"/>
      <c r="N3256" s="82"/>
    </row>
    <row r="3257">
      <c r="C3257" s="41"/>
      <c r="D3257" s="141"/>
      <c r="E3257" s="118"/>
      <c r="F3257" s="126"/>
      <c r="G3257" s="126"/>
      <c r="H3257" s="126"/>
      <c r="I3257" s="126"/>
      <c r="J3257" s="76"/>
      <c r="K3257" s="76"/>
      <c r="L3257" s="76"/>
      <c r="M3257" s="76"/>
      <c r="N3257" s="114"/>
    </row>
    <row r="3258">
      <c r="C3258" s="41"/>
      <c r="D3258" s="142"/>
      <c r="E3258" s="130"/>
      <c r="F3258" s="128"/>
      <c r="G3258" s="128"/>
      <c r="H3258" s="128"/>
      <c r="I3258" s="128"/>
      <c r="J3258" s="81"/>
      <c r="K3258" s="81"/>
      <c r="L3258" s="81"/>
      <c r="M3258" s="81"/>
      <c r="N3258" s="82"/>
    </row>
    <row r="3259">
      <c r="C3259" s="41"/>
      <c r="D3259" s="141"/>
      <c r="E3259" s="118"/>
      <c r="F3259" s="126"/>
      <c r="G3259" s="126"/>
      <c r="H3259" s="126"/>
      <c r="I3259" s="126"/>
      <c r="J3259" s="76"/>
      <c r="K3259" s="76"/>
      <c r="L3259" s="76"/>
      <c r="M3259" s="76"/>
      <c r="N3259" s="114"/>
    </row>
    <row r="3260">
      <c r="C3260" s="41"/>
      <c r="D3260" s="142"/>
      <c r="E3260" s="130"/>
      <c r="F3260" s="128"/>
      <c r="G3260" s="128"/>
      <c r="H3260" s="128"/>
      <c r="I3260" s="128"/>
      <c r="J3260" s="81"/>
      <c r="K3260" s="81"/>
      <c r="L3260" s="81"/>
      <c r="M3260" s="81"/>
      <c r="N3260" s="82"/>
    </row>
    <row r="3261">
      <c r="C3261" s="41"/>
      <c r="D3261" s="141"/>
      <c r="E3261" s="118"/>
      <c r="F3261" s="126"/>
      <c r="G3261" s="126"/>
      <c r="H3261" s="126"/>
      <c r="I3261" s="126"/>
      <c r="J3261" s="76"/>
      <c r="K3261" s="76"/>
      <c r="L3261" s="76"/>
      <c r="M3261" s="76"/>
      <c r="N3261" s="114"/>
    </row>
    <row r="3262">
      <c r="C3262" s="41"/>
      <c r="D3262" s="142"/>
      <c r="E3262" s="130"/>
      <c r="F3262" s="128"/>
      <c r="G3262" s="128"/>
      <c r="H3262" s="128"/>
      <c r="I3262" s="128"/>
      <c r="J3262" s="81"/>
      <c r="K3262" s="81"/>
      <c r="L3262" s="81"/>
      <c r="M3262" s="81"/>
      <c r="N3262" s="82"/>
    </row>
    <row r="3263">
      <c r="C3263" s="41"/>
      <c r="D3263" s="141"/>
      <c r="E3263" s="118"/>
      <c r="F3263" s="126"/>
      <c r="G3263" s="126"/>
      <c r="H3263" s="126"/>
      <c r="I3263" s="126"/>
      <c r="J3263" s="76"/>
      <c r="K3263" s="76"/>
      <c r="L3263" s="76"/>
      <c r="M3263" s="76"/>
      <c r="N3263" s="114"/>
    </row>
    <row r="3264">
      <c r="C3264" s="41"/>
      <c r="D3264" s="142"/>
      <c r="E3264" s="130"/>
      <c r="F3264" s="128"/>
      <c r="G3264" s="128"/>
      <c r="H3264" s="128"/>
      <c r="I3264" s="128"/>
      <c r="J3264" s="81"/>
      <c r="K3264" s="81"/>
      <c r="L3264" s="81"/>
      <c r="M3264" s="81"/>
      <c r="N3264" s="82"/>
    </row>
    <row r="3265">
      <c r="C3265" s="41"/>
      <c r="D3265" s="141"/>
      <c r="E3265" s="118"/>
      <c r="F3265" s="126"/>
      <c r="G3265" s="126"/>
      <c r="H3265" s="126"/>
      <c r="I3265" s="126"/>
      <c r="J3265" s="76"/>
      <c r="K3265" s="76"/>
      <c r="L3265" s="76"/>
      <c r="M3265" s="76"/>
      <c r="N3265" s="114"/>
    </row>
    <row r="3266">
      <c r="C3266" s="41"/>
      <c r="D3266" s="142"/>
      <c r="E3266" s="130"/>
      <c r="F3266" s="128"/>
      <c r="G3266" s="128"/>
      <c r="H3266" s="128"/>
      <c r="I3266" s="128"/>
      <c r="J3266" s="81"/>
      <c r="K3266" s="81"/>
      <c r="L3266" s="81"/>
      <c r="M3266" s="81"/>
      <c r="N3266" s="82"/>
    </row>
    <row r="3267">
      <c r="C3267" s="41"/>
      <c r="D3267" s="141"/>
      <c r="E3267" s="118"/>
      <c r="F3267" s="126"/>
      <c r="G3267" s="126"/>
      <c r="H3267" s="126"/>
      <c r="I3267" s="126"/>
      <c r="J3267" s="76"/>
      <c r="K3267" s="76"/>
      <c r="L3267" s="76"/>
      <c r="M3267" s="76"/>
      <c r="N3267" s="114"/>
    </row>
    <row r="3268">
      <c r="C3268" s="41"/>
      <c r="D3268" s="142"/>
      <c r="E3268" s="130"/>
      <c r="F3268" s="128"/>
      <c r="G3268" s="128"/>
      <c r="H3268" s="128"/>
      <c r="I3268" s="128"/>
      <c r="J3268" s="81"/>
      <c r="K3268" s="81"/>
      <c r="L3268" s="81"/>
      <c r="M3268" s="81"/>
      <c r="N3268" s="82"/>
    </row>
    <row r="3269">
      <c r="C3269" s="41"/>
      <c r="D3269" s="141"/>
      <c r="E3269" s="118"/>
      <c r="F3269" s="126"/>
      <c r="G3269" s="126"/>
      <c r="H3269" s="126"/>
      <c r="I3269" s="126"/>
      <c r="J3269" s="76"/>
      <c r="K3269" s="76"/>
      <c r="L3269" s="76"/>
      <c r="M3269" s="76"/>
      <c r="N3269" s="114"/>
    </row>
    <row r="3270">
      <c r="C3270" s="41"/>
      <c r="D3270" s="142"/>
      <c r="E3270" s="130"/>
      <c r="F3270" s="128"/>
      <c r="G3270" s="128"/>
      <c r="H3270" s="128"/>
      <c r="I3270" s="128"/>
      <c r="J3270" s="81"/>
      <c r="K3270" s="81"/>
      <c r="L3270" s="81"/>
      <c r="M3270" s="81"/>
      <c r="N3270" s="82"/>
    </row>
    <row r="3271">
      <c r="C3271" s="41"/>
      <c r="D3271" s="141"/>
      <c r="E3271" s="118"/>
      <c r="F3271" s="126"/>
      <c r="G3271" s="126"/>
      <c r="H3271" s="126"/>
      <c r="I3271" s="126"/>
      <c r="J3271" s="76"/>
      <c r="K3271" s="76"/>
      <c r="L3271" s="76"/>
      <c r="M3271" s="76"/>
      <c r="N3271" s="114"/>
    </row>
    <row r="3272">
      <c r="C3272" s="41"/>
      <c r="D3272" s="142"/>
      <c r="E3272" s="130"/>
      <c r="F3272" s="128"/>
      <c r="G3272" s="128"/>
      <c r="H3272" s="128"/>
      <c r="I3272" s="128"/>
      <c r="J3272" s="81"/>
      <c r="K3272" s="81"/>
      <c r="L3272" s="81"/>
      <c r="M3272" s="81"/>
      <c r="N3272" s="82"/>
    </row>
    <row r="3273">
      <c r="C3273" s="41"/>
      <c r="D3273" s="141"/>
      <c r="E3273" s="118"/>
      <c r="F3273" s="126"/>
      <c r="G3273" s="126"/>
      <c r="H3273" s="126"/>
      <c r="I3273" s="126"/>
      <c r="J3273" s="76"/>
      <c r="K3273" s="76"/>
      <c r="L3273" s="76"/>
      <c r="M3273" s="76"/>
      <c r="N3273" s="114"/>
    </row>
    <row r="3274">
      <c r="C3274" s="41"/>
      <c r="D3274" s="142"/>
      <c r="E3274" s="130"/>
      <c r="F3274" s="128"/>
      <c r="G3274" s="128"/>
      <c r="H3274" s="128"/>
      <c r="I3274" s="128"/>
      <c r="J3274" s="81"/>
      <c r="K3274" s="81"/>
      <c r="L3274" s="81"/>
      <c r="M3274" s="81"/>
      <c r="N3274" s="82"/>
    </row>
    <row r="3275">
      <c r="C3275" s="41"/>
      <c r="D3275" s="141"/>
      <c r="E3275" s="118"/>
      <c r="F3275" s="126"/>
      <c r="G3275" s="126"/>
      <c r="H3275" s="126"/>
      <c r="I3275" s="126"/>
      <c r="J3275" s="76"/>
      <c r="K3275" s="76"/>
      <c r="L3275" s="76"/>
      <c r="M3275" s="76"/>
      <c r="N3275" s="114"/>
    </row>
    <row r="3276">
      <c r="C3276" s="41"/>
      <c r="D3276" s="142"/>
      <c r="E3276" s="130"/>
      <c r="F3276" s="128"/>
      <c r="G3276" s="128"/>
      <c r="H3276" s="128"/>
      <c r="I3276" s="128"/>
      <c r="J3276" s="81"/>
      <c r="K3276" s="81"/>
      <c r="L3276" s="81"/>
      <c r="M3276" s="81"/>
      <c r="N3276" s="82"/>
    </row>
    <row r="3277">
      <c r="C3277" s="41"/>
      <c r="D3277" s="141"/>
      <c r="E3277" s="118"/>
      <c r="F3277" s="126"/>
      <c r="G3277" s="126"/>
      <c r="H3277" s="126"/>
      <c r="I3277" s="126"/>
      <c r="J3277" s="76"/>
      <c r="K3277" s="76"/>
      <c r="L3277" s="76"/>
      <c r="M3277" s="76"/>
      <c r="N3277" s="114"/>
    </row>
    <row r="3278">
      <c r="C3278" s="41"/>
      <c r="D3278" s="142"/>
      <c r="E3278" s="130"/>
      <c r="F3278" s="128"/>
      <c r="G3278" s="128"/>
      <c r="H3278" s="128"/>
      <c r="I3278" s="128"/>
      <c r="J3278" s="81"/>
      <c r="K3278" s="81"/>
      <c r="L3278" s="81"/>
      <c r="M3278" s="81"/>
      <c r="N3278" s="82"/>
    </row>
    <row r="3279">
      <c r="C3279" s="41"/>
      <c r="D3279" s="141"/>
      <c r="E3279" s="118"/>
      <c r="F3279" s="126"/>
      <c r="G3279" s="126"/>
      <c r="H3279" s="126"/>
      <c r="I3279" s="126"/>
      <c r="J3279" s="76"/>
      <c r="K3279" s="76"/>
      <c r="L3279" s="76"/>
      <c r="M3279" s="76"/>
      <c r="N3279" s="114"/>
    </row>
    <row r="3280">
      <c r="C3280" s="41"/>
      <c r="D3280" s="142"/>
      <c r="E3280" s="130"/>
      <c r="F3280" s="128"/>
      <c r="G3280" s="128"/>
      <c r="H3280" s="128"/>
      <c r="I3280" s="128"/>
      <c r="J3280" s="81"/>
      <c r="K3280" s="81"/>
      <c r="L3280" s="81"/>
      <c r="M3280" s="81"/>
      <c r="N3280" s="82"/>
    </row>
    <row r="3281">
      <c r="C3281" s="41"/>
      <c r="D3281" s="141"/>
      <c r="E3281" s="118"/>
      <c r="F3281" s="126"/>
      <c r="G3281" s="126"/>
      <c r="H3281" s="126"/>
      <c r="I3281" s="126"/>
      <c r="J3281" s="76"/>
      <c r="K3281" s="76"/>
      <c r="L3281" s="76"/>
      <c r="M3281" s="76"/>
      <c r="N3281" s="114"/>
    </row>
    <row r="3282">
      <c r="C3282" s="41"/>
      <c r="D3282" s="142"/>
      <c r="E3282" s="130"/>
      <c r="F3282" s="128"/>
      <c r="G3282" s="128"/>
      <c r="H3282" s="128"/>
      <c r="I3282" s="128"/>
      <c r="J3282" s="81"/>
      <c r="K3282" s="81"/>
      <c r="L3282" s="81"/>
      <c r="M3282" s="81"/>
      <c r="N3282" s="82"/>
    </row>
    <row r="3283">
      <c r="C3283" s="41"/>
      <c r="D3283" s="141"/>
      <c r="E3283" s="118"/>
      <c r="F3283" s="126"/>
      <c r="G3283" s="126"/>
      <c r="H3283" s="126"/>
      <c r="I3283" s="126"/>
      <c r="J3283" s="76"/>
      <c r="K3283" s="76"/>
      <c r="L3283" s="76"/>
      <c r="M3283" s="76"/>
      <c r="N3283" s="114"/>
    </row>
    <row r="3284">
      <c r="C3284" s="41"/>
      <c r="D3284" s="142"/>
      <c r="E3284" s="130"/>
      <c r="F3284" s="128"/>
      <c r="G3284" s="128"/>
      <c r="H3284" s="128"/>
      <c r="I3284" s="128"/>
      <c r="J3284" s="81"/>
      <c r="K3284" s="81"/>
      <c r="L3284" s="81"/>
      <c r="M3284" s="81"/>
      <c r="N3284" s="82"/>
    </row>
    <row r="3285">
      <c r="C3285" s="41"/>
      <c r="D3285" s="141"/>
      <c r="E3285" s="118"/>
      <c r="F3285" s="126"/>
      <c r="G3285" s="126"/>
      <c r="H3285" s="126"/>
      <c r="I3285" s="126"/>
      <c r="J3285" s="76"/>
      <c r="K3285" s="76"/>
      <c r="L3285" s="76"/>
      <c r="M3285" s="76"/>
      <c r="N3285" s="114"/>
    </row>
    <row r="3286">
      <c r="C3286" s="41"/>
      <c r="D3286" s="142"/>
      <c r="E3286" s="130"/>
      <c r="F3286" s="128"/>
      <c r="G3286" s="128"/>
      <c r="H3286" s="128"/>
      <c r="I3286" s="128"/>
      <c r="J3286" s="81"/>
      <c r="K3286" s="81"/>
      <c r="L3286" s="81"/>
      <c r="M3286" s="81"/>
      <c r="N3286" s="82"/>
    </row>
    <row r="3287">
      <c r="C3287" s="41"/>
      <c r="D3287" s="141"/>
      <c r="E3287" s="118"/>
      <c r="F3287" s="126"/>
      <c r="G3287" s="126"/>
      <c r="H3287" s="126"/>
      <c r="I3287" s="126"/>
      <c r="J3287" s="76"/>
      <c r="K3287" s="76"/>
      <c r="L3287" s="76"/>
      <c r="M3287" s="76"/>
      <c r="N3287" s="114"/>
    </row>
    <row r="3288">
      <c r="C3288" s="41"/>
      <c r="D3288" s="142"/>
      <c r="E3288" s="130"/>
      <c r="F3288" s="128"/>
      <c r="G3288" s="128"/>
      <c r="H3288" s="128"/>
      <c r="I3288" s="128"/>
      <c r="J3288" s="81"/>
      <c r="K3288" s="81"/>
      <c r="L3288" s="81"/>
      <c r="M3288" s="81"/>
      <c r="N3288" s="82"/>
    </row>
    <row r="3289">
      <c r="C3289" s="41"/>
      <c r="D3289" s="141"/>
      <c r="E3289" s="118"/>
      <c r="F3289" s="126"/>
      <c r="G3289" s="126"/>
      <c r="H3289" s="126"/>
      <c r="I3289" s="126"/>
      <c r="J3289" s="76"/>
      <c r="K3289" s="76"/>
      <c r="L3289" s="76"/>
      <c r="M3289" s="76"/>
      <c r="N3289" s="114"/>
    </row>
    <row r="3290">
      <c r="C3290" s="41"/>
      <c r="D3290" s="142"/>
      <c r="E3290" s="130"/>
      <c r="F3290" s="128"/>
      <c r="G3290" s="128"/>
      <c r="H3290" s="128"/>
      <c r="I3290" s="128"/>
      <c r="J3290" s="81"/>
      <c r="K3290" s="81"/>
      <c r="L3290" s="81"/>
      <c r="M3290" s="81"/>
      <c r="N3290" s="82"/>
    </row>
    <row r="3291">
      <c r="C3291" s="41"/>
      <c r="D3291" s="141"/>
      <c r="E3291" s="118"/>
      <c r="F3291" s="126"/>
      <c r="G3291" s="126"/>
      <c r="H3291" s="126"/>
      <c r="I3291" s="126"/>
      <c r="J3291" s="76"/>
      <c r="K3291" s="76"/>
      <c r="L3291" s="76"/>
      <c r="M3291" s="76"/>
      <c r="N3291" s="114"/>
    </row>
    <row r="3292">
      <c r="C3292" s="41"/>
      <c r="D3292" s="142"/>
      <c r="E3292" s="130"/>
      <c r="F3292" s="128"/>
      <c r="G3292" s="128"/>
      <c r="H3292" s="128"/>
      <c r="I3292" s="128"/>
      <c r="J3292" s="81"/>
      <c r="K3292" s="81"/>
      <c r="L3292" s="81"/>
      <c r="M3292" s="81"/>
      <c r="N3292" s="82"/>
    </row>
    <row r="3293">
      <c r="C3293" s="41"/>
      <c r="D3293" s="141"/>
      <c r="E3293" s="118"/>
      <c r="F3293" s="126"/>
      <c r="G3293" s="126"/>
      <c r="H3293" s="126"/>
      <c r="I3293" s="126"/>
      <c r="J3293" s="76"/>
      <c r="K3293" s="76"/>
      <c r="L3293" s="76"/>
      <c r="M3293" s="76"/>
      <c r="N3293" s="114"/>
    </row>
    <row r="3294">
      <c r="C3294" s="41"/>
      <c r="D3294" s="142"/>
      <c r="E3294" s="130"/>
      <c r="F3294" s="128"/>
      <c r="G3294" s="128"/>
      <c r="H3294" s="128"/>
      <c r="I3294" s="128"/>
      <c r="J3294" s="81"/>
      <c r="K3294" s="81"/>
      <c r="L3294" s="81"/>
      <c r="M3294" s="81"/>
      <c r="N3294" s="82"/>
    </row>
    <row r="3295">
      <c r="C3295" s="41"/>
      <c r="D3295" s="141"/>
      <c r="E3295" s="118"/>
      <c r="F3295" s="126"/>
      <c r="G3295" s="126"/>
      <c r="H3295" s="126"/>
      <c r="I3295" s="126"/>
      <c r="J3295" s="76"/>
      <c r="K3295" s="76"/>
      <c r="L3295" s="76"/>
      <c r="M3295" s="76"/>
      <c r="N3295" s="114"/>
    </row>
    <row r="3296">
      <c r="C3296" s="41"/>
      <c r="D3296" s="142"/>
      <c r="E3296" s="130"/>
      <c r="F3296" s="128"/>
      <c r="G3296" s="128"/>
      <c r="H3296" s="128"/>
      <c r="I3296" s="128"/>
      <c r="J3296" s="81"/>
      <c r="K3296" s="81"/>
      <c r="L3296" s="81"/>
      <c r="M3296" s="81"/>
      <c r="N3296" s="82"/>
    </row>
    <row r="3297">
      <c r="C3297" s="41"/>
      <c r="D3297" s="141"/>
      <c r="E3297" s="118"/>
      <c r="F3297" s="126"/>
      <c r="G3297" s="126"/>
      <c r="H3297" s="126"/>
      <c r="I3297" s="126"/>
      <c r="J3297" s="76"/>
      <c r="K3297" s="76"/>
      <c r="L3297" s="76"/>
      <c r="M3297" s="76"/>
      <c r="N3297" s="114"/>
    </row>
    <row r="3298">
      <c r="C3298" s="41"/>
      <c r="D3298" s="142"/>
      <c r="E3298" s="130"/>
      <c r="F3298" s="128"/>
      <c r="G3298" s="128"/>
      <c r="H3298" s="128"/>
      <c r="I3298" s="128"/>
      <c r="J3298" s="81"/>
      <c r="K3298" s="81"/>
      <c r="L3298" s="81"/>
      <c r="M3298" s="81"/>
      <c r="N3298" s="82"/>
    </row>
    <row r="3299">
      <c r="C3299" s="41"/>
      <c r="D3299" s="141"/>
      <c r="E3299" s="118"/>
      <c r="F3299" s="126"/>
      <c r="G3299" s="126"/>
      <c r="H3299" s="126"/>
      <c r="I3299" s="126"/>
      <c r="J3299" s="76"/>
      <c r="K3299" s="76"/>
      <c r="L3299" s="76"/>
      <c r="M3299" s="76"/>
      <c r="N3299" s="114"/>
    </row>
    <row r="3300">
      <c r="C3300" s="41"/>
      <c r="D3300" s="142"/>
      <c r="E3300" s="130"/>
      <c r="F3300" s="128"/>
      <c r="G3300" s="128"/>
      <c r="H3300" s="128"/>
      <c r="I3300" s="128"/>
      <c r="J3300" s="81"/>
      <c r="K3300" s="81"/>
      <c r="L3300" s="81"/>
      <c r="M3300" s="81"/>
      <c r="N3300" s="82"/>
    </row>
    <row r="3301">
      <c r="C3301" s="41"/>
      <c r="D3301" s="141"/>
      <c r="E3301" s="118"/>
      <c r="F3301" s="126"/>
      <c r="G3301" s="126"/>
      <c r="H3301" s="126"/>
      <c r="I3301" s="126"/>
      <c r="J3301" s="76"/>
      <c r="K3301" s="76"/>
      <c r="L3301" s="76"/>
      <c r="M3301" s="76"/>
      <c r="N3301" s="114"/>
    </row>
    <row r="3302">
      <c r="C3302" s="41"/>
      <c r="D3302" s="142"/>
      <c r="E3302" s="130"/>
      <c r="F3302" s="128"/>
      <c r="G3302" s="128"/>
      <c r="H3302" s="128"/>
      <c r="I3302" s="128"/>
      <c r="J3302" s="81"/>
      <c r="K3302" s="81"/>
      <c r="L3302" s="81"/>
      <c r="M3302" s="81"/>
      <c r="N3302" s="82"/>
    </row>
    <row r="3303">
      <c r="C3303" s="41"/>
      <c r="D3303" s="141"/>
      <c r="E3303" s="118"/>
      <c r="F3303" s="126"/>
      <c r="G3303" s="126"/>
      <c r="H3303" s="126"/>
      <c r="I3303" s="126"/>
      <c r="J3303" s="76"/>
      <c r="K3303" s="76"/>
      <c r="L3303" s="76"/>
      <c r="M3303" s="76"/>
      <c r="N3303" s="114"/>
    </row>
    <row r="3304">
      <c r="C3304" s="41"/>
      <c r="D3304" s="142"/>
      <c r="E3304" s="130"/>
      <c r="F3304" s="128"/>
      <c r="G3304" s="128"/>
      <c r="H3304" s="128"/>
      <c r="I3304" s="128"/>
      <c r="J3304" s="81"/>
      <c r="K3304" s="81"/>
      <c r="L3304" s="81"/>
      <c r="M3304" s="81"/>
      <c r="N3304" s="82"/>
    </row>
    <row r="3305">
      <c r="C3305" s="41"/>
      <c r="D3305" s="141"/>
      <c r="E3305" s="118"/>
      <c r="F3305" s="126"/>
      <c r="G3305" s="126"/>
      <c r="H3305" s="126"/>
      <c r="I3305" s="126"/>
      <c r="J3305" s="76"/>
      <c r="K3305" s="76"/>
      <c r="L3305" s="76"/>
      <c r="M3305" s="76"/>
      <c r="N3305" s="114"/>
    </row>
    <row r="3306">
      <c r="C3306" s="41"/>
      <c r="D3306" s="142"/>
      <c r="E3306" s="130"/>
      <c r="F3306" s="128"/>
      <c r="G3306" s="128"/>
      <c r="H3306" s="128"/>
      <c r="I3306" s="128"/>
      <c r="J3306" s="81"/>
      <c r="K3306" s="81"/>
      <c r="L3306" s="81"/>
      <c r="M3306" s="81"/>
      <c r="N3306" s="82"/>
    </row>
    <row r="3307">
      <c r="C3307" s="41"/>
      <c r="D3307" s="141"/>
      <c r="E3307" s="118"/>
      <c r="F3307" s="126"/>
      <c r="G3307" s="126"/>
      <c r="H3307" s="126"/>
      <c r="I3307" s="126"/>
      <c r="J3307" s="76"/>
      <c r="K3307" s="76"/>
      <c r="L3307" s="76"/>
      <c r="M3307" s="76"/>
      <c r="N3307" s="114"/>
    </row>
    <row r="3308">
      <c r="C3308" s="41"/>
      <c r="D3308" s="142"/>
      <c r="E3308" s="130"/>
      <c r="F3308" s="128"/>
      <c r="G3308" s="128"/>
      <c r="H3308" s="128"/>
      <c r="I3308" s="128"/>
      <c r="J3308" s="81"/>
      <c r="K3308" s="81"/>
      <c r="L3308" s="81"/>
      <c r="M3308" s="81"/>
      <c r="N3308" s="82"/>
    </row>
    <row r="3309">
      <c r="C3309" s="41"/>
      <c r="D3309" s="141"/>
      <c r="E3309" s="118"/>
      <c r="F3309" s="126"/>
      <c r="G3309" s="126"/>
      <c r="H3309" s="126"/>
      <c r="I3309" s="126"/>
      <c r="J3309" s="76"/>
      <c r="K3309" s="76"/>
      <c r="L3309" s="76"/>
      <c r="M3309" s="76"/>
      <c r="N3309" s="114"/>
    </row>
    <row r="3310">
      <c r="C3310" s="41"/>
      <c r="D3310" s="142"/>
      <c r="E3310" s="130"/>
      <c r="F3310" s="128"/>
      <c r="G3310" s="128"/>
      <c r="H3310" s="128"/>
      <c r="I3310" s="128"/>
      <c r="J3310" s="81"/>
      <c r="K3310" s="81"/>
      <c r="L3310" s="81"/>
      <c r="M3310" s="81"/>
      <c r="N3310" s="82"/>
    </row>
    <row r="3311">
      <c r="C3311" s="41"/>
      <c r="D3311" s="141"/>
      <c r="E3311" s="118"/>
      <c r="F3311" s="126"/>
      <c r="G3311" s="126"/>
      <c r="H3311" s="126"/>
      <c r="I3311" s="126"/>
      <c r="J3311" s="76"/>
      <c r="K3311" s="76"/>
      <c r="L3311" s="76"/>
      <c r="M3311" s="76"/>
      <c r="N3311" s="114"/>
    </row>
    <row r="3312">
      <c r="C3312" s="41"/>
      <c r="D3312" s="142"/>
      <c r="E3312" s="130"/>
      <c r="F3312" s="128"/>
      <c r="G3312" s="128"/>
      <c r="H3312" s="128"/>
      <c r="I3312" s="128"/>
      <c r="J3312" s="81"/>
      <c r="K3312" s="81"/>
      <c r="L3312" s="81"/>
      <c r="M3312" s="81"/>
      <c r="N3312" s="82"/>
    </row>
    <row r="3313">
      <c r="C3313" s="41"/>
      <c r="D3313" s="141"/>
      <c r="E3313" s="118"/>
      <c r="F3313" s="126"/>
      <c r="G3313" s="126"/>
      <c r="H3313" s="126"/>
      <c r="I3313" s="126"/>
      <c r="J3313" s="76"/>
      <c r="K3313" s="76"/>
      <c r="L3313" s="76"/>
      <c r="M3313" s="76"/>
      <c r="N3313" s="114"/>
    </row>
    <row r="3314">
      <c r="C3314" s="41"/>
      <c r="D3314" s="142"/>
      <c r="E3314" s="130"/>
      <c r="F3314" s="128"/>
      <c r="G3314" s="128"/>
      <c r="H3314" s="128"/>
      <c r="I3314" s="128"/>
      <c r="J3314" s="81"/>
      <c r="K3314" s="81"/>
      <c r="L3314" s="81"/>
      <c r="M3314" s="81"/>
      <c r="N3314" s="82"/>
    </row>
    <row r="3315">
      <c r="C3315" s="41"/>
      <c r="D3315" s="141"/>
      <c r="E3315" s="118"/>
      <c r="F3315" s="126"/>
      <c r="G3315" s="126"/>
      <c r="H3315" s="126"/>
      <c r="I3315" s="126"/>
      <c r="J3315" s="76"/>
      <c r="K3315" s="76"/>
      <c r="L3315" s="76"/>
      <c r="M3315" s="76"/>
      <c r="N3315" s="114"/>
    </row>
    <row r="3316">
      <c r="C3316" s="41"/>
      <c r="D3316" s="142"/>
      <c r="E3316" s="130"/>
      <c r="F3316" s="128"/>
      <c r="G3316" s="128"/>
      <c r="H3316" s="128"/>
      <c r="I3316" s="128"/>
      <c r="J3316" s="81"/>
      <c r="K3316" s="81"/>
      <c r="L3316" s="81"/>
      <c r="M3316" s="81"/>
      <c r="N3316" s="82"/>
    </row>
    <row r="3317">
      <c r="C3317" s="41"/>
      <c r="D3317" s="141"/>
      <c r="E3317" s="118"/>
      <c r="F3317" s="126"/>
      <c r="G3317" s="126"/>
      <c r="H3317" s="126"/>
      <c r="I3317" s="126"/>
      <c r="J3317" s="76"/>
      <c r="K3317" s="76"/>
      <c r="L3317" s="76"/>
      <c r="M3317" s="76"/>
      <c r="N3317" s="114"/>
    </row>
    <row r="3318">
      <c r="C3318" s="41"/>
      <c r="D3318" s="142"/>
      <c r="E3318" s="130"/>
      <c r="F3318" s="128"/>
      <c r="G3318" s="128"/>
      <c r="H3318" s="128"/>
      <c r="I3318" s="128"/>
      <c r="J3318" s="81"/>
      <c r="K3318" s="81"/>
      <c r="L3318" s="81"/>
      <c r="M3318" s="81"/>
      <c r="N3318" s="82"/>
    </row>
    <row r="3319">
      <c r="C3319" s="41"/>
      <c r="D3319" s="141"/>
      <c r="E3319" s="118"/>
      <c r="F3319" s="126"/>
      <c r="G3319" s="126"/>
      <c r="H3319" s="126"/>
      <c r="I3319" s="126"/>
      <c r="J3319" s="76"/>
      <c r="K3319" s="76"/>
      <c r="L3319" s="76"/>
      <c r="M3319" s="76"/>
      <c r="N3319" s="114"/>
    </row>
    <row r="3320">
      <c r="C3320" s="41"/>
      <c r="D3320" s="142"/>
      <c r="E3320" s="130"/>
      <c r="F3320" s="128"/>
      <c r="G3320" s="128"/>
      <c r="H3320" s="128"/>
      <c r="I3320" s="128"/>
      <c r="J3320" s="81"/>
      <c r="K3320" s="81"/>
      <c r="L3320" s="81"/>
      <c r="M3320" s="81"/>
      <c r="N3320" s="82"/>
    </row>
    <row r="3321">
      <c r="C3321" s="41"/>
      <c r="D3321" s="141"/>
      <c r="E3321" s="118"/>
      <c r="F3321" s="126"/>
      <c r="G3321" s="126"/>
      <c r="H3321" s="126"/>
      <c r="I3321" s="126"/>
      <c r="J3321" s="76"/>
      <c r="K3321" s="76"/>
      <c r="L3321" s="76"/>
      <c r="M3321" s="76"/>
      <c r="N3321" s="114"/>
    </row>
    <row r="3322">
      <c r="C3322" s="41"/>
      <c r="D3322" s="142"/>
      <c r="E3322" s="130"/>
      <c r="F3322" s="128"/>
      <c r="G3322" s="128"/>
      <c r="H3322" s="128"/>
      <c r="I3322" s="128"/>
      <c r="J3322" s="81"/>
      <c r="K3322" s="81"/>
      <c r="L3322" s="81"/>
      <c r="M3322" s="81"/>
      <c r="N3322" s="82"/>
    </row>
    <row r="3323">
      <c r="C3323" s="41"/>
      <c r="D3323" s="141"/>
      <c r="E3323" s="118"/>
      <c r="F3323" s="126"/>
      <c r="G3323" s="126"/>
      <c r="H3323" s="126"/>
      <c r="I3323" s="126"/>
      <c r="J3323" s="76"/>
      <c r="K3323" s="76"/>
      <c r="L3323" s="76"/>
      <c r="M3323" s="76"/>
      <c r="N3323" s="114"/>
    </row>
    <row r="3324">
      <c r="C3324" s="41"/>
      <c r="D3324" s="142"/>
      <c r="E3324" s="130"/>
      <c r="F3324" s="128"/>
      <c r="G3324" s="128"/>
      <c r="H3324" s="128"/>
      <c r="I3324" s="128"/>
      <c r="J3324" s="81"/>
      <c r="K3324" s="81"/>
      <c r="L3324" s="81"/>
      <c r="M3324" s="81"/>
      <c r="N3324" s="82"/>
    </row>
    <row r="3325">
      <c r="C3325" s="41"/>
      <c r="D3325" s="141"/>
      <c r="E3325" s="118"/>
      <c r="F3325" s="126"/>
      <c r="G3325" s="126"/>
      <c r="H3325" s="126"/>
      <c r="I3325" s="126"/>
      <c r="J3325" s="76"/>
      <c r="K3325" s="76"/>
      <c r="L3325" s="76"/>
      <c r="M3325" s="76"/>
      <c r="N3325" s="114"/>
    </row>
    <row r="3326">
      <c r="C3326" s="41"/>
      <c r="D3326" s="142"/>
      <c r="E3326" s="130"/>
      <c r="F3326" s="128"/>
      <c r="G3326" s="128"/>
      <c r="H3326" s="128"/>
      <c r="I3326" s="128"/>
      <c r="J3326" s="81"/>
      <c r="K3326" s="81"/>
      <c r="L3326" s="81"/>
      <c r="M3326" s="81"/>
      <c r="N3326" s="82"/>
    </row>
    <row r="3327">
      <c r="C3327" s="41"/>
      <c r="D3327" s="141"/>
      <c r="E3327" s="118"/>
      <c r="F3327" s="126"/>
      <c r="G3327" s="126"/>
      <c r="H3327" s="126"/>
      <c r="I3327" s="126"/>
      <c r="J3327" s="76"/>
      <c r="K3327" s="76"/>
      <c r="L3327" s="76"/>
      <c r="M3327" s="76"/>
      <c r="N3327" s="114"/>
    </row>
    <row r="3328">
      <c r="C3328" s="41"/>
      <c r="D3328" s="142"/>
      <c r="E3328" s="130"/>
      <c r="F3328" s="128"/>
      <c r="G3328" s="128"/>
      <c r="H3328" s="128"/>
      <c r="I3328" s="128"/>
      <c r="J3328" s="81"/>
      <c r="K3328" s="81"/>
      <c r="L3328" s="81"/>
      <c r="M3328" s="81"/>
      <c r="N3328" s="82"/>
    </row>
    <row r="3329">
      <c r="C3329" s="41"/>
      <c r="D3329" s="141"/>
      <c r="E3329" s="118"/>
      <c r="F3329" s="126"/>
      <c r="G3329" s="126"/>
      <c r="H3329" s="126"/>
      <c r="I3329" s="126"/>
      <c r="J3329" s="76"/>
      <c r="K3329" s="76"/>
      <c r="L3329" s="76"/>
      <c r="M3329" s="76"/>
      <c r="N3329" s="114"/>
    </row>
    <row r="3330">
      <c r="C3330" s="41"/>
      <c r="D3330" s="142"/>
      <c r="E3330" s="130"/>
      <c r="F3330" s="128"/>
      <c r="G3330" s="128"/>
      <c r="H3330" s="128"/>
      <c r="I3330" s="128"/>
      <c r="J3330" s="81"/>
      <c r="K3330" s="81"/>
      <c r="L3330" s="81"/>
      <c r="M3330" s="81"/>
      <c r="N3330" s="82"/>
    </row>
    <row r="3331">
      <c r="C3331" s="41"/>
      <c r="D3331" s="141"/>
      <c r="E3331" s="118"/>
      <c r="F3331" s="126"/>
      <c r="G3331" s="126"/>
      <c r="H3331" s="126"/>
      <c r="I3331" s="126"/>
      <c r="J3331" s="76"/>
      <c r="K3331" s="76"/>
      <c r="L3331" s="76"/>
      <c r="M3331" s="76"/>
      <c r="N3331" s="114"/>
    </row>
    <row r="3332">
      <c r="C3332" s="41"/>
      <c r="D3332" s="142"/>
      <c r="E3332" s="130"/>
      <c r="F3332" s="128"/>
      <c r="G3332" s="128"/>
      <c r="H3332" s="128"/>
      <c r="I3332" s="128"/>
      <c r="J3332" s="81"/>
      <c r="K3332" s="81"/>
      <c r="L3332" s="81"/>
      <c r="M3332" s="81"/>
      <c r="N3332" s="82"/>
    </row>
    <row r="3333">
      <c r="C3333" s="41"/>
      <c r="D3333" s="141"/>
      <c r="E3333" s="118"/>
      <c r="F3333" s="126"/>
      <c r="G3333" s="126"/>
      <c r="H3333" s="126"/>
      <c r="I3333" s="126"/>
      <c r="J3333" s="76"/>
      <c r="K3333" s="76"/>
      <c r="L3333" s="76"/>
      <c r="M3333" s="76"/>
      <c r="N3333" s="114"/>
    </row>
    <row r="3334">
      <c r="C3334" s="41"/>
      <c r="D3334" s="142"/>
      <c r="E3334" s="130"/>
      <c r="F3334" s="128"/>
      <c r="G3334" s="128"/>
      <c r="H3334" s="128"/>
      <c r="I3334" s="128"/>
      <c r="J3334" s="81"/>
      <c r="K3334" s="81"/>
      <c r="L3334" s="81"/>
      <c r="M3334" s="81"/>
      <c r="N3334" s="82"/>
    </row>
    <row r="3335">
      <c r="C3335" s="41"/>
      <c r="D3335" s="141"/>
      <c r="E3335" s="118"/>
      <c r="F3335" s="126"/>
      <c r="G3335" s="126"/>
      <c r="H3335" s="126"/>
      <c r="I3335" s="126"/>
      <c r="J3335" s="76"/>
      <c r="K3335" s="76"/>
      <c r="L3335" s="76"/>
      <c r="M3335" s="76"/>
      <c r="N3335" s="114"/>
    </row>
    <row r="3336">
      <c r="C3336" s="41"/>
      <c r="D3336" s="142"/>
      <c r="E3336" s="130"/>
      <c r="F3336" s="128"/>
      <c r="G3336" s="128"/>
      <c r="H3336" s="128"/>
      <c r="I3336" s="128"/>
      <c r="J3336" s="81"/>
      <c r="K3336" s="81"/>
      <c r="L3336" s="81"/>
      <c r="M3336" s="81"/>
      <c r="N3336" s="82"/>
    </row>
    <row r="3337">
      <c r="C3337" s="41"/>
      <c r="D3337" s="141"/>
      <c r="E3337" s="118"/>
      <c r="F3337" s="126"/>
      <c r="G3337" s="126"/>
      <c r="H3337" s="126"/>
      <c r="I3337" s="126"/>
      <c r="J3337" s="76"/>
      <c r="K3337" s="76"/>
      <c r="L3337" s="76"/>
      <c r="M3337" s="76"/>
      <c r="N3337" s="114"/>
    </row>
    <row r="3338">
      <c r="C3338" s="41"/>
      <c r="D3338" s="142"/>
      <c r="E3338" s="130"/>
      <c r="F3338" s="128"/>
      <c r="G3338" s="128"/>
      <c r="H3338" s="128"/>
      <c r="I3338" s="128"/>
      <c r="J3338" s="81"/>
      <c r="K3338" s="81"/>
      <c r="L3338" s="81"/>
      <c r="M3338" s="81"/>
      <c r="N3338" s="82"/>
    </row>
    <row r="3339">
      <c r="C3339" s="41"/>
      <c r="D3339" s="141"/>
      <c r="E3339" s="118"/>
      <c r="F3339" s="126"/>
      <c r="G3339" s="126"/>
      <c r="H3339" s="126"/>
      <c r="I3339" s="126"/>
      <c r="J3339" s="76"/>
      <c r="K3339" s="76"/>
      <c r="L3339" s="76"/>
      <c r="M3339" s="76"/>
      <c r="N3339" s="114"/>
    </row>
    <row r="3340">
      <c r="C3340" s="41"/>
      <c r="D3340" s="142"/>
      <c r="E3340" s="130"/>
      <c r="F3340" s="128"/>
      <c r="G3340" s="128"/>
      <c r="H3340" s="128"/>
      <c r="I3340" s="128"/>
      <c r="J3340" s="81"/>
      <c r="K3340" s="81"/>
      <c r="L3340" s="81"/>
      <c r="M3340" s="81"/>
      <c r="N3340" s="82"/>
    </row>
    <row r="3341">
      <c r="C3341" s="41"/>
      <c r="D3341" s="141"/>
      <c r="E3341" s="118"/>
      <c r="F3341" s="126"/>
      <c r="G3341" s="126"/>
      <c r="H3341" s="126"/>
      <c r="I3341" s="126"/>
      <c r="J3341" s="76"/>
      <c r="K3341" s="76"/>
      <c r="L3341" s="76"/>
      <c r="M3341" s="76"/>
      <c r="N3341" s="114"/>
    </row>
    <row r="3342">
      <c r="C3342" s="41"/>
      <c r="D3342" s="142"/>
      <c r="E3342" s="130"/>
      <c r="F3342" s="128"/>
      <c r="G3342" s="128"/>
      <c r="H3342" s="128"/>
      <c r="I3342" s="128"/>
      <c r="J3342" s="81"/>
      <c r="K3342" s="81"/>
      <c r="L3342" s="81"/>
      <c r="M3342" s="81"/>
      <c r="N3342" s="82"/>
    </row>
    <row r="3343">
      <c r="C3343" s="41"/>
      <c r="D3343" s="141"/>
      <c r="E3343" s="118"/>
      <c r="F3343" s="126"/>
      <c r="G3343" s="126"/>
      <c r="H3343" s="126"/>
      <c r="I3343" s="126"/>
      <c r="J3343" s="76"/>
      <c r="K3343" s="76"/>
      <c r="L3343" s="76"/>
      <c r="M3343" s="76"/>
      <c r="N3343" s="114"/>
    </row>
    <row r="3344">
      <c r="C3344" s="41"/>
      <c r="D3344" s="142"/>
      <c r="E3344" s="130"/>
      <c r="F3344" s="128"/>
      <c r="G3344" s="128"/>
      <c r="H3344" s="128"/>
      <c r="I3344" s="128"/>
      <c r="J3344" s="81"/>
      <c r="K3344" s="81"/>
      <c r="L3344" s="81"/>
      <c r="M3344" s="81"/>
      <c r="N3344" s="82"/>
    </row>
    <row r="3345">
      <c r="C3345" s="41"/>
      <c r="D3345" s="141"/>
      <c r="E3345" s="118"/>
      <c r="F3345" s="126"/>
      <c r="G3345" s="126"/>
      <c r="H3345" s="126"/>
      <c r="I3345" s="126"/>
      <c r="J3345" s="76"/>
      <c r="K3345" s="76"/>
      <c r="L3345" s="76"/>
      <c r="M3345" s="76"/>
      <c r="N3345" s="114"/>
    </row>
    <row r="3346">
      <c r="C3346" s="41"/>
      <c r="D3346" s="142"/>
      <c r="E3346" s="130"/>
      <c r="F3346" s="128"/>
      <c r="G3346" s="128"/>
      <c r="H3346" s="128"/>
      <c r="I3346" s="128"/>
      <c r="J3346" s="81"/>
      <c r="K3346" s="81"/>
      <c r="L3346" s="81"/>
      <c r="M3346" s="81"/>
      <c r="N3346" s="82"/>
    </row>
    <row r="3347">
      <c r="C3347" s="41"/>
      <c r="D3347" s="141"/>
      <c r="E3347" s="118"/>
      <c r="F3347" s="126"/>
      <c r="G3347" s="126"/>
      <c r="H3347" s="126"/>
      <c r="I3347" s="126"/>
      <c r="J3347" s="76"/>
      <c r="K3347" s="76"/>
      <c r="L3347" s="76"/>
      <c r="M3347" s="76"/>
      <c r="N3347" s="114"/>
    </row>
    <row r="3348">
      <c r="C3348" s="41"/>
      <c r="D3348" s="142"/>
      <c r="E3348" s="130"/>
      <c r="F3348" s="128"/>
      <c r="G3348" s="128"/>
      <c r="H3348" s="128"/>
      <c r="I3348" s="128"/>
      <c r="J3348" s="81"/>
      <c r="K3348" s="81"/>
      <c r="L3348" s="81"/>
      <c r="M3348" s="81"/>
      <c r="N3348" s="82"/>
    </row>
    <row r="3349">
      <c r="C3349" s="41"/>
      <c r="D3349" s="141"/>
      <c r="E3349" s="118"/>
      <c r="F3349" s="126"/>
      <c r="G3349" s="126"/>
      <c r="H3349" s="126"/>
      <c r="I3349" s="126"/>
      <c r="J3349" s="76"/>
      <c r="K3349" s="76"/>
      <c r="L3349" s="76"/>
      <c r="M3349" s="76"/>
      <c r="N3349" s="114"/>
    </row>
    <row r="3350">
      <c r="C3350" s="41"/>
      <c r="D3350" s="142"/>
      <c r="E3350" s="130"/>
      <c r="F3350" s="128"/>
      <c r="G3350" s="128"/>
      <c r="H3350" s="128"/>
      <c r="I3350" s="128"/>
      <c r="J3350" s="81"/>
      <c r="K3350" s="81"/>
      <c r="L3350" s="81"/>
      <c r="M3350" s="81"/>
      <c r="N3350" s="82"/>
    </row>
    <row r="3351">
      <c r="C3351" s="41"/>
      <c r="D3351" s="141"/>
      <c r="E3351" s="118"/>
      <c r="F3351" s="126"/>
      <c r="G3351" s="126"/>
      <c r="H3351" s="126"/>
      <c r="I3351" s="126"/>
      <c r="J3351" s="76"/>
      <c r="K3351" s="76"/>
      <c r="L3351" s="76"/>
      <c r="M3351" s="76"/>
      <c r="N3351" s="114"/>
    </row>
    <row r="3352">
      <c r="C3352" s="41"/>
      <c r="D3352" s="142"/>
      <c r="E3352" s="130"/>
      <c r="F3352" s="128"/>
      <c r="G3352" s="128"/>
      <c r="H3352" s="128"/>
      <c r="I3352" s="128"/>
      <c r="J3352" s="81"/>
      <c r="K3352" s="81"/>
      <c r="L3352" s="81"/>
      <c r="M3352" s="81"/>
      <c r="N3352" s="82"/>
    </row>
    <row r="3353">
      <c r="C3353" s="41"/>
      <c r="D3353" s="141"/>
      <c r="E3353" s="118"/>
      <c r="F3353" s="126"/>
      <c r="G3353" s="126"/>
      <c r="H3353" s="126"/>
      <c r="I3353" s="126"/>
      <c r="J3353" s="76"/>
      <c r="K3353" s="76"/>
      <c r="L3353" s="76"/>
      <c r="M3353" s="76"/>
      <c r="N3353" s="114"/>
    </row>
    <row r="3354">
      <c r="C3354" s="41"/>
      <c r="D3354" s="142"/>
      <c r="E3354" s="130"/>
      <c r="F3354" s="128"/>
      <c r="G3354" s="128"/>
      <c r="H3354" s="128"/>
      <c r="I3354" s="128"/>
      <c r="J3354" s="81"/>
      <c r="K3354" s="81"/>
      <c r="L3354" s="81"/>
      <c r="M3354" s="81"/>
      <c r="N3354" s="82"/>
    </row>
    <row r="3355">
      <c r="C3355" s="41"/>
      <c r="D3355" s="141"/>
      <c r="E3355" s="118"/>
      <c r="F3355" s="126"/>
      <c r="G3355" s="126"/>
      <c r="H3355" s="126"/>
      <c r="I3355" s="126"/>
      <c r="J3355" s="76"/>
      <c r="K3355" s="76"/>
      <c r="L3355" s="76"/>
      <c r="M3355" s="76"/>
      <c r="N3355" s="114"/>
    </row>
    <row r="3356">
      <c r="C3356" s="41"/>
      <c r="D3356" s="142"/>
      <c r="E3356" s="130"/>
      <c r="F3356" s="128"/>
      <c r="G3356" s="128"/>
      <c r="H3356" s="128"/>
      <c r="I3356" s="128"/>
      <c r="J3356" s="81"/>
      <c r="K3356" s="81"/>
      <c r="L3356" s="81"/>
      <c r="M3356" s="81"/>
      <c r="N3356" s="82"/>
    </row>
    <row r="3357">
      <c r="C3357" s="41"/>
      <c r="D3357" s="141"/>
      <c r="E3357" s="118"/>
      <c r="F3357" s="126"/>
      <c r="G3357" s="126"/>
      <c r="H3357" s="126"/>
      <c r="I3357" s="126"/>
      <c r="J3357" s="76"/>
      <c r="K3357" s="76"/>
      <c r="L3357" s="76"/>
      <c r="M3357" s="76"/>
      <c r="N3357" s="114"/>
    </row>
    <row r="3358">
      <c r="C3358" s="41"/>
      <c r="D3358" s="142"/>
      <c r="E3358" s="130"/>
      <c r="F3358" s="128"/>
      <c r="G3358" s="128"/>
      <c r="H3358" s="128"/>
      <c r="I3358" s="128"/>
      <c r="J3358" s="81"/>
      <c r="K3358" s="81"/>
      <c r="L3358" s="81"/>
      <c r="M3358" s="81"/>
      <c r="N3358" s="82"/>
    </row>
    <row r="3359">
      <c r="C3359" s="41"/>
      <c r="D3359" s="141"/>
      <c r="E3359" s="118"/>
      <c r="F3359" s="126"/>
      <c r="G3359" s="126"/>
      <c r="H3359" s="126"/>
      <c r="I3359" s="126"/>
      <c r="J3359" s="76"/>
      <c r="K3359" s="76"/>
      <c r="L3359" s="76"/>
      <c r="M3359" s="76"/>
      <c r="N3359" s="114"/>
    </row>
    <row r="3360">
      <c r="C3360" s="41"/>
      <c r="D3360" s="142"/>
      <c r="E3360" s="130"/>
      <c r="F3360" s="128"/>
      <c r="G3360" s="128"/>
      <c r="H3360" s="128"/>
      <c r="I3360" s="128"/>
      <c r="J3360" s="81"/>
      <c r="K3360" s="81"/>
      <c r="L3360" s="81"/>
      <c r="M3360" s="81"/>
      <c r="N3360" s="82"/>
    </row>
    <row r="3361">
      <c r="C3361" s="41"/>
      <c r="D3361" s="141"/>
      <c r="E3361" s="118"/>
      <c r="F3361" s="126"/>
      <c r="G3361" s="126"/>
      <c r="H3361" s="126"/>
      <c r="I3361" s="126"/>
      <c r="J3361" s="76"/>
      <c r="K3361" s="76"/>
      <c r="L3361" s="76"/>
      <c r="M3361" s="76"/>
      <c r="N3361" s="114"/>
    </row>
    <row r="3362">
      <c r="C3362" s="41"/>
      <c r="D3362" s="142"/>
      <c r="E3362" s="130"/>
      <c r="F3362" s="128"/>
      <c r="G3362" s="128"/>
      <c r="H3362" s="128"/>
      <c r="I3362" s="128"/>
      <c r="J3362" s="81"/>
      <c r="K3362" s="81"/>
      <c r="L3362" s="81"/>
      <c r="M3362" s="81"/>
      <c r="N3362" s="82"/>
    </row>
    <row r="3363">
      <c r="C3363" s="41"/>
      <c r="D3363" s="141"/>
      <c r="E3363" s="118"/>
      <c r="F3363" s="126"/>
      <c r="G3363" s="126"/>
      <c r="H3363" s="126"/>
      <c r="I3363" s="126"/>
      <c r="J3363" s="76"/>
      <c r="K3363" s="76"/>
      <c r="L3363" s="76"/>
      <c r="M3363" s="76"/>
      <c r="N3363" s="114"/>
    </row>
    <row r="3364">
      <c r="C3364" s="41"/>
      <c r="D3364" s="142"/>
      <c r="E3364" s="130"/>
      <c r="F3364" s="128"/>
      <c r="G3364" s="128"/>
      <c r="H3364" s="128"/>
      <c r="I3364" s="128"/>
      <c r="J3364" s="81"/>
      <c r="K3364" s="81"/>
      <c r="L3364" s="81"/>
      <c r="M3364" s="81"/>
      <c r="N3364" s="82"/>
    </row>
    <row r="3365">
      <c r="C3365" s="41"/>
      <c r="D3365" s="141"/>
      <c r="E3365" s="118"/>
      <c r="F3365" s="126"/>
      <c r="G3365" s="126"/>
      <c r="H3365" s="126"/>
      <c r="I3365" s="126"/>
      <c r="J3365" s="76"/>
      <c r="K3365" s="76"/>
      <c r="L3365" s="76"/>
      <c r="M3365" s="76"/>
      <c r="N3365" s="114"/>
    </row>
    <row r="3366">
      <c r="C3366" s="41"/>
      <c r="D3366" s="142"/>
      <c r="E3366" s="130"/>
      <c r="F3366" s="128"/>
      <c r="G3366" s="128"/>
      <c r="H3366" s="128"/>
      <c r="I3366" s="128"/>
      <c r="J3366" s="81"/>
      <c r="K3366" s="81"/>
      <c r="L3366" s="81"/>
      <c r="M3366" s="81"/>
      <c r="N3366" s="82"/>
    </row>
    <row r="3367">
      <c r="C3367" s="41"/>
      <c r="D3367" s="141"/>
      <c r="E3367" s="118"/>
      <c r="F3367" s="126"/>
      <c r="G3367" s="126"/>
      <c r="H3367" s="126"/>
      <c r="I3367" s="126"/>
      <c r="J3367" s="76"/>
      <c r="K3367" s="76"/>
      <c r="L3367" s="76"/>
      <c r="M3367" s="76"/>
      <c r="N3367" s="114"/>
    </row>
    <row r="3368">
      <c r="C3368" s="41"/>
      <c r="D3368" s="142"/>
      <c r="E3368" s="130"/>
      <c r="F3368" s="128"/>
      <c r="G3368" s="128"/>
      <c r="H3368" s="128"/>
      <c r="I3368" s="128"/>
      <c r="J3368" s="81"/>
      <c r="K3368" s="81"/>
      <c r="L3368" s="81"/>
      <c r="M3368" s="81"/>
      <c r="N3368" s="82"/>
    </row>
    <row r="3369">
      <c r="C3369" s="41"/>
      <c r="D3369" s="141"/>
      <c r="E3369" s="118"/>
      <c r="F3369" s="126"/>
      <c r="G3369" s="126"/>
      <c r="H3369" s="126"/>
      <c r="I3369" s="126"/>
      <c r="J3369" s="76"/>
      <c r="K3369" s="76"/>
      <c r="L3369" s="76"/>
      <c r="M3369" s="76"/>
      <c r="N3369" s="114"/>
    </row>
    <row r="3370">
      <c r="C3370" s="41"/>
      <c r="D3370" s="142"/>
      <c r="E3370" s="130"/>
      <c r="F3370" s="128"/>
      <c r="G3370" s="128"/>
      <c r="H3370" s="128"/>
      <c r="I3370" s="128"/>
      <c r="J3370" s="81"/>
      <c r="K3370" s="81"/>
      <c r="L3370" s="81"/>
      <c r="M3370" s="81"/>
      <c r="N3370" s="82"/>
    </row>
    <row r="3371">
      <c r="C3371" s="41"/>
      <c r="D3371" s="141"/>
      <c r="E3371" s="118"/>
      <c r="F3371" s="126"/>
      <c r="G3371" s="126"/>
      <c r="H3371" s="126"/>
      <c r="I3371" s="126"/>
      <c r="J3371" s="76"/>
      <c r="K3371" s="76"/>
      <c r="L3371" s="76"/>
      <c r="M3371" s="76"/>
      <c r="N3371" s="114"/>
    </row>
    <row r="3372">
      <c r="C3372" s="41"/>
      <c r="D3372" s="142"/>
      <c r="E3372" s="130"/>
      <c r="F3372" s="128"/>
      <c r="G3372" s="128"/>
      <c r="H3372" s="128"/>
      <c r="I3372" s="128"/>
      <c r="J3372" s="81"/>
      <c r="K3372" s="81"/>
      <c r="L3372" s="81"/>
      <c r="M3372" s="81"/>
      <c r="N3372" s="82"/>
    </row>
    <row r="3373">
      <c r="C3373" s="41"/>
      <c r="D3373" s="141"/>
      <c r="E3373" s="118"/>
      <c r="F3373" s="126"/>
      <c r="G3373" s="126"/>
      <c r="H3373" s="126"/>
      <c r="I3373" s="126"/>
      <c r="J3373" s="76"/>
      <c r="K3373" s="76"/>
      <c r="L3373" s="76"/>
      <c r="M3373" s="76"/>
      <c r="N3373" s="114"/>
    </row>
    <row r="3374">
      <c r="C3374" s="41"/>
      <c r="D3374" s="142"/>
      <c r="E3374" s="130"/>
      <c r="F3374" s="128"/>
      <c r="G3374" s="128"/>
      <c r="H3374" s="128"/>
      <c r="I3374" s="128"/>
      <c r="J3374" s="81"/>
      <c r="K3374" s="81"/>
      <c r="L3374" s="81"/>
      <c r="M3374" s="81"/>
      <c r="N3374" s="82"/>
    </row>
    <row r="3375">
      <c r="C3375" s="41"/>
      <c r="D3375" s="141"/>
      <c r="E3375" s="118"/>
      <c r="F3375" s="126"/>
      <c r="G3375" s="126"/>
      <c r="H3375" s="126"/>
      <c r="I3375" s="126"/>
      <c r="J3375" s="76"/>
      <c r="K3375" s="76"/>
      <c r="L3375" s="76"/>
      <c r="M3375" s="76"/>
      <c r="N3375" s="114"/>
    </row>
    <row r="3376">
      <c r="C3376" s="41"/>
      <c r="D3376" s="142"/>
      <c r="E3376" s="130"/>
      <c r="F3376" s="128"/>
      <c r="G3376" s="128"/>
      <c r="H3376" s="128"/>
      <c r="I3376" s="128"/>
      <c r="J3376" s="81"/>
      <c r="K3376" s="81"/>
      <c r="L3376" s="81"/>
      <c r="M3376" s="81"/>
      <c r="N3376" s="82"/>
    </row>
    <row r="3377">
      <c r="C3377" s="41"/>
      <c r="D3377" s="141"/>
      <c r="E3377" s="118"/>
      <c r="F3377" s="126"/>
      <c r="G3377" s="126"/>
      <c r="H3377" s="126"/>
      <c r="I3377" s="126"/>
      <c r="J3377" s="76"/>
      <c r="K3377" s="76"/>
      <c r="L3377" s="76"/>
      <c r="M3377" s="76"/>
      <c r="N3377" s="114"/>
    </row>
    <row r="3378">
      <c r="C3378" s="41"/>
      <c r="D3378" s="142"/>
      <c r="E3378" s="130"/>
      <c r="F3378" s="128"/>
      <c r="G3378" s="128"/>
      <c r="H3378" s="128"/>
      <c r="I3378" s="128"/>
      <c r="J3378" s="81"/>
      <c r="K3378" s="81"/>
      <c r="L3378" s="81"/>
      <c r="M3378" s="81"/>
      <c r="N3378" s="82"/>
    </row>
    <row r="3379">
      <c r="C3379" s="41"/>
      <c r="D3379" s="141"/>
      <c r="E3379" s="118"/>
      <c r="F3379" s="126"/>
      <c r="G3379" s="126"/>
      <c r="H3379" s="126"/>
      <c r="I3379" s="126"/>
      <c r="J3379" s="76"/>
      <c r="K3379" s="76"/>
      <c r="L3379" s="76"/>
      <c r="M3379" s="76"/>
      <c r="N3379" s="114"/>
    </row>
    <row r="3380">
      <c r="C3380" s="41"/>
      <c r="D3380" s="142"/>
      <c r="E3380" s="130"/>
      <c r="F3380" s="128"/>
      <c r="G3380" s="128"/>
      <c r="H3380" s="128"/>
      <c r="I3380" s="128"/>
      <c r="J3380" s="81"/>
      <c r="K3380" s="81"/>
      <c r="L3380" s="81"/>
      <c r="M3380" s="81"/>
      <c r="N3380" s="82"/>
    </row>
    <row r="3381">
      <c r="C3381" s="41"/>
      <c r="D3381" s="141"/>
      <c r="E3381" s="118"/>
      <c r="F3381" s="126"/>
      <c r="G3381" s="126"/>
      <c r="H3381" s="126"/>
      <c r="I3381" s="126"/>
      <c r="J3381" s="76"/>
      <c r="K3381" s="76"/>
      <c r="L3381" s="76"/>
      <c r="M3381" s="76"/>
      <c r="N3381" s="114"/>
    </row>
    <row r="3382">
      <c r="C3382" s="41"/>
      <c r="D3382" s="142"/>
      <c r="E3382" s="130"/>
      <c r="F3382" s="128"/>
      <c r="G3382" s="128"/>
      <c r="H3382" s="128"/>
      <c r="I3382" s="128"/>
      <c r="J3382" s="81"/>
      <c r="K3382" s="81"/>
      <c r="L3382" s="81"/>
      <c r="M3382" s="81"/>
      <c r="N3382" s="82"/>
    </row>
    <row r="3383">
      <c r="C3383" s="41"/>
      <c r="D3383" s="141"/>
      <c r="E3383" s="118"/>
      <c r="F3383" s="126"/>
      <c r="G3383" s="126"/>
      <c r="H3383" s="126"/>
      <c r="I3383" s="126"/>
      <c r="J3383" s="76"/>
      <c r="K3383" s="76"/>
      <c r="L3383" s="76"/>
      <c r="M3383" s="76"/>
      <c r="N3383" s="114"/>
    </row>
    <row r="3384">
      <c r="C3384" s="41"/>
      <c r="D3384" s="142"/>
      <c r="E3384" s="130"/>
      <c r="F3384" s="128"/>
      <c r="G3384" s="128"/>
      <c r="H3384" s="128"/>
      <c r="I3384" s="128"/>
      <c r="J3384" s="81"/>
      <c r="K3384" s="81"/>
      <c r="L3384" s="81"/>
      <c r="M3384" s="81"/>
      <c r="N3384" s="82"/>
    </row>
    <row r="3385">
      <c r="C3385" s="41"/>
      <c r="D3385" s="141"/>
      <c r="E3385" s="118"/>
      <c r="F3385" s="126"/>
      <c r="G3385" s="126"/>
      <c r="H3385" s="126"/>
      <c r="I3385" s="126"/>
      <c r="J3385" s="76"/>
      <c r="K3385" s="76"/>
      <c r="L3385" s="76"/>
      <c r="M3385" s="76"/>
      <c r="N3385" s="114"/>
    </row>
    <row r="3386">
      <c r="C3386" s="41"/>
      <c r="D3386" s="142"/>
      <c r="E3386" s="130"/>
      <c r="F3386" s="128"/>
      <c r="G3386" s="128"/>
      <c r="H3386" s="128"/>
      <c r="I3386" s="128"/>
      <c r="J3386" s="81"/>
      <c r="K3386" s="81"/>
      <c r="L3386" s="81"/>
      <c r="M3386" s="81"/>
      <c r="N3386" s="82"/>
    </row>
    <row r="3387">
      <c r="C3387" s="41"/>
      <c r="D3387" s="141"/>
      <c r="E3387" s="118"/>
      <c r="F3387" s="126"/>
      <c r="G3387" s="126"/>
      <c r="H3387" s="126"/>
      <c r="I3387" s="126"/>
      <c r="J3387" s="76"/>
      <c r="K3387" s="76"/>
      <c r="L3387" s="76"/>
      <c r="M3387" s="76"/>
      <c r="N3387" s="114"/>
    </row>
    <row r="3388">
      <c r="C3388" s="41"/>
      <c r="D3388" s="142"/>
      <c r="E3388" s="130"/>
      <c r="F3388" s="128"/>
      <c r="G3388" s="128"/>
      <c r="H3388" s="128"/>
      <c r="I3388" s="128"/>
      <c r="J3388" s="81"/>
      <c r="K3388" s="81"/>
      <c r="L3388" s="81"/>
      <c r="M3388" s="81"/>
      <c r="N3388" s="82"/>
    </row>
    <row r="3389">
      <c r="C3389" s="41"/>
      <c r="D3389" s="141"/>
      <c r="E3389" s="118"/>
      <c r="F3389" s="126"/>
      <c r="G3389" s="126"/>
      <c r="H3389" s="126"/>
      <c r="I3389" s="126"/>
      <c r="J3389" s="76"/>
      <c r="K3389" s="76"/>
      <c r="L3389" s="76"/>
      <c r="M3389" s="76"/>
      <c r="N3389" s="114"/>
    </row>
    <row r="3390">
      <c r="C3390" s="41"/>
      <c r="D3390" s="142"/>
      <c r="E3390" s="130"/>
      <c r="F3390" s="128"/>
      <c r="G3390" s="128"/>
      <c r="H3390" s="128"/>
      <c r="I3390" s="128"/>
      <c r="J3390" s="81"/>
      <c r="K3390" s="81"/>
      <c r="L3390" s="81"/>
      <c r="M3390" s="81"/>
      <c r="N3390" s="82"/>
    </row>
    <row r="3391">
      <c r="C3391" s="41"/>
      <c r="D3391" s="141"/>
      <c r="E3391" s="118"/>
      <c r="F3391" s="126"/>
      <c r="G3391" s="126"/>
      <c r="H3391" s="126"/>
      <c r="I3391" s="126"/>
      <c r="J3391" s="76"/>
      <c r="K3391" s="76"/>
      <c r="L3391" s="76"/>
      <c r="M3391" s="76"/>
      <c r="N3391" s="114"/>
    </row>
    <row r="3392">
      <c r="C3392" s="41"/>
      <c r="D3392" s="142"/>
      <c r="E3392" s="130"/>
      <c r="F3392" s="128"/>
      <c r="G3392" s="128"/>
      <c r="H3392" s="128"/>
      <c r="I3392" s="128"/>
      <c r="J3392" s="81"/>
      <c r="K3392" s="81"/>
      <c r="L3392" s="81"/>
      <c r="M3392" s="81"/>
      <c r="N3392" s="82"/>
    </row>
    <row r="3393">
      <c r="C3393" s="41"/>
      <c r="D3393" s="141"/>
      <c r="E3393" s="118"/>
      <c r="F3393" s="126"/>
      <c r="G3393" s="126"/>
      <c r="H3393" s="126"/>
      <c r="I3393" s="126"/>
      <c r="J3393" s="76"/>
      <c r="K3393" s="76"/>
      <c r="L3393" s="76"/>
      <c r="M3393" s="76"/>
      <c r="N3393" s="114"/>
    </row>
    <row r="3394">
      <c r="C3394" s="41"/>
      <c r="D3394" s="142"/>
      <c r="E3394" s="130"/>
      <c r="F3394" s="128"/>
      <c r="G3394" s="128"/>
      <c r="H3394" s="128"/>
      <c r="I3394" s="128"/>
      <c r="J3394" s="81"/>
      <c r="K3394" s="81"/>
      <c r="L3394" s="81"/>
      <c r="M3394" s="81"/>
      <c r="N3394" s="82"/>
    </row>
    <row r="3395">
      <c r="C3395" s="41"/>
      <c r="D3395" s="141"/>
      <c r="E3395" s="118"/>
      <c r="F3395" s="126"/>
      <c r="G3395" s="126"/>
      <c r="H3395" s="126"/>
      <c r="I3395" s="126"/>
      <c r="J3395" s="76"/>
      <c r="K3395" s="76"/>
      <c r="L3395" s="76"/>
      <c r="M3395" s="76"/>
      <c r="N3395" s="114"/>
    </row>
    <row r="3396">
      <c r="C3396" s="41"/>
      <c r="D3396" s="142"/>
      <c r="E3396" s="130"/>
      <c r="F3396" s="128"/>
      <c r="G3396" s="128"/>
      <c r="H3396" s="128"/>
      <c r="I3396" s="128"/>
      <c r="J3396" s="81"/>
      <c r="K3396" s="81"/>
      <c r="L3396" s="81"/>
      <c r="M3396" s="81"/>
      <c r="N3396" s="82"/>
    </row>
    <row r="3397">
      <c r="C3397" s="41"/>
      <c r="D3397" s="141"/>
      <c r="E3397" s="118"/>
      <c r="F3397" s="126"/>
      <c r="G3397" s="126"/>
      <c r="H3397" s="126"/>
      <c r="I3397" s="126"/>
      <c r="J3397" s="76"/>
      <c r="K3397" s="76"/>
      <c r="L3397" s="76"/>
      <c r="M3397" s="76"/>
      <c r="N3397" s="114"/>
    </row>
    <row r="3398">
      <c r="C3398" s="41"/>
      <c r="D3398" s="142"/>
      <c r="E3398" s="130"/>
      <c r="F3398" s="128"/>
      <c r="G3398" s="128"/>
      <c r="H3398" s="128"/>
      <c r="I3398" s="128"/>
      <c r="J3398" s="81"/>
      <c r="K3398" s="81"/>
      <c r="L3398" s="81"/>
      <c r="M3398" s="81"/>
      <c r="N3398" s="82"/>
    </row>
    <row r="3399">
      <c r="C3399" s="41"/>
      <c r="D3399" s="141"/>
      <c r="E3399" s="118"/>
      <c r="F3399" s="126"/>
      <c r="G3399" s="126"/>
      <c r="H3399" s="126"/>
      <c r="I3399" s="126"/>
      <c r="J3399" s="76"/>
      <c r="K3399" s="76"/>
      <c r="L3399" s="76"/>
      <c r="M3399" s="76"/>
      <c r="N3399" s="114"/>
    </row>
    <row r="3400">
      <c r="C3400" s="41"/>
      <c r="D3400" s="142"/>
      <c r="E3400" s="130"/>
      <c r="F3400" s="128"/>
      <c r="G3400" s="128"/>
      <c r="H3400" s="128"/>
      <c r="I3400" s="128"/>
      <c r="J3400" s="81"/>
      <c r="K3400" s="81"/>
      <c r="L3400" s="81"/>
      <c r="M3400" s="81"/>
      <c r="N3400" s="82"/>
    </row>
    <row r="3401">
      <c r="C3401" s="41"/>
      <c r="D3401" s="141"/>
      <c r="E3401" s="118"/>
      <c r="F3401" s="126"/>
      <c r="G3401" s="126"/>
      <c r="H3401" s="126"/>
      <c r="I3401" s="126"/>
      <c r="J3401" s="76"/>
      <c r="K3401" s="76"/>
      <c r="L3401" s="76"/>
      <c r="M3401" s="76"/>
      <c r="N3401" s="114"/>
    </row>
    <row r="3402">
      <c r="C3402" s="41"/>
      <c r="D3402" s="142"/>
      <c r="E3402" s="130"/>
      <c r="F3402" s="128"/>
      <c r="G3402" s="128"/>
      <c r="H3402" s="128"/>
      <c r="I3402" s="128"/>
      <c r="J3402" s="81"/>
      <c r="K3402" s="81"/>
      <c r="L3402" s="81"/>
      <c r="M3402" s="81"/>
      <c r="N3402" s="82"/>
    </row>
    <row r="3403">
      <c r="C3403" s="41"/>
      <c r="D3403" s="141"/>
      <c r="E3403" s="118"/>
      <c r="F3403" s="126"/>
      <c r="G3403" s="126"/>
      <c r="H3403" s="126"/>
      <c r="I3403" s="126"/>
      <c r="J3403" s="76"/>
      <c r="K3403" s="76"/>
      <c r="L3403" s="76"/>
      <c r="M3403" s="76"/>
      <c r="N3403" s="114"/>
    </row>
    <row r="3404">
      <c r="C3404" s="41"/>
      <c r="D3404" s="142"/>
      <c r="E3404" s="130"/>
      <c r="F3404" s="128"/>
      <c r="G3404" s="128"/>
      <c r="H3404" s="128"/>
      <c r="I3404" s="128"/>
      <c r="J3404" s="81"/>
      <c r="K3404" s="81"/>
      <c r="L3404" s="81"/>
      <c r="M3404" s="81"/>
      <c r="N3404" s="82"/>
    </row>
    <row r="3405">
      <c r="C3405" s="41"/>
      <c r="D3405" s="141"/>
      <c r="E3405" s="118"/>
      <c r="F3405" s="126"/>
      <c r="G3405" s="126"/>
      <c r="H3405" s="126"/>
      <c r="I3405" s="126"/>
      <c r="J3405" s="76"/>
      <c r="K3405" s="76"/>
      <c r="L3405" s="76"/>
      <c r="M3405" s="76"/>
      <c r="N3405" s="114"/>
    </row>
    <row r="3406">
      <c r="C3406" s="41"/>
      <c r="D3406" s="142"/>
      <c r="E3406" s="130"/>
      <c r="F3406" s="128"/>
      <c r="G3406" s="128"/>
      <c r="H3406" s="128"/>
      <c r="I3406" s="128"/>
      <c r="J3406" s="81"/>
      <c r="K3406" s="81"/>
      <c r="L3406" s="81"/>
      <c r="M3406" s="81"/>
      <c r="N3406" s="82"/>
    </row>
    <row r="3407">
      <c r="C3407" s="41"/>
      <c r="D3407" s="141"/>
      <c r="E3407" s="118"/>
      <c r="F3407" s="126"/>
      <c r="G3407" s="126"/>
      <c r="H3407" s="126"/>
      <c r="I3407" s="126"/>
      <c r="J3407" s="76"/>
      <c r="K3407" s="76"/>
      <c r="L3407" s="76"/>
      <c r="M3407" s="76"/>
      <c r="N3407" s="114"/>
    </row>
    <row r="3408">
      <c r="C3408" s="41"/>
      <c r="D3408" s="142"/>
      <c r="E3408" s="130"/>
      <c r="F3408" s="128"/>
      <c r="G3408" s="128"/>
      <c r="H3408" s="128"/>
      <c r="I3408" s="128"/>
      <c r="J3408" s="81"/>
      <c r="K3408" s="81"/>
      <c r="L3408" s="81"/>
      <c r="M3408" s="81"/>
      <c r="N3408" s="82"/>
    </row>
    <row r="3409">
      <c r="C3409" s="41"/>
      <c r="D3409" s="141"/>
      <c r="E3409" s="118"/>
      <c r="F3409" s="126"/>
      <c r="G3409" s="126"/>
      <c r="H3409" s="126"/>
      <c r="I3409" s="126"/>
      <c r="J3409" s="76"/>
      <c r="K3409" s="76"/>
      <c r="L3409" s="76"/>
      <c r="M3409" s="76"/>
      <c r="N3409" s="114"/>
    </row>
    <row r="3410">
      <c r="C3410" s="41"/>
      <c r="D3410" s="142"/>
      <c r="E3410" s="130"/>
      <c r="F3410" s="128"/>
      <c r="G3410" s="128"/>
      <c r="H3410" s="128"/>
      <c r="I3410" s="128"/>
      <c r="J3410" s="81"/>
      <c r="K3410" s="81"/>
      <c r="L3410" s="81"/>
      <c r="M3410" s="81"/>
      <c r="N3410" s="82"/>
    </row>
    <row r="3411">
      <c r="C3411" s="41"/>
      <c r="D3411" s="141"/>
      <c r="E3411" s="118"/>
      <c r="F3411" s="126"/>
      <c r="G3411" s="126"/>
      <c r="H3411" s="126"/>
      <c r="I3411" s="126"/>
      <c r="J3411" s="76"/>
      <c r="K3411" s="76"/>
      <c r="L3411" s="76"/>
      <c r="M3411" s="76"/>
      <c r="N3411" s="114"/>
    </row>
    <row r="3412">
      <c r="C3412" s="41"/>
      <c r="D3412" s="142"/>
      <c r="E3412" s="130"/>
      <c r="F3412" s="128"/>
      <c r="G3412" s="128"/>
      <c r="H3412" s="128"/>
      <c r="I3412" s="128"/>
      <c r="J3412" s="81"/>
      <c r="K3412" s="81"/>
      <c r="L3412" s="81"/>
      <c r="M3412" s="81"/>
      <c r="N3412" s="82"/>
    </row>
    <row r="3413">
      <c r="C3413" s="41"/>
      <c r="D3413" s="141"/>
      <c r="E3413" s="118"/>
      <c r="F3413" s="126"/>
      <c r="G3413" s="126"/>
      <c r="H3413" s="126"/>
      <c r="I3413" s="126"/>
      <c r="J3413" s="76"/>
      <c r="K3413" s="76"/>
      <c r="L3413" s="76"/>
      <c r="M3413" s="76"/>
      <c r="N3413" s="114"/>
    </row>
    <row r="3414">
      <c r="C3414" s="41"/>
      <c r="D3414" s="142"/>
      <c r="E3414" s="130"/>
      <c r="F3414" s="128"/>
      <c r="G3414" s="128"/>
      <c r="H3414" s="128"/>
      <c r="I3414" s="128"/>
      <c r="J3414" s="81"/>
      <c r="K3414" s="81"/>
      <c r="L3414" s="81"/>
      <c r="M3414" s="81"/>
      <c r="N3414" s="82"/>
    </row>
    <row r="3415">
      <c r="C3415" s="41"/>
      <c r="D3415" s="141"/>
      <c r="E3415" s="118"/>
      <c r="F3415" s="126"/>
      <c r="G3415" s="126"/>
      <c r="H3415" s="126"/>
      <c r="I3415" s="126"/>
      <c r="J3415" s="76"/>
      <c r="K3415" s="76"/>
      <c r="L3415" s="76"/>
      <c r="M3415" s="76"/>
      <c r="N3415" s="114"/>
    </row>
    <row r="3416">
      <c r="C3416" s="41"/>
      <c r="D3416" s="142"/>
      <c r="E3416" s="130"/>
      <c r="F3416" s="128"/>
      <c r="G3416" s="128"/>
      <c r="H3416" s="128"/>
      <c r="I3416" s="128"/>
      <c r="J3416" s="81"/>
      <c r="K3416" s="81"/>
      <c r="L3416" s="81"/>
      <c r="M3416" s="81"/>
      <c r="N3416" s="82"/>
    </row>
    <row r="3417">
      <c r="C3417" s="41"/>
      <c r="D3417" s="141"/>
      <c r="E3417" s="118"/>
      <c r="F3417" s="126"/>
      <c r="G3417" s="126"/>
      <c r="H3417" s="126"/>
      <c r="I3417" s="126"/>
      <c r="J3417" s="76"/>
      <c r="K3417" s="76"/>
      <c r="L3417" s="76"/>
      <c r="M3417" s="76"/>
      <c r="N3417" s="114"/>
    </row>
    <row r="3418">
      <c r="C3418" s="41"/>
      <c r="D3418" s="142"/>
      <c r="E3418" s="130"/>
      <c r="F3418" s="128"/>
      <c r="G3418" s="128"/>
      <c r="H3418" s="128"/>
      <c r="I3418" s="128"/>
      <c r="J3418" s="81"/>
      <c r="K3418" s="81"/>
      <c r="L3418" s="81"/>
      <c r="M3418" s="81"/>
      <c r="N3418" s="82"/>
    </row>
    <row r="3419">
      <c r="C3419" s="41"/>
      <c r="D3419" s="141"/>
      <c r="E3419" s="118"/>
      <c r="F3419" s="126"/>
      <c r="G3419" s="126"/>
      <c r="H3419" s="126"/>
      <c r="I3419" s="126"/>
      <c r="J3419" s="76"/>
      <c r="K3419" s="76"/>
      <c r="L3419" s="76"/>
      <c r="M3419" s="76"/>
      <c r="N3419" s="114"/>
    </row>
    <row r="3420">
      <c r="C3420" s="41"/>
      <c r="D3420" s="142"/>
      <c r="E3420" s="130"/>
      <c r="F3420" s="128"/>
      <c r="G3420" s="128"/>
      <c r="H3420" s="128"/>
      <c r="I3420" s="128"/>
      <c r="J3420" s="81"/>
      <c r="K3420" s="81"/>
      <c r="L3420" s="81"/>
      <c r="M3420" s="81"/>
      <c r="N3420" s="82"/>
    </row>
    <row r="3421">
      <c r="C3421" s="41"/>
      <c r="D3421" s="141"/>
      <c r="E3421" s="118"/>
      <c r="F3421" s="126"/>
      <c r="G3421" s="126"/>
      <c r="H3421" s="126"/>
      <c r="I3421" s="126"/>
      <c r="J3421" s="76"/>
      <c r="K3421" s="76"/>
      <c r="L3421" s="76"/>
      <c r="M3421" s="76"/>
      <c r="N3421" s="114"/>
    </row>
    <row r="3422">
      <c r="C3422" s="41"/>
      <c r="D3422" s="142"/>
      <c r="E3422" s="130"/>
      <c r="F3422" s="128"/>
      <c r="G3422" s="128"/>
      <c r="H3422" s="128"/>
      <c r="I3422" s="128"/>
      <c r="J3422" s="81"/>
      <c r="K3422" s="81"/>
      <c r="L3422" s="81"/>
      <c r="M3422" s="81"/>
      <c r="N3422" s="82"/>
    </row>
    <row r="3423">
      <c r="C3423" s="41"/>
      <c r="D3423" s="141"/>
      <c r="E3423" s="118"/>
      <c r="F3423" s="126"/>
      <c r="G3423" s="126"/>
      <c r="H3423" s="126"/>
      <c r="I3423" s="126"/>
      <c r="J3423" s="76"/>
      <c r="K3423" s="76"/>
      <c r="L3423" s="76"/>
      <c r="M3423" s="76"/>
      <c r="N3423" s="114"/>
    </row>
    <row r="3424">
      <c r="C3424" s="41"/>
      <c r="D3424" s="142"/>
      <c r="E3424" s="130"/>
      <c r="F3424" s="128"/>
      <c r="G3424" s="128"/>
      <c r="H3424" s="128"/>
      <c r="I3424" s="128"/>
      <c r="J3424" s="81"/>
      <c r="K3424" s="81"/>
      <c r="L3424" s="81"/>
      <c r="M3424" s="81"/>
      <c r="N3424" s="82"/>
    </row>
    <row r="3425">
      <c r="C3425" s="41"/>
      <c r="D3425" s="141"/>
      <c r="E3425" s="118"/>
      <c r="F3425" s="126"/>
      <c r="G3425" s="126"/>
      <c r="H3425" s="126"/>
      <c r="I3425" s="126"/>
      <c r="J3425" s="76"/>
      <c r="K3425" s="76"/>
      <c r="L3425" s="76"/>
      <c r="M3425" s="76"/>
      <c r="N3425" s="114"/>
    </row>
    <row r="3426">
      <c r="C3426" s="41"/>
      <c r="D3426" s="142"/>
      <c r="E3426" s="130"/>
      <c r="F3426" s="128"/>
      <c r="G3426" s="128"/>
      <c r="H3426" s="128"/>
      <c r="I3426" s="128"/>
      <c r="J3426" s="81"/>
      <c r="K3426" s="81"/>
      <c r="L3426" s="81"/>
      <c r="M3426" s="81"/>
      <c r="N3426" s="82"/>
    </row>
    <row r="3427">
      <c r="C3427" s="41"/>
      <c r="D3427" s="141"/>
      <c r="E3427" s="118"/>
      <c r="F3427" s="126"/>
      <c r="G3427" s="126"/>
      <c r="H3427" s="126"/>
      <c r="I3427" s="126"/>
      <c r="J3427" s="76"/>
      <c r="K3427" s="76"/>
      <c r="L3427" s="76"/>
      <c r="M3427" s="76"/>
      <c r="N3427" s="114"/>
    </row>
    <row r="3428">
      <c r="C3428" s="41"/>
      <c r="D3428" s="142"/>
      <c r="E3428" s="130"/>
      <c r="F3428" s="128"/>
      <c r="G3428" s="128"/>
      <c r="H3428" s="128"/>
      <c r="I3428" s="128"/>
      <c r="J3428" s="81"/>
      <c r="K3428" s="81"/>
      <c r="L3428" s="81"/>
      <c r="M3428" s="81"/>
      <c r="N3428" s="82"/>
    </row>
    <row r="3429">
      <c r="C3429" s="41"/>
      <c r="D3429" s="141"/>
      <c r="E3429" s="118"/>
      <c r="F3429" s="126"/>
      <c r="G3429" s="126"/>
      <c r="H3429" s="126"/>
      <c r="I3429" s="126"/>
      <c r="J3429" s="76"/>
      <c r="K3429" s="76"/>
      <c r="L3429" s="76"/>
      <c r="M3429" s="76"/>
      <c r="N3429" s="114"/>
    </row>
    <row r="3430">
      <c r="C3430" s="41"/>
      <c r="D3430" s="142"/>
      <c r="E3430" s="130"/>
      <c r="F3430" s="128"/>
      <c r="G3430" s="128"/>
      <c r="H3430" s="128"/>
      <c r="I3430" s="128"/>
      <c r="J3430" s="81"/>
      <c r="K3430" s="81"/>
      <c r="L3430" s="81"/>
      <c r="M3430" s="81"/>
      <c r="N3430" s="82"/>
    </row>
    <row r="3431">
      <c r="C3431" s="41"/>
      <c r="D3431" s="141"/>
      <c r="E3431" s="118"/>
      <c r="F3431" s="126"/>
      <c r="G3431" s="126"/>
      <c r="H3431" s="126"/>
      <c r="I3431" s="126"/>
      <c r="J3431" s="76"/>
      <c r="K3431" s="76"/>
      <c r="L3431" s="76"/>
      <c r="M3431" s="76"/>
      <c r="N3431" s="114"/>
    </row>
    <row r="3432">
      <c r="C3432" s="41"/>
      <c r="D3432" s="142"/>
      <c r="E3432" s="130"/>
      <c r="F3432" s="128"/>
      <c r="G3432" s="128"/>
      <c r="H3432" s="128"/>
      <c r="I3432" s="128"/>
      <c r="J3432" s="81"/>
      <c r="K3432" s="81"/>
      <c r="L3432" s="81"/>
      <c r="M3432" s="81"/>
      <c r="N3432" s="82"/>
    </row>
    <row r="3433">
      <c r="C3433" s="41"/>
      <c r="D3433" s="141"/>
      <c r="E3433" s="118"/>
      <c r="F3433" s="126"/>
      <c r="G3433" s="126"/>
      <c r="H3433" s="126"/>
      <c r="I3433" s="126"/>
      <c r="J3433" s="76"/>
      <c r="K3433" s="76"/>
      <c r="L3433" s="76"/>
      <c r="M3433" s="76"/>
      <c r="N3433" s="114"/>
    </row>
    <row r="3434">
      <c r="C3434" s="41"/>
      <c r="D3434" s="142"/>
      <c r="E3434" s="130"/>
      <c r="F3434" s="128"/>
      <c r="G3434" s="128"/>
      <c r="H3434" s="128"/>
      <c r="I3434" s="128"/>
      <c r="J3434" s="81"/>
      <c r="K3434" s="81"/>
      <c r="L3434" s="81"/>
      <c r="M3434" s="81"/>
      <c r="N3434" s="82"/>
    </row>
    <row r="3435">
      <c r="C3435" s="41"/>
      <c r="D3435" s="141"/>
      <c r="E3435" s="118"/>
      <c r="F3435" s="126"/>
      <c r="G3435" s="126"/>
      <c r="H3435" s="126"/>
      <c r="I3435" s="126"/>
      <c r="J3435" s="76"/>
      <c r="K3435" s="76"/>
      <c r="L3435" s="76"/>
      <c r="M3435" s="76"/>
      <c r="N3435" s="114"/>
    </row>
    <row r="3436">
      <c r="C3436" s="41"/>
      <c r="D3436" s="142"/>
      <c r="E3436" s="130"/>
      <c r="F3436" s="128"/>
      <c r="G3436" s="128"/>
      <c r="H3436" s="128"/>
      <c r="I3436" s="128"/>
      <c r="J3436" s="81"/>
      <c r="K3436" s="81"/>
      <c r="L3436" s="81"/>
      <c r="M3436" s="81"/>
      <c r="N3436" s="82"/>
    </row>
    <row r="3437">
      <c r="C3437" s="41"/>
      <c r="D3437" s="141"/>
      <c r="E3437" s="118"/>
      <c r="F3437" s="126"/>
      <c r="G3437" s="126"/>
      <c r="H3437" s="126"/>
      <c r="I3437" s="126"/>
      <c r="J3437" s="76"/>
      <c r="K3437" s="76"/>
      <c r="L3437" s="76"/>
      <c r="M3437" s="76"/>
      <c r="N3437" s="114"/>
    </row>
    <row r="3438">
      <c r="C3438" s="41"/>
      <c r="D3438" s="142"/>
      <c r="E3438" s="130"/>
      <c r="F3438" s="128"/>
      <c r="G3438" s="128"/>
      <c r="H3438" s="128"/>
      <c r="I3438" s="128"/>
      <c r="J3438" s="81"/>
      <c r="K3438" s="81"/>
      <c r="L3438" s="81"/>
      <c r="M3438" s="81"/>
      <c r="N3438" s="82"/>
    </row>
    <row r="3439">
      <c r="C3439" s="41"/>
      <c r="D3439" s="141"/>
      <c r="E3439" s="118"/>
      <c r="F3439" s="126"/>
      <c r="G3439" s="126"/>
      <c r="H3439" s="126"/>
      <c r="I3439" s="126"/>
      <c r="J3439" s="76"/>
      <c r="K3439" s="76"/>
      <c r="L3439" s="76"/>
      <c r="M3439" s="76"/>
      <c r="N3439" s="114"/>
    </row>
    <row r="3440">
      <c r="C3440" s="41"/>
      <c r="D3440" s="142"/>
      <c r="E3440" s="130"/>
      <c r="F3440" s="128"/>
      <c r="G3440" s="128"/>
      <c r="H3440" s="128"/>
      <c r="I3440" s="128"/>
      <c r="J3440" s="81"/>
      <c r="K3440" s="81"/>
      <c r="L3440" s="81"/>
      <c r="M3440" s="81"/>
      <c r="N3440" s="82"/>
    </row>
    <row r="3441">
      <c r="C3441" s="41"/>
      <c r="D3441" s="141"/>
      <c r="E3441" s="118"/>
      <c r="F3441" s="126"/>
      <c r="G3441" s="126"/>
      <c r="H3441" s="126"/>
      <c r="I3441" s="126"/>
      <c r="J3441" s="76"/>
      <c r="K3441" s="76"/>
      <c r="L3441" s="76"/>
      <c r="M3441" s="76"/>
      <c r="N3441" s="114"/>
    </row>
    <row r="3442">
      <c r="C3442" s="41"/>
      <c r="D3442" s="142"/>
      <c r="E3442" s="130"/>
      <c r="F3442" s="128"/>
      <c r="G3442" s="128"/>
      <c r="H3442" s="128"/>
      <c r="I3442" s="128"/>
      <c r="J3442" s="81"/>
      <c r="K3442" s="81"/>
      <c r="L3442" s="81"/>
      <c r="M3442" s="81"/>
      <c r="N3442" s="82"/>
    </row>
    <row r="3443">
      <c r="C3443" s="41"/>
      <c r="D3443" s="141"/>
      <c r="E3443" s="118"/>
      <c r="F3443" s="126"/>
      <c r="G3443" s="126"/>
      <c r="H3443" s="126"/>
      <c r="I3443" s="126"/>
      <c r="J3443" s="76"/>
      <c r="K3443" s="76"/>
      <c r="L3443" s="76"/>
      <c r="M3443" s="76"/>
      <c r="N3443" s="114"/>
    </row>
    <row r="3444">
      <c r="C3444" s="41"/>
      <c r="D3444" s="142"/>
      <c r="E3444" s="130"/>
      <c r="F3444" s="128"/>
      <c r="G3444" s="128"/>
      <c r="H3444" s="128"/>
      <c r="I3444" s="128"/>
      <c r="J3444" s="81"/>
      <c r="K3444" s="81"/>
      <c r="L3444" s="81"/>
      <c r="M3444" s="81"/>
      <c r="N3444" s="82"/>
    </row>
    <row r="3445">
      <c r="C3445" s="41"/>
      <c r="D3445" s="141"/>
      <c r="E3445" s="118"/>
      <c r="F3445" s="126"/>
      <c r="G3445" s="126"/>
      <c r="H3445" s="126"/>
      <c r="I3445" s="126"/>
      <c r="J3445" s="76"/>
      <c r="K3445" s="76"/>
      <c r="L3445" s="76"/>
      <c r="M3445" s="76"/>
      <c r="N3445" s="114"/>
    </row>
    <row r="3446">
      <c r="C3446" s="41"/>
      <c r="D3446" s="142"/>
      <c r="E3446" s="130"/>
      <c r="F3446" s="128"/>
      <c r="G3446" s="128"/>
      <c r="H3446" s="128"/>
      <c r="I3446" s="128"/>
      <c r="J3446" s="81"/>
      <c r="K3446" s="81"/>
      <c r="L3446" s="81"/>
      <c r="M3446" s="81"/>
      <c r="N3446" s="82"/>
    </row>
    <row r="3447">
      <c r="C3447" s="41"/>
      <c r="D3447" s="141"/>
      <c r="E3447" s="118"/>
      <c r="F3447" s="126"/>
      <c r="G3447" s="126"/>
      <c r="H3447" s="126"/>
      <c r="I3447" s="126"/>
      <c r="J3447" s="76"/>
      <c r="K3447" s="76"/>
      <c r="L3447" s="76"/>
      <c r="M3447" s="76"/>
      <c r="N3447" s="114"/>
    </row>
    <row r="3448">
      <c r="C3448" s="41"/>
      <c r="D3448" s="142"/>
      <c r="E3448" s="130"/>
      <c r="F3448" s="128"/>
      <c r="G3448" s="128"/>
      <c r="H3448" s="128"/>
      <c r="I3448" s="128"/>
      <c r="J3448" s="81"/>
      <c r="K3448" s="81"/>
      <c r="L3448" s="81"/>
      <c r="M3448" s="81"/>
      <c r="N3448" s="82"/>
    </row>
    <row r="3449">
      <c r="C3449" s="41"/>
      <c r="D3449" s="141"/>
      <c r="E3449" s="118"/>
      <c r="F3449" s="126"/>
      <c r="G3449" s="126"/>
      <c r="H3449" s="126"/>
      <c r="I3449" s="126"/>
      <c r="J3449" s="76"/>
      <c r="K3449" s="76"/>
      <c r="L3449" s="76"/>
      <c r="M3449" s="76"/>
      <c r="N3449" s="114"/>
    </row>
    <row r="3450">
      <c r="C3450" s="41"/>
      <c r="D3450" s="142"/>
      <c r="E3450" s="130"/>
      <c r="F3450" s="128"/>
      <c r="G3450" s="128"/>
      <c r="H3450" s="128"/>
      <c r="I3450" s="128"/>
      <c r="J3450" s="81"/>
      <c r="K3450" s="81"/>
      <c r="L3450" s="81"/>
      <c r="M3450" s="81"/>
      <c r="N3450" s="82"/>
    </row>
    <row r="3451">
      <c r="C3451" s="41"/>
      <c r="D3451" s="141"/>
      <c r="E3451" s="118"/>
      <c r="F3451" s="126"/>
      <c r="G3451" s="126"/>
      <c r="H3451" s="126"/>
      <c r="I3451" s="126"/>
      <c r="J3451" s="76"/>
      <c r="K3451" s="76"/>
      <c r="L3451" s="76"/>
      <c r="M3451" s="76"/>
      <c r="N3451" s="114"/>
    </row>
    <row r="3452">
      <c r="C3452" s="41"/>
      <c r="D3452" s="142"/>
      <c r="E3452" s="130"/>
      <c r="F3452" s="128"/>
      <c r="G3452" s="128"/>
      <c r="H3452" s="128"/>
      <c r="I3452" s="128"/>
      <c r="J3452" s="81"/>
      <c r="K3452" s="81"/>
      <c r="L3452" s="81"/>
      <c r="M3452" s="81"/>
      <c r="N3452" s="82"/>
    </row>
    <row r="3453">
      <c r="C3453" s="41"/>
      <c r="D3453" s="141"/>
      <c r="E3453" s="118"/>
      <c r="F3453" s="126"/>
      <c r="G3453" s="126"/>
      <c r="H3453" s="126"/>
      <c r="I3453" s="126"/>
      <c r="J3453" s="76"/>
      <c r="K3453" s="76"/>
      <c r="L3453" s="76"/>
      <c r="M3453" s="76"/>
      <c r="N3453" s="114"/>
    </row>
    <row r="3454">
      <c r="C3454" s="41"/>
      <c r="D3454" s="142"/>
      <c r="E3454" s="130"/>
      <c r="F3454" s="128"/>
      <c r="G3454" s="128"/>
      <c r="H3454" s="128"/>
      <c r="I3454" s="128"/>
      <c r="J3454" s="81"/>
      <c r="K3454" s="81"/>
      <c r="L3454" s="81"/>
      <c r="M3454" s="81"/>
      <c r="N3454" s="82"/>
    </row>
    <row r="3455">
      <c r="C3455" s="41"/>
      <c r="D3455" s="141"/>
      <c r="E3455" s="118"/>
      <c r="F3455" s="126"/>
      <c r="G3455" s="126"/>
      <c r="H3455" s="126"/>
      <c r="I3455" s="126"/>
      <c r="J3455" s="76"/>
      <c r="K3455" s="76"/>
      <c r="L3455" s="76"/>
      <c r="M3455" s="76"/>
      <c r="N3455" s="114"/>
    </row>
    <row r="3456">
      <c r="C3456" s="41"/>
      <c r="D3456" s="142"/>
      <c r="E3456" s="130"/>
      <c r="F3456" s="128"/>
      <c r="G3456" s="128"/>
      <c r="H3456" s="128"/>
      <c r="I3456" s="128"/>
      <c r="J3456" s="81"/>
      <c r="K3456" s="81"/>
      <c r="L3456" s="81"/>
      <c r="M3456" s="81"/>
      <c r="N3456" s="82"/>
    </row>
    <row r="3457">
      <c r="C3457" s="41"/>
      <c r="D3457" s="141"/>
      <c r="E3457" s="118"/>
      <c r="F3457" s="126"/>
      <c r="G3457" s="126"/>
      <c r="H3457" s="126"/>
      <c r="I3457" s="126"/>
      <c r="J3457" s="76"/>
      <c r="K3457" s="76"/>
      <c r="L3457" s="76"/>
      <c r="M3457" s="76"/>
      <c r="N3457" s="114"/>
    </row>
    <row r="3458">
      <c r="C3458" s="41"/>
      <c r="D3458" s="142"/>
      <c r="E3458" s="130"/>
      <c r="F3458" s="128"/>
      <c r="G3458" s="128"/>
      <c r="H3458" s="128"/>
      <c r="I3458" s="128"/>
      <c r="J3458" s="81"/>
      <c r="K3458" s="81"/>
      <c r="L3458" s="81"/>
      <c r="M3458" s="81"/>
      <c r="N3458" s="82"/>
    </row>
    <row r="3459">
      <c r="C3459" s="41"/>
      <c r="D3459" s="141"/>
      <c r="E3459" s="118"/>
      <c r="F3459" s="126"/>
      <c r="G3459" s="126"/>
      <c r="H3459" s="126"/>
      <c r="I3459" s="126"/>
      <c r="J3459" s="76"/>
      <c r="K3459" s="76"/>
      <c r="L3459" s="76"/>
      <c r="M3459" s="76"/>
      <c r="N3459" s="114"/>
    </row>
    <row r="3460">
      <c r="C3460" s="41"/>
      <c r="D3460" s="142"/>
      <c r="E3460" s="130"/>
      <c r="F3460" s="128"/>
      <c r="G3460" s="128"/>
      <c r="H3460" s="128"/>
      <c r="I3460" s="128"/>
      <c r="J3460" s="81"/>
      <c r="K3460" s="81"/>
      <c r="L3460" s="81"/>
      <c r="M3460" s="81"/>
      <c r="N3460" s="82"/>
    </row>
    <row r="3461">
      <c r="C3461" s="41"/>
      <c r="D3461" s="141"/>
      <c r="E3461" s="118"/>
      <c r="F3461" s="126"/>
      <c r="G3461" s="126"/>
      <c r="H3461" s="126"/>
      <c r="I3461" s="126"/>
      <c r="J3461" s="76"/>
      <c r="K3461" s="76"/>
      <c r="L3461" s="76"/>
      <c r="M3461" s="76"/>
      <c r="N3461" s="114"/>
    </row>
    <row r="3462">
      <c r="C3462" s="41"/>
      <c r="D3462" s="142"/>
      <c r="E3462" s="130"/>
      <c r="F3462" s="128"/>
      <c r="G3462" s="128"/>
      <c r="H3462" s="128"/>
      <c r="I3462" s="128"/>
      <c r="J3462" s="81"/>
      <c r="K3462" s="81"/>
      <c r="L3462" s="81"/>
      <c r="M3462" s="81"/>
      <c r="N3462" s="82"/>
    </row>
    <row r="3463">
      <c r="C3463" s="41"/>
      <c r="D3463" s="141"/>
      <c r="E3463" s="118"/>
      <c r="F3463" s="126"/>
      <c r="G3463" s="126"/>
      <c r="H3463" s="126"/>
      <c r="I3463" s="126"/>
      <c r="J3463" s="76"/>
      <c r="K3463" s="76"/>
      <c r="L3463" s="76"/>
      <c r="M3463" s="76"/>
      <c r="N3463" s="114"/>
    </row>
    <row r="3464">
      <c r="C3464" s="41"/>
      <c r="D3464" s="142"/>
      <c r="E3464" s="130"/>
      <c r="F3464" s="128"/>
      <c r="G3464" s="128"/>
      <c r="H3464" s="128"/>
      <c r="I3464" s="128"/>
      <c r="J3464" s="81"/>
      <c r="K3464" s="81"/>
      <c r="L3464" s="81"/>
      <c r="M3464" s="81"/>
      <c r="N3464" s="82"/>
    </row>
    <row r="3465">
      <c r="C3465" s="41"/>
      <c r="D3465" s="141"/>
      <c r="E3465" s="118"/>
      <c r="F3465" s="126"/>
      <c r="G3465" s="126"/>
      <c r="H3465" s="126"/>
      <c r="I3465" s="126"/>
      <c r="J3465" s="76"/>
      <c r="K3465" s="76"/>
      <c r="L3465" s="76"/>
      <c r="M3465" s="76"/>
      <c r="N3465" s="114"/>
    </row>
    <row r="3466">
      <c r="C3466" s="41"/>
      <c r="D3466" s="142"/>
      <c r="E3466" s="130"/>
      <c r="F3466" s="128"/>
      <c r="G3466" s="128"/>
      <c r="H3466" s="128"/>
      <c r="I3466" s="128"/>
      <c r="J3466" s="81"/>
      <c r="K3466" s="81"/>
      <c r="L3466" s="81"/>
      <c r="M3466" s="81"/>
      <c r="N3466" s="82"/>
    </row>
    <row r="3467">
      <c r="C3467" s="41"/>
      <c r="D3467" s="141"/>
      <c r="E3467" s="118"/>
      <c r="F3467" s="126"/>
      <c r="G3467" s="126"/>
      <c r="H3467" s="126"/>
      <c r="I3467" s="126"/>
      <c r="J3467" s="76"/>
      <c r="K3467" s="76"/>
      <c r="L3467" s="76"/>
      <c r="M3467" s="76"/>
      <c r="N3467" s="114"/>
    </row>
    <row r="3468">
      <c r="C3468" s="41"/>
      <c r="D3468" s="142"/>
      <c r="E3468" s="130"/>
      <c r="F3468" s="128"/>
      <c r="G3468" s="128"/>
      <c r="H3468" s="128"/>
      <c r="I3468" s="128"/>
      <c r="J3468" s="81"/>
      <c r="K3468" s="81"/>
      <c r="L3468" s="81"/>
      <c r="M3468" s="81"/>
      <c r="N3468" s="82"/>
    </row>
    <row r="3469">
      <c r="C3469" s="41"/>
      <c r="D3469" s="141"/>
      <c r="E3469" s="118"/>
      <c r="F3469" s="126"/>
      <c r="G3469" s="126"/>
      <c r="H3469" s="126"/>
      <c r="I3469" s="126"/>
      <c r="J3469" s="76"/>
      <c r="K3469" s="76"/>
      <c r="L3469" s="76"/>
      <c r="M3469" s="76"/>
      <c r="N3469" s="114"/>
    </row>
    <row r="3470">
      <c r="C3470" s="41"/>
      <c r="D3470" s="142"/>
      <c r="E3470" s="130"/>
      <c r="F3470" s="128"/>
      <c r="G3470" s="128"/>
      <c r="H3470" s="128"/>
      <c r="I3470" s="128"/>
      <c r="J3470" s="81"/>
      <c r="K3470" s="81"/>
      <c r="L3470" s="81"/>
      <c r="M3470" s="81"/>
      <c r="N3470" s="82"/>
    </row>
    <row r="3471">
      <c r="C3471" s="41"/>
      <c r="D3471" s="141"/>
      <c r="E3471" s="118"/>
      <c r="F3471" s="126"/>
      <c r="G3471" s="126"/>
      <c r="H3471" s="126"/>
      <c r="I3471" s="126"/>
      <c r="J3471" s="76"/>
      <c r="K3471" s="76"/>
      <c r="L3471" s="76"/>
      <c r="M3471" s="76"/>
      <c r="N3471" s="114"/>
    </row>
    <row r="3472">
      <c r="C3472" s="41"/>
      <c r="D3472" s="142"/>
      <c r="E3472" s="130"/>
      <c r="F3472" s="128"/>
      <c r="G3472" s="128"/>
      <c r="H3472" s="128"/>
      <c r="I3472" s="128"/>
      <c r="J3472" s="81"/>
      <c r="K3472" s="81"/>
      <c r="L3472" s="81"/>
      <c r="M3472" s="81"/>
      <c r="N3472" s="82"/>
    </row>
    <row r="3473">
      <c r="C3473" s="41"/>
      <c r="D3473" s="141"/>
      <c r="E3473" s="118"/>
      <c r="F3473" s="126"/>
      <c r="G3473" s="126"/>
      <c r="H3473" s="126"/>
      <c r="I3473" s="126"/>
      <c r="J3473" s="76"/>
      <c r="K3473" s="76"/>
      <c r="L3473" s="76"/>
      <c r="M3473" s="76"/>
      <c r="N3473" s="114"/>
    </row>
    <row r="3474">
      <c r="C3474" s="41"/>
      <c r="D3474" s="142"/>
      <c r="E3474" s="130"/>
      <c r="F3474" s="128"/>
      <c r="G3474" s="128"/>
      <c r="H3474" s="128"/>
      <c r="I3474" s="128"/>
      <c r="J3474" s="81"/>
      <c r="K3474" s="81"/>
      <c r="L3474" s="81"/>
      <c r="M3474" s="81"/>
      <c r="N3474" s="82"/>
    </row>
    <row r="3475">
      <c r="C3475" s="41"/>
      <c r="D3475" s="141"/>
      <c r="E3475" s="118"/>
      <c r="F3475" s="126"/>
      <c r="G3475" s="126"/>
      <c r="H3475" s="126"/>
      <c r="I3475" s="126"/>
      <c r="J3475" s="76"/>
      <c r="K3475" s="76"/>
      <c r="L3475" s="76"/>
      <c r="M3475" s="76"/>
      <c r="N3475" s="114"/>
    </row>
    <row r="3476">
      <c r="C3476" s="41"/>
      <c r="D3476" s="142"/>
      <c r="E3476" s="130"/>
      <c r="F3476" s="128"/>
      <c r="G3476" s="128"/>
      <c r="H3476" s="128"/>
      <c r="I3476" s="128"/>
      <c r="J3476" s="81"/>
      <c r="K3476" s="81"/>
      <c r="L3476" s="81"/>
      <c r="M3476" s="81"/>
      <c r="N3476" s="82"/>
    </row>
    <row r="3477">
      <c r="C3477" s="41"/>
      <c r="D3477" s="141"/>
      <c r="E3477" s="118"/>
      <c r="F3477" s="126"/>
      <c r="G3477" s="126"/>
      <c r="H3477" s="126"/>
      <c r="I3477" s="126"/>
      <c r="J3477" s="76"/>
      <c r="K3477" s="76"/>
      <c r="L3477" s="76"/>
      <c r="M3477" s="76"/>
      <c r="N3477" s="114"/>
    </row>
    <row r="3478">
      <c r="C3478" s="41"/>
      <c r="D3478" s="142"/>
      <c r="E3478" s="130"/>
      <c r="F3478" s="128"/>
      <c r="G3478" s="128"/>
      <c r="H3478" s="128"/>
      <c r="I3478" s="128"/>
      <c r="J3478" s="81"/>
      <c r="K3478" s="81"/>
      <c r="L3478" s="81"/>
      <c r="M3478" s="81"/>
      <c r="N3478" s="82"/>
    </row>
    <row r="3479">
      <c r="C3479" s="41"/>
      <c r="D3479" s="141"/>
      <c r="E3479" s="118"/>
      <c r="F3479" s="126"/>
      <c r="G3479" s="126"/>
      <c r="H3479" s="126"/>
      <c r="I3479" s="126"/>
      <c r="J3479" s="76"/>
      <c r="K3479" s="76"/>
      <c r="L3479" s="76"/>
      <c r="M3479" s="76"/>
      <c r="N3479" s="114"/>
    </row>
    <row r="3480">
      <c r="C3480" s="41"/>
      <c r="D3480" s="142"/>
      <c r="E3480" s="130"/>
      <c r="F3480" s="128"/>
      <c r="G3480" s="128"/>
      <c r="H3480" s="128"/>
      <c r="I3480" s="128"/>
      <c r="J3480" s="81"/>
      <c r="K3480" s="81"/>
      <c r="L3480" s="81"/>
      <c r="M3480" s="81"/>
      <c r="N3480" s="82"/>
    </row>
    <row r="3481">
      <c r="C3481" s="41"/>
      <c r="D3481" s="141"/>
      <c r="E3481" s="118"/>
      <c r="F3481" s="126"/>
      <c r="G3481" s="126"/>
      <c r="H3481" s="126"/>
      <c r="I3481" s="126"/>
      <c r="J3481" s="76"/>
      <c r="K3481" s="76"/>
      <c r="L3481" s="76"/>
      <c r="M3481" s="76"/>
      <c r="N3481" s="114"/>
    </row>
    <row r="3482">
      <c r="C3482" s="41"/>
      <c r="D3482" s="142"/>
      <c r="E3482" s="130"/>
      <c r="F3482" s="128"/>
      <c r="G3482" s="128"/>
      <c r="H3482" s="128"/>
      <c r="I3482" s="128"/>
      <c r="J3482" s="81"/>
      <c r="K3482" s="81"/>
      <c r="L3482" s="81"/>
      <c r="M3482" s="81"/>
      <c r="N3482" s="82"/>
    </row>
    <row r="3483">
      <c r="C3483" s="41"/>
      <c r="D3483" s="141"/>
      <c r="E3483" s="118"/>
      <c r="F3483" s="126"/>
      <c r="G3483" s="126"/>
      <c r="H3483" s="126"/>
      <c r="I3483" s="126"/>
      <c r="J3483" s="76"/>
      <c r="K3483" s="76"/>
      <c r="L3483" s="76"/>
      <c r="M3483" s="76"/>
      <c r="N3483" s="114"/>
    </row>
    <row r="3484">
      <c r="C3484" s="41"/>
      <c r="D3484" s="142"/>
      <c r="E3484" s="130"/>
      <c r="F3484" s="128"/>
      <c r="G3484" s="128"/>
      <c r="H3484" s="128"/>
      <c r="I3484" s="128"/>
      <c r="J3484" s="81"/>
      <c r="K3484" s="81"/>
      <c r="L3484" s="81"/>
      <c r="M3484" s="81"/>
      <c r="N3484" s="82"/>
    </row>
    <row r="3485">
      <c r="C3485" s="41"/>
      <c r="D3485" s="141"/>
      <c r="E3485" s="118"/>
      <c r="F3485" s="126"/>
      <c r="G3485" s="126"/>
      <c r="H3485" s="126"/>
      <c r="I3485" s="126"/>
      <c r="J3485" s="76"/>
      <c r="K3485" s="76"/>
      <c r="L3485" s="76"/>
      <c r="M3485" s="76"/>
      <c r="N3485" s="114"/>
    </row>
    <row r="3486">
      <c r="C3486" s="41"/>
      <c r="D3486" s="142"/>
      <c r="E3486" s="130"/>
      <c r="F3486" s="128"/>
      <c r="G3486" s="128"/>
      <c r="H3486" s="128"/>
      <c r="I3486" s="128"/>
      <c r="J3486" s="81"/>
      <c r="K3486" s="81"/>
      <c r="L3486" s="81"/>
      <c r="M3486" s="81"/>
      <c r="N3486" s="82"/>
    </row>
    <row r="3487">
      <c r="C3487" s="41"/>
      <c r="D3487" s="141"/>
      <c r="E3487" s="118"/>
      <c r="F3487" s="126"/>
      <c r="G3487" s="126"/>
      <c r="H3487" s="126"/>
      <c r="I3487" s="126"/>
      <c r="J3487" s="76"/>
      <c r="K3487" s="76"/>
      <c r="L3487" s="76"/>
      <c r="M3487" s="76"/>
      <c r="N3487" s="114"/>
    </row>
    <row r="3488">
      <c r="C3488" s="41"/>
      <c r="D3488" s="142"/>
      <c r="E3488" s="130"/>
      <c r="F3488" s="128"/>
      <c r="G3488" s="128"/>
      <c r="H3488" s="128"/>
      <c r="I3488" s="128"/>
      <c r="J3488" s="81"/>
      <c r="K3488" s="81"/>
      <c r="L3488" s="81"/>
      <c r="M3488" s="81"/>
      <c r="N3488" s="82"/>
    </row>
    <row r="3489">
      <c r="C3489" s="41"/>
      <c r="D3489" s="141"/>
      <c r="E3489" s="118"/>
      <c r="F3489" s="126"/>
      <c r="G3489" s="126"/>
      <c r="H3489" s="126"/>
      <c r="I3489" s="126"/>
      <c r="J3489" s="76"/>
      <c r="K3489" s="76"/>
      <c r="L3489" s="76"/>
      <c r="M3489" s="76"/>
      <c r="N3489" s="114"/>
    </row>
    <row r="3490">
      <c r="C3490" s="41"/>
      <c r="D3490" s="142"/>
      <c r="E3490" s="130"/>
      <c r="F3490" s="128"/>
      <c r="G3490" s="128"/>
      <c r="H3490" s="128"/>
      <c r="I3490" s="128"/>
      <c r="J3490" s="81"/>
      <c r="K3490" s="81"/>
      <c r="L3490" s="81"/>
      <c r="M3490" s="81"/>
      <c r="N3490" s="82"/>
    </row>
    <row r="3491">
      <c r="C3491" s="41"/>
      <c r="D3491" s="141"/>
      <c r="E3491" s="118"/>
      <c r="F3491" s="126"/>
      <c r="G3491" s="126"/>
      <c r="H3491" s="126"/>
      <c r="I3491" s="126"/>
      <c r="J3491" s="76"/>
      <c r="K3491" s="76"/>
      <c r="L3491" s="76"/>
      <c r="M3491" s="76"/>
      <c r="N3491" s="114"/>
    </row>
    <row r="3492">
      <c r="C3492" s="41"/>
      <c r="D3492" s="142"/>
      <c r="E3492" s="130"/>
      <c r="F3492" s="128"/>
      <c r="G3492" s="128"/>
      <c r="H3492" s="128"/>
      <c r="I3492" s="128"/>
      <c r="J3492" s="81"/>
      <c r="K3492" s="81"/>
      <c r="L3492" s="81"/>
      <c r="M3492" s="81"/>
      <c r="N3492" s="82"/>
    </row>
    <row r="3493">
      <c r="C3493" s="41"/>
      <c r="D3493" s="141"/>
      <c r="E3493" s="118"/>
      <c r="F3493" s="126"/>
      <c r="G3493" s="126"/>
      <c r="H3493" s="126"/>
      <c r="I3493" s="126"/>
      <c r="J3493" s="76"/>
      <c r="K3493" s="76"/>
      <c r="L3493" s="76"/>
      <c r="M3493" s="76"/>
      <c r="N3493" s="114"/>
    </row>
    <row r="3494">
      <c r="C3494" s="41"/>
      <c r="D3494" s="142"/>
      <c r="E3494" s="130"/>
      <c r="F3494" s="128"/>
      <c r="G3494" s="128"/>
      <c r="H3494" s="128"/>
      <c r="I3494" s="128"/>
      <c r="J3494" s="81"/>
      <c r="K3494" s="81"/>
      <c r="L3494" s="81"/>
      <c r="M3494" s="81"/>
      <c r="N3494" s="82"/>
    </row>
    <row r="3495">
      <c r="C3495" s="41"/>
      <c r="D3495" s="141"/>
      <c r="E3495" s="118"/>
      <c r="F3495" s="126"/>
      <c r="G3495" s="126"/>
      <c r="H3495" s="126"/>
      <c r="I3495" s="126"/>
      <c r="J3495" s="76"/>
      <c r="K3495" s="76"/>
      <c r="L3495" s="76"/>
      <c r="M3495" s="76"/>
      <c r="N3495" s="114"/>
    </row>
    <row r="3496">
      <c r="C3496" s="41"/>
      <c r="D3496" s="142"/>
      <c r="E3496" s="130"/>
      <c r="F3496" s="128"/>
      <c r="G3496" s="128"/>
      <c r="H3496" s="128"/>
      <c r="I3496" s="128"/>
      <c r="J3496" s="81"/>
      <c r="K3496" s="81"/>
      <c r="L3496" s="81"/>
      <c r="M3496" s="81"/>
      <c r="N3496" s="82"/>
    </row>
    <row r="3497">
      <c r="C3497" s="41"/>
      <c r="D3497" s="141"/>
      <c r="E3497" s="118"/>
      <c r="F3497" s="126"/>
      <c r="G3497" s="126"/>
      <c r="H3497" s="126"/>
      <c r="I3497" s="126"/>
      <c r="J3497" s="76"/>
      <c r="K3497" s="76"/>
      <c r="L3497" s="76"/>
      <c r="M3497" s="76"/>
      <c r="N3497" s="114"/>
    </row>
    <row r="3498">
      <c r="C3498" s="41"/>
      <c r="D3498" s="142"/>
      <c r="E3498" s="130"/>
      <c r="F3498" s="128"/>
      <c r="G3498" s="128"/>
      <c r="H3498" s="128"/>
      <c r="I3498" s="128"/>
      <c r="J3498" s="81"/>
      <c r="K3498" s="81"/>
      <c r="L3498" s="81"/>
      <c r="M3498" s="81"/>
      <c r="N3498" s="82"/>
    </row>
    <row r="3499">
      <c r="C3499" s="41"/>
      <c r="D3499" s="141"/>
      <c r="E3499" s="118"/>
      <c r="F3499" s="126"/>
      <c r="G3499" s="126"/>
      <c r="H3499" s="126"/>
      <c r="I3499" s="126"/>
      <c r="J3499" s="76"/>
      <c r="K3499" s="76"/>
      <c r="L3499" s="76"/>
      <c r="M3499" s="76"/>
      <c r="N3499" s="114"/>
    </row>
    <row r="3500">
      <c r="C3500" s="41"/>
      <c r="D3500" s="142"/>
      <c r="E3500" s="130"/>
      <c r="F3500" s="128"/>
      <c r="G3500" s="128"/>
      <c r="H3500" s="128"/>
      <c r="I3500" s="128"/>
      <c r="J3500" s="81"/>
      <c r="K3500" s="81"/>
      <c r="L3500" s="81"/>
      <c r="M3500" s="81"/>
      <c r="N3500" s="82"/>
    </row>
    <row r="3501">
      <c r="C3501" s="41"/>
      <c r="D3501" s="141"/>
      <c r="E3501" s="118"/>
      <c r="F3501" s="126"/>
      <c r="G3501" s="126"/>
      <c r="H3501" s="126"/>
      <c r="I3501" s="126"/>
      <c r="J3501" s="76"/>
      <c r="K3501" s="76"/>
      <c r="L3501" s="76"/>
      <c r="M3501" s="76"/>
      <c r="N3501" s="114"/>
    </row>
    <row r="3502">
      <c r="C3502" s="41"/>
      <c r="D3502" s="142"/>
      <c r="E3502" s="130"/>
      <c r="F3502" s="128"/>
      <c r="G3502" s="128"/>
      <c r="H3502" s="128"/>
      <c r="I3502" s="128"/>
      <c r="J3502" s="81"/>
      <c r="K3502" s="81"/>
      <c r="L3502" s="81"/>
      <c r="M3502" s="81"/>
      <c r="N3502" s="82"/>
    </row>
    <row r="3503">
      <c r="C3503" s="41"/>
      <c r="D3503" s="141"/>
      <c r="E3503" s="118"/>
      <c r="F3503" s="126"/>
      <c r="G3503" s="126"/>
      <c r="H3503" s="126"/>
      <c r="I3503" s="126"/>
      <c r="J3503" s="76"/>
      <c r="K3503" s="76"/>
      <c r="L3503" s="76"/>
      <c r="M3503" s="76"/>
      <c r="N3503" s="114"/>
    </row>
    <row r="3504">
      <c r="C3504" s="41"/>
      <c r="D3504" s="142"/>
      <c r="E3504" s="130"/>
      <c r="F3504" s="128"/>
      <c r="G3504" s="128"/>
      <c r="H3504" s="128"/>
      <c r="I3504" s="128"/>
      <c r="J3504" s="81"/>
      <c r="K3504" s="81"/>
      <c r="L3504" s="81"/>
      <c r="M3504" s="81"/>
      <c r="N3504" s="82"/>
    </row>
    <row r="3505">
      <c r="C3505" s="41"/>
      <c r="D3505" s="141"/>
      <c r="E3505" s="118"/>
      <c r="F3505" s="126"/>
      <c r="G3505" s="126"/>
      <c r="H3505" s="126"/>
      <c r="I3505" s="126"/>
      <c r="J3505" s="76"/>
      <c r="K3505" s="76"/>
      <c r="L3505" s="76"/>
      <c r="M3505" s="76"/>
      <c r="N3505" s="114"/>
    </row>
    <row r="3506">
      <c r="C3506" s="41"/>
      <c r="D3506" s="142"/>
      <c r="E3506" s="130"/>
      <c r="F3506" s="128"/>
      <c r="G3506" s="128"/>
      <c r="H3506" s="128"/>
      <c r="I3506" s="128"/>
      <c r="J3506" s="81"/>
      <c r="K3506" s="81"/>
      <c r="L3506" s="81"/>
      <c r="M3506" s="81"/>
      <c r="N3506" s="82"/>
    </row>
    <row r="3507">
      <c r="C3507" s="41"/>
      <c r="D3507" s="141"/>
      <c r="E3507" s="118"/>
      <c r="F3507" s="126"/>
      <c r="G3507" s="126"/>
      <c r="H3507" s="126"/>
      <c r="I3507" s="126"/>
      <c r="J3507" s="76"/>
      <c r="K3507" s="76"/>
      <c r="L3507" s="76"/>
      <c r="M3507" s="76"/>
      <c r="N3507" s="114"/>
    </row>
    <row r="3508">
      <c r="C3508" s="41"/>
      <c r="D3508" s="142"/>
      <c r="E3508" s="130"/>
      <c r="F3508" s="128"/>
      <c r="G3508" s="128"/>
      <c r="H3508" s="128"/>
      <c r="I3508" s="128"/>
      <c r="J3508" s="81"/>
      <c r="K3508" s="81"/>
      <c r="L3508" s="81"/>
      <c r="M3508" s="81"/>
      <c r="N3508" s="82"/>
    </row>
    <row r="3509">
      <c r="C3509" s="41"/>
      <c r="D3509" s="141"/>
      <c r="E3509" s="118"/>
      <c r="F3509" s="126"/>
      <c r="G3509" s="126"/>
      <c r="H3509" s="126"/>
      <c r="I3509" s="126"/>
      <c r="J3509" s="76"/>
      <c r="K3509" s="76"/>
      <c r="L3509" s="76"/>
      <c r="M3509" s="76"/>
      <c r="N3509" s="114"/>
    </row>
    <row r="3510">
      <c r="C3510" s="41"/>
      <c r="D3510" s="142"/>
      <c r="E3510" s="130"/>
      <c r="F3510" s="128"/>
      <c r="G3510" s="128"/>
      <c r="H3510" s="128"/>
      <c r="I3510" s="128"/>
      <c r="J3510" s="81"/>
      <c r="K3510" s="81"/>
      <c r="L3510" s="81"/>
      <c r="M3510" s="81"/>
      <c r="N3510" s="82"/>
    </row>
    <row r="3511">
      <c r="C3511" s="41"/>
      <c r="D3511" s="141"/>
      <c r="E3511" s="118"/>
      <c r="F3511" s="126"/>
      <c r="G3511" s="126"/>
      <c r="H3511" s="126"/>
      <c r="I3511" s="126"/>
      <c r="J3511" s="76"/>
      <c r="K3511" s="76"/>
      <c r="L3511" s="76"/>
      <c r="M3511" s="76"/>
      <c r="N3511" s="114"/>
    </row>
    <row r="3512">
      <c r="C3512" s="41"/>
      <c r="D3512" s="142"/>
      <c r="E3512" s="130"/>
      <c r="F3512" s="128"/>
      <c r="G3512" s="128"/>
      <c r="H3512" s="128"/>
      <c r="I3512" s="128"/>
      <c r="J3512" s="81"/>
      <c r="K3512" s="81"/>
      <c r="L3512" s="81"/>
      <c r="M3512" s="81"/>
      <c r="N3512" s="82"/>
    </row>
    <row r="3513">
      <c r="C3513" s="41"/>
      <c r="D3513" s="141"/>
      <c r="E3513" s="118"/>
      <c r="F3513" s="126"/>
      <c r="G3513" s="126"/>
      <c r="H3513" s="126"/>
      <c r="I3513" s="126"/>
      <c r="J3513" s="76"/>
      <c r="K3513" s="76"/>
      <c r="L3513" s="76"/>
      <c r="M3513" s="76"/>
      <c r="N3513" s="114"/>
    </row>
    <row r="3514">
      <c r="C3514" s="41"/>
      <c r="D3514" s="142"/>
      <c r="E3514" s="130"/>
      <c r="F3514" s="128"/>
      <c r="G3514" s="128"/>
      <c r="H3514" s="128"/>
      <c r="I3514" s="128"/>
      <c r="J3514" s="81"/>
      <c r="K3514" s="81"/>
      <c r="L3514" s="81"/>
      <c r="M3514" s="81"/>
      <c r="N3514" s="82"/>
    </row>
    <row r="3515">
      <c r="C3515" s="41"/>
      <c r="D3515" s="141"/>
      <c r="E3515" s="118"/>
      <c r="F3515" s="126"/>
      <c r="G3515" s="126"/>
      <c r="H3515" s="126"/>
      <c r="I3515" s="126"/>
      <c r="J3515" s="76"/>
      <c r="K3515" s="76"/>
      <c r="L3515" s="76"/>
      <c r="M3515" s="76"/>
      <c r="N3515" s="114"/>
    </row>
    <row r="3516">
      <c r="C3516" s="41"/>
      <c r="D3516" s="142"/>
      <c r="E3516" s="130"/>
      <c r="F3516" s="128"/>
      <c r="G3516" s="128"/>
      <c r="H3516" s="128"/>
      <c r="I3516" s="128"/>
      <c r="J3516" s="81"/>
      <c r="K3516" s="81"/>
      <c r="L3516" s="81"/>
      <c r="M3516" s="81"/>
      <c r="N3516" s="82"/>
    </row>
    <row r="3517">
      <c r="C3517" s="41"/>
      <c r="D3517" s="141"/>
      <c r="E3517" s="118"/>
      <c r="F3517" s="126"/>
      <c r="G3517" s="126"/>
      <c r="H3517" s="126"/>
      <c r="I3517" s="126"/>
      <c r="J3517" s="76"/>
      <c r="K3517" s="76"/>
      <c r="L3517" s="76"/>
      <c r="M3517" s="76"/>
      <c r="N3517" s="114"/>
    </row>
    <row r="3518">
      <c r="C3518" s="41"/>
      <c r="D3518" s="142"/>
      <c r="E3518" s="130"/>
      <c r="F3518" s="128"/>
      <c r="G3518" s="128"/>
      <c r="H3518" s="128"/>
      <c r="I3518" s="128"/>
      <c r="J3518" s="81"/>
      <c r="K3518" s="81"/>
      <c r="L3518" s="81"/>
      <c r="M3518" s="81"/>
      <c r="N3518" s="82"/>
    </row>
    <row r="3519">
      <c r="C3519" s="41"/>
      <c r="D3519" s="141"/>
      <c r="E3519" s="118"/>
      <c r="F3519" s="126"/>
      <c r="G3519" s="126"/>
      <c r="H3519" s="126"/>
      <c r="I3519" s="126"/>
      <c r="J3519" s="76"/>
      <c r="K3519" s="76"/>
      <c r="L3519" s="76"/>
      <c r="M3519" s="76"/>
      <c r="N3519" s="114"/>
    </row>
    <row r="3520">
      <c r="C3520" s="41"/>
      <c r="D3520" s="142"/>
      <c r="E3520" s="130"/>
      <c r="F3520" s="128"/>
      <c r="G3520" s="128"/>
      <c r="H3520" s="128"/>
      <c r="I3520" s="128"/>
      <c r="J3520" s="81"/>
      <c r="K3520" s="81"/>
      <c r="L3520" s="81"/>
      <c r="M3520" s="81"/>
      <c r="N3520" s="82"/>
    </row>
    <row r="3521">
      <c r="C3521" s="41"/>
      <c r="D3521" s="141"/>
      <c r="E3521" s="118"/>
      <c r="F3521" s="126"/>
      <c r="G3521" s="126"/>
      <c r="H3521" s="126"/>
      <c r="I3521" s="126"/>
      <c r="J3521" s="76"/>
      <c r="K3521" s="76"/>
      <c r="L3521" s="76"/>
      <c r="M3521" s="76"/>
      <c r="N3521" s="114"/>
    </row>
    <row r="3522">
      <c r="C3522" s="41"/>
      <c r="D3522" s="142"/>
      <c r="E3522" s="130"/>
      <c r="F3522" s="128"/>
      <c r="G3522" s="128"/>
      <c r="H3522" s="128"/>
      <c r="I3522" s="128"/>
      <c r="J3522" s="81"/>
      <c r="K3522" s="81"/>
      <c r="L3522" s="81"/>
      <c r="M3522" s="81"/>
      <c r="N3522" s="82"/>
    </row>
    <row r="3523">
      <c r="C3523" s="41"/>
      <c r="D3523" s="141"/>
      <c r="E3523" s="118"/>
      <c r="F3523" s="126"/>
      <c r="G3523" s="126"/>
      <c r="H3523" s="126"/>
      <c r="I3523" s="126"/>
      <c r="J3523" s="76"/>
      <c r="K3523" s="76"/>
      <c r="L3523" s="76"/>
      <c r="M3523" s="76"/>
      <c r="N3523" s="114"/>
    </row>
    <row r="3524">
      <c r="C3524" s="41"/>
      <c r="D3524" s="142"/>
      <c r="E3524" s="130"/>
      <c r="F3524" s="128"/>
      <c r="G3524" s="128"/>
      <c r="H3524" s="128"/>
      <c r="I3524" s="128"/>
      <c r="J3524" s="81"/>
      <c r="K3524" s="81"/>
      <c r="L3524" s="81"/>
      <c r="M3524" s="81"/>
      <c r="N3524" s="82"/>
    </row>
    <row r="3525">
      <c r="C3525" s="41"/>
      <c r="D3525" s="141"/>
      <c r="E3525" s="118"/>
      <c r="F3525" s="126"/>
      <c r="G3525" s="126"/>
      <c r="H3525" s="126"/>
      <c r="I3525" s="126"/>
      <c r="J3525" s="76"/>
      <c r="K3525" s="76"/>
      <c r="L3525" s="76"/>
      <c r="M3525" s="76"/>
      <c r="N3525" s="114"/>
    </row>
    <row r="3526">
      <c r="C3526" s="41"/>
      <c r="D3526" s="142"/>
      <c r="E3526" s="130"/>
      <c r="F3526" s="128"/>
      <c r="G3526" s="128"/>
      <c r="H3526" s="128"/>
      <c r="I3526" s="128"/>
      <c r="J3526" s="81"/>
      <c r="K3526" s="81"/>
      <c r="L3526" s="81"/>
      <c r="M3526" s="81"/>
      <c r="N3526" s="82"/>
    </row>
    <row r="3527">
      <c r="C3527" s="41"/>
      <c r="D3527" s="141"/>
      <c r="E3527" s="118"/>
      <c r="F3527" s="126"/>
      <c r="G3527" s="126"/>
      <c r="H3527" s="126"/>
      <c r="I3527" s="126"/>
      <c r="J3527" s="76"/>
      <c r="K3527" s="76"/>
      <c r="L3527" s="76"/>
      <c r="M3527" s="76"/>
      <c r="N3527" s="114"/>
    </row>
    <row r="3528">
      <c r="C3528" s="41"/>
      <c r="D3528" s="142"/>
      <c r="E3528" s="130"/>
      <c r="F3528" s="128"/>
      <c r="G3528" s="128"/>
      <c r="H3528" s="128"/>
      <c r="I3528" s="128"/>
      <c r="J3528" s="81"/>
      <c r="K3528" s="81"/>
      <c r="L3528" s="81"/>
      <c r="M3528" s="81"/>
      <c r="N3528" s="82"/>
    </row>
    <row r="3529">
      <c r="C3529" s="41"/>
      <c r="D3529" s="141"/>
      <c r="E3529" s="118"/>
      <c r="F3529" s="126"/>
      <c r="G3529" s="126"/>
      <c r="H3529" s="126"/>
      <c r="I3529" s="126"/>
      <c r="J3529" s="76"/>
      <c r="K3529" s="76"/>
      <c r="L3529" s="76"/>
      <c r="M3529" s="76"/>
      <c r="N3529" s="114"/>
    </row>
    <row r="3530">
      <c r="C3530" s="41"/>
      <c r="D3530" s="142"/>
      <c r="E3530" s="130"/>
      <c r="F3530" s="128"/>
      <c r="G3530" s="128"/>
      <c r="H3530" s="128"/>
      <c r="I3530" s="128"/>
      <c r="J3530" s="81"/>
      <c r="K3530" s="81"/>
      <c r="L3530" s="81"/>
      <c r="M3530" s="81"/>
      <c r="N3530" s="82"/>
    </row>
    <row r="3531">
      <c r="C3531" s="41"/>
      <c r="D3531" s="141"/>
      <c r="E3531" s="118"/>
      <c r="F3531" s="126"/>
      <c r="G3531" s="126"/>
      <c r="H3531" s="126"/>
      <c r="I3531" s="126"/>
      <c r="J3531" s="76"/>
      <c r="K3531" s="76"/>
      <c r="L3531" s="76"/>
      <c r="M3531" s="76"/>
      <c r="N3531" s="114"/>
    </row>
    <row r="3532">
      <c r="C3532" s="41"/>
      <c r="D3532" s="142"/>
      <c r="E3532" s="130"/>
      <c r="F3532" s="128"/>
      <c r="G3532" s="128"/>
      <c r="H3532" s="128"/>
      <c r="I3532" s="128"/>
      <c r="J3532" s="81"/>
      <c r="K3532" s="81"/>
      <c r="L3532" s="81"/>
      <c r="M3532" s="81"/>
      <c r="N3532" s="82"/>
    </row>
    <row r="3533">
      <c r="C3533" s="41"/>
      <c r="D3533" s="141"/>
      <c r="E3533" s="118"/>
      <c r="F3533" s="126"/>
      <c r="G3533" s="126"/>
      <c r="H3533" s="126"/>
      <c r="I3533" s="126"/>
      <c r="J3533" s="76"/>
      <c r="K3533" s="76"/>
      <c r="L3533" s="76"/>
      <c r="M3533" s="76"/>
      <c r="N3533" s="114"/>
    </row>
    <row r="3534">
      <c r="C3534" s="41"/>
      <c r="D3534" s="142"/>
      <c r="E3534" s="130"/>
      <c r="F3534" s="128"/>
      <c r="G3534" s="128"/>
      <c r="H3534" s="128"/>
      <c r="I3534" s="128"/>
      <c r="J3534" s="81"/>
      <c r="K3534" s="81"/>
      <c r="L3534" s="81"/>
      <c r="M3534" s="81"/>
      <c r="N3534" s="82"/>
    </row>
    <row r="3535">
      <c r="C3535" s="41"/>
      <c r="D3535" s="141"/>
      <c r="E3535" s="118"/>
      <c r="F3535" s="126"/>
      <c r="G3535" s="126"/>
      <c r="H3535" s="126"/>
      <c r="I3535" s="126"/>
      <c r="J3535" s="76"/>
      <c r="K3535" s="76"/>
      <c r="L3535" s="76"/>
      <c r="M3535" s="76"/>
      <c r="N3535" s="114"/>
    </row>
    <row r="3536">
      <c r="C3536" s="41"/>
      <c r="D3536" s="142"/>
      <c r="E3536" s="130"/>
      <c r="F3536" s="128"/>
      <c r="G3536" s="128"/>
      <c r="H3536" s="128"/>
      <c r="I3536" s="128"/>
      <c r="J3536" s="81"/>
      <c r="K3536" s="81"/>
      <c r="L3536" s="81"/>
      <c r="M3536" s="81"/>
      <c r="N3536" s="82"/>
    </row>
    <row r="3537">
      <c r="C3537" s="41"/>
      <c r="D3537" s="141"/>
      <c r="E3537" s="118"/>
      <c r="F3537" s="126"/>
      <c r="G3537" s="126"/>
      <c r="H3537" s="126"/>
      <c r="I3537" s="126"/>
      <c r="J3537" s="76"/>
      <c r="K3537" s="76"/>
      <c r="L3537" s="76"/>
      <c r="M3537" s="76"/>
      <c r="N3537" s="114"/>
    </row>
    <row r="3538">
      <c r="C3538" s="41"/>
      <c r="D3538" s="142"/>
      <c r="E3538" s="130"/>
      <c r="F3538" s="128"/>
      <c r="G3538" s="128"/>
      <c r="H3538" s="128"/>
      <c r="I3538" s="128"/>
      <c r="J3538" s="81"/>
      <c r="K3538" s="81"/>
      <c r="L3538" s="81"/>
      <c r="M3538" s="81"/>
      <c r="N3538" s="82"/>
    </row>
    <row r="3539">
      <c r="C3539" s="41"/>
      <c r="D3539" s="141"/>
      <c r="E3539" s="118"/>
      <c r="F3539" s="126"/>
      <c r="G3539" s="126"/>
      <c r="H3539" s="126"/>
      <c r="I3539" s="126"/>
      <c r="J3539" s="76"/>
      <c r="K3539" s="76"/>
      <c r="L3539" s="76"/>
      <c r="M3539" s="76"/>
      <c r="N3539" s="114"/>
    </row>
    <row r="3540">
      <c r="C3540" s="41"/>
      <c r="D3540" s="142"/>
      <c r="E3540" s="130"/>
      <c r="F3540" s="128"/>
      <c r="G3540" s="128"/>
      <c r="H3540" s="128"/>
      <c r="I3540" s="128"/>
      <c r="J3540" s="81"/>
      <c r="K3540" s="81"/>
      <c r="L3540" s="81"/>
      <c r="M3540" s="81"/>
      <c r="N3540" s="82"/>
    </row>
    <row r="3541">
      <c r="C3541" s="41"/>
      <c r="D3541" s="141"/>
      <c r="E3541" s="118"/>
      <c r="F3541" s="126"/>
      <c r="G3541" s="126"/>
      <c r="H3541" s="126"/>
      <c r="I3541" s="126"/>
      <c r="J3541" s="76"/>
      <c r="K3541" s="76"/>
      <c r="L3541" s="76"/>
      <c r="M3541" s="76"/>
      <c r="N3541" s="114"/>
    </row>
    <row r="3542">
      <c r="C3542" s="41"/>
      <c r="D3542" s="142"/>
      <c r="E3542" s="130"/>
      <c r="F3542" s="128"/>
      <c r="G3542" s="128"/>
      <c r="H3542" s="128"/>
      <c r="I3542" s="128"/>
      <c r="J3542" s="81"/>
      <c r="K3542" s="81"/>
      <c r="L3542" s="81"/>
      <c r="M3542" s="81"/>
      <c r="N3542" s="82"/>
    </row>
    <row r="3543">
      <c r="C3543" s="41"/>
      <c r="D3543" s="141"/>
      <c r="E3543" s="118"/>
      <c r="F3543" s="126"/>
      <c r="G3543" s="126"/>
      <c r="H3543" s="126"/>
      <c r="I3543" s="126"/>
      <c r="J3543" s="76"/>
      <c r="K3543" s="76"/>
      <c r="L3543" s="76"/>
      <c r="M3543" s="76"/>
      <c r="N3543" s="114"/>
    </row>
    <row r="3544">
      <c r="C3544" s="41"/>
      <c r="D3544" s="142"/>
      <c r="E3544" s="130"/>
      <c r="F3544" s="128"/>
      <c r="G3544" s="128"/>
      <c r="H3544" s="128"/>
      <c r="I3544" s="128"/>
      <c r="J3544" s="81"/>
      <c r="K3544" s="81"/>
      <c r="L3544" s="81"/>
      <c r="M3544" s="81"/>
      <c r="N3544" s="82"/>
    </row>
    <row r="3545">
      <c r="C3545" s="41"/>
      <c r="D3545" s="141"/>
      <c r="E3545" s="118"/>
      <c r="F3545" s="126"/>
      <c r="G3545" s="126"/>
      <c r="H3545" s="126"/>
      <c r="I3545" s="126"/>
      <c r="J3545" s="76"/>
      <c r="K3545" s="76"/>
      <c r="L3545" s="76"/>
      <c r="M3545" s="76"/>
      <c r="N3545" s="114"/>
    </row>
    <row r="3546">
      <c r="C3546" s="41"/>
      <c r="D3546" s="142"/>
      <c r="E3546" s="130"/>
      <c r="F3546" s="128"/>
      <c r="G3546" s="128"/>
      <c r="H3546" s="128"/>
      <c r="I3546" s="128"/>
      <c r="J3546" s="81"/>
      <c r="K3546" s="81"/>
      <c r="L3546" s="81"/>
      <c r="M3546" s="81"/>
      <c r="N3546" s="82"/>
    </row>
    <row r="3547">
      <c r="C3547" s="41"/>
      <c r="D3547" s="141"/>
      <c r="E3547" s="118"/>
      <c r="F3547" s="126"/>
      <c r="G3547" s="126"/>
      <c r="H3547" s="126"/>
      <c r="I3547" s="126"/>
      <c r="J3547" s="76"/>
      <c r="K3547" s="76"/>
      <c r="L3547" s="76"/>
      <c r="M3547" s="76"/>
      <c r="N3547" s="114"/>
    </row>
    <row r="3548">
      <c r="C3548" s="41"/>
      <c r="D3548" s="142"/>
      <c r="E3548" s="130"/>
      <c r="F3548" s="128"/>
      <c r="G3548" s="128"/>
      <c r="H3548" s="128"/>
      <c r="I3548" s="128"/>
      <c r="J3548" s="81"/>
      <c r="K3548" s="81"/>
      <c r="L3548" s="81"/>
      <c r="M3548" s="81"/>
      <c r="N3548" s="82"/>
    </row>
    <row r="3549">
      <c r="C3549" s="41"/>
      <c r="D3549" s="141"/>
      <c r="E3549" s="118"/>
      <c r="F3549" s="126"/>
      <c r="G3549" s="126"/>
      <c r="H3549" s="126"/>
      <c r="I3549" s="126"/>
      <c r="J3549" s="76"/>
      <c r="K3549" s="76"/>
      <c r="L3549" s="76"/>
      <c r="M3549" s="76"/>
      <c r="N3549" s="114"/>
    </row>
    <row r="3550">
      <c r="C3550" s="41"/>
      <c r="D3550" s="142"/>
      <c r="E3550" s="130"/>
      <c r="F3550" s="128"/>
      <c r="G3550" s="128"/>
      <c r="H3550" s="128"/>
      <c r="I3550" s="128"/>
      <c r="J3550" s="81"/>
      <c r="K3550" s="81"/>
      <c r="L3550" s="81"/>
      <c r="M3550" s="81"/>
      <c r="N3550" s="82"/>
    </row>
    <row r="3551">
      <c r="C3551" s="41"/>
      <c r="D3551" s="141"/>
      <c r="E3551" s="118"/>
      <c r="F3551" s="126"/>
      <c r="G3551" s="126"/>
      <c r="H3551" s="126"/>
      <c r="I3551" s="126"/>
      <c r="J3551" s="76"/>
      <c r="K3551" s="76"/>
      <c r="L3551" s="76"/>
      <c r="M3551" s="76"/>
      <c r="N3551" s="114"/>
    </row>
    <row r="3552">
      <c r="C3552" s="41"/>
      <c r="D3552" s="142"/>
      <c r="E3552" s="130"/>
      <c r="F3552" s="128"/>
      <c r="G3552" s="128"/>
      <c r="H3552" s="128"/>
      <c r="I3552" s="128"/>
      <c r="J3552" s="81"/>
      <c r="K3552" s="81"/>
      <c r="L3552" s="81"/>
      <c r="M3552" s="81"/>
      <c r="N3552" s="82"/>
    </row>
    <row r="3553">
      <c r="C3553" s="41"/>
      <c r="D3553" s="141"/>
      <c r="E3553" s="118"/>
      <c r="F3553" s="126"/>
      <c r="G3553" s="126"/>
      <c r="H3553" s="126"/>
      <c r="I3553" s="126"/>
      <c r="J3553" s="76"/>
      <c r="K3553" s="76"/>
      <c r="L3553" s="76"/>
      <c r="M3553" s="76"/>
      <c r="N3553" s="114"/>
    </row>
    <row r="3554">
      <c r="C3554" s="41"/>
      <c r="D3554" s="142"/>
      <c r="E3554" s="130"/>
      <c r="F3554" s="128"/>
      <c r="G3554" s="128"/>
      <c r="H3554" s="128"/>
      <c r="I3554" s="128"/>
      <c r="J3554" s="81"/>
      <c r="K3554" s="81"/>
      <c r="L3554" s="81"/>
      <c r="M3554" s="81"/>
      <c r="N3554" s="82"/>
    </row>
    <row r="3555">
      <c r="C3555" s="41"/>
      <c r="D3555" s="141"/>
      <c r="E3555" s="118"/>
      <c r="F3555" s="126"/>
      <c r="G3555" s="126"/>
      <c r="H3555" s="126"/>
      <c r="I3555" s="126"/>
      <c r="J3555" s="76"/>
      <c r="K3555" s="76"/>
      <c r="L3555" s="76"/>
      <c r="M3555" s="76"/>
      <c r="N3555" s="114"/>
    </row>
    <row r="3556">
      <c r="C3556" s="41"/>
      <c r="D3556" s="142"/>
      <c r="E3556" s="130"/>
      <c r="F3556" s="128"/>
      <c r="G3556" s="128"/>
      <c r="H3556" s="128"/>
      <c r="I3556" s="128"/>
      <c r="J3556" s="81"/>
      <c r="K3556" s="81"/>
      <c r="L3556" s="81"/>
      <c r="M3556" s="81"/>
      <c r="N3556" s="82"/>
    </row>
    <row r="3557">
      <c r="C3557" s="41"/>
      <c r="D3557" s="141"/>
      <c r="E3557" s="118"/>
      <c r="F3557" s="126"/>
      <c r="G3557" s="126"/>
      <c r="H3557" s="126"/>
      <c r="I3557" s="126"/>
      <c r="J3557" s="76"/>
      <c r="K3557" s="76"/>
      <c r="L3557" s="76"/>
      <c r="M3557" s="76"/>
      <c r="N3557" s="114"/>
    </row>
    <row r="3558">
      <c r="C3558" s="41"/>
      <c r="D3558" s="142"/>
      <c r="E3558" s="130"/>
      <c r="F3558" s="128"/>
      <c r="G3558" s="128"/>
      <c r="H3558" s="128"/>
      <c r="I3558" s="128"/>
      <c r="J3558" s="81"/>
      <c r="K3558" s="81"/>
      <c r="L3558" s="81"/>
      <c r="M3558" s="81"/>
      <c r="N3558" s="82"/>
    </row>
    <row r="3559">
      <c r="C3559" s="41"/>
      <c r="D3559" s="141"/>
      <c r="E3559" s="118"/>
      <c r="F3559" s="126"/>
      <c r="G3559" s="126"/>
      <c r="H3559" s="126"/>
      <c r="I3559" s="126"/>
      <c r="J3559" s="76"/>
      <c r="K3559" s="76"/>
      <c r="L3559" s="76"/>
      <c r="M3559" s="76"/>
      <c r="N3559" s="114"/>
    </row>
    <row r="3560">
      <c r="C3560" s="41"/>
      <c r="D3560" s="142"/>
      <c r="E3560" s="130"/>
      <c r="F3560" s="128"/>
      <c r="G3560" s="128"/>
      <c r="H3560" s="128"/>
      <c r="I3560" s="128"/>
      <c r="J3560" s="81"/>
      <c r="K3560" s="81"/>
      <c r="L3560" s="81"/>
      <c r="M3560" s="81"/>
      <c r="N3560" s="82"/>
    </row>
    <row r="3561">
      <c r="C3561" s="41"/>
      <c r="D3561" s="141"/>
      <c r="E3561" s="118"/>
      <c r="F3561" s="126"/>
      <c r="G3561" s="126"/>
      <c r="H3561" s="126"/>
      <c r="I3561" s="126"/>
      <c r="J3561" s="76"/>
      <c r="K3561" s="76"/>
      <c r="L3561" s="76"/>
      <c r="M3561" s="76"/>
      <c r="N3561" s="114"/>
    </row>
    <row r="3562">
      <c r="C3562" s="41"/>
      <c r="D3562" s="142"/>
      <c r="E3562" s="130"/>
      <c r="F3562" s="128"/>
      <c r="G3562" s="128"/>
      <c r="H3562" s="128"/>
      <c r="I3562" s="128"/>
      <c r="J3562" s="81"/>
      <c r="K3562" s="81"/>
      <c r="L3562" s="81"/>
      <c r="M3562" s="81"/>
      <c r="N3562" s="82"/>
    </row>
    <row r="3563">
      <c r="C3563" s="41"/>
      <c r="D3563" s="141"/>
      <c r="E3563" s="118"/>
      <c r="F3563" s="126"/>
      <c r="G3563" s="126"/>
      <c r="H3563" s="126"/>
      <c r="I3563" s="126"/>
      <c r="J3563" s="76"/>
      <c r="K3563" s="76"/>
      <c r="L3563" s="76"/>
      <c r="M3563" s="76"/>
      <c r="N3563" s="114"/>
    </row>
    <row r="3564">
      <c r="C3564" s="41"/>
      <c r="D3564" s="142"/>
      <c r="E3564" s="130"/>
      <c r="F3564" s="128"/>
      <c r="G3564" s="128"/>
      <c r="H3564" s="128"/>
      <c r="I3564" s="128"/>
      <c r="J3564" s="81"/>
      <c r="K3564" s="81"/>
      <c r="L3564" s="81"/>
      <c r="M3564" s="81"/>
      <c r="N3564" s="82"/>
    </row>
    <row r="3565">
      <c r="C3565" s="41"/>
      <c r="D3565" s="141"/>
      <c r="E3565" s="118"/>
      <c r="F3565" s="126"/>
      <c r="G3565" s="126"/>
      <c r="H3565" s="126"/>
      <c r="I3565" s="126"/>
      <c r="J3565" s="76"/>
      <c r="K3565" s="76"/>
      <c r="L3565" s="76"/>
      <c r="M3565" s="76"/>
      <c r="N3565" s="114"/>
    </row>
    <row r="3566">
      <c r="C3566" s="41"/>
      <c r="D3566" s="142"/>
      <c r="E3566" s="130"/>
      <c r="F3566" s="128"/>
      <c r="G3566" s="128"/>
      <c r="H3566" s="128"/>
      <c r="I3566" s="128"/>
      <c r="J3566" s="81"/>
      <c r="K3566" s="81"/>
      <c r="L3566" s="81"/>
      <c r="M3566" s="81"/>
      <c r="N3566" s="82"/>
    </row>
    <row r="3567">
      <c r="C3567" s="41"/>
      <c r="D3567" s="141"/>
      <c r="E3567" s="118"/>
      <c r="F3567" s="126"/>
      <c r="G3567" s="126"/>
      <c r="H3567" s="126"/>
      <c r="I3567" s="126"/>
      <c r="J3567" s="76"/>
      <c r="K3567" s="76"/>
      <c r="L3567" s="76"/>
      <c r="M3567" s="76"/>
      <c r="N3567" s="114"/>
    </row>
    <row r="3568">
      <c r="C3568" s="41"/>
      <c r="D3568" s="142"/>
      <c r="E3568" s="130"/>
      <c r="F3568" s="128"/>
      <c r="G3568" s="128"/>
      <c r="H3568" s="128"/>
      <c r="I3568" s="128"/>
      <c r="J3568" s="81"/>
      <c r="K3568" s="81"/>
      <c r="L3568" s="81"/>
      <c r="M3568" s="81"/>
      <c r="N3568" s="82"/>
    </row>
    <row r="3569">
      <c r="C3569" s="41"/>
      <c r="D3569" s="141"/>
      <c r="E3569" s="118"/>
      <c r="F3569" s="126"/>
      <c r="G3569" s="126"/>
      <c r="H3569" s="126"/>
      <c r="I3569" s="126"/>
      <c r="J3569" s="76"/>
      <c r="K3569" s="76"/>
      <c r="L3569" s="76"/>
      <c r="M3569" s="76"/>
      <c r="N3569" s="114"/>
    </row>
    <row r="3570">
      <c r="C3570" s="41"/>
      <c r="D3570" s="142"/>
      <c r="E3570" s="130"/>
      <c r="F3570" s="128"/>
      <c r="G3570" s="128"/>
      <c r="H3570" s="128"/>
      <c r="I3570" s="128"/>
      <c r="J3570" s="81"/>
      <c r="K3570" s="81"/>
      <c r="L3570" s="81"/>
      <c r="M3570" s="81"/>
      <c r="N3570" s="82"/>
    </row>
    <row r="3571">
      <c r="C3571" s="41"/>
      <c r="D3571" s="141"/>
      <c r="E3571" s="118"/>
      <c r="F3571" s="126"/>
      <c r="G3571" s="126"/>
      <c r="H3571" s="126"/>
      <c r="I3571" s="126"/>
      <c r="J3571" s="76"/>
      <c r="K3571" s="76"/>
      <c r="L3571" s="76"/>
      <c r="M3571" s="76"/>
      <c r="N3571" s="114"/>
    </row>
    <row r="3572">
      <c r="C3572" s="41"/>
      <c r="D3572" s="142"/>
      <c r="E3572" s="130"/>
      <c r="F3572" s="128"/>
      <c r="G3572" s="128"/>
      <c r="H3572" s="128"/>
      <c r="I3572" s="128"/>
      <c r="J3572" s="81"/>
      <c r="K3572" s="81"/>
      <c r="L3572" s="81"/>
      <c r="M3572" s="81"/>
      <c r="N3572" s="82"/>
    </row>
    <row r="3573">
      <c r="C3573" s="41"/>
      <c r="D3573" s="141"/>
      <c r="E3573" s="118"/>
      <c r="F3573" s="126"/>
      <c r="G3573" s="126"/>
      <c r="H3573" s="126"/>
      <c r="I3573" s="126"/>
      <c r="J3573" s="76"/>
      <c r="K3573" s="76"/>
      <c r="L3573" s="76"/>
      <c r="M3573" s="76"/>
      <c r="N3573" s="114"/>
    </row>
    <row r="3574">
      <c r="C3574" s="41"/>
      <c r="D3574" s="142"/>
      <c r="E3574" s="130"/>
      <c r="F3574" s="128"/>
      <c r="G3574" s="128"/>
      <c r="H3574" s="128"/>
      <c r="I3574" s="128"/>
      <c r="J3574" s="81"/>
      <c r="K3574" s="81"/>
      <c r="L3574" s="81"/>
      <c r="M3574" s="81"/>
      <c r="N3574" s="82"/>
    </row>
    <row r="3575">
      <c r="C3575" s="41"/>
      <c r="D3575" s="141"/>
      <c r="E3575" s="118"/>
      <c r="F3575" s="126"/>
      <c r="G3575" s="126"/>
      <c r="H3575" s="126"/>
      <c r="I3575" s="126"/>
      <c r="J3575" s="76"/>
      <c r="K3575" s="76"/>
      <c r="L3575" s="76"/>
      <c r="M3575" s="76"/>
      <c r="N3575" s="114"/>
    </row>
    <row r="3576">
      <c r="C3576" s="41"/>
      <c r="D3576" s="142"/>
      <c r="E3576" s="130"/>
      <c r="F3576" s="128"/>
      <c r="G3576" s="128"/>
      <c r="H3576" s="128"/>
      <c r="I3576" s="128"/>
      <c r="J3576" s="81"/>
      <c r="K3576" s="81"/>
      <c r="L3576" s="81"/>
      <c r="M3576" s="81"/>
      <c r="N3576" s="82"/>
    </row>
    <row r="3577">
      <c r="C3577" s="41"/>
      <c r="D3577" s="141"/>
      <c r="E3577" s="118"/>
      <c r="F3577" s="126"/>
      <c r="G3577" s="126"/>
      <c r="H3577" s="126"/>
      <c r="I3577" s="126"/>
      <c r="J3577" s="76"/>
      <c r="K3577" s="76"/>
      <c r="L3577" s="76"/>
      <c r="M3577" s="76"/>
      <c r="N3577" s="114"/>
    </row>
    <row r="3578">
      <c r="C3578" s="41"/>
      <c r="D3578" s="142"/>
      <c r="E3578" s="130"/>
      <c r="F3578" s="128"/>
      <c r="G3578" s="128"/>
      <c r="H3578" s="128"/>
      <c r="I3578" s="128"/>
      <c r="J3578" s="81"/>
      <c r="K3578" s="81"/>
      <c r="L3578" s="81"/>
      <c r="M3578" s="81"/>
      <c r="N3578" s="82"/>
    </row>
    <row r="3579">
      <c r="C3579" s="41"/>
      <c r="D3579" s="141"/>
      <c r="E3579" s="118"/>
      <c r="F3579" s="126"/>
      <c r="G3579" s="126"/>
      <c r="H3579" s="126"/>
      <c r="I3579" s="126"/>
      <c r="J3579" s="76"/>
      <c r="K3579" s="76"/>
      <c r="L3579" s="76"/>
      <c r="M3579" s="76"/>
      <c r="N3579" s="114"/>
    </row>
    <row r="3580">
      <c r="C3580" s="41"/>
      <c r="D3580" s="142"/>
      <c r="E3580" s="130"/>
      <c r="F3580" s="128"/>
      <c r="G3580" s="128"/>
      <c r="H3580" s="128"/>
      <c r="I3580" s="128"/>
      <c r="J3580" s="81"/>
      <c r="K3580" s="81"/>
      <c r="L3580" s="81"/>
      <c r="M3580" s="81"/>
      <c r="N3580" s="82"/>
    </row>
    <row r="3581">
      <c r="C3581" s="41"/>
      <c r="D3581" s="141"/>
      <c r="E3581" s="118"/>
      <c r="F3581" s="126"/>
      <c r="G3581" s="126"/>
      <c r="H3581" s="126"/>
      <c r="I3581" s="126"/>
      <c r="J3581" s="76"/>
      <c r="K3581" s="76"/>
      <c r="L3581" s="76"/>
      <c r="M3581" s="76"/>
      <c r="N3581" s="114"/>
    </row>
    <row r="3582">
      <c r="C3582" s="41"/>
      <c r="D3582" s="142"/>
      <c r="E3582" s="130"/>
      <c r="F3582" s="128"/>
      <c r="G3582" s="128"/>
      <c r="H3582" s="128"/>
      <c r="I3582" s="128"/>
      <c r="J3582" s="81"/>
      <c r="K3582" s="81"/>
      <c r="L3582" s="81"/>
      <c r="M3582" s="81"/>
      <c r="N3582" s="82"/>
    </row>
    <row r="3583">
      <c r="C3583" s="41"/>
      <c r="D3583" s="141"/>
      <c r="E3583" s="118"/>
      <c r="F3583" s="126"/>
      <c r="G3583" s="126"/>
      <c r="H3583" s="126"/>
      <c r="I3583" s="126"/>
      <c r="J3583" s="76"/>
      <c r="K3583" s="76"/>
      <c r="L3583" s="76"/>
      <c r="M3583" s="76"/>
      <c r="N3583" s="114"/>
    </row>
    <row r="3584">
      <c r="C3584" s="41"/>
      <c r="D3584" s="142"/>
      <c r="E3584" s="130"/>
      <c r="F3584" s="128"/>
      <c r="G3584" s="128"/>
      <c r="H3584" s="128"/>
      <c r="I3584" s="128"/>
      <c r="J3584" s="81"/>
      <c r="K3584" s="81"/>
      <c r="L3584" s="81"/>
      <c r="M3584" s="81"/>
      <c r="N3584" s="82"/>
    </row>
    <row r="3585">
      <c r="C3585" s="41"/>
      <c r="D3585" s="141"/>
      <c r="E3585" s="118"/>
      <c r="F3585" s="126"/>
      <c r="G3585" s="126"/>
      <c r="H3585" s="126"/>
      <c r="I3585" s="126"/>
      <c r="J3585" s="76"/>
      <c r="K3585" s="76"/>
      <c r="L3585" s="76"/>
      <c r="M3585" s="76"/>
      <c r="N3585" s="114"/>
    </row>
    <row r="3586">
      <c r="C3586" s="41"/>
      <c r="D3586" s="142"/>
      <c r="E3586" s="130"/>
      <c r="F3586" s="128"/>
      <c r="G3586" s="128"/>
      <c r="H3586" s="128"/>
      <c r="I3586" s="128"/>
      <c r="J3586" s="81"/>
      <c r="K3586" s="81"/>
      <c r="L3586" s="81"/>
      <c r="M3586" s="81"/>
      <c r="N3586" s="82"/>
    </row>
    <row r="3587">
      <c r="C3587" s="41"/>
      <c r="D3587" s="141"/>
      <c r="E3587" s="118"/>
      <c r="F3587" s="126"/>
      <c r="G3587" s="126"/>
      <c r="H3587" s="126"/>
      <c r="I3587" s="126"/>
      <c r="J3587" s="76"/>
      <c r="K3587" s="76"/>
      <c r="L3587" s="76"/>
      <c r="M3587" s="76"/>
      <c r="N3587" s="114"/>
    </row>
    <row r="3588">
      <c r="C3588" s="41"/>
      <c r="D3588" s="142"/>
      <c r="E3588" s="130"/>
      <c r="F3588" s="128"/>
      <c r="G3588" s="128"/>
      <c r="H3588" s="128"/>
      <c r="I3588" s="128"/>
      <c r="J3588" s="81"/>
      <c r="K3588" s="81"/>
      <c r="L3588" s="81"/>
      <c r="M3588" s="81"/>
      <c r="N3588" s="82"/>
    </row>
    <row r="3589">
      <c r="C3589" s="41"/>
      <c r="D3589" s="141"/>
      <c r="E3589" s="118"/>
      <c r="F3589" s="126"/>
      <c r="G3589" s="126"/>
      <c r="H3589" s="126"/>
      <c r="I3589" s="126"/>
      <c r="J3589" s="76"/>
      <c r="K3589" s="76"/>
      <c r="L3589" s="76"/>
      <c r="M3589" s="76"/>
      <c r="N3589" s="114"/>
    </row>
    <row r="3590">
      <c r="C3590" s="41"/>
      <c r="D3590" s="142"/>
      <c r="E3590" s="130"/>
      <c r="F3590" s="128"/>
      <c r="G3590" s="128"/>
      <c r="H3590" s="128"/>
      <c r="I3590" s="128"/>
      <c r="J3590" s="81"/>
      <c r="K3590" s="81"/>
      <c r="L3590" s="81"/>
      <c r="M3590" s="81"/>
      <c r="N3590" s="82"/>
    </row>
    <row r="3591">
      <c r="C3591" s="41"/>
      <c r="D3591" s="141"/>
      <c r="E3591" s="118"/>
      <c r="F3591" s="126"/>
      <c r="G3591" s="126"/>
      <c r="H3591" s="126"/>
      <c r="I3591" s="126"/>
      <c r="J3591" s="76"/>
      <c r="K3591" s="76"/>
      <c r="L3591" s="76"/>
      <c r="M3591" s="76"/>
      <c r="N3591" s="114"/>
    </row>
    <row r="3592">
      <c r="C3592" s="41"/>
      <c r="D3592" s="142"/>
      <c r="E3592" s="130"/>
      <c r="F3592" s="128"/>
      <c r="G3592" s="128"/>
      <c r="H3592" s="128"/>
      <c r="I3592" s="128"/>
      <c r="J3592" s="81"/>
      <c r="K3592" s="81"/>
      <c r="L3592" s="81"/>
      <c r="M3592" s="81"/>
      <c r="N3592" s="82"/>
    </row>
    <row r="3593">
      <c r="C3593" s="41"/>
      <c r="D3593" s="141"/>
      <c r="E3593" s="118"/>
      <c r="F3593" s="126"/>
      <c r="G3593" s="126"/>
      <c r="H3593" s="126"/>
      <c r="I3593" s="126"/>
      <c r="J3593" s="76"/>
      <c r="K3593" s="76"/>
      <c r="L3593" s="76"/>
      <c r="M3593" s="76"/>
      <c r="N3593" s="114"/>
    </row>
    <row r="3594">
      <c r="C3594" s="41"/>
      <c r="D3594" s="142"/>
      <c r="E3594" s="130"/>
      <c r="F3594" s="128"/>
      <c r="G3594" s="128"/>
      <c r="H3594" s="128"/>
      <c r="I3594" s="128"/>
      <c r="J3594" s="81"/>
      <c r="K3594" s="81"/>
      <c r="L3594" s="81"/>
      <c r="M3594" s="81"/>
      <c r="N3594" s="82"/>
    </row>
    <row r="3595">
      <c r="C3595" s="41"/>
      <c r="D3595" s="141"/>
      <c r="E3595" s="118"/>
      <c r="F3595" s="126"/>
      <c r="G3595" s="126"/>
      <c r="H3595" s="126"/>
      <c r="I3595" s="126"/>
      <c r="J3595" s="76"/>
      <c r="K3595" s="76"/>
      <c r="L3595" s="76"/>
      <c r="M3595" s="76"/>
      <c r="N3595" s="114"/>
    </row>
    <row r="3596">
      <c r="C3596" s="41"/>
      <c r="D3596" s="142"/>
      <c r="E3596" s="130"/>
      <c r="F3596" s="128"/>
      <c r="G3596" s="128"/>
      <c r="H3596" s="128"/>
      <c r="I3596" s="128"/>
      <c r="J3596" s="81"/>
      <c r="K3596" s="81"/>
      <c r="L3596" s="81"/>
      <c r="M3596" s="81"/>
      <c r="N3596" s="82"/>
    </row>
    <row r="3597">
      <c r="C3597" s="41"/>
      <c r="D3597" s="141"/>
      <c r="E3597" s="118"/>
      <c r="F3597" s="126"/>
      <c r="G3597" s="126"/>
      <c r="H3597" s="126"/>
      <c r="I3597" s="126"/>
      <c r="J3597" s="76"/>
      <c r="K3597" s="76"/>
      <c r="L3597" s="76"/>
      <c r="M3597" s="76"/>
      <c r="N3597" s="114"/>
    </row>
    <row r="3598">
      <c r="C3598" s="41"/>
      <c r="D3598" s="142"/>
      <c r="E3598" s="130"/>
      <c r="F3598" s="128"/>
      <c r="G3598" s="128"/>
      <c r="H3598" s="128"/>
      <c r="I3598" s="128"/>
      <c r="J3598" s="81"/>
      <c r="K3598" s="81"/>
      <c r="L3598" s="81"/>
      <c r="M3598" s="81"/>
      <c r="N3598" s="82"/>
    </row>
    <row r="3599">
      <c r="C3599" s="41"/>
      <c r="D3599" s="141"/>
      <c r="E3599" s="118"/>
      <c r="F3599" s="126"/>
      <c r="G3599" s="126"/>
      <c r="H3599" s="126"/>
      <c r="I3599" s="126"/>
      <c r="J3599" s="76"/>
      <c r="K3599" s="76"/>
      <c r="L3599" s="76"/>
      <c r="M3599" s="76"/>
      <c r="N3599" s="114"/>
    </row>
    <row r="3600">
      <c r="C3600" s="41"/>
      <c r="D3600" s="142"/>
      <c r="E3600" s="130"/>
      <c r="F3600" s="128"/>
      <c r="G3600" s="128"/>
      <c r="H3600" s="128"/>
      <c r="I3600" s="128"/>
      <c r="J3600" s="81"/>
      <c r="K3600" s="81"/>
      <c r="L3600" s="81"/>
      <c r="M3600" s="81"/>
      <c r="N3600" s="82"/>
    </row>
    <row r="3601">
      <c r="C3601" s="41"/>
      <c r="D3601" s="141"/>
      <c r="E3601" s="118"/>
      <c r="F3601" s="126"/>
      <c r="G3601" s="126"/>
      <c r="H3601" s="126"/>
      <c r="I3601" s="126"/>
      <c r="J3601" s="76"/>
      <c r="K3601" s="76"/>
      <c r="L3601" s="76"/>
      <c r="M3601" s="76"/>
      <c r="N3601" s="114"/>
    </row>
    <row r="3602">
      <c r="C3602" s="41"/>
      <c r="D3602" s="142"/>
      <c r="E3602" s="130"/>
      <c r="F3602" s="128"/>
      <c r="G3602" s="128"/>
      <c r="H3602" s="128"/>
      <c r="I3602" s="128"/>
      <c r="J3602" s="81"/>
      <c r="K3602" s="81"/>
      <c r="L3602" s="81"/>
      <c r="M3602" s="81"/>
      <c r="N3602" s="82"/>
    </row>
    <row r="3603">
      <c r="C3603" s="41"/>
      <c r="D3603" s="141"/>
      <c r="E3603" s="118"/>
      <c r="F3603" s="126"/>
      <c r="G3603" s="126"/>
      <c r="H3603" s="126"/>
      <c r="I3603" s="126"/>
      <c r="J3603" s="76"/>
      <c r="K3603" s="76"/>
      <c r="L3603" s="76"/>
      <c r="M3603" s="76"/>
      <c r="N3603" s="114"/>
    </row>
    <row r="3604">
      <c r="C3604" s="41"/>
      <c r="D3604" s="142"/>
      <c r="E3604" s="130"/>
      <c r="F3604" s="128"/>
      <c r="G3604" s="128"/>
      <c r="H3604" s="128"/>
      <c r="I3604" s="128"/>
      <c r="J3604" s="81"/>
      <c r="K3604" s="81"/>
      <c r="L3604" s="81"/>
      <c r="M3604" s="81"/>
      <c r="N3604" s="82"/>
    </row>
    <row r="3605">
      <c r="C3605" s="41"/>
      <c r="D3605" s="141"/>
      <c r="E3605" s="118"/>
      <c r="F3605" s="126"/>
      <c r="G3605" s="126"/>
      <c r="H3605" s="126"/>
      <c r="I3605" s="126"/>
      <c r="J3605" s="76"/>
      <c r="K3605" s="76"/>
      <c r="L3605" s="76"/>
      <c r="M3605" s="76"/>
      <c r="N3605" s="114"/>
    </row>
    <row r="3606">
      <c r="C3606" s="41"/>
      <c r="D3606" s="142"/>
      <c r="E3606" s="130"/>
      <c r="F3606" s="128"/>
      <c r="G3606" s="128"/>
      <c r="H3606" s="128"/>
      <c r="I3606" s="128"/>
      <c r="J3606" s="81"/>
      <c r="K3606" s="81"/>
      <c r="L3606" s="81"/>
      <c r="M3606" s="81"/>
      <c r="N3606" s="82"/>
    </row>
    <row r="3607">
      <c r="C3607" s="41"/>
      <c r="D3607" s="141"/>
      <c r="E3607" s="118"/>
      <c r="F3607" s="126"/>
      <c r="G3607" s="126"/>
      <c r="H3607" s="126"/>
      <c r="I3607" s="126"/>
      <c r="J3607" s="76"/>
      <c r="K3607" s="76"/>
      <c r="L3607" s="76"/>
      <c r="M3607" s="76"/>
      <c r="N3607" s="114"/>
    </row>
    <row r="3608">
      <c r="C3608" s="41"/>
      <c r="D3608" s="142"/>
      <c r="E3608" s="130"/>
      <c r="F3608" s="128"/>
      <c r="G3608" s="128"/>
      <c r="H3608" s="128"/>
      <c r="I3608" s="128"/>
      <c r="J3608" s="81"/>
      <c r="K3608" s="81"/>
      <c r="L3608" s="81"/>
      <c r="M3608" s="81"/>
      <c r="N3608" s="82"/>
    </row>
    <row r="3609">
      <c r="C3609" s="41"/>
      <c r="D3609" s="141"/>
      <c r="E3609" s="118"/>
      <c r="F3609" s="126"/>
      <c r="G3609" s="126"/>
      <c r="H3609" s="126"/>
      <c r="I3609" s="126"/>
      <c r="J3609" s="76"/>
      <c r="K3609" s="76"/>
      <c r="L3609" s="76"/>
      <c r="M3609" s="76"/>
      <c r="N3609" s="114"/>
    </row>
    <row r="3610">
      <c r="C3610" s="41"/>
      <c r="D3610" s="142"/>
      <c r="E3610" s="130"/>
      <c r="F3610" s="128"/>
      <c r="G3610" s="128"/>
      <c r="H3610" s="128"/>
      <c r="I3610" s="128"/>
      <c r="J3610" s="81"/>
      <c r="K3610" s="81"/>
      <c r="L3610" s="81"/>
      <c r="M3610" s="81"/>
      <c r="N3610" s="82"/>
    </row>
    <row r="3611">
      <c r="C3611" s="41"/>
      <c r="D3611" s="141"/>
      <c r="E3611" s="118"/>
      <c r="F3611" s="126"/>
      <c r="G3611" s="126"/>
      <c r="H3611" s="126"/>
      <c r="I3611" s="126"/>
      <c r="J3611" s="76"/>
      <c r="K3611" s="76"/>
      <c r="L3611" s="76"/>
      <c r="M3611" s="76"/>
      <c r="N3611" s="114"/>
    </row>
    <row r="3612">
      <c r="C3612" s="41"/>
      <c r="D3612" s="142"/>
      <c r="E3612" s="130"/>
      <c r="F3612" s="128"/>
      <c r="G3612" s="128"/>
      <c r="H3612" s="128"/>
      <c r="I3612" s="128"/>
      <c r="J3612" s="81"/>
      <c r="K3612" s="81"/>
      <c r="L3612" s="81"/>
      <c r="M3612" s="81"/>
      <c r="N3612" s="82"/>
    </row>
    <row r="3613">
      <c r="C3613" s="41"/>
      <c r="D3613" s="141"/>
      <c r="E3613" s="118"/>
      <c r="F3613" s="126"/>
      <c r="G3613" s="126"/>
      <c r="H3613" s="126"/>
      <c r="I3613" s="126"/>
      <c r="J3613" s="76"/>
      <c r="K3613" s="76"/>
      <c r="L3613" s="76"/>
      <c r="M3613" s="76"/>
      <c r="N3613" s="114"/>
    </row>
    <row r="3614">
      <c r="C3614" s="41"/>
      <c r="D3614" s="142"/>
      <c r="E3614" s="130"/>
      <c r="F3614" s="128"/>
      <c r="G3614" s="128"/>
      <c r="H3614" s="128"/>
      <c r="I3614" s="128"/>
      <c r="J3614" s="81"/>
      <c r="K3614" s="81"/>
      <c r="L3614" s="81"/>
      <c r="M3614" s="81"/>
      <c r="N3614" s="82"/>
    </row>
    <row r="3615">
      <c r="C3615" s="41"/>
      <c r="D3615" s="141"/>
      <c r="E3615" s="118"/>
      <c r="F3615" s="126"/>
      <c r="G3615" s="126"/>
      <c r="H3615" s="126"/>
      <c r="I3615" s="126"/>
      <c r="J3615" s="76"/>
      <c r="K3615" s="76"/>
      <c r="L3615" s="76"/>
      <c r="M3615" s="76"/>
      <c r="N3615" s="114"/>
    </row>
    <row r="3616">
      <c r="C3616" s="41"/>
      <c r="D3616" s="142"/>
      <c r="E3616" s="130"/>
      <c r="F3616" s="128"/>
      <c r="G3616" s="128"/>
      <c r="H3616" s="128"/>
      <c r="I3616" s="128"/>
      <c r="J3616" s="81"/>
      <c r="K3616" s="81"/>
      <c r="L3616" s="81"/>
      <c r="M3616" s="81"/>
      <c r="N3616" s="82"/>
    </row>
    <row r="3617">
      <c r="C3617" s="41"/>
      <c r="D3617" s="141"/>
      <c r="E3617" s="118"/>
      <c r="F3617" s="126"/>
      <c r="G3617" s="126"/>
      <c r="H3617" s="126"/>
      <c r="I3617" s="126"/>
      <c r="J3617" s="76"/>
      <c r="K3617" s="76"/>
      <c r="L3617" s="76"/>
      <c r="M3617" s="76"/>
      <c r="N3617" s="114"/>
    </row>
    <row r="3618">
      <c r="C3618" s="41"/>
      <c r="D3618" s="142"/>
      <c r="E3618" s="130"/>
      <c r="F3618" s="128"/>
      <c r="G3618" s="128"/>
      <c r="H3618" s="128"/>
      <c r="I3618" s="128"/>
      <c r="J3618" s="81"/>
      <c r="K3618" s="81"/>
      <c r="L3618" s="81"/>
      <c r="M3618" s="81"/>
      <c r="N3618" s="82"/>
    </row>
    <row r="3619">
      <c r="C3619" s="41"/>
      <c r="D3619" s="141"/>
      <c r="E3619" s="118"/>
      <c r="F3619" s="126"/>
      <c r="G3619" s="126"/>
      <c r="H3619" s="126"/>
      <c r="I3619" s="126"/>
      <c r="J3619" s="76"/>
      <c r="K3619" s="76"/>
      <c r="L3619" s="76"/>
      <c r="M3619" s="76"/>
      <c r="N3619" s="114"/>
    </row>
    <row r="3620">
      <c r="C3620" s="41"/>
      <c r="D3620" s="142"/>
      <c r="E3620" s="130"/>
      <c r="F3620" s="128"/>
      <c r="G3620" s="128"/>
      <c r="H3620" s="128"/>
      <c r="I3620" s="128"/>
      <c r="J3620" s="81"/>
      <c r="K3620" s="81"/>
      <c r="L3620" s="81"/>
      <c r="M3620" s="81"/>
      <c r="N3620" s="82"/>
    </row>
    <row r="3621">
      <c r="C3621" s="41"/>
      <c r="D3621" s="141"/>
      <c r="E3621" s="118"/>
      <c r="F3621" s="126"/>
      <c r="G3621" s="126"/>
      <c r="H3621" s="126"/>
      <c r="I3621" s="126"/>
      <c r="J3621" s="76"/>
      <c r="K3621" s="76"/>
      <c r="L3621" s="76"/>
      <c r="M3621" s="76"/>
      <c r="N3621" s="114"/>
    </row>
    <row r="3622">
      <c r="C3622" s="41"/>
      <c r="D3622" s="142"/>
      <c r="E3622" s="130"/>
      <c r="F3622" s="128"/>
      <c r="G3622" s="128"/>
      <c r="H3622" s="128"/>
      <c r="I3622" s="128"/>
      <c r="J3622" s="81"/>
      <c r="K3622" s="81"/>
      <c r="L3622" s="81"/>
      <c r="M3622" s="81"/>
      <c r="N3622" s="82"/>
    </row>
    <row r="3623">
      <c r="C3623" s="41"/>
      <c r="D3623" s="141"/>
      <c r="E3623" s="118"/>
      <c r="F3623" s="126"/>
      <c r="G3623" s="126"/>
      <c r="H3623" s="126"/>
      <c r="I3623" s="126"/>
      <c r="J3623" s="76"/>
      <c r="K3623" s="76"/>
      <c r="L3623" s="76"/>
      <c r="M3623" s="76"/>
      <c r="N3623" s="114"/>
    </row>
    <row r="3624">
      <c r="C3624" s="41"/>
      <c r="D3624" s="142"/>
      <c r="E3624" s="130"/>
      <c r="F3624" s="128"/>
      <c r="G3624" s="128"/>
      <c r="H3624" s="128"/>
      <c r="I3624" s="128"/>
      <c r="J3624" s="81"/>
      <c r="K3624" s="81"/>
      <c r="L3624" s="81"/>
      <c r="M3624" s="81"/>
      <c r="N3624" s="82"/>
    </row>
    <row r="3625">
      <c r="C3625" s="41"/>
      <c r="D3625" s="141"/>
      <c r="E3625" s="118"/>
      <c r="F3625" s="126"/>
      <c r="G3625" s="126"/>
      <c r="H3625" s="126"/>
      <c r="I3625" s="126"/>
      <c r="J3625" s="76"/>
      <c r="K3625" s="76"/>
      <c r="L3625" s="76"/>
      <c r="M3625" s="76"/>
      <c r="N3625" s="114"/>
    </row>
    <row r="3626">
      <c r="C3626" s="41"/>
      <c r="D3626" s="142"/>
      <c r="E3626" s="130"/>
      <c r="F3626" s="128"/>
      <c r="G3626" s="128"/>
      <c r="H3626" s="128"/>
      <c r="I3626" s="128"/>
      <c r="J3626" s="81"/>
      <c r="K3626" s="81"/>
      <c r="L3626" s="81"/>
      <c r="M3626" s="81"/>
      <c r="N3626" s="82"/>
    </row>
    <row r="3627">
      <c r="C3627" s="41"/>
      <c r="D3627" s="141"/>
      <c r="E3627" s="118"/>
      <c r="F3627" s="126"/>
      <c r="G3627" s="126"/>
      <c r="H3627" s="126"/>
      <c r="I3627" s="126"/>
      <c r="J3627" s="76"/>
      <c r="K3627" s="76"/>
      <c r="L3627" s="76"/>
      <c r="M3627" s="76"/>
      <c r="N3627" s="114"/>
    </row>
    <row r="3628">
      <c r="C3628" s="41"/>
      <c r="D3628" s="142"/>
      <c r="E3628" s="130"/>
      <c r="F3628" s="128"/>
      <c r="G3628" s="128"/>
      <c r="H3628" s="128"/>
      <c r="I3628" s="128"/>
      <c r="J3628" s="81"/>
      <c r="K3628" s="81"/>
      <c r="L3628" s="81"/>
      <c r="M3628" s="81"/>
      <c r="N3628" s="82"/>
    </row>
    <row r="3629">
      <c r="C3629" s="41"/>
      <c r="D3629" s="141"/>
      <c r="E3629" s="118"/>
      <c r="F3629" s="126"/>
      <c r="G3629" s="126"/>
      <c r="H3629" s="126"/>
      <c r="I3629" s="126"/>
      <c r="J3629" s="76"/>
      <c r="K3629" s="76"/>
      <c r="L3629" s="76"/>
      <c r="M3629" s="76"/>
      <c r="N3629" s="114"/>
    </row>
    <row r="3630">
      <c r="C3630" s="41"/>
      <c r="D3630" s="142"/>
      <c r="E3630" s="130"/>
      <c r="F3630" s="128"/>
      <c r="G3630" s="128"/>
      <c r="H3630" s="128"/>
      <c r="I3630" s="128"/>
      <c r="J3630" s="81"/>
      <c r="K3630" s="81"/>
      <c r="L3630" s="81"/>
      <c r="M3630" s="81"/>
      <c r="N3630" s="82"/>
    </row>
    <row r="3631">
      <c r="C3631" s="41"/>
      <c r="D3631" s="141"/>
      <c r="E3631" s="118"/>
      <c r="F3631" s="126"/>
      <c r="G3631" s="126"/>
      <c r="H3631" s="126"/>
      <c r="I3631" s="126"/>
      <c r="J3631" s="76"/>
      <c r="K3631" s="76"/>
      <c r="L3631" s="76"/>
      <c r="M3631" s="76"/>
      <c r="N3631" s="114"/>
    </row>
    <row r="3632">
      <c r="C3632" s="41"/>
      <c r="D3632" s="142"/>
      <c r="E3632" s="130"/>
      <c r="F3632" s="128"/>
      <c r="G3632" s="128"/>
      <c r="H3632" s="128"/>
      <c r="I3632" s="128"/>
      <c r="J3632" s="81"/>
      <c r="K3632" s="81"/>
      <c r="L3632" s="81"/>
      <c r="M3632" s="81"/>
      <c r="N3632" s="82"/>
    </row>
    <row r="3633">
      <c r="C3633" s="41"/>
      <c r="D3633" s="141"/>
      <c r="E3633" s="118"/>
      <c r="F3633" s="126"/>
      <c r="G3633" s="126"/>
      <c r="H3633" s="126"/>
      <c r="I3633" s="126"/>
      <c r="J3633" s="76"/>
      <c r="K3633" s="76"/>
      <c r="L3633" s="76"/>
      <c r="M3633" s="76"/>
      <c r="N3633" s="114"/>
    </row>
    <row r="3634">
      <c r="C3634" s="41"/>
      <c r="D3634" s="142"/>
      <c r="E3634" s="130"/>
      <c r="F3634" s="128"/>
      <c r="G3634" s="128"/>
      <c r="H3634" s="128"/>
      <c r="I3634" s="128"/>
      <c r="J3634" s="81"/>
      <c r="K3634" s="81"/>
      <c r="L3634" s="81"/>
      <c r="M3634" s="81"/>
      <c r="N3634" s="82"/>
    </row>
    <row r="3635">
      <c r="C3635" s="41"/>
      <c r="D3635" s="141"/>
      <c r="E3635" s="118"/>
      <c r="F3635" s="126"/>
      <c r="G3635" s="126"/>
      <c r="H3635" s="126"/>
      <c r="I3635" s="126"/>
      <c r="J3635" s="76"/>
      <c r="K3635" s="76"/>
      <c r="L3635" s="76"/>
      <c r="M3635" s="76"/>
      <c r="N3635" s="114"/>
    </row>
    <row r="3636">
      <c r="C3636" s="41"/>
      <c r="D3636" s="142"/>
      <c r="E3636" s="130"/>
      <c r="F3636" s="128"/>
      <c r="G3636" s="128"/>
      <c r="H3636" s="128"/>
      <c r="I3636" s="128"/>
      <c r="J3636" s="81"/>
      <c r="K3636" s="81"/>
      <c r="L3636" s="81"/>
      <c r="M3636" s="81"/>
      <c r="N3636" s="82"/>
    </row>
    <row r="3637">
      <c r="C3637" s="41"/>
      <c r="D3637" s="141"/>
      <c r="E3637" s="118"/>
      <c r="F3637" s="126"/>
      <c r="G3637" s="126"/>
      <c r="H3637" s="126"/>
      <c r="I3637" s="126"/>
      <c r="J3637" s="76"/>
      <c r="K3637" s="76"/>
      <c r="L3637" s="76"/>
      <c r="M3637" s="76"/>
      <c r="N3637" s="114"/>
    </row>
    <row r="3638">
      <c r="C3638" s="41"/>
      <c r="D3638" s="142"/>
      <c r="E3638" s="130"/>
      <c r="F3638" s="128"/>
      <c r="G3638" s="128"/>
      <c r="H3638" s="128"/>
      <c r="I3638" s="128"/>
      <c r="J3638" s="81"/>
      <c r="K3638" s="81"/>
      <c r="L3638" s="81"/>
      <c r="M3638" s="81"/>
      <c r="N3638" s="82"/>
    </row>
    <row r="3639">
      <c r="C3639" s="41"/>
      <c r="D3639" s="141"/>
      <c r="E3639" s="118"/>
      <c r="F3639" s="126"/>
      <c r="G3639" s="126"/>
      <c r="H3639" s="126"/>
      <c r="I3639" s="126"/>
      <c r="J3639" s="76"/>
      <c r="K3639" s="76"/>
      <c r="L3639" s="76"/>
      <c r="M3639" s="76"/>
      <c r="N3639" s="114"/>
    </row>
    <row r="3640">
      <c r="C3640" s="41"/>
      <c r="D3640" s="142"/>
      <c r="E3640" s="130"/>
      <c r="F3640" s="128"/>
      <c r="G3640" s="128"/>
      <c r="H3640" s="128"/>
      <c r="I3640" s="128"/>
      <c r="J3640" s="81"/>
      <c r="K3640" s="81"/>
      <c r="L3640" s="81"/>
      <c r="M3640" s="81"/>
      <c r="N3640" s="82"/>
    </row>
    <row r="3641">
      <c r="C3641" s="41"/>
      <c r="D3641" s="141"/>
      <c r="E3641" s="118"/>
      <c r="F3641" s="126"/>
      <c r="G3641" s="126"/>
      <c r="H3641" s="126"/>
      <c r="I3641" s="126"/>
      <c r="J3641" s="76"/>
      <c r="K3641" s="76"/>
      <c r="L3641" s="76"/>
      <c r="M3641" s="76"/>
      <c r="N3641" s="114"/>
    </row>
    <row r="3642">
      <c r="C3642" s="41"/>
      <c r="D3642" s="142"/>
      <c r="E3642" s="130"/>
      <c r="F3642" s="128"/>
      <c r="G3642" s="128"/>
      <c r="H3642" s="128"/>
      <c r="I3642" s="128"/>
      <c r="J3642" s="81"/>
      <c r="K3642" s="81"/>
      <c r="L3642" s="81"/>
      <c r="M3642" s="81"/>
      <c r="N3642" s="82"/>
    </row>
    <row r="3643">
      <c r="C3643" s="41"/>
      <c r="D3643" s="141"/>
      <c r="E3643" s="118"/>
      <c r="F3643" s="126"/>
      <c r="G3643" s="126"/>
      <c r="H3643" s="126"/>
      <c r="I3643" s="126"/>
      <c r="J3643" s="76"/>
      <c r="K3643" s="76"/>
      <c r="L3643" s="76"/>
      <c r="M3643" s="76"/>
      <c r="N3643" s="114"/>
    </row>
    <row r="3644">
      <c r="C3644" s="41"/>
      <c r="D3644" s="142"/>
      <c r="E3644" s="130"/>
      <c r="F3644" s="128"/>
      <c r="G3644" s="128"/>
      <c r="H3644" s="128"/>
      <c r="I3644" s="128"/>
      <c r="J3644" s="81"/>
      <c r="K3644" s="81"/>
      <c r="L3644" s="81"/>
      <c r="M3644" s="81"/>
      <c r="N3644" s="82"/>
    </row>
    <row r="3645">
      <c r="C3645" s="41"/>
      <c r="D3645" s="141"/>
      <c r="E3645" s="118"/>
      <c r="F3645" s="126"/>
      <c r="G3645" s="126"/>
      <c r="H3645" s="126"/>
      <c r="I3645" s="126"/>
      <c r="J3645" s="76"/>
      <c r="K3645" s="76"/>
      <c r="L3645" s="76"/>
      <c r="M3645" s="76"/>
      <c r="N3645" s="114"/>
    </row>
    <row r="3646">
      <c r="C3646" s="41"/>
      <c r="D3646" s="142"/>
      <c r="E3646" s="130"/>
      <c r="F3646" s="128"/>
      <c r="G3646" s="128"/>
      <c r="H3646" s="128"/>
      <c r="I3646" s="128"/>
      <c r="J3646" s="81"/>
      <c r="K3646" s="81"/>
      <c r="L3646" s="81"/>
      <c r="M3646" s="81"/>
      <c r="N3646" s="82"/>
    </row>
    <row r="3647">
      <c r="C3647" s="41"/>
      <c r="D3647" s="141"/>
      <c r="E3647" s="118"/>
      <c r="F3647" s="126"/>
      <c r="G3647" s="126"/>
      <c r="H3647" s="126"/>
      <c r="I3647" s="126"/>
      <c r="J3647" s="76"/>
      <c r="K3647" s="76"/>
      <c r="L3647" s="76"/>
      <c r="M3647" s="76"/>
      <c r="N3647" s="114"/>
    </row>
    <row r="3648">
      <c r="C3648" s="41"/>
      <c r="D3648" s="142"/>
      <c r="E3648" s="130"/>
      <c r="F3648" s="128"/>
      <c r="G3648" s="128"/>
      <c r="H3648" s="128"/>
      <c r="I3648" s="128"/>
      <c r="J3648" s="81"/>
      <c r="K3648" s="81"/>
      <c r="L3648" s="81"/>
      <c r="M3648" s="81"/>
      <c r="N3648" s="82"/>
    </row>
    <row r="3649">
      <c r="C3649" s="41"/>
      <c r="D3649" s="141"/>
      <c r="E3649" s="118"/>
      <c r="F3649" s="126"/>
      <c r="G3649" s="126"/>
      <c r="H3649" s="126"/>
      <c r="I3649" s="126"/>
      <c r="J3649" s="76"/>
      <c r="K3649" s="76"/>
      <c r="L3649" s="76"/>
      <c r="M3649" s="76"/>
      <c r="N3649" s="114"/>
    </row>
    <row r="3650">
      <c r="C3650" s="41"/>
      <c r="D3650" s="142"/>
      <c r="E3650" s="130"/>
      <c r="F3650" s="128"/>
      <c r="G3650" s="128"/>
      <c r="H3650" s="128"/>
      <c r="I3650" s="128"/>
      <c r="J3650" s="81"/>
      <c r="K3650" s="81"/>
      <c r="L3650" s="81"/>
      <c r="M3650" s="81"/>
      <c r="N3650" s="82"/>
    </row>
    <row r="3651">
      <c r="C3651" s="41"/>
      <c r="D3651" s="141"/>
      <c r="E3651" s="118"/>
      <c r="F3651" s="126"/>
      <c r="G3651" s="126"/>
      <c r="H3651" s="126"/>
      <c r="I3651" s="126"/>
      <c r="J3651" s="76"/>
      <c r="K3651" s="76"/>
      <c r="L3651" s="76"/>
      <c r="M3651" s="76"/>
      <c r="N3651" s="114"/>
    </row>
    <row r="3652">
      <c r="C3652" s="41"/>
      <c r="D3652" s="142"/>
      <c r="E3652" s="130"/>
      <c r="F3652" s="128"/>
      <c r="G3652" s="128"/>
      <c r="H3652" s="128"/>
      <c r="I3652" s="128"/>
      <c r="J3652" s="81"/>
      <c r="K3652" s="81"/>
      <c r="L3652" s="81"/>
      <c r="M3652" s="81"/>
      <c r="N3652" s="82"/>
    </row>
    <row r="3653">
      <c r="C3653" s="41"/>
      <c r="D3653" s="141"/>
      <c r="E3653" s="118"/>
      <c r="F3653" s="126"/>
      <c r="G3653" s="126"/>
      <c r="H3653" s="126"/>
      <c r="I3653" s="126"/>
      <c r="J3653" s="76"/>
      <c r="K3653" s="76"/>
      <c r="L3653" s="76"/>
      <c r="M3653" s="76"/>
      <c r="N3653" s="114"/>
    </row>
    <row r="3654">
      <c r="C3654" s="41"/>
      <c r="D3654" s="142"/>
      <c r="E3654" s="130"/>
      <c r="F3654" s="128"/>
      <c r="G3654" s="128"/>
      <c r="H3654" s="128"/>
      <c r="I3654" s="128"/>
      <c r="J3654" s="81"/>
      <c r="K3654" s="81"/>
      <c r="L3654" s="81"/>
      <c r="M3654" s="81"/>
      <c r="N3654" s="82"/>
    </row>
    <row r="3655">
      <c r="C3655" s="41"/>
      <c r="D3655" s="141"/>
      <c r="E3655" s="118"/>
      <c r="F3655" s="126"/>
      <c r="G3655" s="126"/>
      <c r="H3655" s="126"/>
      <c r="I3655" s="126"/>
      <c r="J3655" s="76"/>
      <c r="K3655" s="76"/>
      <c r="L3655" s="76"/>
      <c r="M3655" s="76"/>
      <c r="N3655" s="114"/>
    </row>
    <row r="3656">
      <c r="C3656" s="41"/>
      <c r="D3656" s="142"/>
      <c r="E3656" s="130"/>
      <c r="F3656" s="128"/>
      <c r="G3656" s="128"/>
      <c r="H3656" s="128"/>
      <c r="I3656" s="128"/>
      <c r="J3656" s="81"/>
      <c r="K3656" s="81"/>
      <c r="L3656" s="81"/>
      <c r="M3656" s="81"/>
      <c r="N3656" s="82"/>
    </row>
    <row r="3657">
      <c r="C3657" s="41"/>
      <c r="D3657" s="141"/>
      <c r="E3657" s="118"/>
      <c r="F3657" s="126"/>
      <c r="G3657" s="126"/>
      <c r="H3657" s="126"/>
      <c r="I3657" s="126"/>
      <c r="J3657" s="76"/>
      <c r="K3657" s="76"/>
      <c r="L3657" s="76"/>
      <c r="M3657" s="76"/>
      <c r="N3657" s="114"/>
    </row>
    <row r="3658">
      <c r="C3658" s="41"/>
      <c r="D3658" s="142"/>
      <c r="E3658" s="130"/>
      <c r="F3658" s="128"/>
      <c r="G3658" s="128"/>
      <c r="H3658" s="128"/>
      <c r="I3658" s="128"/>
      <c r="J3658" s="81"/>
      <c r="K3658" s="81"/>
      <c r="L3658" s="81"/>
      <c r="M3658" s="81"/>
      <c r="N3658" s="82"/>
    </row>
    <row r="3659">
      <c r="C3659" s="41"/>
      <c r="D3659" s="141"/>
      <c r="E3659" s="118"/>
      <c r="F3659" s="126"/>
      <c r="G3659" s="126"/>
      <c r="H3659" s="126"/>
      <c r="I3659" s="126"/>
      <c r="J3659" s="76"/>
      <c r="K3659" s="76"/>
      <c r="L3659" s="76"/>
      <c r="M3659" s="76"/>
      <c r="N3659" s="114"/>
    </row>
    <row r="3660">
      <c r="C3660" s="41"/>
      <c r="D3660" s="142"/>
      <c r="E3660" s="130"/>
      <c r="F3660" s="128"/>
      <c r="G3660" s="128"/>
      <c r="H3660" s="128"/>
      <c r="I3660" s="128"/>
      <c r="J3660" s="81"/>
      <c r="K3660" s="81"/>
      <c r="L3660" s="81"/>
      <c r="M3660" s="81"/>
      <c r="N3660" s="82"/>
    </row>
    <row r="3661">
      <c r="C3661" s="41"/>
      <c r="D3661" s="141"/>
      <c r="E3661" s="118"/>
      <c r="F3661" s="126"/>
      <c r="G3661" s="126"/>
      <c r="H3661" s="126"/>
      <c r="I3661" s="126"/>
      <c r="J3661" s="76"/>
      <c r="K3661" s="76"/>
      <c r="L3661" s="76"/>
      <c r="M3661" s="76"/>
      <c r="N3661" s="114"/>
    </row>
    <row r="3662">
      <c r="C3662" s="41"/>
      <c r="D3662" s="142"/>
      <c r="E3662" s="130"/>
      <c r="F3662" s="128"/>
      <c r="G3662" s="128"/>
      <c r="H3662" s="128"/>
      <c r="I3662" s="128"/>
      <c r="J3662" s="81"/>
      <c r="K3662" s="81"/>
      <c r="L3662" s="81"/>
      <c r="M3662" s="81"/>
      <c r="N3662" s="82"/>
    </row>
    <row r="3663">
      <c r="C3663" s="41"/>
      <c r="D3663" s="141"/>
      <c r="E3663" s="118"/>
      <c r="F3663" s="126"/>
      <c r="G3663" s="126"/>
      <c r="H3663" s="126"/>
      <c r="I3663" s="126"/>
      <c r="J3663" s="76"/>
      <c r="K3663" s="76"/>
      <c r="L3663" s="76"/>
      <c r="M3663" s="76"/>
      <c r="N3663" s="114"/>
    </row>
    <row r="3664">
      <c r="C3664" s="41"/>
      <c r="D3664" s="142"/>
      <c r="E3664" s="130"/>
      <c r="F3664" s="128"/>
      <c r="G3664" s="128"/>
      <c r="H3664" s="128"/>
      <c r="I3664" s="128"/>
      <c r="J3664" s="81"/>
      <c r="K3664" s="81"/>
      <c r="L3664" s="81"/>
      <c r="M3664" s="81"/>
      <c r="N3664" s="82"/>
    </row>
    <row r="3665">
      <c r="C3665" s="41"/>
      <c r="D3665" s="141"/>
      <c r="E3665" s="118"/>
      <c r="F3665" s="126"/>
      <c r="G3665" s="126"/>
      <c r="H3665" s="126"/>
      <c r="I3665" s="126"/>
      <c r="J3665" s="76"/>
      <c r="K3665" s="76"/>
      <c r="L3665" s="76"/>
      <c r="M3665" s="76"/>
      <c r="N3665" s="114"/>
    </row>
    <row r="3666">
      <c r="C3666" s="41"/>
      <c r="D3666" s="142"/>
      <c r="E3666" s="130"/>
      <c r="F3666" s="128"/>
      <c r="G3666" s="128"/>
      <c r="H3666" s="128"/>
      <c r="I3666" s="128"/>
      <c r="J3666" s="81"/>
      <c r="K3666" s="81"/>
      <c r="L3666" s="81"/>
      <c r="M3666" s="81"/>
      <c r="N3666" s="82"/>
    </row>
    <row r="3667">
      <c r="C3667" s="41"/>
      <c r="D3667" s="141"/>
      <c r="E3667" s="118"/>
      <c r="F3667" s="126"/>
      <c r="G3667" s="126"/>
      <c r="H3667" s="126"/>
      <c r="I3667" s="126"/>
      <c r="J3667" s="76"/>
      <c r="K3667" s="76"/>
      <c r="L3667" s="76"/>
      <c r="M3667" s="76"/>
      <c r="N3667" s="114"/>
    </row>
    <row r="3668">
      <c r="C3668" s="41"/>
      <c r="D3668" s="142"/>
      <c r="E3668" s="130"/>
      <c r="F3668" s="128"/>
      <c r="G3668" s="128"/>
      <c r="H3668" s="128"/>
      <c r="I3668" s="128"/>
      <c r="J3668" s="81"/>
      <c r="K3668" s="81"/>
      <c r="L3668" s="81"/>
      <c r="M3668" s="81"/>
      <c r="N3668" s="82"/>
    </row>
    <row r="3669">
      <c r="C3669" s="41"/>
      <c r="D3669" s="141"/>
      <c r="E3669" s="118"/>
      <c r="F3669" s="126"/>
      <c r="G3669" s="126"/>
      <c r="H3669" s="126"/>
      <c r="I3669" s="126"/>
      <c r="J3669" s="76"/>
      <c r="K3669" s="76"/>
      <c r="L3669" s="76"/>
      <c r="M3669" s="76"/>
      <c r="N3669" s="114"/>
    </row>
    <row r="3670">
      <c r="C3670" s="41"/>
      <c r="D3670" s="142"/>
      <c r="E3670" s="130"/>
      <c r="F3670" s="128"/>
      <c r="G3670" s="128"/>
      <c r="H3670" s="128"/>
      <c r="I3670" s="128"/>
      <c r="J3670" s="81"/>
      <c r="K3670" s="81"/>
      <c r="L3670" s="81"/>
      <c r="M3670" s="81"/>
      <c r="N3670" s="82"/>
    </row>
    <row r="3671">
      <c r="C3671" s="41"/>
      <c r="D3671" s="141"/>
      <c r="E3671" s="118"/>
      <c r="F3671" s="126"/>
      <c r="G3671" s="126"/>
      <c r="H3671" s="126"/>
      <c r="I3671" s="126"/>
      <c r="J3671" s="76"/>
      <c r="K3671" s="76"/>
      <c r="L3671" s="76"/>
      <c r="M3671" s="76"/>
      <c r="N3671" s="114"/>
    </row>
    <row r="3672">
      <c r="C3672" s="41"/>
      <c r="D3672" s="142"/>
      <c r="E3672" s="130"/>
      <c r="F3672" s="128"/>
      <c r="G3672" s="128"/>
      <c r="H3672" s="128"/>
      <c r="I3672" s="128"/>
      <c r="J3672" s="81"/>
      <c r="K3672" s="81"/>
      <c r="L3672" s="81"/>
      <c r="M3672" s="81"/>
      <c r="N3672" s="82"/>
    </row>
    <row r="3673">
      <c r="C3673" s="41"/>
      <c r="D3673" s="141"/>
      <c r="E3673" s="118"/>
      <c r="F3673" s="126"/>
      <c r="G3673" s="126"/>
      <c r="H3673" s="126"/>
      <c r="I3673" s="126"/>
      <c r="J3673" s="76"/>
      <c r="K3673" s="76"/>
      <c r="L3673" s="76"/>
      <c r="M3673" s="76"/>
      <c r="N3673" s="114"/>
    </row>
    <row r="3674">
      <c r="C3674" s="41"/>
      <c r="D3674" s="142"/>
      <c r="E3674" s="130"/>
      <c r="F3674" s="128"/>
      <c r="G3674" s="128"/>
      <c r="H3674" s="128"/>
      <c r="I3674" s="128"/>
      <c r="J3674" s="81"/>
      <c r="K3674" s="81"/>
      <c r="L3674" s="81"/>
      <c r="M3674" s="81"/>
      <c r="N3674" s="82"/>
    </row>
    <row r="3675">
      <c r="C3675" s="41"/>
      <c r="D3675" s="141"/>
      <c r="E3675" s="118"/>
      <c r="F3675" s="126"/>
      <c r="G3675" s="126"/>
      <c r="H3675" s="126"/>
      <c r="I3675" s="126"/>
      <c r="J3675" s="76"/>
      <c r="K3675" s="76"/>
      <c r="L3675" s="76"/>
      <c r="M3675" s="76"/>
      <c r="N3675" s="114"/>
    </row>
    <row r="3676">
      <c r="C3676" s="41"/>
      <c r="D3676" s="142"/>
      <c r="E3676" s="130"/>
      <c r="F3676" s="128"/>
      <c r="G3676" s="128"/>
      <c r="H3676" s="128"/>
      <c r="I3676" s="128"/>
      <c r="J3676" s="81"/>
      <c r="K3676" s="81"/>
      <c r="L3676" s="81"/>
      <c r="M3676" s="81"/>
      <c r="N3676" s="82"/>
    </row>
    <row r="3677">
      <c r="C3677" s="41"/>
      <c r="D3677" s="141"/>
      <c r="E3677" s="118"/>
      <c r="F3677" s="126"/>
      <c r="G3677" s="126"/>
      <c r="H3677" s="126"/>
      <c r="I3677" s="126"/>
      <c r="J3677" s="76"/>
      <c r="K3677" s="76"/>
      <c r="L3677" s="76"/>
      <c r="M3677" s="76"/>
      <c r="N3677" s="114"/>
    </row>
    <row r="3678">
      <c r="C3678" s="41"/>
      <c r="D3678" s="142"/>
      <c r="E3678" s="130"/>
      <c r="F3678" s="128"/>
      <c r="G3678" s="128"/>
      <c r="H3678" s="128"/>
      <c r="I3678" s="128"/>
      <c r="J3678" s="81"/>
      <c r="K3678" s="81"/>
      <c r="L3678" s="81"/>
      <c r="M3678" s="81"/>
      <c r="N3678" s="82"/>
    </row>
    <row r="3679">
      <c r="C3679" s="41"/>
      <c r="D3679" s="141"/>
      <c r="E3679" s="118"/>
      <c r="F3679" s="126"/>
      <c r="G3679" s="126"/>
      <c r="H3679" s="126"/>
      <c r="I3679" s="126"/>
      <c r="J3679" s="76"/>
      <c r="K3679" s="76"/>
      <c r="L3679" s="76"/>
      <c r="M3679" s="76"/>
      <c r="N3679" s="114"/>
    </row>
    <row r="3680">
      <c r="C3680" s="41"/>
      <c r="D3680" s="142"/>
      <c r="E3680" s="130"/>
      <c r="F3680" s="128"/>
      <c r="G3680" s="128"/>
      <c r="H3680" s="128"/>
      <c r="I3680" s="128"/>
      <c r="J3680" s="81"/>
      <c r="K3680" s="81"/>
      <c r="L3680" s="81"/>
      <c r="M3680" s="81"/>
      <c r="N3680" s="82"/>
    </row>
    <row r="3681">
      <c r="C3681" s="41"/>
      <c r="D3681" s="141"/>
      <c r="E3681" s="118"/>
      <c r="F3681" s="126"/>
      <c r="G3681" s="126"/>
      <c r="H3681" s="126"/>
      <c r="I3681" s="126"/>
      <c r="J3681" s="76"/>
      <c r="K3681" s="76"/>
      <c r="L3681" s="76"/>
      <c r="M3681" s="76"/>
      <c r="N3681" s="114"/>
    </row>
    <row r="3682">
      <c r="C3682" s="41"/>
      <c r="D3682" s="142"/>
      <c r="E3682" s="130"/>
      <c r="F3682" s="128"/>
      <c r="G3682" s="128"/>
      <c r="H3682" s="128"/>
      <c r="I3682" s="128"/>
      <c r="J3682" s="81"/>
      <c r="K3682" s="81"/>
      <c r="L3682" s="81"/>
      <c r="M3682" s="81"/>
      <c r="N3682" s="82"/>
    </row>
    <row r="3683">
      <c r="C3683" s="41"/>
      <c r="D3683" s="141"/>
      <c r="E3683" s="118"/>
      <c r="F3683" s="126"/>
      <c r="G3683" s="126"/>
      <c r="H3683" s="126"/>
      <c r="I3683" s="126"/>
      <c r="J3683" s="76"/>
      <c r="K3683" s="76"/>
      <c r="L3683" s="76"/>
      <c r="M3683" s="76"/>
      <c r="N3683" s="114"/>
    </row>
    <row r="3684">
      <c r="C3684" s="41"/>
      <c r="D3684" s="142"/>
      <c r="E3684" s="130"/>
      <c r="F3684" s="128"/>
      <c r="G3684" s="128"/>
      <c r="H3684" s="128"/>
      <c r="I3684" s="128"/>
      <c r="J3684" s="81"/>
      <c r="K3684" s="81"/>
      <c r="L3684" s="81"/>
      <c r="M3684" s="81"/>
      <c r="N3684" s="82"/>
    </row>
    <row r="3685">
      <c r="C3685" s="41"/>
      <c r="D3685" s="141"/>
      <c r="E3685" s="118"/>
      <c r="F3685" s="126"/>
      <c r="G3685" s="126"/>
      <c r="H3685" s="126"/>
      <c r="I3685" s="126"/>
      <c r="J3685" s="76"/>
      <c r="K3685" s="76"/>
      <c r="L3685" s="76"/>
      <c r="M3685" s="76"/>
      <c r="N3685" s="114"/>
    </row>
    <row r="3686">
      <c r="C3686" s="41"/>
      <c r="D3686" s="142"/>
      <c r="E3686" s="130"/>
      <c r="F3686" s="128"/>
      <c r="G3686" s="128"/>
      <c r="H3686" s="128"/>
      <c r="I3686" s="128"/>
      <c r="J3686" s="81"/>
      <c r="K3686" s="81"/>
      <c r="L3686" s="81"/>
      <c r="M3686" s="81"/>
      <c r="N3686" s="82"/>
    </row>
    <row r="3687">
      <c r="C3687" s="41"/>
      <c r="D3687" s="141"/>
      <c r="E3687" s="118"/>
      <c r="F3687" s="126"/>
      <c r="G3687" s="126"/>
      <c r="H3687" s="126"/>
      <c r="I3687" s="126"/>
      <c r="J3687" s="76"/>
      <c r="K3687" s="76"/>
      <c r="L3687" s="76"/>
      <c r="M3687" s="76"/>
      <c r="N3687" s="114"/>
    </row>
    <row r="3688">
      <c r="C3688" s="41"/>
      <c r="D3688" s="142"/>
      <c r="E3688" s="130"/>
      <c r="F3688" s="128"/>
      <c r="G3688" s="128"/>
      <c r="H3688" s="128"/>
      <c r="I3688" s="128"/>
      <c r="J3688" s="81"/>
      <c r="K3688" s="81"/>
      <c r="L3688" s="81"/>
      <c r="M3688" s="81"/>
      <c r="N3688" s="82"/>
    </row>
    <row r="3689">
      <c r="C3689" s="41"/>
      <c r="D3689" s="141"/>
      <c r="E3689" s="118"/>
      <c r="F3689" s="126"/>
      <c r="G3689" s="126"/>
      <c r="H3689" s="126"/>
      <c r="I3689" s="126"/>
      <c r="J3689" s="76"/>
      <c r="K3689" s="76"/>
      <c r="L3689" s="76"/>
      <c r="M3689" s="76"/>
      <c r="N3689" s="114"/>
    </row>
    <row r="3690">
      <c r="C3690" s="41"/>
      <c r="D3690" s="142"/>
      <c r="E3690" s="130"/>
      <c r="F3690" s="128"/>
      <c r="G3690" s="128"/>
      <c r="H3690" s="128"/>
      <c r="I3690" s="128"/>
      <c r="J3690" s="81"/>
      <c r="K3690" s="81"/>
      <c r="L3690" s="81"/>
      <c r="M3690" s="81"/>
      <c r="N3690" s="82"/>
    </row>
    <row r="3691">
      <c r="C3691" s="41"/>
      <c r="D3691" s="141"/>
      <c r="E3691" s="118"/>
      <c r="F3691" s="126"/>
      <c r="G3691" s="126"/>
      <c r="H3691" s="126"/>
      <c r="I3691" s="126"/>
      <c r="J3691" s="76"/>
      <c r="K3691" s="76"/>
      <c r="L3691" s="76"/>
      <c r="M3691" s="76"/>
      <c r="N3691" s="114"/>
    </row>
    <row r="3692">
      <c r="C3692" s="41"/>
      <c r="D3692" s="142"/>
      <c r="E3692" s="130"/>
      <c r="F3692" s="128"/>
      <c r="G3692" s="128"/>
      <c r="H3692" s="128"/>
      <c r="I3692" s="128"/>
      <c r="J3692" s="81"/>
      <c r="K3692" s="81"/>
      <c r="L3692" s="81"/>
      <c r="M3692" s="81"/>
      <c r="N3692" s="82"/>
    </row>
    <row r="3693">
      <c r="C3693" s="41"/>
      <c r="D3693" s="141"/>
      <c r="E3693" s="118"/>
      <c r="F3693" s="126"/>
      <c r="G3693" s="126"/>
      <c r="H3693" s="126"/>
      <c r="I3693" s="126"/>
      <c r="J3693" s="76"/>
      <c r="K3693" s="76"/>
      <c r="L3693" s="76"/>
      <c r="M3693" s="76"/>
      <c r="N3693" s="114"/>
    </row>
    <row r="3694">
      <c r="C3694" s="41"/>
      <c r="D3694" s="142"/>
      <c r="E3694" s="130"/>
      <c r="F3694" s="128"/>
      <c r="G3694" s="128"/>
      <c r="H3694" s="128"/>
      <c r="I3694" s="128"/>
      <c r="J3694" s="81"/>
      <c r="K3694" s="81"/>
      <c r="L3694" s="81"/>
      <c r="M3694" s="81"/>
      <c r="N3694" s="82"/>
    </row>
    <row r="3695">
      <c r="C3695" s="41"/>
      <c r="D3695" s="141"/>
      <c r="E3695" s="118"/>
      <c r="F3695" s="126"/>
      <c r="G3695" s="126"/>
      <c r="H3695" s="126"/>
      <c r="I3695" s="126"/>
      <c r="J3695" s="76"/>
      <c r="K3695" s="76"/>
      <c r="L3695" s="76"/>
      <c r="M3695" s="76"/>
      <c r="N3695" s="114"/>
    </row>
    <row r="3696">
      <c r="C3696" s="41"/>
      <c r="D3696" s="142"/>
      <c r="E3696" s="130"/>
      <c r="F3696" s="128"/>
      <c r="G3696" s="128"/>
      <c r="H3696" s="128"/>
      <c r="I3696" s="128"/>
      <c r="J3696" s="81"/>
      <c r="K3696" s="81"/>
      <c r="L3696" s="81"/>
      <c r="M3696" s="81"/>
      <c r="N3696" s="82"/>
    </row>
    <row r="3697">
      <c r="C3697" s="41"/>
      <c r="D3697" s="141"/>
      <c r="E3697" s="118"/>
      <c r="F3697" s="126"/>
      <c r="G3697" s="126"/>
      <c r="H3697" s="126"/>
      <c r="I3697" s="126"/>
      <c r="J3697" s="76"/>
      <c r="K3697" s="76"/>
      <c r="L3697" s="76"/>
      <c r="M3697" s="76"/>
      <c r="N3697" s="114"/>
    </row>
    <row r="3698">
      <c r="C3698" s="41"/>
      <c r="D3698" s="142"/>
      <c r="E3698" s="130"/>
      <c r="F3698" s="128"/>
      <c r="G3698" s="128"/>
      <c r="H3698" s="128"/>
      <c r="I3698" s="128"/>
      <c r="J3698" s="81"/>
      <c r="K3698" s="81"/>
      <c r="L3698" s="81"/>
      <c r="M3698" s="81"/>
      <c r="N3698" s="82"/>
    </row>
    <row r="3699">
      <c r="C3699" s="41"/>
      <c r="D3699" s="141"/>
      <c r="E3699" s="118"/>
      <c r="F3699" s="126"/>
      <c r="G3699" s="126"/>
      <c r="H3699" s="126"/>
      <c r="I3699" s="126"/>
      <c r="J3699" s="76"/>
      <c r="K3699" s="76"/>
      <c r="L3699" s="76"/>
      <c r="M3699" s="76"/>
      <c r="N3699" s="114"/>
    </row>
    <row r="3700">
      <c r="C3700" s="41"/>
      <c r="D3700" s="142"/>
      <c r="E3700" s="130"/>
      <c r="F3700" s="128"/>
      <c r="G3700" s="128"/>
      <c r="H3700" s="128"/>
      <c r="I3700" s="128"/>
      <c r="J3700" s="81"/>
      <c r="K3700" s="81"/>
      <c r="L3700" s="81"/>
      <c r="M3700" s="81"/>
      <c r="N3700" s="82"/>
    </row>
    <row r="3701">
      <c r="C3701" s="41"/>
      <c r="D3701" s="141"/>
      <c r="E3701" s="118"/>
      <c r="F3701" s="126"/>
      <c r="G3701" s="126"/>
      <c r="H3701" s="126"/>
      <c r="I3701" s="126"/>
      <c r="J3701" s="76"/>
      <c r="K3701" s="76"/>
      <c r="L3701" s="76"/>
      <c r="M3701" s="76"/>
      <c r="N3701" s="114"/>
    </row>
    <row r="3702">
      <c r="C3702" s="41"/>
      <c r="D3702" s="142"/>
      <c r="E3702" s="130"/>
      <c r="F3702" s="128"/>
      <c r="G3702" s="128"/>
      <c r="H3702" s="128"/>
      <c r="I3702" s="128"/>
      <c r="J3702" s="81"/>
      <c r="K3702" s="81"/>
      <c r="L3702" s="81"/>
      <c r="M3702" s="81"/>
      <c r="N3702" s="82"/>
    </row>
    <row r="3703">
      <c r="C3703" s="41"/>
      <c r="D3703" s="141"/>
      <c r="E3703" s="118"/>
      <c r="F3703" s="126"/>
      <c r="G3703" s="126"/>
      <c r="H3703" s="126"/>
      <c r="I3703" s="126"/>
      <c r="J3703" s="76"/>
      <c r="K3703" s="76"/>
      <c r="L3703" s="76"/>
      <c r="M3703" s="76"/>
      <c r="N3703" s="114"/>
    </row>
    <row r="3704">
      <c r="C3704" s="41"/>
      <c r="D3704" s="142"/>
      <c r="E3704" s="130"/>
      <c r="F3704" s="128"/>
      <c r="G3704" s="128"/>
      <c r="H3704" s="128"/>
      <c r="I3704" s="128"/>
      <c r="J3704" s="81"/>
      <c r="K3704" s="81"/>
      <c r="L3704" s="81"/>
      <c r="M3704" s="81"/>
      <c r="N3704" s="82"/>
    </row>
    <row r="3705">
      <c r="C3705" s="41"/>
      <c r="D3705" s="141"/>
      <c r="E3705" s="118"/>
      <c r="F3705" s="126"/>
      <c r="G3705" s="126"/>
      <c r="H3705" s="126"/>
      <c r="I3705" s="126"/>
      <c r="J3705" s="76"/>
      <c r="K3705" s="76"/>
      <c r="L3705" s="76"/>
      <c r="M3705" s="76"/>
      <c r="N3705" s="114"/>
    </row>
    <row r="3706">
      <c r="C3706" s="41"/>
      <c r="D3706" s="142"/>
      <c r="E3706" s="130"/>
      <c r="F3706" s="128"/>
      <c r="G3706" s="128"/>
      <c r="H3706" s="128"/>
      <c r="I3706" s="128"/>
      <c r="J3706" s="81"/>
      <c r="K3706" s="81"/>
      <c r="L3706" s="81"/>
      <c r="M3706" s="81"/>
      <c r="N3706" s="82"/>
    </row>
    <row r="3707">
      <c r="C3707" s="41"/>
      <c r="D3707" s="141"/>
      <c r="E3707" s="118"/>
      <c r="F3707" s="126"/>
      <c r="G3707" s="126"/>
      <c r="H3707" s="126"/>
      <c r="I3707" s="126"/>
      <c r="J3707" s="76"/>
      <c r="K3707" s="76"/>
      <c r="L3707" s="76"/>
      <c r="M3707" s="76"/>
      <c r="N3707" s="114"/>
    </row>
    <row r="3708">
      <c r="C3708" s="41"/>
      <c r="D3708" s="142"/>
      <c r="E3708" s="130"/>
      <c r="F3708" s="128"/>
      <c r="G3708" s="128"/>
      <c r="H3708" s="128"/>
      <c r="I3708" s="128"/>
      <c r="J3708" s="81"/>
      <c r="K3708" s="81"/>
      <c r="L3708" s="81"/>
      <c r="M3708" s="81"/>
      <c r="N3708" s="82"/>
    </row>
    <row r="3709">
      <c r="C3709" s="41"/>
      <c r="D3709" s="141"/>
      <c r="E3709" s="118"/>
      <c r="F3709" s="126"/>
      <c r="G3709" s="126"/>
      <c r="H3709" s="126"/>
      <c r="I3709" s="126"/>
      <c r="J3709" s="76"/>
      <c r="K3709" s="76"/>
      <c r="L3709" s="76"/>
      <c r="M3709" s="76"/>
      <c r="N3709" s="114"/>
    </row>
    <row r="3710">
      <c r="C3710" s="41"/>
      <c r="D3710" s="142"/>
      <c r="E3710" s="130"/>
      <c r="F3710" s="128"/>
      <c r="G3710" s="128"/>
      <c r="H3710" s="128"/>
      <c r="I3710" s="128"/>
      <c r="J3710" s="81"/>
      <c r="K3710" s="81"/>
      <c r="L3710" s="81"/>
      <c r="M3710" s="81"/>
      <c r="N3710" s="82"/>
    </row>
    <row r="3711">
      <c r="C3711" s="41"/>
      <c r="D3711" s="141"/>
      <c r="E3711" s="118"/>
      <c r="F3711" s="126"/>
      <c r="G3711" s="126"/>
      <c r="H3711" s="126"/>
      <c r="I3711" s="126"/>
      <c r="J3711" s="76"/>
      <c r="K3711" s="76"/>
      <c r="L3711" s="76"/>
      <c r="M3711" s="76"/>
      <c r="N3711" s="114"/>
    </row>
    <row r="3712">
      <c r="C3712" s="41"/>
      <c r="D3712" s="142"/>
      <c r="E3712" s="130"/>
      <c r="F3712" s="128"/>
      <c r="G3712" s="128"/>
      <c r="H3712" s="128"/>
      <c r="I3712" s="128"/>
      <c r="J3712" s="81"/>
      <c r="K3712" s="81"/>
      <c r="L3712" s="81"/>
      <c r="M3712" s="81"/>
      <c r="N3712" s="82"/>
    </row>
    <row r="3713">
      <c r="C3713" s="41"/>
      <c r="D3713" s="141"/>
      <c r="E3713" s="118"/>
      <c r="F3713" s="126"/>
      <c r="G3713" s="126"/>
      <c r="H3713" s="126"/>
      <c r="I3713" s="126"/>
      <c r="J3713" s="76"/>
      <c r="K3713" s="76"/>
      <c r="L3713" s="76"/>
      <c r="M3713" s="76"/>
      <c r="N3713" s="114"/>
    </row>
    <row r="3714">
      <c r="C3714" s="41"/>
      <c r="D3714" s="142"/>
      <c r="E3714" s="130"/>
      <c r="F3714" s="128"/>
      <c r="G3714" s="128"/>
      <c r="H3714" s="128"/>
      <c r="I3714" s="128"/>
      <c r="J3714" s="81"/>
      <c r="K3714" s="81"/>
      <c r="L3714" s="81"/>
      <c r="M3714" s="81"/>
      <c r="N3714" s="82"/>
    </row>
    <row r="3715">
      <c r="C3715" s="41"/>
      <c r="D3715" s="141"/>
      <c r="E3715" s="118"/>
      <c r="F3715" s="126"/>
      <c r="G3715" s="126"/>
      <c r="H3715" s="126"/>
      <c r="I3715" s="126"/>
      <c r="J3715" s="76"/>
      <c r="K3715" s="76"/>
      <c r="L3715" s="76"/>
      <c r="M3715" s="76"/>
      <c r="N3715" s="114"/>
    </row>
    <row r="3716">
      <c r="C3716" s="41"/>
      <c r="D3716" s="142"/>
      <c r="E3716" s="130"/>
      <c r="F3716" s="128"/>
      <c r="G3716" s="128"/>
      <c r="H3716" s="128"/>
      <c r="I3716" s="128"/>
      <c r="J3716" s="81"/>
      <c r="K3716" s="81"/>
      <c r="L3716" s="81"/>
      <c r="M3716" s="81"/>
      <c r="N3716" s="82"/>
    </row>
    <row r="3717">
      <c r="C3717" s="41"/>
      <c r="D3717" s="141"/>
      <c r="E3717" s="118"/>
      <c r="F3717" s="126"/>
      <c r="G3717" s="126"/>
      <c r="H3717" s="126"/>
      <c r="I3717" s="126"/>
      <c r="J3717" s="76"/>
      <c r="K3717" s="76"/>
      <c r="L3717" s="76"/>
      <c r="M3717" s="76"/>
      <c r="N3717" s="114"/>
    </row>
    <row r="3718">
      <c r="C3718" s="41"/>
      <c r="D3718" s="142"/>
      <c r="E3718" s="130"/>
      <c r="F3718" s="128"/>
      <c r="G3718" s="128"/>
      <c r="H3718" s="128"/>
      <c r="I3718" s="128"/>
      <c r="J3718" s="81"/>
      <c r="K3718" s="81"/>
      <c r="L3718" s="81"/>
      <c r="M3718" s="81"/>
      <c r="N3718" s="82"/>
    </row>
    <row r="3719">
      <c r="C3719" s="41"/>
      <c r="D3719" s="141"/>
      <c r="E3719" s="118"/>
      <c r="F3719" s="126"/>
      <c r="G3719" s="126"/>
      <c r="H3719" s="126"/>
      <c r="I3719" s="126"/>
      <c r="J3719" s="76"/>
      <c r="K3719" s="76"/>
      <c r="L3719" s="76"/>
      <c r="M3719" s="76"/>
      <c r="N3719" s="114"/>
    </row>
    <row r="3720">
      <c r="C3720" s="41"/>
      <c r="D3720" s="142"/>
      <c r="E3720" s="130"/>
      <c r="F3720" s="128"/>
      <c r="G3720" s="128"/>
      <c r="H3720" s="128"/>
      <c r="I3720" s="128"/>
      <c r="J3720" s="81"/>
      <c r="K3720" s="81"/>
      <c r="L3720" s="81"/>
      <c r="M3720" s="81"/>
      <c r="N3720" s="82"/>
    </row>
    <row r="3721">
      <c r="C3721" s="41"/>
      <c r="D3721" s="141"/>
      <c r="E3721" s="118"/>
      <c r="F3721" s="126"/>
      <c r="G3721" s="126"/>
      <c r="H3721" s="126"/>
      <c r="I3721" s="126"/>
      <c r="J3721" s="76"/>
      <c r="K3721" s="76"/>
      <c r="L3721" s="76"/>
      <c r="M3721" s="76"/>
      <c r="N3721" s="114"/>
    </row>
    <row r="3722">
      <c r="C3722" s="41"/>
      <c r="D3722" s="142"/>
      <c r="E3722" s="130"/>
      <c r="F3722" s="128"/>
      <c r="G3722" s="128"/>
      <c r="H3722" s="128"/>
      <c r="I3722" s="128"/>
      <c r="J3722" s="81"/>
      <c r="K3722" s="81"/>
      <c r="L3722" s="81"/>
      <c r="M3722" s="81"/>
      <c r="N3722" s="82"/>
    </row>
    <row r="3723">
      <c r="C3723" s="41"/>
      <c r="D3723" s="141"/>
      <c r="E3723" s="118"/>
      <c r="F3723" s="126"/>
      <c r="G3723" s="126"/>
      <c r="H3723" s="126"/>
      <c r="I3723" s="126"/>
      <c r="J3723" s="76"/>
      <c r="K3723" s="76"/>
      <c r="L3723" s="76"/>
      <c r="M3723" s="76"/>
      <c r="N3723" s="114"/>
    </row>
    <row r="3724">
      <c r="C3724" s="41"/>
      <c r="D3724" s="142"/>
      <c r="E3724" s="130"/>
      <c r="F3724" s="128"/>
      <c r="G3724" s="128"/>
      <c r="H3724" s="128"/>
      <c r="I3724" s="128"/>
      <c r="J3724" s="81"/>
      <c r="K3724" s="81"/>
      <c r="L3724" s="81"/>
      <c r="M3724" s="81"/>
      <c r="N3724" s="82"/>
    </row>
    <row r="3725">
      <c r="C3725" s="41"/>
      <c r="D3725" s="141"/>
      <c r="E3725" s="118"/>
      <c r="F3725" s="126"/>
      <c r="G3725" s="126"/>
      <c r="H3725" s="126"/>
      <c r="I3725" s="126"/>
      <c r="J3725" s="76"/>
      <c r="K3725" s="76"/>
      <c r="L3725" s="76"/>
      <c r="M3725" s="76"/>
      <c r="N3725" s="114"/>
    </row>
    <row r="3726">
      <c r="C3726" s="41"/>
      <c r="D3726" s="142"/>
      <c r="E3726" s="130"/>
      <c r="F3726" s="128"/>
      <c r="G3726" s="128"/>
      <c r="H3726" s="128"/>
      <c r="I3726" s="128"/>
      <c r="J3726" s="81"/>
      <c r="K3726" s="81"/>
      <c r="L3726" s="81"/>
      <c r="M3726" s="81"/>
      <c r="N3726" s="82"/>
    </row>
    <row r="3727">
      <c r="C3727" s="41"/>
      <c r="D3727" s="141"/>
      <c r="E3727" s="118"/>
      <c r="F3727" s="126"/>
      <c r="G3727" s="126"/>
      <c r="H3727" s="126"/>
      <c r="I3727" s="126"/>
      <c r="J3727" s="76"/>
      <c r="K3727" s="76"/>
      <c r="L3727" s="76"/>
      <c r="M3727" s="76"/>
      <c r="N3727" s="114"/>
    </row>
    <row r="3728">
      <c r="C3728" s="41"/>
      <c r="D3728" s="142"/>
      <c r="E3728" s="130"/>
      <c r="F3728" s="128"/>
      <c r="G3728" s="128"/>
      <c r="H3728" s="128"/>
      <c r="I3728" s="128"/>
      <c r="J3728" s="81"/>
      <c r="K3728" s="81"/>
      <c r="L3728" s="81"/>
      <c r="M3728" s="81"/>
      <c r="N3728" s="82"/>
    </row>
    <row r="3729">
      <c r="C3729" s="41"/>
      <c r="D3729" s="141"/>
      <c r="E3729" s="118"/>
      <c r="F3729" s="126"/>
      <c r="G3729" s="126"/>
      <c r="H3729" s="126"/>
      <c r="I3729" s="126"/>
      <c r="J3729" s="76"/>
      <c r="K3729" s="76"/>
      <c r="L3729" s="76"/>
      <c r="M3729" s="76"/>
      <c r="N3729" s="114"/>
    </row>
    <row r="3730">
      <c r="C3730" s="41"/>
      <c r="D3730" s="142"/>
      <c r="E3730" s="130"/>
      <c r="F3730" s="128"/>
      <c r="G3730" s="128"/>
      <c r="H3730" s="128"/>
      <c r="I3730" s="128"/>
      <c r="J3730" s="81"/>
      <c r="K3730" s="81"/>
      <c r="L3730" s="81"/>
      <c r="M3730" s="81"/>
      <c r="N3730" s="82"/>
    </row>
    <row r="3731">
      <c r="C3731" s="41"/>
      <c r="D3731" s="141"/>
      <c r="E3731" s="118"/>
      <c r="F3731" s="126"/>
      <c r="G3731" s="126"/>
      <c r="H3731" s="126"/>
      <c r="I3731" s="126"/>
      <c r="J3731" s="76"/>
      <c r="K3731" s="76"/>
      <c r="L3731" s="76"/>
      <c r="M3731" s="76"/>
      <c r="N3731" s="114"/>
    </row>
    <row r="3732">
      <c r="C3732" s="41"/>
      <c r="D3732" s="142"/>
      <c r="E3732" s="130"/>
      <c r="F3732" s="128"/>
      <c r="G3732" s="128"/>
      <c r="H3732" s="128"/>
      <c r="I3732" s="128"/>
      <c r="J3732" s="81"/>
      <c r="K3732" s="81"/>
      <c r="L3732" s="81"/>
      <c r="M3732" s="81"/>
      <c r="N3732" s="82"/>
    </row>
    <row r="3733">
      <c r="C3733" s="41"/>
      <c r="D3733" s="141"/>
      <c r="E3733" s="118"/>
      <c r="F3733" s="126"/>
      <c r="G3733" s="126"/>
      <c r="H3733" s="126"/>
      <c r="I3733" s="126"/>
      <c r="J3733" s="76"/>
      <c r="K3733" s="76"/>
      <c r="L3733" s="76"/>
      <c r="M3733" s="76"/>
      <c r="N3733" s="114"/>
    </row>
    <row r="3734">
      <c r="C3734" s="41"/>
      <c r="D3734" s="142"/>
      <c r="E3734" s="130"/>
      <c r="F3734" s="128"/>
      <c r="G3734" s="128"/>
      <c r="H3734" s="128"/>
      <c r="I3734" s="128"/>
      <c r="J3734" s="81"/>
      <c r="K3734" s="81"/>
      <c r="L3734" s="81"/>
      <c r="M3734" s="81"/>
      <c r="N3734" s="82"/>
    </row>
    <row r="3735">
      <c r="C3735" s="41"/>
      <c r="D3735" s="141"/>
      <c r="E3735" s="118"/>
      <c r="F3735" s="126"/>
      <c r="G3735" s="126"/>
      <c r="H3735" s="126"/>
      <c r="I3735" s="126"/>
      <c r="J3735" s="76"/>
      <c r="K3735" s="76"/>
      <c r="L3735" s="76"/>
      <c r="M3735" s="76"/>
      <c r="N3735" s="114"/>
    </row>
    <row r="3736">
      <c r="C3736" s="41"/>
      <c r="D3736" s="142"/>
      <c r="E3736" s="130"/>
      <c r="F3736" s="128"/>
      <c r="G3736" s="128"/>
      <c r="H3736" s="128"/>
      <c r="I3736" s="128"/>
      <c r="J3736" s="81"/>
      <c r="K3736" s="81"/>
      <c r="L3736" s="81"/>
      <c r="M3736" s="81"/>
      <c r="N3736" s="82"/>
    </row>
    <row r="3737">
      <c r="C3737" s="41"/>
      <c r="D3737" s="141"/>
      <c r="E3737" s="118"/>
      <c r="F3737" s="126"/>
      <c r="G3737" s="126"/>
      <c r="H3737" s="126"/>
      <c r="I3737" s="126"/>
      <c r="J3737" s="76"/>
      <c r="K3737" s="76"/>
      <c r="L3737" s="76"/>
      <c r="M3737" s="76"/>
      <c r="N3737" s="114"/>
    </row>
    <row r="3738">
      <c r="C3738" s="41"/>
      <c r="D3738" s="142"/>
      <c r="E3738" s="130"/>
      <c r="F3738" s="128"/>
      <c r="G3738" s="128"/>
      <c r="H3738" s="128"/>
      <c r="I3738" s="128"/>
      <c r="J3738" s="81"/>
      <c r="K3738" s="81"/>
      <c r="L3738" s="81"/>
      <c r="M3738" s="81"/>
      <c r="N3738" s="82"/>
    </row>
    <row r="3739">
      <c r="C3739" s="41"/>
      <c r="D3739" s="141"/>
      <c r="E3739" s="118"/>
      <c r="F3739" s="126"/>
      <c r="G3739" s="126"/>
      <c r="H3739" s="126"/>
      <c r="I3739" s="126"/>
      <c r="J3739" s="76"/>
      <c r="K3739" s="76"/>
      <c r="L3739" s="76"/>
      <c r="M3739" s="76"/>
      <c r="N3739" s="114"/>
    </row>
    <row r="3740">
      <c r="C3740" s="41"/>
      <c r="D3740" s="142"/>
      <c r="E3740" s="130"/>
      <c r="F3740" s="128"/>
      <c r="G3740" s="128"/>
      <c r="H3740" s="128"/>
      <c r="I3740" s="128"/>
      <c r="J3740" s="81"/>
      <c r="K3740" s="81"/>
      <c r="L3740" s="81"/>
      <c r="M3740" s="81"/>
      <c r="N3740" s="82"/>
    </row>
    <row r="3741">
      <c r="C3741" s="41"/>
      <c r="D3741" s="141"/>
      <c r="E3741" s="118"/>
      <c r="F3741" s="126"/>
      <c r="G3741" s="126"/>
      <c r="H3741" s="126"/>
      <c r="I3741" s="126"/>
      <c r="J3741" s="76"/>
      <c r="K3741" s="76"/>
      <c r="L3741" s="76"/>
      <c r="M3741" s="76"/>
      <c r="N3741" s="114"/>
    </row>
    <row r="3742">
      <c r="C3742" s="41"/>
      <c r="D3742" s="142"/>
      <c r="E3742" s="130"/>
      <c r="F3742" s="128"/>
      <c r="G3742" s="128"/>
      <c r="H3742" s="128"/>
      <c r="I3742" s="128"/>
      <c r="J3742" s="81"/>
      <c r="K3742" s="81"/>
      <c r="L3742" s="81"/>
      <c r="M3742" s="81"/>
      <c r="N3742" s="82"/>
    </row>
    <row r="3743">
      <c r="C3743" s="41"/>
      <c r="D3743" s="141"/>
      <c r="E3743" s="118"/>
      <c r="F3743" s="126"/>
      <c r="G3743" s="126"/>
      <c r="H3743" s="126"/>
      <c r="I3743" s="126"/>
      <c r="J3743" s="76"/>
      <c r="K3743" s="76"/>
      <c r="L3743" s="76"/>
      <c r="M3743" s="76"/>
      <c r="N3743" s="114"/>
    </row>
    <row r="3744">
      <c r="C3744" s="41"/>
      <c r="D3744" s="142"/>
      <c r="E3744" s="130"/>
      <c r="F3744" s="128"/>
      <c r="G3744" s="128"/>
      <c r="H3744" s="128"/>
      <c r="I3744" s="128"/>
      <c r="J3744" s="81"/>
      <c r="K3744" s="81"/>
      <c r="L3744" s="81"/>
      <c r="M3744" s="81"/>
      <c r="N3744" s="82"/>
    </row>
    <row r="3745">
      <c r="C3745" s="41"/>
      <c r="D3745" s="141"/>
      <c r="E3745" s="118"/>
      <c r="F3745" s="126"/>
      <c r="G3745" s="126"/>
      <c r="H3745" s="126"/>
      <c r="I3745" s="126"/>
      <c r="J3745" s="76"/>
      <c r="K3745" s="76"/>
      <c r="L3745" s="76"/>
      <c r="M3745" s="76"/>
      <c r="N3745" s="114"/>
    </row>
    <row r="3746">
      <c r="C3746" s="41"/>
      <c r="D3746" s="142"/>
      <c r="E3746" s="130"/>
      <c r="F3746" s="128"/>
      <c r="G3746" s="128"/>
      <c r="H3746" s="128"/>
      <c r="I3746" s="128"/>
      <c r="J3746" s="81"/>
      <c r="K3746" s="81"/>
      <c r="L3746" s="81"/>
      <c r="M3746" s="81"/>
      <c r="N3746" s="82"/>
    </row>
    <row r="3747">
      <c r="C3747" s="41"/>
      <c r="D3747" s="141"/>
      <c r="E3747" s="118"/>
      <c r="F3747" s="126"/>
      <c r="G3747" s="126"/>
      <c r="H3747" s="126"/>
      <c r="I3747" s="126"/>
      <c r="J3747" s="76"/>
      <c r="K3747" s="76"/>
      <c r="L3747" s="76"/>
      <c r="M3747" s="76"/>
      <c r="N3747" s="114"/>
    </row>
    <row r="3748">
      <c r="C3748" s="41"/>
      <c r="D3748" s="142"/>
      <c r="E3748" s="130"/>
      <c r="F3748" s="128"/>
      <c r="G3748" s="128"/>
      <c r="H3748" s="128"/>
      <c r="I3748" s="128"/>
      <c r="J3748" s="81"/>
      <c r="K3748" s="81"/>
      <c r="L3748" s="81"/>
      <c r="M3748" s="81"/>
      <c r="N3748" s="82"/>
    </row>
    <row r="3749">
      <c r="C3749" s="41"/>
      <c r="D3749" s="141"/>
      <c r="E3749" s="118"/>
      <c r="F3749" s="126"/>
      <c r="G3749" s="126"/>
      <c r="H3749" s="126"/>
      <c r="I3749" s="126"/>
      <c r="J3749" s="76"/>
      <c r="K3749" s="76"/>
      <c r="L3749" s="76"/>
      <c r="M3749" s="76"/>
      <c r="N3749" s="114"/>
    </row>
    <row r="3750">
      <c r="C3750" s="41"/>
      <c r="D3750" s="142"/>
      <c r="E3750" s="130"/>
      <c r="F3750" s="128"/>
      <c r="G3750" s="128"/>
      <c r="H3750" s="128"/>
      <c r="I3750" s="128"/>
      <c r="J3750" s="81"/>
      <c r="K3750" s="81"/>
      <c r="L3750" s="81"/>
      <c r="M3750" s="81"/>
      <c r="N3750" s="82"/>
    </row>
    <row r="3751">
      <c r="C3751" s="41"/>
      <c r="D3751" s="141"/>
      <c r="E3751" s="118"/>
      <c r="F3751" s="126"/>
      <c r="G3751" s="126"/>
      <c r="H3751" s="126"/>
      <c r="I3751" s="126"/>
      <c r="J3751" s="76"/>
      <c r="K3751" s="76"/>
      <c r="L3751" s="76"/>
      <c r="M3751" s="76"/>
      <c r="N3751" s="114"/>
    </row>
    <row r="3752">
      <c r="C3752" s="41"/>
      <c r="D3752" s="142"/>
      <c r="E3752" s="130"/>
      <c r="F3752" s="128"/>
      <c r="G3752" s="128"/>
      <c r="H3752" s="128"/>
      <c r="I3752" s="128"/>
      <c r="J3752" s="81"/>
      <c r="K3752" s="81"/>
      <c r="L3752" s="81"/>
      <c r="M3752" s="81"/>
      <c r="N3752" s="82"/>
    </row>
    <row r="3753">
      <c r="C3753" s="41"/>
      <c r="D3753" s="141"/>
      <c r="E3753" s="118"/>
      <c r="F3753" s="126"/>
      <c r="G3753" s="126"/>
      <c r="H3753" s="126"/>
      <c r="I3753" s="126"/>
      <c r="J3753" s="76"/>
      <c r="K3753" s="76"/>
      <c r="L3753" s="76"/>
      <c r="M3753" s="76"/>
      <c r="N3753" s="114"/>
    </row>
    <row r="3754">
      <c r="C3754" s="41"/>
      <c r="D3754" s="142"/>
      <c r="E3754" s="130"/>
      <c r="F3754" s="128"/>
      <c r="G3754" s="128"/>
      <c r="H3754" s="128"/>
      <c r="I3754" s="128"/>
      <c r="J3754" s="81"/>
      <c r="K3754" s="81"/>
      <c r="L3754" s="81"/>
      <c r="M3754" s="81"/>
      <c r="N3754" s="82"/>
    </row>
    <row r="3755">
      <c r="C3755" s="41"/>
      <c r="D3755" s="141"/>
      <c r="E3755" s="118"/>
      <c r="F3755" s="126"/>
      <c r="G3755" s="126"/>
      <c r="H3755" s="126"/>
      <c r="I3755" s="126"/>
      <c r="J3755" s="76"/>
      <c r="K3755" s="76"/>
      <c r="L3755" s="76"/>
      <c r="M3755" s="76"/>
      <c r="N3755" s="114"/>
    </row>
    <row r="3756">
      <c r="C3756" s="41"/>
      <c r="D3756" s="142"/>
      <c r="E3756" s="130"/>
      <c r="F3756" s="128"/>
      <c r="G3756" s="128"/>
      <c r="H3756" s="128"/>
      <c r="I3756" s="128"/>
      <c r="J3756" s="81"/>
      <c r="K3756" s="81"/>
      <c r="L3756" s="81"/>
      <c r="M3756" s="81"/>
      <c r="N3756" s="82"/>
    </row>
    <row r="3757">
      <c r="C3757" s="41"/>
      <c r="D3757" s="141"/>
      <c r="E3757" s="118"/>
      <c r="F3757" s="126"/>
      <c r="G3757" s="126"/>
      <c r="H3757" s="126"/>
      <c r="I3757" s="126"/>
      <c r="J3757" s="76"/>
      <c r="K3757" s="76"/>
      <c r="L3757" s="76"/>
      <c r="M3757" s="76"/>
      <c r="N3757" s="114"/>
    </row>
    <row r="3758">
      <c r="C3758" s="41"/>
      <c r="D3758" s="142"/>
      <c r="E3758" s="130"/>
      <c r="F3758" s="128"/>
      <c r="G3758" s="128"/>
      <c r="H3758" s="128"/>
      <c r="I3758" s="128"/>
      <c r="J3758" s="81"/>
      <c r="K3758" s="81"/>
      <c r="L3758" s="81"/>
      <c r="M3758" s="81"/>
      <c r="N3758" s="82"/>
    </row>
    <row r="3759">
      <c r="C3759" s="41"/>
      <c r="D3759" s="141"/>
      <c r="E3759" s="118"/>
      <c r="F3759" s="126"/>
      <c r="G3759" s="126"/>
      <c r="H3759" s="126"/>
      <c r="I3759" s="126"/>
      <c r="J3759" s="76"/>
      <c r="K3759" s="76"/>
      <c r="L3759" s="76"/>
      <c r="M3759" s="76"/>
      <c r="N3759" s="114"/>
    </row>
    <row r="3760">
      <c r="C3760" s="41"/>
      <c r="D3760" s="142"/>
      <c r="E3760" s="130"/>
      <c r="F3760" s="128"/>
      <c r="G3760" s="128"/>
      <c r="H3760" s="128"/>
      <c r="I3760" s="128"/>
      <c r="J3760" s="81"/>
      <c r="K3760" s="81"/>
      <c r="L3760" s="81"/>
      <c r="M3760" s="81"/>
      <c r="N3760" s="82"/>
    </row>
    <row r="3761">
      <c r="C3761" s="41"/>
      <c r="D3761" s="141"/>
      <c r="E3761" s="118"/>
      <c r="F3761" s="126"/>
      <c r="G3761" s="126"/>
      <c r="H3761" s="126"/>
      <c r="I3761" s="126"/>
      <c r="J3761" s="76"/>
      <c r="K3761" s="76"/>
      <c r="L3761" s="76"/>
      <c r="M3761" s="76"/>
      <c r="N3761" s="114"/>
    </row>
    <row r="3762">
      <c r="C3762" s="41"/>
      <c r="D3762" s="142"/>
      <c r="E3762" s="130"/>
      <c r="F3762" s="128"/>
      <c r="G3762" s="128"/>
      <c r="H3762" s="128"/>
      <c r="I3762" s="128"/>
      <c r="J3762" s="81"/>
      <c r="K3762" s="81"/>
      <c r="L3762" s="81"/>
      <c r="M3762" s="81"/>
      <c r="N3762" s="82"/>
    </row>
    <row r="3763">
      <c r="C3763" s="41"/>
      <c r="D3763" s="141"/>
      <c r="E3763" s="118"/>
      <c r="F3763" s="126"/>
      <c r="G3763" s="126"/>
      <c r="H3763" s="126"/>
      <c r="I3763" s="126"/>
      <c r="J3763" s="76"/>
      <c r="K3763" s="76"/>
      <c r="L3763" s="76"/>
      <c r="M3763" s="76"/>
      <c r="N3763" s="114"/>
    </row>
    <row r="3764">
      <c r="C3764" s="41"/>
      <c r="D3764" s="142"/>
      <c r="E3764" s="130"/>
      <c r="F3764" s="128"/>
      <c r="G3764" s="128"/>
      <c r="H3764" s="128"/>
      <c r="I3764" s="128"/>
      <c r="J3764" s="81"/>
      <c r="K3764" s="81"/>
      <c r="L3764" s="81"/>
      <c r="M3764" s="81"/>
      <c r="N3764" s="82"/>
    </row>
    <row r="3765">
      <c r="C3765" s="41"/>
      <c r="D3765" s="141"/>
      <c r="E3765" s="118"/>
      <c r="F3765" s="126"/>
      <c r="G3765" s="126"/>
      <c r="H3765" s="126"/>
      <c r="I3765" s="126"/>
      <c r="J3765" s="76"/>
      <c r="K3765" s="76"/>
      <c r="L3765" s="76"/>
      <c r="M3765" s="76"/>
      <c r="N3765" s="114"/>
    </row>
    <row r="3766">
      <c r="C3766" s="41"/>
      <c r="D3766" s="142"/>
      <c r="E3766" s="130"/>
      <c r="F3766" s="128"/>
      <c r="G3766" s="128"/>
      <c r="H3766" s="128"/>
      <c r="I3766" s="128"/>
      <c r="J3766" s="81"/>
      <c r="K3766" s="81"/>
      <c r="L3766" s="81"/>
      <c r="M3766" s="81"/>
      <c r="N3766" s="82"/>
    </row>
    <row r="3767">
      <c r="C3767" s="41"/>
      <c r="D3767" s="141"/>
      <c r="E3767" s="118"/>
      <c r="F3767" s="126"/>
      <c r="G3767" s="126"/>
      <c r="H3767" s="126"/>
      <c r="I3767" s="126"/>
      <c r="J3767" s="76"/>
      <c r="K3767" s="76"/>
      <c r="L3767" s="76"/>
      <c r="M3767" s="76"/>
      <c r="N3767" s="114"/>
    </row>
    <row r="3768">
      <c r="C3768" s="41"/>
      <c r="D3768" s="142"/>
      <c r="E3768" s="130"/>
      <c r="F3768" s="128"/>
      <c r="G3768" s="128"/>
      <c r="H3768" s="128"/>
      <c r="I3768" s="128"/>
      <c r="J3768" s="81"/>
      <c r="K3768" s="81"/>
      <c r="L3768" s="81"/>
      <c r="M3768" s="81"/>
      <c r="N3768" s="82"/>
    </row>
    <row r="3769">
      <c r="C3769" s="41"/>
      <c r="D3769" s="141"/>
      <c r="E3769" s="118"/>
      <c r="F3769" s="126"/>
      <c r="G3769" s="126"/>
      <c r="H3769" s="126"/>
      <c r="I3769" s="126"/>
      <c r="J3769" s="76"/>
      <c r="K3769" s="76"/>
      <c r="L3769" s="76"/>
      <c r="M3769" s="76"/>
      <c r="N3769" s="114"/>
    </row>
    <row r="3770">
      <c r="C3770" s="41"/>
      <c r="D3770" s="142"/>
      <c r="E3770" s="130"/>
      <c r="F3770" s="128"/>
      <c r="G3770" s="128"/>
      <c r="H3770" s="128"/>
      <c r="I3770" s="128"/>
      <c r="J3770" s="81"/>
      <c r="K3770" s="81"/>
      <c r="L3770" s="81"/>
      <c r="M3770" s="81"/>
      <c r="N3770" s="82"/>
    </row>
    <row r="3771">
      <c r="C3771" s="41"/>
      <c r="D3771" s="141"/>
      <c r="E3771" s="118"/>
      <c r="F3771" s="126"/>
      <c r="G3771" s="126"/>
      <c r="H3771" s="126"/>
      <c r="I3771" s="126"/>
      <c r="J3771" s="76"/>
      <c r="K3771" s="76"/>
      <c r="L3771" s="76"/>
      <c r="M3771" s="76"/>
      <c r="N3771" s="114"/>
    </row>
    <row r="3772">
      <c r="C3772" s="41"/>
      <c r="D3772" s="142"/>
      <c r="E3772" s="130"/>
      <c r="F3772" s="128"/>
      <c r="G3772" s="128"/>
      <c r="H3772" s="128"/>
      <c r="I3772" s="128"/>
      <c r="J3772" s="81"/>
      <c r="K3772" s="81"/>
      <c r="L3772" s="81"/>
      <c r="M3772" s="81"/>
      <c r="N3772" s="82"/>
    </row>
    <row r="3773">
      <c r="C3773" s="41"/>
      <c r="D3773" s="141"/>
      <c r="E3773" s="118"/>
      <c r="F3773" s="126"/>
      <c r="G3773" s="126"/>
      <c r="H3773" s="126"/>
      <c r="I3773" s="126"/>
      <c r="J3773" s="76"/>
      <c r="K3773" s="76"/>
      <c r="L3773" s="76"/>
      <c r="M3773" s="76"/>
      <c r="N3773" s="114"/>
    </row>
    <row r="3774">
      <c r="C3774" s="41"/>
      <c r="D3774" s="142"/>
      <c r="E3774" s="130"/>
      <c r="F3774" s="128"/>
      <c r="G3774" s="128"/>
      <c r="H3774" s="128"/>
      <c r="I3774" s="128"/>
      <c r="J3774" s="81"/>
      <c r="K3774" s="81"/>
      <c r="L3774" s="81"/>
      <c r="M3774" s="81"/>
      <c r="N3774" s="82"/>
    </row>
    <row r="3775">
      <c r="C3775" s="41"/>
      <c r="D3775" s="141"/>
      <c r="E3775" s="118"/>
      <c r="F3775" s="126"/>
      <c r="G3775" s="126"/>
      <c r="H3775" s="126"/>
      <c r="I3775" s="126"/>
      <c r="J3775" s="76"/>
      <c r="K3775" s="76"/>
      <c r="L3775" s="76"/>
      <c r="M3775" s="76"/>
      <c r="N3775" s="114"/>
    </row>
    <row r="3776">
      <c r="C3776" s="41"/>
      <c r="D3776" s="142"/>
      <c r="E3776" s="130"/>
      <c r="F3776" s="128"/>
      <c r="G3776" s="128"/>
      <c r="H3776" s="128"/>
      <c r="I3776" s="128"/>
      <c r="J3776" s="81"/>
      <c r="K3776" s="81"/>
      <c r="L3776" s="81"/>
      <c r="M3776" s="81"/>
      <c r="N3776" s="82"/>
    </row>
    <row r="3777">
      <c r="C3777" s="41"/>
      <c r="D3777" s="141"/>
      <c r="E3777" s="118"/>
      <c r="F3777" s="126"/>
      <c r="G3777" s="126"/>
      <c r="H3777" s="126"/>
      <c r="I3777" s="126"/>
      <c r="J3777" s="76"/>
      <c r="K3777" s="76"/>
      <c r="L3777" s="76"/>
      <c r="M3777" s="76"/>
      <c r="N3777" s="114"/>
    </row>
    <row r="3778">
      <c r="C3778" s="41"/>
      <c r="D3778" s="142"/>
      <c r="E3778" s="130"/>
      <c r="F3778" s="128"/>
      <c r="G3778" s="128"/>
      <c r="H3778" s="128"/>
      <c r="I3778" s="128"/>
      <c r="J3778" s="81"/>
      <c r="K3778" s="81"/>
      <c r="L3778" s="81"/>
      <c r="M3778" s="81"/>
      <c r="N3778" s="82"/>
    </row>
    <row r="3779">
      <c r="C3779" s="41"/>
      <c r="D3779" s="141"/>
      <c r="E3779" s="118"/>
      <c r="F3779" s="126"/>
      <c r="G3779" s="126"/>
      <c r="H3779" s="126"/>
      <c r="I3779" s="126"/>
      <c r="J3779" s="76"/>
      <c r="K3779" s="76"/>
      <c r="L3779" s="76"/>
      <c r="M3779" s="76"/>
      <c r="N3779" s="114"/>
    </row>
    <row r="3780">
      <c r="C3780" s="41"/>
      <c r="D3780" s="142"/>
      <c r="E3780" s="130"/>
      <c r="F3780" s="128"/>
      <c r="G3780" s="128"/>
      <c r="H3780" s="128"/>
      <c r="I3780" s="128"/>
      <c r="J3780" s="81"/>
      <c r="K3780" s="81"/>
      <c r="L3780" s="81"/>
      <c r="M3780" s="81"/>
      <c r="N3780" s="82"/>
    </row>
    <row r="3781">
      <c r="C3781" s="41"/>
      <c r="D3781" s="141"/>
      <c r="E3781" s="118"/>
      <c r="F3781" s="126"/>
      <c r="G3781" s="126"/>
      <c r="H3781" s="126"/>
      <c r="I3781" s="126"/>
      <c r="J3781" s="76"/>
      <c r="K3781" s="76"/>
      <c r="L3781" s="76"/>
      <c r="M3781" s="76"/>
      <c r="N3781" s="114"/>
    </row>
    <row r="3782">
      <c r="C3782" s="41"/>
      <c r="D3782" s="142"/>
      <c r="E3782" s="130"/>
      <c r="F3782" s="128"/>
      <c r="G3782" s="128"/>
      <c r="H3782" s="128"/>
      <c r="I3782" s="128"/>
      <c r="J3782" s="81"/>
      <c r="K3782" s="81"/>
      <c r="L3782" s="81"/>
      <c r="M3782" s="81"/>
      <c r="N3782" s="82"/>
    </row>
    <row r="3783">
      <c r="C3783" s="41"/>
      <c r="D3783" s="141"/>
      <c r="E3783" s="118"/>
      <c r="F3783" s="126"/>
      <c r="G3783" s="126"/>
      <c r="H3783" s="126"/>
      <c r="I3783" s="126"/>
      <c r="J3783" s="76"/>
      <c r="K3783" s="76"/>
      <c r="L3783" s="76"/>
      <c r="M3783" s="76"/>
      <c r="N3783" s="114"/>
    </row>
    <row r="3784">
      <c r="C3784" s="41"/>
      <c r="D3784" s="142"/>
      <c r="E3784" s="130"/>
      <c r="F3784" s="128"/>
      <c r="G3784" s="128"/>
      <c r="H3784" s="128"/>
      <c r="I3784" s="128"/>
      <c r="J3784" s="81"/>
      <c r="K3784" s="81"/>
      <c r="L3784" s="81"/>
      <c r="M3784" s="81"/>
      <c r="N3784" s="82"/>
    </row>
    <row r="3785">
      <c r="C3785" s="41"/>
      <c r="D3785" s="141"/>
      <c r="E3785" s="118"/>
      <c r="F3785" s="126"/>
      <c r="G3785" s="126"/>
      <c r="H3785" s="126"/>
      <c r="I3785" s="126"/>
      <c r="J3785" s="76"/>
      <c r="K3785" s="76"/>
      <c r="L3785" s="76"/>
      <c r="M3785" s="76"/>
      <c r="N3785" s="114"/>
    </row>
    <row r="3786">
      <c r="C3786" s="41"/>
      <c r="D3786" s="142"/>
      <c r="E3786" s="130"/>
      <c r="F3786" s="128"/>
      <c r="G3786" s="128"/>
      <c r="H3786" s="128"/>
      <c r="I3786" s="128"/>
      <c r="J3786" s="81"/>
      <c r="K3786" s="81"/>
      <c r="L3786" s="81"/>
      <c r="M3786" s="81"/>
      <c r="N3786" s="82"/>
    </row>
    <row r="3787">
      <c r="C3787" s="41"/>
      <c r="D3787" s="141"/>
      <c r="E3787" s="118"/>
      <c r="F3787" s="126"/>
      <c r="G3787" s="126"/>
      <c r="H3787" s="126"/>
      <c r="I3787" s="126"/>
      <c r="J3787" s="76"/>
      <c r="K3787" s="76"/>
      <c r="L3787" s="76"/>
      <c r="M3787" s="76"/>
      <c r="N3787" s="114"/>
    </row>
    <row r="3788">
      <c r="C3788" s="41"/>
      <c r="D3788" s="142"/>
      <c r="E3788" s="130"/>
      <c r="F3788" s="128"/>
      <c r="G3788" s="128"/>
      <c r="H3788" s="128"/>
      <c r="I3788" s="128"/>
      <c r="J3788" s="81"/>
      <c r="K3788" s="81"/>
      <c r="L3788" s="81"/>
      <c r="M3788" s="81"/>
      <c r="N3788" s="82"/>
    </row>
    <row r="3789">
      <c r="C3789" s="41"/>
      <c r="D3789" s="141"/>
      <c r="E3789" s="118"/>
      <c r="F3789" s="126"/>
      <c r="G3789" s="126"/>
      <c r="H3789" s="126"/>
      <c r="I3789" s="126"/>
      <c r="J3789" s="76"/>
      <c r="K3789" s="76"/>
      <c r="L3789" s="76"/>
      <c r="M3789" s="76"/>
      <c r="N3789" s="114"/>
    </row>
    <row r="3790">
      <c r="C3790" s="41"/>
      <c r="D3790" s="142"/>
      <c r="E3790" s="130"/>
      <c r="F3790" s="128"/>
      <c r="G3790" s="128"/>
      <c r="H3790" s="128"/>
      <c r="I3790" s="128"/>
      <c r="J3790" s="81"/>
      <c r="K3790" s="81"/>
      <c r="L3790" s="81"/>
      <c r="M3790" s="81"/>
      <c r="N3790" s="82"/>
    </row>
    <row r="3791">
      <c r="C3791" s="41"/>
      <c r="D3791" s="141"/>
      <c r="E3791" s="118"/>
      <c r="F3791" s="126"/>
      <c r="G3791" s="126"/>
      <c r="H3791" s="126"/>
      <c r="I3791" s="126"/>
      <c r="J3791" s="76"/>
      <c r="K3791" s="76"/>
      <c r="L3791" s="76"/>
      <c r="M3791" s="76"/>
      <c r="N3791" s="114"/>
    </row>
    <row r="3792">
      <c r="C3792" s="41"/>
      <c r="D3792" s="142"/>
      <c r="E3792" s="130"/>
      <c r="F3792" s="128"/>
      <c r="G3792" s="128"/>
      <c r="H3792" s="128"/>
      <c r="I3792" s="128"/>
      <c r="J3792" s="81"/>
      <c r="K3792" s="81"/>
      <c r="L3792" s="81"/>
      <c r="M3792" s="81"/>
      <c r="N3792" s="82"/>
    </row>
    <row r="3793">
      <c r="C3793" s="41"/>
      <c r="D3793" s="141"/>
      <c r="E3793" s="118"/>
      <c r="F3793" s="126"/>
      <c r="G3793" s="126"/>
      <c r="H3793" s="126"/>
      <c r="I3793" s="126"/>
      <c r="J3793" s="76"/>
      <c r="K3793" s="76"/>
      <c r="L3793" s="76"/>
      <c r="M3793" s="76"/>
      <c r="N3793" s="114"/>
    </row>
    <row r="3794">
      <c r="C3794" s="41"/>
      <c r="D3794" s="142"/>
      <c r="E3794" s="130"/>
      <c r="F3794" s="128"/>
      <c r="G3794" s="128"/>
      <c r="H3794" s="128"/>
      <c r="I3794" s="128"/>
      <c r="J3794" s="81"/>
      <c r="K3794" s="81"/>
      <c r="L3794" s="81"/>
      <c r="M3794" s="81"/>
      <c r="N3794" s="82"/>
    </row>
    <row r="3795">
      <c r="C3795" s="41"/>
      <c r="D3795" s="141"/>
      <c r="E3795" s="118"/>
      <c r="F3795" s="126"/>
      <c r="G3795" s="126"/>
      <c r="H3795" s="126"/>
      <c r="I3795" s="126"/>
      <c r="J3795" s="76"/>
      <c r="K3795" s="76"/>
      <c r="L3795" s="76"/>
      <c r="M3795" s="76"/>
      <c r="N3795" s="114"/>
    </row>
    <row r="3796">
      <c r="C3796" s="41"/>
      <c r="D3796" s="142"/>
      <c r="E3796" s="130"/>
      <c r="F3796" s="128"/>
      <c r="G3796" s="128"/>
      <c r="H3796" s="128"/>
      <c r="I3796" s="128"/>
      <c r="J3796" s="81"/>
      <c r="K3796" s="81"/>
      <c r="L3796" s="81"/>
      <c r="M3796" s="81"/>
      <c r="N3796" s="82"/>
    </row>
    <row r="3797">
      <c r="C3797" s="41"/>
      <c r="D3797" s="141"/>
      <c r="E3797" s="118"/>
      <c r="F3797" s="126"/>
      <c r="G3797" s="126"/>
      <c r="H3797" s="126"/>
      <c r="I3797" s="126"/>
      <c r="J3797" s="76"/>
      <c r="K3797" s="76"/>
      <c r="L3797" s="76"/>
      <c r="M3797" s="76"/>
      <c r="N3797" s="114"/>
    </row>
    <row r="3798">
      <c r="C3798" s="41"/>
      <c r="D3798" s="142"/>
      <c r="E3798" s="130"/>
      <c r="F3798" s="128"/>
      <c r="G3798" s="128"/>
      <c r="H3798" s="128"/>
      <c r="I3798" s="128"/>
      <c r="J3798" s="81"/>
      <c r="K3798" s="81"/>
      <c r="L3798" s="81"/>
      <c r="M3798" s="81"/>
      <c r="N3798" s="82"/>
    </row>
    <row r="3799">
      <c r="C3799" s="41"/>
      <c r="D3799" s="141"/>
      <c r="E3799" s="118"/>
      <c r="F3799" s="126"/>
      <c r="G3799" s="126"/>
      <c r="H3799" s="126"/>
      <c r="I3799" s="126"/>
      <c r="J3799" s="76"/>
      <c r="K3799" s="76"/>
      <c r="L3799" s="76"/>
      <c r="M3799" s="76"/>
      <c r="N3799" s="114"/>
    </row>
    <row r="3800">
      <c r="C3800" s="41"/>
      <c r="D3800" s="142"/>
      <c r="E3800" s="130"/>
      <c r="F3800" s="128"/>
      <c r="G3800" s="128"/>
      <c r="H3800" s="128"/>
      <c r="I3800" s="128"/>
      <c r="J3800" s="81"/>
      <c r="K3800" s="81"/>
      <c r="L3800" s="81"/>
      <c r="M3800" s="81"/>
      <c r="N3800" s="82"/>
    </row>
    <row r="3801">
      <c r="C3801" s="41"/>
      <c r="D3801" s="141"/>
      <c r="E3801" s="118"/>
      <c r="F3801" s="126"/>
      <c r="G3801" s="126"/>
      <c r="H3801" s="126"/>
      <c r="I3801" s="126"/>
      <c r="J3801" s="76"/>
      <c r="K3801" s="76"/>
      <c r="L3801" s="76"/>
      <c r="M3801" s="76"/>
      <c r="N3801" s="114"/>
    </row>
    <row r="3802">
      <c r="C3802" s="41"/>
      <c r="D3802" s="142"/>
      <c r="E3802" s="130"/>
      <c r="F3802" s="128"/>
      <c r="G3802" s="128"/>
      <c r="H3802" s="128"/>
      <c r="I3802" s="128"/>
      <c r="J3802" s="81"/>
      <c r="K3802" s="81"/>
      <c r="L3802" s="81"/>
      <c r="M3802" s="81"/>
      <c r="N3802" s="82"/>
    </row>
    <row r="3803">
      <c r="C3803" s="41"/>
      <c r="D3803" s="141"/>
      <c r="E3803" s="118"/>
      <c r="F3803" s="126"/>
      <c r="G3803" s="126"/>
      <c r="H3803" s="126"/>
      <c r="I3803" s="126"/>
      <c r="J3803" s="76"/>
      <c r="K3803" s="76"/>
      <c r="L3803" s="76"/>
      <c r="M3803" s="76"/>
      <c r="N3803" s="114"/>
    </row>
    <row r="3804">
      <c r="C3804" s="41"/>
      <c r="D3804" s="142"/>
      <c r="E3804" s="130"/>
      <c r="F3804" s="128"/>
      <c r="G3804" s="128"/>
      <c r="H3804" s="128"/>
      <c r="I3804" s="128"/>
      <c r="J3804" s="81"/>
      <c r="K3804" s="81"/>
      <c r="L3804" s="81"/>
      <c r="M3804" s="81"/>
      <c r="N3804" s="82"/>
    </row>
    <row r="3805">
      <c r="C3805" s="41"/>
      <c r="D3805" s="141"/>
      <c r="E3805" s="118"/>
      <c r="F3805" s="126"/>
      <c r="G3805" s="126"/>
      <c r="H3805" s="126"/>
      <c r="I3805" s="126"/>
      <c r="J3805" s="76"/>
      <c r="K3805" s="76"/>
      <c r="L3805" s="76"/>
      <c r="M3805" s="76"/>
      <c r="N3805" s="114"/>
    </row>
    <row r="3806">
      <c r="C3806" s="41"/>
      <c r="D3806" s="142"/>
      <c r="E3806" s="130"/>
      <c r="F3806" s="128"/>
      <c r="G3806" s="128"/>
      <c r="H3806" s="128"/>
      <c r="I3806" s="128"/>
      <c r="J3806" s="81"/>
      <c r="K3806" s="81"/>
      <c r="L3806" s="81"/>
      <c r="M3806" s="81"/>
      <c r="N3806" s="82"/>
    </row>
    <row r="3807">
      <c r="C3807" s="41"/>
      <c r="D3807" s="141"/>
      <c r="E3807" s="118"/>
      <c r="F3807" s="126"/>
      <c r="G3807" s="126"/>
      <c r="H3807" s="126"/>
      <c r="I3807" s="126"/>
      <c r="J3807" s="76"/>
      <c r="K3807" s="76"/>
      <c r="L3807" s="76"/>
      <c r="M3807" s="76"/>
      <c r="N3807" s="114"/>
    </row>
    <row r="3808">
      <c r="C3808" s="41"/>
      <c r="D3808" s="142"/>
      <c r="E3808" s="130"/>
      <c r="F3808" s="128"/>
      <c r="G3808" s="128"/>
      <c r="H3808" s="128"/>
      <c r="I3808" s="128"/>
      <c r="J3808" s="81"/>
      <c r="K3808" s="81"/>
      <c r="L3808" s="81"/>
      <c r="M3808" s="81"/>
      <c r="N3808" s="82"/>
    </row>
    <row r="3809">
      <c r="C3809" s="41"/>
      <c r="D3809" s="141"/>
      <c r="E3809" s="118"/>
      <c r="F3809" s="126"/>
      <c r="G3809" s="126"/>
      <c r="H3809" s="126"/>
      <c r="I3809" s="126"/>
      <c r="J3809" s="76"/>
      <c r="K3809" s="76"/>
      <c r="L3809" s="76"/>
      <c r="M3809" s="76"/>
      <c r="N3809" s="114"/>
    </row>
    <row r="3810">
      <c r="C3810" s="41"/>
      <c r="D3810" s="142"/>
      <c r="E3810" s="130"/>
      <c r="F3810" s="128"/>
      <c r="G3810" s="128"/>
      <c r="H3810" s="128"/>
      <c r="I3810" s="128"/>
      <c r="J3810" s="81"/>
      <c r="K3810" s="81"/>
      <c r="L3810" s="81"/>
      <c r="M3810" s="81"/>
      <c r="N3810" s="82"/>
    </row>
    <row r="3811">
      <c r="C3811" s="41"/>
      <c r="D3811" s="141"/>
      <c r="E3811" s="118"/>
      <c r="F3811" s="126"/>
      <c r="G3811" s="126"/>
      <c r="H3811" s="126"/>
      <c r="I3811" s="126"/>
      <c r="J3811" s="76"/>
      <c r="K3811" s="76"/>
      <c r="L3811" s="76"/>
      <c r="M3811" s="76"/>
      <c r="N3811" s="114"/>
    </row>
    <row r="3812">
      <c r="C3812" s="41"/>
      <c r="D3812" s="142"/>
      <c r="E3812" s="130"/>
      <c r="F3812" s="128"/>
      <c r="G3812" s="128"/>
      <c r="H3812" s="128"/>
      <c r="I3812" s="128"/>
      <c r="J3812" s="81"/>
      <c r="K3812" s="81"/>
      <c r="L3812" s="81"/>
      <c r="M3812" s="81"/>
      <c r="N3812" s="82"/>
    </row>
    <row r="3813">
      <c r="C3813" s="41"/>
      <c r="D3813" s="141"/>
      <c r="E3813" s="118"/>
      <c r="F3813" s="126"/>
      <c r="G3813" s="126"/>
      <c r="H3813" s="126"/>
      <c r="I3813" s="126"/>
      <c r="J3813" s="76"/>
      <c r="K3813" s="76"/>
      <c r="L3813" s="76"/>
      <c r="M3813" s="76"/>
      <c r="N3813" s="114"/>
    </row>
    <row r="3814">
      <c r="C3814" s="41"/>
      <c r="D3814" s="142"/>
      <c r="E3814" s="130"/>
      <c r="F3814" s="128"/>
      <c r="G3814" s="128"/>
      <c r="H3814" s="128"/>
      <c r="I3814" s="128"/>
      <c r="J3814" s="81"/>
      <c r="K3814" s="81"/>
      <c r="L3814" s="81"/>
      <c r="M3814" s="81"/>
      <c r="N3814" s="82"/>
    </row>
    <row r="3815">
      <c r="C3815" s="41"/>
      <c r="D3815" s="141"/>
      <c r="E3815" s="118"/>
      <c r="F3815" s="126"/>
      <c r="G3815" s="126"/>
      <c r="H3815" s="126"/>
      <c r="I3815" s="126"/>
      <c r="J3815" s="76"/>
      <c r="K3815" s="76"/>
      <c r="L3815" s="76"/>
      <c r="M3815" s="76"/>
      <c r="N3815" s="114"/>
    </row>
    <row r="3816">
      <c r="C3816" s="41"/>
      <c r="D3816" s="142"/>
      <c r="E3816" s="130"/>
      <c r="F3816" s="128"/>
      <c r="G3816" s="128"/>
      <c r="H3816" s="128"/>
      <c r="I3816" s="128"/>
      <c r="J3816" s="81"/>
      <c r="K3816" s="81"/>
      <c r="L3816" s="81"/>
      <c r="M3816" s="81"/>
      <c r="N3816" s="82"/>
    </row>
    <row r="3817">
      <c r="C3817" s="41"/>
      <c r="D3817" s="141"/>
      <c r="E3817" s="118"/>
      <c r="F3817" s="126"/>
      <c r="G3817" s="126"/>
      <c r="H3817" s="126"/>
      <c r="I3817" s="126"/>
      <c r="J3817" s="76"/>
      <c r="K3817" s="76"/>
      <c r="L3817" s="76"/>
      <c r="M3817" s="76"/>
      <c r="N3817" s="114"/>
    </row>
    <row r="3818">
      <c r="C3818" s="41"/>
      <c r="D3818" s="142"/>
      <c r="E3818" s="130"/>
      <c r="F3818" s="128"/>
      <c r="G3818" s="128"/>
      <c r="H3818" s="128"/>
      <c r="I3818" s="128"/>
      <c r="J3818" s="81"/>
      <c r="K3818" s="81"/>
      <c r="L3818" s="81"/>
      <c r="M3818" s="81"/>
      <c r="N3818" s="82"/>
    </row>
    <row r="3819">
      <c r="C3819" s="41"/>
      <c r="D3819" s="141"/>
      <c r="E3819" s="118"/>
      <c r="F3819" s="126"/>
      <c r="G3819" s="126"/>
      <c r="H3819" s="126"/>
      <c r="I3819" s="126"/>
      <c r="J3819" s="76"/>
      <c r="K3819" s="76"/>
      <c r="L3819" s="76"/>
      <c r="M3819" s="76"/>
      <c r="N3819" s="114"/>
    </row>
    <row r="3820">
      <c r="C3820" s="41"/>
      <c r="D3820" s="142"/>
      <c r="E3820" s="130"/>
      <c r="F3820" s="128"/>
      <c r="G3820" s="128"/>
      <c r="H3820" s="128"/>
      <c r="I3820" s="128"/>
      <c r="J3820" s="81"/>
      <c r="K3820" s="81"/>
      <c r="L3820" s="81"/>
      <c r="M3820" s="81"/>
      <c r="N3820" s="82"/>
    </row>
    <row r="3821">
      <c r="C3821" s="41"/>
      <c r="D3821" s="141"/>
      <c r="E3821" s="118"/>
      <c r="F3821" s="126"/>
      <c r="G3821" s="126"/>
      <c r="H3821" s="126"/>
      <c r="I3821" s="126"/>
      <c r="J3821" s="76"/>
      <c r="K3821" s="76"/>
      <c r="L3821" s="76"/>
      <c r="M3821" s="76"/>
      <c r="N3821" s="114"/>
    </row>
    <row r="3822">
      <c r="C3822" s="41"/>
      <c r="D3822" s="142"/>
      <c r="E3822" s="130"/>
      <c r="F3822" s="128"/>
      <c r="G3822" s="128"/>
      <c r="H3822" s="128"/>
      <c r="I3822" s="128"/>
      <c r="J3822" s="81"/>
      <c r="K3822" s="81"/>
      <c r="L3822" s="81"/>
      <c r="M3822" s="81"/>
      <c r="N3822" s="82"/>
    </row>
    <row r="3823">
      <c r="C3823" s="41"/>
      <c r="D3823" s="141"/>
      <c r="E3823" s="118"/>
      <c r="F3823" s="126"/>
      <c r="G3823" s="126"/>
      <c r="H3823" s="126"/>
      <c r="I3823" s="126"/>
      <c r="J3823" s="76"/>
      <c r="K3823" s="76"/>
      <c r="L3823" s="76"/>
      <c r="M3823" s="76"/>
      <c r="N3823" s="114"/>
    </row>
    <row r="3824">
      <c r="C3824" s="41"/>
      <c r="D3824" s="142"/>
      <c r="E3824" s="130"/>
      <c r="F3824" s="128"/>
      <c r="G3824" s="128"/>
      <c r="H3824" s="128"/>
      <c r="I3824" s="128"/>
      <c r="J3824" s="81"/>
      <c r="K3824" s="81"/>
      <c r="L3824" s="81"/>
      <c r="M3824" s="81"/>
      <c r="N3824" s="82"/>
    </row>
    <row r="3825">
      <c r="C3825" s="41"/>
      <c r="D3825" s="141"/>
      <c r="E3825" s="118"/>
      <c r="F3825" s="126"/>
      <c r="G3825" s="126"/>
      <c r="H3825" s="126"/>
      <c r="I3825" s="126"/>
      <c r="J3825" s="76"/>
      <c r="K3825" s="76"/>
      <c r="L3825" s="76"/>
      <c r="M3825" s="76"/>
      <c r="N3825" s="114"/>
    </row>
    <row r="3826">
      <c r="C3826" s="41"/>
      <c r="D3826" s="142"/>
      <c r="E3826" s="130"/>
      <c r="F3826" s="128"/>
      <c r="G3826" s="128"/>
      <c r="H3826" s="128"/>
      <c r="I3826" s="128"/>
      <c r="J3826" s="81"/>
      <c r="K3826" s="81"/>
      <c r="L3826" s="81"/>
      <c r="M3826" s="81"/>
      <c r="N3826" s="82"/>
    </row>
    <row r="3827">
      <c r="C3827" s="41"/>
      <c r="D3827" s="141"/>
      <c r="E3827" s="118"/>
      <c r="F3827" s="126"/>
      <c r="G3827" s="126"/>
      <c r="H3827" s="126"/>
      <c r="I3827" s="126"/>
      <c r="J3827" s="76"/>
      <c r="K3827" s="76"/>
      <c r="L3827" s="76"/>
      <c r="M3827" s="76"/>
      <c r="N3827" s="114"/>
    </row>
    <row r="3828">
      <c r="C3828" s="41"/>
      <c r="D3828" s="142"/>
      <c r="E3828" s="130"/>
      <c r="F3828" s="128"/>
      <c r="G3828" s="128"/>
      <c r="H3828" s="128"/>
      <c r="I3828" s="128"/>
      <c r="J3828" s="81"/>
      <c r="K3828" s="81"/>
      <c r="L3828" s="81"/>
      <c r="M3828" s="81"/>
      <c r="N3828" s="82"/>
    </row>
    <row r="3829">
      <c r="C3829" s="41"/>
      <c r="D3829" s="141"/>
      <c r="E3829" s="118"/>
      <c r="F3829" s="126"/>
      <c r="G3829" s="126"/>
      <c r="H3829" s="126"/>
      <c r="I3829" s="126"/>
      <c r="J3829" s="76"/>
      <c r="K3829" s="76"/>
      <c r="L3829" s="76"/>
      <c r="M3829" s="76"/>
      <c r="N3829" s="114"/>
    </row>
    <row r="3830">
      <c r="C3830" s="41"/>
      <c r="D3830" s="142"/>
      <c r="E3830" s="130"/>
      <c r="F3830" s="128"/>
      <c r="G3830" s="128"/>
      <c r="H3830" s="128"/>
      <c r="I3830" s="128"/>
      <c r="J3830" s="81"/>
      <c r="K3830" s="81"/>
      <c r="L3830" s="81"/>
      <c r="M3830" s="81"/>
      <c r="N3830" s="82"/>
    </row>
    <row r="3831">
      <c r="C3831" s="41"/>
      <c r="D3831" s="141"/>
      <c r="E3831" s="118"/>
      <c r="F3831" s="126"/>
      <c r="G3831" s="126"/>
      <c r="H3831" s="126"/>
      <c r="I3831" s="126"/>
      <c r="J3831" s="76"/>
      <c r="K3831" s="76"/>
      <c r="L3831" s="76"/>
      <c r="M3831" s="76"/>
      <c r="N3831" s="114"/>
    </row>
    <row r="3832">
      <c r="C3832" s="41"/>
      <c r="D3832" s="142"/>
      <c r="E3832" s="130"/>
      <c r="F3832" s="128"/>
      <c r="G3832" s="128"/>
      <c r="H3832" s="128"/>
      <c r="I3832" s="128"/>
      <c r="J3832" s="81"/>
      <c r="K3832" s="81"/>
      <c r="L3832" s="81"/>
      <c r="M3832" s="81"/>
      <c r="N3832" s="82"/>
    </row>
    <row r="3833">
      <c r="C3833" s="41"/>
      <c r="D3833" s="141"/>
      <c r="E3833" s="118"/>
      <c r="F3833" s="126"/>
      <c r="G3833" s="126"/>
      <c r="H3833" s="126"/>
      <c r="I3833" s="126"/>
      <c r="J3833" s="76"/>
      <c r="K3833" s="76"/>
      <c r="L3833" s="76"/>
      <c r="M3833" s="76"/>
      <c r="N3833" s="114"/>
    </row>
    <row r="3834">
      <c r="C3834" s="41"/>
      <c r="D3834" s="142"/>
      <c r="E3834" s="130"/>
      <c r="F3834" s="128"/>
      <c r="G3834" s="128"/>
      <c r="H3834" s="128"/>
      <c r="I3834" s="128"/>
      <c r="J3834" s="81"/>
      <c r="K3834" s="81"/>
      <c r="L3834" s="81"/>
      <c r="M3834" s="81"/>
      <c r="N3834" s="82"/>
    </row>
    <row r="3835">
      <c r="C3835" s="41"/>
      <c r="D3835" s="141"/>
      <c r="E3835" s="118"/>
      <c r="F3835" s="126"/>
      <c r="G3835" s="126"/>
      <c r="H3835" s="126"/>
      <c r="I3835" s="126"/>
      <c r="J3835" s="76"/>
      <c r="K3835" s="76"/>
      <c r="L3835" s="76"/>
      <c r="M3835" s="76"/>
      <c r="N3835" s="114"/>
    </row>
    <row r="3836">
      <c r="C3836" s="41"/>
      <c r="D3836" s="142"/>
      <c r="E3836" s="130"/>
      <c r="F3836" s="128"/>
      <c r="G3836" s="128"/>
      <c r="H3836" s="128"/>
      <c r="I3836" s="128"/>
      <c r="J3836" s="81"/>
      <c r="K3836" s="81"/>
      <c r="L3836" s="81"/>
      <c r="M3836" s="81"/>
      <c r="N3836" s="82"/>
    </row>
    <row r="3837">
      <c r="C3837" s="41"/>
      <c r="D3837" s="141"/>
      <c r="E3837" s="118"/>
      <c r="F3837" s="126"/>
      <c r="G3837" s="126"/>
      <c r="H3837" s="126"/>
      <c r="I3837" s="126"/>
      <c r="J3837" s="76"/>
      <c r="K3837" s="76"/>
      <c r="L3837" s="76"/>
      <c r="M3837" s="76"/>
      <c r="N3837" s="114"/>
    </row>
    <row r="3838">
      <c r="C3838" s="41"/>
      <c r="D3838" s="142"/>
      <c r="E3838" s="130"/>
      <c r="F3838" s="128"/>
      <c r="G3838" s="128"/>
      <c r="H3838" s="128"/>
      <c r="I3838" s="128"/>
      <c r="J3838" s="81"/>
      <c r="K3838" s="81"/>
      <c r="L3838" s="81"/>
      <c r="M3838" s="81"/>
      <c r="N3838" s="82"/>
    </row>
    <row r="3839">
      <c r="C3839" s="41"/>
      <c r="D3839" s="141"/>
      <c r="E3839" s="118"/>
      <c r="F3839" s="126"/>
      <c r="G3839" s="126"/>
      <c r="H3839" s="126"/>
      <c r="I3839" s="126"/>
      <c r="J3839" s="76"/>
      <c r="K3839" s="76"/>
      <c r="L3839" s="76"/>
      <c r="M3839" s="76"/>
      <c r="N3839" s="114"/>
    </row>
    <row r="3840">
      <c r="C3840" s="41"/>
      <c r="D3840" s="142"/>
      <c r="E3840" s="130"/>
      <c r="F3840" s="128"/>
      <c r="G3840" s="128"/>
      <c r="H3840" s="128"/>
      <c r="I3840" s="128"/>
      <c r="J3840" s="81"/>
      <c r="K3840" s="81"/>
      <c r="L3840" s="81"/>
      <c r="M3840" s="81"/>
      <c r="N3840" s="82"/>
    </row>
    <row r="3841">
      <c r="C3841" s="41"/>
      <c r="D3841" s="141"/>
      <c r="E3841" s="118"/>
      <c r="F3841" s="126"/>
      <c r="G3841" s="126"/>
      <c r="H3841" s="126"/>
      <c r="I3841" s="126"/>
      <c r="J3841" s="76"/>
      <c r="K3841" s="76"/>
      <c r="L3841" s="76"/>
      <c r="M3841" s="76"/>
      <c r="N3841" s="114"/>
    </row>
    <row r="3842">
      <c r="C3842" s="41"/>
      <c r="D3842" s="142"/>
      <c r="E3842" s="130"/>
      <c r="F3842" s="128"/>
      <c r="G3842" s="128"/>
      <c r="H3842" s="128"/>
      <c r="I3842" s="128"/>
      <c r="J3842" s="81"/>
      <c r="K3842" s="81"/>
      <c r="L3842" s="81"/>
      <c r="M3842" s="81"/>
      <c r="N3842" s="82"/>
    </row>
    <row r="3843">
      <c r="C3843" s="41"/>
      <c r="D3843" s="141"/>
      <c r="E3843" s="118"/>
      <c r="F3843" s="126"/>
      <c r="G3843" s="126"/>
      <c r="H3843" s="126"/>
      <c r="I3843" s="126"/>
      <c r="J3843" s="76"/>
      <c r="K3843" s="76"/>
      <c r="L3843" s="76"/>
      <c r="M3843" s="76"/>
      <c r="N3843" s="114"/>
    </row>
    <row r="3844">
      <c r="C3844" s="41"/>
      <c r="D3844" s="142"/>
      <c r="E3844" s="130"/>
      <c r="F3844" s="128"/>
      <c r="G3844" s="128"/>
      <c r="H3844" s="128"/>
      <c r="I3844" s="128"/>
      <c r="J3844" s="81"/>
      <c r="K3844" s="81"/>
      <c r="L3844" s="81"/>
      <c r="M3844" s="81"/>
      <c r="N3844" s="82"/>
    </row>
    <row r="3845">
      <c r="C3845" s="41"/>
      <c r="D3845" s="141"/>
      <c r="E3845" s="118"/>
      <c r="F3845" s="126"/>
      <c r="G3845" s="126"/>
      <c r="H3845" s="126"/>
      <c r="I3845" s="126"/>
      <c r="J3845" s="76"/>
      <c r="K3845" s="76"/>
      <c r="L3845" s="76"/>
      <c r="M3845" s="76"/>
      <c r="N3845" s="114"/>
    </row>
    <row r="3846">
      <c r="C3846" s="41"/>
      <c r="D3846" s="142"/>
      <c r="E3846" s="130"/>
      <c r="F3846" s="128"/>
      <c r="G3846" s="128"/>
      <c r="H3846" s="128"/>
      <c r="I3846" s="128"/>
      <c r="J3846" s="81"/>
      <c r="K3846" s="81"/>
      <c r="L3846" s="81"/>
      <c r="M3846" s="81"/>
      <c r="N3846" s="82"/>
    </row>
    <row r="3847">
      <c r="C3847" s="41"/>
      <c r="D3847" s="141"/>
      <c r="E3847" s="118"/>
      <c r="F3847" s="126"/>
      <c r="G3847" s="126"/>
      <c r="H3847" s="126"/>
      <c r="I3847" s="126"/>
      <c r="J3847" s="76"/>
      <c r="K3847" s="76"/>
      <c r="L3847" s="76"/>
      <c r="M3847" s="76"/>
      <c r="N3847" s="114"/>
    </row>
    <row r="3848">
      <c r="C3848" s="41"/>
      <c r="D3848" s="142"/>
      <c r="E3848" s="130"/>
      <c r="F3848" s="128"/>
      <c r="G3848" s="128"/>
      <c r="H3848" s="128"/>
      <c r="I3848" s="128"/>
      <c r="J3848" s="81"/>
      <c r="K3848" s="81"/>
      <c r="L3848" s="81"/>
      <c r="M3848" s="81"/>
      <c r="N3848" s="82"/>
    </row>
    <row r="3849">
      <c r="C3849" s="41"/>
      <c r="D3849" s="141"/>
      <c r="E3849" s="118"/>
      <c r="F3849" s="126"/>
      <c r="G3849" s="126"/>
      <c r="H3849" s="126"/>
      <c r="I3849" s="126"/>
      <c r="J3849" s="76"/>
      <c r="K3849" s="76"/>
      <c r="L3849" s="76"/>
      <c r="M3849" s="76"/>
      <c r="N3849" s="114"/>
    </row>
    <row r="3850">
      <c r="C3850" s="41"/>
      <c r="D3850" s="142"/>
      <c r="E3850" s="130"/>
      <c r="F3850" s="128"/>
      <c r="G3850" s="128"/>
      <c r="H3850" s="128"/>
      <c r="I3850" s="128"/>
      <c r="J3850" s="81"/>
      <c r="K3850" s="81"/>
      <c r="L3850" s="81"/>
      <c r="M3850" s="81"/>
      <c r="N3850" s="82"/>
    </row>
    <row r="3851">
      <c r="C3851" s="41"/>
      <c r="D3851" s="141"/>
      <c r="E3851" s="118"/>
      <c r="F3851" s="126"/>
      <c r="G3851" s="126"/>
      <c r="H3851" s="126"/>
      <c r="I3851" s="126"/>
      <c r="J3851" s="76"/>
      <c r="K3851" s="76"/>
      <c r="L3851" s="76"/>
      <c r="M3851" s="76"/>
      <c r="N3851" s="114"/>
    </row>
    <row r="3852">
      <c r="C3852" s="41"/>
      <c r="D3852" s="142"/>
      <c r="E3852" s="130"/>
      <c r="F3852" s="128"/>
      <c r="G3852" s="128"/>
      <c r="H3852" s="128"/>
      <c r="I3852" s="128"/>
      <c r="J3852" s="81"/>
      <c r="K3852" s="81"/>
      <c r="L3852" s="81"/>
      <c r="M3852" s="81"/>
      <c r="N3852" s="82"/>
    </row>
    <row r="3853">
      <c r="C3853" s="41"/>
      <c r="D3853" s="141"/>
      <c r="E3853" s="118"/>
      <c r="F3853" s="126"/>
      <c r="G3853" s="126"/>
      <c r="H3853" s="126"/>
      <c r="I3853" s="126"/>
      <c r="J3853" s="76"/>
      <c r="K3853" s="76"/>
      <c r="L3853" s="76"/>
      <c r="M3853" s="76"/>
      <c r="N3853" s="114"/>
    </row>
    <row r="3854">
      <c r="C3854" s="41"/>
      <c r="D3854" s="142"/>
      <c r="E3854" s="130"/>
      <c r="F3854" s="128"/>
      <c r="G3854" s="128"/>
      <c r="H3854" s="128"/>
      <c r="I3854" s="128"/>
      <c r="J3854" s="81"/>
      <c r="K3854" s="81"/>
      <c r="L3854" s="81"/>
      <c r="M3854" s="81"/>
      <c r="N3854" s="82"/>
    </row>
    <row r="3855">
      <c r="C3855" s="41"/>
      <c r="D3855" s="141"/>
      <c r="E3855" s="118"/>
      <c r="F3855" s="126"/>
      <c r="G3855" s="126"/>
      <c r="H3855" s="126"/>
      <c r="I3855" s="126"/>
      <c r="J3855" s="76"/>
      <c r="K3855" s="76"/>
      <c r="L3855" s="76"/>
      <c r="M3855" s="76"/>
      <c r="N3855" s="114"/>
    </row>
    <row r="3856">
      <c r="C3856" s="41"/>
      <c r="D3856" s="142"/>
      <c r="E3856" s="130"/>
      <c r="F3856" s="128"/>
      <c r="G3856" s="128"/>
      <c r="H3856" s="128"/>
      <c r="I3856" s="128"/>
      <c r="J3856" s="81"/>
      <c r="K3856" s="81"/>
      <c r="L3856" s="81"/>
      <c r="M3856" s="81"/>
      <c r="N3856" s="82"/>
    </row>
    <row r="3857">
      <c r="C3857" s="41"/>
      <c r="D3857" s="141"/>
      <c r="E3857" s="118"/>
      <c r="F3857" s="126"/>
      <c r="G3857" s="126"/>
      <c r="H3857" s="126"/>
      <c r="I3857" s="126"/>
      <c r="J3857" s="76"/>
      <c r="K3857" s="76"/>
      <c r="L3857" s="76"/>
      <c r="M3857" s="76"/>
      <c r="N3857" s="114"/>
    </row>
    <row r="3858">
      <c r="C3858" s="41"/>
      <c r="D3858" s="142"/>
      <c r="E3858" s="130"/>
      <c r="F3858" s="128"/>
      <c r="G3858" s="128"/>
      <c r="H3858" s="128"/>
      <c r="I3858" s="128"/>
      <c r="J3858" s="81"/>
      <c r="K3858" s="81"/>
      <c r="L3858" s="81"/>
      <c r="M3858" s="81"/>
      <c r="N3858" s="82"/>
    </row>
    <row r="3859">
      <c r="C3859" s="41"/>
      <c r="D3859" s="141"/>
      <c r="E3859" s="118"/>
      <c r="F3859" s="126"/>
      <c r="G3859" s="126"/>
      <c r="H3859" s="126"/>
      <c r="I3859" s="126"/>
      <c r="J3859" s="76"/>
      <c r="K3859" s="76"/>
      <c r="L3859" s="76"/>
      <c r="M3859" s="76"/>
      <c r="N3859" s="114"/>
    </row>
    <row r="3860">
      <c r="C3860" s="41"/>
      <c r="D3860" s="142"/>
      <c r="E3860" s="130"/>
      <c r="F3860" s="128"/>
      <c r="G3860" s="128"/>
      <c r="H3860" s="128"/>
      <c r="I3860" s="128"/>
      <c r="J3860" s="81"/>
      <c r="K3860" s="81"/>
      <c r="L3860" s="81"/>
      <c r="M3860" s="81"/>
      <c r="N3860" s="82"/>
    </row>
    <row r="3861">
      <c r="C3861" s="41"/>
      <c r="D3861" s="141"/>
      <c r="E3861" s="118"/>
      <c r="F3861" s="126"/>
      <c r="G3861" s="126"/>
      <c r="H3861" s="126"/>
      <c r="I3861" s="126"/>
      <c r="J3861" s="76"/>
      <c r="K3861" s="76"/>
      <c r="L3861" s="76"/>
      <c r="M3861" s="76"/>
      <c r="N3861" s="114"/>
    </row>
    <row r="3862">
      <c r="C3862" s="41"/>
      <c r="D3862" s="142"/>
      <c r="E3862" s="130"/>
      <c r="F3862" s="128"/>
      <c r="G3862" s="128"/>
      <c r="H3862" s="128"/>
      <c r="I3862" s="128"/>
      <c r="J3862" s="81"/>
      <c r="K3862" s="81"/>
      <c r="L3862" s="81"/>
      <c r="M3862" s="81"/>
      <c r="N3862" s="82"/>
    </row>
    <row r="3863">
      <c r="C3863" s="41"/>
      <c r="D3863" s="141"/>
      <c r="E3863" s="118"/>
      <c r="F3863" s="126"/>
      <c r="G3863" s="126"/>
      <c r="H3863" s="126"/>
      <c r="I3863" s="126"/>
      <c r="J3863" s="76"/>
      <c r="K3863" s="76"/>
      <c r="L3863" s="76"/>
      <c r="M3863" s="76"/>
      <c r="N3863" s="114"/>
    </row>
    <row r="3864">
      <c r="C3864" s="41"/>
      <c r="D3864" s="142"/>
      <c r="E3864" s="130"/>
      <c r="F3864" s="128"/>
      <c r="G3864" s="128"/>
      <c r="H3864" s="128"/>
      <c r="I3864" s="128"/>
      <c r="J3864" s="81"/>
      <c r="K3864" s="81"/>
      <c r="L3864" s="81"/>
      <c r="M3864" s="81"/>
      <c r="N3864" s="82"/>
    </row>
    <row r="3865">
      <c r="C3865" s="41"/>
      <c r="D3865" s="141"/>
      <c r="E3865" s="118"/>
      <c r="F3865" s="126"/>
      <c r="G3865" s="126"/>
      <c r="H3865" s="126"/>
      <c r="I3865" s="126"/>
      <c r="J3865" s="76"/>
      <c r="K3865" s="76"/>
      <c r="L3865" s="76"/>
      <c r="M3865" s="76"/>
      <c r="N3865" s="114"/>
    </row>
    <row r="3866">
      <c r="C3866" s="41"/>
      <c r="D3866" s="142"/>
      <c r="E3866" s="130"/>
      <c r="F3866" s="128"/>
      <c r="G3866" s="128"/>
      <c r="H3866" s="128"/>
      <c r="I3866" s="128"/>
      <c r="J3866" s="81"/>
      <c r="K3866" s="81"/>
      <c r="L3866" s="81"/>
      <c r="M3866" s="81"/>
      <c r="N3866" s="82"/>
    </row>
    <row r="3867">
      <c r="C3867" s="41"/>
      <c r="D3867" s="141"/>
      <c r="E3867" s="118"/>
      <c r="F3867" s="126"/>
      <c r="G3867" s="126"/>
      <c r="H3867" s="126"/>
      <c r="I3867" s="126"/>
      <c r="J3867" s="76"/>
      <c r="K3867" s="76"/>
      <c r="L3867" s="76"/>
      <c r="M3867" s="76"/>
      <c r="N3867" s="114"/>
    </row>
    <row r="3868">
      <c r="C3868" s="41"/>
      <c r="D3868" s="142"/>
      <c r="E3868" s="130"/>
      <c r="F3868" s="128"/>
      <c r="G3868" s="128"/>
      <c r="H3868" s="128"/>
      <c r="I3868" s="128"/>
      <c r="J3868" s="81"/>
      <c r="K3868" s="81"/>
      <c r="L3868" s="81"/>
      <c r="M3868" s="81"/>
      <c r="N3868" s="82"/>
    </row>
    <row r="3869">
      <c r="C3869" s="41"/>
      <c r="D3869" s="141"/>
      <c r="E3869" s="118"/>
      <c r="F3869" s="126"/>
      <c r="G3869" s="126"/>
      <c r="H3869" s="126"/>
      <c r="I3869" s="126"/>
      <c r="J3869" s="76"/>
      <c r="K3869" s="76"/>
      <c r="L3869" s="76"/>
      <c r="M3869" s="76"/>
      <c r="N3869" s="114"/>
    </row>
    <row r="3870">
      <c r="C3870" s="41"/>
      <c r="D3870" s="142"/>
      <c r="E3870" s="130"/>
      <c r="F3870" s="128"/>
      <c r="G3870" s="128"/>
      <c r="H3870" s="128"/>
      <c r="I3870" s="128"/>
      <c r="J3870" s="81"/>
      <c r="K3870" s="81"/>
      <c r="L3870" s="81"/>
      <c r="M3870" s="81"/>
      <c r="N3870" s="82"/>
    </row>
    <row r="3871">
      <c r="C3871" s="41"/>
      <c r="D3871" s="141"/>
      <c r="E3871" s="118"/>
      <c r="F3871" s="126"/>
      <c r="G3871" s="126"/>
      <c r="H3871" s="126"/>
      <c r="I3871" s="126"/>
      <c r="J3871" s="76"/>
      <c r="K3871" s="76"/>
      <c r="L3871" s="76"/>
      <c r="M3871" s="76"/>
      <c r="N3871" s="114"/>
    </row>
    <row r="3872">
      <c r="C3872" s="41"/>
      <c r="D3872" s="142"/>
      <c r="E3872" s="130"/>
      <c r="F3872" s="128"/>
      <c r="G3872" s="128"/>
      <c r="H3872" s="128"/>
      <c r="I3872" s="128"/>
      <c r="J3872" s="81"/>
      <c r="K3872" s="81"/>
      <c r="L3872" s="81"/>
      <c r="M3872" s="81"/>
      <c r="N3872" s="82"/>
    </row>
    <row r="3873">
      <c r="C3873" s="41"/>
      <c r="D3873" s="141"/>
      <c r="E3873" s="118"/>
      <c r="F3873" s="126"/>
      <c r="G3873" s="126"/>
      <c r="H3873" s="126"/>
      <c r="I3873" s="126"/>
      <c r="J3873" s="76"/>
      <c r="K3873" s="76"/>
      <c r="L3873" s="76"/>
      <c r="M3873" s="76"/>
      <c r="N3873" s="114"/>
    </row>
    <row r="3874">
      <c r="C3874" s="41"/>
      <c r="D3874" s="142"/>
      <c r="E3874" s="130"/>
      <c r="F3874" s="128"/>
      <c r="G3874" s="128"/>
      <c r="H3874" s="128"/>
      <c r="I3874" s="128"/>
      <c r="J3874" s="81"/>
      <c r="K3874" s="81"/>
      <c r="L3874" s="81"/>
      <c r="M3874" s="81"/>
      <c r="N3874" s="82"/>
    </row>
    <row r="3875">
      <c r="C3875" s="41"/>
      <c r="D3875" s="141"/>
      <c r="E3875" s="118"/>
      <c r="F3875" s="126"/>
      <c r="G3875" s="126"/>
      <c r="H3875" s="126"/>
      <c r="I3875" s="126"/>
      <c r="J3875" s="76"/>
      <c r="K3875" s="76"/>
      <c r="L3875" s="76"/>
      <c r="M3875" s="76"/>
      <c r="N3875" s="114"/>
    </row>
    <row r="3876">
      <c r="C3876" s="41"/>
      <c r="D3876" s="142"/>
      <c r="E3876" s="130"/>
      <c r="F3876" s="128"/>
      <c r="G3876" s="128"/>
      <c r="H3876" s="128"/>
      <c r="I3876" s="128"/>
      <c r="J3876" s="81"/>
      <c r="K3876" s="81"/>
      <c r="L3876" s="81"/>
      <c r="M3876" s="81"/>
      <c r="N3876" s="82"/>
    </row>
    <row r="3877">
      <c r="C3877" s="41"/>
      <c r="D3877" s="141"/>
      <c r="E3877" s="118"/>
      <c r="F3877" s="126"/>
      <c r="G3877" s="126"/>
      <c r="H3877" s="126"/>
      <c r="I3877" s="126"/>
      <c r="J3877" s="76"/>
      <c r="K3877" s="76"/>
      <c r="L3877" s="76"/>
      <c r="M3877" s="76"/>
      <c r="N3877" s="114"/>
    </row>
    <row r="3878">
      <c r="C3878" s="41"/>
      <c r="D3878" s="142"/>
      <c r="E3878" s="130"/>
      <c r="F3878" s="128"/>
      <c r="G3878" s="128"/>
      <c r="H3878" s="128"/>
      <c r="I3878" s="128"/>
      <c r="J3878" s="81"/>
      <c r="K3878" s="81"/>
      <c r="L3878" s="81"/>
      <c r="M3878" s="81"/>
      <c r="N3878" s="82"/>
    </row>
    <row r="3879">
      <c r="C3879" s="41"/>
      <c r="D3879" s="141"/>
      <c r="E3879" s="118"/>
      <c r="F3879" s="126"/>
      <c r="G3879" s="126"/>
      <c r="H3879" s="126"/>
      <c r="I3879" s="126"/>
      <c r="J3879" s="76"/>
      <c r="K3879" s="76"/>
      <c r="L3879" s="76"/>
      <c r="M3879" s="76"/>
      <c r="N3879" s="114"/>
    </row>
    <row r="3880">
      <c r="C3880" s="41"/>
      <c r="D3880" s="142"/>
      <c r="E3880" s="130"/>
      <c r="F3880" s="128"/>
      <c r="G3880" s="128"/>
      <c r="H3880" s="128"/>
      <c r="I3880" s="128"/>
      <c r="J3880" s="81"/>
      <c r="K3880" s="81"/>
      <c r="L3880" s="81"/>
      <c r="M3880" s="81"/>
      <c r="N3880" s="82"/>
    </row>
    <row r="3881">
      <c r="C3881" s="41"/>
      <c r="D3881" s="141"/>
      <c r="E3881" s="118"/>
      <c r="F3881" s="126"/>
      <c r="G3881" s="126"/>
      <c r="H3881" s="126"/>
      <c r="I3881" s="126"/>
      <c r="J3881" s="76"/>
      <c r="K3881" s="76"/>
      <c r="L3881" s="76"/>
      <c r="M3881" s="76"/>
      <c r="N3881" s="114"/>
    </row>
    <row r="3882">
      <c r="C3882" s="41"/>
      <c r="D3882" s="142"/>
      <c r="E3882" s="130"/>
      <c r="F3882" s="128"/>
      <c r="G3882" s="128"/>
      <c r="H3882" s="128"/>
      <c r="I3882" s="128"/>
      <c r="J3882" s="81"/>
      <c r="K3882" s="81"/>
      <c r="L3882" s="81"/>
      <c r="M3882" s="81"/>
      <c r="N3882" s="82"/>
    </row>
    <row r="3883">
      <c r="C3883" s="41"/>
      <c r="D3883" s="141"/>
      <c r="E3883" s="118"/>
      <c r="F3883" s="126"/>
      <c r="G3883" s="126"/>
      <c r="H3883" s="126"/>
      <c r="I3883" s="126"/>
      <c r="J3883" s="76"/>
      <c r="K3883" s="76"/>
      <c r="L3883" s="76"/>
      <c r="M3883" s="76"/>
      <c r="N3883" s="114"/>
    </row>
    <row r="3884">
      <c r="C3884" s="41"/>
      <c r="D3884" s="142"/>
      <c r="E3884" s="130"/>
      <c r="F3884" s="128"/>
      <c r="G3884" s="128"/>
      <c r="H3884" s="128"/>
      <c r="I3884" s="128"/>
      <c r="J3884" s="81"/>
      <c r="K3884" s="81"/>
      <c r="L3884" s="81"/>
      <c r="M3884" s="81"/>
      <c r="N3884" s="82"/>
    </row>
    <row r="3885">
      <c r="C3885" s="41"/>
      <c r="D3885" s="141"/>
      <c r="E3885" s="118"/>
      <c r="F3885" s="126"/>
      <c r="G3885" s="126"/>
      <c r="H3885" s="126"/>
      <c r="I3885" s="126"/>
      <c r="J3885" s="76"/>
      <c r="K3885" s="76"/>
      <c r="L3885" s="76"/>
      <c r="M3885" s="76"/>
      <c r="N3885" s="114"/>
    </row>
    <row r="3886">
      <c r="C3886" s="41"/>
      <c r="D3886" s="142"/>
      <c r="E3886" s="130"/>
      <c r="F3886" s="128"/>
      <c r="G3886" s="128"/>
      <c r="H3886" s="128"/>
      <c r="I3886" s="128"/>
      <c r="J3886" s="81"/>
      <c r="K3886" s="81"/>
      <c r="L3886" s="81"/>
      <c r="M3886" s="81"/>
      <c r="N3886" s="82"/>
    </row>
    <row r="3887">
      <c r="C3887" s="41"/>
      <c r="D3887" s="141"/>
      <c r="E3887" s="118"/>
      <c r="F3887" s="126"/>
      <c r="G3887" s="126"/>
      <c r="H3887" s="126"/>
      <c r="I3887" s="126"/>
      <c r="J3887" s="76"/>
      <c r="K3887" s="76"/>
      <c r="L3887" s="76"/>
      <c r="M3887" s="76"/>
      <c r="N3887" s="114"/>
    </row>
    <row r="3888">
      <c r="C3888" s="41"/>
      <c r="D3888" s="142"/>
      <c r="E3888" s="130"/>
      <c r="F3888" s="128"/>
      <c r="G3888" s="128"/>
      <c r="H3888" s="128"/>
      <c r="I3888" s="128"/>
      <c r="J3888" s="81"/>
      <c r="K3888" s="81"/>
      <c r="L3888" s="81"/>
      <c r="M3888" s="81"/>
      <c r="N3888" s="82"/>
    </row>
    <row r="3889">
      <c r="C3889" s="41"/>
      <c r="D3889" s="141"/>
      <c r="E3889" s="118"/>
      <c r="F3889" s="126"/>
      <c r="G3889" s="126"/>
      <c r="H3889" s="126"/>
      <c r="I3889" s="126"/>
      <c r="J3889" s="76"/>
      <c r="K3889" s="76"/>
      <c r="L3889" s="76"/>
      <c r="M3889" s="76"/>
      <c r="N3889" s="114"/>
    </row>
    <row r="3890">
      <c r="C3890" s="41"/>
      <c r="D3890" s="142"/>
      <c r="E3890" s="130"/>
      <c r="F3890" s="128"/>
      <c r="G3890" s="128"/>
      <c r="H3890" s="128"/>
      <c r="I3890" s="128"/>
      <c r="J3890" s="81"/>
      <c r="K3890" s="81"/>
      <c r="L3890" s="81"/>
      <c r="M3890" s="81"/>
      <c r="N3890" s="82"/>
    </row>
    <row r="3891">
      <c r="C3891" s="41"/>
      <c r="D3891" s="141"/>
      <c r="E3891" s="118"/>
      <c r="F3891" s="126"/>
      <c r="G3891" s="126"/>
      <c r="H3891" s="126"/>
      <c r="I3891" s="126"/>
      <c r="J3891" s="76"/>
      <c r="K3891" s="76"/>
      <c r="L3891" s="76"/>
      <c r="M3891" s="76"/>
      <c r="N3891" s="114"/>
    </row>
    <row r="3892">
      <c r="C3892" s="41"/>
      <c r="D3892" s="142"/>
      <c r="E3892" s="130"/>
      <c r="F3892" s="128"/>
      <c r="G3892" s="128"/>
      <c r="H3892" s="128"/>
      <c r="I3892" s="128"/>
      <c r="J3892" s="81"/>
      <c r="K3892" s="81"/>
      <c r="L3892" s="81"/>
      <c r="M3892" s="81"/>
      <c r="N3892" s="82"/>
    </row>
    <row r="3893">
      <c r="C3893" s="41"/>
      <c r="D3893" s="141"/>
      <c r="E3893" s="118"/>
      <c r="F3893" s="126"/>
      <c r="G3893" s="126"/>
      <c r="H3893" s="126"/>
      <c r="I3893" s="126"/>
      <c r="J3893" s="76"/>
      <c r="K3893" s="76"/>
      <c r="L3893" s="76"/>
      <c r="M3893" s="76"/>
      <c r="N3893" s="114"/>
    </row>
    <row r="3894">
      <c r="C3894" s="41"/>
      <c r="D3894" s="142"/>
      <c r="E3894" s="130"/>
      <c r="F3894" s="128"/>
      <c r="G3894" s="128"/>
      <c r="H3894" s="128"/>
      <c r="I3894" s="128"/>
      <c r="J3894" s="81"/>
      <c r="K3894" s="81"/>
      <c r="L3894" s="81"/>
      <c r="M3894" s="81"/>
      <c r="N3894" s="82"/>
    </row>
    <row r="3895">
      <c r="C3895" s="41"/>
      <c r="D3895" s="141"/>
      <c r="E3895" s="118"/>
      <c r="F3895" s="126"/>
      <c r="G3895" s="126"/>
      <c r="H3895" s="126"/>
      <c r="I3895" s="126"/>
      <c r="J3895" s="76"/>
      <c r="K3895" s="76"/>
      <c r="L3895" s="76"/>
      <c r="M3895" s="76"/>
      <c r="N3895" s="114"/>
    </row>
    <row r="3896">
      <c r="C3896" s="41"/>
      <c r="D3896" s="142"/>
      <c r="E3896" s="130"/>
      <c r="F3896" s="128"/>
      <c r="G3896" s="128"/>
      <c r="H3896" s="128"/>
      <c r="I3896" s="128"/>
      <c r="J3896" s="81"/>
      <c r="K3896" s="81"/>
      <c r="L3896" s="81"/>
      <c r="M3896" s="81"/>
      <c r="N3896" s="82"/>
    </row>
    <row r="3897">
      <c r="C3897" s="41"/>
      <c r="D3897" s="141"/>
      <c r="E3897" s="118"/>
      <c r="F3897" s="126"/>
      <c r="G3897" s="126"/>
      <c r="H3897" s="126"/>
      <c r="I3897" s="126"/>
      <c r="J3897" s="76"/>
      <c r="K3897" s="76"/>
      <c r="L3897" s="76"/>
      <c r="M3897" s="76"/>
      <c r="N3897" s="114"/>
    </row>
    <row r="3898">
      <c r="C3898" s="41"/>
      <c r="D3898" s="142"/>
      <c r="E3898" s="130"/>
      <c r="F3898" s="128"/>
      <c r="G3898" s="128"/>
      <c r="H3898" s="128"/>
      <c r="I3898" s="128"/>
      <c r="J3898" s="81"/>
      <c r="K3898" s="81"/>
      <c r="L3898" s="81"/>
      <c r="M3898" s="81"/>
      <c r="N3898" s="82"/>
    </row>
    <row r="3899">
      <c r="C3899" s="41"/>
      <c r="D3899" s="141"/>
      <c r="E3899" s="118"/>
      <c r="F3899" s="126"/>
      <c r="G3899" s="126"/>
      <c r="H3899" s="126"/>
      <c r="I3899" s="126"/>
      <c r="J3899" s="76"/>
      <c r="K3899" s="76"/>
      <c r="L3899" s="76"/>
      <c r="M3899" s="76"/>
      <c r="N3899" s="114"/>
    </row>
    <row r="3900">
      <c r="C3900" s="41"/>
      <c r="D3900" s="142"/>
      <c r="E3900" s="130"/>
      <c r="F3900" s="128"/>
      <c r="G3900" s="128"/>
      <c r="H3900" s="128"/>
      <c r="I3900" s="128"/>
      <c r="J3900" s="81"/>
      <c r="K3900" s="81"/>
      <c r="L3900" s="81"/>
      <c r="M3900" s="81"/>
      <c r="N3900" s="82"/>
    </row>
    <row r="3901">
      <c r="C3901" s="41"/>
      <c r="D3901" s="141"/>
      <c r="E3901" s="118"/>
      <c r="F3901" s="126"/>
      <c r="G3901" s="126"/>
      <c r="H3901" s="126"/>
      <c r="I3901" s="126"/>
      <c r="J3901" s="76"/>
      <c r="K3901" s="76"/>
      <c r="L3901" s="76"/>
      <c r="M3901" s="76"/>
      <c r="N3901" s="114"/>
    </row>
    <row r="3902">
      <c r="C3902" s="41"/>
      <c r="D3902" s="142"/>
      <c r="E3902" s="130"/>
      <c r="F3902" s="128"/>
      <c r="G3902" s="128"/>
      <c r="H3902" s="128"/>
      <c r="I3902" s="128"/>
      <c r="J3902" s="81"/>
      <c r="K3902" s="81"/>
      <c r="L3902" s="81"/>
      <c r="M3902" s="81"/>
      <c r="N3902" s="82"/>
    </row>
    <row r="3903">
      <c r="C3903" s="41"/>
      <c r="D3903" s="141"/>
      <c r="E3903" s="118"/>
      <c r="F3903" s="126"/>
      <c r="G3903" s="126"/>
      <c r="H3903" s="126"/>
      <c r="I3903" s="126"/>
      <c r="J3903" s="76"/>
      <c r="K3903" s="76"/>
      <c r="L3903" s="76"/>
      <c r="M3903" s="76"/>
      <c r="N3903" s="114"/>
    </row>
    <row r="3904">
      <c r="C3904" s="41"/>
      <c r="D3904" s="142"/>
      <c r="E3904" s="130"/>
      <c r="F3904" s="128"/>
      <c r="G3904" s="128"/>
      <c r="H3904" s="128"/>
      <c r="I3904" s="128"/>
      <c r="J3904" s="81"/>
      <c r="K3904" s="81"/>
      <c r="L3904" s="81"/>
      <c r="M3904" s="81"/>
      <c r="N3904" s="82"/>
    </row>
    <row r="3905">
      <c r="C3905" s="41"/>
      <c r="D3905" s="141"/>
      <c r="E3905" s="118"/>
      <c r="F3905" s="126"/>
      <c r="G3905" s="126"/>
      <c r="H3905" s="126"/>
      <c r="I3905" s="126"/>
      <c r="J3905" s="76"/>
      <c r="K3905" s="76"/>
      <c r="L3905" s="76"/>
      <c r="M3905" s="76"/>
      <c r="N3905" s="114"/>
    </row>
    <row r="3906">
      <c r="C3906" s="41"/>
      <c r="D3906" s="142"/>
      <c r="E3906" s="130"/>
      <c r="F3906" s="128"/>
      <c r="G3906" s="128"/>
      <c r="H3906" s="128"/>
      <c r="I3906" s="128"/>
      <c r="J3906" s="81"/>
      <c r="K3906" s="81"/>
      <c r="L3906" s="81"/>
      <c r="M3906" s="81"/>
      <c r="N3906" s="82"/>
    </row>
    <row r="3907">
      <c r="C3907" s="41"/>
      <c r="D3907" s="141"/>
      <c r="E3907" s="118"/>
      <c r="F3907" s="126"/>
      <c r="G3907" s="126"/>
      <c r="H3907" s="126"/>
      <c r="I3907" s="126"/>
      <c r="J3907" s="76"/>
      <c r="K3907" s="76"/>
      <c r="L3907" s="76"/>
      <c r="M3907" s="76"/>
      <c r="N3907" s="114"/>
    </row>
    <row r="3908">
      <c r="C3908" s="41"/>
      <c r="D3908" s="142"/>
      <c r="E3908" s="130"/>
      <c r="F3908" s="128"/>
      <c r="G3908" s="128"/>
      <c r="H3908" s="128"/>
      <c r="I3908" s="128"/>
      <c r="J3908" s="81"/>
      <c r="K3908" s="81"/>
      <c r="L3908" s="81"/>
      <c r="M3908" s="81"/>
      <c r="N3908" s="82"/>
    </row>
    <row r="3909">
      <c r="C3909" s="41"/>
      <c r="D3909" s="141"/>
      <c r="E3909" s="118"/>
      <c r="F3909" s="126"/>
      <c r="G3909" s="126"/>
      <c r="H3909" s="126"/>
      <c r="I3909" s="126"/>
      <c r="J3909" s="76"/>
      <c r="K3909" s="76"/>
      <c r="L3909" s="76"/>
      <c r="M3909" s="76"/>
      <c r="N3909" s="114"/>
    </row>
    <row r="3910">
      <c r="C3910" s="41"/>
      <c r="D3910" s="142"/>
      <c r="E3910" s="130"/>
      <c r="F3910" s="128"/>
      <c r="G3910" s="128"/>
      <c r="H3910" s="128"/>
      <c r="I3910" s="128"/>
      <c r="J3910" s="81"/>
      <c r="K3910" s="81"/>
      <c r="L3910" s="81"/>
      <c r="M3910" s="81"/>
      <c r="N3910" s="82"/>
    </row>
    <row r="3911">
      <c r="C3911" s="41"/>
      <c r="D3911" s="141"/>
      <c r="E3911" s="118"/>
      <c r="F3911" s="126"/>
      <c r="G3911" s="126"/>
      <c r="H3911" s="126"/>
      <c r="I3911" s="126"/>
      <c r="J3911" s="76"/>
      <c r="K3911" s="76"/>
      <c r="L3911" s="76"/>
      <c r="M3911" s="76"/>
      <c r="N3911" s="114"/>
    </row>
    <row r="3912">
      <c r="C3912" s="41"/>
      <c r="D3912" s="142"/>
      <c r="E3912" s="130"/>
      <c r="F3912" s="128"/>
      <c r="G3912" s="128"/>
      <c r="H3912" s="128"/>
      <c r="I3912" s="128"/>
      <c r="J3912" s="81"/>
      <c r="K3912" s="81"/>
      <c r="L3912" s="81"/>
      <c r="M3912" s="81"/>
      <c r="N3912" s="82"/>
    </row>
    <row r="3913">
      <c r="C3913" s="41"/>
      <c r="D3913" s="141"/>
      <c r="E3913" s="118"/>
      <c r="F3913" s="126"/>
      <c r="G3913" s="126"/>
      <c r="H3913" s="126"/>
      <c r="I3913" s="126"/>
      <c r="J3913" s="76"/>
      <c r="K3913" s="76"/>
      <c r="L3913" s="76"/>
      <c r="M3913" s="76"/>
      <c r="N3913" s="114"/>
    </row>
    <row r="3914">
      <c r="C3914" s="41"/>
      <c r="D3914" s="142"/>
      <c r="E3914" s="130"/>
      <c r="F3914" s="128"/>
      <c r="G3914" s="128"/>
      <c r="H3914" s="128"/>
      <c r="I3914" s="128"/>
      <c r="J3914" s="81"/>
      <c r="K3914" s="81"/>
      <c r="L3914" s="81"/>
      <c r="M3914" s="81"/>
      <c r="N3914" s="82"/>
    </row>
    <row r="3915">
      <c r="C3915" s="41"/>
      <c r="D3915" s="141"/>
      <c r="E3915" s="118"/>
      <c r="F3915" s="126"/>
      <c r="G3915" s="126"/>
      <c r="H3915" s="126"/>
      <c r="I3915" s="126"/>
      <c r="J3915" s="76"/>
      <c r="K3915" s="76"/>
      <c r="L3915" s="76"/>
      <c r="M3915" s="76"/>
      <c r="N3915" s="114"/>
    </row>
    <row r="3916">
      <c r="C3916" s="41"/>
      <c r="D3916" s="142"/>
      <c r="E3916" s="130"/>
      <c r="F3916" s="128"/>
      <c r="G3916" s="128"/>
      <c r="H3916" s="128"/>
      <c r="I3916" s="128"/>
      <c r="J3916" s="81"/>
      <c r="K3916" s="81"/>
      <c r="L3916" s="81"/>
      <c r="M3916" s="81"/>
      <c r="N3916" s="82"/>
    </row>
    <row r="3917">
      <c r="C3917" s="41"/>
      <c r="D3917" s="141"/>
      <c r="E3917" s="118"/>
      <c r="F3917" s="126"/>
      <c r="G3917" s="126"/>
      <c r="H3917" s="126"/>
      <c r="I3917" s="126"/>
      <c r="J3917" s="76"/>
      <c r="K3917" s="76"/>
      <c r="L3917" s="76"/>
      <c r="M3917" s="76"/>
      <c r="N3917" s="114"/>
    </row>
    <row r="3918">
      <c r="C3918" s="41"/>
      <c r="D3918" s="142"/>
      <c r="E3918" s="130"/>
      <c r="F3918" s="128"/>
      <c r="G3918" s="128"/>
      <c r="H3918" s="128"/>
      <c r="I3918" s="128"/>
      <c r="J3918" s="81"/>
      <c r="K3918" s="81"/>
      <c r="L3918" s="81"/>
      <c r="M3918" s="81"/>
      <c r="N3918" s="82"/>
    </row>
    <row r="3919">
      <c r="C3919" s="41"/>
      <c r="D3919" s="141"/>
      <c r="E3919" s="118"/>
      <c r="F3919" s="126"/>
      <c r="G3919" s="126"/>
      <c r="H3919" s="126"/>
      <c r="I3919" s="126"/>
      <c r="J3919" s="76"/>
      <c r="K3919" s="76"/>
      <c r="L3919" s="76"/>
      <c r="M3919" s="76"/>
      <c r="N3919" s="114"/>
    </row>
    <row r="3920">
      <c r="C3920" s="41"/>
      <c r="D3920" s="142"/>
      <c r="E3920" s="130"/>
      <c r="F3920" s="128"/>
      <c r="G3920" s="128"/>
      <c r="H3920" s="128"/>
      <c r="I3920" s="128"/>
      <c r="J3920" s="81"/>
      <c r="K3920" s="81"/>
      <c r="L3920" s="81"/>
      <c r="M3920" s="81"/>
      <c r="N3920" s="82"/>
    </row>
    <row r="3921">
      <c r="C3921" s="41"/>
      <c r="D3921" s="141"/>
      <c r="E3921" s="118"/>
      <c r="F3921" s="126"/>
      <c r="G3921" s="126"/>
      <c r="H3921" s="126"/>
      <c r="I3921" s="126"/>
      <c r="J3921" s="76"/>
      <c r="K3921" s="76"/>
      <c r="L3921" s="76"/>
      <c r="M3921" s="76"/>
      <c r="N3921" s="114"/>
    </row>
    <row r="3922">
      <c r="C3922" s="41"/>
      <c r="D3922" s="142"/>
      <c r="E3922" s="130"/>
      <c r="F3922" s="128"/>
      <c r="G3922" s="128"/>
      <c r="H3922" s="128"/>
      <c r="I3922" s="128"/>
      <c r="J3922" s="81"/>
      <c r="K3922" s="81"/>
      <c r="L3922" s="81"/>
      <c r="M3922" s="81"/>
      <c r="N3922" s="82"/>
    </row>
    <row r="3923">
      <c r="C3923" s="41"/>
      <c r="D3923" s="141"/>
      <c r="E3923" s="118"/>
      <c r="F3923" s="126"/>
      <c r="G3923" s="126"/>
      <c r="H3923" s="126"/>
      <c r="I3923" s="126"/>
      <c r="J3923" s="76"/>
      <c r="K3923" s="76"/>
      <c r="L3923" s="76"/>
      <c r="M3923" s="76"/>
      <c r="N3923" s="114"/>
    </row>
    <row r="3924">
      <c r="C3924" s="41"/>
      <c r="D3924" s="142"/>
      <c r="E3924" s="130"/>
      <c r="F3924" s="128"/>
      <c r="G3924" s="128"/>
      <c r="H3924" s="128"/>
      <c r="I3924" s="128"/>
      <c r="J3924" s="81"/>
      <c r="K3924" s="81"/>
      <c r="L3924" s="81"/>
      <c r="M3924" s="81"/>
      <c r="N3924" s="82"/>
    </row>
    <row r="3925">
      <c r="C3925" s="41"/>
      <c r="D3925" s="141"/>
      <c r="E3925" s="118"/>
      <c r="F3925" s="126"/>
      <c r="G3925" s="126"/>
      <c r="H3925" s="126"/>
      <c r="I3925" s="126"/>
      <c r="J3925" s="76"/>
      <c r="K3925" s="76"/>
      <c r="L3925" s="76"/>
      <c r="M3925" s="76"/>
      <c r="N3925" s="114"/>
    </row>
    <row r="3926">
      <c r="C3926" s="41"/>
      <c r="D3926" s="142"/>
      <c r="E3926" s="130"/>
      <c r="F3926" s="128"/>
      <c r="G3926" s="128"/>
      <c r="H3926" s="128"/>
      <c r="I3926" s="128"/>
      <c r="J3926" s="81"/>
      <c r="K3926" s="81"/>
      <c r="L3926" s="81"/>
      <c r="M3926" s="81"/>
      <c r="N3926" s="82"/>
    </row>
    <row r="3927">
      <c r="C3927" s="41"/>
      <c r="D3927" s="141"/>
      <c r="E3927" s="118"/>
      <c r="F3927" s="126"/>
      <c r="G3927" s="126"/>
      <c r="H3927" s="126"/>
      <c r="I3927" s="126"/>
      <c r="J3927" s="76"/>
      <c r="K3927" s="76"/>
      <c r="L3927" s="76"/>
      <c r="M3927" s="76"/>
      <c r="N3927" s="114"/>
    </row>
    <row r="3928">
      <c r="C3928" s="41"/>
      <c r="D3928" s="142"/>
      <c r="E3928" s="130"/>
      <c r="F3928" s="128"/>
      <c r="G3928" s="128"/>
      <c r="H3928" s="128"/>
      <c r="I3928" s="128"/>
      <c r="J3928" s="81"/>
      <c r="K3928" s="81"/>
      <c r="L3928" s="81"/>
      <c r="M3928" s="81"/>
      <c r="N3928" s="82"/>
    </row>
    <row r="3929">
      <c r="C3929" s="41"/>
      <c r="D3929" s="141"/>
      <c r="E3929" s="118"/>
      <c r="F3929" s="126"/>
      <c r="G3929" s="126"/>
      <c r="H3929" s="126"/>
      <c r="I3929" s="126"/>
      <c r="J3929" s="76"/>
      <c r="K3929" s="76"/>
      <c r="L3929" s="76"/>
      <c r="M3929" s="76"/>
      <c r="N3929" s="114"/>
    </row>
    <row r="3930">
      <c r="C3930" s="41"/>
      <c r="D3930" s="142"/>
      <c r="E3930" s="130"/>
      <c r="F3930" s="128"/>
      <c r="G3930" s="128"/>
      <c r="H3930" s="128"/>
      <c r="I3930" s="128"/>
      <c r="J3930" s="81"/>
      <c r="K3930" s="81"/>
      <c r="L3930" s="81"/>
      <c r="M3930" s="81"/>
      <c r="N3930" s="82"/>
    </row>
    <row r="3931">
      <c r="C3931" s="41"/>
      <c r="D3931" s="141"/>
      <c r="E3931" s="118"/>
      <c r="F3931" s="126"/>
      <c r="G3931" s="126"/>
      <c r="H3931" s="126"/>
      <c r="I3931" s="126"/>
      <c r="J3931" s="76"/>
      <c r="K3931" s="76"/>
      <c r="L3931" s="76"/>
      <c r="M3931" s="76"/>
      <c r="N3931" s="114"/>
    </row>
    <row r="3932">
      <c r="C3932" s="41"/>
      <c r="D3932" s="142"/>
      <c r="E3932" s="130"/>
      <c r="F3932" s="128"/>
      <c r="G3932" s="128"/>
      <c r="H3932" s="128"/>
      <c r="I3932" s="128"/>
      <c r="J3932" s="81"/>
      <c r="K3932" s="81"/>
      <c r="L3932" s="81"/>
      <c r="M3932" s="81"/>
      <c r="N3932" s="82"/>
    </row>
    <row r="3933">
      <c r="C3933" s="41"/>
      <c r="D3933" s="141"/>
      <c r="E3933" s="118"/>
      <c r="F3933" s="126"/>
      <c r="G3933" s="126"/>
      <c r="H3933" s="126"/>
      <c r="I3933" s="126"/>
      <c r="J3933" s="76"/>
      <c r="K3933" s="76"/>
      <c r="L3933" s="76"/>
      <c r="M3933" s="76"/>
      <c r="N3933" s="114"/>
    </row>
    <row r="3934">
      <c r="C3934" s="41"/>
      <c r="D3934" s="142"/>
      <c r="E3934" s="130"/>
      <c r="F3934" s="128"/>
      <c r="G3934" s="128"/>
      <c r="H3934" s="128"/>
      <c r="I3934" s="128"/>
      <c r="J3934" s="81"/>
      <c r="K3934" s="81"/>
      <c r="L3934" s="81"/>
      <c r="M3934" s="81"/>
      <c r="N3934" s="82"/>
    </row>
    <row r="3935">
      <c r="C3935" s="41"/>
      <c r="D3935" s="141"/>
      <c r="E3935" s="118"/>
      <c r="F3935" s="126"/>
      <c r="G3935" s="126"/>
      <c r="H3935" s="126"/>
      <c r="I3935" s="126"/>
      <c r="J3935" s="76"/>
      <c r="K3935" s="76"/>
      <c r="L3935" s="76"/>
      <c r="M3935" s="76"/>
      <c r="N3935" s="114"/>
    </row>
    <row r="3936">
      <c r="C3936" s="41"/>
      <c r="D3936" s="142"/>
      <c r="E3936" s="130"/>
      <c r="F3936" s="128"/>
      <c r="G3936" s="128"/>
      <c r="H3936" s="128"/>
      <c r="I3936" s="128"/>
      <c r="J3936" s="81"/>
      <c r="K3936" s="81"/>
      <c r="L3936" s="81"/>
      <c r="M3936" s="81"/>
      <c r="N3936" s="82"/>
    </row>
    <row r="3937">
      <c r="C3937" s="41"/>
      <c r="D3937" s="141"/>
      <c r="E3937" s="118"/>
      <c r="F3937" s="126"/>
      <c r="G3937" s="126"/>
      <c r="H3937" s="126"/>
      <c r="I3937" s="126"/>
      <c r="J3937" s="76"/>
      <c r="K3937" s="76"/>
      <c r="L3937" s="76"/>
      <c r="M3937" s="76"/>
      <c r="N3937" s="114"/>
    </row>
    <row r="3938">
      <c r="C3938" s="41"/>
      <c r="D3938" s="142"/>
      <c r="E3938" s="130"/>
      <c r="F3938" s="128"/>
      <c r="G3938" s="128"/>
      <c r="H3938" s="128"/>
      <c r="I3938" s="128"/>
      <c r="J3938" s="81"/>
      <c r="K3938" s="81"/>
      <c r="L3938" s="81"/>
      <c r="M3938" s="81"/>
      <c r="N3938" s="82"/>
    </row>
    <row r="3939">
      <c r="C3939" s="41"/>
      <c r="D3939" s="141"/>
      <c r="E3939" s="118"/>
      <c r="F3939" s="126"/>
      <c r="G3939" s="126"/>
      <c r="H3939" s="126"/>
      <c r="I3939" s="126"/>
      <c r="J3939" s="76"/>
      <c r="K3939" s="76"/>
      <c r="L3939" s="76"/>
      <c r="M3939" s="76"/>
      <c r="N3939" s="114"/>
    </row>
    <row r="3940">
      <c r="C3940" s="41"/>
      <c r="D3940" s="142"/>
      <c r="E3940" s="130"/>
      <c r="F3940" s="128"/>
      <c r="G3940" s="128"/>
      <c r="H3940" s="128"/>
      <c r="I3940" s="128"/>
      <c r="J3940" s="81"/>
      <c r="K3940" s="81"/>
      <c r="L3940" s="81"/>
      <c r="M3940" s="81"/>
      <c r="N3940" s="82"/>
    </row>
    <row r="3941">
      <c r="C3941" s="41"/>
      <c r="D3941" s="141"/>
      <c r="E3941" s="118"/>
      <c r="F3941" s="126"/>
      <c r="G3941" s="126"/>
      <c r="H3941" s="126"/>
      <c r="I3941" s="126"/>
      <c r="J3941" s="76"/>
      <c r="K3941" s="76"/>
      <c r="L3941" s="76"/>
      <c r="M3941" s="76"/>
      <c r="N3941" s="114"/>
    </row>
    <row r="3942">
      <c r="C3942" s="41"/>
      <c r="D3942" s="142"/>
      <c r="E3942" s="130"/>
      <c r="F3942" s="128"/>
      <c r="G3942" s="128"/>
      <c r="H3942" s="128"/>
      <c r="I3942" s="128"/>
      <c r="J3942" s="81"/>
      <c r="K3942" s="81"/>
      <c r="L3942" s="81"/>
      <c r="M3942" s="81"/>
      <c r="N3942" s="82"/>
    </row>
    <row r="3943">
      <c r="C3943" s="41"/>
      <c r="D3943" s="141"/>
      <c r="E3943" s="118"/>
      <c r="F3943" s="126"/>
      <c r="G3943" s="126"/>
      <c r="H3943" s="126"/>
      <c r="I3943" s="126"/>
      <c r="J3943" s="76"/>
      <c r="K3943" s="76"/>
      <c r="L3943" s="76"/>
      <c r="M3943" s="76"/>
      <c r="N3943" s="114"/>
    </row>
    <row r="3944">
      <c r="C3944" s="41"/>
      <c r="D3944" s="142"/>
      <c r="E3944" s="130"/>
      <c r="F3944" s="128"/>
      <c r="G3944" s="128"/>
      <c r="H3944" s="128"/>
      <c r="I3944" s="128"/>
      <c r="J3944" s="81"/>
      <c r="K3944" s="81"/>
      <c r="L3944" s="81"/>
      <c r="M3944" s="81"/>
      <c r="N3944" s="82"/>
    </row>
    <row r="3945">
      <c r="C3945" s="41"/>
      <c r="D3945" s="141"/>
      <c r="E3945" s="118"/>
      <c r="F3945" s="126"/>
      <c r="G3945" s="126"/>
      <c r="H3945" s="126"/>
      <c r="I3945" s="126"/>
      <c r="J3945" s="76"/>
      <c r="K3945" s="76"/>
      <c r="L3945" s="76"/>
      <c r="M3945" s="76"/>
      <c r="N3945" s="114"/>
    </row>
    <row r="3946">
      <c r="C3946" s="41"/>
      <c r="D3946" s="142"/>
      <c r="E3946" s="130"/>
      <c r="F3946" s="128"/>
      <c r="G3946" s="128"/>
      <c r="H3946" s="128"/>
      <c r="I3946" s="128"/>
      <c r="J3946" s="81"/>
      <c r="K3946" s="81"/>
      <c r="L3946" s="81"/>
      <c r="M3946" s="81"/>
      <c r="N3946" s="82"/>
    </row>
    <row r="3947">
      <c r="C3947" s="41"/>
      <c r="D3947" s="141"/>
      <c r="E3947" s="118"/>
      <c r="F3947" s="126"/>
      <c r="G3947" s="126"/>
      <c r="H3947" s="126"/>
      <c r="I3947" s="126"/>
      <c r="J3947" s="76"/>
      <c r="K3947" s="76"/>
      <c r="L3947" s="76"/>
      <c r="M3947" s="76"/>
      <c r="N3947" s="114"/>
    </row>
    <row r="3948">
      <c r="C3948" s="41"/>
      <c r="D3948" s="142"/>
      <c r="E3948" s="130"/>
      <c r="F3948" s="128"/>
      <c r="G3948" s="128"/>
      <c r="H3948" s="128"/>
      <c r="I3948" s="128"/>
      <c r="J3948" s="81"/>
      <c r="K3948" s="81"/>
      <c r="L3948" s="81"/>
      <c r="M3948" s="81"/>
      <c r="N3948" s="82"/>
    </row>
    <row r="3949">
      <c r="C3949" s="41"/>
      <c r="D3949" s="141"/>
      <c r="E3949" s="118"/>
      <c r="F3949" s="126"/>
      <c r="G3949" s="126"/>
      <c r="H3949" s="126"/>
      <c r="I3949" s="126"/>
      <c r="J3949" s="76"/>
      <c r="K3949" s="76"/>
      <c r="L3949" s="76"/>
      <c r="M3949" s="76"/>
      <c r="N3949" s="114"/>
    </row>
    <row r="3950">
      <c r="C3950" s="41"/>
      <c r="D3950" s="142"/>
      <c r="E3950" s="130"/>
      <c r="F3950" s="128"/>
      <c r="G3950" s="128"/>
      <c r="H3950" s="128"/>
      <c r="I3950" s="128"/>
      <c r="J3950" s="81"/>
      <c r="K3950" s="81"/>
      <c r="L3950" s="81"/>
      <c r="M3950" s="81"/>
      <c r="N3950" s="82"/>
    </row>
    <row r="3951">
      <c r="C3951" s="41"/>
      <c r="D3951" s="141"/>
      <c r="E3951" s="118"/>
      <c r="F3951" s="126"/>
      <c r="G3951" s="126"/>
      <c r="H3951" s="126"/>
      <c r="I3951" s="126"/>
      <c r="J3951" s="76"/>
      <c r="K3951" s="76"/>
      <c r="L3951" s="76"/>
      <c r="M3951" s="76"/>
      <c r="N3951" s="114"/>
    </row>
    <row r="3952">
      <c r="C3952" s="41"/>
      <c r="D3952" s="142"/>
      <c r="E3952" s="130"/>
      <c r="F3952" s="128"/>
      <c r="G3952" s="128"/>
      <c r="H3952" s="128"/>
      <c r="I3952" s="128"/>
      <c r="J3952" s="81"/>
      <c r="K3952" s="81"/>
      <c r="L3952" s="81"/>
      <c r="M3952" s="81"/>
      <c r="N3952" s="82"/>
    </row>
    <row r="3953">
      <c r="C3953" s="41"/>
      <c r="D3953" s="141"/>
      <c r="E3953" s="118"/>
      <c r="F3953" s="126"/>
      <c r="G3953" s="126"/>
      <c r="H3953" s="126"/>
      <c r="I3953" s="126"/>
      <c r="J3953" s="76"/>
      <c r="K3953" s="76"/>
      <c r="L3953" s="76"/>
      <c r="M3953" s="76"/>
      <c r="N3953" s="114"/>
    </row>
    <row r="3954">
      <c r="C3954" s="41"/>
      <c r="D3954" s="142"/>
      <c r="E3954" s="130"/>
      <c r="F3954" s="128"/>
      <c r="G3954" s="128"/>
      <c r="H3954" s="128"/>
      <c r="I3954" s="128"/>
      <c r="J3954" s="81"/>
      <c r="K3954" s="81"/>
      <c r="L3954" s="81"/>
      <c r="M3954" s="81"/>
      <c r="N3954" s="82"/>
    </row>
    <row r="3955">
      <c r="C3955" s="41"/>
      <c r="D3955" s="141"/>
      <c r="E3955" s="118"/>
      <c r="F3955" s="126"/>
      <c r="G3955" s="126"/>
      <c r="H3955" s="126"/>
      <c r="I3955" s="126"/>
      <c r="J3955" s="76"/>
      <c r="K3955" s="76"/>
      <c r="L3955" s="76"/>
      <c r="M3955" s="76"/>
      <c r="N3955" s="114"/>
    </row>
    <row r="3956">
      <c r="C3956" s="41"/>
      <c r="D3956" s="142"/>
      <c r="E3956" s="130"/>
      <c r="F3956" s="128"/>
      <c r="G3956" s="128"/>
      <c r="H3956" s="128"/>
      <c r="I3956" s="128"/>
      <c r="J3956" s="81"/>
      <c r="K3956" s="81"/>
      <c r="L3956" s="81"/>
      <c r="M3956" s="81"/>
      <c r="N3956" s="82"/>
    </row>
    <row r="3957">
      <c r="C3957" s="41"/>
      <c r="D3957" s="141"/>
      <c r="E3957" s="118"/>
      <c r="F3957" s="126"/>
      <c r="G3957" s="126"/>
      <c r="H3957" s="126"/>
      <c r="I3957" s="126"/>
      <c r="J3957" s="76"/>
      <c r="K3957" s="76"/>
      <c r="L3957" s="76"/>
      <c r="M3957" s="76"/>
      <c r="N3957" s="114"/>
    </row>
    <row r="3958">
      <c r="C3958" s="41"/>
      <c r="D3958" s="142"/>
      <c r="E3958" s="130"/>
      <c r="F3958" s="128"/>
      <c r="G3958" s="128"/>
      <c r="H3958" s="128"/>
      <c r="I3958" s="128"/>
      <c r="J3958" s="81"/>
      <c r="K3958" s="81"/>
      <c r="L3958" s="81"/>
      <c r="M3958" s="81"/>
      <c r="N3958" s="82"/>
    </row>
    <row r="3959">
      <c r="C3959" s="41"/>
      <c r="D3959" s="141"/>
      <c r="E3959" s="118"/>
      <c r="F3959" s="126"/>
      <c r="G3959" s="126"/>
      <c r="H3959" s="126"/>
      <c r="I3959" s="126"/>
      <c r="J3959" s="76"/>
      <c r="K3959" s="76"/>
      <c r="L3959" s="76"/>
      <c r="M3959" s="76"/>
      <c r="N3959" s="114"/>
    </row>
    <row r="3960">
      <c r="C3960" s="41"/>
      <c r="D3960" s="142"/>
      <c r="E3960" s="130"/>
      <c r="F3960" s="128"/>
      <c r="G3960" s="128"/>
      <c r="H3960" s="128"/>
      <c r="I3960" s="128"/>
      <c r="J3960" s="81"/>
      <c r="K3960" s="81"/>
      <c r="L3960" s="81"/>
      <c r="M3960" s="81"/>
      <c r="N3960" s="82"/>
    </row>
    <row r="3961">
      <c r="C3961" s="41"/>
      <c r="D3961" s="141"/>
      <c r="E3961" s="118"/>
      <c r="F3961" s="126"/>
      <c r="G3961" s="126"/>
      <c r="H3961" s="126"/>
      <c r="I3961" s="126"/>
      <c r="J3961" s="76"/>
      <c r="K3961" s="76"/>
      <c r="L3961" s="76"/>
      <c r="M3961" s="76"/>
      <c r="N3961" s="114"/>
    </row>
    <row r="3962">
      <c r="C3962" s="41"/>
      <c r="D3962" s="142"/>
      <c r="E3962" s="130"/>
      <c r="F3962" s="128"/>
      <c r="G3962" s="128"/>
      <c r="H3962" s="128"/>
      <c r="I3962" s="128"/>
      <c r="J3962" s="81"/>
      <c r="K3962" s="81"/>
      <c r="L3962" s="81"/>
      <c r="M3962" s="81"/>
      <c r="N3962" s="82"/>
    </row>
    <row r="3963">
      <c r="C3963" s="41"/>
      <c r="D3963" s="141"/>
      <c r="E3963" s="118"/>
      <c r="F3963" s="126"/>
      <c r="G3963" s="126"/>
      <c r="H3963" s="126"/>
      <c r="I3963" s="126"/>
      <c r="J3963" s="76"/>
      <c r="K3963" s="76"/>
      <c r="L3963" s="76"/>
      <c r="M3963" s="76"/>
      <c r="N3963" s="114"/>
    </row>
    <row r="3964">
      <c r="C3964" s="41"/>
      <c r="D3964" s="142"/>
      <c r="E3964" s="130"/>
      <c r="F3964" s="128"/>
      <c r="G3964" s="128"/>
      <c r="H3964" s="128"/>
      <c r="I3964" s="128"/>
      <c r="J3964" s="81"/>
      <c r="K3964" s="81"/>
      <c r="L3964" s="81"/>
      <c r="M3964" s="81"/>
      <c r="N3964" s="82"/>
    </row>
    <row r="3965">
      <c r="C3965" s="41"/>
      <c r="D3965" s="141"/>
      <c r="E3965" s="118"/>
      <c r="F3965" s="126"/>
      <c r="G3965" s="126"/>
      <c r="H3965" s="126"/>
      <c r="I3965" s="126"/>
      <c r="J3965" s="76"/>
      <c r="K3965" s="76"/>
      <c r="L3965" s="76"/>
      <c r="M3965" s="76"/>
      <c r="N3965" s="114"/>
    </row>
    <row r="3966">
      <c r="C3966" s="41"/>
      <c r="D3966" s="142"/>
      <c r="E3966" s="130"/>
      <c r="F3966" s="128"/>
      <c r="G3966" s="128"/>
      <c r="H3966" s="128"/>
      <c r="I3966" s="128"/>
      <c r="J3966" s="81"/>
      <c r="K3966" s="81"/>
      <c r="L3966" s="81"/>
      <c r="M3966" s="81"/>
      <c r="N3966" s="82"/>
    </row>
    <row r="3967">
      <c r="C3967" s="41"/>
      <c r="D3967" s="141"/>
      <c r="E3967" s="118"/>
      <c r="F3967" s="126"/>
      <c r="G3967" s="126"/>
      <c r="H3967" s="126"/>
      <c r="I3967" s="126"/>
      <c r="J3967" s="76"/>
      <c r="K3967" s="76"/>
      <c r="L3967" s="76"/>
      <c r="M3967" s="76"/>
      <c r="N3967" s="114"/>
    </row>
    <row r="3968">
      <c r="C3968" s="41"/>
      <c r="D3968" s="142"/>
      <c r="E3968" s="130"/>
      <c r="F3968" s="128"/>
      <c r="G3968" s="128"/>
      <c r="H3968" s="128"/>
      <c r="I3968" s="128"/>
      <c r="J3968" s="81"/>
      <c r="K3968" s="81"/>
      <c r="L3968" s="81"/>
      <c r="M3968" s="81"/>
      <c r="N3968" s="82"/>
    </row>
    <row r="3969">
      <c r="C3969" s="41"/>
      <c r="D3969" s="141"/>
      <c r="E3969" s="118"/>
      <c r="F3969" s="126"/>
      <c r="G3969" s="126"/>
      <c r="H3969" s="126"/>
      <c r="I3969" s="126"/>
      <c r="J3969" s="76"/>
      <c r="K3969" s="76"/>
      <c r="L3969" s="76"/>
      <c r="M3969" s="76"/>
      <c r="N3969" s="114"/>
    </row>
    <row r="3970">
      <c r="C3970" s="41"/>
      <c r="D3970" s="142"/>
      <c r="E3970" s="130"/>
      <c r="F3970" s="128"/>
      <c r="G3970" s="128"/>
      <c r="H3970" s="128"/>
      <c r="I3970" s="128"/>
      <c r="J3970" s="81"/>
      <c r="K3970" s="81"/>
      <c r="L3970" s="81"/>
      <c r="M3970" s="81"/>
      <c r="N3970" s="82"/>
    </row>
    <row r="3971">
      <c r="C3971" s="41"/>
      <c r="D3971" s="141"/>
      <c r="E3971" s="118"/>
      <c r="F3971" s="126"/>
      <c r="G3971" s="126"/>
      <c r="H3971" s="126"/>
      <c r="I3971" s="126"/>
      <c r="J3971" s="76"/>
      <c r="K3971" s="76"/>
      <c r="L3971" s="76"/>
      <c r="M3971" s="76"/>
      <c r="N3971" s="114"/>
    </row>
    <row r="3972">
      <c r="C3972" s="41"/>
      <c r="D3972" s="142"/>
      <c r="E3972" s="130"/>
      <c r="F3972" s="128"/>
      <c r="G3972" s="128"/>
      <c r="H3972" s="128"/>
      <c r="I3972" s="128"/>
      <c r="J3972" s="81"/>
      <c r="K3972" s="81"/>
      <c r="L3972" s="81"/>
      <c r="M3972" s="81"/>
      <c r="N3972" s="82"/>
    </row>
    <row r="3973">
      <c r="C3973" s="41"/>
      <c r="D3973" s="141"/>
      <c r="E3973" s="118"/>
      <c r="F3973" s="126"/>
      <c r="G3973" s="126"/>
      <c r="H3973" s="126"/>
      <c r="I3973" s="126"/>
      <c r="J3973" s="76"/>
      <c r="K3973" s="76"/>
      <c r="L3973" s="76"/>
      <c r="M3973" s="76"/>
      <c r="N3973" s="114"/>
    </row>
    <row r="3974">
      <c r="C3974" s="41"/>
      <c r="D3974" s="142"/>
      <c r="E3974" s="130"/>
      <c r="F3974" s="128"/>
      <c r="G3974" s="128"/>
      <c r="H3974" s="128"/>
      <c r="I3974" s="128"/>
      <c r="J3974" s="81"/>
      <c r="K3974" s="81"/>
      <c r="L3974" s="81"/>
      <c r="M3974" s="81"/>
      <c r="N3974" s="82"/>
    </row>
    <row r="3975">
      <c r="C3975" s="41"/>
      <c r="D3975" s="141"/>
      <c r="E3975" s="118"/>
      <c r="F3975" s="126"/>
      <c r="G3975" s="126"/>
      <c r="H3975" s="126"/>
      <c r="I3975" s="126"/>
      <c r="J3975" s="76"/>
      <c r="K3975" s="76"/>
      <c r="L3975" s="76"/>
      <c r="M3975" s="76"/>
      <c r="N3975" s="114"/>
    </row>
    <row r="3976">
      <c r="C3976" s="41"/>
      <c r="D3976" s="142"/>
      <c r="E3976" s="130"/>
      <c r="F3976" s="128"/>
      <c r="G3976" s="128"/>
      <c r="H3976" s="128"/>
      <c r="I3976" s="128"/>
      <c r="J3976" s="81"/>
      <c r="K3976" s="81"/>
      <c r="L3976" s="81"/>
      <c r="M3976" s="81"/>
      <c r="N3976" s="82"/>
    </row>
    <row r="3977">
      <c r="C3977" s="41"/>
      <c r="D3977" s="141"/>
      <c r="E3977" s="118"/>
      <c r="F3977" s="126"/>
      <c r="G3977" s="126"/>
      <c r="H3977" s="126"/>
      <c r="I3977" s="126"/>
      <c r="J3977" s="76"/>
      <c r="K3977" s="76"/>
      <c r="L3977" s="76"/>
      <c r="M3977" s="76"/>
      <c r="N3977" s="114"/>
    </row>
    <row r="3978">
      <c r="C3978" s="41"/>
      <c r="D3978" s="142"/>
      <c r="E3978" s="130"/>
      <c r="F3978" s="128"/>
      <c r="G3978" s="128"/>
      <c r="H3978" s="128"/>
      <c r="I3978" s="128"/>
      <c r="J3978" s="81"/>
      <c r="K3978" s="81"/>
      <c r="L3978" s="81"/>
      <c r="M3978" s="81"/>
      <c r="N3978" s="82"/>
    </row>
    <row r="3979">
      <c r="C3979" s="41"/>
      <c r="D3979" s="141"/>
      <c r="E3979" s="118"/>
      <c r="F3979" s="126"/>
      <c r="G3979" s="126"/>
      <c r="H3979" s="126"/>
      <c r="I3979" s="126"/>
      <c r="J3979" s="76"/>
      <c r="K3979" s="76"/>
      <c r="L3979" s="76"/>
      <c r="M3979" s="76"/>
      <c r="N3979" s="114"/>
    </row>
    <row r="3980">
      <c r="C3980" s="41"/>
      <c r="D3980" s="142"/>
      <c r="E3980" s="130"/>
      <c r="F3980" s="128"/>
      <c r="G3980" s="128"/>
      <c r="H3980" s="128"/>
      <c r="I3980" s="128"/>
      <c r="J3980" s="81"/>
      <c r="K3980" s="81"/>
      <c r="L3980" s="81"/>
      <c r="M3980" s="81"/>
      <c r="N3980" s="82"/>
    </row>
    <row r="3981">
      <c r="C3981" s="41"/>
      <c r="D3981" s="141"/>
      <c r="E3981" s="118"/>
      <c r="F3981" s="126"/>
      <c r="G3981" s="126"/>
      <c r="H3981" s="126"/>
      <c r="I3981" s="126"/>
      <c r="J3981" s="76"/>
      <c r="K3981" s="76"/>
      <c r="L3981" s="76"/>
      <c r="M3981" s="76"/>
      <c r="N3981" s="114"/>
    </row>
    <row r="3982">
      <c r="C3982" s="41"/>
      <c r="D3982" s="142"/>
      <c r="E3982" s="130"/>
      <c r="F3982" s="128"/>
      <c r="G3982" s="128"/>
      <c r="H3982" s="128"/>
      <c r="I3982" s="128"/>
      <c r="J3982" s="81"/>
      <c r="K3982" s="81"/>
      <c r="L3982" s="81"/>
      <c r="M3982" s="81"/>
      <c r="N3982" s="82"/>
    </row>
    <row r="3983">
      <c r="C3983" s="41"/>
      <c r="D3983" s="141"/>
      <c r="E3983" s="118"/>
      <c r="F3983" s="126"/>
      <c r="G3983" s="126"/>
      <c r="H3983" s="126"/>
      <c r="I3983" s="126"/>
      <c r="J3983" s="76"/>
      <c r="K3983" s="76"/>
      <c r="L3983" s="76"/>
      <c r="M3983" s="76"/>
      <c r="N3983" s="114"/>
    </row>
    <row r="3984">
      <c r="C3984" s="41"/>
      <c r="D3984" s="142"/>
      <c r="E3984" s="130"/>
      <c r="F3984" s="128"/>
      <c r="G3984" s="128"/>
      <c r="H3984" s="128"/>
      <c r="I3984" s="128"/>
      <c r="J3984" s="81"/>
      <c r="K3984" s="81"/>
      <c r="L3984" s="81"/>
      <c r="M3984" s="81"/>
      <c r="N3984" s="82"/>
    </row>
    <row r="3985">
      <c r="C3985" s="41"/>
      <c r="D3985" s="141"/>
      <c r="E3985" s="118"/>
      <c r="F3985" s="126"/>
      <c r="G3985" s="126"/>
      <c r="H3985" s="126"/>
      <c r="I3985" s="126"/>
      <c r="J3985" s="76"/>
      <c r="K3985" s="76"/>
      <c r="L3985" s="76"/>
      <c r="M3985" s="76"/>
      <c r="N3985" s="114"/>
    </row>
    <row r="3986">
      <c r="C3986" s="41"/>
      <c r="D3986" s="142"/>
      <c r="E3986" s="130"/>
      <c r="F3986" s="128"/>
      <c r="G3986" s="128"/>
      <c r="H3986" s="128"/>
      <c r="I3986" s="128"/>
      <c r="J3986" s="81"/>
      <c r="K3986" s="81"/>
      <c r="L3986" s="81"/>
      <c r="M3986" s="81"/>
      <c r="N3986" s="82"/>
    </row>
    <row r="3987">
      <c r="C3987" s="41"/>
      <c r="D3987" s="141"/>
      <c r="E3987" s="118"/>
      <c r="F3987" s="126"/>
      <c r="G3987" s="126"/>
      <c r="H3987" s="126"/>
      <c r="I3987" s="126"/>
      <c r="J3987" s="76"/>
      <c r="K3987" s="76"/>
      <c r="L3987" s="76"/>
      <c r="M3987" s="76"/>
      <c r="N3987" s="114"/>
    </row>
    <row r="3988">
      <c r="C3988" s="41"/>
      <c r="D3988" s="142"/>
      <c r="E3988" s="130"/>
      <c r="F3988" s="128"/>
      <c r="G3988" s="128"/>
      <c r="H3988" s="128"/>
      <c r="I3988" s="128"/>
      <c r="J3988" s="81"/>
      <c r="K3988" s="81"/>
      <c r="L3988" s="81"/>
      <c r="M3988" s="81"/>
      <c r="N3988" s="82"/>
    </row>
    <row r="3989">
      <c r="C3989" s="41"/>
      <c r="D3989" s="141"/>
      <c r="E3989" s="118"/>
      <c r="F3989" s="126"/>
      <c r="G3989" s="126"/>
      <c r="H3989" s="126"/>
      <c r="I3989" s="126"/>
      <c r="J3989" s="76"/>
      <c r="K3989" s="76"/>
      <c r="L3989" s="76"/>
      <c r="M3989" s="76"/>
      <c r="N3989" s="114"/>
    </row>
    <row r="3990">
      <c r="C3990" s="41"/>
      <c r="D3990" s="142"/>
      <c r="E3990" s="130"/>
      <c r="F3990" s="128"/>
      <c r="G3990" s="128"/>
      <c r="H3990" s="128"/>
      <c r="I3990" s="128"/>
      <c r="J3990" s="81"/>
      <c r="K3990" s="81"/>
      <c r="L3990" s="81"/>
      <c r="M3990" s="81"/>
      <c r="N3990" s="82"/>
    </row>
    <row r="3991">
      <c r="C3991" s="41"/>
      <c r="D3991" s="141"/>
      <c r="E3991" s="118"/>
      <c r="F3991" s="126"/>
      <c r="G3991" s="126"/>
      <c r="H3991" s="126"/>
      <c r="I3991" s="126"/>
      <c r="J3991" s="76"/>
      <c r="K3991" s="76"/>
      <c r="L3991" s="76"/>
      <c r="M3991" s="76"/>
      <c r="N3991" s="114"/>
    </row>
    <row r="3992">
      <c r="C3992" s="41"/>
      <c r="D3992" s="142"/>
      <c r="E3992" s="130"/>
      <c r="F3992" s="128"/>
      <c r="G3992" s="128"/>
      <c r="H3992" s="128"/>
      <c r="I3992" s="128"/>
      <c r="J3992" s="81"/>
      <c r="K3992" s="81"/>
      <c r="L3992" s="81"/>
      <c r="M3992" s="81"/>
      <c r="N3992" s="82"/>
    </row>
    <row r="3993">
      <c r="C3993" s="41"/>
      <c r="D3993" s="141"/>
      <c r="E3993" s="118"/>
      <c r="F3993" s="126"/>
      <c r="G3993" s="126"/>
      <c r="H3993" s="126"/>
      <c r="I3993" s="126"/>
      <c r="J3993" s="76"/>
      <c r="K3993" s="76"/>
      <c r="L3993" s="76"/>
      <c r="M3993" s="76"/>
      <c r="N3993" s="114"/>
    </row>
    <row r="3994">
      <c r="C3994" s="41"/>
      <c r="D3994" s="142"/>
      <c r="E3994" s="130"/>
      <c r="F3994" s="128"/>
      <c r="G3994" s="128"/>
      <c r="H3994" s="128"/>
      <c r="I3994" s="128"/>
      <c r="J3994" s="81"/>
      <c r="K3994" s="81"/>
      <c r="L3994" s="81"/>
      <c r="M3994" s="81"/>
      <c r="N3994" s="82"/>
    </row>
    <row r="3995">
      <c r="C3995" s="41"/>
      <c r="D3995" s="141"/>
      <c r="E3995" s="118"/>
      <c r="F3995" s="126"/>
      <c r="G3995" s="126"/>
      <c r="H3995" s="126"/>
      <c r="I3995" s="126"/>
      <c r="J3995" s="76"/>
      <c r="K3995" s="76"/>
      <c r="L3995" s="76"/>
      <c r="M3995" s="76"/>
      <c r="N3995" s="114"/>
    </row>
    <row r="3996">
      <c r="C3996" s="41"/>
      <c r="D3996" s="142"/>
      <c r="E3996" s="130"/>
      <c r="F3996" s="128"/>
      <c r="G3996" s="128"/>
      <c r="H3996" s="128"/>
      <c r="I3996" s="128"/>
      <c r="J3996" s="81"/>
      <c r="K3996" s="81"/>
      <c r="L3996" s="81"/>
      <c r="M3996" s="81"/>
      <c r="N3996" s="82"/>
    </row>
    <row r="3997">
      <c r="C3997" s="41"/>
      <c r="D3997" s="141"/>
      <c r="E3997" s="118"/>
      <c r="F3997" s="126"/>
      <c r="G3997" s="126"/>
      <c r="H3997" s="126"/>
      <c r="I3997" s="126"/>
      <c r="J3997" s="76"/>
      <c r="K3997" s="76"/>
      <c r="L3997" s="76"/>
      <c r="M3997" s="76"/>
      <c r="N3997" s="114"/>
    </row>
    <row r="3998">
      <c r="C3998" s="41"/>
      <c r="D3998" s="142"/>
      <c r="E3998" s="130"/>
      <c r="F3998" s="128"/>
      <c r="G3998" s="128"/>
      <c r="H3998" s="128"/>
      <c r="I3998" s="128"/>
      <c r="J3998" s="81"/>
      <c r="K3998" s="81"/>
      <c r="L3998" s="81"/>
      <c r="M3998" s="81"/>
      <c r="N3998" s="82"/>
    </row>
    <row r="3999">
      <c r="C3999" s="41"/>
      <c r="D3999" s="141"/>
      <c r="E3999" s="118"/>
      <c r="F3999" s="126"/>
      <c r="G3999" s="126"/>
      <c r="H3999" s="126"/>
      <c r="I3999" s="126"/>
      <c r="J3999" s="76"/>
      <c r="K3999" s="76"/>
      <c r="L3999" s="76"/>
      <c r="M3999" s="76"/>
      <c r="N3999" s="114"/>
    </row>
    <row r="4000">
      <c r="C4000" s="41"/>
      <c r="D4000" s="142"/>
      <c r="E4000" s="130"/>
      <c r="F4000" s="128"/>
      <c r="G4000" s="128"/>
      <c r="H4000" s="128"/>
      <c r="I4000" s="128"/>
      <c r="J4000" s="81"/>
      <c r="K4000" s="81"/>
      <c r="L4000" s="81"/>
      <c r="M4000" s="81"/>
      <c r="N4000" s="82"/>
    </row>
    <row r="4001">
      <c r="C4001" s="41"/>
      <c r="D4001" s="141"/>
      <c r="E4001" s="118"/>
      <c r="F4001" s="126"/>
      <c r="G4001" s="126"/>
      <c r="H4001" s="126"/>
      <c r="I4001" s="126"/>
      <c r="J4001" s="76"/>
      <c r="K4001" s="76"/>
      <c r="L4001" s="76"/>
      <c r="M4001" s="76"/>
      <c r="N4001" s="114"/>
    </row>
    <row r="4002">
      <c r="C4002" s="41"/>
      <c r="D4002" s="142"/>
      <c r="E4002" s="130"/>
      <c r="F4002" s="128"/>
      <c r="G4002" s="128"/>
      <c r="H4002" s="128"/>
      <c r="I4002" s="128"/>
      <c r="J4002" s="81"/>
      <c r="K4002" s="81"/>
      <c r="L4002" s="81"/>
      <c r="M4002" s="81"/>
      <c r="N4002" s="82"/>
    </row>
    <row r="4003">
      <c r="C4003" s="41"/>
      <c r="D4003" s="141"/>
      <c r="E4003" s="118"/>
      <c r="F4003" s="126"/>
      <c r="G4003" s="126"/>
      <c r="H4003" s="126"/>
      <c r="I4003" s="126"/>
      <c r="J4003" s="76"/>
      <c r="K4003" s="76"/>
      <c r="L4003" s="76"/>
      <c r="M4003" s="76"/>
      <c r="N4003" s="114"/>
    </row>
    <row r="4004">
      <c r="C4004" s="41"/>
      <c r="D4004" s="142"/>
      <c r="E4004" s="130"/>
      <c r="F4004" s="128"/>
      <c r="G4004" s="128"/>
      <c r="H4004" s="128"/>
      <c r="I4004" s="128"/>
      <c r="J4004" s="81"/>
      <c r="K4004" s="81"/>
      <c r="L4004" s="81"/>
      <c r="M4004" s="81"/>
      <c r="N4004" s="82"/>
    </row>
    <row r="4005">
      <c r="C4005" s="41"/>
      <c r="D4005" s="141"/>
      <c r="E4005" s="118"/>
      <c r="F4005" s="126"/>
      <c r="G4005" s="126"/>
      <c r="H4005" s="126"/>
      <c r="I4005" s="126"/>
      <c r="J4005" s="76"/>
      <c r="K4005" s="76"/>
      <c r="L4005" s="76"/>
      <c r="M4005" s="76"/>
      <c r="N4005" s="114"/>
    </row>
    <row r="4006">
      <c r="C4006" s="41"/>
      <c r="D4006" s="142"/>
      <c r="E4006" s="130"/>
      <c r="F4006" s="128"/>
      <c r="G4006" s="128"/>
      <c r="H4006" s="128"/>
      <c r="I4006" s="128"/>
      <c r="J4006" s="81"/>
      <c r="K4006" s="81"/>
      <c r="L4006" s="81"/>
      <c r="M4006" s="81"/>
      <c r="N4006" s="82"/>
    </row>
    <row r="4007">
      <c r="C4007" s="41"/>
      <c r="D4007" s="141"/>
      <c r="E4007" s="118"/>
      <c r="F4007" s="126"/>
      <c r="G4007" s="126"/>
      <c r="H4007" s="126"/>
      <c r="I4007" s="126"/>
      <c r="J4007" s="76"/>
      <c r="K4007" s="76"/>
      <c r="L4007" s="76"/>
      <c r="M4007" s="76"/>
      <c r="N4007" s="114"/>
    </row>
    <row r="4008">
      <c r="C4008" s="41"/>
      <c r="D4008" s="142"/>
      <c r="E4008" s="130"/>
      <c r="F4008" s="128"/>
      <c r="G4008" s="128"/>
      <c r="H4008" s="128"/>
      <c r="I4008" s="128"/>
      <c r="J4008" s="81"/>
      <c r="K4008" s="81"/>
      <c r="L4008" s="81"/>
      <c r="M4008" s="81"/>
      <c r="N4008" s="82"/>
    </row>
    <row r="4009">
      <c r="C4009" s="41"/>
      <c r="D4009" s="141"/>
      <c r="E4009" s="118"/>
      <c r="F4009" s="126"/>
      <c r="G4009" s="126"/>
      <c r="H4009" s="126"/>
      <c r="I4009" s="126"/>
      <c r="J4009" s="76"/>
      <c r="K4009" s="76"/>
      <c r="L4009" s="76"/>
      <c r="M4009" s="76"/>
      <c r="N4009" s="114"/>
    </row>
    <row r="4010">
      <c r="C4010" s="41"/>
      <c r="D4010" s="142"/>
      <c r="E4010" s="130"/>
      <c r="F4010" s="128"/>
      <c r="G4010" s="128"/>
      <c r="H4010" s="128"/>
      <c r="I4010" s="128"/>
      <c r="J4010" s="81"/>
      <c r="K4010" s="81"/>
      <c r="L4010" s="81"/>
      <c r="M4010" s="81"/>
      <c r="N4010" s="82"/>
    </row>
    <row r="4011">
      <c r="C4011" s="41"/>
      <c r="D4011" s="141"/>
      <c r="E4011" s="118"/>
      <c r="F4011" s="126"/>
      <c r="G4011" s="126"/>
      <c r="H4011" s="126"/>
      <c r="I4011" s="126"/>
      <c r="J4011" s="76"/>
      <c r="K4011" s="76"/>
      <c r="L4011" s="76"/>
      <c r="M4011" s="76"/>
      <c r="N4011" s="114"/>
    </row>
    <row r="4012">
      <c r="C4012" s="41"/>
      <c r="D4012" s="142"/>
      <c r="E4012" s="130"/>
      <c r="F4012" s="128"/>
      <c r="G4012" s="128"/>
      <c r="H4012" s="128"/>
      <c r="I4012" s="128"/>
      <c r="J4012" s="81"/>
      <c r="K4012" s="81"/>
      <c r="L4012" s="81"/>
      <c r="M4012" s="81"/>
      <c r="N4012" s="82"/>
    </row>
    <row r="4013">
      <c r="C4013" s="41"/>
      <c r="D4013" s="141"/>
      <c r="E4013" s="118"/>
      <c r="F4013" s="126"/>
      <c r="G4013" s="126"/>
      <c r="H4013" s="126"/>
      <c r="I4013" s="126"/>
      <c r="J4013" s="76"/>
      <c r="K4013" s="76"/>
      <c r="L4013" s="76"/>
      <c r="M4013" s="76"/>
      <c r="N4013" s="114"/>
    </row>
    <row r="4014">
      <c r="C4014" s="41"/>
      <c r="D4014" s="142"/>
      <c r="E4014" s="130"/>
      <c r="F4014" s="128"/>
      <c r="G4014" s="128"/>
      <c r="H4014" s="128"/>
      <c r="I4014" s="128"/>
      <c r="J4014" s="81"/>
      <c r="K4014" s="81"/>
      <c r="L4014" s="81"/>
      <c r="M4014" s="81"/>
      <c r="N4014" s="82"/>
    </row>
    <row r="4015">
      <c r="C4015" s="41"/>
      <c r="D4015" s="141"/>
      <c r="E4015" s="118"/>
      <c r="F4015" s="126"/>
      <c r="G4015" s="126"/>
      <c r="H4015" s="126"/>
      <c r="I4015" s="126"/>
      <c r="J4015" s="76"/>
      <c r="K4015" s="76"/>
      <c r="L4015" s="76"/>
      <c r="M4015" s="76"/>
      <c r="N4015" s="114"/>
    </row>
    <row r="4016">
      <c r="C4016" s="41"/>
      <c r="D4016" s="142"/>
      <c r="E4016" s="130"/>
      <c r="F4016" s="128"/>
      <c r="G4016" s="128"/>
      <c r="H4016" s="128"/>
      <c r="I4016" s="128"/>
      <c r="J4016" s="81"/>
      <c r="K4016" s="81"/>
      <c r="L4016" s="81"/>
      <c r="M4016" s="81"/>
      <c r="N4016" s="82"/>
    </row>
    <row r="4017">
      <c r="C4017" s="41"/>
      <c r="D4017" s="141"/>
      <c r="E4017" s="118"/>
      <c r="F4017" s="126"/>
      <c r="G4017" s="126"/>
      <c r="H4017" s="126"/>
      <c r="I4017" s="126"/>
      <c r="J4017" s="76"/>
      <c r="K4017" s="76"/>
      <c r="L4017" s="76"/>
      <c r="M4017" s="76"/>
      <c r="N4017" s="114"/>
    </row>
    <row r="4018">
      <c r="C4018" s="41"/>
      <c r="D4018" s="142"/>
      <c r="E4018" s="130"/>
      <c r="F4018" s="128"/>
      <c r="G4018" s="128"/>
      <c r="H4018" s="128"/>
      <c r="I4018" s="128"/>
      <c r="J4018" s="81"/>
      <c r="K4018" s="81"/>
      <c r="L4018" s="81"/>
      <c r="M4018" s="81"/>
      <c r="N4018" s="82"/>
    </row>
    <row r="4019">
      <c r="C4019" s="41"/>
      <c r="D4019" s="141"/>
      <c r="E4019" s="118"/>
      <c r="F4019" s="126"/>
      <c r="G4019" s="126"/>
      <c r="H4019" s="126"/>
      <c r="I4019" s="126"/>
      <c r="J4019" s="76"/>
      <c r="K4019" s="76"/>
      <c r="L4019" s="76"/>
      <c r="M4019" s="76"/>
      <c r="N4019" s="114"/>
    </row>
    <row r="4020">
      <c r="C4020" s="41"/>
      <c r="D4020" s="142"/>
      <c r="E4020" s="130"/>
      <c r="F4020" s="128"/>
      <c r="G4020" s="128"/>
      <c r="H4020" s="128"/>
      <c r="I4020" s="128"/>
      <c r="J4020" s="81"/>
      <c r="K4020" s="81"/>
      <c r="L4020" s="81"/>
      <c r="M4020" s="81"/>
      <c r="N4020" s="82"/>
    </row>
    <row r="4021">
      <c r="C4021" s="41"/>
      <c r="D4021" s="141"/>
      <c r="E4021" s="118"/>
      <c r="F4021" s="126"/>
      <c r="G4021" s="126"/>
      <c r="H4021" s="126"/>
      <c r="I4021" s="126"/>
      <c r="J4021" s="76"/>
      <c r="K4021" s="76"/>
      <c r="L4021" s="76"/>
      <c r="M4021" s="76"/>
      <c r="N4021" s="114"/>
    </row>
    <row r="4022">
      <c r="C4022" s="41"/>
      <c r="D4022" s="142"/>
      <c r="E4022" s="130"/>
      <c r="F4022" s="128"/>
      <c r="G4022" s="128"/>
      <c r="H4022" s="128"/>
      <c r="I4022" s="128"/>
      <c r="J4022" s="81"/>
      <c r="K4022" s="81"/>
      <c r="L4022" s="81"/>
      <c r="M4022" s="81"/>
      <c r="N4022" s="82"/>
    </row>
    <row r="4023">
      <c r="C4023" s="41"/>
      <c r="D4023" s="141"/>
      <c r="E4023" s="118"/>
      <c r="F4023" s="126"/>
      <c r="G4023" s="126"/>
      <c r="H4023" s="126"/>
      <c r="I4023" s="126"/>
      <c r="J4023" s="76"/>
      <c r="K4023" s="76"/>
      <c r="L4023" s="76"/>
      <c r="M4023" s="76"/>
      <c r="N4023" s="114"/>
    </row>
    <row r="4024">
      <c r="C4024" s="41"/>
      <c r="D4024" s="142"/>
      <c r="E4024" s="130"/>
      <c r="F4024" s="128"/>
      <c r="G4024" s="128"/>
      <c r="H4024" s="128"/>
      <c r="I4024" s="128"/>
      <c r="J4024" s="81"/>
      <c r="K4024" s="81"/>
      <c r="L4024" s="81"/>
      <c r="M4024" s="81"/>
      <c r="N4024" s="82"/>
    </row>
    <row r="4025">
      <c r="C4025" s="41"/>
      <c r="D4025" s="141"/>
      <c r="E4025" s="118"/>
      <c r="F4025" s="126"/>
      <c r="G4025" s="126"/>
      <c r="H4025" s="126"/>
      <c r="I4025" s="126"/>
      <c r="J4025" s="76"/>
      <c r="K4025" s="76"/>
      <c r="L4025" s="76"/>
      <c r="M4025" s="76"/>
      <c r="N4025" s="114"/>
    </row>
    <row r="4026">
      <c r="C4026" s="41"/>
      <c r="D4026" s="142"/>
      <c r="E4026" s="130"/>
      <c r="F4026" s="128"/>
      <c r="G4026" s="128"/>
      <c r="H4026" s="128"/>
      <c r="I4026" s="128"/>
      <c r="J4026" s="81"/>
      <c r="K4026" s="81"/>
      <c r="L4026" s="81"/>
      <c r="M4026" s="81"/>
      <c r="N4026" s="82"/>
    </row>
    <row r="4027">
      <c r="C4027" s="41"/>
      <c r="D4027" s="141"/>
      <c r="E4027" s="118"/>
      <c r="F4027" s="126"/>
      <c r="G4027" s="126"/>
      <c r="H4027" s="126"/>
      <c r="I4027" s="126"/>
      <c r="J4027" s="76"/>
      <c r="K4027" s="76"/>
      <c r="L4027" s="76"/>
      <c r="M4027" s="76"/>
      <c r="N4027" s="114"/>
    </row>
    <row r="4028">
      <c r="C4028" s="41"/>
      <c r="D4028" s="142"/>
      <c r="E4028" s="130"/>
      <c r="F4028" s="128"/>
      <c r="G4028" s="128"/>
      <c r="H4028" s="128"/>
      <c r="I4028" s="128"/>
      <c r="J4028" s="81"/>
      <c r="K4028" s="81"/>
      <c r="L4028" s="81"/>
      <c r="M4028" s="81"/>
      <c r="N4028" s="82"/>
    </row>
    <row r="4029">
      <c r="C4029" s="41"/>
      <c r="D4029" s="141"/>
      <c r="E4029" s="118"/>
      <c r="F4029" s="126"/>
      <c r="G4029" s="126"/>
      <c r="H4029" s="126"/>
      <c r="I4029" s="126"/>
      <c r="J4029" s="76"/>
      <c r="K4029" s="76"/>
      <c r="L4029" s="76"/>
      <c r="M4029" s="76"/>
      <c r="N4029" s="114"/>
    </row>
    <row r="4030">
      <c r="C4030" s="41"/>
      <c r="D4030" s="142"/>
      <c r="E4030" s="130"/>
      <c r="F4030" s="128"/>
      <c r="G4030" s="128"/>
      <c r="H4030" s="128"/>
      <c r="I4030" s="128"/>
      <c r="J4030" s="81"/>
      <c r="K4030" s="81"/>
      <c r="L4030" s="81"/>
      <c r="M4030" s="81"/>
      <c r="N4030" s="82"/>
    </row>
    <row r="4031">
      <c r="C4031" s="41"/>
      <c r="D4031" s="141"/>
      <c r="E4031" s="118"/>
      <c r="F4031" s="126"/>
      <c r="G4031" s="126"/>
      <c r="H4031" s="126"/>
      <c r="I4031" s="126"/>
      <c r="J4031" s="76"/>
      <c r="K4031" s="76"/>
      <c r="L4031" s="76"/>
      <c r="M4031" s="76"/>
      <c r="N4031" s="114"/>
    </row>
    <row r="4032">
      <c r="C4032" s="41"/>
      <c r="D4032" s="142"/>
      <c r="E4032" s="130"/>
      <c r="F4032" s="128"/>
      <c r="G4032" s="128"/>
      <c r="H4032" s="128"/>
      <c r="I4032" s="128"/>
      <c r="J4032" s="81"/>
      <c r="K4032" s="81"/>
      <c r="L4032" s="81"/>
      <c r="M4032" s="81"/>
      <c r="N4032" s="82"/>
    </row>
    <row r="4033">
      <c r="C4033" s="41"/>
      <c r="D4033" s="141"/>
      <c r="E4033" s="118"/>
      <c r="F4033" s="126"/>
      <c r="G4033" s="126"/>
      <c r="H4033" s="126"/>
      <c r="I4033" s="126"/>
      <c r="J4033" s="76"/>
      <c r="K4033" s="76"/>
      <c r="L4033" s="76"/>
      <c r="M4033" s="76"/>
      <c r="N4033" s="114"/>
    </row>
    <row r="4034">
      <c r="C4034" s="41"/>
      <c r="D4034" s="142"/>
      <c r="E4034" s="130"/>
      <c r="F4034" s="128"/>
      <c r="G4034" s="128"/>
      <c r="H4034" s="128"/>
      <c r="I4034" s="128"/>
      <c r="J4034" s="81"/>
      <c r="K4034" s="81"/>
      <c r="L4034" s="81"/>
      <c r="M4034" s="81"/>
      <c r="N4034" s="82"/>
    </row>
    <row r="4035">
      <c r="C4035" s="41"/>
      <c r="D4035" s="141"/>
      <c r="E4035" s="118"/>
      <c r="F4035" s="126"/>
      <c r="G4035" s="126"/>
      <c r="H4035" s="126"/>
      <c r="I4035" s="126"/>
      <c r="J4035" s="76"/>
      <c r="K4035" s="76"/>
      <c r="L4035" s="76"/>
      <c r="M4035" s="76"/>
      <c r="N4035" s="114"/>
    </row>
    <row r="4036">
      <c r="C4036" s="41"/>
      <c r="D4036" s="142"/>
      <c r="E4036" s="130"/>
      <c r="F4036" s="128"/>
      <c r="G4036" s="128"/>
      <c r="H4036" s="128"/>
      <c r="I4036" s="128"/>
      <c r="J4036" s="81"/>
      <c r="K4036" s="81"/>
      <c r="L4036" s="81"/>
      <c r="M4036" s="81"/>
      <c r="N4036" s="82"/>
    </row>
    <row r="4037">
      <c r="C4037" s="41"/>
      <c r="D4037" s="141"/>
      <c r="E4037" s="118"/>
      <c r="F4037" s="126"/>
      <c r="G4037" s="126"/>
      <c r="H4037" s="126"/>
      <c r="I4037" s="126"/>
      <c r="J4037" s="76"/>
      <c r="K4037" s="76"/>
      <c r="L4037" s="76"/>
      <c r="M4037" s="76"/>
      <c r="N4037" s="114"/>
    </row>
    <row r="4038">
      <c r="C4038" s="41"/>
      <c r="D4038" s="142"/>
      <c r="E4038" s="130"/>
      <c r="F4038" s="128"/>
      <c r="G4038" s="128"/>
      <c r="H4038" s="128"/>
      <c r="I4038" s="128"/>
      <c r="J4038" s="81"/>
      <c r="K4038" s="81"/>
      <c r="L4038" s="81"/>
      <c r="M4038" s="81"/>
      <c r="N4038" s="82"/>
    </row>
    <row r="4039">
      <c r="C4039" s="41"/>
      <c r="D4039" s="141"/>
      <c r="E4039" s="118"/>
      <c r="F4039" s="126"/>
      <c r="G4039" s="126"/>
      <c r="H4039" s="126"/>
      <c r="I4039" s="126"/>
      <c r="J4039" s="76"/>
      <c r="K4039" s="76"/>
      <c r="L4039" s="76"/>
      <c r="M4039" s="76"/>
      <c r="N4039" s="114"/>
    </row>
    <row r="4040">
      <c r="C4040" s="41"/>
      <c r="D4040" s="142"/>
      <c r="E4040" s="130"/>
      <c r="F4040" s="128"/>
      <c r="G4040" s="128"/>
      <c r="H4040" s="128"/>
      <c r="I4040" s="128"/>
      <c r="J4040" s="81"/>
      <c r="K4040" s="81"/>
      <c r="L4040" s="81"/>
      <c r="M4040" s="81"/>
      <c r="N4040" s="82"/>
    </row>
    <row r="4041">
      <c r="C4041" s="41"/>
      <c r="D4041" s="141"/>
      <c r="E4041" s="118"/>
      <c r="F4041" s="126"/>
      <c r="G4041" s="126"/>
      <c r="H4041" s="126"/>
      <c r="I4041" s="126"/>
      <c r="J4041" s="76"/>
      <c r="K4041" s="76"/>
      <c r="L4041" s="76"/>
      <c r="M4041" s="76"/>
      <c r="N4041" s="114"/>
    </row>
    <row r="4042">
      <c r="C4042" s="41"/>
      <c r="D4042" s="142"/>
      <c r="E4042" s="130"/>
      <c r="F4042" s="128"/>
      <c r="G4042" s="128"/>
      <c r="H4042" s="128"/>
      <c r="I4042" s="128"/>
      <c r="J4042" s="81"/>
      <c r="K4042" s="81"/>
      <c r="L4042" s="81"/>
      <c r="M4042" s="81"/>
      <c r="N4042" s="82"/>
    </row>
    <row r="4043">
      <c r="C4043" s="41"/>
      <c r="D4043" s="141"/>
      <c r="E4043" s="118"/>
      <c r="F4043" s="126"/>
      <c r="G4043" s="126"/>
      <c r="H4043" s="126"/>
      <c r="I4043" s="126"/>
      <c r="J4043" s="76"/>
      <c r="K4043" s="76"/>
      <c r="L4043" s="76"/>
      <c r="M4043" s="76"/>
      <c r="N4043" s="114"/>
    </row>
    <row r="4044">
      <c r="C4044" s="41"/>
      <c r="D4044" s="142"/>
      <c r="E4044" s="130"/>
      <c r="F4044" s="128"/>
      <c r="G4044" s="128"/>
      <c r="H4044" s="128"/>
      <c r="I4044" s="128"/>
      <c r="J4044" s="81"/>
      <c r="K4044" s="81"/>
      <c r="L4044" s="81"/>
      <c r="M4044" s="81"/>
      <c r="N4044" s="82"/>
    </row>
    <row r="4045">
      <c r="C4045" s="41"/>
      <c r="D4045" s="141"/>
      <c r="E4045" s="118"/>
      <c r="F4045" s="126"/>
      <c r="G4045" s="126"/>
      <c r="H4045" s="126"/>
      <c r="I4045" s="126"/>
      <c r="J4045" s="76"/>
      <c r="K4045" s="76"/>
      <c r="L4045" s="76"/>
      <c r="M4045" s="76"/>
      <c r="N4045" s="114"/>
    </row>
    <row r="4046">
      <c r="C4046" s="41"/>
      <c r="D4046" s="142"/>
      <c r="E4046" s="130"/>
      <c r="F4046" s="128"/>
      <c r="G4046" s="128"/>
      <c r="H4046" s="128"/>
      <c r="I4046" s="128"/>
      <c r="J4046" s="81"/>
      <c r="K4046" s="81"/>
      <c r="L4046" s="81"/>
      <c r="M4046" s="81"/>
      <c r="N4046" s="82"/>
    </row>
    <row r="4047">
      <c r="C4047" s="41"/>
      <c r="D4047" s="141"/>
      <c r="E4047" s="118"/>
      <c r="F4047" s="126"/>
      <c r="G4047" s="126"/>
      <c r="H4047" s="126"/>
      <c r="I4047" s="126"/>
      <c r="J4047" s="76"/>
      <c r="K4047" s="76"/>
      <c r="L4047" s="76"/>
      <c r="M4047" s="76"/>
      <c r="N4047" s="114"/>
    </row>
    <row r="4048">
      <c r="C4048" s="41"/>
      <c r="D4048" s="142"/>
      <c r="E4048" s="130"/>
      <c r="F4048" s="128"/>
      <c r="G4048" s="128"/>
      <c r="H4048" s="128"/>
      <c r="I4048" s="128"/>
      <c r="J4048" s="81"/>
      <c r="K4048" s="81"/>
      <c r="L4048" s="81"/>
      <c r="M4048" s="81"/>
      <c r="N4048" s="82"/>
    </row>
    <row r="4049">
      <c r="C4049" s="41"/>
      <c r="D4049" s="141"/>
      <c r="E4049" s="118"/>
      <c r="F4049" s="126"/>
      <c r="G4049" s="126"/>
      <c r="H4049" s="126"/>
      <c r="I4049" s="126"/>
      <c r="J4049" s="76"/>
      <c r="K4049" s="76"/>
      <c r="L4049" s="76"/>
      <c r="M4049" s="76"/>
      <c r="N4049" s="114"/>
    </row>
    <row r="4050">
      <c r="C4050" s="41"/>
      <c r="D4050" s="142"/>
      <c r="E4050" s="130"/>
      <c r="F4050" s="128"/>
      <c r="G4050" s="128"/>
      <c r="H4050" s="128"/>
      <c r="I4050" s="128"/>
      <c r="J4050" s="81"/>
      <c r="K4050" s="81"/>
      <c r="L4050" s="81"/>
      <c r="M4050" s="81"/>
      <c r="N4050" s="82"/>
    </row>
    <row r="4051">
      <c r="C4051" s="41"/>
      <c r="D4051" s="141"/>
      <c r="E4051" s="118"/>
      <c r="F4051" s="126"/>
      <c r="G4051" s="126"/>
      <c r="H4051" s="126"/>
      <c r="I4051" s="126"/>
      <c r="J4051" s="76"/>
      <c r="K4051" s="76"/>
      <c r="L4051" s="76"/>
      <c r="M4051" s="76"/>
      <c r="N4051" s="114"/>
    </row>
    <row r="4052">
      <c r="C4052" s="41"/>
      <c r="D4052" s="142"/>
      <c r="E4052" s="130"/>
      <c r="F4052" s="128"/>
      <c r="G4052" s="128"/>
      <c r="H4052" s="128"/>
      <c r="I4052" s="128"/>
      <c r="J4052" s="81"/>
      <c r="K4052" s="81"/>
      <c r="L4052" s="81"/>
      <c r="M4052" s="81"/>
      <c r="N4052" s="82"/>
    </row>
    <row r="4053">
      <c r="C4053" s="41"/>
      <c r="D4053" s="141"/>
      <c r="E4053" s="118"/>
      <c r="F4053" s="126"/>
      <c r="G4053" s="126"/>
      <c r="H4053" s="126"/>
      <c r="I4053" s="126"/>
      <c r="J4053" s="76"/>
      <c r="K4053" s="76"/>
      <c r="L4053" s="76"/>
      <c r="M4053" s="76"/>
      <c r="N4053" s="114"/>
    </row>
    <row r="4054">
      <c r="C4054" s="41"/>
      <c r="D4054" s="142"/>
      <c r="E4054" s="130"/>
      <c r="F4054" s="128"/>
      <c r="G4054" s="128"/>
      <c r="H4054" s="128"/>
      <c r="I4054" s="128"/>
      <c r="J4054" s="81"/>
      <c r="K4054" s="81"/>
      <c r="L4054" s="81"/>
      <c r="M4054" s="81"/>
      <c r="N4054" s="82"/>
    </row>
    <row r="4055">
      <c r="C4055" s="41"/>
      <c r="D4055" s="141"/>
      <c r="E4055" s="118"/>
      <c r="F4055" s="126"/>
      <c r="G4055" s="126"/>
      <c r="H4055" s="126"/>
      <c r="I4055" s="126"/>
      <c r="J4055" s="76"/>
      <c r="K4055" s="76"/>
      <c r="L4055" s="76"/>
      <c r="M4055" s="76"/>
      <c r="N4055" s="114"/>
    </row>
    <row r="4056">
      <c r="C4056" s="41"/>
      <c r="D4056" s="142"/>
      <c r="E4056" s="130"/>
      <c r="F4056" s="128"/>
      <c r="G4056" s="128"/>
      <c r="H4056" s="128"/>
      <c r="I4056" s="128"/>
      <c r="J4056" s="81"/>
      <c r="K4056" s="81"/>
      <c r="L4056" s="81"/>
      <c r="M4056" s="81"/>
      <c r="N4056" s="82"/>
    </row>
    <row r="4057">
      <c r="C4057" s="41"/>
      <c r="D4057" s="141"/>
      <c r="E4057" s="118"/>
      <c r="F4057" s="126"/>
      <c r="G4057" s="126"/>
      <c r="H4057" s="126"/>
      <c r="I4057" s="126"/>
      <c r="J4057" s="76"/>
      <c r="K4057" s="76"/>
      <c r="L4057" s="76"/>
      <c r="M4057" s="76"/>
      <c r="N4057" s="114"/>
    </row>
    <row r="4058">
      <c r="C4058" s="41"/>
      <c r="D4058" s="142"/>
      <c r="E4058" s="130"/>
      <c r="F4058" s="128"/>
      <c r="G4058" s="128"/>
      <c r="H4058" s="128"/>
      <c r="I4058" s="128"/>
      <c r="J4058" s="81"/>
      <c r="K4058" s="81"/>
      <c r="L4058" s="81"/>
      <c r="M4058" s="81"/>
      <c r="N4058" s="82"/>
    </row>
    <row r="4059">
      <c r="C4059" s="41"/>
      <c r="D4059" s="141"/>
      <c r="E4059" s="118"/>
      <c r="F4059" s="126"/>
      <c r="G4059" s="126"/>
      <c r="H4059" s="126"/>
      <c r="I4059" s="126"/>
      <c r="J4059" s="76"/>
      <c r="K4059" s="76"/>
      <c r="L4059" s="76"/>
      <c r="M4059" s="76"/>
      <c r="N4059" s="114"/>
    </row>
    <row r="4060">
      <c r="C4060" s="41"/>
      <c r="D4060" s="142"/>
      <c r="E4060" s="130"/>
      <c r="F4060" s="128"/>
      <c r="G4060" s="128"/>
      <c r="H4060" s="128"/>
      <c r="I4060" s="128"/>
      <c r="J4060" s="81"/>
      <c r="K4060" s="81"/>
      <c r="L4060" s="81"/>
      <c r="M4060" s="81"/>
      <c r="N4060" s="82"/>
    </row>
    <row r="4061">
      <c r="C4061" s="41"/>
      <c r="D4061" s="141"/>
      <c r="E4061" s="118"/>
      <c r="F4061" s="126"/>
      <c r="G4061" s="126"/>
      <c r="H4061" s="126"/>
      <c r="I4061" s="126"/>
      <c r="J4061" s="76"/>
      <c r="K4061" s="76"/>
      <c r="L4061" s="76"/>
      <c r="M4061" s="76"/>
      <c r="N4061" s="114"/>
    </row>
    <row r="4062">
      <c r="C4062" s="41"/>
      <c r="D4062" s="142"/>
      <c r="E4062" s="130"/>
      <c r="F4062" s="128"/>
      <c r="G4062" s="128"/>
      <c r="H4062" s="128"/>
      <c r="I4062" s="128"/>
      <c r="J4062" s="81"/>
      <c r="K4062" s="81"/>
      <c r="L4062" s="81"/>
      <c r="M4062" s="81"/>
      <c r="N4062" s="82"/>
    </row>
    <row r="4063">
      <c r="C4063" s="41"/>
      <c r="D4063" s="141"/>
      <c r="E4063" s="118"/>
      <c r="F4063" s="126"/>
      <c r="G4063" s="126"/>
      <c r="H4063" s="126"/>
      <c r="I4063" s="126"/>
      <c r="J4063" s="76"/>
      <c r="K4063" s="76"/>
      <c r="L4063" s="76"/>
      <c r="M4063" s="76"/>
      <c r="N4063" s="114"/>
    </row>
    <row r="4064">
      <c r="C4064" s="41"/>
      <c r="D4064" s="142"/>
      <c r="E4064" s="130"/>
      <c r="F4064" s="128"/>
      <c r="G4064" s="128"/>
      <c r="H4064" s="128"/>
      <c r="I4064" s="128"/>
      <c r="J4064" s="81"/>
      <c r="K4064" s="81"/>
      <c r="L4064" s="81"/>
      <c r="M4064" s="81"/>
      <c r="N4064" s="82"/>
    </row>
    <row r="4065">
      <c r="C4065" s="41"/>
      <c r="D4065" s="141"/>
      <c r="E4065" s="118"/>
      <c r="F4065" s="126"/>
      <c r="G4065" s="126"/>
      <c r="H4065" s="126"/>
      <c r="I4065" s="126"/>
      <c r="J4065" s="76"/>
      <c r="K4065" s="76"/>
      <c r="L4065" s="76"/>
      <c r="M4065" s="76"/>
      <c r="N4065" s="114"/>
    </row>
    <row r="4066">
      <c r="C4066" s="41"/>
      <c r="D4066" s="142"/>
      <c r="E4066" s="130"/>
      <c r="F4066" s="128"/>
      <c r="G4066" s="128"/>
      <c r="H4066" s="128"/>
      <c r="I4066" s="128"/>
      <c r="J4066" s="81"/>
      <c r="K4066" s="81"/>
      <c r="L4066" s="81"/>
      <c r="M4066" s="81"/>
      <c r="N4066" s="82"/>
    </row>
    <row r="4067">
      <c r="C4067" s="41"/>
      <c r="D4067" s="141"/>
      <c r="E4067" s="118"/>
      <c r="F4067" s="126"/>
      <c r="G4067" s="126"/>
      <c r="H4067" s="126"/>
      <c r="I4067" s="126"/>
      <c r="J4067" s="76"/>
      <c r="K4067" s="76"/>
      <c r="L4067" s="76"/>
      <c r="M4067" s="76"/>
      <c r="N4067" s="114"/>
    </row>
    <row r="4068">
      <c r="C4068" s="41"/>
      <c r="D4068" s="142"/>
      <c r="E4068" s="130"/>
      <c r="F4068" s="128"/>
      <c r="G4068" s="128"/>
      <c r="H4068" s="128"/>
      <c r="I4068" s="128"/>
      <c r="J4068" s="81"/>
      <c r="K4068" s="81"/>
      <c r="L4068" s="81"/>
      <c r="M4068" s="81"/>
      <c r="N4068" s="82"/>
    </row>
    <row r="4069">
      <c r="C4069" s="41"/>
      <c r="D4069" s="141"/>
      <c r="E4069" s="118"/>
      <c r="F4069" s="126"/>
      <c r="G4069" s="126"/>
      <c r="H4069" s="126"/>
      <c r="I4069" s="126"/>
      <c r="J4069" s="76"/>
      <c r="K4069" s="76"/>
      <c r="L4069" s="76"/>
      <c r="M4069" s="76"/>
      <c r="N4069" s="114"/>
    </row>
    <row r="4070">
      <c r="C4070" s="41"/>
      <c r="D4070" s="142"/>
      <c r="E4070" s="130"/>
      <c r="F4070" s="128"/>
      <c r="G4070" s="128"/>
      <c r="H4070" s="128"/>
      <c r="I4070" s="128"/>
      <c r="J4070" s="81"/>
      <c r="K4070" s="81"/>
      <c r="L4070" s="81"/>
      <c r="M4070" s="81"/>
      <c r="N4070" s="82"/>
    </row>
    <row r="4071">
      <c r="C4071" s="41"/>
      <c r="D4071" s="141"/>
      <c r="E4071" s="118"/>
      <c r="F4071" s="126"/>
      <c r="G4071" s="126"/>
      <c r="H4071" s="126"/>
      <c r="I4071" s="126"/>
      <c r="J4071" s="76"/>
      <c r="K4071" s="76"/>
      <c r="L4071" s="76"/>
      <c r="M4071" s="76"/>
      <c r="N4071" s="114"/>
    </row>
    <row r="4072">
      <c r="C4072" s="41"/>
      <c r="D4072" s="142"/>
      <c r="E4072" s="130"/>
      <c r="F4072" s="128"/>
      <c r="G4072" s="128"/>
      <c r="H4072" s="128"/>
      <c r="I4072" s="128"/>
      <c r="J4072" s="81"/>
      <c r="K4072" s="81"/>
      <c r="L4072" s="81"/>
      <c r="M4072" s="81"/>
      <c r="N4072" s="82"/>
    </row>
    <row r="4073">
      <c r="C4073" s="41"/>
      <c r="D4073" s="141"/>
      <c r="E4073" s="118"/>
      <c r="F4073" s="126"/>
      <c r="G4073" s="126"/>
      <c r="H4073" s="126"/>
      <c r="I4073" s="126"/>
      <c r="J4073" s="76"/>
      <c r="K4073" s="76"/>
      <c r="L4073" s="76"/>
      <c r="M4073" s="76"/>
      <c r="N4073" s="114"/>
    </row>
    <row r="4074">
      <c r="C4074" s="41"/>
      <c r="D4074" s="142"/>
      <c r="E4074" s="130"/>
      <c r="F4074" s="128"/>
      <c r="G4074" s="128"/>
      <c r="H4074" s="128"/>
      <c r="I4074" s="128"/>
      <c r="J4074" s="81"/>
      <c r="K4074" s="81"/>
      <c r="L4074" s="81"/>
      <c r="M4074" s="81"/>
      <c r="N4074" s="82"/>
    </row>
    <row r="4075">
      <c r="C4075" s="41"/>
      <c r="D4075" s="141"/>
      <c r="E4075" s="118"/>
      <c r="F4075" s="126"/>
      <c r="G4075" s="126"/>
      <c r="H4075" s="126"/>
      <c r="I4075" s="126"/>
      <c r="J4075" s="76"/>
      <c r="K4075" s="76"/>
      <c r="L4075" s="76"/>
      <c r="M4075" s="76"/>
      <c r="N4075" s="114"/>
    </row>
    <row r="4076">
      <c r="C4076" s="41"/>
      <c r="D4076" s="142"/>
      <c r="E4076" s="130"/>
      <c r="F4076" s="128"/>
      <c r="G4076" s="128"/>
      <c r="H4076" s="128"/>
      <c r="I4076" s="128"/>
      <c r="J4076" s="81"/>
      <c r="K4076" s="81"/>
      <c r="L4076" s="81"/>
      <c r="M4076" s="81"/>
      <c r="N4076" s="82"/>
    </row>
    <row r="4077">
      <c r="C4077" s="41"/>
      <c r="D4077" s="141"/>
      <c r="E4077" s="118"/>
      <c r="F4077" s="126"/>
      <c r="G4077" s="126"/>
      <c r="H4077" s="126"/>
      <c r="I4077" s="126"/>
      <c r="J4077" s="76"/>
      <c r="K4077" s="76"/>
      <c r="L4077" s="76"/>
      <c r="M4077" s="76"/>
      <c r="N4077" s="114"/>
    </row>
    <row r="4078">
      <c r="C4078" s="41"/>
      <c r="D4078" s="142"/>
      <c r="E4078" s="130"/>
      <c r="F4078" s="128"/>
      <c r="G4078" s="128"/>
      <c r="H4078" s="128"/>
      <c r="I4078" s="128"/>
      <c r="J4078" s="81"/>
      <c r="K4078" s="81"/>
      <c r="L4078" s="81"/>
      <c r="M4078" s="81"/>
      <c r="N4078" s="82"/>
    </row>
    <row r="4079">
      <c r="C4079" s="41"/>
      <c r="D4079" s="141"/>
      <c r="E4079" s="118"/>
      <c r="F4079" s="126"/>
      <c r="G4079" s="126"/>
      <c r="H4079" s="126"/>
      <c r="I4079" s="126"/>
      <c r="J4079" s="76"/>
      <c r="K4079" s="76"/>
      <c r="L4079" s="76"/>
      <c r="M4079" s="76"/>
      <c r="N4079" s="114"/>
    </row>
    <row r="4080">
      <c r="C4080" s="41"/>
      <c r="D4080" s="142"/>
      <c r="E4080" s="130"/>
      <c r="F4080" s="128"/>
      <c r="G4080" s="128"/>
      <c r="H4080" s="128"/>
      <c r="I4080" s="128"/>
      <c r="J4080" s="81"/>
      <c r="K4080" s="81"/>
      <c r="L4080" s="81"/>
      <c r="M4080" s="81"/>
      <c r="N4080" s="82"/>
    </row>
    <row r="4081">
      <c r="C4081" s="41"/>
      <c r="D4081" s="141"/>
      <c r="E4081" s="118"/>
      <c r="F4081" s="126"/>
      <c r="G4081" s="126"/>
      <c r="H4081" s="126"/>
      <c r="I4081" s="126"/>
      <c r="J4081" s="76"/>
      <c r="K4081" s="76"/>
      <c r="L4081" s="76"/>
      <c r="M4081" s="76"/>
      <c r="N4081" s="114"/>
    </row>
    <row r="4082">
      <c r="C4082" s="41"/>
      <c r="D4082" s="142"/>
      <c r="E4082" s="130"/>
      <c r="F4082" s="128"/>
      <c r="G4082" s="128"/>
      <c r="H4082" s="128"/>
      <c r="I4082" s="128"/>
      <c r="J4082" s="81"/>
      <c r="K4082" s="81"/>
      <c r="L4082" s="81"/>
      <c r="M4082" s="81"/>
      <c r="N4082" s="82"/>
    </row>
    <row r="4083">
      <c r="C4083" s="41"/>
      <c r="D4083" s="141"/>
      <c r="E4083" s="118"/>
      <c r="F4083" s="126"/>
      <c r="G4083" s="126"/>
      <c r="H4083" s="126"/>
      <c r="I4083" s="126"/>
      <c r="J4083" s="76"/>
      <c r="K4083" s="76"/>
      <c r="L4083" s="76"/>
      <c r="M4083" s="76"/>
      <c r="N4083" s="114"/>
    </row>
    <row r="4084">
      <c r="C4084" s="41"/>
      <c r="D4084" s="142"/>
      <c r="E4084" s="130"/>
      <c r="F4084" s="128"/>
      <c r="G4084" s="128"/>
      <c r="H4084" s="128"/>
      <c r="I4084" s="128"/>
      <c r="J4084" s="81"/>
      <c r="K4084" s="81"/>
      <c r="L4084" s="81"/>
      <c r="M4084" s="81"/>
      <c r="N4084" s="82"/>
    </row>
    <row r="4085">
      <c r="C4085" s="41"/>
      <c r="D4085" s="141"/>
      <c r="E4085" s="118"/>
      <c r="F4085" s="126"/>
      <c r="G4085" s="126"/>
      <c r="H4085" s="126"/>
      <c r="I4085" s="126"/>
      <c r="J4085" s="76"/>
      <c r="K4085" s="76"/>
      <c r="L4085" s="76"/>
      <c r="M4085" s="76"/>
      <c r="N4085" s="114"/>
    </row>
    <row r="4086">
      <c r="C4086" s="41"/>
      <c r="D4086" s="142"/>
      <c r="E4086" s="130"/>
      <c r="F4086" s="128"/>
      <c r="G4086" s="128"/>
      <c r="H4086" s="128"/>
      <c r="I4086" s="128"/>
      <c r="J4086" s="81"/>
      <c r="K4086" s="81"/>
      <c r="L4086" s="81"/>
      <c r="M4086" s="81"/>
      <c r="N4086" s="82"/>
    </row>
    <row r="4087">
      <c r="C4087" s="41"/>
      <c r="D4087" s="141"/>
      <c r="E4087" s="118"/>
      <c r="F4087" s="126"/>
      <c r="G4087" s="126"/>
      <c r="H4087" s="126"/>
      <c r="I4087" s="126"/>
      <c r="J4087" s="76"/>
      <c r="K4087" s="76"/>
      <c r="L4087" s="76"/>
      <c r="M4087" s="76"/>
      <c r="N4087" s="114"/>
    </row>
    <row r="4088">
      <c r="C4088" s="41"/>
      <c r="D4088" s="142"/>
      <c r="E4088" s="130"/>
      <c r="F4088" s="128"/>
      <c r="G4088" s="128"/>
      <c r="H4088" s="128"/>
      <c r="I4088" s="128"/>
      <c r="J4088" s="81"/>
      <c r="K4088" s="81"/>
      <c r="L4088" s="81"/>
      <c r="M4088" s="81"/>
      <c r="N4088" s="82"/>
    </row>
    <row r="4089">
      <c r="C4089" s="41"/>
      <c r="D4089" s="141"/>
      <c r="E4089" s="118"/>
      <c r="F4089" s="126"/>
      <c r="G4089" s="126"/>
      <c r="H4089" s="126"/>
      <c r="I4089" s="126"/>
      <c r="J4089" s="76"/>
      <c r="K4089" s="76"/>
      <c r="L4089" s="76"/>
      <c r="M4089" s="76"/>
      <c r="N4089" s="114"/>
    </row>
    <row r="4090">
      <c r="C4090" s="41"/>
      <c r="D4090" s="142"/>
      <c r="E4090" s="130"/>
      <c r="F4090" s="128"/>
      <c r="G4090" s="128"/>
      <c r="H4090" s="128"/>
      <c r="I4090" s="128"/>
      <c r="J4090" s="81"/>
      <c r="K4090" s="81"/>
      <c r="L4090" s="81"/>
      <c r="M4090" s="81"/>
      <c r="N4090" s="82"/>
    </row>
    <row r="4091">
      <c r="C4091" s="41"/>
      <c r="D4091" s="141"/>
      <c r="E4091" s="118"/>
      <c r="F4091" s="126"/>
      <c r="G4091" s="126"/>
      <c r="H4091" s="126"/>
      <c r="I4091" s="126"/>
      <c r="J4091" s="76"/>
      <c r="K4091" s="76"/>
      <c r="L4091" s="76"/>
      <c r="M4091" s="76"/>
      <c r="N4091" s="114"/>
    </row>
    <row r="4092">
      <c r="C4092" s="41"/>
      <c r="D4092" s="142"/>
      <c r="E4092" s="130"/>
      <c r="F4092" s="128"/>
      <c r="G4092" s="128"/>
      <c r="H4092" s="128"/>
      <c r="I4092" s="128"/>
      <c r="J4092" s="81"/>
      <c r="K4092" s="81"/>
      <c r="L4092" s="81"/>
      <c r="M4092" s="81"/>
      <c r="N4092" s="82"/>
    </row>
    <row r="4093">
      <c r="C4093" s="41"/>
      <c r="D4093" s="141"/>
      <c r="E4093" s="118"/>
      <c r="F4093" s="126"/>
      <c r="G4093" s="126"/>
      <c r="H4093" s="126"/>
      <c r="I4093" s="126"/>
      <c r="J4093" s="76"/>
      <c r="K4093" s="76"/>
      <c r="L4093" s="76"/>
      <c r="M4093" s="76"/>
      <c r="N4093" s="114"/>
    </row>
    <row r="4094">
      <c r="C4094" s="41"/>
      <c r="D4094" s="142"/>
      <c r="E4094" s="130"/>
      <c r="F4094" s="128"/>
      <c r="G4094" s="128"/>
      <c r="H4094" s="128"/>
      <c r="I4094" s="128"/>
      <c r="J4094" s="81"/>
      <c r="K4094" s="81"/>
      <c r="L4094" s="81"/>
      <c r="M4094" s="81"/>
      <c r="N4094" s="82"/>
    </row>
    <row r="4095">
      <c r="C4095" s="41"/>
      <c r="D4095" s="141"/>
      <c r="E4095" s="118"/>
      <c r="F4095" s="126"/>
      <c r="G4095" s="126"/>
      <c r="H4095" s="126"/>
      <c r="I4095" s="126"/>
      <c r="J4095" s="76"/>
      <c r="K4095" s="76"/>
      <c r="L4095" s="76"/>
      <c r="M4095" s="76"/>
      <c r="N4095" s="114"/>
    </row>
    <row r="4096">
      <c r="C4096" s="41"/>
      <c r="D4096" s="142"/>
      <c r="E4096" s="130"/>
      <c r="F4096" s="128"/>
      <c r="G4096" s="128"/>
      <c r="H4096" s="128"/>
      <c r="I4096" s="128"/>
      <c r="J4096" s="81"/>
      <c r="K4096" s="81"/>
      <c r="L4096" s="81"/>
      <c r="M4096" s="81"/>
      <c r="N4096" s="82"/>
    </row>
    <row r="4097">
      <c r="C4097" s="41"/>
      <c r="D4097" s="141"/>
      <c r="E4097" s="118"/>
      <c r="F4097" s="126"/>
      <c r="G4097" s="126"/>
      <c r="H4097" s="126"/>
      <c r="I4097" s="126"/>
      <c r="J4097" s="76"/>
      <c r="K4097" s="76"/>
      <c r="L4097" s="76"/>
      <c r="M4097" s="76"/>
      <c r="N4097" s="114"/>
    </row>
    <row r="4098">
      <c r="C4098" s="41"/>
      <c r="D4098" s="142"/>
      <c r="E4098" s="130"/>
      <c r="F4098" s="128"/>
      <c r="G4098" s="128"/>
      <c r="H4098" s="128"/>
      <c r="I4098" s="128"/>
      <c r="J4098" s="81"/>
      <c r="K4098" s="81"/>
      <c r="L4098" s="81"/>
      <c r="M4098" s="81"/>
      <c r="N4098" s="82"/>
    </row>
    <row r="4099">
      <c r="C4099" s="41"/>
      <c r="D4099" s="141"/>
      <c r="E4099" s="118"/>
      <c r="F4099" s="126"/>
      <c r="G4099" s="126"/>
      <c r="H4099" s="126"/>
      <c r="I4099" s="126"/>
      <c r="J4099" s="76"/>
      <c r="K4099" s="76"/>
      <c r="L4099" s="76"/>
      <c r="M4099" s="76"/>
      <c r="N4099" s="114"/>
    </row>
    <row r="4100">
      <c r="C4100" s="41"/>
      <c r="D4100" s="142"/>
      <c r="E4100" s="130"/>
      <c r="F4100" s="128"/>
      <c r="G4100" s="128"/>
      <c r="H4100" s="128"/>
      <c r="I4100" s="128"/>
      <c r="J4100" s="81"/>
      <c r="K4100" s="81"/>
      <c r="L4100" s="81"/>
      <c r="M4100" s="81"/>
      <c r="N4100" s="82"/>
    </row>
    <row r="4101">
      <c r="C4101" s="41"/>
      <c r="D4101" s="141"/>
      <c r="E4101" s="118"/>
      <c r="F4101" s="126"/>
      <c r="G4101" s="126"/>
      <c r="H4101" s="126"/>
      <c r="I4101" s="126"/>
      <c r="J4101" s="76"/>
      <c r="K4101" s="76"/>
      <c r="L4101" s="76"/>
      <c r="M4101" s="76"/>
      <c r="N4101" s="114"/>
    </row>
    <row r="4102">
      <c r="C4102" s="41"/>
      <c r="D4102" s="142"/>
      <c r="E4102" s="130"/>
      <c r="F4102" s="128"/>
      <c r="G4102" s="128"/>
      <c r="H4102" s="128"/>
      <c r="I4102" s="128"/>
      <c r="J4102" s="81"/>
      <c r="K4102" s="81"/>
      <c r="L4102" s="81"/>
      <c r="M4102" s="81"/>
      <c r="N4102" s="82"/>
    </row>
    <row r="4103">
      <c r="C4103" s="41"/>
      <c r="D4103" s="141"/>
      <c r="E4103" s="118"/>
      <c r="F4103" s="126"/>
      <c r="G4103" s="126"/>
      <c r="H4103" s="126"/>
      <c r="I4103" s="126"/>
      <c r="J4103" s="76"/>
      <c r="K4103" s="76"/>
      <c r="L4103" s="76"/>
      <c r="M4103" s="76"/>
      <c r="N4103" s="114"/>
    </row>
    <row r="4104">
      <c r="C4104" s="41"/>
      <c r="D4104" s="142"/>
      <c r="E4104" s="130"/>
      <c r="F4104" s="128"/>
      <c r="G4104" s="128"/>
      <c r="H4104" s="128"/>
      <c r="I4104" s="128"/>
      <c r="J4104" s="81"/>
      <c r="K4104" s="81"/>
      <c r="L4104" s="81"/>
      <c r="M4104" s="81"/>
      <c r="N4104" s="82"/>
    </row>
    <row r="4105">
      <c r="C4105" s="41"/>
      <c r="D4105" s="141"/>
      <c r="E4105" s="118"/>
      <c r="F4105" s="126"/>
      <c r="G4105" s="126"/>
      <c r="H4105" s="126"/>
      <c r="I4105" s="126"/>
      <c r="J4105" s="76"/>
      <c r="K4105" s="76"/>
      <c r="L4105" s="76"/>
      <c r="M4105" s="76"/>
      <c r="N4105" s="114"/>
    </row>
    <row r="4106">
      <c r="C4106" s="41"/>
      <c r="D4106" s="142"/>
      <c r="E4106" s="130"/>
      <c r="F4106" s="128"/>
      <c r="G4106" s="128"/>
      <c r="H4106" s="128"/>
      <c r="I4106" s="128"/>
      <c r="J4106" s="81"/>
      <c r="K4106" s="81"/>
      <c r="L4106" s="81"/>
      <c r="M4106" s="81"/>
      <c r="N4106" s="82"/>
    </row>
    <row r="4107">
      <c r="C4107" s="41"/>
      <c r="D4107" s="141"/>
      <c r="E4107" s="118"/>
      <c r="F4107" s="126"/>
      <c r="G4107" s="126"/>
      <c r="H4107" s="126"/>
      <c r="I4107" s="126"/>
      <c r="J4107" s="76"/>
      <c r="K4107" s="76"/>
      <c r="L4107" s="76"/>
      <c r="M4107" s="76"/>
      <c r="N4107" s="114"/>
    </row>
    <row r="4108">
      <c r="C4108" s="41"/>
      <c r="D4108" s="142"/>
      <c r="E4108" s="130"/>
      <c r="F4108" s="128"/>
      <c r="G4108" s="128"/>
      <c r="H4108" s="128"/>
      <c r="I4108" s="128"/>
      <c r="J4108" s="81"/>
      <c r="K4108" s="81"/>
      <c r="L4108" s="81"/>
      <c r="M4108" s="81"/>
      <c r="N4108" s="82"/>
    </row>
    <row r="4109">
      <c r="C4109" s="41"/>
      <c r="D4109" s="141"/>
      <c r="E4109" s="118"/>
      <c r="F4109" s="126"/>
      <c r="G4109" s="126"/>
      <c r="H4109" s="126"/>
      <c r="I4109" s="126"/>
      <c r="J4109" s="76"/>
      <c r="K4109" s="76"/>
      <c r="L4109" s="76"/>
      <c r="M4109" s="76"/>
      <c r="N4109" s="114"/>
    </row>
    <row r="4110">
      <c r="C4110" s="41"/>
      <c r="D4110" s="142"/>
      <c r="E4110" s="130"/>
      <c r="F4110" s="128"/>
      <c r="G4110" s="128"/>
      <c r="H4110" s="128"/>
      <c r="I4110" s="128"/>
      <c r="J4110" s="81"/>
      <c r="K4110" s="81"/>
      <c r="L4110" s="81"/>
      <c r="M4110" s="81"/>
      <c r="N4110" s="82"/>
    </row>
    <row r="4111">
      <c r="C4111" s="41"/>
      <c r="D4111" s="141"/>
      <c r="E4111" s="118"/>
      <c r="F4111" s="126"/>
      <c r="G4111" s="126"/>
      <c r="H4111" s="126"/>
      <c r="I4111" s="126"/>
      <c r="J4111" s="76"/>
      <c r="K4111" s="76"/>
      <c r="L4111" s="76"/>
      <c r="M4111" s="76"/>
      <c r="N4111" s="114"/>
    </row>
    <row r="4112">
      <c r="C4112" s="41"/>
      <c r="D4112" s="142"/>
      <c r="E4112" s="130"/>
      <c r="F4112" s="128"/>
      <c r="G4112" s="128"/>
      <c r="H4112" s="128"/>
      <c r="I4112" s="128"/>
      <c r="J4112" s="81"/>
      <c r="K4112" s="81"/>
      <c r="L4112" s="81"/>
      <c r="M4112" s="81"/>
      <c r="N4112" s="82"/>
    </row>
    <row r="4113">
      <c r="C4113" s="41"/>
      <c r="D4113" s="141"/>
      <c r="E4113" s="118"/>
      <c r="F4113" s="126"/>
      <c r="G4113" s="126"/>
      <c r="H4113" s="126"/>
      <c r="I4113" s="126"/>
      <c r="J4113" s="76"/>
      <c r="K4113" s="76"/>
      <c r="L4113" s="76"/>
      <c r="M4113" s="76"/>
      <c r="N4113" s="114"/>
    </row>
    <row r="4114">
      <c r="C4114" s="41"/>
      <c r="D4114" s="142"/>
      <c r="E4114" s="130"/>
      <c r="F4114" s="128"/>
      <c r="G4114" s="128"/>
      <c r="H4114" s="128"/>
      <c r="I4114" s="128"/>
      <c r="J4114" s="81"/>
      <c r="K4114" s="81"/>
      <c r="L4114" s="81"/>
      <c r="M4114" s="81"/>
      <c r="N4114" s="82"/>
    </row>
    <row r="4115">
      <c r="C4115" s="41"/>
      <c r="D4115" s="141"/>
      <c r="E4115" s="118"/>
      <c r="F4115" s="126"/>
      <c r="G4115" s="126"/>
      <c r="H4115" s="126"/>
      <c r="I4115" s="126"/>
      <c r="J4115" s="76"/>
      <c r="K4115" s="76"/>
      <c r="L4115" s="76"/>
      <c r="M4115" s="76"/>
      <c r="N4115" s="114"/>
    </row>
    <row r="4116">
      <c r="C4116" s="41"/>
      <c r="D4116" s="142"/>
      <c r="E4116" s="130"/>
      <c r="F4116" s="128"/>
      <c r="G4116" s="128"/>
      <c r="H4116" s="128"/>
      <c r="I4116" s="128"/>
      <c r="J4116" s="81"/>
      <c r="K4116" s="81"/>
      <c r="L4116" s="81"/>
      <c r="M4116" s="81"/>
      <c r="N4116" s="82"/>
    </row>
    <row r="4117">
      <c r="C4117" s="41"/>
      <c r="D4117" s="141"/>
      <c r="E4117" s="118"/>
      <c r="F4117" s="126"/>
      <c r="G4117" s="126"/>
      <c r="H4117" s="126"/>
      <c r="I4117" s="126"/>
      <c r="J4117" s="76"/>
      <c r="K4117" s="76"/>
      <c r="L4117" s="76"/>
      <c r="M4117" s="76"/>
      <c r="N4117" s="114"/>
    </row>
    <row r="4118">
      <c r="C4118" s="41"/>
      <c r="D4118" s="142"/>
      <c r="E4118" s="130"/>
      <c r="F4118" s="128"/>
      <c r="G4118" s="128"/>
      <c r="H4118" s="128"/>
      <c r="I4118" s="128"/>
      <c r="J4118" s="81"/>
      <c r="K4118" s="81"/>
      <c r="L4118" s="81"/>
      <c r="M4118" s="81"/>
      <c r="N4118" s="82"/>
    </row>
    <row r="4119">
      <c r="C4119" s="41"/>
      <c r="D4119" s="141"/>
      <c r="E4119" s="118"/>
      <c r="F4119" s="126"/>
      <c r="G4119" s="126"/>
      <c r="H4119" s="126"/>
      <c r="I4119" s="126"/>
      <c r="J4119" s="76"/>
      <c r="K4119" s="76"/>
      <c r="L4119" s="76"/>
      <c r="M4119" s="76"/>
      <c r="N4119" s="114"/>
    </row>
    <row r="4120">
      <c r="C4120" s="41"/>
      <c r="D4120" s="142"/>
      <c r="E4120" s="130"/>
      <c r="F4120" s="128"/>
      <c r="G4120" s="128"/>
      <c r="H4120" s="128"/>
      <c r="I4120" s="128"/>
      <c r="J4120" s="81"/>
      <c r="K4120" s="81"/>
      <c r="L4120" s="81"/>
      <c r="M4120" s="81"/>
      <c r="N4120" s="82"/>
    </row>
    <row r="4121">
      <c r="C4121" s="41"/>
      <c r="D4121" s="141"/>
      <c r="E4121" s="118"/>
      <c r="F4121" s="126"/>
      <c r="G4121" s="126"/>
      <c r="H4121" s="126"/>
      <c r="I4121" s="126"/>
      <c r="J4121" s="76"/>
      <c r="K4121" s="76"/>
      <c r="L4121" s="76"/>
      <c r="M4121" s="76"/>
      <c r="N4121" s="114"/>
    </row>
    <row r="4122">
      <c r="C4122" s="41"/>
      <c r="D4122" s="142"/>
      <c r="E4122" s="130"/>
      <c r="F4122" s="128"/>
      <c r="G4122" s="128"/>
      <c r="H4122" s="128"/>
      <c r="I4122" s="128"/>
      <c r="J4122" s="81"/>
      <c r="K4122" s="81"/>
      <c r="L4122" s="81"/>
      <c r="M4122" s="81"/>
      <c r="N4122" s="82"/>
    </row>
    <row r="4123">
      <c r="C4123" s="41"/>
      <c r="D4123" s="141"/>
      <c r="E4123" s="118"/>
      <c r="F4123" s="126"/>
      <c r="G4123" s="126"/>
      <c r="H4123" s="126"/>
      <c r="I4123" s="126"/>
      <c r="J4123" s="76"/>
      <c r="K4123" s="76"/>
      <c r="L4123" s="76"/>
      <c r="M4123" s="76"/>
      <c r="N4123" s="114"/>
    </row>
    <row r="4124">
      <c r="C4124" s="41"/>
      <c r="D4124" s="142"/>
      <c r="E4124" s="130"/>
      <c r="F4124" s="128"/>
      <c r="G4124" s="128"/>
      <c r="H4124" s="128"/>
      <c r="I4124" s="128"/>
      <c r="J4124" s="81"/>
      <c r="K4124" s="81"/>
      <c r="L4124" s="81"/>
      <c r="M4124" s="81"/>
      <c r="N4124" s="82"/>
    </row>
    <row r="4125">
      <c r="C4125" s="41"/>
      <c r="D4125" s="141"/>
      <c r="E4125" s="118"/>
      <c r="F4125" s="126"/>
      <c r="G4125" s="126"/>
      <c r="H4125" s="126"/>
      <c r="I4125" s="126"/>
      <c r="J4125" s="76"/>
      <c r="K4125" s="76"/>
      <c r="L4125" s="76"/>
      <c r="M4125" s="76"/>
      <c r="N4125" s="114"/>
    </row>
    <row r="4126">
      <c r="C4126" s="41"/>
      <c r="D4126" s="142"/>
      <c r="E4126" s="130"/>
      <c r="F4126" s="128"/>
      <c r="G4126" s="128"/>
      <c r="H4126" s="128"/>
      <c r="I4126" s="128"/>
      <c r="J4126" s="81"/>
      <c r="K4126" s="81"/>
      <c r="L4126" s="81"/>
      <c r="M4126" s="81"/>
      <c r="N4126" s="82"/>
    </row>
    <row r="4127">
      <c r="C4127" s="41"/>
      <c r="D4127" s="141"/>
      <c r="E4127" s="118"/>
      <c r="F4127" s="126"/>
      <c r="G4127" s="126"/>
      <c r="H4127" s="126"/>
      <c r="I4127" s="126"/>
      <c r="J4127" s="76"/>
      <c r="K4127" s="76"/>
      <c r="L4127" s="76"/>
      <c r="M4127" s="76"/>
      <c r="N4127" s="114"/>
    </row>
    <row r="4128">
      <c r="C4128" s="41"/>
      <c r="D4128" s="142"/>
      <c r="E4128" s="130"/>
      <c r="F4128" s="128"/>
      <c r="G4128" s="128"/>
      <c r="H4128" s="128"/>
      <c r="I4128" s="128"/>
      <c r="J4128" s="81"/>
      <c r="K4128" s="81"/>
      <c r="L4128" s="81"/>
      <c r="M4128" s="81"/>
      <c r="N4128" s="82"/>
    </row>
    <row r="4129">
      <c r="C4129" s="41"/>
      <c r="D4129" s="141"/>
      <c r="E4129" s="118"/>
      <c r="F4129" s="126"/>
      <c r="G4129" s="126"/>
      <c r="H4129" s="126"/>
      <c r="I4129" s="126"/>
      <c r="J4129" s="76"/>
      <c r="K4129" s="76"/>
      <c r="L4129" s="76"/>
      <c r="M4129" s="76"/>
      <c r="N4129" s="114"/>
    </row>
    <row r="4130">
      <c r="C4130" s="41"/>
      <c r="D4130" s="142"/>
      <c r="E4130" s="130"/>
      <c r="F4130" s="128"/>
      <c r="G4130" s="128"/>
      <c r="H4130" s="128"/>
      <c r="I4130" s="128"/>
      <c r="J4130" s="81"/>
      <c r="K4130" s="81"/>
      <c r="L4130" s="81"/>
      <c r="M4130" s="81"/>
      <c r="N4130" s="82"/>
    </row>
    <row r="4131">
      <c r="C4131" s="41"/>
      <c r="D4131" s="141"/>
      <c r="E4131" s="118"/>
      <c r="F4131" s="126"/>
      <c r="G4131" s="126"/>
      <c r="H4131" s="126"/>
      <c r="I4131" s="126"/>
      <c r="J4131" s="76"/>
      <c r="K4131" s="76"/>
      <c r="L4131" s="76"/>
      <c r="M4131" s="76"/>
      <c r="N4131" s="114"/>
    </row>
    <row r="4132">
      <c r="C4132" s="41"/>
      <c r="D4132" s="142"/>
      <c r="E4132" s="130"/>
      <c r="F4132" s="128"/>
      <c r="G4132" s="128"/>
      <c r="H4132" s="128"/>
      <c r="I4132" s="128"/>
      <c r="J4132" s="81"/>
      <c r="K4132" s="81"/>
      <c r="L4132" s="81"/>
      <c r="M4132" s="81"/>
      <c r="N4132" s="82"/>
    </row>
    <row r="4133">
      <c r="C4133" s="41"/>
      <c r="D4133" s="141"/>
      <c r="E4133" s="118"/>
      <c r="F4133" s="126"/>
      <c r="G4133" s="126"/>
      <c r="H4133" s="126"/>
      <c r="I4133" s="126"/>
      <c r="J4133" s="76"/>
      <c r="K4133" s="76"/>
      <c r="L4133" s="76"/>
      <c r="M4133" s="76"/>
      <c r="N4133" s="114"/>
    </row>
    <row r="4134">
      <c r="C4134" s="41"/>
      <c r="D4134" s="142"/>
      <c r="E4134" s="130"/>
      <c r="F4134" s="128"/>
      <c r="G4134" s="128"/>
      <c r="H4134" s="128"/>
      <c r="I4134" s="128"/>
      <c r="J4134" s="81"/>
      <c r="K4134" s="81"/>
      <c r="L4134" s="81"/>
      <c r="M4134" s="81"/>
      <c r="N4134" s="82"/>
    </row>
    <row r="4135">
      <c r="C4135" s="41"/>
      <c r="D4135" s="141"/>
      <c r="E4135" s="118"/>
      <c r="F4135" s="126"/>
      <c r="G4135" s="126"/>
      <c r="H4135" s="126"/>
      <c r="I4135" s="126"/>
      <c r="J4135" s="76"/>
      <c r="K4135" s="76"/>
      <c r="L4135" s="76"/>
      <c r="M4135" s="76"/>
      <c r="N4135" s="114"/>
    </row>
    <row r="4136">
      <c r="C4136" s="41"/>
      <c r="D4136" s="142"/>
      <c r="E4136" s="130"/>
      <c r="F4136" s="128"/>
      <c r="G4136" s="128"/>
      <c r="H4136" s="128"/>
      <c r="I4136" s="128"/>
      <c r="J4136" s="81"/>
      <c r="K4136" s="81"/>
      <c r="L4136" s="81"/>
      <c r="M4136" s="81"/>
      <c r="N4136" s="82"/>
    </row>
    <row r="4137">
      <c r="C4137" s="41"/>
      <c r="D4137" s="141"/>
      <c r="E4137" s="118"/>
      <c r="F4137" s="126"/>
      <c r="G4137" s="126"/>
      <c r="H4137" s="126"/>
      <c r="I4137" s="126"/>
      <c r="J4137" s="76"/>
      <c r="K4137" s="76"/>
      <c r="L4137" s="76"/>
      <c r="M4137" s="76"/>
      <c r="N4137" s="114"/>
    </row>
    <row r="4138">
      <c r="C4138" s="41"/>
      <c r="D4138" s="142"/>
      <c r="E4138" s="130"/>
      <c r="F4138" s="128"/>
      <c r="G4138" s="128"/>
      <c r="H4138" s="128"/>
      <c r="I4138" s="128"/>
      <c r="J4138" s="81"/>
      <c r="K4138" s="81"/>
      <c r="L4138" s="81"/>
      <c r="M4138" s="81"/>
      <c r="N4138" s="82"/>
    </row>
    <row r="4139">
      <c r="C4139" s="41"/>
      <c r="D4139" s="141"/>
      <c r="E4139" s="118"/>
      <c r="F4139" s="126"/>
      <c r="G4139" s="126"/>
      <c r="H4139" s="126"/>
      <c r="I4139" s="126"/>
      <c r="J4139" s="76"/>
      <c r="K4139" s="76"/>
      <c r="L4139" s="76"/>
      <c r="M4139" s="76"/>
      <c r="N4139" s="114"/>
    </row>
    <row r="4140">
      <c r="C4140" s="41"/>
      <c r="D4140" s="142"/>
      <c r="E4140" s="130"/>
      <c r="F4140" s="128"/>
      <c r="G4140" s="128"/>
      <c r="H4140" s="128"/>
      <c r="I4140" s="128"/>
      <c r="J4140" s="81"/>
      <c r="K4140" s="81"/>
      <c r="L4140" s="81"/>
      <c r="M4140" s="81"/>
      <c r="N4140" s="82"/>
    </row>
    <row r="4141">
      <c r="C4141" s="41"/>
      <c r="D4141" s="141"/>
      <c r="E4141" s="118"/>
      <c r="F4141" s="126"/>
      <c r="G4141" s="126"/>
      <c r="H4141" s="126"/>
      <c r="I4141" s="126"/>
      <c r="J4141" s="76"/>
      <c r="K4141" s="76"/>
      <c r="L4141" s="76"/>
      <c r="M4141" s="76"/>
      <c r="N4141" s="114"/>
    </row>
    <row r="4142">
      <c r="C4142" s="41"/>
      <c r="D4142" s="142"/>
      <c r="E4142" s="130"/>
      <c r="F4142" s="128"/>
      <c r="G4142" s="128"/>
      <c r="H4142" s="128"/>
      <c r="I4142" s="128"/>
      <c r="J4142" s="81"/>
      <c r="K4142" s="81"/>
      <c r="L4142" s="81"/>
      <c r="M4142" s="81"/>
      <c r="N4142" s="82"/>
    </row>
    <row r="4143">
      <c r="C4143" s="41"/>
      <c r="D4143" s="141"/>
      <c r="E4143" s="118"/>
      <c r="F4143" s="126"/>
      <c r="G4143" s="126"/>
      <c r="H4143" s="126"/>
      <c r="I4143" s="126"/>
      <c r="J4143" s="76"/>
      <c r="K4143" s="76"/>
      <c r="L4143" s="76"/>
      <c r="M4143" s="76"/>
      <c r="N4143" s="114"/>
    </row>
    <row r="4144">
      <c r="C4144" s="41"/>
      <c r="D4144" s="142"/>
      <c r="E4144" s="130"/>
      <c r="F4144" s="128"/>
      <c r="G4144" s="128"/>
      <c r="H4144" s="128"/>
      <c r="I4144" s="128"/>
      <c r="J4144" s="81"/>
      <c r="K4144" s="81"/>
      <c r="L4144" s="81"/>
      <c r="M4144" s="81"/>
      <c r="N4144" s="82"/>
    </row>
    <row r="4145">
      <c r="C4145" s="41"/>
      <c r="D4145" s="141"/>
      <c r="E4145" s="118"/>
      <c r="F4145" s="126"/>
      <c r="G4145" s="126"/>
      <c r="H4145" s="126"/>
      <c r="I4145" s="126"/>
      <c r="J4145" s="76"/>
      <c r="K4145" s="76"/>
      <c r="L4145" s="76"/>
      <c r="M4145" s="76"/>
      <c r="N4145" s="114"/>
    </row>
    <row r="4146">
      <c r="C4146" s="41"/>
      <c r="D4146" s="142"/>
      <c r="E4146" s="130"/>
      <c r="F4146" s="128"/>
      <c r="G4146" s="128"/>
      <c r="H4146" s="128"/>
      <c r="I4146" s="128"/>
      <c r="J4146" s="81"/>
      <c r="K4146" s="81"/>
      <c r="L4146" s="81"/>
      <c r="M4146" s="81"/>
      <c r="N4146" s="82"/>
    </row>
    <row r="4147">
      <c r="C4147" s="41"/>
      <c r="D4147" s="141"/>
      <c r="E4147" s="118"/>
      <c r="F4147" s="126"/>
      <c r="G4147" s="126"/>
      <c r="H4147" s="126"/>
      <c r="I4147" s="126"/>
      <c r="J4147" s="76"/>
      <c r="K4147" s="76"/>
      <c r="L4147" s="76"/>
      <c r="M4147" s="76"/>
      <c r="N4147" s="114"/>
    </row>
    <row r="4148">
      <c r="C4148" s="41"/>
      <c r="D4148" s="142"/>
      <c r="E4148" s="130"/>
      <c r="F4148" s="128"/>
      <c r="G4148" s="128"/>
      <c r="H4148" s="128"/>
      <c r="I4148" s="128"/>
      <c r="J4148" s="81"/>
      <c r="K4148" s="81"/>
      <c r="L4148" s="81"/>
      <c r="M4148" s="81"/>
      <c r="N4148" s="82"/>
    </row>
    <row r="4149">
      <c r="C4149" s="41"/>
      <c r="D4149" s="141"/>
      <c r="E4149" s="118"/>
      <c r="F4149" s="126"/>
      <c r="G4149" s="126"/>
      <c r="H4149" s="126"/>
      <c r="I4149" s="126"/>
      <c r="J4149" s="76"/>
      <c r="K4149" s="76"/>
      <c r="L4149" s="76"/>
      <c r="M4149" s="76"/>
      <c r="N4149" s="114"/>
    </row>
    <row r="4150">
      <c r="C4150" s="41"/>
      <c r="D4150" s="142"/>
      <c r="E4150" s="130"/>
      <c r="F4150" s="128"/>
      <c r="G4150" s="128"/>
      <c r="H4150" s="128"/>
      <c r="I4150" s="128"/>
      <c r="J4150" s="81"/>
      <c r="K4150" s="81"/>
      <c r="L4150" s="81"/>
      <c r="M4150" s="81"/>
      <c r="N4150" s="82"/>
    </row>
    <row r="4151">
      <c r="C4151" s="41"/>
      <c r="D4151" s="141"/>
      <c r="E4151" s="118"/>
      <c r="F4151" s="126"/>
      <c r="G4151" s="126"/>
      <c r="H4151" s="126"/>
      <c r="I4151" s="126"/>
      <c r="J4151" s="76"/>
      <c r="K4151" s="76"/>
      <c r="L4151" s="76"/>
      <c r="M4151" s="76"/>
      <c r="N4151" s="114"/>
    </row>
    <row r="4152">
      <c r="C4152" s="41"/>
      <c r="D4152" s="142"/>
      <c r="E4152" s="130"/>
      <c r="F4152" s="128"/>
      <c r="G4152" s="128"/>
      <c r="H4152" s="128"/>
      <c r="I4152" s="128"/>
      <c r="J4152" s="81"/>
      <c r="K4152" s="81"/>
      <c r="L4152" s="81"/>
      <c r="M4152" s="81"/>
      <c r="N4152" s="82"/>
    </row>
    <row r="4153">
      <c r="C4153" s="41"/>
      <c r="D4153" s="141"/>
      <c r="E4153" s="118"/>
      <c r="F4153" s="126"/>
      <c r="G4153" s="126"/>
      <c r="H4153" s="126"/>
      <c r="I4153" s="126"/>
      <c r="J4153" s="76"/>
      <c r="K4153" s="76"/>
      <c r="L4153" s="76"/>
      <c r="M4153" s="76"/>
      <c r="N4153" s="114"/>
    </row>
    <row r="4154">
      <c r="C4154" s="41"/>
      <c r="D4154" s="142"/>
      <c r="E4154" s="130"/>
      <c r="F4154" s="128"/>
      <c r="G4154" s="128"/>
      <c r="H4154" s="128"/>
      <c r="I4154" s="128"/>
      <c r="J4154" s="81"/>
      <c r="K4154" s="81"/>
      <c r="L4154" s="81"/>
      <c r="M4154" s="81"/>
      <c r="N4154" s="82"/>
    </row>
    <row r="4155">
      <c r="C4155" s="41"/>
      <c r="D4155" s="141"/>
      <c r="E4155" s="118"/>
      <c r="F4155" s="126"/>
      <c r="G4155" s="126"/>
      <c r="H4155" s="126"/>
      <c r="I4155" s="126"/>
      <c r="J4155" s="76"/>
      <c r="K4155" s="76"/>
      <c r="L4155" s="76"/>
      <c r="M4155" s="76"/>
      <c r="N4155" s="114"/>
    </row>
    <row r="4156">
      <c r="C4156" s="41"/>
      <c r="D4156" s="142"/>
      <c r="E4156" s="130"/>
      <c r="F4156" s="128"/>
      <c r="G4156" s="128"/>
      <c r="H4156" s="128"/>
      <c r="I4156" s="128"/>
      <c r="J4156" s="81"/>
      <c r="K4156" s="81"/>
      <c r="L4156" s="81"/>
      <c r="M4156" s="81"/>
      <c r="N4156" s="82"/>
    </row>
    <row r="4157">
      <c r="C4157" s="41"/>
      <c r="D4157" s="141"/>
      <c r="E4157" s="118"/>
      <c r="F4157" s="126"/>
      <c r="G4157" s="126"/>
      <c r="H4157" s="126"/>
      <c r="I4157" s="126"/>
      <c r="J4157" s="76"/>
      <c r="K4157" s="76"/>
      <c r="L4157" s="76"/>
      <c r="M4157" s="76"/>
      <c r="N4157" s="114"/>
    </row>
    <row r="4158">
      <c r="C4158" s="41"/>
      <c r="D4158" s="142"/>
      <c r="E4158" s="130"/>
      <c r="F4158" s="128"/>
      <c r="G4158" s="128"/>
      <c r="H4158" s="128"/>
      <c r="I4158" s="128"/>
      <c r="J4158" s="81"/>
      <c r="K4158" s="81"/>
      <c r="L4158" s="81"/>
      <c r="M4158" s="81"/>
      <c r="N4158" s="82"/>
    </row>
    <row r="4159">
      <c r="C4159" s="41"/>
      <c r="D4159" s="141"/>
      <c r="E4159" s="118"/>
      <c r="F4159" s="126"/>
      <c r="G4159" s="126"/>
      <c r="H4159" s="126"/>
      <c r="I4159" s="126"/>
      <c r="J4159" s="76"/>
      <c r="K4159" s="76"/>
      <c r="L4159" s="76"/>
      <c r="M4159" s="76"/>
      <c r="N4159" s="114"/>
    </row>
    <row r="4160">
      <c r="C4160" s="41"/>
      <c r="D4160" s="142"/>
      <c r="E4160" s="130"/>
      <c r="F4160" s="128"/>
      <c r="G4160" s="128"/>
      <c r="H4160" s="128"/>
      <c r="I4160" s="128"/>
      <c r="J4160" s="81"/>
      <c r="K4160" s="81"/>
      <c r="L4160" s="81"/>
      <c r="M4160" s="81"/>
      <c r="N4160" s="82"/>
    </row>
    <row r="4161">
      <c r="C4161" s="41"/>
      <c r="D4161" s="141"/>
      <c r="E4161" s="118"/>
      <c r="F4161" s="126"/>
      <c r="G4161" s="126"/>
      <c r="H4161" s="126"/>
      <c r="I4161" s="126"/>
      <c r="J4161" s="76"/>
      <c r="K4161" s="76"/>
      <c r="L4161" s="76"/>
      <c r="M4161" s="76"/>
      <c r="N4161" s="114"/>
    </row>
    <row r="4162">
      <c r="C4162" s="41"/>
      <c r="D4162" s="142"/>
      <c r="E4162" s="130"/>
      <c r="F4162" s="128"/>
      <c r="G4162" s="128"/>
      <c r="H4162" s="128"/>
      <c r="I4162" s="128"/>
      <c r="J4162" s="81"/>
      <c r="K4162" s="81"/>
      <c r="L4162" s="81"/>
      <c r="M4162" s="81"/>
      <c r="N4162" s="82"/>
    </row>
    <row r="4163">
      <c r="C4163" s="41"/>
      <c r="D4163" s="141"/>
      <c r="E4163" s="118"/>
      <c r="F4163" s="126"/>
      <c r="G4163" s="126"/>
      <c r="H4163" s="126"/>
      <c r="I4163" s="126"/>
      <c r="J4163" s="76"/>
      <c r="K4163" s="76"/>
      <c r="L4163" s="76"/>
      <c r="M4163" s="76"/>
      <c r="N4163" s="114"/>
    </row>
    <row r="4164">
      <c r="C4164" s="41"/>
      <c r="D4164" s="142"/>
      <c r="E4164" s="130"/>
      <c r="F4164" s="128"/>
      <c r="G4164" s="128"/>
      <c r="H4164" s="128"/>
      <c r="I4164" s="128"/>
      <c r="J4164" s="81"/>
      <c r="K4164" s="81"/>
      <c r="L4164" s="81"/>
      <c r="M4164" s="81"/>
      <c r="N4164" s="82"/>
    </row>
    <row r="4165">
      <c r="C4165" s="41"/>
      <c r="D4165" s="141"/>
      <c r="E4165" s="118"/>
      <c r="F4165" s="126"/>
      <c r="G4165" s="126"/>
      <c r="H4165" s="126"/>
      <c r="I4165" s="126"/>
      <c r="J4165" s="76"/>
      <c r="K4165" s="76"/>
      <c r="L4165" s="76"/>
      <c r="M4165" s="76"/>
      <c r="N4165" s="114"/>
    </row>
    <row r="4166">
      <c r="C4166" s="41"/>
      <c r="D4166" s="142"/>
      <c r="E4166" s="130"/>
      <c r="F4166" s="128"/>
      <c r="G4166" s="128"/>
      <c r="H4166" s="128"/>
      <c r="I4166" s="128"/>
      <c r="J4166" s="81"/>
      <c r="K4166" s="81"/>
      <c r="L4166" s="81"/>
      <c r="M4166" s="81"/>
      <c r="N4166" s="82"/>
    </row>
    <row r="4167">
      <c r="C4167" s="41"/>
      <c r="D4167" s="141"/>
      <c r="E4167" s="118"/>
      <c r="F4167" s="126"/>
      <c r="G4167" s="126"/>
      <c r="H4167" s="126"/>
      <c r="I4167" s="126"/>
      <c r="J4167" s="76"/>
      <c r="K4167" s="76"/>
      <c r="L4167" s="76"/>
      <c r="M4167" s="76"/>
      <c r="N4167" s="114"/>
    </row>
    <row r="4168">
      <c r="C4168" s="41"/>
      <c r="D4168" s="142"/>
      <c r="E4168" s="130"/>
      <c r="F4168" s="128"/>
      <c r="G4168" s="128"/>
      <c r="H4168" s="128"/>
      <c r="I4168" s="128"/>
      <c r="J4168" s="81"/>
      <c r="K4168" s="81"/>
      <c r="L4168" s="81"/>
      <c r="M4168" s="81"/>
      <c r="N4168" s="82"/>
    </row>
    <row r="4169">
      <c r="C4169" s="41"/>
      <c r="D4169" s="141"/>
      <c r="E4169" s="118"/>
      <c r="F4169" s="126"/>
      <c r="G4169" s="126"/>
      <c r="H4169" s="126"/>
      <c r="I4169" s="126"/>
      <c r="J4169" s="76"/>
      <c r="K4169" s="76"/>
      <c r="L4169" s="76"/>
      <c r="M4169" s="76"/>
      <c r="N4169" s="114"/>
    </row>
    <row r="4170">
      <c r="C4170" s="41"/>
      <c r="D4170" s="142"/>
      <c r="E4170" s="130"/>
      <c r="F4170" s="128"/>
      <c r="G4170" s="128"/>
      <c r="H4170" s="128"/>
      <c r="I4170" s="128"/>
      <c r="J4170" s="81"/>
      <c r="K4170" s="81"/>
      <c r="L4170" s="81"/>
      <c r="M4170" s="81"/>
      <c r="N4170" s="82"/>
    </row>
    <row r="4171">
      <c r="C4171" s="41"/>
      <c r="D4171" s="141"/>
      <c r="E4171" s="118"/>
      <c r="F4171" s="126"/>
      <c r="G4171" s="126"/>
      <c r="H4171" s="126"/>
      <c r="I4171" s="126"/>
      <c r="J4171" s="76"/>
      <c r="K4171" s="76"/>
      <c r="L4171" s="76"/>
      <c r="M4171" s="76"/>
      <c r="N4171" s="114"/>
    </row>
    <row r="4172">
      <c r="C4172" s="41"/>
      <c r="D4172" s="142"/>
      <c r="E4172" s="130"/>
      <c r="F4172" s="128"/>
      <c r="G4172" s="128"/>
      <c r="H4172" s="128"/>
      <c r="I4172" s="128"/>
      <c r="J4172" s="81"/>
      <c r="K4172" s="81"/>
      <c r="L4172" s="81"/>
      <c r="M4172" s="81"/>
      <c r="N4172" s="82"/>
    </row>
    <row r="4173">
      <c r="C4173" s="41"/>
      <c r="D4173" s="141"/>
      <c r="E4173" s="118"/>
      <c r="F4173" s="126"/>
      <c r="G4173" s="126"/>
      <c r="H4173" s="126"/>
      <c r="I4173" s="126"/>
      <c r="J4173" s="76"/>
      <c r="K4173" s="76"/>
      <c r="L4173" s="76"/>
      <c r="M4173" s="76"/>
      <c r="N4173" s="114"/>
    </row>
    <row r="4174">
      <c r="C4174" s="41"/>
      <c r="D4174" s="142"/>
      <c r="E4174" s="130"/>
      <c r="F4174" s="128"/>
      <c r="G4174" s="128"/>
      <c r="H4174" s="128"/>
      <c r="I4174" s="128"/>
      <c r="J4174" s="81"/>
      <c r="K4174" s="81"/>
      <c r="L4174" s="81"/>
      <c r="M4174" s="81"/>
      <c r="N4174" s="82"/>
    </row>
    <row r="4175">
      <c r="C4175" s="41"/>
      <c r="D4175" s="141"/>
      <c r="E4175" s="118"/>
      <c r="F4175" s="126"/>
      <c r="G4175" s="126"/>
      <c r="H4175" s="126"/>
      <c r="I4175" s="126"/>
      <c r="J4175" s="76"/>
      <c r="K4175" s="76"/>
      <c r="L4175" s="76"/>
      <c r="M4175" s="76"/>
      <c r="N4175" s="114"/>
    </row>
    <row r="4176">
      <c r="C4176" s="41"/>
      <c r="D4176" s="142"/>
      <c r="E4176" s="130"/>
      <c r="F4176" s="128"/>
      <c r="G4176" s="128"/>
      <c r="H4176" s="128"/>
      <c r="I4176" s="128"/>
      <c r="J4176" s="81"/>
      <c r="K4176" s="81"/>
      <c r="L4176" s="81"/>
      <c r="M4176" s="81"/>
      <c r="N4176" s="82"/>
    </row>
    <row r="4177">
      <c r="C4177" s="41"/>
      <c r="D4177" s="141"/>
      <c r="E4177" s="118"/>
      <c r="F4177" s="126"/>
      <c r="G4177" s="126"/>
      <c r="H4177" s="126"/>
      <c r="I4177" s="126"/>
      <c r="J4177" s="76"/>
      <c r="K4177" s="76"/>
      <c r="L4177" s="76"/>
      <c r="M4177" s="76"/>
      <c r="N4177" s="114"/>
    </row>
    <row r="4178">
      <c r="C4178" s="41"/>
      <c r="D4178" s="142"/>
      <c r="E4178" s="130"/>
      <c r="F4178" s="128"/>
      <c r="G4178" s="128"/>
      <c r="H4178" s="128"/>
      <c r="I4178" s="128"/>
      <c r="J4178" s="81"/>
      <c r="K4178" s="81"/>
      <c r="L4178" s="81"/>
      <c r="M4178" s="81"/>
      <c r="N4178" s="82"/>
    </row>
    <row r="4179">
      <c r="C4179" s="41"/>
      <c r="D4179" s="141"/>
      <c r="E4179" s="118"/>
      <c r="F4179" s="126"/>
      <c r="G4179" s="126"/>
      <c r="H4179" s="126"/>
      <c r="I4179" s="126"/>
      <c r="J4179" s="76"/>
      <c r="K4179" s="76"/>
      <c r="L4179" s="76"/>
      <c r="M4179" s="76"/>
      <c r="N4179" s="114"/>
    </row>
    <row r="4180">
      <c r="C4180" s="41"/>
      <c r="D4180" s="142"/>
      <c r="E4180" s="130"/>
      <c r="F4180" s="128"/>
      <c r="G4180" s="128"/>
      <c r="H4180" s="128"/>
      <c r="I4180" s="128"/>
      <c r="J4180" s="81"/>
      <c r="K4180" s="81"/>
      <c r="L4180" s="81"/>
      <c r="M4180" s="81"/>
      <c r="N4180" s="82"/>
    </row>
    <row r="4181">
      <c r="C4181" s="41"/>
      <c r="D4181" s="141"/>
      <c r="E4181" s="118"/>
      <c r="F4181" s="126"/>
      <c r="G4181" s="126"/>
      <c r="H4181" s="126"/>
      <c r="I4181" s="126"/>
      <c r="J4181" s="76"/>
      <c r="K4181" s="76"/>
      <c r="L4181" s="76"/>
      <c r="M4181" s="76"/>
      <c r="N4181" s="114"/>
    </row>
    <row r="4182">
      <c r="C4182" s="41"/>
      <c r="D4182" s="142"/>
      <c r="E4182" s="130"/>
      <c r="F4182" s="128"/>
      <c r="G4182" s="128"/>
      <c r="H4182" s="128"/>
      <c r="I4182" s="128"/>
      <c r="J4182" s="81"/>
      <c r="K4182" s="81"/>
      <c r="L4182" s="81"/>
      <c r="M4182" s="81"/>
      <c r="N4182" s="82"/>
    </row>
    <row r="4183">
      <c r="C4183" s="41"/>
      <c r="D4183" s="141"/>
      <c r="E4183" s="118"/>
      <c r="F4183" s="126"/>
      <c r="G4183" s="126"/>
      <c r="H4183" s="126"/>
      <c r="I4183" s="126"/>
      <c r="J4183" s="76"/>
      <c r="K4183" s="76"/>
      <c r="L4183" s="76"/>
      <c r="M4183" s="76"/>
      <c r="N4183" s="114"/>
    </row>
    <row r="4184">
      <c r="C4184" s="41"/>
      <c r="D4184" s="142"/>
      <c r="E4184" s="130"/>
      <c r="F4184" s="128"/>
      <c r="G4184" s="128"/>
      <c r="H4184" s="128"/>
      <c r="I4184" s="128"/>
      <c r="J4184" s="81"/>
      <c r="K4184" s="81"/>
      <c r="L4184" s="81"/>
      <c r="M4184" s="81"/>
      <c r="N4184" s="82"/>
    </row>
    <row r="4185">
      <c r="C4185" s="41"/>
      <c r="D4185" s="141"/>
      <c r="E4185" s="118"/>
      <c r="F4185" s="126"/>
      <c r="G4185" s="126"/>
      <c r="H4185" s="126"/>
      <c r="I4185" s="126"/>
      <c r="J4185" s="76"/>
      <c r="K4185" s="76"/>
      <c r="L4185" s="76"/>
      <c r="M4185" s="76"/>
      <c r="N4185" s="114"/>
    </row>
    <row r="4186">
      <c r="C4186" s="41"/>
      <c r="D4186" s="142"/>
      <c r="E4186" s="130"/>
      <c r="F4186" s="128"/>
      <c r="G4186" s="128"/>
      <c r="H4186" s="128"/>
      <c r="I4186" s="128"/>
      <c r="J4186" s="81"/>
      <c r="K4186" s="81"/>
      <c r="L4186" s="81"/>
      <c r="M4186" s="81"/>
      <c r="N4186" s="82"/>
    </row>
    <row r="4187">
      <c r="C4187" s="41"/>
      <c r="D4187" s="141"/>
      <c r="E4187" s="118"/>
      <c r="F4187" s="126"/>
      <c r="G4187" s="126"/>
      <c r="H4187" s="126"/>
      <c r="I4187" s="126"/>
      <c r="J4187" s="76"/>
      <c r="K4187" s="76"/>
      <c r="L4187" s="76"/>
      <c r="M4187" s="76"/>
      <c r="N4187" s="114"/>
    </row>
    <row r="4188">
      <c r="C4188" s="41"/>
      <c r="D4188" s="142"/>
      <c r="E4188" s="130"/>
      <c r="F4188" s="128"/>
      <c r="G4188" s="128"/>
      <c r="H4188" s="128"/>
      <c r="I4188" s="128"/>
      <c r="J4188" s="81"/>
      <c r="K4188" s="81"/>
      <c r="L4188" s="81"/>
      <c r="M4188" s="81"/>
      <c r="N4188" s="82"/>
    </row>
    <row r="4189">
      <c r="C4189" s="41"/>
      <c r="D4189" s="141"/>
      <c r="E4189" s="118"/>
      <c r="F4189" s="126"/>
      <c r="G4189" s="126"/>
      <c r="H4189" s="126"/>
      <c r="I4189" s="126"/>
      <c r="J4189" s="76"/>
      <c r="K4189" s="76"/>
      <c r="L4189" s="76"/>
      <c r="M4189" s="76"/>
      <c r="N4189" s="114"/>
    </row>
    <row r="4190">
      <c r="C4190" s="41"/>
      <c r="D4190" s="142"/>
      <c r="E4190" s="130"/>
      <c r="F4190" s="128"/>
      <c r="G4190" s="128"/>
      <c r="H4190" s="128"/>
      <c r="I4190" s="128"/>
      <c r="J4190" s="81"/>
      <c r="K4190" s="81"/>
      <c r="L4190" s="81"/>
      <c r="M4190" s="81"/>
      <c r="N4190" s="82"/>
    </row>
    <row r="4191">
      <c r="C4191" s="41"/>
      <c r="D4191" s="141"/>
      <c r="E4191" s="118"/>
      <c r="F4191" s="126"/>
      <c r="G4191" s="126"/>
      <c r="H4191" s="126"/>
      <c r="I4191" s="126"/>
      <c r="J4191" s="76"/>
      <c r="K4191" s="76"/>
      <c r="L4191" s="76"/>
      <c r="M4191" s="76"/>
      <c r="N4191" s="114"/>
    </row>
    <row r="4192">
      <c r="C4192" s="41"/>
      <c r="D4192" s="142"/>
      <c r="E4192" s="130"/>
      <c r="F4192" s="128"/>
      <c r="G4192" s="128"/>
      <c r="H4192" s="128"/>
      <c r="I4192" s="128"/>
      <c r="J4192" s="81"/>
      <c r="K4192" s="81"/>
      <c r="L4192" s="81"/>
      <c r="M4192" s="81"/>
      <c r="N4192" s="82"/>
    </row>
    <row r="4193">
      <c r="C4193" s="41"/>
      <c r="D4193" s="141"/>
      <c r="E4193" s="118"/>
      <c r="F4193" s="126"/>
      <c r="G4193" s="126"/>
      <c r="H4193" s="126"/>
      <c r="I4193" s="126"/>
      <c r="J4193" s="76"/>
      <c r="K4193" s="76"/>
      <c r="L4193" s="76"/>
      <c r="M4193" s="76"/>
      <c r="N4193" s="114"/>
    </row>
    <row r="4194">
      <c r="C4194" s="41"/>
      <c r="D4194" s="142"/>
      <c r="E4194" s="130"/>
      <c r="F4194" s="128"/>
      <c r="G4194" s="128"/>
      <c r="H4194" s="128"/>
      <c r="I4194" s="128"/>
      <c r="J4194" s="81"/>
      <c r="K4194" s="81"/>
      <c r="L4194" s="81"/>
      <c r="M4194" s="81"/>
      <c r="N4194" s="82"/>
    </row>
    <row r="4195">
      <c r="C4195" s="41"/>
      <c r="D4195" s="141"/>
      <c r="E4195" s="118"/>
      <c r="F4195" s="126"/>
      <c r="G4195" s="126"/>
      <c r="H4195" s="126"/>
      <c r="I4195" s="126"/>
      <c r="J4195" s="76"/>
      <c r="K4195" s="76"/>
      <c r="L4195" s="76"/>
      <c r="M4195" s="76"/>
      <c r="N4195" s="114"/>
    </row>
    <row r="4196">
      <c r="C4196" s="41"/>
      <c r="D4196" s="142"/>
      <c r="E4196" s="130"/>
      <c r="F4196" s="128"/>
      <c r="G4196" s="128"/>
      <c r="H4196" s="128"/>
      <c r="I4196" s="128"/>
      <c r="J4196" s="81"/>
      <c r="K4196" s="81"/>
      <c r="L4196" s="81"/>
      <c r="M4196" s="81"/>
      <c r="N4196" s="82"/>
    </row>
    <row r="4197">
      <c r="C4197" s="41"/>
      <c r="D4197" s="141"/>
      <c r="E4197" s="118"/>
      <c r="F4197" s="126"/>
      <c r="G4197" s="126"/>
      <c r="H4197" s="126"/>
      <c r="I4197" s="126"/>
      <c r="J4197" s="76"/>
      <c r="K4197" s="76"/>
      <c r="L4197" s="76"/>
      <c r="M4197" s="76"/>
      <c r="N4197" s="114"/>
    </row>
    <row r="4198">
      <c r="C4198" s="41"/>
      <c r="D4198" s="142"/>
      <c r="E4198" s="130"/>
      <c r="F4198" s="128"/>
      <c r="G4198" s="128"/>
      <c r="H4198" s="128"/>
      <c r="I4198" s="128"/>
      <c r="J4198" s="81"/>
      <c r="K4198" s="81"/>
      <c r="L4198" s="81"/>
      <c r="M4198" s="81"/>
      <c r="N4198" s="82"/>
    </row>
    <row r="4199">
      <c r="C4199" s="41"/>
      <c r="D4199" s="141"/>
      <c r="E4199" s="118"/>
      <c r="F4199" s="126"/>
      <c r="G4199" s="126"/>
      <c r="H4199" s="126"/>
      <c r="I4199" s="126"/>
      <c r="J4199" s="76"/>
      <c r="K4199" s="76"/>
      <c r="L4199" s="76"/>
      <c r="M4199" s="76"/>
      <c r="N4199" s="114"/>
    </row>
    <row r="4200">
      <c r="C4200" s="41"/>
      <c r="D4200" s="142"/>
      <c r="E4200" s="130"/>
      <c r="F4200" s="128"/>
      <c r="G4200" s="128"/>
      <c r="H4200" s="128"/>
      <c r="I4200" s="128"/>
      <c r="J4200" s="81"/>
      <c r="K4200" s="81"/>
      <c r="L4200" s="81"/>
      <c r="M4200" s="81"/>
      <c r="N4200" s="82"/>
    </row>
    <row r="4201">
      <c r="C4201" s="41"/>
      <c r="D4201" s="141"/>
      <c r="E4201" s="118"/>
      <c r="F4201" s="126"/>
      <c r="G4201" s="126"/>
      <c r="H4201" s="126"/>
      <c r="I4201" s="126"/>
      <c r="J4201" s="76"/>
      <c r="K4201" s="76"/>
      <c r="L4201" s="76"/>
      <c r="M4201" s="76"/>
      <c r="N4201" s="114"/>
    </row>
    <row r="4202">
      <c r="C4202" s="41"/>
      <c r="D4202" s="142"/>
      <c r="E4202" s="130"/>
      <c r="F4202" s="128"/>
      <c r="G4202" s="128"/>
      <c r="H4202" s="128"/>
      <c r="I4202" s="128"/>
      <c r="J4202" s="81"/>
      <c r="K4202" s="81"/>
      <c r="L4202" s="81"/>
      <c r="M4202" s="81"/>
      <c r="N4202" s="82"/>
    </row>
    <row r="4203">
      <c r="C4203" s="41"/>
      <c r="D4203" s="141"/>
      <c r="E4203" s="118"/>
      <c r="F4203" s="126"/>
      <c r="G4203" s="126"/>
      <c r="H4203" s="126"/>
      <c r="I4203" s="126"/>
      <c r="J4203" s="76"/>
      <c r="K4203" s="76"/>
      <c r="L4203" s="76"/>
      <c r="M4203" s="76"/>
      <c r="N4203" s="114"/>
    </row>
    <row r="4204">
      <c r="C4204" s="41"/>
      <c r="D4204" s="142"/>
      <c r="E4204" s="130"/>
      <c r="F4204" s="128"/>
      <c r="G4204" s="128"/>
      <c r="H4204" s="128"/>
      <c r="I4204" s="128"/>
      <c r="J4204" s="81"/>
      <c r="K4204" s="81"/>
      <c r="L4204" s="81"/>
      <c r="M4204" s="81"/>
      <c r="N4204" s="82"/>
    </row>
    <row r="4205">
      <c r="C4205" s="41"/>
      <c r="D4205" s="141"/>
      <c r="E4205" s="118"/>
      <c r="F4205" s="126"/>
      <c r="G4205" s="126"/>
      <c r="H4205" s="126"/>
      <c r="I4205" s="126"/>
      <c r="J4205" s="76"/>
      <c r="K4205" s="76"/>
      <c r="L4205" s="76"/>
      <c r="M4205" s="76"/>
      <c r="N4205" s="114"/>
    </row>
    <row r="4206">
      <c r="C4206" s="41"/>
      <c r="D4206" s="142"/>
      <c r="E4206" s="130"/>
      <c r="F4206" s="128"/>
      <c r="G4206" s="128"/>
      <c r="H4206" s="128"/>
      <c r="I4206" s="128"/>
      <c r="J4206" s="81"/>
      <c r="K4206" s="81"/>
      <c r="L4206" s="81"/>
      <c r="M4206" s="81"/>
      <c r="N4206" s="82"/>
    </row>
    <row r="4207">
      <c r="C4207" s="41"/>
      <c r="D4207" s="141"/>
      <c r="E4207" s="118"/>
      <c r="F4207" s="126"/>
      <c r="G4207" s="126"/>
      <c r="H4207" s="126"/>
      <c r="I4207" s="126"/>
      <c r="J4207" s="76"/>
      <c r="K4207" s="76"/>
      <c r="L4207" s="76"/>
      <c r="M4207" s="76"/>
      <c r="N4207" s="114"/>
    </row>
    <row r="4208">
      <c r="C4208" s="41"/>
      <c r="D4208" s="142"/>
      <c r="E4208" s="130"/>
      <c r="F4208" s="128"/>
      <c r="G4208" s="128"/>
      <c r="H4208" s="128"/>
      <c r="I4208" s="128"/>
      <c r="J4208" s="81"/>
      <c r="K4208" s="81"/>
      <c r="L4208" s="81"/>
      <c r="M4208" s="81"/>
      <c r="N4208" s="82"/>
    </row>
    <row r="4209">
      <c r="C4209" s="41"/>
      <c r="D4209" s="141"/>
      <c r="E4209" s="118"/>
      <c r="F4209" s="126"/>
      <c r="G4209" s="126"/>
      <c r="H4209" s="126"/>
      <c r="I4209" s="126"/>
      <c r="J4209" s="76"/>
      <c r="K4209" s="76"/>
      <c r="L4209" s="76"/>
      <c r="M4209" s="76"/>
      <c r="N4209" s="114"/>
    </row>
    <row r="4210">
      <c r="C4210" s="41"/>
      <c r="D4210" s="142"/>
      <c r="E4210" s="130"/>
      <c r="F4210" s="128"/>
      <c r="G4210" s="128"/>
      <c r="H4210" s="128"/>
      <c r="I4210" s="128"/>
      <c r="J4210" s="81"/>
      <c r="K4210" s="81"/>
      <c r="L4210" s="81"/>
      <c r="M4210" s="81"/>
      <c r="N4210" s="82"/>
    </row>
    <row r="4211">
      <c r="C4211" s="41"/>
      <c r="D4211" s="141"/>
      <c r="E4211" s="118"/>
      <c r="F4211" s="126"/>
      <c r="G4211" s="126"/>
      <c r="H4211" s="126"/>
      <c r="I4211" s="126"/>
      <c r="J4211" s="76"/>
      <c r="K4211" s="76"/>
      <c r="L4211" s="76"/>
      <c r="M4211" s="76"/>
      <c r="N4211" s="114"/>
    </row>
    <row r="4212">
      <c r="C4212" s="41"/>
      <c r="D4212" s="142"/>
      <c r="E4212" s="130"/>
      <c r="F4212" s="128"/>
      <c r="G4212" s="128"/>
      <c r="H4212" s="128"/>
      <c r="I4212" s="128"/>
      <c r="J4212" s="81"/>
      <c r="K4212" s="81"/>
      <c r="L4212" s="81"/>
      <c r="M4212" s="81"/>
      <c r="N4212" s="82"/>
    </row>
    <row r="4213">
      <c r="C4213" s="41"/>
      <c r="D4213" s="141"/>
      <c r="E4213" s="118"/>
      <c r="F4213" s="126"/>
      <c r="G4213" s="126"/>
      <c r="H4213" s="126"/>
      <c r="I4213" s="126"/>
      <c r="J4213" s="76"/>
      <c r="K4213" s="76"/>
      <c r="L4213" s="76"/>
      <c r="M4213" s="76"/>
      <c r="N4213" s="114"/>
    </row>
    <row r="4214">
      <c r="C4214" s="41"/>
      <c r="D4214" s="142"/>
      <c r="E4214" s="130"/>
      <c r="F4214" s="128"/>
      <c r="G4214" s="128"/>
      <c r="H4214" s="128"/>
      <c r="I4214" s="128"/>
      <c r="J4214" s="81"/>
      <c r="K4214" s="81"/>
      <c r="L4214" s="81"/>
      <c r="M4214" s="81"/>
      <c r="N4214" s="82"/>
    </row>
    <row r="4215">
      <c r="C4215" s="41"/>
      <c r="D4215" s="141"/>
      <c r="E4215" s="118"/>
      <c r="F4215" s="126"/>
      <c r="G4215" s="126"/>
      <c r="H4215" s="126"/>
      <c r="I4215" s="126"/>
      <c r="J4215" s="76"/>
      <c r="K4215" s="76"/>
      <c r="L4215" s="76"/>
      <c r="M4215" s="76"/>
      <c r="N4215" s="114"/>
    </row>
    <row r="4216">
      <c r="C4216" s="41"/>
      <c r="D4216" s="142"/>
      <c r="E4216" s="130"/>
      <c r="F4216" s="128"/>
      <c r="G4216" s="128"/>
      <c r="H4216" s="128"/>
      <c r="I4216" s="128"/>
      <c r="J4216" s="81"/>
      <c r="K4216" s="81"/>
      <c r="L4216" s="81"/>
      <c r="M4216" s="81"/>
      <c r="N4216" s="82"/>
    </row>
    <row r="4217">
      <c r="C4217" s="41"/>
      <c r="D4217" s="141"/>
      <c r="E4217" s="118"/>
      <c r="F4217" s="126"/>
      <c r="G4217" s="126"/>
      <c r="H4217" s="126"/>
      <c r="I4217" s="126"/>
      <c r="J4217" s="76"/>
      <c r="K4217" s="76"/>
      <c r="L4217" s="76"/>
      <c r="M4217" s="76"/>
      <c r="N4217" s="114"/>
    </row>
    <row r="4218">
      <c r="C4218" s="41"/>
      <c r="D4218" s="142"/>
      <c r="E4218" s="130"/>
      <c r="F4218" s="128"/>
      <c r="G4218" s="128"/>
      <c r="H4218" s="128"/>
      <c r="I4218" s="128"/>
      <c r="J4218" s="81"/>
      <c r="K4218" s="81"/>
      <c r="L4218" s="81"/>
      <c r="M4218" s="81"/>
      <c r="N4218" s="82"/>
    </row>
    <row r="4219">
      <c r="C4219" s="41"/>
      <c r="D4219" s="141"/>
      <c r="E4219" s="118"/>
      <c r="F4219" s="126"/>
      <c r="G4219" s="126"/>
      <c r="H4219" s="126"/>
      <c r="I4219" s="126"/>
      <c r="J4219" s="76"/>
      <c r="K4219" s="76"/>
      <c r="L4219" s="76"/>
      <c r="M4219" s="76"/>
      <c r="N4219" s="114"/>
    </row>
    <row r="4220">
      <c r="C4220" s="41"/>
      <c r="D4220" s="142"/>
      <c r="E4220" s="130"/>
      <c r="F4220" s="128"/>
      <c r="G4220" s="128"/>
      <c r="H4220" s="128"/>
      <c r="I4220" s="128"/>
      <c r="J4220" s="81"/>
      <c r="K4220" s="81"/>
      <c r="L4220" s="81"/>
      <c r="M4220" s="81"/>
      <c r="N4220" s="82"/>
    </row>
    <row r="4221">
      <c r="C4221" s="41"/>
      <c r="D4221" s="141"/>
      <c r="E4221" s="118"/>
      <c r="F4221" s="126"/>
      <c r="G4221" s="126"/>
      <c r="H4221" s="126"/>
      <c r="I4221" s="126"/>
      <c r="J4221" s="76"/>
      <c r="K4221" s="76"/>
      <c r="L4221" s="76"/>
      <c r="M4221" s="76"/>
      <c r="N4221" s="114"/>
    </row>
    <row r="4222">
      <c r="C4222" s="41"/>
      <c r="D4222" s="142"/>
      <c r="E4222" s="130"/>
      <c r="F4222" s="128"/>
      <c r="G4222" s="128"/>
      <c r="H4222" s="128"/>
      <c r="I4222" s="128"/>
      <c r="J4222" s="81"/>
      <c r="K4222" s="81"/>
      <c r="L4222" s="81"/>
      <c r="M4222" s="81"/>
      <c r="N4222" s="82"/>
    </row>
    <row r="4223">
      <c r="C4223" s="41"/>
      <c r="D4223" s="141"/>
      <c r="E4223" s="118"/>
      <c r="F4223" s="126"/>
      <c r="G4223" s="126"/>
      <c r="H4223" s="126"/>
      <c r="I4223" s="126"/>
      <c r="J4223" s="76"/>
      <c r="K4223" s="76"/>
      <c r="L4223" s="76"/>
      <c r="M4223" s="76"/>
      <c r="N4223" s="114"/>
    </row>
    <row r="4224">
      <c r="C4224" s="41"/>
      <c r="D4224" s="142"/>
      <c r="E4224" s="130"/>
      <c r="F4224" s="128"/>
      <c r="G4224" s="128"/>
      <c r="H4224" s="128"/>
      <c r="I4224" s="128"/>
      <c r="J4224" s="81"/>
      <c r="K4224" s="81"/>
      <c r="L4224" s="81"/>
      <c r="M4224" s="81"/>
      <c r="N4224" s="82"/>
    </row>
    <row r="4225">
      <c r="C4225" s="41"/>
      <c r="D4225" s="141"/>
      <c r="E4225" s="118"/>
      <c r="F4225" s="126"/>
      <c r="G4225" s="126"/>
      <c r="H4225" s="126"/>
      <c r="I4225" s="126"/>
      <c r="J4225" s="76"/>
      <c r="K4225" s="76"/>
      <c r="L4225" s="76"/>
      <c r="M4225" s="76"/>
      <c r="N4225" s="114"/>
    </row>
    <row r="4226">
      <c r="C4226" s="41"/>
      <c r="D4226" s="142"/>
      <c r="E4226" s="130"/>
      <c r="F4226" s="128"/>
      <c r="G4226" s="128"/>
      <c r="H4226" s="128"/>
      <c r="I4226" s="128"/>
      <c r="J4226" s="81"/>
      <c r="K4226" s="81"/>
      <c r="L4226" s="81"/>
      <c r="M4226" s="81"/>
      <c r="N4226" s="82"/>
    </row>
    <row r="4227">
      <c r="C4227" s="41"/>
      <c r="D4227" s="141"/>
      <c r="E4227" s="118"/>
      <c r="F4227" s="126"/>
      <c r="G4227" s="126"/>
      <c r="H4227" s="126"/>
      <c r="I4227" s="126"/>
      <c r="J4227" s="76"/>
      <c r="K4227" s="76"/>
      <c r="L4227" s="76"/>
      <c r="M4227" s="76"/>
      <c r="N4227" s="114"/>
    </row>
    <row r="4228">
      <c r="C4228" s="41"/>
      <c r="D4228" s="142"/>
      <c r="E4228" s="130"/>
      <c r="F4228" s="128"/>
      <c r="G4228" s="128"/>
      <c r="H4228" s="128"/>
      <c r="I4228" s="128"/>
      <c r="J4228" s="81"/>
      <c r="K4228" s="81"/>
      <c r="L4228" s="81"/>
      <c r="M4228" s="81"/>
      <c r="N4228" s="82"/>
    </row>
    <row r="4229">
      <c r="C4229" s="41"/>
      <c r="D4229" s="141"/>
      <c r="E4229" s="118"/>
      <c r="F4229" s="126"/>
      <c r="G4229" s="126"/>
      <c r="H4229" s="126"/>
      <c r="I4229" s="126"/>
      <c r="J4229" s="76"/>
      <c r="K4229" s="76"/>
      <c r="L4229" s="76"/>
      <c r="M4229" s="76"/>
      <c r="N4229" s="114"/>
    </row>
    <row r="4230">
      <c r="C4230" s="41"/>
      <c r="D4230" s="142"/>
      <c r="E4230" s="130"/>
      <c r="F4230" s="128"/>
      <c r="G4230" s="128"/>
      <c r="H4230" s="128"/>
      <c r="I4230" s="128"/>
      <c r="J4230" s="81"/>
      <c r="K4230" s="81"/>
      <c r="L4230" s="81"/>
      <c r="M4230" s="81"/>
      <c r="N4230" s="82"/>
    </row>
    <row r="4231">
      <c r="C4231" s="41"/>
      <c r="D4231" s="141"/>
      <c r="E4231" s="118"/>
      <c r="F4231" s="126"/>
      <c r="G4231" s="126"/>
      <c r="H4231" s="126"/>
      <c r="I4231" s="126"/>
      <c r="J4231" s="76"/>
      <c r="K4231" s="76"/>
      <c r="L4231" s="76"/>
      <c r="M4231" s="76"/>
      <c r="N4231" s="114"/>
    </row>
    <row r="4232">
      <c r="C4232" s="41"/>
      <c r="D4232" s="142"/>
      <c r="E4232" s="130"/>
      <c r="F4232" s="128"/>
      <c r="G4232" s="128"/>
      <c r="H4232" s="128"/>
      <c r="I4232" s="128"/>
      <c r="J4232" s="81"/>
      <c r="K4232" s="81"/>
      <c r="L4232" s="81"/>
      <c r="M4232" s="81"/>
      <c r="N4232" s="82"/>
    </row>
    <row r="4233">
      <c r="C4233" s="41"/>
      <c r="D4233" s="141"/>
      <c r="E4233" s="118"/>
      <c r="F4233" s="126"/>
      <c r="G4233" s="126"/>
      <c r="H4233" s="126"/>
      <c r="I4233" s="126"/>
      <c r="J4233" s="76"/>
      <c r="K4233" s="76"/>
      <c r="L4233" s="76"/>
      <c r="M4233" s="76"/>
      <c r="N4233" s="114"/>
    </row>
    <row r="4234">
      <c r="C4234" s="41"/>
      <c r="D4234" s="142"/>
      <c r="E4234" s="130"/>
      <c r="F4234" s="128"/>
      <c r="G4234" s="128"/>
      <c r="H4234" s="128"/>
      <c r="I4234" s="128"/>
      <c r="J4234" s="81"/>
      <c r="K4234" s="81"/>
      <c r="L4234" s="81"/>
      <c r="M4234" s="81"/>
      <c r="N4234" s="82"/>
    </row>
    <row r="4235">
      <c r="C4235" s="41"/>
      <c r="D4235" s="141"/>
      <c r="E4235" s="118"/>
      <c r="F4235" s="126"/>
      <c r="G4235" s="126"/>
      <c r="H4235" s="126"/>
      <c r="I4235" s="126"/>
      <c r="J4235" s="76"/>
      <c r="K4235" s="76"/>
      <c r="L4235" s="76"/>
      <c r="M4235" s="76"/>
      <c r="N4235" s="114"/>
    </row>
    <row r="4236">
      <c r="C4236" s="41"/>
      <c r="D4236" s="142"/>
      <c r="E4236" s="130"/>
      <c r="F4236" s="128"/>
      <c r="G4236" s="128"/>
      <c r="H4236" s="128"/>
      <c r="I4236" s="128"/>
      <c r="J4236" s="81"/>
      <c r="K4236" s="81"/>
      <c r="L4236" s="81"/>
      <c r="M4236" s="81"/>
      <c r="N4236" s="82"/>
    </row>
    <row r="4237">
      <c r="C4237" s="41"/>
      <c r="D4237" s="141"/>
      <c r="E4237" s="118"/>
      <c r="F4237" s="126"/>
      <c r="G4237" s="126"/>
      <c r="H4237" s="126"/>
      <c r="I4237" s="126"/>
      <c r="J4237" s="76"/>
      <c r="K4237" s="76"/>
      <c r="L4237" s="76"/>
      <c r="M4237" s="76"/>
      <c r="N4237" s="114"/>
    </row>
    <row r="4238">
      <c r="C4238" s="41"/>
      <c r="D4238" s="142"/>
      <c r="E4238" s="130"/>
      <c r="F4238" s="128"/>
      <c r="G4238" s="128"/>
      <c r="H4238" s="128"/>
      <c r="I4238" s="128"/>
      <c r="J4238" s="81"/>
      <c r="K4238" s="81"/>
      <c r="L4238" s="81"/>
      <c r="M4238" s="81"/>
      <c r="N4238" s="82"/>
    </row>
    <row r="4239">
      <c r="C4239" s="41"/>
      <c r="D4239" s="141"/>
      <c r="E4239" s="118"/>
      <c r="F4239" s="126"/>
      <c r="G4239" s="126"/>
      <c r="H4239" s="126"/>
      <c r="I4239" s="126"/>
      <c r="J4239" s="76"/>
      <c r="K4239" s="76"/>
      <c r="L4239" s="76"/>
      <c r="M4239" s="76"/>
      <c r="N4239" s="114"/>
    </row>
    <row r="4240">
      <c r="C4240" s="41"/>
      <c r="D4240" s="142"/>
      <c r="E4240" s="130"/>
      <c r="F4240" s="128"/>
      <c r="G4240" s="128"/>
      <c r="H4240" s="128"/>
      <c r="I4240" s="128"/>
      <c r="J4240" s="81"/>
      <c r="K4240" s="81"/>
      <c r="L4240" s="81"/>
      <c r="M4240" s="81"/>
      <c r="N4240" s="82"/>
    </row>
    <row r="4241">
      <c r="C4241" s="41"/>
      <c r="D4241" s="141"/>
      <c r="E4241" s="118"/>
      <c r="F4241" s="126"/>
      <c r="G4241" s="126"/>
      <c r="H4241" s="126"/>
      <c r="I4241" s="126"/>
      <c r="J4241" s="76"/>
      <c r="K4241" s="76"/>
      <c r="L4241" s="76"/>
      <c r="M4241" s="76"/>
      <c r="N4241" s="114"/>
    </row>
    <row r="4242">
      <c r="C4242" s="41"/>
      <c r="D4242" s="142"/>
      <c r="E4242" s="130"/>
      <c r="F4242" s="128"/>
      <c r="G4242" s="128"/>
      <c r="H4242" s="128"/>
      <c r="I4242" s="128"/>
      <c r="J4242" s="81"/>
      <c r="K4242" s="81"/>
      <c r="L4242" s="81"/>
      <c r="M4242" s="81"/>
      <c r="N4242" s="82"/>
    </row>
    <row r="4243">
      <c r="C4243" s="41"/>
      <c r="D4243" s="141"/>
      <c r="E4243" s="118"/>
      <c r="F4243" s="126"/>
      <c r="G4243" s="126"/>
      <c r="H4243" s="126"/>
      <c r="I4243" s="126"/>
      <c r="J4243" s="76"/>
      <c r="K4243" s="76"/>
      <c r="L4243" s="76"/>
      <c r="M4243" s="76"/>
      <c r="N4243" s="114"/>
    </row>
    <row r="4244">
      <c r="C4244" s="41"/>
      <c r="D4244" s="142"/>
      <c r="E4244" s="130"/>
      <c r="F4244" s="128"/>
      <c r="G4244" s="128"/>
      <c r="H4244" s="128"/>
      <c r="I4244" s="128"/>
      <c r="J4244" s="81"/>
      <c r="K4244" s="81"/>
      <c r="L4244" s="81"/>
      <c r="M4244" s="81"/>
      <c r="N4244" s="82"/>
    </row>
    <row r="4245">
      <c r="C4245" s="41"/>
      <c r="D4245" s="141"/>
      <c r="E4245" s="118"/>
      <c r="F4245" s="126"/>
      <c r="G4245" s="126"/>
      <c r="H4245" s="126"/>
      <c r="I4245" s="126"/>
      <c r="J4245" s="76"/>
      <c r="K4245" s="76"/>
      <c r="L4245" s="76"/>
      <c r="M4245" s="76"/>
      <c r="N4245" s="114"/>
    </row>
    <row r="4246">
      <c r="C4246" s="41"/>
      <c r="D4246" s="142"/>
      <c r="E4246" s="130"/>
      <c r="F4246" s="128"/>
      <c r="G4246" s="128"/>
      <c r="H4246" s="128"/>
      <c r="I4246" s="128"/>
      <c r="J4246" s="81"/>
      <c r="K4246" s="81"/>
      <c r="L4246" s="81"/>
      <c r="M4246" s="81"/>
      <c r="N4246" s="82"/>
    </row>
    <row r="4247">
      <c r="C4247" s="41"/>
      <c r="D4247" s="141"/>
      <c r="E4247" s="118"/>
      <c r="F4247" s="126"/>
      <c r="G4247" s="126"/>
      <c r="H4247" s="126"/>
      <c r="I4247" s="126"/>
      <c r="J4247" s="76"/>
      <c r="K4247" s="76"/>
      <c r="L4247" s="76"/>
      <c r="M4247" s="76"/>
      <c r="N4247" s="114"/>
    </row>
    <row r="4248">
      <c r="C4248" s="41"/>
      <c r="D4248" s="142"/>
      <c r="E4248" s="130"/>
      <c r="F4248" s="128"/>
      <c r="G4248" s="128"/>
      <c r="H4248" s="128"/>
      <c r="I4248" s="128"/>
      <c r="J4248" s="81"/>
      <c r="K4248" s="81"/>
      <c r="L4248" s="81"/>
      <c r="M4248" s="81"/>
      <c r="N4248" s="82"/>
    </row>
    <row r="4249">
      <c r="C4249" s="41"/>
      <c r="D4249" s="141"/>
      <c r="E4249" s="118"/>
      <c r="F4249" s="126"/>
      <c r="G4249" s="126"/>
      <c r="H4249" s="126"/>
      <c r="I4249" s="126"/>
      <c r="J4249" s="76"/>
      <c r="K4249" s="76"/>
      <c r="L4249" s="76"/>
      <c r="M4249" s="76"/>
      <c r="N4249" s="114"/>
    </row>
    <row r="4250">
      <c r="C4250" s="41"/>
      <c r="D4250" s="142"/>
      <c r="E4250" s="130"/>
      <c r="F4250" s="128"/>
      <c r="G4250" s="128"/>
      <c r="H4250" s="128"/>
      <c r="I4250" s="128"/>
      <c r="J4250" s="81"/>
      <c r="K4250" s="81"/>
      <c r="L4250" s="81"/>
      <c r="M4250" s="81"/>
      <c r="N4250" s="82"/>
    </row>
    <row r="4251">
      <c r="C4251" s="41"/>
      <c r="D4251" s="141"/>
      <c r="E4251" s="118"/>
      <c r="F4251" s="126"/>
      <c r="G4251" s="126"/>
      <c r="H4251" s="126"/>
      <c r="I4251" s="126"/>
      <c r="J4251" s="76"/>
      <c r="K4251" s="76"/>
      <c r="L4251" s="76"/>
      <c r="M4251" s="76"/>
      <c r="N4251" s="114"/>
    </row>
    <row r="4252">
      <c r="C4252" s="41"/>
      <c r="D4252" s="142"/>
      <c r="E4252" s="130"/>
      <c r="F4252" s="128"/>
      <c r="G4252" s="128"/>
      <c r="H4252" s="128"/>
      <c r="I4252" s="128"/>
      <c r="J4252" s="81"/>
      <c r="K4252" s="81"/>
      <c r="L4252" s="81"/>
      <c r="M4252" s="81"/>
      <c r="N4252" s="82"/>
    </row>
    <row r="4253">
      <c r="C4253" s="41"/>
      <c r="D4253" s="141"/>
      <c r="E4253" s="118"/>
      <c r="F4253" s="126"/>
      <c r="G4253" s="126"/>
      <c r="H4253" s="126"/>
      <c r="I4253" s="126"/>
      <c r="J4253" s="76"/>
      <c r="K4253" s="76"/>
      <c r="L4253" s="76"/>
      <c r="M4253" s="76"/>
      <c r="N4253" s="114"/>
    </row>
    <row r="4254">
      <c r="C4254" s="41"/>
      <c r="D4254" s="142"/>
      <c r="E4254" s="130"/>
      <c r="F4254" s="128"/>
      <c r="G4254" s="128"/>
      <c r="H4254" s="128"/>
      <c r="I4254" s="128"/>
      <c r="J4254" s="81"/>
      <c r="K4254" s="81"/>
      <c r="L4254" s="81"/>
      <c r="M4254" s="81"/>
      <c r="N4254" s="82"/>
    </row>
    <row r="4255">
      <c r="C4255" s="41"/>
      <c r="D4255" s="141"/>
      <c r="E4255" s="118"/>
      <c r="F4255" s="126"/>
      <c r="G4255" s="126"/>
      <c r="H4255" s="126"/>
      <c r="I4255" s="126"/>
      <c r="J4255" s="76"/>
      <c r="K4255" s="76"/>
      <c r="L4255" s="76"/>
      <c r="M4255" s="76"/>
      <c r="N4255" s="114"/>
    </row>
    <row r="4256">
      <c r="C4256" s="41"/>
      <c r="D4256" s="142"/>
      <c r="E4256" s="130"/>
      <c r="F4256" s="128"/>
      <c r="G4256" s="128"/>
      <c r="H4256" s="128"/>
      <c r="I4256" s="128"/>
      <c r="J4256" s="81"/>
      <c r="K4256" s="81"/>
      <c r="L4256" s="81"/>
      <c r="M4256" s="81"/>
      <c r="N4256" s="82"/>
    </row>
    <row r="4257">
      <c r="C4257" s="41"/>
      <c r="D4257" s="141"/>
      <c r="E4257" s="118"/>
      <c r="F4257" s="126"/>
      <c r="G4257" s="126"/>
      <c r="H4257" s="126"/>
      <c r="I4257" s="126"/>
      <c r="J4257" s="76"/>
      <c r="K4257" s="76"/>
      <c r="L4257" s="76"/>
      <c r="M4257" s="76"/>
      <c r="N4257" s="114"/>
    </row>
    <row r="4258">
      <c r="C4258" s="41"/>
      <c r="D4258" s="142"/>
      <c r="E4258" s="130"/>
      <c r="F4258" s="128"/>
      <c r="G4258" s="128"/>
      <c r="H4258" s="128"/>
      <c r="I4258" s="128"/>
      <c r="J4258" s="81"/>
      <c r="K4258" s="81"/>
      <c r="L4258" s="81"/>
      <c r="M4258" s="81"/>
      <c r="N4258" s="82"/>
    </row>
    <row r="4259">
      <c r="C4259" s="41"/>
      <c r="D4259" s="141"/>
      <c r="E4259" s="118"/>
      <c r="F4259" s="126"/>
      <c r="G4259" s="126"/>
      <c r="H4259" s="126"/>
      <c r="I4259" s="126"/>
      <c r="J4259" s="76"/>
      <c r="K4259" s="76"/>
      <c r="L4259" s="76"/>
      <c r="M4259" s="76"/>
      <c r="N4259" s="114"/>
    </row>
    <row r="4260">
      <c r="C4260" s="41"/>
      <c r="D4260" s="142"/>
      <c r="E4260" s="130"/>
      <c r="F4260" s="128"/>
      <c r="G4260" s="128"/>
      <c r="H4260" s="128"/>
      <c r="I4260" s="128"/>
      <c r="J4260" s="81"/>
      <c r="K4260" s="81"/>
      <c r="L4260" s="81"/>
      <c r="M4260" s="81"/>
      <c r="N4260" s="82"/>
    </row>
    <row r="4261">
      <c r="C4261" s="41"/>
      <c r="D4261" s="141"/>
      <c r="E4261" s="118"/>
      <c r="F4261" s="126"/>
      <c r="G4261" s="126"/>
      <c r="H4261" s="126"/>
      <c r="I4261" s="126"/>
      <c r="J4261" s="76"/>
      <c r="K4261" s="76"/>
      <c r="L4261" s="76"/>
      <c r="M4261" s="76"/>
      <c r="N4261" s="114"/>
    </row>
    <row r="4262">
      <c r="C4262" s="41"/>
      <c r="D4262" s="142"/>
      <c r="E4262" s="130"/>
      <c r="F4262" s="128"/>
      <c r="G4262" s="128"/>
      <c r="H4262" s="128"/>
      <c r="I4262" s="128"/>
      <c r="J4262" s="81"/>
      <c r="K4262" s="81"/>
      <c r="L4262" s="81"/>
      <c r="M4262" s="81"/>
      <c r="N4262" s="82"/>
    </row>
    <row r="4263">
      <c r="C4263" s="41"/>
      <c r="D4263" s="141"/>
      <c r="E4263" s="118"/>
      <c r="F4263" s="126"/>
      <c r="G4263" s="126"/>
      <c r="H4263" s="126"/>
      <c r="I4263" s="126"/>
      <c r="J4263" s="76"/>
      <c r="K4263" s="76"/>
      <c r="L4263" s="76"/>
      <c r="M4263" s="76"/>
      <c r="N4263" s="114"/>
    </row>
    <row r="4264">
      <c r="C4264" s="41"/>
      <c r="D4264" s="142"/>
      <c r="E4264" s="130"/>
      <c r="F4264" s="128"/>
      <c r="G4264" s="128"/>
      <c r="H4264" s="128"/>
      <c r="I4264" s="128"/>
      <c r="J4264" s="81"/>
      <c r="K4264" s="81"/>
      <c r="L4264" s="81"/>
      <c r="M4264" s="81"/>
      <c r="N4264" s="82"/>
    </row>
    <row r="4265">
      <c r="C4265" s="41"/>
      <c r="D4265" s="141"/>
      <c r="E4265" s="118"/>
      <c r="F4265" s="126"/>
      <c r="G4265" s="126"/>
      <c r="H4265" s="126"/>
      <c r="I4265" s="126"/>
      <c r="J4265" s="76"/>
      <c r="K4265" s="76"/>
      <c r="L4265" s="76"/>
      <c r="M4265" s="76"/>
      <c r="N4265" s="114"/>
    </row>
    <row r="4266">
      <c r="C4266" s="41"/>
      <c r="D4266" s="142"/>
      <c r="E4266" s="130"/>
      <c r="F4266" s="128"/>
      <c r="G4266" s="128"/>
      <c r="H4266" s="128"/>
      <c r="I4266" s="128"/>
      <c r="J4266" s="81"/>
      <c r="K4266" s="81"/>
      <c r="L4266" s="81"/>
      <c r="M4266" s="81"/>
      <c r="N4266" s="82"/>
    </row>
    <row r="4267">
      <c r="C4267" s="41"/>
      <c r="D4267" s="141"/>
      <c r="E4267" s="118"/>
      <c r="F4267" s="126"/>
      <c r="G4267" s="126"/>
      <c r="H4267" s="126"/>
      <c r="I4267" s="126"/>
      <c r="J4267" s="76"/>
      <c r="K4267" s="76"/>
      <c r="L4267" s="76"/>
      <c r="M4267" s="76"/>
      <c r="N4267" s="114"/>
    </row>
    <row r="4268">
      <c r="C4268" s="41"/>
      <c r="D4268" s="142"/>
      <c r="E4268" s="130"/>
      <c r="F4268" s="128"/>
      <c r="G4268" s="128"/>
      <c r="H4268" s="128"/>
      <c r="I4268" s="128"/>
      <c r="J4268" s="81"/>
      <c r="K4268" s="81"/>
      <c r="L4268" s="81"/>
      <c r="M4268" s="81"/>
      <c r="N4268" s="82"/>
    </row>
    <row r="4269">
      <c r="C4269" s="41"/>
      <c r="D4269" s="141"/>
      <c r="E4269" s="118"/>
      <c r="F4269" s="126"/>
      <c r="G4269" s="126"/>
      <c r="H4269" s="126"/>
      <c r="I4269" s="126"/>
      <c r="J4269" s="76"/>
      <c r="K4269" s="76"/>
      <c r="L4269" s="76"/>
      <c r="M4269" s="76"/>
      <c r="N4269" s="114"/>
    </row>
    <row r="4270">
      <c r="C4270" s="41"/>
      <c r="D4270" s="142"/>
      <c r="E4270" s="130"/>
      <c r="F4270" s="128"/>
      <c r="G4270" s="128"/>
      <c r="H4270" s="128"/>
      <c r="I4270" s="128"/>
      <c r="J4270" s="81"/>
      <c r="K4270" s="81"/>
      <c r="L4270" s="81"/>
      <c r="M4270" s="81"/>
      <c r="N4270" s="82"/>
    </row>
    <row r="4271">
      <c r="C4271" s="41"/>
      <c r="D4271" s="141"/>
      <c r="E4271" s="118"/>
      <c r="F4271" s="126"/>
      <c r="G4271" s="126"/>
      <c r="H4271" s="126"/>
      <c r="I4271" s="126"/>
      <c r="J4271" s="76"/>
      <c r="K4271" s="76"/>
      <c r="L4271" s="76"/>
      <c r="M4271" s="76"/>
      <c r="N4271" s="114"/>
    </row>
    <row r="4272">
      <c r="C4272" s="41"/>
      <c r="D4272" s="142"/>
      <c r="E4272" s="130"/>
      <c r="F4272" s="128"/>
      <c r="G4272" s="128"/>
      <c r="H4272" s="128"/>
      <c r="I4272" s="128"/>
      <c r="J4272" s="81"/>
      <c r="K4272" s="81"/>
      <c r="L4272" s="81"/>
      <c r="M4272" s="81"/>
      <c r="N4272" s="82"/>
    </row>
    <row r="4273">
      <c r="C4273" s="41"/>
      <c r="D4273" s="141"/>
      <c r="E4273" s="118"/>
      <c r="F4273" s="126"/>
      <c r="G4273" s="126"/>
      <c r="H4273" s="126"/>
      <c r="I4273" s="126"/>
      <c r="J4273" s="76"/>
      <c r="K4273" s="76"/>
      <c r="L4273" s="76"/>
      <c r="M4273" s="76"/>
      <c r="N4273" s="114"/>
    </row>
    <row r="4274">
      <c r="C4274" s="41"/>
      <c r="D4274" s="142"/>
      <c r="E4274" s="130"/>
      <c r="F4274" s="128"/>
      <c r="G4274" s="128"/>
      <c r="H4274" s="128"/>
      <c r="I4274" s="128"/>
      <c r="J4274" s="81"/>
      <c r="K4274" s="81"/>
      <c r="L4274" s="81"/>
      <c r="M4274" s="81"/>
      <c r="N4274" s="82"/>
    </row>
    <row r="4275">
      <c r="C4275" s="41"/>
      <c r="D4275" s="141"/>
      <c r="E4275" s="118"/>
      <c r="F4275" s="126"/>
      <c r="G4275" s="126"/>
      <c r="H4275" s="126"/>
      <c r="I4275" s="126"/>
      <c r="J4275" s="76"/>
      <c r="K4275" s="76"/>
      <c r="L4275" s="76"/>
      <c r="M4275" s="76"/>
      <c r="N4275" s="114"/>
    </row>
    <row r="4276">
      <c r="C4276" s="41"/>
      <c r="D4276" s="142"/>
      <c r="E4276" s="130"/>
      <c r="F4276" s="128"/>
      <c r="G4276" s="128"/>
      <c r="H4276" s="128"/>
      <c r="I4276" s="128"/>
      <c r="J4276" s="81"/>
      <c r="K4276" s="81"/>
      <c r="L4276" s="81"/>
      <c r="M4276" s="81"/>
      <c r="N4276" s="82"/>
    </row>
    <row r="4277">
      <c r="C4277" s="41"/>
      <c r="D4277" s="141"/>
      <c r="E4277" s="118"/>
      <c r="F4277" s="126"/>
      <c r="G4277" s="126"/>
      <c r="H4277" s="126"/>
      <c r="I4277" s="126"/>
      <c r="J4277" s="76"/>
      <c r="K4277" s="76"/>
      <c r="L4277" s="76"/>
      <c r="M4277" s="76"/>
      <c r="N4277" s="114"/>
    </row>
    <row r="4278">
      <c r="C4278" s="41"/>
      <c r="D4278" s="142"/>
      <c r="E4278" s="130"/>
      <c r="F4278" s="128"/>
      <c r="G4278" s="128"/>
      <c r="H4278" s="128"/>
      <c r="I4278" s="128"/>
      <c r="J4278" s="81"/>
      <c r="K4278" s="81"/>
      <c r="L4278" s="81"/>
      <c r="M4278" s="81"/>
      <c r="N4278" s="82"/>
    </row>
    <row r="4279">
      <c r="C4279" s="41"/>
      <c r="D4279" s="141"/>
      <c r="E4279" s="118"/>
      <c r="F4279" s="126"/>
      <c r="G4279" s="126"/>
      <c r="H4279" s="126"/>
      <c r="I4279" s="126"/>
      <c r="J4279" s="76"/>
      <c r="K4279" s="76"/>
      <c r="L4279" s="76"/>
      <c r="M4279" s="76"/>
      <c r="N4279" s="114"/>
    </row>
    <row r="4280">
      <c r="C4280" s="41"/>
      <c r="D4280" s="142"/>
      <c r="E4280" s="130"/>
      <c r="F4280" s="128"/>
      <c r="G4280" s="128"/>
      <c r="H4280" s="128"/>
      <c r="I4280" s="128"/>
      <c r="J4280" s="81"/>
      <c r="K4280" s="81"/>
      <c r="L4280" s="81"/>
      <c r="M4280" s="81"/>
      <c r="N4280" s="82"/>
    </row>
    <row r="4281">
      <c r="C4281" s="41"/>
      <c r="D4281" s="141"/>
      <c r="E4281" s="118"/>
      <c r="F4281" s="126"/>
      <c r="G4281" s="126"/>
      <c r="H4281" s="126"/>
      <c r="I4281" s="126"/>
      <c r="J4281" s="76"/>
      <c r="K4281" s="76"/>
      <c r="L4281" s="76"/>
      <c r="M4281" s="76"/>
      <c r="N4281" s="114"/>
    </row>
    <row r="4282">
      <c r="C4282" s="41"/>
      <c r="D4282" s="142"/>
      <c r="E4282" s="130"/>
      <c r="F4282" s="128"/>
      <c r="G4282" s="128"/>
      <c r="H4282" s="128"/>
      <c r="I4282" s="128"/>
      <c r="J4282" s="81"/>
      <c r="K4282" s="81"/>
      <c r="L4282" s="81"/>
      <c r="M4282" s="81"/>
      <c r="N4282" s="82"/>
    </row>
    <row r="4283">
      <c r="C4283" s="41"/>
      <c r="D4283" s="141"/>
      <c r="E4283" s="118"/>
      <c r="F4283" s="126"/>
      <c r="G4283" s="126"/>
      <c r="H4283" s="126"/>
      <c r="I4283" s="126"/>
      <c r="J4283" s="76"/>
      <c r="K4283" s="76"/>
      <c r="L4283" s="76"/>
      <c r="M4283" s="76"/>
      <c r="N4283" s="114"/>
    </row>
    <row r="4284">
      <c r="C4284" s="41"/>
      <c r="D4284" s="142"/>
      <c r="E4284" s="130"/>
      <c r="F4284" s="128"/>
      <c r="G4284" s="128"/>
      <c r="H4284" s="128"/>
      <c r="I4284" s="128"/>
      <c r="J4284" s="81"/>
      <c r="K4284" s="81"/>
      <c r="L4284" s="81"/>
      <c r="M4284" s="81"/>
      <c r="N4284" s="82"/>
    </row>
    <row r="4285">
      <c r="C4285" s="41"/>
      <c r="D4285" s="141"/>
      <c r="E4285" s="118"/>
      <c r="F4285" s="126"/>
      <c r="G4285" s="126"/>
      <c r="H4285" s="126"/>
      <c r="I4285" s="126"/>
      <c r="J4285" s="76"/>
      <c r="K4285" s="76"/>
      <c r="L4285" s="76"/>
      <c r="M4285" s="76"/>
      <c r="N4285" s="114"/>
    </row>
    <row r="4286">
      <c r="C4286" s="41"/>
      <c r="D4286" s="142"/>
      <c r="E4286" s="130"/>
      <c r="F4286" s="128"/>
      <c r="G4286" s="128"/>
      <c r="H4286" s="128"/>
      <c r="I4286" s="128"/>
      <c r="J4286" s="81"/>
      <c r="K4286" s="81"/>
      <c r="L4286" s="81"/>
      <c r="M4286" s="81"/>
      <c r="N4286" s="82"/>
    </row>
    <row r="4287">
      <c r="C4287" s="41"/>
      <c r="D4287" s="141"/>
      <c r="E4287" s="118"/>
      <c r="F4287" s="126"/>
      <c r="G4287" s="126"/>
      <c r="H4287" s="126"/>
      <c r="I4287" s="126"/>
      <c r="J4287" s="76"/>
      <c r="K4287" s="76"/>
      <c r="L4287" s="76"/>
      <c r="M4287" s="76"/>
      <c r="N4287" s="114"/>
    </row>
    <row r="4288">
      <c r="C4288" s="41"/>
      <c r="D4288" s="142"/>
      <c r="E4288" s="130"/>
      <c r="F4288" s="128"/>
      <c r="G4288" s="128"/>
      <c r="H4288" s="128"/>
      <c r="I4288" s="128"/>
      <c r="J4288" s="81"/>
      <c r="K4288" s="81"/>
      <c r="L4288" s="81"/>
      <c r="M4288" s="81"/>
      <c r="N4288" s="82"/>
    </row>
    <row r="4289">
      <c r="C4289" s="41"/>
      <c r="D4289" s="141"/>
      <c r="E4289" s="118"/>
      <c r="F4289" s="126"/>
      <c r="G4289" s="126"/>
      <c r="H4289" s="126"/>
      <c r="I4289" s="126"/>
      <c r="J4289" s="76"/>
      <c r="K4289" s="76"/>
      <c r="L4289" s="76"/>
      <c r="M4289" s="76"/>
      <c r="N4289" s="114"/>
    </row>
    <row r="4290">
      <c r="C4290" s="41"/>
      <c r="D4290" s="142"/>
      <c r="E4290" s="130"/>
      <c r="F4290" s="128"/>
      <c r="G4290" s="128"/>
      <c r="H4290" s="128"/>
      <c r="I4290" s="128"/>
      <c r="J4290" s="81"/>
      <c r="K4290" s="81"/>
      <c r="L4290" s="81"/>
      <c r="M4290" s="81"/>
      <c r="N4290" s="82"/>
    </row>
    <row r="4291">
      <c r="C4291" s="41"/>
      <c r="D4291" s="141"/>
      <c r="E4291" s="118"/>
      <c r="F4291" s="126"/>
      <c r="G4291" s="126"/>
      <c r="H4291" s="126"/>
      <c r="I4291" s="126"/>
      <c r="J4291" s="76"/>
      <c r="K4291" s="76"/>
      <c r="L4291" s="76"/>
      <c r="M4291" s="76"/>
      <c r="N4291" s="114"/>
    </row>
    <row r="4292">
      <c r="C4292" s="41"/>
      <c r="D4292" s="142"/>
      <c r="E4292" s="130"/>
      <c r="F4292" s="128"/>
      <c r="G4292" s="128"/>
      <c r="H4292" s="128"/>
      <c r="I4292" s="128"/>
      <c r="J4292" s="81"/>
      <c r="K4292" s="81"/>
      <c r="L4292" s="81"/>
      <c r="M4292" s="81"/>
      <c r="N4292" s="82"/>
    </row>
    <row r="4293">
      <c r="C4293" s="41"/>
      <c r="D4293" s="141"/>
      <c r="E4293" s="118"/>
      <c r="F4293" s="126"/>
      <c r="G4293" s="126"/>
      <c r="H4293" s="126"/>
      <c r="I4293" s="126"/>
      <c r="J4293" s="76"/>
      <c r="K4293" s="76"/>
      <c r="L4293" s="76"/>
      <c r="M4293" s="76"/>
      <c r="N4293" s="114"/>
    </row>
    <row r="4294">
      <c r="C4294" s="41"/>
      <c r="D4294" s="142"/>
      <c r="E4294" s="130"/>
      <c r="F4294" s="128"/>
      <c r="G4294" s="128"/>
      <c r="H4294" s="128"/>
      <c r="I4294" s="128"/>
      <c r="J4294" s="81"/>
      <c r="K4294" s="81"/>
      <c r="L4294" s="81"/>
      <c r="M4294" s="81"/>
      <c r="N4294" s="82"/>
    </row>
    <row r="4295">
      <c r="C4295" s="41"/>
      <c r="D4295" s="141"/>
      <c r="E4295" s="118"/>
      <c r="F4295" s="126"/>
      <c r="G4295" s="126"/>
      <c r="H4295" s="126"/>
      <c r="I4295" s="126"/>
      <c r="J4295" s="76"/>
      <c r="K4295" s="76"/>
      <c r="L4295" s="76"/>
      <c r="M4295" s="76"/>
      <c r="N4295" s="114"/>
    </row>
    <row r="4296">
      <c r="C4296" s="41"/>
      <c r="D4296" s="142"/>
      <c r="E4296" s="130"/>
      <c r="F4296" s="128"/>
      <c r="G4296" s="128"/>
      <c r="H4296" s="128"/>
      <c r="I4296" s="128"/>
      <c r="J4296" s="81"/>
      <c r="K4296" s="81"/>
      <c r="L4296" s="81"/>
      <c r="M4296" s="81"/>
      <c r="N4296" s="82"/>
    </row>
    <row r="4297">
      <c r="C4297" s="41"/>
      <c r="D4297" s="141"/>
      <c r="E4297" s="118"/>
      <c r="F4297" s="126"/>
      <c r="G4297" s="126"/>
      <c r="H4297" s="126"/>
      <c r="I4297" s="126"/>
      <c r="J4297" s="76"/>
      <c r="K4297" s="76"/>
      <c r="L4297" s="76"/>
      <c r="M4297" s="76"/>
      <c r="N4297" s="114"/>
    </row>
    <row r="4298">
      <c r="C4298" s="41"/>
      <c r="D4298" s="142"/>
      <c r="E4298" s="130"/>
      <c r="F4298" s="128"/>
      <c r="G4298" s="128"/>
      <c r="H4298" s="128"/>
      <c r="I4298" s="128"/>
      <c r="J4298" s="81"/>
      <c r="K4298" s="81"/>
      <c r="L4298" s="81"/>
      <c r="M4298" s="81"/>
      <c r="N4298" s="82"/>
    </row>
    <row r="4299">
      <c r="C4299" s="41"/>
      <c r="D4299" s="141"/>
      <c r="E4299" s="118"/>
      <c r="F4299" s="126"/>
      <c r="G4299" s="126"/>
      <c r="H4299" s="126"/>
      <c r="I4299" s="126"/>
      <c r="J4299" s="76"/>
      <c r="K4299" s="76"/>
      <c r="L4299" s="76"/>
      <c r="M4299" s="76"/>
      <c r="N4299" s="114"/>
    </row>
    <row r="4300">
      <c r="C4300" s="41"/>
      <c r="D4300" s="142"/>
      <c r="E4300" s="130"/>
      <c r="F4300" s="128"/>
      <c r="G4300" s="128"/>
      <c r="H4300" s="128"/>
      <c r="I4300" s="128"/>
      <c r="J4300" s="81"/>
      <c r="K4300" s="81"/>
      <c r="L4300" s="81"/>
      <c r="M4300" s="81"/>
      <c r="N4300" s="82"/>
    </row>
    <row r="4301">
      <c r="C4301" s="41"/>
      <c r="D4301" s="141"/>
      <c r="E4301" s="118"/>
      <c r="F4301" s="126"/>
      <c r="G4301" s="126"/>
      <c r="H4301" s="126"/>
      <c r="I4301" s="126"/>
      <c r="J4301" s="76"/>
      <c r="K4301" s="76"/>
      <c r="L4301" s="76"/>
      <c r="M4301" s="76"/>
      <c r="N4301" s="114"/>
    </row>
    <row r="4302">
      <c r="C4302" s="41"/>
      <c r="D4302" s="142"/>
      <c r="E4302" s="130"/>
      <c r="F4302" s="128"/>
      <c r="G4302" s="128"/>
      <c r="H4302" s="128"/>
      <c r="I4302" s="128"/>
      <c r="J4302" s="81"/>
      <c r="K4302" s="81"/>
      <c r="L4302" s="81"/>
      <c r="M4302" s="81"/>
      <c r="N4302" s="82"/>
    </row>
    <row r="4303">
      <c r="C4303" s="41"/>
      <c r="D4303" s="141"/>
      <c r="E4303" s="118"/>
      <c r="F4303" s="126"/>
      <c r="G4303" s="126"/>
      <c r="H4303" s="126"/>
      <c r="I4303" s="126"/>
      <c r="J4303" s="76"/>
      <c r="K4303" s="76"/>
      <c r="L4303" s="76"/>
      <c r="M4303" s="76"/>
      <c r="N4303" s="114"/>
    </row>
    <row r="4304">
      <c r="C4304" s="41"/>
      <c r="D4304" s="142"/>
      <c r="E4304" s="130"/>
      <c r="F4304" s="128"/>
      <c r="G4304" s="128"/>
      <c r="H4304" s="128"/>
      <c r="I4304" s="128"/>
      <c r="J4304" s="81"/>
      <c r="K4304" s="81"/>
      <c r="L4304" s="81"/>
      <c r="M4304" s="81"/>
      <c r="N4304" s="82"/>
    </row>
    <row r="4305">
      <c r="C4305" s="41"/>
      <c r="D4305" s="141"/>
      <c r="E4305" s="118"/>
      <c r="F4305" s="126"/>
      <c r="G4305" s="126"/>
      <c r="H4305" s="126"/>
      <c r="I4305" s="126"/>
      <c r="J4305" s="76"/>
      <c r="K4305" s="76"/>
      <c r="L4305" s="76"/>
      <c r="M4305" s="76"/>
      <c r="N4305" s="114"/>
    </row>
    <row r="4306">
      <c r="C4306" s="41"/>
      <c r="D4306" s="142"/>
      <c r="E4306" s="130"/>
      <c r="F4306" s="128"/>
      <c r="G4306" s="128"/>
      <c r="H4306" s="128"/>
      <c r="I4306" s="128"/>
      <c r="J4306" s="81"/>
      <c r="K4306" s="81"/>
      <c r="L4306" s="81"/>
      <c r="M4306" s="81"/>
      <c r="N4306" s="82"/>
    </row>
    <row r="4307">
      <c r="C4307" s="41"/>
      <c r="D4307" s="141"/>
      <c r="E4307" s="118"/>
      <c r="F4307" s="126"/>
      <c r="G4307" s="126"/>
      <c r="H4307" s="126"/>
      <c r="I4307" s="126"/>
      <c r="J4307" s="76"/>
      <c r="K4307" s="76"/>
      <c r="L4307" s="76"/>
      <c r="M4307" s="76"/>
      <c r="N4307" s="114"/>
    </row>
    <row r="4308">
      <c r="C4308" s="41"/>
      <c r="D4308" s="142"/>
      <c r="E4308" s="130"/>
      <c r="F4308" s="128"/>
      <c r="G4308" s="128"/>
      <c r="H4308" s="128"/>
      <c r="I4308" s="128"/>
      <c r="J4308" s="81"/>
      <c r="K4308" s="81"/>
      <c r="L4308" s="81"/>
      <c r="M4308" s="81"/>
      <c r="N4308" s="82"/>
    </row>
    <row r="4309">
      <c r="C4309" s="41"/>
      <c r="D4309" s="141"/>
      <c r="E4309" s="118"/>
      <c r="F4309" s="126"/>
      <c r="G4309" s="126"/>
      <c r="H4309" s="126"/>
      <c r="I4309" s="126"/>
      <c r="J4309" s="76"/>
      <c r="K4309" s="76"/>
      <c r="L4309" s="76"/>
      <c r="M4309" s="76"/>
      <c r="N4309" s="114"/>
    </row>
    <row r="4310">
      <c r="C4310" s="41"/>
      <c r="D4310" s="142"/>
      <c r="E4310" s="130"/>
      <c r="F4310" s="128"/>
      <c r="G4310" s="128"/>
      <c r="H4310" s="128"/>
      <c r="I4310" s="128"/>
      <c r="J4310" s="81"/>
      <c r="K4310" s="81"/>
      <c r="L4310" s="81"/>
      <c r="M4310" s="81"/>
      <c r="N4310" s="82"/>
    </row>
    <row r="4311">
      <c r="C4311" s="41"/>
      <c r="D4311" s="141"/>
      <c r="E4311" s="118"/>
      <c r="F4311" s="126"/>
      <c r="G4311" s="126"/>
      <c r="H4311" s="126"/>
      <c r="I4311" s="126"/>
      <c r="J4311" s="76"/>
      <c r="K4311" s="76"/>
      <c r="L4311" s="76"/>
      <c r="M4311" s="76"/>
      <c r="N4311" s="114"/>
    </row>
    <row r="4312">
      <c r="C4312" s="41"/>
      <c r="D4312" s="142"/>
      <c r="E4312" s="130"/>
      <c r="F4312" s="128"/>
      <c r="G4312" s="128"/>
      <c r="H4312" s="128"/>
      <c r="I4312" s="128"/>
      <c r="J4312" s="81"/>
      <c r="K4312" s="81"/>
      <c r="L4312" s="81"/>
      <c r="M4312" s="81"/>
      <c r="N4312" s="82"/>
    </row>
    <row r="4313">
      <c r="C4313" s="41"/>
      <c r="D4313" s="141"/>
      <c r="E4313" s="118"/>
      <c r="F4313" s="126"/>
      <c r="G4313" s="126"/>
      <c r="H4313" s="126"/>
      <c r="I4313" s="126"/>
      <c r="J4313" s="76"/>
      <c r="K4313" s="76"/>
      <c r="L4313" s="76"/>
      <c r="M4313" s="76"/>
      <c r="N4313" s="114"/>
    </row>
    <row r="4314">
      <c r="C4314" s="41"/>
      <c r="D4314" s="142"/>
      <c r="E4314" s="130"/>
      <c r="F4314" s="128"/>
      <c r="G4314" s="128"/>
      <c r="H4314" s="128"/>
      <c r="I4314" s="128"/>
      <c r="J4314" s="81"/>
      <c r="K4314" s="81"/>
      <c r="L4314" s="81"/>
      <c r="M4314" s="81"/>
      <c r="N4314" s="82"/>
    </row>
    <row r="4315">
      <c r="C4315" s="41"/>
      <c r="D4315" s="141"/>
      <c r="E4315" s="118"/>
      <c r="F4315" s="126"/>
      <c r="G4315" s="126"/>
      <c r="H4315" s="126"/>
      <c r="I4315" s="126"/>
      <c r="J4315" s="76"/>
      <c r="K4315" s="76"/>
      <c r="L4315" s="76"/>
      <c r="M4315" s="76"/>
      <c r="N4315" s="114"/>
    </row>
    <row r="4316">
      <c r="C4316" s="41"/>
      <c r="D4316" s="142"/>
      <c r="E4316" s="130"/>
      <c r="F4316" s="128"/>
      <c r="G4316" s="128"/>
      <c r="H4316" s="128"/>
      <c r="I4316" s="128"/>
      <c r="J4316" s="81"/>
      <c r="K4316" s="81"/>
      <c r="L4316" s="81"/>
      <c r="M4316" s="81"/>
      <c r="N4316" s="82"/>
    </row>
    <row r="4317">
      <c r="C4317" s="41"/>
      <c r="D4317" s="141"/>
      <c r="E4317" s="118"/>
      <c r="F4317" s="126"/>
      <c r="G4317" s="126"/>
      <c r="H4317" s="126"/>
      <c r="I4317" s="126"/>
      <c r="J4317" s="76"/>
      <c r="K4317" s="76"/>
      <c r="L4317" s="76"/>
      <c r="M4317" s="76"/>
      <c r="N4317" s="114"/>
    </row>
    <row r="4318">
      <c r="C4318" s="41"/>
      <c r="D4318" s="142"/>
      <c r="E4318" s="130"/>
      <c r="F4318" s="128"/>
      <c r="G4318" s="128"/>
      <c r="H4318" s="128"/>
      <c r="I4318" s="128"/>
      <c r="J4318" s="81"/>
      <c r="K4318" s="81"/>
      <c r="L4318" s="81"/>
      <c r="M4318" s="81"/>
      <c r="N4318" s="82"/>
    </row>
    <row r="4319">
      <c r="C4319" s="41"/>
      <c r="D4319" s="141"/>
      <c r="E4319" s="118"/>
      <c r="F4319" s="126"/>
      <c r="G4319" s="126"/>
      <c r="H4319" s="126"/>
      <c r="I4319" s="126"/>
      <c r="J4319" s="76"/>
      <c r="K4319" s="76"/>
      <c r="L4319" s="76"/>
      <c r="M4319" s="76"/>
      <c r="N4319" s="114"/>
    </row>
    <row r="4320">
      <c r="C4320" s="41"/>
      <c r="D4320" s="142"/>
      <c r="E4320" s="130"/>
      <c r="F4320" s="128"/>
      <c r="G4320" s="128"/>
      <c r="H4320" s="128"/>
      <c r="I4320" s="128"/>
      <c r="J4320" s="81"/>
      <c r="K4320" s="81"/>
      <c r="L4320" s="81"/>
      <c r="M4320" s="81"/>
      <c r="N4320" s="82"/>
    </row>
    <row r="4321">
      <c r="C4321" s="41"/>
      <c r="D4321" s="141"/>
      <c r="E4321" s="118"/>
      <c r="F4321" s="126"/>
      <c r="G4321" s="126"/>
      <c r="H4321" s="126"/>
      <c r="I4321" s="126"/>
      <c r="J4321" s="76"/>
      <c r="K4321" s="76"/>
      <c r="L4321" s="76"/>
      <c r="M4321" s="76"/>
      <c r="N4321" s="114"/>
    </row>
    <row r="4322">
      <c r="C4322" s="41"/>
      <c r="D4322" s="142"/>
      <c r="E4322" s="130"/>
      <c r="F4322" s="128"/>
      <c r="G4322" s="128"/>
      <c r="H4322" s="128"/>
      <c r="I4322" s="128"/>
      <c r="J4322" s="81"/>
      <c r="K4322" s="81"/>
      <c r="L4322" s="81"/>
      <c r="M4322" s="81"/>
      <c r="N4322" s="82"/>
    </row>
    <row r="4323">
      <c r="C4323" s="41"/>
      <c r="D4323" s="141"/>
      <c r="E4323" s="118"/>
      <c r="F4323" s="126"/>
      <c r="G4323" s="126"/>
      <c r="H4323" s="126"/>
      <c r="I4323" s="126"/>
      <c r="J4323" s="76"/>
      <c r="K4323" s="76"/>
      <c r="L4323" s="76"/>
      <c r="M4323" s="76"/>
      <c r="N4323" s="114"/>
    </row>
    <row r="4324">
      <c r="C4324" s="41"/>
      <c r="D4324" s="142"/>
      <c r="E4324" s="130"/>
      <c r="F4324" s="128"/>
      <c r="G4324" s="128"/>
      <c r="H4324" s="128"/>
      <c r="I4324" s="128"/>
      <c r="J4324" s="81"/>
      <c r="K4324" s="81"/>
      <c r="L4324" s="81"/>
      <c r="M4324" s="81"/>
      <c r="N4324" s="82"/>
    </row>
    <row r="4325">
      <c r="C4325" s="41"/>
      <c r="D4325" s="141"/>
      <c r="E4325" s="118"/>
      <c r="F4325" s="126"/>
      <c r="G4325" s="126"/>
      <c r="H4325" s="126"/>
      <c r="I4325" s="126"/>
      <c r="J4325" s="76"/>
      <c r="K4325" s="76"/>
      <c r="L4325" s="76"/>
      <c r="M4325" s="76"/>
      <c r="N4325" s="114"/>
    </row>
    <row r="4326">
      <c r="C4326" s="41"/>
      <c r="D4326" s="142"/>
      <c r="E4326" s="130"/>
      <c r="F4326" s="128"/>
      <c r="G4326" s="128"/>
      <c r="H4326" s="128"/>
      <c r="I4326" s="128"/>
      <c r="J4326" s="81"/>
      <c r="K4326" s="81"/>
      <c r="L4326" s="81"/>
      <c r="M4326" s="81"/>
      <c r="N4326" s="82"/>
    </row>
    <row r="4327">
      <c r="C4327" s="41"/>
      <c r="D4327" s="141"/>
      <c r="E4327" s="118"/>
      <c r="F4327" s="126"/>
      <c r="G4327" s="126"/>
      <c r="H4327" s="126"/>
      <c r="I4327" s="126"/>
      <c r="J4327" s="76"/>
      <c r="K4327" s="76"/>
      <c r="L4327" s="76"/>
      <c r="M4327" s="76"/>
      <c r="N4327" s="114"/>
    </row>
    <row r="4328">
      <c r="C4328" s="41"/>
      <c r="D4328" s="142"/>
      <c r="E4328" s="130"/>
      <c r="F4328" s="128"/>
      <c r="G4328" s="128"/>
      <c r="H4328" s="128"/>
      <c r="I4328" s="128"/>
      <c r="J4328" s="81"/>
      <c r="K4328" s="81"/>
      <c r="L4328" s="81"/>
      <c r="M4328" s="81"/>
      <c r="N4328" s="82"/>
    </row>
    <row r="4329">
      <c r="C4329" s="41"/>
      <c r="D4329" s="141"/>
      <c r="E4329" s="118"/>
      <c r="F4329" s="126"/>
      <c r="G4329" s="126"/>
      <c r="H4329" s="126"/>
      <c r="I4329" s="126"/>
      <c r="J4329" s="76"/>
      <c r="K4329" s="76"/>
      <c r="L4329" s="76"/>
      <c r="M4329" s="76"/>
      <c r="N4329" s="114"/>
    </row>
    <row r="4330">
      <c r="C4330" s="41"/>
      <c r="D4330" s="142"/>
      <c r="E4330" s="130"/>
      <c r="F4330" s="128"/>
      <c r="G4330" s="128"/>
      <c r="H4330" s="128"/>
      <c r="I4330" s="128"/>
      <c r="J4330" s="81"/>
      <c r="K4330" s="81"/>
      <c r="L4330" s="81"/>
      <c r="M4330" s="81"/>
      <c r="N4330" s="82"/>
    </row>
    <row r="4331">
      <c r="C4331" s="41"/>
      <c r="D4331" s="141"/>
      <c r="E4331" s="118"/>
      <c r="F4331" s="126"/>
      <c r="G4331" s="126"/>
      <c r="H4331" s="126"/>
      <c r="I4331" s="126"/>
      <c r="J4331" s="76"/>
      <c r="K4331" s="76"/>
      <c r="L4331" s="76"/>
      <c r="M4331" s="76"/>
      <c r="N4331" s="114"/>
    </row>
    <row r="4332">
      <c r="C4332" s="41"/>
      <c r="D4332" s="142"/>
      <c r="E4332" s="130"/>
      <c r="F4332" s="128"/>
      <c r="G4332" s="128"/>
      <c r="H4332" s="128"/>
      <c r="I4332" s="128"/>
      <c r="J4332" s="81"/>
      <c r="K4332" s="81"/>
      <c r="L4332" s="81"/>
      <c r="M4332" s="81"/>
      <c r="N4332" s="82"/>
    </row>
    <row r="4333">
      <c r="C4333" s="41"/>
      <c r="D4333" s="141"/>
      <c r="E4333" s="118"/>
      <c r="F4333" s="126"/>
      <c r="G4333" s="126"/>
      <c r="H4333" s="126"/>
      <c r="I4333" s="126"/>
      <c r="J4333" s="76"/>
      <c r="K4333" s="76"/>
      <c r="L4333" s="76"/>
      <c r="M4333" s="76"/>
      <c r="N4333" s="114"/>
    </row>
    <row r="4334">
      <c r="C4334" s="41"/>
      <c r="D4334" s="142"/>
      <c r="E4334" s="130"/>
      <c r="F4334" s="128"/>
      <c r="G4334" s="128"/>
      <c r="H4334" s="128"/>
      <c r="I4334" s="128"/>
      <c r="J4334" s="81"/>
      <c r="K4334" s="81"/>
      <c r="L4334" s="81"/>
      <c r="M4334" s="81"/>
      <c r="N4334" s="82"/>
    </row>
    <row r="4335">
      <c r="C4335" s="41"/>
      <c r="D4335" s="141"/>
      <c r="E4335" s="118"/>
      <c r="F4335" s="126"/>
      <c r="G4335" s="126"/>
      <c r="H4335" s="126"/>
      <c r="I4335" s="126"/>
      <c r="J4335" s="76"/>
      <c r="K4335" s="76"/>
      <c r="L4335" s="76"/>
      <c r="M4335" s="76"/>
      <c r="N4335" s="114"/>
    </row>
    <row r="4336">
      <c r="C4336" s="41"/>
      <c r="D4336" s="142"/>
      <c r="E4336" s="130"/>
      <c r="F4336" s="128"/>
      <c r="G4336" s="128"/>
      <c r="H4336" s="128"/>
      <c r="I4336" s="128"/>
      <c r="J4336" s="81"/>
      <c r="K4336" s="81"/>
      <c r="L4336" s="81"/>
      <c r="M4336" s="81"/>
      <c r="N4336" s="82"/>
    </row>
    <row r="4337">
      <c r="C4337" s="41"/>
      <c r="D4337" s="141"/>
      <c r="E4337" s="118"/>
      <c r="F4337" s="126"/>
      <c r="G4337" s="126"/>
      <c r="H4337" s="126"/>
      <c r="I4337" s="126"/>
      <c r="J4337" s="76"/>
      <c r="K4337" s="76"/>
      <c r="L4337" s="76"/>
      <c r="M4337" s="76"/>
      <c r="N4337" s="114"/>
    </row>
    <row r="4338">
      <c r="C4338" s="41"/>
      <c r="D4338" s="142"/>
      <c r="E4338" s="130"/>
      <c r="F4338" s="128"/>
      <c r="G4338" s="128"/>
      <c r="H4338" s="128"/>
      <c r="I4338" s="128"/>
      <c r="J4338" s="81"/>
      <c r="K4338" s="81"/>
      <c r="L4338" s="81"/>
      <c r="M4338" s="81"/>
      <c r="N4338" s="82"/>
    </row>
    <row r="4339">
      <c r="C4339" s="41"/>
      <c r="D4339" s="141"/>
      <c r="E4339" s="118"/>
      <c r="F4339" s="126"/>
      <c r="G4339" s="126"/>
      <c r="H4339" s="126"/>
      <c r="I4339" s="126"/>
      <c r="J4339" s="76"/>
      <c r="K4339" s="76"/>
      <c r="L4339" s="76"/>
      <c r="M4339" s="76"/>
      <c r="N4339" s="114"/>
    </row>
    <row r="4340">
      <c r="C4340" s="41"/>
      <c r="D4340" s="142"/>
      <c r="E4340" s="130"/>
      <c r="F4340" s="128"/>
      <c r="G4340" s="128"/>
      <c r="H4340" s="128"/>
      <c r="I4340" s="128"/>
      <c r="J4340" s="81"/>
      <c r="K4340" s="81"/>
      <c r="L4340" s="81"/>
      <c r="M4340" s="81"/>
      <c r="N4340" s="82"/>
    </row>
    <row r="4341">
      <c r="C4341" s="41"/>
      <c r="D4341" s="141"/>
      <c r="E4341" s="118"/>
      <c r="F4341" s="126"/>
      <c r="G4341" s="126"/>
      <c r="H4341" s="126"/>
      <c r="I4341" s="126"/>
      <c r="J4341" s="76"/>
      <c r="K4341" s="76"/>
      <c r="L4341" s="76"/>
      <c r="M4341" s="76"/>
      <c r="N4341" s="114"/>
    </row>
    <row r="4342">
      <c r="C4342" s="41"/>
      <c r="D4342" s="142"/>
      <c r="E4342" s="130"/>
      <c r="F4342" s="128"/>
      <c r="G4342" s="128"/>
      <c r="H4342" s="128"/>
      <c r="I4342" s="128"/>
      <c r="J4342" s="81"/>
      <c r="K4342" s="81"/>
      <c r="L4342" s="81"/>
      <c r="M4342" s="81"/>
      <c r="N4342" s="82"/>
    </row>
    <row r="4343">
      <c r="C4343" s="41"/>
      <c r="D4343" s="141"/>
      <c r="E4343" s="118"/>
      <c r="F4343" s="126"/>
      <c r="G4343" s="126"/>
      <c r="H4343" s="126"/>
      <c r="I4343" s="126"/>
      <c r="J4343" s="76"/>
      <c r="K4343" s="76"/>
      <c r="L4343" s="76"/>
      <c r="M4343" s="76"/>
      <c r="N4343" s="114"/>
    </row>
    <row r="4344">
      <c r="C4344" s="41"/>
      <c r="D4344" s="142"/>
      <c r="E4344" s="130"/>
      <c r="F4344" s="128"/>
      <c r="G4344" s="128"/>
      <c r="H4344" s="128"/>
      <c r="I4344" s="128"/>
      <c r="J4344" s="81"/>
      <c r="K4344" s="81"/>
      <c r="L4344" s="81"/>
      <c r="M4344" s="81"/>
      <c r="N4344" s="82"/>
    </row>
    <row r="4345">
      <c r="C4345" s="41"/>
      <c r="D4345" s="141"/>
      <c r="E4345" s="118"/>
      <c r="F4345" s="126"/>
      <c r="G4345" s="126"/>
      <c r="H4345" s="126"/>
      <c r="I4345" s="126"/>
      <c r="J4345" s="76"/>
      <c r="K4345" s="76"/>
      <c r="L4345" s="76"/>
      <c r="M4345" s="76"/>
      <c r="N4345" s="114"/>
    </row>
    <row r="4346">
      <c r="C4346" s="41"/>
      <c r="D4346" s="142"/>
      <c r="E4346" s="130"/>
      <c r="F4346" s="128"/>
      <c r="G4346" s="128"/>
      <c r="H4346" s="128"/>
      <c r="I4346" s="128"/>
      <c r="J4346" s="81"/>
      <c r="K4346" s="81"/>
      <c r="L4346" s="81"/>
      <c r="M4346" s="81"/>
      <c r="N4346" s="82"/>
    </row>
    <row r="4347">
      <c r="C4347" s="41"/>
      <c r="D4347" s="141"/>
      <c r="E4347" s="118"/>
      <c r="F4347" s="126"/>
      <c r="G4347" s="126"/>
      <c r="H4347" s="126"/>
      <c r="I4347" s="126"/>
      <c r="J4347" s="76"/>
      <c r="K4347" s="76"/>
      <c r="L4347" s="76"/>
      <c r="M4347" s="76"/>
      <c r="N4347" s="114"/>
    </row>
    <row r="4348">
      <c r="C4348" s="41"/>
      <c r="D4348" s="142"/>
      <c r="E4348" s="130"/>
      <c r="F4348" s="128"/>
      <c r="G4348" s="128"/>
      <c r="H4348" s="128"/>
      <c r="I4348" s="128"/>
      <c r="J4348" s="81"/>
      <c r="K4348" s="81"/>
      <c r="L4348" s="81"/>
      <c r="M4348" s="81"/>
      <c r="N4348" s="82"/>
    </row>
    <row r="4349">
      <c r="C4349" s="41"/>
      <c r="D4349" s="141"/>
      <c r="E4349" s="118"/>
      <c r="F4349" s="126"/>
      <c r="G4349" s="126"/>
      <c r="H4349" s="126"/>
      <c r="I4349" s="126"/>
      <c r="J4349" s="76"/>
      <c r="K4349" s="76"/>
      <c r="L4349" s="76"/>
      <c r="M4349" s="76"/>
      <c r="N4349" s="114"/>
    </row>
    <row r="4350">
      <c r="C4350" s="41"/>
      <c r="D4350" s="142"/>
      <c r="E4350" s="130"/>
      <c r="F4350" s="128"/>
      <c r="G4350" s="128"/>
      <c r="H4350" s="128"/>
      <c r="I4350" s="128"/>
      <c r="J4350" s="81"/>
      <c r="K4350" s="81"/>
      <c r="L4350" s="81"/>
      <c r="M4350" s="81"/>
      <c r="N4350" s="82"/>
    </row>
    <row r="4351">
      <c r="C4351" s="41"/>
      <c r="D4351" s="141"/>
      <c r="E4351" s="118"/>
      <c r="F4351" s="126"/>
      <c r="G4351" s="126"/>
      <c r="H4351" s="126"/>
      <c r="I4351" s="126"/>
      <c r="J4351" s="76"/>
      <c r="K4351" s="76"/>
      <c r="L4351" s="76"/>
      <c r="M4351" s="76"/>
      <c r="N4351" s="114"/>
    </row>
    <row r="4352">
      <c r="C4352" s="41"/>
      <c r="D4352" s="142"/>
      <c r="E4352" s="130"/>
      <c r="F4352" s="128"/>
      <c r="G4352" s="128"/>
      <c r="H4352" s="128"/>
      <c r="I4352" s="128"/>
      <c r="J4352" s="81"/>
      <c r="K4352" s="81"/>
      <c r="L4352" s="81"/>
      <c r="M4352" s="81"/>
      <c r="N4352" s="82"/>
    </row>
    <row r="4353">
      <c r="C4353" s="41"/>
      <c r="D4353" s="141"/>
      <c r="E4353" s="118"/>
      <c r="F4353" s="126"/>
      <c r="G4353" s="126"/>
      <c r="H4353" s="126"/>
      <c r="I4353" s="126"/>
      <c r="J4353" s="76"/>
      <c r="K4353" s="76"/>
      <c r="L4353" s="76"/>
      <c r="M4353" s="76"/>
      <c r="N4353" s="114"/>
    </row>
    <row r="4354">
      <c r="C4354" s="41"/>
      <c r="D4354" s="142"/>
      <c r="E4354" s="130"/>
      <c r="F4354" s="128"/>
      <c r="G4354" s="128"/>
      <c r="H4354" s="128"/>
      <c r="I4354" s="128"/>
      <c r="J4354" s="81"/>
      <c r="K4354" s="81"/>
      <c r="L4354" s="81"/>
      <c r="M4354" s="81"/>
      <c r="N4354" s="82"/>
    </row>
    <row r="4355">
      <c r="C4355" s="41"/>
      <c r="D4355" s="141"/>
      <c r="E4355" s="118"/>
      <c r="F4355" s="126"/>
      <c r="G4355" s="126"/>
      <c r="H4355" s="126"/>
      <c r="I4355" s="126"/>
      <c r="J4355" s="76"/>
      <c r="K4355" s="76"/>
      <c r="L4355" s="76"/>
      <c r="M4355" s="76"/>
      <c r="N4355" s="114"/>
    </row>
    <row r="4356">
      <c r="C4356" s="41"/>
      <c r="D4356" s="142"/>
      <c r="E4356" s="130"/>
      <c r="F4356" s="128"/>
      <c r="G4356" s="128"/>
      <c r="H4356" s="128"/>
      <c r="I4356" s="128"/>
      <c r="J4356" s="81"/>
      <c r="K4356" s="81"/>
      <c r="L4356" s="81"/>
      <c r="M4356" s="81"/>
      <c r="N4356" s="82"/>
    </row>
    <row r="4357">
      <c r="C4357" s="41"/>
      <c r="D4357" s="141"/>
      <c r="E4357" s="118"/>
      <c r="F4357" s="126"/>
      <c r="G4357" s="126"/>
      <c r="H4357" s="126"/>
      <c r="I4357" s="126"/>
      <c r="J4357" s="76"/>
      <c r="K4357" s="76"/>
      <c r="L4357" s="76"/>
      <c r="M4357" s="76"/>
      <c r="N4357" s="114"/>
    </row>
    <row r="4358">
      <c r="C4358" s="41"/>
      <c r="D4358" s="142"/>
      <c r="E4358" s="130"/>
      <c r="F4358" s="128"/>
      <c r="G4358" s="128"/>
      <c r="H4358" s="128"/>
      <c r="I4358" s="128"/>
      <c r="J4358" s="81"/>
      <c r="K4358" s="81"/>
      <c r="L4358" s="81"/>
      <c r="M4358" s="81"/>
      <c r="N4358" s="82"/>
    </row>
    <row r="4359">
      <c r="C4359" s="41"/>
      <c r="D4359" s="141"/>
      <c r="E4359" s="118"/>
      <c r="F4359" s="126"/>
      <c r="G4359" s="126"/>
      <c r="H4359" s="126"/>
      <c r="I4359" s="126"/>
      <c r="J4359" s="76"/>
      <c r="K4359" s="76"/>
      <c r="L4359" s="76"/>
      <c r="M4359" s="76"/>
      <c r="N4359" s="114"/>
    </row>
    <row r="4360">
      <c r="C4360" s="41"/>
      <c r="D4360" s="142"/>
      <c r="E4360" s="130"/>
      <c r="F4360" s="128"/>
      <c r="G4360" s="128"/>
      <c r="H4360" s="128"/>
      <c r="I4360" s="128"/>
      <c r="J4360" s="81"/>
      <c r="K4360" s="81"/>
      <c r="L4360" s="81"/>
      <c r="M4360" s="81"/>
      <c r="N4360" s="82"/>
    </row>
    <row r="4361">
      <c r="C4361" s="41"/>
      <c r="D4361" s="141"/>
      <c r="E4361" s="118"/>
      <c r="F4361" s="126"/>
      <c r="G4361" s="126"/>
      <c r="H4361" s="126"/>
      <c r="I4361" s="126"/>
      <c r="J4361" s="76"/>
      <c r="K4361" s="76"/>
      <c r="L4361" s="76"/>
      <c r="M4361" s="76"/>
      <c r="N4361" s="114"/>
    </row>
    <row r="4362">
      <c r="C4362" s="41"/>
      <c r="D4362" s="142"/>
      <c r="E4362" s="130"/>
      <c r="F4362" s="128"/>
      <c r="G4362" s="128"/>
      <c r="H4362" s="128"/>
      <c r="I4362" s="128"/>
      <c r="J4362" s="81"/>
      <c r="K4362" s="81"/>
      <c r="L4362" s="81"/>
      <c r="M4362" s="81"/>
      <c r="N4362" s="82"/>
    </row>
    <row r="4363">
      <c r="C4363" s="41"/>
      <c r="D4363" s="141"/>
      <c r="E4363" s="118"/>
      <c r="F4363" s="126"/>
      <c r="G4363" s="126"/>
      <c r="H4363" s="126"/>
      <c r="I4363" s="126"/>
      <c r="J4363" s="76"/>
      <c r="K4363" s="76"/>
      <c r="L4363" s="76"/>
      <c r="M4363" s="76"/>
      <c r="N4363" s="114"/>
    </row>
    <row r="4364">
      <c r="C4364" s="41"/>
      <c r="D4364" s="142"/>
      <c r="E4364" s="130"/>
      <c r="F4364" s="128"/>
      <c r="G4364" s="128"/>
      <c r="H4364" s="128"/>
      <c r="I4364" s="128"/>
      <c r="J4364" s="81"/>
      <c r="K4364" s="81"/>
      <c r="L4364" s="81"/>
      <c r="M4364" s="81"/>
      <c r="N4364" s="82"/>
    </row>
    <row r="4365">
      <c r="C4365" s="41"/>
      <c r="D4365" s="141"/>
      <c r="E4365" s="118"/>
      <c r="F4365" s="126"/>
      <c r="G4365" s="126"/>
      <c r="H4365" s="126"/>
      <c r="I4365" s="126"/>
      <c r="J4365" s="76"/>
      <c r="K4365" s="76"/>
      <c r="L4365" s="76"/>
      <c r="M4365" s="76"/>
      <c r="N4365" s="114"/>
    </row>
    <row r="4366">
      <c r="C4366" s="41"/>
      <c r="D4366" s="142"/>
      <c r="E4366" s="130"/>
      <c r="F4366" s="128"/>
      <c r="G4366" s="128"/>
      <c r="H4366" s="128"/>
      <c r="I4366" s="128"/>
      <c r="J4366" s="81"/>
      <c r="K4366" s="81"/>
      <c r="L4366" s="81"/>
      <c r="M4366" s="81"/>
      <c r="N4366" s="82"/>
    </row>
    <row r="4367">
      <c r="C4367" s="41"/>
      <c r="D4367" s="141"/>
      <c r="E4367" s="118"/>
      <c r="F4367" s="126"/>
      <c r="G4367" s="126"/>
      <c r="H4367" s="126"/>
      <c r="I4367" s="126"/>
      <c r="J4367" s="76"/>
      <c r="K4367" s="76"/>
      <c r="L4367" s="76"/>
      <c r="M4367" s="76"/>
      <c r="N4367" s="114"/>
    </row>
    <row r="4368">
      <c r="C4368" s="41"/>
      <c r="D4368" s="142"/>
      <c r="E4368" s="130"/>
      <c r="F4368" s="128"/>
      <c r="G4368" s="128"/>
      <c r="H4368" s="128"/>
      <c r="I4368" s="128"/>
      <c r="J4368" s="81"/>
      <c r="K4368" s="81"/>
      <c r="L4368" s="81"/>
      <c r="M4368" s="81"/>
      <c r="N4368" s="82"/>
    </row>
    <row r="4369">
      <c r="C4369" s="41"/>
      <c r="D4369" s="141"/>
      <c r="E4369" s="118"/>
      <c r="F4369" s="126"/>
      <c r="G4369" s="126"/>
      <c r="H4369" s="126"/>
      <c r="I4369" s="126"/>
      <c r="J4369" s="76"/>
      <c r="K4369" s="76"/>
      <c r="L4369" s="76"/>
      <c r="M4369" s="76"/>
      <c r="N4369" s="114"/>
    </row>
    <row r="4370">
      <c r="C4370" s="41"/>
      <c r="D4370" s="142"/>
      <c r="E4370" s="130"/>
      <c r="F4370" s="128"/>
      <c r="G4370" s="128"/>
      <c r="H4370" s="128"/>
      <c r="I4370" s="128"/>
      <c r="J4370" s="81"/>
      <c r="K4370" s="81"/>
      <c r="L4370" s="81"/>
      <c r="M4370" s="81"/>
      <c r="N4370" s="82"/>
    </row>
    <row r="4371">
      <c r="C4371" s="41"/>
      <c r="D4371" s="141"/>
      <c r="E4371" s="118"/>
      <c r="F4371" s="126"/>
      <c r="G4371" s="126"/>
      <c r="H4371" s="126"/>
      <c r="I4371" s="126"/>
      <c r="J4371" s="76"/>
      <c r="K4371" s="76"/>
      <c r="L4371" s="76"/>
      <c r="M4371" s="76"/>
      <c r="N4371" s="114"/>
    </row>
    <row r="4372">
      <c r="C4372" s="41"/>
      <c r="D4372" s="142"/>
      <c r="E4372" s="130"/>
      <c r="F4372" s="128"/>
      <c r="G4372" s="128"/>
      <c r="H4372" s="128"/>
      <c r="I4372" s="128"/>
      <c r="J4372" s="81"/>
      <c r="K4372" s="81"/>
      <c r="L4372" s="81"/>
      <c r="M4372" s="81"/>
      <c r="N4372" s="82"/>
    </row>
    <row r="4373">
      <c r="C4373" s="41"/>
      <c r="D4373" s="141"/>
      <c r="E4373" s="118"/>
      <c r="F4373" s="126"/>
      <c r="G4373" s="126"/>
      <c r="H4373" s="126"/>
      <c r="I4373" s="126"/>
      <c r="J4373" s="76"/>
      <c r="K4373" s="76"/>
      <c r="L4373" s="76"/>
      <c r="M4373" s="76"/>
      <c r="N4373" s="114"/>
    </row>
    <row r="4374">
      <c r="C4374" s="41"/>
      <c r="D4374" s="142"/>
      <c r="E4374" s="130"/>
      <c r="F4374" s="128"/>
      <c r="G4374" s="128"/>
      <c r="H4374" s="128"/>
      <c r="I4374" s="128"/>
      <c r="J4374" s="81"/>
      <c r="K4374" s="81"/>
      <c r="L4374" s="81"/>
      <c r="M4374" s="81"/>
      <c r="N4374" s="82"/>
    </row>
    <row r="4375">
      <c r="C4375" s="41"/>
      <c r="D4375" s="141"/>
      <c r="E4375" s="118"/>
      <c r="F4375" s="126"/>
      <c r="G4375" s="126"/>
      <c r="H4375" s="126"/>
      <c r="I4375" s="126"/>
      <c r="J4375" s="76"/>
      <c r="K4375" s="76"/>
      <c r="L4375" s="76"/>
      <c r="M4375" s="76"/>
      <c r="N4375" s="114"/>
    </row>
    <row r="4376">
      <c r="C4376" s="41"/>
      <c r="D4376" s="142"/>
      <c r="E4376" s="130"/>
      <c r="F4376" s="128"/>
      <c r="G4376" s="128"/>
      <c r="H4376" s="128"/>
      <c r="I4376" s="128"/>
      <c r="J4376" s="81"/>
      <c r="K4376" s="81"/>
      <c r="L4376" s="81"/>
      <c r="M4376" s="81"/>
      <c r="N4376" s="82"/>
    </row>
    <row r="4377">
      <c r="C4377" s="41"/>
      <c r="D4377" s="141"/>
      <c r="E4377" s="118"/>
      <c r="F4377" s="126"/>
      <c r="G4377" s="126"/>
      <c r="H4377" s="126"/>
      <c r="I4377" s="126"/>
      <c r="J4377" s="76"/>
      <c r="K4377" s="76"/>
      <c r="L4377" s="76"/>
      <c r="M4377" s="76"/>
      <c r="N4377" s="114"/>
    </row>
    <row r="4378">
      <c r="C4378" s="41"/>
      <c r="D4378" s="142"/>
      <c r="E4378" s="130"/>
      <c r="F4378" s="128"/>
      <c r="G4378" s="128"/>
      <c r="H4378" s="128"/>
      <c r="I4378" s="128"/>
      <c r="J4378" s="81"/>
      <c r="K4378" s="81"/>
      <c r="L4378" s="81"/>
      <c r="M4378" s="81"/>
      <c r="N4378" s="82"/>
    </row>
    <row r="4379">
      <c r="C4379" s="41"/>
      <c r="D4379" s="141"/>
      <c r="E4379" s="118"/>
      <c r="F4379" s="126"/>
      <c r="G4379" s="126"/>
      <c r="H4379" s="126"/>
      <c r="I4379" s="126"/>
      <c r="J4379" s="76"/>
      <c r="K4379" s="76"/>
      <c r="L4379" s="76"/>
      <c r="M4379" s="76"/>
      <c r="N4379" s="114"/>
    </row>
    <row r="4380">
      <c r="C4380" s="41"/>
      <c r="D4380" s="142"/>
      <c r="E4380" s="130"/>
      <c r="F4380" s="128"/>
      <c r="G4380" s="128"/>
      <c r="H4380" s="128"/>
      <c r="I4380" s="128"/>
      <c r="J4380" s="81"/>
      <c r="K4380" s="81"/>
      <c r="L4380" s="81"/>
      <c r="M4380" s="81"/>
      <c r="N4380" s="82"/>
    </row>
    <row r="4381">
      <c r="C4381" s="41"/>
      <c r="D4381" s="141"/>
      <c r="E4381" s="118"/>
      <c r="F4381" s="126"/>
      <c r="G4381" s="126"/>
      <c r="H4381" s="126"/>
      <c r="I4381" s="126"/>
      <c r="J4381" s="76"/>
      <c r="K4381" s="76"/>
      <c r="L4381" s="76"/>
      <c r="M4381" s="76"/>
      <c r="N4381" s="114"/>
    </row>
    <row r="4382">
      <c r="C4382" s="41"/>
      <c r="D4382" s="142"/>
      <c r="E4382" s="130"/>
      <c r="F4382" s="128"/>
      <c r="G4382" s="128"/>
      <c r="H4382" s="128"/>
      <c r="I4382" s="128"/>
      <c r="J4382" s="81"/>
      <c r="K4382" s="81"/>
      <c r="L4382" s="81"/>
      <c r="M4382" s="81"/>
      <c r="N4382" s="82"/>
    </row>
    <row r="4383">
      <c r="C4383" s="41"/>
      <c r="D4383" s="141"/>
      <c r="E4383" s="118"/>
      <c r="F4383" s="126"/>
      <c r="G4383" s="126"/>
      <c r="H4383" s="126"/>
      <c r="I4383" s="126"/>
      <c r="J4383" s="76"/>
      <c r="K4383" s="76"/>
      <c r="L4383" s="76"/>
      <c r="M4383" s="76"/>
      <c r="N4383" s="114"/>
    </row>
    <row r="4384">
      <c r="C4384" s="41"/>
      <c r="D4384" s="142"/>
      <c r="E4384" s="130"/>
      <c r="F4384" s="128"/>
      <c r="G4384" s="128"/>
      <c r="H4384" s="128"/>
      <c r="I4384" s="128"/>
      <c r="J4384" s="81"/>
      <c r="K4384" s="81"/>
      <c r="L4384" s="81"/>
      <c r="M4384" s="81"/>
      <c r="N4384" s="82"/>
    </row>
    <row r="4385">
      <c r="C4385" s="41"/>
      <c r="D4385" s="141"/>
      <c r="E4385" s="118"/>
      <c r="F4385" s="126"/>
      <c r="G4385" s="126"/>
      <c r="H4385" s="126"/>
      <c r="I4385" s="126"/>
      <c r="J4385" s="76"/>
      <c r="K4385" s="76"/>
      <c r="L4385" s="76"/>
      <c r="M4385" s="76"/>
      <c r="N4385" s="114"/>
    </row>
    <row r="4386">
      <c r="C4386" s="41"/>
      <c r="D4386" s="142"/>
      <c r="E4386" s="130"/>
      <c r="F4386" s="128"/>
      <c r="G4386" s="128"/>
      <c r="H4386" s="128"/>
      <c r="I4386" s="128"/>
      <c r="J4386" s="81"/>
      <c r="K4386" s="81"/>
      <c r="L4386" s="81"/>
      <c r="M4386" s="81"/>
      <c r="N4386" s="82"/>
    </row>
    <row r="4387">
      <c r="C4387" s="41"/>
      <c r="D4387" s="141"/>
      <c r="E4387" s="118"/>
      <c r="F4387" s="126"/>
      <c r="G4387" s="126"/>
      <c r="H4387" s="126"/>
      <c r="I4387" s="126"/>
      <c r="J4387" s="76"/>
      <c r="K4387" s="76"/>
      <c r="L4387" s="76"/>
      <c r="M4387" s="76"/>
      <c r="N4387" s="114"/>
    </row>
    <row r="4388">
      <c r="C4388" s="41"/>
      <c r="D4388" s="142"/>
      <c r="E4388" s="130"/>
      <c r="F4388" s="128"/>
      <c r="G4388" s="128"/>
      <c r="H4388" s="128"/>
      <c r="I4388" s="128"/>
      <c r="J4388" s="81"/>
      <c r="K4388" s="81"/>
      <c r="L4388" s="81"/>
      <c r="M4388" s="81"/>
      <c r="N4388" s="82"/>
    </row>
    <row r="4389">
      <c r="C4389" s="41"/>
      <c r="D4389" s="141"/>
      <c r="E4389" s="118"/>
      <c r="F4389" s="126"/>
      <c r="G4389" s="126"/>
      <c r="H4389" s="126"/>
      <c r="I4389" s="126"/>
      <c r="J4389" s="76"/>
      <c r="K4389" s="76"/>
      <c r="L4389" s="76"/>
      <c r="M4389" s="76"/>
      <c r="N4389" s="114"/>
    </row>
    <row r="4390">
      <c r="C4390" s="41"/>
      <c r="D4390" s="142"/>
      <c r="E4390" s="130"/>
      <c r="F4390" s="128"/>
      <c r="G4390" s="128"/>
      <c r="H4390" s="128"/>
      <c r="I4390" s="128"/>
      <c r="J4390" s="81"/>
      <c r="K4390" s="81"/>
      <c r="L4390" s="81"/>
      <c r="M4390" s="81"/>
      <c r="N4390" s="82"/>
    </row>
    <row r="4391">
      <c r="C4391" s="41"/>
      <c r="D4391" s="141"/>
      <c r="E4391" s="118"/>
      <c r="F4391" s="126"/>
      <c r="G4391" s="126"/>
      <c r="H4391" s="126"/>
      <c r="I4391" s="126"/>
      <c r="J4391" s="76"/>
      <c r="K4391" s="76"/>
      <c r="L4391" s="76"/>
      <c r="M4391" s="76"/>
      <c r="N4391" s="114"/>
    </row>
    <row r="4392">
      <c r="C4392" s="41"/>
      <c r="D4392" s="142"/>
      <c r="E4392" s="130"/>
      <c r="F4392" s="128"/>
      <c r="G4392" s="128"/>
      <c r="H4392" s="128"/>
      <c r="I4392" s="128"/>
      <c r="J4392" s="81"/>
      <c r="K4392" s="81"/>
      <c r="L4392" s="81"/>
      <c r="M4392" s="81"/>
      <c r="N4392" s="82"/>
    </row>
    <row r="4393">
      <c r="C4393" s="41"/>
      <c r="D4393" s="141"/>
      <c r="E4393" s="118"/>
      <c r="F4393" s="126"/>
      <c r="G4393" s="126"/>
      <c r="H4393" s="126"/>
      <c r="I4393" s="126"/>
      <c r="J4393" s="76"/>
      <c r="K4393" s="76"/>
      <c r="L4393" s="76"/>
      <c r="M4393" s="76"/>
      <c r="N4393" s="114"/>
    </row>
    <row r="4394">
      <c r="C4394" s="41"/>
      <c r="D4394" s="142"/>
      <c r="E4394" s="130"/>
      <c r="F4394" s="128"/>
      <c r="G4394" s="128"/>
      <c r="H4394" s="128"/>
      <c r="I4394" s="128"/>
      <c r="J4394" s="81"/>
      <c r="K4394" s="81"/>
      <c r="L4394" s="81"/>
      <c r="M4394" s="81"/>
      <c r="N4394" s="82"/>
    </row>
    <row r="4395">
      <c r="C4395" s="41"/>
      <c r="D4395" s="141"/>
      <c r="E4395" s="118"/>
      <c r="F4395" s="126"/>
      <c r="G4395" s="126"/>
      <c r="H4395" s="126"/>
      <c r="I4395" s="126"/>
      <c r="J4395" s="76"/>
      <c r="K4395" s="76"/>
      <c r="L4395" s="76"/>
      <c r="M4395" s="76"/>
      <c r="N4395" s="114"/>
    </row>
    <row r="4396">
      <c r="C4396" s="41"/>
      <c r="D4396" s="142"/>
      <c r="E4396" s="130"/>
      <c r="F4396" s="128"/>
      <c r="G4396" s="128"/>
      <c r="H4396" s="128"/>
      <c r="I4396" s="128"/>
      <c r="J4396" s="81"/>
      <c r="K4396" s="81"/>
      <c r="L4396" s="81"/>
      <c r="M4396" s="81"/>
      <c r="N4396" s="82"/>
    </row>
    <row r="4397">
      <c r="C4397" s="41"/>
      <c r="D4397" s="141"/>
      <c r="E4397" s="118"/>
      <c r="F4397" s="126"/>
      <c r="G4397" s="126"/>
      <c r="H4397" s="126"/>
      <c r="I4397" s="126"/>
      <c r="J4397" s="76"/>
      <c r="K4397" s="76"/>
      <c r="L4397" s="76"/>
      <c r="M4397" s="76"/>
      <c r="N4397" s="114"/>
    </row>
    <row r="4398">
      <c r="C4398" s="41"/>
      <c r="D4398" s="142"/>
      <c r="E4398" s="130"/>
      <c r="F4398" s="128"/>
      <c r="G4398" s="128"/>
      <c r="H4398" s="128"/>
      <c r="I4398" s="128"/>
      <c r="J4398" s="81"/>
      <c r="K4398" s="81"/>
      <c r="L4398" s="81"/>
      <c r="M4398" s="81"/>
      <c r="N4398" s="82"/>
    </row>
    <row r="4399">
      <c r="C4399" s="41"/>
      <c r="D4399" s="141"/>
      <c r="E4399" s="118"/>
      <c r="F4399" s="126"/>
      <c r="G4399" s="126"/>
      <c r="H4399" s="126"/>
      <c r="I4399" s="126"/>
      <c r="J4399" s="76"/>
      <c r="K4399" s="76"/>
      <c r="L4399" s="76"/>
      <c r="M4399" s="76"/>
      <c r="N4399" s="114"/>
    </row>
    <row r="4400">
      <c r="C4400" s="41"/>
      <c r="D4400" s="142"/>
      <c r="E4400" s="130"/>
      <c r="F4400" s="128"/>
      <c r="G4400" s="128"/>
      <c r="H4400" s="128"/>
      <c r="I4400" s="128"/>
      <c r="J4400" s="81"/>
      <c r="K4400" s="81"/>
      <c r="L4400" s="81"/>
      <c r="M4400" s="81"/>
      <c r="N4400" s="82"/>
    </row>
    <row r="4401">
      <c r="C4401" s="41"/>
      <c r="D4401" s="141"/>
      <c r="E4401" s="118"/>
      <c r="F4401" s="126"/>
      <c r="G4401" s="126"/>
      <c r="H4401" s="126"/>
      <c r="I4401" s="126"/>
      <c r="J4401" s="76"/>
      <c r="K4401" s="76"/>
      <c r="L4401" s="76"/>
      <c r="M4401" s="76"/>
      <c r="N4401" s="114"/>
    </row>
    <row r="4402">
      <c r="C4402" s="41"/>
      <c r="D4402" s="142"/>
      <c r="E4402" s="130"/>
      <c r="F4402" s="128"/>
      <c r="G4402" s="128"/>
      <c r="H4402" s="128"/>
      <c r="I4402" s="128"/>
      <c r="J4402" s="81"/>
      <c r="K4402" s="81"/>
      <c r="L4402" s="81"/>
      <c r="M4402" s="81"/>
      <c r="N4402" s="82"/>
    </row>
    <row r="4403">
      <c r="C4403" s="41"/>
      <c r="D4403" s="141"/>
      <c r="E4403" s="118"/>
      <c r="F4403" s="126"/>
      <c r="G4403" s="126"/>
      <c r="H4403" s="126"/>
      <c r="I4403" s="126"/>
      <c r="J4403" s="76"/>
      <c r="K4403" s="76"/>
      <c r="L4403" s="76"/>
      <c r="M4403" s="76"/>
      <c r="N4403" s="114"/>
    </row>
    <row r="4404">
      <c r="C4404" s="41"/>
      <c r="D4404" s="142"/>
      <c r="E4404" s="130"/>
      <c r="F4404" s="128"/>
      <c r="G4404" s="128"/>
      <c r="H4404" s="128"/>
      <c r="I4404" s="128"/>
      <c r="J4404" s="81"/>
      <c r="K4404" s="81"/>
      <c r="L4404" s="81"/>
      <c r="M4404" s="81"/>
      <c r="N4404" s="82"/>
    </row>
    <row r="4405">
      <c r="C4405" s="41"/>
      <c r="D4405" s="141"/>
      <c r="E4405" s="118"/>
      <c r="F4405" s="126"/>
      <c r="G4405" s="126"/>
      <c r="H4405" s="126"/>
      <c r="I4405" s="126"/>
      <c r="J4405" s="76"/>
      <c r="K4405" s="76"/>
      <c r="L4405" s="76"/>
      <c r="M4405" s="76"/>
      <c r="N4405" s="114"/>
    </row>
    <row r="4406">
      <c r="C4406" s="41"/>
      <c r="D4406" s="142"/>
      <c r="E4406" s="130"/>
      <c r="F4406" s="128"/>
      <c r="G4406" s="128"/>
      <c r="H4406" s="128"/>
      <c r="I4406" s="128"/>
      <c r="J4406" s="81"/>
      <c r="K4406" s="81"/>
      <c r="L4406" s="81"/>
      <c r="M4406" s="81"/>
      <c r="N4406" s="82"/>
    </row>
    <row r="4407">
      <c r="C4407" s="41"/>
      <c r="D4407" s="141"/>
      <c r="E4407" s="118"/>
      <c r="F4407" s="126"/>
      <c r="G4407" s="126"/>
      <c r="H4407" s="126"/>
      <c r="I4407" s="126"/>
      <c r="J4407" s="76"/>
      <c r="K4407" s="76"/>
      <c r="L4407" s="76"/>
      <c r="M4407" s="76"/>
      <c r="N4407" s="114"/>
    </row>
    <row r="4408">
      <c r="C4408" s="41"/>
      <c r="D4408" s="142"/>
      <c r="E4408" s="130"/>
      <c r="F4408" s="128"/>
      <c r="G4408" s="128"/>
      <c r="H4408" s="128"/>
      <c r="I4408" s="128"/>
      <c r="J4408" s="81"/>
      <c r="K4408" s="81"/>
      <c r="L4408" s="81"/>
      <c r="M4408" s="81"/>
      <c r="N4408" s="82"/>
    </row>
    <row r="4409">
      <c r="C4409" s="41"/>
      <c r="D4409" s="141"/>
      <c r="E4409" s="118"/>
      <c r="F4409" s="126"/>
      <c r="G4409" s="126"/>
      <c r="H4409" s="126"/>
      <c r="I4409" s="126"/>
      <c r="J4409" s="76"/>
      <c r="K4409" s="76"/>
      <c r="L4409" s="76"/>
      <c r="M4409" s="76"/>
      <c r="N4409" s="114"/>
    </row>
    <row r="4410">
      <c r="C4410" s="41"/>
      <c r="D4410" s="142"/>
      <c r="E4410" s="130"/>
      <c r="F4410" s="128"/>
      <c r="G4410" s="128"/>
      <c r="H4410" s="128"/>
      <c r="I4410" s="128"/>
      <c r="J4410" s="81"/>
      <c r="K4410" s="81"/>
      <c r="L4410" s="81"/>
      <c r="M4410" s="81"/>
      <c r="N4410" s="82"/>
    </row>
    <row r="4411">
      <c r="C4411" s="41"/>
      <c r="D4411" s="141"/>
      <c r="E4411" s="118"/>
      <c r="F4411" s="126"/>
      <c r="G4411" s="126"/>
      <c r="H4411" s="126"/>
      <c r="I4411" s="126"/>
      <c r="J4411" s="76"/>
      <c r="K4411" s="76"/>
      <c r="L4411" s="76"/>
      <c r="M4411" s="76"/>
      <c r="N4411" s="114"/>
    </row>
    <row r="4412">
      <c r="C4412" s="41"/>
      <c r="D4412" s="142"/>
      <c r="E4412" s="130"/>
      <c r="F4412" s="128"/>
      <c r="G4412" s="128"/>
      <c r="H4412" s="128"/>
      <c r="I4412" s="128"/>
      <c r="J4412" s="81"/>
      <c r="K4412" s="81"/>
      <c r="L4412" s="81"/>
      <c r="M4412" s="81"/>
      <c r="N4412" s="82"/>
    </row>
    <row r="4413">
      <c r="C4413" s="41"/>
      <c r="D4413" s="141"/>
      <c r="E4413" s="118"/>
      <c r="F4413" s="126"/>
      <c r="G4413" s="126"/>
      <c r="H4413" s="126"/>
      <c r="I4413" s="126"/>
      <c r="J4413" s="76"/>
      <c r="K4413" s="76"/>
      <c r="L4413" s="76"/>
      <c r="M4413" s="76"/>
      <c r="N4413" s="114"/>
    </row>
    <row r="4414">
      <c r="C4414" s="41"/>
      <c r="D4414" s="142"/>
      <c r="E4414" s="130"/>
      <c r="F4414" s="128"/>
      <c r="G4414" s="128"/>
      <c r="H4414" s="128"/>
      <c r="I4414" s="128"/>
      <c r="J4414" s="81"/>
      <c r="K4414" s="81"/>
      <c r="L4414" s="81"/>
      <c r="M4414" s="81"/>
      <c r="N4414" s="82"/>
    </row>
    <row r="4415">
      <c r="C4415" s="41"/>
      <c r="D4415" s="141"/>
      <c r="E4415" s="118"/>
      <c r="F4415" s="126"/>
      <c r="G4415" s="126"/>
      <c r="H4415" s="126"/>
      <c r="I4415" s="126"/>
      <c r="J4415" s="76"/>
      <c r="K4415" s="76"/>
      <c r="L4415" s="76"/>
      <c r="M4415" s="76"/>
      <c r="N4415" s="114"/>
    </row>
    <row r="4416">
      <c r="C4416" s="41"/>
      <c r="D4416" s="142"/>
      <c r="E4416" s="130"/>
      <c r="F4416" s="128"/>
      <c r="G4416" s="128"/>
      <c r="H4416" s="128"/>
      <c r="I4416" s="128"/>
      <c r="J4416" s="81"/>
      <c r="K4416" s="81"/>
      <c r="L4416" s="81"/>
      <c r="M4416" s="81"/>
      <c r="N4416" s="82"/>
    </row>
    <row r="4417">
      <c r="C4417" s="41"/>
      <c r="D4417" s="141"/>
      <c r="E4417" s="118"/>
      <c r="F4417" s="126"/>
      <c r="G4417" s="126"/>
      <c r="H4417" s="126"/>
      <c r="I4417" s="126"/>
      <c r="J4417" s="76"/>
      <c r="K4417" s="76"/>
      <c r="L4417" s="76"/>
      <c r="M4417" s="76"/>
      <c r="N4417" s="114"/>
    </row>
    <row r="4418">
      <c r="C4418" s="41"/>
      <c r="D4418" s="142"/>
      <c r="E4418" s="130"/>
      <c r="F4418" s="128"/>
      <c r="G4418" s="128"/>
      <c r="H4418" s="128"/>
      <c r="I4418" s="128"/>
      <c r="J4418" s="81"/>
      <c r="K4418" s="81"/>
      <c r="L4418" s="81"/>
      <c r="M4418" s="81"/>
      <c r="N4418" s="82"/>
    </row>
    <row r="4419">
      <c r="C4419" s="41"/>
      <c r="D4419" s="141"/>
      <c r="E4419" s="118"/>
      <c r="F4419" s="126"/>
      <c r="G4419" s="126"/>
      <c r="H4419" s="126"/>
      <c r="I4419" s="126"/>
      <c r="J4419" s="76"/>
      <c r="K4419" s="76"/>
      <c r="L4419" s="76"/>
      <c r="M4419" s="76"/>
      <c r="N4419" s="114"/>
    </row>
    <row r="4420">
      <c r="C4420" s="41"/>
      <c r="D4420" s="142"/>
      <c r="E4420" s="130"/>
      <c r="F4420" s="128"/>
      <c r="G4420" s="128"/>
      <c r="H4420" s="128"/>
      <c r="I4420" s="128"/>
      <c r="J4420" s="81"/>
      <c r="K4420" s="81"/>
      <c r="L4420" s="81"/>
      <c r="M4420" s="81"/>
      <c r="N4420" s="82"/>
    </row>
    <row r="4421">
      <c r="C4421" s="41"/>
      <c r="D4421" s="141"/>
      <c r="E4421" s="118"/>
      <c r="F4421" s="126"/>
      <c r="G4421" s="126"/>
      <c r="H4421" s="126"/>
      <c r="I4421" s="126"/>
      <c r="J4421" s="76"/>
      <c r="K4421" s="76"/>
      <c r="L4421" s="76"/>
      <c r="M4421" s="76"/>
      <c r="N4421" s="114"/>
    </row>
    <row r="4422">
      <c r="C4422" s="41"/>
      <c r="D4422" s="142"/>
      <c r="E4422" s="130"/>
      <c r="F4422" s="128"/>
      <c r="G4422" s="128"/>
      <c r="H4422" s="128"/>
      <c r="I4422" s="128"/>
      <c r="J4422" s="81"/>
      <c r="K4422" s="81"/>
      <c r="L4422" s="81"/>
      <c r="M4422" s="81"/>
      <c r="N4422" s="82"/>
    </row>
    <row r="4423">
      <c r="C4423" s="41"/>
      <c r="D4423" s="141"/>
      <c r="E4423" s="118"/>
      <c r="F4423" s="126"/>
      <c r="G4423" s="126"/>
      <c r="H4423" s="126"/>
      <c r="I4423" s="126"/>
      <c r="J4423" s="76"/>
      <c r="K4423" s="76"/>
      <c r="L4423" s="76"/>
      <c r="M4423" s="76"/>
      <c r="N4423" s="114"/>
    </row>
    <row r="4424">
      <c r="C4424" s="41"/>
      <c r="D4424" s="142"/>
      <c r="E4424" s="130"/>
      <c r="F4424" s="128"/>
      <c r="G4424" s="128"/>
      <c r="H4424" s="128"/>
      <c r="I4424" s="128"/>
      <c r="J4424" s="81"/>
      <c r="K4424" s="81"/>
      <c r="L4424" s="81"/>
      <c r="M4424" s="81"/>
      <c r="N4424" s="82"/>
    </row>
    <row r="4425">
      <c r="C4425" s="41"/>
      <c r="D4425" s="141"/>
      <c r="E4425" s="118"/>
      <c r="F4425" s="126"/>
      <c r="G4425" s="126"/>
      <c r="H4425" s="126"/>
      <c r="I4425" s="126"/>
      <c r="J4425" s="76"/>
      <c r="K4425" s="76"/>
      <c r="L4425" s="76"/>
      <c r="M4425" s="76"/>
      <c r="N4425" s="114"/>
    </row>
    <row r="4426">
      <c r="C4426" s="41"/>
      <c r="D4426" s="142"/>
      <c r="E4426" s="130"/>
      <c r="F4426" s="128"/>
      <c r="G4426" s="128"/>
      <c r="H4426" s="128"/>
      <c r="I4426" s="128"/>
      <c r="J4426" s="81"/>
      <c r="K4426" s="81"/>
      <c r="L4426" s="81"/>
      <c r="M4426" s="81"/>
      <c r="N4426" s="82"/>
    </row>
    <row r="4427">
      <c r="C4427" s="41"/>
      <c r="D4427" s="141"/>
      <c r="E4427" s="118"/>
      <c r="F4427" s="126"/>
      <c r="G4427" s="126"/>
      <c r="H4427" s="126"/>
      <c r="I4427" s="126"/>
      <c r="J4427" s="76"/>
      <c r="K4427" s="76"/>
      <c r="L4427" s="76"/>
      <c r="M4427" s="76"/>
      <c r="N4427" s="114"/>
    </row>
    <row r="4428">
      <c r="C4428" s="41"/>
      <c r="D4428" s="142"/>
      <c r="E4428" s="130"/>
      <c r="F4428" s="128"/>
      <c r="G4428" s="128"/>
      <c r="H4428" s="128"/>
      <c r="I4428" s="128"/>
      <c r="J4428" s="81"/>
      <c r="K4428" s="81"/>
      <c r="L4428" s="81"/>
      <c r="M4428" s="81"/>
      <c r="N4428" s="82"/>
    </row>
    <row r="4429">
      <c r="C4429" s="41"/>
      <c r="D4429" s="141"/>
      <c r="E4429" s="118"/>
      <c r="F4429" s="126"/>
      <c r="G4429" s="126"/>
      <c r="H4429" s="126"/>
      <c r="I4429" s="126"/>
      <c r="J4429" s="76"/>
      <c r="K4429" s="76"/>
      <c r="L4429" s="76"/>
      <c r="M4429" s="76"/>
      <c r="N4429" s="114"/>
    </row>
    <row r="4430">
      <c r="C4430" s="41"/>
      <c r="D4430" s="142"/>
      <c r="E4430" s="130"/>
      <c r="F4430" s="128"/>
      <c r="G4430" s="128"/>
      <c r="H4430" s="128"/>
      <c r="I4430" s="128"/>
      <c r="J4430" s="81"/>
      <c r="K4430" s="81"/>
      <c r="L4430" s="81"/>
      <c r="M4430" s="81"/>
      <c r="N4430" s="82"/>
    </row>
    <row r="4431">
      <c r="C4431" s="41"/>
      <c r="D4431" s="141"/>
      <c r="E4431" s="118"/>
      <c r="F4431" s="126"/>
      <c r="G4431" s="126"/>
      <c r="H4431" s="126"/>
      <c r="I4431" s="126"/>
      <c r="J4431" s="76"/>
      <c r="K4431" s="76"/>
      <c r="L4431" s="76"/>
      <c r="M4431" s="76"/>
      <c r="N4431" s="114"/>
    </row>
    <row r="4432">
      <c r="C4432" s="41"/>
      <c r="D4432" s="142"/>
      <c r="E4432" s="130"/>
      <c r="F4432" s="128"/>
      <c r="G4432" s="128"/>
      <c r="H4432" s="128"/>
      <c r="I4432" s="128"/>
      <c r="J4432" s="81"/>
      <c r="K4432" s="81"/>
      <c r="L4432" s="81"/>
      <c r="M4432" s="81"/>
      <c r="N4432" s="82"/>
    </row>
    <row r="4433">
      <c r="C4433" s="41"/>
      <c r="D4433" s="141"/>
      <c r="E4433" s="118"/>
      <c r="F4433" s="126"/>
      <c r="G4433" s="126"/>
      <c r="H4433" s="126"/>
      <c r="I4433" s="126"/>
      <c r="J4433" s="76"/>
      <c r="K4433" s="76"/>
      <c r="L4433" s="76"/>
      <c r="M4433" s="76"/>
      <c r="N4433" s="114"/>
    </row>
    <row r="4434">
      <c r="C4434" s="41"/>
      <c r="D4434" s="142"/>
      <c r="E4434" s="130"/>
      <c r="F4434" s="128"/>
      <c r="G4434" s="128"/>
      <c r="H4434" s="128"/>
      <c r="I4434" s="128"/>
      <c r="J4434" s="81"/>
      <c r="K4434" s="81"/>
      <c r="L4434" s="81"/>
      <c r="M4434" s="81"/>
      <c r="N4434" s="82"/>
    </row>
    <row r="4435">
      <c r="C4435" s="41"/>
      <c r="D4435" s="141"/>
      <c r="E4435" s="118"/>
      <c r="F4435" s="126"/>
      <c r="G4435" s="126"/>
      <c r="H4435" s="126"/>
      <c r="I4435" s="126"/>
      <c r="J4435" s="76"/>
      <c r="K4435" s="76"/>
      <c r="L4435" s="76"/>
      <c r="M4435" s="76"/>
      <c r="N4435" s="114"/>
    </row>
    <row r="4436">
      <c r="C4436" s="41"/>
      <c r="D4436" s="142"/>
      <c r="E4436" s="130"/>
      <c r="F4436" s="128"/>
      <c r="G4436" s="128"/>
      <c r="H4436" s="128"/>
      <c r="I4436" s="128"/>
      <c r="J4436" s="81"/>
      <c r="K4436" s="81"/>
      <c r="L4436" s="81"/>
      <c r="M4436" s="81"/>
      <c r="N4436" s="82"/>
    </row>
    <row r="4437">
      <c r="C4437" s="41"/>
      <c r="D4437" s="141"/>
      <c r="E4437" s="118"/>
      <c r="F4437" s="126"/>
      <c r="G4437" s="126"/>
      <c r="H4437" s="126"/>
      <c r="I4437" s="126"/>
      <c r="J4437" s="76"/>
      <c r="K4437" s="76"/>
      <c r="L4437" s="76"/>
      <c r="M4437" s="76"/>
      <c r="N4437" s="114"/>
    </row>
    <row r="4438">
      <c r="C4438" s="41"/>
      <c r="D4438" s="142"/>
      <c r="E4438" s="130"/>
      <c r="F4438" s="128"/>
      <c r="G4438" s="128"/>
      <c r="H4438" s="128"/>
      <c r="I4438" s="128"/>
      <c r="J4438" s="81"/>
      <c r="K4438" s="81"/>
      <c r="L4438" s="81"/>
      <c r="M4438" s="81"/>
      <c r="N4438" s="82"/>
    </row>
    <row r="4439">
      <c r="C4439" s="41"/>
      <c r="D4439" s="141"/>
      <c r="E4439" s="118"/>
      <c r="F4439" s="126"/>
      <c r="G4439" s="126"/>
      <c r="H4439" s="126"/>
      <c r="I4439" s="126"/>
      <c r="J4439" s="76"/>
      <c r="K4439" s="76"/>
      <c r="L4439" s="76"/>
      <c r="M4439" s="76"/>
      <c r="N4439" s="114"/>
    </row>
    <row r="4440">
      <c r="C4440" s="41"/>
      <c r="D4440" s="142"/>
      <c r="E4440" s="130"/>
      <c r="F4440" s="128"/>
      <c r="G4440" s="128"/>
      <c r="H4440" s="128"/>
      <c r="I4440" s="128"/>
      <c r="J4440" s="81"/>
      <c r="K4440" s="81"/>
      <c r="L4440" s="81"/>
      <c r="M4440" s="81"/>
      <c r="N4440" s="82"/>
    </row>
    <row r="4441">
      <c r="C4441" s="41"/>
      <c r="D4441" s="141"/>
      <c r="E4441" s="118"/>
      <c r="F4441" s="126"/>
      <c r="G4441" s="126"/>
      <c r="H4441" s="126"/>
      <c r="I4441" s="126"/>
      <c r="J4441" s="76"/>
      <c r="K4441" s="76"/>
      <c r="L4441" s="76"/>
      <c r="M4441" s="76"/>
      <c r="N4441" s="114"/>
    </row>
    <row r="4442">
      <c r="C4442" s="41"/>
      <c r="D4442" s="142"/>
      <c r="E4442" s="130"/>
      <c r="F4442" s="128"/>
      <c r="G4442" s="128"/>
      <c r="H4442" s="128"/>
      <c r="I4442" s="128"/>
      <c r="J4442" s="81"/>
      <c r="K4442" s="81"/>
      <c r="L4442" s="81"/>
      <c r="M4442" s="81"/>
      <c r="N4442" s="82"/>
    </row>
    <row r="4443">
      <c r="C4443" s="41"/>
      <c r="D4443" s="141"/>
      <c r="E4443" s="118"/>
      <c r="F4443" s="126"/>
      <c r="G4443" s="126"/>
      <c r="H4443" s="126"/>
      <c r="I4443" s="126"/>
      <c r="J4443" s="76"/>
      <c r="K4443" s="76"/>
      <c r="L4443" s="76"/>
      <c r="M4443" s="76"/>
      <c r="N4443" s="114"/>
    </row>
    <row r="4444">
      <c r="C4444" s="41"/>
      <c r="D4444" s="142"/>
      <c r="E4444" s="130"/>
      <c r="F4444" s="128"/>
      <c r="G4444" s="128"/>
      <c r="H4444" s="128"/>
      <c r="I4444" s="128"/>
      <c r="J4444" s="81"/>
      <c r="K4444" s="81"/>
      <c r="L4444" s="81"/>
      <c r="M4444" s="81"/>
      <c r="N4444" s="82"/>
    </row>
    <row r="4445">
      <c r="C4445" s="41"/>
      <c r="D4445" s="141"/>
      <c r="E4445" s="118"/>
      <c r="F4445" s="126"/>
      <c r="G4445" s="126"/>
      <c r="H4445" s="126"/>
      <c r="I4445" s="126"/>
      <c r="J4445" s="76"/>
      <c r="K4445" s="76"/>
      <c r="L4445" s="76"/>
      <c r="M4445" s="76"/>
      <c r="N4445" s="114"/>
    </row>
    <row r="4446">
      <c r="C4446" s="41"/>
      <c r="D4446" s="142"/>
      <c r="E4446" s="130"/>
      <c r="F4446" s="128"/>
      <c r="G4446" s="128"/>
      <c r="H4446" s="128"/>
      <c r="I4446" s="128"/>
      <c r="J4446" s="81"/>
      <c r="K4446" s="81"/>
      <c r="L4446" s="81"/>
      <c r="M4446" s="81"/>
      <c r="N4446" s="82"/>
    </row>
    <row r="4447">
      <c r="C4447" s="41"/>
      <c r="D4447" s="141"/>
      <c r="E4447" s="118"/>
      <c r="F4447" s="126"/>
      <c r="G4447" s="126"/>
      <c r="H4447" s="126"/>
      <c r="I4447" s="126"/>
      <c r="J4447" s="76"/>
      <c r="K4447" s="76"/>
      <c r="L4447" s="76"/>
      <c r="M4447" s="76"/>
      <c r="N4447" s="114"/>
    </row>
    <row r="4448">
      <c r="C4448" s="41"/>
      <c r="D4448" s="142"/>
      <c r="E4448" s="130"/>
      <c r="F4448" s="128"/>
      <c r="G4448" s="128"/>
      <c r="H4448" s="128"/>
      <c r="I4448" s="128"/>
      <c r="J4448" s="81"/>
      <c r="K4448" s="81"/>
      <c r="L4448" s="81"/>
      <c r="M4448" s="81"/>
      <c r="N4448" s="82"/>
    </row>
    <row r="4449">
      <c r="C4449" s="41"/>
      <c r="D4449" s="141"/>
      <c r="E4449" s="118"/>
      <c r="F4449" s="126"/>
      <c r="G4449" s="126"/>
      <c r="H4449" s="126"/>
      <c r="I4449" s="126"/>
      <c r="J4449" s="76"/>
      <c r="K4449" s="76"/>
      <c r="L4449" s="76"/>
      <c r="M4449" s="76"/>
      <c r="N4449" s="114"/>
    </row>
    <row r="4450">
      <c r="C4450" s="41"/>
      <c r="D4450" s="142"/>
      <c r="E4450" s="130"/>
      <c r="F4450" s="128"/>
      <c r="G4450" s="128"/>
      <c r="H4450" s="128"/>
      <c r="I4450" s="128"/>
      <c r="J4450" s="81"/>
      <c r="K4450" s="81"/>
      <c r="L4450" s="81"/>
      <c r="M4450" s="81"/>
      <c r="N4450" s="82"/>
    </row>
    <row r="4451">
      <c r="C4451" s="41"/>
      <c r="D4451" s="141"/>
      <c r="E4451" s="118"/>
      <c r="F4451" s="126"/>
      <c r="G4451" s="126"/>
      <c r="H4451" s="126"/>
      <c r="I4451" s="126"/>
      <c r="J4451" s="76"/>
      <c r="K4451" s="76"/>
      <c r="L4451" s="76"/>
      <c r="M4451" s="76"/>
      <c r="N4451" s="114"/>
    </row>
    <row r="4452">
      <c r="C4452" s="41"/>
      <c r="D4452" s="142"/>
      <c r="E4452" s="130"/>
      <c r="F4452" s="128"/>
      <c r="G4452" s="128"/>
      <c r="H4452" s="128"/>
      <c r="I4452" s="128"/>
      <c r="J4452" s="81"/>
      <c r="K4452" s="81"/>
      <c r="L4452" s="81"/>
      <c r="M4452" s="81"/>
      <c r="N4452" s="82"/>
    </row>
    <row r="4453">
      <c r="C4453" s="41"/>
      <c r="D4453" s="141"/>
      <c r="E4453" s="118"/>
      <c r="F4453" s="126"/>
      <c r="G4453" s="126"/>
      <c r="H4453" s="126"/>
      <c r="I4453" s="126"/>
      <c r="J4453" s="76"/>
      <c r="K4453" s="76"/>
      <c r="L4453" s="76"/>
      <c r="M4453" s="76"/>
      <c r="N4453" s="114"/>
    </row>
    <row r="4454">
      <c r="C4454" s="41"/>
      <c r="D4454" s="142"/>
      <c r="E4454" s="130"/>
      <c r="F4454" s="128"/>
      <c r="G4454" s="128"/>
      <c r="H4454" s="128"/>
      <c r="I4454" s="128"/>
      <c r="J4454" s="81"/>
      <c r="K4454" s="81"/>
      <c r="L4454" s="81"/>
      <c r="M4454" s="81"/>
      <c r="N4454" s="82"/>
    </row>
    <row r="4455">
      <c r="C4455" s="41"/>
      <c r="D4455" s="141"/>
      <c r="E4455" s="118"/>
      <c r="F4455" s="126"/>
      <c r="G4455" s="126"/>
      <c r="H4455" s="126"/>
      <c r="I4455" s="126"/>
      <c r="J4455" s="76"/>
      <c r="K4455" s="76"/>
      <c r="L4455" s="76"/>
      <c r="M4455" s="76"/>
      <c r="N4455" s="114"/>
    </row>
    <row r="4456">
      <c r="C4456" s="41"/>
      <c r="D4456" s="142"/>
      <c r="E4456" s="130"/>
      <c r="F4456" s="128"/>
      <c r="G4456" s="128"/>
      <c r="H4456" s="128"/>
      <c r="I4456" s="128"/>
      <c r="J4456" s="81"/>
      <c r="K4456" s="81"/>
      <c r="L4456" s="81"/>
      <c r="M4456" s="81"/>
      <c r="N4456" s="82"/>
    </row>
    <row r="4457">
      <c r="C4457" s="41"/>
      <c r="D4457" s="141"/>
      <c r="E4457" s="118"/>
      <c r="F4457" s="126"/>
      <c r="G4457" s="126"/>
      <c r="H4457" s="126"/>
      <c r="I4457" s="126"/>
      <c r="J4457" s="76"/>
      <c r="K4457" s="76"/>
      <c r="L4457" s="76"/>
      <c r="M4457" s="76"/>
      <c r="N4457" s="114"/>
    </row>
    <row r="4458">
      <c r="C4458" s="41"/>
      <c r="D4458" s="142"/>
      <c r="E4458" s="130"/>
      <c r="F4458" s="128"/>
      <c r="G4458" s="128"/>
      <c r="H4458" s="128"/>
      <c r="I4458" s="128"/>
      <c r="J4458" s="81"/>
      <c r="K4458" s="81"/>
      <c r="L4458" s="81"/>
      <c r="M4458" s="81"/>
      <c r="N4458" s="82"/>
    </row>
    <row r="4459">
      <c r="C4459" s="41"/>
      <c r="D4459" s="141"/>
      <c r="E4459" s="118"/>
      <c r="F4459" s="126"/>
      <c r="G4459" s="126"/>
      <c r="H4459" s="126"/>
      <c r="I4459" s="126"/>
      <c r="J4459" s="76"/>
      <c r="K4459" s="76"/>
      <c r="L4459" s="76"/>
      <c r="M4459" s="76"/>
      <c r="N4459" s="114"/>
    </row>
    <row r="4460">
      <c r="C4460" s="41"/>
      <c r="D4460" s="142"/>
      <c r="E4460" s="130"/>
      <c r="F4460" s="128"/>
      <c r="G4460" s="128"/>
      <c r="H4460" s="128"/>
      <c r="I4460" s="128"/>
      <c r="J4460" s="81"/>
      <c r="K4460" s="81"/>
      <c r="L4460" s="81"/>
      <c r="M4460" s="81"/>
      <c r="N4460" s="82"/>
    </row>
    <row r="4461">
      <c r="C4461" s="41"/>
      <c r="D4461" s="141"/>
      <c r="E4461" s="118"/>
      <c r="F4461" s="126"/>
      <c r="G4461" s="126"/>
      <c r="H4461" s="126"/>
      <c r="I4461" s="126"/>
      <c r="J4461" s="76"/>
      <c r="K4461" s="76"/>
      <c r="L4461" s="76"/>
      <c r="M4461" s="76"/>
      <c r="N4461" s="114"/>
    </row>
    <row r="4462">
      <c r="C4462" s="41"/>
      <c r="D4462" s="142"/>
      <c r="E4462" s="130"/>
      <c r="F4462" s="128"/>
      <c r="G4462" s="128"/>
      <c r="H4462" s="128"/>
      <c r="I4462" s="128"/>
      <c r="J4462" s="81"/>
      <c r="K4462" s="81"/>
      <c r="L4462" s="81"/>
      <c r="M4462" s="81"/>
      <c r="N4462" s="82"/>
    </row>
    <row r="4463">
      <c r="C4463" s="41"/>
      <c r="D4463" s="141"/>
      <c r="E4463" s="118"/>
      <c r="F4463" s="126"/>
      <c r="G4463" s="126"/>
      <c r="H4463" s="126"/>
      <c r="I4463" s="126"/>
      <c r="J4463" s="76"/>
      <c r="K4463" s="76"/>
      <c r="L4463" s="76"/>
      <c r="M4463" s="76"/>
      <c r="N4463" s="114"/>
    </row>
    <row r="4464">
      <c r="C4464" s="41"/>
      <c r="D4464" s="142"/>
      <c r="E4464" s="130"/>
      <c r="F4464" s="128"/>
      <c r="G4464" s="128"/>
      <c r="H4464" s="128"/>
      <c r="I4464" s="128"/>
      <c r="J4464" s="81"/>
      <c r="K4464" s="81"/>
      <c r="L4464" s="81"/>
      <c r="M4464" s="81"/>
      <c r="N4464" s="82"/>
    </row>
    <row r="4465">
      <c r="C4465" s="41"/>
      <c r="D4465" s="141"/>
      <c r="E4465" s="118"/>
      <c r="F4465" s="126"/>
      <c r="G4465" s="126"/>
      <c r="H4465" s="126"/>
      <c r="I4465" s="126"/>
      <c r="J4465" s="76"/>
      <c r="K4465" s="76"/>
      <c r="L4465" s="76"/>
      <c r="M4465" s="76"/>
      <c r="N4465" s="114"/>
    </row>
    <row r="4466">
      <c r="C4466" s="41"/>
      <c r="D4466" s="142"/>
      <c r="E4466" s="130"/>
      <c r="F4466" s="128"/>
      <c r="G4466" s="128"/>
      <c r="H4466" s="128"/>
      <c r="I4466" s="128"/>
      <c r="J4466" s="81"/>
      <c r="K4466" s="81"/>
      <c r="L4466" s="81"/>
      <c r="M4466" s="81"/>
      <c r="N4466" s="82"/>
    </row>
    <row r="4467">
      <c r="C4467" s="41"/>
      <c r="D4467" s="141"/>
      <c r="E4467" s="118"/>
      <c r="F4467" s="126"/>
      <c r="G4467" s="126"/>
      <c r="H4467" s="126"/>
      <c r="I4467" s="126"/>
      <c r="J4467" s="76"/>
      <c r="K4467" s="76"/>
      <c r="L4467" s="76"/>
      <c r="M4467" s="76"/>
      <c r="N4467" s="114"/>
    </row>
    <row r="4468">
      <c r="C4468" s="41"/>
      <c r="D4468" s="142"/>
      <c r="E4468" s="130"/>
      <c r="F4468" s="128"/>
      <c r="G4468" s="128"/>
      <c r="H4468" s="128"/>
      <c r="I4468" s="128"/>
      <c r="J4468" s="81"/>
      <c r="K4468" s="81"/>
      <c r="L4468" s="81"/>
      <c r="M4468" s="81"/>
      <c r="N4468" s="82"/>
    </row>
    <row r="4469">
      <c r="C4469" s="41"/>
      <c r="D4469" s="141"/>
      <c r="E4469" s="118"/>
      <c r="F4469" s="126"/>
      <c r="G4469" s="126"/>
      <c r="H4469" s="126"/>
      <c r="I4469" s="126"/>
      <c r="J4469" s="76"/>
      <c r="K4469" s="76"/>
      <c r="L4469" s="76"/>
      <c r="M4469" s="76"/>
      <c r="N4469" s="114"/>
    </row>
    <row r="4470">
      <c r="C4470" s="41"/>
      <c r="D4470" s="142"/>
      <c r="E4470" s="130"/>
      <c r="F4470" s="128"/>
      <c r="G4470" s="128"/>
      <c r="H4470" s="128"/>
      <c r="I4470" s="128"/>
      <c r="J4470" s="81"/>
      <c r="K4470" s="81"/>
      <c r="L4470" s="81"/>
      <c r="M4470" s="81"/>
      <c r="N4470" s="82"/>
    </row>
    <row r="4471">
      <c r="C4471" s="41"/>
      <c r="D4471" s="141"/>
      <c r="E4471" s="118"/>
      <c r="F4471" s="126"/>
      <c r="G4471" s="126"/>
      <c r="H4471" s="126"/>
      <c r="I4471" s="126"/>
      <c r="J4471" s="76"/>
      <c r="K4471" s="76"/>
      <c r="L4471" s="76"/>
      <c r="M4471" s="76"/>
      <c r="N4471" s="114"/>
    </row>
    <row r="4472">
      <c r="C4472" s="41"/>
      <c r="D4472" s="142"/>
      <c r="E4472" s="130"/>
      <c r="F4472" s="128"/>
      <c r="G4472" s="128"/>
      <c r="H4472" s="128"/>
      <c r="I4472" s="128"/>
      <c r="J4472" s="81"/>
      <c r="K4472" s="81"/>
      <c r="L4472" s="81"/>
      <c r="M4472" s="81"/>
      <c r="N4472" s="82"/>
    </row>
    <row r="4473">
      <c r="C4473" s="41"/>
      <c r="D4473" s="141"/>
      <c r="E4473" s="118"/>
      <c r="F4473" s="126"/>
      <c r="G4473" s="126"/>
      <c r="H4473" s="126"/>
      <c r="I4473" s="126"/>
      <c r="J4473" s="76"/>
      <c r="K4473" s="76"/>
      <c r="L4473" s="76"/>
      <c r="M4473" s="76"/>
      <c r="N4473" s="114"/>
    </row>
    <row r="4474">
      <c r="C4474" s="41"/>
      <c r="D4474" s="142"/>
      <c r="E4474" s="130"/>
      <c r="F4474" s="128"/>
      <c r="G4474" s="128"/>
      <c r="H4474" s="128"/>
      <c r="I4474" s="128"/>
      <c r="J4474" s="81"/>
      <c r="K4474" s="81"/>
      <c r="L4474" s="81"/>
      <c r="M4474" s="81"/>
      <c r="N4474" s="82"/>
    </row>
    <row r="4475">
      <c r="C4475" s="41"/>
      <c r="D4475" s="141"/>
      <c r="E4475" s="118"/>
      <c r="F4475" s="126"/>
      <c r="G4475" s="126"/>
      <c r="H4475" s="126"/>
      <c r="I4475" s="126"/>
      <c r="J4475" s="76"/>
      <c r="K4475" s="76"/>
      <c r="L4475" s="76"/>
      <c r="M4475" s="76"/>
      <c r="N4475" s="114"/>
    </row>
    <row r="4476">
      <c r="C4476" s="41"/>
      <c r="D4476" s="142"/>
      <c r="E4476" s="130"/>
      <c r="F4476" s="128"/>
      <c r="G4476" s="128"/>
      <c r="H4476" s="128"/>
      <c r="I4476" s="128"/>
      <c r="J4476" s="81"/>
      <c r="K4476" s="81"/>
      <c r="L4476" s="81"/>
      <c r="M4476" s="81"/>
      <c r="N4476" s="82"/>
    </row>
    <row r="4477">
      <c r="C4477" s="41"/>
      <c r="D4477" s="141"/>
      <c r="E4477" s="118"/>
      <c r="F4477" s="126"/>
      <c r="G4477" s="126"/>
      <c r="H4477" s="126"/>
      <c r="I4477" s="126"/>
      <c r="J4477" s="76"/>
      <c r="K4477" s="76"/>
      <c r="L4477" s="76"/>
      <c r="M4477" s="76"/>
      <c r="N4477" s="114"/>
    </row>
    <row r="4478">
      <c r="C4478" s="41"/>
      <c r="D4478" s="142"/>
      <c r="E4478" s="130"/>
      <c r="F4478" s="128"/>
      <c r="G4478" s="128"/>
      <c r="H4478" s="128"/>
      <c r="I4478" s="128"/>
      <c r="J4478" s="81"/>
      <c r="K4478" s="81"/>
      <c r="L4478" s="81"/>
      <c r="M4478" s="81"/>
      <c r="N4478" s="82"/>
    </row>
    <row r="4479">
      <c r="C4479" s="41"/>
      <c r="D4479" s="141"/>
      <c r="E4479" s="118"/>
      <c r="F4479" s="126"/>
      <c r="G4479" s="126"/>
      <c r="H4479" s="126"/>
      <c r="I4479" s="126"/>
      <c r="J4479" s="76"/>
      <c r="K4479" s="76"/>
      <c r="L4479" s="76"/>
      <c r="M4479" s="76"/>
      <c r="N4479" s="114"/>
    </row>
    <row r="4480">
      <c r="C4480" s="41"/>
      <c r="D4480" s="142"/>
      <c r="E4480" s="130"/>
      <c r="F4480" s="128"/>
      <c r="G4480" s="128"/>
      <c r="H4480" s="128"/>
      <c r="I4480" s="128"/>
      <c r="J4480" s="81"/>
      <c r="K4480" s="81"/>
      <c r="L4480" s="81"/>
      <c r="M4480" s="81"/>
      <c r="N4480" s="82"/>
    </row>
    <row r="4481">
      <c r="C4481" s="41"/>
      <c r="D4481" s="141"/>
      <c r="E4481" s="118"/>
      <c r="F4481" s="126"/>
      <c r="G4481" s="126"/>
      <c r="H4481" s="126"/>
      <c r="I4481" s="126"/>
      <c r="J4481" s="76"/>
      <c r="K4481" s="76"/>
      <c r="L4481" s="76"/>
      <c r="M4481" s="76"/>
      <c r="N4481" s="114"/>
    </row>
    <row r="4482">
      <c r="C4482" s="41"/>
      <c r="D4482" s="142"/>
      <c r="E4482" s="130"/>
      <c r="F4482" s="128"/>
      <c r="G4482" s="128"/>
      <c r="H4482" s="128"/>
      <c r="I4482" s="128"/>
      <c r="J4482" s="81"/>
      <c r="K4482" s="81"/>
      <c r="L4482" s="81"/>
      <c r="M4482" s="81"/>
      <c r="N4482" s="82"/>
    </row>
    <row r="4483">
      <c r="C4483" s="41"/>
      <c r="D4483" s="141"/>
      <c r="E4483" s="118"/>
      <c r="F4483" s="126"/>
      <c r="G4483" s="126"/>
      <c r="H4483" s="126"/>
      <c r="I4483" s="126"/>
      <c r="J4483" s="76"/>
      <c r="K4483" s="76"/>
      <c r="L4483" s="76"/>
      <c r="M4483" s="76"/>
      <c r="N4483" s="114"/>
    </row>
    <row r="4484">
      <c r="C4484" s="41"/>
      <c r="D4484" s="142"/>
      <c r="E4484" s="130"/>
      <c r="F4484" s="128"/>
      <c r="G4484" s="128"/>
      <c r="H4484" s="128"/>
      <c r="I4484" s="128"/>
      <c r="J4484" s="81"/>
      <c r="K4484" s="81"/>
      <c r="L4484" s="81"/>
      <c r="M4484" s="81"/>
      <c r="N4484" s="82"/>
    </row>
    <row r="4485">
      <c r="C4485" s="41"/>
      <c r="D4485" s="141"/>
      <c r="E4485" s="118"/>
      <c r="F4485" s="126"/>
      <c r="G4485" s="126"/>
      <c r="H4485" s="126"/>
      <c r="I4485" s="126"/>
      <c r="J4485" s="76"/>
      <c r="K4485" s="76"/>
      <c r="L4485" s="76"/>
      <c r="M4485" s="76"/>
      <c r="N4485" s="114"/>
    </row>
    <row r="4486">
      <c r="C4486" s="41"/>
      <c r="D4486" s="142"/>
      <c r="E4486" s="130"/>
      <c r="F4486" s="128"/>
      <c r="G4486" s="128"/>
      <c r="H4486" s="128"/>
      <c r="I4486" s="128"/>
      <c r="J4486" s="81"/>
      <c r="K4486" s="81"/>
      <c r="L4486" s="81"/>
      <c r="M4486" s="81"/>
      <c r="N4486" s="82"/>
    </row>
    <row r="4487">
      <c r="C4487" s="41"/>
      <c r="D4487" s="141"/>
      <c r="E4487" s="118"/>
      <c r="F4487" s="126"/>
      <c r="G4487" s="126"/>
      <c r="H4487" s="126"/>
      <c r="I4487" s="126"/>
      <c r="J4487" s="76"/>
      <c r="K4487" s="76"/>
      <c r="L4487" s="76"/>
      <c r="M4487" s="76"/>
      <c r="N4487" s="114"/>
    </row>
    <row r="4488">
      <c r="C4488" s="41"/>
      <c r="D4488" s="142"/>
      <c r="E4488" s="130"/>
      <c r="F4488" s="128"/>
      <c r="G4488" s="128"/>
      <c r="H4488" s="128"/>
      <c r="I4488" s="128"/>
      <c r="J4488" s="81"/>
      <c r="K4488" s="81"/>
      <c r="L4488" s="81"/>
      <c r="M4488" s="81"/>
      <c r="N4488" s="82"/>
    </row>
    <row r="4489">
      <c r="C4489" s="41"/>
      <c r="D4489" s="141"/>
      <c r="E4489" s="118"/>
      <c r="F4489" s="126"/>
      <c r="G4489" s="126"/>
      <c r="H4489" s="126"/>
      <c r="I4489" s="126"/>
      <c r="J4489" s="76"/>
      <c r="K4489" s="76"/>
      <c r="L4489" s="76"/>
      <c r="M4489" s="76"/>
      <c r="N4489" s="114"/>
    </row>
    <row r="4490">
      <c r="C4490" s="41"/>
      <c r="D4490" s="142"/>
      <c r="E4490" s="130"/>
      <c r="F4490" s="128"/>
      <c r="G4490" s="128"/>
      <c r="H4490" s="128"/>
      <c r="I4490" s="128"/>
      <c r="J4490" s="81"/>
      <c r="K4490" s="81"/>
      <c r="L4490" s="81"/>
      <c r="M4490" s="81"/>
      <c r="N4490" s="82"/>
    </row>
    <row r="4491">
      <c r="C4491" s="41"/>
      <c r="D4491" s="141"/>
      <c r="E4491" s="118"/>
      <c r="F4491" s="126"/>
      <c r="G4491" s="126"/>
      <c r="H4491" s="126"/>
      <c r="I4491" s="126"/>
      <c r="J4491" s="76"/>
      <c r="K4491" s="76"/>
      <c r="L4491" s="76"/>
      <c r="M4491" s="76"/>
      <c r="N4491" s="114"/>
    </row>
    <row r="4492">
      <c r="C4492" s="41"/>
      <c r="D4492" s="142"/>
      <c r="E4492" s="130"/>
      <c r="F4492" s="128"/>
      <c r="G4492" s="128"/>
      <c r="H4492" s="128"/>
      <c r="I4492" s="128"/>
      <c r="J4492" s="81"/>
      <c r="K4492" s="81"/>
      <c r="L4492" s="81"/>
      <c r="M4492" s="81"/>
      <c r="N4492" s="82"/>
    </row>
    <row r="4493">
      <c r="C4493" s="41"/>
      <c r="D4493" s="141"/>
      <c r="E4493" s="118"/>
      <c r="F4493" s="126"/>
      <c r="G4493" s="126"/>
      <c r="H4493" s="126"/>
      <c r="I4493" s="126"/>
      <c r="J4493" s="76"/>
      <c r="K4493" s="76"/>
      <c r="L4493" s="76"/>
      <c r="M4493" s="76"/>
      <c r="N4493" s="114"/>
    </row>
    <row r="4494">
      <c r="C4494" s="41"/>
      <c r="D4494" s="142"/>
      <c r="E4494" s="130"/>
      <c r="F4494" s="128"/>
      <c r="G4494" s="128"/>
      <c r="H4494" s="128"/>
      <c r="I4494" s="128"/>
      <c r="J4494" s="81"/>
      <c r="K4494" s="81"/>
      <c r="L4494" s="81"/>
      <c r="M4494" s="81"/>
      <c r="N4494" s="82"/>
    </row>
    <row r="4495">
      <c r="C4495" s="41"/>
      <c r="D4495" s="141"/>
      <c r="E4495" s="118"/>
      <c r="F4495" s="126"/>
      <c r="G4495" s="126"/>
      <c r="H4495" s="126"/>
      <c r="I4495" s="126"/>
      <c r="J4495" s="76"/>
      <c r="K4495" s="76"/>
      <c r="L4495" s="76"/>
      <c r="M4495" s="76"/>
      <c r="N4495" s="114"/>
    </row>
    <row r="4496">
      <c r="C4496" s="41"/>
      <c r="D4496" s="142"/>
      <c r="E4496" s="130"/>
      <c r="F4496" s="128"/>
      <c r="G4496" s="128"/>
      <c r="H4496" s="128"/>
      <c r="I4496" s="128"/>
      <c r="J4496" s="81"/>
      <c r="K4496" s="81"/>
      <c r="L4496" s="81"/>
      <c r="M4496" s="81"/>
      <c r="N4496" s="82"/>
    </row>
    <row r="4497">
      <c r="C4497" s="41"/>
      <c r="D4497" s="141"/>
      <c r="E4497" s="118"/>
      <c r="F4497" s="126"/>
      <c r="G4497" s="126"/>
      <c r="H4497" s="126"/>
      <c r="I4497" s="126"/>
      <c r="J4497" s="76"/>
      <c r="K4497" s="76"/>
      <c r="L4497" s="76"/>
      <c r="M4497" s="76"/>
      <c r="N4497" s="114"/>
    </row>
    <row r="4498">
      <c r="C4498" s="41"/>
      <c r="D4498" s="142"/>
      <c r="E4498" s="130"/>
      <c r="F4498" s="128"/>
      <c r="G4498" s="128"/>
      <c r="H4498" s="128"/>
      <c r="I4498" s="128"/>
      <c r="J4498" s="81"/>
      <c r="K4498" s="81"/>
      <c r="L4498" s="81"/>
      <c r="M4498" s="81"/>
      <c r="N4498" s="82"/>
    </row>
    <row r="4499">
      <c r="C4499" s="41"/>
      <c r="D4499" s="141"/>
      <c r="E4499" s="118"/>
      <c r="F4499" s="126"/>
      <c r="G4499" s="126"/>
      <c r="H4499" s="126"/>
      <c r="I4499" s="126"/>
      <c r="J4499" s="76"/>
      <c r="K4499" s="76"/>
      <c r="L4499" s="76"/>
      <c r="M4499" s="76"/>
      <c r="N4499" s="114"/>
    </row>
    <row r="4500">
      <c r="C4500" s="41"/>
      <c r="D4500" s="142"/>
      <c r="E4500" s="130"/>
      <c r="F4500" s="128"/>
      <c r="G4500" s="128"/>
      <c r="H4500" s="128"/>
      <c r="I4500" s="128"/>
      <c r="J4500" s="81"/>
      <c r="K4500" s="81"/>
      <c r="L4500" s="81"/>
      <c r="M4500" s="81"/>
      <c r="N4500" s="82"/>
    </row>
    <row r="4501">
      <c r="C4501" s="41"/>
      <c r="D4501" s="141"/>
      <c r="E4501" s="118"/>
      <c r="F4501" s="126"/>
      <c r="G4501" s="126"/>
      <c r="H4501" s="126"/>
      <c r="I4501" s="126"/>
      <c r="J4501" s="76"/>
      <c r="K4501" s="76"/>
      <c r="L4501" s="76"/>
      <c r="M4501" s="76"/>
      <c r="N4501" s="114"/>
    </row>
    <row r="4502">
      <c r="C4502" s="41"/>
      <c r="D4502" s="142"/>
      <c r="E4502" s="130"/>
      <c r="F4502" s="128"/>
      <c r="G4502" s="128"/>
      <c r="H4502" s="128"/>
      <c r="I4502" s="128"/>
      <c r="J4502" s="81"/>
      <c r="K4502" s="81"/>
      <c r="L4502" s="81"/>
      <c r="M4502" s="81"/>
      <c r="N4502" s="82"/>
    </row>
    <row r="4503">
      <c r="C4503" s="41"/>
      <c r="D4503" s="141"/>
      <c r="E4503" s="118"/>
      <c r="F4503" s="126"/>
      <c r="G4503" s="126"/>
      <c r="H4503" s="126"/>
      <c r="I4503" s="126"/>
      <c r="J4503" s="76"/>
      <c r="K4503" s="76"/>
      <c r="L4503" s="76"/>
      <c r="M4503" s="76"/>
      <c r="N4503" s="114"/>
    </row>
    <row r="4504">
      <c r="C4504" s="41"/>
      <c r="D4504" s="142"/>
      <c r="E4504" s="130"/>
      <c r="F4504" s="128"/>
      <c r="G4504" s="128"/>
      <c r="H4504" s="128"/>
      <c r="I4504" s="128"/>
      <c r="J4504" s="81"/>
      <c r="K4504" s="81"/>
      <c r="L4504" s="81"/>
      <c r="M4504" s="81"/>
      <c r="N4504" s="82"/>
    </row>
    <row r="4505">
      <c r="C4505" s="41"/>
      <c r="D4505" s="141"/>
      <c r="E4505" s="118"/>
      <c r="F4505" s="126"/>
      <c r="G4505" s="126"/>
      <c r="H4505" s="126"/>
      <c r="I4505" s="126"/>
      <c r="J4505" s="76"/>
      <c r="K4505" s="76"/>
      <c r="L4505" s="76"/>
      <c r="M4505" s="76"/>
      <c r="N4505" s="114"/>
    </row>
    <row r="4506">
      <c r="C4506" s="41"/>
      <c r="D4506" s="142"/>
      <c r="E4506" s="130"/>
      <c r="F4506" s="128"/>
      <c r="G4506" s="128"/>
      <c r="H4506" s="128"/>
      <c r="I4506" s="128"/>
      <c r="J4506" s="81"/>
      <c r="K4506" s="81"/>
      <c r="L4506" s="81"/>
      <c r="M4506" s="81"/>
      <c r="N4506" s="82"/>
    </row>
    <row r="4507">
      <c r="C4507" s="41"/>
      <c r="D4507" s="141"/>
      <c r="E4507" s="118"/>
      <c r="F4507" s="126"/>
      <c r="G4507" s="126"/>
      <c r="H4507" s="126"/>
      <c r="I4507" s="126"/>
      <c r="J4507" s="76"/>
      <c r="K4507" s="76"/>
      <c r="L4507" s="76"/>
      <c r="M4507" s="76"/>
      <c r="N4507" s="114"/>
    </row>
    <row r="4508">
      <c r="C4508" s="41"/>
      <c r="D4508" s="142"/>
      <c r="E4508" s="130"/>
      <c r="F4508" s="128"/>
      <c r="G4508" s="128"/>
      <c r="H4508" s="128"/>
      <c r="I4508" s="128"/>
      <c r="J4508" s="81"/>
      <c r="K4508" s="81"/>
      <c r="L4508" s="81"/>
      <c r="M4508" s="81"/>
      <c r="N4508" s="82"/>
    </row>
    <row r="4509">
      <c r="C4509" s="41"/>
      <c r="D4509" s="141"/>
      <c r="E4509" s="118"/>
      <c r="F4509" s="126"/>
      <c r="G4509" s="126"/>
      <c r="H4509" s="126"/>
      <c r="I4509" s="126"/>
      <c r="J4509" s="76"/>
      <c r="K4509" s="76"/>
      <c r="L4509" s="76"/>
      <c r="M4509" s="76"/>
      <c r="N4509" s="114"/>
    </row>
    <row r="4510">
      <c r="C4510" s="41"/>
      <c r="D4510" s="142"/>
      <c r="E4510" s="130"/>
      <c r="F4510" s="128"/>
      <c r="G4510" s="128"/>
      <c r="H4510" s="128"/>
      <c r="I4510" s="128"/>
      <c r="J4510" s="81"/>
      <c r="K4510" s="81"/>
      <c r="L4510" s="81"/>
      <c r="M4510" s="81"/>
      <c r="N4510" s="82"/>
    </row>
    <row r="4511">
      <c r="C4511" s="41"/>
      <c r="D4511" s="141"/>
      <c r="E4511" s="118"/>
      <c r="F4511" s="126"/>
      <c r="G4511" s="126"/>
      <c r="H4511" s="126"/>
      <c r="I4511" s="126"/>
      <c r="J4511" s="76"/>
      <c r="K4511" s="76"/>
      <c r="L4511" s="76"/>
      <c r="M4511" s="76"/>
      <c r="N4511" s="114"/>
    </row>
    <row r="4512">
      <c r="C4512" s="41"/>
      <c r="D4512" s="142"/>
      <c r="E4512" s="130"/>
      <c r="F4512" s="128"/>
      <c r="G4512" s="128"/>
      <c r="H4512" s="128"/>
      <c r="I4512" s="128"/>
      <c r="J4512" s="81"/>
      <c r="K4512" s="81"/>
      <c r="L4512" s="81"/>
      <c r="M4512" s="81"/>
      <c r="N4512" s="82"/>
    </row>
    <row r="4513">
      <c r="C4513" s="41"/>
      <c r="D4513" s="141"/>
      <c r="E4513" s="118"/>
      <c r="F4513" s="126"/>
      <c r="G4513" s="126"/>
      <c r="H4513" s="126"/>
      <c r="I4513" s="126"/>
      <c r="J4513" s="76"/>
      <c r="K4513" s="76"/>
      <c r="L4513" s="76"/>
      <c r="M4513" s="76"/>
      <c r="N4513" s="114"/>
    </row>
    <row r="4514">
      <c r="C4514" s="41"/>
      <c r="D4514" s="142"/>
      <c r="E4514" s="130"/>
      <c r="F4514" s="128"/>
      <c r="G4514" s="128"/>
      <c r="H4514" s="128"/>
      <c r="I4514" s="128"/>
      <c r="J4514" s="81"/>
      <c r="K4514" s="81"/>
      <c r="L4514" s="81"/>
      <c r="M4514" s="81"/>
      <c r="N4514" s="82"/>
    </row>
    <row r="4515">
      <c r="C4515" s="41"/>
      <c r="D4515" s="141"/>
      <c r="E4515" s="118"/>
      <c r="F4515" s="126"/>
      <c r="G4515" s="126"/>
      <c r="H4515" s="126"/>
      <c r="I4515" s="126"/>
      <c r="J4515" s="76"/>
      <c r="K4515" s="76"/>
      <c r="L4515" s="76"/>
      <c r="M4515" s="76"/>
      <c r="N4515" s="114"/>
    </row>
    <row r="4516">
      <c r="C4516" s="41"/>
      <c r="D4516" s="142"/>
      <c r="E4516" s="130"/>
      <c r="F4516" s="128"/>
      <c r="G4516" s="128"/>
      <c r="H4516" s="128"/>
      <c r="I4516" s="128"/>
      <c r="J4516" s="81"/>
      <c r="K4516" s="81"/>
      <c r="L4516" s="81"/>
      <c r="M4516" s="81"/>
      <c r="N4516" s="82"/>
    </row>
    <row r="4517">
      <c r="C4517" s="41"/>
      <c r="D4517" s="141"/>
      <c r="E4517" s="118"/>
      <c r="F4517" s="126"/>
      <c r="G4517" s="126"/>
      <c r="H4517" s="126"/>
      <c r="I4517" s="126"/>
      <c r="J4517" s="76"/>
      <c r="K4517" s="76"/>
      <c r="L4517" s="76"/>
      <c r="M4517" s="76"/>
      <c r="N4517" s="114"/>
    </row>
    <row r="4518">
      <c r="C4518" s="41"/>
      <c r="D4518" s="142"/>
      <c r="E4518" s="130"/>
      <c r="F4518" s="128"/>
      <c r="G4518" s="128"/>
      <c r="H4518" s="128"/>
      <c r="I4518" s="128"/>
      <c r="J4518" s="81"/>
      <c r="K4518" s="81"/>
      <c r="L4518" s="81"/>
      <c r="M4518" s="81"/>
      <c r="N4518" s="82"/>
    </row>
    <row r="4519">
      <c r="C4519" s="41"/>
      <c r="D4519" s="141"/>
      <c r="E4519" s="118"/>
      <c r="F4519" s="126"/>
      <c r="G4519" s="126"/>
      <c r="H4519" s="126"/>
      <c r="I4519" s="126"/>
      <c r="J4519" s="76"/>
      <c r="K4519" s="76"/>
      <c r="L4519" s="76"/>
      <c r="M4519" s="76"/>
      <c r="N4519" s="114"/>
    </row>
    <row r="4520">
      <c r="C4520" s="41"/>
      <c r="D4520" s="142"/>
      <c r="E4520" s="130"/>
      <c r="F4520" s="128"/>
      <c r="G4520" s="128"/>
      <c r="H4520" s="128"/>
      <c r="I4520" s="128"/>
      <c r="J4520" s="81"/>
      <c r="K4520" s="81"/>
      <c r="L4520" s="81"/>
      <c r="M4520" s="81"/>
      <c r="N4520" s="82"/>
    </row>
    <row r="4521">
      <c r="C4521" s="41"/>
      <c r="D4521" s="141"/>
      <c r="E4521" s="118"/>
      <c r="F4521" s="126"/>
      <c r="G4521" s="126"/>
      <c r="H4521" s="126"/>
      <c r="I4521" s="126"/>
      <c r="J4521" s="76"/>
      <c r="K4521" s="76"/>
      <c r="L4521" s="76"/>
      <c r="M4521" s="76"/>
      <c r="N4521" s="114"/>
    </row>
    <row r="4522">
      <c r="C4522" s="41"/>
      <c r="D4522" s="142"/>
      <c r="E4522" s="130"/>
      <c r="F4522" s="128"/>
      <c r="G4522" s="128"/>
      <c r="H4522" s="128"/>
      <c r="I4522" s="128"/>
      <c r="J4522" s="81"/>
      <c r="K4522" s="81"/>
      <c r="L4522" s="81"/>
      <c r="M4522" s="81"/>
      <c r="N4522" s="82"/>
    </row>
    <row r="4523">
      <c r="C4523" s="41"/>
      <c r="D4523" s="141"/>
      <c r="E4523" s="118"/>
      <c r="F4523" s="126"/>
      <c r="G4523" s="126"/>
      <c r="H4523" s="126"/>
      <c r="I4523" s="126"/>
      <c r="J4523" s="76"/>
      <c r="K4523" s="76"/>
      <c r="L4523" s="76"/>
      <c r="M4523" s="76"/>
      <c r="N4523" s="114"/>
    </row>
    <row r="4524">
      <c r="C4524" s="41"/>
      <c r="D4524" s="142"/>
      <c r="E4524" s="130"/>
      <c r="F4524" s="128"/>
      <c r="G4524" s="128"/>
      <c r="H4524" s="128"/>
      <c r="I4524" s="128"/>
      <c r="J4524" s="81"/>
      <c r="K4524" s="81"/>
      <c r="L4524" s="81"/>
      <c r="M4524" s="81"/>
      <c r="N4524" s="82"/>
    </row>
    <row r="4525">
      <c r="C4525" s="41"/>
      <c r="D4525" s="141"/>
      <c r="E4525" s="118"/>
      <c r="F4525" s="126"/>
      <c r="G4525" s="126"/>
      <c r="H4525" s="126"/>
      <c r="I4525" s="126"/>
      <c r="J4525" s="76"/>
      <c r="K4525" s="76"/>
      <c r="L4525" s="76"/>
      <c r="M4525" s="76"/>
      <c r="N4525" s="114"/>
    </row>
    <row r="4526">
      <c r="C4526" s="41"/>
      <c r="D4526" s="142"/>
      <c r="E4526" s="130"/>
      <c r="F4526" s="128"/>
      <c r="G4526" s="128"/>
      <c r="H4526" s="128"/>
      <c r="I4526" s="128"/>
      <c r="J4526" s="81"/>
      <c r="K4526" s="81"/>
      <c r="L4526" s="81"/>
      <c r="M4526" s="81"/>
      <c r="N4526" s="82"/>
    </row>
    <row r="4527">
      <c r="C4527" s="41"/>
      <c r="D4527" s="141"/>
      <c r="E4527" s="118"/>
      <c r="F4527" s="126"/>
      <c r="G4527" s="126"/>
      <c r="H4527" s="126"/>
      <c r="I4527" s="126"/>
      <c r="J4527" s="76"/>
      <c r="K4527" s="76"/>
      <c r="L4527" s="76"/>
      <c r="M4527" s="76"/>
      <c r="N4527" s="114"/>
    </row>
    <row r="4528">
      <c r="C4528" s="41"/>
      <c r="D4528" s="142"/>
      <c r="E4528" s="130"/>
      <c r="F4528" s="128"/>
      <c r="G4528" s="128"/>
      <c r="H4528" s="128"/>
      <c r="I4528" s="128"/>
      <c r="J4528" s="81"/>
      <c r="K4528" s="81"/>
      <c r="L4528" s="81"/>
      <c r="M4528" s="81"/>
      <c r="N4528" s="82"/>
    </row>
    <row r="4529">
      <c r="C4529" s="41"/>
      <c r="D4529" s="141"/>
      <c r="E4529" s="118"/>
      <c r="F4529" s="126"/>
      <c r="G4529" s="126"/>
      <c r="H4529" s="126"/>
      <c r="I4529" s="126"/>
      <c r="J4529" s="76"/>
      <c r="K4529" s="76"/>
      <c r="L4529" s="76"/>
      <c r="M4529" s="76"/>
      <c r="N4529" s="114"/>
    </row>
    <row r="4530">
      <c r="C4530" s="41"/>
      <c r="D4530" s="142"/>
      <c r="E4530" s="130"/>
      <c r="F4530" s="128"/>
      <c r="G4530" s="128"/>
      <c r="H4530" s="128"/>
      <c r="I4530" s="128"/>
      <c r="J4530" s="81"/>
      <c r="K4530" s="81"/>
      <c r="L4530" s="81"/>
      <c r="M4530" s="81"/>
      <c r="N4530" s="82"/>
    </row>
    <row r="4531">
      <c r="C4531" s="41"/>
      <c r="D4531" s="141"/>
      <c r="E4531" s="118"/>
      <c r="F4531" s="126"/>
      <c r="G4531" s="126"/>
      <c r="H4531" s="126"/>
      <c r="I4531" s="126"/>
      <c r="J4531" s="76"/>
      <c r="K4531" s="76"/>
      <c r="L4531" s="76"/>
      <c r="M4531" s="76"/>
      <c r="N4531" s="114"/>
    </row>
    <row r="4532">
      <c r="C4532" s="41"/>
      <c r="D4532" s="142"/>
      <c r="E4532" s="130"/>
      <c r="F4532" s="128"/>
      <c r="G4532" s="128"/>
      <c r="H4532" s="128"/>
      <c r="I4532" s="128"/>
      <c r="J4532" s="81"/>
      <c r="K4532" s="81"/>
      <c r="L4532" s="81"/>
      <c r="M4532" s="81"/>
      <c r="N4532" s="82"/>
    </row>
    <row r="4533">
      <c r="C4533" s="41"/>
      <c r="D4533" s="141"/>
      <c r="E4533" s="118"/>
      <c r="F4533" s="126"/>
      <c r="G4533" s="126"/>
      <c r="H4533" s="126"/>
      <c r="I4533" s="126"/>
      <c r="J4533" s="76"/>
      <c r="K4533" s="76"/>
      <c r="L4533" s="76"/>
      <c r="M4533" s="76"/>
      <c r="N4533" s="114"/>
    </row>
    <row r="4534">
      <c r="C4534" s="41"/>
      <c r="D4534" s="142"/>
      <c r="E4534" s="130"/>
      <c r="F4534" s="128"/>
      <c r="G4534" s="128"/>
      <c r="H4534" s="128"/>
      <c r="I4534" s="128"/>
      <c r="J4534" s="81"/>
      <c r="K4534" s="81"/>
      <c r="L4534" s="81"/>
      <c r="M4534" s="81"/>
      <c r="N4534" s="82"/>
    </row>
    <row r="4535">
      <c r="C4535" s="41"/>
      <c r="D4535" s="141"/>
      <c r="E4535" s="118"/>
      <c r="F4535" s="126"/>
      <c r="G4535" s="126"/>
      <c r="H4535" s="126"/>
      <c r="I4535" s="126"/>
      <c r="J4535" s="76"/>
      <c r="K4535" s="76"/>
      <c r="L4535" s="76"/>
      <c r="M4535" s="76"/>
      <c r="N4535" s="114"/>
    </row>
    <row r="4536">
      <c r="C4536" s="41"/>
      <c r="D4536" s="142"/>
      <c r="E4536" s="130"/>
      <c r="F4536" s="128"/>
      <c r="G4536" s="128"/>
      <c r="H4536" s="128"/>
      <c r="I4536" s="128"/>
      <c r="J4536" s="81"/>
      <c r="K4536" s="81"/>
      <c r="L4536" s="81"/>
      <c r="M4536" s="81"/>
      <c r="N4536" s="82"/>
    </row>
    <row r="4537">
      <c r="C4537" s="41"/>
      <c r="D4537" s="141"/>
      <c r="E4537" s="118"/>
      <c r="F4537" s="126"/>
      <c r="G4537" s="126"/>
      <c r="H4537" s="126"/>
      <c r="I4537" s="126"/>
      <c r="J4537" s="76"/>
      <c r="K4537" s="76"/>
      <c r="L4537" s="76"/>
      <c r="M4537" s="76"/>
      <c r="N4537" s="114"/>
    </row>
    <row r="4538">
      <c r="C4538" s="41"/>
      <c r="D4538" s="142"/>
      <c r="E4538" s="130"/>
      <c r="F4538" s="128"/>
      <c r="G4538" s="128"/>
      <c r="H4538" s="128"/>
      <c r="I4538" s="128"/>
      <c r="J4538" s="81"/>
      <c r="K4538" s="81"/>
      <c r="L4538" s="81"/>
      <c r="M4538" s="81"/>
      <c r="N4538" s="82"/>
    </row>
    <row r="4539">
      <c r="C4539" s="41"/>
      <c r="D4539" s="141"/>
      <c r="E4539" s="118"/>
      <c r="F4539" s="126"/>
      <c r="G4539" s="126"/>
      <c r="H4539" s="126"/>
      <c r="I4539" s="126"/>
      <c r="J4539" s="76"/>
      <c r="K4539" s="76"/>
      <c r="L4539" s="76"/>
      <c r="M4539" s="76"/>
      <c r="N4539" s="114"/>
    </row>
    <row r="4540">
      <c r="C4540" s="41"/>
      <c r="D4540" s="142"/>
      <c r="E4540" s="130"/>
      <c r="F4540" s="128"/>
      <c r="G4540" s="128"/>
      <c r="H4540" s="128"/>
      <c r="I4540" s="128"/>
      <c r="J4540" s="81"/>
      <c r="K4540" s="81"/>
      <c r="L4540" s="81"/>
      <c r="M4540" s="81"/>
      <c r="N4540" s="82"/>
    </row>
    <row r="4541">
      <c r="C4541" s="41"/>
      <c r="D4541" s="141"/>
      <c r="E4541" s="118"/>
      <c r="F4541" s="126"/>
      <c r="G4541" s="126"/>
      <c r="H4541" s="126"/>
      <c r="I4541" s="126"/>
      <c r="J4541" s="76"/>
      <c r="K4541" s="76"/>
      <c r="L4541" s="76"/>
      <c r="M4541" s="76"/>
      <c r="N4541" s="114"/>
    </row>
    <row r="4542">
      <c r="C4542" s="41"/>
      <c r="D4542" s="142"/>
      <c r="E4542" s="130"/>
      <c r="F4542" s="128"/>
      <c r="G4542" s="128"/>
      <c r="H4542" s="128"/>
      <c r="I4542" s="128"/>
      <c r="J4542" s="81"/>
      <c r="K4542" s="81"/>
      <c r="L4542" s="81"/>
      <c r="M4542" s="81"/>
      <c r="N4542" s="82"/>
    </row>
    <row r="4543">
      <c r="C4543" s="41"/>
      <c r="D4543" s="141"/>
      <c r="E4543" s="118"/>
      <c r="F4543" s="126"/>
      <c r="G4543" s="126"/>
      <c r="H4543" s="126"/>
      <c r="I4543" s="126"/>
      <c r="J4543" s="76"/>
      <c r="K4543" s="76"/>
      <c r="L4543" s="76"/>
      <c r="M4543" s="76"/>
      <c r="N4543" s="114"/>
    </row>
    <row r="4544">
      <c r="C4544" s="41"/>
      <c r="D4544" s="142"/>
      <c r="E4544" s="130"/>
      <c r="F4544" s="128"/>
      <c r="G4544" s="128"/>
      <c r="H4544" s="128"/>
      <c r="I4544" s="128"/>
      <c r="J4544" s="81"/>
      <c r="K4544" s="81"/>
      <c r="L4544" s="81"/>
      <c r="M4544" s="81"/>
      <c r="N4544" s="82"/>
    </row>
    <row r="4545">
      <c r="C4545" s="41"/>
      <c r="D4545" s="141"/>
      <c r="E4545" s="118"/>
      <c r="F4545" s="126"/>
      <c r="G4545" s="126"/>
      <c r="H4545" s="126"/>
      <c r="I4545" s="126"/>
      <c r="J4545" s="76"/>
      <c r="K4545" s="76"/>
      <c r="L4545" s="76"/>
      <c r="M4545" s="76"/>
      <c r="N4545" s="114"/>
    </row>
    <row r="4546">
      <c r="C4546" s="41"/>
      <c r="D4546" s="142"/>
      <c r="E4546" s="130"/>
      <c r="F4546" s="128"/>
      <c r="G4546" s="128"/>
      <c r="H4546" s="128"/>
      <c r="I4546" s="128"/>
      <c r="J4546" s="81"/>
      <c r="K4546" s="81"/>
      <c r="L4546" s="81"/>
      <c r="M4546" s="81"/>
      <c r="N4546" s="82"/>
    </row>
    <row r="4547">
      <c r="C4547" s="41"/>
      <c r="D4547" s="141"/>
      <c r="E4547" s="118"/>
      <c r="F4547" s="126"/>
      <c r="G4547" s="126"/>
      <c r="H4547" s="126"/>
      <c r="I4547" s="126"/>
      <c r="J4547" s="76"/>
      <c r="K4547" s="76"/>
      <c r="L4547" s="76"/>
      <c r="M4547" s="76"/>
      <c r="N4547" s="114"/>
    </row>
    <row r="4548">
      <c r="C4548" s="41"/>
      <c r="D4548" s="142"/>
      <c r="E4548" s="130"/>
      <c r="F4548" s="128"/>
      <c r="G4548" s="128"/>
      <c r="H4548" s="128"/>
      <c r="I4548" s="128"/>
      <c r="J4548" s="81"/>
      <c r="K4548" s="81"/>
      <c r="L4548" s="81"/>
      <c r="M4548" s="81"/>
      <c r="N4548" s="82"/>
    </row>
    <row r="4549">
      <c r="C4549" s="41"/>
      <c r="D4549" s="141"/>
      <c r="E4549" s="118"/>
      <c r="F4549" s="126"/>
      <c r="G4549" s="126"/>
      <c r="H4549" s="126"/>
      <c r="I4549" s="126"/>
      <c r="J4549" s="76"/>
      <c r="K4549" s="76"/>
      <c r="L4549" s="76"/>
      <c r="M4549" s="76"/>
      <c r="N4549" s="114"/>
    </row>
    <row r="4550">
      <c r="C4550" s="41"/>
      <c r="D4550" s="142"/>
      <c r="E4550" s="130"/>
      <c r="F4550" s="128"/>
      <c r="G4550" s="128"/>
      <c r="H4550" s="128"/>
      <c r="I4550" s="128"/>
      <c r="J4550" s="81"/>
      <c r="K4550" s="81"/>
      <c r="L4550" s="81"/>
      <c r="M4550" s="81"/>
      <c r="N4550" s="82"/>
    </row>
    <row r="4551">
      <c r="C4551" s="41"/>
      <c r="D4551" s="141"/>
      <c r="E4551" s="118"/>
      <c r="F4551" s="126"/>
      <c r="G4551" s="126"/>
      <c r="H4551" s="126"/>
      <c r="I4551" s="126"/>
      <c r="J4551" s="76"/>
      <c r="K4551" s="76"/>
      <c r="L4551" s="76"/>
      <c r="M4551" s="76"/>
      <c r="N4551" s="114"/>
    </row>
    <row r="4552">
      <c r="C4552" s="41"/>
      <c r="D4552" s="142"/>
      <c r="E4552" s="130"/>
      <c r="F4552" s="128"/>
      <c r="G4552" s="128"/>
      <c r="H4552" s="128"/>
      <c r="I4552" s="128"/>
      <c r="J4552" s="81"/>
      <c r="K4552" s="81"/>
      <c r="L4552" s="81"/>
      <c r="M4552" s="81"/>
      <c r="N4552" s="82"/>
    </row>
    <row r="4553">
      <c r="C4553" s="41"/>
      <c r="D4553" s="141"/>
      <c r="E4553" s="118"/>
      <c r="F4553" s="126"/>
      <c r="G4553" s="126"/>
      <c r="H4553" s="126"/>
      <c r="I4553" s="126"/>
      <c r="J4553" s="76"/>
      <c r="K4553" s="76"/>
      <c r="L4553" s="76"/>
      <c r="M4553" s="76"/>
      <c r="N4553" s="114"/>
    </row>
    <row r="4554">
      <c r="C4554" s="41"/>
      <c r="D4554" s="142"/>
      <c r="E4554" s="130"/>
      <c r="F4554" s="128"/>
      <c r="G4554" s="128"/>
      <c r="H4554" s="128"/>
      <c r="I4554" s="128"/>
      <c r="J4554" s="81"/>
      <c r="K4554" s="81"/>
      <c r="L4554" s="81"/>
      <c r="M4554" s="81"/>
      <c r="N4554" s="82"/>
    </row>
    <row r="4555">
      <c r="C4555" s="41"/>
      <c r="D4555" s="141"/>
      <c r="E4555" s="118"/>
      <c r="F4555" s="126"/>
      <c r="G4555" s="126"/>
      <c r="H4555" s="126"/>
      <c r="I4555" s="126"/>
      <c r="J4555" s="76"/>
      <c r="K4555" s="76"/>
      <c r="L4555" s="76"/>
      <c r="M4555" s="76"/>
      <c r="N4555" s="114"/>
    </row>
    <row r="4556">
      <c r="C4556" s="41"/>
      <c r="D4556" s="142"/>
      <c r="E4556" s="130"/>
      <c r="F4556" s="128"/>
      <c r="G4556" s="128"/>
      <c r="H4556" s="128"/>
      <c r="I4556" s="128"/>
      <c r="J4556" s="81"/>
      <c r="K4556" s="81"/>
      <c r="L4556" s="81"/>
      <c r="M4556" s="81"/>
      <c r="N4556" s="82"/>
    </row>
    <row r="4557">
      <c r="C4557" s="41"/>
      <c r="D4557" s="141"/>
      <c r="E4557" s="118"/>
      <c r="F4557" s="126"/>
      <c r="G4557" s="126"/>
      <c r="H4557" s="126"/>
      <c r="I4557" s="126"/>
      <c r="J4557" s="76"/>
      <c r="K4557" s="76"/>
      <c r="L4557" s="76"/>
      <c r="M4557" s="76"/>
      <c r="N4557" s="114"/>
    </row>
    <row r="4558">
      <c r="C4558" s="41"/>
      <c r="D4558" s="142"/>
      <c r="E4558" s="130"/>
      <c r="F4558" s="128"/>
      <c r="G4558" s="128"/>
      <c r="H4558" s="128"/>
      <c r="I4558" s="128"/>
      <c r="J4558" s="81"/>
      <c r="K4558" s="81"/>
      <c r="L4558" s="81"/>
      <c r="M4558" s="81"/>
      <c r="N4558" s="82"/>
    </row>
    <row r="4559">
      <c r="C4559" s="41"/>
      <c r="D4559" s="141"/>
      <c r="E4559" s="118"/>
      <c r="F4559" s="126"/>
      <c r="G4559" s="126"/>
      <c r="H4559" s="126"/>
      <c r="I4559" s="126"/>
      <c r="J4559" s="76"/>
      <c r="K4559" s="76"/>
      <c r="L4559" s="76"/>
      <c r="M4559" s="76"/>
      <c r="N4559" s="114"/>
    </row>
    <row r="4560">
      <c r="C4560" s="41"/>
      <c r="D4560" s="142"/>
      <c r="E4560" s="130"/>
      <c r="F4560" s="128"/>
      <c r="G4560" s="128"/>
      <c r="H4560" s="128"/>
      <c r="I4560" s="128"/>
      <c r="J4560" s="81"/>
      <c r="K4560" s="81"/>
      <c r="L4560" s="81"/>
      <c r="M4560" s="81"/>
      <c r="N4560" s="82"/>
    </row>
    <row r="4561">
      <c r="C4561" s="41"/>
      <c r="D4561" s="141"/>
      <c r="E4561" s="118"/>
      <c r="F4561" s="126"/>
      <c r="G4561" s="126"/>
      <c r="H4561" s="126"/>
      <c r="I4561" s="126"/>
      <c r="J4561" s="76"/>
      <c r="K4561" s="76"/>
      <c r="L4561" s="76"/>
      <c r="M4561" s="76"/>
      <c r="N4561" s="114"/>
    </row>
    <row r="4562">
      <c r="C4562" s="41"/>
      <c r="D4562" s="142"/>
      <c r="E4562" s="130"/>
      <c r="F4562" s="128"/>
      <c r="G4562" s="128"/>
      <c r="H4562" s="128"/>
      <c r="I4562" s="128"/>
      <c r="J4562" s="81"/>
      <c r="K4562" s="81"/>
      <c r="L4562" s="81"/>
      <c r="M4562" s="81"/>
      <c r="N4562" s="82"/>
    </row>
    <row r="4563">
      <c r="C4563" s="41"/>
      <c r="D4563" s="141"/>
      <c r="E4563" s="118"/>
      <c r="F4563" s="126"/>
      <c r="G4563" s="126"/>
      <c r="H4563" s="126"/>
      <c r="I4563" s="126"/>
      <c r="J4563" s="76"/>
      <c r="K4563" s="76"/>
      <c r="L4563" s="76"/>
      <c r="M4563" s="76"/>
      <c r="N4563" s="114"/>
    </row>
    <row r="4564">
      <c r="C4564" s="41"/>
      <c r="D4564" s="142"/>
      <c r="E4564" s="130"/>
      <c r="F4564" s="128"/>
      <c r="G4564" s="128"/>
      <c r="H4564" s="128"/>
      <c r="I4564" s="128"/>
      <c r="J4564" s="81"/>
      <c r="K4564" s="81"/>
      <c r="L4564" s="81"/>
      <c r="M4564" s="81"/>
      <c r="N4564" s="82"/>
    </row>
    <row r="4565">
      <c r="C4565" s="41"/>
      <c r="D4565" s="141"/>
      <c r="E4565" s="118"/>
      <c r="F4565" s="126"/>
      <c r="G4565" s="126"/>
      <c r="H4565" s="126"/>
      <c r="I4565" s="126"/>
      <c r="J4565" s="76"/>
      <c r="K4565" s="76"/>
      <c r="L4565" s="76"/>
      <c r="M4565" s="76"/>
      <c r="N4565" s="114"/>
    </row>
    <row r="4566">
      <c r="C4566" s="41"/>
      <c r="D4566" s="142"/>
      <c r="E4566" s="130"/>
      <c r="F4566" s="128"/>
      <c r="G4566" s="128"/>
      <c r="H4566" s="128"/>
      <c r="I4566" s="128"/>
      <c r="J4566" s="81"/>
      <c r="K4566" s="81"/>
      <c r="L4566" s="81"/>
      <c r="M4566" s="81"/>
      <c r="N4566" s="82"/>
    </row>
    <row r="4567">
      <c r="C4567" s="41"/>
      <c r="D4567" s="141"/>
      <c r="E4567" s="118"/>
      <c r="F4567" s="126"/>
      <c r="G4567" s="126"/>
      <c r="H4567" s="126"/>
      <c r="I4567" s="126"/>
      <c r="J4567" s="76"/>
      <c r="K4567" s="76"/>
      <c r="L4567" s="76"/>
      <c r="M4567" s="76"/>
      <c r="N4567" s="114"/>
    </row>
    <row r="4568">
      <c r="C4568" s="41"/>
      <c r="D4568" s="142"/>
      <c r="E4568" s="130"/>
      <c r="F4568" s="128"/>
      <c r="G4568" s="128"/>
      <c r="H4568" s="128"/>
      <c r="I4568" s="128"/>
      <c r="J4568" s="81"/>
      <c r="K4568" s="81"/>
      <c r="L4568" s="81"/>
      <c r="M4568" s="81"/>
      <c r="N4568" s="82"/>
    </row>
    <row r="4569">
      <c r="C4569" s="41"/>
      <c r="D4569" s="141"/>
      <c r="E4569" s="118"/>
      <c r="F4569" s="126"/>
      <c r="G4569" s="126"/>
      <c r="H4569" s="126"/>
      <c r="I4569" s="126"/>
      <c r="J4569" s="76"/>
      <c r="K4569" s="76"/>
      <c r="L4569" s="76"/>
      <c r="M4569" s="76"/>
      <c r="N4569" s="114"/>
    </row>
    <row r="4570">
      <c r="C4570" s="41"/>
      <c r="D4570" s="142"/>
      <c r="E4570" s="130"/>
      <c r="F4570" s="128"/>
      <c r="G4570" s="128"/>
      <c r="H4570" s="128"/>
      <c r="I4570" s="128"/>
      <c r="J4570" s="81"/>
      <c r="K4570" s="81"/>
      <c r="L4570" s="81"/>
      <c r="M4570" s="81"/>
      <c r="N4570" s="82"/>
    </row>
    <row r="4571">
      <c r="C4571" s="41"/>
      <c r="D4571" s="141"/>
      <c r="E4571" s="118"/>
      <c r="F4571" s="126"/>
      <c r="G4571" s="126"/>
      <c r="H4571" s="126"/>
      <c r="I4571" s="126"/>
      <c r="J4571" s="76"/>
      <c r="K4571" s="76"/>
      <c r="L4571" s="76"/>
      <c r="M4571" s="76"/>
      <c r="N4571" s="114"/>
    </row>
    <row r="4572">
      <c r="C4572" s="41"/>
      <c r="D4572" s="142"/>
      <c r="E4572" s="130"/>
      <c r="F4572" s="128"/>
      <c r="G4572" s="128"/>
      <c r="H4572" s="128"/>
      <c r="I4572" s="128"/>
      <c r="J4572" s="81"/>
      <c r="K4572" s="81"/>
      <c r="L4572" s="81"/>
      <c r="M4572" s="81"/>
      <c r="N4572" s="82"/>
    </row>
    <row r="4573">
      <c r="C4573" s="41"/>
      <c r="D4573" s="141"/>
      <c r="E4573" s="118"/>
      <c r="F4573" s="126"/>
      <c r="G4573" s="126"/>
      <c r="H4573" s="126"/>
      <c r="I4573" s="126"/>
      <c r="J4573" s="76"/>
      <c r="K4573" s="76"/>
      <c r="L4573" s="76"/>
      <c r="M4573" s="76"/>
      <c r="N4573" s="114"/>
    </row>
    <row r="4574">
      <c r="C4574" s="41"/>
      <c r="D4574" s="142"/>
      <c r="E4574" s="130"/>
      <c r="F4574" s="128"/>
      <c r="G4574" s="128"/>
      <c r="H4574" s="128"/>
      <c r="I4574" s="128"/>
      <c r="J4574" s="81"/>
      <c r="K4574" s="81"/>
      <c r="L4574" s="81"/>
      <c r="M4574" s="81"/>
      <c r="N4574" s="82"/>
    </row>
    <row r="4575">
      <c r="C4575" s="41"/>
      <c r="D4575" s="141"/>
      <c r="E4575" s="118"/>
      <c r="F4575" s="126"/>
      <c r="G4575" s="126"/>
      <c r="H4575" s="126"/>
      <c r="I4575" s="126"/>
      <c r="J4575" s="76"/>
      <c r="K4575" s="76"/>
      <c r="L4575" s="76"/>
      <c r="M4575" s="76"/>
      <c r="N4575" s="114"/>
    </row>
    <row r="4576">
      <c r="C4576" s="41"/>
      <c r="D4576" s="142"/>
      <c r="E4576" s="130"/>
      <c r="F4576" s="128"/>
      <c r="G4576" s="128"/>
      <c r="H4576" s="128"/>
      <c r="I4576" s="128"/>
      <c r="J4576" s="81"/>
      <c r="K4576" s="81"/>
      <c r="L4576" s="81"/>
      <c r="M4576" s="81"/>
      <c r="N4576" s="82"/>
    </row>
    <row r="4577">
      <c r="C4577" s="41"/>
      <c r="D4577" s="141"/>
      <c r="E4577" s="118"/>
      <c r="F4577" s="126"/>
      <c r="G4577" s="126"/>
      <c r="H4577" s="126"/>
      <c r="I4577" s="126"/>
      <c r="J4577" s="76"/>
      <c r="K4577" s="76"/>
      <c r="L4577" s="76"/>
      <c r="M4577" s="76"/>
      <c r="N4577" s="114"/>
    </row>
    <row r="4578">
      <c r="C4578" s="41"/>
      <c r="D4578" s="142"/>
      <c r="E4578" s="130"/>
      <c r="F4578" s="128"/>
      <c r="G4578" s="128"/>
      <c r="H4578" s="128"/>
      <c r="I4578" s="128"/>
      <c r="J4578" s="81"/>
      <c r="K4578" s="81"/>
      <c r="L4578" s="81"/>
      <c r="M4578" s="81"/>
      <c r="N4578" s="82"/>
    </row>
    <row r="4579">
      <c r="C4579" s="41"/>
      <c r="D4579" s="141"/>
      <c r="E4579" s="118"/>
      <c r="F4579" s="126"/>
      <c r="G4579" s="126"/>
      <c r="H4579" s="126"/>
      <c r="I4579" s="126"/>
      <c r="J4579" s="76"/>
      <c r="K4579" s="76"/>
      <c r="L4579" s="76"/>
      <c r="M4579" s="76"/>
      <c r="N4579" s="114"/>
    </row>
    <row r="4580">
      <c r="C4580" s="41"/>
      <c r="D4580" s="142"/>
      <c r="E4580" s="130"/>
      <c r="F4580" s="128"/>
      <c r="G4580" s="128"/>
      <c r="H4580" s="128"/>
      <c r="I4580" s="128"/>
      <c r="J4580" s="81"/>
      <c r="K4580" s="81"/>
      <c r="L4580" s="81"/>
      <c r="M4580" s="81"/>
      <c r="N4580" s="82"/>
    </row>
    <row r="4581">
      <c r="C4581" s="41"/>
      <c r="D4581" s="141"/>
      <c r="E4581" s="118"/>
      <c r="F4581" s="126"/>
      <c r="G4581" s="126"/>
      <c r="H4581" s="126"/>
      <c r="I4581" s="126"/>
      <c r="J4581" s="76"/>
      <c r="K4581" s="76"/>
      <c r="L4581" s="76"/>
      <c r="M4581" s="76"/>
      <c r="N4581" s="114"/>
    </row>
    <row r="4582">
      <c r="C4582" s="41"/>
      <c r="D4582" s="142"/>
      <c r="E4582" s="130"/>
      <c r="F4582" s="128"/>
      <c r="G4582" s="128"/>
      <c r="H4582" s="128"/>
      <c r="I4582" s="128"/>
      <c r="J4582" s="81"/>
      <c r="K4582" s="81"/>
      <c r="L4582" s="81"/>
      <c r="M4582" s="81"/>
      <c r="N4582" s="82"/>
    </row>
    <row r="4583">
      <c r="C4583" s="41"/>
      <c r="D4583" s="141"/>
      <c r="E4583" s="118"/>
      <c r="F4583" s="126"/>
      <c r="G4583" s="126"/>
      <c r="H4583" s="126"/>
      <c r="I4583" s="126"/>
      <c r="J4583" s="76"/>
      <c r="K4583" s="76"/>
      <c r="L4583" s="76"/>
      <c r="M4583" s="76"/>
      <c r="N4583" s="114"/>
    </row>
    <row r="4584">
      <c r="C4584" s="41"/>
      <c r="D4584" s="142"/>
      <c r="E4584" s="130"/>
      <c r="F4584" s="128"/>
      <c r="G4584" s="128"/>
      <c r="H4584" s="128"/>
      <c r="I4584" s="128"/>
      <c r="J4584" s="81"/>
      <c r="K4584" s="81"/>
      <c r="L4584" s="81"/>
      <c r="M4584" s="81"/>
      <c r="N4584" s="82"/>
    </row>
    <row r="4585">
      <c r="C4585" s="41"/>
      <c r="D4585" s="141"/>
      <c r="E4585" s="118"/>
      <c r="F4585" s="126"/>
      <c r="G4585" s="126"/>
      <c r="H4585" s="126"/>
      <c r="I4585" s="126"/>
      <c r="J4585" s="76"/>
      <c r="K4585" s="76"/>
      <c r="L4585" s="76"/>
      <c r="M4585" s="76"/>
      <c r="N4585" s="114"/>
    </row>
    <row r="4586">
      <c r="C4586" s="41"/>
      <c r="D4586" s="142"/>
      <c r="E4586" s="130"/>
      <c r="F4586" s="128"/>
      <c r="G4586" s="128"/>
      <c r="H4586" s="128"/>
      <c r="I4586" s="128"/>
      <c r="J4586" s="81"/>
      <c r="K4586" s="81"/>
      <c r="L4586" s="81"/>
      <c r="M4586" s="81"/>
      <c r="N4586" s="82"/>
    </row>
    <row r="4587">
      <c r="C4587" s="41"/>
      <c r="D4587" s="141"/>
      <c r="E4587" s="118"/>
      <c r="F4587" s="126"/>
      <c r="G4587" s="126"/>
      <c r="H4587" s="126"/>
      <c r="I4587" s="126"/>
      <c r="J4587" s="76"/>
      <c r="K4587" s="76"/>
      <c r="L4587" s="76"/>
      <c r="M4587" s="76"/>
      <c r="N4587" s="114"/>
    </row>
    <row r="4588">
      <c r="C4588" s="41"/>
      <c r="D4588" s="142"/>
      <c r="E4588" s="130"/>
      <c r="F4588" s="128"/>
      <c r="G4588" s="128"/>
      <c r="H4588" s="128"/>
      <c r="I4588" s="128"/>
      <c r="J4588" s="81"/>
      <c r="K4588" s="81"/>
      <c r="L4588" s="81"/>
      <c r="M4588" s="81"/>
      <c r="N4588" s="82"/>
    </row>
    <row r="4589">
      <c r="C4589" s="41"/>
      <c r="D4589" s="141"/>
      <c r="E4589" s="118"/>
      <c r="F4589" s="126"/>
      <c r="G4589" s="126"/>
      <c r="H4589" s="126"/>
      <c r="I4589" s="126"/>
      <c r="J4589" s="76"/>
      <c r="K4589" s="76"/>
      <c r="L4589" s="76"/>
      <c r="M4589" s="76"/>
      <c r="N4589" s="114"/>
    </row>
    <row r="4590">
      <c r="C4590" s="41"/>
      <c r="D4590" s="142"/>
      <c r="E4590" s="130"/>
      <c r="F4590" s="128"/>
      <c r="G4590" s="128"/>
      <c r="H4590" s="128"/>
      <c r="I4590" s="128"/>
      <c r="J4590" s="81"/>
      <c r="K4590" s="81"/>
      <c r="L4590" s="81"/>
      <c r="M4590" s="81"/>
      <c r="N4590" s="82"/>
    </row>
    <row r="4591">
      <c r="C4591" s="41"/>
      <c r="D4591" s="141"/>
      <c r="E4591" s="118"/>
      <c r="F4591" s="126"/>
      <c r="G4591" s="126"/>
      <c r="H4591" s="126"/>
      <c r="I4591" s="126"/>
      <c r="J4591" s="76"/>
      <c r="K4591" s="76"/>
      <c r="L4591" s="76"/>
      <c r="M4591" s="76"/>
      <c r="N4591" s="114"/>
    </row>
    <row r="4592">
      <c r="C4592" s="41"/>
      <c r="D4592" s="142"/>
      <c r="E4592" s="130"/>
      <c r="F4592" s="128"/>
      <c r="G4592" s="128"/>
      <c r="H4592" s="128"/>
      <c r="I4592" s="128"/>
      <c r="J4592" s="81"/>
      <c r="K4592" s="81"/>
      <c r="L4592" s="81"/>
      <c r="M4592" s="81"/>
      <c r="N4592" s="82"/>
    </row>
    <row r="4593">
      <c r="C4593" s="41"/>
      <c r="D4593" s="141"/>
      <c r="E4593" s="118"/>
      <c r="F4593" s="126"/>
      <c r="G4593" s="126"/>
      <c r="H4593" s="126"/>
      <c r="I4593" s="126"/>
      <c r="J4593" s="76"/>
      <c r="K4593" s="76"/>
      <c r="L4593" s="76"/>
      <c r="M4593" s="76"/>
      <c r="N4593" s="114"/>
    </row>
    <row r="4594">
      <c r="C4594" s="41"/>
      <c r="D4594" s="142"/>
      <c r="E4594" s="130"/>
      <c r="F4594" s="128"/>
      <c r="G4594" s="128"/>
      <c r="H4594" s="128"/>
      <c r="I4594" s="128"/>
      <c r="J4594" s="81"/>
      <c r="K4594" s="81"/>
      <c r="L4594" s="81"/>
      <c r="M4594" s="81"/>
      <c r="N4594" s="82"/>
    </row>
    <row r="4595">
      <c r="C4595" s="41"/>
      <c r="D4595" s="141"/>
      <c r="E4595" s="118"/>
      <c r="F4595" s="126"/>
      <c r="G4595" s="126"/>
      <c r="H4595" s="126"/>
      <c r="I4595" s="126"/>
      <c r="J4595" s="76"/>
      <c r="K4595" s="76"/>
      <c r="L4595" s="76"/>
      <c r="M4595" s="76"/>
      <c r="N4595" s="114"/>
    </row>
    <row r="4596">
      <c r="C4596" s="41"/>
      <c r="D4596" s="142"/>
      <c r="E4596" s="130"/>
      <c r="F4596" s="128"/>
      <c r="G4596" s="128"/>
      <c r="H4596" s="128"/>
      <c r="I4596" s="128"/>
      <c r="J4596" s="81"/>
      <c r="K4596" s="81"/>
      <c r="L4596" s="81"/>
      <c r="M4596" s="81"/>
      <c r="N4596" s="82"/>
    </row>
    <row r="4597">
      <c r="C4597" s="41"/>
      <c r="D4597" s="141"/>
      <c r="E4597" s="118"/>
      <c r="F4597" s="126"/>
      <c r="G4597" s="126"/>
      <c r="H4597" s="126"/>
      <c r="I4597" s="126"/>
      <c r="J4597" s="76"/>
      <c r="K4597" s="76"/>
      <c r="L4597" s="76"/>
      <c r="M4597" s="76"/>
      <c r="N4597" s="114"/>
    </row>
    <row r="4598">
      <c r="C4598" s="41"/>
      <c r="D4598" s="142"/>
      <c r="E4598" s="130"/>
      <c r="F4598" s="128"/>
      <c r="G4598" s="128"/>
      <c r="H4598" s="128"/>
      <c r="I4598" s="128"/>
      <c r="J4598" s="81"/>
      <c r="K4598" s="81"/>
      <c r="L4598" s="81"/>
      <c r="M4598" s="81"/>
      <c r="N4598" s="82"/>
    </row>
    <row r="4599">
      <c r="C4599" s="41"/>
      <c r="D4599" s="141"/>
      <c r="E4599" s="118"/>
      <c r="F4599" s="126"/>
      <c r="G4599" s="126"/>
      <c r="H4599" s="126"/>
      <c r="I4599" s="126"/>
      <c r="J4599" s="76"/>
      <c r="K4599" s="76"/>
      <c r="L4599" s="76"/>
      <c r="M4599" s="76"/>
      <c r="N4599" s="114"/>
    </row>
    <row r="4600">
      <c r="C4600" s="41"/>
      <c r="D4600" s="142"/>
      <c r="E4600" s="130"/>
      <c r="F4600" s="128"/>
      <c r="G4600" s="128"/>
      <c r="H4600" s="128"/>
      <c r="I4600" s="128"/>
      <c r="J4600" s="81"/>
      <c r="K4600" s="81"/>
      <c r="L4600" s="81"/>
      <c r="M4600" s="81"/>
      <c r="N4600" s="82"/>
    </row>
    <row r="4601">
      <c r="C4601" s="41"/>
      <c r="D4601" s="141"/>
      <c r="E4601" s="118"/>
      <c r="F4601" s="126"/>
      <c r="G4601" s="126"/>
      <c r="H4601" s="126"/>
      <c r="I4601" s="126"/>
      <c r="J4601" s="76"/>
      <c r="K4601" s="76"/>
      <c r="L4601" s="76"/>
      <c r="M4601" s="76"/>
      <c r="N4601" s="114"/>
    </row>
    <row r="4602">
      <c r="C4602" s="41"/>
      <c r="D4602" s="142"/>
      <c r="E4602" s="130"/>
      <c r="F4602" s="128"/>
      <c r="G4602" s="128"/>
      <c r="H4602" s="128"/>
      <c r="I4602" s="128"/>
      <c r="J4602" s="81"/>
      <c r="K4602" s="81"/>
      <c r="L4602" s="81"/>
      <c r="M4602" s="81"/>
      <c r="N4602" s="82"/>
    </row>
    <row r="4603">
      <c r="C4603" s="41"/>
      <c r="D4603" s="141"/>
      <c r="E4603" s="118"/>
      <c r="F4603" s="126"/>
      <c r="G4603" s="126"/>
      <c r="H4603" s="126"/>
      <c r="I4603" s="126"/>
      <c r="J4603" s="76"/>
      <c r="K4603" s="76"/>
      <c r="L4603" s="76"/>
      <c r="M4603" s="76"/>
      <c r="N4603" s="114"/>
    </row>
    <row r="4604">
      <c r="C4604" s="41"/>
      <c r="D4604" s="142"/>
      <c r="E4604" s="130"/>
      <c r="F4604" s="128"/>
      <c r="G4604" s="128"/>
      <c r="H4604" s="128"/>
      <c r="I4604" s="128"/>
      <c r="J4604" s="81"/>
      <c r="K4604" s="81"/>
      <c r="L4604" s="81"/>
      <c r="M4604" s="81"/>
      <c r="N4604" s="82"/>
    </row>
    <row r="4605">
      <c r="C4605" s="41"/>
      <c r="D4605" s="141"/>
      <c r="E4605" s="118"/>
      <c r="F4605" s="126"/>
      <c r="G4605" s="126"/>
      <c r="H4605" s="126"/>
      <c r="I4605" s="126"/>
      <c r="J4605" s="76"/>
      <c r="K4605" s="76"/>
      <c r="L4605" s="76"/>
      <c r="M4605" s="76"/>
      <c r="N4605" s="114"/>
    </row>
    <row r="4606">
      <c r="C4606" s="41"/>
      <c r="D4606" s="142"/>
      <c r="E4606" s="130"/>
      <c r="F4606" s="128"/>
      <c r="G4606" s="128"/>
      <c r="H4606" s="128"/>
      <c r="I4606" s="128"/>
      <c r="J4606" s="81"/>
      <c r="K4606" s="81"/>
      <c r="L4606" s="81"/>
      <c r="M4606" s="81"/>
      <c r="N4606" s="82"/>
    </row>
    <row r="4607">
      <c r="C4607" s="41"/>
      <c r="D4607" s="141"/>
      <c r="E4607" s="118"/>
      <c r="F4607" s="126"/>
      <c r="G4607" s="126"/>
      <c r="H4607" s="126"/>
      <c r="I4607" s="126"/>
      <c r="J4607" s="76"/>
      <c r="K4607" s="76"/>
      <c r="L4607" s="76"/>
      <c r="M4607" s="76"/>
      <c r="N4607" s="114"/>
    </row>
    <row r="4608">
      <c r="C4608" s="41"/>
      <c r="D4608" s="142"/>
      <c r="E4608" s="130"/>
      <c r="F4608" s="128"/>
      <c r="G4608" s="128"/>
      <c r="H4608" s="128"/>
      <c r="I4608" s="128"/>
      <c r="J4608" s="81"/>
      <c r="K4608" s="81"/>
      <c r="L4608" s="81"/>
      <c r="M4608" s="81"/>
      <c r="N4608" s="82"/>
    </row>
    <row r="4609">
      <c r="C4609" s="41"/>
      <c r="D4609" s="141"/>
      <c r="E4609" s="118"/>
      <c r="F4609" s="126"/>
      <c r="G4609" s="126"/>
      <c r="H4609" s="126"/>
      <c r="I4609" s="126"/>
      <c r="J4609" s="76"/>
      <c r="K4609" s="76"/>
      <c r="L4609" s="76"/>
      <c r="M4609" s="76"/>
      <c r="N4609" s="114"/>
    </row>
    <row r="4610">
      <c r="C4610" s="41"/>
      <c r="D4610" s="142"/>
      <c r="E4610" s="130"/>
      <c r="F4610" s="128"/>
      <c r="G4610" s="128"/>
      <c r="H4610" s="128"/>
      <c r="I4610" s="128"/>
      <c r="J4610" s="81"/>
      <c r="K4610" s="81"/>
      <c r="L4610" s="81"/>
      <c r="M4610" s="81"/>
      <c r="N4610" s="82"/>
    </row>
    <row r="4611">
      <c r="C4611" s="41"/>
      <c r="D4611" s="141"/>
      <c r="E4611" s="118"/>
      <c r="F4611" s="126"/>
      <c r="G4611" s="126"/>
      <c r="H4611" s="126"/>
      <c r="I4611" s="126"/>
      <c r="J4611" s="76"/>
      <c r="K4611" s="76"/>
      <c r="L4611" s="76"/>
      <c r="M4611" s="76"/>
      <c r="N4611" s="114"/>
    </row>
    <row r="4612">
      <c r="C4612" s="41"/>
      <c r="D4612" s="142"/>
      <c r="E4612" s="130"/>
      <c r="F4612" s="128"/>
      <c r="G4612" s="128"/>
      <c r="H4612" s="128"/>
      <c r="I4612" s="128"/>
      <c r="J4612" s="81"/>
      <c r="K4612" s="81"/>
      <c r="L4612" s="81"/>
      <c r="M4612" s="81"/>
      <c r="N4612" s="82"/>
    </row>
    <row r="4613">
      <c r="C4613" s="41"/>
      <c r="D4613" s="141"/>
      <c r="E4613" s="118"/>
      <c r="F4613" s="126"/>
      <c r="G4613" s="126"/>
      <c r="H4613" s="126"/>
      <c r="I4613" s="126"/>
      <c r="J4613" s="76"/>
      <c r="K4613" s="76"/>
      <c r="L4613" s="76"/>
      <c r="M4613" s="76"/>
      <c r="N4613" s="114"/>
    </row>
    <row r="4614">
      <c r="C4614" s="41"/>
      <c r="D4614" s="142"/>
      <c r="E4614" s="130"/>
      <c r="F4614" s="128"/>
      <c r="G4614" s="128"/>
      <c r="H4614" s="128"/>
      <c r="I4614" s="128"/>
      <c r="J4614" s="81"/>
      <c r="K4614" s="81"/>
      <c r="L4614" s="81"/>
      <c r="M4614" s="81"/>
      <c r="N4614" s="82"/>
    </row>
    <row r="4615">
      <c r="C4615" s="41"/>
      <c r="D4615" s="141"/>
      <c r="E4615" s="118"/>
      <c r="F4615" s="126"/>
      <c r="G4615" s="126"/>
      <c r="H4615" s="126"/>
      <c r="I4615" s="126"/>
      <c r="J4615" s="76"/>
      <c r="K4615" s="76"/>
      <c r="L4615" s="76"/>
      <c r="M4615" s="76"/>
      <c r="N4615" s="114"/>
    </row>
    <row r="4616">
      <c r="C4616" s="41"/>
      <c r="D4616" s="142"/>
      <c r="E4616" s="130"/>
      <c r="F4616" s="128"/>
      <c r="G4616" s="128"/>
      <c r="H4616" s="128"/>
      <c r="I4616" s="128"/>
      <c r="J4616" s="81"/>
      <c r="K4616" s="81"/>
      <c r="L4616" s="81"/>
      <c r="M4616" s="81"/>
      <c r="N4616" s="82"/>
    </row>
    <row r="4617">
      <c r="C4617" s="41"/>
      <c r="D4617" s="141"/>
      <c r="E4617" s="118"/>
      <c r="F4617" s="126"/>
      <c r="G4617" s="126"/>
      <c r="H4617" s="126"/>
      <c r="I4617" s="126"/>
      <c r="J4617" s="76"/>
      <c r="K4617" s="76"/>
      <c r="L4617" s="76"/>
      <c r="M4617" s="76"/>
      <c r="N4617" s="114"/>
    </row>
    <row r="4618">
      <c r="C4618" s="41"/>
      <c r="D4618" s="142"/>
      <c r="E4618" s="130"/>
      <c r="F4618" s="128"/>
      <c r="G4618" s="128"/>
      <c r="H4618" s="128"/>
      <c r="I4618" s="128"/>
      <c r="J4618" s="81"/>
      <c r="K4618" s="81"/>
      <c r="L4618" s="81"/>
      <c r="M4618" s="81"/>
      <c r="N4618" s="82"/>
    </row>
    <row r="4619">
      <c r="C4619" s="41"/>
      <c r="D4619" s="141"/>
      <c r="E4619" s="118"/>
      <c r="F4619" s="126"/>
      <c r="G4619" s="126"/>
      <c r="H4619" s="126"/>
      <c r="I4619" s="126"/>
      <c r="J4619" s="76"/>
      <c r="K4619" s="76"/>
      <c r="L4619" s="76"/>
      <c r="M4619" s="76"/>
      <c r="N4619" s="114"/>
    </row>
    <row r="4620">
      <c r="C4620" s="41"/>
      <c r="D4620" s="142"/>
      <c r="E4620" s="130"/>
      <c r="F4620" s="128"/>
      <c r="G4620" s="128"/>
      <c r="H4620" s="128"/>
      <c r="I4620" s="128"/>
      <c r="J4620" s="81"/>
      <c r="K4620" s="81"/>
      <c r="L4620" s="81"/>
      <c r="M4620" s="81"/>
      <c r="N4620" s="82"/>
    </row>
    <row r="4621">
      <c r="C4621" s="41"/>
      <c r="D4621" s="141"/>
      <c r="E4621" s="118"/>
      <c r="F4621" s="126"/>
      <c r="G4621" s="126"/>
      <c r="H4621" s="126"/>
      <c r="I4621" s="126"/>
      <c r="J4621" s="76"/>
      <c r="K4621" s="76"/>
      <c r="L4621" s="76"/>
      <c r="M4621" s="76"/>
      <c r="N4621" s="114"/>
    </row>
    <row r="4622">
      <c r="C4622" s="41"/>
      <c r="D4622" s="142"/>
      <c r="E4622" s="130"/>
      <c r="F4622" s="128"/>
      <c r="G4622" s="128"/>
      <c r="H4622" s="128"/>
      <c r="I4622" s="128"/>
      <c r="J4622" s="81"/>
      <c r="K4622" s="81"/>
      <c r="L4622" s="81"/>
      <c r="M4622" s="81"/>
      <c r="N4622" s="82"/>
    </row>
    <row r="4623">
      <c r="C4623" s="41"/>
      <c r="D4623" s="141"/>
      <c r="E4623" s="118"/>
      <c r="F4623" s="126"/>
      <c r="G4623" s="126"/>
      <c r="H4623" s="126"/>
      <c r="I4623" s="126"/>
      <c r="J4623" s="76"/>
      <c r="K4623" s="76"/>
      <c r="L4623" s="76"/>
      <c r="M4623" s="76"/>
      <c r="N4623" s="114"/>
    </row>
    <row r="4624">
      <c r="C4624" s="41"/>
      <c r="D4624" s="142"/>
      <c r="E4624" s="130"/>
      <c r="F4624" s="128"/>
      <c r="G4624" s="128"/>
      <c r="H4624" s="128"/>
      <c r="I4624" s="128"/>
      <c r="J4624" s="81"/>
      <c r="K4624" s="81"/>
      <c r="L4624" s="81"/>
      <c r="M4624" s="81"/>
      <c r="N4624" s="82"/>
    </row>
    <row r="4625">
      <c r="C4625" s="41"/>
      <c r="D4625" s="141"/>
      <c r="E4625" s="118"/>
      <c r="F4625" s="126"/>
      <c r="G4625" s="126"/>
      <c r="H4625" s="126"/>
      <c r="I4625" s="126"/>
      <c r="J4625" s="76"/>
      <c r="K4625" s="76"/>
      <c r="L4625" s="76"/>
      <c r="M4625" s="76"/>
      <c r="N4625" s="114"/>
    </row>
    <row r="4626">
      <c r="C4626" s="41"/>
      <c r="D4626" s="142"/>
      <c r="E4626" s="130"/>
      <c r="F4626" s="128"/>
      <c r="G4626" s="128"/>
      <c r="H4626" s="128"/>
      <c r="I4626" s="128"/>
      <c r="J4626" s="81"/>
      <c r="K4626" s="81"/>
      <c r="L4626" s="81"/>
      <c r="M4626" s="81"/>
      <c r="N4626" s="82"/>
    </row>
    <row r="4627">
      <c r="C4627" s="41"/>
      <c r="D4627" s="141"/>
      <c r="E4627" s="118"/>
      <c r="F4627" s="126"/>
      <c r="G4627" s="126"/>
      <c r="H4627" s="126"/>
      <c r="I4627" s="126"/>
      <c r="J4627" s="76"/>
      <c r="K4627" s="76"/>
      <c r="L4627" s="76"/>
      <c r="M4627" s="76"/>
      <c r="N4627" s="114"/>
    </row>
    <row r="4628">
      <c r="C4628" s="41"/>
      <c r="D4628" s="142"/>
      <c r="E4628" s="130"/>
      <c r="F4628" s="128"/>
      <c r="G4628" s="128"/>
      <c r="H4628" s="128"/>
      <c r="I4628" s="128"/>
      <c r="J4628" s="81"/>
      <c r="K4628" s="81"/>
      <c r="L4628" s="81"/>
      <c r="M4628" s="81"/>
      <c r="N4628" s="82"/>
    </row>
    <row r="4629">
      <c r="C4629" s="41"/>
      <c r="D4629" s="141"/>
      <c r="E4629" s="118"/>
      <c r="F4629" s="126"/>
      <c r="G4629" s="126"/>
      <c r="H4629" s="126"/>
      <c r="I4629" s="126"/>
      <c r="J4629" s="76"/>
      <c r="K4629" s="76"/>
      <c r="L4629" s="76"/>
      <c r="M4629" s="76"/>
      <c r="N4629" s="114"/>
    </row>
    <row r="4630">
      <c r="C4630" s="41"/>
      <c r="D4630" s="142"/>
      <c r="E4630" s="130"/>
      <c r="F4630" s="128"/>
      <c r="G4630" s="128"/>
      <c r="H4630" s="128"/>
      <c r="I4630" s="128"/>
      <c r="J4630" s="81"/>
      <c r="K4630" s="81"/>
      <c r="L4630" s="81"/>
      <c r="M4630" s="81"/>
      <c r="N4630" s="82"/>
    </row>
    <row r="4631">
      <c r="C4631" s="41"/>
      <c r="D4631" s="141"/>
      <c r="E4631" s="118"/>
      <c r="F4631" s="126"/>
      <c r="G4631" s="126"/>
      <c r="H4631" s="126"/>
      <c r="I4631" s="126"/>
      <c r="J4631" s="76"/>
      <c r="K4631" s="76"/>
      <c r="L4631" s="76"/>
      <c r="M4631" s="76"/>
      <c r="N4631" s="114"/>
    </row>
    <row r="4632">
      <c r="C4632" s="41"/>
      <c r="D4632" s="142"/>
      <c r="E4632" s="130"/>
      <c r="F4632" s="128"/>
      <c r="G4632" s="128"/>
      <c r="H4632" s="128"/>
      <c r="I4632" s="128"/>
      <c r="J4632" s="81"/>
      <c r="K4632" s="81"/>
      <c r="L4632" s="81"/>
      <c r="M4632" s="81"/>
      <c r="N4632" s="82"/>
    </row>
    <row r="4633">
      <c r="C4633" s="41"/>
      <c r="D4633" s="141"/>
      <c r="E4633" s="118"/>
      <c r="F4633" s="126"/>
      <c r="G4633" s="126"/>
      <c r="H4633" s="126"/>
      <c r="I4633" s="126"/>
      <c r="J4633" s="76"/>
      <c r="K4633" s="76"/>
      <c r="L4633" s="76"/>
      <c r="M4633" s="76"/>
      <c r="N4633" s="114"/>
    </row>
    <row r="4634">
      <c r="C4634" s="41"/>
      <c r="D4634" s="142"/>
      <c r="E4634" s="130"/>
      <c r="F4634" s="128"/>
      <c r="G4634" s="128"/>
      <c r="H4634" s="128"/>
      <c r="I4634" s="128"/>
      <c r="J4634" s="81"/>
      <c r="K4634" s="81"/>
      <c r="L4634" s="81"/>
      <c r="M4634" s="81"/>
      <c r="N4634" s="82"/>
    </row>
    <row r="4635">
      <c r="C4635" s="41"/>
      <c r="D4635" s="141"/>
      <c r="E4635" s="118"/>
      <c r="F4635" s="126"/>
      <c r="G4635" s="126"/>
      <c r="H4635" s="126"/>
      <c r="I4635" s="126"/>
      <c r="J4635" s="76"/>
      <c r="K4635" s="76"/>
      <c r="L4635" s="76"/>
      <c r="M4635" s="76"/>
      <c r="N4635" s="114"/>
    </row>
    <row r="4636">
      <c r="C4636" s="41"/>
      <c r="D4636" s="142"/>
      <c r="E4636" s="130"/>
      <c r="F4636" s="128"/>
      <c r="G4636" s="128"/>
      <c r="H4636" s="128"/>
      <c r="I4636" s="128"/>
      <c r="J4636" s="81"/>
      <c r="K4636" s="81"/>
      <c r="L4636" s="81"/>
      <c r="M4636" s="81"/>
      <c r="N4636" s="82"/>
    </row>
    <row r="4637">
      <c r="C4637" s="41"/>
      <c r="D4637" s="141"/>
      <c r="E4637" s="118"/>
      <c r="F4637" s="126"/>
      <c r="G4637" s="126"/>
      <c r="H4637" s="126"/>
      <c r="I4637" s="126"/>
      <c r="J4637" s="76"/>
      <c r="K4637" s="76"/>
      <c r="L4637" s="76"/>
      <c r="M4637" s="76"/>
      <c r="N4637" s="114"/>
    </row>
    <row r="4638">
      <c r="C4638" s="41"/>
      <c r="D4638" s="142"/>
      <c r="E4638" s="130"/>
      <c r="F4638" s="128"/>
      <c r="G4638" s="128"/>
      <c r="H4638" s="128"/>
      <c r="I4638" s="128"/>
      <c r="J4638" s="81"/>
      <c r="K4638" s="81"/>
      <c r="L4638" s="81"/>
      <c r="M4638" s="81"/>
      <c r="N4638" s="82"/>
    </row>
    <row r="4639">
      <c r="C4639" s="41"/>
      <c r="D4639" s="141"/>
      <c r="E4639" s="118"/>
      <c r="F4639" s="126"/>
      <c r="G4639" s="126"/>
      <c r="H4639" s="126"/>
      <c r="I4639" s="126"/>
      <c r="J4639" s="76"/>
      <c r="K4639" s="76"/>
      <c r="L4639" s="76"/>
      <c r="M4639" s="76"/>
      <c r="N4639" s="114"/>
    </row>
    <row r="4640">
      <c r="C4640" s="41"/>
      <c r="D4640" s="142"/>
      <c r="E4640" s="130"/>
      <c r="F4640" s="128"/>
      <c r="G4640" s="128"/>
      <c r="H4640" s="128"/>
      <c r="I4640" s="128"/>
      <c r="J4640" s="81"/>
      <c r="K4640" s="81"/>
      <c r="L4640" s="81"/>
      <c r="M4640" s="81"/>
      <c r="N4640" s="82"/>
    </row>
    <row r="4641">
      <c r="C4641" s="41"/>
      <c r="D4641" s="141"/>
      <c r="E4641" s="118"/>
      <c r="F4641" s="126"/>
      <c r="G4641" s="126"/>
      <c r="H4641" s="126"/>
      <c r="I4641" s="126"/>
      <c r="J4641" s="76"/>
      <c r="K4641" s="76"/>
      <c r="L4641" s="76"/>
      <c r="M4641" s="76"/>
      <c r="N4641" s="114"/>
    </row>
    <row r="4642">
      <c r="C4642" s="41"/>
      <c r="D4642" s="142"/>
      <c r="E4642" s="130"/>
      <c r="F4642" s="128"/>
      <c r="G4642" s="128"/>
      <c r="H4642" s="128"/>
      <c r="I4642" s="128"/>
      <c r="J4642" s="81"/>
      <c r="K4642" s="81"/>
      <c r="L4642" s="81"/>
      <c r="M4642" s="81"/>
      <c r="N4642" s="82"/>
    </row>
    <row r="4643">
      <c r="C4643" s="41"/>
      <c r="D4643" s="141"/>
      <c r="E4643" s="118"/>
      <c r="F4643" s="126"/>
      <c r="G4643" s="126"/>
      <c r="H4643" s="126"/>
      <c r="I4643" s="126"/>
      <c r="J4643" s="76"/>
      <c r="K4643" s="76"/>
      <c r="L4643" s="76"/>
      <c r="M4643" s="76"/>
      <c r="N4643" s="114"/>
    </row>
    <row r="4644">
      <c r="C4644" s="41"/>
      <c r="D4644" s="142"/>
      <c r="E4644" s="130"/>
      <c r="F4644" s="128"/>
      <c r="G4644" s="128"/>
      <c r="H4644" s="128"/>
      <c r="I4644" s="128"/>
      <c r="J4644" s="81"/>
      <c r="K4644" s="81"/>
      <c r="L4644" s="81"/>
      <c r="M4644" s="81"/>
      <c r="N4644" s="82"/>
    </row>
    <row r="4645">
      <c r="C4645" s="41"/>
      <c r="D4645" s="141"/>
      <c r="E4645" s="118"/>
      <c r="F4645" s="126"/>
      <c r="G4645" s="126"/>
      <c r="H4645" s="126"/>
      <c r="I4645" s="126"/>
      <c r="J4645" s="76"/>
      <c r="K4645" s="76"/>
      <c r="L4645" s="76"/>
      <c r="M4645" s="76"/>
      <c r="N4645" s="114"/>
    </row>
    <row r="4646">
      <c r="C4646" s="41"/>
      <c r="D4646" s="142"/>
      <c r="E4646" s="130"/>
      <c r="F4646" s="128"/>
      <c r="G4646" s="128"/>
      <c r="H4646" s="128"/>
      <c r="I4646" s="128"/>
      <c r="J4646" s="81"/>
      <c r="K4646" s="81"/>
      <c r="L4646" s="81"/>
      <c r="M4646" s="81"/>
      <c r="N4646" s="82"/>
    </row>
    <row r="4647">
      <c r="C4647" s="41"/>
      <c r="D4647" s="141"/>
      <c r="E4647" s="118"/>
      <c r="F4647" s="126"/>
      <c r="G4647" s="126"/>
      <c r="H4647" s="126"/>
      <c r="I4647" s="126"/>
      <c r="J4647" s="76"/>
      <c r="K4647" s="76"/>
      <c r="L4647" s="76"/>
      <c r="M4647" s="76"/>
      <c r="N4647" s="114"/>
    </row>
    <row r="4648">
      <c r="C4648" s="41"/>
      <c r="D4648" s="142"/>
      <c r="E4648" s="130"/>
      <c r="F4648" s="128"/>
      <c r="G4648" s="128"/>
      <c r="H4648" s="128"/>
      <c r="I4648" s="128"/>
      <c r="J4648" s="81"/>
      <c r="K4648" s="81"/>
      <c r="L4648" s="81"/>
      <c r="M4648" s="81"/>
      <c r="N4648" s="82"/>
    </row>
    <row r="4649">
      <c r="C4649" s="41"/>
      <c r="D4649" s="141"/>
      <c r="E4649" s="118"/>
      <c r="F4649" s="126"/>
      <c r="G4649" s="126"/>
      <c r="H4649" s="126"/>
      <c r="I4649" s="126"/>
      <c r="J4649" s="76"/>
      <c r="K4649" s="76"/>
      <c r="L4649" s="76"/>
      <c r="M4649" s="76"/>
      <c r="N4649" s="114"/>
    </row>
    <row r="4650">
      <c r="C4650" s="41"/>
      <c r="D4650" s="142"/>
      <c r="E4650" s="130"/>
      <c r="F4650" s="128"/>
      <c r="G4650" s="128"/>
      <c r="H4650" s="128"/>
      <c r="I4650" s="128"/>
      <c r="J4650" s="81"/>
      <c r="K4650" s="81"/>
      <c r="L4650" s="81"/>
      <c r="M4650" s="81"/>
      <c r="N4650" s="82"/>
    </row>
    <row r="4651">
      <c r="C4651" s="41"/>
      <c r="D4651" s="141"/>
      <c r="E4651" s="118"/>
      <c r="F4651" s="126"/>
      <c r="G4651" s="126"/>
      <c r="H4651" s="126"/>
      <c r="I4651" s="126"/>
      <c r="J4651" s="76"/>
      <c r="K4651" s="76"/>
      <c r="L4651" s="76"/>
      <c r="M4651" s="76"/>
      <c r="N4651" s="114"/>
    </row>
    <row r="4652">
      <c r="C4652" s="41"/>
      <c r="D4652" s="142"/>
      <c r="E4652" s="130"/>
      <c r="F4652" s="128"/>
      <c r="G4652" s="128"/>
      <c r="H4652" s="128"/>
      <c r="I4652" s="128"/>
      <c r="J4652" s="81"/>
      <c r="K4652" s="81"/>
      <c r="L4652" s="81"/>
      <c r="M4652" s="81"/>
      <c r="N4652" s="82"/>
    </row>
    <row r="4653">
      <c r="C4653" s="41"/>
      <c r="D4653" s="141"/>
      <c r="E4653" s="118"/>
      <c r="F4653" s="126"/>
      <c r="G4653" s="126"/>
      <c r="H4653" s="126"/>
      <c r="I4653" s="126"/>
      <c r="J4653" s="76"/>
      <c r="K4653" s="76"/>
      <c r="L4653" s="76"/>
      <c r="M4653" s="76"/>
      <c r="N4653" s="114"/>
    </row>
    <row r="4654">
      <c r="C4654" s="41"/>
      <c r="D4654" s="142"/>
      <c r="E4654" s="130"/>
      <c r="F4654" s="128"/>
      <c r="G4654" s="128"/>
      <c r="H4654" s="128"/>
      <c r="I4654" s="128"/>
      <c r="J4654" s="81"/>
      <c r="K4654" s="81"/>
      <c r="L4654" s="81"/>
      <c r="M4654" s="81"/>
      <c r="N4654" s="82"/>
    </row>
    <row r="4655">
      <c r="C4655" s="41"/>
      <c r="D4655" s="141"/>
      <c r="E4655" s="118"/>
      <c r="F4655" s="126"/>
      <c r="G4655" s="126"/>
      <c r="H4655" s="126"/>
      <c r="I4655" s="126"/>
      <c r="J4655" s="76"/>
      <c r="K4655" s="76"/>
      <c r="L4655" s="76"/>
      <c r="M4655" s="76"/>
      <c r="N4655" s="114"/>
    </row>
    <row r="4656">
      <c r="C4656" s="41"/>
      <c r="D4656" s="142"/>
      <c r="E4656" s="130"/>
      <c r="F4656" s="128"/>
      <c r="G4656" s="128"/>
      <c r="H4656" s="128"/>
      <c r="I4656" s="128"/>
      <c r="J4656" s="81"/>
      <c r="K4656" s="81"/>
      <c r="L4656" s="81"/>
      <c r="M4656" s="81"/>
      <c r="N4656" s="82"/>
    </row>
    <row r="4657">
      <c r="C4657" s="41"/>
      <c r="D4657" s="141"/>
      <c r="E4657" s="118"/>
      <c r="F4657" s="126"/>
      <c r="G4657" s="126"/>
      <c r="H4657" s="126"/>
      <c r="I4657" s="126"/>
      <c r="J4657" s="76"/>
      <c r="K4657" s="76"/>
      <c r="L4657" s="76"/>
      <c r="M4657" s="76"/>
      <c r="N4657" s="114"/>
    </row>
    <row r="4658">
      <c r="C4658" s="41"/>
      <c r="D4658" s="142"/>
      <c r="E4658" s="130"/>
      <c r="F4658" s="128"/>
      <c r="G4658" s="128"/>
      <c r="H4658" s="128"/>
      <c r="I4658" s="128"/>
      <c r="J4658" s="81"/>
      <c r="K4658" s="81"/>
      <c r="L4658" s="81"/>
      <c r="M4658" s="81"/>
      <c r="N4658" s="82"/>
    </row>
    <row r="4659">
      <c r="C4659" s="41"/>
      <c r="D4659" s="141"/>
      <c r="E4659" s="118"/>
      <c r="F4659" s="126"/>
      <c r="G4659" s="126"/>
      <c r="H4659" s="126"/>
      <c r="I4659" s="126"/>
      <c r="J4659" s="76"/>
      <c r="K4659" s="76"/>
      <c r="L4659" s="76"/>
      <c r="M4659" s="76"/>
      <c r="N4659" s="114"/>
    </row>
    <row r="4660">
      <c r="C4660" s="41"/>
      <c r="D4660" s="142"/>
      <c r="E4660" s="130"/>
      <c r="F4660" s="128"/>
      <c r="G4660" s="128"/>
      <c r="H4660" s="128"/>
      <c r="I4660" s="128"/>
      <c r="J4660" s="81"/>
      <c r="K4660" s="81"/>
      <c r="L4660" s="81"/>
      <c r="M4660" s="81"/>
      <c r="N4660" s="82"/>
    </row>
    <row r="4661">
      <c r="C4661" s="41"/>
      <c r="D4661" s="141"/>
      <c r="E4661" s="118"/>
      <c r="F4661" s="126"/>
      <c r="G4661" s="126"/>
      <c r="H4661" s="126"/>
      <c r="I4661" s="126"/>
      <c r="J4661" s="76"/>
      <c r="K4661" s="76"/>
      <c r="L4661" s="76"/>
      <c r="M4661" s="76"/>
      <c r="N4661" s="114"/>
    </row>
    <row r="4662">
      <c r="C4662" s="41"/>
      <c r="D4662" s="142"/>
      <c r="E4662" s="130"/>
      <c r="F4662" s="128"/>
      <c r="G4662" s="128"/>
      <c r="H4662" s="128"/>
      <c r="I4662" s="128"/>
      <c r="J4662" s="81"/>
      <c r="K4662" s="81"/>
      <c r="L4662" s="81"/>
      <c r="M4662" s="81"/>
      <c r="N4662" s="82"/>
    </row>
    <row r="4663">
      <c r="C4663" s="41"/>
      <c r="D4663" s="141"/>
      <c r="E4663" s="118"/>
      <c r="F4663" s="126"/>
      <c r="G4663" s="126"/>
      <c r="H4663" s="126"/>
      <c r="I4663" s="126"/>
      <c r="J4663" s="76"/>
      <c r="K4663" s="76"/>
      <c r="L4663" s="76"/>
      <c r="M4663" s="76"/>
      <c r="N4663" s="114"/>
    </row>
    <row r="4664">
      <c r="C4664" s="41"/>
      <c r="D4664" s="142"/>
      <c r="E4664" s="130"/>
      <c r="F4664" s="128"/>
      <c r="G4664" s="128"/>
      <c r="H4664" s="128"/>
      <c r="I4664" s="128"/>
      <c r="J4664" s="81"/>
      <c r="K4664" s="81"/>
      <c r="L4664" s="81"/>
      <c r="M4664" s="81"/>
      <c r="N4664" s="82"/>
    </row>
    <row r="4665">
      <c r="C4665" s="41"/>
      <c r="D4665" s="141"/>
      <c r="E4665" s="118"/>
      <c r="F4665" s="126"/>
      <c r="G4665" s="126"/>
      <c r="H4665" s="126"/>
      <c r="I4665" s="126"/>
      <c r="J4665" s="76"/>
      <c r="K4665" s="76"/>
      <c r="L4665" s="76"/>
      <c r="M4665" s="76"/>
      <c r="N4665" s="114"/>
    </row>
    <row r="4666">
      <c r="C4666" s="41"/>
      <c r="D4666" s="142"/>
      <c r="E4666" s="130"/>
      <c r="F4666" s="128"/>
      <c r="G4666" s="128"/>
      <c r="H4666" s="128"/>
      <c r="I4666" s="128"/>
      <c r="J4666" s="81"/>
      <c r="K4666" s="81"/>
      <c r="L4666" s="81"/>
      <c r="M4666" s="81"/>
      <c r="N4666" s="82"/>
    </row>
    <row r="4667">
      <c r="C4667" s="41"/>
      <c r="D4667" s="141"/>
      <c r="E4667" s="118"/>
      <c r="F4667" s="126"/>
      <c r="G4667" s="126"/>
      <c r="H4667" s="126"/>
      <c r="I4667" s="126"/>
      <c r="J4667" s="76"/>
      <c r="K4667" s="76"/>
      <c r="L4667" s="76"/>
      <c r="M4667" s="76"/>
      <c r="N4667" s="114"/>
    </row>
    <row r="4668">
      <c r="C4668" s="41"/>
      <c r="D4668" s="142"/>
      <c r="E4668" s="130"/>
      <c r="F4668" s="128"/>
      <c r="G4668" s="128"/>
      <c r="H4668" s="128"/>
      <c r="I4668" s="128"/>
      <c r="J4668" s="81"/>
      <c r="K4668" s="81"/>
      <c r="L4668" s="81"/>
      <c r="M4668" s="81"/>
      <c r="N4668" s="82"/>
    </row>
    <row r="4669">
      <c r="C4669" s="41"/>
      <c r="D4669" s="141"/>
      <c r="E4669" s="118"/>
      <c r="F4669" s="126"/>
      <c r="G4669" s="126"/>
      <c r="H4669" s="126"/>
      <c r="I4669" s="126"/>
      <c r="J4669" s="76"/>
      <c r="K4669" s="76"/>
      <c r="L4669" s="76"/>
      <c r="M4669" s="76"/>
      <c r="N4669" s="114"/>
    </row>
    <row r="4670">
      <c r="C4670" s="41"/>
      <c r="D4670" s="142"/>
      <c r="E4670" s="130"/>
      <c r="F4670" s="128"/>
      <c r="G4670" s="128"/>
      <c r="H4670" s="128"/>
      <c r="I4670" s="128"/>
      <c r="J4670" s="81"/>
      <c r="K4670" s="81"/>
      <c r="L4670" s="81"/>
      <c r="M4670" s="81"/>
      <c r="N4670" s="82"/>
    </row>
    <row r="4671">
      <c r="C4671" s="41"/>
      <c r="D4671" s="141"/>
      <c r="E4671" s="118"/>
      <c r="F4671" s="126"/>
      <c r="G4671" s="126"/>
      <c r="H4671" s="126"/>
      <c r="I4671" s="126"/>
      <c r="J4671" s="76"/>
      <c r="K4671" s="76"/>
      <c r="L4671" s="76"/>
      <c r="M4671" s="76"/>
      <c r="N4671" s="114"/>
    </row>
    <row r="4672">
      <c r="C4672" s="41"/>
      <c r="D4672" s="142"/>
      <c r="E4672" s="130"/>
      <c r="F4672" s="128"/>
      <c r="G4672" s="128"/>
      <c r="H4672" s="128"/>
      <c r="I4672" s="128"/>
      <c r="J4672" s="81"/>
      <c r="K4672" s="81"/>
      <c r="L4672" s="81"/>
      <c r="M4672" s="81"/>
      <c r="N4672" s="82"/>
    </row>
    <row r="4673">
      <c r="C4673" s="41"/>
      <c r="D4673" s="141"/>
      <c r="E4673" s="118"/>
      <c r="F4673" s="126"/>
      <c r="G4673" s="126"/>
      <c r="H4673" s="126"/>
      <c r="I4673" s="126"/>
      <c r="J4673" s="76"/>
      <c r="K4673" s="76"/>
      <c r="L4673" s="76"/>
      <c r="M4673" s="76"/>
      <c r="N4673" s="114"/>
    </row>
    <row r="4674">
      <c r="C4674" s="41"/>
      <c r="D4674" s="142"/>
      <c r="E4674" s="130"/>
      <c r="F4674" s="128"/>
      <c r="G4674" s="128"/>
      <c r="H4674" s="128"/>
      <c r="I4674" s="128"/>
      <c r="J4674" s="81"/>
      <c r="K4674" s="81"/>
      <c r="L4674" s="81"/>
      <c r="M4674" s="81"/>
      <c r="N4674" s="82"/>
    </row>
    <row r="4675">
      <c r="C4675" s="41"/>
      <c r="D4675" s="141"/>
      <c r="E4675" s="118"/>
      <c r="F4675" s="126"/>
      <c r="G4675" s="126"/>
      <c r="H4675" s="126"/>
      <c r="I4675" s="126"/>
      <c r="J4675" s="76"/>
      <c r="K4675" s="76"/>
      <c r="L4675" s="76"/>
      <c r="M4675" s="76"/>
      <c r="N4675" s="114"/>
    </row>
    <row r="4676">
      <c r="C4676" s="41"/>
      <c r="D4676" s="142"/>
      <c r="E4676" s="130"/>
      <c r="F4676" s="128"/>
      <c r="G4676" s="128"/>
      <c r="H4676" s="128"/>
      <c r="I4676" s="128"/>
      <c r="J4676" s="81"/>
      <c r="K4676" s="81"/>
      <c r="L4676" s="81"/>
      <c r="M4676" s="81"/>
      <c r="N4676" s="82"/>
    </row>
    <row r="4677">
      <c r="C4677" s="41"/>
      <c r="D4677" s="141"/>
      <c r="E4677" s="118"/>
      <c r="F4677" s="126"/>
      <c r="G4677" s="126"/>
      <c r="H4677" s="126"/>
      <c r="I4677" s="126"/>
      <c r="J4677" s="76"/>
      <c r="K4677" s="76"/>
      <c r="L4677" s="76"/>
      <c r="M4677" s="76"/>
      <c r="N4677" s="114"/>
    </row>
    <row r="4678">
      <c r="C4678" s="41"/>
      <c r="D4678" s="142"/>
      <c r="E4678" s="130"/>
      <c r="F4678" s="128"/>
      <c r="G4678" s="128"/>
      <c r="H4678" s="128"/>
      <c r="I4678" s="128"/>
      <c r="J4678" s="81"/>
      <c r="K4678" s="81"/>
      <c r="L4678" s="81"/>
      <c r="M4678" s="81"/>
      <c r="N4678" s="82"/>
    </row>
    <row r="4679">
      <c r="C4679" s="41"/>
      <c r="D4679" s="141"/>
      <c r="E4679" s="118"/>
      <c r="F4679" s="126"/>
      <c r="G4679" s="126"/>
      <c r="H4679" s="126"/>
      <c r="I4679" s="126"/>
      <c r="J4679" s="76"/>
      <c r="K4679" s="76"/>
      <c r="L4679" s="76"/>
      <c r="M4679" s="76"/>
      <c r="N4679" s="114"/>
    </row>
    <row r="4680">
      <c r="C4680" s="41"/>
      <c r="D4680" s="142"/>
      <c r="E4680" s="130"/>
      <c r="F4680" s="128"/>
      <c r="G4680" s="128"/>
      <c r="H4680" s="128"/>
      <c r="I4680" s="128"/>
      <c r="J4680" s="81"/>
      <c r="K4680" s="81"/>
      <c r="L4680" s="81"/>
      <c r="M4680" s="81"/>
      <c r="N4680" s="82"/>
    </row>
    <row r="4681">
      <c r="C4681" s="41"/>
      <c r="D4681" s="141"/>
      <c r="E4681" s="118"/>
      <c r="F4681" s="126"/>
      <c r="G4681" s="126"/>
      <c r="H4681" s="126"/>
      <c r="I4681" s="126"/>
      <c r="J4681" s="76"/>
      <c r="K4681" s="76"/>
      <c r="L4681" s="76"/>
      <c r="M4681" s="76"/>
      <c r="N4681" s="114"/>
    </row>
    <row r="4682">
      <c r="C4682" s="41"/>
      <c r="D4682" s="142"/>
      <c r="E4682" s="130"/>
      <c r="F4682" s="128"/>
      <c r="G4682" s="128"/>
      <c r="H4682" s="128"/>
      <c r="I4682" s="128"/>
      <c r="J4682" s="81"/>
      <c r="K4682" s="81"/>
      <c r="L4682" s="81"/>
      <c r="M4682" s="81"/>
      <c r="N4682" s="82"/>
    </row>
    <row r="4683">
      <c r="C4683" s="41"/>
      <c r="D4683" s="141"/>
      <c r="E4683" s="118"/>
      <c r="F4683" s="126"/>
      <c r="G4683" s="126"/>
      <c r="H4683" s="126"/>
      <c r="I4683" s="126"/>
      <c r="J4683" s="76"/>
      <c r="K4683" s="76"/>
      <c r="L4683" s="76"/>
      <c r="M4683" s="76"/>
      <c r="N4683" s="114"/>
    </row>
    <row r="4684">
      <c r="C4684" s="41"/>
      <c r="D4684" s="142"/>
      <c r="E4684" s="130"/>
      <c r="F4684" s="128"/>
      <c r="G4684" s="128"/>
      <c r="H4684" s="128"/>
      <c r="I4684" s="128"/>
      <c r="J4684" s="81"/>
      <c r="K4684" s="81"/>
      <c r="L4684" s="81"/>
      <c r="M4684" s="81"/>
      <c r="N4684" s="82"/>
    </row>
    <row r="4685">
      <c r="C4685" s="41"/>
      <c r="D4685" s="141"/>
      <c r="E4685" s="118"/>
      <c r="F4685" s="126"/>
      <c r="G4685" s="126"/>
      <c r="H4685" s="126"/>
      <c r="I4685" s="126"/>
      <c r="J4685" s="76"/>
      <c r="K4685" s="76"/>
      <c r="L4685" s="76"/>
      <c r="M4685" s="76"/>
      <c r="N4685" s="114"/>
    </row>
    <row r="4686">
      <c r="C4686" s="41"/>
      <c r="D4686" s="142"/>
      <c r="E4686" s="130"/>
      <c r="F4686" s="128"/>
      <c r="G4686" s="128"/>
      <c r="H4686" s="128"/>
      <c r="I4686" s="128"/>
      <c r="J4686" s="81"/>
      <c r="K4686" s="81"/>
      <c r="L4686" s="81"/>
      <c r="M4686" s="81"/>
      <c r="N4686" s="82"/>
    </row>
    <row r="4687">
      <c r="C4687" s="41"/>
      <c r="D4687" s="141"/>
      <c r="E4687" s="118"/>
      <c r="F4687" s="126"/>
      <c r="G4687" s="126"/>
      <c r="H4687" s="126"/>
      <c r="I4687" s="126"/>
      <c r="J4687" s="76"/>
      <c r="K4687" s="76"/>
      <c r="L4687" s="76"/>
      <c r="M4687" s="76"/>
      <c r="N4687" s="114"/>
    </row>
    <row r="4688">
      <c r="C4688" s="41"/>
      <c r="D4688" s="142"/>
      <c r="E4688" s="130"/>
      <c r="F4688" s="128"/>
      <c r="G4688" s="128"/>
      <c r="H4688" s="128"/>
      <c r="I4688" s="128"/>
      <c r="J4688" s="81"/>
      <c r="K4688" s="81"/>
      <c r="L4688" s="81"/>
      <c r="M4688" s="81"/>
      <c r="N4688" s="82"/>
    </row>
    <row r="4689">
      <c r="C4689" s="41"/>
      <c r="D4689" s="141"/>
      <c r="E4689" s="118"/>
      <c r="F4689" s="126"/>
      <c r="G4689" s="126"/>
      <c r="H4689" s="126"/>
      <c r="I4689" s="126"/>
      <c r="J4689" s="76"/>
      <c r="K4689" s="76"/>
      <c r="L4689" s="76"/>
      <c r="M4689" s="76"/>
      <c r="N4689" s="114"/>
    </row>
    <row r="4690">
      <c r="C4690" s="41"/>
      <c r="D4690" s="142"/>
      <c r="E4690" s="130"/>
      <c r="F4690" s="128"/>
      <c r="G4690" s="128"/>
      <c r="H4690" s="128"/>
      <c r="I4690" s="128"/>
      <c r="J4690" s="81"/>
      <c r="K4690" s="81"/>
      <c r="L4690" s="81"/>
      <c r="M4690" s="81"/>
      <c r="N4690" s="82"/>
    </row>
    <row r="4691">
      <c r="C4691" s="41"/>
      <c r="D4691" s="141"/>
      <c r="E4691" s="118"/>
      <c r="F4691" s="126"/>
      <c r="G4691" s="126"/>
      <c r="H4691" s="126"/>
      <c r="I4691" s="126"/>
      <c r="J4691" s="76"/>
      <c r="K4691" s="76"/>
      <c r="L4691" s="76"/>
      <c r="M4691" s="76"/>
      <c r="N4691" s="114"/>
    </row>
    <row r="4692">
      <c r="C4692" s="41"/>
      <c r="D4692" s="142"/>
      <c r="E4692" s="130"/>
      <c r="F4692" s="128"/>
      <c r="G4692" s="128"/>
      <c r="H4692" s="128"/>
      <c r="I4692" s="128"/>
      <c r="J4692" s="81"/>
      <c r="K4692" s="81"/>
      <c r="L4692" s="81"/>
      <c r="M4692" s="81"/>
      <c r="N4692" s="82"/>
    </row>
    <row r="4693">
      <c r="C4693" s="41"/>
      <c r="D4693" s="141"/>
      <c r="E4693" s="118"/>
      <c r="F4693" s="126"/>
      <c r="G4693" s="126"/>
      <c r="H4693" s="126"/>
      <c r="I4693" s="126"/>
      <c r="J4693" s="76"/>
      <c r="K4693" s="76"/>
      <c r="L4693" s="76"/>
      <c r="M4693" s="76"/>
      <c r="N4693" s="114"/>
    </row>
    <row r="4694">
      <c r="C4694" s="41"/>
      <c r="D4694" s="142"/>
      <c r="E4694" s="130"/>
      <c r="F4694" s="128"/>
      <c r="G4694" s="128"/>
      <c r="H4694" s="128"/>
      <c r="I4694" s="128"/>
      <c r="J4694" s="81"/>
      <c r="K4694" s="81"/>
      <c r="L4694" s="81"/>
      <c r="M4694" s="81"/>
      <c r="N4694" s="82"/>
    </row>
    <row r="4695">
      <c r="C4695" s="41"/>
      <c r="D4695" s="141"/>
      <c r="E4695" s="118"/>
      <c r="F4695" s="126"/>
      <c r="G4695" s="126"/>
      <c r="H4695" s="126"/>
      <c r="I4695" s="126"/>
      <c r="J4695" s="76"/>
      <c r="K4695" s="76"/>
      <c r="L4695" s="76"/>
      <c r="M4695" s="76"/>
      <c r="N4695" s="114"/>
    </row>
    <row r="4696">
      <c r="C4696" s="41"/>
      <c r="D4696" s="142"/>
      <c r="E4696" s="130"/>
      <c r="F4696" s="128"/>
      <c r="G4696" s="128"/>
      <c r="H4696" s="128"/>
      <c r="I4696" s="128"/>
      <c r="J4696" s="81"/>
      <c r="K4696" s="81"/>
      <c r="L4696" s="81"/>
      <c r="M4696" s="81"/>
      <c r="N4696" s="82"/>
    </row>
    <row r="4697">
      <c r="C4697" s="41"/>
      <c r="D4697" s="141"/>
      <c r="E4697" s="118"/>
      <c r="F4697" s="126"/>
      <c r="G4697" s="126"/>
      <c r="H4697" s="126"/>
      <c r="I4697" s="126"/>
      <c r="J4697" s="76"/>
      <c r="K4697" s="76"/>
      <c r="L4697" s="76"/>
      <c r="M4697" s="76"/>
      <c r="N4697" s="114"/>
    </row>
    <row r="4698">
      <c r="C4698" s="41"/>
      <c r="D4698" s="142"/>
      <c r="E4698" s="130"/>
      <c r="F4698" s="128"/>
      <c r="G4698" s="128"/>
      <c r="H4698" s="128"/>
      <c r="I4698" s="128"/>
      <c r="J4698" s="81"/>
      <c r="K4698" s="81"/>
      <c r="L4698" s="81"/>
      <c r="M4698" s="81"/>
      <c r="N4698" s="82"/>
    </row>
    <row r="4699">
      <c r="C4699" s="41"/>
      <c r="D4699" s="141"/>
      <c r="E4699" s="118"/>
      <c r="F4699" s="126"/>
      <c r="G4699" s="126"/>
      <c r="H4699" s="126"/>
      <c r="I4699" s="126"/>
      <c r="J4699" s="76"/>
      <c r="K4699" s="76"/>
      <c r="L4699" s="76"/>
      <c r="M4699" s="76"/>
      <c r="N4699" s="114"/>
    </row>
    <row r="4700">
      <c r="C4700" s="41"/>
      <c r="D4700" s="142"/>
      <c r="E4700" s="130"/>
      <c r="F4700" s="128"/>
      <c r="G4700" s="128"/>
      <c r="H4700" s="128"/>
      <c r="I4700" s="128"/>
      <c r="J4700" s="81"/>
      <c r="K4700" s="81"/>
      <c r="L4700" s="81"/>
      <c r="M4700" s="81"/>
      <c r="N4700" s="82"/>
    </row>
    <row r="4701">
      <c r="C4701" s="41"/>
      <c r="D4701" s="141"/>
      <c r="E4701" s="118"/>
      <c r="F4701" s="126"/>
      <c r="G4701" s="126"/>
      <c r="H4701" s="126"/>
      <c r="I4701" s="126"/>
      <c r="J4701" s="76"/>
      <c r="K4701" s="76"/>
      <c r="L4701" s="76"/>
      <c r="M4701" s="76"/>
      <c r="N4701" s="114"/>
    </row>
    <row r="4702">
      <c r="C4702" s="41"/>
      <c r="D4702" s="142"/>
      <c r="E4702" s="130"/>
      <c r="F4702" s="128"/>
      <c r="G4702" s="128"/>
      <c r="H4702" s="128"/>
      <c r="I4702" s="128"/>
      <c r="J4702" s="81"/>
      <c r="K4702" s="81"/>
      <c r="L4702" s="81"/>
      <c r="M4702" s="81"/>
      <c r="N4702" s="82"/>
    </row>
    <row r="4703">
      <c r="C4703" s="41"/>
      <c r="D4703" s="141"/>
      <c r="E4703" s="118"/>
      <c r="F4703" s="126"/>
      <c r="G4703" s="126"/>
      <c r="H4703" s="126"/>
      <c r="I4703" s="126"/>
      <c r="J4703" s="76"/>
      <c r="K4703" s="76"/>
      <c r="L4703" s="76"/>
      <c r="M4703" s="76"/>
      <c r="N4703" s="114"/>
    </row>
    <row r="4704">
      <c r="C4704" s="41"/>
      <c r="D4704" s="142"/>
      <c r="E4704" s="130"/>
      <c r="F4704" s="128"/>
      <c r="G4704" s="128"/>
      <c r="H4704" s="128"/>
      <c r="I4704" s="128"/>
      <c r="J4704" s="81"/>
      <c r="K4704" s="81"/>
      <c r="L4704" s="81"/>
      <c r="M4704" s="81"/>
      <c r="N4704" s="82"/>
    </row>
    <row r="4705">
      <c r="C4705" s="41"/>
      <c r="D4705" s="141"/>
      <c r="E4705" s="118"/>
      <c r="F4705" s="126"/>
      <c r="G4705" s="126"/>
      <c r="H4705" s="126"/>
      <c r="I4705" s="126"/>
      <c r="J4705" s="76"/>
      <c r="K4705" s="76"/>
      <c r="L4705" s="76"/>
      <c r="M4705" s="76"/>
      <c r="N4705" s="114"/>
    </row>
    <row r="4706">
      <c r="C4706" s="41"/>
      <c r="D4706" s="142"/>
      <c r="E4706" s="130"/>
      <c r="F4706" s="128"/>
      <c r="G4706" s="128"/>
      <c r="H4706" s="128"/>
      <c r="I4706" s="128"/>
      <c r="J4706" s="81"/>
      <c r="K4706" s="81"/>
      <c r="L4706" s="81"/>
      <c r="M4706" s="81"/>
      <c r="N4706" s="82"/>
    </row>
    <row r="4707">
      <c r="C4707" s="41"/>
      <c r="D4707" s="141"/>
      <c r="E4707" s="118"/>
      <c r="F4707" s="126"/>
      <c r="G4707" s="126"/>
      <c r="H4707" s="126"/>
      <c r="I4707" s="126"/>
      <c r="J4707" s="76"/>
      <c r="K4707" s="76"/>
      <c r="L4707" s="76"/>
      <c r="M4707" s="76"/>
      <c r="N4707" s="114"/>
    </row>
    <row r="4708">
      <c r="C4708" s="41"/>
      <c r="D4708" s="142"/>
      <c r="E4708" s="130"/>
      <c r="F4708" s="128"/>
      <c r="G4708" s="128"/>
      <c r="H4708" s="128"/>
      <c r="I4708" s="128"/>
      <c r="J4708" s="81"/>
      <c r="K4708" s="81"/>
      <c r="L4708" s="81"/>
      <c r="M4708" s="81"/>
      <c r="N4708" s="82"/>
    </row>
    <row r="4709">
      <c r="C4709" s="41"/>
      <c r="D4709" s="141"/>
      <c r="E4709" s="118"/>
      <c r="F4709" s="126"/>
      <c r="G4709" s="126"/>
      <c r="H4709" s="126"/>
      <c r="I4709" s="126"/>
      <c r="J4709" s="76"/>
      <c r="K4709" s="76"/>
      <c r="L4709" s="76"/>
      <c r="M4709" s="76"/>
      <c r="N4709" s="114"/>
    </row>
    <row r="4710">
      <c r="C4710" s="41"/>
      <c r="D4710" s="142"/>
      <c r="E4710" s="130"/>
      <c r="F4710" s="128"/>
      <c r="G4710" s="128"/>
      <c r="H4710" s="128"/>
      <c r="I4710" s="128"/>
      <c r="J4710" s="81"/>
      <c r="K4710" s="81"/>
      <c r="L4710" s="81"/>
      <c r="M4710" s="81"/>
      <c r="N4710" s="82"/>
    </row>
    <row r="4711">
      <c r="C4711" s="41"/>
      <c r="D4711" s="141"/>
      <c r="E4711" s="118"/>
      <c r="F4711" s="126"/>
      <c r="G4711" s="126"/>
      <c r="H4711" s="126"/>
      <c r="I4711" s="126"/>
      <c r="J4711" s="76"/>
      <c r="K4711" s="76"/>
      <c r="L4711" s="76"/>
      <c r="M4711" s="76"/>
      <c r="N4711" s="114"/>
    </row>
    <row r="4712">
      <c r="C4712" s="41"/>
      <c r="D4712" s="142"/>
      <c r="E4712" s="130"/>
      <c r="F4712" s="128"/>
      <c r="G4712" s="128"/>
      <c r="H4712" s="128"/>
      <c r="I4712" s="128"/>
      <c r="J4712" s="81"/>
      <c r="K4712" s="81"/>
      <c r="L4712" s="81"/>
      <c r="M4712" s="81"/>
      <c r="N4712" s="82"/>
    </row>
    <row r="4713">
      <c r="C4713" s="41"/>
      <c r="D4713" s="141"/>
      <c r="E4713" s="118"/>
      <c r="F4713" s="126"/>
      <c r="G4713" s="126"/>
      <c r="H4713" s="126"/>
      <c r="I4713" s="126"/>
      <c r="J4713" s="76"/>
      <c r="K4713" s="76"/>
      <c r="L4713" s="76"/>
      <c r="M4713" s="76"/>
      <c r="N4713" s="114"/>
    </row>
    <row r="4714">
      <c r="C4714" s="41"/>
      <c r="D4714" s="142"/>
      <c r="E4714" s="130"/>
      <c r="F4714" s="128"/>
      <c r="G4714" s="128"/>
      <c r="H4714" s="128"/>
      <c r="I4714" s="128"/>
      <c r="J4714" s="81"/>
      <c r="K4714" s="81"/>
      <c r="L4714" s="81"/>
      <c r="M4714" s="81"/>
      <c r="N4714" s="82"/>
    </row>
    <row r="4715">
      <c r="C4715" s="41"/>
      <c r="D4715" s="141"/>
      <c r="E4715" s="118"/>
      <c r="F4715" s="126"/>
      <c r="G4715" s="126"/>
      <c r="H4715" s="126"/>
      <c r="I4715" s="126"/>
      <c r="J4715" s="76"/>
      <c r="K4715" s="76"/>
      <c r="L4715" s="76"/>
      <c r="M4715" s="76"/>
      <c r="N4715" s="114"/>
    </row>
    <row r="4716">
      <c r="C4716" s="41"/>
      <c r="D4716" s="142"/>
      <c r="E4716" s="130"/>
      <c r="F4716" s="128"/>
      <c r="G4716" s="128"/>
      <c r="H4716" s="128"/>
      <c r="I4716" s="128"/>
      <c r="J4716" s="81"/>
      <c r="K4716" s="81"/>
      <c r="L4716" s="81"/>
      <c r="M4716" s="81"/>
      <c r="N4716" s="82"/>
    </row>
    <row r="4717">
      <c r="C4717" s="41"/>
      <c r="D4717" s="141"/>
      <c r="E4717" s="118"/>
      <c r="F4717" s="126"/>
      <c r="G4717" s="126"/>
      <c r="H4717" s="126"/>
      <c r="I4717" s="126"/>
      <c r="J4717" s="76"/>
      <c r="K4717" s="76"/>
      <c r="L4717" s="76"/>
      <c r="M4717" s="76"/>
      <c r="N4717" s="114"/>
    </row>
    <row r="4718">
      <c r="C4718" s="41"/>
      <c r="D4718" s="142"/>
      <c r="E4718" s="130"/>
      <c r="F4718" s="128"/>
      <c r="G4718" s="128"/>
      <c r="H4718" s="128"/>
      <c r="I4718" s="128"/>
      <c r="J4718" s="81"/>
      <c r="K4718" s="81"/>
      <c r="L4718" s="81"/>
      <c r="M4718" s="81"/>
      <c r="N4718" s="82"/>
    </row>
    <row r="4719">
      <c r="C4719" s="41"/>
      <c r="D4719" s="141"/>
      <c r="E4719" s="118"/>
      <c r="F4719" s="126"/>
      <c r="G4719" s="126"/>
      <c r="H4719" s="126"/>
      <c r="I4719" s="126"/>
      <c r="J4719" s="76"/>
      <c r="K4719" s="76"/>
      <c r="L4719" s="76"/>
      <c r="M4719" s="76"/>
      <c r="N4719" s="114"/>
    </row>
    <row r="4720">
      <c r="C4720" s="41"/>
      <c r="D4720" s="142"/>
      <c r="E4720" s="130"/>
      <c r="F4720" s="128"/>
      <c r="G4720" s="128"/>
      <c r="H4720" s="128"/>
      <c r="I4720" s="128"/>
      <c r="J4720" s="81"/>
      <c r="K4720" s="81"/>
      <c r="L4720" s="81"/>
      <c r="M4720" s="81"/>
      <c r="N4720" s="82"/>
    </row>
    <row r="4721">
      <c r="C4721" s="41"/>
      <c r="D4721" s="141"/>
      <c r="E4721" s="118"/>
      <c r="F4721" s="126"/>
      <c r="G4721" s="126"/>
      <c r="H4721" s="126"/>
      <c r="I4721" s="126"/>
      <c r="J4721" s="76"/>
      <c r="K4721" s="76"/>
      <c r="L4721" s="76"/>
      <c r="M4721" s="76"/>
      <c r="N4721" s="114"/>
    </row>
    <row r="4722">
      <c r="C4722" s="41"/>
      <c r="D4722" s="142"/>
      <c r="E4722" s="130"/>
      <c r="F4722" s="128"/>
      <c r="G4722" s="128"/>
      <c r="H4722" s="128"/>
      <c r="I4722" s="128"/>
      <c r="J4722" s="81"/>
      <c r="K4722" s="81"/>
      <c r="L4722" s="81"/>
      <c r="M4722" s="81"/>
      <c r="N4722" s="82"/>
    </row>
    <row r="4723">
      <c r="C4723" s="41"/>
      <c r="D4723" s="141"/>
      <c r="E4723" s="118"/>
      <c r="F4723" s="126"/>
      <c r="G4723" s="126"/>
      <c r="H4723" s="126"/>
      <c r="I4723" s="126"/>
      <c r="J4723" s="76"/>
      <c r="K4723" s="76"/>
      <c r="L4723" s="76"/>
      <c r="M4723" s="76"/>
      <c r="N4723" s="114"/>
    </row>
    <row r="4724">
      <c r="C4724" s="41"/>
      <c r="D4724" s="142"/>
      <c r="E4724" s="130"/>
      <c r="F4724" s="128"/>
      <c r="G4724" s="128"/>
      <c r="H4724" s="128"/>
      <c r="I4724" s="128"/>
      <c r="J4724" s="81"/>
      <c r="K4724" s="81"/>
      <c r="L4724" s="81"/>
      <c r="M4724" s="81"/>
      <c r="N4724" s="82"/>
    </row>
    <row r="4725">
      <c r="C4725" s="41"/>
      <c r="D4725" s="141"/>
      <c r="E4725" s="118"/>
      <c r="F4725" s="126"/>
      <c r="G4725" s="126"/>
      <c r="H4725" s="126"/>
      <c r="I4725" s="126"/>
      <c r="J4725" s="76"/>
      <c r="K4725" s="76"/>
      <c r="L4725" s="76"/>
      <c r="M4725" s="76"/>
      <c r="N4725" s="114"/>
    </row>
    <row r="4726">
      <c r="C4726" s="41"/>
      <c r="D4726" s="142"/>
      <c r="E4726" s="130"/>
      <c r="F4726" s="128"/>
      <c r="G4726" s="128"/>
      <c r="H4726" s="128"/>
      <c r="I4726" s="128"/>
      <c r="J4726" s="81"/>
      <c r="K4726" s="81"/>
      <c r="L4726" s="81"/>
      <c r="M4726" s="81"/>
      <c r="N4726" s="82"/>
    </row>
    <row r="4727">
      <c r="C4727" s="41"/>
      <c r="D4727" s="141"/>
      <c r="E4727" s="118"/>
      <c r="F4727" s="126"/>
      <c r="G4727" s="126"/>
      <c r="H4727" s="126"/>
      <c r="I4727" s="126"/>
      <c r="J4727" s="76"/>
      <c r="K4727" s="76"/>
      <c r="L4727" s="76"/>
      <c r="M4727" s="76"/>
      <c r="N4727" s="114"/>
    </row>
    <row r="4728">
      <c r="C4728" s="41"/>
      <c r="D4728" s="142"/>
      <c r="E4728" s="130"/>
      <c r="F4728" s="128"/>
      <c r="G4728" s="128"/>
      <c r="H4728" s="128"/>
      <c r="I4728" s="128"/>
      <c r="J4728" s="81"/>
      <c r="K4728" s="81"/>
      <c r="L4728" s="81"/>
      <c r="M4728" s="81"/>
      <c r="N4728" s="82"/>
    </row>
    <row r="4729">
      <c r="C4729" s="41"/>
      <c r="D4729" s="141"/>
      <c r="E4729" s="118"/>
      <c r="F4729" s="126"/>
      <c r="G4729" s="126"/>
      <c r="H4729" s="126"/>
      <c r="I4729" s="126"/>
      <c r="J4729" s="76"/>
      <c r="K4729" s="76"/>
      <c r="L4729" s="76"/>
      <c r="M4729" s="76"/>
      <c r="N4729" s="114"/>
    </row>
    <row r="4730">
      <c r="C4730" s="41"/>
      <c r="D4730" s="142"/>
      <c r="E4730" s="130"/>
      <c r="F4730" s="128"/>
      <c r="G4730" s="128"/>
      <c r="H4730" s="128"/>
      <c r="I4730" s="128"/>
      <c r="J4730" s="81"/>
      <c r="K4730" s="81"/>
      <c r="L4730" s="81"/>
      <c r="M4730" s="81"/>
      <c r="N4730" s="82"/>
    </row>
    <row r="4731">
      <c r="C4731" s="41"/>
      <c r="D4731" s="141"/>
      <c r="E4731" s="118"/>
      <c r="F4731" s="126"/>
      <c r="G4731" s="126"/>
      <c r="H4731" s="126"/>
      <c r="I4731" s="126"/>
      <c r="J4731" s="76"/>
      <c r="K4731" s="76"/>
      <c r="L4731" s="76"/>
      <c r="M4731" s="76"/>
      <c r="N4731" s="114"/>
    </row>
    <row r="4732">
      <c r="C4732" s="41"/>
      <c r="D4732" s="142"/>
      <c r="E4732" s="130"/>
      <c r="F4732" s="128"/>
      <c r="G4732" s="128"/>
      <c r="H4732" s="128"/>
      <c r="I4732" s="128"/>
      <c r="J4732" s="81"/>
      <c r="K4732" s="81"/>
      <c r="L4732" s="81"/>
      <c r="M4732" s="81"/>
      <c r="N4732" s="82"/>
    </row>
    <row r="4733">
      <c r="C4733" s="41"/>
      <c r="D4733" s="141"/>
      <c r="E4733" s="118"/>
      <c r="F4733" s="126"/>
      <c r="G4733" s="126"/>
      <c r="H4733" s="126"/>
      <c r="I4733" s="126"/>
      <c r="J4733" s="76"/>
      <c r="K4733" s="76"/>
      <c r="L4733" s="76"/>
      <c r="M4733" s="76"/>
      <c r="N4733" s="114"/>
    </row>
    <row r="4734">
      <c r="C4734" s="41"/>
      <c r="D4734" s="142"/>
      <c r="E4734" s="130"/>
      <c r="F4734" s="128"/>
      <c r="G4734" s="128"/>
      <c r="H4734" s="128"/>
      <c r="I4734" s="128"/>
      <c r="J4734" s="81"/>
      <c r="K4734" s="81"/>
      <c r="L4734" s="81"/>
      <c r="M4734" s="81"/>
      <c r="N4734" s="82"/>
    </row>
    <row r="4735">
      <c r="C4735" s="41"/>
      <c r="D4735" s="141"/>
      <c r="E4735" s="118"/>
      <c r="F4735" s="126"/>
      <c r="G4735" s="126"/>
      <c r="H4735" s="126"/>
      <c r="I4735" s="126"/>
      <c r="J4735" s="76"/>
      <c r="K4735" s="76"/>
      <c r="L4735" s="76"/>
      <c r="M4735" s="76"/>
      <c r="N4735" s="114"/>
    </row>
    <row r="4736">
      <c r="C4736" s="41"/>
      <c r="D4736" s="142"/>
      <c r="E4736" s="130"/>
      <c r="F4736" s="128"/>
      <c r="G4736" s="128"/>
      <c r="H4736" s="128"/>
      <c r="I4736" s="128"/>
      <c r="J4736" s="81"/>
      <c r="K4736" s="81"/>
      <c r="L4736" s="81"/>
      <c r="M4736" s="81"/>
      <c r="N4736" s="82"/>
    </row>
    <row r="4737">
      <c r="C4737" s="41"/>
      <c r="D4737" s="141"/>
      <c r="E4737" s="118"/>
      <c r="F4737" s="126"/>
      <c r="G4737" s="126"/>
      <c r="H4737" s="126"/>
      <c r="I4737" s="126"/>
      <c r="J4737" s="76"/>
      <c r="K4737" s="76"/>
      <c r="L4737" s="76"/>
      <c r="M4737" s="76"/>
      <c r="N4737" s="114"/>
    </row>
    <row r="4738">
      <c r="C4738" s="41"/>
      <c r="D4738" s="142"/>
      <c r="E4738" s="130"/>
      <c r="F4738" s="128"/>
      <c r="G4738" s="128"/>
      <c r="H4738" s="128"/>
      <c r="I4738" s="128"/>
      <c r="J4738" s="81"/>
      <c r="K4738" s="81"/>
      <c r="L4738" s="81"/>
      <c r="M4738" s="81"/>
      <c r="N4738" s="82"/>
    </row>
    <row r="4739">
      <c r="C4739" s="41"/>
      <c r="D4739" s="141"/>
      <c r="E4739" s="118"/>
      <c r="F4739" s="126"/>
      <c r="G4739" s="126"/>
      <c r="H4739" s="126"/>
      <c r="I4739" s="126"/>
      <c r="J4739" s="76"/>
      <c r="K4739" s="76"/>
      <c r="L4739" s="76"/>
      <c r="M4739" s="76"/>
      <c r="N4739" s="114"/>
    </row>
    <row r="4740">
      <c r="C4740" s="41"/>
      <c r="D4740" s="142"/>
      <c r="E4740" s="130"/>
      <c r="F4740" s="128"/>
      <c r="G4740" s="128"/>
      <c r="H4740" s="128"/>
      <c r="I4740" s="128"/>
      <c r="J4740" s="81"/>
      <c r="K4740" s="81"/>
      <c r="L4740" s="81"/>
      <c r="M4740" s="81"/>
      <c r="N4740" s="82"/>
    </row>
    <row r="4741">
      <c r="C4741" s="41"/>
      <c r="D4741" s="141"/>
      <c r="E4741" s="118"/>
      <c r="F4741" s="126"/>
      <c r="G4741" s="126"/>
      <c r="H4741" s="126"/>
      <c r="I4741" s="126"/>
      <c r="J4741" s="76"/>
      <c r="K4741" s="76"/>
      <c r="L4741" s="76"/>
      <c r="M4741" s="76"/>
      <c r="N4741" s="114"/>
    </row>
    <row r="4742">
      <c r="C4742" s="41"/>
      <c r="D4742" s="142"/>
      <c r="E4742" s="130"/>
      <c r="F4742" s="128"/>
      <c r="G4742" s="128"/>
      <c r="H4742" s="128"/>
      <c r="I4742" s="128"/>
      <c r="J4742" s="81"/>
      <c r="K4742" s="81"/>
      <c r="L4742" s="81"/>
      <c r="M4742" s="81"/>
      <c r="N4742" s="82"/>
    </row>
    <row r="4743">
      <c r="C4743" s="41"/>
      <c r="D4743" s="141"/>
      <c r="E4743" s="118"/>
      <c r="F4743" s="126"/>
      <c r="G4743" s="126"/>
      <c r="H4743" s="126"/>
      <c r="I4743" s="126"/>
      <c r="J4743" s="76"/>
      <c r="K4743" s="76"/>
      <c r="L4743" s="76"/>
      <c r="M4743" s="76"/>
      <c r="N4743" s="114"/>
    </row>
    <row r="4744">
      <c r="C4744" s="41"/>
      <c r="D4744" s="142"/>
      <c r="E4744" s="130"/>
      <c r="F4744" s="128"/>
      <c r="G4744" s="128"/>
      <c r="H4744" s="128"/>
      <c r="I4744" s="128"/>
      <c r="J4744" s="81"/>
      <c r="K4744" s="81"/>
      <c r="L4744" s="81"/>
      <c r="M4744" s="81"/>
      <c r="N4744" s="82"/>
    </row>
    <row r="4745">
      <c r="C4745" s="41"/>
      <c r="D4745" s="141"/>
      <c r="E4745" s="118"/>
      <c r="F4745" s="126"/>
      <c r="G4745" s="126"/>
      <c r="H4745" s="126"/>
      <c r="I4745" s="126"/>
      <c r="J4745" s="76"/>
      <c r="K4745" s="76"/>
      <c r="L4745" s="76"/>
      <c r="M4745" s="76"/>
      <c r="N4745" s="114"/>
    </row>
    <row r="4746">
      <c r="C4746" s="41"/>
      <c r="D4746" s="142"/>
      <c r="E4746" s="130"/>
      <c r="F4746" s="128"/>
      <c r="G4746" s="128"/>
      <c r="H4746" s="128"/>
      <c r="I4746" s="128"/>
      <c r="J4746" s="81"/>
      <c r="K4746" s="81"/>
      <c r="L4746" s="81"/>
      <c r="M4746" s="81"/>
      <c r="N4746" s="82"/>
    </row>
    <row r="4747">
      <c r="C4747" s="41"/>
      <c r="D4747" s="141"/>
      <c r="E4747" s="118"/>
      <c r="F4747" s="126"/>
      <c r="G4747" s="126"/>
      <c r="H4747" s="126"/>
      <c r="I4747" s="126"/>
      <c r="J4747" s="76"/>
      <c r="K4747" s="76"/>
      <c r="L4747" s="76"/>
      <c r="M4747" s="76"/>
      <c r="N4747" s="114"/>
    </row>
    <row r="4748">
      <c r="C4748" s="41"/>
      <c r="D4748" s="142"/>
      <c r="E4748" s="130"/>
      <c r="F4748" s="128"/>
      <c r="G4748" s="128"/>
      <c r="H4748" s="128"/>
      <c r="I4748" s="128"/>
      <c r="J4748" s="81"/>
      <c r="K4748" s="81"/>
      <c r="L4748" s="81"/>
      <c r="M4748" s="81"/>
      <c r="N4748" s="82"/>
    </row>
    <row r="4749">
      <c r="C4749" s="41"/>
      <c r="D4749" s="141"/>
      <c r="E4749" s="118"/>
      <c r="F4749" s="126"/>
      <c r="G4749" s="126"/>
      <c r="H4749" s="126"/>
      <c r="I4749" s="126"/>
      <c r="J4749" s="76"/>
      <c r="K4749" s="76"/>
      <c r="L4749" s="76"/>
      <c r="M4749" s="76"/>
      <c r="N4749" s="114"/>
    </row>
    <row r="4750">
      <c r="C4750" s="41"/>
      <c r="D4750" s="142"/>
      <c r="E4750" s="130"/>
      <c r="F4750" s="128"/>
      <c r="G4750" s="128"/>
      <c r="H4750" s="128"/>
      <c r="I4750" s="128"/>
      <c r="J4750" s="81"/>
      <c r="K4750" s="81"/>
      <c r="L4750" s="81"/>
      <c r="M4750" s="81"/>
      <c r="N4750" s="82"/>
    </row>
    <row r="4751">
      <c r="C4751" s="41"/>
      <c r="D4751" s="141"/>
      <c r="E4751" s="118"/>
      <c r="F4751" s="126"/>
      <c r="G4751" s="126"/>
      <c r="H4751" s="126"/>
      <c r="I4751" s="126"/>
      <c r="J4751" s="76"/>
      <c r="K4751" s="76"/>
      <c r="L4751" s="76"/>
      <c r="M4751" s="76"/>
      <c r="N4751" s="114"/>
    </row>
    <row r="4752">
      <c r="C4752" s="41"/>
      <c r="D4752" s="142"/>
      <c r="E4752" s="130"/>
      <c r="F4752" s="128"/>
      <c r="G4752" s="128"/>
      <c r="H4752" s="128"/>
      <c r="I4752" s="128"/>
      <c r="J4752" s="81"/>
      <c r="K4752" s="81"/>
      <c r="L4752" s="81"/>
      <c r="M4752" s="81"/>
      <c r="N4752" s="82"/>
    </row>
    <row r="4753">
      <c r="C4753" s="41"/>
      <c r="D4753" s="141"/>
      <c r="E4753" s="118"/>
      <c r="F4753" s="126"/>
      <c r="G4753" s="126"/>
      <c r="H4753" s="126"/>
      <c r="I4753" s="126"/>
      <c r="J4753" s="76"/>
      <c r="K4753" s="76"/>
      <c r="L4753" s="76"/>
      <c r="M4753" s="76"/>
      <c r="N4753" s="114"/>
    </row>
    <row r="4754">
      <c r="C4754" s="41"/>
      <c r="D4754" s="142"/>
      <c r="E4754" s="130"/>
      <c r="F4754" s="128"/>
      <c r="G4754" s="128"/>
      <c r="H4754" s="128"/>
      <c r="I4754" s="128"/>
      <c r="J4754" s="81"/>
      <c r="K4754" s="81"/>
      <c r="L4754" s="81"/>
      <c r="M4754" s="81"/>
      <c r="N4754" s="82"/>
    </row>
    <row r="4755">
      <c r="C4755" s="41"/>
      <c r="D4755" s="141"/>
      <c r="E4755" s="118"/>
      <c r="F4755" s="126"/>
      <c r="G4755" s="126"/>
      <c r="H4755" s="126"/>
      <c r="I4755" s="126"/>
      <c r="J4755" s="76"/>
      <c r="K4755" s="76"/>
      <c r="L4755" s="76"/>
      <c r="M4755" s="76"/>
      <c r="N4755" s="114"/>
    </row>
    <row r="4756">
      <c r="C4756" s="41"/>
      <c r="D4756" s="142"/>
      <c r="E4756" s="130"/>
      <c r="F4756" s="128"/>
      <c r="G4756" s="128"/>
      <c r="H4756" s="128"/>
      <c r="I4756" s="128"/>
      <c r="J4756" s="81"/>
      <c r="K4756" s="81"/>
      <c r="L4756" s="81"/>
      <c r="M4756" s="81"/>
      <c r="N4756" s="82"/>
    </row>
    <row r="4757">
      <c r="C4757" s="41"/>
      <c r="D4757" s="141"/>
      <c r="E4757" s="118"/>
      <c r="F4757" s="126"/>
      <c r="G4757" s="126"/>
      <c r="H4757" s="126"/>
      <c r="I4757" s="126"/>
      <c r="J4757" s="76"/>
      <c r="K4757" s="76"/>
      <c r="L4757" s="76"/>
      <c r="M4757" s="76"/>
      <c r="N4757" s="114"/>
    </row>
    <row r="4758">
      <c r="C4758" s="41"/>
      <c r="D4758" s="142"/>
      <c r="E4758" s="130"/>
      <c r="F4758" s="128"/>
      <c r="G4758" s="128"/>
      <c r="H4758" s="128"/>
      <c r="I4758" s="128"/>
      <c r="J4758" s="81"/>
      <c r="K4758" s="81"/>
      <c r="L4758" s="81"/>
      <c r="M4758" s="81"/>
      <c r="N4758" s="82"/>
    </row>
    <row r="4759">
      <c r="C4759" s="41"/>
      <c r="D4759" s="141"/>
      <c r="E4759" s="118"/>
      <c r="F4759" s="126"/>
      <c r="G4759" s="126"/>
      <c r="H4759" s="126"/>
      <c r="I4759" s="126"/>
      <c r="J4759" s="76"/>
      <c r="K4759" s="76"/>
      <c r="L4759" s="76"/>
      <c r="M4759" s="76"/>
      <c r="N4759" s="114"/>
    </row>
    <row r="4760">
      <c r="C4760" s="41"/>
      <c r="D4760" s="142"/>
      <c r="E4760" s="130"/>
      <c r="F4760" s="128"/>
      <c r="G4760" s="128"/>
      <c r="H4760" s="128"/>
      <c r="I4760" s="128"/>
      <c r="J4760" s="81"/>
      <c r="K4760" s="81"/>
      <c r="L4760" s="81"/>
      <c r="M4760" s="81"/>
      <c r="N4760" s="82"/>
    </row>
    <row r="4761">
      <c r="C4761" s="41"/>
      <c r="D4761" s="141"/>
      <c r="E4761" s="118"/>
      <c r="F4761" s="126"/>
      <c r="G4761" s="126"/>
      <c r="H4761" s="126"/>
      <c r="I4761" s="126"/>
      <c r="J4761" s="76"/>
      <c r="K4761" s="76"/>
      <c r="L4761" s="76"/>
      <c r="M4761" s="76"/>
      <c r="N4761" s="114"/>
    </row>
    <row r="4762">
      <c r="C4762" s="41"/>
      <c r="D4762" s="142"/>
      <c r="E4762" s="130"/>
      <c r="F4762" s="128"/>
      <c r="G4762" s="128"/>
      <c r="H4762" s="128"/>
      <c r="I4762" s="128"/>
      <c r="J4762" s="81"/>
      <c r="K4762" s="81"/>
      <c r="L4762" s="81"/>
      <c r="M4762" s="81"/>
      <c r="N4762" s="82"/>
    </row>
    <row r="4763">
      <c r="C4763" s="41"/>
      <c r="D4763" s="141"/>
      <c r="E4763" s="118"/>
      <c r="F4763" s="126"/>
      <c r="G4763" s="126"/>
      <c r="H4763" s="126"/>
      <c r="I4763" s="126"/>
      <c r="J4763" s="76"/>
      <c r="K4763" s="76"/>
      <c r="L4763" s="76"/>
      <c r="M4763" s="76"/>
      <c r="N4763" s="114"/>
    </row>
    <row r="4764">
      <c r="C4764" s="41"/>
      <c r="D4764" s="142"/>
      <c r="E4764" s="130"/>
      <c r="F4764" s="128"/>
      <c r="G4764" s="128"/>
      <c r="H4764" s="128"/>
      <c r="I4764" s="128"/>
      <c r="J4764" s="81"/>
      <c r="K4764" s="81"/>
      <c r="L4764" s="81"/>
      <c r="M4764" s="81"/>
      <c r="N4764" s="82"/>
    </row>
    <row r="4765">
      <c r="C4765" s="41"/>
      <c r="D4765" s="141"/>
      <c r="E4765" s="118"/>
      <c r="F4765" s="126"/>
      <c r="G4765" s="126"/>
      <c r="H4765" s="126"/>
      <c r="I4765" s="126"/>
      <c r="J4765" s="76"/>
      <c r="K4765" s="76"/>
      <c r="L4765" s="76"/>
      <c r="M4765" s="76"/>
      <c r="N4765" s="114"/>
    </row>
    <row r="4766">
      <c r="C4766" s="41"/>
      <c r="D4766" s="142"/>
      <c r="E4766" s="130"/>
      <c r="F4766" s="128"/>
      <c r="G4766" s="128"/>
      <c r="H4766" s="128"/>
      <c r="I4766" s="128"/>
      <c r="J4766" s="81"/>
      <c r="K4766" s="81"/>
      <c r="L4766" s="81"/>
      <c r="M4766" s="81"/>
      <c r="N4766" s="82"/>
    </row>
    <row r="4767">
      <c r="C4767" s="41"/>
      <c r="D4767" s="141"/>
      <c r="E4767" s="118"/>
      <c r="F4767" s="126"/>
      <c r="G4767" s="126"/>
      <c r="H4767" s="126"/>
      <c r="I4767" s="126"/>
      <c r="J4767" s="76"/>
      <c r="K4767" s="76"/>
      <c r="L4767" s="76"/>
      <c r="M4767" s="76"/>
      <c r="N4767" s="114"/>
    </row>
    <row r="4768">
      <c r="C4768" s="41"/>
      <c r="D4768" s="142"/>
      <c r="E4768" s="130"/>
      <c r="F4768" s="128"/>
      <c r="G4768" s="128"/>
      <c r="H4768" s="128"/>
      <c r="I4768" s="128"/>
      <c r="J4768" s="81"/>
      <c r="K4768" s="81"/>
      <c r="L4768" s="81"/>
      <c r="M4768" s="81"/>
      <c r="N4768" s="82"/>
    </row>
    <row r="4769">
      <c r="C4769" s="41"/>
      <c r="D4769" s="141"/>
      <c r="E4769" s="118"/>
      <c r="F4769" s="126"/>
      <c r="G4769" s="126"/>
      <c r="H4769" s="126"/>
      <c r="I4769" s="126"/>
      <c r="J4769" s="76"/>
      <c r="K4769" s="76"/>
      <c r="L4769" s="76"/>
      <c r="M4769" s="76"/>
      <c r="N4769" s="114"/>
    </row>
    <row r="4770">
      <c r="C4770" s="41"/>
      <c r="D4770" s="142"/>
      <c r="E4770" s="130"/>
      <c r="F4770" s="128"/>
      <c r="G4770" s="128"/>
      <c r="H4770" s="128"/>
      <c r="I4770" s="128"/>
      <c r="J4770" s="81"/>
      <c r="K4770" s="81"/>
      <c r="L4770" s="81"/>
      <c r="M4770" s="81"/>
      <c r="N4770" s="82"/>
    </row>
    <row r="4771">
      <c r="C4771" s="41"/>
      <c r="D4771" s="141"/>
      <c r="E4771" s="118"/>
      <c r="F4771" s="126"/>
      <c r="G4771" s="126"/>
      <c r="H4771" s="126"/>
      <c r="I4771" s="126"/>
      <c r="J4771" s="76"/>
      <c r="K4771" s="76"/>
      <c r="L4771" s="76"/>
      <c r="M4771" s="76"/>
      <c r="N4771" s="114"/>
    </row>
    <row r="4772">
      <c r="C4772" s="41"/>
      <c r="D4772" s="142"/>
      <c r="E4772" s="130"/>
      <c r="F4772" s="128"/>
      <c r="G4772" s="128"/>
      <c r="H4772" s="128"/>
      <c r="I4772" s="128"/>
      <c r="J4772" s="81"/>
      <c r="K4772" s="81"/>
      <c r="L4772" s="81"/>
      <c r="M4772" s="81"/>
      <c r="N4772" s="82"/>
    </row>
    <row r="4773">
      <c r="C4773" s="41"/>
      <c r="D4773" s="141"/>
      <c r="E4773" s="118"/>
      <c r="F4773" s="126"/>
      <c r="G4773" s="126"/>
      <c r="H4773" s="126"/>
      <c r="I4773" s="126"/>
      <c r="J4773" s="76"/>
      <c r="K4773" s="76"/>
      <c r="L4773" s="76"/>
      <c r="M4773" s="76"/>
      <c r="N4773" s="114"/>
    </row>
    <row r="4774">
      <c r="C4774" s="41"/>
      <c r="D4774" s="142"/>
      <c r="E4774" s="130"/>
      <c r="F4774" s="128"/>
      <c r="G4774" s="128"/>
      <c r="H4774" s="128"/>
      <c r="I4774" s="128"/>
      <c r="J4774" s="81"/>
      <c r="K4774" s="81"/>
      <c r="L4774" s="81"/>
      <c r="M4774" s="81"/>
      <c r="N4774" s="82"/>
    </row>
    <row r="4775">
      <c r="C4775" s="41"/>
      <c r="D4775" s="141"/>
      <c r="E4775" s="118"/>
      <c r="F4775" s="126"/>
      <c r="G4775" s="126"/>
      <c r="H4775" s="126"/>
      <c r="I4775" s="126"/>
      <c r="J4775" s="76"/>
      <c r="K4775" s="76"/>
      <c r="L4775" s="76"/>
      <c r="M4775" s="76"/>
      <c r="N4775" s="114"/>
    </row>
    <row r="4776">
      <c r="C4776" s="41"/>
      <c r="D4776" s="142"/>
      <c r="E4776" s="130"/>
      <c r="F4776" s="128"/>
      <c r="G4776" s="128"/>
      <c r="H4776" s="128"/>
      <c r="I4776" s="128"/>
      <c r="J4776" s="81"/>
      <c r="K4776" s="81"/>
      <c r="L4776" s="81"/>
      <c r="M4776" s="81"/>
      <c r="N4776" s="82"/>
    </row>
    <row r="4777">
      <c r="C4777" s="41"/>
      <c r="D4777" s="141"/>
      <c r="E4777" s="118"/>
      <c r="F4777" s="126"/>
      <c r="G4777" s="126"/>
      <c r="H4777" s="126"/>
      <c r="I4777" s="126"/>
      <c r="J4777" s="76"/>
      <c r="K4777" s="76"/>
      <c r="L4777" s="76"/>
      <c r="M4777" s="76"/>
      <c r="N4777" s="114"/>
    </row>
    <row r="4778">
      <c r="C4778" s="41"/>
      <c r="D4778" s="142"/>
      <c r="E4778" s="130"/>
      <c r="F4778" s="128"/>
      <c r="G4778" s="128"/>
      <c r="H4778" s="128"/>
      <c r="I4778" s="128"/>
      <c r="J4778" s="81"/>
      <c r="K4778" s="81"/>
      <c r="L4778" s="81"/>
      <c r="M4778" s="81"/>
      <c r="N4778" s="82"/>
    </row>
    <row r="4779">
      <c r="C4779" s="41"/>
      <c r="D4779" s="141"/>
      <c r="E4779" s="118"/>
      <c r="F4779" s="126"/>
      <c r="G4779" s="126"/>
      <c r="H4779" s="126"/>
      <c r="I4779" s="126"/>
      <c r="J4779" s="76"/>
      <c r="K4779" s="76"/>
      <c r="L4779" s="76"/>
      <c r="M4779" s="76"/>
      <c r="N4779" s="114"/>
    </row>
    <row r="4780">
      <c r="C4780" s="41"/>
      <c r="D4780" s="142"/>
      <c r="E4780" s="130"/>
      <c r="F4780" s="128"/>
      <c r="G4780" s="128"/>
      <c r="H4780" s="128"/>
      <c r="I4780" s="128"/>
      <c r="J4780" s="81"/>
      <c r="K4780" s="81"/>
      <c r="L4780" s="81"/>
      <c r="M4780" s="81"/>
      <c r="N4780" s="82"/>
    </row>
    <row r="4781">
      <c r="C4781" s="41"/>
      <c r="D4781" s="141"/>
      <c r="E4781" s="118"/>
      <c r="F4781" s="126"/>
      <c r="G4781" s="126"/>
      <c r="H4781" s="126"/>
      <c r="I4781" s="126"/>
      <c r="J4781" s="76"/>
      <c r="K4781" s="76"/>
      <c r="L4781" s="76"/>
      <c r="M4781" s="76"/>
      <c r="N4781" s="114"/>
    </row>
    <row r="4782">
      <c r="C4782" s="41"/>
      <c r="D4782" s="142"/>
      <c r="E4782" s="130"/>
      <c r="F4782" s="128"/>
      <c r="G4782" s="128"/>
      <c r="H4782" s="128"/>
      <c r="I4782" s="128"/>
      <c r="J4782" s="81"/>
      <c r="K4782" s="81"/>
      <c r="L4782" s="81"/>
      <c r="M4782" s="81"/>
      <c r="N4782" s="82"/>
    </row>
    <row r="4783">
      <c r="C4783" s="41"/>
      <c r="D4783" s="141"/>
      <c r="E4783" s="118"/>
      <c r="F4783" s="126"/>
      <c r="G4783" s="126"/>
      <c r="H4783" s="126"/>
      <c r="I4783" s="126"/>
      <c r="J4783" s="76"/>
      <c r="K4783" s="76"/>
      <c r="L4783" s="76"/>
      <c r="M4783" s="76"/>
      <c r="N4783" s="114"/>
    </row>
    <row r="4784">
      <c r="C4784" s="41"/>
      <c r="D4784" s="142"/>
      <c r="E4784" s="130"/>
      <c r="F4784" s="128"/>
      <c r="G4784" s="128"/>
      <c r="H4784" s="128"/>
      <c r="I4784" s="128"/>
      <c r="J4784" s="81"/>
      <c r="K4784" s="81"/>
      <c r="L4784" s="81"/>
      <c r="M4784" s="81"/>
      <c r="N4784" s="82"/>
    </row>
    <row r="4785">
      <c r="C4785" s="41"/>
      <c r="D4785" s="141"/>
      <c r="E4785" s="118"/>
      <c r="F4785" s="126"/>
      <c r="G4785" s="126"/>
      <c r="H4785" s="126"/>
      <c r="I4785" s="126"/>
      <c r="J4785" s="76"/>
      <c r="K4785" s="76"/>
      <c r="L4785" s="76"/>
      <c r="M4785" s="76"/>
      <c r="N4785" s="114"/>
    </row>
    <row r="4786">
      <c r="C4786" s="41"/>
      <c r="D4786" s="142"/>
      <c r="E4786" s="130"/>
      <c r="F4786" s="128"/>
      <c r="G4786" s="128"/>
      <c r="H4786" s="128"/>
      <c r="I4786" s="128"/>
      <c r="J4786" s="81"/>
      <c r="K4786" s="81"/>
      <c r="L4786" s="81"/>
      <c r="M4786" s="81"/>
      <c r="N4786" s="82"/>
    </row>
    <row r="4787">
      <c r="C4787" s="41"/>
      <c r="D4787" s="141"/>
      <c r="E4787" s="118"/>
      <c r="F4787" s="126"/>
      <c r="G4787" s="126"/>
      <c r="H4787" s="126"/>
      <c r="I4787" s="126"/>
      <c r="J4787" s="76"/>
      <c r="K4787" s="76"/>
      <c r="L4787" s="76"/>
      <c r="M4787" s="76"/>
      <c r="N4787" s="114"/>
    </row>
    <row r="4788">
      <c r="C4788" s="41"/>
      <c r="D4788" s="142"/>
      <c r="E4788" s="130"/>
      <c r="F4788" s="128"/>
      <c r="G4788" s="128"/>
      <c r="H4788" s="128"/>
      <c r="I4788" s="128"/>
      <c r="J4788" s="81"/>
      <c r="K4788" s="81"/>
      <c r="L4788" s="81"/>
      <c r="M4788" s="81"/>
      <c r="N4788" s="82"/>
    </row>
    <row r="4789">
      <c r="C4789" s="41"/>
      <c r="D4789" s="141"/>
      <c r="E4789" s="118"/>
      <c r="F4789" s="126"/>
      <c r="G4789" s="126"/>
      <c r="H4789" s="126"/>
      <c r="I4789" s="126"/>
      <c r="J4789" s="76"/>
      <c r="K4789" s="76"/>
      <c r="L4789" s="76"/>
      <c r="M4789" s="76"/>
      <c r="N4789" s="114"/>
    </row>
    <row r="4790">
      <c r="C4790" s="41"/>
      <c r="D4790" s="142"/>
      <c r="E4790" s="130"/>
      <c r="F4790" s="128"/>
      <c r="G4790" s="128"/>
      <c r="H4790" s="128"/>
      <c r="I4790" s="128"/>
      <c r="J4790" s="81"/>
      <c r="K4790" s="81"/>
      <c r="L4790" s="81"/>
      <c r="M4790" s="81"/>
      <c r="N4790" s="82"/>
    </row>
    <row r="4791">
      <c r="C4791" s="41"/>
      <c r="D4791" s="141"/>
      <c r="E4791" s="118"/>
      <c r="F4791" s="126"/>
      <c r="G4791" s="126"/>
      <c r="H4791" s="126"/>
      <c r="I4791" s="126"/>
      <c r="J4791" s="76"/>
      <c r="K4791" s="76"/>
      <c r="L4791" s="76"/>
      <c r="M4791" s="76"/>
      <c r="N4791" s="114"/>
    </row>
    <row r="4792">
      <c r="C4792" s="41"/>
      <c r="D4792" s="142"/>
      <c r="E4792" s="130"/>
      <c r="F4792" s="128"/>
      <c r="G4792" s="128"/>
      <c r="H4792" s="128"/>
      <c r="I4792" s="128"/>
      <c r="J4792" s="81"/>
      <c r="K4792" s="81"/>
      <c r="L4792" s="81"/>
      <c r="M4792" s="81"/>
      <c r="N4792" s="82"/>
    </row>
    <row r="4793">
      <c r="C4793" s="41"/>
      <c r="D4793" s="141"/>
      <c r="E4793" s="118"/>
      <c r="F4793" s="126"/>
      <c r="G4793" s="126"/>
      <c r="H4793" s="126"/>
      <c r="I4793" s="126"/>
      <c r="J4793" s="76"/>
      <c r="K4793" s="76"/>
      <c r="L4793" s="76"/>
      <c r="M4793" s="76"/>
      <c r="N4793" s="114"/>
    </row>
    <row r="4794">
      <c r="C4794" s="41"/>
      <c r="D4794" s="142"/>
      <c r="E4794" s="130"/>
      <c r="F4794" s="128"/>
      <c r="G4794" s="128"/>
      <c r="H4794" s="128"/>
      <c r="I4794" s="128"/>
      <c r="J4794" s="81"/>
      <c r="K4794" s="81"/>
      <c r="L4794" s="81"/>
      <c r="M4794" s="81"/>
      <c r="N4794" s="82"/>
    </row>
    <row r="4795">
      <c r="C4795" s="41"/>
      <c r="D4795" s="141"/>
      <c r="E4795" s="118"/>
      <c r="F4795" s="126"/>
      <c r="G4795" s="126"/>
      <c r="H4795" s="126"/>
      <c r="I4795" s="126"/>
      <c r="J4795" s="76"/>
      <c r="K4795" s="76"/>
      <c r="L4795" s="76"/>
      <c r="M4795" s="76"/>
      <c r="N4795" s="114"/>
    </row>
    <row r="4796">
      <c r="C4796" s="41"/>
      <c r="D4796" s="142"/>
      <c r="E4796" s="130"/>
      <c r="F4796" s="128"/>
      <c r="G4796" s="128"/>
      <c r="H4796" s="128"/>
      <c r="I4796" s="128"/>
      <c r="J4796" s="81"/>
      <c r="K4796" s="81"/>
      <c r="L4796" s="81"/>
      <c r="M4796" s="81"/>
      <c r="N4796" s="82"/>
    </row>
    <row r="4797">
      <c r="C4797" s="41"/>
      <c r="D4797" s="141"/>
      <c r="E4797" s="118"/>
      <c r="F4797" s="126"/>
      <c r="G4797" s="126"/>
      <c r="H4797" s="126"/>
      <c r="I4797" s="126"/>
      <c r="J4797" s="76"/>
      <c r="K4797" s="76"/>
      <c r="L4797" s="76"/>
      <c r="M4797" s="76"/>
      <c r="N4797" s="114"/>
    </row>
    <row r="4798">
      <c r="C4798" s="41"/>
      <c r="D4798" s="142"/>
      <c r="E4798" s="130"/>
      <c r="F4798" s="128"/>
      <c r="G4798" s="128"/>
      <c r="H4798" s="128"/>
      <c r="I4798" s="128"/>
      <c r="J4798" s="81"/>
      <c r="K4798" s="81"/>
      <c r="L4798" s="81"/>
      <c r="M4798" s="81"/>
      <c r="N4798" s="82"/>
    </row>
    <row r="4799">
      <c r="C4799" s="41"/>
      <c r="D4799" s="141"/>
      <c r="E4799" s="118"/>
      <c r="F4799" s="126"/>
      <c r="G4799" s="126"/>
      <c r="H4799" s="126"/>
      <c r="I4799" s="126"/>
      <c r="J4799" s="76"/>
      <c r="K4799" s="76"/>
      <c r="L4799" s="76"/>
      <c r="M4799" s="76"/>
      <c r="N4799" s="114"/>
    </row>
    <row r="4800">
      <c r="C4800" s="41"/>
      <c r="D4800" s="142"/>
      <c r="E4800" s="130"/>
      <c r="F4800" s="128"/>
      <c r="G4800" s="128"/>
      <c r="H4800" s="128"/>
      <c r="I4800" s="128"/>
      <c r="J4800" s="81"/>
      <c r="K4800" s="81"/>
      <c r="L4800" s="81"/>
      <c r="M4800" s="81"/>
      <c r="N4800" s="82"/>
    </row>
    <row r="4801">
      <c r="C4801" s="41"/>
      <c r="D4801" s="141"/>
      <c r="E4801" s="118"/>
      <c r="F4801" s="126"/>
      <c r="G4801" s="126"/>
      <c r="H4801" s="126"/>
      <c r="I4801" s="126"/>
      <c r="J4801" s="76"/>
      <c r="K4801" s="76"/>
      <c r="L4801" s="76"/>
      <c r="M4801" s="76"/>
      <c r="N4801" s="114"/>
    </row>
    <row r="4802">
      <c r="C4802" s="41"/>
      <c r="D4802" s="142"/>
      <c r="E4802" s="130"/>
      <c r="F4802" s="128"/>
      <c r="G4802" s="128"/>
      <c r="H4802" s="128"/>
      <c r="I4802" s="128"/>
      <c r="J4802" s="81"/>
      <c r="K4802" s="81"/>
      <c r="L4802" s="81"/>
      <c r="M4802" s="81"/>
      <c r="N4802" s="82"/>
    </row>
    <row r="4803">
      <c r="C4803" s="41"/>
      <c r="D4803" s="141"/>
      <c r="E4803" s="118"/>
      <c r="F4803" s="126"/>
      <c r="G4803" s="126"/>
      <c r="H4803" s="126"/>
      <c r="I4803" s="126"/>
      <c r="J4803" s="76"/>
      <c r="K4803" s="76"/>
      <c r="L4803" s="76"/>
      <c r="M4803" s="76"/>
      <c r="N4803" s="114"/>
    </row>
    <row r="4804">
      <c r="C4804" s="41"/>
      <c r="D4804" s="142"/>
      <c r="E4804" s="130"/>
      <c r="F4804" s="128"/>
      <c r="G4804" s="128"/>
      <c r="H4804" s="128"/>
      <c r="I4804" s="128"/>
      <c r="J4804" s="81"/>
      <c r="K4804" s="81"/>
      <c r="L4804" s="81"/>
      <c r="M4804" s="81"/>
      <c r="N4804" s="82"/>
    </row>
    <row r="4805">
      <c r="C4805" s="41"/>
      <c r="D4805" s="141"/>
      <c r="E4805" s="118"/>
      <c r="F4805" s="126"/>
      <c r="G4805" s="126"/>
      <c r="H4805" s="126"/>
      <c r="I4805" s="126"/>
      <c r="J4805" s="76"/>
      <c r="K4805" s="76"/>
      <c r="L4805" s="76"/>
      <c r="M4805" s="76"/>
      <c r="N4805" s="114"/>
    </row>
    <row r="4806">
      <c r="C4806" s="41"/>
      <c r="D4806" s="142"/>
      <c r="E4806" s="130"/>
      <c r="F4806" s="128"/>
      <c r="G4806" s="128"/>
      <c r="H4806" s="128"/>
      <c r="I4806" s="128"/>
      <c r="J4806" s="81"/>
      <c r="K4806" s="81"/>
      <c r="L4806" s="81"/>
      <c r="M4806" s="81"/>
      <c r="N4806" s="82"/>
    </row>
    <row r="4807">
      <c r="C4807" s="41"/>
      <c r="D4807" s="141"/>
      <c r="E4807" s="118"/>
      <c r="F4807" s="126"/>
      <c r="G4807" s="126"/>
      <c r="H4807" s="126"/>
      <c r="I4807" s="126"/>
      <c r="J4807" s="76"/>
      <c r="K4807" s="76"/>
      <c r="L4807" s="76"/>
      <c r="M4807" s="76"/>
      <c r="N4807" s="114"/>
    </row>
    <row r="4808">
      <c r="C4808" s="41"/>
      <c r="D4808" s="142"/>
      <c r="E4808" s="130"/>
      <c r="F4808" s="128"/>
      <c r="G4808" s="128"/>
      <c r="H4808" s="128"/>
      <c r="I4808" s="128"/>
      <c r="J4808" s="81"/>
      <c r="K4808" s="81"/>
      <c r="L4808" s="81"/>
      <c r="M4808" s="81"/>
      <c r="N4808" s="82"/>
    </row>
    <row r="4809">
      <c r="C4809" s="41"/>
      <c r="D4809" s="141"/>
      <c r="E4809" s="118"/>
      <c r="F4809" s="126"/>
      <c r="G4809" s="126"/>
      <c r="H4809" s="126"/>
      <c r="I4809" s="126"/>
      <c r="J4809" s="76"/>
      <c r="K4809" s="76"/>
      <c r="L4809" s="76"/>
      <c r="M4809" s="76"/>
      <c r="N4809" s="114"/>
    </row>
    <row r="4810">
      <c r="C4810" s="41"/>
      <c r="D4810" s="142"/>
      <c r="E4810" s="130"/>
      <c r="F4810" s="128"/>
      <c r="G4810" s="128"/>
      <c r="H4810" s="128"/>
      <c r="I4810" s="128"/>
      <c r="J4810" s="81"/>
      <c r="K4810" s="81"/>
      <c r="L4810" s="81"/>
      <c r="M4810" s="81"/>
      <c r="N4810" s="82"/>
    </row>
    <row r="4811">
      <c r="C4811" s="41"/>
      <c r="D4811" s="141"/>
      <c r="E4811" s="118"/>
      <c r="F4811" s="126"/>
      <c r="G4811" s="126"/>
      <c r="H4811" s="126"/>
      <c r="I4811" s="126"/>
      <c r="J4811" s="76"/>
      <c r="K4811" s="76"/>
      <c r="L4811" s="76"/>
      <c r="M4811" s="76"/>
      <c r="N4811" s="114"/>
    </row>
    <row r="4812">
      <c r="C4812" s="41"/>
      <c r="D4812" s="142"/>
      <c r="E4812" s="130"/>
      <c r="F4812" s="128"/>
      <c r="G4812" s="128"/>
      <c r="H4812" s="128"/>
      <c r="I4812" s="128"/>
      <c r="J4812" s="81"/>
      <c r="K4812" s="81"/>
      <c r="L4812" s="81"/>
      <c r="M4812" s="81"/>
      <c r="N4812" s="82"/>
    </row>
    <row r="4813">
      <c r="C4813" s="41"/>
      <c r="D4813" s="141"/>
      <c r="E4813" s="118"/>
      <c r="F4813" s="126"/>
      <c r="G4813" s="126"/>
      <c r="H4813" s="126"/>
      <c r="I4813" s="126"/>
      <c r="J4813" s="76"/>
      <c r="K4813" s="76"/>
      <c r="L4813" s="76"/>
      <c r="M4813" s="76"/>
      <c r="N4813" s="114"/>
    </row>
    <row r="4814">
      <c r="C4814" s="41"/>
      <c r="D4814" s="142"/>
      <c r="E4814" s="130"/>
      <c r="F4814" s="128"/>
      <c r="G4814" s="128"/>
      <c r="H4814" s="128"/>
      <c r="I4814" s="128"/>
      <c r="J4814" s="81"/>
      <c r="K4814" s="81"/>
      <c r="L4814" s="81"/>
      <c r="M4814" s="81"/>
      <c r="N4814" s="82"/>
    </row>
    <row r="4815">
      <c r="C4815" s="41"/>
      <c r="D4815" s="141"/>
      <c r="E4815" s="118"/>
      <c r="F4815" s="126"/>
      <c r="G4815" s="126"/>
      <c r="H4815" s="126"/>
      <c r="I4815" s="126"/>
      <c r="J4815" s="76"/>
      <c r="K4815" s="76"/>
      <c r="L4815" s="76"/>
      <c r="M4815" s="76"/>
      <c r="N4815" s="114"/>
    </row>
    <row r="4816">
      <c r="C4816" s="41"/>
      <c r="D4816" s="142"/>
      <c r="E4816" s="130"/>
      <c r="F4816" s="128"/>
      <c r="G4816" s="128"/>
      <c r="H4816" s="128"/>
      <c r="I4816" s="128"/>
      <c r="J4816" s="81"/>
      <c r="K4816" s="81"/>
      <c r="L4816" s="81"/>
      <c r="M4816" s="81"/>
      <c r="N4816" s="82"/>
    </row>
    <row r="4817">
      <c r="C4817" s="41"/>
      <c r="D4817" s="141"/>
      <c r="E4817" s="118"/>
      <c r="F4817" s="126"/>
      <c r="G4817" s="126"/>
      <c r="H4817" s="126"/>
      <c r="I4817" s="126"/>
      <c r="J4817" s="76"/>
      <c r="K4817" s="76"/>
      <c r="L4817" s="76"/>
      <c r="M4817" s="76"/>
      <c r="N4817" s="114"/>
    </row>
    <row r="4818">
      <c r="C4818" s="41"/>
      <c r="D4818" s="142"/>
      <c r="E4818" s="130"/>
      <c r="F4818" s="128"/>
      <c r="G4818" s="128"/>
      <c r="H4818" s="128"/>
      <c r="I4818" s="128"/>
      <c r="J4818" s="81"/>
      <c r="K4818" s="81"/>
      <c r="L4818" s="81"/>
      <c r="M4818" s="81"/>
      <c r="N4818" s="82"/>
    </row>
    <row r="4819">
      <c r="C4819" s="41"/>
      <c r="D4819" s="141"/>
      <c r="E4819" s="118"/>
      <c r="F4819" s="126"/>
      <c r="G4819" s="126"/>
      <c r="H4819" s="126"/>
      <c r="I4819" s="126"/>
      <c r="J4819" s="76"/>
      <c r="K4819" s="76"/>
      <c r="L4819" s="76"/>
      <c r="M4819" s="76"/>
      <c r="N4819" s="114"/>
    </row>
    <row r="4820">
      <c r="C4820" s="41"/>
      <c r="D4820" s="142"/>
      <c r="E4820" s="130"/>
      <c r="F4820" s="128"/>
      <c r="G4820" s="128"/>
      <c r="H4820" s="128"/>
      <c r="I4820" s="128"/>
      <c r="J4820" s="81"/>
      <c r="K4820" s="81"/>
      <c r="L4820" s="81"/>
      <c r="M4820" s="81"/>
      <c r="N4820" s="82"/>
    </row>
    <row r="4821">
      <c r="C4821" s="41"/>
      <c r="D4821" s="141"/>
      <c r="E4821" s="118"/>
      <c r="F4821" s="126"/>
      <c r="G4821" s="126"/>
      <c r="H4821" s="126"/>
      <c r="I4821" s="126"/>
      <c r="J4821" s="76"/>
      <c r="K4821" s="76"/>
      <c r="L4821" s="76"/>
      <c r="M4821" s="76"/>
      <c r="N4821" s="114"/>
    </row>
    <row r="4822">
      <c r="C4822" s="41"/>
      <c r="D4822" s="142"/>
      <c r="E4822" s="130"/>
      <c r="F4822" s="128"/>
      <c r="G4822" s="128"/>
      <c r="H4822" s="128"/>
      <c r="I4822" s="128"/>
      <c r="J4822" s="81"/>
      <c r="K4822" s="81"/>
      <c r="L4822" s="81"/>
      <c r="M4822" s="81"/>
      <c r="N4822" s="82"/>
    </row>
    <row r="4823">
      <c r="C4823" s="41"/>
      <c r="D4823" s="141"/>
      <c r="E4823" s="118"/>
      <c r="F4823" s="126"/>
      <c r="G4823" s="126"/>
      <c r="H4823" s="126"/>
      <c r="I4823" s="126"/>
      <c r="J4823" s="76"/>
      <c r="K4823" s="76"/>
      <c r="L4823" s="76"/>
      <c r="M4823" s="76"/>
      <c r="N4823" s="114"/>
    </row>
    <row r="4824">
      <c r="C4824" s="41"/>
      <c r="D4824" s="142"/>
      <c r="E4824" s="130"/>
      <c r="F4824" s="128"/>
      <c r="G4824" s="128"/>
      <c r="H4824" s="128"/>
      <c r="I4824" s="128"/>
      <c r="J4824" s="81"/>
      <c r="K4824" s="81"/>
      <c r="L4824" s="81"/>
      <c r="M4824" s="81"/>
      <c r="N4824" s="82"/>
    </row>
    <row r="4825">
      <c r="C4825" s="41"/>
      <c r="D4825" s="141"/>
      <c r="E4825" s="118"/>
      <c r="F4825" s="126"/>
      <c r="G4825" s="126"/>
      <c r="H4825" s="126"/>
      <c r="I4825" s="126"/>
      <c r="J4825" s="76"/>
      <c r="K4825" s="76"/>
      <c r="L4825" s="76"/>
      <c r="M4825" s="76"/>
      <c r="N4825" s="114"/>
    </row>
    <row r="4826">
      <c r="C4826" s="41"/>
      <c r="D4826" s="142"/>
      <c r="E4826" s="130"/>
      <c r="F4826" s="128"/>
      <c r="G4826" s="128"/>
      <c r="H4826" s="128"/>
      <c r="I4826" s="128"/>
      <c r="J4826" s="81"/>
      <c r="K4826" s="81"/>
      <c r="L4826" s="81"/>
      <c r="M4826" s="81"/>
      <c r="N4826" s="82"/>
    </row>
    <row r="4827">
      <c r="C4827" s="41"/>
      <c r="D4827" s="141"/>
      <c r="E4827" s="118"/>
      <c r="F4827" s="126"/>
      <c r="G4827" s="126"/>
      <c r="H4827" s="126"/>
      <c r="I4827" s="126"/>
      <c r="J4827" s="76"/>
      <c r="K4827" s="76"/>
      <c r="L4827" s="76"/>
      <c r="M4827" s="76"/>
      <c r="N4827" s="114"/>
    </row>
    <row r="4828">
      <c r="C4828" s="41"/>
      <c r="D4828" s="142"/>
      <c r="E4828" s="130"/>
      <c r="F4828" s="128"/>
      <c r="G4828" s="128"/>
      <c r="H4828" s="128"/>
      <c r="I4828" s="128"/>
      <c r="J4828" s="81"/>
      <c r="K4828" s="81"/>
      <c r="L4828" s="81"/>
      <c r="M4828" s="81"/>
      <c r="N4828" s="82"/>
    </row>
    <row r="4829">
      <c r="C4829" s="41"/>
      <c r="D4829" s="141"/>
      <c r="E4829" s="118"/>
      <c r="F4829" s="126"/>
      <c r="G4829" s="126"/>
      <c r="H4829" s="126"/>
      <c r="I4829" s="126"/>
      <c r="J4829" s="76"/>
      <c r="K4829" s="76"/>
      <c r="L4829" s="76"/>
      <c r="M4829" s="76"/>
      <c r="N4829" s="114"/>
    </row>
    <row r="4830">
      <c r="C4830" s="41"/>
      <c r="D4830" s="142"/>
      <c r="E4830" s="130"/>
      <c r="F4830" s="128"/>
      <c r="G4830" s="128"/>
      <c r="H4830" s="128"/>
      <c r="I4830" s="128"/>
      <c r="J4830" s="81"/>
      <c r="K4830" s="81"/>
      <c r="L4830" s="81"/>
      <c r="M4830" s="81"/>
      <c r="N4830" s="82"/>
    </row>
    <row r="4831">
      <c r="C4831" s="41"/>
      <c r="D4831" s="141"/>
      <c r="E4831" s="118"/>
      <c r="F4831" s="126"/>
      <c r="G4831" s="126"/>
      <c r="H4831" s="126"/>
      <c r="I4831" s="126"/>
      <c r="J4831" s="76"/>
      <c r="K4831" s="76"/>
      <c r="L4831" s="76"/>
      <c r="M4831" s="76"/>
      <c r="N4831" s="114"/>
    </row>
    <row r="4832">
      <c r="C4832" s="41"/>
      <c r="D4832" s="142"/>
      <c r="E4832" s="130"/>
      <c r="F4832" s="128"/>
      <c r="G4832" s="128"/>
      <c r="H4832" s="128"/>
      <c r="I4832" s="128"/>
      <c r="J4832" s="81"/>
      <c r="K4832" s="81"/>
      <c r="L4832" s="81"/>
      <c r="M4832" s="81"/>
      <c r="N4832" s="82"/>
    </row>
    <row r="4833">
      <c r="C4833" s="41"/>
      <c r="D4833" s="141"/>
      <c r="E4833" s="118"/>
      <c r="F4833" s="126"/>
      <c r="G4833" s="126"/>
      <c r="H4833" s="126"/>
      <c r="I4833" s="126"/>
      <c r="J4833" s="76"/>
      <c r="K4833" s="76"/>
      <c r="L4833" s="76"/>
      <c r="M4833" s="76"/>
      <c r="N4833" s="114"/>
    </row>
    <row r="4834">
      <c r="C4834" s="41"/>
      <c r="D4834" s="142"/>
      <c r="E4834" s="130"/>
      <c r="F4834" s="128"/>
      <c r="G4834" s="128"/>
      <c r="H4834" s="128"/>
      <c r="I4834" s="128"/>
      <c r="J4834" s="81"/>
      <c r="K4834" s="81"/>
      <c r="L4834" s="81"/>
      <c r="M4834" s="81"/>
      <c r="N4834" s="82"/>
    </row>
    <row r="4835">
      <c r="C4835" s="41"/>
      <c r="D4835" s="141"/>
      <c r="E4835" s="118"/>
      <c r="F4835" s="126"/>
      <c r="G4835" s="126"/>
      <c r="H4835" s="126"/>
      <c r="I4835" s="126"/>
      <c r="J4835" s="76"/>
      <c r="K4835" s="76"/>
      <c r="L4835" s="76"/>
      <c r="M4835" s="76"/>
      <c r="N4835" s="114"/>
    </row>
    <row r="4836">
      <c r="C4836" s="41"/>
      <c r="D4836" s="142"/>
      <c r="E4836" s="130"/>
      <c r="F4836" s="128"/>
      <c r="G4836" s="128"/>
      <c r="H4836" s="128"/>
      <c r="I4836" s="128"/>
      <c r="J4836" s="81"/>
      <c r="K4836" s="81"/>
      <c r="L4836" s="81"/>
      <c r="M4836" s="81"/>
      <c r="N4836" s="82"/>
    </row>
    <row r="4837">
      <c r="C4837" s="41"/>
      <c r="D4837" s="141"/>
      <c r="E4837" s="118"/>
      <c r="F4837" s="126"/>
      <c r="G4837" s="126"/>
      <c r="H4837" s="126"/>
      <c r="I4837" s="126"/>
      <c r="J4837" s="76"/>
      <c r="K4837" s="76"/>
      <c r="L4837" s="76"/>
      <c r="M4837" s="76"/>
      <c r="N4837" s="114"/>
    </row>
    <row r="4838">
      <c r="C4838" s="41"/>
      <c r="D4838" s="142"/>
      <c r="E4838" s="130"/>
      <c r="F4838" s="128"/>
      <c r="G4838" s="128"/>
      <c r="H4838" s="128"/>
      <c r="I4838" s="128"/>
      <c r="J4838" s="81"/>
      <c r="K4838" s="81"/>
      <c r="L4838" s="81"/>
      <c r="M4838" s="81"/>
      <c r="N4838" s="82"/>
    </row>
    <row r="4839">
      <c r="C4839" s="41"/>
      <c r="D4839" s="141"/>
      <c r="E4839" s="118"/>
      <c r="F4839" s="126"/>
      <c r="G4839" s="126"/>
      <c r="H4839" s="126"/>
      <c r="I4839" s="126"/>
      <c r="J4839" s="76"/>
      <c r="K4839" s="76"/>
      <c r="L4839" s="76"/>
      <c r="M4839" s="76"/>
      <c r="N4839" s="114"/>
    </row>
    <row r="4840">
      <c r="C4840" s="41"/>
      <c r="D4840" s="142"/>
      <c r="E4840" s="130"/>
      <c r="F4840" s="128"/>
      <c r="G4840" s="128"/>
      <c r="H4840" s="128"/>
      <c r="I4840" s="128"/>
      <c r="J4840" s="81"/>
      <c r="K4840" s="81"/>
      <c r="L4840" s="81"/>
      <c r="M4840" s="81"/>
      <c r="N4840" s="82"/>
    </row>
    <row r="4841">
      <c r="C4841" s="41"/>
      <c r="D4841" s="141"/>
      <c r="E4841" s="118"/>
      <c r="F4841" s="126"/>
      <c r="G4841" s="126"/>
      <c r="H4841" s="126"/>
      <c r="I4841" s="126"/>
      <c r="J4841" s="76"/>
      <c r="K4841" s="76"/>
      <c r="L4841" s="76"/>
      <c r="M4841" s="76"/>
      <c r="N4841" s="114"/>
    </row>
    <row r="4842">
      <c r="C4842" s="41"/>
      <c r="D4842" s="142"/>
      <c r="E4842" s="130"/>
      <c r="F4842" s="128"/>
      <c r="G4842" s="128"/>
      <c r="H4842" s="128"/>
      <c r="I4842" s="128"/>
      <c r="J4842" s="81"/>
      <c r="K4842" s="81"/>
      <c r="L4842" s="81"/>
      <c r="M4842" s="81"/>
      <c r="N4842" s="82"/>
    </row>
    <row r="4843">
      <c r="C4843" s="41"/>
      <c r="D4843" s="141"/>
      <c r="E4843" s="118"/>
      <c r="F4843" s="126"/>
      <c r="G4843" s="126"/>
      <c r="H4843" s="126"/>
      <c r="I4843" s="126"/>
      <c r="J4843" s="76"/>
      <c r="K4843" s="76"/>
      <c r="L4843" s="76"/>
      <c r="M4843" s="76"/>
      <c r="N4843" s="114"/>
    </row>
    <row r="4844">
      <c r="C4844" s="41"/>
      <c r="D4844" s="142"/>
      <c r="E4844" s="130"/>
      <c r="F4844" s="128"/>
      <c r="G4844" s="128"/>
      <c r="H4844" s="128"/>
      <c r="I4844" s="128"/>
      <c r="J4844" s="81"/>
      <c r="K4844" s="81"/>
      <c r="L4844" s="81"/>
      <c r="M4844" s="81"/>
      <c r="N4844" s="82"/>
    </row>
    <row r="4845">
      <c r="C4845" s="41"/>
      <c r="D4845" s="141"/>
      <c r="E4845" s="118"/>
      <c r="F4845" s="126"/>
      <c r="G4845" s="126"/>
      <c r="H4845" s="126"/>
      <c r="I4845" s="126"/>
      <c r="J4845" s="76"/>
      <c r="K4845" s="76"/>
      <c r="L4845" s="76"/>
      <c r="M4845" s="76"/>
      <c r="N4845" s="114"/>
    </row>
    <row r="4846">
      <c r="C4846" s="41"/>
      <c r="D4846" s="142"/>
      <c r="E4846" s="130"/>
      <c r="F4846" s="128"/>
      <c r="G4846" s="128"/>
      <c r="H4846" s="128"/>
      <c r="I4846" s="128"/>
      <c r="J4846" s="81"/>
      <c r="K4846" s="81"/>
      <c r="L4846" s="81"/>
      <c r="M4846" s="81"/>
      <c r="N4846" s="82"/>
    </row>
    <row r="4847">
      <c r="C4847" s="41"/>
      <c r="D4847" s="141"/>
      <c r="E4847" s="118"/>
      <c r="F4847" s="126"/>
      <c r="G4847" s="126"/>
      <c r="H4847" s="126"/>
      <c r="I4847" s="126"/>
      <c r="J4847" s="76"/>
      <c r="K4847" s="76"/>
      <c r="L4847" s="76"/>
      <c r="M4847" s="76"/>
      <c r="N4847" s="114"/>
    </row>
    <row r="4848">
      <c r="C4848" s="41"/>
      <c r="D4848" s="142"/>
      <c r="E4848" s="130"/>
      <c r="F4848" s="128"/>
      <c r="G4848" s="128"/>
      <c r="H4848" s="128"/>
      <c r="I4848" s="128"/>
      <c r="J4848" s="81"/>
      <c r="K4848" s="81"/>
      <c r="L4848" s="81"/>
      <c r="M4848" s="81"/>
      <c r="N4848" s="82"/>
    </row>
    <row r="4849">
      <c r="C4849" s="41"/>
      <c r="D4849" s="141"/>
      <c r="E4849" s="118"/>
      <c r="F4849" s="126"/>
      <c r="G4849" s="126"/>
      <c r="H4849" s="126"/>
      <c r="I4849" s="126"/>
      <c r="J4849" s="76"/>
      <c r="K4849" s="76"/>
      <c r="L4849" s="76"/>
      <c r="M4849" s="76"/>
      <c r="N4849" s="114"/>
    </row>
    <row r="4850">
      <c r="C4850" s="41"/>
      <c r="D4850" s="142"/>
      <c r="E4850" s="130"/>
      <c r="F4850" s="128"/>
      <c r="G4850" s="128"/>
      <c r="H4850" s="128"/>
      <c r="I4850" s="128"/>
      <c r="J4850" s="81"/>
      <c r="K4850" s="81"/>
      <c r="L4850" s="81"/>
      <c r="M4850" s="81"/>
      <c r="N4850" s="82"/>
    </row>
    <row r="4851">
      <c r="C4851" s="41"/>
      <c r="D4851" s="141"/>
      <c r="E4851" s="118"/>
      <c r="F4851" s="126"/>
      <c r="G4851" s="126"/>
      <c r="H4851" s="126"/>
      <c r="I4851" s="126"/>
      <c r="J4851" s="76"/>
      <c r="K4851" s="76"/>
      <c r="L4851" s="76"/>
      <c r="M4851" s="76"/>
      <c r="N4851" s="114"/>
    </row>
    <row r="4852">
      <c r="C4852" s="41"/>
      <c r="D4852" s="142"/>
      <c r="E4852" s="130"/>
      <c r="F4852" s="128"/>
      <c r="G4852" s="128"/>
      <c r="H4852" s="128"/>
      <c r="I4852" s="128"/>
      <c r="J4852" s="81"/>
      <c r="K4852" s="81"/>
      <c r="L4852" s="81"/>
      <c r="M4852" s="81"/>
      <c r="N4852" s="82"/>
    </row>
    <row r="4853">
      <c r="C4853" s="41"/>
      <c r="D4853" s="141"/>
      <c r="E4853" s="118"/>
      <c r="F4853" s="126"/>
      <c r="G4853" s="126"/>
      <c r="H4853" s="126"/>
      <c r="I4853" s="126"/>
      <c r="J4853" s="76"/>
      <c r="K4853" s="76"/>
      <c r="L4853" s="76"/>
      <c r="M4853" s="76"/>
      <c r="N4853" s="114"/>
    </row>
    <row r="4854">
      <c r="C4854" s="41"/>
      <c r="D4854" s="142"/>
      <c r="E4854" s="130"/>
      <c r="F4854" s="128"/>
      <c r="G4854" s="128"/>
      <c r="H4854" s="128"/>
      <c r="I4854" s="128"/>
      <c r="J4854" s="81"/>
      <c r="K4854" s="81"/>
      <c r="L4854" s="81"/>
      <c r="M4854" s="81"/>
      <c r="N4854" s="82"/>
    </row>
    <row r="4855">
      <c r="C4855" s="41"/>
      <c r="D4855" s="141"/>
      <c r="E4855" s="118"/>
      <c r="F4855" s="126"/>
      <c r="G4855" s="126"/>
      <c r="H4855" s="126"/>
      <c r="I4855" s="126"/>
      <c r="J4855" s="76"/>
      <c r="K4855" s="76"/>
      <c r="L4855" s="76"/>
      <c r="M4855" s="76"/>
      <c r="N4855" s="114"/>
    </row>
    <row r="4856">
      <c r="C4856" s="41"/>
      <c r="D4856" s="142"/>
      <c r="E4856" s="130"/>
      <c r="F4856" s="128"/>
      <c r="G4856" s="128"/>
      <c r="H4856" s="128"/>
      <c r="I4856" s="128"/>
      <c r="J4856" s="81"/>
      <c r="K4856" s="81"/>
      <c r="L4856" s="81"/>
      <c r="M4856" s="81"/>
      <c r="N4856" s="82"/>
    </row>
    <row r="4857">
      <c r="C4857" s="41"/>
      <c r="D4857" s="141"/>
      <c r="E4857" s="118"/>
      <c r="F4857" s="126"/>
      <c r="G4857" s="126"/>
      <c r="H4857" s="126"/>
      <c r="I4857" s="126"/>
      <c r="J4857" s="76"/>
      <c r="K4857" s="76"/>
      <c r="L4857" s="76"/>
      <c r="M4857" s="76"/>
      <c r="N4857" s="114"/>
    </row>
    <row r="4858">
      <c r="C4858" s="41"/>
      <c r="D4858" s="142"/>
      <c r="E4858" s="130"/>
      <c r="F4858" s="128"/>
      <c r="G4858" s="128"/>
      <c r="H4858" s="128"/>
      <c r="I4858" s="128"/>
      <c r="J4858" s="81"/>
      <c r="K4858" s="81"/>
      <c r="L4858" s="81"/>
      <c r="M4858" s="81"/>
      <c r="N4858" s="82"/>
    </row>
    <row r="4859">
      <c r="C4859" s="41"/>
      <c r="D4859" s="141"/>
      <c r="E4859" s="118"/>
      <c r="F4859" s="126"/>
      <c r="G4859" s="126"/>
      <c r="H4859" s="126"/>
      <c r="I4859" s="126"/>
      <c r="J4859" s="76"/>
      <c r="K4859" s="76"/>
      <c r="L4859" s="76"/>
      <c r="M4859" s="76"/>
      <c r="N4859" s="114"/>
    </row>
    <row r="4860">
      <c r="C4860" s="41"/>
      <c r="D4860" s="142"/>
      <c r="E4860" s="130"/>
      <c r="F4860" s="128"/>
      <c r="G4860" s="128"/>
      <c r="H4860" s="128"/>
      <c r="I4860" s="128"/>
      <c r="J4860" s="81"/>
      <c r="K4860" s="81"/>
      <c r="L4860" s="81"/>
      <c r="M4860" s="81"/>
      <c r="N4860" s="82"/>
    </row>
    <row r="4861">
      <c r="C4861" s="41"/>
      <c r="D4861" s="141"/>
      <c r="E4861" s="118"/>
      <c r="F4861" s="126"/>
      <c r="G4861" s="126"/>
      <c r="H4861" s="126"/>
      <c r="I4861" s="126"/>
      <c r="J4861" s="76"/>
      <c r="K4861" s="76"/>
      <c r="L4861" s="76"/>
      <c r="M4861" s="76"/>
      <c r="N4861" s="114"/>
    </row>
    <row r="4862">
      <c r="C4862" s="41"/>
      <c r="D4862" s="142"/>
      <c r="E4862" s="130"/>
      <c r="F4862" s="128"/>
      <c r="G4862" s="128"/>
      <c r="H4862" s="128"/>
      <c r="I4862" s="128"/>
      <c r="J4862" s="81"/>
      <c r="K4862" s="81"/>
      <c r="L4862" s="81"/>
      <c r="M4862" s="81"/>
      <c r="N4862" s="82"/>
    </row>
    <row r="4863">
      <c r="C4863" s="41"/>
      <c r="D4863" s="141"/>
      <c r="E4863" s="118"/>
      <c r="F4863" s="126"/>
      <c r="G4863" s="126"/>
      <c r="H4863" s="126"/>
      <c r="I4863" s="126"/>
      <c r="J4863" s="76"/>
      <c r="K4863" s="76"/>
      <c r="L4863" s="76"/>
      <c r="M4863" s="76"/>
      <c r="N4863" s="114"/>
    </row>
    <row r="4864">
      <c r="C4864" s="41"/>
      <c r="D4864" s="142"/>
      <c r="E4864" s="130"/>
      <c r="F4864" s="128"/>
      <c r="G4864" s="128"/>
      <c r="H4864" s="128"/>
      <c r="I4864" s="128"/>
      <c r="J4864" s="81"/>
      <c r="K4864" s="81"/>
      <c r="L4864" s="81"/>
      <c r="M4864" s="81"/>
      <c r="N4864" s="82"/>
    </row>
    <row r="4865">
      <c r="C4865" s="41"/>
      <c r="D4865" s="141"/>
      <c r="E4865" s="118"/>
      <c r="F4865" s="126"/>
      <c r="G4865" s="126"/>
      <c r="H4865" s="126"/>
      <c r="I4865" s="126"/>
      <c r="J4865" s="76"/>
      <c r="K4865" s="76"/>
      <c r="L4865" s="76"/>
      <c r="M4865" s="76"/>
      <c r="N4865" s="114"/>
    </row>
    <row r="4866">
      <c r="C4866" s="41"/>
      <c r="D4866" s="142"/>
      <c r="E4866" s="130"/>
      <c r="F4866" s="128"/>
      <c r="G4866" s="128"/>
      <c r="H4866" s="128"/>
      <c r="I4866" s="128"/>
      <c r="J4866" s="81"/>
      <c r="K4866" s="81"/>
      <c r="L4866" s="81"/>
      <c r="M4866" s="81"/>
      <c r="N4866" s="82"/>
    </row>
    <row r="4867">
      <c r="C4867" s="41"/>
      <c r="D4867" s="141"/>
      <c r="E4867" s="118"/>
      <c r="F4867" s="126"/>
      <c r="G4867" s="126"/>
      <c r="H4867" s="126"/>
      <c r="I4867" s="126"/>
      <c r="J4867" s="76"/>
      <c r="K4867" s="76"/>
      <c r="L4867" s="76"/>
      <c r="M4867" s="76"/>
      <c r="N4867" s="114"/>
    </row>
    <row r="4868">
      <c r="C4868" s="41"/>
      <c r="D4868" s="142"/>
      <c r="E4868" s="130"/>
      <c r="F4868" s="128"/>
      <c r="G4868" s="128"/>
      <c r="H4868" s="128"/>
      <c r="I4868" s="128"/>
      <c r="J4868" s="81"/>
      <c r="K4868" s="81"/>
      <c r="L4868" s="81"/>
      <c r="M4868" s="81"/>
      <c r="N4868" s="82"/>
    </row>
    <row r="4869">
      <c r="C4869" s="41"/>
      <c r="D4869" s="141"/>
      <c r="E4869" s="118"/>
      <c r="F4869" s="126"/>
      <c r="G4869" s="126"/>
      <c r="H4869" s="126"/>
      <c r="I4869" s="126"/>
      <c r="J4869" s="76"/>
      <c r="K4869" s="76"/>
      <c r="L4869" s="76"/>
      <c r="M4869" s="76"/>
      <c r="N4869" s="114"/>
    </row>
    <row r="4870">
      <c r="C4870" s="41"/>
      <c r="D4870" s="142"/>
      <c r="E4870" s="130"/>
      <c r="F4870" s="128"/>
      <c r="G4870" s="128"/>
      <c r="H4870" s="128"/>
      <c r="I4870" s="128"/>
      <c r="J4870" s="81"/>
      <c r="K4870" s="81"/>
      <c r="L4870" s="81"/>
      <c r="M4870" s="81"/>
      <c r="N4870" s="82"/>
    </row>
    <row r="4871">
      <c r="C4871" s="41"/>
      <c r="D4871" s="141"/>
      <c r="E4871" s="118"/>
      <c r="F4871" s="126"/>
      <c r="G4871" s="126"/>
      <c r="H4871" s="126"/>
      <c r="I4871" s="126"/>
      <c r="J4871" s="76"/>
      <c r="K4871" s="76"/>
      <c r="L4871" s="76"/>
      <c r="M4871" s="76"/>
      <c r="N4871" s="114"/>
    </row>
    <row r="4872">
      <c r="C4872" s="41"/>
      <c r="D4872" s="142"/>
      <c r="E4872" s="130"/>
      <c r="F4872" s="128"/>
      <c r="G4872" s="128"/>
      <c r="H4872" s="128"/>
      <c r="I4872" s="128"/>
      <c r="J4872" s="81"/>
      <c r="K4872" s="81"/>
      <c r="L4872" s="81"/>
      <c r="M4872" s="81"/>
      <c r="N4872" s="82"/>
    </row>
    <row r="4873">
      <c r="C4873" s="41"/>
      <c r="D4873" s="141"/>
      <c r="E4873" s="118"/>
      <c r="F4873" s="126"/>
      <c r="G4873" s="126"/>
      <c r="H4873" s="126"/>
      <c r="I4873" s="126"/>
      <c r="J4873" s="76"/>
      <c r="K4873" s="76"/>
      <c r="L4873" s="76"/>
      <c r="M4873" s="76"/>
      <c r="N4873" s="114"/>
    </row>
    <row r="4874">
      <c r="C4874" s="41"/>
      <c r="D4874" s="142"/>
      <c r="E4874" s="130"/>
      <c r="F4874" s="128"/>
      <c r="G4874" s="128"/>
      <c r="H4874" s="128"/>
      <c r="I4874" s="128"/>
      <c r="J4874" s="81"/>
      <c r="K4874" s="81"/>
      <c r="L4874" s="81"/>
      <c r="M4874" s="81"/>
      <c r="N4874" s="82"/>
    </row>
    <row r="4875">
      <c r="C4875" s="41"/>
      <c r="D4875" s="141"/>
      <c r="E4875" s="118"/>
      <c r="F4875" s="126"/>
      <c r="G4875" s="126"/>
      <c r="H4875" s="126"/>
      <c r="I4875" s="126"/>
      <c r="J4875" s="76"/>
      <c r="K4875" s="76"/>
      <c r="L4875" s="76"/>
      <c r="M4875" s="76"/>
      <c r="N4875" s="114"/>
    </row>
    <row r="4876">
      <c r="C4876" s="41"/>
      <c r="D4876" s="142"/>
      <c r="E4876" s="130"/>
      <c r="F4876" s="128"/>
      <c r="G4876" s="128"/>
      <c r="H4876" s="128"/>
      <c r="I4876" s="128"/>
      <c r="J4876" s="81"/>
      <c r="K4876" s="81"/>
      <c r="L4876" s="81"/>
      <c r="M4876" s="81"/>
      <c r="N4876" s="82"/>
    </row>
    <row r="4877">
      <c r="C4877" s="41"/>
      <c r="D4877" s="141"/>
      <c r="E4877" s="118"/>
      <c r="F4877" s="126"/>
      <c r="G4877" s="126"/>
      <c r="H4877" s="126"/>
      <c r="I4877" s="126"/>
      <c r="J4877" s="76"/>
      <c r="K4877" s="76"/>
      <c r="L4877" s="76"/>
      <c r="M4877" s="76"/>
      <c r="N4877" s="114"/>
    </row>
    <row r="4878">
      <c r="C4878" s="41"/>
      <c r="D4878" s="142"/>
      <c r="E4878" s="130"/>
      <c r="F4878" s="128"/>
      <c r="G4878" s="128"/>
      <c r="H4878" s="128"/>
      <c r="I4878" s="128"/>
      <c r="J4878" s="81"/>
      <c r="K4878" s="81"/>
      <c r="L4878" s="81"/>
      <c r="M4878" s="81"/>
      <c r="N4878" s="82"/>
    </row>
    <row r="4879">
      <c r="C4879" s="41"/>
      <c r="D4879" s="141"/>
      <c r="E4879" s="118"/>
      <c r="F4879" s="126"/>
      <c r="G4879" s="126"/>
      <c r="H4879" s="126"/>
      <c r="I4879" s="126"/>
      <c r="J4879" s="76"/>
      <c r="K4879" s="76"/>
      <c r="L4879" s="76"/>
      <c r="M4879" s="76"/>
      <c r="N4879" s="114"/>
    </row>
    <row r="4880">
      <c r="C4880" s="41"/>
      <c r="D4880" s="142"/>
      <c r="E4880" s="130"/>
      <c r="F4880" s="128"/>
      <c r="G4880" s="128"/>
      <c r="H4880" s="128"/>
      <c r="I4880" s="128"/>
      <c r="J4880" s="81"/>
      <c r="K4880" s="81"/>
      <c r="L4880" s="81"/>
      <c r="M4880" s="81"/>
      <c r="N4880" s="82"/>
    </row>
    <row r="4881">
      <c r="C4881" s="41"/>
      <c r="D4881" s="141"/>
      <c r="E4881" s="118"/>
      <c r="F4881" s="126"/>
      <c r="G4881" s="126"/>
      <c r="H4881" s="126"/>
      <c r="I4881" s="126"/>
      <c r="J4881" s="76"/>
      <c r="K4881" s="76"/>
      <c r="L4881" s="76"/>
      <c r="M4881" s="76"/>
      <c r="N4881" s="114"/>
    </row>
    <row r="4882">
      <c r="C4882" s="41"/>
      <c r="D4882" s="142"/>
      <c r="E4882" s="130"/>
      <c r="F4882" s="128"/>
      <c r="G4882" s="128"/>
      <c r="H4882" s="128"/>
      <c r="I4882" s="128"/>
      <c r="J4882" s="81"/>
      <c r="K4882" s="81"/>
      <c r="L4882" s="81"/>
      <c r="M4882" s="81"/>
      <c r="N4882" s="82"/>
    </row>
    <row r="4883">
      <c r="C4883" s="41"/>
      <c r="D4883" s="141"/>
      <c r="E4883" s="118"/>
      <c r="F4883" s="126"/>
      <c r="G4883" s="126"/>
      <c r="H4883" s="126"/>
      <c r="I4883" s="126"/>
      <c r="J4883" s="76"/>
      <c r="K4883" s="76"/>
      <c r="L4883" s="76"/>
      <c r="M4883" s="76"/>
      <c r="N4883" s="114"/>
    </row>
    <row r="4884">
      <c r="C4884" s="41"/>
      <c r="D4884" s="142"/>
      <c r="E4884" s="130"/>
      <c r="F4884" s="128"/>
      <c r="G4884" s="128"/>
      <c r="H4884" s="128"/>
      <c r="I4884" s="128"/>
      <c r="J4884" s="81"/>
      <c r="K4884" s="81"/>
      <c r="L4884" s="81"/>
      <c r="M4884" s="81"/>
      <c r="N4884" s="82"/>
    </row>
    <row r="4885">
      <c r="C4885" s="41"/>
      <c r="D4885" s="141"/>
      <c r="E4885" s="118"/>
      <c r="F4885" s="126"/>
      <c r="G4885" s="126"/>
      <c r="H4885" s="126"/>
      <c r="I4885" s="126"/>
      <c r="J4885" s="76"/>
      <c r="K4885" s="76"/>
      <c r="L4885" s="76"/>
      <c r="M4885" s="76"/>
      <c r="N4885" s="114"/>
    </row>
    <row r="4886">
      <c r="C4886" s="41"/>
      <c r="D4886" s="142"/>
      <c r="E4886" s="130"/>
      <c r="F4886" s="128"/>
      <c r="G4886" s="128"/>
      <c r="H4886" s="128"/>
      <c r="I4886" s="128"/>
      <c r="J4886" s="81"/>
      <c r="K4886" s="81"/>
      <c r="L4886" s="81"/>
      <c r="M4886" s="81"/>
      <c r="N4886" s="82"/>
    </row>
    <row r="4887">
      <c r="C4887" s="41"/>
      <c r="D4887" s="141"/>
      <c r="E4887" s="118"/>
      <c r="F4887" s="126"/>
      <c r="G4887" s="126"/>
      <c r="H4887" s="126"/>
      <c r="I4887" s="126"/>
      <c r="J4887" s="76"/>
      <c r="K4887" s="76"/>
      <c r="L4887" s="76"/>
      <c r="M4887" s="76"/>
      <c r="N4887" s="114"/>
    </row>
    <row r="4888">
      <c r="C4888" s="41"/>
      <c r="D4888" s="142"/>
      <c r="E4888" s="130"/>
      <c r="F4888" s="128"/>
      <c r="G4888" s="128"/>
      <c r="H4888" s="128"/>
      <c r="I4888" s="128"/>
      <c r="J4888" s="81"/>
      <c r="K4888" s="81"/>
      <c r="L4888" s="81"/>
      <c r="M4888" s="81"/>
      <c r="N4888" s="82"/>
    </row>
    <row r="4889">
      <c r="C4889" s="41"/>
      <c r="D4889" s="141"/>
      <c r="E4889" s="118"/>
      <c r="F4889" s="126"/>
      <c r="G4889" s="126"/>
      <c r="H4889" s="126"/>
      <c r="I4889" s="126"/>
      <c r="J4889" s="76"/>
      <c r="K4889" s="76"/>
      <c r="L4889" s="76"/>
      <c r="M4889" s="76"/>
      <c r="N4889" s="114"/>
    </row>
    <row r="4890">
      <c r="C4890" s="41"/>
      <c r="D4890" s="142"/>
      <c r="E4890" s="130"/>
      <c r="F4890" s="128"/>
      <c r="G4890" s="128"/>
      <c r="H4890" s="128"/>
      <c r="I4890" s="128"/>
      <c r="J4890" s="81"/>
      <c r="K4890" s="81"/>
      <c r="L4890" s="81"/>
      <c r="M4890" s="81"/>
      <c r="N4890" s="82"/>
    </row>
    <row r="4891">
      <c r="C4891" s="41"/>
      <c r="D4891" s="141"/>
      <c r="E4891" s="118"/>
      <c r="F4891" s="126"/>
      <c r="G4891" s="126"/>
      <c r="H4891" s="126"/>
      <c r="I4891" s="126"/>
      <c r="J4891" s="76"/>
      <c r="K4891" s="76"/>
      <c r="L4891" s="76"/>
      <c r="M4891" s="76"/>
      <c r="N4891" s="114"/>
    </row>
    <row r="4892">
      <c r="C4892" s="41"/>
      <c r="D4892" s="142"/>
      <c r="E4892" s="130"/>
      <c r="F4892" s="128"/>
      <c r="G4892" s="128"/>
      <c r="H4892" s="128"/>
      <c r="I4892" s="128"/>
      <c r="J4892" s="81"/>
      <c r="K4892" s="81"/>
      <c r="L4892" s="81"/>
      <c r="M4892" s="81"/>
      <c r="N4892" s="82"/>
    </row>
    <row r="4893">
      <c r="C4893" s="41"/>
      <c r="D4893" s="141"/>
      <c r="E4893" s="118"/>
      <c r="F4893" s="126"/>
      <c r="G4893" s="126"/>
      <c r="H4893" s="126"/>
      <c r="I4893" s="126"/>
      <c r="J4893" s="76"/>
      <c r="K4893" s="76"/>
      <c r="L4893" s="76"/>
      <c r="M4893" s="76"/>
      <c r="N4893" s="114"/>
    </row>
    <row r="4894">
      <c r="C4894" s="41"/>
      <c r="D4894" s="142"/>
      <c r="E4894" s="130"/>
      <c r="F4894" s="128"/>
      <c r="G4894" s="128"/>
      <c r="H4894" s="128"/>
      <c r="I4894" s="128"/>
      <c r="J4894" s="81"/>
      <c r="K4894" s="81"/>
      <c r="L4894" s="81"/>
      <c r="M4894" s="81"/>
      <c r="N4894" s="82"/>
    </row>
    <row r="4895">
      <c r="C4895" s="41"/>
      <c r="D4895" s="141"/>
      <c r="E4895" s="118"/>
      <c r="F4895" s="126"/>
      <c r="G4895" s="126"/>
      <c r="H4895" s="126"/>
      <c r="I4895" s="126"/>
      <c r="J4895" s="76"/>
      <c r="K4895" s="76"/>
      <c r="L4895" s="76"/>
      <c r="M4895" s="76"/>
      <c r="N4895" s="114"/>
    </row>
    <row r="4896">
      <c r="C4896" s="41"/>
      <c r="D4896" s="142"/>
      <c r="E4896" s="130"/>
      <c r="F4896" s="128"/>
      <c r="G4896" s="128"/>
      <c r="H4896" s="128"/>
      <c r="I4896" s="128"/>
      <c r="J4896" s="81"/>
      <c r="K4896" s="81"/>
      <c r="L4896" s="81"/>
      <c r="M4896" s="81"/>
      <c r="N4896" s="82"/>
    </row>
    <row r="4897">
      <c r="C4897" s="41"/>
      <c r="D4897" s="141"/>
      <c r="E4897" s="118"/>
      <c r="F4897" s="126"/>
      <c r="G4897" s="126"/>
      <c r="H4897" s="126"/>
      <c r="I4897" s="126"/>
      <c r="J4897" s="76"/>
      <c r="K4897" s="76"/>
      <c r="L4897" s="76"/>
      <c r="M4897" s="76"/>
      <c r="N4897" s="114"/>
    </row>
    <row r="4898">
      <c r="C4898" s="41"/>
      <c r="D4898" s="142"/>
      <c r="E4898" s="130"/>
      <c r="F4898" s="128"/>
      <c r="G4898" s="128"/>
      <c r="H4898" s="128"/>
      <c r="I4898" s="128"/>
      <c r="J4898" s="81"/>
      <c r="K4898" s="81"/>
      <c r="L4898" s="81"/>
      <c r="M4898" s="81"/>
      <c r="N4898" s="82"/>
    </row>
    <row r="4899">
      <c r="C4899" s="41"/>
      <c r="D4899" s="141"/>
      <c r="E4899" s="118"/>
      <c r="F4899" s="126"/>
      <c r="G4899" s="126"/>
      <c r="H4899" s="126"/>
      <c r="I4899" s="126"/>
      <c r="J4899" s="76"/>
      <c r="K4899" s="76"/>
      <c r="L4899" s="76"/>
      <c r="M4899" s="76"/>
      <c r="N4899" s="114"/>
    </row>
    <row r="4900">
      <c r="C4900" s="41"/>
      <c r="D4900" s="142"/>
      <c r="E4900" s="130"/>
      <c r="F4900" s="128"/>
      <c r="G4900" s="128"/>
      <c r="H4900" s="128"/>
      <c r="I4900" s="128"/>
      <c r="J4900" s="81"/>
      <c r="K4900" s="81"/>
      <c r="L4900" s="81"/>
      <c r="M4900" s="81"/>
      <c r="N4900" s="82"/>
    </row>
    <row r="4901">
      <c r="C4901" s="41"/>
      <c r="D4901" s="141"/>
      <c r="E4901" s="118"/>
      <c r="F4901" s="126"/>
      <c r="G4901" s="126"/>
      <c r="H4901" s="126"/>
      <c r="I4901" s="126"/>
      <c r="J4901" s="76"/>
      <c r="K4901" s="76"/>
      <c r="L4901" s="76"/>
      <c r="M4901" s="76"/>
      <c r="N4901" s="114"/>
    </row>
    <row r="4902">
      <c r="C4902" s="41"/>
      <c r="D4902" s="142"/>
      <c r="E4902" s="130"/>
      <c r="F4902" s="128"/>
      <c r="G4902" s="128"/>
      <c r="H4902" s="128"/>
      <c r="I4902" s="128"/>
      <c r="J4902" s="81"/>
      <c r="K4902" s="81"/>
      <c r="L4902" s="81"/>
      <c r="M4902" s="81"/>
      <c r="N4902" s="82"/>
    </row>
    <row r="4903">
      <c r="C4903" s="41"/>
      <c r="D4903" s="141"/>
      <c r="E4903" s="118"/>
      <c r="F4903" s="126"/>
      <c r="G4903" s="126"/>
      <c r="H4903" s="126"/>
      <c r="I4903" s="126"/>
      <c r="J4903" s="76"/>
      <c r="K4903" s="76"/>
      <c r="L4903" s="76"/>
      <c r="M4903" s="76"/>
      <c r="N4903" s="114"/>
    </row>
    <row r="4904">
      <c r="C4904" s="41"/>
      <c r="D4904" s="142"/>
      <c r="E4904" s="130"/>
      <c r="F4904" s="128"/>
      <c r="G4904" s="128"/>
      <c r="H4904" s="128"/>
      <c r="I4904" s="128"/>
      <c r="J4904" s="81"/>
      <c r="K4904" s="81"/>
      <c r="L4904" s="81"/>
      <c r="M4904" s="81"/>
      <c r="N4904" s="82"/>
    </row>
    <row r="4905">
      <c r="C4905" s="41"/>
      <c r="D4905" s="141"/>
      <c r="E4905" s="118"/>
      <c r="F4905" s="126"/>
      <c r="G4905" s="126"/>
      <c r="H4905" s="126"/>
      <c r="I4905" s="126"/>
      <c r="J4905" s="76"/>
      <c r="K4905" s="76"/>
      <c r="L4905" s="76"/>
      <c r="M4905" s="76"/>
      <c r="N4905" s="114"/>
    </row>
    <row r="4906">
      <c r="C4906" s="41"/>
      <c r="D4906" s="142"/>
      <c r="E4906" s="130"/>
      <c r="F4906" s="128"/>
      <c r="G4906" s="128"/>
      <c r="H4906" s="128"/>
      <c r="I4906" s="128"/>
      <c r="J4906" s="81"/>
      <c r="K4906" s="81"/>
      <c r="L4906" s="81"/>
      <c r="M4906" s="81"/>
      <c r="N4906" s="82"/>
    </row>
    <row r="4907">
      <c r="C4907" s="41"/>
      <c r="D4907" s="141"/>
      <c r="E4907" s="118"/>
      <c r="F4907" s="126"/>
      <c r="G4907" s="126"/>
      <c r="H4907" s="126"/>
      <c r="I4907" s="126"/>
      <c r="J4907" s="76"/>
      <c r="K4907" s="76"/>
      <c r="L4907" s="76"/>
      <c r="M4907" s="76"/>
      <c r="N4907" s="114"/>
    </row>
    <row r="4908">
      <c r="C4908" s="41"/>
      <c r="D4908" s="142"/>
      <c r="E4908" s="130"/>
      <c r="F4908" s="128"/>
      <c r="G4908" s="128"/>
      <c r="H4908" s="128"/>
      <c r="I4908" s="128"/>
      <c r="J4908" s="81"/>
      <c r="K4908" s="81"/>
      <c r="L4908" s="81"/>
      <c r="M4908" s="81"/>
      <c r="N4908" s="82"/>
    </row>
    <row r="4909">
      <c r="C4909" s="41"/>
      <c r="D4909" s="141"/>
      <c r="E4909" s="118"/>
      <c r="F4909" s="126"/>
      <c r="G4909" s="126"/>
      <c r="H4909" s="126"/>
      <c r="I4909" s="126"/>
      <c r="J4909" s="76"/>
      <c r="K4909" s="76"/>
      <c r="L4909" s="76"/>
      <c r="M4909" s="76"/>
      <c r="N4909" s="114"/>
    </row>
    <row r="4910">
      <c r="C4910" s="41"/>
      <c r="D4910" s="142"/>
      <c r="E4910" s="130"/>
      <c r="F4910" s="128"/>
      <c r="G4910" s="128"/>
      <c r="H4910" s="128"/>
      <c r="I4910" s="128"/>
      <c r="J4910" s="81"/>
      <c r="K4910" s="81"/>
      <c r="L4910" s="81"/>
      <c r="M4910" s="81"/>
      <c r="N4910" s="82"/>
    </row>
    <row r="4911">
      <c r="C4911" s="41"/>
      <c r="D4911" s="141"/>
      <c r="E4911" s="118"/>
      <c r="F4911" s="126"/>
      <c r="G4911" s="126"/>
      <c r="H4911" s="126"/>
      <c r="I4911" s="126"/>
      <c r="J4911" s="76"/>
      <c r="K4911" s="76"/>
      <c r="L4911" s="76"/>
      <c r="M4911" s="76"/>
      <c r="N4911" s="114"/>
    </row>
    <row r="4912">
      <c r="C4912" s="41"/>
      <c r="D4912" s="142"/>
      <c r="E4912" s="130"/>
      <c r="F4912" s="128"/>
      <c r="G4912" s="128"/>
      <c r="H4912" s="128"/>
      <c r="I4912" s="128"/>
      <c r="J4912" s="81"/>
      <c r="K4912" s="81"/>
      <c r="L4912" s="81"/>
      <c r="M4912" s="81"/>
      <c r="N4912" s="82"/>
    </row>
    <row r="4913">
      <c r="C4913" s="41"/>
      <c r="D4913" s="141"/>
      <c r="E4913" s="118"/>
      <c r="F4913" s="126"/>
      <c r="G4913" s="126"/>
      <c r="H4913" s="126"/>
      <c r="I4913" s="126"/>
      <c r="J4913" s="76"/>
      <c r="K4913" s="76"/>
      <c r="L4913" s="76"/>
      <c r="M4913" s="76"/>
      <c r="N4913" s="114"/>
    </row>
    <row r="4914">
      <c r="C4914" s="41"/>
      <c r="D4914" s="142"/>
      <c r="E4914" s="130"/>
      <c r="F4914" s="128"/>
      <c r="G4914" s="128"/>
      <c r="H4914" s="128"/>
      <c r="I4914" s="128"/>
      <c r="J4914" s="81"/>
      <c r="K4914" s="81"/>
      <c r="L4914" s="81"/>
      <c r="M4914" s="81"/>
      <c r="N4914" s="82"/>
    </row>
    <row r="4915">
      <c r="C4915" s="41"/>
      <c r="D4915" s="141"/>
      <c r="E4915" s="118"/>
      <c r="F4915" s="126"/>
      <c r="G4915" s="126"/>
      <c r="H4915" s="126"/>
      <c r="I4915" s="126"/>
      <c r="J4915" s="76"/>
      <c r="K4915" s="76"/>
      <c r="L4915" s="76"/>
      <c r="M4915" s="76"/>
      <c r="N4915" s="114"/>
    </row>
    <row r="4916">
      <c r="C4916" s="41"/>
      <c r="D4916" s="142"/>
      <c r="E4916" s="130"/>
      <c r="F4916" s="128"/>
      <c r="G4916" s="128"/>
      <c r="H4916" s="128"/>
      <c r="I4916" s="128"/>
      <c r="J4916" s="81"/>
      <c r="K4916" s="81"/>
      <c r="L4916" s="81"/>
      <c r="M4916" s="81"/>
      <c r="N4916" s="82"/>
    </row>
    <row r="4917">
      <c r="C4917" s="41"/>
      <c r="D4917" s="141"/>
      <c r="E4917" s="118"/>
      <c r="F4917" s="126"/>
      <c r="G4917" s="126"/>
      <c r="H4917" s="126"/>
      <c r="I4917" s="126"/>
      <c r="J4917" s="76"/>
      <c r="K4917" s="76"/>
      <c r="L4917" s="76"/>
      <c r="M4917" s="76"/>
      <c r="N4917" s="114"/>
    </row>
    <row r="4918">
      <c r="C4918" s="41"/>
      <c r="D4918" s="142"/>
      <c r="E4918" s="130"/>
      <c r="F4918" s="128"/>
      <c r="G4918" s="128"/>
      <c r="H4918" s="128"/>
      <c r="I4918" s="128"/>
      <c r="J4918" s="81"/>
      <c r="K4918" s="81"/>
      <c r="L4918" s="81"/>
      <c r="M4918" s="81"/>
      <c r="N4918" s="82"/>
    </row>
    <row r="4919">
      <c r="C4919" s="41"/>
      <c r="D4919" s="141"/>
      <c r="E4919" s="118"/>
      <c r="F4919" s="126"/>
      <c r="G4919" s="126"/>
      <c r="H4919" s="126"/>
      <c r="I4919" s="126"/>
      <c r="J4919" s="76"/>
      <c r="K4919" s="76"/>
      <c r="L4919" s="76"/>
      <c r="M4919" s="76"/>
      <c r="N4919" s="114"/>
    </row>
    <row r="4920">
      <c r="C4920" s="41"/>
      <c r="D4920" s="142"/>
      <c r="E4920" s="130"/>
      <c r="F4920" s="128"/>
      <c r="G4920" s="128"/>
      <c r="H4920" s="128"/>
      <c r="I4920" s="128"/>
      <c r="J4920" s="81"/>
      <c r="K4920" s="81"/>
      <c r="L4920" s="81"/>
      <c r="M4920" s="81"/>
      <c r="N4920" s="82"/>
    </row>
    <row r="4921">
      <c r="C4921" s="41"/>
      <c r="D4921" s="141"/>
      <c r="E4921" s="118"/>
      <c r="F4921" s="126"/>
      <c r="G4921" s="126"/>
      <c r="H4921" s="126"/>
      <c r="I4921" s="126"/>
      <c r="J4921" s="76"/>
      <c r="K4921" s="76"/>
      <c r="L4921" s="76"/>
      <c r="M4921" s="76"/>
      <c r="N4921" s="114"/>
    </row>
    <row r="4922">
      <c r="C4922" s="41"/>
      <c r="D4922" s="142"/>
      <c r="E4922" s="130"/>
      <c r="F4922" s="128"/>
      <c r="G4922" s="128"/>
      <c r="H4922" s="128"/>
      <c r="I4922" s="128"/>
      <c r="J4922" s="81"/>
      <c r="K4922" s="81"/>
      <c r="L4922" s="81"/>
      <c r="M4922" s="81"/>
      <c r="N4922" s="82"/>
    </row>
    <row r="4923">
      <c r="C4923" s="41"/>
      <c r="D4923" s="141"/>
      <c r="E4923" s="118"/>
      <c r="F4923" s="126"/>
      <c r="G4923" s="126"/>
      <c r="H4923" s="126"/>
      <c r="I4923" s="126"/>
      <c r="J4923" s="76"/>
      <c r="K4923" s="76"/>
      <c r="L4923" s="76"/>
      <c r="M4923" s="76"/>
      <c r="N4923" s="114"/>
    </row>
    <row r="4924">
      <c r="C4924" s="41"/>
      <c r="D4924" s="142"/>
      <c r="E4924" s="130"/>
      <c r="F4924" s="128"/>
      <c r="G4924" s="128"/>
      <c r="H4924" s="128"/>
      <c r="I4924" s="128"/>
      <c r="J4924" s="81"/>
      <c r="K4924" s="81"/>
      <c r="L4924" s="81"/>
      <c r="M4924" s="81"/>
      <c r="N4924" s="82"/>
    </row>
    <row r="4925">
      <c r="C4925" s="41"/>
      <c r="D4925" s="141"/>
      <c r="E4925" s="118"/>
      <c r="F4925" s="126"/>
      <c r="G4925" s="126"/>
      <c r="H4925" s="126"/>
      <c r="I4925" s="126"/>
      <c r="J4925" s="76"/>
      <c r="K4925" s="76"/>
      <c r="L4925" s="76"/>
      <c r="M4925" s="76"/>
      <c r="N4925" s="114"/>
    </row>
    <row r="4926">
      <c r="C4926" s="41"/>
      <c r="D4926" s="142"/>
      <c r="E4926" s="130"/>
      <c r="F4926" s="128"/>
      <c r="G4926" s="128"/>
      <c r="H4926" s="128"/>
      <c r="I4926" s="128"/>
      <c r="J4926" s="81"/>
      <c r="K4926" s="81"/>
      <c r="L4926" s="81"/>
      <c r="M4926" s="81"/>
      <c r="N4926" s="82"/>
    </row>
    <row r="4927">
      <c r="C4927" s="41"/>
      <c r="D4927" s="141"/>
      <c r="E4927" s="118"/>
      <c r="F4927" s="126"/>
      <c r="G4927" s="126"/>
      <c r="H4927" s="126"/>
      <c r="I4927" s="126"/>
      <c r="J4927" s="76"/>
      <c r="K4927" s="76"/>
      <c r="L4927" s="76"/>
      <c r="M4927" s="76"/>
      <c r="N4927" s="114"/>
    </row>
    <row r="4928">
      <c r="C4928" s="41"/>
      <c r="D4928" s="142"/>
      <c r="E4928" s="130"/>
      <c r="F4928" s="128"/>
      <c r="G4928" s="128"/>
      <c r="H4928" s="128"/>
      <c r="I4928" s="128"/>
      <c r="J4928" s="81"/>
      <c r="K4928" s="81"/>
      <c r="L4928" s="81"/>
      <c r="M4928" s="81"/>
      <c r="N4928" s="82"/>
    </row>
    <row r="4929">
      <c r="C4929" s="41"/>
      <c r="D4929" s="141"/>
      <c r="E4929" s="118"/>
      <c r="F4929" s="126"/>
      <c r="G4929" s="126"/>
      <c r="H4929" s="126"/>
      <c r="I4929" s="126"/>
      <c r="J4929" s="76"/>
      <c r="K4929" s="76"/>
      <c r="L4929" s="76"/>
      <c r="M4929" s="76"/>
      <c r="N4929" s="114"/>
    </row>
    <row r="4930">
      <c r="C4930" s="41"/>
      <c r="D4930" s="142"/>
      <c r="E4930" s="130"/>
      <c r="F4930" s="128"/>
      <c r="G4930" s="128"/>
      <c r="H4930" s="128"/>
      <c r="I4930" s="128"/>
      <c r="J4930" s="81"/>
      <c r="K4930" s="81"/>
      <c r="L4930" s="81"/>
      <c r="M4930" s="81"/>
      <c r="N4930" s="82"/>
    </row>
    <row r="4931">
      <c r="C4931" s="41"/>
      <c r="D4931" s="141"/>
      <c r="E4931" s="118"/>
      <c r="F4931" s="126"/>
      <c r="G4931" s="126"/>
      <c r="H4931" s="126"/>
      <c r="I4931" s="126"/>
      <c r="J4931" s="76"/>
      <c r="K4931" s="76"/>
      <c r="L4931" s="76"/>
      <c r="M4931" s="76"/>
      <c r="N4931" s="114"/>
    </row>
    <row r="4932">
      <c r="C4932" s="41"/>
      <c r="D4932" s="142"/>
      <c r="E4932" s="130"/>
      <c r="F4932" s="128"/>
      <c r="G4932" s="128"/>
      <c r="H4932" s="128"/>
      <c r="I4932" s="128"/>
      <c r="J4932" s="81"/>
      <c r="K4932" s="81"/>
      <c r="L4932" s="81"/>
      <c r="M4932" s="81"/>
      <c r="N4932" s="82"/>
    </row>
    <row r="4933">
      <c r="C4933" s="41"/>
      <c r="D4933" s="141"/>
      <c r="E4933" s="118"/>
      <c r="F4933" s="126"/>
      <c r="G4933" s="126"/>
      <c r="H4933" s="126"/>
      <c r="I4933" s="126"/>
      <c r="J4933" s="76"/>
      <c r="K4933" s="76"/>
      <c r="L4933" s="76"/>
      <c r="M4933" s="76"/>
      <c r="N4933" s="114"/>
    </row>
    <row r="4934">
      <c r="C4934" s="41"/>
      <c r="D4934" s="142"/>
      <c r="E4934" s="130"/>
      <c r="F4934" s="128"/>
      <c r="G4934" s="128"/>
      <c r="H4934" s="128"/>
      <c r="I4934" s="128"/>
      <c r="J4934" s="81"/>
      <c r="K4934" s="81"/>
      <c r="L4934" s="81"/>
      <c r="M4934" s="81"/>
      <c r="N4934" s="82"/>
    </row>
    <row r="4935">
      <c r="C4935" s="41"/>
      <c r="D4935" s="141"/>
      <c r="E4935" s="118"/>
      <c r="F4935" s="126"/>
      <c r="G4935" s="126"/>
      <c r="H4935" s="126"/>
      <c r="I4935" s="126"/>
      <c r="J4935" s="76"/>
      <c r="K4935" s="76"/>
      <c r="L4935" s="76"/>
      <c r="M4935" s="76"/>
      <c r="N4935" s="114"/>
    </row>
    <row r="4936">
      <c r="C4936" s="41"/>
      <c r="D4936" s="142"/>
      <c r="E4936" s="130"/>
      <c r="F4936" s="128"/>
      <c r="G4936" s="128"/>
      <c r="H4936" s="128"/>
      <c r="I4936" s="128"/>
      <c r="J4936" s="81"/>
      <c r="K4936" s="81"/>
      <c r="L4936" s="81"/>
      <c r="M4936" s="81"/>
      <c r="N4936" s="82"/>
    </row>
    <row r="4937">
      <c r="C4937" s="41"/>
      <c r="D4937" s="141"/>
      <c r="E4937" s="118"/>
      <c r="F4937" s="126"/>
      <c r="G4937" s="126"/>
      <c r="H4937" s="126"/>
      <c r="I4937" s="126"/>
      <c r="J4937" s="76"/>
      <c r="K4937" s="76"/>
      <c r="L4937" s="76"/>
      <c r="M4937" s="76"/>
      <c r="N4937" s="114"/>
    </row>
    <row r="4938">
      <c r="C4938" s="41"/>
      <c r="D4938" s="142"/>
      <c r="E4938" s="130"/>
      <c r="F4938" s="128"/>
      <c r="G4938" s="128"/>
      <c r="H4938" s="128"/>
      <c r="I4938" s="128"/>
      <c r="J4938" s="81"/>
      <c r="K4938" s="81"/>
      <c r="L4938" s="81"/>
      <c r="M4938" s="81"/>
      <c r="N4938" s="82"/>
    </row>
    <row r="4939">
      <c r="C4939" s="41"/>
      <c r="D4939" s="141"/>
      <c r="E4939" s="118"/>
      <c r="F4939" s="126"/>
      <c r="G4939" s="126"/>
      <c r="H4939" s="126"/>
      <c r="I4939" s="126"/>
      <c r="J4939" s="76"/>
      <c r="K4939" s="76"/>
      <c r="L4939" s="76"/>
      <c r="M4939" s="76"/>
      <c r="N4939" s="114"/>
    </row>
    <row r="4940">
      <c r="C4940" s="41"/>
      <c r="D4940" s="142"/>
      <c r="E4940" s="130"/>
      <c r="F4940" s="128"/>
      <c r="G4940" s="128"/>
      <c r="H4940" s="128"/>
      <c r="I4940" s="128"/>
      <c r="J4940" s="81"/>
      <c r="K4940" s="81"/>
      <c r="L4940" s="81"/>
      <c r="M4940" s="81"/>
      <c r="N4940" s="82"/>
    </row>
    <row r="4941">
      <c r="C4941" s="41"/>
      <c r="D4941" s="141"/>
      <c r="E4941" s="118"/>
      <c r="F4941" s="126"/>
      <c r="G4941" s="126"/>
      <c r="H4941" s="126"/>
      <c r="I4941" s="126"/>
      <c r="J4941" s="76"/>
      <c r="K4941" s="76"/>
      <c r="L4941" s="76"/>
      <c r="M4941" s="76"/>
      <c r="N4941" s="114"/>
    </row>
    <row r="4942">
      <c r="C4942" s="41"/>
      <c r="D4942" s="142"/>
      <c r="E4942" s="130"/>
      <c r="F4942" s="128"/>
      <c r="G4942" s="128"/>
      <c r="H4942" s="128"/>
      <c r="I4942" s="128"/>
      <c r="J4942" s="81"/>
      <c r="K4942" s="81"/>
      <c r="L4942" s="81"/>
      <c r="M4942" s="81"/>
      <c r="N4942" s="82"/>
    </row>
    <row r="4943">
      <c r="C4943" s="41"/>
      <c r="D4943" s="141"/>
      <c r="E4943" s="118"/>
      <c r="F4943" s="126"/>
      <c r="G4943" s="126"/>
      <c r="H4943" s="126"/>
      <c r="I4943" s="126"/>
      <c r="J4943" s="76"/>
      <c r="K4943" s="76"/>
      <c r="L4943" s="76"/>
      <c r="M4943" s="76"/>
      <c r="N4943" s="114"/>
    </row>
    <row r="4944">
      <c r="C4944" s="41"/>
      <c r="D4944" s="142"/>
      <c r="E4944" s="130"/>
      <c r="F4944" s="128"/>
      <c r="G4944" s="128"/>
      <c r="H4944" s="128"/>
      <c r="I4944" s="128"/>
      <c r="J4944" s="81"/>
      <c r="K4944" s="81"/>
      <c r="L4944" s="81"/>
      <c r="M4944" s="81"/>
      <c r="N4944" s="82"/>
    </row>
    <row r="4945">
      <c r="C4945" s="41"/>
      <c r="D4945" s="141"/>
      <c r="E4945" s="118"/>
      <c r="F4945" s="126"/>
      <c r="G4945" s="126"/>
      <c r="H4945" s="126"/>
      <c r="I4945" s="126"/>
      <c r="J4945" s="76"/>
      <c r="K4945" s="76"/>
      <c r="L4945" s="76"/>
      <c r="M4945" s="76"/>
      <c r="N4945" s="114"/>
    </row>
    <row r="4946">
      <c r="C4946" s="41"/>
      <c r="D4946" s="142"/>
      <c r="E4946" s="130"/>
      <c r="F4946" s="128"/>
      <c r="G4946" s="128"/>
      <c r="H4946" s="128"/>
      <c r="I4946" s="128"/>
      <c r="J4946" s="81"/>
      <c r="K4946" s="81"/>
      <c r="L4946" s="81"/>
      <c r="M4946" s="81"/>
      <c r="N4946" s="82"/>
    </row>
    <row r="4947">
      <c r="C4947" s="41"/>
      <c r="D4947" s="141"/>
      <c r="E4947" s="118"/>
      <c r="F4947" s="126"/>
      <c r="G4947" s="126"/>
      <c r="H4947" s="126"/>
      <c r="I4947" s="126"/>
      <c r="J4947" s="76"/>
      <c r="K4947" s="76"/>
      <c r="L4947" s="76"/>
      <c r="M4947" s="76"/>
      <c r="N4947" s="114"/>
    </row>
    <row r="4948">
      <c r="C4948" s="41"/>
      <c r="D4948" s="142"/>
      <c r="E4948" s="130"/>
      <c r="F4948" s="128"/>
      <c r="G4948" s="128"/>
      <c r="H4948" s="128"/>
      <c r="I4948" s="128"/>
      <c r="J4948" s="81"/>
      <c r="K4948" s="81"/>
      <c r="L4948" s="81"/>
      <c r="M4948" s="81"/>
      <c r="N4948" s="82"/>
    </row>
    <row r="4949">
      <c r="C4949" s="41"/>
      <c r="D4949" s="141"/>
      <c r="E4949" s="118"/>
      <c r="F4949" s="126"/>
      <c r="G4949" s="126"/>
      <c r="H4949" s="126"/>
      <c r="I4949" s="126"/>
      <c r="J4949" s="76"/>
      <c r="K4949" s="76"/>
      <c r="L4949" s="76"/>
      <c r="M4949" s="76"/>
      <c r="N4949" s="114"/>
    </row>
    <row r="4950">
      <c r="C4950" s="41"/>
      <c r="D4950" s="142"/>
      <c r="E4950" s="130"/>
      <c r="F4950" s="128"/>
      <c r="G4950" s="128"/>
      <c r="H4950" s="128"/>
      <c r="I4950" s="128"/>
      <c r="J4950" s="81"/>
      <c r="K4950" s="81"/>
      <c r="L4950" s="81"/>
      <c r="M4950" s="81"/>
      <c r="N4950" s="82"/>
    </row>
    <row r="4951">
      <c r="C4951" s="41"/>
      <c r="D4951" s="141"/>
      <c r="E4951" s="118"/>
      <c r="F4951" s="126"/>
      <c r="G4951" s="126"/>
      <c r="H4951" s="126"/>
      <c r="I4951" s="126"/>
      <c r="J4951" s="76"/>
      <c r="K4951" s="76"/>
      <c r="L4951" s="76"/>
      <c r="M4951" s="76"/>
      <c r="N4951" s="114"/>
    </row>
    <row r="4952">
      <c r="C4952" s="41"/>
      <c r="D4952" s="142"/>
      <c r="E4952" s="130"/>
      <c r="F4952" s="128"/>
      <c r="G4952" s="128"/>
      <c r="H4952" s="128"/>
      <c r="I4952" s="128"/>
      <c r="J4952" s="81"/>
      <c r="K4952" s="81"/>
      <c r="L4952" s="81"/>
      <c r="M4952" s="81"/>
      <c r="N4952" s="82"/>
    </row>
    <row r="4953">
      <c r="C4953" s="41"/>
      <c r="D4953" s="141"/>
      <c r="E4953" s="118"/>
      <c r="F4953" s="126"/>
      <c r="G4953" s="126"/>
      <c r="H4953" s="126"/>
      <c r="I4953" s="126"/>
      <c r="J4953" s="76"/>
      <c r="K4953" s="76"/>
      <c r="L4953" s="76"/>
      <c r="M4953" s="76"/>
      <c r="N4953" s="114"/>
    </row>
    <row r="4954">
      <c r="C4954" s="41"/>
      <c r="D4954" s="142"/>
      <c r="E4954" s="130"/>
      <c r="F4954" s="128"/>
      <c r="G4954" s="128"/>
      <c r="H4954" s="128"/>
      <c r="I4954" s="128"/>
      <c r="J4954" s="81"/>
      <c r="K4954" s="81"/>
      <c r="L4954" s="81"/>
      <c r="M4954" s="81"/>
      <c r="N4954" s="82"/>
    </row>
    <row r="4955">
      <c r="C4955" s="41"/>
      <c r="D4955" s="141"/>
      <c r="E4955" s="118"/>
      <c r="F4955" s="126"/>
      <c r="G4955" s="126"/>
      <c r="H4955" s="126"/>
      <c r="I4955" s="126"/>
      <c r="J4955" s="76"/>
      <c r="K4955" s="76"/>
      <c r="L4955" s="76"/>
      <c r="M4955" s="76"/>
      <c r="N4955" s="114"/>
    </row>
    <row r="4956">
      <c r="C4956" s="41"/>
      <c r="D4956" s="142"/>
      <c r="E4956" s="130"/>
      <c r="F4956" s="128"/>
      <c r="G4956" s="128"/>
      <c r="H4956" s="128"/>
      <c r="I4956" s="128"/>
      <c r="J4956" s="81"/>
      <c r="K4956" s="81"/>
      <c r="L4956" s="81"/>
      <c r="M4956" s="81"/>
      <c r="N4956" s="82"/>
    </row>
    <row r="4957">
      <c r="C4957" s="41"/>
      <c r="D4957" s="141"/>
      <c r="E4957" s="118"/>
      <c r="F4957" s="126"/>
      <c r="G4957" s="126"/>
      <c r="H4957" s="126"/>
      <c r="I4957" s="126"/>
      <c r="J4957" s="76"/>
      <c r="K4957" s="76"/>
      <c r="L4957" s="76"/>
      <c r="M4957" s="76"/>
      <c r="N4957" s="114"/>
    </row>
    <row r="4958">
      <c r="C4958" s="41"/>
      <c r="D4958" s="142"/>
      <c r="E4958" s="130"/>
      <c r="F4958" s="128"/>
      <c r="G4958" s="128"/>
      <c r="H4958" s="128"/>
      <c r="I4958" s="128"/>
      <c r="J4958" s="81"/>
      <c r="K4958" s="81"/>
      <c r="L4958" s="81"/>
      <c r="M4958" s="81"/>
      <c r="N4958" s="82"/>
    </row>
    <row r="4959">
      <c r="C4959" s="41"/>
      <c r="D4959" s="141"/>
      <c r="E4959" s="118"/>
      <c r="F4959" s="126"/>
      <c r="G4959" s="126"/>
      <c r="H4959" s="126"/>
      <c r="I4959" s="126"/>
      <c r="J4959" s="76"/>
      <c r="K4959" s="76"/>
      <c r="L4959" s="76"/>
      <c r="M4959" s="76"/>
      <c r="N4959" s="114"/>
    </row>
    <row r="4960">
      <c r="C4960" s="41"/>
      <c r="D4960" s="142"/>
      <c r="E4960" s="130"/>
      <c r="F4960" s="128"/>
      <c r="G4960" s="128"/>
      <c r="H4960" s="128"/>
      <c r="I4960" s="128"/>
      <c r="J4960" s="81"/>
      <c r="K4960" s="81"/>
      <c r="L4960" s="81"/>
      <c r="M4960" s="81"/>
      <c r="N4960" s="82"/>
    </row>
    <row r="4961">
      <c r="C4961" s="41"/>
      <c r="D4961" s="141"/>
      <c r="E4961" s="118"/>
      <c r="F4961" s="126"/>
      <c r="G4961" s="126"/>
      <c r="H4961" s="126"/>
      <c r="I4961" s="126"/>
      <c r="J4961" s="76"/>
      <c r="K4961" s="76"/>
      <c r="L4961" s="76"/>
      <c r="M4961" s="76"/>
      <c r="N4961" s="114"/>
    </row>
    <row r="4962">
      <c r="C4962" s="41"/>
      <c r="D4962" s="142"/>
      <c r="E4962" s="130"/>
      <c r="F4962" s="128"/>
      <c r="G4962" s="128"/>
      <c r="H4962" s="128"/>
      <c r="I4962" s="128"/>
      <c r="J4962" s="81"/>
      <c r="K4962" s="81"/>
      <c r="L4962" s="81"/>
      <c r="M4962" s="81"/>
      <c r="N4962" s="82"/>
    </row>
    <row r="4963">
      <c r="C4963" s="41"/>
      <c r="D4963" s="141"/>
      <c r="E4963" s="118"/>
      <c r="F4963" s="126"/>
      <c r="G4963" s="126"/>
      <c r="H4963" s="126"/>
      <c r="I4963" s="126"/>
      <c r="J4963" s="76"/>
      <c r="K4963" s="76"/>
      <c r="L4963" s="76"/>
      <c r="M4963" s="76"/>
      <c r="N4963" s="114"/>
    </row>
    <row r="4964">
      <c r="C4964" s="41"/>
      <c r="D4964" s="142"/>
      <c r="E4964" s="130"/>
      <c r="F4964" s="128"/>
      <c r="G4964" s="128"/>
      <c r="H4964" s="128"/>
      <c r="I4964" s="128"/>
      <c r="J4964" s="81"/>
      <c r="K4964" s="81"/>
      <c r="L4964" s="81"/>
      <c r="M4964" s="81"/>
      <c r="N4964" s="82"/>
    </row>
    <row r="4965">
      <c r="C4965" s="41"/>
      <c r="D4965" s="141"/>
      <c r="E4965" s="118"/>
      <c r="F4965" s="126"/>
      <c r="G4965" s="126"/>
      <c r="H4965" s="126"/>
      <c r="I4965" s="126"/>
      <c r="J4965" s="76"/>
      <c r="K4965" s="76"/>
      <c r="L4965" s="76"/>
      <c r="M4965" s="76"/>
      <c r="N4965" s="114"/>
    </row>
    <row r="4966">
      <c r="C4966" s="41"/>
      <c r="D4966" s="142"/>
      <c r="E4966" s="130"/>
      <c r="F4966" s="128"/>
      <c r="G4966" s="128"/>
      <c r="H4966" s="128"/>
      <c r="I4966" s="128"/>
      <c r="J4966" s="81"/>
      <c r="K4966" s="81"/>
      <c r="L4966" s="81"/>
      <c r="M4966" s="81"/>
      <c r="N4966" s="82"/>
    </row>
    <row r="4967">
      <c r="C4967" s="41"/>
      <c r="D4967" s="141"/>
      <c r="E4967" s="118"/>
      <c r="F4967" s="126"/>
      <c r="G4967" s="126"/>
      <c r="H4967" s="126"/>
      <c r="I4967" s="126"/>
      <c r="J4967" s="76"/>
      <c r="K4967" s="76"/>
      <c r="L4967" s="76"/>
      <c r="M4967" s="76"/>
      <c r="N4967" s="114"/>
    </row>
    <row r="4968">
      <c r="C4968" s="41"/>
      <c r="D4968" s="142"/>
      <c r="E4968" s="130"/>
      <c r="F4968" s="128"/>
      <c r="G4968" s="128"/>
      <c r="H4968" s="128"/>
      <c r="I4968" s="128"/>
      <c r="J4968" s="81"/>
      <c r="K4968" s="81"/>
      <c r="L4968" s="81"/>
      <c r="M4968" s="81"/>
      <c r="N4968" s="82"/>
    </row>
    <row r="4969">
      <c r="C4969" s="41"/>
      <c r="D4969" s="141"/>
      <c r="E4969" s="118"/>
      <c r="F4969" s="126"/>
      <c r="G4969" s="126"/>
      <c r="H4969" s="126"/>
      <c r="I4969" s="126"/>
      <c r="J4969" s="76"/>
      <c r="K4969" s="76"/>
      <c r="L4969" s="76"/>
      <c r="M4969" s="76"/>
      <c r="N4969" s="114"/>
    </row>
    <row r="4970">
      <c r="C4970" s="41"/>
      <c r="D4970" s="142"/>
      <c r="E4970" s="130"/>
      <c r="F4970" s="128"/>
      <c r="G4970" s="128"/>
      <c r="H4970" s="128"/>
      <c r="I4970" s="128"/>
      <c r="J4970" s="81"/>
      <c r="K4970" s="81"/>
      <c r="L4970" s="81"/>
      <c r="M4970" s="81"/>
      <c r="N4970" s="82"/>
    </row>
    <row r="4971">
      <c r="C4971" s="41"/>
      <c r="D4971" s="141"/>
      <c r="E4971" s="118"/>
      <c r="F4971" s="126"/>
      <c r="G4971" s="126"/>
      <c r="H4971" s="126"/>
      <c r="I4971" s="126"/>
      <c r="J4971" s="76"/>
      <c r="K4971" s="76"/>
      <c r="L4971" s="76"/>
      <c r="M4971" s="76"/>
      <c r="N4971" s="114"/>
    </row>
    <row r="4972">
      <c r="C4972" s="41"/>
      <c r="D4972" s="142"/>
      <c r="E4972" s="130"/>
      <c r="F4972" s="128"/>
      <c r="G4972" s="128"/>
      <c r="H4972" s="128"/>
      <c r="I4972" s="128"/>
      <c r="J4972" s="81"/>
      <c r="K4972" s="81"/>
      <c r="L4972" s="81"/>
      <c r="M4972" s="81"/>
      <c r="N4972" s="82"/>
    </row>
    <row r="4973">
      <c r="C4973" s="41"/>
      <c r="D4973" s="141"/>
      <c r="E4973" s="118"/>
      <c r="F4973" s="126"/>
      <c r="G4973" s="126"/>
      <c r="H4973" s="126"/>
      <c r="I4973" s="126"/>
      <c r="J4973" s="76"/>
      <c r="K4973" s="76"/>
      <c r="L4973" s="76"/>
      <c r="M4973" s="76"/>
      <c r="N4973" s="114"/>
    </row>
    <row r="4974">
      <c r="C4974" s="41"/>
      <c r="D4974" s="142"/>
      <c r="E4974" s="130"/>
      <c r="F4974" s="128"/>
      <c r="G4974" s="128"/>
      <c r="H4974" s="128"/>
      <c r="I4974" s="128"/>
      <c r="J4974" s="81"/>
      <c r="K4974" s="81"/>
      <c r="L4974" s="81"/>
      <c r="M4974" s="81"/>
      <c r="N4974" s="82"/>
    </row>
    <row r="4975">
      <c r="C4975" s="41"/>
      <c r="D4975" s="141"/>
      <c r="E4975" s="118"/>
      <c r="F4975" s="126"/>
      <c r="G4975" s="126"/>
      <c r="H4975" s="126"/>
      <c r="I4975" s="126"/>
      <c r="J4975" s="76"/>
      <c r="K4975" s="76"/>
      <c r="L4975" s="76"/>
      <c r="M4975" s="76"/>
      <c r="N4975" s="114"/>
    </row>
    <row r="4976">
      <c r="C4976" s="41"/>
      <c r="D4976" s="142"/>
      <c r="E4976" s="130"/>
      <c r="F4976" s="128"/>
      <c r="G4976" s="128"/>
      <c r="H4976" s="128"/>
      <c r="I4976" s="128"/>
      <c r="J4976" s="81"/>
      <c r="K4976" s="81"/>
      <c r="L4976" s="81"/>
      <c r="M4976" s="81"/>
      <c r="N4976" s="82"/>
    </row>
    <row r="4977">
      <c r="C4977" s="41"/>
      <c r="D4977" s="141"/>
      <c r="E4977" s="118"/>
      <c r="F4977" s="126"/>
      <c r="G4977" s="126"/>
      <c r="H4977" s="126"/>
      <c r="I4977" s="126"/>
      <c r="J4977" s="76"/>
      <c r="K4977" s="76"/>
      <c r="L4977" s="76"/>
      <c r="M4977" s="76"/>
      <c r="N4977" s="114"/>
    </row>
    <row r="4978">
      <c r="C4978" s="41"/>
      <c r="D4978" s="142"/>
      <c r="E4978" s="130"/>
      <c r="F4978" s="128"/>
      <c r="G4978" s="128"/>
      <c r="H4978" s="128"/>
      <c r="I4978" s="128"/>
      <c r="J4978" s="81"/>
      <c r="K4978" s="81"/>
      <c r="L4978" s="81"/>
      <c r="M4978" s="81"/>
      <c r="N4978" s="82"/>
    </row>
    <row r="4979">
      <c r="C4979" s="41"/>
      <c r="D4979" s="141"/>
      <c r="E4979" s="118"/>
      <c r="F4979" s="126"/>
      <c r="G4979" s="126"/>
      <c r="H4979" s="126"/>
      <c r="I4979" s="126"/>
      <c r="J4979" s="76"/>
      <c r="K4979" s="76"/>
      <c r="L4979" s="76"/>
      <c r="M4979" s="76"/>
      <c r="N4979" s="114"/>
    </row>
    <row r="4980">
      <c r="C4980" s="41"/>
      <c r="D4980" s="142"/>
      <c r="E4980" s="130"/>
      <c r="F4980" s="128"/>
      <c r="G4980" s="128"/>
      <c r="H4980" s="128"/>
      <c r="I4980" s="128"/>
      <c r="J4980" s="81"/>
      <c r="K4980" s="81"/>
      <c r="L4980" s="81"/>
      <c r="M4980" s="81"/>
      <c r="N4980" s="82"/>
    </row>
    <row r="4981">
      <c r="C4981" s="41"/>
      <c r="D4981" s="141"/>
      <c r="E4981" s="118"/>
      <c r="F4981" s="126"/>
      <c r="G4981" s="126"/>
      <c r="H4981" s="126"/>
      <c r="I4981" s="126"/>
      <c r="J4981" s="76"/>
      <c r="K4981" s="76"/>
      <c r="L4981" s="76"/>
      <c r="M4981" s="76"/>
      <c r="N4981" s="114"/>
    </row>
    <row r="4982">
      <c r="C4982" s="41"/>
      <c r="D4982" s="142"/>
      <c r="E4982" s="130"/>
      <c r="F4982" s="128"/>
      <c r="G4982" s="128"/>
      <c r="H4982" s="128"/>
      <c r="I4982" s="128"/>
      <c r="J4982" s="81"/>
      <c r="K4982" s="81"/>
      <c r="L4982" s="81"/>
      <c r="M4982" s="81"/>
      <c r="N4982" s="82"/>
    </row>
    <row r="4983">
      <c r="C4983" s="41"/>
      <c r="D4983" s="141"/>
      <c r="E4983" s="118"/>
      <c r="F4983" s="126"/>
      <c r="G4983" s="126"/>
      <c r="H4983" s="126"/>
      <c r="I4983" s="126"/>
      <c r="J4983" s="76"/>
      <c r="K4983" s="76"/>
      <c r="L4983" s="76"/>
      <c r="M4983" s="76"/>
      <c r="N4983" s="114"/>
    </row>
    <row r="4984">
      <c r="C4984" s="41"/>
      <c r="D4984" s="142"/>
      <c r="E4984" s="130"/>
      <c r="F4984" s="128"/>
      <c r="G4984" s="128"/>
      <c r="H4984" s="128"/>
      <c r="I4984" s="128"/>
      <c r="J4984" s="81"/>
      <c r="K4984" s="81"/>
      <c r="L4984" s="81"/>
      <c r="M4984" s="81"/>
      <c r="N4984" s="82"/>
    </row>
    <row r="4985">
      <c r="C4985" s="41"/>
      <c r="D4985" s="141"/>
      <c r="E4985" s="118"/>
      <c r="F4985" s="126"/>
      <c r="G4985" s="126"/>
      <c r="H4985" s="126"/>
      <c r="I4985" s="126"/>
      <c r="J4985" s="76"/>
      <c r="K4985" s="76"/>
      <c r="L4985" s="76"/>
      <c r="M4985" s="76"/>
      <c r="N4985" s="114"/>
    </row>
    <row r="4986">
      <c r="C4986" s="41"/>
      <c r="D4986" s="142"/>
      <c r="E4986" s="130"/>
      <c r="F4986" s="128"/>
      <c r="G4986" s="128"/>
      <c r="H4986" s="128"/>
      <c r="I4986" s="128"/>
      <c r="J4986" s="81"/>
      <c r="K4986" s="81"/>
      <c r="L4986" s="81"/>
      <c r="M4986" s="81"/>
      <c r="N4986" s="82"/>
    </row>
    <row r="4987">
      <c r="C4987" s="41"/>
      <c r="D4987" s="141"/>
      <c r="E4987" s="118"/>
      <c r="F4987" s="126"/>
      <c r="G4987" s="126"/>
      <c r="H4987" s="126"/>
      <c r="I4987" s="126"/>
      <c r="J4987" s="76"/>
      <c r="K4987" s="76"/>
      <c r="L4987" s="76"/>
      <c r="M4987" s="76"/>
      <c r="N4987" s="114"/>
    </row>
    <row r="4988">
      <c r="C4988" s="41"/>
      <c r="D4988" s="142"/>
      <c r="E4988" s="130"/>
      <c r="F4988" s="128"/>
      <c r="G4988" s="128"/>
      <c r="H4988" s="128"/>
      <c r="I4988" s="128"/>
      <c r="J4988" s="81"/>
      <c r="K4988" s="81"/>
      <c r="L4988" s="81"/>
      <c r="M4988" s="81"/>
      <c r="N4988" s="82"/>
    </row>
    <row r="4989">
      <c r="C4989" s="41"/>
      <c r="D4989" s="141"/>
      <c r="E4989" s="118"/>
      <c r="F4989" s="126"/>
      <c r="G4989" s="126"/>
      <c r="H4989" s="126"/>
      <c r="I4989" s="126"/>
      <c r="J4989" s="76"/>
      <c r="K4989" s="76"/>
      <c r="L4989" s="76"/>
      <c r="M4989" s="76"/>
      <c r="N4989" s="114"/>
    </row>
    <row r="4990">
      <c r="C4990" s="41"/>
      <c r="D4990" s="142"/>
      <c r="E4990" s="130"/>
      <c r="F4990" s="128"/>
      <c r="G4990" s="128"/>
      <c r="H4990" s="128"/>
      <c r="I4990" s="128"/>
      <c r="J4990" s="81"/>
      <c r="K4990" s="81"/>
      <c r="L4990" s="81"/>
      <c r="M4990" s="81"/>
      <c r="N4990" s="82"/>
    </row>
    <row r="4991">
      <c r="C4991" s="41"/>
      <c r="D4991" s="141"/>
      <c r="E4991" s="118"/>
      <c r="F4991" s="126"/>
      <c r="G4991" s="126"/>
      <c r="H4991" s="126"/>
      <c r="I4991" s="126"/>
      <c r="J4991" s="76"/>
      <c r="K4991" s="76"/>
      <c r="L4991" s="76"/>
      <c r="M4991" s="76"/>
      <c r="N4991" s="114"/>
    </row>
    <row r="4992">
      <c r="C4992" s="41"/>
      <c r="D4992" s="142"/>
      <c r="E4992" s="130"/>
      <c r="F4992" s="128"/>
      <c r="G4992" s="128"/>
      <c r="H4992" s="128"/>
      <c r="I4992" s="128"/>
      <c r="J4992" s="81"/>
      <c r="K4992" s="81"/>
      <c r="L4992" s="81"/>
      <c r="M4992" s="81"/>
      <c r="N4992" s="82"/>
    </row>
    <row r="4993">
      <c r="C4993" s="41"/>
      <c r="D4993" s="141"/>
      <c r="E4993" s="118"/>
      <c r="F4993" s="126"/>
      <c r="G4993" s="126"/>
      <c r="H4993" s="126"/>
      <c r="I4993" s="126"/>
      <c r="J4993" s="76"/>
      <c r="K4993" s="76"/>
      <c r="L4993" s="76"/>
      <c r="M4993" s="76"/>
      <c r="N4993" s="114"/>
    </row>
    <row r="4994">
      <c r="C4994" s="41"/>
      <c r="D4994" s="142"/>
      <c r="E4994" s="130"/>
      <c r="F4994" s="128"/>
      <c r="G4994" s="128"/>
      <c r="H4994" s="128"/>
      <c r="I4994" s="128"/>
      <c r="J4994" s="81"/>
      <c r="K4994" s="81"/>
      <c r="L4994" s="81"/>
      <c r="M4994" s="81"/>
      <c r="N4994" s="82"/>
    </row>
    <row r="4995">
      <c r="C4995" s="41"/>
      <c r="D4995" s="141"/>
      <c r="E4995" s="118"/>
      <c r="F4995" s="126"/>
      <c r="G4995" s="126"/>
      <c r="H4995" s="126"/>
      <c r="I4995" s="126"/>
      <c r="J4995" s="76"/>
      <c r="K4995" s="76"/>
      <c r="L4995" s="76"/>
      <c r="M4995" s="76"/>
      <c r="N4995" s="114"/>
    </row>
    <row r="4996">
      <c r="C4996" s="41"/>
      <c r="D4996" s="142"/>
      <c r="E4996" s="130"/>
      <c r="F4996" s="128"/>
      <c r="G4996" s="128"/>
      <c r="H4996" s="128"/>
      <c r="I4996" s="128"/>
      <c r="J4996" s="81"/>
      <c r="K4996" s="81"/>
      <c r="L4996" s="81"/>
      <c r="M4996" s="81"/>
      <c r="N4996" s="82"/>
    </row>
    <row r="4997">
      <c r="C4997" s="41"/>
      <c r="D4997" s="141"/>
      <c r="E4997" s="118"/>
      <c r="F4997" s="126"/>
      <c r="G4997" s="126"/>
      <c r="H4997" s="126"/>
      <c r="I4997" s="126"/>
      <c r="J4997" s="76"/>
      <c r="K4997" s="76"/>
      <c r="L4997" s="76"/>
      <c r="M4997" s="76"/>
      <c r="N4997" s="114"/>
    </row>
    <row r="4998">
      <c r="C4998" s="41"/>
      <c r="D4998" s="142"/>
      <c r="E4998" s="130"/>
      <c r="F4998" s="128"/>
      <c r="G4998" s="128"/>
      <c r="H4998" s="128"/>
      <c r="I4998" s="128"/>
      <c r="J4998" s="81"/>
      <c r="K4998" s="81"/>
      <c r="L4998" s="81"/>
      <c r="M4998" s="81"/>
      <c r="N4998" s="82"/>
    </row>
    <row r="4999">
      <c r="C4999" s="41"/>
      <c r="D4999" s="141"/>
      <c r="E4999" s="118"/>
      <c r="F4999" s="126"/>
      <c r="G4999" s="126"/>
      <c r="H4999" s="126"/>
      <c r="I4999" s="126"/>
      <c r="J4999" s="76"/>
      <c r="K4999" s="76"/>
      <c r="L4999" s="76"/>
      <c r="M4999" s="76"/>
      <c r="N4999" s="114"/>
    </row>
    <row r="5000">
      <c r="C5000" s="41"/>
      <c r="D5000" s="142"/>
      <c r="E5000" s="130"/>
      <c r="F5000" s="128"/>
      <c r="G5000" s="128"/>
      <c r="H5000" s="128"/>
      <c r="I5000" s="128"/>
      <c r="J5000" s="81"/>
      <c r="K5000" s="81"/>
      <c r="L5000" s="81"/>
      <c r="M5000" s="81"/>
      <c r="N5000" s="82"/>
    </row>
    <row r="5001">
      <c r="C5001" s="41"/>
      <c r="D5001" s="141"/>
      <c r="E5001" s="118"/>
      <c r="F5001" s="126"/>
      <c r="G5001" s="126"/>
      <c r="H5001" s="126"/>
      <c r="I5001" s="126"/>
      <c r="J5001" s="76"/>
      <c r="K5001" s="76"/>
      <c r="L5001" s="76"/>
      <c r="M5001" s="76"/>
      <c r="N5001" s="114"/>
    </row>
    <row r="5002">
      <c r="C5002" s="41"/>
      <c r="D5002" s="142"/>
      <c r="E5002" s="130"/>
      <c r="F5002" s="128"/>
      <c r="G5002" s="128"/>
      <c r="H5002" s="128"/>
      <c r="I5002" s="128"/>
      <c r="J5002" s="81"/>
      <c r="K5002" s="81"/>
      <c r="L5002" s="81"/>
      <c r="M5002" s="81"/>
      <c r="N5002" s="82"/>
    </row>
    <row r="5003">
      <c r="C5003" s="41"/>
      <c r="D5003" s="141"/>
      <c r="E5003" s="118"/>
      <c r="F5003" s="126"/>
      <c r="G5003" s="126"/>
      <c r="H5003" s="126"/>
      <c r="I5003" s="126"/>
      <c r="J5003" s="76"/>
      <c r="K5003" s="76"/>
      <c r="L5003" s="76"/>
      <c r="M5003" s="76"/>
      <c r="N5003" s="114"/>
    </row>
    <row r="5004">
      <c r="C5004" s="41"/>
      <c r="D5004" s="142"/>
      <c r="E5004" s="130"/>
      <c r="F5004" s="128"/>
      <c r="G5004" s="128"/>
      <c r="H5004" s="128"/>
      <c r="I5004" s="128"/>
      <c r="J5004" s="81"/>
      <c r="K5004" s="81"/>
      <c r="L5004" s="81"/>
      <c r="M5004" s="81"/>
      <c r="N5004" s="82"/>
    </row>
    <row r="5005">
      <c r="C5005" s="41"/>
      <c r="D5005" s="141"/>
      <c r="E5005" s="118"/>
      <c r="F5005" s="126"/>
      <c r="G5005" s="126"/>
      <c r="H5005" s="126"/>
      <c r="I5005" s="126"/>
      <c r="J5005" s="76"/>
      <c r="K5005" s="76"/>
      <c r="L5005" s="76"/>
      <c r="M5005" s="76"/>
      <c r="N5005" s="114"/>
    </row>
    <row r="5006">
      <c r="C5006" s="41"/>
      <c r="D5006" s="142"/>
      <c r="E5006" s="130"/>
      <c r="F5006" s="128"/>
      <c r="G5006" s="128"/>
      <c r="H5006" s="128"/>
      <c r="I5006" s="128"/>
      <c r="J5006" s="81"/>
      <c r="K5006" s="81"/>
      <c r="L5006" s="81"/>
      <c r="M5006" s="81"/>
      <c r="N5006" s="82"/>
    </row>
    <row r="5007">
      <c r="C5007" s="41"/>
      <c r="D5007" s="141"/>
      <c r="E5007" s="118"/>
      <c r="F5007" s="126"/>
      <c r="G5007" s="126"/>
      <c r="H5007" s="126"/>
      <c r="I5007" s="126"/>
      <c r="J5007" s="76"/>
      <c r="K5007" s="76"/>
      <c r="L5007" s="76"/>
      <c r="M5007" s="76"/>
      <c r="N5007" s="114"/>
    </row>
    <row r="5008">
      <c r="C5008" s="41"/>
      <c r="D5008" s="142"/>
      <c r="E5008" s="130"/>
      <c r="F5008" s="128"/>
      <c r="G5008" s="128"/>
      <c r="H5008" s="128"/>
      <c r="I5008" s="128"/>
      <c r="J5008" s="81"/>
      <c r="K5008" s="81"/>
      <c r="L5008" s="81"/>
      <c r="M5008" s="81"/>
      <c r="N5008" s="82"/>
    </row>
    <row r="5009">
      <c r="C5009" s="41"/>
      <c r="D5009" s="141"/>
      <c r="E5009" s="118"/>
      <c r="F5009" s="126"/>
      <c r="G5009" s="126"/>
      <c r="H5009" s="126"/>
      <c r="I5009" s="126"/>
      <c r="J5009" s="76"/>
      <c r="K5009" s="76"/>
      <c r="L5009" s="76"/>
      <c r="M5009" s="76"/>
      <c r="N5009" s="114"/>
    </row>
    <row r="5010">
      <c r="C5010" s="41"/>
      <c r="D5010" s="142"/>
      <c r="E5010" s="130"/>
      <c r="F5010" s="128"/>
      <c r="G5010" s="128"/>
      <c r="H5010" s="128"/>
      <c r="I5010" s="128"/>
      <c r="J5010" s="81"/>
      <c r="K5010" s="81"/>
      <c r="L5010" s="81"/>
      <c r="M5010" s="81"/>
      <c r="N5010" s="82"/>
    </row>
    <row r="5011">
      <c r="C5011" s="41"/>
      <c r="D5011" s="141"/>
      <c r="E5011" s="118"/>
      <c r="F5011" s="126"/>
      <c r="G5011" s="126"/>
      <c r="H5011" s="126"/>
      <c r="I5011" s="126"/>
      <c r="J5011" s="76"/>
      <c r="K5011" s="76"/>
      <c r="L5011" s="76"/>
      <c r="M5011" s="76"/>
      <c r="N5011" s="114"/>
    </row>
    <row r="5012">
      <c r="C5012" s="41"/>
      <c r="D5012" s="142"/>
      <c r="E5012" s="130"/>
      <c r="F5012" s="128"/>
      <c r="G5012" s="128"/>
      <c r="H5012" s="128"/>
      <c r="I5012" s="128"/>
      <c r="J5012" s="81"/>
      <c r="K5012" s="81"/>
      <c r="L5012" s="81"/>
      <c r="M5012" s="81"/>
      <c r="N5012" s="82"/>
    </row>
    <row r="5013">
      <c r="C5013" s="41"/>
      <c r="D5013" s="141"/>
      <c r="E5013" s="118"/>
      <c r="F5013" s="126"/>
      <c r="G5013" s="126"/>
      <c r="H5013" s="126"/>
      <c r="I5013" s="126"/>
      <c r="J5013" s="76"/>
      <c r="K5013" s="76"/>
      <c r="L5013" s="76"/>
      <c r="M5013" s="76"/>
      <c r="N5013" s="114"/>
    </row>
    <row r="5014">
      <c r="C5014" s="41"/>
      <c r="D5014" s="142"/>
      <c r="E5014" s="130"/>
      <c r="F5014" s="128"/>
      <c r="G5014" s="128"/>
      <c r="H5014" s="128"/>
      <c r="I5014" s="128"/>
      <c r="J5014" s="81"/>
      <c r="K5014" s="81"/>
      <c r="L5014" s="81"/>
      <c r="M5014" s="81"/>
      <c r="N5014" s="82"/>
    </row>
    <row r="5015">
      <c r="C5015" s="41"/>
      <c r="D5015" s="141"/>
      <c r="E5015" s="118"/>
      <c r="F5015" s="126"/>
      <c r="G5015" s="126"/>
      <c r="H5015" s="126"/>
      <c r="I5015" s="126"/>
      <c r="J5015" s="76"/>
      <c r="K5015" s="76"/>
      <c r="L5015" s="76"/>
      <c r="M5015" s="76"/>
      <c r="N5015" s="114"/>
    </row>
    <row r="5016">
      <c r="C5016" s="41"/>
      <c r="D5016" s="142"/>
      <c r="E5016" s="130"/>
      <c r="F5016" s="128"/>
      <c r="G5016" s="128"/>
      <c r="H5016" s="128"/>
      <c r="I5016" s="128"/>
      <c r="J5016" s="81"/>
      <c r="K5016" s="81"/>
      <c r="L5016" s="81"/>
      <c r="M5016" s="81"/>
      <c r="N5016" s="82"/>
    </row>
    <row r="5017">
      <c r="C5017" s="41"/>
      <c r="D5017" s="141"/>
      <c r="E5017" s="118"/>
      <c r="F5017" s="126"/>
      <c r="G5017" s="126"/>
      <c r="H5017" s="126"/>
      <c r="I5017" s="126"/>
      <c r="J5017" s="76"/>
      <c r="K5017" s="76"/>
      <c r="L5017" s="76"/>
      <c r="M5017" s="76"/>
      <c r="N5017" s="114"/>
    </row>
    <row r="5018">
      <c r="C5018" s="41"/>
      <c r="D5018" s="142"/>
      <c r="E5018" s="130"/>
      <c r="F5018" s="128"/>
      <c r="G5018" s="128"/>
      <c r="H5018" s="128"/>
      <c r="I5018" s="128"/>
      <c r="J5018" s="81"/>
      <c r="K5018" s="81"/>
      <c r="L5018" s="81"/>
      <c r="M5018" s="81"/>
      <c r="N5018" s="82"/>
    </row>
    <row r="5019">
      <c r="C5019" s="41"/>
      <c r="D5019" s="141"/>
      <c r="E5019" s="118"/>
      <c r="F5019" s="126"/>
      <c r="G5019" s="126"/>
      <c r="H5019" s="126"/>
      <c r="I5019" s="126"/>
      <c r="J5019" s="76"/>
      <c r="K5019" s="76"/>
      <c r="L5019" s="76"/>
      <c r="M5019" s="76"/>
      <c r="N5019" s="114"/>
    </row>
    <row r="5020">
      <c r="C5020" s="41"/>
      <c r="D5020" s="142"/>
      <c r="E5020" s="130"/>
      <c r="F5020" s="128"/>
      <c r="G5020" s="128"/>
      <c r="H5020" s="128"/>
      <c r="I5020" s="128"/>
      <c r="J5020" s="81"/>
      <c r="K5020" s="81"/>
      <c r="L5020" s="81"/>
      <c r="M5020" s="81"/>
      <c r="N5020" s="82"/>
    </row>
    <row r="5021">
      <c r="C5021" s="41"/>
      <c r="D5021" s="141"/>
      <c r="E5021" s="118"/>
      <c r="F5021" s="126"/>
      <c r="G5021" s="126"/>
      <c r="H5021" s="126"/>
      <c r="I5021" s="126"/>
      <c r="J5021" s="76"/>
      <c r="K5021" s="76"/>
      <c r="L5021" s="76"/>
      <c r="M5021" s="76"/>
      <c r="N5021" s="114"/>
    </row>
    <row r="5022">
      <c r="C5022" s="41"/>
      <c r="D5022" s="142"/>
      <c r="E5022" s="130"/>
      <c r="F5022" s="128"/>
      <c r="G5022" s="128"/>
      <c r="H5022" s="128"/>
      <c r="I5022" s="128"/>
      <c r="J5022" s="81"/>
      <c r="K5022" s="81"/>
      <c r="L5022" s="81"/>
      <c r="M5022" s="81"/>
      <c r="N5022" s="82"/>
    </row>
    <row r="5023">
      <c r="C5023" s="41"/>
      <c r="D5023" s="141"/>
      <c r="E5023" s="118"/>
      <c r="F5023" s="126"/>
      <c r="G5023" s="126"/>
      <c r="H5023" s="126"/>
      <c r="I5023" s="126"/>
      <c r="J5023" s="76"/>
      <c r="K5023" s="76"/>
      <c r="L5023" s="76"/>
      <c r="M5023" s="76"/>
      <c r="N5023" s="114"/>
    </row>
    <row r="5024">
      <c r="C5024" s="41"/>
      <c r="D5024" s="142"/>
      <c r="E5024" s="130"/>
      <c r="F5024" s="128"/>
      <c r="G5024" s="128"/>
      <c r="H5024" s="128"/>
      <c r="I5024" s="128"/>
      <c r="J5024" s="81"/>
      <c r="K5024" s="81"/>
      <c r="L5024" s="81"/>
      <c r="M5024" s="81"/>
      <c r="N5024" s="82"/>
    </row>
    <row r="5025">
      <c r="C5025" s="41"/>
      <c r="D5025" s="141"/>
      <c r="E5025" s="118"/>
      <c r="F5025" s="126"/>
      <c r="G5025" s="126"/>
      <c r="H5025" s="126"/>
      <c r="I5025" s="126"/>
      <c r="J5025" s="76"/>
      <c r="K5025" s="76"/>
      <c r="L5025" s="76"/>
      <c r="M5025" s="76"/>
      <c r="N5025" s="114"/>
    </row>
    <row r="5026">
      <c r="C5026" s="41"/>
      <c r="D5026" s="142"/>
      <c r="E5026" s="130"/>
      <c r="F5026" s="128"/>
      <c r="G5026" s="128"/>
      <c r="H5026" s="128"/>
      <c r="I5026" s="128"/>
      <c r="J5026" s="81"/>
      <c r="K5026" s="81"/>
      <c r="L5026" s="81"/>
      <c r="M5026" s="81"/>
      <c r="N5026" s="82"/>
    </row>
    <row r="5027">
      <c r="C5027" s="41"/>
      <c r="D5027" s="141"/>
      <c r="E5027" s="118"/>
      <c r="F5027" s="126"/>
      <c r="G5027" s="126"/>
      <c r="H5027" s="126"/>
      <c r="I5027" s="126"/>
      <c r="J5027" s="76"/>
      <c r="K5027" s="76"/>
      <c r="L5027" s="76"/>
      <c r="M5027" s="76"/>
      <c r="N5027" s="114"/>
    </row>
    <row r="5028">
      <c r="C5028" s="41"/>
      <c r="D5028" s="142"/>
      <c r="E5028" s="130"/>
      <c r="F5028" s="128"/>
      <c r="G5028" s="128"/>
      <c r="H5028" s="128"/>
      <c r="I5028" s="128"/>
      <c r="J5028" s="81"/>
      <c r="K5028" s="81"/>
      <c r="L5028" s="81"/>
      <c r="M5028" s="81"/>
      <c r="N5028" s="82"/>
    </row>
    <row r="5029">
      <c r="C5029" s="41"/>
      <c r="D5029" s="141"/>
      <c r="E5029" s="118"/>
      <c r="F5029" s="126"/>
      <c r="G5029" s="126"/>
      <c r="H5029" s="126"/>
      <c r="I5029" s="126"/>
      <c r="J5029" s="76"/>
      <c r="K5029" s="76"/>
      <c r="L5029" s="76"/>
      <c r="M5029" s="76"/>
      <c r="N5029" s="114"/>
    </row>
    <row r="5030">
      <c r="C5030" s="41"/>
      <c r="D5030" s="142"/>
      <c r="E5030" s="130"/>
      <c r="F5030" s="128"/>
      <c r="G5030" s="128"/>
      <c r="H5030" s="128"/>
      <c r="I5030" s="128"/>
      <c r="J5030" s="81"/>
      <c r="K5030" s="81"/>
      <c r="L5030" s="81"/>
      <c r="M5030" s="81"/>
      <c r="N5030" s="82"/>
    </row>
    <row r="5031">
      <c r="C5031" s="41"/>
      <c r="D5031" s="141"/>
      <c r="E5031" s="118"/>
      <c r="F5031" s="126"/>
      <c r="G5031" s="126"/>
      <c r="H5031" s="126"/>
      <c r="I5031" s="126"/>
      <c r="J5031" s="76"/>
      <c r="K5031" s="76"/>
      <c r="L5031" s="76"/>
      <c r="M5031" s="76"/>
      <c r="N5031" s="114"/>
    </row>
    <row r="5032">
      <c r="C5032" s="41"/>
      <c r="D5032" s="142"/>
      <c r="E5032" s="130"/>
      <c r="F5032" s="128"/>
      <c r="G5032" s="128"/>
      <c r="H5032" s="128"/>
      <c r="I5032" s="128"/>
      <c r="J5032" s="81"/>
      <c r="K5032" s="81"/>
      <c r="L5032" s="81"/>
      <c r="M5032" s="81"/>
      <c r="N5032" s="82"/>
    </row>
    <row r="5033">
      <c r="C5033" s="41"/>
      <c r="D5033" s="141"/>
      <c r="E5033" s="118"/>
      <c r="F5033" s="126"/>
      <c r="G5033" s="126"/>
      <c r="H5033" s="126"/>
      <c r="I5033" s="126"/>
      <c r="J5033" s="76"/>
      <c r="K5033" s="76"/>
      <c r="L5033" s="76"/>
      <c r="M5033" s="76"/>
      <c r="N5033" s="114"/>
    </row>
    <row r="5034">
      <c r="C5034" s="41"/>
      <c r="D5034" s="142"/>
      <c r="E5034" s="130"/>
      <c r="F5034" s="128"/>
      <c r="G5034" s="128"/>
      <c r="H5034" s="128"/>
      <c r="I5034" s="128"/>
      <c r="J5034" s="81"/>
      <c r="K5034" s="81"/>
      <c r="L5034" s="81"/>
      <c r="M5034" s="81"/>
      <c r="N5034" s="82"/>
    </row>
    <row r="5035">
      <c r="C5035" s="41"/>
      <c r="D5035" s="141"/>
      <c r="E5035" s="118"/>
      <c r="F5035" s="126"/>
      <c r="G5035" s="126"/>
      <c r="H5035" s="126"/>
      <c r="I5035" s="126"/>
      <c r="J5035" s="76"/>
      <c r="K5035" s="76"/>
      <c r="L5035" s="76"/>
      <c r="M5035" s="76"/>
      <c r="N5035" s="114"/>
    </row>
    <row r="5036">
      <c r="C5036" s="41"/>
      <c r="D5036" s="142"/>
      <c r="E5036" s="130"/>
      <c r="F5036" s="128"/>
      <c r="G5036" s="128"/>
      <c r="H5036" s="128"/>
      <c r="I5036" s="128"/>
      <c r="J5036" s="81"/>
      <c r="K5036" s="81"/>
      <c r="L5036" s="81"/>
      <c r="M5036" s="81"/>
      <c r="N5036" s="82"/>
    </row>
    <row r="5037">
      <c r="C5037" s="41"/>
      <c r="D5037" s="141"/>
      <c r="E5037" s="118"/>
      <c r="F5037" s="126"/>
      <c r="G5037" s="126"/>
      <c r="H5037" s="126"/>
      <c r="I5037" s="126"/>
      <c r="J5037" s="76"/>
      <c r="K5037" s="76"/>
      <c r="L5037" s="76"/>
      <c r="M5037" s="76"/>
      <c r="N5037" s="114"/>
    </row>
    <row r="5038">
      <c r="C5038" s="41"/>
      <c r="D5038" s="142"/>
      <c r="E5038" s="130"/>
      <c r="F5038" s="128"/>
      <c r="G5038" s="128"/>
      <c r="H5038" s="128"/>
      <c r="I5038" s="128"/>
      <c r="J5038" s="81"/>
      <c r="K5038" s="81"/>
      <c r="L5038" s="81"/>
      <c r="M5038" s="81"/>
      <c r="N5038" s="82"/>
    </row>
    <row r="5039">
      <c r="C5039" s="41"/>
      <c r="D5039" s="141"/>
      <c r="E5039" s="118"/>
      <c r="F5039" s="126"/>
      <c r="G5039" s="126"/>
      <c r="H5039" s="126"/>
      <c r="I5039" s="126"/>
      <c r="J5039" s="76"/>
      <c r="K5039" s="76"/>
      <c r="L5039" s="76"/>
      <c r="M5039" s="76"/>
      <c r="N5039" s="114"/>
    </row>
    <row r="5040">
      <c r="C5040" s="41"/>
      <c r="D5040" s="142"/>
      <c r="E5040" s="130"/>
      <c r="F5040" s="128"/>
      <c r="G5040" s="128"/>
      <c r="H5040" s="128"/>
      <c r="I5040" s="128"/>
      <c r="J5040" s="81"/>
      <c r="K5040" s="81"/>
      <c r="L5040" s="81"/>
      <c r="M5040" s="81"/>
      <c r="N5040" s="82"/>
    </row>
    <row r="5041">
      <c r="C5041" s="41"/>
      <c r="D5041" s="141"/>
      <c r="E5041" s="118"/>
      <c r="F5041" s="126"/>
      <c r="G5041" s="126"/>
      <c r="H5041" s="126"/>
      <c r="I5041" s="126"/>
      <c r="J5041" s="76"/>
      <c r="K5041" s="76"/>
      <c r="L5041" s="76"/>
      <c r="M5041" s="76"/>
      <c r="N5041" s="114"/>
    </row>
    <row r="5042">
      <c r="C5042" s="41"/>
      <c r="D5042" s="142"/>
      <c r="E5042" s="130"/>
      <c r="F5042" s="128"/>
      <c r="G5042" s="128"/>
      <c r="H5042" s="128"/>
      <c r="I5042" s="128"/>
      <c r="J5042" s="81"/>
      <c r="K5042" s="81"/>
      <c r="L5042" s="81"/>
      <c r="M5042" s="81"/>
      <c r="N5042" s="82"/>
    </row>
    <row r="5043">
      <c r="C5043" s="41"/>
      <c r="D5043" s="141"/>
      <c r="E5043" s="118"/>
      <c r="F5043" s="126"/>
      <c r="G5043" s="126"/>
      <c r="H5043" s="126"/>
      <c r="I5043" s="126"/>
      <c r="J5043" s="76"/>
      <c r="K5043" s="76"/>
      <c r="L5043" s="76"/>
      <c r="M5043" s="76"/>
      <c r="N5043" s="114"/>
    </row>
    <row r="5044">
      <c r="C5044" s="41"/>
      <c r="D5044" s="142"/>
      <c r="E5044" s="130"/>
      <c r="F5044" s="128"/>
      <c r="G5044" s="128"/>
      <c r="H5044" s="128"/>
      <c r="I5044" s="128"/>
      <c r="J5044" s="81"/>
      <c r="K5044" s="81"/>
      <c r="L5044" s="81"/>
      <c r="M5044" s="81"/>
      <c r="N5044" s="82"/>
    </row>
    <row r="5045">
      <c r="C5045" s="41"/>
      <c r="D5045" s="141"/>
      <c r="E5045" s="118"/>
      <c r="F5045" s="126"/>
      <c r="G5045" s="126"/>
      <c r="H5045" s="126"/>
      <c r="I5045" s="126"/>
      <c r="J5045" s="76"/>
      <c r="K5045" s="76"/>
      <c r="L5045" s="76"/>
      <c r="M5045" s="76"/>
      <c r="N5045" s="114"/>
    </row>
    <row r="5046">
      <c r="C5046" s="41"/>
      <c r="D5046" s="142"/>
      <c r="E5046" s="130"/>
      <c r="F5046" s="128"/>
      <c r="G5046" s="128"/>
      <c r="H5046" s="128"/>
      <c r="I5046" s="128"/>
      <c r="J5046" s="81"/>
      <c r="K5046" s="81"/>
      <c r="L5046" s="81"/>
      <c r="M5046" s="81"/>
      <c r="N5046" s="82"/>
    </row>
    <row r="5047">
      <c r="C5047" s="41"/>
      <c r="D5047" s="141"/>
      <c r="E5047" s="118"/>
      <c r="F5047" s="126"/>
      <c r="G5047" s="126"/>
      <c r="H5047" s="126"/>
      <c r="I5047" s="126"/>
      <c r="J5047" s="76"/>
      <c r="K5047" s="76"/>
      <c r="L5047" s="76"/>
      <c r="M5047" s="76"/>
      <c r="N5047" s="114"/>
    </row>
    <row r="5048">
      <c r="C5048" s="41"/>
      <c r="D5048" s="142"/>
      <c r="E5048" s="130"/>
      <c r="F5048" s="128"/>
      <c r="G5048" s="128"/>
      <c r="H5048" s="128"/>
      <c r="I5048" s="128"/>
      <c r="J5048" s="81"/>
      <c r="K5048" s="81"/>
      <c r="L5048" s="81"/>
      <c r="M5048" s="81"/>
      <c r="N5048" s="82"/>
    </row>
    <row r="5049">
      <c r="C5049" s="41"/>
      <c r="D5049" s="141"/>
      <c r="E5049" s="118"/>
      <c r="F5049" s="126"/>
      <c r="G5049" s="126"/>
      <c r="H5049" s="126"/>
      <c r="I5049" s="126"/>
      <c r="J5049" s="76"/>
      <c r="K5049" s="76"/>
      <c r="L5049" s="76"/>
      <c r="M5049" s="76"/>
      <c r="N5049" s="114"/>
    </row>
    <row r="5050">
      <c r="C5050" s="41"/>
      <c r="D5050" s="142"/>
      <c r="E5050" s="130"/>
      <c r="F5050" s="128"/>
      <c r="G5050" s="128"/>
      <c r="H5050" s="128"/>
      <c r="I5050" s="128"/>
      <c r="J5050" s="81"/>
      <c r="K5050" s="81"/>
      <c r="L5050" s="81"/>
      <c r="M5050" s="81"/>
      <c r="N5050" s="82"/>
    </row>
    <row r="5051">
      <c r="C5051" s="41"/>
      <c r="D5051" s="141"/>
      <c r="E5051" s="118"/>
      <c r="F5051" s="126"/>
      <c r="G5051" s="126"/>
      <c r="H5051" s="126"/>
      <c r="I5051" s="126"/>
      <c r="J5051" s="76"/>
      <c r="K5051" s="76"/>
      <c r="L5051" s="76"/>
      <c r="M5051" s="76"/>
      <c r="N5051" s="114"/>
    </row>
    <row r="5052">
      <c r="C5052" s="41"/>
      <c r="D5052" s="142"/>
      <c r="E5052" s="130"/>
      <c r="F5052" s="128"/>
      <c r="G5052" s="128"/>
      <c r="H5052" s="128"/>
      <c r="I5052" s="128"/>
      <c r="J5052" s="81"/>
      <c r="K5052" s="81"/>
      <c r="L5052" s="81"/>
      <c r="M5052" s="81"/>
      <c r="N5052" s="82"/>
    </row>
    <row r="5053">
      <c r="C5053" s="41"/>
      <c r="D5053" s="141"/>
      <c r="E5053" s="118"/>
      <c r="F5053" s="126"/>
      <c r="G5053" s="126"/>
      <c r="H5053" s="126"/>
      <c r="I5053" s="126"/>
      <c r="J5053" s="76"/>
      <c r="K5053" s="76"/>
      <c r="L5053" s="76"/>
      <c r="M5053" s="76"/>
      <c r="N5053" s="114"/>
    </row>
    <row r="5054">
      <c r="C5054" s="41"/>
      <c r="D5054" s="142"/>
      <c r="E5054" s="130"/>
      <c r="F5054" s="128"/>
      <c r="G5054" s="128"/>
      <c r="H5054" s="128"/>
      <c r="I5054" s="128"/>
      <c r="J5054" s="81"/>
      <c r="K5054" s="81"/>
      <c r="L5054" s="81"/>
      <c r="M5054" s="81"/>
      <c r="N5054" s="82"/>
    </row>
    <row r="5055">
      <c r="C5055" s="41"/>
      <c r="D5055" s="141"/>
      <c r="E5055" s="118"/>
      <c r="F5055" s="126"/>
      <c r="G5055" s="126"/>
      <c r="H5055" s="126"/>
      <c r="I5055" s="126"/>
      <c r="J5055" s="76"/>
      <c r="K5055" s="76"/>
      <c r="L5055" s="76"/>
      <c r="M5055" s="76"/>
      <c r="N5055" s="114"/>
    </row>
    <row r="5056">
      <c r="C5056" s="41"/>
      <c r="D5056" s="142"/>
      <c r="E5056" s="130"/>
      <c r="F5056" s="128"/>
      <c r="G5056" s="128"/>
      <c r="H5056" s="128"/>
      <c r="I5056" s="128"/>
      <c r="J5056" s="81"/>
      <c r="K5056" s="81"/>
      <c r="L5056" s="81"/>
      <c r="M5056" s="81"/>
      <c r="N5056" s="82"/>
    </row>
    <row r="5057">
      <c r="C5057" s="41"/>
      <c r="D5057" s="141"/>
      <c r="E5057" s="118"/>
      <c r="F5057" s="126"/>
      <c r="G5057" s="126"/>
      <c r="H5057" s="126"/>
      <c r="I5057" s="126"/>
      <c r="J5057" s="76"/>
      <c r="K5057" s="76"/>
      <c r="L5057" s="76"/>
      <c r="M5057" s="76"/>
      <c r="N5057" s="114"/>
    </row>
    <row r="5058">
      <c r="C5058" s="41"/>
      <c r="D5058" s="142"/>
      <c r="E5058" s="130"/>
      <c r="F5058" s="128"/>
      <c r="G5058" s="128"/>
      <c r="H5058" s="128"/>
      <c r="I5058" s="128"/>
      <c r="J5058" s="81"/>
      <c r="K5058" s="81"/>
      <c r="L5058" s="81"/>
      <c r="M5058" s="81"/>
      <c r="N5058" s="82"/>
    </row>
    <row r="5059">
      <c r="C5059" s="41"/>
      <c r="D5059" s="141"/>
      <c r="E5059" s="118"/>
      <c r="F5059" s="126"/>
      <c r="G5059" s="126"/>
      <c r="H5059" s="126"/>
      <c r="I5059" s="126"/>
      <c r="J5059" s="76"/>
      <c r="K5059" s="76"/>
      <c r="L5059" s="76"/>
      <c r="M5059" s="76"/>
      <c r="N5059" s="114"/>
    </row>
    <row r="5060">
      <c r="C5060" s="41"/>
      <c r="D5060" s="142"/>
      <c r="E5060" s="130"/>
      <c r="F5060" s="128"/>
      <c r="G5060" s="128"/>
      <c r="H5060" s="128"/>
      <c r="I5060" s="128"/>
      <c r="J5060" s="81"/>
      <c r="K5060" s="81"/>
      <c r="L5060" s="81"/>
      <c r="M5060" s="81"/>
      <c r="N5060" s="82"/>
    </row>
    <row r="5061">
      <c r="C5061" s="41"/>
      <c r="D5061" s="141"/>
      <c r="E5061" s="118"/>
      <c r="F5061" s="126"/>
      <c r="G5061" s="126"/>
      <c r="H5061" s="126"/>
      <c r="I5061" s="126"/>
      <c r="J5061" s="76"/>
      <c r="K5061" s="76"/>
      <c r="L5061" s="76"/>
      <c r="M5061" s="76"/>
      <c r="N5061" s="114"/>
    </row>
    <row r="5062">
      <c r="C5062" s="41"/>
      <c r="D5062" s="142"/>
      <c r="E5062" s="130"/>
      <c r="F5062" s="128"/>
      <c r="G5062" s="128"/>
      <c r="H5062" s="128"/>
      <c r="I5062" s="128"/>
      <c r="J5062" s="81"/>
      <c r="K5062" s="81"/>
      <c r="L5062" s="81"/>
      <c r="M5062" s="81"/>
      <c r="N5062" s="82"/>
    </row>
    <row r="5063">
      <c r="C5063" s="41"/>
      <c r="D5063" s="141"/>
      <c r="E5063" s="118"/>
      <c r="F5063" s="126"/>
      <c r="G5063" s="126"/>
      <c r="H5063" s="126"/>
      <c r="I5063" s="126"/>
      <c r="J5063" s="76"/>
      <c r="K5063" s="76"/>
      <c r="L5063" s="76"/>
      <c r="M5063" s="76"/>
      <c r="N5063" s="114"/>
    </row>
    <row r="5064">
      <c r="C5064" s="41"/>
      <c r="D5064" s="142"/>
      <c r="E5064" s="130"/>
      <c r="F5064" s="128"/>
      <c r="G5064" s="128"/>
      <c r="H5064" s="128"/>
      <c r="I5064" s="128"/>
      <c r="J5064" s="81"/>
      <c r="K5064" s="81"/>
      <c r="L5064" s="81"/>
      <c r="M5064" s="81"/>
      <c r="N5064" s="82"/>
    </row>
    <row r="5065">
      <c r="C5065" s="41"/>
      <c r="D5065" s="141"/>
      <c r="E5065" s="118"/>
      <c r="F5065" s="126"/>
      <c r="G5065" s="126"/>
      <c r="H5065" s="126"/>
      <c r="I5065" s="126"/>
      <c r="J5065" s="76"/>
      <c r="K5065" s="76"/>
      <c r="L5065" s="76"/>
      <c r="M5065" s="76"/>
      <c r="N5065" s="114"/>
    </row>
    <row r="5066">
      <c r="C5066" s="41"/>
      <c r="D5066" s="142"/>
      <c r="E5066" s="130"/>
      <c r="F5066" s="128"/>
      <c r="G5066" s="128"/>
      <c r="H5066" s="128"/>
      <c r="I5066" s="128"/>
      <c r="J5066" s="81"/>
      <c r="K5066" s="81"/>
      <c r="L5066" s="81"/>
      <c r="M5066" s="81"/>
      <c r="N5066" s="82"/>
    </row>
    <row r="5067">
      <c r="C5067" s="41"/>
      <c r="D5067" s="141"/>
      <c r="E5067" s="118"/>
      <c r="F5067" s="126"/>
      <c r="G5067" s="126"/>
      <c r="H5067" s="126"/>
      <c r="I5067" s="126"/>
      <c r="J5067" s="76"/>
      <c r="K5067" s="76"/>
      <c r="L5067" s="76"/>
      <c r="M5067" s="76"/>
      <c r="N5067" s="114"/>
    </row>
    <row r="5068">
      <c r="C5068" s="41"/>
      <c r="D5068" s="142"/>
      <c r="E5068" s="130"/>
      <c r="F5068" s="128"/>
      <c r="G5068" s="128"/>
      <c r="H5068" s="128"/>
      <c r="I5068" s="128"/>
      <c r="J5068" s="81"/>
      <c r="K5068" s="81"/>
      <c r="L5068" s="81"/>
      <c r="M5068" s="81"/>
      <c r="N5068" s="82"/>
    </row>
    <row r="5069">
      <c r="C5069" s="41"/>
      <c r="D5069" s="141"/>
      <c r="E5069" s="118"/>
      <c r="F5069" s="126"/>
      <c r="G5069" s="126"/>
      <c r="H5069" s="126"/>
      <c r="I5069" s="126"/>
      <c r="J5069" s="76"/>
      <c r="K5069" s="76"/>
      <c r="L5069" s="76"/>
      <c r="M5069" s="76"/>
      <c r="N5069" s="114"/>
    </row>
    <row r="5070">
      <c r="C5070" s="41"/>
      <c r="D5070" s="142"/>
      <c r="E5070" s="130"/>
      <c r="F5070" s="128"/>
      <c r="G5070" s="128"/>
      <c r="H5070" s="128"/>
      <c r="I5070" s="128"/>
      <c r="J5070" s="81"/>
      <c r="K5070" s="81"/>
      <c r="L5070" s="81"/>
      <c r="M5070" s="81"/>
      <c r="N5070" s="82"/>
    </row>
    <row r="5071">
      <c r="C5071" s="41"/>
      <c r="D5071" s="141"/>
      <c r="E5071" s="118"/>
      <c r="F5071" s="126"/>
      <c r="G5071" s="126"/>
      <c r="H5071" s="126"/>
      <c r="I5071" s="126"/>
      <c r="J5071" s="76"/>
      <c r="K5071" s="76"/>
      <c r="L5071" s="76"/>
      <c r="M5071" s="76"/>
      <c r="N5071" s="114"/>
    </row>
    <row r="5072">
      <c r="C5072" s="41"/>
      <c r="D5072" s="142"/>
      <c r="E5072" s="130"/>
      <c r="F5072" s="128"/>
      <c r="G5072" s="128"/>
      <c r="H5072" s="128"/>
      <c r="I5072" s="128"/>
      <c r="J5072" s="81"/>
      <c r="K5072" s="81"/>
      <c r="L5072" s="81"/>
      <c r="M5072" s="81"/>
      <c r="N5072" s="82"/>
    </row>
    <row r="5073">
      <c r="C5073" s="41"/>
      <c r="D5073" s="141"/>
      <c r="E5073" s="118"/>
      <c r="F5073" s="126"/>
      <c r="G5073" s="126"/>
      <c r="H5073" s="126"/>
      <c r="I5073" s="126"/>
      <c r="J5073" s="76"/>
      <c r="K5073" s="76"/>
      <c r="L5073" s="76"/>
      <c r="M5073" s="76"/>
      <c r="N5073" s="114"/>
    </row>
    <row r="5074">
      <c r="C5074" s="41"/>
      <c r="D5074" s="142"/>
      <c r="E5074" s="130"/>
      <c r="F5074" s="128"/>
      <c r="G5074" s="128"/>
      <c r="H5074" s="128"/>
      <c r="I5074" s="128"/>
      <c r="J5074" s="81"/>
      <c r="K5074" s="81"/>
      <c r="L5074" s="81"/>
      <c r="M5074" s="81"/>
      <c r="N5074" s="82"/>
    </row>
    <row r="5075">
      <c r="C5075" s="41"/>
      <c r="D5075" s="141"/>
      <c r="E5075" s="118"/>
      <c r="F5075" s="126"/>
      <c r="G5075" s="126"/>
      <c r="H5075" s="126"/>
      <c r="I5075" s="126"/>
      <c r="J5075" s="76"/>
      <c r="K5075" s="76"/>
      <c r="L5075" s="76"/>
      <c r="M5075" s="76"/>
      <c r="N5075" s="114"/>
    </row>
    <row r="5076">
      <c r="C5076" s="41"/>
      <c r="D5076" s="142"/>
      <c r="E5076" s="130"/>
      <c r="F5076" s="128"/>
      <c r="G5076" s="128"/>
      <c r="H5076" s="128"/>
      <c r="I5076" s="128"/>
      <c r="J5076" s="81"/>
      <c r="K5076" s="81"/>
      <c r="L5076" s="81"/>
      <c r="M5076" s="81"/>
      <c r="N5076" s="82"/>
    </row>
    <row r="5077">
      <c r="C5077" s="41"/>
      <c r="D5077" s="141"/>
      <c r="E5077" s="118"/>
      <c r="F5077" s="126"/>
      <c r="G5077" s="126"/>
      <c r="H5077" s="126"/>
      <c r="I5077" s="126"/>
      <c r="J5077" s="76"/>
      <c r="K5077" s="76"/>
      <c r="L5077" s="76"/>
      <c r="M5077" s="76"/>
      <c r="N5077" s="114"/>
    </row>
    <row r="5078">
      <c r="C5078" s="41"/>
      <c r="D5078" s="142"/>
      <c r="E5078" s="130"/>
      <c r="F5078" s="128"/>
      <c r="G5078" s="128"/>
      <c r="H5078" s="128"/>
      <c r="I5078" s="128"/>
      <c r="J5078" s="81"/>
      <c r="K5078" s="81"/>
      <c r="L5078" s="81"/>
      <c r="M5078" s="81"/>
      <c r="N5078" s="82"/>
    </row>
    <row r="5079">
      <c r="C5079" s="41"/>
      <c r="D5079" s="141"/>
      <c r="E5079" s="118"/>
      <c r="F5079" s="126"/>
      <c r="G5079" s="126"/>
      <c r="H5079" s="126"/>
      <c r="I5079" s="126"/>
      <c r="J5079" s="76"/>
      <c r="K5079" s="76"/>
      <c r="L5079" s="76"/>
      <c r="M5079" s="76"/>
      <c r="N5079" s="114"/>
    </row>
    <row r="5080">
      <c r="C5080" s="41"/>
      <c r="D5080" s="142"/>
      <c r="E5080" s="130"/>
      <c r="F5080" s="128"/>
      <c r="G5080" s="128"/>
      <c r="H5080" s="128"/>
      <c r="I5080" s="128"/>
      <c r="J5080" s="81"/>
      <c r="K5080" s="81"/>
      <c r="L5080" s="81"/>
      <c r="M5080" s="81"/>
      <c r="N5080" s="82"/>
    </row>
    <row r="5081">
      <c r="C5081" s="41"/>
      <c r="D5081" s="141"/>
      <c r="E5081" s="118"/>
      <c r="F5081" s="126"/>
      <c r="G5081" s="126"/>
      <c r="H5081" s="126"/>
      <c r="I5081" s="126"/>
      <c r="J5081" s="76"/>
      <c r="K5081" s="76"/>
      <c r="L5081" s="76"/>
      <c r="M5081" s="76"/>
      <c r="N5081" s="114"/>
    </row>
    <row r="5082">
      <c r="C5082" s="41"/>
      <c r="D5082" s="142"/>
      <c r="E5082" s="130"/>
      <c r="F5082" s="128"/>
      <c r="G5082" s="128"/>
      <c r="H5082" s="128"/>
      <c r="I5082" s="128"/>
      <c r="J5082" s="81"/>
      <c r="K5082" s="81"/>
      <c r="L5082" s="81"/>
      <c r="M5082" s="81"/>
      <c r="N5082" s="82"/>
    </row>
    <row r="5083">
      <c r="C5083" s="41"/>
      <c r="D5083" s="141"/>
      <c r="E5083" s="118"/>
      <c r="F5083" s="126"/>
      <c r="G5083" s="126"/>
      <c r="H5083" s="126"/>
      <c r="I5083" s="126"/>
      <c r="J5083" s="76"/>
      <c r="K5083" s="76"/>
      <c r="L5083" s="76"/>
      <c r="M5083" s="76"/>
      <c r="N5083" s="114"/>
    </row>
    <row r="5084">
      <c r="C5084" s="41"/>
      <c r="D5084" s="142"/>
      <c r="E5084" s="130"/>
      <c r="F5084" s="128"/>
      <c r="G5084" s="128"/>
      <c r="H5084" s="128"/>
      <c r="I5084" s="128"/>
      <c r="J5084" s="81"/>
      <c r="K5084" s="81"/>
      <c r="L5084" s="81"/>
      <c r="M5084" s="81"/>
      <c r="N5084" s="82"/>
    </row>
    <row r="5085">
      <c r="C5085" s="41"/>
      <c r="D5085" s="141"/>
      <c r="E5085" s="118"/>
      <c r="F5085" s="126"/>
      <c r="G5085" s="126"/>
      <c r="H5085" s="126"/>
      <c r="I5085" s="126"/>
      <c r="J5085" s="76"/>
      <c r="K5085" s="76"/>
      <c r="L5085" s="76"/>
      <c r="M5085" s="76"/>
      <c r="N5085" s="114"/>
    </row>
    <row r="5086">
      <c r="C5086" s="41"/>
      <c r="D5086" s="142"/>
      <c r="E5086" s="130"/>
      <c r="F5086" s="128"/>
      <c r="G5086" s="128"/>
      <c r="H5086" s="128"/>
      <c r="I5086" s="128"/>
      <c r="J5086" s="81"/>
      <c r="K5086" s="81"/>
      <c r="L5086" s="81"/>
      <c r="M5086" s="81"/>
      <c r="N5086" s="82"/>
    </row>
    <row r="5087">
      <c r="C5087" s="41"/>
      <c r="D5087" s="141"/>
      <c r="E5087" s="118"/>
      <c r="F5087" s="126"/>
      <c r="G5087" s="126"/>
      <c r="H5087" s="126"/>
      <c r="I5087" s="126"/>
      <c r="J5087" s="76"/>
      <c r="K5087" s="76"/>
      <c r="L5087" s="76"/>
      <c r="M5087" s="76"/>
      <c r="N5087" s="114"/>
    </row>
    <row r="5088">
      <c r="C5088" s="41"/>
      <c r="D5088" s="142"/>
      <c r="E5088" s="130"/>
      <c r="F5088" s="128"/>
      <c r="G5088" s="128"/>
      <c r="H5088" s="128"/>
      <c r="I5088" s="128"/>
      <c r="J5088" s="81"/>
      <c r="K5088" s="81"/>
      <c r="L5088" s="81"/>
      <c r="M5088" s="81"/>
      <c r="N5088" s="82"/>
    </row>
    <row r="5089">
      <c r="C5089" s="41"/>
      <c r="D5089" s="141"/>
      <c r="E5089" s="118"/>
      <c r="F5089" s="126"/>
      <c r="G5089" s="126"/>
      <c r="H5089" s="126"/>
      <c r="I5089" s="126"/>
      <c r="J5089" s="76"/>
      <c r="K5089" s="76"/>
      <c r="L5089" s="76"/>
      <c r="M5089" s="76"/>
      <c r="N5089" s="114"/>
    </row>
    <row r="5090">
      <c r="C5090" s="41"/>
      <c r="D5090" s="142"/>
      <c r="E5090" s="130"/>
      <c r="F5090" s="128"/>
      <c r="G5090" s="128"/>
      <c r="H5090" s="128"/>
      <c r="I5090" s="128"/>
      <c r="J5090" s="81"/>
      <c r="K5090" s="81"/>
      <c r="L5090" s="81"/>
      <c r="M5090" s="81"/>
      <c r="N5090" s="82"/>
    </row>
    <row r="5091">
      <c r="C5091" s="41"/>
      <c r="D5091" s="141"/>
      <c r="E5091" s="118"/>
      <c r="F5091" s="126"/>
      <c r="G5091" s="126"/>
      <c r="H5091" s="126"/>
      <c r="I5091" s="126"/>
      <c r="J5091" s="76"/>
      <c r="K5091" s="76"/>
      <c r="L5091" s="76"/>
      <c r="M5091" s="76"/>
      <c r="N5091" s="114"/>
    </row>
    <row r="5092">
      <c r="C5092" s="41"/>
      <c r="D5092" s="142"/>
      <c r="E5092" s="130"/>
      <c r="F5092" s="128"/>
      <c r="G5092" s="128"/>
      <c r="H5092" s="128"/>
      <c r="I5092" s="128"/>
      <c r="J5092" s="81"/>
      <c r="K5092" s="81"/>
      <c r="L5092" s="81"/>
      <c r="M5092" s="81"/>
      <c r="N5092" s="82"/>
    </row>
    <row r="5093">
      <c r="C5093" s="41"/>
      <c r="D5093" s="141"/>
      <c r="E5093" s="118"/>
      <c r="F5093" s="126"/>
      <c r="G5093" s="126"/>
      <c r="H5093" s="126"/>
      <c r="I5093" s="126"/>
      <c r="J5093" s="76"/>
      <c r="K5093" s="76"/>
      <c r="L5093" s="76"/>
      <c r="M5093" s="76"/>
      <c r="N5093" s="114"/>
    </row>
    <row r="5094">
      <c r="C5094" s="41"/>
      <c r="D5094" s="142"/>
      <c r="E5094" s="130"/>
      <c r="F5094" s="128"/>
      <c r="G5094" s="128"/>
      <c r="H5094" s="128"/>
      <c r="I5094" s="128"/>
      <c r="J5094" s="81"/>
      <c r="K5094" s="81"/>
      <c r="L5094" s="81"/>
      <c r="M5094" s="81"/>
      <c r="N5094" s="82"/>
    </row>
    <row r="5095">
      <c r="C5095" s="41"/>
      <c r="D5095" s="141"/>
      <c r="E5095" s="118"/>
      <c r="F5095" s="126"/>
      <c r="G5095" s="126"/>
      <c r="H5095" s="126"/>
      <c r="I5095" s="126"/>
      <c r="J5095" s="76"/>
      <c r="K5095" s="76"/>
      <c r="L5095" s="76"/>
      <c r="M5095" s="76"/>
      <c r="N5095" s="114"/>
    </row>
    <row r="5096">
      <c r="C5096" s="41"/>
      <c r="D5096" s="142"/>
      <c r="E5096" s="130"/>
      <c r="F5096" s="128"/>
      <c r="G5096" s="128"/>
      <c r="H5096" s="128"/>
      <c r="I5096" s="128"/>
      <c r="J5096" s="81"/>
      <c r="K5096" s="81"/>
      <c r="L5096" s="81"/>
      <c r="M5096" s="81"/>
      <c r="N5096" s="82"/>
    </row>
    <row r="5097">
      <c r="C5097" s="41"/>
      <c r="D5097" s="141"/>
      <c r="E5097" s="118"/>
      <c r="F5097" s="126"/>
      <c r="G5097" s="126"/>
      <c r="H5097" s="126"/>
      <c r="I5097" s="126"/>
      <c r="J5097" s="76"/>
      <c r="K5097" s="76"/>
      <c r="L5097" s="76"/>
      <c r="M5097" s="76"/>
      <c r="N5097" s="114"/>
    </row>
    <row r="5098">
      <c r="C5098" s="41"/>
      <c r="D5098" s="142"/>
      <c r="E5098" s="130"/>
      <c r="F5098" s="128"/>
      <c r="G5098" s="128"/>
      <c r="H5098" s="128"/>
      <c r="I5098" s="128"/>
      <c r="J5098" s="81"/>
      <c r="K5098" s="81"/>
      <c r="L5098" s="81"/>
      <c r="M5098" s="81"/>
      <c r="N5098" s="82"/>
    </row>
    <row r="5099">
      <c r="C5099" s="41"/>
      <c r="D5099" s="141"/>
      <c r="E5099" s="118"/>
      <c r="F5099" s="126"/>
      <c r="G5099" s="126"/>
      <c r="H5099" s="126"/>
      <c r="I5099" s="126"/>
      <c r="J5099" s="76"/>
      <c r="K5099" s="76"/>
      <c r="L5099" s="76"/>
      <c r="M5099" s="76"/>
      <c r="N5099" s="114"/>
    </row>
    <row r="5100">
      <c r="C5100" s="41"/>
      <c r="D5100" s="142"/>
      <c r="E5100" s="130"/>
      <c r="F5100" s="128"/>
      <c r="G5100" s="128"/>
      <c r="H5100" s="128"/>
      <c r="I5100" s="128"/>
      <c r="J5100" s="81"/>
      <c r="K5100" s="81"/>
      <c r="L5100" s="81"/>
      <c r="M5100" s="81"/>
      <c r="N5100" s="82"/>
    </row>
    <row r="5101">
      <c r="C5101" s="41"/>
      <c r="D5101" s="141"/>
      <c r="E5101" s="118"/>
      <c r="F5101" s="126"/>
      <c r="G5101" s="126"/>
      <c r="H5101" s="126"/>
      <c r="I5101" s="126"/>
      <c r="J5101" s="76"/>
      <c r="K5101" s="76"/>
      <c r="L5101" s="76"/>
      <c r="M5101" s="76"/>
      <c r="N5101" s="114"/>
    </row>
    <row r="5102">
      <c r="C5102" s="41"/>
      <c r="D5102" s="142"/>
      <c r="E5102" s="130"/>
      <c r="F5102" s="128"/>
      <c r="G5102" s="128"/>
      <c r="H5102" s="128"/>
      <c r="I5102" s="128"/>
      <c r="J5102" s="81"/>
      <c r="K5102" s="81"/>
      <c r="L5102" s="81"/>
      <c r="M5102" s="81"/>
      <c r="N5102" s="82"/>
    </row>
    <row r="5103">
      <c r="C5103" s="41"/>
      <c r="D5103" s="141"/>
      <c r="E5103" s="118"/>
      <c r="F5103" s="126"/>
      <c r="G5103" s="126"/>
      <c r="H5103" s="126"/>
      <c r="I5103" s="126"/>
      <c r="J5103" s="76"/>
      <c r="K5103" s="76"/>
      <c r="L5103" s="76"/>
      <c r="M5103" s="76"/>
      <c r="N5103" s="114"/>
    </row>
    <row r="5104">
      <c r="C5104" s="41"/>
      <c r="D5104" s="142"/>
      <c r="E5104" s="130"/>
      <c r="F5104" s="128"/>
      <c r="G5104" s="128"/>
      <c r="H5104" s="128"/>
      <c r="I5104" s="128"/>
      <c r="J5104" s="81"/>
      <c r="K5104" s="81"/>
      <c r="L5104" s="81"/>
      <c r="M5104" s="81"/>
      <c r="N5104" s="82"/>
    </row>
    <row r="5105">
      <c r="C5105" s="41"/>
      <c r="D5105" s="141"/>
      <c r="E5105" s="118"/>
      <c r="F5105" s="126"/>
      <c r="G5105" s="126"/>
      <c r="H5105" s="126"/>
      <c r="I5105" s="126"/>
      <c r="J5105" s="76"/>
      <c r="K5105" s="76"/>
      <c r="L5105" s="76"/>
      <c r="M5105" s="76"/>
      <c r="N5105" s="114"/>
    </row>
    <row r="5106">
      <c r="C5106" s="41"/>
      <c r="D5106" s="142"/>
      <c r="E5106" s="130"/>
      <c r="F5106" s="128"/>
      <c r="G5106" s="128"/>
      <c r="H5106" s="128"/>
      <c r="I5106" s="128"/>
      <c r="J5106" s="81"/>
      <c r="K5106" s="81"/>
      <c r="L5106" s="81"/>
      <c r="M5106" s="81"/>
      <c r="N5106" s="82"/>
    </row>
    <row r="5107">
      <c r="C5107" s="41"/>
      <c r="D5107" s="141"/>
      <c r="E5107" s="118"/>
      <c r="F5107" s="126"/>
      <c r="G5107" s="126"/>
      <c r="H5107" s="126"/>
      <c r="I5107" s="126"/>
      <c r="J5107" s="76"/>
      <c r="K5107" s="76"/>
      <c r="L5107" s="76"/>
      <c r="M5107" s="76"/>
      <c r="N5107" s="114"/>
    </row>
    <row r="5108">
      <c r="C5108" s="41"/>
      <c r="D5108" s="142"/>
      <c r="E5108" s="130"/>
      <c r="F5108" s="128"/>
      <c r="G5108" s="128"/>
      <c r="H5108" s="128"/>
      <c r="I5108" s="128"/>
      <c r="J5108" s="81"/>
      <c r="K5108" s="81"/>
      <c r="L5108" s="81"/>
      <c r="M5108" s="81"/>
      <c r="N5108" s="82"/>
    </row>
    <row r="5109">
      <c r="C5109" s="41"/>
      <c r="D5109" s="141"/>
      <c r="E5109" s="118"/>
      <c r="F5109" s="126"/>
      <c r="G5109" s="126"/>
      <c r="H5109" s="126"/>
      <c r="I5109" s="126"/>
      <c r="J5109" s="76"/>
      <c r="K5109" s="76"/>
      <c r="L5109" s="76"/>
      <c r="M5109" s="76"/>
      <c r="N5109" s="114"/>
    </row>
    <row r="5110">
      <c r="C5110" s="41"/>
      <c r="D5110" s="142"/>
      <c r="E5110" s="130"/>
      <c r="F5110" s="128"/>
      <c r="G5110" s="128"/>
      <c r="H5110" s="128"/>
      <c r="I5110" s="128"/>
      <c r="J5110" s="81"/>
      <c r="K5110" s="81"/>
      <c r="L5110" s="81"/>
      <c r="M5110" s="81"/>
      <c r="N5110" s="82"/>
    </row>
    <row r="5111">
      <c r="C5111" s="41"/>
      <c r="D5111" s="141"/>
      <c r="E5111" s="118"/>
      <c r="F5111" s="126"/>
      <c r="G5111" s="126"/>
      <c r="H5111" s="126"/>
      <c r="I5111" s="126"/>
      <c r="J5111" s="76"/>
      <c r="K5111" s="76"/>
      <c r="L5111" s="76"/>
      <c r="M5111" s="76"/>
      <c r="N5111" s="114"/>
    </row>
    <row r="5112">
      <c r="C5112" s="41"/>
      <c r="D5112" s="142"/>
      <c r="E5112" s="130"/>
      <c r="F5112" s="128"/>
      <c r="G5112" s="128"/>
      <c r="H5112" s="128"/>
      <c r="I5112" s="128"/>
      <c r="J5112" s="81"/>
      <c r="K5112" s="81"/>
      <c r="L5112" s="81"/>
      <c r="M5112" s="81"/>
      <c r="N5112" s="82"/>
    </row>
    <row r="5113">
      <c r="C5113" s="41"/>
      <c r="D5113" s="141"/>
      <c r="E5113" s="118"/>
      <c r="F5113" s="126"/>
      <c r="G5113" s="126"/>
      <c r="H5113" s="126"/>
      <c r="I5113" s="126"/>
      <c r="J5113" s="76"/>
      <c r="K5113" s="76"/>
      <c r="L5113" s="76"/>
      <c r="M5113" s="76"/>
      <c r="N5113" s="114"/>
    </row>
    <row r="5114">
      <c r="C5114" s="41"/>
      <c r="D5114" s="142"/>
      <c r="E5114" s="130"/>
      <c r="F5114" s="128"/>
      <c r="G5114" s="128"/>
      <c r="H5114" s="128"/>
      <c r="I5114" s="128"/>
      <c r="J5114" s="81"/>
      <c r="K5114" s="81"/>
      <c r="L5114" s="81"/>
      <c r="M5114" s="81"/>
      <c r="N5114" s="82"/>
    </row>
    <row r="5115">
      <c r="C5115" s="41"/>
      <c r="D5115" s="141"/>
      <c r="E5115" s="118"/>
      <c r="F5115" s="126"/>
      <c r="G5115" s="126"/>
      <c r="H5115" s="126"/>
      <c r="I5115" s="126"/>
      <c r="J5115" s="76"/>
      <c r="K5115" s="76"/>
      <c r="L5115" s="76"/>
      <c r="M5115" s="76"/>
      <c r="N5115" s="114"/>
    </row>
    <row r="5116">
      <c r="C5116" s="41"/>
      <c r="D5116" s="142"/>
      <c r="E5116" s="130"/>
      <c r="F5116" s="128"/>
      <c r="G5116" s="128"/>
      <c r="H5116" s="128"/>
      <c r="I5116" s="128"/>
      <c r="J5116" s="81"/>
      <c r="K5116" s="81"/>
      <c r="L5116" s="81"/>
      <c r="M5116" s="81"/>
      <c r="N5116" s="82"/>
    </row>
    <row r="5117">
      <c r="C5117" s="41"/>
      <c r="D5117" s="141"/>
      <c r="E5117" s="118"/>
      <c r="F5117" s="126"/>
      <c r="G5117" s="126"/>
      <c r="H5117" s="126"/>
      <c r="I5117" s="126"/>
      <c r="J5117" s="76"/>
      <c r="K5117" s="76"/>
      <c r="L5117" s="76"/>
      <c r="M5117" s="76"/>
      <c r="N5117" s="114"/>
    </row>
    <row r="5118">
      <c r="C5118" s="41"/>
      <c r="D5118" s="142"/>
      <c r="E5118" s="130"/>
      <c r="F5118" s="128"/>
      <c r="G5118" s="128"/>
      <c r="H5118" s="128"/>
      <c r="I5118" s="128"/>
      <c r="J5118" s="81"/>
      <c r="K5118" s="81"/>
      <c r="L5118" s="81"/>
      <c r="M5118" s="81"/>
      <c r="N5118" s="82"/>
    </row>
    <row r="5119">
      <c r="C5119" s="41"/>
      <c r="D5119" s="141"/>
      <c r="E5119" s="118"/>
      <c r="F5119" s="126"/>
      <c r="G5119" s="126"/>
      <c r="H5119" s="126"/>
      <c r="I5119" s="126"/>
      <c r="J5119" s="76"/>
      <c r="K5119" s="76"/>
      <c r="L5119" s="76"/>
      <c r="M5119" s="76"/>
      <c r="N5119" s="114"/>
    </row>
    <row r="5120">
      <c r="C5120" s="41"/>
      <c r="D5120" s="142"/>
      <c r="E5120" s="130"/>
      <c r="F5120" s="128"/>
      <c r="G5120" s="128"/>
      <c r="H5120" s="128"/>
      <c r="I5120" s="128"/>
      <c r="J5120" s="81"/>
      <c r="K5120" s="81"/>
      <c r="L5120" s="81"/>
      <c r="M5120" s="81"/>
      <c r="N5120" s="82"/>
    </row>
    <row r="5121">
      <c r="C5121" s="41"/>
      <c r="D5121" s="141"/>
      <c r="E5121" s="118"/>
      <c r="F5121" s="126"/>
      <c r="G5121" s="126"/>
      <c r="H5121" s="126"/>
      <c r="I5121" s="126"/>
      <c r="J5121" s="76"/>
      <c r="K5121" s="76"/>
      <c r="L5121" s="76"/>
      <c r="M5121" s="76"/>
      <c r="N5121" s="114"/>
    </row>
    <row r="5122">
      <c r="C5122" s="41"/>
      <c r="D5122" s="142"/>
      <c r="E5122" s="130"/>
      <c r="F5122" s="128"/>
      <c r="G5122" s="128"/>
      <c r="H5122" s="128"/>
      <c r="I5122" s="128"/>
      <c r="J5122" s="81"/>
      <c r="K5122" s="81"/>
      <c r="L5122" s="81"/>
      <c r="M5122" s="81"/>
      <c r="N5122" s="82"/>
    </row>
    <row r="5123">
      <c r="C5123" s="41"/>
      <c r="D5123" s="141"/>
      <c r="E5123" s="118"/>
      <c r="F5123" s="126"/>
      <c r="G5123" s="126"/>
      <c r="H5123" s="126"/>
      <c r="I5123" s="126"/>
      <c r="J5123" s="76"/>
      <c r="K5123" s="76"/>
      <c r="L5123" s="76"/>
      <c r="M5123" s="76"/>
      <c r="N5123" s="114"/>
    </row>
    <row r="5124">
      <c r="C5124" s="41"/>
      <c r="D5124" s="142"/>
      <c r="E5124" s="130"/>
      <c r="F5124" s="128"/>
      <c r="G5124" s="128"/>
      <c r="H5124" s="128"/>
      <c r="I5124" s="128"/>
      <c r="J5124" s="81"/>
      <c r="K5124" s="81"/>
      <c r="L5124" s="81"/>
      <c r="M5124" s="81"/>
      <c r="N5124" s="82"/>
    </row>
    <row r="5125">
      <c r="C5125" s="41"/>
      <c r="D5125" s="141"/>
      <c r="E5125" s="118"/>
      <c r="F5125" s="126"/>
      <c r="G5125" s="126"/>
      <c r="H5125" s="126"/>
      <c r="I5125" s="126"/>
      <c r="J5125" s="76"/>
      <c r="K5125" s="76"/>
      <c r="L5125" s="76"/>
      <c r="M5125" s="76"/>
      <c r="N5125" s="114"/>
    </row>
    <row r="5126">
      <c r="C5126" s="41"/>
      <c r="D5126" s="142"/>
      <c r="E5126" s="130"/>
      <c r="F5126" s="128"/>
      <c r="G5126" s="128"/>
      <c r="H5126" s="128"/>
      <c r="I5126" s="128"/>
      <c r="J5126" s="81"/>
      <c r="K5126" s="81"/>
      <c r="L5126" s="81"/>
      <c r="M5126" s="81"/>
      <c r="N5126" s="82"/>
    </row>
    <row r="5127">
      <c r="C5127" s="41"/>
      <c r="D5127" s="141"/>
      <c r="E5127" s="118"/>
      <c r="F5127" s="126"/>
      <c r="G5127" s="126"/>
      <c r="H5127" s="126"/>
      <c r="I5127" s="126"/>
      <c r="J5127" s="76"/>
      <c r="K5127" s="76"/>
      <c r="L5127" s="76"/>
      <c r="M5127" s="76"/>
      <c r="N5127" s="114"/>
    </row>
    <row r="5128">
      <c r="C5128" s="41"/>
      <c r="D5128" s="142"/>
      <c r="E5128" s="130"/>
      <c r="F5128" s="128"/>
      <c r="G5128" s="128"/>
      <c r="H5128" s="128"/>
      <c r="I5128" s="128"/>
      <c r="J5128" s="81"/>
      <c r="K5128" s="81"/>
      <c r="L5128" s="81"/>
      <c r="M5128" s="81"/>
      <c r="N5128" s="82"/>
    </row>
    <row r="5129">
      <c r="C5129" s="41"/>
      <c r="D5129" s="141"/>
      <c r="E5129" s="118"/>
      <c r="F5129" s="126"/>
      <c r="G5129" s="126"/>
      <c r="H5129" s="126"/>
      <c r="I5129" s="126"/>
      <c r="J5129" s="76"/>
      <c r="K5129" s="76"/>
      <c r="L5129" s="76"/>
      <c r="M5129" s="76"/>
      <c r="N5129" s="114"/>
    </row>
    <row r="5130">
      <c r="C5130" s="41"/>
      <c r="D5130" s="142"/>
      <c r="E5130" s="130"/>
      <c r="F5130" s="128"/>
      <c r="G5130" s="128"/>
      <c r="H5130" s="128"/>
      <c r="I5130" s="128"/>
      <c r="J5130" s="81"/>
      <c r="K5130" s="81"/>
      <c r="L5130" s="81"/>
      <c r="M5130" s="81"/>
      <c r="N5130" s="82"/>
    </row>
    <row r="5131">
      <c r="C5131" s="41"/>
      <c r="D5131" s="141"/>
      <c r="E5131" s="118"/>
      <c r="F5131" s="126"/>
      <c r="G5131" s="126"/>
      <c r="H5131" s="126"/>
      <c r="I5131" s="126"/>
      <c r="J5131" s="76"/>
      <c r="K5131" s="76"/>
      <c r="L5131" s="76"/>
      <c r="M5131" s="76"/>
      <c r="N5131" s="114"/>
    </row>
    <row r="5132">
      <c r="C5132" s="41"/>
      <c r="D5132" s="142"/>
      <c r="E5132" s="130"/>
      <c r="F5132" s="128"/>
      <c r="G5132" s="128"/>
      <c r="H5132" s="128"/>
      <c r="I5132" s="128"/>
      <c r="J5132" s="81"/>
      <c r="K5132" s="81"/>
      <c r="L5132" s="81"/>
      <c r="M5132" s="81"/>
      <c r="N5132" s="82"/>
    </row>
    <row r="5133">
      <c r="C5133" s="41"/>
      <c r="D5133" s="141"/>
      <c r="E5133" s="118"/>
      <c r="F5133" s="126"/>
      <c r="G5133" s="126"/>
      <c r="H5133" s="126"/>
      <c r="I5133" s="126"/>
      <c r="J5133" s="76"/>
      <c r="K5133" s="76"/>
      <c r="L5133" s="76"/>
      <c r="M5133" s="76"/>
      <c r="N5133" s="114"/>
    </row>
    <row r="5134">
      <c r="C5134" s="41"/>
      <c r="D5134" s="142"/>
      <c r="E5134" s="130"/>
      <c r="F5134" s="128"/>
      <c r="G5134" s="128"/>
      <c r="H5134" s="128"/>
      <c r="I5134" s="128"/>
      <c r="J5134" s="81"/>
      <c r="K5134" s="81"/>
      <c r="L5134" s="81"/>
      <c r="M5134" s="81"/>
      <c r="N5134" s="82"/>
    </row>
    <row r="5135">
      <c r="C5135" s="41"/>
      <c r="D5135" s="141"/>
      <c r="E5135" s="118"/>
      <c r="F5135" s="126"/>
      <c r="G5135" s="126"/>
      <c r="H5135" s="126"/>
      <c r="I5135" s="126"/>
      <c r="J5135" s="76"/>
      <c r="K5135" s="76"/>
      <c r="L5135" s="76"/>
      <c r="M5135" s="76"/>
      <c r="N5135" s="114"/>
    </row>
    <row r="5136">
      <c r="C5136" s="41"/>
      <c r="D5136" s="142"/>
      <c r="E5136" s="130"/>
      <c r="F5136" s="128"/>
      <c r="G5136" s="128"/>
      <c r="H5136" s="128"/>
      <c r="I5136" s="128"/>
      <c r="J5136" s="81"/>
      <c r="K5136" s="81"/>
      <c r="L5136" s="81"/>
      <c r="M5136" s="81"/>
      <c r="N5136" s="82"/>
    </row>
    <row r="5137">
      <c r="C5137" s="41"/>
      <c r="D5137" s="141"/>
      <c r="E5137" s="118"/>
      <c r="F5137" s="126"/>
      <c r="G5137" s="126"/>
      <c r="H5137" s="126"/>
      <c r="I5137" s="126"/>
      <c r="J5137" s="76"/>
      <c r="K5137" s="76"/>
      <c r="L5137" s="76"/>
      <c r="M5137" s="76"/>
      <c r="N5137" s="114"/>
    </row>
    <row r="5138">
      <c r="C5138" s="41"/>
      <c r="D5138" s="142"/>
      <c r="E5138" s="130"/>
      <c r="F5138" s="128"/>
      <c r="G5138" s="128"/>
      <c r="H5138" s="128"/>
      <c r="I5138" s="128"/>
      <c r="J5138" s="81"/>
      <c r="K5138" s="81"/>
      <c r="L5138" s="81"/>
      <c r="M5138" s="81"/>
      <c r="N5138" s="82"/>
    </row>
    <row r="5139">
      <c r="C5139" s="41"/>
      <c r="D5139" s="141"/>
      <c r="E5139" s="118"/>
      <c r="F5139" s="126"/>
      <c r="G5139" s="126"/>
      <c r="H5139" s="126"/>
      <c r="I5139" s="126"/>
      <c r="J5139" s="76"/>
      <c r="K5139" s="76"/>
      <c r="L5139" s="76"/>
      <c r="M5139" s="76"/>
      <c r="N5139" s="114"/>
    </row>
    <row r="5140">
      <c r="C5140" s="41"/>
      <c r="D5140" s="142"/>
      <c r="E5140" s="130"/>
      <c r="F5140" s="128"/>
      <c r="G5140" s="128"/>
      <c r="H5140" s="128"/>
      <c r="I5140" s="128"/>
      <c r="J5140" s="81"/>
      <c r="K5140" s="81"/>
      <c r="L5140" s="81"/>
      <c r="M5140" s="81"/>
      <c r="N5140" s="82"/>
    </row>
    <row r="5141">
      <c r="C5141" s="41"/>
      <c r="D5141" s="141"/>
      <c r="E5141" s="118"/>
      <c r="F5141" s="126"/>
      <c r="G5141" s="126"/>
      <c r="H5141" s="126"/>
      <c r="I5141" s="126"/>
      <c r="J5141" s="76"/>
      <c r="K5141" s="76"/>
      <c r="L5141" s="76"/>
      <c r="M5141" s="76"/>
      <c r="N5141" s="114"/>
    </row>
    <row r="5142">
      <c r="C5142" s="41"/>
      <c r="D5142" s="142"/>
      <c r="E5142" s="130"/>
      <c r="F5142" s="128"/>
      <c r="G5142" s="128"/>
      <c r="H5142" s="128"/>
      <c r="I5142" s="128"/>
      <c r="J5142" s="81"/>
      <c r="K5142" s="81"/>
      <c r="L5142" s="81"/>
      <c r="M5142" s="81"/>
      <c r="N5142" s="82"/>
    </row>
    <row r="5143">
      <c r="C5143" s="41"/>
      <c r="D5143" s="141"/>
      <c r="E5143" s="118"/>
      <c r="F5143" s="126"/>
      <c r="G5143" s="126"/>
      <c r="H5143" s="126"/>
      <c r="I5143" s="126"/>
      <c r="J5143" s="76"/>
      <c r="K5143" s="76"/>
      <c r="L5143" s="76"/>
      <c r="M5143" s="76"/>
      <c r="N5143" s="114"/>
    </row>
    <row r="5144">
      <c r="C5144" s="41"/>
      <c r="D5144" s="142"/>
      <c r="E5144" s="130"/>
      <c r="F5144" s="128"/>
      <c r="G5144" s="128"/>
      <c r="H5144" s="128"/>
      <c r="I5144" s="128"/>
      <c r="J5144" s="81"/>
      <c r="K5144" s="81"/>
      <c r="L5144" s="81"/>
      <c r="M5144" s="81"/>
      <c r="N5144" s="82"/>
    </row>
    <row r="5145">
      <c r="C5145" s="41"/>
      <c r="D5145" s="141"/>
      <c r="E5145" s="118"/>
      <c r="F5145" s="126"/>
      <c r="G5145" s="126"/>
      <c r="H5145" s="126"/>
      <c r="I5145" s="126"/>
      <c r="J5145" s="76"/>
      <c r="K5145" s="76"/>
      <c r="L5145" s="76"/>
      <c r="M5145" s="76"/>
      <c r="N5145" s="114"/>
    </row>
    <row r="5146">
      <c r="C5146" s="41"/>
      <c r="D5146" s="142"/>
      <c r="E5146" s="130"/>
      <c r="F5146" s="128"/>
      <c r="G5146" s="128"/>
      <c r="H5146" s="128"/>
      <c r="I5146" s="128"/>
      <c r="J5146" s="81"/>
      <c r="K5146" s="81"/>
      <c r="L5146" s="81"/>
      <c r="M5146" s="81"/>
      <c r="N5146" s="82"/>
    </row>
    <row r="5147">
      <c r="C5147" s="41"/>
      <c r="D5147" s="141"/>
      <c r="E5147" s="118"/>
      <c r="F5147" s="126"/>
      <c r="G5147" s="126"/>
      <c r="H5147" s="126"/>
      <c r="I5147" s="126"/>
      <c r="J5147" s="76"/>
      <c r="K5147" s="76"/>
      <c r="L5147" s="76"/>
      <c r="M5147" s="76"/>
      <c r="N5147" s="114"/>
    </row>
    <row r="5148">
      <c r="C5148" s="41"/>
      <c r="D5148" s="142"/>
      <c r="E5148" s="130"/>
      <c r="F5148" s="128"/>
      <c r="G5148" s="128"/>
      <c r="H5148" s="128"/>
      <c r="I5148" s="128"/>
      <c r="J5148" s="81"/>
      <c r="K5148" s="81"/>
      <c r="L5148" s="81"/>
      <c r="M5148" s="81"/>
      <c r="N5148" s="82"/>
    </row>
    <row r="5149">
      <c r="C5149" s="41"/>
      <c r="D5149" s="141"/>
      <c r="E5149" s="118"/>
      <c r="F5149" s="126"/>
      <c r="G5149" s="126"/>
      <c r="H5149" s="126"/>
      <c r="I5149" s="126"/>
      <c r="J5149" s="76"/>
      <c r="K5149" s="76"/>
      <c r="L5149" s="76"/>
      <c r="M5149" s="76"/>
      <c r="N5149" s="114"/>
    </row>
    <row r="5150">
      <c r="C5150" s="41"/>
      <c r="D5150" s="142"/>
      <c r="E5150" s="130"/>
      <c r="F5150" s="128"/>
      <c r="G5150" s="128"/>
      <c r="H5150" s="128"/>
      <c r="I5150" s="128"/>
      <c r="J5150" s="81"/>
      <c r="K5150" s="81"/>
      <c r="L5150" s="81"/>
      <c r="M5150" s="81"/>
      <c r="N5150" s="82"/>
    </row>
    <row r="5151">
      <c r="C5151" s="41"/>
      <c r="D5151" s="141"/>
      <c r="E5151" s="118"/>
      <c r="F5151" s="126"/>
      <c r="G5151" s="126"/>
      <c r="H5151" s="126"/>
      <c r="I5151" s="126"/>
      <c r="J5151" s="76"/>
      <c r="K5151" s="76"/>
      <c r="L5151" s="76"/>
      <c r="M5151" s="76"/>
      <c r="N5151" s="114"/>
    </row>
    <row r="5152">
      <c r="C5152" s="41"/>
      <c r="D5152" s="142"/>
      <c r="E5152" s="130"/>
      <c r="F5152" s="128"/>
      <c r="G5152" s="128"/>
      <c r="H5152" s="128"/>
      <c r="I5152" s="128"/>
      <c r="J5152" s="81"/>
      <c r="K5152" s="81"/>
      <c r="L5152" s="81"/>
      <c r="M5152" s="81"/>
      <c r="N5152" s="82"/>
    </row>
    <row r="5153">
      <c r="C5153" s="41"/>
      <c r="D5153" s="141"/>
      <c r="E5153" s="118"/>
      <c r="F5153" s="126"/>
      <c r="G5153" s="126"/>
      <c r="H5153" s="126"/>
      <c r="I5153" s="126"/>
      <c r="J5153" s="76"/>
      <c r="K5153" s="76"/>
      <c r="L5153" s="76"/>
      <c r="M5153" s="76"/>
      <c r="N5153" s="114"/>
    </row>
    <row r="5154">
      <c r="C5154" s="41"/>
      <c r="D5154" s="142"/>
      <c r="E5154" s="130"/>
      <c r="F5154" s="128"/>
      <c r="G5154" s="128"/>
      <c r="H5154" s="128"/>
      <c r="I5154" s="128"/>
      <c r="J5154" s="81"/>
      <c r="K5154" s="81"/>
      <c r="L5154" s="81"/>
      <c r="M5154" s="81"/>
      <c r="N5154" s="82"/>
    </row>
    <row r="5155">
      <c r="C5155" s="41"/>
      <c r="D5155" s="141"/>
      <c r="E5155" s="118"/>
      <c r="F5155" s="126"/>
      <c r="G5155" s="126"/>
      <c r="H5155" s="126"/>
      <c r="I5155" s="126"/>
      <c r="J5155" s="76"/>
      <c r="K5155" s="76"/>
      <c r="L5155" s="76"/>
      <c r="M5155" s="76"/>
      <c r="N5155" s="114"/>
    </row>
    <row r="5156">
      <c r="C5156" s="41"/>
      <c r="D5156" s="142"/>
      <c r="E5156" s="130"/>
      <c r="F5156" s="128"/>
      <c r="G5156" s="128"/>
      <c r="H5156" s="128"/>
      <c r="I5156" s="128"/>
      <c r="J5156" s="81"/>
      <c r="K5156" s="81"/>
      <c r="L5156" s="81"/>
      <c r="M5156" s="81"/>
      <c r="N5156" s="82"/>
    </row>
    <row r="5157">
      <c r="C5157" s="41"/>
      <c r="D5157" s="141"/>
      <c r="E5157" s="118"/>
      <c r="F5157" s="126"/>
      <c r="G5157" s="126"/>
      <c r="H5157" s="126"/>
      <c r="I5157" s="126"/>
      <c r="J5157" s="76"/>
      <c r="K5157" s="76"/>
      <c r="L5157" s="76"/>
      <c r="M5157" s="76"/>
      <c r="N5157" s="114"/>
    </row>
    <row r="5158">
      <c r="C5158" s="41"/>
      <c r="D5158" s="142"/>
      <c r="E5158" s="130"/>
      <c r="F5158" s="128"/>
      <c r="G5158" s="128"/>
      <c r="H5158" s="128"/>
      <c r="I5158" s="128"/>
      <c r="J5158" s="81"/>
      <c r="K5158" s="81"/>
      <c r="L5158" s="81"/>
      <c r="M5158" s="81"/>
      <c r="N5158" s="82"/>
    </row>
    <row r="5159">
      <c r="C5159" s="41"/>
      <c r="D5159" s="141"/>
      <c r="E5159" s="118"/>
      <c r="F5159" s="126"/>
      <c r="G5159" s="126"/>
      <c r="H5159" s="126"/>
      <c r="I5159" s="126"/>
      <c r="J5159" s="76"/>
      <c r="K5159" s="76"/>
      <c r="L5159" s="76"/>
      <c r="M5159" s="76"/>
      <c r="N5159" s="114"/>
    </row>
    <row r="5160">
      <c r="C5160" s="41"/>
      <c r="D5160" s="142"/>
      <c r="E5160" s="130"/>
      <c r="F5160" s="128"/>
      <c r="G5160" s="128"/>
      <c r="H5160" s="128"/>
      <c r="I5160" s="128"/>
      <c r="J5160" s="81"/>
      <c r="K5160" s="81"/>
      <c r="L5160" s="81"/>
      <c r="M5160" s="81"/>
      <c r="N5160" s="82"/>
    </row>
    <row r="5161">
      <c r="C5161" s="41"/>
      <c r="D5161" s="141"/>
      <c r="E5161" s="118"/>
      <c r="F5161" s="126"/>
      <c r="G5161" s="126"/>
      <c r="H5161" s="126"/>
      <c r="I5161" s="126"/>
      <c r="J5161" s="76"/>
      <c r="K5161" s="76"/>
      <c r="L5161" s="76"/>
      <c r="M5161" s="76"/>
      <c r="N5161" s="114"/>
    </row>
    <row r="5162">
      <c r="C5162" s="41"/>
      <c r="D5162" s="142"/>
      <c r="E5162" s="130"/>
      <c r="F5162" s="128"/>
      <c r="G5162" s="128"/>
      <c r="H5162" s="128"/>
      <c r="I5162" s="128"/>
      <c r="J5162" s="81"/>
      <c r="K5162" s="81"/>
      <c r="L5162" s="81"/>
      <c r="M5162" s="81"/>
      <c r="N5162" s="82"/>
    </row>
    <row r="5163">
      <c r="C5163" s="41"/>
      <c r="D5163" s="141"/>
      <c r="E5163" s="118"/>
      <c r="F5163" s="126"/>
      <c r="G5163" s="126"/>
      <c r="H5163" s="126"/>
      <c r="I5163" s="126"/>
      <c r="J5163" s="76"/>
      <c r="K5163" s="76"/>
      <c r="L5163" s="76"/>
      <c r="M5163" s="76"/>
      <c r="N5163" s="114"/>
    </row>
    <row r="5164">
      <c r="C5164" s="41"/>
      <c r="D5164" s="142"/>
      <c r="E5164" s="130"/>
      <c r="F5164" s="128"/>
      <c r="G5164" s="128"/>
      <c r="H5164" s="128"/>
      <c r="I5164" s="128"/>
      <c r="J5164" s="81"/>
      <c r="K5164" s="81"/>
      <c r="L5164" s="81"/>
      <c r="M5164" s="81"/>
      <c r="N5164" s="82"/>
    </row>
    <row r="5165">
      <c r="C5165" s="41"/>
      <c r="D5165" s="141"/>
      <c r="E5165" s="118"/>
      <c r="F5165" s="126"/>
      <c r="G5165" s="126"/>
      <c r="H5165" s="126"/>
      <c r="I5165" s="126"/>
      <c r="J5165" s="76"/>
      <c r="K5165" s="76"/>
      <c r="L5165" s="76"/>
      <c r="M5165" s="76"/>
      <c r="N5165" s="114"/>
    </row>
    <row r="5166">
      <c r="C5166" s="41"/>
      <c r="D5166" s="142"/>
      <c r="E5166" s="130"/>
      <c r="F5166" s="128"/>
      <c r="G5166" s="128"/>
      <c r="H5166" s="128"/>
      <c r="I5166" s="128"/>
      <c r="J5166" s="81"/>
      <c r="K5166" s="81"/>
      <c r="L5166" s="81"/>
      <c r="M5166" s="81"/>
      <c r="N5166" s="82"/>
    </row>
    <row r="5167">
      <c r="C5167" s="41"/>
      <c r="D5167" s="141"/>
      <c r="E5167" s="118"/>
      <c r="F5167" s="126"/>
      <c r="G5167" s="126"/>
      <c r="H5167" s="126"/>
      <c r="I5167" s="126"/>
      <c r="J5167" s="76"/>
      <c r="K5167" s="76"/>
      <c r="L5167" s="76"/>
      <c r="M5167" s="76"/>
      <c r="N5167" s="114"/>
    </row>
    <row r="5168">
      <c r="C5168" s="41"/>
      <c r="D5168" s="142"/>
      <c r="E5168" s="130"/>
      <c r="F5168" s="128"/>
      <c r="G5168" s="128"/>
      <c r="H5168" s="128"/>
      <c r="I5168" s="128"/>
      <c r="J5168" s="81"/>
      <c r="K5168" s="81"/>
      <c r="L5168" s="81"/>
      <c r="M5168" s="81"/>
      <c r="N5168" s="82"/>
    </row>
    <row r="5169">
      <c r="C5169" s="41"/>
      <c r="D5169" s="141"/>
      <c r="E5169" s="118"/>
      <c r="F5169" s="126"/>
      <c r="G5169" s="126"/>
      <c r="H5169" s="126"/>
      <c r="I5169" s="126"/>
      <c r="J5169" s="76"/>
      <c r="K5169" s="76"/>
      <c r="L5169" s="76"/>
      <c r="M5169" s="76"/>
      <c r="N5169" s="114"/>
    </row>
    <row r="5170">
      <c r="C5170" s="41"/>
      <c r="D5170" s="142"/>
      <c r="E5170" s="130"/>
      <c r="F5170" s="128"/>
      <c r="G5170" s="128"/>
      <c r="H5170" s="128"/>
      <c r="I5170" s="128"/>
      <c r="J5170" s="81"/>
      <c r="K5170" s="81"/>
      <c r="L5170" s="81"/>
      <c r="M5170" s="81"/>
      <c r="N5170" s="82"/>
    </row>
    <row r="5171">
      <c r="C5171" s="41"/>
      <c r="D5171" s="141"/>
      <c r="E5171" s="118"/>
      <c r="F5171" s="126"/>
      <c r="G5171" s="126"/>
      <c r="H5171" s="126"/>
      <c r="I5171" s="126"/>
      <c r="J5171" s="76"/>
      <c r="K5171" s="76"/>
      <c r="L5171" s="76"/>
      <c r="M5171" s="76"/>
      <c r="N5171" s="114"/>
    </row>
    <row r="5172">
      <c r="C5172" s="41"/>
      <c r="D5172" s="142"/>
      <c r="E5172" s="130"/>
      <c r="F5172" s="128"/>
      <c r="G5172" s="128"/>
      <c r="H5172" s="128"/>
      <c r="I5172" s="128"/>
      <c r="J5172" s="81"/>
      <c r="K5172" s="81"/>
      <c r="L5172" s="81"/>
      <c r="M5172" s="81"/>
      <c r="N5172" s="82"/>
    </row>
    <row r="5173">
      <c r="C5173" s="41"/>
      <c r="D5173" s="141"/>
      <c r="E5173" s="118"/>
      <c r="F5173" s="126"/>
      <c r="G5173" s="126"/>
      <c r="H5173" s="126"/>
      <c r="I5173" s="126"/>
      <c r="J5173" s="76"/>
      <c r="K5173" s="76"/>
      <c r="L5173" s="76"/>
      <c r="M5173" s="76"/>
      <c r="N5173" s="114"/>
    </row>
    <row r="5174">
      <c r="C5174" s="41"/>
      <c r="D5174" s="142"/>
      <c r="E5174" s="130"/>
      <c r="F5174" s="128"/>
      <c r="G5174" s="128"/>
      <c r="H5174" s="128"/>
      <c r="I5174" s="128"/>
      <c r="J5174" s="81"/>
      <c r="K5174" s="81"/>
      <c r="L5174" s="81"/>
      <c r="M5174" s="81"/>
      <c r="N5174" s="82"/>
    </row>
    <row r="5175">
      <c r="C5175" s="41"/>
      <c r="D5175" s="141"/>
      <c r="E5175" s="118"/>
      <c r="F5175" s="126"/>
      <c r="G5175" s="126"/>
      <c r="H5175" s="126"/>
      <c r="I5175" s="126"/>
      <c r="J5175" s="76"/>
      <c r="K5175" s="76"/>
      <c r="L5175" s="76"/>
      <c r="M5175" s="76"/>
      <c r="N5175" s="114"/>
    </row>
    <row r="5176">
      <c r="C5176" s="41"/>
      <c r="D5176" s="142"/>
      <c r="E5176" s="130"/>
      <c r="F5176" s="128"/>
      <c r="G5176" s="128"/>
      <c r="H5176" s="128"/>
      <c r="I5176" s="128"/>
      <c r="J5176" s="81"/>
      <c r="K5176" s="81"/>
      <c r="L5176" s="81"/>
      <c r="M5176" s="81"/>
      <c r="N5176" s="82"/>
    </row>
    <row r="5177">
      <c r="C5177" s="41"/>
      <c r="D5177" s="141"/>
      <c r="E5177" s="118"/>
      <c r="F5177" s="126"/>
      <c r="G5177" s="126"/>
      <c r="H5177" s="126"/>
      <c r="I5177" s="126"/>
      <c r="J5177" s="76"/>
      <c r="K5177" s="76"/>
      <c r="L5177" s="76"/>
      <c r="M5177" s="76"/>
      <c r="N5177" s="114"/>
    </row>
    <row r="5178">
      <c r="C5178" s="41"/>
      <c r="D5178" s="142"/>
      <c r="E5178" s="130"/>
      <c r="F5178" s="128"/>
      <c r="G5178" s="128"/>
      <c r="H5178" s="128"/>
      <c r="I5178" s="128"/>
      <c r="J5178" s="81"/>
      <c r="K5178" s="81"/>
      <c r="L5178" s="81"/>
      <c r="M5178" s="81"/>
      <c r="N5178" s="82"/>
    </row>
    <row r="5179">
      <c r="C5179" s="41"/>
      <c r="D5179" s="141"/>
      <c r="E5179" s="118"/>
      <c r="F5179" s="126"/>
      <c r="G5179" s="126"/>
      <c r="H5179" s="126"/>
      <c r="I5179" s="126"/>
      <c r="J5179" s="76"/>
      <c r="K5179" s="76"/>
      <c r="L5179" s="76"/>
      <c r="M5179" s="76"/>
      <c r="N5179" s="114"/>
    </row>
    <row r="5180">
      <c r="C5180" s="41"/>
      <c r="D5180" s="142"/>
      <c r="E5180" s="130"/>
      <c r="F5180" s="128"/>
      <c r="G5180" s="128"/>
      <c r="H5180" s="128"/>
      <c r="I5180" s="128"/>
      <c r="J5180" s="81"/>
      <c r="K5180" s="81"/>
      <c r="L5180" s="81"/>
      <c r="M5180" s="81"/>
      <c r="N5180" s="82"/>
    </row>
    <row r="5181">
      <c r="C5181" s="41"/>
      <c r="D5181" s="141"/>
      <c r="E5181" s="118"/>
      <c r="F5181" s="126"/>
      <c r="G5181" s="126"/>
      <c r="H5181" s="126"/>
      <c r="I5181" s="126"/>
      <c r="J5181" s="76"/>
      <c r="K5181" s="76"/>
      <c r="L5181" s="76"/>
      <c r="M5181" s="76"/>
      <c r="N5181" s="114"/>
    </row>
    <row r="5182">
      <c r="C5182" s="41"/>
      <c r="D5182" s="142"/>
      <c r="E5182" s="130"/>
      <c r="F5182" s="128"/>
      <c r="G5182" s="128"/>
      <c r="H5182" s="128"/>
      <c r="I5182" s="128"/>
      <c r="J5182" s="81"/>
      <c r="K5182" s="81"/>
      <c r="L5182" s="81"/>
      <c r="M5182" s="81"/>
      <c r="N5182" s="82"/>
    </row>
    <row r="5183">
      <c r="C5183" s="41"/>
      <c r="D5183" s="141"/>
      <c r="E5183" s="118"/>
      <c r="F5183" s="126"/>
      <c r="G5183" s="126"/>
      <c r="H5183" s="126"/>
      <c r="I5183" s="126"/>
      <c r="J5183" s="76"/>
      <c r="K5183" s="76"/>
      <c r="L5183" s="76"/>
      <c r="M5183" s="76"/>
      <c r="N5183" s="114"/>
    </row>
    <row r="5184">
      <c r="C5184" s="41"/>
      <c r="D5184" s="142"/>
      <c r="E5184" s="130"/>
      <c r="F5184" s="128"/>
      <c r="G5184" s="128"/>
      <c r="H5184" s="128"/>
      <c r="I5184" s="128"/>
      <c r="J5184" s="81"/>
      <c r="K5184" s="81"/>
      <c r="L5184" s="81"/>
      <c r="M5184" s="81"/>
      <c r="N5184" s="82"/>
    </row>
    <row r="5185">
      <c r="C5185" s="41"/>
      <c r="D5185" s="141"/>
      <c r="E5185" s="118"/>
      <c r="F5185" s="126"/>
      <c r="G5185" s="126"/>
      <c r="H5185" s="126"/>
      <c r="I5185" s="126"/>
      <c r="J5185" s="76"/>
      <c r="K5185" s="76"/>
      <c r="L5185" s="76"/>
      <c r="M5185" s="76"/>
      <c r="N5185" s="114"/>
    </row>
    <row r="5186">
      <c r="C5186" s="41"/>
      <c r="D5186" s="142"/>
      <c r="E5186" s="130"/>
      <c r="F5186" s="128"/>
      <c r="G5186" s="128"/>
      <c r="H5186" s="128"/>
      <c r="I5186" s="128"/>
      <c r="J5186" s="81"/>
      <c r="K5186" s="81"/>
      <c r="L5186" s="81"/>
      <c r="M5186" s="81"/>
      <c r="N5186" s="82"/>
    </row>
    <row r="5187">
      <c r="C5187" s="41"/>
      <c r="D5187" s="141"/>
      <c r="E5187" s="118"/>
      <c r="F5187" s="126"/>
      <c r="G5187" s="126"/>
      <c r="H5187" s="126"/>
      <c r="I5187" s="126"/>
      <c r="J5187" s="76"/>
      <c r="K5187" s="76"/>
      <c r="L5187" s="76"/>
      <c r="M5187" s="76"/>
      <c r="N5187" s="114"/>
    </row>
    <row r="5188">
      <c r="C5188" s="41"/>
      <c r="D5188" s="142"/>
      <c r="E5188" s="130"/>
      <c r="F5188" s="128"/>
      <c r="G5188" s="128"/>
      <c r="H5188" s="128"/>
      <c r="I5188" s="128"/>
      <c r="J5188" s="81"/>
      <c r="K5188" s="81"/>
      <c r="L5188" s="81"/>
      <c r="M5188" s="81"/>
      <c r="N5188" s="82"/>
    </row>
    <row r="5189">
      <c r="C5189" s="41"/>
      <c r="D5189" s="141"/>
      <c r="E5189" s="118"/>
      <c r="F5189" s="126"/>
      <c r="G5189" s="126"/>
      <c r="H5189" s="126"/>
      <c r="I5189" s="126"/>
      <c r="J5189" s="76"/>
      <c r="K5189" s="76"/>
      <c r="L5189" s="76"/>
      <c r="M5189" s="76"/>
      <c r="N5189" s="114"/>
    </row>
    <row r="5190">
      <c r="C5190" s="41"/>
      <c r="D5190" s="142"/>
      <c r="E5190" s="130"/>
      <c r="F5190" s="128"/>
      <c r="G5190" s="128"/>
      <c r="H5190" s="128"/>
      <c r="I5190" s="128"/>
      <c r="J5190" s="81"/>
      <c r="K5190" s="81"/>
      <c r="L5190" s="81"/>
      <c r="M5190" s="81"/>
      <c r="N5190" s="82"/>
    </row>
    <row r="5191">
      <c r="C5191" s="41"/>
      <c r="D5191" s="141"/>
      <c r="E5191" s="118"/>
      <c r="F5191" s="126"/>
      <c r="G5191" s="126"/>
      <c r="H5191" s="126"/>
      <c r="I5191" s="126"/>
      <c r="J5191" s="76"/>
      <c r="K5191" s="76"/>
      <c r="L5191" s="76"/>
      <c r="M5191" s="76"/>
      <c r="N5191" s="114"/>
    </row>
    <row r="5192">
      <c r="C5192" s="41"/>
      <c r="D5192" s="142"/>
      <c r="E5192" s="130"/>
      <c r="F5192" s="128"/>
      <c r="G5192" s="128"/>
      <c r="H5192" s="128"/>
      <c r="I5192" s="128"/>
      <c r="J5192" s="81"/>
      <c r="K5192" s="81"/>
      <c r="L5192" s="81"/>
      <c r="M5192" s="81"/>
      <c r="N5192" s="82"/>
    </row>
    <row r="5193">
      <c r="C5193" s="41"/>
      <c r="D5193" s="141"/>
      <c r="E5193" s="118"/>
      <c r="F5193" s="126"/>
      <c r="G5193" s="126"/>
      <c r="H5193" s="126"/>
      <c r="I5193" s="126"/>
      <c r="J5193" s="76"/>
      <c r="K5193" s="76"/>
      <c r="L5193" s="76"/>
      <c r="M5193" s="76"/>
      <c r="N5193" s="114"/>
    </row>
    <row r="5194">
      <c r="C5194" s="41"/>
      <c r="D5194" s="142"/>
      <c r="E5194" s="130"/>
      <c r="F5194" s="128"/>
      <c r="G5194" s="128"/>
      <c r="H5194" s="128"/>
      <c r="I5194" s="128"/>
      <c r="J5194" s="81"/>
      <c r="K5194" s="81"/>
      <c r="L5194" s="81"/>
      <c r="M5194" s="81"/>
      <c r="N5194" s="82"/>
    </row>
    <row r="5195">
      <c r="C5195" s="41"/>
      <c r="D5195" s="141"/>
      <c r="E5195" s="118"/>
      <c r="F5195" s="126"/>
      <c r="G5195" s="126"/>
      <c r="H5195" s="126"/>
      <c r="I5195" s="126"/>
      <c r="J5195" s="76"/>
      <c r="K5195" s="76"/>
      <c r="L5195" s="76"/>
      <c r="M5195" s="76"/>
      <c r="N5195" s="114"/>
    </row>
    <row r="5196">
      <c r="C5196" s="41"/>
      <c r="D5196" s="142"/>
      <c r="E5196" s="130"/>
      <c r="F5196" s="128"/>
      <c r="G5196" s="128"/>
      <c r="H5196" s="128"/>
      <c r="I5196" s="128"/>
      <c r="J5196" s="81"/>
      <c r="K5196" s="81"/>
      <c r="L5196" s="81"/>
      <c r="M5196" s="81"/>
      <c r="N5196" s="82"/>
    </row>
    <row r="5197">
      <c r="C5197" s="41"/>
      <c r="D5197" s="141"/>
      <c r="E5197" s="118"/>
      <c r="F5197" s="126"/>
      <c r="G5197" s="126"/>
      <c r="H5197" s="126"/>
      <c r="I5197" s="126"/>
      <c r="J5197" s="76"/>
      <c r="K5197" s="76"/>
      <c r="L5197" s="76"/>
      <c r="M5197" s="76"/>
      <c r="N5197" s="114"/>
    </row>
    <row r="5198">
      <c r="C5198" s="41"/>
      <c r="D5198" s="142"/>
      <c r="E5198" s="130"/>
      <c r="F5198" s="128"/>
      <c r="G5198" s="128"/>
      <c r="H5198" s="128"/>
      <c r="I5198" s="128"/>
      <c r="J5198" s="81"/>
      <c r="K5198" s="81"/>
      <c r="L5198" s="81"/>
      <c r="M5198" s="81"/>
      <c r="N5198" s="82"/>
    </row>
    <row r="5199">
      <c r="C5199" s="41"/>
      <c r="D5199" s="141"/>
      <c r="E5199" s="118"/>
      <c r="F5199" s="126"/>
      <c r="G5199" s="126"/>
      <c r="H5199" s="126"/>
      <c r="I5199" s="126"/>
      <c r="J5199" s="76"/>
      <c r="K5199" s="76"/>
      <c r="L5199" s="76"/>
      <c r="M5199" s="76"/>
      <c r="N5199" s="114"/>
    </row>
    <row r="5200">
      <c r="C5200" s="41"/>
      <c r="D5200" s="142"/>
      <c r="E5200" s="130"/>
      <c r="F5200" s="128"/>
      <c r="G5200" s="128"/>
      <c r="H5200" s="128"/>
      <c r="I5200" s="128"/>
      <c r="J5200" s="81"/>
      <c r="K5200" s="81"/>
      <c r="L5200" s="81"/>
      <c r="M5200" s="81"/>
      <c r="N5200" s="82"/>
    </row>
    <row r="5201">
      <c r="C5201" s="41"/>
      <c r="D5201" s="141"/>
      <c r="E5201" s="118"/>
      <c r="F5201" s="126"/>
      <c r="G5201" s="126"/>
      <c r="H5201" s="126"/>
      <c r="I5201" s="126"/>
      <c r="J5201" s="76"/>
      <c r="K5201" s="76"/>
      <c r="L5201" s="76"/>
      <c r="M5201" s="76"/>
      <c r="N5201" s="114"/>
    </row>
    <row r="5202">
      <c r="C5202" s="41"/>
      <c r="D5202" s="142"/>
      <c r="E5202" s="130"/>
      <c r="F5202" s="128"/>
      <c r="G5202" s="128"/>
      <c r="H5202" s="128"/>
      <c r="I5202" s="128"/>
      <c r="J5202" s="81"/>
      <c r="K5202" s="81"/>
      <c r="L5202" s="81"/>
      <c r="M5202" s="81"/>
      <c r="N5202" s="82"/>
    </row>
    <row r="5203">
      <c r="C5203" s="41"/>
      <c r="D5203" s="141"/>
      <c r="E5203" s="118"/>
      <c r="F5203" s="126"/>
      <c r="G5203" s="126"/>
      <c r="H5203" s="126"/>
      <c r="I5203" s="126"/>
      <c r="J5203" s="76"/>
      <c r="K5203" s="76"/>
      <c r="L5203" s="76"/>
      <c r="M5203" s="76"/>
      <c r="N5203" s="114"/>
    </row>
    <row r="5204">
      <c r="C5204" s="41"/>
      <c r="D5204" s="142"/>
      <c r="E5204" s="130"/>
      <c r="F5204" s="128"/>
      <c r="G5204" s="128"/>
      <c r="H5204" s="128"/>
      <c r="I5204" s="128"/>
      <c r="J5204" s="81"/>
      <c r="K5204" s="81"/>
      <c r="L5204" s="81"/>
      <c r="M5204" s="81"/>
      <c r="N5204" s="82"/>
    </row>
    <row r="5205">
      <c r="C5205" s="41"/>
      <c r="D5205" s="141"/>
      <c r="E5205" s="118"/>
      <c r="F5205" s="126"/>
      <c r="G5205" s="126"/>
      <c r="H5205" s="126"/>
      <c r="I5205" s="126"/>
      <c r="J5205" s="76"/>
      <c r="K5205" s="76"/>
      <c r="L5205" s="76"/>
      <c r="M5205" s="76"/>
      <c r="N5205" s="114"/>
    </row>
    <row r="5206">
      <c r="C5206" s="41"/>
      <c r="D5206" s="142"/>
      <c r="E5206" s="130"/>
      <c r="F5206" s="128"/>
      <c r="G5206" s="128"/>
      <c r="H5206" s="128"/>
      <c r="I5206" s="128"/>
      <c r="J5206" s="81"/>
      <c r="K5206" s="81"/>
      <c r="L5206" s="81"/>
      <c r="M5206" s="81"/>
      <c r="N5206" s="82"/>
    </row>
    <row r="5207">
      <c r="C5207" s="41"/>
      <c r="D5207" s="141"/>
      <c r="E5207" s="118"/>
      <c r="F5207" s="126"/>
      <c r="G5207" s="126"/>
      <c r="H5207" s="126"/>
      <c r="I5207" s="126"/>
      <c r="J5207" s="76"/>
      <c r="K5207" s="76"/>
      <c r="L5207" s="76"/>
      <c r="M5207" s="76"/>
      <c r="N5207" s="114"/>
    </row>
    <row r="5208">
      <c r="C5208" s="41"/>
      <c r="D5208" s="142"/>
      <c r="E5208" s="130"/>
      <c r="F5208" s="128"/>
      <c r="G5208" s="128"/>
      <c r="H5208" s="128"/>
      <c r="I5208" s="128"/>
      <c r="J5208" s="81"/>
      <c r="K5208" s="81"/>
      <c r="L5208" s="81"/>
      <c r="M5208" s="81"/>
      <c r="N5208" s="82"/>
    </row>
    <row r="5209">
      <c r="C5209" s="41"/>
      <c r="D5209" s="141"/>
      <c r="E5209" s="118"/>
      <c r="F5209" s="126"/>
      <c r="G5209" s="126"/>
      <c r="H5209" s="126"/>
      <c r="I5209" s="126"/>
      <c r="J5209" s="76"/>
      <c r="K5209" s="76"/>
      <c r="L5209" s="76"/>
      <c r="M5209" s="76"/>
      <c r="N5209" s="114"/>
    </row>
    <row r="5210">
      <c r="C5210" s="41"/>
      <c r="D5210" s="142"/>
      <c r="E5210" s="130"/>
      <c r="F5210" s="128"/>
      <c r="G5210" s="128"/>
      <c r="H5210" s="128"/>
      <c r="I5210" s="128"/>
      <c r="J5210" s="81"/>
      <c r="K5210" s="81"/>
      <c r="L5210" s="81"/>
      <c r="M5210" s="81"/>
      <c r="N5210" s="82"/>
    </row>
    <row r="5211">
      <c r="C5211" s="41"/>
      <c r="D5211" s="141"/>
      <c r="E5211" s="118"/>
      <c r="F5211" s="126"/>
      <c r="G5211" s="126"/>
      <c r="H5211" s="126"/>
      <c r="I5211" s="126"/>
      <c r="J5211" s="76"/>
      <c r="K5211" s="76"/>
      <c r="L5211" s="76"/>
      <c r="M5211" s="76"/>
      <c r="N5211" s="114"/>
    </row>
    <row r="5212">
      <c r="C5212" s="41"/>
      <c r="D5212" s="142"/>
      <c r="E5212" s="130"/>
      <c r="F5212" s="128"/>
      <c r="G5212" s="128"/>
      <c r="H5212" s="128"/>
      <c r="I5212" s="128"/>
      <c r="J5212" s="81"/>
      <c r="K5212" s="81"/>
      <c r="L5212" s="81"/>
      <c r="M5212" s="81"/>
      <c r="N5212" s="82"/>
    </row>
    <row r="5213">
      <c r="C5213" s="41"/>
      <c r="D5213" s="141"/>
      <c r="E5213" s="118"/>
      <c r="F5213" s="126"/>
      <c r="G5213" s="126"/>
      <c r="H5213" s="126"/>
      <c r="I5213" s="126"/>
      <c r="J5213" s="76"/>
      <c r="K5213" s="76"/>
      <c r="L5213" s="76"/>
      <c r="M5213" s="76"/>
      <c r="N5213" s="114"/>
    </row>
    <row r="5214">
      <c r="C5214" s="41"/>
      <c r="D5214" s="142"/>
      <c r="E5214" s="130"/>
      <c r="F5214" s="128"/>
      <c r="G5214" s="128"/>
      <c r="H5214" s="128"/>
      <c r="I5214" s="128"/>
      <c r="J5214" s="81"/>
      <c r="K5214" s="81"/>
      <c r="L5214" s="81"/>
      <c r="M5214" s="81"/>
      <c r="N5214" s="82"/>
    </row>
    <row r="5215">
      <c r="C5215" s="41"/>
      <c r="D5215" s="141"/>
      <c r="E5215" s="118"/>
      <c r="F5215" s="126"/>
      <c r="G5215" s="126"/>
      <c r="H5215" s="126"/>
      <c r="I5215" s="126"/>
      <c r="J5215" s="76"/>
      <c r="K5215" s="76"/>
      <c r="L5215" s="76"/>
      <c r="M5215" s="76"/>
      <c r="N5215" s="114"/>
    </row>
    <row r="5216">
      <c r="C5216" s="41"/>
      <c r="D5216" s="142"/>
      <c r="E5216" s="130"/>
      <c r="F5216" s="128"/>
      <c r="G5216" s="128"/>
      <c r="H5216" s="128"/>
      <c r="I5216" s="128"/>
      <c r="J5216" s="81"/>
      <c r="K5216" s="81"/>
      <c r="L5216" s="81"/>
      <c r="M5216" s="81"/>
      <c r="N5216" s="82"/>
    </row>
    <row r="5217">
      <c r="C5217" s="41"/>
      <c r="D5217" s="141"/>
      <c r="E5217" s="118"/>
      <c r="F5217" s="126"/>
      <c r="G5217" s="126"/>
      <c r="H5217" s="126"/>
      <c r="I5217" s="126"/>
      <c r="J5217" s="76"/>
      <c r="K5217" s="76"/>
      <c r="L5217" s="76"/>
      <c r="M5217" s="76"/>
      <c r="N5217" s="114"/>
    </row>
    <row r="5218">
      <c r="C5218" s="41"/>
      <c r="D5218" s="142"/>
      <c r="E5218" s="130"/>
      <c r="F5218" s="128"/>
      <c r="G5218" s="128"/>
      <c r="H5218" s="128"/>
      <c r="I5218" s="128"/>
      <c r="J5218" s="81"/>
      <c r="K5218" s="81"/>
      <c r="L5218" s="81"/>
      <c r="M5218" s="81"/>
      <c r="N5218" s="82"/>
    </row>
    <row r="5219">
      <c r="C5219" s="41"/>
      <c r="D5219" s="141"/>
      <c r="E5219" s="118"/>
      <c r="F5219" s="126"/>
      <c r="G5219" s="126"/>
      <c r="H5219" s="126"/>
      <c r="I5219" s="126"/>
      <c r="J5219" s="76"/>
      <c r="K5219" s="76"/>
      <c r="L5219" s="76"/>
      <c r="M5219" s="76"/>
      <c r="N5219" s="114"/>
    </row>
    <row r="5220">
      <c r="C5220" s="41"/>
      <c r="D5220" s="142"/>
      <c r="E5220" s="130"/>
      <c r="F5220" s="128"/>
      <c r="G5220" s="128"/>
      <c r="H5220" s="128"/>
      <c r="I5220" s="128"/>
      <c r="J5220" s="81"/>
      <c r="K5220" s="81"/>
      <c r="L5220" s="81"/>
      <c r="M5220" s="81"/>
      <c r="N5220" s="82"/>
    </row>
    <row r="5221">
      <c r="C5221" s="41"/>
      <c r="D5221" s="141"/>
      <c r="E5221" s="118"/>
      <c r="F5221" s="126"/>
      <c r="G5221" s="126"/>
      <c r="H5221" s="126"/>
      <c r="I5221" s="126"/>
      <c r="J5221" s="76"/>
      <c r="K5221" s="76"/>
      <c r="L5221" s="76"/>
      <c r="M5221" s="76"/>
      <c r="N5221" s="114"/>
    </row>
    <row r="5222">
      <c r="C5222" s="41"/>
      <c r="D5222" s="142"/>
      <c r="E5222" s="130"/>
      <c r="F5222" s="128"/>
      <c r="G5222" s="128"/>
      <c r="H5222" s="128"/>
      <c r="I5222" s="128"/>
      <c r="J5222" s="81"/>
      <c r="K5222" s="81"/>
      <c r="L5222" s="81"/>
      <c r="M5222" s="81"/>
      <c r="N5222" s="82"/>
    </row>
    <row r="5223">
      <c r="C5223" s="41"/>
      <c r="D5223" s="141"/>
      <c r="E5223" s="118"/>
      <c r="F5223" s="126"/>
      <c r="G5223" s="126"/>
      <c r="H5223" s="126"/>
      <c r="I5223" s="126"/>
      <c r="J5223" s="76"/>
      <c r="K5223" s="76"/>
      <c r="L5223" s="76"/>
      <c r="M5223" s="76"/>
      <c r="N5223" s="114"/>
    </row>
    <row r="5224">
      <c r="C5224" s="41"/>
      <c r="D5224" s="142"/>
      <c r="E5224" s="130"/>
      <c r="F5224" s="128"/>
      <c r="G5224" s="128"/>
      <c r="H5224" s="128"/>
      <c r="I5224" s="128"/>
      <c r="J5224" s="81"/>
      <c r="K5224" s="81"/>
      <c r="L5224" s="81"/>
      <c r="M5224" s="81"/>
      <c r="N5224" s="82"/>
    </row>
    <row r="5225">
      <c r="C5225" s="41"/>
      <c r="D5225" s="141"/>
      <c r="E5225" s="118"/>
      <c r="F5225" s="126"/>
      <c r="G5225" s="126"/>
      <c r="H5225" s="126"/>
      <c r="I5225" s="126"/>
      <c r="J5225" s="76"/>
      <c r="K5225" s="76"/>
      <c r="L5225" s="76"/>
      <c r="M5225" s="76"/>
      <c r="N5225" s="114"/>
    </row>
    <row r="5226">
      <c r="C5226" s="41"/>
      <c r="D5226" s="142"/>
      <c r="E5226" s="130"/>
      <c r="F5226" s="128"/>
      <c r="G5226" s="128"/>
      <c r="H5226" s="128"/>
      <c r="I5226" s="128"/>
      <c r="J5226" s="81"/>
      <c r="K5226" s="81"/>
      <c r="L5226" s="81"/>
      <c r="M5226" s="81"/>
      <c r="N5226" s="82"/>
    </row>
    <row r="5227">
      <c r="C5227" s="41"/>
      <c r="D5227" s="141"/>
      <c r="E5227" s="118"/>
      <c r="F5227" s="126"/>
      <c r="G5227" s="126"/>
      <c r="H5227" s="126"/>
      <c r="I5227" s="126"/>
      <c r="J5227" s="76"/>
      <c r="K5227" s="76"/>
      <c r="L5227" s="76"/>
      <c r="M5227" s="76"/>
      <c r="N5227" s="114"/>
    </row>
    <row r="5228">
      <c r="C5228" s="41"/>
      <c r="D5228" s="142"/>
      <c r="E5228" s="130"/>
      <c r="F5228" s="128"/>
      <c r="G5228" s="128"/>
      <c r="H5228" s="128"/>
      <c r="I5228" s="128"/>
      <c r="J5228" s="81"/>
      <c r="K5228" s="81"/>
      <c r="L5228" s="81"/>
      <c r="M5228" s="81"/>
      <c r="N5228" s="82"/>
    </row>
    <row r="5229">
      <c r="C5229" s="41"/>
      <c r="D5229" s="141"/>
      <c r="E5229" s="118"/>
      <c r="F5229" s="126"/>
      <c r="G5229" s="126"/>
      <c r="H5229" s="126"/>
      <c r="I5229" s="126"/>
      <c r="J5229" s="76"/>
      <c r="K5229" s="76"/>
      <c r="L5229" s="76"/>
      <c r="M5229" s="76"/>
      <c r="N5229" s="114"/>
    </row>
    <row r="5230">
      <c r="C5230" s="41"/>
      <c r="D5230" s="142"/>
      <c r="E5230" s="130"/>
      <c r="F5230" s="128"/>
      <c r="G5230" s="128"/>
      <c r="H5230" s="128"/>
      <c r="I5230" s="128"/>
      <c r="J5230" s="81"/>
      <c r="K5230" s="81"/>
      <c r="L5230" s="81"/>
      <c r="M5230" s="81"/>
      <c r="N5230" s="82"/>
    </row>
    <row r="5231">
      <c r="C5231" s="41"/>
      <c r="D5231" s="141"/>
      <c r="E5231" s="118"/>
      <c r="F5231" s="126"/>
      <c r="G5231" s="126"/>
      <c r="H5231" s="126"/>
      <c r="I5231" s="126"/>
      <c r="J5231" s="76"/>
      <c r="K5231" s="76"/>
      <c r="L5231" s="76"/>
      <c r="M5231" s="76"/>
      <c r="N5231" s="114"/>
    </row>
    <row r="5232">
      <c r="C5232" s="41"/>
      <c r="D5232" s="142"/>
      <c r="E5232" s="130"/>
      <c r="F5232" s="128"/>
      <c r="G5232" s="128"/>
      <c r="H5232" s="128"/>
      <c r="I5232" s="128"/>
      <c r="J5232" s="81"/>
      <c r="K5232" s="81"/>
      <c r="L5232" s="81"/>
      <c r="M5232" s="81"/>
      <c r="N5232" s="82"/>
    </row>
    <row r="5233">
      <c r="C5233" s="41"/>
      <c r="D5233" s="141"/>
      <c r="E5233" s="118"/>
      <c r="F5233" s="126"/>
      <c r="G5233" s="126"/>
      <c r="H5233" s="126"/>
      <c r="I5233" s="126"/>
      <c r="J5233" s="76"/>
      <c r="K5233" s="76"/>
      <c r="L5233" s="76"/>
      <c r="M5233" s="76"/>
      <c r="N5233" s="114"/>
    </row>
    <row r="5234">
      <c r="C5234" s="41"/>
      <c r="D5234" s="142"/>
      <c r="E5234" s="130"/>
      <c r="F5234" s="128"/>
      <c r="G5234" s="128"/>
      <c r="H5234" s="128"/>
      <c r="I5234" s="128"/>
      <c r="J5234" s="81"/>
      <c r="K5234" s="81"/>
      <c r="L5234" s="81"/>
      <c r="M5234" s="81"/>
      <c r="N5234" s="82"/>
    </row>
    <row r="5235">
      <c r="C5235" s="41"/>
      <c r="D5235" s="141"/>
      <c r="E5235" s="118"/>
      <c r="F5235" s="126"/>
      <c r="G5235" s="126"/>
      <c r="H5235" s="126"/>
      <c r="I5235" s="126"/>
      <c r="J5235" s="76"/>
      <c r="K5235" s="76"/>
      <c r="L5235" s="76"/>
      <c r="M5235" s="76"/>
      <c r="N5235" s="114"/>
    </row>
    <row r="5236">
      <c r="C5236" s="41"/>
      <c r="D5236" s="142"/>
      <c r="E5236" s="130"/>
      <c r="F5236" s="128"/>
      <c r="G5236" s="128"/>
      <c r="H5236" s="128"/>
      <c r="I5236" s="128"/>
      <c r="J5236" s="81"/>
      <c r="K5236" s="81"/>
      <c r="L5236" s="81"/>
      <c r="M5236" s="81"/>
      <c r="N5236" s="82"/>
    </row>
    <row r="5237">
      <c r="C5237" s="41"/>
      <c r="D5237" s="141"/>
      <c r="E5237" s="118"/>
      <c r="F5237" s="126"/>
      <c r="G5237" s="126"/>
      <c r="H5237" s="126"/>
      <c r="I5237" s="126"/>
      <c r="J5237" s="76"/>
      <c r="K5237" s="76"/>
      <c r="L5237" s="76"/>
      <c r="M5237" s="76"/>
      <c r="N5237" s="114"/>
    </row>
    <row r="5238">
      <c r="C5238" s="41"/>
      <c r="D5238" s="142"/>
      <c r="E5238" s="130"/>
      <c r="F5238" s="128"/>
      <c r="G5238" s="128"/>
      <c r="H5238" s="128"/>
      <c r="I5238" s="128"/>
      <c r="J5238" s="81"/>
      <c r="K5238" s="81"/>
      <c r="L5238" s="81"/>
      <c r="M5238" s="81"/>
      <c r="N5238" s="82"/>
    </row>
    <row r="5239">
      <c r="C5239" s="41"/>
      <c r="D5239" s="141"/>
      <c r="E5239" s="118"/>
      <c r="F5239" s="126"/>
      <c r="G5239" s="126"/>
      <c r="H5239" s="126"/>
      <c r="I5239" s="126"/>
      <c r="J5239" s="76"/>
      <c r="K5239" s="76"/>
      <c r="L5239" s="76"/>
      <c r="M5239" s="76"/>
      <c r="N5239" s="114"/>
    </row>
    <row r="5240">
      <c r="C5240" s="41"/>
      <c r="D5240" s="142"/>
      <c r="E5240" s="130"/>
      <c r="F5240" s="128"/>
      <c r="G5240" s="128"/>
      <c r="H5240" s="128"/>
      <c r="I5240" s="128"/>
      <c r="J5240" s="81"/>
      <c r="K5240" s="81"/>
      <c r="L5240" s="81"/>
      <c r="M5240" s="81"/>
      <c r="N5240" s="82"/>
    </row>
    <row r="5241">
      <c r="C5241" s="41"/>
      <c r="D5241" s="141"/>
      <c r="E5241" s="118"/>
      <c r="F5241" s="126"/>
      <c r="G5241" s="126"/>
      <c r="H5241" s="126"/>
      <c r="I5241" s="126"/>
      <c r="J5241" s="76"/>
      <c r="K5241" s="76"/>
      <c r="L5241" s="76"/>
      <c r="M5241" s="76"/>
      <c r="N5241" s="114"/>
    </row>
    <row r="5242">
      <c r="C5242" s="41"/>
      <c r="D5242" s="142"/>
      <c r="E5242" s="130"/>
      <c r="F5242" s="128"/>
      <c r="G5242" s="128"/>
      <c r="H5242" s="128"/>
      <c r="I5242" s="128"/>
      <c r="J5242" s="81"/>
      <c r="K5242" s="81"/>
      <c r="L5242" s="81"/>
      <c r="M5242" s="81"/>
      <c r="N5242" s="82"/>
    </row>
    <row r="5243">
      <c r="C5243" s="41"/>
      <c r="D5243" s="141"/>
      <c r="E5243" s="118"/>
      <c r="F5243" s="126"/>
      <c r="G5243" s="126"/>
      <c r="H5243" s="126"/>
      <c r="I5243" s="126"/>
      <c r="J5243" s="76"/>
      <c r="K5243" s="76"/>
      <c r="L5243" s="76"/>
      <c r="M5243" s="76"/>
      <c r="N5243" s="114"/>
    </row>
    <row r="5244">
      <c r="C5244" s="41"/>
      <c r="D5244" s="142"/>
      <c r="E5244" s="130"/>
      <c r="F5244" s="128"/>
      <c r="G5244" s="128"/>
      <c r="H5244" s="128"/>
      <c r="I5244" s="128"/>
      <c r="J5244" s="81"/>
      <c r="K5244" s="81"/>
      <c r="L5244" s="81"/>
      <c r="M5244" s="81"/>
      <c r="N5244" s="82"/>
    </row>
    <row r="5245">
      <c r="C5245" s="41"/>
      <c r="D5245" s="141"/>
      <c r="E5245" s="118"/>
      <c r="F5245" s="126"/>
      <c r="G5245" s="126"/>
      <c r="H5245" s="126"/>
      <c r="I5245" s="126"/>
      <c r="J5245" s="76"/>
      <c r="K5245" s="76"/>
      <c r="L5245" s="76"/>
      <c r="M5245" s="76"/>
      <c r="N5245" s="114"/>
    </row>
    <row r="5246">
      <c r="C5246" s="41"/>
      <c r="D5246" s="142"/>
      <c r="E5246" s="130"/>
      <c r="F5246" s="128"/>
      <c r="G5246" s="128"/>
      <c r="H5246" s="128"/>
      <c r="I5246" s="128"/>
      <c r="J5246" s="81"/>
      <c r="K5246" s="81"/>
      <c r="L5246" s="81"/>
      <c r="M5246" s="81"/>
      <c r="N5246" s="82"/>
    </row>
    <row r="5247">
      <c r="C5247" s="41"/>
      <c r="D5247" s="141"/>
      <c r="E5247" s="118"/>
      <c r="F5247" s="126"/>
      <c r="G5247" s="126"/>
      <c r="H5247" s="126"/>
      <c r="I5247" s="126"/>
      <c r="J5247" s="76"/>
      <c r="K5247" s="76"/>
      <c r="L5247" s="76"/>
      <c r="M5247" s="76"/>
      <c r="N5247" s="114"/>
    </row>
    <row r="5248">
      <c r="C5248" s="41"/>
      <c r="D5248" s="142"/>
      <c r="E5248" s="130"/>
      <c r="F5248" s="128"/>
      <c r="G5248" s="128"/>
      <c r="H5248" s="128"/>
      <c r="I5248" s="128"/>
      <c r="J5248" s="81"/>
      <c r="K5248" s="81"/>
      <c r="L5248" s="81"/>
      <c r="M5248" s="81"/>
      <c r="N5248" s="82"/>
    </row>
    <row r="5249">
      <c r="C5249" s="41"/>
      <c r="D5249" s="141"/>
      <c r="E5249" s="118"/>
      <c r="F5249" s="126"/>
      <c r="G5249" s="126"/>
      <c r="H5249" s="126"/>
      <c r="I5249" s="126"/>
      <c r="J5249" s="76"/>
      <c r="K5249" s="76"/>
      <c r="L5249" s="76"/>
      <c r="M5249" s="76"/>
      <c r="N5249" s="114"/>
    </row>
    <row r="5250">
      <c r="C5250" s="41"/>
      <c r="D5250" s="142"/>
      <c r="E5250" s="130"/>
      <c r="F5250" s="128"/>
      <c r="G5250" s="128"/>
      <c r="H5250" s="128"/>
      <c r="I5250" s="128"/>
      <c r="J5250" s="81"/>
      <c r="K5250" s="81"/>
      <c r="L5250" s="81"/>
      <c r="M5250" s="81"/>
      <c r="N5250" s="82"/>
    </row>
    <row r="5251">
      <c r="C5251" s="41"/>
      <c r="D5251" s="141"/>
      <c r="E5251" s="118"/>
      <c r="F5251" s="126"/>
      <c r="G5251" s="126"/>
      <c r="H5251" s="126"/>
      <c r="I5251" s="126"/>
      <c r="J5251" s="76"/>
      <c r="K5251" s="76"/>
      <c r="L5251" s="76"/>
      <c r="M5251" s="76"/>
      <c r="N5251" s="114"/>
    </row>
    <row r="5252">
      <c r="C5252" s="41"/>
      <c r="D5252" s="142"/>
      <c r="E5252" s="130"/>
      <c r="F5252" s="128"/>
      <c r="G5252" s="128"/>
      <c r="H5252" s="128"/>
      <c r="I5252" s="128"/>
      <c r="J5252" s="81"/>
      <c r="K5252" s="81"/>
      <c r="L5252" s="81"/>
      <c r="M5252" s="81"/>
      <c r="N5252" s="82"/>
    </row>
    <row r="5253">
      <c r="C5253" s="41"/>
      <c r="D5253" s="141"/>
      <c r="E5253" s="118"/>
      <c r="F5253" s="126"/>
      <c r="G5253" s="126"/>
      <c r="H5253" s="126"/>
      <c r="I5253" s="126"/>
      <c r="J5253" s="76"/>
      <c r="K5253" s="76"/>
      <c r="L5253" s="76"/>
      <c r="M5253" s="76"/>
      <c r="N5253" s="114"/>
    </row>
    <row r="5254">
      <c r="C5254" s="41"/>
      <c r="D5254" s="142"/>
      <c r="E5254" s="130"/>
      <c r="F5254" s="128"/>
      <c r="G5254" s="128"/>
      <c r="H5254" s="128"/>
      <c r="I5254" s="128"/>
      <c r="J5254" s="81"/>
      <c r="K5254" s="81"/>
      <c r="L5254" s="81"/>
      <c r="M5254" s="81"/>
      <c r="N5254" s="82"/>
    </row>
    <row r="5255">
      <c r="C5255" s="41"/>
      <c r="D5255" s="141"/>
      <c r="E5255" s="118"/>
      <c r="F5255" s="126"/>
      <c r="G5255" s="126"/>
      <c r="H5255" s="126"/>
      <c r="I5255" s="126"/>
      <c r="J5255" s="76"/>
      <c r="K5255" s="76"/>
      <c r="L5255" s="76"/>
      <c r="M5255" s="76"/>
      <c r="N5255" s="114"/>
    </row>
    <row r="5256">
      <c r="C5256" s="41"/>
      <c r="D5256" s="142"/>
      <c r="E5256" s="130"/>
      <c r="F5256" s="128"/>
      <c r="G5256" s="128"/>
      <c r="H5256" s="128"/>
      <c r="I5256" s="128"/>
      <c r="J5256" s="81"/>
      <c r="K5256" s="81"/>
      <c r="L5256" s="81"/>
      <c r="M5256" s="81"/>
      <c r="N5256" s="82"/>
    </row>
    <row r="5257">
      <c r="C5257" s="41"/>
      <c r="D5257" s="141"/>
      <c r="E5257" s="118"/>
      <c r="F5257" s="126"/>
      <c r="G5257" s="126"/>
      <c r="H5257" s="126"/>
      <c r="I5257" s="126"/>
      <c r="J5257" s="76"/>
      <c r="K5257" s="76"/>
      <c r="L5257" s="76"/>
      <c r="M5257" s="76"/>
      <c r="N5257" s="114"/>
    </row>
    <row r="5258">
      <c r="C5258" s="41"/>
      <c r="D5258" s="142"/>
      <c r="E5258" s="130"/>
      <c r="F5258" s="128"/>
      <c r="G5258" s="128"/>
      <c r="H5258" s="128"/>
      <c r="I5258" s="128"/>
      <c r="J5258" s="81"/>
      <c r="K5258" s="81"/>
      <c r="L5258" s="81"/>
      <c r="M5258" s="81"/>
      <c r="N5258" s="82"/>
    </row>
    <row r="5259">
      <c r="C5259" s="41"/>
      <c r="D5259" s="141"/>
      <c r="E5259" s="118"/>
      <c r="F5259" s="126"/>
      <c r="G5259" s="126"/>
      <c r="H5259" s="126"/>
      <c r="I5259" s="126"/>
      <c r="J5259" s="76"/>
      <c r="K5259" s="76"/>
      <c r="L5259" s="76"/>
      <c r="M5259" s="76"/>
      <c r="N5259" s="114"/>
    </row>
    <row r="5260">
      <c r="C5260" s="41"/>
      <c r="D5260" s="142"/>
      <c r="E5260" s="130"/>
      <c r="F5260" s="128"/>
      <c r="G5260" s="128"/>
      <c r="H5260" s="128"/>
      <c r="I5260" s="128"/>
      <c r="J5260" s="81"/>
      <c r="K5260" s="81"/>
      <c r="L5260" s="81"/>
      <c r="M5260" s="81"/>
      <c r="N5260" s="82"/>
    </row>
    <row r="5261">
      <c r="C5261" s="41"/>
      <c r="D5261" s="141"/>
      <c r="E5261" s="118"/>
      <c r="F5261" s="126"/>
      <c r="G5261" s="126"/>
      <c r="H5261" s="126"/>
      <c r="I5261" s="126"/>
      <c r="J5261" s="76"/>
      <c r="K5261" s="76"/>
      <c r="L5261" s="76"/>
      <c r="M5261" s="76"/>
      <c r="N5261" s="114"/>
    </row>
    <row r="5262">
      <c r="C5262" s="41"/>
      <c r="D5262" s="142"/>
      <c r="E5262" s="130"/>
      <c r="F5262" s="128"/>
      <c r="G5262" s="128"/>
      <c r="H5262" s="128"/>
      <c r="I5262" s="128"/>
      <c r="J5262" s="81"/>
      <c r="K5262" s="81"/>
      <c r="L5262" s="81"/>
      <c r="M5262" s="81"/>
      <c r="N5262" s="82"/>
    </row>
    <row r="5263">
      <c r="C5263" s="41"/>
      <c r="D5263" s="141"/>
      <c r="E5263" s="118"/>
      <c r="F5263" s="126"/>
      <c r="G5263" s="126"/>
      <c r="H5263" s="126"/>
      <c r="I5263" s="126"/>
      <c r="J5263" s="76"/>
      <c r="K5263" s="76"/>
      <c r="L5263" s="76"/>
      <c r="M5263" s="76"/>
      <c r="N5263" s="114"/>
    </row>
    <row r="5264">
      <c r="C5264" s="41"/>
      <c r="D5264" s="142"/>
      <c r="E5264" s="130"/>
      <c r="F5264" s="128"/>
      <c r="G5264" s="128"/>
      <c r="H5264" s="128"/>
      <c r="I5264" s="128"/>
      <c r="J5264" s="81"/>
      <c r="K5264" s="81"/>
      <c r="L5264" s="81"/>
      <c r="M5264" s="81"/>
      <c r="N5264" s="82"/>
    </row>
    <row r="5265">
      <c r="C5265" s="41"/>
      <c r="D5265" s="141"/>
      <c r="E5265" s="118"/>
      <c r="F5265" s="126"/>
      <c r="G5265" s="126"/>
      <c r="H5265" s="126"/>
      <c r="I5265" s="126"/>
      <c r="J5265" s="76"/>
      <c r="K5265" s="76"/>
      <c r="L5265" s="76"/>
      <c r="M5265" s="76"/>
      <c r="N5265" s="114"/>
    </row>
    <row r="5266">
      <c r="C5266" s="41"/>
      <c r="D5266" s="142"/>
      <c r="E5266" s="130"/>
      <c r="F5266" s="128"/>
      <c r="G5266" s="128"/>
      <c r="H5266" s="128"/>
      <c r="I5266" s="128"/>
      <c r="J5266" s="81"/>
      <c r="K5266" s="81"/>
      <c r="L5266" s="81"/>
      <c r="M5266" s="81"/>
      <c r="N5266" s="82"/>
    </row>
    <row r="5267">
      <c r="C5267" s="41"/>
      <c r="D5267" s="141"/>
      <c r="E5267" s="118"/>
      <c r="F5267" s="126"/>
      <c r="G5267" s="126"/>
      <c r="H5267" s="126"/>
      <c r="I5267" s="126"/>
      <c r="J5267" s="76"/>
      <c r="K5267" s="76"/>
      <c r="L5267" s="76"/>
      <c r="M5267" s="76"/>
      <c r="N5267" s="114"/>
    </row>
    <row r="5268">
      <c r="C5268" s="41"/>
      <c r="D5268" s="142"/>
      <c r="E5268" s="130"/>
      <c r="F5268" s="128"/>
      <c r="G5268" s="128"/>
      <c r="H5268" s="128"/>
      <c r="I5268" s="128"/>
      <c r="J5268" s="81"/>
      <c r="K5268" s="81"/>
      <c r="L5268" s="81"/>
      <c r="M5268" s="81"/>
      <c r="N5268" s="82"/>
    </row>
    <row r="5269">
      <c r="C5269" s="41"/>
      <c r="D5269" s="141"/>
      <c r="E5269" s="118"/>
      <c r="F5269" s="126"/>
      <c r="G5269" s="126"/>
      <c r="H5269" s="126"/>
      <c r="I5269" s="126"/>
      <c r="J5269" s="76"/>
      <c r="K5269" s="76"/>
      <c r="L5269" s="76"/>
      <c r="M5269" s="76"/>
      <c r="N5269" s="114"/>
    </row>
    <row r="5270">
      <c r="C5270" s="41"/>
      <c r="D5270" s="142"/>
      <c r="E5270" s="130"/>
      <c r="F5270" s="128"/>
      <c r="G5270" s="128"/>
      <c r="H5270" s="128"/>
      <c r="I5270" s="128"/>
      <c r="J5270" s="81"/>
      <c r="K5270" s="81"/>
      <c r="L5270" s="81"/>
      <c r="M5270" s="81"/>
      <c r="N5270" s="82"/>
    </row>
    <row r="5271">
      <c r="C5271" s="41"/>
      <c r="D5271" s="141"/>
      <c r="E5271" s="118"/>
      <c r="F5271" s="126"/>
      <c r="G5271" s="126"/>
      <c r="H5271" s="126"/>
      <c r="I5271" s="126"/>
      <c r="J5271" s="76"/>
      <c r="K5271" s="76"/>
      <c r="L5271" s="76"/>
      <c r="M5271" s="76"/>
      <c r="N5271" s="114"/>
    </row>
    <row r="5272">
      <c r="C5272" s="41"/>
      <c r="D5272" s="142"/>
      <c r="E5272" s="130"/>
      <c r="F5272" s="128"/>
      <c r="G5272" s="128"/>
      <c r="H5272" s="128"/>
      <c r="I5272" s="128"/>
      <c r="J5272" s="81"/>
      <c r="K5272" s="81"/>
      <c r="L5272" s="81"/>
      <c r="M5272" s="81"/>
      <c r="N5272" s="82"/>
    </row>
    <row r="5273">
      <c r="C5273" s="41"/>
      <c r="D5273" s="141"/>
      <c r="E5273" s="118"/>
      <c r="F5273" s="126"/>
      <c r="G5273" s="126"/>
      <c r="H5273" s="126"/>
      <c r="I5273" s="126"/>
      <c r="J5273" s="76"/>
      <c r="K5273" s="76"/>
      <c r="L5273" s="76"/>
      <c r="M5273" s="76"/>
      <c r="N5273" s="114"/>
    </row>
    <row r="5274">
      <c r="C5274" s="41"/>
      <c r="D5274" s="142"/>
      <c r="E5274" s="130"/>
      <c r="F5274" s="128"/>
      <c r="G5274" s="128"/>
      <c r="H5274" s="128"/>
      <c r="I5274" s="128"/>
      <c r="J5274" s="81"/>
      <c r="K5274" s="81"/>
      <c r="L5274" s="81"/>
      <c r="M5274" s="81"/>
      <c r="N5274" s="82"/>
    </row>
    <row r="5275">
      <c r="C5275" s="41"/>
      <c r="D5275" s="141"/>
      <c r="E5275" s="118"/>
      <c r="F5275" s="126"/>
      <c r="G5275" s="126"/>
      <c r="H5275" s="126"/>
      <c r="I5275" s="126"/>
      <c r="J5275" s="76"/>
      <c r="K5275" s="76"/>
      <c r="L5275" s="76"/>
      <c r="M5275" s="76"/>
      <c r="N5275" s="114"/>
    </row>
    <row r="5276">
      <c r="C5276" s="41"/>
      <c r="D5276" s="142"/>
      <c r="E5276" s="130"/>
      <c r="F5276" s="128"/>
      <c r="G5276" s="128"/>
      <c r="H5276" s="128"/>
      <c r="I5276" s="128"/>
      <c r="J5276" s="81"/>
      <c r="K5276" s="81"/>
      <c r="L5276" s="81"/>
      <c r="M5276" s="81"/>
      <c r="N5276" s="82"/>
    </row>
    <row r="5277">
      <c r="C5277" s="41"/>
      <c r="D5277" s="141"/>
      <c r="E5277" s="118"/>
      <c r="F5277" s="126"/>
      <c r="G5277" s="126"/>
      <c r="H5277" s="126"/>
      <c r="I5277" s="126"/>
      <c r="J5277" s="76"/>
      <c r="K5277" s="76"/>
      <c r="L5277" s="76"/>
      <c r="M5277" s="76"/>
      <c r="N5277" s="114"/>
    </row>
    <row r="5278">
      <c r="C5278" s="41"/>
      <c r="D5278" s="142"/>
      <c r="E5278" s="130"/>
      <c r="F5278" s="128"/>
      <c r="G5278" s="128"/>
      <c r="H5278" s="128"/>
      <c r="I5278" s="128"/>
      <c r="J5278" s="81"/>
      <c r="K5278" s="81"/>
      <c r="L5278" s="81"/>
      <c r="M5278" s="81"/>
      <c r="N5278" s="82"/>
    </row>
    <row r="5279">
      <c r="C5279" s="41"/>
      <c r="D5279" s="141"/>
      <c r="E5279" s="118"/>
      <c r="F5279" s="126"/>
      <c r="G5279" s="126"/>
      <c r="H5279" s="126"/>
      <c r="I5279" s="126"/>
      <c r="J5279" s="76"/>
      <c r="K5279" s="76"/>
      <c r="L5279" s="76"/>
      <c r="M5279" s="76"/>
      <c r="N5279" s="114"/>
    </row>
    <row r="5280">
      <c r="C5280" s="41"/>
      <c r="D5280" s="142"/>
      <c r="E5280" s="130"/>
      <c r="F5280" s="128"/>
      <c r="G5280" s="128"/>
      <c r="H5280" s="128"/>
      <c r="I5280" s="128"/>
      <c r="J5280" s="81"/>
      <c r="K5280" s="81"/>
      <c r="L5280" s="81"/>
      <c r="M5280" s="81"/>
      <c r="N5280" s="82"/>
    </row>
    <row r="5281">
      <c r="C5281" s="41"/>
      <c r="D5281" s="141"/>
      <c r="E5281" s="118"/>
      <c r="F5281" s="126"/>
      <c r="G5281" s="126"/>
      <c r="H5281" s="126"/>
      <c r="I5281" s="126"/>
      <c r="J5281" s="76"/>
      <c r="K5281" s="76"/>
      <c r="L5281" s="76"/>
      <c r="M5281" s="76"/>
      <c r="N5281" s="114"/>
    </row>
    <row r="5282">
      <c r="C5282" s="41"/>
      <c r="D5282" s="142"/>
      <c r="E5282" s="130"/>
      <c r="F5282" s="128"/>
      <c r="G5282" s="128"/>
      <c r="H5282" s="128"/>
      <c r="I5282" s="128"/>
      <c r="J5282" s="81"/>
      <c r="K5282" s="81"/>
      <c r="L5282" s="81"/>
      <c r="M5282" s="81"/>
      <c r="N5282" s="82"/>
    </row>
    <row r="5283">
      <c r="C5283" s="41"/>
      <c r="D5283" s="141"/>
      <c r="E5283" s="118"/>
      <c r="F5283" s="126"/>
      <c r="G5283" s="126"/>
      <c r="H5283" s="126"/>
      <c r="I5283" s="126"/>
      <c r="J5283" s="76"/>
      <c r="K5283" s="76"/>
      <c r="L5283" s="76"/>
      <c r="M5283" s="76"/>
      <c r="N5283" s="114"/>
    </row>
    <row r="5284">
      <c r="C5284" s="41"/>
      <c r="D5284" s="142"/>
      <c r="E5284" s="130"/>
      <c r="F5284" s="128"/>
      <c r="G5284" s="128"/>
      <c r="H5284" s="128"/>
      <c r="I5284" s="128"/>
      <c r="J5284" s="81"/>
      <c r="K5284" s="81"/>
      <c r="L5284" s="81"/>
      <c r="M5284" s="81"/>
      <c r="N5284" s="82"/>
    </row>
    <row r="5285">
      <c r="C5285" s="41"/>
      <c r="D5285" s="141"/>
      <c r="E5285" s="118"/>
      <c r="F5285" s="126"/>
      <c r="G5285" s="126"/>
      <c r="H5285" s="126"/>
      <c r="I5285" s="126"/>
      <c r="J5285" s="76"/>
      <c r="K5285" s="76"/>
      <c r="L5285" s="76"/>
      <c r="M5285" s="76"/>
      <c r="N5285" s="114"/>
    </row>
    <row r="5286">
      <c r="C5286" s="41"/>
      <c r="D5286" s="142"/>
      <c r="E5286" s="130"/>
      <c r="F5286" s="128"/>
      <c r="G5286" s="128"/>
      <c r="H5286" s="128"/>
      <c r="I5286" s="128"/>
      <c r="J5286" s="81"/>
      <c r="K5286" s="81"/>
      <c r="L5286" s="81"/>
      <c r="M5286" s="81"/>
      <c r="N5286" s="82"/>
    </row>
    <row r="5287">
      <c r="C5287" s="41"/>
      <c r="D5287" s="141"/>
      <c r="E5287" s="118"/>
      <c r="F5287" s="126"/>
      <c r="G5287" s="126"/>
      <c r="H5287" s="126"/>
      <c r="I5287" s="126"/>
      <c r="J5287" s="76"/>
      <c r="K5287" s="76"/>
      <c r="L5287" s="76"/>
      <c r="M5287" s="76"/>
      <c r="N5287" s="114"/>
    </row>
    <row r="5288">
      <c r="C5288" s="41"/>
      <c r="D5288" s="142"/>
      <c r="E5288" s="130"/>
      <c r="F5288" s="128"/>
      <c r="G5288" s="128"/>
      <c r="H5288" s="128"/>
      <c r="I5288" s="128"/>
      <c r="J5288" s="81"/>
      <c r="K5288" s="81"/>
      <c r="L5288" s="81"/>
      <c r="M5288" s="81"/>
      <c r="N5288" s="82"/>
    </row>
    <row r="5289">
      <c r="C5289" s="41"/>
      <c r="D5289" s="141"/>
      <c r="E5289" s="118"/>
      <c r="F5289" s="126"/>
      <c r="G5289" s="126"/>
      <c r="H5289" s="126"/>
      <c r="I5289" s="126"/>
      <c r="J5289" s="76"/>
      <c r="K5289" s="76"/>
      <c r="L5289" s="76"/>
      <c r="M5289" s="76"/>
      <c r="N5289" s="114"/>
    </row>
    <row r="5290">
      <c r="C5290" s="41"/>
      <c r="D5290" s="142"/>
      <c r="E5290" s="130"/>
      <c r="F5290" s="128"/>
      <c r="G5290" s="128"/>
      <c r="H5290" s="128"/>
      <c r="I5290" s="128"/>
      <c r="J5290" s="81"/>
      <c r="K5290" s="81"/>
      <c r="L5290" s="81"/>
      <c r="M5290" s="81"/>
      <c r="N5290" s="82"/>
    </row>
    <row r="5291">
      <c r="C5291" s="41"/>
      <c r="D5291" s="141"/>
      <c r="E5291" s="118"/>
      <c r="F5291" s="126"/>
      <c r="G5291" s="126"/>
      <c r="H5291" s="126"/>
      <c r="I5291" s="126"/>
      <c r="J5291" s="76"/>
      <c r="K5291" s="76"/>
      <c r="L5291" s="76"/>
      <c r="M5291" s="76"/>
      <c r="N5291" s="114"/>
    </row>
    <row r="5292">
      <c r="C5292" s="41"/>
      <c r="D5292" s="142"/>
      <c r="E5292" s="130"/>
      <c r="F5292" s="128"/>
      <c r="G5292" s="128"/>
      <c r="H5292" s="128"/>
      <c r="I5292" s="128"/>
      <c r="J5292" s="81"/>
      <c r="K5292" s="81"/>
      <c r="L5292" s="81"/>
      <c r="M5292" s="81"/>
      <c r="N5292" s="82"/>
    </row>
    <row r="5293">
      <c r="C5293" s="41"/>
      <c r="D5293" s="141"/>
      <c r="E5293" s="118"/>
      <c r="F5293" s="126"/>
      <c r="G5293" s="126"/>
      <c r="H5293" s="126"/>
      <c r="I5293" s="126"/>
      <c r="J5293" s="76"/>
      <c r="K5293" s="76"/>
      <c r="L5293" s="76"/>
      <c r="M5293" s="76"/>
      <c r="N5293" s="114"/>
    </row>
    <row r="5294">
      <c r="C5294" s="41"/>
      <c r="D5294" s="142"/>
      <c r="E5294" s="130"/>
      <c r="F5294" s="128"/>
      <c r="G5294" s="128"/>
      <c r="H5294" s="128"/>
      <c r="I5294" s="128"/>
      <c r="J5294" s="81"/>
      <c r="K5294" s="81"/>
      <c r="L5294" s="81"/>
      <c r="M5294" s="81"/>
      <c r="N5294" s="82"/>
    </row>
    <row r="5295">
      <c r="C5295" s="41"/>
      <c r="D5295" s="141"/>
      <c r="E5295" s="118"/>
      <c r="F5295" s="126"/>
      <c r="G5295" s="126"/>
      <c r="H5295" s="126"/>
      <c r="I5295" s="126"/>
      <c r="J5295" s="76"/>
      <c r="K5295" s="76"/>
      <c r="L5295" s="76"/>
      <c r="M5295" s="76"/>
      <c r="N5295" s="114"/>
    </row>
    <row r="5296">
      <c r="C5296" s="41"/>
      <c r="D5296" s="142"/>
      <c r="E5296" s="130"/>
      <c r="F5296" s="128"/>
      <c r="G5296" s="128"/>
      <c r="H5296" s="128"/>
      <c r="I5296" s="128"/>
      <c r="J5296" s="81"/>
      <c r="K5296" s="81"/>
      <c r="L5296" s="81"/>
      <c r="M5296" s="81"/>
      <c r="N5296" s="82"/>
    </row>
    <row r="5297">
      <c r="C5297" s="41"/>
      <c r="D5297" s="141"/>
      <c r="E5297" s="118"/>
      <c r="F5297" s="126"/>
      <c r="G5297" s="126"/>
      <c r="H5297" s="126"/>
      <c r="I5297" s="126"/>
      <c r="J5297" s="76"/>
      <c r="K5297" s="76"/>
      <c r="L5297" s="76"/>
      <c r="M5297" s="76"/>
      <c r="N5297" s="114"/>
    </row>
    <row r="5298">
      <c r="C5298" s="41"/>
      <c r="D5298" s="142"/>
      <c r="E5298" s="130"/>
      <c r="F5298" s="128"/>
      <c r="G5298" s="128"/>
      <c r="H5298" s="128"/>
      <c r="I5298" s="128"/>
      <c r="J5298" s="81"/>
      <c r="K5298" s="81"/>
      <c r="L5298" s="81"/>
      <c r="M5298" s="81"/>
      <c r="N5298" s="82"/>
    </row>
    <row r="5299">
      <c r="C5299" s="41"/>
      <c r="D5299" s="141"/>
      <c r="E5299" s="118"/>
      <c r="F5299" s="126"/>
      <c r="G5299" s="126"/>
      <c r="H5299" s="126"/>
      <c r="I5299" s="126"/>
      <c r="J5299" s="76"/>
      <c r="K5299" s="76"/>
      <c r="L5299" s="76"/>
      <c r="M5299" s="76"/>
      <c r="N5299" s="114"/>
    </row>
    <row r="5300">
      <c r="C5300" s="41"/>
      <c r="D5300" s="142"/>
      <c r="E5300" s="130"/>
      <c r="F5300" s="128"/>
      <c r="G5300" s="128"/>
      <c r="H5300" s="128"/>
      <c r="I5300" s="128"/>
      <c r="J5300" s="81"/>
      <c r="K5300" s="81"/>
      <c r="L5300" s="81"/>
      <c r="M5300" s="81"/>
      <c r="N5300" s="82"/>
    </row>
    <row r="5301">
      <c r="C5301" s="41"/>
      <c r="D5301" s="141"/>
      <c r="E5301" s="118"/>
      <c r="F5301" s="126"/>
      <c r="G5301" s="126"/>
      <c r="H5301" s="126"/>
      <c r="I5301" s="126"/>
      <c r="J5301" s="76"/>
      <c r="K5301" s="76"/>
      <c r="L5301" s="76"/>
      <c r="M5301" s="76"/>
      <c r="N5301" s="114"/>
    </row>
    <row r="5302">
      <c r="C5302" s="41"/>
      <c r="D5302" s="142"/>
      <c r="E5302" s="130"/>
      <c r="F5302" s="128"/>
      <c r="G5302" s="128"/>
      <c r="H5302" s="128"/>
      <c r="I5302" s="128"/>
      <c r="J5302" s="81"/>
      <c r="K5302" s="81"/>
      <c r="L5302" s="81"/>
      <c r="M5302" s="81"/>
      <c r="N5302" s="82"/>
    </row>
    <row r="5303">
      <c r="C5303" s="41"/>
      <c r="D5303" s="141"/>
      <c r="E5303" s="118"/>
      <c r="F5303" s="126"/>
      <c r="G5303" s="126"/>
      <c r="H5303" s="126"/>
      <c r="I5303" s="126"/>
      <c r="J5303" s="76"/>
      <c r="K5303" s="76"/>
      <c r="L5303" s="76"/>
      <c r="M5303" s="76"/>
      <c r="N5303" s="114"/>
    </row>
    <row r="5304">
      <c r="C5304" s="41"/>
      <c r="D5304" s="142"/>
      <c r="E5304" s="130"/>
      <c r="F5304" s="128"/>
      <c r="G5304" s="128"/>
      <c r="H5304" s="128"/>
      <c r="I5304" s="128"/>
      <c r="J5304" s="81"/>
      <c r="K5304" s="81"/>
      <c r="L5304" s="81"/>
      <c r="M5304" s="81"/>
      <c r="N5304" s="82"/>
    </row>
    <row r="5305">
      <c r="C5305" s="41"/>
      <c r="D5305" s="141"/>
      <c r="E5305" s="118"/>
      <c r="F5305" s="126"/>
      <c r="G5305" s="126"/>
      <c r="H5305" s="126"/>
      <c r="I5305" s="126"/>
      <c r="J5305" s="76"/>
      <c r="K5305" s="76"/>
      <c r="L5305" s="76"/>
      <c r="M5305" s="76"/>
      <c r="N5305" s="114"/>
    </row>
    <row r="5306">
      <c r="C5306" s="41"/>
      <c r="D5306" s="142"/>
      <c r="E5306" s="130"/>
      <c r="F5306" s="128"/>
      <c r="G5306" s="128"/>
      <c r="H5306" s="128"/>
      <c r="I5306" s="128"/>
      <c r="J5306" s="81"/>
      <c r="K5306" s="81"/>
      <c r="L5306" s="81"/>
      <c r="M5306" s="81"/>
      <c r="N5306" s="82"/>
    </row>
    <row r="5307">
      <c r="C5307" s="41"/>
      <c r="D5307" s="141"/>
      <c r="E5307" s="118"/>
      <c r="F5307" s="126"/>
      <c r="G5307" s="126"/>
      <c r="H5307" s="126"/>
      <c r="I5307" s="126"/>
      <c r="J5307" s="76"/>
      <c r="K5307" s="76"/>
      <c r="L5307" s="76"/>
      <c r="M5307" s="76"/>
      <c r="N5307" s="114"/>
    </row>
    <row r="5308">
      <c r="C5308" s="41"/>
      <c r="D5308" s="142"/>
      <c r="E5308" s="130"/>
      <c r="F5308" s="128"/>
      <c r="G5308" s="128"/>
      <c r="H5308" s="128"/>
      <c r="I5308" s="128"/>
      <c r="J5308" s="81"/>
      <c r="K5308" s="81"/>
      <c r="L5308" s="81"/>
      <c r="M5308" s="81"/>
      <c r="N5308" s="82"/>
    </row>
    <row r="5309">
      <c r="C5309" s="41"/>
      <c r="D5309" s="141"/>
      <c r="E5309" s="118"/>
      <c r="F5309" s="126"/>
      <c r="G5309" s="126"/>
      <c r="H5309" s="126"/>
      <c r="I5309" s="126"/>
      <c r="J5309" s="76"/>
      <c r="K5309" s="76"/>
      <c r="L5309" s="76"/>
      <c r="M5309" s="76"/>
      <c r="N5309" s="114"/>
    </row>
    <row r="5310">
      <c r="C5310" s="41"/>
      <c r="D5310" s="142"/>
      <c r="E5310" s="130"/>
      <c r="F5310" s="128"/>
      <c r="G5310" s="128"/>
      <c r="H5310" s="128"/>
      <c r="I5310" s="128"/>
      <c r="J5310" s="81"/>
      <c r="K5310" s="81"/>
      <c r="L5310" s="81"/>
      <c r="M5310" s="81"/>
      <c r="N5310" s="82"/>
    </row>
    <row r="5311">
      <c r="C5311" s="41"/>
      <c r="D5311" s="141"/>
      <c r="E5311" s="118"/>
      <c r="F5311" s="126"/>
      <c r="G5311" s="126"/>
      <c r="H5311" s="126"/>
      <c r="I5311" s="126"/>
      <c r="J5311" s="76"/>
      <c r="K5311" s="76"/>
      <c r="L5311" s="76"/>
      <c r="M5311" s="76"/>
      <c r="N5311" s="114"/>
    </row>
    <row r="5312">
      <c r="C5312" s="41"/>
      <c r="D5312" s="142"/>
      <c r="E5312" s="130"/>
      <c r="F5312" s="128"/>
      <c r="G5312" s="128"/>
      <c r="H5312" s="128"/>
      <c r="I5312" s="128"/>
      <c r="J5312" s="81"/>
      <c r="K5312" s="81"/>
      <c r="L5312" s="81"/>
      <c r="M5312" s="81"/>
      <c r="N5312" s="82"/>
    </row>
    <row r="5313">
      <c r="C5313" s="41"/>
      <c r="D5313" s="141"/>
      <c r="E5313" s="118"/>
      <c r="F5313" s="126"/>
      <c r="G5313" s="126"/>
      <c r="H5313" s="126"/>
      <c r="I5313" s="126"/>
      <c r="J5313" s="76"/>
      <c r="K5313" s="76"/>
      <c r="L5313" s="76"/>
      <c r="M5313" s="76"/>
      <c r="N5313" s="114"/>
    </row>
    <row r="5314">
      <c r="C5314" s="41"/>
      <c r="D5314" s="142"/>
      <c r="E5314" s="130"/>
      <c r="F5314" s="128"/>
      <c r="G5314" s="128"/>
      <c r="H5314" s="128"/>
      <c r="I5314" s="128"/>
      <c r="J5314" s="81"/>
      <c r="K5314" s="81"/>
      <c r="L5314" s="81"/>
      <c r="M5314" s="81"/>
      <c r="N5314" s="82"/>
    </row>
    <row r="5315">
      <c r="C5315" s="41"/>
      <c r="D5315" s="141"/>
      <c r="E5315" s="118"/>
      <c r="F5315" s="126"/>
      <c r="G5315" s="126"/>
      <c r="H5315" s="126"/>
      <c r="I5315" s="126"/>
      <c r="J5315" s="76"/>
      <c r="K5315" s="76"/>
      <c r="L5315" s="76"/>
      <c r="M5315" s="76"/>
      <c r="N5315" s="114"/>
    </row>
    <row r="5316">
      <c r="C5316" s="41"/>
      <c r="D5316" s="142"/>
      <c r="E5316" s="130"/>
      <c r="F5316" s="128"/>
      <c r="G5316" s="128"/>
      <c r="H5316" s="128"/>
      <c r="I5316" s="128"/>
      <c r="J5316" s="81"/>
      <c r="K5316" s="81"/>
      <c r="L5316" s="81"/>
      <c r="M5316" s="81"/>
      <c r="N5316" s="82"/>
    </row>
    <row r="5317">
      <c r="C5317" s="41"/>
      <c r="D5317" s="141"/>
      <c r="E5317" s="118"/>
      <c r="F5317" s="126"/>
      <c r="G5317" s="126"/>
      <c r="H5317" s="126"/>
      <c r="I5317" s="126"/>
      <c r="J5317" s="76"/>
      <c r="K5317" s="76"/>
      <c r="L5317" s="76"/>
      <c r="M5317" s="76"/>
      <c r="N5317" s="114"/>
    </row>
    <row r="5318">
      <c r="C5318" s="41"/>
      <c r="D5318" s="142"/>
      <c r="E5318" s="130"/>
      <c r="F5318" s="128"/>
      <c r="G5318" s="128"/>
      <c r="H5318" s="128"/>
      <c r="I5318" s="128"/>
      <c r="J5318" s="81"/>
      <c r="K5318" s="81"/>
      <c r="L5318" s="81"/>
      <c r="M5318" s="81"/>
      <c r="N5318" s="82"/>
    </row>
    <row r="5319">
      <c r="C5319" s="41"/>
      <c r="D5319" s="141"/>
      <c r="E5319" s="118"/>
      <c r="F5319" s="126"/>
      <c r="G5319" s="126"/>
      <c r="H5319" s="126"/>
      <c r="I5319" s="126"/>
      <c r="J5319" s="76"/>
      <c r="K5319" s="76"/>
      <c r="L5319" s="76"/>
      <c r="M5319" s="76"/>
      <c r="N5319" s="114"/>
    </row>
    <row r="5320">
      <c r="C5320" s="41"/>
      <c r="D5320" s="142"/>
      <c r="E5320" s="130"/>
      <c r="F5320" s="128"/>
      <c r="G5320" s="128"/>
      <c r="H5320" s="128"/>
      <c r="I5320" s="128"/>
      <c r="J5320" s="81"/>
      <c r="K5320" s="81"/>
      <c r="L5320" s="81"/>
      <c r="M5320" s="81"/>
      <c r="N5320" s="82"/>
    </row>
    <row r="5321">
      <c r="C5321" s="41"/>
      <c r="D5321" s="141"/>
      <c r="E5321" s="118"/>
      <c r="F5321" s="126"/>
      <c r="G5321" s="126"/>
      <c r="H5321" s="126"/>
      <c r="I5321" s="126"/>
      <c r="J5321" s="76"/>
      <c r="K5321" s="76"/>
      <c r="L5321" s="76"/>
      <c r="M5321" s="76"/>
      <c r="N5321" s="114"/>
    </row>
    <row r="5322">
      <c r="C5322" s="41"/>
      <c r="D5322" s="142"/>
      <c r="E5322" s="130"/>
      <c r="F5322" s="128"/>
      <c r="G5322" s="128"/>
      <c r="H5322" s="128"/>
      <c r="I5322" s="128"/>
      <c r="J5322" s="81"/>
      <c r="K5322" s="81"/>
      <c r="L5322" s="81"/>
      <c r="M5322" s="81"/>
      <c r="N5322" s="82"/>
    </row>
    <row r="5323">
      <c r="C5323" s="41"/>
      <c r="D5323" s="141"/>
      <c r="E5323" s="118"/>
      <c r="F5323" s="126"/>
      <c r="G5323" s="126"/>
      <c r="H5323" s="126"/>
      <c r="I5323" s="126"/>
      <c r="J5323" s="76"/>
      <c r="K5323" s="76"/>
      <c r="L5323" s="76"/>
      <c r="M5323" s="76"/>
      <c r="N5323" s="114"/>
    </row>
    <row r="5324">
      <c r="C5324" s="41"/>
      <c r="D5324" s="142"/>
      <c r="E5324" s="130"/>
      <c r="F5324" s="128"/>
      <c r="G5324" s="128"/>
      <c r="H5324" s="128"/>
      <c r="I5324" s="128"/>
      <c r="J5324" s="81"/>
      <c r="K5324" s="81"/>
      <c r="L5324" s="81"/>
      <c r="M5324" s="81"/>
      <c r="N5324" s="82"/>
    </row>
    <row r="5325">
      <c r="C5325" s="41"/>
      <c r="D5325" s="141"/>
      <c r="E5325" s="118"/>
      <c r="F5325" s="126"/>
      <c r="G5325" s="126"/>
      <c r="H5325" s="126"/>
      <c r="I5325" s="126"/>
      <c r="J5325" s="76"/>
      <c r="K5325" s="76"/>
      <c r="L5325" s="76"/>
      <c r="M5325" s="76"/>
      <c r="N5325" s="114"/>
    </row>
    <row r="5326">
      <c r="C5326" s="41"/>
      <c r="D5326" s="142"/>
      <c r="E5326" s="130"/>
      <c r="F5326" s="128"/>
      <c r="G5326" s="128"/>
      <c r="H5326" s="128"/>
      <c r="I5326" s="128"/>
      <c r="J5326" s="81"/>
      <c r="K5326" s="81"/>
      <c r="L5326" s="81"/>
      <c r="M5326" s="81"/>
      <c r="N5326" s="82"/>
    </row>
    <row r="5327">
      <c r="C5327" s="41"/>
      <c r="D5327" s="141"/>
      <c r="E5327" s="118"/>
      <c r="F5327" s="126"/>
      <c r="G5327" s="126"/>
      <c r="H5327" s="126"/>
      <c r="I5327" s="126"/>
      <c r="J5327" s="76"/>
      <c r="K5327" s="76"/>
      <c r="L5327" s="76"/>
      <c r="M5327" s="76"/>
      <c r="N5327" s="114"/>
    </row>
    <row r="5328">
      <c r="C5328" s="41"/>
      <c r="D5328" s="142"/>
      <c r="E5328" s="130"/>
      <c r="F5328" s="128"/>
      <c r="G5328" s="128"/>
      <c r="H5328" s="128"/>
      <c r="I5328" s="128"/>
      <c r="J5328" s="81"/>
      <c r="K5328" s="81"/>
      <c r="L5328" s="81"/>
      <c r="M5328" s="81"/>
      <c r="N5328" s="82"/>
    </row>
    <row r="5329">
      <c r="C5329" s="41"/>
      <c r="D5329" s="141"/>
      <c r="E5329" s="118"/>
      <c r="F5329" s="126"/>
      <c r="G5329" s="126"/>
      <c r="H5329" s="126"/>
      <c r="I5329" s="126"/>
      <c r="J5329" s="76"/>
      <c r="K5329" s="76"/>
      <c r="L5329" s="76"/>
      <c r="M5329" s="76"/>
      <c r="N5329" s="114"/>
    </row>
    <row r="5330">
      <c r="C5330" s="41"/>
      <c r="D5330" s="142"/>
      <c r="E5330" s="130"/>
      <c r="F5330" s="128"/>
      <c r="G5330" s="128"/>
      <c r="H5330" s="128"/>
      <c r="I5330" s="128"/>
      <c r="J5330" s="81"/>
      <c r="K5330" s="81"/>
      <c r="L5330" s="81"/>
      <c r="M5330" s="81"/>
      <c r="N5330" s="82"/>
    </row>
    <row r="5331">
      <c r="C5331" s="41"/>
      <c r="D5331" s="141"/>
      <c r="E5331" s="118"/>
      <c r="F5331" s="126"/>
      <c r="G5331" s="126"/>
      <c r="H5331" s="126"/>
      <c r="I5331" s="126"/>
      <c r="J5331" s="76"/>
      <c r="K5331" s="76"/>
      <c r="L5331" s="76"/>
      <c r="M5331" s="76"/>
      <c r="N5331" s="114"/>
    </row>
    <row r="5332">
      <c r="C5332" s="41"/>
      <c r="D5332" s="142"/>
      <c r="E5332" s="130"/>
      <c r="F5332" s="128"/>
      <c r="G5332" s="128"/>
      <c r="H5332" s="128"/>
      <c r="I5332" s="128"/>
      <c r="J5332" s="81"/>
      <c r="K5332" s="81"/>
      <c r="L5332" s="81"/>
      <c r="M5332" s="81"/>
      <c r="N5332" s="82"/>
    </row>
    <row r="5333">
      <c r="C5333" s="41"/>
      <c r="D5333" s="141"/>
      <c r="E5333" s="118"/>
      <c r="F5333" s="126"/>
      <c r="G5333" s="126"/>
      <c r="H5333" s="126"/>
      <c r="I5333" s="126"/>
      <c r="J5333" s="76"/>
      <c r="K5333" s="76"/>
      <c r="L5333" s="76"/>
      <c r="M5333" s="76"/>
      <c r="N5333" s="114"/>
    </row>
    <row r="5334">
      <c r="C5334" s="41"/>
      <c r="D5334" s="142"/>
      <c r="E5334" s="130"/>
      <c r="F5334" s="128"/>
      <c r="G5334" s="128"/>
      <c r="H5334" s="128"/>
      <c r="I5334" s="128"/>
      <c r="J5334" s="81"/>
      <c r="K5334" s="81"/>
      <c r="L5334" s="81"/>
      <c r="M5334" s="81"/>
      <c r="N5334" s="82"/>
    </row>
    <row r="5335">
      <c r="C5335" s="41"/>
      <c r="D5335" s="141"/>
      <c r="E5335" s="118"/>
      <c r="F5335" s="126"/>
      <c r="G5335" s="126"/>
      <c r="H5335" s="126"/>
      <c r="I5335" s="126"/>
      <c r="J5335" s="76"/>
      <c r="K5335" s="76"/>
      <c r="L5335" s="76"/>
      <c r="M5335" s="76"/>
      <c r="N5335" s="114"/>
    </row>
    <row r="5336">
      <c r="C5336" s="41"/>
      <c r="D5336" s="142"/>
      <c r="E5336" s="130"/>
      <c r="F5336" s="128"/>
      <c r="G5336" s="128"/>
      <c r="H5336" s="128"/>
      <c r="I5336" s="128"/>
      <c r="J5336" s="81"/>
      <c r="K5336" s="81"/>
      <c r="L5336" s="81"/>
      <c r="M5336" s="81"/>
      <c r="N5336" s="82"/>
    </row>
    <row r="5337">
      <c r="C5337" s="41"/>
      <c r="D5337" s="141"/>
      <c r="E5337" s="118"/>
      <c r="F5337" s="126"/>
      <c r="G5337" s="126"/>
      <c r="H5337" s="126"/>
      <c r="I5337" s="126"/>
      <c r="J5337" s="76"/>
      <c r="K5337" s="76"/>
      <c r="L5337" s="76"/>
      <c r="M5337" s="76"/>
      <c r="N5337" s="114"/>
    </row>
    <row r="5338">
      <c r="C5338" s="41"/>
      <c r="D5338" s="142"/>
      <c r="E5338" s="130"/>
      <c r="F5338" s="128"/>
      <c r="G5338" s="128"/>
      <c r="H5338" s="128"/>
      <c r="I5338" s="128"/>
      <c r="J5338" s="81"/>
      <c r="K5338" s="81"/>
      <c r="L5338" s="81"/>
      <c r="M5338" s="81"/>
      <c r="N5338" s="82"/>
    </row>
    <row r="5339">
      <c r="C5339" s="41"/>
      <c r="D5339" s="141"/>
      <c r="E5339" s="118"/>
      <c r="F5339" s="126"/>
      <c r="G5339" s="126"/>
      <c r="H5339" s="126"/>
      <c r="I5339" s="126"/>
      <c r="J5339" s="76"/>
      <c r="K5339" s="76"/>
      <c r="L5339" s="76"/>
      <c r="M5339" s="76"/>
      <c r="N5339" s="114"/>
    </row>
    <row r="5340">
      <c r="C5340" s="41"/>
      <c r="D5340" s="142"/>
      <c r="E5340" s="130"/>
      <c r="F5340" s="128"/>
      <c r="G5340" s="128"/>
      <c r="H5340" s="128"/>
      <c r="I5340" s="128"/>
      <c r="J5340" s="81"/>
      <c r="K5340" s="81"/>
      <c r="L5340" s="81"/>
      <c r="M5340" s="81"/>
      <c r="N5340" s="82"/>
    </row>
    <row r="5341">
      <c r="C5341" s="41"/>
      <c r="D5341" s="141"/>
      <c r="E5341" s="118"/>
      <c r="F5341" s="126"/>
      <c r="G5341" s="126"/>
      <c r="H5341" s="126"/>
      <c r="I5341" s="126"/>
      <c r="J5341" s="76"/>
      <c r="K5341" s="76"/>
      <c r="L5341" s="76"/>
      <c r="M5341" s="76"/>
      <c r="N5341" s="114"/>
    </row>
    <row r="5342">
      <c r="C5342" s="41"/>
      <c r="D5342" s="142"/>
      <c r="E5342" s="130"/>
      <c r="F5342" s="128"/>
      <c r="G5342" s="128"/>
      <c r="H5342" s="128"/>
      <c r="I5342" s="128"/>
      <c r="J5342" s="81"/>
      <c r="K5342" s="81"/>
      <c r="L5342" s="81"/>
      <c r="M5342" s="81"/>
      <c r="N5342" s="82"/>
    </row>
    <row r="5343">
      <c r="C5343" s="41"/>
      <c r="D5343" s="141"/>
      <c r="E5343" s="118"/>
      <c r="F5343" s="126"/>
      <c r="G5343" s="126"/>
      <c r="H5343" s="126"/>
      <c r="I5343" s="126"/>
      <c r="J5343" s="76"/>
      <c r="K5343" s="76"/>
      <c r="L5343" s="76"/>
      <c r="M5343" s="76"/>
      <c r="N5343" s="114"/>
    </row>
    <row r="5344">
      <c r="C5344" s="41"/>
      <c r="D5344" s="142"/>
      <c r="E5344" s="130"/>
      <c r="F5344" s="128"/>
      <c r="G5344" s="128"/>
      <c r="H5344" s="128"/>
      <c r="I5344" s="128"/>
      <c r="J5344" s="81"/>
      <c r="K5344" s="81"/>
      <c r="L5344" s="81"/>
      <c r="M5344" s="81"/>
      <c r="N5344" s="82"/>
    </row>
    <row r="5345">
      <c r="C5345" s="41"/>
      <c r="D5345" s="141"/>
      <c r="E5345" s="118"/>
      <c r="F5345" s="126"/>
      <c r="G5345" s="126"/>
      <c r="H5345" s="126"/>
      <c r="I5345" s="126"/>
      <c r="J5345" s="76"/>
      <c r="K5345" s="76"/>
      <c r="L5345" s="76"/>
      <c r="M5345" s="76"/>
      <c r="N5345" s="114"/>
    </row>
    <row r="5346">
      <c r="C5346" s="41"/>
      <c r="D5346" s="142"/>
      <c r="E5346" s="130"/>
      <c r="F5346" s="128"/>
      <c r="G5346" s="128"/>
      <c r="H5346" s="128"/>
      <c r="I5346" s="128"/>
      <c r="J5346" s="81"/>
      <c r="K5346" s="81"/>
      <c r="L5346" s="81"/>
      <c r="M5346" s="81"/>
      <c r="N5346" s="82"/>
    </row>
    <row r="5347">
      <c r="C5347" s="41"/>
      <c r="D5347" s="141"/>
      <c r="E5347" s="118"/>
      <c r="F5347" s="126"/>
      <c r="G5347" s="126"/>
      <c r="H5347" s="126"/>
      <c r="I5347" s="126"/>
      <c r="J5347" s="76"/>
      <c r="K5347" s="76"/>
      <c r="L5347" s="76"/>
      <c r="M5347" s="76"/>
      <c r="N5347" s="114"/>
    </row>
    <row r="5348">
      <c r="C5348" s="41"/>
      <c r="D5348" s="142"/>
      <c r="E5348" s="130"/>
      <c r="F5348" s="128"/>
      <c r="G5348" s="128"/>
      <c r="H5348" s="128"/>
      <c r="I5348" s="128"/>
      <c r="J5348" s="81"/>
      <c r="K5348" s="81"/>
      <c r="L5348" s="81"/>
      <c r="M5348" s="81"/>
      <c r="N5348" s="82"/>
    </row>
    <row r="5349">
      <c r="C5349" s="41"/>
      <c r="D5349" s="141"/>
      <c r="E5349" s="118"/>
      <c r="F5349" s="126"/>
      <c r="G5349" s="126"/>
      <c r="H5349" s="126"/>
      <c r="I5349" s="126"/>
      <c r="J5349" s="76"/>
      <c r="K5349" s="76"/>
      <c r="L5349" s="76"/>
      <c r="M5349" s="76"/>
      <c r="N5349" s="114"/>
    </row>
    <row r="5350">
      <c r="C5350" s="41"/>
      <c r="D5350" s="142"/>
      <c r="E5350" s="130"/>
      <c r="F5350" s="128"/>
      <c r="G5350" s="128"/>
      <c r="H5350" s="128"/>
      <c r="I5350" s="128"/>
      <c r="J5350" s="81"/>
      <c r="K5350" s="81"/>
      <c r="L5350" s="81"/>
      <c r="M5350" s="81"/>
      <c r="N5350" s="82"/>
    </row>
    <row r="5351">
      <c r="C5351" s="41"/>
      <c r="D5351" s="141"/>
      <c r="E5351" s="118"/>
      <c r="F5351" s="126"/>
      <c r="G5351" s="126"/>
      <c r="H5351" s="126"/>
      <c r="I5351" s="126"/>
      <c r="J5351" s="76"/>
      <c r="K5351" s="76"/>
      <c r="L5351" s="76"/>
      <c r="M5351" s="76"/>
      <c r="N5351" s="114"/>
    </row>
    <row r="5352">
      <c r="C5352" s="41"/>
      <c r="D5352" s="142"/>
      <c r="E5352" s="130"/>
      <c r="F5352" s="128"/>
      <c r="G5352" s="128"/>
      <c r="H5352" s="128"/>
      <c r="I5352" s="128"/>
      <c r="J5352" s="81"/>
      <c r="K5352" s="81"/>
      <c r="L5352" s="81"/>
      <c r="M5352" s="81"/>
      <c r="N5352" s="82"/>
    </row>
    <row r="5353">
      <c r="C5353" s="41"/>
      <c r="D5353" s="141"/>
      <c r="E5353" s="118"/>
      <c r="F5353" s="126"/>
      <c r="G5353" s="126"/>
      <c r="H5353" s="126"/>
      <c r="I5353" s="126"/>
      <c r="J5353" s="76"/>
      <c r="K5353" s="76"/>
      <c r="L5353" s="76"/>
      <c r="M5353" s="76"/>
      <c r="N5353" s="114"/>
    </row>
    <row r="5354">
      <c r="C5354" s="41"/>
      <c r="D5354" s="142"/>
      <c r="E5354" s="130"/>
      <c r="F5354" s="128"/>
      <c r="G5354" s="128"/>
      <c r="H5354" s="128"/>
      <c r="I5354" s="128"/>
      <c r="J5354" s="81"/>
      <c r="K5354" s="81"/>
      <c r="L5354" s="81"/>
      <c r="M5354" s="81"/>
      <c r="N5354" s="82"/>
    </row>
    <row r="5355">
      <c r="C5355" s="41"/>
      <c r="D5355" s="141"/>
      <c r="E5355" s="118"/>
      <c r="F5355" s="126"/>
      <c r="G5355" s="126"/>
      <c r="H5355" s="126"/>
      <c r="I5355" s="126"/>
      <c r="J5355" s="76"/>
      <c r="K5355" s="76"/>
      <c r="L5355" s="76"/>
      <c r="M5355" s="76"/>
      <c r="N5355" s="114"/>
    </row>
    <row r="5356">
      <c r="C5356" s="41"/>
      <c r="D5356" s="142"/>
      <c r="E5356" s="130"/>
      <c r="F5356" s="128"/>
      <c r="G5356" s="128"/>
      <c r="H5356" s="128"/>
      <c r="I5356" s="128"/>
      <c r="J5356" s="81"/>
      <c r="K5356" s="81"/>
      <c r="L5356" s="81"/>
      <c r="M5356" s="81"/>
      <c r="N5356" s="82"/>
    </row>
    <row r="5357">
      <c r="C5357" s="41"/>
      <c r="D5357" s="141"/>
      <c r="E5357" s="118"/>
      <c r="F5357" s="126"/>
      <c r="G5357" s="126"/>
      <c r="H5357" s="126"/>
      <c r="I5357" s="126"/>
      <c r="J5357" s="76"/>
      <c r="K5357" s="76"/>
      <c r="L5357" s="76"/>
      <c r="M5357" s="76"/>
      <c r="N5357" s="114"/>
    </row>
    <row r="5358">
      <c r="C5358" s="41"/>
      <c r="D5358" s="142"/>
      <c r="E5358" s="130"/>
      <c r="F5358" s="128"/>
      <c r="G5358" s="128"/>
      <c r="H5358" s="128"/>
      <c r="I5358" s="128"/>
      <c r="J5358" s="81"/>
      <c r="K5358" s="81"/>
      <c r="L5358" s="81"/>
      <c r="M5358" s="81"/>
      <c r="N5358" s="82"/>
    </row>
    <row r="5359">
      <c r="C5359" s="41"/>
      <c r="D5359" s="141"/>
      <c r="E5359" s="118"/>
      <c r="F5359" s="126"/>
      <c r="G5359" s="126"/>
      <c r="H5359" s="126"/>
      <c r="I5359" s="126"/>
      <c r="J5359" s="76"/>
      <c r="K5359" s="76"/>
      <c r="L5359" s="76"/>
      <c r="M5359" s="76"/>
      <c r="N5359" s="114"/>
    </row>
    <row r="5360">
      <c r="C5360" s="41"/>
      <c r="D5360" s="142"/>
      <c r="E5360" s="130"/>
      <c r="F5360" s="128"/>
      <c r="G5360" s="128"/>
      <c r="H5360" s="128"/>
      <c r="I5360" s="128"/>
      <c r="J5360" s="81"/>
      <c r="K5360" s="81"/>
      <c r="L5360" s="81"/>
      <c r="M5360" s="81"/>
      <c r="N5360" s="82"/>
    </row>
    <row r="5361">
      <c r="C5361" s="41"/>
      <c r="D5361" s="141"/>
      <c r="E5361" s="118"/>
      <c r="F5361" s="126"/>
      <c r="G5361" s="126"/>
      <c r="H5361" s="126"/>
      <c r="I5361" s="126"/>
      <c r="J5361" s="76"/>
      <c r="K5361" s="76"/>
      <c r="L5361" s="76"/>
      <c r="M5361" s="76"/>
      <c r="N5361" s="114"/>
    </row>
    <row r="5362">
      <c r="C5362" s="41"/>
      <c r="D5362" s="142"/>
      <c r="E5362" s="130"/>
      <c r="F5362" s="128"/>
      <c r="G5362" s="128"/>
      <c r="H5362" s="128"/>
      <c r="I5362" s="128"/>
      <c r="J5362" s="81"/>
      <c r="K5362" s="81"/>
      <c r="L5362" s="81"/>
      <c r="M5362" s="81"/>
      <c r="N5362" s="82"/>
    </row>
    <row r="5363">
      <c r="C5363" s="41"/>
      <c r="D5363" s="141"/>
      <c r="E5363" s="118"/>
      <c r="F5363" s="126"/>
      <c r="G5363" s="126"/>
      <c r="H5363" s="126"/>
      <c r="I5363" s="126"/>
      <c r="J5363" s="76"/>
      <c r="K5363" s="76"/>
      <c r="L5363" s="76"/>
      <c r="M5363" s="76"/>
      <c r="N5363" s="114"/>
    </row>
    <row r="5364">
      <c r="C5364" s="41"/>
      <c r="D5364" s="142"/>
      <c r="E5364" s="130"/>
      <c r="F5364" s="128"/>
      <c r="G5364" s="128"/>
      <c r="H5364" s="128"/>
      <c r="I5364" s="128"/>
      <c r="J5364" s="81"/>
      <c r="K5364" s="81"/>
      <c r="L5364" s="81"/>
      <c r="M5364" s="81"/>
      <c r="N5364" s="82"/>
    </row>
    <row r="5365">
      <c r="C5365" s="41"/>
      <c r="D5365" s="141"/>
      <c r="E5365" s="118"/>
      <c r="F5365" s="126"/>
      <c r="G5365" s="126"/>
      <c r="H5365" s="126"/>
      <c r="I5365" s="126"/>
      <c r="J5365" s="76"/>
      <c r="K5365" s="76"/>
      <c r="L5365" s="76"/>
      <c r="M5365" s="76"/>
      <c r="N5365" s="114"/>
    </row>
    <row r="5366">
      <c r="C5366" s="41"/>
      <c r="D5366" s="142"/>
      <c r="E5366" s="130"/>
      <c r="F5366" s="128"/>
      <c r="G5366" s="128"/>
      <c r="H5366" s="128"/>
      <c r="I5366" s="128"/>
      <c r="J5366" s="81"/>
      <c r="K5366" s="81"/>
      <c r="L5366" s="81"/>
      <c r="M5366" s="81"/>
      <c r="N5366" s="82"/>
    </row>
    <row r="5367">
      <c r="C5367" s="41"/>
      <c r="D5367" s="141"/>
      <c r="E5367" s="118"/>
      <c r="F5367" s="126"/>
      <c r="G5367" s="126"/>
      <c r="H5367" s="126"/>
      <c r="I5367" s="126"/>
      <c r="J5367" s="76"/>
      <c r="K5367" s="76"/>
      <c r="L5367" s="76"/>
      <c r="M5367" s="76"/>
      <c r="N5367" s="114"/>
    </row>
    <row r="5368">
      <c r="C5368" s="41"/>
      <c r="D5368" s="142"/>
      <c r="E5368" s="130"/>
      <c r="F5368" s="128"/>
      <c r="G5368" s="128"/>
      <c r="H5368" s="128"/>
      <c r="I5368" s="128"/>
      <c r="J5368" s="81"/>
      <c r="K5368" s="81"/>
      <c r="L5368" s="81"/>
      <c r="M5368" s="81"/>
      <c r="N5368" s="82"/>
    </row>
    <row r="5369">
      <c r="C5369" s="41"/>
      <c r="D5369" s="141"/>
      <c r="E5369" s="118"/>
      <c r="F5369" s="126"/>
      <c r="G5369" s="126"/>
      <c r="H5369" s="126"/>
      <c r="I5369" s="126"/>
      <c r="J5369" s="76"/>
      <c r="K5369" s="76"/>
      <c r="L5369" s="76"/>
      <c r="M5369" s="76"/>
      <c r="N5369" s="114"/>
    </row>
    <row r="5370">
      <c r="C5370" s="41"/>
      <c r="D5370" s="142"/>
      <c r="E5370" s="130"/>
      <c r="F5370" s="128"/>
      <c r="G5370" s="128"/>
      <c r="H5370" s="128"/>
      <c r="I5370" s="128"/>
      <c r="J5370" s="81"/>
      <c r="K5370" s="81"/>
      <c r="L5370" s="81"/>
      <c r="M5370" s="81"/>
      <c r="N5370" s="82"/>
    </row>
    <row r="5371">
      <c r="C5371" s="41"/>
      <c r="D5371" s="141"/>
      <c r="E5371" s="118"/>
      <c r="F5371" s="126"/>
      <c r="G5371" s="126"/>
      <c r="H5371" s="126"/>
      <c r="I5371" s="126"/>
      <c r="J5371" s="76"/>
      <c r="K5371" s="76"/>
      <c r="L5371" s="76"/>
      <c r="M5371" s="76"/>
      <c r="N5371" s="114"/>
    </row>
    <row r="5372">
      <c r="C5372" s="41"/>
      <c r="D5372" s="142"/>
      <c r="E5372" s="130"/>
      <c r="F5372" s="128"/>
      <c r="G5372" s="128"/>
      <c r="H5372" s="128"/>
      <c r="I5372" s="128"/>
      <c r="J5372" s="81"/>
      <c r="K5372" s="81"/>
      <c r="L5372" s="81"/>
      <c r="M5372" s="81"/>
      <c r="N5372" s="82"/>
    </row>
    <row r="5373">
      <c r="C5373" s="41"/>
      <c r="D5373" s="141"/>
      <c r="E5373" s="118"/>
      <c r="F5373" s="126"/>
      <c r="G5373" s="126"/>
      <c r="H5373" s="126"/>
      <c r="I5373" s="126"/>
      <c r="J5373" s="76"/>
      <c r="K5373" s="76"/>
      <c r="L5373" s="76"/>
      <c r="M5373" s="76"/>
      <c r="N5373" s="114"/>
    </row>
    <row r="5374">
      <c r="C5374" s="41"/>
      <c r="D5374" s="142"/>
      <c r="E5374" s="130"/>
      <c r="F5374" s="128"/>
      <c r="G5374" s="128"/>
      <c r="H5374" s="128"/>
      <c r="I5374" s="128"/>
      <c r="J5374" s="81"/>
      <c r="K5374" s="81"/>
      <c r="L5374" s="81"/>
      <c r="M5374" s="81"/>
      <c r="N5374" s="82"/>
    </row>
    <row r="5375">
      <c r="C5375" s="41"/>
      <c r="D5375" s="141"/>
      <c r="E5375" s="118"/>
      <c r="F5375" s="126"/>
      <c r="G5375" s="126"/>
      <c r="H5375" s="126"/>
      <c r="I5375" s="126"/>
      <c r="J5375" s="76"/>
      <c r="K5375" s="76"/>
      <c r="L5375" s="76"/>
      <c r="M5375" s="76"/>
      <c r="N5375" s="114"/>
    </row>
    <row r="5376">
      <c r="C5376" s="41"/>
      <c r="D5376" s="142"/>
      <c r="E5376" s="130"/>
      <c r="F5376" s="128"/>
      <c r="G5376" s="128"/>
      <c r="H5376" s="128"/>
      <c r="I5376" s="128"/>
      <c r="J5376" s="81"/>
      <c r="K5376" s="81"/>
      <c r="L5376" s="81"/>
      <c r="M5376" s="81"/>
      <c r="N5376" s="82"/>
    </row>
    <row r="5377">
      <c r="C5377" s="41"/>
      <c r="D5377" s="141"/>
      <c r="E5377" s="118"/>
      <c r="F5377" s="126"/>
      <c r="G5377" s="126"/>
      <c r="H5377" s="126"/>
      <c r="I5377" s="126"/>
      <c r="J5377" s="76"/>
      <c r="K5377" s="76"/>
      <c r="L5377" s="76"/>
      <c r="M5377" s="76"/>
      <c r="N5377" s="114"/>
    </row>
    <row r="5378">
      <c r="C5378" s="41"/>
      <c r="D5378" s="142"/>
      <c r="E5378" s="130"/>
      <c r="F5378" s="128"/>
      <c r="G5378" s="128"/>
      <c r="H5378" s="128"/>
      <c r="I5378" s="128"/>
      <c r="J5378" s="81"/>
      <c r="K5378" s="81"/>
      <c r="L5378" s="81"/>
      <c r="M5378" s="81"/>
      <c r="N5378" s="82"/>
    </row>
    <row r="5379">
      <c r="C5379" s="41"/>
      <c r="D5379" s="141"/>
      <c r="E5379" s="118"/>
      <c r="F5379" s="126"/>
      <c r="G5379" s="126"/>
      <c r="H5379" s="126"/>
      <c r="I5379" s="126"/>
      <c r="J5379" s="76"/>
      <c r="K5379" s="76"/>
      <c r="L5379" s="76"/>
      <c r="M5379" s="76"/>
      <c r="N5379" s="114"/>
    </row>
    <row r="5380">
      <c r="C5380" s="41"/>
      <c r="D5380" s="142"/>
      <c r="E5380" s="130"/>
      <c r="F5380" s="128"/>
      <c r="G5380" s="128"/>
      <c r="H5380" s="128"/>
      <c r="I5380" s="128"/>
      <c r="J5380" s="81"/>
      <c r="K5380" s="81"/>
      <c r="L5380" s="81"/>
      <c r="M5380" s="81"/>
      <c r="N5380" s="82"/>
    </row>
    <row r="5381">
      <c r="C5381" s="41"/>
      <c r="D5381" s="141"/>
      <c r="E5381" s="118"/>
      <c r="F5381" s="126"/>
      <c r="G5381" s="126"/>
      <c r="H5381" s="126"/>
      <c r="I5381" s="126"/>
      <c r="J5381" s="76"/>
      <c r="K5381" s="76"/>
      <c r="L5381" s="76"/>
      <c r="M5381" s="76"/>
      <c r="N5381" s="114"/>
    </row>
    <row r="5382">
      <c r="C5382" s="41"/>
      <c r="D5382" s="142"/>
      <c r="E5382" s="130"/>
      <c r="F5382" s="128"/>
      <c r="G5382" s="128"/>
      <c r="H5382" s="128"/>
      <c r="I5382" s="128"/>
      <c r="J5382" s="81"/>
      <c r="K5382" s="81"/>
      <c r="L5382" s="81"/>
      <c r="M5382" s="81"/>
      <c r="N5382" s="82"/>
    </row>
    <row r="5383">
      <c r="C5383" s="41"/>
      <c r="D5383" s="141"/>
      <c r="E5383" s="118"/>
      <c r="F5383" s="126"/>
      <c r="G5383" s="126"/>
      <c r="H5383" s="126"/>
      <c r="I5383" s="126"/>
      <c r="J5383" s="76"/>
      <c r="K5383" s="76"/>
      <c r="L5383" s="76"/>
      <c r="M5383" s="76"/>
      <c r="N5383" s="114"/>
    </row>
    <row r="5384">
      <c r="C5384" s="41"/>
      <c r="D5384" s="142"/>
      <c r="E5384" s="130"/>
      <c r="F5384" s="128"/>
      <c r="G5384" s="128"/>
      <c r="H5384" s="128"/>
      <c r="I5384" s="128"/>
      <c r="J5384" s="81"/>
      <c r="K5384" s="81"/>
      <c r="L5384" s="81"/>
      <c r="M5384" s="81"/>
      <c r="N5384" s="82"/>
    </row>
    <row r="5385">
      <c r="C5385" s="41"/>
      <c r="D5385" s="141"/>
      <c r="E5385" s="118"/>
      <c r="F5385" s="126"/>
      <c r="G5385" s="126"/>
      <c r="H5385" s="126"/>
      <c r="I5385" s="126"/>
      <c r="J5385" s="76"/>
      <c r="K5385" s="76"/>
      <c r="L5385" s="76"/>
      <c r="M5385" s="76"/>
      <c r="N5385" s="114"/>
    </row>
    <row r="5386">
      <c r="C5386" s="41"/>
      <c r="D5386" s="142"/>
      <c r="E5386" s="130"/>
      <c r="F5386" s="128"/>
      <c r="G5386" s="128"/>
      <c r="H5386" s="128"/>
      <c r="I5386" s="128"/>
      <c r="J5386" s="81"/>
      <c r="K5386" s="81"/>
      <c r="L5386" s="81"/>
      <c r="M5386" s="81"/>
      <c r="N5386" s="82"/>
    </row>
    <row r="5387">
      <c r="C5387" s="41"/>
      <c r="D5387" s="141"/>
      <c r="E5387" s="118"/>
      <c r="F5387" s="126"/>
      <c r="G5387" s="126"/>
      <c r="H5387" s="126"/>
      <c r="I5387" s="126"/>
      <c r="J5387" s="76"/>
      <c r="K5387" s="76"/>
      <c r="L5387" s="76"/>
      <c r="M5387" s="76"/>
      <c r="N5387" s="114"/>
    </row>
    <row r="5388">
      <c r="C5388" s="41"/>
      <c r="D5388" s="142"/>
      <c r="E5388" s="130"/>
      <c r="F5388" s="128"/>
      <c r="G5388" s="128"/>
      <c r="H5388" s="128"/>
      <c r="I5388" s="128"/>
      <c r="J5388" s="81"/>
      <c r="K5388" s="81"/>
      <c r="L5388" s="81"/>
      <c r="M5388" s="81"/>
      <c r="N5388" s="82"/>
    </row>
    <row r="5389">
      <c r="C5389" s="41"/>
      <c r="D5389" s="141"/>
      <c r="E5389" s="118"/>
      <c r="F5389" s="126"/>
      <c r="G5389" s="126"/>
      <c r="H5389" s="126"/>
      <c r="I5389" s="126"/>
      <c r="J5389" s="76"/>
      <c r="K5389" s="76"/>
      <c r="L5389" s="76"/>
      <c r="M5389" s="76"/>
      <c r="N5389" s="114"/>
    </row>
    <row r="5390">
      <c r="C5390" s="41"/>
      <c r="D5390" s="142"/>
      <c r="E5390" s="130"/>
      <c r="F5390" s="128"/>
      <c r="G5390" s="128"/>
      <c r="H5390" s="128"/>
      <c r="I5390" s="128"/>
      <c r="J5390" s="81"/>
      <c r="K5390" s="81"/>
      <c r="L5390" s="81"/>
      <c r="M5390" s="81"/>
      <c r="N5390" s="82"/>
    </row>
    <row r="5391">
      <c r="C5391" s="41"/>
      <c r="D5391" s="141"/>
      <c r="E5391" s="118"/>
      <c r="F5391" s="126"/>
      <c r="G5391" s="126"/>
      <c r="H5391" s="126"/>
      <c r="I5391" s="126"/>
      <c r="J5391" s="76"/>
      <c r="K5391" s="76"/>
      <c r="L5391" s="76"/>
      <c r="M5391" s="76"/>
      <c r="N5391" s="114"/>
    </row>
    <row r="5392">
      <c r="C5392" s="41"/>
      <c r="D5392" s="142"/>
      <c r="E5392" s="130"/>
      <c r="F5392" s="128"/>
      <c r="G5392" s="128"/>
      <c r="H5392" s="128"/>
      <c r="I5392" s="128"/>
      <c r="J5392" s="81"/>
      <c r="K5392" s="81"/>
      <c r="L5392" s="81"/>
      <c r="M5392" s="81"/>
      <c r="N5392" s="82"/>
    </row>
    <row r="5393">
      <c r="C5393" s="41"/>
      <c r="D5393" s="141"/>
      <c r="E5393" s="118"/>
      <c r="F5393" s="126"/>
      <c r="G5393" s="126"/>
      <c r="H5393" s="126"/>
      <c r="I5393" s="126"/>
      <c r="J5393" s="76"/>
      <c r="K5393" s="76"/>
      <c r="L5393" s="76"/>
      <c r="M5393" s="76"/>
      <c r="N5393" s="114"/>
    </row>
    <row r="5394">
      <c r="C5394" s="41"/>
      <c r="D5394" s="142"/>
      <c r="E5394" s="130"/>
      <c r="F5394" s="128"/>
      <c r="G5394" s="128"/>
      <c r="H5394" s="128"/>
      <c r="I5394" s="128"/>
      <c r="J5394" s="81"/>
      <c r="K5394" s="81"/>
      <c r="L5394" s="81"/>
      <c r="M5394" s="81"/>
      <c r="N5394" s="82"/>
    </row>
    <row r="5395">
      <c r="C5395" s="41"/>
      <c r="D5395" s="141"/>
      <c r="E5395" s="118"/>
      <c r="F5395" s="126"/>
      <c r="G5395" s="126"/>
      <c r="H5395" s="126"/>
      <c r="I5395" s="126"/>
      <c r="J5395" s="76"/>
      <c r="K5395" s="76"/>
      <c r="L5395" s="76"/>
      <c r="M5395" s="76"/>
      <c r="N5395" s="114"/>
    </row>
    <row r="5396">
      <c r="C5396" s="41"/>
      <c r="D5396" s="142"/>
      <c r="E5396" s="130"/>
      <c r="F5396" s="128"/>
      <c r="G5396" s="128"/>
      <c r="H5396" s="128"/>
      <c r="I5396" s="128"/>
      <c r="J5396" s="81"/>
      <c r="K5396" s="81"/>
      <c r="L5396" s="81"/>
      <c r="M5396" s="81"/>
      <c r="N5396" s="82"/>
    </row>
    <row r="5397">
      <c r="C5397" s="41"/>
      <c r="D5397" s="141"/>
      <c r="E5397" s="118"/>
      <c r="F5397" s="126"/>
      <c r="G5397" s="126"/>
      <c r="H5397" s="126"/>
      <c r="I5397" s="126"/>
      <c r="J5397" s="76"/>
      <c r="K5397" s="76"/>
      <c r="L5397" s="76"/>
      <c r="M5397" s="76"/>
      <c r="N5397" s="114"/>
    </row>
    <row r="5398">
      <c r="C5398" s="41"/>
      <c r="D5398" s="142"/>
      <c r="E5398" s="130"/>
      <c r="F5398" s="128"/>
      <c r="G5398" s="128"/>
      <c r="H5398" s="128"/>
      <c r="I5398" s="128"/>
      <c r="J5398" s="81"/>
      <c r="K5398" s="81"/>
      <c r="L5398" s="81"/>
      <c r="M5398" s="81"/>
      <c r="N5398" s="82"/>
    </row>
    <row r="5399">
      <c r="C5399" s="41"/>
      <c r="D5399" s="141"/>
      <c r="E5399" s="118"/>
      <c r="F5399" s="126"/>
      <c r="G5399" s="126"/>
      <c r="H5399" s="126"/>
      <c r="I5399" s="126"/>
      <c r="J5399" s="76"/>
      <c r="K5399" s="76"/>
      <c r="L5399" s="76"/>
      <c r="M5399" s="76"/>
      <c r="N5399" s="114"/>
    </row>
    <row r="5400">
      <c r="C5400" s="41"/>
      <c r="D5400" s="142"/>
      <c r="E5400" s="130"/>
      <c r="F5400" s="128"/>
      <c r="G5400" s="128"/>
      <c r="H5400" s="128"/>
      <c r="I5400" s="128"/>
      <c r="J5400" s="81"/>
      <c r="K5400" s="81"/>
      <c r="L5400" s="81"/>
      <c r="M5400" s="81"/>
      <c r="N5400" s="82"/>
    </row>
    <row r="5401">
      <c r="C5401" s="41"/>
      <c r="D5401" s="141"/>
      <c r="E5401" s="118"/>
      <c r="F5401" s="126"/>
      <c r="G5401" s="126"/>
      <c r="H5401" s="126"/>
      <c r="I5401" s="126"/>
      <c r="J5401" s="76"/>
      <c r="K5401" s="76"/>
      <c r="L5401" s="76"/>
      <c r="M5401" s="76"/>
      <c r="N5401" s="114"/>
    </row>
    <row r="5402">
      <c r="C5402" s="41"/>
      <c r="D5402" s="142"/>
      <c r="E5402" s="130"/>
      <c r="F5402" s="128"/>
      <c r="G5402" s="128"/>
      <c r="H5402" s="128"/>
      <c r="I5402" s="128"/>
      <c r="J5402" s="81"/>
      <c r="K5402" s="81"/>
      <c r="L5402" s="81"/>
      <c r="M5402" s="81"/>
      <c r="N5402" s="82"/>
    </row>
    <row r="5403">
      <c r="C5403" s="41"/>
      <c r="D5403" s="141"/>
      <c r="E5403" s="118"/>
      <c r="F5403" s="126"/>
      <c r="G5403" s="126"/>
      <c r="H5403" s="126"/>
      <c r="I5403" s="126"/>
      <c r="J5403" s="76"/>
      <c r="K5403" s="76"/>
      <c r="L5403" s="76"/>
      <c r="M5403" s="76"/>
      <c r="N5403" s="114"/>
    </row>
    <row r="5404">
      <c r="C5404" s="41"/>
      <c r="D5404" s="142"/>
      <c r="E5404" s="130"/>
      <c r="F5404" s="128"/>
      <c r="G5404" s="128"/>
      <c r="H5404" s="128"/>
      <c r="I5404" s="128"/>
      <c r="J5404" s="81"/>
      <c r="K5404" s="81"/>
      <c r="L5404" s="81"/>
      <c r="M5404" s="81"/>
      <c r="N5404" s="82"/>
    </row>
    <row r="5405">
      <c r="C5405" s="41"/>
      <c r="D5405" s="141"/>
      <c r="E5405" s="118"/>
      <c r="F5405" s="126"/>
      <c r="G5405" s="126"/>
      <c r="H5405" s="126"/>
      <c r="I5405" s="126"/>
      <c r="J5405" s="76"/>
      <c r="K5405" s="76"/>
      <c r="L5405" s="76"/>
      <c r="M5405" s="76"/>
      <c r="N5405" s="114"/>
    </row>
    <row r="5406">
      <c r="C5406" s="41"/>
      <c r="D5406" s="142"/>
      <c r="E5406" s="130"/>
      <c r="F5406" s="128"/>
      <c r="G5406" s="128"/>
      <c r="H5406" s="128"/>
      <c r="I5406" s="128"/>
      <c r="J5406" s="81"/>
      <c r="K5406" s="81"/>
      <c r="L5406" s="81"/>
      <c r="M5406" s="81"/>
      <c r="N5406" s="82"/>
    </row>
    <row r="5407">
      <c r="C5407" s="41"/>
      <c r="D5407" s="141"/>
      <c r="E5407" s="118"/>
      <c r="F5407" s="126"/>
      <c r="G5407" s="126"/>
      <c r="H5407" s="126"/>
      <c r="I5407" s="126"/>
      <c r="J5407" s="76"/>
      <c r="K5407" s="76"/>
      <c r="L5407" s="76"/>
      <c r="M5407" s="76"/>
      <c r="N5407" s="114"/>
    </row>
    <row r="5408">
      <c r="C5408" s="41"/>
      <c r="D5408" s="142"/>
      <c r="E5408" s="130"/>
      <c r="F5408" s="128"/>
      <c r="G5408" s="128"/>
      <c r="H5408" s="128"/>
      <c r="I5408" s="128"/>
      <c r="J5408" s="81"/>
      <c r="K5408" s="81"/>
      <c r="L5408" s="81"/>
      <c r="M5408" s="81"/>
      <c r="N5408" s="82"/>
    </row>
    <row r="5409">
      <c r="C5409" s="41"/>
      <c r="D5409" s="141"/>
      <c r="E5409" s="118"/>
      <c r="F5409" s="126"/>
      <c r="G5409" s="126"/>
      <c r="H5409" s="126"/>
      <c r="I5409" s="126"/>
      <c r="J5409" s="76"/>
      <c r="K5409" s="76"/>
      <c r="L5409" s="76"/>
      <c r="M5409" s="76"/>
      <c r="N5409" s="114"/>
    </row>
    <row r="5410">
      <c r="C5410" s="41"/>
      <c r="D5410" s="142"/>
      <c r="E5410" s="130"/>
      <c r="F5410" s="128"/>
      <c r="G5410" s="128"/>
      <c r="H5410" s="128"/>
      <c r="I5410" s="128"/>
      <c r="J5410" s="81"/>
      <c r="K5410" s="81"/>
      <c r="L5410" s="81"/>
      <c r="M5410" s="81"/>
      <c r="N5410" s="82"/>
    </row>
    <row r="5411">
      <c r="C5411" s="41"/>
      <c r="D5411" s="141"/>
      <c r="E5411" s="118"/>
      <c r="F5411" s="126"/>
      <c r="G5411" s="126"/>
      <c r="H5411" s="126"/>
      <c r="I5411" s="126"/>
      <c r="J5411" s="76"/>
      <c r="K5411" s="76"/>
      <c r="L5411" s="76"/>
      <c r="M5411" s="76"/>
      <c r="N5411" s="114"/>
    </row>
    <row r="5412">
      <c r="C5412" s="41"/>
      <c r="D5412" s="142"/>
      <c r="E5412" s="130"/>
      <c r="F5412" s="128"/>
      <c r="G5412" s="128"/>
      <c r="H5412" s="128"/>
      <c r="I5412" s="128"/>
      <c r="J5412" s="81"/>
      <c r="K5412" s="81"/>
      <c r="L5412" s="81"/>
      <c r="M5412" s="81"/>
      <c r="N5412" s="82"/>
    </row>
    <row r="5413">
      <c r="C5413" s="41"/>
      <c r="D5413" s="141"/>
      <c r="E5413" s="118"/>
      <c r="F5413" s="126"/>
      <c r="G5413" s="126"/>
      <c r="H5413" s="126"/>
      <c r="I5413" s="126"/>
      <c r="J5413" s="76"/>
      <c r="K5413" s="76"/>
      <c r="L5413" s="76"/>
      <c r="M5413" s="76"/>
      <c r="N5413" s="114"/>
    </row>
    <row r="5414">
      <c r="C5414" s="41"/>
      <c r="D5414" s="142"/>
      <c r="E5414" s="130"/>
      <c r="F5414" s="128"/>
      <c r="G5414" s="128"/>
      <c r="H5414" s="128"/>
      <c r="I5414" s="128"/>
      <c r="J5414" s="81"/>
      <c r="K5414" s="81"/>
      <c r="L5414" s="81"/>
      <c r="M5414" s="81"/>
      <c r="N5414" s="82"/>
    </row>
    <row r="5415">
      <c r="C5415" s="41"/>
      <c r="D5415" s="141"/>
      <c r="E5415" s="118"/>
      <c r="F5415" s="126"/>
      <c r="G5415" s="126"/>
      <c r="H5415" s="126"/>
      <c r="I5415" s="126"/>
      <c r="J5415" s="76"/>
      <c r="K5415" s="76"/>
      <c r="L5415" s="76"/>
      <c r="M5415" s="76"/>
      <c r="N5415" s="114"/>
    </row>
    <row r="5416">
      <c r="C5416" s="41"/>
      <c r="D5416" s="142"/>
      <c r="E5416" s="130"/>
      <c r="F5416" s="128"/>
      <c r="G5416" s="128"/>
      <c r="H5416" s="128"/>
      <c r="I5416" s="128"/>
      <c r="J5416" s="81"/>
      <c r="K5416" s="81"/>
      <c r="L5416" s="81"/>
      <c r="M5416" s="81"/>
      <c r="N5416" s="82"/>
    </row>
    <row r="5417">
      <c r="C5417" s="41"/>
      <c r="D5417" s="141"/>
      <c r="E5417" s="118"/>
      <c r="F5417" s="126"/>
      <c r="G5417" s="126"/>
      <c r="H5417" s="126"/>
      <c r="I5417" s="126"/>
      <c r="J5417" s="76"/>
      <c r="K5417" s="76"/>
      <c r="L5417" s="76"/>
      <c r="M5417" s="76"/>
      <c r="N5417" s="114"/>
    </row>
    <row r="5418">
      <c r="C5418" s="41"/>
      <c r="D5418" s="142"/>
      <c r="E5418" s="130"/>
      <c r="F5418" s="128"/>
      <c r="G5418" s="128"/>
      <c r="H5418" s="128"/>
      <c r="I5418" s="128"/>
      <c r="J5418" s="81"/>
      <c r="K5418" s="81"/>
      <c r="L5418" s="81"/>
      <c r="M5418" s="81"/>
      <c r="N5418" s="82"/>
    </row>
    <row r="5419">
      <c r="C5419" s="41"/>
      <c r="D5419" s="141"/>
      <c r="E5419" s="118"/>
      <c r="F5419" s="126"/>
      <c r="G5419" s="126"/>
      <c r="H5419" s="126"/>
      <c r="I5419" s="126"/>
      <c r="J5419" s="76"/>
      <c r="K5419" s="76"/>
      <c r="L5419" s="76"/>
      <c r="M5419" s="76"/>
      <c r="N5419" s="114"/>
    </row>
    <row r="5420">
      <c r="C5420" s="41"/>
      <c r="D5420" s="142"/>
      <c r="E5420" s="130"/>
      <c r="F5420" s="128"/>
      <c r="G5420" s="128"/>
      <c r="H5420" s="128"/>
      <c r="I5420" s="128"/>
      <c r="J5420" s="81"/>
      <c r="K5420" s="81"/>
      <c r="L5420" s="81"/>
      <c r="M5420" s="81"/>
      <c r="N5420" s="82"/>
    </row>
    <row r="5421">
      <c r="C5421" s="41"/>
      <c r="D5421" s="141"/>
      <c r="E5421" s="118"/>
      <c r="F5421" s="126"/>
      <c r="G5421" s="126"/>
      <c r="H5421" s="126"/>
      <c r="I5421" s="126"/>
      <c r="J5421" s="76"/>
      <c r="K5421" s="76"/>
      <c r="L5421" s="76"/>
      <c r="M5421" s="76"/>
      <c r="N5421" s="114"/>
    </row>
    <row r="5422">
      <c r="C5422" s="41"/>
      <c r="D5422" s="142"/>
      <c r="E5422" s="130"/>
      <c r="F5422" s="128"/>
      <c r="G5422" s="128"/>
      <c r="H5422" s="128"/>
      <c r="I5422" s="128"/>
      <c r="J5422" s="81"/>
      <c r="K5422" s="81"/>
      <c r="L5422" s="81"/>
      <c r="M5422" s="81"/>
      <c r="N5422" s="82"/>
    </row>
    <row r="5423">
      <c r="C5423" s="41"/>
      <c r="D5423" s="141"/>
      <c r="E5423" s="118"/>
      <c r="F5423" s="126"/>
      <c r="G5423" s="126"/>
      <c r="H5423" s="126"/>
      <c r="I5423" s="126"/>
      <c r="J5423" s="76"/>
      <c r="K5423" s="76"/>
      <c r="L5423" s="76"/>
      <c r="M5423" s="76"/>
      <c r="N5423" s="114"/>
    </row>
    <row r="5424">
      <c r="C5424" s="41"/>
      <c r="D5424" s="142"/>
      <c r="E5424" s="130"/>
      <c r="F5424" s="128"/>
      <c r="G5424" s="128"/>
      <c r="H5424" s="128"/>
      <c r="I5424" s="128"/>
      <c r="J5424" s="81"/>
      <c r="K5424" s="81"/>
      <c r="L5424" s="81"/>
      <c r="M5424" s="81"/>
      <c r="N5424" s="82"/>
    </row>
    <row r="5425">
      <c r="C5425" s="41"/>
      <c r="D5425" s="141"/>
      <c r="E5425" s="118"/>
      <c r="F5425" s="126"/>
      <c r="G5425" s="126"/>
      <c r="H5425" s="126"/>
      <c r="I5425" s="126"/>
      <c r="J5425" s="76"/>
      <c r="K5425" s="76"/>
      <c r="L5425" s="76"/>
      <c r="M5425" s="76"/>
      <c r="N5425" s="114"/>
    </row>
    <row r="5426">
      <c r="C5426" s="41"/>
      <c r="D5426" s="142"/>
      <c r="E5426" s="130"/>
      <c r="F5426" s="128"/>
      <c r="G5426" s="128"/>
      <c r="H5426" s="128"/>
      <c r="I5426" s="128"/>
      <c r="J5426" s="81"/>
      <c r="K5426" s="81"/>
      <c r="L5426" s="81"/>
      <c r="M5426" s="81"/>
      <c r="N5426" s="82"/>
    </row>
    <row r="5427">
      <c r="C5427" s="41"/>
      <c r="D5427" s="141"/>
      <c r="E5427" s="118"/>
      <c r="F5427" s="126"/>
      <c r="G5427" s="126"/>
      <c r="H5427" s="126"/>
      <c r="I5427" s="126"/>
      <c r="J5427" s="76"/>
      <c r="K5427" s="76"/>
      <c r="L5427" s="76"/>
      <c r="M5427" s="76"/>
      <c r="N5427" s="114"/>
    </row>
    <row r="5428">
      <c r="C5428" s="41"/>
      <c r="D5428" s="142"/>
      <c r="E5428" s="130"/>
      <c r="F5428" s="128"/>
      <c r="G5428" s="128"/>
      <c r="H5428" s="128"/>
      <c r="I5428" s="128"/>
      <c r="J5428" s="81"/>
      <c r="K5428" s="81"/>
      <c r="L5428" s="81"/>
      <c r="M5428" s="81"/>
      <c r="N5428" s="82"/>
    </row>
    <row r="5429">
      <c r="C5429" s="41"/>
      <c r="D5429" s="141"/>
      <c r="E5429" s="118"/>
      <c r="F5429" s="126"/>
      <c r="G5429" s="126"/>
      <c r="H5429" s="126"/>
      <c r="I5429" s="126"/>
      <c r="J5429" s="76"/>
      <c r="K5429" s="76"/>
      <c r="L5429" s="76"/>
      <c r="M5429" s="76"/>
      <c r="N5429" s="114"/>
    </row>
    <row r="5430">
      <c r="C5430" s="41"/>
      <c r="D5430" s="142"/>
      <c r="E5430" s="130"/>
      <c r="F5430" s="128"/>
      <c r="G5430" s="128"/>
      <c r="H5430" s="128"/>
      <c r="I5430" s="128"/>
      <c r="J5430" s="81"/>
      <c r="K5430" s="81"/>
      <c r="L5430" s="81"/>
      <c r="M5430" s="81"/>
      <c r="N5430" s="82"/>
    </row>
    <row r="5431">
      <c r="C5431" s="41"/>
      <c r="D5431" s="141"/>
      <c r="E5431" s="118"/>
      <c r="F5431" s="126"/>
      <c r="G5431" s="126"/>
      <c r="H5431" s="126"/>
      <c r="I5431" s="126"/>
      <c r="J5431" s="76"/>
      <c r="K5431" s="76"/>
      <c r="L5431" s="76"/>
      <c r="M5431" s="76"/>
      <c r="N5431" s="114"/>
    </row>
    <row r="5432">
      <c r="C5432" s="41"/>
      <c r="D5432" s="142"/>
      <c r="E5432" s="130"/>
      <c r="F5432" s="128"/>
      <c r="G5432" s="128"/>
      <c r="H5432" s="128"/>
      <c r="I5432" s="128"/>
      <c r="J5432" s="81"/>
      <c r="K5432" s="81"/>
      <c r="L5432" s="81"/>
      <c r="M5432" s="81"/>
      <c r="N5432" s="82"/>
    </row>
    <row r="5433">
      <c r="C5433" s="41"/>
      <c r="D5433" s="141"/>
      <c r="E5433" s="118"/>
      <c r="F5433" s="126"/>
      <c r="G5433" s="126"/>
      <c r="H5433" s="126"/>
      <c r="I5433" s="126"/>
      <c r="J5433" s="76"/>
      <c r="K5433" s="76"/>
      <c r="L5433" s="76"/>
      <c r="M5433" s="76"/>
      <c r="N5433" s="114"/>
    </row>
    <row r="5434">
      <c r="C5434" s="41"/>
      <c r="D5434" s="142"/>
      <c r="E5434" s="130"/>
      <c r="F5434" s="128"/>
      <c r="G5434" s="128"/>
      <c r="H5434" s="128"/>
      <c r="I5434" s="128"/>
      <c r="J5434" s="81"/>
      <c r="K5434" s="81"/>
      <c r="L5434" s="81"/>
      <c r="M5434" s="81"/>
      <c r="N5434" s="82"/>
    </row>
    <row r="5435">
      <c r="C5435" s="41"/>
      <c r="D5435" s="141"/>
      <c r="E5435" s="118"/>
      <c r="F5435" s="126"/>
      <c r="G5435" s="126"/>
      <c r="H5435" s="126"/>
      <c r="I5435" s="126"/>
      <c r="J5435" s="76"/>
      <c r="K5435" s="76"/>
      <c r="L5435" s="76"/>
      <c r="M5435" s="76"/>
      <c r="N5435" s="114"/>
    </row>
    <row r="5436">
      <c r="C5436" s="41"/>
      <c r="D5436" s="142"/>
      <c r="E5436" s="130"/>
      <c r="F5436" s="128"/>
      <c r="G5436" s="128"/>
      <c r="H5436" s="128"/>
      <c r="I5436" s="128"/>
      <c r="J5436" s="81"/>
      <c r="K5436" s="81"/>
      <c r="L5436" s="81"/>
      <c r="M5436" s="81"/>
      <c r="N5436" s="82"/>
    </row>
    <row r="5437">
      <c r="C5437" s="41"/>
      <c r="D5437" s="141"/>
      <c r="E5437" s="118"/>
      <c r="F5437" s="126"/>
      <c r="G5437" s="126"/>
      <c r="H5437" s="126"/>
      <c r="I5437" s="126"/>
      <c r="J5437" s="76"/>
      <c r="K5437" s="76"/>
      <c r="L5437" s="76"/>
      <c r="M5437" s="76"/>
      <c r="N5437" s="114"/>
    </row>
    <row r="5438">
      <c r="C5438" s="41"/>
      <c r="D5438" s="142"/>
      <c r="E5438" s="130"/>
      <c r="F5438" s="128"/>
      <c r="G5438" s="128"/>
      <c r="H5438" s="128"/>
      <c r="I5438" s="128"/>
      <c r="J5438" s="81"/>
      <c r="K5438" s="81"/>
      <c r="L5438" s="81"/>
      <c r="M5438" s="81"/>
      <c r="N5438" s="82"/>
    </row>
    <row r="5439">
      <c r="C5439" s="41"/>
      <c r="D5439" s="141"/>
      <c r="E5439" s="118"/>
      <c r="F5439" s="126"/>
      <c r="G5439" s="126"/>
      <c r="H5439" s="126"/>
      <c r="I5439" s="126"/>
      <c r="J5439" s="76"/>
      <c r="K5439" s="76"/>
      <c r="L5439" s="76"/>
      <c r="M5439" s="76"/>
      <c r="N5439" s="114"/>
    </row>
    <row r="5440">
      <c r="C5440" s="41"/>
      <c r="D5440" s="142"/>
      <c r="E5440" s="130"/>
      <c r="F5440" s="128"/>
      <c r="G5440" s="128"/>
      <c r="H5440" s="128"/>
      <c r="I5440" s="128"/>
      <c r="J5440" s="81"/>
      <c r="K5440" s="81"/>
      <c r="L5440" s="81"/>
      <c r="M5440" s="81"/>
      <c r="N5440" s="82"/>
    </row>
    <row r="5441">
      <c r="C5441" s="41"/>
      <c r="D5441" s="141"/>
      <c r="E5441" s="118"/>
      <c r="F5441" s="126"/>
      <c r="G5441" s="126"/>
      <c r="H5441" s="126"/>
      <c r="I5441" s="126"/>
      <c r="J5441" s="76"/>
      <c r="K5441" s="76"/>
      <c r="L5441" s="76"/>
      <c r="M5441" s="76"/>
      <c r="N5441" s="114"/>
    </row>
    <row r="5442">
      <c r="C5442" s="41"/>
      <c r="D5442" s="142"/>
      <c r="E5442" s="130"/>
      <c r="F5442" s="128"/>
      <c r="G5442" s="128"/>
      <c r="H5442" s="128"/>
      <c r="I5442" s="128"/>
      <c r="J5442" s="81"/>
      <c r="K5442" s="81"/>
      <c r="L5442" s="81"/>
      <c r="M5442" s="81"/>
      <c r="N5442" s="82"/>
    </row>
    <row r="5443">
      <c r="C5443" s="41"/>
      <c r="D5443" s="141"/>
      <c r="E5443" s="118"/>
      <c r="F5443" s="126"/>
      <c r="G5443" s="126"/>
      <c r="H5443" s="126"/>
      <c r="I5443" s="126"/>
      <c r="J5443" s="76"/>
      <c r="K5443" s="76"/>
      <c r="L5443" s="76"/>
      <c r="M5443" s="76"/>
      <c r="N5443" s="114"/>
    </row>
    <row r="5444">
      <c r="C5444" s="41"/>
      <c r="D5444" s="142"/>
      <c r="E5444" s="130"/>
      <c r="F5444" s="128"/>
      <c r="G5444" s="128"/>
      <c r="H5444" s="128"/>
      <c r="I5444" s="128"/>
      <c r="J5444" s="81"/>
      <c r="K5444" s="81"/>
      <c r="L5444" s="81"/>
      <c r="M5444" s="81"/>
      <c r="N5444" s="82"/>
    </row>
    <row r="5445">
      <c r="C5445" s="41"/>
      <c r="D5445" s="141"/>
      <c r="E5445" s="118"/>
      <c r="F5445" s="126"/>
      <c r="G5445" s="126"/>
      <c r="H5445" s="126"/>
      <c r="I5445" s="126"/>
      <c r="J5445" s="76"/>
      <c r="K5445" s="76"/>
      <c r="L5445" s="76"/>
      <c r="M5445" s="76"/>
      <c r="N5445" s="114"/>
    </row>
    <row r="5446">
      <c r="C5446" s="41"/>
      <c r="D5446" s="142"/>
      <c r="E5446" s="130"/>
      <c r="F5446" s="128"/>
      <c r="G5446" s="128"/>
      <c r="H5446" s="128"/>
      <c r="I5446" s="128"/>
      <c r="J5446" s="81"/>
      <c r="K5446" s="81"/>
      <c r="L5446" s="81"/>
      <c r="M5446" s="81"/>
      <c r="N5446" s="82"/>
    </row>
    <row r="5447">
      <c r="C5447" s="41"/>
      <c r="D5447" s="141"/>
      <c r="E5447" s="118"/>
      <c r="F5447" s="126"/>
      <c r="G5447" s="126"/>
      <c r="H5447" s="126"/>
      <c r="I5447" s="126"/>
      <c r="J5447" s="76"/>
      <c r="K5447" s="76"/>
      <c r="L5447" s="76"/>
      <c r="M5447" s="76"/>
      <c r="N5447" s="114"/>
    </row>
    <row r="5448">
      <c r="C5448" s="41"/>
      <c r="D5448" s="142"/>
      <c r="E5448" s="130"/>
      <c r="F5448" s="128"/>
      <c r="G5448" s="128"/>
      <c r="H5448" s="128"/>
      <c r="I5448" s="128"/>
      <c r="J5448" s="81"/>
      <c r="K5448" s="81"/>
      <c r="L5448" s="81"/>
      <c r="M5448" s="81"/>
      <c r="N5448" s="82"/>
    </row>
    <row r="5449">
      <c r="C5449" s="41"/>
      <c r="D5449" s="141"/>
      <c r="E5449" s="118"/>
      <c r="F5449" s="126"/>
      <c r="G5449" s="126"/>
      <c r="H5449" s="126"/>
      <c r="I5449" s="126"/>
      <c r="J5449" s="76"/>
      <c r="K5449" s="76"/>
      <c r="L5449" s="76"/>
      <c r="M5449" s="76"/>
      <c r="N5449" s="114"/>
    </row>
    <row r="5450">
      <c r="C5450" s="41"/>
      <c r="D5450" s="142"/>
      <c r="E5450" s="130"/>
      <c r="F5450" s="128"/>
      <c r="G5450" s="128"/>
      <c r="H5450" s="128"/>
      <c r="I5450" s="128"/>
      <c r="J5450" s="81"/>
      <c r="K5450" s="81"/>
      <c r="L5450" s="81"/>
      <c r="M5450" s="81"/>
      <c r="N5450" s="82"/>
    </row>
    <row r="5451">
      <c r="C5451" s="41"/>
      <c r="D5451" s="141"/>
      <c r="E5451" s="118"/>
      <c r="F5451" s="126"/>
      <c r="G5451" s="126"/>
      <c r="H5451" s="126"/>
      <c r="I5451" s="126"/>
      <c r="J5451" s="76"/>
      <c r="K5451" s="76"/>
      <c r="L5451" s="76"/>
      <c r="M5451" s="76"/>
      <c r="N5451" s="114"/>
    </row>
    <row r="5452">
      <c r="C5452" s="41"/>
      <c r="D5452" s="142"/>
      <c r="E5452" s="130"/>
      <c r="F5452" s="128"/>
      <c r="G5452" s="128"/>
      <c r="H5452" s="128"/>
      <c r="I5452" s="128"/>
      <c r="J5452" s="81"/>
      <c r="K5452" s="81"/>
      <c r="L5452" s="81"/>
      <c r="M5452" s="81"/>
      <c r="N5452" s="82"/>
    </row>
    <row r="5453">
      <c r="C5453" s="41"/>
      <c r="D5453" s="141"/>
      <c r="E5453" s="118"/>
      <c r="F5453" s="126"/>
      <c r="G5453" s="126"/>
      <c r="H5453" s="126"/>
      <c r="I5453" s="126"/>
      <c r="J5453" s="76"/>
      <c r="K5453" s="76"/>
      <c r="L5453" s="76"/>
      <c r="M5453" s="76"/>
      <c r="N5453" s="114"/>
    </row>
    <row r="5454">
      <c r="C5454" s="41"/>
      <c r="D5454" s="142"/>
      <c r="E5454" s="130"/>
      <c r="F5454" s="128"/>
      <c r="G5454" s="128"/>
      <c r="H5454" s="128"/>
      <c r="I5454" s="128"/>
      <c r="J5454" s="81"/>
      <c r="K5454" s="81"/>
      <c r="L5454" s="81"/>
      <c r="M5454" s="81"/>
      <c r="N5454" s="82"/>
    </row>
    <row r="5455">
      <c r="C5455" s="41"/>
      <c r="D5455" s="141"/>
      <c r="E5455" s="118"/>
      <c r="F5455" s="126"/>
      <c r="G5455" s="126"/>
      <c r="H5455" s="126"/>
      <c r="I5455" s="126"/>
      <c r="J5455" s="76"/>
      <c r="K5455" s="76"/>
      <c r="L5455" s="76"/>
      <c r="M5455" s="76"/>
      <c r="N5455" s="114"/>
    </row>
    <row r="5456">
      <c r="C5456" s="41"/>
      <c r="D5456" s="142"/>
      <c r="E5456" s="130"/>
      <c r="F5456" s="128"/>
      <c r="G5456" s="128"/>
      <c r="H5456" s="128"/>
      <c r="I5456" s="128"/>
      <c r="J5456" s="81"/>
      <c r="K5456" s="81"/>
      <c r="L5456" s="81"/>
      <c r="M5456" s="81"/>
      <c r="N5456" s="82"/>
    </row>
    <row r="5457">
      <c r="C5457" s="41"/>
      <c r="D5457" s="141"/>
      <c r="E5457" s="118"/>
      <c r="F5457" s="126"/>
      <c r="G5457" s="126"/>
      <c r="H5457" s="126"/>
      <c r="I5457" s="126"/>
      <c r="J5457" s="76"/>
      <c r="K5457" s="76"/>
      <c r="L5457" s="76"/>
      <c r="M5457" s="76"/>
      <c r="N5457" s="114"/>
    </row>
    <row r="5458">
      <c r="C5458" s="41"/>
      <c r="D5458" s="142"/>
      <c r="E5458" s="130"/>
      <c r="F5458" s="128"/>
      <c r="G5458" s="128"/>
      <c r="H5458" s="128"/>
      <c r="I5458" s="128"/>
      <c r="J5458" s="81"/>
      <c r="K5458" s="81"/>
      <c r="L5458" s="81"/>
      <c r="M5458" s="81"/>
      <c r="N5458" s="82"/>
    </row>
    <row r="5459">
      <c r="C5459" s="41"/>
      <c r="D5459" s="141"/>
      <c r="E5459" s="118"/>
      <c r="F5459" s="126"/>
      <c r="G5459" s="126"/>
      <c r="H5459" s="126"/>
      <c r="I5459" s="126"/>
      <c r="J5459" s="76"/>
      <c r="K5459" s="76"/>
      <c r="L5459" s="76"/>
      <c r="M5459" s="76"/>
      <c r="N5459" s="114"/>
    </row>
    <row r="5460">
      <c r="C5460" s="41"/>
      <c r="D5460" s="142"/>
      <c r="E5460" s="130"/>
      <c r="F5460" s="128"/>
      <c r="G5460" s="128"/>
      <c r="H5460" s="128"/>
      <c r="I5460" s="128"/>
      <c r="J5460" s="81"/>
      <c r="K5460" s="81"/>
      <c r="L5460" s="81"/>
      <c r="M5460" s="81"/>
      <c r="N5460" s="82"/>
    </row>
    <row r="5461">
      <c r="C5461" s="41"/>
      <c r="D5461" s="141"/>
      <c r="E5461" s="118"/>
      <c r="F5461" s="126"/>
      <c r="G5461" s="126"/>
      <c r="H5461" s="126"/>
      <c r="I5461" s="126"/>
      <c r="J5461" s="76"/>
      <c r="K5461" s="76"/>
      <c r="L5461" s="76"/>
      <c r="M5461" s="76"/>
      <c r="N5461" s="114"/>
    </row>
    <row r="5462">
      <c r="C5462" s="41"/>
      <c r="D5462" s="142"/>
      <c r="E5462" s="130"/>
      <c r="F5462" s="128"/>
      <c r="G5462" s="128"/>
      <c r="H5462" s="128"/>
      <c r="I5462" s="128"/>
      <c r="J5462" s="81"/>
      <c r="K5462" s="81"/>
      <c r="L5462" s="81"/>
      <c r="M5462" s="81"/>
      <c r="N5462" s="82"/>
    </row>
    <row r="5463">
      <c r="C5463" s="41"/>
      <c r="D5463" s="141"/>
      <c r="E5463" s="118"/>
      <c r="F5463" s="126"/>
      <c r="G5463" s="126"/>
      <c r="H5463" s="126"/>
      <c r="I5463" s="126"/>
      <c r="J5463" s="76"/>
      <c r="K5463" s="76"/>
      <c r="L5463" s="76"/>
      <c r="M5463" s="76"/>
      <c r="N5463" s="114"/>
    </row>
    <row r="5464">
      <c r="C5464" s="41"/>
      <c r="D5464" s="142"/>
      <c r="E5464" s="130"/>
      <c r="F5464" s="128"/>
      <c r="G5464" s="128"/>
      <c r="H5464" s="128"/>
      <c r="I5464" s="128"/>
      <c r="J5464" s="81"/>
      <c r="K5464" s="81"/>
      <c r="L5464" s="81"/>
      <c r="M5464" s="81"/>
      <c r="N5464" s="82"/>
    </row>
    <row r="5465">
      <c r="C5465" s="41"/>
      <c r="D5465" s="141"/>
      <c r="E5465" s="118"/>
      <c r="F5465" s="126"/>
      <c r="G5465" s="126"/>
      <c r="H5465" s="126"/>
      <c r="I5465" s="126"/>
      <c r="J5465" s="76"/>
      <c r="K5465" s="76"/>
      <c r="L5465" s="76"/>
      <c r="M5465" s="76"/>
      <c r="N5465" s="114"/>
    </row>
    <row r="5466">
      <c r="C5466" s="41"/>
      <c r="D5466" s="142"/>
      <c r="E5466" s="130"/>
      <c r="F5466" s="128"/>
      <c r="G5466" s="128"/>
      <c r="H5466" s="128"/>
      <c r="I5466" s="128"/>
      <c r="J5466" s="81"/>
      <c r="K5466" s="81"/>
      <c r="L5466" s="81"/>
      <c r="M5466" s="81"/>
      <c r="N5466" s="82"/>
    </row>
    <row r="5467">
      <c r="C5467" s="41"/>
      <c r="D5467" s="141"/>
      <c r="E5467" s="118"/>
      <c r="F5467" s="126"/>
      <c r="G5467" s="126"/>
      <c r="H5467" s="126"/>
      <c r="I5467" s="126"/>
      <c r="J5467" s="76"/>
      <c r="K5467" s="76"/>
      <c r="L5467" s="76"/>
      <c r="M5467" s="76"/>
      <c r="N5467" s="114"/>
    </row>
    <row r="5468">
      <c r="C5468" s="41"/>
      <c r="D5468" s="142"/>
      <c r="E5468" s="130"/>
      <c r="F5468" s="128"/>
      <c r="G5468" s="128"/>
      <c r="H5468" s="128"/>
      <c r="I5468" s="128"/>
      <c r="J5468" s="81"/>
      <c r="K5468" s="81"/>
      <c r="L5468" s="81"/>
      <c r="M5468" s="81"/>
      <c r="N5468" s="82"/>
    </row>
    <row r="5469">
      <c r="C5469" s="41"/>
      <c r="D5469" s="141"/>
      <c r="E5469" s="118"/>
      <c r="F5469" s="126"/>
      <c r="G5469" s="126"/>
      <c r="H5469" s="126"/>
      <c r="I5469" s="126"/>
      <c r="J5469" s="76"/>
      <c r="K5469" s="76"/>
      <c r="L5469" s="76"/>
      <c r="M5469" s="76"/>
      <c r="N5469" s="114"/>
    </row>
    <row r="5470">
      <c r="C5470" s="41"/>
      <c r="D5470" s="142"/>
      <c r="E5470" s="130"/>
      <c r="F5470" s="128"/>
      <c r="G5470" s="128"/>
      <c r="H5470" s="128"/>
      <c r="I5470" s="128"/>
      <c r="J5470" s="81"/>
      <c r="K5470" s="81"/>
      <c r="L5470" s="81"/>
      <c r="M5470" s="81"/>
      <c r="N5470" s="82"/>
    </row>
    <row r="5471">
      <c r="C5471" s="41"/>
      <c r="D5471" s="141"/>
      <c r="E5471" s="118"/>
      <c r="F5471" s="126"/>
      <c r="G5471" s="126"/>
      <c r="H5471" s="126"/>
      <c r="I5471" s="126"/>
      <c r="J5471" s="76"/>
      <c r="K5471" s="76"/>
      <c r="L5471" s="76"/>
      <c r="M5471" s="76"/>
      <c r="N5471" s="114"/>
    </row>
    <row r="5472">
      <c r="C5472" s="41"/>
      <c r="D5472" s="142"/>
      <c r="E5472" s="130"/>
      <c r="F5472" s="128"/>
      <c r="G5472" s="128"/>
      <c r="H5472" s="128"/>
      <c r="I5472" s="128"/>
      <c r="J5472" s="81"/>
      <c r="K5472" s="81"/>
      <c r="L5472" s="81"/>
      <c r="M5472" s="81"/>
      <c r="N5472" s="82"/>
    </row>
    <row r="5473">
      <c r="C5473" s="41"/>
      <c r="D5473" s="141"/>
      <c r="E5473" s="118"/>
      <c r="F5473" s="126"/>
      <c r="G5473" s="126"/>
      <c r="H5473" s="126"/>
      <c r="I5473" s="126"/>
      <c r="J5473" s="76"/>
      <c r="K5473" s="76"/>
      <c r="L5473" s="76"/>
      <c r="M5473" s="76"/>
      <c r="N5473" s="114"/>
    </row>
    <row r="5474">
      <c r="C5474" s="41"/>
      <c r="D5474" s="142"/>
      <c r="E5474" s="130"/>
      <c r="F5474" s="128"/>
      <c r="G5474" s="128"/>
      <c r="H5474" s="128"/>
      <c r="I5474" s="128"/>
      <c r="J5474" s="81"/>
      <c r="K5474" s="81"/>
      <c r="L5474" s="81"/>
      <c r="M5474" s="81"/>
      <c r="N5474" s="82"/>
    </row>
    <row r="5475">
      <c r="C5475" s="41"/>
      <c r="D5475" s="141"/>
      <c r="E5475" s="118"/>
      <c r="F5475" s="126"/>
      <c r="G5475" s="126"/>
      <c r="H5475" s="126"/>
      <c r="I5475" s="126"/>
      <c r="J5475" s="76"/>
      <c r="K5475" s="76"/>
      <c r="L5475" s="76"/>
      <c r="M5475" s="76"/>
      <c r="N5475" s="114"/>
    </row>
    <row r="5476">
      <c r="C5476" s="41"/>
      <c r="D5476" s="142"/>
      <c r="E5476" s="130"/>
      <c r="F5476" s="128"/>
      <c r="G5476" s="128"/>
      <c r="H5476" s="128"/>
      <c r="I5476" s="128"/>
      <c r="J5476" s="81"/>
      <c r="K5476" s="81"/>
      <c r="L5476" s="81"/>
      <c r="M5476" s="81"/>
      <c r="N5476" s="82"/>
    </row>
    <row r="5477">
      <c r="C5477" s="41"/>
      <c r="D5477" s="141"/>
      <c r="E5477" s="118"/>
      <c r="F5477" s="126"/>
      <c r="G5477" s="126"/>
      <c r="H5477" s="126"/>
      <c r="I5477" s="126"/>
      <c r="J5477" s="76"/>
      <c r="K5477" s="76"/>
      <c r="L5477" s="76"/>
      <c r="M5477" s="76"/>
      <c r="N5477" s="114"/>
    </row>
    <row r="5478">
      <c r="C5478" s="41"/>
      <c r="D5478" s="142"/>
      <c r="E5478" s="130"/>
      <c r="F5478" s="128"/>
      <c r="G5478" s="128"/>
      <c r="H5478" s="128"/>
      <c r="I5478" s="128"/>
      <c r="J5478" s="81"/>
      <c r="K5478" s="81"/>
      <c r="L5478" s="81"/>
      <c r="M5478" s="81"/>
      <c r="N5478" s="82"/>
    </row>
    <row r="5479">
      <c r="C5479" s="41"/>
      <c r="D5479" s="141"/>
      <c r="E5479" s="118"/>
      <c r="F5479" s="126"/>
      <c r="G5479" s="126"/>
      <c r="H5479" s="126"/>
      <c r="I5479" s="126"/>
      <c r="J5479" s="76"/>
      <c r="K5479" s="76"/>
      <c r="L5479" s="76"/>
      <c r="M5479" s="76"/>
      <c r="N5479" s="114"/>
    </row>
    <row r="5480">
      <c r="C5480" s="41"/>
      <c r="D5480" s="142"/>
      <c r="E5480" s="130"/>
      <c r="F5480" s="128"/>
      <c r="G5480" s="128"/>
      <c r="H5480" s="128"/>
      <c r="I5480" s="128"/>
      <c r="J5480" s="81"/>
      <c r="K5480" s="81"/>
      <c r="L5480" s="81"/>
      <c r="M5480" s="81"/>
      <c r="N5480" s="82"/>
    </row>
    <row r="5481">
      <c r="C5481" s="41"/>
      <c r="D5481" s="141"/>
      <c r="E5481" s="118"/>
      <c r="F5481" s="126"/>
      <c r="G5481" s="126"/>
      <c r="H5481" s="126"/>
      <c r="I5481" s="126"/>
      <c r="J5481" s="76"/>
      <c r="K5481" s="76"/>
      <c r="L5481" s="76"/>
      <c r="M5481" s="76"/>
      <c r="N5481" s="114"/>
    </row>
    <row r="5482">
      <c r="C5482" s="41"/>
      <c r="D5482" s="142"/>
      <c r="E5482" s="130"/>
      <c r="F5482" s="128"/>
      <c r="G5482" s="128"/>
      <c r="H5482" s="128"/>
      <c r="I5482" s="128"/>
      <c r="J5482" s="81"/>
      <c r="K5482" s="81"/>
      <c r="L5482" s="81"/>
      <c r="M5482" s="81"/>
      <c r="N5482" s="82"/>
    </row>
    <row r="5483">
      <c r="C5483" s="41"/>
      <c r="D5483" s="141"/>
      <c r="E5483" s="118"/>
      <c r="F5483" s="126"/>
      <c r="G5483" s="126"/>
      <c r="H5483" s="126"/>
      <c r="I5483" s="126"/>
      <c r="J5483" s="76"/>
      <c r="K5483" s="76"/>
      <c r="L5483" s="76"/>
      <c r="M5483" s="76"/>
      <c r="N5483" s="114"/>
    </row>
    <row r="5484">
      <c r="C5484" s="41"/>
      <c r="D5484" s="142"/>
      <c r="E5484" s="130"/>
      <c r="F5484" s="128"/>
      <c r="G5484" s="128"/>
      <c r="H5484" s="128"/>
      <c r="I5484" s="128"/>
      <c r="J5484" s="81"/>
      <c r="K5484" s="81"/>
      <c r="L5484" s="81"/>
      <c r="M5484" s="81"/>
      <c r="N5484" s="82"/>
    </row>
    <row r="5485">
      <c r="C5485" s="41"/>
      <c r="D5485" s="141"/>
      <c r="E5485" s="118"/>
      <c r="F5485" s="126"/>
      <c r="G5485" s="126"/>
      <c r="H5485" s="126"/>
      <c r="I5485" s="126"/>
      <c r="J5485" s="76"/>
      <c r="K5485" s="76"/>
      <c r="L5485" s="76"/>
      <c r="M5485" s="76"/>
      <c r="N5485" s="114"/>
    </row>
    <row r="5486">
      <c r="C5486" s="41"/>
      <c r="D5486" s="142"/>
      <c r="E5486" s="130"/>
      <c r="F5486" s="128"/>
      <c r="G5486" s="128"/>
      <c r="H5486" s="128"/>
      <c r="I5486" s="128"/>
      <c r="J5486" s="81"/>
      <c r="K5486" s="81"/>
      <c r="L5486" s="81"/>
      <c r="M5486" s="81"/>
      <c r="N5486" s="82"/>
    </row>
    <row r="5487">
      <c r="C5487" s="41"/>
      <c r="D5487" s="141"/>
      <c r="E5487" s="118"/>
      <c r="F5487" s="126"/>
      <c r="G5487" s="126"/>
      <c r="H5487" s="126"/>
      <c r="I5487" s="126"/>
      <c r="J5487" s="76"/>
      <c r="K5487" s="76"/>
      <c r="L5487" s="76"/>
      <c r="M5487" s="76"/>
      <c r="N5487" s="114"/>
    </row>
    <row r="5488">
      <c r="C5488" s="41"/>
      <c r="D5488" s="142"/>
      <c r="E5488" s="130"/>
      <c r="F5488" s="128"/>
      <c r="G5488" s="128"/>
      <c r="H5488" s="128"/>
      <c r="I5488" s="128"/>
      <c r="J5488" s="81"/>
      <c r="K5488" s="81"/>
      <c r="L5488" s="81"/>
      <c r="M5488" s="81"/>
      <c r="N5488" s="82"/>
    </row>
    <row r="5489">
      <c r="C5489" s="41"/>
      <c r="D5489" s="141"/>
      <c r="E5489" s="118"/>
      <c r="F5489" s="126"/>
      <c r="G5489" s="126"/>
      <c r="H5489" s="126"/>
      <c r="I5489" s="126"/>
      <c r="J5489" s="76"/>
      <c r="K5489" s="76"/>
      <c r="L5489" s="76"/>
      <c r="M5489" s="76"/>
      <c r="N5489" s="114"/>
    </row>
    <row r="5490">
      <c r="C5490" s="41"/>
      <c r="D5490" s="142"/>
      <c r="E5490" s="130"/>
      <c r="F5490" s="128"/>
      <c r="G5490" s="128"/>
      <c r="H5490" s="128"/>
      <c r="I5490" s="128"/>
      <c r="J5490" s="81"/>
      <c r="K5490" s="81"/>
      <c r="L5490" s="81"/>
      <c r="M5490" s="81"/>
      <c r="N5490" s="82"/>
    </row>
    <row r="5491">
      <c r="C5491" s="41"/>
      <c r="D5491" s="141"/>
      <c r="E5491" s="118"/>
      <c r="F5491" s="126"/>
      <c r="G5491" s="126"/>
      <c r="H5491" s="126"/>
      <c r="I5491" s="126"/>
      <c r="J5491" s="76"/>
      <c r="K5491" s="76"/>
      <c r="L5491" s="76"/>
      <c r="M5491" s="76"/>
      <c r="N5491" s="114"/>
    </row>
    <row r="5492">
      <c r="C5492" s="41"/>
      <c r="D5492" s="142"/>
      <c r="E5492" s="130"/>
      <c r="F5492" s="128"/>
      <c r="G5492" s="128"/>
      <c r="H5492" s="128"/>
      <c r="I5492" s="128"/>
      <c r="J5492" s="81"/>
      <c r="K5492" s="81"/>
      <c r="L5492" s="81"/>
      <c r="M5492" s="81"/>
      <c r="N5492" s="82"/>
    </row>
    <row r="5493">
      <c r="C5493" s="41"/>
      <c r="D5493" s="141"/>
      <c r="E5493" s="118"/>
      <c r="F5493" s="126"/>
      <c r="G5493" s="126"/>
      <c r="H5493" s="126"/>
      <c r="I5493" s="126"/>
      <c r="J5493" s="76"/>
      <c r="K5493" s="76"/>
      <c r="L5493" s="76"/>
      <c r="M5493" s="76"/>
      <c r="N5493" s="114"/>
    </row>
    <row r="5494">
      <c r="C5494" s="41"/>
      <c r="D5494" s="142"/>
      <c r="E5494" s="130"/>
      <c r="F5494" s="128"/>
      <c r="G5494" s="128"/>
      <c r="H5494" s="128"/>
      <c r="I5494" s="128"/>
      <c r="J5494" s="81"/>
      <c r="K5494" s="81"/>
      <c r="L5494" s="81"/>
      <c r="M5494" s="81"/>
      <c r="N5494" s="82"/>
    </row>
    <row r="5495">
      <c r="C5495" s="41"/>
      <c r="D5495" s="141"/>
      <c r="E5495" s="118"/>
      <c r="F5495" s="126"/>
      <c r="G5495" s="126"/>
      <c r="H5495" s="126"/>
      <c r="I5495" s="126"/>
      <c r="J5495" s="76"/>
      <c r="K5495" s="76"/>
      <c r="L5495" s="76"/>
      <c r="M5495" s="76"/>
      <c r="N5495" s="114"/>
    </row>
    <row r="5496">
      <c r="C5496" s="41"/>
      <c r="D5496" s="142"/>
      <c r="E5496" s="130"/>
      <c r="F5496" s="128"/>
      <c r="G5496" s="128"/>
      <c r="H5496" s="128"/>
      <c r="I5496" s="128"/>
      <c r="J5496" s="81"/>
      <c r="K5496" s="81"/>
      <c r="L5496" s="81"/>
      <c r="M5496" s="81"/>
      <c r="N5496" s="82"/>
    </row>
    <row r="5497">
      <c r="C5497" s="41"/>
      <c r="D5497" s="141"/>
      <c r="E5497" s="118"/>
      <c r="F5497" s="126"/>
      <c r="G5497" s="126"/>
      <c r="H5497" s="126"/>
      <c r="I5497" s="126"/>
      <c r="J5497" s="76"/>
      <c r="K5497" s="76"/>
      <c r="L5497" s="76"/>
      <c r="M5497" s="76"/>
      <c r="N5497" s="114"/>
    </row>
    <row r="5498">
      <c r="C5498" s="41"/>
      <c r="D5498" s="142"/>
      <c r="E5498" s="130"/>
      <c r="F5498" s="128"/>
      <c r="G5498" s="128"/>
      <c r="H5498" s="128"/>
      <c r="I5498" s="128"/>
      <c r="J5498" s="81"/>
      <c r="K5498" s="81"/>
      <c r="L5498" s="81"/>
      <c r="M5498" s="81"/>
      <c r="N5498" s="82"/>
    </row>
    <row r="5499">
      <c r="C5499" s="41"/>
      <c r="D5499" s="141"/>
      <c r="E5499" s="118"/>
      <c r="F5499" s="126"/>
      <c r="G5499" s="126"/>
      <c r="H5499" s="126"/>
      <c r="I5499" s="126"/>
      <c r="J5499" s="76"/>
      <c r="K5499" s="76"/>
      <c r="L5499" s="76"/>
      <c r="M5499" s="76"/>
      <c r="N5499" s="114"/>
    </row>
    <row r="5500">
      <c r="C5500" s="41"/>
      <c r="D5500" s="142"/>
      <c r="E5500" s="130"/>
      <c r="F5500" s="128"/>
      <c r="G5500" s="128"/>
      <c r="H5500" s="128"/>
      <c r="I5500" s="128"/>
      <c r="J5500" s="81"/>
      <c r="K5500" s="81"/>
      <c r="L5500" s="81"/>
      <c r="M5500" s="81"/>
      <c r="N5500" s="82"/>
    </row>
    <row r="5501">
      <c r="C5501" s="41"/>
      <c r="D5501" s="141"/>
      <c r="E5501" s="118"/>
      <c r="F5501" s="126"/>
      <c r="G5501" s="126"/>
      <c r="H5501" s="126"/>
      <c r="I5501" s="126"/>
      <c r="J5501" s="76"/>
      <c r="K5501" s="76"/>
      <c r="L5501" s="76"/>
      <c r="M5501" s="76"/>
      <c r="N5501" s="114"/>
    </row>
    <row r="5502">
      <c r="C5502" s="41"/>
      <c r="D5502" s="142"/>
      <c r="E5502" s="130"/>
      <c r="F5502" s="128"/>
      <c r="G5502" s="128"/>
      <c r="H5502" s="128"/>
      <c r="I5502" s="128"/>
      <c r="J5502" s="81"/>
      <c r="K5502" s="81"/>
      <c r="L5502" s="81"/>
      <c r="M5502" s="81"/>
      <c r="N5502" s="82"/>
    </row>
    <row r="5503">
      <c r="C5503" s="41"/>
      <c r="D5503" s="141"/>
      <c r="E5503" s="118"/>
      <c r="F5503" s="126"/>
      <c r="G5503" s="126"/>
      <c r="H5503" s="126"/>
      <c r="I5503" s="126"/>
      <c r="J5503" s="76"/>
      <c r="K5503" s="76"/>
      <c r="L5503" s="76"/>
      <c r="M5503" s="76"/>
      <c r="N5503" s="114"/>
    </row>
    <row r="5504">
      <c r="C5504" s="41"/>
      <c r="D5504" s="142"/>
      <c r="E5504" s="130"/>
      <c r="F5504" s="128"/>
      <c r="G5504" s="128"/>
      <c r="H5504" s="128"/>
      <c r="I5504" s="128"/>
      <c r="J5504" s="81"/>
      <c r="K5504" s="81"/>
      <c r="L5504" s="81"/>
      <c r="M5504" s="81"/>
      <c r="N5504" s="82"/>
    </row>
    <row r="5505">
      <c r="C5505" s="41"/>
      <c r="D5505" s="141"/>
      <c r="E5505" s="118"/>
      <c r="F5505" s="126"/>
      <c r="G5505" s="126"/>
      <c r="H5505" s="126"/>
      <c r="I5505" s="126"/>
      <c r="J5505" s="76"/>
      <c r="K5505" s="76"/>
      <c r="L5505" s="76"/>
      <c r="M5505" s="76"/>
      <c r="N5505" s="114"/>
    </row>
    <row r="5506">
      <c r="C5506" s="41"/>
      <c r="D5506" s="142"/>
      <c r="E5506" s="130"/>
      <c r="F5506" s="128"/>
      <c r="G5506" s="128"/>
      <c r="H5506" s="128"/>
      <c r="I5506" s="128"/>
      <c r="J5506" s="81"/>
      <c r="K5506" s="81"/>
      <c r="L5506" s="81"/>
      <c r="M5506" s="81"/>
      <c r="N5506" s="82"/>
    </row>
    <row r="5507">
      <c r="C5507" s="41"/>
      <c r="D5507" s="141"/>
      <c r="E5507" s="118"/>
      <c r="F5507" s="126"/>
      <c r="G5507" s="126"/>
      <c r="H5507" s="126"/>
      <c r="I5507" s="126"/>
      <c r="J5507" s="76"/>
      <c r="K5507" s="76"/>
      <c r="L5507" s="76"/>
      <c r="M5507" s="76"/>
      <c r="N5507" s="114"/>
    </row>
    <row r="5508">
      <c r="C5508" s="41"/>
      <c r="D5508" s="142"/>
      <c r="E5508" s="130"/>
      <c r="F5508" s="128"/>
      <c r="G5508" s="128"/>
      <c r="H5508" s="128"/>
      <c r="I5508" s="128"/>
      <c r="J5508" s="81"/>
      <c r="K5508" s="81"/>
      <c r="L5508" s="81"/>
      <c r="M5508" s="81"/>
      <c r="N5508" s="82"/>
    </row>
    <row r="5509">
      <c r="C5509" s="41"/>
      <c r="D5509" s="141"/>
      <c r="E5509" s="118"/>
      <c r="F5509" s="126"/>
      <c r="G5509" s="126"/>
      <c r="H5509" s="126"/>
      <c r="I5509" s="126"/>
      <c r="J5509" s="76"/>
      <c r="K5509" s="76"/>
      <c r="L5509" s="76"/>
      <c r="M5509" s="76"/>
      <c r="N5509" s="114"/>
    </row>
    <row r="5510">
      <c r="C5510" s="41"/>
      <c r="D5510" s="142"/>
      <c r="E5510" s="130"/>
      <c r="F5510" s="128"/>
      <c r="G5510" s="128"/>
      <c r="H5510" s="128"/>
      <c r="I5510" s="128"/>
      <c r="J5510" s="81"/>
      <c r="K5510" s="81"/>
      <c r="L5510" s="81"/>
      <c r="M5510" s="81"/>
      <c r="N5510" s="82"/>
    </row>
    <row r="5511">
      <c r="C5511" s="41"/>
      <c r="D5511" s="141"/>
      <c r="E5511" s="118"/>
      <c r="F5511" s="126"/>
      <c r="G5511" s="126"/>
      <c r="H5511" s="126"/>
      <c r="I5511" s="126"/>
      <c r="J5511" s="76"/>
      <c r="K5511" s="76"/>
      <c r="L5511" s="76"/>
      <c r="M5511" s="76"/>
      <c r="N5511" s="114"/>
    </row>
    <row r="5512">
      <c r="C5512" s="41"/>
      <c r="D5512" s="142"/>
      <c r="E5512" s="130"/>
      <c r="F5512" s="128"/>
      <c r="G5512" s="128"/>
      <c r="H5512" s="128"/>
      <c r="I5512" s="128"/>
      <c r="J5512" s="81"/>
      <c r="K5512" s="81"/>
      <c r="L5512" s="81"/>
      <c r="M5512" s="81"/>
      <c r="N5512" s="82"/>
    </row>
    <row r="5513">
      <c r="C5513" s="41"/>
      <c r="D5513" s="141"/>
      <c r="E5513" s="118"/>
      <c r="F5513" s="126"/>
      <c r="G5513" s="126"/>
      <c r="H5513" s="126"/>
      <c r="I5513" s="126"/>
      <c r="J5513" s="76"/>
      <c r="K5513" s="76"/>
      <c r="L5513" s="76"/>
      <c r="M5513" s="76"/>
      <c r="N5513" s="114"/>
    </row>
    <row r="5514">
      <c r="C5514" s="41"/>
      <c r="D5514" s="142"/>
      <c r="E5514" s="130"/>
      <c r="F5514" s="128"/>
      <c r="G5514" s="128"/>
      <c r="H5514" s="128"/>
      <c r="I5514" s="128"/>
      <c r="J5514" s="81"/>
      <c r="K5514" s="81"/>
      <c r="L5514" s="81"/>
      <c r="M5514" s="81"/>
      <c r="N5514" s="82"/>
    </row>
    <row r="5515">
      <c r="C5515" s="41"/>
      <c r="D5515" s="141"/>
      <c r="E5515" s="118"/>
      <c r="F5515" s="126"/>
      <c r="G5515" s="126"/>
      <c r="H5515" s="126"/>
      <c r="I5515" s="126"/>
      <c r="J5515" s="76"/>
      <c r="K5515" s="76"/>
      <c r="L5515" s="76"/>
      <c r="M5515" s="76"/>
      <c r="N5515" s="114"/>
    </row>
    <row r="5516">
      <c r="C5516" s="41"/>
      <c r="D5516" s="142"/>
      <c r="E5516" s="130"/>
      <c r="F5516" s="128"/>
      <c r="G5516" s="128"/>
      <c r="H5516" s="128"/>
      <c r="I5516" s="128"/>
      <c r="J5516" s="81"/>
      <c r="K5516" s="81"/>
      <c r="L5516" s="81"/>
      <c r="M5516" s="81"/>
      <c r="N5516" s="82"/>
    </row>
    <row r="5517">
      <c r="C5517" s="41"/>
      <c r="D5517" s="141"/>
      <c r="E5517" s="118"/>
      <c r="F5517" s="126"/>
      <c r="G5517" s="126"/>
      <c r="H5517" s="126"/>
      <c r="I5517" s="126"/>
      <c r="J5517" s="76"/>
      <c r="K5517" s="76"/>
      <c r="L5517" s="76"/>
      <c r="M5517" s="76"/>
      <c r="N5517" s="114"/>
    </row>
    <row r="5518">
      <c r="C5518" s="41"/>
      <c r="D5518" s="142"/>
      <c r="E5518" s="130"/>
      <c r="F5518" s="128"/>
      <c r="G5518" s="128"/>
      <c r="H5518" s="128"/>
      <c r="I5518" s="128"/>
      <c r="J5518" s="81"/>
      <c r="K5518" s="81"/>
      <c r="L5518" s="81"/>
      <c r="M5518" s="81"/>
      <c r="N5518" s="82"/>
    </row>
    <row r="5519">
      <c r="C5519" s="41"/>
      <c r="D5519" s="141"/>
      <c r="E5519" s="118"/>
      <c r="F5519" s="126"/>
      <c r="G5519" s="126"/>
      <c r="H5519" s="126"/>
      <c r="I5519" s="126"/>
      <c r="J5519" s="76"/>
      <c r="K5519" s="76"/>
      <c r="L5519" s="76"/>
      <c r="M5519" s="76"/>
      <c r="N5519" s="114"/>
    </row>
    <row r="5520">
      <c r="C5520" s="41"/>
      <c r="D5520" s="142"/>
      <c r="E5520" s="130"/>
      <c r="F5520" s="128"/>
      <c r="G5520" s="128"/>
      <c r="H5520" s="128"/>
      <c r="I5520" s="128"/>
      <c r="J5520" s="81"/>
      <c r="K5520" s="81"/>
      <c r="L5520" s="81"/>
      <c r="M5520" s="81"/>
      <c r="N5520" s="82"/>
    </row>
    <row r="5521">
      <c r="C5521" s="41"/>
      <c r="D5521" s="141"/>
      <c r="E5521" s="118"/>
      <c r="F5521" s="126"/>
      <c r="G5521" s="126"/>
      <c r="H5521" s="126"/>
      <c r="I5521" s="126"/>
      <c r="J5521" s="76"/>
      <c r="K5521" s="76"/>
      <c r="L5521" s="76"/>
      <c r="M5521" s="76"/>
      <c r="N5521" s="114"/>
    </row>
    <row r="5522">
      <c r="C5522" s="41"/>
      <c r="D5522" s="142"/>
      <c r="E5522" s="130"/>
      <c r="F5522" s="128"/>
      <c r="G5522" s="128"/>
      <c r="H5522" s="128"/>
      <c r="I5522" s="128"/>
      <c r="J5522" s="81"/>
      <c r="K5522" s="81"/>
      <c r="L5522" s="81"/>
      <c r="M5522" s="81"/>
      <c r="N5522" s="82"/>
    </row>
    <row r="5523">
      <c r="C5523" s="41"/>
      <c r="D5523" s="141"/>
      <c r="E5523" s="118"/>
      <c r="F5523" s="126"/>
      <c r="G5523" s="126"/>
      <c r="H5523" s="126"/>
      <c r="I5523" s="126"/>
      <c r="J5523" s="76"/>
      <c r="K5523" s="76"/>
      <c r="L5523" s="76"/>
      <c r="M5523" s="76"/>
      <c r="N5523" s="114"/>
    </row>
    <row r="5524">
      <c r="C5524" s="41"/>
      <c r="D5524" s="142"/>
      <c r="E5524" s="130"/>
      <c r="F5524" s="128"/>
      <c r="G5524" s="128"/>
      <c r="H5524" s="128"/>
      <c r="I5524" s="128"/>
      <c r="J5524" s="81"/>
      <c r="K5524" s="81"/>
      <c r="L5524" s="81"/>
      <c r="M5524" s="81"/>
      <c r="N5524" s="82"/>
    </row>
    <row r="5525">
      <c r="C5525" s="41"/>
      <c r="D5525" s="141"/>
      <c r="E5525" s="118"/>
      <c r="F5525" s="126"/>
      <c r="G5525" s="126"/>
      <c r="H5525" s="126"/>
      <c r="I5525" s="126"/>
      <c r="J5525" s="76"/>
      <c r="K5525" s="76"/>
      <c r="L5525" s="76"/>
      <c r="M5525" s="76"/>
      <c r="N5525" s="114"/>
    </row>
    <row r="5526">
      <c r="C5526" s="41"/>
      <c r="D5526" s="142"/>
      <c r="E5526" s="130"/>
      <c r="F5526" s="128"/>
      <c r="G5526" s="128"/>
      <c r="H5526" s="128"/>
      <c r="I5526" s="128"/>
      <c r="J5526" s="81"/>
      <c r="K5526" s="81"/>
      <c r="L5526" s="81"/>
      <c r="M5526" s="81"/>
      <c r="N5526" s="82"/>
    </row>
    <row r="5527">
      <c r="C5527" s="41"/>
      <c r="D5527" s="141"/>
      <c r="E5527" s="118"/>
      <c r="F5527" s="126"/>
      <c r="G5527" s="126"/>
      <c r="H5527" s="126"/>
      <c r="I5527" s="126"/>
      <c r="J5527" s="76"/>
      <c r="K5527" s="76"/>
      <c r="L5527" s="76"/>
      <c r="M5527" s="76"/>
      <c r="N5527" s="114"/>
    </row>
    <row r="5528">
      <c r="C5528" s="41"/>
      <c r="D5528" s="142"/>
      <c r="E5528" s="130"/>
      <c r="F5528" s="128"/>
      <c r="G5528" s="128"/>
      <c r="H5528" s="128"/>
      <c r="I5528" s="128"/>
      <c r="J5528" s="81"/>
      <c r="K5528" s="81"/>
      <c r="L5528" s="81"/>
      <c r="M5528" s="81"/>
      <c r="N5528" s="82"/>
    </row>
    <row r="5529">
      <c r="C5529" s="41"/>
      <c r="D5529" s="141"/>
      <c r="E5529" s="118"/>
      <c r="F5529" s="126"/>
      <c r="G5529" s="126"/>
      <c r="H5529" s="126"/>
      <c r="I5529" s="126"/>
      <c r="J5529" s="76"/>
      <c r="K5529" s="76"/>
      <c r="L5529" s="76"/>
      <c r="M5529" s="76"/>
      <c r="N5529" s="114"/>
    </row>
    <row r="5530">
      <c r="C5530" s="41"/>
      <c r="D5530" s="142"/>
      <c r="E5530" s="130"/>
      <c r="F5530" s="128"/>
      <c r="G5530" s="128"/>
      <c r="H5530" s="128"/>
      <c r="I5530" s="128"/>
      <c r="J5530" s="81"/>
      <c r="K5530" s="81"/>
      <c r="L5530" s="81"/>
      <c r="M5530" s="81"/>
      <c r="N5530" s="82"/>
    </row>
    <row r="5531">
      <c r="C5531" s="41"/>
      <c r="D5531" s="141"/>
      <c r="E5531" s="118"/>
      <c r="F5531" s="126"/>
      <c r="G5531" s="126"/>
      <c r="H5531" s="126"/>
      <c r="I5531" s="126"/>
      <c r="J5531" s="76"/>
      <c r="K5531" s="76"/>
      <c r="L5531" s="76"/>
      <c r="M5531" s="76"/>
      <c r="N5531" s="114"/>
    </row>
    <row r="5532">
      <c r="C5532" s="41"/>
      <c r="D5532" s="142"/>
      <c r="E5532" s="130"/>
      <c r="F5532" s="128"/>
      <c r="G5532" s="128"/>
      <c r="H5532" s="128"/>
      <c r="I5532" s="128"/>
      <c r="J5532" s="81"/>
      <c r="K5532" s="81"/>
      <c r="L5532" s="81"/>
      <c r="M5532" s="81"/>
      <c r="N5532" s="82"/>
    </row>
    <row r="5533">
      <c r="C5533" s="41"/>
      <c r="D5533" s="141"/>
      <c r="E5533" s="118"/>
      <c r="F5533" s="126"/>
      <c r="G5533" s="126"/>
      <c r="H5533" s="126"/>
      <c r="I5533" s="126"/>
      <c r="J5533" s="76"/>
      <c r="K5533" s="76"/>
      <c r="L5533" s="76"/>
      <c r="M5533" s="76"/>
      <c r="N5533" s="114"/>
    </row>
    <row r="5534">
      <c r="C5534" s="41"/>
      <c r="D5534" s="142"/>
      <c r="E5534" s="130"/>
      <c r="F5534" s="128"/>
      <c r="G5534" s="128"/>
      <c r="H5534" s="128"/>
      <c r="I5534" s="128"/>
      <c r="J5534" s="81"/>
      <c r="K5534" s="81"/>
      <c r="L5534" s="81"/>
      <c r="M5534" s="81"/>
      <c r="N5534" s="82"/>
    </row>
    <row r="5535">
      <c r="C5535" s="41"/>
      <c r="D5535" s="141"/>
      <c r="E5535" s="118"/>
      <c r="F5535" s="126"/>
      <c r="G5535" s="126"/>
      <c r="H5535" s="126"/>
      <c r="I5535" s="126"/>
      <c r="J5535" s="76"/>
      <c r="K5535" s="76"/>
      <c r="L5535" s="76"/>
      <c r="M5535" s="76"/>
      <c r="N5535" s="114"/>
    </row>
    <row r="5536">
      <c r="C5536" s="41"/>
      <c r="D5536" s="142"/>
      <c r="E5536" s="130"/>
      <c r="F5536" s="128"/>
      <c r="G5536" s="128"/>
      <c r="H5536" s="128"/>
      <c r="I5536" s="128"/>
      <c r="J5536" s="81"/>
      <c r="K5536" s="81"/>
      <c r="L5536" s="81"/>
      <c r="M5536" s="81"/>
      <c r="N5536" s="82"/>
    </row>
    <row r="5537">
      <c r="C5537" s="41"/>
      <c r="D5537" s="141"/>
      <c r="E5537" s="118"/>
      <c r="F5537" s="126"/>
      <c r="G5537" s="126"/>
      <c r="H5537" s="126"/>
      <c r="I5537" s="126"/>
      <c r="J5537" s="76"/>
      <c r="K5537" s="76"/>
      <c r="L5537" s="76"/>
      <c r="M5537" s="76"/>
      <c r="N5537" s="114"/>
    </row>
    <row r="5538">
      <c r="C5538" s="41"/>
      <c r="D5538" s="142"/>
      <c r="E5538" s="130"/>
      <c r="F5538" s="128"/>
      <c r="G5538" s="128"/>
      <c r="H5538" s="128"/>
      <c r="I5538" s="128"/>
      <c r="J5538" s="81"/>
      <c r="K5538" s="81"/>
      <c r="L5538" s="81"/>
      <c r="M5538" s="81"/>
      <c r="N5538" s="82"/>
    </row>
    <row r="5539">
      <c r="C5539" s="41"/>
      <c r="D5539" s="141"/>
      <c r="E5539" s="118"/>
      <c r="F5539" s="126"/>
      <c r="G5539" s="126"/>
      <c r="H5539" s="126"/>
      <c r="I5539" s="126"/>
      <c r="J5539" s="76"/>
      <c r="K5539" s="76"/>
      <c r="L5539" s="76"/>
      <c r="M5539" s="76"/>
      <c r="N5539" s="114"/>
    </row>
    <row r="5540">
      <c r="C5540" s="41"/>
      <c r="D5540" s="142"/>
      <c r="E5540" s="130"/>
      <c r="F5540" s="128"/>
      <c r="G5540" s="128"/>
      <c r="H5540" s="128"/>
      <c r="I5540" s="128"/>
      <c r="J5540" s="81"/>
      <c r="K5540" s="81"/>
      <c r="L5540" s="81"/>
      <c r="M5540" s="81"/>
      <c r="N5540" s="82"/>
    </row>
    <row r="5541">
      <c r="C5541" s="41"/>
      <c r="D5541" s="141"/>
      <c r="E5541" s="118"/>
      <c r="F5541" s="126"/>
      <c r="G5541" s="126"/>
      <c r="H5541" s="126"/>
      <c r="I5541" s="126"/>
      <c r="J5541" s="76"/>
      <c r="K5541" s="76"/>
      <c r="L5541" s="76"/>
      <c r="M5541" s="76"/>
      <c r="N5541" s="114"/>
    </row>
    <row r="5542">
      <c r="C5542" s="41"/>
      <c r="D5542" s="142"/>
      <c r="E5542" s="130"/>
      <c r="F5542" s="128"/>
      <c r="G5542" s="128"/>
      <c r="H5542" s="128"/>
      <c r="I5542" s="128"/>
      <c r="J5542" s="81"/>
      <c r="K5542" s="81"/>
      <c r="L5542" s="81"/>
      <c r="M5542" s="81"/>
      <c r="N5542" s="82"/>
    </row>
    <row r="5543">
      <c r="C5543" s="41"/>
      <c r="D5543" s="141"/>
      <c r="E5543" s="118"/>
      <c r="F5543" s="126"/>
      <c r="G5543" s="126"/>
      <c r="H5543" s="126"/>
      <c r="I5543" s="126"/>
      <c r="J5543" s="76"/>
      <c r="K5543" s="76"/>
      <c r="L5543" s="76"/>
      <c r="M5543" s="76"/>
      <c r="N5543" s="114"/>
    </row>
    <row r="5544">
      <c r="C5544" s="41"/>
      <c r="D5544" s="142"/>
      <c r="E5544" s="130"/>
      <c r="F5544" s="128"/>
      <c r="G5544" s="128"/>
      <c r="H5544" s="128"/>
      <c r="I5544" s="128"/>
      <c r="J5544" s="81"/>
      <c r="K5544" s="81"/>
      <c r="L5544" s="81"/>
      <c r="M5544" s="81"/>
      <c r="N5544" s="82"/>
    </row>
    <row r="5545">
      <c r="C5545" s="41"/>
      <c r="D5545" s="141"/>
      <c r="E5545" s="118"/>
      <c r="F5545" s="126"/>
      <c r="G5545" s="126"/>
      <c r="H5545" s="126"/>
      <c r="I5545" s="126"/>
      <c r="J5545" s="76"/>
      <c r="K5545" s="76"/>
      <c r="L5545" s="76"/>
      <c r="M5545" s="76"/>
      <c r="N5545" s="114"/>
    </row>
    <row r="5546">
      <c r="C5546" s="41"/>
      <c r="D5546" s="142"/>
      <c r="E5546" s="130"/>
      <c r="F5546" s="128"/>
      <c r="G5546" s="128"/>
      <c r="H5546" s="128"/>
      <c r="I5546" s="128"/>
      <c r="J5546" s="81"/>
      <c r="K5546" s="81"/>
      <c r="L5546" s="81"/>
      <c r="M5546" s="81"/>
      <c r="N5546" s="82"/>
    </row>
    <row r="5547">
      <c r="C5547" s="41"/>
      <c r="D5547" s="141"/>
      <c r="E5547" s="118"/>
      <c r="F5547" s="126"/>
      <c r="G5547" s="126"/>
      <c r="H5547" s="126"/>
      <c r="I5547" s="126"/>
      <c r="J5547" s="76"/>
      <c r="K5547" s="76"/>
      <c r="L5547" s="76"/>
      <c r="M5547" s="76"/>
      <c r="N5547" s="114"/>
    </row>
    <row r="5548">
      <c r="C5548" s="41"/>
      <c r="D5548" s="142"/>
      <c r="E5548" s="130"/>
      <c r="F5548" s="128"/>
      <c r="G5548" s="128"/>
      <c r="H5548" s="128"/>
      <c r="I5548" s="128"/>
      <c r="J5548" s="81"/>
      <c r="K5548" s="81"/>
      <c r="L5548" s="81"/>
      <c r="M5548" s="81"/>
      <c r="N5548" s="82"/>
    </row>
    <row r="5549">
      <c r="C5549" s="41"/>
      <c r="D5549" s="141"/>
      <c r="E5549" s="118"/>
      <c r="F5549" s="126"/>
      <c r="G5549" s="126"/>
      <c r="H5549" s="126"/>
      <c r="I5549" s="126"/>
      <c r="J5549" s="76"/>
      <c r="K5549" s="76"/>
      <c r="L5549" s="76"/>
      <c r="M5549" s="76"/>
      <c r="N5549" s="114"/>
    </row>
    <row r="5550">
      <c r="C5550" s="41"/>
      <c r="D5550" s="142"/>
      <c r="E5550" s="130"/>
      <c r="F5550" s="128"/>
      <c r="G5550" s="128"/>
      <c r="H5550" s="128"/>
      <c r="I5550" s="128"/>
      <c r="J5550" s="81"/>
      <c r="K5550" s="81"/>
      <c r="L5550" s="81"/>
      <c r="M5550" s="81"/>
      <c r="N5550" s="82"/>
    </row>
    <row r="5551">
      <c r="C5551" s="41"/>
      <c r="D5551" s="141"/>
      <c r="E5551" s="118"/>
      <c r="F5551" s="126"/>
      <c r="G5551" s="126"/>
      <c r="H5551" s="126"/>
      <c r="I5551" s="126"/>
      <c r="J5551" s="76"/>
      <c r="K5551" s="76"/>
      <c r="L5551" s="76"/>
      <c r="M5551" s="76"/>
      <c r="N5551" s="114"/>
    </row>
    <row r="5552">
      <c r="C5552" s="41"/>
      <c r="D5552" s="142"/>
      <c r="E5552" s="130"/>
      <c r="F5552" s="128"/>
      <c r="G5552" s="128"/>
      <c r="H5552" s="128"/>
      <c r="I5552" s="128"/>
      <c r="J5552" s="81"/>
      <c r="K5552" s="81"/>
      <c r="L5552" s="81"/>
      <c r="M5552" s="81"/>
      <c r="N5552" s="82"/>
    </row>
    <row r="5553">
      <c r="C5553" s="41"/>
      <c r="D5553" s="141"/>
      <c r="E5553" s="118"/>
      <c r="F5553" s="126"/>
      <c r="G5553" s="126"/>
      <c r="H5553" s="126"/>
      <c r="I5553" s="126"/>
      <c r="J5553" s="76"/>
      <c r="K5553" s="76"/>
      <c r="L5553" s="76"/>
      <c r="M5553" s="76"/>
      <c r="N5553" s="114"/>
    </row>
    <row r="5554">
      <c r="C5554" s="41"/>
      <c r="D5554" s="142"/>
      <c r="E5554" s="130"/>
      <c r="F5554" s="128"/>
      <c r="G5554" s="128"/>
      <c r="H5554" s="128"/>
      <c r="I5554" s="128"/>
      <c r="J5554" s="81"/>
      <c r="K5554" s="81"/>
      <c r="L5554" s="81"/>
      <c r="M5554" s="81"/>
      <c r="N5554" s="82"/>
    </row>
    <row r="5555">
      <c r="C5555" s="41"/>
      <c r="D5555" s="141"/>
      <c r="E5555" s="118"/>
      <c r="F5555" s="126"/>
      <c r="G5555" s="126"/>
      <c r="H5555" s="126"/>
      <c r="I5555" s="126"/>
      <c r="J5555" s="76"/>
      <c r="K5555" s="76"/>
      <c r="L5555" s="76"/>
      <c r="M5555" s="76"/>
      <c r="N5555" s="114"/>
    </row>
    <row r="5556">
      <c r="C5556" s="41"/>
      <c r="D5556" s="142"/>
      <c r="E5556" s="130"/>
      <c r="F5556" s="128"/>
      <c r="G5556" s="128"/>
      <c r="H5556" s="128"/>
      <c r="I5556" s="128"/>
      <c r="J5556" s="81"/>
      <c r="K5556" s="81"/>
      <c r="L5556" s="81"/>
      <c r="M5556" s="81"/>
      <c r="N5556" s="82"/>
    </row>
    <row r="5557">
      <c r="C5557" s="41"/>
      <c r="D5557" s="141"/>
      <c r="E5557" s="118"/>
      <c r="F5557" s="126"/>
      <c r="G5557" s="126"/>
      <c r="H5557" s="126"/>
      <c r="I5557" s="126"/>
      <c r="J5557" s="76"/>
      <c r="K5557" s="76"/>
      <c r="L5557" s="76"/>
      <c r="M5557" s="76"/>
      <c r="N5557" s="114"/>
    </row>
    <row r="5558">
      <c r="C5558" s="41"/>
      <c r="D5558" s="142"/>
      <c r="E5558" s="130"/>
      <c r="F5558" s="128"/>
      <c r="G5558" s="128"/>
      <c r="H5558" s="128"/>
      <c r="I5558" s="128"/>
      <c r="J5558" s="81"/>
      <c r="K5558" s="81"/>
      <c r="L5558" s="81"/>
      <c r="M5558" s="81"/>
      <c r="N5558" s="82"/>
    </row>
    <row r="5559">
      <c r="C5559" s="41"/>
      <c r="D5559" s="141"/>
      <c r="E5559" s="118"/>
      <c r="F5559" s="126"/>
      <c r="G5559" s="126"/>
      <c r="H5559" s="126"/>
      <c r="I5559" s="126"/>
      <c r="J5559" s="76"/>
      <c r="K5559" s="76"/>
      <c r="L5559" s="76"/>
      <c r="M5559" s="76"/>
      <c r="N5559" s="114"/>
    </row>
    <row r="5560">
      <c r="C5560" s="41"/>
      <c r="D5560" s="142"/>
      <c r="E5560" s="130"/>
      <c r="F5560" s="128"/>
      <c r="G5560" s="128"/>
      <c r="H5560" s="128"/>
      <c r="I5560" s="128"/>
      <c r="J5560" s="81"/>
      <c r="K5560" s="81"/>
      <c r="L5560" s="81"/>
      <c r="M5560" s="81"/>
      <c r="N5560" s="82"/>
    </row>
    <row r="5561">
      <c r="C5561" s="41"/>
      <c r="D5561" s="141"/>
      <c r="E5561" s="118"/>
      <c r="F5561" s="126"/>
      <c r="G5561" s="126"/>
      <c r="H5561" s="126"/>
      <c r="I5561" s="126"/>
      <c r="J5561" s="76"/>
      <c r="K5561" s="76"/>
      <c r="L5561" s="76"/>
      <c r="M5561" s="76"/>
      <c r="N5561" s="114"/>
    </row>
    <row r="5562">
      <c r="C5562" s="41"/>
      <c r="D5562" s="142"/>
      <c r="E5562" s="130"/>
      <c r="F5562" s="128"/>
      <c r="G5562" s="128"/>
      <c r="H5562" s="128"/>
      <c r="I5562" s="128"/>
      <c r="J5562" s="81"/>
      <c r="K5562" s="81"/>
      <c r="L5562" s="81"/>
      <c r="M5562" s="81"/>
      <c r="N5562" s="82"/>
    </row>
    <row r="5563">
      <c r="C5563" s="41"/>
      <c r="D5563" s="141"/>
      <c r="E5563" s="118"/>
      <c r="F5563" s="126"/>
      <c r="G5563" s="126"/>
      <c r="H5563" s="126"/>
      <c r="I5563" s="126"/>
      <c r="J5563" s="76"/>
      <c r="K5563" s="76"/>
      <c r="L5563" s="76"/>
      <c r="M5563" s="76"/>
      <c r="N5563" s="114"/>
    </row>
    <row r="5564">
      <c r="C5564" s="41"/>
      <c r="D5564" s="142"/>
      <c r="E5564" s="130"/>
      <c r="F5564" s="128"/>
      <c r="G5564" s="128"/>
      <c r="H5564" s="128"/>
      <c r="I5564" s="128"/>
      <c r="J5564" s="81"/>
      <c r="K5564" s="81"/>
      <c r="L5564" s="81"/>
      <c r="M5564" s="81"/>
      <c r="N5564" s="82"/>
    </row>
    <row r="5565">
      <c r="C5565" s="41"/>
      <c r="D5565" s="141"/>
      <c r="E5565" s="118"/>
      <c r="F5565" s="126"/>
      <c r="G5565" s="126"/>
      <c r="H5565" s="126"/>
      <c r="I5565" s="126"/>
      <c r="J5565" s="76"/>
      <c r="K5565" s="76"/>
      <c r="L5565" s="76"/>
      <c r="M5565" s="76"/>
      <c r="N5565" s="114"/>
    </row>
    <row r="5566">
      <c r="C5566" s="41"/>
      <c r="D5566" s="142"/>
      <c r="E5566" s="130"/>
      <c r="F5566" s="128"/>
      <c r="G5566" s="128"/>
      <c r="H5566" s="128"/>
      <c r="I5566" s="128"/>
      <c r="J5566" s="81"/>
      <c r="K5566" s="81"/>
      <c r="L5566" s="81"/>
      <c r="M5566" s="81"/>
      <c r="N5566" s="82"/>
    </row>
    <row r="5567">
      <c r="C5567" s="41"/>
      <c r="D5567" s="141"/>
      <c r="E5567" s="118"/>
      <c r="F5567" s="126"/>
      <c r="G5567" s="126"/>
      <c r="H5567" s="126"/>
      <c r="I5567" s="126"/>
      <c r="J5567" s="76"/>
      <c r="K5567" s="76"/>
      <c r="L5567" s="76"/>
      <c r="M5567" s="76"/>
      <c r="N5567" s="114"/>
    </row>
    <row r="5568">
      <c r="C5568" s="41"/>
      <c r="D5568" s="142"/>
      <c r="E5568" s="130"/>
      <c r="F5568" s="128"/>
      <c r="G5568" s="128"/>
      <c r="H5568" s="128"/>
      <c r="I5568" s="128"/>
      <c r="J5568" s="81"/>
      <c r="K5568" s="81"/>
      <c r="L5568" s="81"/>
      <c r="M5568" s="81"/>
      <c r="N5568" s="82"/>
    </row>
    <row r="5569">
      <c r="C5569" s="41"/>
      <c r="D5569" s="141"/>
      <c r="E5569" s="118"/>
      <c r="F5569" s="126"/>
      <c r="G5569" s="126"/>
      <c r="H5569" s="126"/>
      <c r="I5569" s="126"/>
      <c r="J5569" s="76"/>
      <c r="K5569" s="76"/>
      <c r="L5569" s="76"/>
      <c r="M5569" s="76"/>
      <c r="N5569" s="114"/>
    </row>
    <row r="5570">
      <c r="C5570" s="41"/>
      <c r="D5570" s="142"/>
      <c r="E5570" s="130"/>
      <c r="F5570" s="128"/>
      <c r="G5570" s="128"/>
      <c r="H5570" s="128"/>
      <c r="I5570" s="128"/>
      <c r="J5570" s="81"/>
      <c r="K5570" s="81"/>
      <c r="L5570" s="81"/>
      <c r="M5570" s="81"/>
      <c r="N5570" s="82"/>
    </row>
    <row r="5571">
      <c r="C5571" s="41"/>
      <c r="D5571" s="141"/>
      <c r="E5571" s="118"/>
      <c r="F5571" s="126"/>
      <c r="G5571" s="126"/>
      <c r="H5571" s="126"/>
      <c r="I5571" s="126"/>
      <c r="J5571" s="76"/>
      <c r="K5571" s="76"/>
      <c r="L5571" s="76"/>
      <c r="M5571" s="76"/>
      <c r="N5571" s="114"/>
    </row>
    <row r="5572">
      <c r="C5572" s="41"/>
      <c r="D5572" s="142"/>
      <c r="E5572" s="130"/>
      <c r="F5572" s="128"/>
      <c r="G5572" s="128"/>
      <c r="H5572" s="128"/>
      <c r="I5572" s="128"/>
      <c r="J5572" s="81"/>
      <c r="K5572" s="81"/>
      <c r="L5572" s="81"/>
      <c r="M5572" s="81"/>
      <c r="N5572" s="82"/>
    </row>
    <row r="5573">
      <c r="C5573" s="41"/>
      <c r="D5573" s="141"/>
      <c r="E5573" s="118"/>
      <c r="F5573" s="126"/>
      <c r="G5573" s="126"/>
      <c r="H5573" s="126"/>
      <c r="I5573" s="126"/>
      <c r="J5573" s="76"/>
      <c r="K5573" s="76"/>
      <c r="L5573" s="76"/>
      <c r="M5573" s="76"/>
      <c r="N5573" s="114"/>
    </row>
    <row r="5574">
      <c r="C5574" s="41"/>
      <c r="D5574" s="142"/>
      <c r="E5574" s="130"/>
      <c r="F5574" s="128"/>
      <c r="G5574" s="128"/>
      <c r="H5574" s="128"/>
      <c r="I5574" s="128"/>
      <c r="J5574" s="81"/>
      <c r="K5574" s="81"/>
      <c r="L5574" s="81"/>
      <c r="M5574" s="81"/>
      <c r="N5574" s="82"/>
    </row>
    <row r="5575">
      <c r="C5575" s="41"/>
      <c r="D5575" s="141"/>
      <c r="E5575" s="118"/>
      <c r="F5575" s="126"/>
      <c r="G5575" s="126"/>
      <c r="H5575" s="126"/>
      <c r="I5575" s="126"/>
      <c r="J5575" s="76"/>
      <c r="K5575" s="76"/>
      <c r="L5575" s="76"/>
      <c r="M5575" s="76"/>
      <c r="N5575" s="114"/>
    </row>
    <row r="5576">
      <c r="C5576" s="41"/>
      <c r="D5576" s="142"/>
      <c r="E5576" s="130"/>
      <c r="F5576" s="128"/>
      <c r="G5576" s="128"/>
      <c r="H5576" s="128"/>
      <c r="I5576" s="128"/>
      <c r="J5576" s="81"/>
      <c r="K5576" s="81"/>
      <c r="L5576" s="81"/>
      <c r="M5576" s="81"/>
      <c r="N5576" s="82"/>
    </row>
    <row r="5577">
      <c r="C5577" s="41"/>
      <c r="D5577" s="141"/>
      <c r="E5577" s="118"/>
      <c r="F5577" s="126"/>
      <c r="G5577" s="126"/>
      <c r="H5577" s="126"/>
      <c r="I5577" s="126"/>
      <c r="J5577" s="76"/>
      <c r="K5577" s="76"/>
      <c r="L5577" s="76"/>
      <c r="M5577" s="76"/>
      <c r="N5577" s="114"/>
    </row>
    <row r="5578">
      <c r="C5578" s="41"/>
      <c r="D5578" s="142"/>
      <c r="E5578" s="130"/>
      <c r="F5578" s="128"/>
      <c r="G5578" s="128"/>
      <c r="H5578" s="128"/>
      <c r="I5578" s="128"/>
      <c r="J5578" s="81"/>
      <c r="K5578" s="81"/>
      <c r="L5578" s="81"/>
      <c r="M5578" s="81"/>
      <c r="N5578" s="82"/>
    </row>
    <row r="5579">
      <c r="C5579" s="41"/>
      <c r="D5579" s="141"/>
      <c r="E5579" s="118"/>
      <c r="F5579" s="126"/>
      <c r="G5579" s="126"/>
      <c r="H5579" s="126"/>
      <c r="I5579" s="126"/>
      <c r="J5579" s="76"/>
      <c r="K5579" s="76"/>
      <c r="L5579" s="76"/>
      <c r="M5579" s="76"/>
      <c r="N5579" s="114"/>
    </row>
    <row r="5580">
      <c r="C5580" s="41"/>
      <c r="D5580" s="142"/>
      <c r="E5580" s="130"/>
      <c r="F5580" s="128"/>
      <c r="G5580" s="128"/>
      <c r="H5580" s="128"/>
      <c r="I5580" s="128"/>
      <c r="J5580" s="81"/>
      <c r="K5580" s="81"/>
      <c r="L5580" s="81"/>
      <c r="M5580" s="81"/>
      <c r="N5580" s="82"/>
    </row>
    <row r="5581">
      <c r="C5581" s="41"/>
      <c r="D5581" s="141"/>
      <c r="E5581" s="118"/>
      <c r="F5581" s="126"/>
      <c r="G5581" s="126"/>
      <c r="H5581" s="126"/>
      <c r="I5581" s="126"/>
      <c r="J5581" s="76"/>
      <c r="K5581" s="76"/>
      <c r="L5581" s="76"/>
      <c r="M5581" s="76"/>
      <c r="N5581" s="114"/>
    </row>
    <row r="5582">
      <c r="C5582" s="41"/>
      <c r="D5582" s="142"/>
      <c r="E5582" s="130"/>
      <c r="F5582" s="128"/>
      <c r="G5582" s="128"/>
      <c r="H5582" s="128"/>
      <c r="I5582" s="128"/>
      <c r="J5582" s="81"/>
      <c r="K5582" s="81"/>
      <c r="L5582" s="81"/>
      <c r="M5582" s="81"/>
      <c r="N5582" s="82"/>
    </row>
    <row r="5583">
      <c r="C5583" s="41"/>
      <c r="D5583" s="141"/>
      <c r="E5583" s="118"/>
      <c r="F5583" s="126"/>
      <c r="G5583" s="126"/>
      <c r="H5583" s="126"/>
      <c r="I5583" s="126"/>
      <c r="J5583" s="76"/>
      <c r="K5583" s="76"/>
      <c r="L5583" s="76"/>
      <c r="M5583" s="76"/>
      <c r="N5583" s="114"/>
    </row>
    <row r="5584">
      <c r="C5584" s="41"/>
      <c r="D5584" s="142"/>
      <c r="E5584" s="130"/>
      <c r="F5584" s="128"/>
      <c r="G5584" s="128"/>
      <c r="H5584" s="128"/>
      <c r="I5584" s="128"/>
      <c r="J5584" s="81"/>
      <c r="K5584" s="81"/>
      <c r="L5584" s="81"/>
      <c r="M5584" s="81"/>
      <c r="N5584" s="82"/>
    </row>
    <row r="5585">
      <c r="C5585" s="41"/>
      <c r="D5585" s="141"/>
      <c r="E5585" s="118"/>
      <c r="F5585" s="126"/>
      <c r="G5585" s="126"/>
      <c r="H5585" s="126"/>
      <c r="I5585" s="126"/>
      <c r="J5585" s="76"/>
      <c r="K5585" s="76"/>
      <c r="L5585" s="76"/>
      <c r="M5585" s="76"/>
      <c r="N5585" s="114"/>
    </row>
    <row r="5586">
      <c r="C5586" s="41"/>
      <c r="D5586" s="142"/>
      <c r="E5586" s="130"/>
      <c r="F5586" s="128"/>
      <c r="G5586" s="128"/>
      <c r="H5586" s="128"/>
      <c r="I5586" s="128"/>
      <c r="J5586" s="81"/>
      <c r="K5586" s="81"/>
      <c r="L5586" s="81"/>
      <c r="M5586" s="81"/>
      <c r="N5586" s="82"/>
    </row>
    <row r="5587">
      <c r="C5587" s="41"/>
      <c r="D5587" s="141"/>
      <c r="E5587" s="118"/>
      <c r="F5587" s="126"/>
      <c r="G5587" s="126"/>
      <c r="H5587" s="126"/>
      <c r="I5587" s="126"/>
      <c r="J5587" s="76"/>
      <c r="K5587" s="76"/>
      <c r="L5587" s="76"/>
      <c r="M5587" s="76"/>
      <c r="N5587" s="114"/>
    </row>
    <row r="5588">
      <c r="C5588" s="41"/>
      <c r="D5588" s="142"/>
      <c r="E5588" s="130"/>
      <c r="F5588" s="128"/>
      <c r="G5588" s="128"/>
      <c r="H5588" s="128"/>
      <c r="I5588" s="128"/>
      <c r="J5588" s="81"/>
      <c r="K5588" s="81"/>
      <c r="L5588" s="81"/>
      <c r="M5588" s="81"/>
      <c r="N5588" s="82"/>
    </row>
    <row r="5589">
      <c r="C5589" s="41"/>
      <c r="D5589" s="141"/>
      <c r="E5589" s="118"/>
      <c r="F5589" s="126"/>
      <c r="G5589" s="126"/>
      <c r="H5589" s="126"/>
      <c r="I5589" s="126"/>
      <c r="J5589" s="76"/>
      <c r="K5589" s="76"/>
      <c r="L5589" s="76"/>
      <c r="M5589" s="76"/>
      <c r="N5589" s="114"/>
    </row>
    <row r="5590">
      <c r="C5590" s="41"/>
      <c r="D5590" s="142"/>
      <c r="E5590" s="130"/>
      <c r="F5590" s="128"/>
      <c r="G5590" s="128"/>
      <c r="H5590" s="128"/>
      <c r="I5590" s="128"/>
      <c r="J5590" s="81"/>
      <c r="K5590" s="81"/>
      <c r="L5590" s="81"/>
      <c r="M5590" s="81"/>
      <c r="N5590" s="82"/>
    </row>
    <row r="5591">
      <c r="C5591" s="41"/>
      <c r="D5591" s="141"/>
      <c r="E5591" s="118"/>
      <c r="F5591" s="126"/>
      <c r="G5591" s="126"/>
      <c r="H5591" s="126"/>
      <c r="I5591" s="126"/>
      <c r="J5591" s="76"/>
      <c r="K5591" s="76"/>
      <c r="L5591" s="76"/>
      <c r="M5591" s="76"/>
      <c r="N5591" s="114"/>
    </row>
    <row r="5592">
      <c r="C5592" s="41"/>
      <c r="D5592" s="142"/>
      <c r="E5592" s="130"/>
      <c r="F5592" s="128"/>
      <c r="G5592" s="128"/>
      <c r="H5592" s="128"/>
      <c r="I5592" s="128"/>
      <c r="J5592" s="81"/>
      <c r="K5592" s="81"/>
      <c r="L5592" s="81"/>
      <c r="M5592" s="81"/>
      <c r="N5592" s="82"/>
    </row>
    <row r="5593">
      <c r="C5593" s="41"/>
      <c r="D5593" s="141"/>
      <c r="E5593" s="118"/>
      <c r="F5593" s="126"/>
      <c r="G5593" s="126"/>
      <c r="H5593" s="126"/>
      <c r="I5593" s="126"/>
      <c r="J5593" s="76"/>
      <c r="K5593" s="76"/>
      <c r="L5593" s="76"/>
      <c r="M5593" s="76"/>
      <c r="N5593" s="114"/>
    </row>
    <row r="5594">
      <c r="C5594" s="41"/>
      <c r="D5594" s="142"/>
      <c r="E5594" s="130"/>
      <c r="F5594" s="128"/>
      <c r="G5594" s="128"/>
      <c r="H5594" s="128"/>
      <c r="I5594" s="128"/>
      <c r="J5594" s="81"/>
      <c r="K5594" s="81"/>
      <c r="L5594" s="81"/>
      <c r="M5594" s="81"/>
      <c r="N5594" s="82"/>
    </row>
    <row r="5595">
      <c r="C5595" s="41"/>
      <c r="D5595" s="141"/>
      <c r="E5595" s="118"/>
      <c r="F5595" s="126"/>
      <c r="G5595" s="126"/>
      <c r="H5595" s="126"/>
      <c r="I5595" s="126"/>
      <c r="J5595" s="76"/>
      <c r="K5595" s="76"/>
      <c r="L5595" s="76"/>
      <c r="M5595" s="76"/>
      <c r="N5595" s="114"/>
    </row>
    <row r="5596">
      <c r="C5596" s="41"/>
      <c r="D5596" s="142"/>
      <c r="E5596" s="130"/>
      <c r="F5596" s="128"/>
      <c r="G5596" s="128"/>
      <c r="H5596" s="128"/>
      <c r="I5596" s="128"/>
      <c r="J5596" s="81"/>
      <c r="K5596" s="81"/>
      <c r="L5596" s="81"/>
      <c r="M5596" s="81"/>
      <c r="N5596" s="82"/>
    </row>
    <row r="5597">
      <c r="C5597" s="41"/>
      <c r="D5597" s="141"/>
      <c r="E5597" s="118"/>
      <c r="F5597" s="126"/>
      <c r="G5597" s="126"/>
      <c r="H5597" s="126"/>
      <c r="I5597" s="126"/>
      <c r="J5597" s="76"/>
      <c r="K5597" s="76"/>
      <c r="L5597" s="76"/>
      <c r="M5597" s="76"/>
      <c r="N5597" s="114"/>
    </row>
    <row r="5598">
      <c r="C5598" s="41"/>
      <c r="D5598" s="142"/>
      <c r="E5598" s="130"/>
      <c r="F5598" s="128"/>
      <c r="G5598" s="128"/>
      <c r="H5598" s="128"/>
      <c r="I5598" s="128"/>
      <c r="J5598" s="81"/>
      <c r="K5598" s="81"/>
      <c r="L5598" s="81"/>
      <c r="M5598" s="81"/>
      <c r="N5598" s="82"/>
    </row>
    <row r="5599">
      <c r="C5599" s="41"/>
      <c r="D5599" s="141"/>
      <c r="E5599" s="118"/>
      <c r="F5599" s="126"/>
      <c r="G5599" s="126"/>
      <c r="H5599" s="126"/>
      <c r="I5599" s="126"/>
      <c r="J5599" s="76"/>
      <c r="K5599" s="76"/>
      <c r="L5599" s="76"/>
      <c r="M5599" s="76"/>
      <c r="N5599" s="114"/>
    </row>
    <row r="5600">
      <c r="C5600" s="41"/>
      <c r="D5600" s="142"/>
      <c r="E5600" s="130"/>
      <c r="F5600" s="128"/>
      <c r="G5600" s="128"/>
      <c r="H5600" s="128"/>
      <c r="I5600" s="128"/>
      <c r="J5600" s="81"/>
      <c r="K5600" s="81"/>
      <c r="L5600" s="81"/>
      <c r="M5600" s="81"/>
      <c r="N5600" s="82"/>
    </row>
    <row r="5601">
      <c r="C5601" s="41"/>
      <c r="D5601" s="141"/>
      <c r="E5601" s="118"/>
      <c r="F5601" s="126"/>
      <c r="G5601" s="126"/>
      <c r="H5601" s="126"/>
      <c r="I5601" s="126"/>
      <c r="J5601" s="76"/>
      <c r="K5601" s="76"/>
      <c r="L5601" s="76"/>
      <c r="M5601" s="76"/>
      <c r="N5601" s="114"/>
    </row>
    <row r="5602">
      <c r="C5602" s="41"/>
      <c r="D5602" s="142"/>
      <c r="E5602" s="130"/>
      <c r="F5602" s="128"/>
      <c r="G5602" s="128"/>
      <c r="H5602" s="128"/>
      <c r="I5602" s="128"/>
      <c r="J5602" s="81"/>
      <c r="K5602" s="81"/>
      <c r="L5602" s="81"/>
      <c r="M5602" s="81"/>
      <c r="N5602" s="82"/>
    </row>
    <row r="5603">
      <c r="C5603" s="41"/>
      <c r="D5603" s="141"/>
      <c r="E5603" s="118"/>
      <c r="F5603" s="126"/>
      <c r="G5603" s="126"/>
      <c r="H5603" s="126"/>
      <c r="I5603" s="126"/>
      <c r="J5603" s="76"/>
      <c r="K5603" s="76"/>
      <c r="L5603" s="76"/>
      <c r="M5603" s="76"/>
      <c r="N5603" s="114"/>
    </row>
    <row r="5604">
      <c r="C5604" s="41"/>
      <c r="D5604" s="142"/>
      <c r="E5604" s="130"/>
      <c r="F5604" s="128"/>
      <c r="G5604" s="128"/>
      <c r="H5604" s="128"/>
      <c r="I5604" s="128"/>
      <c r="J5604" s="81"/>
      <c r="K5604" s="81"/>
      <c r="L5604" s="81"/>
      <c r="M5604" s="81"/>
      <c r="N5604" s="82"/>
    </row>
    <row r="5605">
      <c r="C5605" s="41"/>
      <c r="D5605" s="141"/>
      <c r="E5605" s="118"/>
      <c r="F5605" s="126"/>
      <c r="G5605" s="126"/>
      <c r="H5605" s="126"/>
      <c r="I5605" s="126"/>
      <c r="J5605" s="76"/>
      <c r="K5605" s="76"/>
      <c r="L5605" s="76"/>
      <c r="M5605" s="76"/>
      <c r="N5605" s="114"/>
    </row>
    <row r="5606">
      <c r="C5606" s="41"/>
      <c r="D5606" s="142"/>
      <c r="E5606" s="130"/>
      <c r="F5606" s="128"/>
      <c r="G5606" s="128"/>
      <c r="H5606" s="128"/>
      <c r="I5606" s="128"/>
      <c r="J5606" s="81"/>
      <c r="K5606" s="81"/>
      <c r="L5606" s="81"/>
      <c r="M5606" s="81"/>
      <c r="N5606" s="82"/>
    </row>
    <row r="5607">
      <c r="C5607" s="41"/>
      <c r="D5607" s="141"/>
      <c r="E5607" s="118"/>
      <c r="F5607" s="126"/>
      <c r="G5607" s="126"/>
      <c r="H5607" s="126"/>
      <c r="I5607" s="126"/>
      <c r="J5607" s="76"/>
      <c r="K5607" s="76"/>
      <c r="L5607" s="76"/>
      <c r="M5607" s="76"/>
      <c r="N5607" s="114"/>
    </row>
    <row r="5608">
      <c r="C5608" s="41"/>
      <c r="D5608" s="142"/>
      <c r="E5608" s="130"/>
      <c r="F5608" s="128"/>
      <c r="G5608" s="128"/>
      <c r="H5608" s="128"/>
      <c r="I5608" s="128"/>
      <c r="J5608" s="81"/>
      <c r="K5608" s="81"/>
      <c r="L5608" s="81"/>
      <c r="M5608" s="81"/>
      <c r="N5608" s="82"/>
    </row>
    <row r="5609">
      <c r="C5609" s="41"/>
      <c r="D5609" s="141"/>
      <c r="E5609" s="118"/>
      <c r="F5609" s="126"/>
      <c r="G5609" s="126"/>
      <c r="H5609" s="126"/>
      <c r="I5609" s="126"/>
      <c r="J5609" s="76"/>
      <c r="K5609" s="76"/>
      <c r="L5609" s="76"/>
      <c r="M5609" s="76"/>
      <c r="N5609" s="114"/>
    </row>
    <row r="5610">
      <c r="C5610" s="41"/>
      <c r="D5610" s="142"/>
      <c r="E5610" s="130"/>
      <c r="F5610" s="128"/>
      <c r="G5610" s="128"/>
      <c r="H5610" s="128"/>
      <c r="I5610" s="128"/>
      <c r="J5610" s="81"/>
      <c r="K5610" s="81"/>
      <c r="L5610" s="81"/>
      <c r="M5610" s="81"/>
      <c r="N5610" s="82"/>
    </row>
    <row r="5611">
      <c r="C5611" s="41"/>
      <c r="D5611" s="141"/>
      <c r="E5611" s="118"/>
      <c r="F5611" s="126"/>
      <c r="G5611" s="126"/>
      <c r="H5611" s="126"/>
      <c r="I5611" s="126"/>
      <c r="J5611" s="76"/>
      <c r="K5611" s="76"/>
      <c r="L5611" s="76"/>
      <c r="M5611" s="76"/>
      <c r="N5611" s="114"/>
    </row>
    <row r="5612">
      <c r="C5612" s="41"/>
      <c r="D5612" s="142"/>
      <c r="E5612" s="130"/>
      <c r="F5612" s="128"/>
      <c r="G5612" s="128"/>
      <c r="H5612" s="128"/>
      <c r="I5612" s="128"/>
      <c r="J5612" s="81"/>
      <c r="K5612" s="81"/>
      <c r="L5612" s="81"/>
      <c r="M5612" s="81"/>
      <c r="N5612" s="82"/>
    </row>
    <row r="5613">
      <c r="C5613" s="41"/>
      <c r="D5613" s="141"/>
      <c r="E5613" s="118"/>
      <c r="F5613" s="126"/>
      <c r="G5613" s="126"/>
      <c r="H5613" s="126"/>
      <c r="I5613" s="126"/>
      <c r="J5613" s="76"/>
      <c r="K5613" s="76"/>
      <c r="L5613" s="76"/>
      <c r="M5613" s="76"/>
      <c r="N5613" s="114"/>
    </row>
    <row r="5614">
      <c r="C5614" s="41"/>
      <c r="D5614" s="142"/>
      <c r="E5614" s="130"/>
      <c r="F5614" s="128"/>
      <c r="G5614" s="128"/>
      <c r="H5614" s="128"/>
      <c r="I5614" s="128"/>
      <c r="J5614" s="81"/>
      <c r="K5614" s="81"/>
      <c r="L5614" s="81"/>
      <c r="M5614" s="81"/>
      <c r="N5614" s="82"/>
    </row>
    <row r="5615">
      <c r="C5615" s="41"/>
      <c r="D5615" s="141"/>
      <c r="E5615" s="118"/>
      <c r="F5615" s="126"/>
      <c r="G5615" s="126"/>
      <c r="H5615" s="126"/>
      <c r="I5615" s="126"/>
      <c r="J5615" s="76"/>
      <c r="K5615" s="76"/>
      <c r="L5615" s="76"/>
      <c r="M5615" s="76"/>
      <c r="N5615" s="114"/>
    </row>
    <row r="5616">
      <c r="C5616" s="41"/>
      <c r="D5616" s="142"/>
      <c r="E5616" s="130"/>
      <c r="F5616" s="128"/>
      <c r="G5616" s="128"/>
      <c r="H5616" s="128"/>
      <c r="I5616" s="128"/>
      <c r="J5616" s="81"/>
      <c r="K5616" s="81"/>
      <c r="L5616" s="81"/>
      <c r="M5616" s="81"/>
      <c r="N5616" s="82"/>
    </row>
    <row r="5617">
      <c r="C5617" s="41"/>
      <c r="D5617" s="141"/>
      <c r="E5617" s="118"/>
      <c r="F5617" s="126"/>
      <c r="G5617" s="126"/>
      <c r="H5617" s="126"/>
      <c r="I5617" s="126"/>
      <c r="J5617" s="76"/>
      <c r="K5617" s="76"/>
      <c r="L5617" s="76"/>
      <c r="M5617" s="76"/>
      <c r="N5617" s="114"/>
    </row>
    <row r="5618">
      <c r="C5618" s="41"/>
      <c r="D5618" s="142"/>
      <c r="E5618" s="130"/>
      <c r="F5618" s="128"/>
      <c r="G5618" s="128"/>
      <c r="H5618" s="128"/>
      <c r="I5618" s="128"/>
      <c r="J5618" s="81"/>
      <c r="K5618" s="81"/>
      <c r="L5618" s="81"/>
      <c r="M5618" s="81"/>
      <c r="N5618" s="82"/>
    </row>
    <row r="5619">
      <c r="C5619" s="41"/>
      <c r="D5619" s="141"/>
      <c r="E5619" s="118"/>
      <c r="F5619" s="126"/>
      <c r="G5619" s="126"/>
      <c r="H5619" s="126"/>
      <c r="I5619" s="126"/>
      <c r="J5619" s="76"/>
      <c r="K5619" s="76"/>
      <c r="L5619" s="76"/>
      <c r="M5619" s="76"/>
      <c r="N5619" s="114"/>
    </row>
    <row r="5620">
      <c r="C5620" s="41"/>
      <c r="D5620" s="142"/>
      <c r="E5620" s="130"/>
      <c r="F5620" s="128"/>
      <c r="G5620" s="128"/>
      <c r="H5620" s="128"/>
      <c r="I5620" s="128"/>
      <c r="J5620" s="81"/>
      <c r="K5620" s="81"/>
      <c r="L5620" s="81"/>
      <c r="M5620" s="81"/>
      <c r="N5620" s="82"/>
    </row>
    <row r="5621">
      <c r="C5621" s="41"/>
      <c r="D5621" s="141"/>
      <c r="E5621" s="118"/>
      <c r="F5621" s="126"/>
      <c r="G5621" s="126"/>
      <c r="H5621" s="126"/>
      <c r="I5621" s="126"/>
      <c r="J5621" s="76"/>
      <c r="K5621" s="76"/>
      <c r="L5621" s="76"/>
      <c r="M5621" s="76"/>
      <c r="N5621" s="114"/>
    </row>
    <row r="5622">
      <c r="C5622" s="41"/>
      <c r="D5622" s="142"/>
      <c r="E5622" s="130"/>
      <c r="F5622" s="128"/>
      <c r="G5622" s="128"/>
      <c r="H5622" s="128"/>
      <c r="I5622" s="128"/>
      <c r="J5622" s="81"/>
      <c r="K5622" s="81"/>
      <c r="L5622" s="81"/>
      <c r="M5622" s="81"/>
      <c r="N5622" s="82"/>
    </row>
    <row r="5623">
      <c r="C5623" s="41"/>
      <c r="D5623" s="141"/>
      <c r="E5623" s="118"/>
      <c r="F5623" s="126"/>
      <c r="G5623" s="126"/>
      <c r="H5623" s="126"/>
      <c r="I5623" s="126"/>
      <c r="J5623" s="76"/>
      <c r="K5623" s="76"/>
      <c r="L5623" s="76"/>
      <c r="M5623" s="76"/>
      <c r="N5623" s="114"/>
    </row>
    <row r="5624">
      <c r="C5624" s="41"/>
      <c r="D5624" s="142"/>
      <c r="E5624" s="130"/>
      <c r="F5624" s="128"/>
      <c r="G5624" s="128"/>
      <c r="H5624" s="128"/>
      <c r="I5624" s="128"/>
      <c r="J5624" s="81"/>
      <c r="K5624" s="81"/>
      <c r="L5624" s="81"/>
      <c r="M5624" s="81"/>
      <c r="N5624" s="82"/>
    </row>
    <row r="5625">
      <c r="C5625" s="41"/>
      <c r="D5625" s="141"/>
      <c r="E5625" s="118"/>
      <c r="F5625" s="126"/>
      <c r="G5625" s="126"/>
      <c r="H5625" s="126"/>
      <c r="I5625" s="126"/>
      <c r="J5625" s="76"/>
      <c r="K5625" s="76"/>
      <c r="L5625" s="76"/>
      <c r="M5625" s="76"/>
      <c r="N5625" s="114"/>
    </row>
    <row r="5626">
      <c r="C5626" s="41"/>
      <c r="D5626" s="142"/>
      <c r="E5626" s="130"/>
      <c r="F5626" s="128"/>
      <c r="G5626" s="128"/>
      <c r="H5626" s="128"/>
      <c r="I5626" s="128"/>
      <c r="J5626" s="81"/>
      <c r="K5626" s="81"/>
      <c r="L5626" s="81"/>
      <c r="M5626" s="81"/>
      <c r="N5626" s="82"/>
    </row>
    <row r="5627">
      <c r="C5627" s="41"/>
      <c r="D5627" s="141"/>
      <c r="E5627" s="118"/>
      <c r="F5627" s="126"/>
      <c r="G5627" s="126"/>
      <c r="H5627" s="126"/>
      <c r="I5627" s="126"/>
      <c r="J5627" s="76"/>
      <c r="K5627" s="76"/>
      <c r="L5627" s="76"/>
      <c r="M5627" s="76"/>
      <c r="N5627" s="114"/>
    </row>
    <row r="5628">
      <c r="C5628" s="41"/>
      <c r="D5628" s="142"/>
      <c r="E5628" s="130"/>
      <c r="F5628" s="128"/>
      <c r="G5628" s="128"/>
      <c r="H5628" s="128"/>
      <c r="I5628" s="128"/>
      <c r="J5628" s="81"/>
      <c r="K5628" s="81"/>
      <c r="L5628" s="81"/>
      <c r="M5628" s="81"/>
      <c r="N5628" s="82"/>
    </row>
    <row r="5629">
      <c r="C5629" s="41"/>
      <c r="D5629" s="141"/>
      <c r="E5629" s="118"/>
      <c r="F5629" s="126"/>
      <c r="G5629" s="126"/>
      <c r="H5629" s="126"/>
      <c r="I5629" s="126"/>
      <c r="J5629" s="76"/>
      <c r="K5629" s="76"/>
      <c r="L5629" s="76"/>
      <c r="M5629" s="76"/>
      <c r="N5629" s="114"/>
    </row>
    <row r="5630">
      <c r="C5630" s="41"/>
      <c r="D5630" s="142"/>
      <c r="E5630" s="130"/>
      <c r="F5630" s="128"/>
      <c r="G5630" s="128"/>
      <c r="H5630" s="128"/>
      <c r="I5630" s="128"/>
      <c r="J5630" s="81"/>
      <c r="K5630" s="81"/>
      <c r="L5630" s="81"/>
      <c r="M5630" s="81"/>
      <c r="N5630" s="82"/>
    </row>
    <row r="5631">
      <c r="C5631" s="41"/>
      <c r="D5631" s="141"/>
      <c r="E5631" s="118"/>
      <c r="F5631" s="126"/>
      <c r="G5631" s="126"/>
      <c r="H5631" s="126"/>
      <c r="I5631" s="126"/>
      <c r="J5631" s="76"/>
      <c r="K5631" s="76"/>
      <c r="L5631" s="76"/>
      <c r="M5631" s="76"/>
      <c r="N5631" s="114"/>
    </row>
    <row r="5632">
      <c r="C5632" s="41"/>
      <c r="D5632" s="142"/>
      <c r="E5632" s="130"/>
      <c r="F5632" s="128"/>
      <c r="G5632" s="128"/>
      <c r="H5632" s="128"/>
      <c r="I5632" s="128"/>
      <c r="J5632" s="81"/>
      <c r="K5632" s="81"/>
      <c r="L5632" s="81"/>
      <c r="M5632" s="81"/>
      <c r="N5632" s="82"/>
    </row>
    <row r="5633">
      <c r="C5633" s="41"/>
      <c r="D5633" s="141"/>
      <c r="E5633" s="118"/>
      <c r="F5633" s="126"/>
      <c r="G5633" s="126"/>
      <c r="H5633" s="126"/>
      <c r="I5633" s="126"/>
      <c r="J5633" s="76"/>
      <c r="K5633" s="76"/>
      <c r="L5633" s="76"/>
      <c r="M5633" s="76"/>
      <c r="N5633" s="114"/>
    </row>
    <row r="5634">
      <c r="C5634" s="41"/>
      <c r="D5634" s="142"/>
      <c r="E5634" s="130"/>
      <c r="F5634" s="128"/>
      <c r="G5634" s="128"/>
      <c r="H5634" s="128"/>
      <c r="I5634" s="128"/>
      <c r="J5634" s="81"/>
      <c r="K5634" s="81"/>
      <c r="L5634" s="81"/>
      <c r="M5634" s="81"/>
      <c r="N5634" s="82"/>
    </row>
    <row r="5635">
      <c r="C5635" s="41"/>
      <c r="D5635" s="141"/>
      <c r="E5635" s="118"/>
      <c r="F5635" s="126"/>
      <c r="G5635" s="126"/>
      <c r="H5635" s="126"/>
      <c r="I5635" s="126"/>
      <c r="J5635" s="76"/>
      <c r="K5635" s="76"/>
      <c r="L5635" s="76"/>
      <c r="M5635" s="76"/>
      <c r="N5635" s="114"/>
    </row>
    <row r="5636">
      <c r="C5636" s="41"/>
      <c r="D5636" s="142"/>
      <c r="E5636" s="130"/>
      <c r="F5636" s="128"/>
      <c r="G5636" s="128"/>
      <c r="H5636" s="128"/>
      <c r="I5636" s="128"/>
      <c r="J5636" s="81"/>
      <c r="K5636" s="81"/>
      <c r="L5636" s="81"/>
      <c r="M5636" s="81"/>
      <c r="N5636" s="82"/>
    </row>
    <row r="5637">
      <c r="C5637" s="41"/>
      <c r="D5637" s="141"/>
      <c r="E5637" s="118"/>
      <c r="F5637" s="126"/>
      <c r="G5637" s="126"/>
      <c r="H5637" s="126"/>
      <c r="I5637" s="126"/>
      <c r="J5637" s="76"/>
      <c r="K5637" s="76"/>
      <c r="L5637" s="76"/>
      <c r="M5637" s="76"/>
      <c r="N5637" s="114"/>
    </row>
    <row r="5638">
      <c r="C5638" s="41"/>
      <c r="D5638" s="142"/>
      <c r="E5638" s="130"/>
      <c r="F5638" s="128"/>
      <c r="G5638" s="128"/>
      <c r="H5638" s="128"/>
      <c r="I5638" s="128"/>
      <c r="J5638" s="81"/>
      <c r="K5638" s="81"/>
      <c r="L5638" s="81"/>
      <c r="M5638" s="81"/>
      <c r="N5638" s="82"/>
    </row>
    <row r="5639">
      <c r="C5639" s="41"/>
      <c r="D5639" s="141"/>
      <c r="E5639" s="118"/>
      <c r="F5639" s="126"/>
      <c r="G5639" s="126"/>
      <c r="H5639" s="126"/>
      <c r="I5639" s="126"/>
      <c r="J5639" s="76"/>
      <c r="K5639" s="76"/>
      <c r="L5639" s="76"/>
      <c r="M5639" s="76"/>
      <c r="N5639" s="114"/>
    </row>
    <row r="5640">
      <c r="C5640" s="41"/>
      <c r="D5640" s="142"/>
      <c r="E5640" s="130"/>
      <c r="F5640" s="128"/>
      <c r="G5640" s="128"/>
      <c r="H5640" s="128"/>
      <c r="I5640" s="128"/>
      <c r="J5640" s="81"/>
      <c r="K5640" s="81"/>
      <c r="L5640" s="81"/>
      <c r="M5640" s="81"/>
      <c r="N5640" s="82"/>
    </row>
    <row r="5641">
      <c r="C5641" s="41"/>
      <c r="D5641" s="141"/>
      <c r="E5641" s="118"/>
      <c r="F5641" s="126"/>
      <c r="G5641" s="126"/>
      <c r="H5641" s="126"/>
      <c r="I5641" s="126"/>
      <c r="J5641" s="76"/>
      <c r="K5641" s="76"/>
      <c r="L5641" s="76"/>
      <c r="M5641" s="76"/>
      <c r="N5641" s="114"/>
    </row>
    <row r="5642">
      <c r="C5642" s="41"/>
      <c r="D5642" s="142"/>
      <c r="E5642" s="130"/>
      <c r="F5642" s="128"/>
      <c r="G5642" s="128"/>
      <c r="H5642" s="128"/>
      <c r="I5642" s="128"/>
      <c r="J5642" s="81"/>
      <c r="K5642" s="81"/>
      <c r="L5642" s="81"/>
      <c r="M5642" s="81"/>
      <c r="N5642" s="82"/>
    </row>
    <row r="5643">
      <c r="C5643" s="41"/>
      <c r="D5643" s="141"/>
      <c r="E5643" s="118"/>
      <c r="F5643" s="126"/>
      <c r="G5643" s="126"/>
      <c r="H5643" s="126"/>
      <c r="I5643" s="126"/>
      <c r="J5643" s="76"/>
      <c r="K5643" s="76"/>
      <c r="L5643" s="76"/>
      <c r="M5643" s="76"/>
      <c r="N5643" s="114"/>
    </row>
    <row r="5644">
      <c r="C5644" s="41"/>
      <c r="D5644" s="142"/>
      <c r="E5644" s="130"/>
      <c r="F5644" s="128"/>
      <c r="G5644" s="128"/>
      <c r="H5644" s="128"/>
      <c r="I5644" s="128"/>
      <c r="J5644" s="81"/>
      <c r="K5644" s="81"/>
      <c r="L5644" s="81"/>
      <c r="M5644" s="81"/>
      <c r="N5644" s="82"/>
    </row>
    <row r="5645">
      <c r="C5645" s="41"/>
      <c r="D5645" s="141"/>
      <c r="E5645" s="118"/>
      <c r="F5645" s="126"/>
      <c r="G5645" s="126"/>
      <c r="H5645" s="126"/>
      <c r="I5645" s="126"/>
      <c r="J5645" s="76"/>
      <c r="K5645" s="76"/>
      <c r="L5645" s="76"/>
      <c r="M5645" s="76"/>
      <c r="N5645" s="114"/>
    </row>
    <row r="5646">
      <c r="C5646" s="41"/>
      <c r="D5646" s="142"/>
      <c r="E5646" s="130"/>
      <c r="F5646" s="128"/>
      <c r="G5646" s="128"/>
      <c r="H5646" s="128"/>
      <c r="I5646" s="128"/>
      <c r="J5646" s="81"/>
      <c r="K5646" s="81"/>
      <c r="L5646" s="81"/>
      <c r="M5646" s="81"/>
      <c r="N5646" s="82"/>
    </row>
    <row r="5647">
      <c r="C5647" s="41"/>
      <c r="D5647" s="141"/>
      <c r="E5647" s="118"/>
      <c r="F5647" s="126"/>
      <c r="G5647" s="126"/>
      <c r="H5647" s="126"/>
      <c r="I5647" s="126"/>
      <c r="J5647" s="76"/>
      <c r="K5647" s="76"/>
      <c r="L5647" s="76"/>
      <c r="M5647" s="76"/>
      <c r="N5647" s="114"/>
    </row>
    <row r="5648">
      <c r="C5648" s="41"/>
      <c r="D5648" s="142"/>
      <c r="E5648" s="130"/>
      <c r="F5648" s="128"/>
      <c r="G5648" s="128"/>
      <c r="H5648" s="128"/>
      <c r="I5648" s="128"/>
      <c r="J5648" s="81"/>
      <c r="K5648" s="81"/>
      <c r="L5648" s="81"/>
      <c r="M5648" s="81"/>
      <c r="N5648" s="82"/>
    </row>
    <row r="5649">
      <c r="C5649" s="41"/>
      <c r="D5649" s="141"/>
      <c r="E5649" s="118"/>
      <c r="F5649" s="126"/>
      <c r="G5649" s="126"/>
      <c r="H5649" s="126"/>
      <c r="I5649" s="126"/>
      <c r="J5649" s="76"/>
      <c r="K5649" s="76"/>
      <c r="L5649" s="76"/>
      <c r="M5649" s="76"/>
      <c r="N5649" s="114"/>
    </row>
    <row r="5650">
      <c r="C5650" s="41"/>
      <c r="D5650" s="142"/>
      <c r="E5650" s="130"/>
      <c r="F5650" s="128"/>
      <c r="G5650" s="128"/>
      <c r="H5650" s="128"/>
      <c r="I5650" s="128"/>
      <c r="J5650" s="81"/>
      <c r="K5650" s="81"/>
      <c r="L5650" s="81"/>
      <c r="M5650" s="81"/>
      <c r="N5650" s="82"/>
    </row>
    <row r="5651">
      <c r="C5651" s="41"/>
      <c r="D5651" s="141"/>
      <c r="E5651" s="118"/>
      <c r="F5651" s="126"/>
      <c r="G5651" s="126"/>
      <c r="H5651" s="126"/>
      <c r="I5651" s="126"/>
      <c r="J5651" s="76"/>
      <c r="K5651" s="76"/>
      <c r="L5651" s="76"/>
      <c r="M5651" s="76"/>
      <c r="N5651" s="114"/>
    </row>
    <row r="5652">
      <c r="C5652" s="41"/>
      <c r="D5652" s="142"/>
      <c r="E5652" s="130"/>
      <c r="F5652" s="128"/>
      <c r="G5652" s="128"/>
      <c r="H5652" s="128"/>
      <c r="I5652" s="128"/>
      <c r="J5652" s="81"/>
      <c r="K5652" s="81"/>
      <c r="L5652" s="81"/>
      <c r="M5652" s="81"/>
      <c r="N5652" s="82"/>
    </row>
    <row r="5653">
      <c r="C5653" s="41"/>
      <c r="D5653" s="141"/>
      <c r="E5653" s="118"/>
      <c r="F5653" s="126"/>
      <c r="G5653" s="126"/>
      <c r="H5653" s="126"/>
      <c r="I5653" s="126"/>
      <c r="J5653" s="76"/>
      <c r="K5653" s="76"/>
      <c r="L5653" s="76"/>
      <c r="M5653" s="76"/>
      <c r="N5653" s="114"/>
    </row>
    <row r="5654">
      <c r="C5654" s="41"/>
      <c r="D5654" s="142"/>
      <c r="E5654" s="130"/>
      <c r="F5654" s="128"/>
      <c r="G5654" s="128"/>
      <c r="H5654" s="128"/>
      <c r="I5654" s="128"/>
      <c r="J5654" s="81"/>
      <c r="K5654" s="81"/>
      <c r="L5654" s="81"/>
      <c r="M5654" s="81"/>
      <c r="N5654" s="82"/>
    </row>
    <row r="5655">
      <c r="C5655" s="41"/>
      <c r="D5655" s="141"/>
      <c r="E5655" s="118"/>
      <c r="F5655" s="126"/>
      <c r="G5655" s="126"/>
      <c r="H5655" s="126"/>
      <c r="I5655" s="126"/>
      <c r="J5655" s="76"/>
      <c r="K5655" s="76"/>
      <c r="L5655" s="76"/>
      <c r="M5655" s="76"/>
      <c r="N5655" s="114"/>
    </row>
    <row r="5656">
      <c r="C5656" s="41"/>
      <c r="D5656" s="142"/>
      <c r="E5656" s="130"/>
      <c r="F5656" s="128"/>
      <c r="G5656" s="128"/>
      <c r="H5656" s="128"/>
      <c r="I5656" s="128"/>
      <c r="J5656" s="81"/>
      <c r="K5656" s="81"/>
      <c r="L5656" s="81"/>
      <c r="M5656" s="81"/>
      <c r="N5656" s="82"/>
    </row>
    <row r="5657">
      <c r="C5657" s="41"/>
      <c r="D5657" s="141"/>
      <c r="E5657" s="118"/>
      <c r="F5657" s="126"/>
      <c r="G5657" s="126"/>
      <c r="H5657" s="126"/>
      <c r="I5657" s="126"/>
      <c r="J5657" s="76"/>
      <c r="K5657" s="76"/>
      <c r="L5657" s="76"/>
      <c r="M5657" s="76"/>
      <c r="N5657" s="114"/>
    </row>
    <row r="5658">
      <c r="C5658" s="41"/>
      <c r="D5658" s="142"/>
      <c r="E5658" s="130"/>
      <c r="F5658" s="128"/>
      <c r="G5658" s="128"/>
      <c r="H5658" s="128"/>
      <c r="I5658" s="128"/>
      <c r="J5658" s="81"/>
      <c r="K5658" s="81"/>
      <c r="L5658" s="81"/>
      <c r="M5658" s="81"/>
      <c r="N5658" s="82"/>
    </row>
    <row r="5659">
      <c r="C5659" s="41"/>
      <c r="D5659" s="141"/>
      <c r="E5659" s="118"/>
      <c r="F5659" s="126"/>
      <c r="G5659" s="126"/>
      <c r="H5659" s="126"/>
      <c r="I5659" s="126"/>
      <c r="J5659" s="76"/>
      <c r="K5659" s="76"/>
      <c r="L5659" s="76"/>
      <c r="M5659" s="76"/>
      <c r="N5659" s="114"/>
    </row>
    <row r="5660">
      <c r="C5660" s="41"/>
      <c r="D5660" s="142"/>
      <c r="E5660" s="130"/>
      <c r="F5660" s="128"/>
      <c r="G5660" s="128"/>
      <c r="H5660" s="128"/>
      <c r="I5660" s="128"/>
      <c r="J5660" s="81"/>
      <c r="K5660" s="81"/>
      <c r="L5660" s="81"/>
      <c r="M5660" s="81"/>
      <c r="N5660" s="82"/>
    </row>
    <row r="5661">
      <c r="C5661" s="41"/>
      <c r="D5661" s="141"/>
      <c r="E5661" s="118"/>
      <c r="F5661" s="126"/>
      <c r="G5661" s="126"/>
      <c r="H5661" s="126"/>
      <c r="I5661" s="126"/>
      <c r="J5661" s="76"/>
      <c r="K5661" s="76"/>
      <c r="L5661" s="76"/>
      <c r="M5661" s="76"/>
      <c r="N5661" s="114"/>
    </row>
    <row r="5662">
      <c r="C5662" s="41"/>
      <c r="D5662" s="142"/>
      <c r="E5662" s="130"/>
      <c r="F5662" s="128"/>
      <c r="G5662" s="128"/>
      <c r="H5662" s="128"/>
      <c r="I5662" s="128"/>
      <c r="J5662" s="81"/>
      <c r="K5662" s="81"/>
      <c r="L5662" s="81"/>
      <c r="M5662" s="81"/>
      <c r="N5662" s="82"/>
    </row>
    <row r="5663">
      <c r="C5663" s="41"/>
      <c r="D5663" s="141"/>
      <c r="E5663" s="118"/>
      <c r="F5663" s="126"/>
      <c r="G5663" s="126"/>
      <c r="H5663" s="126"/>
      <c r="I5663" s="126"/>
      <c r="J5663" s="76"/>
      <c r="K5663" s="76"/>
      <c r="L5663" s="76"/>
      <c r="M5663" s="76"/>
      <c r="N5663" s="114"/>
    </row>
    <row r="5664">
      <c r="C5664" s="41"/>
      <c r="D5664" s="142"/>
      <c r="E5664" s="130"/>
      <c r="F5664" s="128"/>
      <c r="G5664" s="128"/>
      <c r="H5664" s="128"/>
      <c r="I5664" s="128"/>
      <c r="J5664" s="81"/>
      <c r="K5664" s="81"/>
      <c r="L5664" s="81"/>
      <c r="M5664" s="81"/>
      <c r="N5664" s="82"/>
    </row>
    <row r="5665">
      <c r="C5665" s="41"/>
      <c r="D5665" s="141"/>
      <c r="E5665" s="118"/>
      <c r="F5665" s="126"/>
      <c r="G5665" s="126"/>
      <c r="H5665" s="126"/>
      <c r="I5665" s="126"/>
      <c r="J5665" s="76"/>
      <c r="K5665" s="76"/>
      <c r="L5665" s="76"/>
      <c r="M5665" s="76"/>
      <c r="N5665" s="114"/>
    </row>
    <row r="5666">
      <c r="C5666" s="41"/>
      <c r="D5666" s="142"/>
      <c r="E5666" s="130"/>
      <c r="F5666" s="128"/>
      <c r="G5666" s="128"/>
      <c r="H5666" s="128"/>
      <c r="I5666" s="128"/>
      <c r="J5666" s="81"/>
      <c r="K5666" s="81"/>
      <c r="L5666" s="81"/>
      <c r="M5666" s="81"/>
      <c r="N5666" s="82"/>
    </row>
    <row r="5667">
      <c r="C5667" s="41"/>
      <c r="D5667" s="141"/>
      <c r="E5667" s="118"/>
      <c r="F5667" s="126"/>
      <c r="G5667" s="126"/>
      <c r="H5667" s="126"/>
      <c r="I5667" s="126"/>
      <c r="J5667" s="76"/>
      <c r="K5667" s="76"/>
      <c r="L5667" s="76"/>
      <c r="M5667" s="76"/>
      <c r="N5667" s="114"/>
    </row>
    <row r="5668">
      <c r="C5668" s="41"/>
      <c r="D5668" s="142"/>
      <c r="E5668" s="130"/>
      <c r="F5668" s="128"/>
      <c r="G5668" s="128"/>
      <c r="H5668" s="128"/>
      <c r="I5668" s="128"/>
      <c r="J5668" s="81"/>
      <c r="K5668" s="81"/>
      <c r="L5668" s="81"/>
      <c r="M5668" s="81"/>
      <c r="N5668" s="82"/>
    </row>
    <row r="5669">
      <c r="C5669" s="41"/>
      <c r="D5669" s="141"/>
      <c r="E5669" s="118"/>
      <c r="F5669" s="126"/>
      <c r="G5669" s="126"/>
      <c r="H5669" s="126"/>
      <c r="I5669" s="126"/>
      <c r="J5669" s="76"/>
      <c r="K5669" s="76"/>
      <c r="L5669" s="76"/>
      <c r="M5669" s="76"/>
      <c r="N5669" s="114"/>
    </row>
    <row r="5670">
      <c r="C5670" s="41"/>
      <c r="D5670" s="142"/>
      <c r="E5670" s="130"/>
      <c r="F5670" s="128"/>
      <c r="G5670" s="128"/>
      <c r="H5670" s="128"/>
      <c r="I5670" s="128"/>
      <c r="J5670" s="81"/>
      <c r="K5670" s="81"/>
      <c r="L5670" s="81"/>
      <c r="M5670" s="81"/>
      <c r="N5670" s="82"/>
    </row>
    <row r="5671">
      <c r="C5671" s="41"/>
      <c r="D5671" s="141"/>
      <c r="E5671" s="118"/>
      <c r="F5671" s="126"/>
      <c r="G5671" s="126"/>
      <c r="H5671" s="126"/>
      <c r="I5671" s="126"/>
      <c r="J5671" s="76"/>
      <c r="K5671" s="76"/>
      <c r="L5671" s="76"/>
      <c r="M5671" s="76"/>
      <c r="N5671" s="114"/>
    </row>
    <row r="5672">
      <c r="C5672" s="41"/>
      <c r="D5672" s="142"/>
      <c r="E5672" s="130"/>
      <c r="F5672" s="128"/>
      <c r="G5672" s="128"/>
      <c r="H5672" s="128"/>
      <c r="I5672" s="128"/>
      <c r="J5672" s="81"/>
      <c r="K5672" s="81"/>
      <c r="L5672" s="81"/>
      <c r="M5672" s="81"/>
      <c r="N5672" s="82"/>
    </row>
    <row r="5673">
      <c r="C5673" s="41"/>
      <c r="D5673" s="141"/>
      <c r="E5673" s="118"/>
      <c r="F5673" s="126"/>
      <c r="G5673" s="126"/>
      <c r="H5673" s="126"/>
      <c r="I5673" s="126"/>
      <c r="J5673" s="76"/>
      <c r="K5673" s="76"/>
      <c r="L5673" s="76"/>
      <c r="M5673" s="76"/>
      <c r="N5673" s="114"/>
    </row>
    <row r="5674">
      <c r="C5674" s="41"/>
      <c r="D5674" s="142"/>
      <c r="E5674" s="130"/>
      <c r="F5674" s="128"/>
      <c r="G5674" s="128"/>
      <c r="H5674" s="128"/>
      <c r="I5674" s="128"/>
      <c r="J5674" s="81"/>
      <c r="K5674" s="81"/>
      <c r="L5674" s="81"/>
      <c r="M5674" s="81"/>
      <c r="N5674" s="82"/>
    </row>
    <row r="5675">
      <c r="C5675" s="41"/>
      <c r="D5675" s="141"/>
      <c r="E5675" s="118"/>
      <c r="F5675" s="126"/>
      <c r="G5675" s="126"/>
      <c r="H5675" s="126"/>
      <c r="I5675" s="126"/>
      <c r="J5675" s="76"/>
      <c r="K5675" s="76"/>
      <c r="L5675" s="76"/>
      <c r="M5675" s="76"/>
      <c r="N5675" s="114"/>
    </row>
    <row r="5676">
      <c r="C5676" s="41"/>
      <c r="D5676" s="142"/>
      <c r="E5676" s="130"/>
      <c r="F5676" s="128"/>
      <c r="G5676" s="128"/>
      <c r="H5676" s="128"/>
      <c r="I5676" s="128"/>
      <c r="J5676" s="81"/>
      <c r="K5676" s="81"/>
      <c r="L5676" s="81"/>
      <c r="M5676" s="81"/>
      <c r="N5676" s="82"/>
    </row>
    <row r="5677">
      <c r="C5677" s="41"/>
      <c r="D5677" s="141"/>
      <c r="E5677" s="118"/>
      <c r="F5677" s="126"/>
      <c r="G5677" s="126"/>
      <c r="H5677" s="126"/>
      <c r="I5677" s="126"/>
      <c r="J5677" s="76"/>
      <c r="K5677" s="76"/>
      <c r="L5677" s="76"/>
      <c r="M5677" s="76"/>
      <c r="N5677" s="114"/>
    </row>
    <row r="5678">
      <c r="C5678" s="41"/>
      <c r="D5678" s="142"/>
      <c r="E5678" s="130"/>
      <c r="F5678" s="128"/>
      <c r="G5678" s="128"/>
      <c r="H5678" s="128"/>
      <c r="I5678" s="128"/>
      <c r="J5678" s="81"/>
      <c r="K5678" s="81"/>
      <c r="L5678" s="81"/>
      <c r="M5678" s="81"/>
      <c r="N5678" s="82"/>
    </row>
    <row r="5679">
      <c r="C5679" s="41"/>
      <c r="D5679" s="141"/>
      <c r="E5679" s="118"/>
      <c r="F5679" s="126"/>
      <c r="G5679" s="126"/>
      <c r="H5679" s="126"/>
      <c r="I5679" s="126"/>
      <c r="J5679" s="76"/>
      <c r="K5679" s="76"/>
      <c r="L5679" s="76"/>
      <c r="M5679" s="76"/>
      <c r="N5679" s="114"/>
    </row>
    <row r="5680">
      <c r="C5680" s="41"/>
      <c r="D5680" s="142"/>
      <c r="E5680" s="130"/>
      <c r="F5680" s="128"/>
      <c r="G5680" s="128"/>
      <c r="H5680" s="128"/>
      <c r="I5680" s="128"/>
      <c r="J5680" s="81"/>
      <c r="K5680" s="81"/>
      <c r="L5680" s="81"/>
      <c r="M5680" s="81"/>
      <c r="N5680" s="82"/>
    </row>
    <row r="5681">
      <c r="C5681" s="41"/>
      <c r="D5681" s="141"/>
      <c r="E5681" s="118"/>
      <c r="F5681" s="126"/>
      <c r="G5681" s="126"/>
      <c r="H5681" s="126"/>
      <c r="I5681" s="126"/>
      <c r="J5681" s="76"/>
      <c r="K5681" s="76"/>
      <c r="L5681" s="76"/>
      <c r="M5681" s="76"/>
      <c r="N5681" s="114"/>
    </row>
    <row r="5682">
      <c r="C5682" s="41"/>
      <c r="D5682" s="142"/>
      <c r="E5682" s="130"/>
      <c r="F5682" s="128"/>
      <c r="G5682" s="128"/>
      <c r="H5682" s="128"/>
      <c r="I5682" s="128"/>
      <c r="J5682" s="81"/>
      <c r="K5682" s="81"/>
      <c r="L5682" s="81"/>
      <c r="M5682" s="81"/>
      <c r="N5682" s="82"/>
    </row>
    <row r="5683">
      <c r="C5683" s="41"/>
      <c r="D5683" s="141"/>
      <c r="E5683" s="118"/>
      <c r="F5683" s="126"/>
      <c r="G5683" s="126"/>
      <c r="H5683" s="126"/>
      <c r="I5683" s="126"/>
      <c r="J5683" s="76"/>
      <c r="K5683" s="76"/>
      <c r="L5683" s="76"/>
      <c r="M5683" s="76"/>
      <c r="N5683" s="114"/>
    </row>
    <row r="5684">
      <c r="C5684" s="41"/>
      <c r="D5684" s="142"/>
      <c r="E5684" s="130"/>
      <c r="F5684" s="128"/>
      <c r="G5684" s="128"/>
      <c r="H5684" s="128"/>
      <c r="I5684" s="128"/>
      <c r="J5684" s="81"/>
      <c r="K5684" s="81"/>
      <c r="L5684" s="81"/>
      <c r="M5684" s="81"/>
      <c r="N5684" s="82"/>
    </row>
    <row r="5685">
      <c r="C5685" s="41"/>
      <c r="D5685" s="141"/>
      <c r="E5685" s="118"/>
      <c r="F5685" s="126"/>
      <c r="G5685" s="126"/>
      <c r="H5685" s="126"/>
      <c r="I5685" s="126"/>
      <c r="J5685" s="76"/>
      <c r="K5685" s="76"/>
      <c r="L5685" s="76"/>
      <c r="M5685" s="76"/>
      <c r="N5685" s="114"/>
    </row>
    <row r="5686">
      <c r="C5686" s="41"/>
      <c r="D5686" s="142"/>
      <c r="E5686" s="130"/>
      <c r="F5686" s="128"/>
      <c r="G5686" s="128"/>
      <c r="H5686" s="128"/>
      <c r="I5686" s="128"/>
      <c r="J5686" s="81"/>
      <c r="K5686" s="81"/>
      <c r="L5686" s="81"/>
      <c r="M5686" s="81"/>
      <c r="N5686" s="82"/>
    </row>
    <row r="5687">
      <c r="C5687" s="41"/>
      <c r="D5687" s="141"/>
      <c r="E5687" s="118"/>
      <c r="F5687" s="126"/>
      <c r="G5687" s="126"/>
      <c r="H5687" s="126"/>
      <c r="I5687" s="126"/>
      <c r="J5687" s="76"/>
      <c r="K5687" s="76"/>
      <c r="L5687" s="76"/>
      <c r="M5687" s="76"/>
      <c r="N5687" s="114"/>
    </row>
    <row r="5688">
      <c r="C5688" s="41"/>
      <c r="D5688" s="142"/>
      <c r="E5688" s="130"/>
      <c r="F5688" s="128"/>
      <c r="G5688" s="128"/>
      <c r="H5688" s="128"/>
      <c r="I5688" s="128"/>
      <c r="J5688" s="81"/>
      <c r="K5688" s="81"/>
      <c r="L5688" s="81"/>
      <c r="M5688" s="81"/>
      <c r="N5688" s="82"/>
    </row>
    <row r="5689">
      <c r="C5689" s="41"/>
      <c r="D5689" s="141"/>
      <c r="E5689" s="118"/>
      <c r="F5689" s="126"/>
      <c r="G5689" s="126"/>
      <c r="H5689" s="126"/>
      <c r="I5689" s="126"/>
      <c r="J5689" s="76"/>
      <c r="K5689" s="76"/>
      <c r="L5689" s="76"/>
      <c r="M5689" s="76"/>
      <c r="N5689" s="114"/>
    </row>
    <row r="5690">
      <c r="C5690" s="41"/>
      <c r="D5690" s="142"/>
      <c r="E5690" s="130"/>
      <c r="F5690" s="128"/>
      <c r="G5690" s="128"/>
      <c r="H5690" s="128"/>
      <c r="I5690" s="128"/>
      <c r="J5690" s="81"/>
      <c r="K5690" s="81"/>
      <c r="L5690" s="81"/>
      <c r="M5690" s="81"/>
      <c r="N5690" s="82"/>
    </row>
    <row r="5691">
      <c r="C5691" s="41"/>
      <c r="D5691" s="141"/>
      <c r="E5691" s="118"/>
      <c r="F5691" s="126"/>
      <c r="G5691" s="126"/>
      <c r="H5691" s="126"/>
      <c r="I5691" s="126"/>
      <c r="J5691" s="76"/>
      <c r="K5691" s="76"/>
      <c r="L5691" s="76"/>
      <c r="M5691" s="76"/>
      <c r="N5691" s="114"/>
    </row>
    <row r="5692">
      <c r="C5692" s="41"/>
      <c r="D5692" s="142"/>
      <c r="E5692" s="130"/>
      <c r="F5692" s="128"/>
      <c r="G5692" s="128"/>
      <c r="H5692" s="128"/>
      <c r="I5692" s="128"/>
      <c r="J5692" s="81"/>
      <c r="K5692" s="81"/>
      <c r="L5692" s="81"/>
      <c r="M5692" s="81"/>
      <c r="N5692" s="82"/>
    </row>
    <row r="5693">
      <c r="C5693" s="41"/>
      <c r="D5693" s="141"/>
      <c r="E5693" s="118"/>
      <c r="F5693" s="126"/>
      <c r="G5693" s="126"/>
      <c r="H5693" s="126"/>
      <c r="I5693" s="126"/>
      <c r="J5693" s="76"/>
      <c r="K5693" s="76"/>
      <c r="L5693" s="76"/>
      <c r="M5693" s="76"/>
      <c r="N5693" s="114"/>
    </row>
    <row r="5694">
      <c r="C5694" s="41"/>
      <c r="D5694" s="142"/>
      <c r="E5694" s="130"/>
      <c r="F5694" s="128"/>
      <c r="G5694" s="128"/>
      <c r="H5694" s="128"/>
      <c r="I5694" s="128"/>
      <c r="J5694" s="81"/>
      <c r="K5694" s="81"/>
      <c r="L5694" s="81"/>
      <c r="M5694" s="81"/>
      <c r="N5694" s="82"/>
    </row>
    <row r="5695">
      <c r="C5695" s="41"/>
      <c r="D5695" s="141"/>
      <c r="E5695" s="118"/>
      <c r="F5695" s="126"/>
      <c r="G5695" s="126"/>
      <c r="H5695" s="126"/>
      <c r="I5695" s="126"/>
      <c r="J5695" s="76"/>
      <c r="K5695" s="76"/>
      <c r="L5695" s="76"/>
      <c r="M5695" s="76"/>
      <c r="N5695" s="114"/>
    </row>
    <row r="5696">
      <c r="C5696" s="41"/>
      <c r="D5696" s="142"/>
      <c r="E5696" s="130"/>
      <c r="F5696" s="128"/>
      <c r="G5696" s="128"/>
      <c r="H5696" s="128"/>
      <c r="I5696" s="128"/>
      <c r="J5696" s="81"/>
      <c r="K5696" s="81"/>
      <c r="L5696" s="81"/>
      <c r="M5696" s="81"/>
      <c r="N5696" s="82"/>
    </row>
    <row r="5697">
      <c r="C5697" s="41"/>
      <c r="D5697" s="141"/>
      <c r="E5697" s="118"/>
      <c r="F5697" s="126"/>
      <c r="G5697" s="126"/>
      <c r="H5697" s="126"/>
      <c r="I5697" s="126"/>
      <c r="J5697" s="76"/>
      <c r="K5697" s="76"/>
      <c r="L5697" s="76"/>
      <c r="M5697" s="76"/>
      <c r="N5697" s="114"/>
    </row>
    <row r="5698">
      <c r="C5698" s="41"/>
      <c r="D5698" s="142"/>
      <c r="E5698" s="130"/>
      <c r="F5698" s="128"/>
      <c r="G5698" s="128"/>
      <c r="H5698" s="128"/>
      <c r="I5698" s="128"/>
      <c r="J5698" s="81"/>
      <c r="K5698" s="81"/>
      <c r="L5698" s="81"/>
      <c r="M5698" s="81"/>
      <c r="N5698" s="82"/>
    </row>
    <row r="5699">
      <c r="C5699" s="41"/>
      <c r="D5699" s="141"/>
      <c r="E5699" s="118"/>
      <c r="F5699" s="126"/>
      <c r="G5699" s="126"/>
      <c r="H5699" s="126"/>
      <c r="I5699" s="126"/>
      <c r="J5699" s="76"/>
      <c r="K5699" s="76"/>
      <c r="L5699" s="76"/>
      <c r="M5699" s="76"/>
      <c r="N5699" s="114"/>
    </row>
    <row r="5700">
      <c r="C5700" s="41"/>
      <c r="D5700" s="142"/>
      <c r="E5700" s="130"/>
      <c r="F5700" s="128"/>
      <c r="G5700" s="128"/>
      <c r="H5700" s="128"/>
      <c r="I5700" s="128"/>
      <c r="J5700" s="81"/>
      <c r="K5700" s="81"/>
      <c r="L5700" s="81"/>
      <c r="M5700" s="81"/>
      <c r="N5700" s="82"/>
    </row>
    <row r="5701">
      <c r="C5701" s="41"/>
      <c r="D5701" s="141"/>
      <c r="E5701" s="118"/>
      <c r="F5701" s="126"/>
      <c r="G5701" s="126"/>
      <c r="H5701" s="126"/>
      <c r="I5701" s="126"/>
      <c r="J5701" s="76"/>
      <c r="K5701" s="76"/>
      <c r="L5701" s="76"/>
      <c r="M5701" s="76"/>
      <c r="N5701" s="114"/>
    </row>
    <row r="5702">
      <c r="C5702" s="41"/>
      <c r="D5702" s="142"/>
      <c r="E5702" s="130"/>
      <c r="F5702" s="128"/>
      <c r="G5702" s="128"/>
      <c r="H5702" s="128"/>
      <c r="I5702" s="128"/>
      <c r="J5702" s="81"/>
      <c r="K5702" s="81"/>
      <c r="L5702" s="81"/>
      <c r="M5702" s="81"/>
      <c r="N5702" s="82"/>
    </row>
    <row r="5703">
      <c r="C5703" s="41"/>
      <c r="D5703" s="141"/>
      <c r="E5703" s="118"/>
      <c r="F5703" s="126"/>
      <c r="G5703" s="126"/>
      <c r="H5703" s="126"/>
      <c r="I5703" s="126"/>
      <c r="J5703" s="76"/>
      <c r="K5703" s="76"/>
      <c r="L5703" s="76"/>
      <c r="M5703" s="76"/>
      <c r="N5703" s="114"/>
    </row>
    <row r="5704">
      <c r="C5704" s="41"/>
      <c r="D5704" s="142"/>
      <c r="E5704" s="130"/>
      <c r="F5704" s="128"/>
      <c r="G5704" s="128"/>
      <c r="H5704" s="128"/>
      <c r="I5704" s="128"/>
      <c r="J5704" s="81"/>
      <c r="K5704" s="81"/>
      <c r="L5704" s="81"/>
      <c r="M5704" s="81"/>
      <c r="N5704" s="82"/>
    </row>
    <row r="5705">
      <c r="C5705" s="41"/>
      <c r="D5705" s="141"/>
      <c r="E5705" s="118"/>
      <c r="F5705" s="126"/>
      <c r="G5705" s="126"/>
      <c r="H5705" s="126"/>
      <c r="I5705" s="126"/>
      <c r="J5705" s="76"/>
      <c r="K5705" s="76"/>
      <c r="L5705" s="76"/>
      <c r="M5705" s="76"/>
      <c r="N5705" s="114"/>
    </row>
    <row r="5706">
      <c r="C5706" s="41"/>
      <c r="D5706" s="142"/>
      <c r="E5706" s="130"/>
      <c r="F5706" s="128"/>
      <c r="G5706" s="128"/>
      <c r="H5706" s="128"/>
      <c r="I5706" s="128"/>
      <c r="J5706" s="81"/>
      <c r="K5706" s="81"/>
      <c r="L5706" s="81"/>
      <c r="M5706" s="81"/>
      <c r="N5706" s="82"/>
    </row>
    <row r="5707">
      <c r="C5707" s="41"/>
      <c r="D5707" s="141"/>
      <c r="E5707" s="118"/>
      <c r="F5707" s="126"/>
      <c r="G5707" s="126"/>
      <c r="H5707" s="126"/>
      <c r="I5707" s="126"/>
      <c r="J5707" s="76"/>
      <c r="K5707" s="76"/>
      <c r="L5707" s="76"/>
      <c r="M5707" s="76"/>
      <c r="N5707" s="114"/>
    </row>
    <row r="5708">
      <c r="C5708" s="41"/>
      <c r="D5708" s="142"/>
      <c r="E5708" s="130"/>
      <c r="F5708" s="128"/>
      <c r="G5708" s="128"/>
      <c r="H5708" s="128"/>
      <c r="I5708" s="128"/>
      <c r="J5708" s="81"/>
      <c r="K5708" s="81"/>
      <c r="L5708" s="81"/>
      <c r="M5708" s="81"/>
      <c r="N5708" s="82"/>
    </row>
    <row r="5709">
      <c r="C5709" s="41"/>
      <c r="D5709" s="141"/>
      <c r="E5709" s="118"/>
      <c r="F5709" s="126"/>
      <c r="G5709" s="126"/>
      <c r="H5709" s="126"/>
      <c r="I5709" s="126"/>
      <c r="J5709" s="76"/>
      <c r="K5709" s="76"/>
      <c r="L5709" s="76"/>
      <c r="M5709" s="76"/>
      <c r="N5709" s="114"/>
    </row>
    <row r="5710">
      <c r="C5710" s="41"/>
      <c r="D5710" s="142"/>
      <c r="E5710" s="130"/>
      <c r="F5710" s="128"/>
      <c r="G5710" s="128"/>
      <c r="H5710" s="128"/>
      <c r="I5710" s="128"/>
      <c r="J5710" s="81"/>
      <c r="K5710" s="81"/>
      <c r="L5710" s="81"/>
      <c r="M5710" s="81"/>
      <c r="N5710" s="82"/>
    </row>
    <row r="5711">
      <c r="C5711" s="41"/>
      <c r="D5711" s="141"/>
      <c r="E5711" s="118"/>
      <c r="F5711" s="126"/>
      <c r="G5711" s="126"/>
      <c r="H5711" s="126"/>
      <c r="I5711" s="126"/>
      <c r="J5711" s="76"/>
      <c r="K5711" s="76"/>
      <c r="L5711" s="76"/>
      <c r="M5711" s="76"/>
      <c r="N5711" s="114"/>
    </row>
    <row r="5712">
      <c r="C5712" s="41"/>
      <c r="D5712" s="142"/>
      <c r="E5712" s="130"/>
      <c r="F5712" s="128"/>
      <c r="G5712" s="128"/>
      <c r="H5712" s="128"/>
      <c r="I5712" s="128"/>
      <c r="J5712" s="81"/>
      <c r="K5712" s="81"/>
      <c r="L5712" s="81"/>
      <c r="M5712" s="81"/>
      <c r="N5712" s="82"/>
    </row>
    <row r="5713">
      <c r="C5713" s="41"/>
      <c r="D5713" s="141"/>
      <c r="E5713" s="118"/>
      <c r="F5713" s="126"/>
      <c r="G5713" s="126"/>
      <c r="H5713" s="126"/>
      <c r="I5713" s="126"/>
      <c r="J5713" s="76"/>
      <c r="K5713" s="76"/>
      <c r="L5713" s="76"/>
      <c r="M5713" s="76"/>
      <c r="N5713" s="114"/>
    </row>
    <row r="5714">
      <c r="C5714" s="41"/>
      <c r="D5714" s="142"/>
      <c r="E5714" s="130"/>
      <c r="F5714" s="128"/>
      <c r="G5714" s="128"/>
      <c r="H5714" s="128"/>
      <c r="I5714" s="128"/>
      <c r="J5714" s="81"/>
      <c r="K5714" s="81"/>
      <c r="L5714" s="81"/>
      <c r="M5714" s="81"/>
      <c r="N5714" s="82"/>
    </row>
    <row r="5715">
      <c r="C5715" s="41"/>
      <c r="D5715" s="141"/>
      <c r="E5715" s="118"/>
      <c r="F5715" s="126"/>
      <c r="G5715" s="126"/>
      <c r="H5715" s="126"/>
      <c r="I5715" s="126"/>
      <c r="J5715" s="76"/>
      <c r="K5715" s="76"/>
      <c r="L5715" s="76"/>
      <c r="M5715" s="76"/>
      <c r="N5715" s="114"/>
    </row>
    <row r="5716">
      <c r="C5716" s="41"/>
      <c r="D5716" s="142"/>
      <c r="E5716" s="130"/>
      <c r="F5716" s="128"/>
      <c r="G5716" s="128"/>
      <c r="H5716" s="128"/>
      <c r="I5716" s="128"/>
      <c r="J5716" s="81"/>
      <c r="K5716" s="81"/>
      <c r="L5716" s="81"/>
      <c r="M5716" s="81"/>
      <c r="N5716" s="82"/>
    </row>
    <row r="5717">
      <c r="C5717" s="41"/>
      <c r="D5717" s="141"/>
      <c r="E5717" s="118"/>
      <c r="F5717" s="126"/>
      <c r="G5717" s="126"/>
      <c r="H5717" s="126"/>
      <c r="I5717" s="126"/>
      <c r="J5717" s="76"/>
      <c r="K5717" s="76"/>
      <c r="L5717" s="76"/>
      <c r="M5717" s="76"/>
      <c r="N5717" s="114"/>
    </row>
    <row r="5718">
      <c r="C5718" s="41"/>
      <c r="D5718" s="142"/>
      <c r="E5718" s="130"/>
      <c r="F5718" s="128"/>
      <c r="G5718" s="128"/>
      <c r="H5718" s="128"/>
      <c r="I5718" s="128"/>
      <c r="J5718" s="81"/>
      <c r="K5718" s="81"/>
      <c r="L5718" s="81"/>
      <c r="M5718" s="81"/>
      <c r="N5718" s="82"/>
    </row>
    <row r="5719">
      <c r="C5719" s="41"/>
      <c r="D5719" s="141"/>
      <c r="E5719" s="118"/>
      <c r="F5719" s="126"/>
      <c r="G5719" s="126"/>
      <c r="H5719" s="126"/>
      <c r="I5719" s="126"/>
      <c r="J5719" s="76"/>
      <c r="K5719" s="76"/>
      <c r="L5719" s="76"/>
      <c r="M5719" s="76"/>
      <c r="N5719" s="114"/>
    </row>
    <row r="5720">
      <c r="C5720" s="41"/>
      <c r="D5720" s="142"/>
      <c r="E5720" s="130"/>
      <c r="F5720" s="128"/>
      <c r="G5720" s="128"/>
      <c r="H5720" s="128"/>
      <c r="I5720" s="128"/>
      <c r="J5720" s="81"/>
      <c r="K5720" s="81"/>
      <c r="L5720" s="81"/>
      <c r="M5720" s="81"/>
      <c r="N5720" s="82"/>
    </row>
    <row r="5721">
      <c r="C5721" s="41"/>
      <c r="D5721" s="141"/>
      <c r="E5721" s="118"/>
      <c r="F5721" s="126"/>
      <c r="G5721" s="126"/>
      <c r="H5721" s="126"/>
      <c r="I5721" s="126"/>
      <c r="J5721" s="76"/>
      <c r="K5721" s="76"/>
      <c r="L5721" s="76"/>
      <c r="M5721" s="76"/>
      <c r="N5721" s="114"/>
    </row>
    <row r="5722">
      <c r="C5722" s="41"/>
      <c r="D5722" s="142"/>
      <c r="E5722" s="130"/>
      <c r="F5722" s="128"/>
      <c r="G5722" s="128"/>
      <c r="H5722" s="128"/>
      <c r="I5722" s="128"/>
      <c r="J5722" s="81"/>
      <c r="K5722" s="81"/>
      <c r="L5722" s="81"/>
      <c r="M5722" s="81"/>
      <c r="N5722" s="82"/>
    </row>
    <row r="5723">
      <c r="C5723" s="41"/>
      <c r="D5723" s="141"/>
      <c r="E5723" s="118"/>
      <c r="F5723" s="126"/>
      <c r="G5723" s="126"/>
      <c r="H5723" s="126"/>
      <c r="I5723" s="126"/>
      <c r="J5723" s="76"/>
      <c r="K5723" s="76"/>
      <c r="L5723" s="76"/>
      <c r="M5723" s="76"/>
      <c r="N5723" s="114"/>
    </row>
    <row r="5724">
      <c r="C5724" s="41"/>
      <c r="D5724" s="142"/>
      <c r="E5724" s="130"/>
      <c r="F5724" s="128"/>
      <c r="G5724" s="128"/>
      <c r="H5724" s="128"/>
      <c r="I5724" s="128"/>
      <c r="J5724" s="81"/>
      <c r="K5724" s="81"/>
      <c r="L5724" s="81"/>
      <c r="M5724" s="81"/>
      <c r="N5724" s="82"/>
    </row>
    <row r="5725">
      <c r="C5725" s="41"/>
      <c r="D5725" s="141"/>
      <c r="E5725" s="118"/>
      <c r="F5725" s="126"/>
      <c r="G5725" s="126"/>
      <c r="H5725" s="126"/>
      <c r="I5725" s="126"/>
      <c r="J5725" s="76"/>
      <c r="K5725" s="76"/>
      <c r="L5725" s="76"/>
      <c r="M5725" s="76"/>
      <c r="N5725" s="114"/>
    </row>
    <row r="5726">
      <c r="C5726" s="41"/>
      <c r="D5726" s="142"/>
      <c r="E5726" s="130"/>
      <c r="F5726" s="128"/>
      <c r="G5726" s="128"/>
      <c r="H5726" s="128"/>
      <c r="I5726" s="128"/>
      <c r="J5726" s="81"/>
      <c r="K5726" s="81"/>
      <c r="L5726" s="81"/>
      <c r="M5726" s="81"/>
      <c r="N5726" s="82"/>
    </row>
    <row r="5727">
      <c r="C5727" s="41"/>
      <c r="D5727" s="141"/>
      <c r="E5727" s="118"/>
      <c r="F5727" s="126"/>
      <c r="G5727" s="126"/>
      <c r="H5727" s="126"/>
      <c r="I5727" s="126"/>
      <c r="J5727" s="76"/>
      <c r="K5727" s="76"/>
      <c r="L5727" s="76"/>
      <c r="M5727" s="76"/>
      <c r="N5727" s="114"/>
    </row>
    <row r="5728">
      <c r="C5728" s="41"/>
      <c r="D5728" s="142"/>
      <c r="E5728" s="130"/>
      <c r="F5728" s="128"/>
      <c r="G5728" s="128"/>
      <c r="H5728" s="128"/>
      <c r="I5728" s="128"/>
      <c r="J5728" s="81"/>
      <c r="K5728" s="81"/>
      <c r="L5728" s="81"/>
      <c r="M5728" s="81"/>
      <c r="N5728" s="82"/>
    </row>
    <row r="5729">
      <c r="C5729" s="41"/>
      <c r="D5729" s="141"/>
      <c r="E5729" s="118"/>
      <c r="F5729" s="126"/>
      <c r="G5729" s="126"/>
      <c r="H5729" s="126"/>
      <c r="I5729" s="126"/>
      <c r="J5729" s="76"/>
      <c r="K5729" s="76"/>
      <c r="L5729" s="76"/>
      <c r="M5729" s="76"/>
      <c r="N5729" s="114"/>
    </row>
    <row r="5730">
      <c r="C5730" s="41"/>
      <c r="D5730" s="142"/>
      <c r="E5730" s="130"/>
      <c r="F5730" s="128"/>
      <c r="G5730" s="128"/>
      <c r="H5730" s="128"/>
      <c r="I5730" s="128"/>
      <c r="J5730" s="81"/>
      <c r="K5730" s="81"/>
      <c r="L5730" s="81"/>
      <c r="M5730" s="81"/>
      <c r="N5730" s="82"/>
    </row>
    <row r="5731">
      <c r="C5731" s="41"/>
      <c r="D5731" s="141"/>
      <c r="E5731" s="118"/>
      <c r="F5731" s="126"/>
      <c r="G5731" s="126"/>
      <c r="H5731" s="126"/>
      <c r="I5731" s="126"/>
      <c r="J5731" s="76"/>
      <c r="K5731" s="76"/>
      <c r="L5731" s="76"/>
      <c r="M5731" s="76"/>
      <c r="N5731" s="114"/>
    </row>
    <row r="5732">
      <c r="C5732" s="41"/>
      <c r="D5732" s="142"/>
      <c r="E5732" s="130"/>
      <c r="F5732" s="128"/>
      <c r="G5732" s="128"/>
      <c r="H5732" s="128"/>
      <c r="I5732" s="128"/>
      <c r="J5732" s="81"/>
      <c r="K5732" s="81"/>
      <c r="L5732" s="81"/>
      <c r="M5732" s="81"/>
      <c r="N5732" s="82"/>
    </row>
    <row r="5733">
      <c r="C5733" s="41"/>
      <c r="D5733" s="141"/>
      <c r="E5733" s="118"/>
      <c r="F5733" s="126"/>
      <c r="G5733" s="126"/>
      <c r="H5733" s="126"/>
      <c r="I5733" s="126"/>
      <c r="J5733" s="76"/>
      <c r="K5733" s="76"/>
      <c r="L5733" s="76"/>
      <c r="M5733" s="76"/>
      <c r="N5733" s="114"/>
    </row>
    <row r="5734">
      <c r="C5734" s="41"/>
      <c r="D5734" s="142"/>
      <c r="E5734" s="130"/>
      <c r="F5734" s="128"/>
      <c r="G5734" s="128"/>
      <c r="H5734" s="128"/>
      <c r="I5734" s="128"/>
      <c r="J5734" s="81"/>
      <c r="K5734" s="81"/>
      <c r="L5734" s="81"/>
      <c r="M5734" s="81"/>
      <c r="N5734" s="82"/>
    </row>
    <row r="5735">
      <c r="C5735" s="41"/>
      <c r="D5735" s="141"/>
      <c r="E5735" s="118"/>
      <c r="F5735" s="126"/>
      <c r="G5735" s="126"/>
      <c r="H5735" s="126"/>
      <c r="I5735" s="126"/>
      <c r="J5735" s="76"/>
      <c r="K5735" s="76"/>
      <c r="L5735" s="76"/>
      <c r="M5735" s="76"/>
      <c r="N5735" s="114"/>
    </row>
    <row r="5736">
      <c r="C5736" s="41"/>
      <c r="D5736" s="142"/>
      <c r="E5736" s="130"/>
      <c r="F5736" s="128"/>
      <c r="G5736" s="128"/>
      <c r="H5736" s="128"/>
      <c r="I5736" s="128"/>
      <c r="J5736" s="81"/>
      <c r="K5736" s="81"/>
      <c r="L5736" s="81"/>
      <c r="M5736" s="81"/>
      <c r="N5736" s="82"/>
    </row>
    <row r="5737">
      <c r="C5737" s="41"/>
      <c r="D5737" s="141"/>
      <c r="E5737" s="118"/>
      <c r="F5737" s="126"/>
      <c r="G5737" s="126"/>
      <c r="H5737" s="126"/>
      <c r="I5737" s="126"/>
      <c r="J5737" s="76"/>
      <c r="K5737" s="76"/>
      <c r="L5737" s="76"/>
      <c r="M5737" s="76"/>
      <c r="N5737" s="114"/>
    </row>
    <row r="5738">
      <c r="C5738" s="41"/>
      <c r="D5738" s="142"/>
      <c r="E5738" s="130"/>
      <c r="F5738" s="128"/>
      <c r="G5738" s="128"/>
      <c r="H5738" s="128"/>
      <c r="I5738" s="128"/>
      <c r="J5738" s="81"/>
      <c r="K5738" s="81"/>
      <c r="L5738" s="81"/>
      <c r="M5738" s="81"/>
      <c r="N5738" s="82"/>
    </row>
    <row r="5739">
      <c r="C5739" s="41"/>
      <c r="D5739" s="141"/>
      <c r="E5739" s="118"/>
      <c r="F5739" s="126"/>
      <c r="G5739" s="126"/>
      <c r="H5739" s="126"/>
      <c r="I5739" s="126"/>
      <c r="J5739" s="76"/>
      <c r="K5739" s="76"/>
      <c r="L5739" s="76"/>
      <c r="M5739" s="76"/>
      <c r="N5739" s="114"/>
    </row>
    <row r="5740">
      <c r="C5740" s="41"/>
      <c r="D5740" s="142"/>
      <c r="E5740" s="130"/>
      <c r="F5740" s="128"/>
      <c r="G5740" s="128"/>
      <c r="H5740" s="128"/>
      <c r="I5740" s="128"/>
      <c r="J5740" s="81"/>
      <c r="K5740" s="81"/>
      <c r="L5740" s="81"/>
      <c r="M5740" s="81"/>
      <c r="N5740" s="82"/>
    </row>
    <row r="5741">
      <c r="C5741" s="41"/>
      <c r="D5741" s="141"/>
      <c r="E5741" s="118"/>
      <c r="F5741" s="126"/>
      <c r="G5741" s="126"/>
      <c r="H5741" s="126"/>
      <c r="I5741" s="126"/>
      <c r="J5741" s="76"/>
      <c r="K5741" s="76"/>
      <c r="L5741" s="76"/>
      <c r="M5741" s="76"/>
      <c r="N5741" s="114"/>
    </row>
    <row r="5742">
      <c r="C5742" s="41"/>
      <c r="D5742" s="142"/>
      <c r="E5742" s="130"/>
      <c r="F5742" s="128"/>
      <c r="G5742" s="128"/>
      <c r="H5742" s="128"/>
      <c r="I5742" s="128"/>
      <c r="J5742" s="81"/>
      <c r="K5742" s="81"/>
      <c r="L5742" s="81"/>
      <c r="M5742" s="81"/>
      <c r="N5742" s="82"/>
    </row>
    <row r="5743">
      <c r="C5743" s="41"/>
      <c r="D5743" s="141"/>
      <c r="E5743" s="118"/>
      <c r="F5743" s="126"/>
      <c r="G5743" s="126"/>
      <c r="H5743" s="126"/>
      <c r="I5743" s="126"/>
      <c r="J5743" s="76"/>
      <c r="K5743" s="76"/>
      <c r="L5743" s="76"/>
      <c r="M5743" s="76"/>
      <c r="N5743" s="114"/>
    </row>
    <row r="5744">
      <c r="C5744" s="41"/>
      <c r="D5744" s="142"/>
      <c r="E5744" s="130"/>
      <c r="F5744" s="128"/>
      <c r="G5744" s="128"/>
      <c r="H5744" s="128"/>
      <c r="I5744" s="128"/>
      <c r="J5744" s="81"/>
      <c r="K5744" s="81"/>
      <c r="L5744" s="81"/>
      <c r="M5744" s="81"/>
      <c r="N5744" s="82"/>
    </row>
    <row r="5745">
      <c r="C5745" s="41"/>
      <c r="D5745" s="141"/>
      <c r="E5745" s="118"/>
      <c r="F5745" s="126"/>
      <c r="G5745" s="126"/>
      <c r="H5745" s="126"/>
      <c r="I5745" s="126"/>
      <c r="J5745" s="76"/>
      <c r="K5745" s="76"/>
      <c r="L5745" s="76"/>
      <c r="M5745" s="76"/>
      <c r="N5745" s="114"/>
    </row>
    <row r="5746">
      <c r="C5746" s="41"/>
      <c r="D5746" s="142"/>
      <c r="E5746" s="130"/>
      <c r="F5746" s="128"/>
      <c r="G5746" s="128"/>
      <c r="H5746" s="128"/>
      <c r="I5746" s="128"/>
      <c r="J5746" s="81"/>
      <c r="K5746" s="81"/>
      <c r="L5746" s="81"/>
      <c r="M5746" s="81"/>
      <c r="N5746" s="82"/>
    </row>
    <row r="5747">
      <c r="C5747" s="41"/>
      <c r="D5747" s="141"/>
      <c r="E5747" s="118"/>
      <c r="F5747" s="126"/>
      <c r="G5747" s="126"/>
      <c r="H5747" s="126"/>
      <c r="I5747" s="126"/>
      <c r="J5747" s="76"/>
      <c r="K5747" s="76"/>
      <c r="L5747" s="76"/>
      <c r="M5747" s="76"/>
      <c r="N5747" s="114"/>
    </row>
    <row r="5748">
      <c r="C5748" s="41"/>
      <c r="D5748" s="142"/>
      <c r="E5748" s="130"/>
      <c r="F5748" s="128"/>
      <c r="G5748" s="128"/>
      <c r="H5748" s="128"/>
      <c r="I5748" s="128"/>
      <c r="J5748" s="81"/>
      <c r="K5748" s="81"/>
      <c r="L5748" s="81"/>
      <c r="M5748" s="81"/>
      <c r="N5748" s="82"/>
    </row>
    <row r="5749">
      <c r="C5749" s="41"/>
      <c r="D5749" s="141"/>
      <c r="E5749" s="118"/>
      <c r="F5749" s="126"/>
      <c r="G5749" s="126"/>
      <c r="H5749" s="126"/>
      <c r="I5749" s="126"/>
      <c r="J5749" s="76"/>
      <c r="K5749" s="76"/>
      <c r="L5749" s="76"/>
      <c r="M5749" s="76"/>
      <c r="N5749" s="114"/>
    </row>
    <row r="5750">
      <c r="C5750" s="41"/>
      <c r="D5750" s="142"/>
      <c r="E5750" s="130"/>
      <c r="F5750" s="128"/>
      <c r="G5750" s="128"/>
      <c r="H5750" s="128"/>
      <c r="I5750" s="128"/>
      <c r="J5750" s="81"/>
      <c r="K5750" s="81"/>
      <c r="L5750" s="81"/>
      <c r="M5750" s="81"/>
      <c r="N5750" s="82"/>
    </row>
    <row r="5751">
      <c r="C5751" s="41"/>
      <c r="D5751" s="141"/>
      <c r="E5751" s="118"/>
      <c r="F5751" s="126"/>
      <c r="G5751" s="126"/>
      <c r="H5751" s="126"/>
      <c r="I5751" s="126"/>
      <c r="J5751" s="76"/>
      <c r="K5751" s="76"/>
      <c r="L5751" s="76"/>
      <c r="M5751" s="76"/>
      <c r="N5751" s="114"/>
    </row>
    <row r="5752">
      <c r="C5752" s="41"/>
      <c r="D5752" s="142"/>
      <c r="E5752" s="130"/>
      <c r="F5752" s="128"/>
      <c r="G5752" s="128"/>
      <c r="H5752" s="128"/>
      <c r="I5752" s="128"/>
      <c r="J5752" s="81"/>
      <c r="K5752" s="81"/>
      <c r="L5752" s="81"/>
      <c r="M5752" s="81"/>
      <c r="N5752" s="82"/>
    </row>
    <row r="5753">
      <c r="C5753" s="41"/>
      <c r="D5753" s="141"/>
      <c r="E5753" s="118"/>
      <c r="F5753" s="126"/>
      <c r="G5753" s="126"/>
      <c r="H5753" s="126"/>
      <c r="I5753" s="126"/>
      <c r="J5753" s="76"/>
      <c r="K5753" s="76"/>
      <c r="L5753" s="76"/>
      <c r="M5753" s="76"/>
      <c r="N5753" s="114"/>
    </row>
    <row r="5754">
      <c r="C5754" s="41"/>
      <c r="D5754" s="142"/>
      <c r="E5754" s="130"/>
      <c r="F5754" s="128"/>
      <c r="G5754" s="128"/>
      <c r="H5754" s="128"/>
      <c r="I5754" s="128"/>
      <c r="J5754" s="81"/>
      <c r="K5754" s="81"/>
      <c r="L5754" s="81"/>
      <c r="M5754" s="81"/>
      <c r="N5754" s="82"/>
    </row>
    <row r="5755">
      <c r="C5755" s="41"/>
      <c r="D5755" s="141"/>
      <c r="E5755" s="118"/>
      <c r="F5755" s="126"/>
      <c r="G5755" s="126"/>
      <c r="H5755" s="126"/>
      <c r="I5755" s="126"/>
      <c r="J5755" s="76"/>
      <c r="K5755" s="76"/>
      <c r="L5755" s="76"/>
      <c r="M5755" s="76"/>
      <c r="N5755" s="114"/>
    </row>
    <row r="5756">
      <c r="C5756" s="41"/>
      <c r="D5756" s="142"/>
      <c r="E5756" s="130"/>
      <c r="F5756" s="128"/>
      <c r="G5756" s="128"/>
      <c r="H5756" s="128"/>
      <c r="I5756" s="128"/>
      <c r="J5756" s="81"/>
      <c r="K5756" s="81"/>
      <c r="L5756" s="81"/>
      <c r="M5756" s="81"/>
      <c r="N5756" s="82"/>
    </row>
    <row r="5757">
      <c r="C5757" s="41"/>
      <c r="D5757" s="141"/>
      <c r="E5757" s="118"/>
      <c r="F5757" s="126"/>
      <c r="G5757" s="126"/>
      <c r="H5757" s="126"/>
      <c r="I5757" s="126"/>
      <c r="J5757" s="76"/>
      <c r="K5757" s="76"/>
      <c r="L5757" s="76"/>
      <c r="M5757" s="76"/>
      <c r="N5757" s="114"/>
    </row>
    <row r="5758">
      <c r="C5758" s="41"/>
      <c r="D5758" s="142"/>
      <c r="E5758" s="130"/>
      <c r="F5758" s="128"/>
      <c r="G5758" s="128"/>
      <c r="H5758" s="128"/>
      <c r="I5758" s="128"/>
      <c r="J5758" s="81"/>
      <c r="K5758" s="81"/>
      <c r="L5758" s="81"/>
      <c r="M5758" s="81"/>
      <c r="N5758" s="82"/>
    </row>
    <row r="5759">
      <c r="C5759" s="41"/>
      <c r="D5759" s="141"/>
      <c r="E5759" s="118"/>
      <c r="F5759" s="126"/>
      <c r="G5759" s="126"/>
      <c r="H5759" s="126"/>
      <c r="I5759" s="126"/>
      <c r="J5759" s="76"/>
      <c r="K5759" s="76"/>
      <c r="L5759" s="76"/>
      <c r="M5759" s="76"/>
      <c r="N5759" s="114"/>
    </row>
    <row r="5760">
      <c r="C5760" s="41"/>
      <c r="D5760" s="142"/>
      <c r="E5760" s="130"/>
      <c r="F5760" s="128"/>
      <c r="G5760" s="128"/>
      <c r="H5760" s="128"/>
      <c r="I5760" s="128"/>
      <c r="J5760" s="81"/>
      <c r="K5760" s="81"/>
      <c r="L5760" s="81"/>
      <c r="M5760" s="81"/>
      <c r="N5760" s="82"/>
    </row>
    <row r="5761">
      <c r="C5761" s="41"/>
      <c r="D5761" s="141"/>
      <c r="E5761" s="118"/>
      <c r="F5761" s="126"/>
      <c r="G5761" s="126"/>
      <c r="H5761" s="126"/>
      <c r="I5761" s="126"/>
      <c r="J5761" s="76"/>
      <c r="K5761" s="76"/>
      <c r="L5761" s="76"/>
      <c r="M5761" s="76"/>
      <c r="N5761" s="114"/>
    </row>
    <row r="5762">
      <c r="C5762" s="41"/>
      <c r="D5762" s="142"/>
      <c r="E5762" s="130"/>
      <c r="F5762" s="128"/>
      <c r="G5762" s="128"/>
      <c r="H5762" s="128"/>
      <c r="I5762" s="128"/>
      <c r="J5762" s="81"/>
      <c r="K5762" s="81"/>
      <c r="L5762" s="81"/>
      <c r="M5762" s="81"/>
      <c r="N5762" s="82"/>
    </row>
    <row r="5763">
      <c r="C5763" s="41"/>
      <c r="D5763" s="141"/>
      <c r="E5763" s="118"/>
      <c r="F5763" s="126"/>
      <c r="G5763" s="126"/>
      <c r="H5763" s="126"/>
      <c r="I5763" s="126"/>
      <c r="J5763" s="76"/>
      <c r="K5763" s="76"/>
      <c r="L5763" s="76"/>
      <c r="M5763" s="76"/>
      <c r="N5763" s="114"/>
    </row>
    <row r="5764">
      <c r="C5764" s="41"/>
      <c r="D5764" s="142"/>
      <c r="E5764" s="130"/>
      <c r="F5764" s="128"/>
      <c r="G5764" s="128"/>
      <c r="H5764" s="128"/>
      <c r="I5764" s="128"/>
      <c r="J5764" s="81"/>
      <c r="K5764" s="81"/>
      <c r="L5764" s="81"/>
      <c r="M5764" s="81"/>
      <c r="N5764" s="82"/>
    </row>
    <row r="5765">
      <c r="C5765" s="41"/>
      <c r="D5765" s="141"/>
      <c r="E5765" s="118"/>
      <c r="F5765" s="126"/>
      <c r="G5765" s="126"/>
      <c r="H5765" s="126"/>
      <c r="I5765" s="126"/>
      <c r="J5765" s="76"/>
      <c r="K5765" s="76"/>
      <c r="L5765" s="76"/>
      <c r="M5765" s="76"/>
      <c r="N5765" s="114"/>
    </row>
    <row r="5766">
      <c r="C5766" s="41"/>
      <c r="D5766" s="142"/>
      <c r="E5766" s="130"/>
      <c r="F5766" s="128"/>
      <c r="G5766" s="128"/>
      <c r="H5766" s="128"/>
      <c r="I5766" s="128"/>
      <c r="J5766" s="81"/>
      <c r="K5766" s="81"/>
      <c r="L5766" s="81"/>
      <c r="M5766" s="81"/>
      <c r="N5766" s="82"/>
    </row>
    <row r="5767">
      <c r="C5767" s="41"/>
      <c r="D5767" s="141"/>
      <c r="E5767" s="118"/>
      <c r="F5767" s="126"/>
      <c r="G5767" s="126"/>
      <c r="H5767" s="126"/>
      <c r="I5767" s="126"/>
      <c r="J5767" s="76"/>
      <c r="K5767" s="76"/>
      <c r="L5767" s="76"/>
      <c r="M5767" s="76"/>
      <c r="N5767" s="114"/>
    </row>
    <row r="5768">
      <c r="C5768" s="41"/>
      <c r="D5768" s="142"/>
      <c r="E5768" s="130"/>
      <c r="F5768" s="128"/>
      <c r="G5768" s="128"/>
      <c r="H5768" s="128"/>
      <c r="I5768" s="128"/>
      <c r="J5768" s="81"/>
      <c r="K5768" s="81"/>
      <c r="L5768" s="81"/>
      <c r="M5768" s="81"/>
      <c r="N5768" s="82"/>
    </row>
    <row r="5769">
      <c r="C5769" s="41"/>
      <c r="D5769" s="141"/>
      <c r="E5769" s="118"/>
      <c r="F5769" s="126"/>
      <c r="G5769" s="126"/>
      <c r="H5769" s="126"/>
      <c r="I5769" s="126"/>
      <c r="J5769" s="76"/>
      <c r="K5769" s="76"/>
      <c r="L5769" s="76"/>
      <c r="M5769" s="76"/>
      <c r="N5769" s="114"/>
    </row>
    <row r="5770">
      <c r="C5770" s="41"/>
      <c r="D5770" s="142"/>
      <c r="E5770" s="130"/>
      <c r="F5770" s="128"/>
      <c r="G5770" s="128"/>
      <c r="H5770" s="128"/>
      <c r="I5770" s="128"/>
      <c r="J5770" s="81"/>
      <c r="K5770" s="81"/>
      <c r="L5770" s="81"/>
      <c r="M5770" s="81"/>
      <c r="N5770" s="82"/>
    </row>
    <row r="5771">
      <c r="C5771" s="41"/>
      <c r="D5771" s="141"/>
      <c r="E5771" s="118"/>
      <c r="F5771" s="126"/>
      <c r="G5771" s="126"/>
      <c r="H5771" s="126"/>
      <c r="I5771" s="126"/>
      <c r="J5771" s="76"/>
      <c r="K5771" s="76"/>
      <c r="L5771" s="76"/>
      <c r="M5771" s="76"/>
      <c r="N5771" s="114"/>
    </row>
    <row r="5772">
      <c r="C5772" s="41"/>
      <c r="D5772" s="142"/>
      <c r="E5772" s="130"/>
      <c r="F5772" s="128"/>
      <c r="G5772" s="128"/>
      <c r="H5772" s="128"/>
      <c r="I5772" s="128"/>
      <c r="J5772" s="81"/>
      <c r="K5772" s="81"/>
      <c r="L5772" s="81"/>
      <c r="M5772" s="81"/>
      <c r="N5772" s="82"/>
    </row>
    <row r="5773">
      <c r="C5773" s="41"/>
      <c r="D5773" s="141"/>
      <c r="E5773" s="118"/>
      <c r="F5773" s="126"/>
      <c r="G5773" s="126"/>
      <c r="H5773" s="126"/>
      <c r="I5773" s="126"/>
      <c r="J5773" s="76"/>
      <c r="K5773" s="76"/>
      <c r="L5773" s="76"/>
      <c r="M5773" s="76"/>
      <c r="N5773" s="114"/>
    </row>
    <row r="5774">
      <c r="C5774" s="41"/>
      <c r="D5774" s="142"/>
      <c r="E5774" s="130"/>
      <c r="F5774" s="128"/>
      <c r="G5774" s="128"/>
      <c r="H5774" s="128"/>
      <c r="I5774" s="128"/>
      <c r="J5774" s="81"/>
      <c r="K5774" s="81"/>
      <c r="L5774" s="81"/>
      <c r="M5774" s="81"/>
      <c r="N5774" s="82"/>
    </row>
    <row r="5775">
      <c r="C5775" s="41"/>
      <c r="D5775" s="141"/>
      <c r="E5775" s="118"/>
      <c r="F5775" s="126"/>
      <c r="G5775" s="126"/>
      <c r="H5775" s="126"/>
      <c r="I5775" s="126"/>
      <c r="J5775" s="76"/>
      <c r="K5775" s="76"/>
      <c r="L5775" s="76"/>
      <c r="M5775" s="76"/>
      <c r="N5775" s="114"/>
    </row>
    <row r="5776">
      <c r="C5776" s="41"/>
      <c r="D5776" s="142"/>
      <c r="E5776" s="130"/>
      <c r="F5776" s="128"/>
      <c r="G5776" s="128"/>
      <c r="H5776" s="128"/>
      <c r="I5776" s="128"/>
      <c r="J5776" s="81"/>
      <c r="K5776" s="81"/>
      <c r="L5776" s="81"/>
      <c r="M5776" s="81"/>
      <c r="N5776" s="82"/>
    </row>
    <row r="5777">
      <c r="C5777" s="41"/>
      <c r="D5777" s="141"/>
      <c r="E5777" s="118"/>
      <c r="F5777" s="126"/>
      <c r="G5777" s="126"/>
      <c r="H5777" s="126"/>
      <c r="I5777" s="126"/>
      <c r="J5777" s="76"/>
      <c r="K5777" s="76"/>
      <c r="L5777" s="76"/>
      <c r="M5777" s="76"/>
      <c r="N5777" s="114"/>
    </row>
    <row r="5778">
      <c r="C5778" s="41"/>
      <c r="D5778" s="142"/>
      <c r="E5778" s="130"/>
      <c r="F5778" s="128"/>
      <c r="G5778" s="128"/>
      <c r="H5778" s="128"/>
      <c r="I5778" s="128"/>
      <c r="J5778" s="81"/>
      <c r="K5778" s="81"/>
      <c r="L5778" s="81"/>
      <c r="M5778" s="81"/>
      <c r="N5778" s="82"/>
    </row>
    <row r="5779">
      <c r="C5779" s="41"/>
      <c r="D5779" s="141"/>
      <c r="E5779" s="118"/>
      <c r="F5779" s="126"/>
      <c r="G5779" s="126"/>
      <c r="H5779" s="126"/>
      <c r="I5779" s="126"/>
      <c r="J5779" s="76"/>
      <c r="K5779" s="76"/>
      <c r="L5779" s="76"/>
      <c r="M5779" s="76"/>
      <c r="N5779" s="114"/>
    </row>
    <row r="5780">
      <c r="C5780" s="41"/>
      <c r="D5780" s="142"/>
      <c r="E5780" s="130"/>
      <c r="F5780" s="128"/>
      <c r="G5780" s="128"/>
      <c r="H5780" s="128"/>
      <c r="I5780" s="128"/>
      <c r="J5780" s="81"/>
      <c r="K5780" s="81"/>
      <c r="L5780" s="81"/>
      <c r="M5780" s="81"/>
      <c r="N5780" s="82"/>
    </row>
    <row r="5781">
      <c r="C5781" s="41"/>
      <c r="D5781" s="141"/>
      <c r="E5781" s="118"/>
      <c r="F5781" s="126"/>
      <c r="G5781" s="126"/>
      <c r="H5781" s="126"/>
      <c r="I5781" s="126"/>
      <c r="J5781" s="76"/>
      <c r="K5781" s="76"/>
      <c r="L5781" s="76"/>
      <c r="M5781" s="76"/>
      <c r="N5781" s="114"/>
    </row>
    <row r="5782">
      <c r="C5782" s="41"/>
      <c r="D5782" s="142"/>
      <c r="E5782" s="130"/>
      <c r="F5782" s="128"/>
      <c r="G5782" s="128"/>
      <c r="H5782" s="128"/>
      <c r="I5782" s="128"/>
      <c r="J5782" s="81"/>
      <c r="K5782" s="81"/>
      <c r="L5782" s="81"/>
      <c r="M5782" s="81"/>
      <c r="N5782" s="82"/>
    </row>
    <row r="5783">
      <c r="C5783" s="41"/>
      <c r="D5783" s="141"/>
      <c r="E5783" s="118"/>
      <c r="F5783" s="126"/>
      <c r="G5783" s="126"/>
      <c r="H5783" s="126"/>
      <c r="I5783" s="126"/>
      <c r="J5783" s="76"/>
      <c r="K5783" s="76"/>
      <c r="L5783" s="76"/>
      <c r="M5783" s="76"/>
      <c r="N5783" s="114"/>
    </row>
    <row r="5784">
      <c r="C5784" s="41"/>
      <c r="D5784" s="142"/>
      <c r="E5784" s="130"/>
      <c r="F5784" s="128"/>
      <c r="G5784" s="128"/>
      <c r="H5784" s="128"/>
      <c r="I5784" s="128"/>
      <c r="J5784" s="81"/>
      <c r="K5784" s="81"/>
      <c r="L5784" s="81"/>
      <c r="M5784" s="81"/>
      <c r="N5784" s="82"/>
    </row>
    <row r="5785">
      <c r="C5785" s="41"/>
      <c r="D5785" s="141"/>
      <c r="E5785" s="118"/>
      <c r="F5785" s="126"/>
      <c r="G5785" s="126"/>
      <c r="H5785" s="126"/>
      <c r="I5785" s="126"/>
      <c r="J5785" s="76"/>
      <c r="K5785" s="76"/>
      <c r="L5785" s="76"/>
      <c r="M5785" s="76"/>
      <c r="N5785" s="114"/>
    </row>
    <row r="5786">
      <c r="C5786" s="41"/>
      <c r="D5786" s="142"/>
      <c r="E5786" s="130"/>
      <c r="F5786" s="128"/>
      <c r="G5786" s="128"/>
      <c r="H5786" s="128"/>
      <c r="I5786" s="128"/>
      <c r="J5786" s="81"/>
      <c r="K5786" s="81"/>
      <c r="L5786" s="81"/>
      <c r="M5786" s="81"/>
      <c r="N5786" s="82"/>
    </row>
    <row r="5787">
      <c r="C5787" s="41"/>
      <c r="D5787" s="141"/>
      <c r="E5787" s="118"/>
      <c r="F5787" s="126"/>
      <c r="G5787" s="126"/>
      <c r="H5787" s="126"/>
      <c r="I5787" s="126"/>
      <c r="J5787" s="76"/>
      <c r="K5787" s="76"/>
      <c r="L5787" s="76"/>
      <c r="M5787" s="76"/>
      <c r="N5787" s="114"/>
    </row>
    <row r="5788">
      <c r="C5788" s="41"/>
      <c r="D5788" s="142"/>
      <c r="E5788" s="130"/>
      <c r="F5788" s="128"/>
      <c r="G5788" s="128"/>
      <c r="H5788" s="128"/>
      <c r="I5788" s="128"/>
      <c r="J5788" s="81"/>
      <c r="K5788" s="81"/>
      <c r="L5788" s="81"/>
      <c r="M5788" s="81"/>
      <c r="N5788" s="82"/>
    </row>
    <row r="5789">
      <c r="C5789" s="41"/>
      <c r="D5789" s="141"/>
      <c r="E5789" s="118"/>
      <c r="F5789" s="126"/>
      <c r="G5789" s="126"/>
      <c r="H5789" s="126"/>
      <c r="I5789" s="126"/>
      <c r="J5789" s="76"/>
      <c r="K5789" s="76"/>
      <c r="L5789" s="76"/>
      <c r="M5789" s="76"/>
      <c r="N5789" s="114"/>
    </row>
    <row r="5790">
      <c r="C5790" s="41"/>
      <c r="D5790" s="142"/>
      <c r="E5790" s="130"/>
      <c r="F5790" s="128"/>
      <c r="G5790" s="128"/>
      <c r="H5790" s="128"/>
      <c r="I5790" s="128"/>
      <c r="J5790" s="81"/>
      <c r="K5790" s="81"/>
      <c r="L5790" s="81"/>
      <c r="M5790" s="81"/>
      <c r="N5790" s="82"/>
    </row>
    <row r="5791">
      <c r="C5791" s="41"/>
      <c r="D5791" s="141"/>
      <c r="E5791" s="118"/>
      <c r="F5791" s="126"/>
      <c r="G5791" s="126"/>
      <c r="H5791" s="126"/>
      <c r="I5791" s="126"/>
      <c r="J5791" s="76"/>
      <c r="K5791" s="76"/>
      <c r="L5791" s="76"/>
      <c r="M5791" s="76"/>
      <c r="N5791" s="114"/>
    </row>
    <row r="5792">
      <c r="C5792" s="41"/>
      <c r="D5792" s="142"/>
      <c r="E5792" s="130"/>
      <c r="F5792" s="128"/>
      <c r="G5792" s="128"/>
      <c r="H5792" s="128"/>
      <c r="I5792" s="128"/>
      <c r="J5792" s="81"/>
      <c r="K5792" s="81"/>
      <c r="L5792" s="81"/>
      <c r="M5792" s="81"/>
      <c r="N5792" s="82"/>
    </row>
    <row r="5793">
      <c r="C5793" s="41"/>
      <c r="D5793" s="141"/>
      <c r="E5793" s="118"/>
      <c r="F5793" s="126"/>
      <c r="G5793" s="126"/>
      <c r="H5793" s="126"/>
      <c r="I5793" s="126"/>
      <c r="J5793" s="76"/>
      <c r="K5793" s="76"/>
      <c r="L5793" s="76"/>
      <c r="M5793" s="76"/>
      <c r="N5793" s="114"/>
    </row>
    <row r="5794">
      <c r="C5794" s="41"/>
      <c r="D5794" s="142"/>
      <c r="E5794" s="130"/>
      <c r="F5794" s="128"/>
      <c r="G5794" s="128"/>
      <c r="H5794" s="128"/>
      <c r="I5794" s="128"/>
      <c r="J5794" s="81"/>
      <c r="K5794" s="81"/>
      <c r="L5794" s="81"/>
      <c r="M5794" s="81"/>
      <c r="N5794" s="82"/>
    </row>
    <row r="5795">
      <c r="C5795" s="41"/>
      <c r="D5795" s="141"/>
      <c r="E5795" s="118"/>
      <c r="F5795" s="126"/>
      <c r="G5795" s="126"/>
      <c r="H5795" s="126"/>
      <c r="I5795" s="126"/>
      <c r="J5795" s="76"/>
      <c r="K5795" s="76"/>
      <c r="L5795" s="76"/>
      <c r="M5795" s="76"/>
      <c r="N5795" s="114"/>
    </row>
    <row r="5796">
      <c r="C5796" s="41"/>
      <c r="D5796" s="142"/>
      <c r="E5796" s="130"/>
      <c r="F5796" s="128"/>
      <c r="G5796" s="128"/>
      <c r="H5796" s="128"/>
      <c r="I5796" s="128"/>
      <c r="J5796" s="81"/>
      <c r="K5796" s="81"/>
      <c r="L5796" s="81"/>
      <c r="M5796" s="81"/>
      <c r="N5796" s="82"/>
    </row>
    <row r="5797">
      <c r="C5797" s="41"/>
      <c r="D5797" s="141"/>
      <c r="E5797" s="118"/>
      <c r="F5797" s="126"/>
      <c r="G5797" s="126"/>
      <c r="H5797" s="126"/>
      <c r="I5797" s="126"/>
      <c r="J5797" s="76"/>
      <c r="K5797" s="76"/>
      <c r="L5797" s="76"/>
      <c r="M5797" s="76"/>
      <c r="N5797" s="114"/>
    </row>
    <row r="5798">
      <c r="C5798" s="41"/>
      <c r="D5798" s="142"/>
      <c r="E5798" s="130"/>
      <c r="F5798" s="128"/>
      <c r="G5798" s="128"/>
      <c r="H5798" s="128"/>
      <c r="I5798" s="128"/>
      <c r="J5798" s="81"/>
      <c r="K5798" s="81"/>
      <c r="L5798" s="81"/>
      <c r="M5798" s="81"/>
      <c r="N5798" s="82"/>
    </row>
    <row r="5799">
      <c r="C5799" s="41"/>
      <c r="D5799" s="141"/>
      <c r="E5799" s="118"/>
      <c r="F5799" s="126"/>
      <c r="G5799" s="126"/>
      <c r="H5799" s="126"/>
      <c r="I5799" s="126"/>
      <c r="J5799" s="76"/>
      <c r="K5799" s="76"/>
      <c r="L5799" s="76"/>
      <c r="M5799" s="76"/>
      <c r="N5799" s="114"/>
    </row>
    <row r="5800">
      <c r="C5800" s="41"/>
      <c r="D5800" s="142"/>
      <c r="E5800" s="130"/>
      <c r="F5800" s="128"/>
      <c r="G5800" s="128"/>
      <c r="H5800" s="128"/>
      <c r="I5800" s="128"/>
      <c r="J5800" s="81"/>
      <c r="K5800" s="81"/>
      <c r="L5800" s="81"/>
      <c r="M5800" s="81"/>
      <c r="N5800" s="82"/>
    </row>
    <row r="5801">
      <c r="C5801" s="41"/>
      <c r="D5801" s="141"/>
      <c r="E5801" s="118"/>
      <c r="F5801" s="126"/>
      <c r="G5801" s="126"/>
      <c r="H5801" s="126"/>
      <c r="I5801" s="126"/>
      <c r="J5801" s="76"/>
      <c r="K5801" s="76"/>
      <c r="L5801" s="76"/>
      <c r="M5801" s="76"/>
      <c r="N5801" s="114"/>
    </row>
    <row r="5802">
      <c r="C5802" s="41"/>
      <c r="D5802" s="142"/>
      <c r="E5802" s="130"/>
      <c r="F5802" s="128"/>
      <c r="G5802" s="128"/>
      <c r="H5802" s="128"/>
      <c r="I5802" s="128"/>
      <c r="J5802" s="81"/>
      <c r="K5802" s="81"/>
      <c r="L5802" s="81"/>
      <c r="M5802" s="81"/>
      <c r="N5802" s="82"/>
    </row>
    <row r="5803">
      <c r="C5803" s="41"/>
      <c r="D5803" s="141"/>
      <c r="E5803" s="118"/>
      <c r="F5803" s="126"/>
      <c r="G5803" s="126"/>
      <c r="H5803" s="126"/>
      <c r="I5803" s="126"/>
      <c r="J5803" s="76"/>
      <c r="K5803" s="76"/>
      <c r="L5803" s="76"/>
      <c r="M5803" s="76"/>
      <c r="N5803" s="114"/>
    </row>
    <row r="5804">
      <c r="C5804" s="41"/>
      <c r="D5804" s="142"/>
      <c r="E5804" s="130"/>
      <c r="F5804" s="128"/>
      <c r="G5804" s="128"/>
      <c r="H5804" s="128"/>
      <c r="I5804" s="128"/>
      <c r="J5804" s="81"/>
      <c r="K5804" s="81"/>
      <c r="L5804" s="81"/>
      <c r="M5804" s="81"/>
      <c r="N5804" s="82"/>
    </row>
    <row r="5805">
      <c r="C5805" s="41"/>
      <c r="D5805" s="141"/>
      <c r="E5805" s="118"/>
      <c r="F5805" s="126"/>
      <c r="G5805" s="126"/>
      <c r="H5805" s="126"/>
      <c r="I5805" s="126"/>
      <c r="J5805" s="76"/>
      <c r="K5805" s="76"/>
      <c r="L5805" s="76"/>
      <c r="M5805" s="76"/>
      <c r="N5805" s="114"/>
    </row>
    <row r="5806">
      <c r="C5806" s="41"/>
      <c r="D5806" s="142"/>
      <c r="E5806" s="130"/>
      <c r="F5806" s="128"/>
      <c r="G5806" s="128"/>
      <c r="H5806" s="128"/>
      <c r="I5806" s="128"/>
      <c r="J5806" s="81"/>
      <c r="K5806" s="81"/>
      <c r="L5806" s="81"/>
      <c r="M5806" s="81"/>
      <c r="N5806" s="82"/>
    </row>
    <row r="5807">
      <c r="C5807" s="41"/>
      <c r="D5807" s="141"/>
      <c r="E5807" s="118"/>
      <c r="F5807" s="126"/>
      <c r="G5807" s="126"/>
      <c r="H5807" s="126"/>
      <c r="I5807" s="126"/>
      <c r="J5807" s="76"/>
      <c r="K5807" s="76"/>
      <c r="L5807" s="76"/>
      <c r="M5807" s="76"/>
      <c r="N5807" s="114"/>
    </row>
    <row r="5808">
      <c r="C5808" s="41"/>
      <c r="D5808" s="142"/>
      <c r="E5808" s="130"/>
      <c r="F5808" s="128"/>
      <c r="G5808" s="128"/>
      <c r="H5808" s="128"/>
      <c r="I5808" s="128"/>
      <c r="J5808" s="81"/>
      <c r="K5808" s="81"/>
      <c r="L5808" s="81"/>
      <c r="M5808" s="81"/>
      <c r="N5808" s="82"/>
    </row>
    <row r="5809">
      <c r="C5809" s="41"/>
      <c r="D5809" s="141"/>
      <c r="E5809" s="118"/>
      <c r="F5809" s="126"/>
      <c r="G5809" s="126"/>
      <c r="H5809" s="126"/>
      <c r="I5809" s="126"/>
      <c r="J5809" s="76"/>
      <c r="K5809" s="76"/>
      <c r="L5809" s="76"/>
      <c r="M5809" s="76"/>
      <c r="N5809" s="114"/>
    </row>
    <row r="5810">
      <c r="C5810" s="41"/>
      <c r="D5810" s="142"/>
      <c r="E5810" s="130"/>
      <c r="F5810" s="128"/>
      <c r="G5810" s="128"/>
      <c r="H5810" s="128"/>
      <c r="I5810" s="128"/>
      <c r="J5810" s="81"/>
      <c r="K5810" s="81"/>
      <c r="L5810" s="81"/>
      <c r="M5810" s="81"/>
      <c r="N5810" s="82"/>
    </row>
    <row r="5811">
      <c r="C5811" s="41"/>
      <c r="D5811" s="141"/>
      <c r="E5811" s="118"/>
      <c r="F5811" s="126"/>
      <c r="G5811" s="126"/>
      <c r="H5811" s="126"/>
      <c r="I5811" s="126"/>
      <c r="J5811" s="76"/>
      <c r="K5811" s="76"/>
      <c r="L5811" s="76"/>
      <c r="M5811" s="76"/>
      <c r="N5811" s="114"/>
    </row>
    <row r="5812">
      <c r="C5812" s="41"/>
      <c r="D5812" s="142"/>
      <c r="E5812" s="130"/>
      <c r="F5812" s="128"/>
      <c r="G5812" s="128"/>
      <c r="H5812" s="128"/>
      <c r="I5812" s="128"/>
      <c r="J5812" s="81"/>
      <c r="K5812" s="81"/>
      <c r="L5812" s="81"/>
      <c r="M5812" s="81"/>
      <c r="N5812" s="82"/>
    </row>
    <row r="5813">
      <c r="C5813" s="41"/>
      <c r="D5813" s="141"/>
      <c r="E5813" s="118"/>
      <c r="F5813" s="126"/>
      <c r="G5813" s="126"/>
      <c r="H5813" s="126"/>
      <c r="I5813" s="126"/>
      <c r="J5813" s="76"/>
      <c r="K5813" s="76"/>
      <c r="L5813" s="76"/>
      <c r="M5813" s="76"/>
      <c r="N5813" s="114"/>
    </row>
    <row r="5814">
      <c r="C5814" s="41"/>
      <c r="D5814" s="142"/>
      <c r="E5814" s="130"/>
      <c r="F5814" s="128"/>
      <c r="G5814" s="128"/>
      <c r="H5814" s="128"/>
      <c r="I5814" s="128"/>
      <c r="J5814" s="81"/>
      <c r="K5814" s="81"/>
      <c r="L5814" s="81"/>
      <c r="M5814" s="81"/>
      <c r="N5814" s="82"/>
    </row>
    <row r="5815">
      <c r="C5815" s="41"/>
      <c r="D5815" s="141"/>
      <c r="E5815" s="118"/>
      <c r="F5815" s="126"/>
      <c r="G5815" s="126"/>
      <c r="H5815" s="126"/>
      <c r="I5815" s="126"/>
      <c r="J5815" s="76"/>
      <c r="K5815" s="76"/>
      <c r="L5815" s="76"/>
      <c r="M5815" s="76"/>
      <c r="N5815" s="114"/>
    </row>
    <row r="5816">
      <c r="C5816" s="41"/>
      <c r="D5816" s="142"/>
      <c r="E5816" s="130"/>
      <c r="F5816" s="128"/>
      <c r="G5816" s="128"/>
      <c r="H5816" s="128"/>
      <c r="I5816" s="128"/>
      <c r="J5816" s="81"/>
      <c r="K5816" s="81"/>
      <c r="L5816" s="81"/>
      <c r="M5816" s="81"/>
      <c r="N5816" s="82"/>
    </row>
    <row r="5817">
      <c r="C5817" s="41"/>
      <c r="D5817" s="141"/>
      <c r="E5817" s="118"/>
      <c r="F5817" s="126"/>
      <c r="G5817" s="126"/>
      <c r="H5817" s="126"/>
      <c r="I5817" s="126"/>
      <c r="J5817" s="76"/>
      <c r="K5817" s="76"/>
      <c r="L5817" s="76"/>
      <c r="M5817" s="76"/>
      <c r="N5817" s="114"/>
    </row>
    <row r="5818">
      <c r="C5818" s="41"/>
      <c r="D5818" s="142"/>
      <c r="E5818" s="130"/>
      <c r="F5818" s="128"/>
      <c r="G5818" s="128"/>
      <c r="H5818" s="128"/>
      <c r="I5818" s="128"/>
      <c r="J5818" s="81"/>
      <c r="K5818" s="81"/>
      <c r="L5818" s="81"/>
      <c r="M5818" s="81"/>
      <c r="N5818" s="82"/>
    </row>
    <row r="5819">
      <c r="C5819" s="41"/>
      <c r="D5819" s="141"/>
      <c r="E5819" s="118"/>
      <c r="F5819" s="126"/>
      <c r="G5819" s="126"/>
      <c r="H5819" s="126"/>
      <c r="I5819" s="126"/>
      <c r="J5819" s="76"/>
      <c r="K5819" s="76"/>
      <c r="L5819" s="76"/>
      <c r="M5819" s="76"/>
      <c r="N5819" s="114"/>
    </row>
    <row r="5820">
      <c r="C5820" s="41"/>
      <c r="D5820" s="142"/>
      <c r="E5820" s="130"/>
      <c r="F5820" s="128"/>
      <c r="G5820" s="128"/>
      <c r="H5820" s="128"/>
      <c r="I5820" s="128"/>
      <c r="J5820" s="81"/>
      <c r="K5820" s="81"/>
      <c r="L5820" s="81"/>
      <c r="M5820" s="81"/>
      <c r="N5820" s="82"/>
    </row>
    <row r="5821">
      <c r="C5821" s="41"/>
      <c r="D5821" s="141"/>
      <c r="E5821" s="118"/>
      <c r="F5821" s="126"/>
      <c r="G5821" s="126"/>
      <c r="H5821" s="126"/>
      <c r="I5821" s="126"/>
      <c r="J5821" s="76"/>
      <c r="K5821" s="76"/>
      <c r="L5821" s="76"/>
      <c r="M5821" s="76"/>
      <c r="N5821" s="114"/>
    </row>
    <row r="5822">
      <c r="C5822" s="41"/>
      <c r="D5822" s="142"/>
      <c r="E5822" s="130"/>
      <c r="F5822" s="128"/>
      <c r="G5822" s="128"/>
      <c r="H5822" s="128"/>
      <c r="I5822" s="128"/>
      <c r="J5822" s="81"/>
      <c r="K5822" s="81"/>
      <c r="L5822" s="81"/>
      <c r="M5822" s="81"/>
      <c r="N5822" s="82"/>
    </row>
    <row r="5823">
      <c r="C5823" s="41"/>
      <c r="D5823" s="141"/>
      <c r="E5823" s="118"/>
      <c r="F5823" s="126"/>
      <c r="G5823" s="126"/>
      <c r="H5823" s="126"/>
      <c r="I5823" s="126"/>
      <c r="J5823" s="76"/>
      <c r="K5823" s="76"/>
      <c r="L5823" s="76"/>
      <c r="M5823" s="76"/>
      <c r="N5823" s="114"/>
    </row>
    <row r="5824">
      <c r="C5824" s="41"/>
      <c r="D5824" s="142"/>
      <c r="E5824" s="130"/>
      <c r="F5824" s="128"/>
      <c r="G5824" s="128"/>
      <c r="H5824" s="128"/>
      <c r="I5824" s="128"/>
      <c r="J5824" s="81"/>
      <c r="K5824" s="81"/>
      <c r="L5824" s="81"/>
      <c r="M5824" s="81"/>
      <c r="N5824" s="82"/>
    </row>
    <row r="5825">
      <c r="C5825" s="41"/>
      <c r="D5825" s="141"/>
      <c r="E5825" s="118"/>
      <c r="F5825" s="126"/>
      <c r="G5825" s="126"/>
      <c r="H5825" s="126"/>
      <c r="I5825" s="126"/>
      <c r="J5825" s="76"/>
      <c r="K5825" s="76"/>
      <c r="L5825" s="76"/>
      <c r="M5825" s="76"/>
      <c r="N5825" s="114"/>
    </row>
    <row r="5826">
      <c r="C5826" s="41"/>
      <c r="D5826" s="142"/>
      <c r="E5826" s="130"/>
      <c r="F5826" s="128"/>
      <c r="G5826" s="128"/>
      <c r="H5826" s="128"/>
      <c r="I5826" s="128"/>
      <c r="J5826" s="81"/>
      <c r="K5826" s="81"/>
      <c r="L5826" s="81"/>
      <c r="M5826" s="81"/>
      <c r="N5826" s="82"/>
    </row>
    <row r="5827">
      <c r="C5827" s="41"/>
      <c r="D5827" s="141"/>
      <c r="E5827" s="118"/>
      <c r="F5827" s="126"/>
      <c r="G5827" s="126"/>
      <c r="H5827" s="126"/>
      <c r="I5827" s="126"/>
      <c r="J5827" s="76"/>
      <c r="K5827" s="76"/>
      <c r="L5827" s="76"/>
      <c r="M5827" s="76"/>
      <c r="N5827" s="114"/>
    </row>
    <row r="5828">
      <c r="C5828" s="41"/>
      <c r="D5828" s="142"/>
      <c r="E5828" s="130"/>
      <c r="F5828" s="128"/>
      <c r="G5828" s="128"/>
      <c r="H5828" s="128"/>
      <c r="I5828" s="128"/>
      <c r="J5828" s="81"/>
      <c r="K5828" s="81"/>
      <c r="L5828" s="81"/>
      <c r="M5828" s="81"/>
      <c r="N5828" s="82"/>
    </row>
    <row r="5829">
      <c r="C5829" s="41"/>
      <c r="D5829" s="141"/>
      <c r="E5829" s="118"/>
      <c r="F5829" s="126"/>
      <c r="G5829" s="126"/>
      <c r="H5829" s="126"/>
      <c r="I5829" s="126"/>
      <c r="J5829" s="76"/>
      <c r="K5829" s="76"/>
      <c r="L5829" s="76"/>
      <c r="M5829" s="76"/>
      <c r="N5829" s="114"/>
    </row>
    <row r="5830">
      <c r="C5830" s="41"/>
      <c r="D5830" s="142"/>
      <c r="E5830" s="130"/>
      <c r="F5830" s="128"/>
      <c r="G5830" s="128"/>
      <c r="H5830" s="128"/>
      <c r="I5830" s="128"/>
      <c r="J5830" s="81"/>
      <c r="K5830" s="81"/>
      <c r="L5830" s="81"/>
      <c r="M5830" s="81"/>
      <c r="N5830" s="82"/>
    </row>
    <row r="5831">
      <c r="C5831" s="41"/>
      <c r="D5831" s="141"/>
      <c r="E5831" s="118"/>
      <c r="F5831" s="126"/>
      <c r="G5831" s="126"/>
      <c r="H5831" s="126"/>
      <c r="I5831" s="126"/>
      <c r="J5831" s="76"/>
      <c r="K5831" s="76"/>
      <c r="L5831" s="76"/>
      <c r="M5831" s="76"/>
      <c r="N5831" s="114"/>
    </row>
    <row r="5832">
      <c r="C5832" s="41"/>
      <c r="D5832" s="142"/>
      <c r="E5832" s="130"/>
      <c r="F5832" s="128"/>
      <c r="G5832" s="128"/>
      <c r="H5832" s="128"/>
      <c r="I5832" s="128"/>
      <c r="J5832" s="81"/>
      <c r="K5832" s="81"/>
      <c r="L5832" s="81"/>
      <c r="M5832" s="81"/>
      <c r="N5832" s="82"/>
    </row>
    <row r="5833">
      <c r="C5833" s="41"/>
      <c r="D5833" s="141"/>
      <c r="E5833" s="118"/>
      <c r="F5833" s="126"/>
      <c r="G5833" s="126"/>
      <c r="H5833" s="126"/>
      <c r="I5833" s="126"/>
      <c r="J5833" s="76"/>
      <c r="K5833" s="76"/>
      <c r="L5833" s="76"/>
      <c r="M5833" s="76"/>
      <c r="N5833" s="114"/>
    </row>
    <row r="5834">
      <c r="C5834" s="41"/>
      <c r="D5834" s="142"/>
      <c r="E5834" s="130"/>
      <c r="F5834" s="128"/>
      <c r="G5834" s="128"/>
      <c r="H5834" s="128"/>
      <c r="I5834" s="128"/>
      <c r="J5834" s="81"/>
      <c r="K5834" s="81"/>
      <c r="L5834" s="81"/>
      <c r="M5834" s="81"/>
      <c r="N5834" s="82"/>
    </row>
    <row r="5835">
      <c r="C5835" s="41"/>
      <c r="D5835" s="141"/>
      <c r="E5835" s="118"/>
      <c r="F5835" s="126"/>
      <c r="G5835" s="126"/>
      <c r="H5835" s="126"/>
      <c r="I5835" s="126"/>
      <c r="J5835" s="76"/>
      <c r="K5835" s="76"/>
      <c r="L5835" s="76"/>
      <c r="M5835" s="76"/>
      <c r="N5835" s="114"/>
    </row>
    <row r="5836">
      <c r="C5836" s="41"/>
      <c r="D5836" s="142"/>
      <c r="E5836" s="130"/>
      <c r="F5836" s="128"/>
      <c r="G5836" s="128"/>
      <c r="H5836" s="128"/>
      <c r="I5836" s="128"/>
      <c r="J5836" s="81"/>
      <c r="K5836" s="81"/>
      <c r="L5836" s="81"/>
      <c r="M5836" s="81"/>
      <c r="N5836" s="82"/>
    </row>
    <row r="5837">
      <c r="C5837" s="41"/>
      <c r="D5837" s="141"/>
      <c r="E5837" s="118"/>
      <c r="F5837" s="126"/>
      <c r="G5837" s="126"/>
      <c r="H5837" s="126"/>
      <c r="I5837" s="126"/>
      <c r="J5837" s="76"/>
      <c r="K5837" s="76"/>
      <c r="L5837" s="76"/>
      <c r="M5837" s="76"/>
      <c r="N5837" s="114"/>
    </row>
    <row r="5838">
      <c r="C5838" s="41"/>
      <c r="D5838" s="142"/>
      <c r="E5838" s="130"/>
      <c r="F5838" s="128"/>
      <c r="G5838" s="128"/>
      <c r="H5838" s="128"/>
      <c r="I5838" s="128"/>
      <c r="J5838" s="81"/>
      <c r="K5838" s="81"/>
      <c r="L5838" s="81"/>
      <c r="M5838" s="81"/>
      <c r="N5838" s="82"/>
    </row>
    <row r="5839">
      <c r="C5839" s="41"/>
      <c r="D5839" s="141"/>
      <c r="E5839" s="118"/>
      <c r="F5839" s="126"/>
      <c r="G5839" s="126"/>
      <c r="H5839" s="126"/>
      <c r="I5839" s="126"/>
      <c r="J5839" s="76"/>
      <c r="K5839" s="76"/>
      <c r="L5839" s="76"/>
      <c r="M5839" s="76"/>
      <c r="N5839" s="114"/>
    </row>
    <row r="5840">
      <c r="C5840" s="41"/>
      <c r="D5840" s="142"/>
      <c r="E5840" s="130"/>
      <c r="F5840" s="128"/>
      <c r="G5840" s="128"/>
      <c r="H5840" s="128"/>
      <c r="I5840" s="128"/>
      <c r="J5840" s="81"/>
      <c r="K5840" s="81"/>
      <c r="L5840" s="81"/>
      <c r="M5840" s="81"/>
      <c r="N5840" s="82"/>
    </row>
    <row r="5841">
      <c r="C5841" s="41"/>
      <c r="D5841" s="141"/>
      <c r="E5841" s="118"/>
      <c r="F5841" s="126"/>
      <c r="G5841" s="126"/>
      <c r="H5841" s="126"/>
      <c r="I5841" s="126"/>
      <c r="J5841" s="76"/>
      <c r="K5841" s="76"/>
      <c r="L5841" s="76"/>
      <c r="M5841" s="76"/>
      <c r="N5841" s="114"/>
    </row>
    <row r="5842">
      <c r="C5842" s="41"/>
      <c r="D5842" s="142"/>
      <c r="E5842" s="130"/>
      <c r="F5842" s="128"/>
      <c r="G5842" s="128"/>
      <c r="H5842" s="128"/>
      <c r="I5842" s="128"/>
      <c r="J5842" s="81"/>
      <c r="K5842" s="81"/>
      <c r="L5842" s="81"/>
      <c r="M5842" s="81"/>
      <c r="N5842" s="82"/>
    </row>
    <row r="5843">
      <c r="C5843" s="41"/>
      <c r="D5843" s="141"/>
      <c r="E5843" s="118"/>
      <c r="F5843" s="126"/>
      <c r="G5843" s="126"/>
      <c r="H5843" s="126"/>
      <c r="I5843" s="126"/>
      <c r="J5843" s="76"/>
      <c r="K5843" s="76"/>
      <c r="L5843" s="76"/>
      <c r="M5843" s="76"/>
      <c r="N5843" s="114"/>
    </row>
    <row r="5844">
      <c r="C5844" s="41"/>
      <c r="D5844" s="142"/>
      <c r="E5844" s="130"/>
      <c r="F5844" s="128"/>
      <c r="G5844" s="128"/>
      <c r="H5844" s="128"/>
      <c r="I5844" s="128"/>
      <c r="J5844" s="81"/>
      <c r="K5844" s="81"/>
      <c r="L5844" s="81"/>
      <c r="M5844" s="81"/>
      <c r="N5844" s="82"/>
    </row>
    <row r="5845">
      <c r="C5845" s="41"/>
      <c r="D5845" s="141"/>
      <c r="E5845" s="118"/>
      <c r="F5845" s="126"/>
      <c r="G5845" s="126"/>
      <c r="H5845" s="126"/>
      <c r="I5845" s="126"/>
      <c r="J5845" s="76"/>
      <c r="K5845" s="76"/>
      <c r="L5845" s="76"/>
      <c r="M5845" s="76"/>
      <c r="N5845" s="114"/>
    </row>
    <row r="5846">
      <c r="C5846" s="41"/>
      <c r="D5846" s="142"/>
      <c r="E5846" s="130"/>
      <c r="F5846" s="128"/>
      <c r="G5846" s="128"/>
      <c r="H5846" s="128"/>
      <c r="I5846" s="128"/>
      <c r="J5846" s="81"/>
      <c r="K5846" s="81"/>
      <c r="L5846" s="81"/>
      <c r="M5846" s="81"/>
      <c r="N5846" s="82"/>
    </row>
    <row r="5847">
      <c r="C5847" s="41"/>
      <c r="D5847" s="141"/>
      <c r="E5847" s="118"/>
      <c r="F5847" s="126"/>
      <c r="G5847" s="126"/>
      <c r="H5847" s="126"/>
      <c r="I5847" s="126"/>
      <c r="J5847" s="76"/>
      <c r="K5847" s="76"/>
      <c r="L5847" s="76"/>
      <c r="M5847" s="76"/>
      <c r="N5847" s="114"/>
    </row>
    <row r="5848">
      <c r="C5848" s="41"/>
      <c r="D5848" s="142"/>
      <c r="E5848" s="130"/>
      <c r="F5848" s="128"/>
      <c r="G5848" s="128"/>
      <c r="H5848" s="128"/>
      <c r="I5848" s="128"/>
      <c r="J5848" s="81"/>
      <c r="K5848" s="81"/>
      <c r="L5848" s="81"/>
      <c r="M5848" s="81"/>
      <c r="N5848" s="82"/>
    </row>
    <row r="5849">
      <c r="C5849" s="41"/>
      <c r="D5849" s="141"/>
      <c r="E5849" s="118"/>
      <c r="F5849" s="126"/>
      <c r="G5849" s="126"/>
      <c r="H5849" s="126"/>
      <c r="I5849" s="126"/>
      <c r="J5849" s="76"/>
      <c r="K5849" s="76"/>
      <c r="L5849" s="76"/>
      <c r="M5849" s="76"/>
      <c r="N5849" s="114"/>
    </row>
    <row r="5850">
      <c r="C5850" s="41"/>
      <c r="D5850" s="142"/>
      <c r="E5850" s="130"/>
      <c r="F5850" s="128"/>
      <c r="G5850" s="128"/>
      <c r="H5850" s="128"/>
      <c r="I5850" s="128"/>
      <c r="J5850" s="81"/>
      <c r="K5850" s="81"/>
      <c r="L5850" s="81"/>
      <c r="M5850" s="81"/>
      <c r="N5850" s="82"/>
    </row>
    <row r="5851">
      <c r="C5851" s="41"/>
      <c r="D5851" s="141"/>
      <c r="E5851" s="118"/>
      <c r="F5851" s="126"/>
      <c r="G5851" s="126"/>
      <c r="H5851" s="126"/>
      <c r="I5851" s="126"/>
      <c r="J5851" s="76"/>
      <c r="K5851" s="76"/>
      <c r="L5851" s="76"/>
      <c r="M5851" s="76"/>
      <c r="N5851" s="114"/>
    </row>
    <row r="5852">
      <c r="C5852" s="41"/>
      <c r="D5852" s="142"/>
      <c r="E5852" s="130"/>
      <c r="F5852" s="128"/>
      <c r="G5852" s="128"/>
      <c r="H5852" s="128"/>
      <c r="I5852" s="128"/>
      <c r="J5852" s="81"/>
      <c r="K5852" s="81"/>
      <c r="L5852" s="81"/>
      <c r="M5852" s="81"/>
      <c r="N5852" s="82"/>
    </row>
    <row r="5853">
      <c r="C5853" s="41"/>
      <c r="D5853" s="141"/>
      <c r="E5853" s="118"/>
      <c r="F5853" s="126"/>
      <c r="G5853" s="126"/>
      <c r="H5853" s="126"/>
      <c r="I5853" s="126"/>
      <c r="J5853" s="76"/>
      <c r="K5853" s="76"/>
      <c r="L5853" s="76"/>
      <c r="M5853" s="76"/>
      <c r="N5853" s="114"/>
    </row>
    <row r="5854">
      <c r="C5854" s="41"/>
      <c r="D5854" s="142"/>
      <c r="E5854" s="130"/>
      <c r="F5854" s="128"/>
      <c r="G5854" s="128"/>
      <c r="H5854" s="128"/>
      <c r="I5854" s="128"/>
      <c r="J5854" s="81"/>
      <c r="K5854" s="81"/>
      <c r="L5854" s="81"/>
      <c r="M5854" s="81"/>
      <c r="N5854" s="82"/>
    </row>
    <row r="5855">
      <c r="C5855" s="41"/>
      <c r="D5855" s="141"/>
      <c r="E5855" s="118"/>
      <c r="F5855" s="126"/>
      <c r="G5855" s="126"/>
      <c r="H5855" s="126"/>
      <c r="I5855" s="126"/>
      <c r="J5855" s="76"/>
      <c r="K5855" s="76"/>
      <c r="L5855" s="76"/>
      <c r="M5855" s="76"/>
      <c r="N5855" s="114"/>
    </row>
    <row r="5856">
      <c r="C5856" s="41"/>
      <c r="D5856" s="142"/>
      <c r="E5856" s="130"/>
      <c r="F5856" s="128"/>
      <c r="G5856" s="128"/>
      <c r="H5856" s="128"/>
      <c r="I5856" s="128"/>
      <c r="J5856" s="81"/>
      <c r="K5856" s="81"/>
      <c r="L5856" s="81"/>
      <c r="M5856" s="81"/>
      <c r="N5856" s="82"/>
    </row>
    <row r="5857">
      <c r="C5857" s="41"/>
      <c r="D5857" s="141"/>
      <c r="E5857" s="118"/>
      <c r="F5857" s="126"/>
      <c r="G5857" s="126"/>
      <c r="H5857" s="126"/>
      <c r="I5857" s="126"/>
      <c r="J5857" s="76"/>
      <c r="K5857" s="76"/>
      <c r="L5857" s="76"/>
      <c r="M5857" s="76"/>
      <c r="N5857" s="114"/>
    </row>
    <row r="5858">
      <c r="C5858" s="41"/>
      <c r="D5858" s="142"/>
      <c r="E5858" s="130"/>
      <c r="F5858" s="128"/>
      <c r="G5858" s="128"/>
      <c r="H5858" s="128"/>
      <c r="I5858" s="128"/>
      <c r="J5858" s="81"/>
      <c r="K5858" s="81"/>
      <c r="L5858" s="81"/>
      <c r="M5858" s="81"/>
      <c r="N5858" s="82"/>
    </row>
    <row r="5859">
      <c r="C5859" s="41"/>
      <c r="D5859" s="141"/>
      <c r="E5859" s="118"/>
      <c r="F5859" s="126"/>
      <c r="G5859" s="126"/>
      <c r="H5859" s="126"/>
      <c r="I5859" s="126"/>
      <c r="J5859" s="76"/>
      <c r="K5859" s="76"/>
      <c r="L5859" s="76"/>
      <c r="M5859" s="76"/>
      <c r="N5859" s="114"/>
    </row>
    <row r="5860">
      <c r="C5860" s="41"/>
      <c r="D5860" s="142"/>
      <c r="E5860" s="130"/>
      <c r="F5860" s="128"/>
      <c r="G5860" s="128"/>
      <c r="H5860" s="128"/>
      <c r="I5860" s="128"/>
      <c r="J5860" s="81"/>
      <c r="K5860" s="81"/>
      <c r="L5860" s="81"/>
      <c r="M5860" s="81"/>
      <c r="N5860" s="82"/>
    </row>
    <row r="5861">
      <c r="C5861" s="41"/>
      <c r="D5861" s="141"/>
      <c r="E5861" s="118"/>
      <c r="F5861" s="126"/>
      <c r="G5861" s="126"/>
      <c r="H5861" s="126"/>
      <c r="I5861" s="126"/>
      <c r="J5861" s="76"/>
      <c r="K5861" s="76"/>
      <c r="L5861" s="76"/>
      <c r="M5861" s="76"/>
      <c r="N5861" s="114"/>
    </row>
    <row r="5862">
      <c r="C5862" s="41"/>
      <c r="D5862" s="142"/>
      <c r="E5862" s="130"/>
      <c r="F5862" s="128"/>
      <c r="G5862" s="128"/>
      <c r="H5862" s="128"/>
      <c r="I5862" s="128"/>
      <c r="J5862" s="81"/>
      <c r="K5862" s="81"/>
      <c r="L5862" s="81"/>
      <c r="M5862" s="81"/>
      <c r="N5862" s="82"/>
    </row>
    <row r="5863">
      <c r="C5863" s="41"/>
      <c r="D5863" s="141"/>
      <c r="E5863" s="118"/>
      <c r="F5863" s="126"/>
      <c r="G5863" s="126"/>
      <c r="H5863" s="126"/>
      <c r="I5863" s="126"/>
      <c r="J5863" s="76"/>
      <c r="K5863" s="76"/>
      <c r="L5863" s="76"/>
      <c r="M5863" s="76"/>
      <c r="N5863" s="114"/>
    </row>
    <row r="5864">
      <c r="C5864" s="41"/>
      <c r="D5864" s="142"/>
      <c r="E5864" s="130"/>
      <c r="F5864" s="128"/>
      <c r="G5864" s="128"/>
      <c r="H5864" s="128"/>
      <c r="I5864" s="128"/>
      <c r="J5864" s="81"/>
      <c r="K5864" s="81"/>
      <c r="L5864" s="81"/>
      <c r="M5864" s="81"/>
      <c r="N5864" s="82"/>
    </row>
    <row r="5865">
      <c r="C5865" s="41"/>
      <c r="D5865" s="141"/>
      <c r="E5865" s="118"/>
      <c r="F5865" s="126"/>
      <c r="G5865" s="126"/>
      <c r="H5865" s="126"/>
      <c r="I5865" s="126"/>
      <c r="J5865" s="76"/>
      <c r="K5865" s="76"/>
      <c r="L5865" s="76"/>
      <c r="M5865" s="76"/>
      <c r="N5865" s="114"/>
    </row>
    <row r="5866">
      <c r="C5866" s="41"/>
      <c r="D5866" s="142"/>
      <c r="E5866" s="130"/>
      <c r="F5866" s="128"/>
      <c r="G5866" s="128"/>
      <c r="H5866" s="128"/>
      <c r="I5866" s="128"/>
      <c r="J5866" s="81"/>
      <c r="K5866" s="81"/>
      <c r="L5866" s="81"/>
      <c r="M5866" s="81"/>
      <c r="N5866" s="82"/>
    </row>
    <row r="5867">
      <c r="C5867" s="41"/>
      <c r="D5867" s="141"/>
      <c r="E5867" s="118"/>
      <c r="F5867" s="126"/>
      <c r="G5867" s="126"/>
      <c r="H5867" s="126"/>
      <c r="I5867" s="126"/>
      <c r="J5867" s="76"/>
      <c r="K5867" s="76"/>
      <c r="L5867" s="76"/>
      <c r="M5867" s="76"/>
      <c r="N5867" s="114"/>
    </row>
    <row r="5868">
      <c r="C5868" s="41"/>
      <c r="D5868" s="142"/>
      <c r="E5868" s="130"/>
      <c r="F5868" s="128"/>
      <c r="G5868" s="128"/>
      <c r="H5868" s="128"/>
      <c r="I5868" s="128"/>
      <c r="J5868" s="81"/>
      <c r="K5868" s="81"/>
      <c r="L5868" s="81"/>
      <c r="M5868" s="81"/>
      <c r="N5868" s="82"/>
    </row>
    <row r="5869">
      <c r="C5869" s="41"/>
      <c r="D5869" s="141"/>
      <c r="E5869" s="118"/>
      <c r="F5869" s="126"/>
      <c r="G5869" s="126"/>
      <c r="H5869" s="126"/>
      <c r="I5869" s="126"/>
      <c r="J5869" s="76"/>
      <c r="K5869" s="76"/>
      <c r="L5869" s="76"/>
      <c r="M5869" s="76"/>
      <c r="N5869" s="114"/>
    </row>
    <row r="5870">
      <c r="C5870" s="41"/>
      <c r="D5870" s="142"/>
      <c r="E5870" s="130"/>
      <c r="F5870" s="128"/>
      <c r="G5870" s="128"/>
      <c r="H5870" s="128"/>
      <c r="I5870" s="128"/>
      <c r="J5870" s="81"/>
      <c r="K5870" s="81"/>
      <c r="L5870" s="81"/>
      <c r="M5870" s="81"/>
      <c r="N5870" s="82"/>
    </row>
    <row r="5871">
      <c r="C5871" s="41"/>
      <c r="D5871" s="141"/>
      <c r="E5871" s="118"/>
      <c r="F5871" s="126"/>
      <c r="G5871" s="126"/>
      <c r="H5871" s="126"/>
      <c r="I5871" s="126"/>
      <c r="J5871" s="76"/>
      <c r="K5871" s="76"/>
      <c r="L5871" s="76"/>
      <c r="M5871" s="76"/>
      <c r="N5871" s="114"/>
    </row>
    <row r="5872">
      <c r="C5872" s="41"/>
      <c r="D5872" s="142"/>
      <c r="E5872" s="130"/>
      <c r="F5872" s="128"/>
      <c r="G5872" s="128"/>
      <c r="H5872" s="128"/>
      <c r="I5872" s="128"/>
      <c r="J5872" s="81"/>
      <c r="K5872" s="81"/>
      <c r="L5872" s="81"/>
      <c r="M5872" s="81"/>
      <c r="N5872" s="82"/>
    </row>
    <row r="5873">
      <c r="C5873" s="41"/>
      <c r="D5873" s="141"/>
      <c r="E5873" s="118"/>
      <c r="F5873" s="126"/>
      <c r="G5873" s="126"/>
      <c r="H5873" s="126"/>
      <c r="I5873" s="126"/>
      <c r="J5873" s="76"/>
      <c r="K5873" s="76"/>
      <c r="L5873" s="76"/>
      <c r="M5873" s="76"/>
      <c r="N5873" s="114"/>
    </row>
    <row r="5874">
      <c r="C5874" s="41"/>
      <c r="D5874" s="142"/>
      <c r="E5874" s="130"/>
      <c r="F5874" s="128"/>
      <c r="G5874" s="128"/>
      <c r="H5874" s="128"/>
      <c r="I5874" s="128"/>
      <c r="J5874" s="81"/>
      <c r="K5874" s="81"/>
      <c r="L5874" s="81"/>
      <c r="M5874" s="81"/>
      <c r="N5874" s="82"/>
    </row>
    <row r="5875">
      <c r="C5875" s="41"/>
      <c r="D5875" s="141"/>
      <c r="E5875" s="118"/>
      <c r="F5875" s="126"/>
      <c r="G5875" s="126"/>
      <c r="H5875" s="126"/>
      <c r="I5875" s="126"/>
      <c r="J5875" s="76"/>
      <c r="K5875" s="76"/>
      <c r="L5875" s="76"/>
      <c r="M5875" s="76"/>
      <c r="N5875" s="114"/>
    </row>
    <row r="5876">
      <c r="C5876" s="41"/>
      <c r="D5876" s="142"/>
      <c r="E5876" s="130"/>
      <c r="F5876" s="128"/>
      <c r="G5876" s="128"/>
      <c r="H5876" s="128"/>
      <c r="I5876" s="128"/>
      <c r="J5876" s="81"/>
      <c r="K5876" s="81"/>
      <c r="L5876" s="81"/>
      <c r="M5876" s="81"/>
      <c r="N5876" s="82"/>
    </row>
    <row r="5877">
      <c r="C5877" s="41"/>
      <c r="D5877" s="141"/>
      <c r="E5877" s="118"/>
      <c r="F5877" s="126"/>
      <c r="G5877" s="126"/>
      <c r="H5877" s="126"/>
      <c r="I5877" s="126"/>
      <c r="J5877" s="76"/>
      <c r="K5877" s="76"/>
      <c r="L5877" s="76"/>
      <c r="M5877" s="76"/>
      <c r="N5877" s="114"/>
    </row>
    <row r="5878">
      <c r="C5878" s="41"/>
      <c r="D5878" s="142"/>
      <c r="E5878" s="130"/>
      <c r="F5878" s="128"/>
      <c r="G5878" s="128"/>
      <c r="H5878" s="128"/>
      <c r="I5878" s="128"/>
      <c r="J5878" s="81"/>
      <c r="K5878" s="81"/>
      <c r="L5878" s="81"/>
      <c r="M5878" s="81"/>
      <c r="N5878" s="82"/>
    </row>
    <row r="5879">
      <c r="C5879" s="41"/>
      <c r="D5879" s="141"/>
      <c r="E5879" s="118"/>
      <c r="F5879" s="126"/>
      <c r="G5879" s="126"/>
      <c r="H5879" s="126"/>
      <c r="I5879" s="126"/>
      <c r="J5879" s="76"/>
      <c r="K5879" s="76"/>
      <c r="L5879" s="76"/>
      <c r="M5879" s="76"/>
      <c r="N5879" s="114"/>
    </row>
    <row r="5880">
      <c r="C5880" s="41"/>
      <c r="D5880" s="142"/>
      <c r="E5880" s="130"/>
      <c r="F5880" s="128"/>
      <c r="G5880" s="128"/>
      <c r="H5880" s="128"/>
      <c r="I5880" s="128"/>
      <c r="J5880" s="81"/>
      <c r="K5880" s="81"/>
      <c r="L5880" s="81"/>
      <c r="M5880" s="81"/>
      <c r="N5880" s="82"/>
    </row>
    <row r="5881">
      <c r="C5881" s="41"/>
      <c r="D5881" s="141"/>
      <c r="E5881" s="118"/>
      <c r="F5881" s="126"/>
      <c r="G5881" s="126"/>
      <c r="H5881" s="126"/>
      <c r="I5881" s="126"/>
      <c r="J5881" s="76"/>
      <c r="K5881" s="76"/>
      <c r="L5881" s="76"/>
      <c r="M5881" s="76"/>
      <c r="N5881" s="114"/>
    </row>
    <row r="5882">
      <c r="C5882" s="41"/>
      <c r="D5882" s="142"/>
      <c r="E5882" s="130"/>
      <c r="F5882" s="128"/>
      <c r="G5882" s="128"/>
      <c r="H5882" s="128"/>
      <c r="I5882" s="128"/>
      <c r="J5882" s="81"/>
      <c r="K5882" s="81"/>
      <c r="L5882" s="81"/>
      <c r="M5882" s="81"/>
      <c r="N5882" s="82"/>
    </row>
    <row r="5883">
      <c r="C5883" s="41"/>
      <c r="D5883" s="141"/>
      <c r="E5883" s="118"/>
      <c r="F5883" s="126"/>
      <c r="G5883" s="126"/>
      <c r="H5883" s="126"/>
      <c r="I5883" s="126"/>
      <c r="J5883" s="76"/>
      <c r="K5883" s="76"/>
      <c r="L5883" s="76"/>
      <c r="M5883" s="76"/>
      <c r="N5883" s="114"/>
    </row>
    <row r="5884">
      <c r="C5884" s="41"/>
      <c r="D5884" s="142"/>
      <c r="E5884" s="130"/>
      <c r="F5884" s="128"/>
      <c r="G5884" s="128"/>
      <c r="H5884" s="128"/>
      <c r="I5884" s="128"/>
      <c r="J5884" s="81"/>
      <c r="K5884" s="81"/>
      <c r="L5884" s="81"/>
      <c r="M5884" s="81"/>
      <c r="N5884" s="82"/>
    </row>
    <row r="5885">
      <c r="C5885" s="41"/>
      <c r="D5885" s="141"/>
      <c r="E5885" s="118"/>
      <c r="F5885" s="126"/>
      <c r="G5885" s="126"/>
      <c r="H5885" s="126"/>
      <c r="I5885" s="126"/>
      <c r="J5885" s="76"/>
      <c r="K5885" s="76"/>
      <c r="L5885" s="76"/>
      <c r="M5885" s="76"/>
      <c r="N5885" s="114"/>
    </row>
    <row r="5886">
      <c r="C5886" s="41"/>
      <c r="D5886" s="142"/>
      <c r="E5886" s="130"/>
      <c r="F5886" s="128"/>
      <c r="G5886" s="128"/>
      <c r="H5886" s="128"/>
      <c r="I5886" s="128"/>
      <c r="J5886" s="81"/>
      <c r="K5886" s="81"/>
      <c r="L5886" s="81"/>
      <c r="M5886" s="81"/>
      <c r="N5886" s="82"/>
    </row>
    <row r="5887">
      <c r="C5887" s="41"/>
      <c r="D5887" s="141"/>
      <c r="E5887" s="118"/>
      <c r="F5887" s="126"/>
      <c r="G5887" s="126"/>
      <c r="H5887" s="126"/>
      <c r="I5887" s="126"/>
      <c r="J5887" s="76"/>
      <c r="K5887" s="76"/>
      <c r="L5887" s="76"/>
      <c r="M5887" s="76"/>
      <c r="N5887" s="114"/>
    </row>
    <row r="5888">
      <c r="C5888" s="41"/>
      <c r="D5888" s="142"/>
      <c r="E5888" s="130"/>
      <c r="F5888" s="128"/>
      <c r="G5888" s="128"/>
      <c r="H5888" s="128"/>
      <c r="I5888" s="128"/>
      <c r="J5888" s="81"/>
      <c r="K5888" s="81"/>
      <c r="L5888" s="81"/>
      <c r="M5888" s="81"/>
      <c r="N5888" s="82"/>
    </row>
    <row r="5889">
      <c r="C5889" s="41"/>
      <c r="D5889" s="141"/>
      <c r="E5889" s="118"/>
      <c r="F5889" s="126"/>
      <c r="G5889" s="126"/>
      <c r="H5889" s="126"/>
      <c r="I5889" s="126"/>
      <c r="J5889" s="76"/>
      <c r="K5889" s="76"/>
      <c r="L5889" s="76"/>
      <c r="M5889" s="76"/>
      <c r="N5889" s="114"/>
    </row>
    <row r="5890">
      <c r="C5890" s="41"/>
      <c r="D5890" s="142"/>
      <c r="E5890" s="130"/>
      <c r="F5890" s="128"/>
      <c r="G5890" s="128"/>
      <c r="H5890" s="128"/>
      <c r="I5890" s="128"/>
      <c r="J5890" s="81"/>
      <c r="K5890" s="81"/>
      <c r="L5890" s="81"/>
      <c r="M5890" s="81"/>
      <c r="N5890" s="82"/>
    </row>
    <row r="5891">
      <c r="C5891" s="41"/>
      <c r="D5891" s="141"/>
      <c r="E5891" s="118"/>
      <c r="F5891" s="126"/>
      <c r="G5891" s="126"/>
      <c r="H5891" s="126"/>
      <c r="I5891" s="126"/>
      <c r="J5891" s="76"/>
      <c r="K5891" s="76"/>
      <c r="L5891" s="76"/>
      <c r="M5891" s="76"/>
      <c r="N5891" s="114"/>
    </row>
    <row r="5892">
      <c r="C5892" s="41"/>
      <c r="D5892" s="142"/>
      <c r="E5892" s="130"/>
      <c r="F5892" s="128"/>
      <c r="G5892" s="128"/>
      <c r="H5892" s="128"/>
      <c r="I5892" s="128"/>
      <c r="J5892" s="81"/>
      <c r="K5892" s="81"/>
      <c r="L5892" s="81"/>
      <c r="M5892" s="81"/>
      <c r="N5892" s="82"/>
    </row>
    <row r="5893">
      <c r="C5893" s="41"/>
      <c r="D5893" s="141"/>
      <c r="E5893" s="118"/>
      <c r="F5893" s="126"/>
      <c r="G5893" s="126"/>
      <c r="H5893" s="126"/>
      <c r="I5893" s="126"/>
      <c r="J5893" s="76"/>
      <c r="K5893" s="76"/>
      <c r="L5893" s="76"/>
      <c r="M5893" s="76"/>
      <c r="N5893" s="114"/>
    </row>
    <row r="5894">
      <c r="C5894" s="41"/>
      <c r="D5894" s="142"/>
      <c r="E5894" s="130"/>
      <c r="F5894" s="128"/>
      <c r="G5894" s="128"/>
      <c r="H5894" s="128"/>
      <c r="I5894" s="128"/>
      <c r="J5894" s="81"/>
      <c r="K5894" s="81"/>
      <c r="L5894" s="81"/>
      <c r="M5894" s="81"/>
      <c r="N5894" s="82"/>
    </row>
    <row r="5895">
      <c r="C5895" s="41"/>
      <c r="D5895" s="141"/>
      <c r="E5895" s="118"/>
      <c r="F5895" s="126"/>
      <c r="G5895" s="126"/>
      <c r="H5895" s="126"/>
      <c r="I5895" s="126"/>
      <c r="J5895" s="76"/>
      <c r="K5895" s="76"/>
      <c r="L5895" s="76"/>
      <c r="M5895" s="76"/>
      <c r="N5895" s="114"/>
    </row>
    <row r="5896">
      <c r="C5896" s="41"/>
      <c r="D5896" s="142"/>
      <c r="E5896" s="130"/>
      <c r="F5896" s="128"/>
      <c r="G5896" s="128"/>
      <c r="H5896" s="128"/>
      <c r="I5896" s="128"/>
      <c r="J5896" s="81"/>
      <c r="K5896" s="81"/>
      <c r="L5896" s="81"/>
      <c r="M5896" s="81"/>
      <c r="N5896" s="82"/>
    </row>
    <row r="5897">
      <c r="C5897" s="41"/>
      <c r="D5897" s="141"/>
      <c r="E5897" s="118"/>
      <c r="F5897" s="126"/>
      <c r="G5897" s="126"/>
      <c r="H5897" s="126"/>
      <c r="I5897" s="126"/>
      <c r="J5897" s="76"/>
      <c r="K5897" s="76"/>
      <c r="L5897" s="76"/>
      <c r="M5897" s="76"/>
      <c r="N5897" s="114"/>
    </row>
    <row r="5898">
      <c r="C5898" s="41"/>
      <c r="D5898" s="142"/>
      <c r="E5898" s="130"/>
      <c r="F5898" s="128"/>
      <c r="G5898" s="128"/>
      <c r="H5898" s="128"/>
      <c r="I5898" s="128"/>
      <c r="J5898" s="81"/>
      <c r="K5898" s="81"/>
      <c r="L5898" s="81"/>
      <c r="M5898" s="81"/>
      <c r="N5898" s="82"/>
    </row>
    <row r="5899">
      <c r="C5899" s="41"/>
      <c r="D5899" s="141"/>
      <c r="E5899" s="118"/>
      <c r="F5899" s="126"/>
      <c r="G5899" s="126"/>
      <c r="H5899" s="126"/>
      <c r="I5899" s="126"/>
      <c r="J5899" s="76"/>
      <c r="K5899" s="76"/>
      <c r="L5899" s="76"/>
      <c r="M5899" s="76"/>
      <c r="N5899" s="114"/>
    </row>
    <row r="5900">
      <c r="C5900" s="41"/>
      <c r="D5900" s="142"/>
      <c r="E5900" s="130"/>
      <c r="F5900" s="128"/>
      <c r="G5900" s="128"/>
      <c r="H5900" s="128"/>
      <c r="I5900" s="128"/>
      <c r="J5900" s="81"/>
      <c r="K5900" s="81"/>
      <c r="L5900" s="81"/>
      <c r="M5900" s="81"/>
      <c r="N5900" s="82"/>
    </row>
    <row r="5901">
      <c r="C5901" s="41"/>
      <c r="D5901" s="141"/>
      <c r="E5901" s="118"/>
      <c r="F5901" s="126"/>
      <c r="G5901" s="126"/>
      <c r="H5901" s="126"/>
      <c r="I5901" s="126"/>
      <c r="J5901" s="76"/>
      <c r="K5901" s="76"/>
      <c r="L5901" s="76"/>
      <c r="M5901" s="76"/>
      <c r="N5901" s="114"/>
    </row>
    <row r="5902">
      <c r="C5902" s="41"/>
      <c r="D5902" s="142"/>
      <c r="E5902" s="130"/>
      <c r="F5902" s="128"/>
      <c r="G5902" s="128"/>
      <c r="H5902" s="128"/>
      <c r="I5902" s="128"/>
      <c r="J5902" s="81"/>
      <c r="K5902" s="81"/>
      <c r="L5902" s="81"/>
      <c r="M5902" s="81"/>
      <c r="N5902" s="82"/>
    </row>
    <row r="5903">
      <c r="C5903" s="41"/>
      <c r="D5903" s="141"/>
      <c r="E5903" s="118"/>
      <c r="F5903" s="126"/>
      <c r="G5903" s="126"/>
      <c r="H5903" s="126"/>
      <c r="I5903" s="126"/>
      <c r="J5903" s="76"/>
      <c r="K5903" s="76"/>
      <c r="L5903" s="76"/>
      <c r="M5903" s="76"/>
      <c r="N5903" s="114"/>
    </row>
    <row r="5904">
      <c r="C5904" s="41"/>
      <c r="D5904" s="142"/>
      <c r="E5904" s="130"/>
      <c r="F5904" s="128"/>
      <c r="G5904" s="128"/>
      <c r="H5904" s="128"/>
      <c r="I5904" s="128"/>
      <c r="J5904" s="81"/>
      <c r="K5904" s="81"/>
      <c r="L5904" s="81"/>
      <c r="M5904" s="81"/>
      <c r="N5904" s="82"/>
    </row>
    <row r="5905">
      <c r="C5905" s="41"/>
      <c r="D5905" s="141"/>
      <c r="E5905" s="118"/>
      <c r="F5905" s="126"/>
      <c r="G5905" s="126"/>
      <c r="H5905" s="126"/>
      <c r="I5905" s="126"/>
      <c r="J5905" s="76"/>
      <c r="K5905" s="76"/>
      <c r="L5905" s="76"/>
      <c r="M5905" s="76"/>
      <c r="N5905" s="114"/>
    </row>
    <row r="5906">
      <c r="C5906" s="41"/>
      <c r="D5906" s="142"/>
      <c r="E5906" s="130"/>
      <c r="F5906" s="128"/>
      <c r="G5906" s="128"/>
      <c r="H5906" s="128"/>
      <c r="I5906" s="128"/>
      <c r="J5906" s="81"/>
      <c r="K5906" s="81"/>
      <c r="L5906" s="81"/>
      <c r="M5906" s="81"/>
      <c r="N5906" s="82"/>
    </row>
    <row r="5907">
      <c r="C5907" s="41"/>
      <c r="D5907" s="141"/>
      <c r="E5907" s="118"/>
      <c r="F5907" s="126"/>
      <c r="G5907" s="126"/>
      <c r="H5907" s="126"/>
      <c r="I5907" s="126"/>
      <c r="J5907" s="76"/>
      <c r="K5907" s="76"/>
      <c r="L5907" s="76"/>
      <c r="M5907" s="76"/>
      <c r="N5907" s="114"/>
    </row>
    <row r="5908">
      <c r="C5908" s="41"/>
      <c r="D5908" s="142"/>
      <c r="E5908" s="130"/>
      <c r="F5908" s="128"/>
      <c r="G5908" s="128"/>
      <c r="H5908" s="128"/>
      <c r="I5908" s="128"/>
      <c r="J5908" s="81"/>
      <c r="K5908" s="81"/>
      <c r="L5908" s="81"/>
      <c r="M5908" s="81"/>
      <c r="N5908" s="82"/>
    </row>
    <row r="5909">
      <c r="C5909" s="41"/>
      <c r="D5909" s="141"/>
      <c r="E5909" s="118"/>
      <c r="F5909" s="126"/>
      <c r="G5909" s="126"/>
      <c r="H5909" s="126"/>
      <c r="I5909" s="126"/>
      <c r="J5909" s="76"/>
      <c r="K5909" s="76"/>
      <c r="L5909" s="76"/>
      <c r="M5909" s="76"/>
      <c r="N5909" s="114"/>
    </row>
    <row r="5910">
      <c r="C5910" s="41"/>
      <c r="D5910" s="142"/>
      <c r="E5910" s="130"/>
      <c r="F5910" s="128"/>
      <c r="G5910" s="128"/>
      <c r="H5910" s="128"/>
      <c r="I5910" s="128"/>
      <c r="J5910" s="81"/>
      <c r="K5910" s="81"/>
      <c r="L5910" s="81"/>
      <c r="M5910" s="81"/>
      <c r="N5910" s="82"/>
    </row>
    <row r="5911">
      <c r="C5911" s="41"/>
      <c r="D5911" s="141"/>
      <c r="E5911" s="118"/>
      <c r="F5911" s="126"/>
      <c r="G5911" s="126"/>
      <c r="H5911" s="126"/>
      <c r="I5911" s="126"/>
      <c r="J5911" s="76"/>
      <c r="K5911" s="76"/>
      <c r="L5911" s="76"/>
      <c r="M5911" s="76"/>
      <c r="N5911" s="114"/>
    </row>
    <row r="5912">
      <c r="C5912" s="41"/>
      <c r="D5912" s="142"/>
      <c r="E5912" s="130"/>
      <c r="F5912" s="128"/>
      <c r="G5912" s="128"/>
      <c r="H5912" s="128"/>
      <c r="I5912" s="128"/>
      <c r="J5912" s="81"/>
      <c r="K5912" s="81"/>
      <c r="L5912" s="81"/>
      <c r="M5912" s="81"/>
      <c r="N5912" s="82"/>
    </row>
    <row r="5913">
      <c r="C5913" s="41"/>
      <c r="D5913" s="141"/>
      <c r="E5913" s="118"/>
      <c r="F5913" s="126"/>
      <c r="G5913" s="126"/>
      <c r="H5913" s="126"/>
      <c r="I5913" s="126"/>
      <c r="J5913" s="76"/>
      <c r="K5913" s="76"/>
      <c r="L5913" s="76"/>
      <c r="M5913" s="76"/>
      <c r="N5913" s="114"/>
    </row>
    <row r="5914">
      <c r="C5914" s="41"/>
      <c r="D5914" s="142"/>
      <c r="E5914" s="130"/>
      <c r="F5914" s="128"/>
      <c r="G5914" s="128"/>
      <c r="H5914" s="128"/>
      <c r="I5914" s="128"/>
      <c r="J5914" s="81"/>
      <c r="K5914" s="81"/>
      <c r="L5914" s="81"/>
      <c r="M5914" s="81"/>
      <c r="N5914" s="82"/>
    </row>
    <row r="5915">
      <c r="C5915" s="41"/>
      <c r="D5915" s="141"/>
      <c r="E5915" s="118"/>
      <c r="F5915" s="126"/>
      <c r="G5915" s="126"/>
      <c r="H5915" s="126"/>
      <c r="I5915" s="126"/>
      <c r="J5915" s="76"/>
      <c r="K5915" s="76"/>
      <c r="L5915" s="76"/>
      <c r="M5915" s="76"/>
      <c r="N5915" s="114"/>
    </row>
    <row r="5916">
      <c r="C5916" s="41"/>
      <c r="D5916" s="142"/>
      <c r="E5916" s="130"/>
      <c r="F5916" s="128"/>
      <c r="G5916" s="128"/>
      <c r="H5916" s="128"/>
      <c r="I5916" s="128"/>
      <c r="J5916" s="81"/>
      <c r="K5916" s="81"/>
      <c r="L5916" s="81"/>
      <c r="M5916" s="81"/>
      <c r="N5916" s="82"/>
    </row>
    <row r="5917">
      <c r="C5917" s="41"/>
      <c r="D5917" s="141"/>
      <c r="E5917" s="118"/>
      <c r="F5917" s="126"/>
      <c r="G5917" s="126"/>
      <c r="H5917" s="126"/>
      <c r="I5917" s="126"/>
      <c r="J5917" s="76"/>
      <c r="K5917" s="76"/>
      <c r="L5917" s="76"/>
      <c r="M5917" s="76"/>
      <c r="N5917" s="114"/>
    </row>
    <row r="5918">
      <c r="C5918" s="41"/>
      <c r="D5918" s="142"/>
      <c r="E5918" s="130"/>
      <c r="F5918" s="128"/>
      <c r="G5918" s="128"/>
      <c r="H5918" s="128"/>
      <c r="I5918" s="128"/>
      <c r="J5918" s="81"/>
      <c r="K5918" s="81"/>
      <c r="L5918" s="81"/>
      <c r="M5918" s="81"/>
      <c r="N5918" s="82"/>
    </row>
    <row r="5919">
      <c r="C5919" s="41"/>
      <c r="D5919" s="141"/>
      <c r="E5919" s="118"/>
      <c r="F5919" s="126"/>
      <c r="G5919" s="126"/>
      <c r="H5919" s="126"/>
      <c r="I5919" s="126"/>
      <c r="J5919" s="76"/>
      <c r="K5919" s="76"/>
      <c r="L5919" s="76"/>
      <c r="M5919" s="76"/>
      <c r="N5919" s="114"/>
    </row>
    <row r="5920">
      <c r="C5920" s="41"/>
      <c r="D5920" s="142"/>
      <c r="E5920" s="130"/>
      <c r="F5920" s="128"/>
      <c r="G5920" s="128"/>
      <c r="H5920" s="128"/>
      <c r="I5920" s="128"/>
      <c r="J5920" s="81"/>
      <c r="K5920" s="81"/>
      <c r="L5920" s="81"/>
      <c r="M5920" s="81"/>
      <c r="N5920" s="82"/>
    </row>
    <row r="5921">
      <c r="C5921" s="41"/>
      <c r="D5921" s="141"/>
      <c r="E5921" s="118"/>
      <c r="F5921" s="126"/>
      <c r="G5921" s="126"/>
      <c r="H5921" s="126"/>
      <c r="I5921" s="126"/>
      <c r="J5921" s="76"/>
      <c r="K5921" s="76"/>
      <c r="L5921" s="76"/>
      <c r="M5921" s="76"/>
      <c r="N5921" s="114"/>
    </row>
    <row r="5922">
      <c r="C5922" s="41"/>
      <c r="D5922" s="142"/>
      <c r="E5922" s="130"/>
      <c r="F5922" s="128"/>
      <c r="G5922" s="128"/>
      <c r="H5922" s="128"/>
      <c r="I5922" s="128"/>
      <c r="J5922" s="81"/>
      <c r="K5922" s="81"/>
      <c r="L5922" s="81"/>
      <c r="M5922" s="81"/>
      <c r="N5922" s="82"/>
    </row>
    <row r="5923">
      <c r="C5923" s="41"/>
      <c r="D5923" s="141"/>
      <c r="E5923" s="118"/>
      <c r="F5923" s="126"/>
      <c r="G5923" s="126"/>
      <c r="H5923" s="126"/>
      <c r="I5923" s="126"/>
      <c r="J5923" s="76"/>
      <c r="K5923" s="76"/>
      <c r="L5923" s="76"/>
      <c r="M5923" s="76"/>
      <c r="N5923" s="114"/>
    </row>
    <row r="5924">
      <c r="C5924" s="41"/>
      <c r="D5924" s="142"/>
      <c r="E5924" s="130"/>
      <c r="F5924" s="128"/>
      <c r="G5924" s="128"/>
      <c r="H5924" s="128"/>
      <c r="I5924" s="128"/>
      <c r="J5924" s="81"/>
      <c r="K5924" s="81"/>
      <c r="L5924" s="81"/>
      <c r="M5924" s="81"/>
      <c r="N5924" s="82"/>
    </row>
    <row r="5925">
      <c r="C5925" s="41"/>
      <c r="D5925" s="141"/>
      <c r="E5925" s="118"/>
      <c r="F5925" s="126"/>
      <c r="G5925" s="126"/>
      <c r="H5925" s="126"/>
      <c r="I5925" s="126"/>
      <c r="J5925" s="76"/>
      <c r="K5925" s="76"/>
      <c r="L5925" s="76"/>
      <c r="M5925" s="76"/>
      <c r="N5925" s="114"/>
    </row>
    <row r="5926">
      <c r="C5926" s="41"/>
      <c r="D5926" s="142"/>
      <c r="E5926" s="130"/>
      <c r="F5926" s="128"/>
      <c r="G5926" s="128"/>
      <c r="H5926" s="128"/>
      <c r="I5926" s="128"/>
      <c r="J5926" s="81"/>
      <c r="K5926" s="81"/>
      <c r="L5926" s="81"/>
      <c r="M5926" s="81"/>
      <c r="N5926" s="82"/>
    </row>
    <row r="5927">
      <c r="C5927" s="41"/>
      <c r="D5927" s="141"/>
      <c r="E5927" s="118"/>
      <c r="F5927" s="126"/>
      <c r="G5927" s="126"/>
      <c r="H5927" s="126"/>
      <c r="I5927" s="126"/>
      <c r="J5927" s="76"/>
      <c r="K5927" s="76"/>
      <c r="L5927" s="76"/>
      <c r="M5927" s="76"/>
      <c r="N5927" s="114"/>
    </row>
    <row r="5928">
      <c r="C5928" s="41"/>
      <c r="D5928" s="142"/>
      <c r="E5928" s="130"/>
      <c r="F5928" s="128"/>
      <c r="G5928" s="128"/>
      <c r="H5928" s="128"/>
      <c r="I5928" s="128"/>
      <c r="J5928" s="81"/>
      <c r="K5928" s="81"/>
      <c r="L5928" s="81"/>
      <c r="M5928" s="81"/>
      <c r="N5928" s="82"/>
    </row>
    <row r="5929">
      <c r="C5929" s="41"/>
      <c r="D5929" s="141"/>
      <c r="E5929" s="118"/>
      <c r="F5929" s="126"/>
      <c r="G5929" s="126"/>
      <c r="H5929" s="126"/>
      <c r="I5929" s="126"/>
      <c r="J5929" s="76"/>
      <c r="K5929" s="76"/>
      <c r="L5929" s="76"/>
      <c r="M5929" s="76"/>
      <c r="N5929" s="114"/>
    </row>
    <row r="5930">
      <c r="C5930" s="41"/>
      <c r="D5930" s="142"/>
      <c r="E5930" s="130"/>
      <c r="F5930" s="128"/>
      <c r="G5930" s="128"/>
      <c r="H5930" s="128"/>
      <c r="I5930" s="128"/>
      <c r="J5930" s="81"/>
      <c r="K5930" s="81"/>
      <c r="L5930" s="81"/>
      <c r="M5930" s="81"/>
      <c r="N5930" s="82"/>
    </row>
    <row r="5931">
      <c r="C5931" s="41"/>
      <c r="D5931" s="141"/>
      <c r="E5931" s="118"/>
      <c r="F5931" s="126"/>
      <c r="G5931" s="126"/>
      <c r="H5931" s="126"/>
      <c r="I5931" s="126"/>
      <c r="J5931" s="76"/>
      <c r="K5931" s="76"/>
      <c r="L5931" s="76"/>
      <c r="M5931" s="76"/>
      <c r="N5931" s="114"/>
    </row>
    <row r="5932">
      <c r="C5932" s="41"/>
      <c r="D5932" s="142"/>
      <c r="E5932" s="130"/>
      <c r="F5932" s="128"/>
      <c r="G5932" s="128"/>
      <c r="H5932" s="128"/>
      <c r="I5932" s="128"/>
      <c r="J5932" s="81"/>
      <c r="K5932" s="81"/>
      <c r="L5932" s="81"/>
      <c r="M5932" s="81"/>
      <c r="N5932" s="82"/>
    </row>
    <row r="5933">
      <c r="C5933" s="41"/>
      <c r="D5933" s="141"/>
      <c r="E5933" s="118"/>
      <c r="F5933" s="126"/>
      <c r="G5933" s="126"/>
      <c r="H5933" s="126"/>
      <c r="I5933" s="126"/>
      <c r="J5933" s="76"/>
      <c r="K5933" s="76"/>
      <c r="L5933" s="76"/>
      <c r="M5933" s="76"/>
      <c r="N5933" s="114"/>
    </row>
    <row r="5934">
      <c r="C5934" s="41"/>
      <c r="D5934" s="142"/>
      <c r="E5934" s="130"/>
      <c r="F5934" s="128"/>
      <c r="G5934" s="128"/>
      <c r="H5934" s="128"/>
      <c r="I5934" s="128"/>
      <c r="J5934" s="81"/>
      <c r="K5934" s="81"/>
      <c r="L5934" s="81"/>
      <c r="M5934" s="81"/>
      <c r="N5934" s="82"/>
    </row>
    <row r="5935">
      <c r="C5935" s="41"/>
      <c r="D5935" s="141"/>
      <c r="E5935" s="118"/>
      <c r="F5935" s="126"/>
      <c r="G5935" s="126"/>
      <c r="H5935" s="126"/>
      <c r="I5935" s="126"/>
      <c r="J5935" s="76"/>
      <c r="K5935" s="76"/>
      <c r="L5935" s="76"/>
      <c r="M5935" s="76"/>
      <c r="N5935" s="114"/>
    </row>
    <row r="5936">
      <c r="C5936" s="41"/>
      <c r="D5936" s="142"/>
      <c r="E5936" s="130"/>
      <c r="F5936" s="128"/>
      <c r="G5936" s="128"/>
      <c r="H5936" s="128"/>
      <c r="I5936" s="128"/>
      <c r="J5936" s="81"/>
      <c r="K5936" s="81"/>
      <c r="L5936" s="81"/>
      <c r="M5936" s="81"/>
      <c r="N5936" s="82"/>
    </row>
    <row r="5937">
      <c r="C5937" s="41"/>
      <c r="D5937" s="141"/>
      <c r="E5937" s="118"/>
      <c r="F5937" s="126"/>
      <c r="G5937" s="126"/>
      <c r="H5937" s="126"/>
      <c r="I5937" s="126"/>
      <c r="J5937" s="76"/>
      <c r="K5937" s="76"/>
      <c r="L5937" s="76"/>
      <c r="M5937" s="76"/>
      <c r="N5937" s="114"/>
    </row>
    <row r="5938">
      <c r="C5938" s="41"/>
      <c r="D5938" s="142"/>
      <c r="E5938" s="130"/>
      <c r="F5938" s="128"/>
      <c r="G5938" s="128"/>
      <c r="H5938" s="128"/>
      <c r="I5938" s="128"/>
      <c r="J5938" s="81"/>
      <c r="K5938" s="81"/>
      <c r="L5938" s="81"/>
      <c r="M5938" s="81"/>
      <c r="N5938" s="82"/>
    </row>
    <row r="5939">
      <c r="C5939" s="41"/>
      <c r="D5939" s="141"/>
      <c r="E5939" s="118"/>
      <c r="F5939" s="126"/>
      <c r="G5939" s="126"/>
      <c r="H5939" s="126"/>
      <c r="I5939" s="126"/>
      <c r="J5939" s="76"/>
      <c r="K5939" s="76"/>
      <c r="L5939" s="76"/>
      <c r="M5939" s="76"/>
      <c r="N5939" s="114"/>
    </row>
    <row r="5940">
      <c r="C5940" s="41"/>
      <c r="D5940" s="142"/>
      <c r="E5940" s="130"/>
      <c r="F5940" s="128"/>
      <c r="G5940" s="128"/>
      <c r="H5940" s="128"/>
      <c r="I5940" s="128"/>
      <c r="J5940" s="81"/>
      <c r="K5940" s="81"/>
      <c r="L5940" s="81"/>
      <c r="M5940" s="81"/>
      <c r="N5940" s="82"/>
    </row>
    <row r="5941">
      <c r="C5941" s="41"/>
      <c r="D5941" s="141"/>
      <c r="E5941" s="118"/>
      <c r="F5941" s="126"/>
      <c r="G5941" s="126"/>
      <c r="H5941" s="126"/>
      <c r="I5941" s="126"/>
      <c r="J5941" s="76"/>
      <c r="K5941" s="76"/>
      <c r="L5941" s="76"/>
      <c r="M5941" s="76"/>
      <c r="N5941" s="114"/>
    </row>
    <row r="5942">
      <c r="C5942" s="41"/>
      <c r="D5942" s="142"/>
      <c r="E5942" s="130"/>
      <c r="F5942" s="128"/>
      <c r="G5942" s="128"/>
      <c r="H5942" s="128"/>
      <c r="I5942" s="128"/>
      <c r="J5942" s="81"/>
      <c r="K5942" s="81"/>
      <c r="L5942" s="81"/>
      <c r="M5942" s="81"/>
      <c r="N5942" s="82"/>
    </row>
    <row r="5943">
      <c r="C5943" s="41"/>
      <c r="D5943" s="141"/>
      <c r="E5943" s="118"/>
      <c r="F5943" s="126"/>
      <c r="G5943" s="126"/>
      <c r="H5943" s="126"/>
      <c r="I5943" s="126"/>
      <c r="J5943" s="76"/>
      <c r="K5943" s="76"/>
      <c r="L5943" s="76"/>
      <c r="M5943" s="76"/>
      <c r="N5943" s="114"/>
    </row>
    <row r="5944">
      <c r="C5944" s="41"/>
      <c r="D5944" s="142"/>
      <c r="E5944" s="130"/>
      <c r="F5944" s="128"/>
      <c r="G5944" s="128"/>
      <c r="H5944" s="128"/>
      <c r="I5944" s="128"/>
      <c r="J5944" s="81"/>
      <c r="K5944" s="81"/>
      <c r="L5944" s="81"/>
      <c r="M5944" s="81"/>
      <c r="N5944" s="82"/>
    </row>
    <row r="5945">
      <c r="C5945" s="41"/>
      <c r="D5945" s="141"/>
      <c r="E5945" s="118"/>
      <c r="F5945" s="126"/>
      <c r="G5945" s="126"/>
      <c r="H5945" s="126"/>
      <c r="I5945" s="126"/>
      <c r="J5945" s="76"/>
      <c r="K5945" s="76"/>
      <c r="L5945" s="76"/>
      <c r="M5945" s="76"/>
      <c r="N5945" s="114"/>
    </row>
    <row r="5946">
      <c r="C5946" s="41"/>
      <c r="D5946" s="142"/>
      <c r="E5946" s="130"/>
      <c r="F5946" s="128"/>
      <c r="G5946" s="128"/>
      <c r="H5946" s="128"/>
      <c r="I5946" s="128"/>
      <c r="J5946" s="81"/>
      <c r="K5946" s="81"/>
      <c r="L5946" s="81"/>
      <c r="M5946" s="81"/>
      <c r="N5946" s="82"/>
    </row>
    <row r="5947">
      <c r="C5947" s="41"/>
      <c r="D5947" s="141"/>
      <c r="E5947" s="118"/>
      <c r="F5947" s="126"/>
      <c r="G5947" s="126"/>
      <c r="H5947" s="126"/>
      <c r="I5947" s="126"/>
      <c r="J5947" s="76"/>
      <c r="K5947" s="76"/>
      <c r="L5947" s="76"/>
      <c r="M5947" s="76"/>
      <c r="N5947" s="114"/>
    </row>
    <row r="5948">
      <c r="C5948" s="41"/>
      <c r="D5948" s="142"/>
      <c r="E5948" s="130"/>
      <c r="F5948" s="128"/>
      <c r="G5948" s="128"/>
      <c r="H5948" s="128"/>
      <c r="I5948" s="128"/>
      <c r="J5948" s="81"/>
      <c r="K5948" s="81"/>
      <c r="L5948" s="81"/>
      <c r="M5948" s="81"/>
      <c r="N5948" s="82"/>
    </row>
    <row r="5949">
      <c r="C5949" s="41"/>
      <c r="D5949" s="141"/>
      <c r="E5949" s="118"/>
      <c r="F5949" s="126"/>
      <c r="G5949" s="126"/>
      <c r="H5949" s="126"/>
      <c r="I5949" s="126"/>
      <c r="J5949" s="76"/>
      <c r="K5949" s="76"/>
      <c r="L5949" s="76"/>
      <c r="M5949" s="76"/>
      <c r="N5949" s="114"/>
    </row>
    <row r="5950">
      <c r="C5950" s="41"/>
      <c r="D5950" s="142"/>
      <c r="E5950" s="130"/>
      <c r="F5950" s="128"/>
      <c r="G5950" s="128"/>
      <c r="H5950" s="128"/>
      <c r="I5950" s="128"/>
      <c r="J5950" s="81"/>
      <c r="K5950" s="81"/>
      <c r="L5950" s="81"/>
      <c r="M5950" s="81"/>
      <c r="N5950" s="82"/>
    </row>
    <row r="5951">
      <c r="C5951" s="41"/>
      <c r="D5951" s="141"/>
      <c r="E5951" s="118"/>
      <c r="F5951" s="126"/>
      <c r="G5951" s="126"/>
      <c r="H5951" s="126"/>
      <c r="I5951" s="126"/>
      <c r="J5951" s="76"/>
      <c r="K5951" s="76"/>
      <c r="L5951" s="76"/>
      <c r="M5951" s="76"/>
      <c r="N5951" s="114"/>
    </row>
    <row r="5952">
      <c r="C5952" s="41"/>
      <c r="D5952" s="142"/>
      <c r="E5952" s="130"/>
      <c r="F5952" s="128"/>
      <c r="G5952" s="128"/>
      <c r="H5952" s="128"/>
      <c r="I5952" s="128"/>
      <c r="J5952" s="81"/>
      <c r="K5952" s="81"/>
      <c r="L5952" s="81"/>
      <c r="M5952" s="81"/>
      <c r="N5952" s="82"/>
    </row>
    <row r="5953">
      <c r="C5953" s="41"/>
      <c r="D5953" s="141"/>
      <c r="E5953" s="118"/>
      <c r="F5953" s="126"/>
      <c r="G5953" s="126"/>
      <c r="H5953" s="126"/>
      <c r="I5953" s="126"/>
      <c r="J5953" s="76"/>
      <c r="K5953" s="76"/>
      <c r="L5953" s="76"/>
      <c r="M5953" s="76"/>
      <c r="N5953" s="114"/>
    </row>
    <row r="5954">
      <c r="C5954" s="41"/>
      <c r="D5954" s="142"/>
      <c r="E5954" s="130"/>
      <c r="F5954" s="128"/>
      <c r="G5954" s="128"/>
      <c r="H5954" s="128"/>
      <c r="I5954" s="128"/>
      <c r="J5954" s="81"/>
      <c r="K5954" s="81"/>
      <c r="L5954" s="81"/>
      <c r="M5954" s="81"/>
      <c r="N5954" s="82"/>
    </row>
    <row r="5955">
      <c r="C5955" s="41"/>
      <c r="D5955" s="141"/>
      <c r="E5955" s="118"/>
      <c r="F5955" s="126"/>
      <c r="G5955" s="126"/>
      <c r="H5955" s="126"/>
      <c r="I5955" s="126"/>
      <c r="J5955" s="76"/>
      <c r="K5955" s="76"/>
      <c r="L5955" s="76"/>
      <c r="M5955" s="76"/>
      <c r="N5955" s="114"/>
    </row>
    <row r="5956">
      <c r="C5956" s="41"/>
      <c r="D5956" s="142"/>
      <c r="E5956" s="130"/>
      <c r="F5956" s="128"/>
      <c r="G5956" s="128"/>
      <c r="H5956" s="128"/>
      <c r="I5956" s="128"/>
      <c r="J5956" s="81"/>
      <c r="K5956" s="81"/>
      <c r="L5956" s="81"/>
      <c r="M5956" s="81"/>
      <c r="N5956" s="82"/>
    </row>
    <row r="5957">
      <c r="C5957" s="41"/>
      <c r="D5957" s="141"/>
      <c r="E5957" s="118"/>
      <c r="F5957" s="126"/>
      <c r="G5957" s="126"/>
      <c r="H5957" s="126"/>
      <c r="I5957" s="126"/>
      <c r="J5957" s="76"/>
      <c r="K5957" s="76"/>
      <c r="L5957" s="76"/>
      <c r="M5957" s="76"/>
      <c r="N5957" s="114"/>
    </row>
    <row r="5958">
      <c r="C5958" s="41"/>
      <c r="D5958" s="142"/>
      <c r="E5958" s="130"/>
      <c r="F5958" s="128"/>
      <c r="G5958" s="128"/>
      <c r="H5958" s="128"/>
      <c r="I5958" s="128"/>
      <c r="J5958" s="81"/>
      <c r="K5958" s="81"/>
      <c r="L5958" s="81"/>
      <c r="M5958" s="81"/>
      <c r="N5958" s="82"/>
    </row>
    <row r="5959">
      <c r="C5959" s="41"/>
      <c r="D5959" s="141"/>
      <c r="E5959" s="118"/>
      <c r="F5959" s="126"/>
      <c r="G5959" s="126"/>
      <c r="H5959" s="126"/>
      <c r="I5959" s="126"/>
      <c r="J5959" s="76"/>
      <c r="K5959" s="76"/>
      <c r="L5959" s="76"/>
      <c r="M5959" s="76"/>
      <c r="N5959" s="114"/>
    </row>
    <row r="5960">
      <c r="C5960" s="41"/>
      <c r="D5960" s="142"/>
      <c r="E5960" s="130"/>
      <c r="F5960" s="128"/>
      <c r="G5960" s="128"/>
      <c r="H5960" s="128"/>
      <c r="I5960" s="128"/>
      <c r="J5960" s="81"/>
      <c r="K5960" s="81"/>
      <c r="L5960" s="81"/>
      <c r="M5960" s="81"/>
      <c r="N5960" s="82"/>
    </row>
    <row r="5961">
      <c r="C5961" s="41"/>
      <c r="D5961" s="141"/>
      <c r="E5961" s="118"/>
      <c r="F5961" s="126"/>
      <c r="G5961" s="126"/>
      <c r="H5961" s="126"/>
      <c r="I5961" s="126"/>
      <c r="J5961" s="76"/>
      <c r="K5961" s="76"/>
      <c r="L5961" s="76"/>
      <c r="M5961" s="76"/>
      <c r="N5961" s="114"/>
    </row>
    <row r="5962">
      <c r="C5962" s="41"/>
      <c r="D5962" s="142"/>
      <c r="E5962" s="130"/>
      <c r="F5962" s="128"/>
      <c r="G5962" s="128"/>
      <c r="H5962" s="128"/>
      <c r="I5962" s="128"/>
      <c r="J5962" s="81"/>
      <c r="K5962" s="81"/>
      <c r="L5962" s="81"/>
      <c r="M5962" s="81"/>
      <c r="N5962" s="82"/>
    </row>
    <row r="5963">
      <c r="C5963" s="41"/>
      <c r="D5963" s="141"/>
      <c r="E5963" s="118"/>
      <c r="F5963" s="126"/>
      <c r="G5963" s="126"/>
      <c r="H5963" s="126"/>
      <c r="I5963" s="126"/>
      <c r="J5963" s="76"/>
      <c r="K5963" s="76"/>
      <c r="L5963" s="76"/>
      <c r="M5963" s="76"/>
      <c r="N5963" s="114"/>
    </row>
    <row r="5964">
      <c r="C5964" s="41"/>
      <c r="D5964" s="142"/>
      <c r="E5964" s="130"/>
      <c r="F5964" s="128"/>
      <c r="G5964" s="128"/>
      <c r="H5964" s="128"/>
      <c r="I5964" s="128"/>
      <c r="J5964" s="81"/>
      <c r="K5964" s="81"/>
      <c r="L5964" s="81"/>
      <c r="M5964" s="81"/>
      <c r="N5964" s="82"/>
    </row>
    <row r="5965">
      <c r="C5965" s="41"/>
      <c r="D5965" s="141"/>
      <c r="E5965" s="118"/>
      <c r="F5965" s="126"/>
      <c r="G5965" s="126"/>
      <c r="H5965" s="126"/>
      <c r="I5965" s="126"/>
      <c r="J5965" s="76"/>
      <c r="K5965" s="76"/>
      <c r="L5965" s="76"/>
      <c r="M5965" s="76"/>
      <c r="N5965" s="114"/>
    </row>
    <row r="5966">
      <c r="C5966" s="41"/>
      <c r="D5966" s="142"/>
      <c r="E5966" s="130"/>
      <c r="F5966" s="128"/>
      <c r="G5966" s="128"/>
      <c r="H5966" s="128"/>
      <c r="I5966" s="128"/>
      <c r="J5966" s="81"/>
      <c r="K5966" s="81"/>
      <c r="L5966" s="81"/>
      <c r="M5966" s="81"/>
      <c r="N5966" s="82"/>
    </row>
    <row r="5967">
      <c r="C5967" s="41"/>
      <c r="D5967" s="141"/>
      <c r="E5967" s="118"/>
      <c r="F5967" s="126"/>
      <c r="G5967" s="126"/>
      <c r="H5967" s="126"/>
      <c r="I5967" s="126"/>
      <c r="J5967" s="76"/>
      <c r="K5967" s="76"/>
      <c r="L5967" s="76"/>
      <c r="M5967" s="76"/>
      <c r="N5967" s="114"/>
    </row>
    <row r="5968">
      <c r="C5968" s="41"/>
      <c r="D5968" s="142"/>
      <c r="E5968" s="130"/>
      <c r="F5968" s="128"/>
      <c r="G5968" s="128"/>
      <c r="H5968" s="128"/>
      <c r="I5968" s="128"/>
      <c r="J5968" s="81"/>
      <c r="K5968" s="81"/>
      <c r="L5968" s="81"/>
      <c r="M5968" s="81"/>
      <c r="N5968" s="82"/>
    </row>
    <row r="5969">
      <c r="C5969" s="41"/>
      <c r="D5969" s="141"/>
      <c r="E5969" s="118"/>
      <c r="F5969" s="126"/>
      <c r="G5969" s="126"/>
      <c r="H5969" s="126"/>
      <c r="I5969" s="126"/>
      <c r="J5969" s="76"/>
      <c r="K5969" s="76"/>
      <c r="L5969" s="76"/>
      <c r="M5969" s="76"/>
      <c r="N5969" s="114"/>
    </row>
    <row r="5970">
      <c r="C5970" s="41"/>
      <c r="D5970" s="142"/>
      <c r="E5970" s="130"/>
      <c r="F5970" s="128"/>
      <c r="G5970" s="128"/>
      <c r="H5970" s="128"/>
      <c r="I5970" s="128"/>
      <c r="J5970" s="81"/>
      <c r="K5970" s="81"/>
      <c r="L5970" s="81"/>
      <c r="M5970" s="81"/>
      <c r="N5970" s="82"/>
    </row>
    <row r="5971">
      <c r="C5971" s="41"/>
      <c r="D5971" s="141"/>
      <c r="E5971" s="118"/>
      <c r="F5971" s="126"/>
      <c r="G5971" s="126"/>
      <c r="H5971" s="126"/>
      <c r="I5971" s="126"/>
      <c r="J5971" s="76"/>
      <c r="K5971" s="76"/>
      <c r="L5971" s="76"/>
      <c r="M5971" s="76"/>
      <c r="N5971" s="114"/>
    </row>
    <row r="5972">
      <c r="C5972" s="41"/>
      <c r="D5972" s="142"/>
      <c r="E5972" s="130"/>
      <c r="F5972" s="128"/>
      <c r="G5972" s="128"/>
      <c r="H5972" s="128"/>
      <c r="I5972" s="128"/>
      <c r="J5972" s="81"/>
      <c r="K5972" s="81"/>
      <c r="L5972" s="81"/>
      <c r="M5972" s="81"/>
      <c r="N5972" s="82"/>
    </row>
    <row r="5973">
      <c r="C5973" s="41"/>
      <c r="D5973" s="141"/>
      <c r="E5973" s="118"/>
      <c r="F5973" s="126"/>
      <c r="G5973" s="126"/>
      <c r="H5973" s="126"/>
      <c r="I5973" s="126"/>
      <c r="J5973" s="76"/>
      <c r="K5973" s="76"/>
      <c r="L5973" s="76"/>
      <c r="M5973" s="76"/>
      <c r="N5973" s="114"/>
    </row>
    <row r="5974">
      <c r="C5974" s="41"/>
      <c r="D5974" s="142"/>
      <c r="E5974" s="130"/>
      <c r="F5974" s="128"/>
      <c r="G5974" s="128"/>
      <c r="H5974" s="128"/>
      <c r="I5974" s="128"/>
      <c r="J5974" s="81"/>
      <c r="K5974" s="81"/>
      <c r="L5974" s="81"/>
      <c r="M5974" s="81"/>
      <c r="N5974" s="82"/>
    </row>
    <row r="5975">
      <c r="C5975" s="41"/>
      <c r="D5975" s="141"/>
      <c r="E5975" s="118"/>
      <c r="F5975" s="126"/>
      <c r="G5975" s="126"/>
      <c r="H5975" s="126"/>
      <c r="I5975" s="126"/>
      <c r="J5975" s="76"/>
      <c r="K5975" s="76"/>
      <c r="L5975" s="76"/>
      <c r="M5975" s="76"/>
      <c r="N5975" s="114"/>
    </row>
    <row r="5976">
      <c r="C5976" s="41"/>
      <c r="D5976" s="142"/>
      <c r="E5976" s="130"/>
      <c r="F5976" s="128"/>
      <c r="G5976" s="128"/>
      <c r="H5976" s="128"/>
      <c r="I5976" s="128"/>
      <c r="J5976" s="81"/>
      <c r="K5976" s="81"/>
      <c r="L5976" s="81"/>
      <c r="M5976" s="81"/>
      <c r="N5976" s="82"/>
    </row>
    <row r="5977">
      <c r="C5977" s="41"/>
      <c r="D5977" s="141"/>
      <c r="E5977" s="118"/>
      <c r="F5977" s="126"/>
      <c r="G5977" s="126"/>
      <c r="H5977" s="126"/>
      <c r="I5977" s="126"/>
      <c r="J5977" s="76"/>
      <c r="K5977" s="76"/>
      <c r="L5977" s="76"/>
      <c r="M5977" s="76"/>
      <c r="N5977" s="114"/>
    </row>
    <row r="5978">
      <c r="C5978" s="41"/>
      <c r="D5978" s="142"/>
      <c r="E5978" s="130"/>
      <c r="F5978" s="128"/>
      <c r="G5978" s="128"/>
      <c r="H5978" s="128"/>
      <c r="I5978" s="128"/>
      <c r="J5978" s="81"/>
      <c r="K5978" s="81"/>
      <c r="L5978" s="81"/>
      <c r="M5978" s="81"/>
      <c r="N5978" s="82"/>
    </row>
    <row r="5979">
      <c r="C5979" s="41"/>
      <c r="D5979" s="141"/>
      <c r="E5979" s="118"/>
      <c r="F5979" s="126"/>
      <c r="G5979" s="126"/>
      <c r="H5979" s="126"/>
      <c r="I5979" s="126"/>
      <c r="J5979" s="76"/>
      <c r="K5979" s="76"/>
      <c r="L5979" s="76"/>
      <c r="M5979" s="76"/>
      <c r="N5979" s="114"/>
    </row>
    <row r="5980">
      <c r="C5980" s="41"/>
      <c r="D5980" s="142"/>
      <c r="E5980" s="130"/>
      <c r="F5980" s="128"/>
      <c r="G5980" s="128"/>
      <c r="H5980" s="128"/>
      <c r="I5980" s="128"/>
      <c r="J5980" s="81"/>
      <c r="K5980" s="81"/>
      <c r="L5980" s="81"/>
      <c r="M5980" s="81"/>
      <c r="N5980" s="82"/>
    </row>
    <row r="5981">
      <c r="C5981" s="41"/>
      <c r="D5981" s="141"/>
      <c r="E5981" s="118"/>
      <c r="F5981" s="126"/>
      <c r="G5981" s="126"/>
      <c r="H5981" s="126"/>
      <c r="I5981" s="126"/>
      <c r="J5981" s="76"/>
      <c r="K5981" s="76"/>
      <c r="L5981" s="76"/>
      <c r="M5981" s="76"/>
      <c r="N5981" s="114"/>
    </row>
    <row r="5982">
      <c r="C5982" s="41"/>
      <c r="D5982" s="142"/>
      <c r="E5982" s="130"/>
      <c r="F5982" s="128"/>
      <c r="G5982" s="128"/>
      <c r="H5982" s="128"/>
      <c r="I5982" s="128"/>
      <c r="J5982" s="81"/>
      <c r="K5982" s="81"/>
      <c r="L5982" s="81"/>
      <c r="M5982" s="81"/>
      <c r="N5982" s="82"/>
    </row>
    <row r="5983">
      <c r="C5983" s="41"/>
      <c r="D5983" s="141"/>
      <c r="E5983" s="118"/>
      <c r="F5983" s="126"/>
      <c r="G5983" s="126"/>
      <c r="H5983" s="126"/>
      <c r="I5983" s="126"/>
      <c r="J5983" s="76"/>
      <c r="K5983" s="76"/>
      <c r="L5983" s="76"/>
      <c r="M5983" s="76"/>
      <c r="N5983" s="114"/>
    </row>
    <row r="5984">
      <c r="C5984" s="41"/>
      <c r="D5984" s="142"/>
      <c r="E5984" s="130"/>
      <c r="F5984" s="128"/>
      <c r="G5984" s="128"/>
      <c r="H5984" s="128"/>
      <c r="I5984" s="128"/>
      <c r="J5984" s="81"/>
      <c r="K5984" s="81"/>
      <c r="L5984" s="81"/>
      <c r="M5984" s="81"/>
      <c r="N5984" s="82"/>
    </row>
    <row r="5985">
      <c r="C5985" s="41"/>
      <c r="D5985" s="141"/>
      <c r="E5985" s="118"/>
      <c r="F5985" s="126"/>
      <c r="G5985" s="126"/>
      <c r="H5985" s="126"/>
      <c r="I5985" s="126"/>
      <c r="J5985" s="76"/>
      <c r="K5985" s="76"/>
      <c r="L5985" s="76"/>
      <c r="M5985" s="76"/>
      <c r="N5985" s="114"/>
    </row>
    <row r="5986">
      <c r="C5986" s="41"/>
      <c r="D5986" s="142"/>
      <c r="E5986" s="130"/>
      <c r="F5986" s="128"/>
      <c r="G5986" s="128"/>
      <c r="H5986" s="128"/>
      <c r="I5986" s="128"/>
      <c r="J5986" s="81"/>
      <c r="K5986" s="81"/>
      <c r="L5986" s="81"/>
      <c r="M5986" s="81"/>
      <c r="N5986" s="82"/>
    </row>
    <row r="5987">
      <c r="C5987" s="41"/>
      <c r="D5987" s="141"/>
      <c r="E5987" s="118"/>
      <c r="F5987" s="126"/>
      <c r="G5987" s="126"/>
      <c r="H5987" s="126"/>
      <c r="I5987" s="126"/>
      <c r="J5987" s="76"/>
      <c r="K5987" s="76"/>
      <c r="L5987" s="76"/>
      <c r="M5987" s="76"/>
      <c r="N5987" s="114"/>
    </row>
    <row r="5988">
      <c r="C5988" s="41"/>
      <c r="D5988" s="142"/>
      <c r="E5988" s="130"/>
      <c r="F5988" s="128"/>
      <c r="G5988" s="128"/>
      <c r="H5988" s="128"/>
      <c r="I5988" s="128"/>
      <c r="J5988" s="81"/>
      <c r="K5988" s="81"/>
      <c r="L5988" s="81"/>
      <c r="M5988" s="81"/>
      <c r="N5988" s="82"/>
    </row>
    <row r="5989">
      <c r="C5989" s="41"/>
      <c r="D5989" s="141"/>
      <c r="E5989" s="118"/>
      <c r="F5989" s="126"/>
      <c r="G5989" s="126"/>
      <c r="H5989" s="126"/>
      <c r="I5989" s="126"/>
      <c r="J5989" s="76"/>
      <c r="K5989" s="76"/>
      <c r="L5989" s="76"/>
      <c r="M5989" s="76"/>
      <c r="N5989" s="114"/>
    </row>
    <row r="5990">
      <c r="C5990" s="41"/>
      <c r="D5990" s="142"/>
      <c r="E5990" s="130"/>
      <c r="F5990" s="128"/>
      <c r="G5990" s="128"/>
      <c r="H5990" s="128"/>
      <c r="I5990" s="128"/>
      <c r="J5990" s="81"/>
      <c r="K5990" s="81"/>
      <c r="L5990" s="81"/>
      <c r="M5990" s="81"/>
      <c r="N5990" s="82"/>
    </row>
    <row r="5991">
      <c r="C5991" s="41"/>
      <c r="D5991" s="141"/>
      <c r="E5991" s="118"/>
      <c r="F5991" s="126"/>
      <c r="G5991" s="126"/>
      <c r="H5991" s="126"/>
      <c r="I5991" s="126"/>
      <c r="J5991" s="76"/>
      <c r="K5991" s="76"/>
      <c r="L5991" s="76"/>
      <c r="M5991" s="76"/>
      <c r="N5991" s="114"/>
    </row>
    <row r="5992">
      <c r="C5992" s="41"/>
      <c r="D5992" s="142"/>
      <c r="E5992" s="130"/>
      <c r="F5992" s="128"/>
      <c r="G5992" s="128"/>
      <c r="H5992" s="128"/>
      <c r="I5992" s="128"/>
      <c r="J5992" s="81"/>
      <c r="K5992" s="81"/>
      <c r="L5992" s="81"/>
      <c r="M5992" s="81"/>
      <c r="N5992" s="82"/>
    </row>
    <row r="5993">
      <c r="C5993" s="41"/>
      <c r="D5993" s="141"/>
      <c r="E5993" s="118"/>
      <c r="F5993" s="126"/>
      <c r="G5993" s="126"/>
      <c r="H5993" s="126"/>
      <c r="I5993" s="126"/>
      <c r="J5993" s="76"/>
      <c r="K5993" s="76"/>
      <c r="L5993" s="76"/>
      <c r="M5993" s="76"/>
      <c r="N5993" s="114"/>
    </row>
    <row r="5994">
      <c r="C5994" s="41"/>
      <c r="D5994" s="142"/>
      <c r="E5994" s="130"/>
      <c r="F5994" s="128"/>
      <c r="G5994" s="128"/>
      <c r="H5994" s="128"/>
      <c r="I5994" s="128"/>
      <c r="J5994" s="81"/>
      <c r="K5994" s="81"/>
      <c r="L5994" s="81"/>
      <c r="M5994" s="81"/>
      <c r="N5994" s="82"/>
    </row>
    <row r="5995">
      <c r="C5995" s="41"/>
      <c r="D5995" s="141"/>
      <c r="E5995" s="118"/>
      <c r="F5995" s="126"/>
      <c r="G5995" s="126"/>
      <c r="H5995" s="126"/>
      <c r="I5995" s="126"/>
      <c r="J5995" s="76"/>
      <c r="K5995" s="76"/>
      <c r="L5995" s="76"/>
      <c r="M5995" s="76"/>
      <c r="N5995" s="114"/>
    </row>
    <row r="5996">
      <c r="C5996" s="41"/>
      <c r="D5996" s="142"/>
      <c r="E5996" s="130"/>
      <c r="F5996" s="128"/>
      <c r="G5996" s="128"/>
      <c r="H5996" s="128"/>
      <c r="I5996" s="128"/>
      <c r="J5996" s="81"/>
      <c r="K5996" s="81"/>
      <c r="L5996" s="81"/>
      <c r="M5996" s="81"/>
      <c r="N5996" s="82"/>
    </row>
    <row r="5997">
      <c r="C5997" s="41"/>
      <c r="D5997" s="141"/>
      <c r="E5997" s="118"/>
      <c r="F5997" s="126"/>
      <c r="G5997" s="126"/>
      <c r="H5997" s="126"/>
      <c r="I5997" s="126"/>
      <c r="J5997" s="76"/>
      <c r="K5997" s="76"/>
      <c r="L5997" s="76"/>
      <c r="M5997" s="76"/>
      <c r="N5997" s="114"/>
    </row>
    <row r="5998">
      <c r="C5998" s="41"/>
      <c r="D5998" s="142"/>
      <c r="E5998" s="130"/>
      <c r="F5998" s="128"/>
      <c r="G5998" s="128"/>
      <c r="H5998" s="128"/>
      <c r="I5998" s="128"/>
      <c r="J5998" s="81"/>
      <c r="K5998" s="81"/>
      <c r="L5998" s="81"/>
      <c r="M5998" s="81"/>
      <c r="N5998" s="82"/>
    </row>
    <row r="5999">
      <c r="C5999" s="41"/>
      <c r="D5999" s="141"/>
      <c r="E5999" s="118"/>
      <c r="F5999" s="126"/>
      <c r="G5999" s="126"/>
      <c r="H5999" s="126"/>
      <c r="I5999" s="126"/>
      <c r="J5999" s="76"/>
      <c r="K5999" s="76"/>
      <c r="L5999" s="76"/>
      <c r="M5999" s="76"/>
      <c r="N5999" s="114"/>
    </row>
    <row r="6000">
      <c r="C6000" s="41"/>
      <c r="D6000" s="142"/>
      <c r="E6000" s="130"/>
      <c r="F6000" s="128"/>
      <c r="G6000" s="128"/>
      <c r="H6000" s="128"/>
      <c r="I6000" s="128"/>
      <c r="J6000" s="81"/>
      <c r="K6000" s="81"/>
      <c r="L6000" s="81"/>
      <c r="M6000" s="81"/>
      <c r="N6000" s="82"/>
    </row>
    <row r="6001">
      <c r="C6001" s="41"/>
      <c r="D6001" s="141"/>
      <c r="E6001" s="118"/>
      <c r="F6001" s="126"/>
      <c r="G6001" s="126"/>
      <c r="H6001" s="126"/>
      <c r="I6001" s="126"/>
      <c r="J6001" s="76"/>
      <c r="K6001" s="76"/>
      <c r="L6001" s="76"/>
      <c r="M6001" s="76"/>
      <c r="N6001" s="114"/>
    </row>
    <row r="6002">
      <c r="C6002" s="41"/>
      <c r="D6002" s="142"/>
      <c r="E6002" s="130"/>
      <c r="F6002" s="128"/>
      <c r="G6002" s="128"/>
      <c r="H6002" s="128"/>
      <c r="I6002" s="128"/>
      <c r="J6002" s="81"/>
      <c r="K6002" s="81"/>
      <c r="L6002" s="81"/>
      <c r="M6002" s="81"/>
      <c r="N6002" s="82"/>
    </row>
    <row r="6003">
      <c r="C6003" s="41"/>
      <c r="D6003" s="141"/>
      <c r="E6003" s="118"/>
      <c r="F6003" s="126"/>
      <c r="G6003" s="126"/>
      <c r="H6003" s="126"/>
      <c r="I6003" s="126"/>
      <c r="J6003" s="76"/>
      <c r="K6003" s="76"/>
      <c r="L6003" s="76"/>
      <c r="M6003" s="76"/>
      <c r="N6003" s="114"/>
    </row>
    <row r="6004">
      <c r="C6004" s="41"/>
      <c r="D6004" s="142"/>
      <c r="E6004" s="130"/>
      <c r="F6004" s="128"/>
      <c r="G6004" s="128"/>
      <c r="H6004" s="128"/>
      <c r="I6004" s="128"/>
      <c r="J6004" s="81"/>
      <c r="K6004" s="81"/>
      <c r="L6004" s="81"/>
      <c r="M6004" s="81"/>
      <c r="N6004" s="82"/>
    </row>
    <row r="6005">
      <c r="C6005" s="41"/>
      <c r="D6005" s="141"/>
      <c r="E6005" s="118"/>
      <c r="F6005" s="126"/>
      <c r="G6005" s="126"/>
      <c r="H6005" s="126"/>
      <c r="I6005" s="126"/>
      <c r="J6005" s="76"/>
      <c r="K6005" s="76"/>
      <c r="L6005" s="76"/>
      <c r="M6005" s="76"/>
      <c r="N6005" s="114"/>
    </row>
    <row r="6006">
      <c r="C6006" s="41"/>
      <c r="D6006" s="142"/>
      <c r="E6006" s="130"/>
      <c r="F6006" s="128"/>
      <c r="G6006" s="128"/>
      <c r="H6006" s="128"/>
      <c r="I6006" s="128"/>
      <c r="J6006" s="81"/>
      <c r="K6006" s="81"/>
      <c r="L6006" s="81"/>
      <c r="M6006" s="81"/>
      <c r="N6006" s="82"/>
    </row>
    <row r="6007">
      <c r="C6007" s="41"/>
      <c r="D6007" s="141"/>
      <c r="E6007" s="118"/>
      <c r="F6007" s="126"/>
      <c r="G6007" s="126"/>
      <c r="H6007" s="126"/>
      <c r="I6007" s="126"/>
      <c r="J6007" s="76"/>
      <c r="K6007" s="76"/>
      <c r="L6007" s="76"/>
      <c r="M6007" s="76"/>
      <c r="N6007" s="114"/>
    </row>
    <row r="6008">
      <c r="C6008" s="41"/>
      <c r="D6008" s="142"/>
      <c r="E6008" s="130"/>
      <c r="F6008" s="128"/>
      <c r="G6008" s="128"/>
      <c r="H6008" s="128"/>
      <c r="I6008" s="128"/>
      <c r="J6008" s="81"/>
      <c r="K6008" s="81"/>
      <c r="L6008" s="81"/>
      <c r="M6008" s="81"/>
      <c r="N6008" s="82"/>
    </row>
    <row r="6009">
      <c r="C6009" s="41"/>
      <c r="D6009" s="141"/>
      <c r="E6009" s="118"/>
      <c r="F6009" s="126"/>
      <c r="G6009" s="126"/>
      <c r="H6009" s="126"/>
      <c r="I6009" s="126"/>
      <c r="J6009" s="76"/>
      <c r="K6009" s="76"/>
      <c r="L6009" s="76"/>
      <c r="M6009" s="76"/>
      <c r="N6009" s="114"/>
    </row>
    <row r="6010">
      <c r="C6010" s="41"/>
      <c r="D6010" s="142"/>
      <c r="E6010" s="130"/>
      <c r="F6010" s="128"/>
      <c r="G6010" s="128"/>
      <c r="H6010" s="128"/>
      <c r="I6010" s="128"/>
      <c r="J6010" s="81"/>
      <c r="K6010" s="81"/>
      <c r="L6010" s="81"/>
      <c r="M6010" s="81"/>
      <c r="N6010" s="82"/>
    </row>
    <row r="6011">
      <c r="C6011" s="41"/>
      <c r="D6011" s="141"/>
      <c r="E6011" s="118"/>
      <c r="F6011" s="126"/>
      <c r="G6011" s="126"/>
      <c r="H6011" s="126"/>
      <c r="I6011" s="126"/>
      <c r="J6011" s="76"/>
      <c r="K6011" s="76"/>
      <c r="L6011" s="76"/>
      <c r="M6011" s="76"/>
      <c r="N6011" s="114"/>
    </row>
    <row r="6012">
      <c r="C6012" s="41"/>
      <c r="D6012" s="142"/>
      <c r="E6012" s="130"/>
      <c r="F6012" s="128"/>
      <c r="G6012" s="128"/>
      <c r="H6012" s="128"/>
      <c r="I6012" s="128"/>
      <c r="J6012" s="81"/>
      <c r="K6012" s="81"/>
      <c r="L6012" s="81"/>
      <c r="M6012" s="81"/>
      <c r="N6012" s="82"/>
    </row>
    <row r="6013">
      <c r="C6013" s="41"/>
      <c r="D6013" s="141"/>
      <c r="E6013" s="118"/>
      <c r="F6013" s="126"/>
      <c r="G6013" s="126"/>
      <c r="H6013" s="126"/>
      <c r="I6013" s="126"/>
      <c r="J6013" s="76"/>
      <c r="K6013" s="76"/>
      <c r="L6013" s="76"/>
      <c r="M6013" s="76"/>
      <c r="N6013" s="114"/>
    </row>
    <row r="6014">
      <c r="C6014" s="41"/>
      <c r="D6014" s="142"/>
      <c r="E6014" s="130"/>
      <c r="F6014" s="128"/>
      <c r="G6014" s="128"/>
      <c r="H6014" s="128"/>
      <c r="I6014" s="128"/>
      <c r="J6014" s="81"/>
      <c r="K6014" s="81"/>
      <c r="L6014" s="81"/>
      <c r="M6014" s="81"/>
      <c r="N6014" s="82"/>
    </row>
    <row r="6015">
      <c r="C6015" s="41"/>
      <c r="D6015" s="141"/>
      <c r="E6015" s="118"/>
      <c r="F6015" s="126"/>
      <c r="G6015" s="126"/>
      <c r="H6015" s="126"/>
      <c r="I6015" s="126"/>
      <c r="J6015" s="76"/>
      <c r="K6015" s="76"/>
      <c r="L6015" s="76"/>
      <c r="M6015" s="76"/>
      <c r="N6015" s="114"/>
    </row>
    <row r="6016">
      <c r="C6016" s="41"/>
      <c r="D6016" s="142"/>
      <c r="E6016" s="130"/>
      <c r="F6016" s="128"/>
      <c r="G6016" s="128"/>
      <c r="H6016" s="128"/>
      <c r="I6016" s="128"/>
      <c r="J6016" s="81"/>
      <c r="K6016" s="81"/>
      <c r="L6016" s="81"/>
      <c r="M6016" s="81"/>
      <c r="N6016" s="82"/>
    </row>
    <row r="6017">
      <c r="C6017" s="41"/>
      <c r="D6017" s="141"/>
      <c r="E6017" s="118"/>
      <c r="F6017" s="126"/>
      <c r="G6017" s="126"/>
      <c r="H6017" s="126"/>
      <c r="I6017" s="126"/>
      <c r="J6017" s="76"/>
      <c r="K6017" s="76"/>
      <c r="L6017" s="76"/>
      <c r="M6017" s="76"/>
      <c r="N6017" s="114"/>
    </row>
    <row r="6018">
      <c r="C6018" s="41"/>
      <c r="D6018" s="142"/>
      <c r="E6018" s="130"/>
      <c r="F6018" s="128"/>
      <c r="G6018" s="128"/>
      <c r="H6018" s="128"/>
      <c r="I6018" s="128"/>
      <c r="J6018" s="81"/>
      <c r="K6018" s="81"/>
      <c r="L6018" s="81"/>
      <c r="M6018" s="81"/>
      <c r="N6018" s="82"/>
    </row>
    <row r="6019">
      <c r="C6019" s="41"/>
      <c r="D6019" s="141"/>
      <c r="E6019" s="118"/>
      <c r="F6019" s="126"/>
      <c r="G6019" s="126"/>
      <c r="H6019" s="126"/>
      <c r="I6019" s="126"/>
      <c r="J6019" s="76"/>
      <c r="K6019" s="76"/>
      <c r="L6019" s="76"/>
      <c r="M6019" s="76"/>
      <c r="N6019" s="114"/>
    </row>
    <row r="6020">
      <c r="C6020" s="41"/>
      <c r="D6020" s="142"/>
      <c r="E6020" s="130"/>
      <c r="F6020" s="128"/>
      <c r="G6020" s="128"/>
      <c r="H6020" s="128"/>
      <c r="I6020" s="128"/>
      <c r="J6020" s="81"/>
      <c r="K6020" s="81"/>
      <c r="L6020" s="81"/>
      <c r="M6020" s="81"/>
      <c r="N6020" s="82"/>
    </row>
    <row r="6021">
      <c r="C6021" s="41"/>
      <c r="D6021" s="141"/>
      <c r="E6021" s="118"/>
      <c r="F6021" s="126"/>
      <c r="G6021" s="126"/>
      <c r="H6021" s="126"/>
      <c r="I6021" s="126"/>
      <c r="J6021" s="76"/>
      <c r="K6021" s="76"/>
      <c r="L6021" s="76"/>
      <c r="M6021" s="76"/>
      <c r="N6021" s="114"/>
    </row>
    <row r="6022">
      <c r="C6022" s="41"/>
      <c r="D6022" s="142"/>
      <c r="E6022" s="130"/>
      <c r="F6022" s="128"/>
      <c r="G6022" s="128"/>
      <c r="H6022" s="128"/>
      <c r="I6022" s="128"/>
      <c r="J6022" s="81"/>
      <c r="K6022" s="81"/>
      <c r="L6022" s="81"/>
      <c r="M6022" s="81"/>
      <c r="N6022" s="82"/>
    </row>
    <row r="6023">
      <c r="C6023" s="41"/>
      <c r="D6023" s="141"/>
      <c r="E6023" s="118"/>
      <c r="F6023" s="126"/>
      <c r="G6023" s="126"/>
      <c r="H6023" s="126"/>
      <c r="I6023" s="126"/>
      <c r="J6023" s="76"/>
      <c r="K6023" s="76"/>
      <c r="L6023" s="76"/>
      <c r="M6023" s="76"/>
      <c r="N6023" s="114"/>
    </row>
    <row r="6024">
      <c r="C6024" s="41"/>
      <c r="D6024" s="142"/>
      <c r="E6024" s="130"/>
      <c r="F6024" s="128"/>
      <c r="G6024" s="128"/>
      <c r="H6024" s="128"/>
      <c r="I6024" s="128"/>
      <c r="J6024" s="81"/>
      <c r="K6024" s="81"/>
      <c r="L6024" s="81"/>
      <c r="M6024" s="81"/>
      <c r="N6024" s="82"/>
    </row>
    <row r="6025">
      <c r="C6025" s="41"/>
      <c r="D6025" s="141"/>
      <c r="E6025" s="118"/>
      <c r="F6025" s="126"/>
      <c r="G6025" s="126"/>
      <c r="H6025" s="126"/>
      <c r="I6025" s="126"/>
      <c r="J6025" s="76"/>
      <c r="K6025" s="76"/>
      <c r="L6025" s="76"/>
      <c r="M6025" s="76"/>
      <c r="N6025" s="114"/>
    </row>
    <row r="6026">
      <c r="C6026" s="41"/>
      <c r="D6026" s="142"/>
      <c r="E6026" s="130"/>
      <c r="F6026" s="128"/>
      <c r="G6026" s="128"/>
      <c r="H6026" s="128"/>
      <c r="I6026" s="128"/>
      <c r="J6026" s="81"/>
      <c r="K6026" s="81"/>
      <c r="L6026" s="81"/>
      <c r="M6026" s="81"/>
      <c r="N6026" s="82"/>
    </row>
    <row r="6027">
      <c r="C6027" s="41"/>
      <c r="D6027" s="141"/>
      <c r="E6027" s="118"/>
      <c r="F6027" s="126"/>
      <c r="G6027" s="126"/>
      <c r="H6027" s="126"/>
      <c r="I6027" s="126"/>
      <c r="J6027" s="76"/>
      <c r="K6027" s="76"/>
      <c r="L6027" s="76"/>
      <c r="M6027" s="76"/>
      <c r="N6027" s="114"/>
    </row>
    <row r="6028">
      <c r="C6028" s="41"/>
      <c r="D6028" s="142"/>
      <c r="E6028" s="130"/>
      <c r="F6028" s="128"/>
      <c r="G6028" s="128"/>
      <c r="H6028" s="128"/>
      <c r="I6028" s="128"/>
      <c r="J6028" s="81"/>
      <c r="K6028" s="81"/>
      <c r="L6028" s="81"/>
      <c r="M6028" s="81"/>
      <c r="N6028" s="82"/>
    </row>
    <row r="6029">
      <c r="C6029" s="41"/>
      <c r="D6029" s="141"/>
      <c r="E6029" s="118"/>
      <c r="F6029" s="126"/>
      <c r="G6029" s="126"/>
      <c r="H6029" s="126"/>
      <c r="I6029" s="126"/>
      <c r="J6029" s="76"/>
      <c r="K6029" s="76"/>
      <c r="L6029" s="76"/>
      <c r="M6029" s="76"/>
      <c r="N6029" s="114"/>
    </row>
    <row r="6030">
      <c r="C6030" s="41"/>
      <c r="D6030" s="142"/>
      <c r="E6030" s="130"/>
      <c r="F6030" s="128"/>
      <c r="G6030" s="128"/>
      <c r="H6030" s="128"/>
      <c r="I6030" s="128"/>
      <c r="J6030" s="81"/>
      <c r="K6030" s="81"/>
      <c r="L6030" s="81"/>
      <c r="M6030" s="81"/>
      <c r="N6030" s="82"/>
    </row>
    <row r="6031">
      <c r="C6031" s="41"/>
      <c r="D6031" s="141"/>
      <c r="E6031" s="118"/>
      <c r="F6031" s="126"/>
      <c r="G6031" s="126"/>
      <c r="H6031" s="126"/>
      <c r="I6031" s="126"/>
      <c r="J6031" s="76"/>
      <c r="K6031" s="76"/>
      <c r="L6031" s="76"/>
      <c r="M6031" s="76"/>
      <c r="N6031" s="114"/>
    </row>
    <row r="6032">
      <c r="C6032" s="41"/>
      <c r="D6032" s="142"/>
      <c r="E6032" s="130"/>
      <c r="F6032" s="128"/>
      <c r="G6032" s="128"/>
      <c r="H6032" s="128"/>
      <c r="I6032" s="128"/>
      <c r="J6032" s="81"/>
      <c r="K6032" s="81"/>
      <c r="L6032" s="81"/>
      <c r="M6032" s="81"/>
      <c r="N6032" s="82"/>
    </row>
    <row r="6033">
      <c r="C6033" s="41"/>
      <c r="D6033" s="141"/>
      <c r="E6033" s="118"/>
      <c r="F6033" s="126"/>
      <c r="G6033" s="126"/>
      <c r="H6033" s="126"/>
      <c r="I6033" s="126"/>
      <c r="J6033" s="76"/>
      <c r="K6033" s="76"/>
      <c r="L6033" s="76"/>
      <c r="M6033" s="76"/>
      <c r="N6033" s="114"/>
    </row>
    <row r="6034">
      <c r="C6034" s="41"/>
      <c r="D6034" s="142"/>
      <c r="E6034" s="130"/>
      <c r="F6034" s="128"/>
      <c r="G6034" s="128"/>
      <c r="H6034" s="128"/>
      <c r="I6034" s="128"/>
      <c r="J6034" s="81"/>
      <c r="K6034" s="81"/>
      <c r="L6034" s="81"/>
      <c r="M6034" s="81"/>
      <c r="N6034" s="82"/>
    </row>
    <row r="6035">
      <c r="C6035" s="41"/>
      <c r="D6035" s="141"/>
      <c r="E6035" s="118"/>
      <c r="F6035" s="126"/>
      <c r="G6035" s="126"/>
      <c r="H6035" s="126"/>
      <c r="I6035" s="126"/>
      <c r="J6035" s="76"/>
      <c r="K6035" s="76"/>
      <c r="L6035" s="76"/>
      <c r="M6035" s="76"/>
      <c r="N6035" s="114"/>
    </row>
    <row r="6036">
      <c r="C6036" s="41"/>
      <c r="D6036" s="142"/>
      <c r="E6036" s="130"/>
      <c r="F6036" s="128"/>
      <c r="G6036" s="128"/>
      <c r="H6036" s="128"/>
      <c r="I6036" s="128"/>
      <c r="J6036" s="81"/>
      <c r="K6036" s="81"/>
      <c r="L6036" s="81"/>
      <c r="M6036" s="81"/>
      <c r="N6036" s="82"/>
    </row>
    <row r="6037">
      <c r="C6037" s="41"/>
      <c r="D6037" s="141"/>
      <c r="E6037" s="118"/>
      <c r="F6037" s="126"/>
      <c r="G6037" s="126"/>
      <c r="H6037" s="126"/>
      <c r="I6037" s="126"/>
      <c r="J6037" s="76"/>
      <c r="K6037" s="76"/>
      <c r="L6037" s="76"/>
      <c r="M6037" s="76"/>
      <c r="N6037" s="114"/>
    </row>
    <row r="6038">
      <c r="C6038" s="41"/>
      <c r="D6038" s="142"/>
      <c r="E6038" s="130"/>
      <c r="F6038" s="128"/>
      <c r="G6038" s="128"/>
      <c r="H6038" s="128"/>
      <c r="I6038" s="128"/>
      <c r="J6038" s="81"/>
      <c r="K6038" s="81"/>
      <c r="L6038" s="81"/>
      <c r="M6038" s="81"/>
      <c r="N6038" s="82"/>
    </row>
    <row r="6039">
      <c r="C6039" s="41"/>
      <c r="D6039" s="141"/>
      <c r="E6039" s="118"/>
      <c r="F6039" s="126"/>
      <c r="G6039" s="126"/>
      <c r="H6039" s="126"/>
      <c r="I6039" s="126"/>
      <c r="J6039" s="76"/>
      <c r="K6039" s="76"/>
      <c r="L6039" s="76"/>
      <c r="M6039" s="76"/>
      <c r="N6039" s="114"/>
    </row>
    <row r="6040">
      <c r="C6040" s="41"/>
      <c r="D6040" s="142"/>
      <c r="E6040" s="130"/>
      <c r="F6040" s="128"/>
      <c r="G6040" s="128"/>
      <c r="H6040" s="128"/>
      <c r="I6040" s="128"/>
      <c r="J6040" s="81"/>
      <c r="K6040" s="81"/>
      <c r="L6040" s="81"/>
      <c r="M6040" s="81"/>
      <c r="N6040" s="82"/>
    </row>
    <row r="6041">
      <c r="C6041" s="41"/>
      <c r="D6041" s="141"/>
      <c r="E6041" s="118"/>
      <c r="F6041" s="126"/>
      <c r="G6041" s="126"/>
      <c r="H6041" s="126"/>
      <c r="I6041" s="126"/>
      <c r="J6041" s="76"/>
      <c r="K6041" s="76"/>
      <c r="L6041" s="76"/>
      <c r="M6041" s="76"/>
      <c r="N6041" s="114"/>
    </row>
    <row r="6042">
      <c r="C6042" s="41"/>
      <c r="D6042" s="142"/>
      <c r="E6042" s="130"/>
      <c r="F6042" s="128"/>
      <c r="G6042" s="128"/>
      <c r="H6042" s="128"/>
      <c r="I6042" s="128"/>
      <c r="J6042" s="81"/>
      <c r="K6042" s="81"/>
      <c r="L6042" s="81"/>
      <c r="M6042" s="81"/>
      <c r="N6042" s="82"/>
    </row>
    <row r="6043">
      <c r="C6043" s="41"/>
      <c r="D6043" s="141"/>
      <c r="E6043" s="118"/>
      <c r="F6043" s="126"/>
      <c r="G6043" s="126"/>
      <c r="H6043" s="126"/>
      <c r="I6043" s="126"/>
      <c r="J6043" s="76"/>
      <c r="K6043" s="76"/>
      <c r="L6043" s="76"/>
      <c r="M6043" s="76"/>
      <c r="N6043" s="114"/>
    </row>
    <row r="6044">
      <c r="C6044" s="41"/>
      <c r="D6044" s="142"/>
      <c r="E6044" s="130"/>
      <c r="F6044" s="128"/>
      <c r="G6044" s="128"/>
      <c r="H6044" s="128"/>
      <c r="I6044" s="128"/>
      <c r="J6044" s="81"/>
      <c r="K6044" s="81"/>
      <c r="L6044" s="81"/>
      <c r="M6044" s="81"/>
      <c r="N6044" s="82"/>
    </row>
    <row r="6045">
      <c r="C6045" s="41"/>
      <c r="D6045" s="141"/>
      <c r="E6045" s="118"/>
      <c r="F6045" s="126"/>
      <c r="G6045" s="126"/>
      <c r="H6045" s="126"/>
      <c r="I6045" s="126"/>
      <c r="J6045" s="76"/>
      <c r="K6045" s="76"/>
      <c r="L6045" s="76"/>
      <c r="M6045" s="76"/>
      <c r="N6045" s="114"/>
    </row>
    <row r="6046">
      <c r="C6046" s="41"/>
      <c r="D6046" s="142"/>
      <c r="E6046" s="130"/>
      <c r="F6046" s="128"/>
      <c r="G6046" s="128"/>
      <c r="H6046" s="128"/>
      <c r="I6046" s="128"/>
      <c r="J6046" s="81"/>
      <c r="K6046" s="81"/>
      <c r="L6046" s="81"/>
      <c r="M6046" s="81"/>
      <c r="N6046" s="82"/>
    </row>
    <row r="6047">
      <c r="C6047" s="41"/>
      <c r="D6047" s="141"/>
      <c r="E6047" s="118"/>
      <c r="F6047" s="126"/>
      <c r="G6047" s="126"/>
      <c r="H6047" s="126"/>
      <c r="I6047" s="126"/>
      <c r="J6047" s="76"/>
      <c r="K6047" s="76"/>
      <c r="L6047" s="76"/>
      <c r="M6047" s="76"/>
      <c r="N6047" s="114"/>
    </row>
    <row r="6048">
      <c r="C6048" s="41"/>
      <c r="D6048" s="142"/>
      <c r="E6048" s="130"/>
      <c r="F6048" s="128"/>
      <c r="G6048" s="128"/>
      <c r="H6048" s="128"/>
      <c r="I6048" s="128"/>
      <c r="J6048" s="81"/>
      <c r="K6048" s="81"/>
      <c r="L6048" s="81"/>
      <c r="M6048" s="81"/>
      <c r="N6048" s="82"/>
    </row>
    <row r="6049">
      <c r="C6049" s="41"/>
      <c r="D6049" s="141"/>
      <c r="E6049" s="118"/>
      <c r="F6049" s="126"/>
      <c r="G6049" s="126"/>
      <c r="H6049" s="126"/>
      <c r="I6049" s="126"/>
      <c r="J6049" s="76"/>
      <c r="K6049" s="76"/>
      <c r="L6049" s="76"/>
      <c r="M6049" s="76"/>
      <c r="N6049" s="114"/>
    </row>
    <row r="6050">
      <c r="C6050" s="41"/>
      <c r="D6050" s="142"/>
      <c r="E6050" s="130"/>
      <c r="F6050" s="128"/>
      <c r="G6050" s="128"/>
      <c r="H6050" s="128"/>
      <c r="I6050" s="128"/>
      <c r="J6050" s="81"/>
      <c r="K6050" s="81"/>
      <c r="L6050" s="81"/>
      <c r="M6050" s="81"/>
      <c r="N6050" s="82"/>
    </row>
    <row r="6051">
      <c r="C6051" s="41"/>
      <c r="D6051" s="141"/>
      <c r="E6051" s="118"/>
      <c r="F6051" s="126"/>
      <c r="G6051" s="126"/>
      <c r="H6051" s="126"/>
      <c r="I6051" s="126"/>
      <c r="J6051" s="76"/>
      <c r="K6051" s="76"/>
      <c r="L6051" s="76"/>
      <c r="M6051" s="76"/>
      <c r="N6051" s="114"/>
    </row>
    <row r="6052">
      <c r="C6052" s="41"/>
      <c r="D6052" s="142"/>
      <c r="E6052" s="130"/>
      <c r="F6052" s="128"/>
      <c r="G6052" s="128"/>
      <c r="H6052" s="128"/>
      <c r="I6052" s="128"/>
      <c r="J6052" s="81"/>
      <c r="K6052" s="81"/>
      <c r="L6052" s="81"/>
      <c r="M6052" s="81"/>
      <c r="N6052" s="82"/>
    </row>
    <row r="6053">
      <c r="C6053" s="41"/>
      <c r="D6053" s="141"/>
      <c r="E6053" s="118"/>
      <c r="F6053" s="126"/>
      <c r="G6053" s="126"/>
      <c r="H6053" s="126"/>
      <c r="I6053" s="126"/>
      <c r="J6053" s="76"/>
      <c r="K6053" s="76"/>
      <c r="L6053" s="76"/>
      <c r="M6053" s="76"/>
      <c r="N6053" s="114"/>
    </row>
    <row r="6054">
      <c r="C6054" s="41"/>
      <c r="D6054" s="142"/>
      <c r="E6054" s="130"/>
      <c r="F6054" s="128"/>
      <c r="G6054" s="128"/>
      <c r="H6054" s="128"/>
      <c r="I6054" s="128"/>
      <c r="J6054" s="81"/>
      <c r="K6054" s="81"/>
      <c r="L6054" s="81"/>
      <c r="M6054" s="81"/>
      <c r="N6054" s="82"/>
    </row>
    <row r="6055">
      <c r="C6055" s="41"/>
      <c r="D6055" s="141"/>
      <c r="E6055" s="118"/>
      <c r="F6055" s="126"/>
      <c r="G6055" s="126"/>
      <c r="H6055" s="126"/>
      <c r="I6055" s="126"/>
      <c r="J6055" s="76"/>
      <c r="K6055" s="76"/>
      <c r="L6055" s="76"/>
      <c r="M6055" s="76"/>
      <c r="N6055" s="114"/>
    </row>
    <row r="6056">
      <c r="C6056" s="41"/>
      <c r="D6056" s="142"/>
      <c r="E6056" s="130"/>
      <c r="F6056" s="128"/>
      <c r="G6056" s="128"/>
      <c r="H6056" s="128"/>
      <c r="I6056" s="128"/>
      <c r="J6056" s="81"/>
      <c r="K6056" s="81"/>
      <c r="L6056" s="81"/>
      <c r="M6056" s="81"/>
      <c r="N6056" s="82"/>
    </row>
    <row r="6057">
      <c r="C6057" s="41"/>
      <c r="D6057" s="141"/>
      <c r="E6057" s="118"/>
      <c r="F6057" s="126"/>
      <c r="G6057" s="126"/>
      <c r="H6057" s="126"/>
      <c r="I6057" s="126"/>
      <c r="J6057" s="76"/>
      <c r="K6057" s="76"/>
      <c r="L6057" s="76"/>
      <c r="M6057" s="76"/>
      <c r="N6057" s="114"/>
    </row>
    <row r="6058">
      <c r="C6058" s="41"/>
      <c r="D6058" s="142"/>
      <c r="E6058" s="130"/>
      <c r="F6058" s="128"/>
      <c r="G6058" s="128"/>
      <c r="H6058" s="128"/>
      <c r="I6058" s="128"/>
      <c r="J6058" s="81"/>
      <c r="K6058" s="81"/>
      <c r="L6058" s="81"/>
      <c r="M6058" s="81"/>
      <c r="N6058" s="82"/>
    </row>
    <row r="6059">
      <c r="C6059" s="41"/>
      <c r="D6059" s="141"/>
      <c r="E6059" s="118"/>
      <c r="F6059" s="126"/>
      <c r="G6059" s="126"/>
      <c r="H6059" s="126"/>
      <c r="I6059" s="126"/>
      <c r="J6059" s="76"/>
      <c r="K6059" s="76"/>
      <c r="L6059" s="76"/>
      <c r="M6059" s="76"/>
      <c r="N6059" s="114"/>
    </row>
    <row r="6060">
      <c r="C6060" s="41"/>
      <c r="D6060" s="142"/>
      <c r="E6060" s="130"/>
      <c r="F6060" s="128"/>
      <c r="G6060" s="128"/>
      <c r="H6060" s="128"/>
      <c r="I6060" s="128"/>
      <c r="J6060" s="81"/>
      <c r="K6060" s="81"/>
      <c r="L6060" s="81"/>
      <c r="M6060" s="81"/>
      <c r="N6060" s="82"/>
    </row>
    <row r="6061">
      <c r="C6061" s="41"/>
      <c r="D6061" s="141"/>
      <c r="E6061" s="118"/>
      <c r="F6061" s="126"/>
      <c r="G6061" s="126"/>
      <c r="H6061" s="126"/>
      <c r="I6061" s="126"/>
      <c r="J6061" s="76"/>
      <c r="K6061" s="76"/>
      <c r="L6061" s="76"/>
      <c r="M6061" s="76"/>
      <c r="N6061" s="114"/>
    </row>
    <row r="6062">
      <c r="C6062" s="41"/>
      <c r="D6062" s="142"/>
      <c r="E6062" s="130"/>
      <c r="F6062" s="128"/>
      <c r="G6062" s="128"/>
      <c r="H6062" s="128"/>
      <c r="I6062" s="128"/>
      <c r="J6062" s="81"/>
      <c r="K6062" s="81"/>
      <c r="L6062" s="81"/>
      <c r="M6062" s="81"/>
      <c r="N6062" s="82"/>
    </row>
    <row r="6063">
      <c r="C6063" s="41"/>
      <c r="D6063" s="141"/>
      <c r="E6063" s="118"/>
      <c r="F6063" s="126"/>
      <c r="G6063" s="126"/>
      <c r="H6063" s="126"/>
      <c r="I6063" s="126"/>
      <c r="J6063" s="76"/>
      <c r="K6063" s="76"/>
      <c r="L6063" s="76"/>
      <c r="M6063" s="76"/>
      <c r="N6063" s="114"/>
    </row>
    <row r="6064">
      <c r="C6064" s="41"/>
      <c r="D6064" s="142"/>
      <c r="E6064" s="130"/>
      <c r="F6064" s="128"/>
      <c r="G6064" s="128"/>
      <c r="H6064" s="128"/>
      <c r="I6064" s="128"/>
      <c r="J6064" s="81"/>
      <c r="K6064" s="81"/>
      <c r="L6064" s="81"/>
      <c r="M6064" s="81"/>
      <c r="N6064" s="82"/>
    </row>
    <row r="6065">
      <c r="C6065" s="41"/>
      <c r="D6065" s="141"/>
      <c r="E6065" s="118"/>
      <c r="F6065" s="126"/>
      <c r="G6065" s="126"/>
      <c r="H6065" s="126"/>
      <c r="I6065" s="126"/>
      <c r="J6065" s="76"/>
      <c r="K6065" s="76"/>
      <c r="L6065" s="76"/>
      <c r="M6065" s="76"/>
      <c r="N6065" s="114"/>
    </row>
    <row r="6066">
      <c r="C6066" s="41"/>
      <c r="D6066" s="142"/>
      <c r="E6066" s="130"/>
      <c r="F6066" s="128"/>
      <c r="G6066" s="128"/>
      <c r="H6066" s="128"/>
      <c r="I6066" s="128"/>
      <c r="J6066" s="81"/>
      <c r="K6066" s="81"/>
      <c r="L6066" s="81"/>
      <c r="M6066" s="81"/>
      <c r="N6066" s="82"/>
    </row>
    <row r="6067">
      <c r="C6067" s="41"/>
      <c r="D6067" s="141"/>
      <c r="E6067" s="118"/>
      <c r="F6067" s="126"/>
      <c r="G6067" s="126"/>
      <c r="H6067" s="126"/>
      <c r="I6067" s="126"/>
      <c r="J6067" s="76"/>
      <c r="K6067" s="76"/>
      <c r="L6067" s="76"/>
      <c r="M6067" s="76"/>
      <c r="N6067" s="114"/>
    </row>
    <row r="6068">
      <c r="C6068" s="41"/>
      <c r="D6068" s="142"/>
      <c r="E6068" s="130"/>
      <c r="F6068" s="128"/>
      <c r="G6068" s="128"/>
      <c r="H6068" s="128"/>
      <c r="I6068" s="128"/>
      <c r="J6068" s="81"/>
      <c r="K6068" s="81"/>
      <c r="L6068" s="81"/>
      <c r="M6068" s="81"/>
      <c r="N6068" s="82"/>
    </row>
    <row r="6069">
      <c r="C6069" s="41"/>
      <c r="D6069" s="141"/>
      <c r="E6069" s="118"/>
      <c r="F6069" s="126"/>
      <c r="G6069" s="126"/>
      <c r="H6069" s="126"/>
      <c r="I6069" s="126"/>
      <c r="J6069" s="76"/>
      <c r="K6069" s="76"/>
      <c r="L6069" s="76"/>
      <c r="M6069" s="76"/>
      <c r="N6069" s="114"/>
    </row>
    <row r="6070">
      <c r="C6070" s="41"/>
      <c r="D6070" s="142"/>
      <c r="E6070" s="130"/>
      <c r="F6070" s="128"/>
      <c r="G6070" s="128"/>
      <c r="H6070" s="128"/>
      <c r="I6070" s="128"/>
      <c r="J6070" s="81"/>
      <c r="K6070" s="81"/>
      <c r="L6070" s="81"/>
      <c r="M6070" s="81"/>
      <c r="N6070" s="82"/>
    </row>
    <row r="6071">
      <c r="C6071" s="41"/>
      <c r="D6071" s="141"/>
      <c r="E6071" s="118"/>
      <c r="F6071" s="126"/>
      <c r="G6071" s="126"/>
      <c r="H6071" s="126"/>
      <c r="I6071" s="126"/>
      <c r="J6071" s="76"/>
      <c r="K6071" s="76"/>
      <c r="L6071" s="76"/>
      <c r="M6071" s="76"/>
      <c r="N6071" s="114"/>
    </row>
    <row r="6072">
      <c r="C6072" s="41"/>
      <c r="D6072" s="142"/>
      <c r="E6072" s="130"/>
      <c r="F6072" s="128"/>
      <c r="G6072" s="128"/>
      <c r="H6072" s="128"/>
      <c r="I6072" s="128"/>
      <c r="J6072" s="81"/>
      <c r="K6072" s="81"/>
      <c r="L6072" s="81"/>
      <c r="M6072" s="81"/>
      <c r="N6072" s="82"/>
    </row>
    <row r="6073">
      <c r="C6073" s="41"/>
      <c r="D6073" s="141"/>
      <c r="E6073" s="118"/>
      <c r="F6073" s="126"/>
      <c r="G6073" s="126"/>
      <c r="H6073" s="126"/>
      <c r="I6073" s="126"/>
      <c r="J6073" s="76"/>
      <c r="K6073" s="76"/>
      <c r="L6073" s="76"/>
      <c r="M6073" s="76"/>
      <c r="N6073" s="114"/>
    </row>
    <row r="6074">
      <c r="C6074" s="41"/>
      <c r="D6074" s="142"/>
      <c r="E6074" s="130"/>
      <c r="F6074" s="128"/>
      <c r="G6074" s="128"/>
      <c r="H6074" s="128"/>
      <c r="I6074" s="128"/>
      <c r="J6074" s="81"/>
      <c r="K6074" s="81"/>
      <c r="L6074" s="81"/>
      <c r="M6074" s="81"/>
      <c r="N6074" s="82"/>
    </row>
    <row r="6075">
      <c r="C6075" s="41"/>
      <c r="D6075" s="141"/>
      <c r="E6075" s="118"/>
      <c r="F6075" s="126"/>
      <c r="G6075" s="126"/>
      <c r="H6075" s="126"/>
      <c r="I6075" s="126"/>
      <c r="J6075" s="76"/>
      <c r="K6075" s="76"/>
      <c r="L6075" s="76"/>
      <c r="M6075" s="76"/>
      <c r="N6075" s="114"/>
    </row>
    <row r="6076">
      <c r="C6076" s="41"/>
      <c r="D6076" s="142"/>
      <c r="E6076" s="130"/>
      <c r="F6076" s="128"/>
      <c r="G6076" s="128"/>
      <c r="H6076" s="128"/>
      <c r="I6076" s="128"/>
      <c r="J6076" s="81"/>
      <c r="K6076" s="81"/>
      <c r="L6076" s="81"/>
      <c r="M6076" s="81"/>
      <c r="N6076" s="82"/>
    </row>
    <row r="6077">
      <c r="C6077" s="41"/>
      <c r="D6077" s="141"/>
      <c r="E6077" s="118"/>
      <c r="F6077" s="126"/>
      <c r="G6077" s="126"/>
      <c r="H6077" s="126"/>
      <c r="I6077" s="126"/>
      <c r="J6077" s="76"/>
      <c r="K6077" s="76"/>
      <c r="L6077" s="76"/>
      <c r="M6077" s="76"/>
      <c r="N6077" s="114"/>
    </row>
    <row r="6078">
      <c r="C6078" s="41"/>
      <c r="D6078" s="142"/>
      <c r="E6078" s="130"/>
      <c r="F6078" s="128"/>
      <c r="G6078" s="128"/>
      <c r="H6078" s="128"/>
      <c r="I6078" s="128"/>
      <c r="J6078" s="81"/>
      <c r="K6078" s="81"/>
      <c r="L6078" s="81"/>
      <c r="M6078" s="81"/>
      <c r="N6078" s="82"/>
    </row>
    <row r="6079">
      <c r="C6079" s="41"/>
      <c r="D6079" s="141"/>
      <c r="E6079" s="118"/>
      <c r="F6079" s="126"/>
      <c r="G6079" s="126"/>
      <c r="H6079" s="126"/>
      <c r="I6079" s="126"/>
      <c r="J6079" s="76"/>
      <c r="K6079" s="76"/>
      <c r="L6079" s="76"/>
      <c r="M6079" s="76"/>
      <c r="N6079" s="114"/>
    </row>
    <row r="6080">
      <c r="C6080" s="41"/>
      <c r="D6080" s="142"/>
      <c r="E6080" s="130"/>
      <c r="F6080" s="128"/>
      <c r="G6080" s="128"/>
      <c r="H6080" s="128"/>
      <c r="I6080" s="128"/>
      <c r="J6080" s="81"/>
      <c r="K6080" s="81"/>
      <c r="L6080" s="81"/>
      <c r="M6080" s="81"/>
      <c r="N6080" s="82"/>
    </row>
    <row r="6081">
      <c r="C6081" s="41"/>
      <c r="D6081" s="141"/>
      <c r="E6081" s="118"/>
      <c r="F6081" s="126"/>
      <c r="G6081" s="126"/>
      <c r="H6081" s="126"/>
      <c r="I6081" s="126"/>
      <c r="J6081" s="76"/>
      <c r="K6081" s="76"/>
      <c r="L6081" s="76"/>
      <c r="M6081" s="76"/>
      <c r="N6081" s="114"/>
    </row>
    <row r="6082">
      <c r="C6082" s="41"/>
      <c r="D6082" s="142"/>
      <c r="E6082" s="130"/>
      <c r="F6082" s="128"/>
      <c r="G6082" s="128"/>
      <c r="H6082" s="128"/>
      <c r="I6082" s="128"/>
      <c r="J6082" s="81"/>
      <c r="K6082" s="81"/>
      <c r="L6082" s="81"/>
      <c r="M6082" s="81"/>
      <c r="N6082" s="82"/>
    </row>
    <row r="6083">
      <c r="C6083" s="41"/>
      <c r="D6083" s="141"/>
      <c r="E6083" s="118"/>
      <c r="F6083" s="126"/>
      <c r="G6083" s="126"/>
      <c r="H6083" s="126"/>
      <c r="I6083" s="126"/>
      <c r="J6083" s="76"/>
      <c r="K6083" s="76"/>
      <c r="L6083" s="76"/>
      <c r="M6083" s="76"/>
      <c r="N6083" s="114"/>
    </row>
    <row r="6084">
      <c r="C6084" s="41"/>
      <c r="D6084" s="142"/>
      <c r="E6084" s="130"/>
      <c r="F6084" s="128"/>
      <c r="G6084" s="128"/>
      <c r="H6084" s="128"/>
      <c r="I6084" s="128"/>
      <c r="J6084" s="81"/>
      <c r="K6084" s="81"/>
      <c r="L6084" s="81"/>
      <c r="M6084" s="81"/>
      <c r="N6084" s="82"/>
    </row>
    <row r="6085">
      <c r="C6085" s="41"/>
      <c r="D6085" s="141"/>
      <c r="E6085" s="118"/>
      <c r="F6085" s="126"/>
      <c r="G6085" s="126"/>
      <c r="H6085" s="126"/>
      <c r="I6085" s="126"/>
      <c r="J6085" s="76"/>
      <c r="K6085" s="76"/>
      <c r="L6085" s="76"/>
      <c r="M6085" s="76"/>
      <c r="N6085" s="114"/>
    </row>
    <row r="6086">
      <c r="C6086" s="41"/>
      <c r="D6086" s="142"/>
      <c r="E6086" s="130"/>
      <c r="F6086" s="128"/>
      <c r="G6086" s="128"/>
      <c r="H6086" s="128"/>
      <c r="I6086" s="128"/>
      <c r="J6086" s="81"/>
      <c r="K6086" s="81"/>
      <c r="L6086" s="81"/>
      <c r="M6086" s="81"/>
      <c r="N6086" s="82"/>
    </row>
    <row r="6087">
      <c r="C6087" s="41"/>
      <c r="D6087" s="141"/>
      <c r="E6087" s="118"/>
      <c r="F6087" s="126"/>
      <c r="G6087" s="126"/>
      <c r="H6087" s="126"/>
      <c r="I6087" s="126"/>
      <c r="J6087" s="76"/>
      <c r="K6087" s="76"/>
      <c r="L6087" s="76"/>
      <c r="M6087" s="76"/>
      <c r="N6087" s="114"/>
    </row>
    <row r="6088">
      <c r="C6088" s="41"/>
      <c r="D6088" s="142"/>
      <c r="E6088" s="130"/>
      <c r="F6088" s="128"/>
      <c r="G6088" s="128"/>
      <c r="H6088" s="128"/>
      <c r="I6088" s="128"/>
      <c r="J6088" s="81"/>
      <c r="K6088" s="81"/>
      <c r="L6088" s="81"/>
      <c r="M6088" s="81"/>
      <c r="N6088" s="82"/>
    </row>
    <row r="6089">
      <c r="C6089" s="41"/>
      <c r="D6089" s="141"/>
      <c r="E6089" s="118"/>
      <c r="F6089" s="126"/>
      <c r="G6089" s="126"/>
      <c r="H6089" s="126"/>
      <c r="I6089" s="126"/>
      <c r="J6089" s="76"/>
      <c r="K6089" s="76"/>
      <c r="L6089" s="76"/>
      <c r="M6089" s="76"/>
      <c r="N6089" s="114"/>
    </row>
    <row r="6090">
      <c r="C6090" s="41"/>
      <c r="D6090" s="142"/>
      <c r="E6090" s="130"/>
      <c r="F6090" s="128"/>
      <c r="G6090" s="128"/>
      <c r="H6090" s="128"/>
      <c r="I6090" s="128"/>
      <c r="J6090" s="81"/>
      <c r="K6090" s="81"/>
      <c r="L6090" s="81"/>
      <c r="M6090" s="81"/>
      <c r="N6090" s="82"/>
    </row>
    <row r="6091">
      <c r="C6091" s="41"/>
      <c r="D6091" s="141"/>
      <c r="E6091" s="118"/>
      <c r="F6091" s="126"/>
      <c r="G6091" s="126"/>
      <c r="H6091" s="126"/>
      <c r="I6091" s="126"/>
      <c r="J6091" s="76"/>
      <c r="K6091" s="76"/>
      <c r="L6091" s="76"/>
      <c r="M6091" s="76"/>
      <c r="N6091" s="114"/>
    </row>
    <row r="6092">
      <c r="C6092" s="41"/>
      <c r="D6092" s="142"/>
      <c r="E6092" s="130"/>
      <c r="F6092" s="128"/>
      <c r="G6092" s="128"/>
      <c r="H6092" s="128"/>
      <c r="I6092" s="128"/>
      <c r="J6092" s="81"/>
      <c r="K6092" s="81"/>
      <c r="L6092" s="81"/>
      <c r="M6092" s="81"/>
      <c r="N6092" s="82"/>
    </row>
    <row r="6093">
      <c r="C6093" s="41"/>
      <c r="D6093" s="141"/>
      <c r="E6093" s="118"/>
      <c r="F6093" s="126"/>
      <c r="G6093" s="126"/>
      <c r="H6093" s="126"/>
      <c r="I6093" s="126"/>
      <c r="J6093" s="76"/>
      <c r="K6093" s="76"/>
      <c r="L6093" s="76"/>
      <c r="M6093" s="76"/>
      <c r="N6093" s="114"/>
    </row>
    <row r="6094">
      <c r="C6094" s="41"/>
      <c r="D6094" s="142"/>
      <c r="E6094" s="130"/>
      <c r="F6094" s="128"/>
      <c r="G6094" s="128"/>
      <c r="H6094" s="128"/>
      <c r="I6094" s="128"/>
      <c r="J6094" s="81"/>
      <c r="K6094" s="81"/>
      <c r="L6094" s="81"/>
      <c r="M6094" s="81"/>
      <c r="N6094" s="82"/>
    </row>
    <row r="6095">
      <c r="C6095" s="41"/>
      <c r="D6095" s="141"/>
      <c r="E6095" s="118"/>
      <c r="F6095" s="126"/>
      <c r="G6095" s="126"/>
      <c r="H6095" s="126"/>
      <c r="I6095" s="126"/>
      <c r="J6095" s="76"/>
      <c r="K6095" s="76"/>
      <c r="L6095" s="76"/>
      <c r="M6095" s="76"/>
      <c r="N6095" s="114"/>
    </row>
    <row r="6096">
      <c r="C6096" s="41"/>
      <c r="D6096" s="142"/>
      <c r="E6096" s="130"/>
      <c r="F6096" s="128"/>
      <c r="G6096" s="128"/>
      <c r="H6096" s="128"/>
      <c r="I6096" s="128"/>
      <c r="J6096" s="81"/>
      <c r="K6096" s="81"/>
      <c r="L6096" s="81"/>
      <c r="M6096" s="81"/>
      <c r="N6096" s="82"/>
    </row>
    <row r="6097">
      <c r="C6097" s="41"/>
      <c r="D6097" s="141"/>
      <c r="E6097" s="118"/>
      <c r="F6097" s="126"/>
      <c r="G6097" s="126"/>
      <c r="H6097" s="126"/>
      <c r="I6097" s="126"/>
      <c r="J6097" s="76"/>
      <c r="K6097" s="76"/>
      <c r="L6097" s="76"/>
      <c r="M6097" s="76"/>
      <c r="N6097" s="114"/>
    </row>
    <row r="6098">
      <c r="C6098" s="41"/>
      <c r="D6098" s="142"/>
      <c r="E6098" s="130"/>
      <c r="F6098" s="128"/>
      <c r="G6098" s="128"/>
      <c r="H6098" s="128"/>
      <c r="I6098" s="128"/>
      <c r="J6098" s="81"/>
      <c r="K6098" s="81"/>
      <c r="L6098" s="81"/>
      <c r="M6098" s="81"/>
      <c r="N6098" s="82"/>
    </row>
    <row r="6099">
      <c r="C6099" s="41"/>
      <c r="D6099" s="141"/>
      <c r="E6099" s="118"/>
      <c r="F6099" s="126"/>
      <c r="G6099" s="126"/>
      <c r="H6099" s="126"/>
      <c r="I6099" s="126"/>
      <c r="J6099" s="76"/>
      <c r="K6099" s="76"/>
      <c r="L6099" s="76"/>
      <c r="M6099" s="76"/>
      <c r="N6099" s="114"/>
    </row>
    <row r="6100">
      <c r="C6100" s="41"/>
      <c r="D6100" s="142"/>
      <c r="E6100" s="130"/>
      <c r="F6100" s="128"/>
      <c r="G6100" s="128"/>
      <c r="H6100" s="128"/>
      <c r="I6100" s="128"/>
      <c r="J6100" s="81"/>
      <c r="K6100" s="81"/>
      <c r="L6100" s="81"/>
      <c r="M6100" s="81"/>
      <c r="N6100" s="82"/>
    </row>
    <row r="6101">
      <c r="C6101" s="41"/>
      <c r="D6101" s="141"/>
      <c r="E6101" s="118"/>
      <c r="F6101" s="126"/>
      <c r="G6101" s="126"/>
      <c r="H6101" s="126"/>
      <c r="I6101" s="126"/>
      <c r="J6101" s="76"/>
      <c r="K6101" s="76"/>
      <c r="L6101" s="76"/>
      <c r="M6101" s="76"/>
      <c r="N6101" s="114"/>
    </row>
    <row r="6102">
      <c r="C6102" s="41"/>
      <c r="D6102" s="142"/>
      <c r="E6102" s="130"/>
      <c r="F6102" s="128"/>
      <c r="G6102" s="128"/>
      <c r="H6102" s="128"/>
      <c r="I6102" s="128"/>
      <c r="J6102" s="81"/>
      <c r="K6102" s="81"/>
      <c r="L6102" s="81"/>
      <c r="M6102" s="81"/>
      <c r="N6102" s="82"/>
    </row>
    <row r="6103">
      <c r="C6103" s="41"/>
      <c r="D6103" s="141"/>
      <c r="E6103" s="118"/>
      <c r="F6103" s="126"/>
      <c r="G6103" s="126"/>
      <c r="H6103" s="126"/>
      <c r="I6103" s="126"/>
      <c r="J6103" s="76"/>
      <c r="K6103" s="76"/>
      <c r="L6103" s="76"/>
      <c r="M6103" s="76"/>
      <c r="N6103" s="114"/>
    </row>
    <row r="6104">
      <c r="C6104" s="41"/>
      <c r="D6104" s="142"/>
      <c r="E6104" s="130"/>
      <c r="F6104" s="128"/>
      <c r="G6104" s="128"/>
      <c r="H6104" s="128"/>
      <c r="I6104" s="128"/>
      <c r="J6104" s="81"/>
      <c r="K6104" s="81"/>
      <c r="L6104" s="81"/>
      <c r="M6104" s="81"/>
      <c r="N6104" s="82"/>
    </row>
    <row r="6105">
      <c r="C6105" s="41"/>
      <c r="D6105" s="141"/>
      <c r="E6105" s="118"/>
      <c r="F6105" s="126"/>
      <c r="G6105" s="126"/>
      <c r="H6105" s="126"/>
      <c r="I6105" s="126"/>
      <c r="J6105" s="76"/>
      <c r="K6105" s="76"/>
      <c r="L6105" s="76"/>
      <c r="M6105" s="76"/>
      <c r="N6105" s="114"/>
    </row>
    <row r="6106">
      <c r="C6106" s="41"/>
      <c r="D6106" s="142"/>
      <c r="E6106" s="130"/>
      <c r="F6106" s="128"/>
      <c r="G6106" s="128"/>
      <c r="H6106" s="128"/>
      <c r="I6106" s="128"/>
      <c r="J6106" s="81"/>
      <c r="K6106" s="81"/>
      <c r="L6106" s="81"/>
      <c r="M6106" s="81"/>
      <c r="N6106" s="82"/>
    </row>
    <row r="6107">
      <c r="C6107" s="41"/>
      <c r="D6107" s="141"/>
      <c r="E6107" s="118"/>
      <c r="F6107" s="126"/>
      <c r="G6107" s="126"/>
      <c r="H6107" s="126"/>
      <c r="I6107" s="126"/>
      <c r="J6107" s="76"/>
      <c r="K6107" s="76"/>
      <c r="L6107" s="76"/>
      <c r="M6107" s="76"/>
      <c r="N6107" s="114"/>
    </row>
    <row r="6108">
      <c r="C6108" s="41"/>
      <c r="D6108" s="142"/>
      <c r="E6108" s="130"/>
      <c r="F6108" s="128"/>
      <c r="G6108" s="128"/>
      <c r="H6108" s="128"/>
      <c r="I6108" s="128"/>
      <c r="J6108" s="81"/>
      <c r="K6108" s="81"/>
      <c r="L6108" s="81"/>
      <c r="M6108" s="81"/>
      <c r="N6108" s="82"/>
    </row>
    <row r="6109">
      <c r="C6109" s="41"/>
      <c r="D6109" s="141"/>
      <c r="E6109" s="118"/>
      <c r="F6109" s="126"/>
      <c r="G6109" s="126"/>
      <c r="H6109" s="126"/>
      <c r="I6109" s="126"/>
      <c r="J6109" s="76"/>
      <c r="K6109" s="76"/>
      <c r="L6109" s="76"/>
      <c r="M6109" s="76"/>
      <c r="N6109" s="114"/>
    </row>
    <row r="6110">
      <c r="C6110" s="41"/>
      <c r="D6110" s="142"/>
      <c r="E6110" s="130"/>
      <c r="F6110" s="128"/>
      <c r="G6110" s="128"/>
      <c r="H6110" s="128"/>
      <c r="I6110" s="128"/>
      <c r="J6110" s="81"/>
      <c r="K6110" s="81"/>
      <c r="L6110" s="81"/>
      <c r="M6110" s="81"/>
      <c r="N6110" s="82"/>
    </row>
    <row r="6111">
      <c r="C6111" s="41"/>
      <c r="D6111" s="141"/>
      <c r="E6111" s="118"/>
      <c r="F6111" s="126"/>
      <c r="G6111" s="126"/>
      <c r="H6111" s="126"/>
      <c r="I6111" s="126"/>
      <c r="J6111" s="76"/>
      <c r="K6111" s="76"/>
      <c r="L6111" s="76"/>
      <c r="M6111" s="76"/>
      <c r="N6111" s="114"/>
    </row>
    <row r="6112">
      <c r="C6112" s="41"/>
      <c r="D6112" s="142"/>
      <c r="E6112" s="130"/>
      <c r="F6112" s="128"/>
      <c r="G6112" s="128"/>
      <c r="H6112" s="128"/>
      <c r="I6112" s="128"/>
      <c r="J6112" s="81"/>
      <c r="K6112" s="81"/>
      <c r="L6112" s="81"/>
      <c r="M6112" s="81"/>
      <c r="N6112" s="82"/>
    </row>
    <row r="6113">
      <c r="C6113" s="41"/>
      <c r="D6113" s="141"/>
      <c r="E6113" s="118"/>
      <c r="F6113" s="126"/>
      <c r="G6113" s="126"/>
      <c r="H6113" s="126"/>
      <c r="I6113" s="126"/>
      <c r="J6113" s="76"/>
      <c r="K6113" s="76"/>
      <c r="L6113" s="76"/>
      <c r="M6113" s="76"/>
      <c r="N6113" s="114"/>
    </row>
    <row r="6114">
      <c r="C6114" s="41"/>
      <c r="D6114" s="142"/>
      <c r="E6114" s="130"/>
      <c r="F6114" s="128"/>
      <c r="G6114" s="128"/>
      <c r="H6114" s="128"/>
      <c r="I6114" s="128"/>
      <c r="J6114" s="81"/>
      <c r="K6114" s="81"/>
      <c r="L6114" s="81"/>
      <c r="M6114" s="81"/>
      <c r="N6114" s="82"/>
    </row>
    <row r="6115">
      <c r="C6115" s="41"/>
      <c r="D6115" s="141"/>
      <c r="E6115" s="118"/>
      <c r="F6115" s="126"/>
      <c r="G6115" s="126"/>
      <c r="H6115" s="126"/>
      <c r="I6115" s="126"/>
      <c r="J6115" s="76"/>
      <c r="K6115" s="76"/>
      <c r="L6115" s="76"/>
      <c r="M6115" s="76"/>
      <c r="N6115" s="114"/>
    </row>
    <row r="6116">
      <c r="C6116" s="41"/>
      <c r="D6116" s="142"/>
      <c r="E6116" s="130"/>
      <c r="F6116" s="128"/>
      <c r="G6116" s="128"/>
      <c r="H6116" s="128"/>
      <c r="I6116" s="128"/>
      <c r="J6116" s="81"/>
      <c r="K6116" s="81"/>
      <c r="L6116" s="81"/>
      <c r="M6116" s="81"/>
      <c r="N6116" s="82"/>
    </row>
    <row r="6117">
      <c r="C6117" s="41"/>
      <c r="D6117" s="141"/>
      <c r="E6117" s="118"/>
      <c r="F6117" s="126"/>
      <c r="G6117" s="126"/>
      <c r="H6117" s="126"/>
      <c r="I6117" s="126"/>
      <c r="J6117" s="76"/>
      <c r="K6117" s="76"/>
      <c r="L6117" s="76"/>
      <c r="M6117" s="76"/>
      <c r="N6117" s="114"/>
    </row>
    <row r="6118">
      <c r="C6118" s="41"/>
      <c r="D6118" s="142"/>
      <c r="E6118" s="130"/>
      <c r="F6118" s="128"/>
      <c r="G6118" s="128"/>
      <c r="H6118" s="128"/>
      <c r="I6118" s="128"/>
      <c r="J6118" s="81"/>
      <c r="K6118" s="81"/>
      <c r="L6118" s="81"/>
      <c r="M6118" s="81"/>
      <c r="N6118" s="82"/>
    </row>
    <row r="6119">
      <c r="C6119" s="41"/>
      <c r="D6119" s="141"/>
      <c r="E6119" s="118"/>
      <c r="F6119" s="126"/>
      <c r="G6119" s="126"/>
      <c r="H6119" s="126"/>
      <c r="I6119" s="126"/>
      <c r="J6119" s="76"/>
      <c r="K6119" s="76"/>
      <c r="L6119" s="76"/>
      <c r="M6119" s="76"/>
      <c r="N6119" s="114"/>
    </row>
    <row r="6120">
      <c r="C6120" s="41"/>
      <c r="D6120" s="142"/>
      <c r="E6120" s="130"/>
      <c r="F6120" s="128"/>
      <c r="G6120" s="128"/>
      <c r="H6120" s="128"/>
      <c r="I6120" s="128"/>
      <c r="J6120" s="81"/>
      <c r="K6120" s="81"/>
      <c r="L6120" s="81"/>
      <c r="M6120" s="81"/>
      <c r="N6120" s="82"/>
    </row>
    <row r="6121">
      <c r="C6121" s="41"/>
      <c r="D6121" s="141"/>
      <c r="E6121" s="118"/>
      <c r="F6121" s="126"/>
      <c r="G6121" s="126"/>
      <c r="H6121" s="126"/>
      <c r="I6121" s="126"/>
      <c r="J6121" s="76"/>
      <c r="K6121" s="76"/>
      <c r="L6121" s="76"/>
      <c r="M6121" s="76"/>
      <c r="N6121" s="114"/>
    </row>
    <row r="6122">
      <c r="C6122" s="41"/>
      <c r="D6122" s="142"/>
      <c r="E6122" s="130"/>
      <c r="F6122" s="128"/>
      <c r="G6122" s="128"/>
      <c r="H6122" s="128"/>
      <c r="I6122" s="128"/>
      <c r="J6122" s="81"/>
      <c r="K6122" s="81"/>
      <c r="L6122" s="81"/>
      <c r="M6122" s="81"/>
      <c r="N6122" s="82"/>
    </row>
    <row r="6123">
      <c r="C6123" s="41"/>
      <c r="D6123" s="141"/>
      <c r="E6123" s="118"/>
      <c r="F6123" s="126"/>
      <c r="G6123" s="126"/>
      <c r="H6123" s="126"/>
      <c r="I6123" s="126"/>
      <c r="J6123" s="76"/>
      <c r="K6123" s="76"/>
      <c r="L6123" s="76"/>
      <c r="M6123" s="76"/>
      <c r="N6123" s="114"/>
    </row>
    <row r="6124">
      <c r="C6124" s="41"/>
      <c r="D6124" s="142"/>
      <c r="E6124" s="130"/>
      <c r="F6124" s="128"/>
      <c r="G6124" s="128"/>
      <c r="H6124" s="128"/>
      <c r="I6124" s="128"/>
      <c r="J6124" s="81"/>
      <c r="K6124" s="81"/>
      <c r="L6124" s="81"/>
      <c r="M6124" s="81"/>
      <c r="N6124" s="82"/>
    </row>
    <row r="6125">
      <c r="C6125" s="41"/>
      <c r="D6125" s="141"/>
      <c r="E6125" s="118"/>
      <c r="F6125" s="126"/>
      <c r="G6125" s="126"/>
      <c r="H6125" s="126"/>
      <c r="I6125" s="126"/>
      <c r="J6125" s="76"/>
      <c r="K6125" s="76"/>
      <c r="L6125" s="76"/>
      <c r="M6125" s="76"/>
      <c r="N6125" s="114"/>
    </row>
    <row r="6126">
      <c r="C6126" s="41"/>
      <c r="D6126" s="142"/>
      <c r="E6126" s="130"/>
      <c r="F6126" s="128"/>
      <c r="G6126" s="128"/>
      <c r="H6126" s="128"/>
      <c r="I6126" s="128"/>
      <c r="J6126" s="81"/>
      <c r="K6126" s="81"/>
      <c r="L6126" s="81"/>
      <c r="M6126" s="81"/>
      <c r="N6126" s="82"/>
    </row>
    <row r="6127">
      <c r="C6127" s="41"/>
      <c r="D6127" s="141"/>
      <c r="E6127" s="118"/>
      <c r="F6127" s="126"/>
      <c r="G6127" s="126"/>
      <c r="H6127" s="126"/>
      <c r="I6127" s="126"/>
      <c r="J6127" s="76"/>
      <c r="K6127" s="76"/>
      <c r="L6127" s="76"/>
      <c r="M6127" s="76"/>
      <c r="N6127" s="114"/>
    </row>
    <row r="6128">
      <c r="C6128" s="41"/>
      <c r="D6128" s="142"/>
      <c r="E6128" s="130"/>
      <c r="F6128" s="128"/>
      <c r="G6128" s="128"/>
      <c r="H6128" s="128"/>
      <c r="I6128" s="128"/>
      <c r="J6128" s="81"/>
      <c r="K6128" s="81"/>
      <c r="L6128" s="81"/>
      <c r="M6128" s="81"/>
      <c r="N6128" s="82"/>
    </row>
    <row r="6129">
      <c r="C6129" s="41"/>
      <c r="D6129" s="141"/>
      <c r="E6129" s="118"/>
      <c r="F6129" s="126"/>
      <c r="G6129" s="126"/>
      <c r="H6129" s="126"/>
      <c r="I6129" s="126"/>
      <c r="J6129" s="76"/>
      <c r="K6129" s="76"/>
      <c r="L6129" s="76"/>
      <c r="M6129" s="76"/>
      <c r="N6129" s="114"/>
    </row>
    <row r="6130">
      <c r="C6130" s="41"/>
      <c r="D6130" s="142"/>
      <c r="E6130" s="130"/>
      <c r="F6130" s="128"/>
      <c r="G6130" s="128"/>
      <c r="H6130" s="128"/>
      <c r="I6130" s="128"/>
      <c r="J6130" s="81"/>
      <c r="K6130" s="81"/>
      <c r="L6130" s="81"/>
      <c r="M6130" s="81"/>
      <c r="N6130" s="82"/>
    </row>
    <row r="6131">
      <c r="C6131" s="41"/>
      <c r="D6131" s="141"/>
      <c r="E6131" s="118"/>
      <c r="F6131" s="126"/>
      <c r="G6131" s="126"/>
      <c r="H6131" s="126"/>
      <c r="I6131" s="126"/>
      <c r="J6131" s="76"/>
      <c r="K6131" s="76"/>
      <c r="L6131" s="76"/>
      <c r="M6131" s="76"/>
      <c r="N6131" s="114"/>
    </row>
    <row r="6132">
      <c r="C6132" s="41"/>
      <c r="D6132" s="142"/>
      <c r="E6132" s="130"/>
      <c r="F6132" s="128"/>
      <c r="G6132" s="128"/>
      <c r="H6132" s="128"/>
      <c r="I6132" s="128"/>
      <c r="J6132" s="81"/>
      <c r="K6132" s="81"/>
      <c r="L6132" s="81"/>
      <c r="M6132" s="81"/>
      <c r="N6132" s="82"/>
    </row>
    <row r="6133">
      <c r="C6133" s="41"/>
      <c r="D6133" s="141"/>
      <c r="E6133" s="118"/>
      <c r="F6133" s="126"/>
      <c r="G6133" s="126"/>
      <c r="H6133" s="126"/>
      <c r="I6133" s="126"/>
      <c r="J6133" s="76"/>
      <c r="K6133" s="76"/>
      <c r="L6133" s="76"/>
      <c r="M6133" s="76"/>
      <c r="N6133" s="114"/>
    </row>
    <row r="6134">
      <c r="C6134" s="41"/>
      <c r="D6134" s="142"/>
      <c r="E6134" s="130"/>
      <c r="F6134" s="128"/>
      <c r="G6134" s="128"/>
      <c r="H6134" s="128"/>
      <c r="I6134" s="128"/>
      <c r="J6134" s="81"/>
      <c r="K6134" s="81"/>
      <c r="L6134" s="81"/>
      <c r="M6134" s="81"/>
      <c r="N6134" s="82"/>
    </row>
    <row r="6135">
      <c r="C6135" s="41"/>
      <c r="D6135" s="141"/>
      <c r="E6135" s="118"/>
      <c r="F6135" s="126"/>
      <c r="G6135" s="126"/>
      <c r="H6135" s="126"/>
      <c r="I6135" s="126"/>
      <c r="J6135" s="76"/>
      <c r="K6135" s="76"/>
      <c r="L6135" s="76"/>
      <c r="M6135" s="76"/>
      <c r="N6135" s="114"/>
    </row>
    <row r="6136">
      <c r="C6136" s="41"/>
      <c r="D6136" s="142"/>
      <c r="E6136" s="130"/>
      <c r="F6136" s="128"/>
      <c r="G6136" s="128"/>
      <c r="H6136" s="128"/>
      <c r="I6136" s="128"/>
      <c r="J6136" s="81"/>
      <c r="K6136" s="81"/>
      <c r="L6136" s="81"/>
      <c r="M6136" s="81"/>
      <c r="N6136" s="82"/>
    </row>
    <row r="6137">
      <c r="C6137" s="41"/>
      <c r="D6137" s="141"/>
      <c r="E6137" s="118"/>
      <c r="F6137" s="126"/>
      <c r="G6137" s="126"/>
      <c r="H6137" s="126"/>
      <c r="I6137" s="126"/>
      <c r="J6137" s="76"/>
      <c r="K6137" s="76"/>
      <c r="L6137" s="76"/>
      <c r="M6137" s="76"/>
      <c r="N6137" s="114"/>
    </row>
    <row r="6138">
      <c r="C6138" s="41"/>
      <c r="D6138" s="142"/>
      <c r="E6138" s="130"/>
      <c r="F6138" s="128"/>
      <c r="G6138" s="128"/>
      <c r="H6138" s="128"/>
      <c r="I6138" s="128"/>
      <c r="J6138" s="81"/>
      <c r="K6138" s="81"/>
      <c r="L6138" s="81"/>
      <c r="M6138" s="81"/>
      <c r="N6138" s="82"/>
    </row>
    <row r="6139">
      <c r="C6139" s="41"/>
      <c r="D6139" s="141"/>
      <c r="E6139" s="118"/>
      <c r="F6139" s="126"/>
      <c r="G6139" s="126"/>
      <c r="H6139" s="126"/>
      <c r="I6139" s="126"/>
      <c r="J6139" s="76"/>
      <c r="K6139" s="76"/>
      <c r="L6139" s="76"/>
      <c r="M6139" s="76"/>
      <c r="N6139" s="114"/>
    </row>
    <row r="6140">
      <c r="C6140" s="41"/>
      <c r="D6140" s="142"/>
      <c r="E6140" s="130"/>
      <c r="F6140" s="128"/>
      <c r="G6140" s="128"/>
      <c r="H6140" s="128"/>
      <c r="I6140" s="128"/>
      <c r="J6140" s="81"/>
      <c r="K6140" s="81"/>
      <c r="L6140" s="81"/>
      <c r="M6140" s="81"/>
      <c r="N6140" s="82"/>
    </row>
    <row r="6141">
      <c r="C6141" s="41"/>
      <c r="D6141" s="141"/>
      <c r="E6141" s="118"/>
      <c r="F6141" s="126"/>
      <c r="G6141" s="126"/>
      <c r="H6141" s="126"/>
      <c r="I6141" s="126"/>
      <c r="J6141" s="76"/>
      <c r="K6141" s="76"/>
      <c r="L6141" s="76"/>
      <c r="M6141" s="76"/>
      <c r="N6141" s="114"/>
    </row>
    <row r="6142">
      <c r="C6142" s="41"/>
      <c r="D6142" s="142"/>
      <c r="E6142" s="130"/>
      <c r="F6142" s="128"/>
      <c r="G6142" s="128"/>
      <c r="H6142" s="128"/>
      <c r="I6142" s="128"/>
      <c r="J6142" s="81"/>
      <c r="K6142" s="81"/>
      <c r="L6142" s="81"/>
      <c r="M6142" s="81"/>
      <c r="N6142" s="82"/>
    </row>
    <row r="6143">
      <c r="C6143" s="41"/>
      <c r="D6143" s="141"/>
      <c r="E6143" s="118"/>
      <c r="F6143" s="126"/>
      <c r="G6143" s="126"/>
      <c r="H6143" s="126"/>
      <c r="I6143" s="126"/>
      <c r="J6143" s="76"/>
      <c r="K6143" s="76"/>
      <c r="L6143" s="76"/>
      <c r="M6143" s="76"/>
      <c r="N6143" s="114"/>
    </row>
    <row r="6144">
      <c r="C6144" s="41"/>
      <c r="D6144" s="142"/>
      <c r="E6144" s="130"/>
      <c r="F6144" s="128"/>
      <c r="G6144" s="128"/>
      <c r="H6144" s="128"/>
      <c r="I6144" s="128"/>
      <c r="J6144" s="81"/>
      <c r="K6144" s="81"/>
      <c r="L6144" s="81"/>
      <c r="M6144" s="81"/>
      <c r="N6144" s="82"/>
    </row>
    <row r="6145">
      <c r="C6145" s="41"/>
      <c r="D6145" s="141"/>
      <c r="E6145" s="118"/>
      <c r="F6145" s="126"/>
      <c r="G6145" s="126"/>
      <c r="H6145" s="126"/>
      <c r="I6145" s="126"/>
      <c r="J6145" s="76"/>
      <c r="K6145" s="76"/>
      <c r="L6145" s="76"/>
      <c r="M6145" s="76"/>
      <c r="N6145" s="114"/>
    </row>
    <row r="6146">
      <c r="C6146" s="41"/>
      <c r="D6146" s="142"/>
      <c r="E6146" s="130"/>
      <c r="F6146" s="128"/>
      <c r="G6146" s="128"/>
      <c r="H6146" s="128"/>
      <c r="I6146" s="128"/>
      <c r="J6146" s="81"/>
      <c r="K6146" s="81"/>
      <c r="L6146" s="81"/>
      <c r="M6146" s="81"/>
      <c r="N6146" s="82"/>
    </row>
    <row r="6147">
      <c r="C6147" s="41"/>
      <c r="D6147" s="141"/>
      <c r="E6147" s="118"/>
      <c r="F6147" s="126"/>
      <c r="G6147" s="126"/>
      <c r="H6147" s="126"/>
      <c r="I6147" s="126"/>
      <c r="J6147" s="76"/>
      <c r="K6147" s="76"/>
      <c r="L6147" s="76"/>
      <c r="M6147" s="76"/>
      <c r="N6147" s="114"/>
    </row>
    <row r="6148">
      <c r="C6148" s="41"/>
      <c r="D6148" s="142"/>
      <c r="E6148" s="130"/>
      <c r="F6148" s="128"/>
      <c r="G6148" s="128"/>
      <c r="H6148" s="128"/>
      <c r="I6148" s="128"/>
      <c r="J6148" s="81"/>
      <c r="K6148" s="81"/>
      <c r="L6148" s="81"/>
      <c r="M6148" s="81"/>
      <c r="N6148" s="82"/>
    </row>
    <row r="6149">
      <c r="C6149" s="41"/>
      <c r="D6149" s="141"/>
      <c r="E6149" s="118"/>
      <c r="F6149" s="126"/>
      <c r="G6149" s="126"/>
      <c r="H6149" s="126"/>
      <c r="I6149" s="126"/>
      <c r="J6149" s="76"/>
      <c r="K6149" s="76"/>
      <c r="L6149" s="76"/>
      <c r="M6149" s="76"/>
      <c r="N6149" s="114"/>
    </row>
    <row r="6150">
      <c r="C6150" s="41"/>
      <c r="D6150" s="142"/>
      <c r="E6150" s="130"/>
      <c r="F6150" s="128"/>
      <c r="G6150" s="128"/>
      <c r="H6150" s="128"/>
      <c r="I6150" s="128"/>
      <c r="J6150" s="81"/>
      <c r="K6150" s="81"/>
      <c r="L6150" s="81"/>
      <c r="M6150" s="81"/>
      <c r="N6150" s="82"/>
    </row>
    <row r="6151">
      <c r="C6151" s="41"/>
      <c r="D6151" s="141"/>
      <c r="E6151" s="118"/>
      <c r="F6151" s="126"/>
      <c r="G6151" s="126"/>
      <c r="H6151" s="126"/>
      <c r="I6151" s="126"/>
      <c r="J6151" s="76"/>
      <c r="K6151" s="76"/>
      <c r="L6151" s="76"/>
      <c r="M6151" s="76"/>
      <c r="N6151" s="114"/>
    </row>
    <row r="6152">
      <c r="C6152" s="41"/>
      <c r="D6152" s="142"/>
      <c r="E6152" s="130"/>
      <c r="F6152" s="128"/>
      <c r="G6152" s="128"/>
      <c r="H6152" s="128"/>
      <c r="I6152" s="128"/>
      <c r="J6152" s="81"/>
      <c r="K6152" s="81"/>
      <c r="L6152" s="81"/>
      <c r="M6152" s="81"/>
      <c r="N6152" s="82"/>
    </row>
    <row r="6153">
      <c r="C6153" s="41"/>
      <c r="D6153" s="141"/>
      <c r="E6153" s="118"/>
      <c r="F6153" s="126"/>
      <c r="G6153" s="126"/>
      <c r="H6153" s="126"/>
      <c r="I6153" s="126"/>
      <c r="J6153" s="76"/>
      <c r="K6153" s="76"/>
      <c r="L6153" s="76"/>
      <c r="M6153" s="76"/>
      <c r="N6153" s="114"/>
    </row>
    <row r="6154">
      <c r="C6154" s="41"/>
      <c r="D6154" s="142"/>
      <c r="E6154" s="130"/>
      <c r="F6154" s="128"/>
      <c r="G6154" s="128"/>
      <c r="H6154" s="128"/>
      <c r="I6154" s="128"/>
      <c r="J6154" s="81"/>
      <c r="K6154" s="81"/>
      <c r="L6154" s="81"/>
      <c r="M6154" s="81"/>
      <c r="N6154" s="82"/>
    </row>
    <row r="6155">
      <c r="C6155" s="41"/>
      <c r="D6155" s="141"/>
      <c r="E6155" s="118"/>
      <c r="F6155" s="126"/>
      <c r="G6155" s="126"/>
      <c r="H6155" s="126"/>
      <c r="I6155" s="126"/>
      <c r="J6155" s="76"/>
      <c r="K6155" s="76"/>
      <c r="L6155" s="76"/>
      <c r="M6155" s="76"/>
      <c r="N6155" s="114"/>
    </row>
    <row r="6156">
      <c r="C6156" s="41"/>
      <c r="D6156" s="142"/>
      <c r="E6156" s="130"/>
      <c r="F6156" s="128"/>
      <c r="G6156" s="128"/>
      <c r="H6156" s="128"/>
      <c r="I6156" s="128"/>
      <c r="J6156" s="81"/>
      <c r="K6156" s="81"/>
      <c r="L6156" s="81"/>
      <c r="M6156" s="81"/>
      <c r="N6156" s="82"/>
    </row>
    <row r="6157">
      <c r="C6157" s="41"/>
      <c r="D6157" s="141"/>
      <c r="E6157" s="118"/>
      <c r="F6157" s="126"/>
      <c r="G6157" s="126"/>
      <c r="H6157" s="126"/>
      <c r="I6157" s="126"/>
      <c r="J6157" s="76"/>
      <c r="K6157" s="76"/>
      <c r="L6157" s="76"/>
      <c r="M6157" s="76"/>
      <c r="N6157" s="114"/>
    </row>
    <row r="6158">
      <c r="C6158" s="41"/>
      <c r="D6158" s="142"/>
      <c r="E6158" s="130"/>
      <c r="F6158" s="128"/>
      <c r="G6158" s="128"/>
      <c r="H6158" s="128"/>
      <c r="I6158" s="128"/>
      <c r="J6158" s="81"/>
      <c r="K6158" s="81"/>
      <c r="L6158" s="81"/>
      <c r="M6158" s="81"/>
      <c r="N6158" s="82"/>
    </row>
    <row r="6159">
      <c r="C6159" s="41"/>
      <c r="D6159" s="141"/>
      <c r="E6159" s="118"/>
      <c r="F6159" s="126"/>
      <c r="G6159" s="126"/>
      <c r="H6159" s="126"/>
      <c r="I6159" s="126"/>
      <c r="J6159" s="76"/>
      <c r="K6159" s="76"/>
      <c r="L6159" s="76"/>
      <c r="M6159" s="76"/>
      <c r="N6159" s="114"/>
    </row>
    <row r="6160">
      <c r="C6160" s="41"/>
      <c r="D6160" s="142"/>
      <c r="E6160" s="130"/>
      <c r="F6160" s="128"/>
      <c r="G6160" s="128"/>
      <c r="H6160" s="128"/>
      <c r="I6160" s="128"/>
      <c r="J6160" s="81"/>
      <c r="K6160" s="81"/>
      <c r="L6160" s="81"/>
      <c r="M6160" s="81"/>
      <c r="N6160" s="82"/>
    </row>
    <row r="6161">
      <c r="C6161" s="41"/>
      <c r="D6161" s="141"/>
      <c r="E6161" s="118"/>
      <c r="F6161" s="126"/>
      <c r="G6161" s="126"/>
      <c r="H6161" s="126"/>
      <c r="I6161" s="126"/>
      <c r="J6161" s="76"/>
      <c r="K6161" s="76"/>
      <c r="L6161" s="76"/>
      <c r="M6161" s="76"/>
      <c r="N6161" s="114"/>
    </row>
    <row r="6162">
      <c r="C6162" s="41"/>
      <c r="D6162" s="142"/>
      <c r="E6162" s="130"/>
      <c r="F6162" s="128"/>
      <c r="G6162" s="128"/>
      <c r="H6162" s="128"/>
      <c r="I6162" s="128"/>
      <c r="J6162" s="81"/>
      <c r="K6162" s="81"/>
      <c r="L6162" s="81"/>
      <c r="M6162" s="81"/>
      <c r="N6162" s="82"/>
    </row>
    <row r="6163">
      <c r="C6163" s="41"/>
      <c r="D6163" s="141"/>
      <c r="E6163" s="118"/>
      <c r="F6163" s="126"/>
      <c r="G6163" s="126"/>
      <c r="H6163" s="126"/>
      <c r="I6163" s="126"/>
      <c r="J6163" s="76"/>
      <c r="K6163" s="76"/>
      <c r="L6163" s="76"/>
      <c r="M6163" s="76"/>
      <c r="N6163" s="114"/>
    </row>
    <row r="6164">
      <c r="C6164" s="41"/>
      <c r="D6164" s="142"/>
      <c r="E6164" s="130"/>
      <c r="F6164" s="128"/>
      <c r="G6164" s="128"/>
      <c r="H6164" s="128"/>
      <c r="I6164" s="128"/>
      <c r="J6164" s="81"/>
      <c r="K6164" s="81"/>
      <c r="L6164" s="81"/>
      <c r="M6164" s="81"/>
      <c r="N6164" s="82"/>
    </row>
    <row r="6165">
      <c r="C6165" s="41"/>
      <c r="D6165" s="141"/>
      <c r="E6165" s="118"/>
      <c r="F6165" s="126"/>
      <c r="G6165" s="126"/>
      <c r="H6165" s="126"/>
      <c r="I6165" s="126"/>
      <c r="J6165" s="76"/>
      <c r="K6165" s="76"/>
      <c r="L6165" s="76"/>
      <c r="M6165" s="76"/>
      <c r="N6165" s="114"/>
    </row>
    <row r="6166">
      <c r="C6166" s="41"/>
      <c r="D6166" s="142"/>
      <c r="E6166" s="130"/>
      <c r="F6166" s="128"/>
      <c r="G6166" s="128"/>
      <c r="H6166" s="128"/>
      <c r="I6166" s="128"/>
      <c r="J6166" s="81"/>
      <c r="K6166" s="81"/>
      <c r="L6166" s="81"/>
      <c r="M6166" s="81"/>
      <c r="N6166" s="82"/>
    </row>
    <row r="6167">
      <c r="C6167" s="41"/>
      <c r="D6167" s="141"/>
      <c r="E6167" s="118"/>
      <c r="F6167" s="126"/>
      <c r="G6167" s="126"/>
      <c r="H6167" s="126"/>
      <c r="I6167" s="126"/>
      <c r="J6167" s="76"/>
      <c r="K6167" s="76"/>
      <c r="L6167" s="76"/>
      <c r="M6167" s="76"/>
      <c r="N6167" s="114"/>
    </row>
    <row r="6168">
      <c r="C6168" s="41"/>
      <c r="D6168" s="142"/>
      <c r="E6168" s="130"/>
      <c r="F6168" s="128"/>
      <c r="G6168" s="128"/>
      <c r="H6168" s="128"/>
      <c r="I6168" s="128"/>
      <c r="J6168" s="81"/>
      <c r="K6168" s="81"/>
      <c r="L6168" s="81"/>
      <c r="M6168" s="81"/>
      <c r="N6168" s="82"/>
    </row>
    <row r="6169">
      <c r="C6169" s="41"/>
      <c r="D6169" s="141"/>
      <c r="E6169" s="118"/>
      <c r="F6169" s="126"/>
      <c r="G6169" s="126"/>
      <c r="H6169" s="126"/>
      <c r="I6169" s="126"/>
      <c r="J6169" s="76"/>
      <c r="K6169" s="76"/>
      <c r="L6169" s="76"/>
      <c r="M6169" s="76"/>
      <c r="N6169" s="114"/>
    </row>
    <row r="6170">
      <c r="C6170" s="41"/>
      <c r="D6170" s="142"/>
      <c r="E6170" s="130"/>
      <c r="F6170" s="128"/>
      <c r="G6170" s="128"/>
      <c r="H6170" s="128"/>
      <c r="I6170" s="128"/>
      <c r="J6170" s="81"/>
      <c r="K6170" s="81"/>
      <c r="L6170" s="81"/>
      <c r="M6170" s="81"/>
      <c r="N6170" s="82"/>
    </row>
    <row r="6171">
      <c r="C6171" s="41"/>
      <c r="D6171" s="141"/>
      <c r="E6171" s="118"/>
      <c r="F6171" s="126"/>
      <c r="G6171" s="126"/>
      <c r="H6171" s="126"/>
      <c r="I6171" s="126"/>
      <c r="J6171" s="76"/>
      <c r="K6171" s="76"/>
      <c r="L6171" s="76"/>
      <c r="M6171" s="76"/>
      <c r="N6171" s="114"/>
    </row>
    <row r="6172">
      <c r="C6172" s="41"/>
      <c r="D6172" s="142"/>
      <c r="E6172" s="130"/>
      <c r="F6172" s="128"/>
      <c r="G6172" s="128"/>
      <c r="H6172" s="128"/>
      <c r="I6172" s="128"/>
      <c r="J6172" s="81"/>
      <c r="K6172" s="81"/>
      <c r="L6172" s="81"/>
      <c r="M6172" s="81"/>
      <c r="N6172" s="82"/>
    </row>
    <row r="6173">
      <c r="C6173" s="41"/>
      <c r="D6173" s="141"/>
      <c r="E6173" s="118"/>
      <c r="F6173" s="126"/>
      <c r="G6173" s="126"/>
      <c r="H6173" s="126"/>
      <c r="I6173" s="126"/>
      <c r="J6173" s="76"/>
      <c r="K6173" s="76"/>
      <c r="L6173" s="76"/>
      <c r="M6173" s="76"/>
      <c r="N6173" s="114"/>
    </row>
    <row r="6174">
      <c r="C6174" s="41"/>
      <c r="D6174" s="142"/>
      <c r="E6174" s="130"/>
      <c r="F6174" s="128"/>
      <c r="G6174" s="128"/>
      <c r="H6174" s="128"/>
      <c r="I6174" s="128"/>
      <c r="J6174" s="81"/>
      <c r="K6174" s="81"/>
      <c r="L6174" s="81"/>
      <c r="M6174" s="81"/>
      <c r="N6174" s="82"/>
    </row>
    <row r="6175">
      <c r="C6175" s="41"/>
      <c r="D6175" s="141"/>
      <c r="E6175" s="118"/>
      <c r="F6175" s="126"/>
      <c r="G6175" s="126"/>
      <c r="H6175" s="126"/>
      <c r="I6175" s="126"/>
      <c r="J6175" s="76"/>
      <c r="K6175" s="76"/>
      <c r="L6175" s="76"/>
      <c r="M6175" s="76"/>
      <c r="N6175" s="114"/>
    </row>
    <row r="6176">
      <c r="C6176" s="41"/>
      <c r="D6176" s="142"/>
      <c r="E6176" s="130"/>
      <c r="F6176" s="128"/>
      <c r="G6176" s="128"/>
      <c r="H6176" s="128"/>
      <c r="I6176" s="128"/>
      <c r="J6176" s="81"/>
      <c r="K6176" s="81"/>
      <c r="L6176" s="81"/>
      <c r="M6176" s="81"/>
      <c r="N6176" s="82"/>
    </row>
    <row r="6177">
      <c r="C6177" s="41"/>
      <c r="D6177" s="141"/>
      <c r="E6177" s="118"/>
      <c r="F6177" s="126"/>
      <c r="G6177" s="126"/>
      <c r="H6177" s="126"/>
      <c r="I6177" s="126"/>
      <c r="J6177" s="76"/>
      <c r="K6177" s="76"/>
      <c r="L6177" s="76"/>
      <c r="M6177" s="76"/>
      <c r="N6177" s="114"/>
    </row>
    <row r="6178">
      <c r="C6178" s="41"/>
      <c r="D6178" s="142"/>
      <c r="E6178" s="130"/>
      <c r="F6178" s="128"/>
      <c r="G6178" s="128"/>
      <c r="H6178" s="128"/>
      <c r="I6178" s="128"/>
      <c r="J6178" s="81"/>
      <c r="K6178" s="81"/>
      <c r="L6178" s="81"/>
      <c r="M6178" s="81"/>
      <c r="N6178" s="82"/>
    </row>
    <row r="6179">
      <c r="C6179" s="41"/>
      <c r="D6179" s="141"/>
      <c r="E6179" s="118"/>
      <c r="F6179" s="126"/>
      <c r="G6179" s="126"/>
      <c r="H6179" s="126"/>
      <c r="I6179" s="126"/>
      <c r="J6179" s="76"/>
      <c r="K6179" s="76"/>
      <c r="L6179" s="76"/>
      <c r="M6179" s="76"/>
      <c r="N6179" s="114"/>
    </row>
    <row r="6180">
      <c r="C6180" s="41"/>
      <c r="D6180" s="142"/>
      <c r="E6180" s="130"/>
      <c r="F6180" s="128"/>
      <c r="G6180" s="128"/>
      <c r="H6180" s="128"/>
      <c r="I6180" s="128"/>
      <c r="J6180" s="81"/>
      <c r="K6180" s="81"/>
      <c r="L6180" s="81"/>
      <c r="M6180" s="81"/>
      <c r="N6180" s="82"/>
    </row>
    <row r="6181">
      <c r="C6181" s="41"/>
      <c r="D6181" s="141"/>
      <c r="E6181" s="118"/>
      <c r="F6181" s="126"/>
      <c r="G6181" s="126"/>
      <c r="H6181" s="126"/>
      <c r="I6181" s="126"/>
      <c r="J6181" s="76"/>
      <c r="K6181" s="76"/>
      <c r="L6181" s="76"/>
      <c r="M6181" s="76"/>
      <c r="N6181" s="114"/>
    </row>
    <row r="6182">
      <c r="C6182" s="41"/>
      <c r="D6182" s="142"/>
      <c r="E6182" s="130"/>
      <c r="F6182" s="128"/>
      <c r="G6182" s="128"/>
      <c r="H6182" s="128"/>
      <c r="I6182" s="128"/>
      <c r="J6182" s="81"/>
      <c r="K6182" s="81"/>
      <c r="L6182" s="81"/>
      <c r="M6182" s="81"/>
      <c r="N6182" s="82"/>
    </row>
    <row r="6183">
      <c r="C6183" s="41"/>
      <c r="D6183" s="141"/>
      <c r="E6183" s="118"/>
      <c r="F6183" s="126"/>
      <c r="G6183" s="126"/>
      <c r="H6183" s="126"/>
      <c r="I6183" s="126"/>
      <c r="J6183" s="76"/>
      <c r="K6183" s="76"/>
      <c r="L6183" s="76"/>
      <c r="M6183" s="76"/>
      <c r="N6183" s="114"/>
    </row>
    <row r="6184">
      <c r="C6184" s="41"/>
      <c r="D6184" s="142"/>
      <c r="E6184" s="130"/>
      <c r="F6184" s="128"/>
      <c r="G6184" s="128"/>
      <c r="H6184" s="128"/>
      <c r="I6184" s="128"/>
      <c r="J6184" s="81"/>
      <c r="K6184" s="81"/>
      <c r="L6184" s="81"/>
      <c r="M6184" s="81"/>
      <c r="N6184" s="82"/>
    </row>
    <row r="6185">
      <c r="C6185" s="41"/>
      <c r="D6185" s="141"/>
      <c r="E6185" s="118"/>
      <c r="F6185" s="126"/>
      <c r="G6185" s="126"/>
      <c r="H6185" s="126"/>
      <c r="I6185" s="126"/>
      <c r="J6185" s="76"/>
      <c r="K6185" s="76"/>
      <c r="L6185" s="76"/>
      <c r="M6185" s="76"/>
      <c r="N6185" s="114"/>
    </row>
    <row r="6186">
      <c r="C6186" s="41"/>
      <c r="D6186" s="142"/>
      <c r="E6186" s="130"/>
      <c r="F6186" s="128"/>
      <c r="G6186" s="128"/>
      <c r="H6186" s="128"/>
      <c r="I6186" s="128"/>
      <c r="J6186" s="81"/>
      <c r="K6186" s="81"/>
      <c r="L6186" s="81"/>
      <c r="M6186" s="81"/>
      <c r="N6186" s="82"/>
    </row>
    <row r="6187">
      <c r="C6187" s="41"/>
      <c r="D6187" s="141"/>
      <c r="E6187" s="118"/>
      <c r="F6187" s="126"/>
      <c r="G6187" s="126"/>
      <c r="H6187" s="126"/>
      <c r="I6187" s="126"/>
      <c r="J6187" s="76"/>
      <c r="K6187" s="76"/>
      <c r="L6187" s="76"/>
      <c r="M6187" s="76"/>
      <c r="N6187" s="114"/>
    </row>
    <row r="6188">
      <c r="C6188" s="41"/>
      <c r="D6188" s="142"/>
      <c r="E6188" s="130"/>
      <c r="F6188" s="128"/>
      <c r="G6188" s="128"/>
      <c r="H6188" s="128"/>
      <c r="I6188" s="128"/>
      <c r="J6188" s="81"/>
      <c r="K6188" s="81"/>
      <c r="L6188" s="81"/>
      <c r="M6188" s="81"/>
      <c r="N6188" s="82"/>
    </row>
    <row r="6189">
      <c r="C6189" s="41"/>
      <c r="D6189" s="141"/>
      <c r="E6189" s="118"/>
      <c r="F6189" s="126"/>
      <c r="G6189" s="126"/>
      <c r="H6189" s="126"/>
      <c r="I6189" s="126"/>
      <c r="J6189" s="76"/>
      <c r="K6189" s="76"/>
      <c r="L6189" s="76"/>
      <c r="M6189" s="76"/>
      <c r="N6189" s="114"/>
    </row>
    <row r="6190">
      <c r="C6190" s="41"/>
      <c r="D6190" s="142"/>
      <c r="E6190" s="130"/>
      <c r="F6190" s="128"/>
      <c r="G6190" s="128"/>
      <c r="H6190" s="128"/>
      <c r="I6190" s="128"/>
      <c r="J6190" s="81"/>
      <c r="K6190" s="81"/>
      <c r="L6190" s="81"/>
      <c r="M6190" s="81"/>
      <c r="N6190" s="82"/>
    </row>
    <row r="6191">
      <c r="C6191" s="41"/>
      <c r="D6191" s="141"/>
      <c r="E6191" s="118"/>
      <c r="F6191" s="126"/>
      <c r="G6191" s="126"/>
      <c r="H6191" s="126"/>
      <c r="I6191" s="126"/>
      <c r="J6191" s="76"/>
      <c r="K6191" s="76"/>
      <c r="L6191" s="76"/>
      <c r="M6191" s="76"/>
      <c r="N6191" s="114"/>
    </row>
    <row r="6192">
      <c r="C6192" s="41"/>
      <c r="D6192" s="142"/>
      <c r="E6192" s="130"/>
      <c r="F6192" s="128"/>
      <c r="G6192" s="128"/>
      <c r="H6192" s="128"/>
      <c r="I6192" s="128"/>
      <c r="J6192" s="81"/>
      <c r="K6192" s="81"/>
      <c r="L6192" s="81"/>
      <c r="M6192" s="81"/>
      <c r="N6192" s="82"/>
    </row>
    <row r="6193">
      <c r="C6193" s="41"/>
      <c r="D6193" s="141"/>
      <c r="E6193" s="118"/>
      <c r="F6193" s="126"/>
      <c r="G6193" s="126"/>
      <c r="H6193" s="126"/>
      <c r="I6193" s="126"/>
      <c r="J6193" s="76"/>
      <c r="K6193" s="76"/>
      <c r="L6193" s="76"/>
      <c r="M6193" s="76"/>
      <c r="N6193" s="114"/>
    </row>
    <row r="6194">
      <c r="C6194" s="41"/>
      <c r="D6194" s="142"/>
      <c r="E6194" s="130"/>
      <c r="F6194" s="128"/>
      <c r="G6194" s="128"/>
      <c r="H6194" s="128"/>
      <c r="I6194" s="128"/>
      <c r="J6194" s="81"/>
      <c r="K6194" s="81"/>
      <c r="L6194" s="81"/>
      <c r="M6194" s="81"/>
      <c r="N6194" s="82"/>
    </row>
    <row r="6195">
      <c r="C6195" s="41"/>
      <c r="D6195" s="141"/>
      <c r="E6195" s="118"/>
      <c r="F6195" s="126"/>
      <c r="G6195" s="126"/>
      <c r="H6195" s="126"/>
      <c r="I6195" s="126"/>
      <c r="J6195" s="76"/>
      <c r="K6195" s="76"/>
      <c r="L6195" s="76"/>
      <c r="M6195" s="76"/>
      <c r="N6195" s="114"/>
    </row>
    <row r="6196">
      <c r="C6196" s="41"/>
      <c r="D6196" s="142"/>
      <c r="E6196" s="130"/>
      <c r="F6196" s="128"/>
      <c r="G6196" s="128"/>
      <c r="H6196" s="128"/>
      <c r="I6196" s="128"/>
      <c r="J6196" s="81"/>
      <c r="K6196" s="81"/>
      <c r="L6196" s="81"/>
      <c r="M6196" s="81"/>
      <c r="N6196" s="82"/>
    </row>
    <row r="6197">
      <c r="C6197" s="41"/>
      <c r="D6197" s="141"/>
      <c r="E6197" s="118"/>
      <c r="F6197" s="126"/>
      <c r="G6197" s="126"/>
      <c r="H6197" s="126"/>
      <c r="I6197" s="126"/>
      <c r="J6197" s="76"/>
      <c r="K6197" s="76"/>
      <c r="L6197" s="76"/>
      <c r="M6197" s="76"/>
      <c r="N6197" s="114"/>
    </row>
    <row r="6198">
      <c r="C6198" s="41"/>
      <c r="D6198" s="142"/>
      <c r="E6198" s="130"/>
      <c r="F6198" s="128"/>
      <c r="G6198" s="128"/>
      <c r="H6198" s="128"/>
      <c r="I6198" s="128"/>
      <c r="J6198" s="81"/>
      <c r="K6198" s="81"/>
      <c r="L6198" s="81"/>
      <c r="M6198" s="81"/>
      <c r="N6198" s="82"/>
    </row>
    <row r="6199">
      <c r="C6199" s="41"/>
      <c r="D6199" s="141"/>
      <c r="E6199" s="118"/>
      <c r="F6199" s="126"/>
      <c r="G6199" s="126"/>
      <c r="H6199" s="126"/>
      <c r="I6199" s="126"/>
      <c r="J6199" s="76"/>
      <c r="K6199" s="76"/>
      <c r="L6199" s="76"/>
      <c r="M6199" s="76"/>
      <c r="N6199" s="114"/>
    </row>
    <row r="6200">
      <c r="C6200" s="41"/>
      <c r="D6200" s="142"/>
      <c r="E6200" s="130"/>
      <c r="F6200" s="128"/>
      <c r="G6200" s="128"/>
      <c r="H6200" s="128"/>
      <c r="I6200" s="128"/>
      <c r="J6200" s="81"/>
      <c r="K6200" s="81"/>
      <c r="L6200" s="81"/>
      <c r="M6200" s="81"/>
      <c r="N6200" s="82"/>
    </row>
    <row r="6201">
      <c r="C6201" s="41"/>
      <c r="D6201" s="141"/>
      <c r="E6201" s="118"/>
      <c r="F6201" s="126"/>
      <c r="G6201" s="126"/>
      <c r="H6201" s="126"/>
      <c r="I6201" s="126"/>
      <c r="J6201" s="76"/>
      <c r="K6201" s="76"/>
      <c r="L6201" s="76"/>
      <c r="M6201" s="76"/>
      <c r="N6201" s="114"/>
    </row>
    <row r="6202">
      <c r="C6202" s="41"/>
      <c r="D6202" s="142"/>
      <c r="E6202" s="130"/>
      <c r="F6202" s="128"/>
      <c r="G6202" s="128"/>
      <c r="H6202" s="128"/>
      <c r="I6202" s="128"/>
      <c r="J6202" s="81"/>
      <c r="K6202" s="81"/>
      <c r="L6202" s="81"/>
      <c r="M6202" s="81"/>
      <c r="N6202" s="82"/>
    </row>
    <row r="6203">
      <c r="C6203" s="41"/>
      <c r="D6203" s="141"/>
      <c r="E6203" s="118"/>
      <c r="F6203" s="126"/>
      <c r="G6203" s="126"/>
      <c r="H6203" s="126"/>
      <c r="I6203" s="126"/>
      <c r="J6203" s="76"/>
      <c r="K6203" s="76"/>
      <c r="L6203" s="76"/>
      <c r="M6203" s="76"/>
      <c r="N6203" s="114"/>
    </row>
    <row r="6204">
      <c r="C6204" s="41"/>
      <c r="D6204" s="142"/>
      <c r="E6204" s="130"/>
      <c r="F6204" s="128"/>
      <c r="G6204" s="128"/>
      <c r="H6204" s="128"/>
      <c r="I6204" s="128"/>
      <c r="J6204" s="81"/>
      <c r="K6204" s="81"/>
      <c r="L6204" s="81"/>
      <c r="M6204" s="81"/>
      <c r="N6204" s="82"/>
    </row>
    <row r="6205">
      <c r="C6205" s="41"/>
      <c r="D6205" s="141"/>
      <c r="E6205" s="118"/>
      <c r="F6205" s="126"/>
      <c r="G6205" s="126"/>
      <c r="H6205" s="126"/>
      <c r="I6205" s="126"/>
      <c r="J6205" s="76"/>
      <c r="K6205" s="76"/>
      <c r="L6205" s="76"/>
      <c r="M6205" s="76"/>
      <c r="N6205" s="114"/>
    </row>
    <row r="6206">
      <c r="C6206" s="41"/>
      <c r="D6206" s="142"/>
      <c r="E6206" s="130"/>
      <c r="F6206" s="128"/>
      <c r="G6206" s="128"/>
      <c r="H6206" s="128"/>
      <c r="I6206" s="128"/>
      <c r="J6206" s="81"/>
      <c r="K6206" s="81"/>
      <c r="L6206" s="81"/>
      <c r="M6206" s="81"/>
      <c r="N6206" s="82"/>
    </row>
    <row r="6207">
      <c r="C6207" s="41"/>
      <c r="D6207" s="141"/>
      <c r="E6207" s="118"/>
      <c r="F6207" s="126"/>
      <c r="G6207" s="126"/>
      <c r="H6207" s="126"/>
      <c r="I6207" s="126"/>
      <c r="J6207" s="76"/>
      <c r="K6207" s="76"/>
      <c r="L6207" s="76"/>
      <c r="M6207" s="76"/>
      <c r="N6207" s="114"/>
    </row>
    <row r="6208">
      <c r="C6208" s="41"/>
      <c r="D6208" s="142"/>
      <c r="E6208" s="130"/>
      <c r="F6208" s="128"/>
      <c r="G6208" s="128"/>
      <c r="H6208" s="128"/>
      <c r="I6208" s="128"/>
      <c r="J6208" s="81"/>
      <c r="K6208" s="81"/>
      <c r="L6208" s="81"/>
      <c r="M6208" s="81"/>
      <c r="N6208" s="82"/>
    </row>
    <row r="6209">
      <c r="C6209" s="41"/>
      <c r="D6209" s="141"/>
      <c r="E6209" s="118"/>
      <c r="F6209" s="126"/>
      <c r="G6209" s="126"/>
      <c r="H6209" s="126"/>
      <c r="I6209" s="126"/>
      <c r="J6209" s="76"/>
      <c r="K6209" s="76"/>
      <c r="L6209" s="76"/>
      <c r="M6209" s="76"/>
      <c r="N6209" s="114"/>
    </row>
    <row r="6210">
      <c r="C6210" s="41"/>
      <c r="D6210" s="142"/>
      <c r="E6210" s="130"/>
      <c r="F6210" s="128"/>
      <c r="G6210" s="128"/>
      <c r="H6210" s="128"/>
      <c r="I6210" s="128"/>
      <c r="J6210" s="81"/>
      <c r="K6210" s="81"/>
      <c r="L6210" s="81"/>
      <c r="M6210" s="81"/>
      <c r="N6210" s="82"/>
    </row>
    <row r="6211">
      <c r="C6211" s="41"/>
      <c r="D6211" s="141"/>
      <c r="E6211" s="118"/>
      <c r="F6211" s="126"/>
      <c r="G6211" s="126"/>
      <c r="H6211" s="126"/>
      <c r="I6211" s="126"/>
      <c r="J6211" s="76"/>
      <c r="K6211" s="76"/>
      <c r="L6211" s="76"/>
      <c r="M6211" s="76"/>
      <c r="N6211" s="114"/>
    </row>
    <row r="6212">
      <c r="C6212" s="41"/>
      <c r="D6212" s="142"/>
      <c r="E6212" s="130"/>
      <c r="F6212" s="128"/>
      <c r="G6212" s="128"/>
      <c r="H6212" s="128"/>
      <c r="I6212" s="128"/>
      <c r="J6212" s="81"/>
      <c r="K6212" s="81"/>
      <c r="L6212" s="81"/>
      <c r="M6212" s="81"/>
      <c r="N6212" s="82"/>
    </row>
    <row r="6213">
      <c r="C6213" s="41"/>
      <c r="D6213" s="141"/>
      <c r="E6213" s="118"/>
      <c r="F6213" s="126"/>
      <c r="G6213" s="126"/>
      <c r="H6213" s="126"/>
      <c r="I6213" s="126"/>
      <c r="J6213" s="76"/>
      <c r="K6213" s="76"/>
      <c r="L6213" s="76"/>
      <c r="M6213" s="76"/>
      <c r="N6213" s="114"/>
    </row>
    <row r="6214">
      <c r="C6214" s="41"/>
      <c r="D6214" s="142"/>
      <c r="E6214" s="130"/>
      <c r="F6214" s="128"/>
      <c r="G6214" s="128"/>
      <c r="H6214" s="128"/>
      <c r="I6214" s="128"/>
      <c r="J6214" s="81"/>
      <c r="K6214" s="81"/>
      <c r="L6214" s="81"/>
      <c r="M6214" s="81"/>
      <c r="N6214" s="82"/>
    </row>
    <row r="6215">
      <c r="C6215" s="41"/>
      <c r="D6215" s="141"/>
      <c r="E6215" s="118"/>
      <c r="F6215" s="126"/>
      <c r="G6215" s="126"/>
      <c r="H6215" s="126"/>
      <c r="I6215" s="126"/>
      <c r="J6215" s="76"/>
      <c r="K6215" s="76"/>
      <c r="L6215" s="76"/>
      <c r="M6215" s="76"/>
      <c r="N6215" s="114"/>
    </row>
    <row r="6216">
      <c r="C6216" s="41"/>
      <c r="D6216" s="142"/>
      <c r="E6216" s="130"/>
      <c r="F6216" s="128"/>
      <c r="G6216" s="128"/>
      <c r="H6216" s="128"/>
      <c r="I6216" s="128"/>
      <c r="J6216" s="81"/>
      <c r="K6216" s="81"/>
      <c r="L6216" s="81"/>
      <c r="M6216" s="81"/>
      <c r="N6216" s="82"/>
    </row>
    <row r="6217">
      <c r="C6217" s="41"/>
      <c r="D6217" s="141"/>
      <c r="E6217" s="118"/>
      <c r="F6217" s="126"/>
      <c r="G6217" s="126"/>
      <c r="H6217" s="126"/>
      <c r="I6217" s="126"/>
      <c r="J6217" s="76"/>
      <c r="K6217" s="76"/>
      <c r="L6217" s="76"/>
      <c r="M6217" s="76"/>
      <c r="N6217" s="114"/>
    </row>
    <row r="6218">
      <c r="C6218" s="41"/>
      <c r="D6218" s="142"/>
      <c r="E6218" s="130"/>
      <c r="F6218" s="128"/>
      <c r="G6218" s="128"/>
      <c r="H6218" s="128"/>
      <c r="I6218" s="128"/>
      <c r="J6218" s="81"/>
      <c r="K6218" s="81"/>
      <c r="L6218" s="81"/>
      <c r="M6218" s="81"/>
      <c r="N6218" s="82"/>
    </row>
    <row r="6219">
      <c r="C6219" s="41"/>
      <c r="D6219" s="141"/>
      <c r="E6219" s="118"/>
      <c r="F6219" s="126"/>
      <c r="G6219" s="126"/>
      <c r="H6219" s="126"/>
      <c r="I6219" s="126"/>
      <c r="J6219" s="76"/>
      <c r="K6219" s="76"/>
      <c r="L6219" s="76"/>
      <c r="M6219" s="76"/>
      <c r="N6219" s="114"/>
    </row>
    <row r="6220">
      <c r="C6220" s="41"/>
      <c r="D6220" s="142"/>
      <c r="E6220" s="130"/>
      <c r="F6220" s="128"/>
      <c r="G6220" s="128"/>
      <c r="H6220" s="128"/>
      <c r="I6220" s="128"/>
      <c r="J6220" s="81"/>
      <c r="K6220" s="81"/>
      <c r="L6220" s="81"/>
      <c r="M6220" s="81"/>
      <c r="N6220" s="82"/>
    </row>
    <row r="6221">
      <c r="C6221" s="41"/>
      <c r="D6221" s="141"/>
      <c r="E6221" s="118"/>
      <c r="F6221" s="126"/>
      <c r="G6221" s="126"/>
      <c r="H6221" s="126"/>
      <c r="I6221" s="126"/>
      <c r="J6221" s="76"/>
      <c r="K6221" s="76"/>
      <c r="L6221" s="76"/>
      <c r="M6221" s="76"/>
      <c r="N6221" s="114"/>
    </row>
    <row r="6222">
      <c r="C6222" s="41"/>
      <c r="D6222" s="142"/>
      <c r="E6222" s="130"/>
      <c r="F6222" s="128"/>
      <c r="G6222" s="128"/>
      <c r="H6222" s="128"/>
      <c r="I6222" s="128"/>
      <c r="J6222" s="81"/>
      <c r="K6222" s="81"/>
      <c r="L6222" s="81"/>
      <c r="M6222" s="81"/>
      <c r="N6222" s="82"/>
    </row>
    <row r="6223">
      <c r="C6223" s="41"/>
      <c r="D6223" s="141"/>
      <c r="E6223" s="118"/>
      <c r="F6223" s="126"/>
      <c r="G6223" s="126"/>
      <c r="H6223" s="126"/>
      <c r="I6223" s="126"/>
      <c r="J6223" s="76"/>
      <c r="K6223" s="76"/>
      <c r="L6223" s="76"/>
      <c r="M6223" s="76"/>
      <c r="N6223" s="114"/>
    </row>
    <row r="6224">
      <c r="C6224" s="41"/>
      <c r="D6224" s="142"/>
      <c r="E6224" s="130"/>
      <c r="F6224" s="128"/>
      <c r="G6224" s="128"/>
      <c r="H6224" s="128"/>
      <c r="I6224" s="128"/>
      <c r="J6224" s="81"/>
      <c r="K6224" s="81"/>
      <c r="L6224" s="81"/>
      <c r="M6224" s="81"/>
      <c r="N6224" s="82"/>
    </row>
    <row r="6225">
      <c r="C6225" s="41"/>
      <c r="D6225" s="141"/>
      <c r="E6225" s="118"/>
      <c r="F6225" s="126"/>
      <c r="G6225" s="126"/>
      <c r="H6225" s="126"/>
      <c r="I6225" s="126"/>
      <c r="J6225" s="76"/>
      <c r="K6225" s="76"/>
      <c r="L6225" s="76"/>
      <c r="M6225" s="76"/>
      <c r="N6225" s="114"/>
    </row>
    <row r="6226">
      <c r="C6226" s="41"/>
      <c r="D6226" s="142"/>
      <c r="E6226" s="130"/>
      <c r="F6226" s="128"/>
      <c r="G6226" s="128"/>
      <c r="H6226" s="128"/>
      <c r="I6226" s="128"/>
      <c r="J6226" s="81"/>
      <c r="K6226" s="81"/>
      <c r="L6226" s="81"/>
      <c r="M6226" s="81"/>
      <c r="N6226" s="82"/>
    </row>
    <row r="6227">
      <c r="C6227" s="41"/>
      <c r="D6227" s="141"/>
      <c r="E6227" s="118"/>
      <c r="F6227" s="126"/>
      <c r="G6227" s="126"/>
      <c r="H6227" s="126"/>
      <c r="I6227" s="126"/>
      <c r="J6227" s="76"/>
      <c r="K6227" s="76"/>
      <c r="L6227" s="76"/>
      <c r="M6227" s="76"/>
      <c r="N6227" s="114"/>
    </row>
    <row r="6228">
      <c r="C6228" s="41"/>
      <c r="D6228" s="142"/>
      <c r="E6228" s="130"/>
      <c r="F6228" s="128"/>
      <c r="G6228" s="128"/>
      <c r="H6228" s="128"/>
      <c r="I6228" s="128"/>
      <c r="J6228" s="81"/>
      <c r="K6228" s="81"/>
      <c r="L6228" s="81"/>
      <c r="M6228" s="81"/>
      <c r="N6228" s="82"/>
    </row>
    <row r="6229">
      <c r="C6229" s="41"/>
      <c r="D6229" s="141"/>
      <c r="E6229" s="118"/>
      <c r="F6229" s="126"/>
      <c r="G6229" s="126"/>
      <c r="H6229" s="126"/>
      <c r="I6229" s="126"/>
      <c r="J6229" s="76"/>
      <c r="K6229" s="76"/>
      <c r="L6229" s="76"/>
      <c r="M6229" s="76"/>
      <c r="N6229" s="114"/>
    </row>
    <row r="6230">
      <c r="C6230" s="41"/>
      <c r="D6230" s="142"/>
      <c r="E6230" s="130"/>
      <c r="F6230" s="128"/>
      <c r="G6230" s="128"/>
      <c r="H6230" s="128"/>
      <c r="I6230" s="128"/>
      <c r="J6230" s="81"/>
      <c r="K6230" s="81"/>
      <c r="L6230" s="81"/>
      <c r="M6230" s="81"/>
      <c r="N6230" s="82"/>
    </row>
    <row r="6231">
      <c r="C6231" s="41"/>
      <c r="D6231" s="141"/>
      <c r="E6231" s="118"/>
      <c r="F6231" s="126"/>
      <c r="G6231" s="126"/>
      <c r="H6231" s="126"/>
      <c r="I6231" s="126"/>
      <c r="J6231" s="76"/>
      <c r="K6231" s="76"/>
      <c r="L6231" s="76"/>
      <c r="M6231" s="76"/>
      <c r="N6231" s="114"/>
    </row>
    <row r="6232">
      <c r="C6232" s="41"/>
      <c r="D6232" s="142"/>
      <c r="E6232" s="130"/>
      <c r="F6232" s="128"/>
      <c r="G6232" s="128"/>
      <c r="H6232" s="128"/>
      <c r="I6232" s="128"/>
      <c r="J6232" s="81"/>
      <c r="K6232" s="81"/>
      <c r="L6232" s="81"/>
      <c r="M6232" s="81"/>
      <c r="N6232" s="82"/>
    </row>
    <row r="6233">
      <c r="C6233" s="41"/>
      <c r="D6233" s="141"/>
      <c r="E6233" s="118"/>
      <c r="F6233" s="126"/>
      <c r="G6233" s="126"/>
      <c r="H6233" s="126"/>
      <c r="I6233" s="126"/>
      <c r="J6233" s="76"/>
      <c r="K6233" s="76"/>
      <c r="L6233" s="76"/>
      <c r="M6233" s="76"/>
      <c r="N6233" s="114"/>
    </row>
    <row r="6234">
      <c r="C6234" s="41"/>
      <c r="D6234" s="142"/>
      <c r="E6234" s="130"/>
      <c r="F6234" s="128"/>
      <c r="G6234" s="128"/>
      <c r="H6234" s="128"/>
      <c r="I6234" s="128"/>
      <c r="J6234" s="81"/>
      <c r="K6234" s="81"/>
      <c r="L6234" s="81"/>
      <c r="M6234" s="81"/>
      <c r="N6234" s="82"/>
    </row>
    <row r="6235">
      <c r="C6235" s="41"/>
      <c r="D6235" s="141"/>
      <c r="E6235" s="118"/>
      <c r="F6235" s="126"/>
      <c r="G6235" s="126"/>
      <c r="H6235" s="126"/>
      <c r="I6235" s="126"/>
      <c r="J6235" s="76"/>
      <c r="K6235" s="76"/>
      <c r="L6235" s="76"/>
      <c r="M6235" s="76"/>
      <c r="N6235" s="114"/>
    </row>
    <row r="6236">
      <c r="C6236" s="41"/>
      <c r="D6236" s="142"/>
      <c r="E6236" s="130"/>
      <c r="F6236" s="128"/>
      <c r="G6236" s="128"/>
      <c r="H6236" s="128"/>
      <c r="I6236" s="128"/>
      <c r="J6236" s="81"/>
      <c r="K6236" s="81"/>
      <c r="L6236" s="81"/>
      <c r="M6236" s="81"/>
      <c r="N6236" s="82"/>
    </row>
    <row r="6237">
      <c r="C6237" s="41"/>
      <c r="D6237" s="141"/>
      <c r="E6237" s="118"/>
      <c r="F6237" s="126"/>
      <c r="G6237" s="126"/>
      <c r="H6237" s="126"/>
      <c r="I6237" s="126"/>
      <c r="J6237" s="76"/>
      <c r="K6237" s="76"/>
      <c r="L6237" s="76"/>
      <c r="M6237" s="76"/>
      <c r="N6237" s="114"/>
    </row>
    <row r="6238">
      <c r="C6238" s="41"/>
      <c r="D6238" s="142"/>
      <c r="E6238" s="130"/>
      <c r="F6238" s="128"/>
      <c r="G6238" s="128"/>
      <c r="H6238" s="128"/>
      <c r="I6238" s="128"/>
      <c r="J6238" s="81"/>
      <c r="K6238" s="81"/>
      <c r="L6238" s="81"/>
      <c r="M6238" s="81"/>
      <c r="N6238" s="82"/>
    </row>
    <row r="6239">
      <c r="C6239" s="41"/>
      <c r="D6239" s="141"/>
      <c r="E6239" s="118"/>
      <c r="F6239" s="126"/>
      <c r="G6239" s="126"/>
      <c r="H6239" s="126"/>
      <c r="I6239" s="126"/>
      <c r="J6239" s="76"/>
      <c r="K6239" s="76"/>
      <c r="L6239" s="76"/>
      <c r="M6239" s="76"/>
      <c r="N6239" s="114"/>
    </row>
    <row r="6240">
      <c r="C6240" s="41"/>
      <c r="D6240" s="142"/>
      <c r="E6240" s="130"/>
      <c r="F6240" s="128"/>
      <c r="G6240" s="128"/>
      <c r="H6240" s="128"/>
      <c r="I6240" s="128"/>
      <c r="J6240" s="81"/>
      <c r="K6240" s="81"/>
      <c r="L6240" s="81"/>
      <c r="M6240" s="81"/>
      <c r="N6240" s="82"/>
    </row>
    <row r="6241">
      <c r="C6241" s="41"/>
      <c r="D6241" s="141"/>
      <c r="E6241" s="118"/>
      <c r="F6241" s="126"/>
      <c r="G6241" s="126"/>
      <c r="H6241" s="126"/>
      <c r="I6241" s="126"/>
      <c r="J6241" s="76"/>
      <c r="K6241" s="76"/>
      <c r="L6241" s="76"/>
      <c r="M6241" s="76"/>
      <c r="N6241" s="114"/>
    </row>
    <row r="6242">
      <c r="C6242" s="41"/>
      <c r="D6242" s="142"/>
      <c r="E6242" s="130"/>
      <c r="F6242" s="128"/>
      <c r="G6242" s="128"/>
      <c r="H6242" s="128"/>
      <c r="I6242" s="128"/>
      <c r="J6242" s="81"/>
      <c r="K6242" s="81"/>
      <c r="L6242" s="81"/>
      <c r="M6242" s="81"/>
      <c r="N6242" s="82"/>
    </row>
    <row r="6243">
      <c r="C6243" s="41"/>
      <c r="D6243" s="141"/>
      <c r="E6243" s="118"/>
      <c r="F6243" s="126"/>
      <c r="G6243" s="126"/>
      <c r="H6243" s="126"/>
      <c r="I6243" s="126"/>
      <c r="J6243" s="76"/>
      <c r="K6243" s="76"/>
      <c r="L6243" s="76"/>
      <c r="M6243" s="76"/>
      <c r="N6243" s="114"/>
    </row>
    <row r="6244">
      <c r="C6244" s="41"/>
      <c r="D6244" s="142"/>
      <c r="E6244" s="130"/>
      <c r="F6244" s="128"/>
      <c r="G6244" s="128"/>
      <c r="H6244" s="128"/>
      <c r="I6244" s="128"/>
      <c r="J6244" s="81"/>
      <c r="K6244" s="81"/>
      <c r="L6244" s="81"/>
      <c r="M6244" s="81"/>
      <c r="N6244" s="82"/>
    </row>
    <row r="6245">
      <c r="C6245" s="41"/>
      <c r="D6245" s="141"/>
      <c r="E6245" s="118"/>
      <c r="F6245" s="126"/>
      <c r="G6245" s="126"/>
      <c r="H6245" s="126"/>
      <c r="I6245" s="126"/>
      <c r="J6245" s="76"/>
      <c r="K6245" s="76"/>
      <c r="L6245" s="76"/>
      <c r="M6245" s="76"/>
      <c r="N6245" s="114"/>
    </row>
    <row r="6246">
      <c r="C6246" s="41"/>
      <c r="D6246" s="142"/>
      <c r="E6246" s="130"/>
      <c r="F6246" s="128"/>
      <c r="G6246" s="128"/>
      <c r="H6246" s="128"/>
      <c r="I6246" s="128"/>
      <c r="J6246" s="81"/>
      <c r="K6246" s="81"/>
      <c r="L6246" s="81"/>
      <c r="M6246" s="81"/>
      <c r="N6246" s="82"/>
    </row>
    <row r="6247">
      <c r="C6247" s="41"/>
      <c r="D6247" s="141"/>
      <c r="E6247" s="118"/>
      <c r="F6247" s="126"/>
      <c r="G6247" s="126"/>
      <c r="H6247" s="126"/>
      <c r="I6247" s="126"/>
      <c r="J6247" s="76"/>
      <c r="K6247" s="76"/>
      <c r="L6247" s="76"/>
      <c r="M6247" s="76"/>
      <c r="N6247" s="114"/>
    </row>
    <row r="6248">
      <c r="C6248" s="41"/>
      <c r="D6248" s="142"/>
      <c r="E6248" s="130"/>
      <c r="F6248" s="128"/>
      <c r="G6248" s="128"/>
      <c r="H6248" s="128"/>
      <c r="I6248" s="128"/>
      <c r="J6248" s="81"/>
      <c r="K6248" s="81"/>
      <c r="L6248" s="81"/>
      <c r="M6248" s="81"/>
      <c r="N6248" s="82"/>
    </row>
    <row r="6249">
      <c r="C6249" s="41"/>
      <c r="D6249" s="141"/>
      <c r="E6249" s="118"/>
      <c r="F6249" s="126"/>
      <c r="G6249" s="126"/>
      <c r="H6249" s="126"/>
      <c r="I6249" s="126"/>
      <c r="J6249" s="76"/>
      <c r="K6249" s="76"/>
      <c r="L6249" s="76"/>
      <c r="M6249" s="76"/>
      <c r="N6249" s="114"/>
    </row>
    <row r="6250">
      <c r="C6250" s="41"/>
      <c r="D6250" s="142"/>
      <c r="E6250" s="130"/>
      <c r="F6250" s="128"/>
      <c r="G6250" s="128"/>
      <c r="H6250" s="128"/>
      <c r="I6250" s="128"/>
      <c r="J6250" s="81"/>
      <c r="K6250" s="81"/>
      <c r="L6250" s="81"/>
      <c r="M6250" s="81"/>
      <c r="N6250" s="82"/>
    </row>
    <row r="6251">
      <c r="C6251" s="41"/>
      <c r="D6251" s="141"/>
      <c r="E6251" s="118"/>
      <c r="F6251" s="126"/>
      <c r="G6251" s="126"/>
      <c r="H6251" s="126"/>
      <c r="I6251" s="126"/>
      <c r="J6251" s="76"/>
      <c r="K6251" s="76"/>
      <c r="L6251" s="76"/>
      <c r="M6251" s="76"/>
      <c r="N6251" s="114"/>
    </row>
    <row r="6252">
      <c r="C6252" s="41"/>
      <c r="D6252" s="142"/>
      <c r="E6252" s="130"/>
      <c r="F6252" s="128"/>
      <c r="G6252" s="128"/>
      <c r="H6252" s="128"/>
      <c r="I6252" s="128"/>
      <c r="J6252" s="81"/>
      <c r="K6252" s="81"/>
      <c r="L6252" s="81"/>
      <c r="M6252" s="81"/>
      <c r="N6252" s="82"/>
    </row>
    <row r="6253">
      <c r="C6253" s="41"/>
      <c r="D6253" s="141"/>
      <c r="E6253" s="118"/>
      <c r="F6253" s="126"/>
      <c r="G6253" s="126"/>
      <c r="H6253" s="126"/>
      <c r="I6253" s="126"/>
      <c r="J6253" s="76"/>
      <c r="K6253" s="76"/>
      <c r="L6253" s="76"/>
      <c r="M6253" s="76"/>
      <c r="N6253" s="114"/>
    </row>
    <row r="6254">
      <c r="C6254" s="41"/>
      <c r="D6254" s="142"/>
      <c r="E6254" s="130"/>
      <c r="F6254" s="128"/>
      <c r="G6254" s="128"/>
      <c r="H6254" s="128"/>
      <c r="I6254" s="128"/>
      <c r="J6254" s="81"/>
      <c r="K6254" s="81"/>
      <c r="L6254" s="81"/>
      <c r="M6254" s="81"/>
      <c r="N6254" s="82"/>
    </row>
    <row r="6255">
      <c r="C6255" s="41"/>
      <c r="D6255" s="141"/>
      <c r="E6255" s="118"/>
      <c r="F6255" s="126"/>
      <c r="G6255" s="126"/>
      <c r="H6255" s="126"/>
      <c r="I6255" s="126"/>
      <c r="J6255" s="76"/>
      <c r="K6255" s="76"/>
      <c r="L6255" s="76"/>
      <c r="M6255" s="76"/>
      <c r="N6255" s="114"/>
    </row>
    <row r="6256">
      <c r="C6256" s="41"/>
      <c r="D6256" s="142"/>
      <c r="E6256" s="130"/>
      <c r="F6256" s="128"/>
      <c r="G6256" s="128"/>
      <c r="H6256" s="128"/>
      <c r="I6256" s="128"/>
      <c r="J6256" s="81"/>
      <c r="K6256" s="81"/>
      <c r="L6256" s="81"/>
      <c r="M6256" s="81"/>
      <c r="N6256" s="82"/>
    </row>
    <row r="6257">
      <c r="C6257" s="41"/>
      <c r="D6257" s="141"/>
      <c r="E6257" s="118"/>
      <c r="F6257" s="126"/>
      <c r="G6257" s="126"/>
      <c r="H6257" s="126"/>
      <c r="I6257" s="126"/>
      <c r="J6257" s="76"/>
      <c r="K6257" s="76"/>
      <c r="L6257" s="76"/>
      <c r="M6257" s="76"/>
      <c r="N6257" s="114"/>
    </row>
    <row r="6258">
      <c r="C6258" s="41"/>
      <c r="D6258" s="142"/>
      <c r="E6258" s="130"/>
      <c r="F6258" s="128"/>
      <c r="G6258" s="128"/>
      <c r="H6258" s="128"/>
      <c r="I6258" s="128"/>
      <c r="J6258" s="81"/>
      <c r="K6258" s="81"/>
      <c r="L6258" s="81"/>
      <c r="M6258" s="81"/>
      <c r="N6258" s="82"/>
    </row>
    <row r="6259">
      <c r="C6259" s="41"/>
      <c r="D6259" s="141"/>
      <c r="E6259" s="118"/>
      <c r="F6259" s="126"/>
      <c r="G6259" s="126"/>
      <c r="H6259" s="126"/>
      <c r="I6259" s="126"/>
      <c r="J6259" s="76"/>
      <c r="K6259" s="76"/>
      <c r="L6259" s="76"/>
      <c r="M6259" s="76"/>
      <c r="N6259" s="114"/>
    </row>
    <row r="6260">
      <c r="C6260" s="41"/>
      <c r="D6260" s="142"/>
      <c r="E6260" s="130"/>
      <c r="F6260" s="128"/>
      <c r="G6260" s="128"/>
      <c r="H6260" s="128"/>
      <c r="I6260" s="128"/>
      <c r="J6260" s="81"/>
      <c r="K6260" s="81"/>
      <c r="L6260" s="81"/>
      <c r="M6260" s="81"/>
      <c r="N6260" s="82"/>
    </row>
    <row r="6261">
      <c r="C6261" s="41"/>
      <c r="D6261" s="141"/>
      <c r="E6261" s="118"/>
      <c r="F6261" s="126"/>
      <c r="G6261" s="126"/>
      <c r="H6261" s="126"/>
      <c r="I6261" s="126"/>
      <c r="J6261" s="76"/>
      <c r="K6261" s="76"/>
      <c r="L6261" s="76"/>
      <c r="M6261" s="76"/>
      <c r="N6261" s="114"/>
    </row>
    <row r="6262">
      <c r="C6262" s="41"/>
      <c r="D6262" s="142"/>
      <c r="E6262" s="130"/>
      <c r="F6262" s="128"/>
      <c r="G6262" s="128"/>
      <c r="H6262" s="128"/>
      <c r="I6262" s="128"/>
      <c r="J6262" s="81"/>
      <c r="K6262" s="81"/>
      <c r="L6262" s="81"/>
      <c r="M6262" s="81"/>
      <c r="N6262" s="82"/>
    </row>
    <row r="6263">
      <c r="C6263" s="41"/>
      <c r="D6263" s="141"/>
      <c r="E6263" s="118"/>
      <c r="F6263" s="126"/>
      <c r="G6263" s="126"/>
      <c r="H6263" s="126"/>
      <c r="I6263" s="126"/>
      <c r="J6263" s="76"/>
      <c r="K6263" s="76"/>
      <c r="L6263" s="76"/>
      <c r="M6263" s="76"/>
      <c r="N6263" s="114"/>
    </row>
    <row r="6264">
      <c r="C6264" s="41"/>
      <c r="D6264" s="142"/>
      <c r="E6264" s="130"/>
      <c r="F6264" s="128"/>
      <c r="G6264" s="128"/>
      <c r="H6264" s="128"/>
      <c r="I6264" s="128"/>
      <c r="J6264" s="81"/>
      <c r="K6264" s="81"/>
      <c r="L6264" s="81"/>
      <c r="M6264" s="81"/>
      <c r="N6264" s="82"/>
    </row>
    <row r="6265">
      <c r="C6265" s="41"/>
      <c r="D6265" s="141"/>
      <c r="E6265" s="118"/>
      <c r="F6265" s="126"/>
      <c r="G6265" s="126"/>
      <c r="H6265" s="126"/>
      <c r="I6265" s="126"/>
      <c r="J6265" s="76"/>
      <c r="K6265" s="76"/>
      <c r="L6265" s="76"/>
      <c r="M6265" s="76"/>
      <c r="N6265" s="114"/>
    </row>
    <row r="6266">
      <c r="C6266" s="41"/>
      <c r="D6266" s="142"/>
      <c r="E6266" s="130"/>
      <c r="F6266" s="128"/>
      <c r="G6266" s="128"/>
      <c r="H6266" s="128"/>
      <c r="I6266" s="128"/>
      <c r="J6266" s="81"/>
      <c r="K6266" s="81"/>
      <c r="L6266" s="81"/>
      <c r="M6266" s="81"/>
      <c r="N6266" s="82"/>
    </row>
    <row r="6267">
      <c r="C6267" s="41"/>
      <c r="D6267" s="141"/>
      <c r="E6267" s="118"/>
      <c r="F6267" s="126"/>
      <c r="G6267" s="126"/>
      <c r="H6267" s="126"/>
      <c r="I6267" s="126"/>
      <c r="J6267" s="76"/>
      <c r="K6267" s="76"/>
      <c r="L6267" s="76"/>
      <c r="M6267" s="76"/>
      <c r="N6267" s="114"/>
    </row>
    <row r="6268">
      <c r="C6268" s="41"/>
      <c r="D6268" s="142"/>
      <c r="E6268" s="130"/>
      <c r="F6268" s="128"/>
      <c r="G6268" s="128"/>
      <c r="H6268" s="128"/>
      <c r="I6268" s="128"/>
      <c r="J6268" s="81"/>
      <c r="K6268" s="81"/>
      <c r="L6268" s="81"/>
      <c r="M6268" s="81"/>
      <c r="N6268" s="82"/>
    </row>
    <row r="6269">
      <c r="C6269" s="41"/>
      <c r="D6269" s="141"/>
      <c r="E6269" s="118"/>
      <c r="F6269" s="126"/>
      <c r="G6269" s="126"/>
      <c r="H6269" s="126"/>
      <c r="I6269" s="126"/>
      <c r="J6269" s="76"/>
      <c r="K6269" s="76"/>
      <c r="L6269" s="76"/>
      <c r="M6269" s="76"/>
      <c r="N6269" s="114"/>
    </row>
    <row r="6270">
      <c r="C6270" s="41"/>
      <c r="D6270" s="142"/>
      <c r="E6270" s="130"/>
      <c r="F6270" s="128"/>
      <c r="G6270" s="128"/>
      <c r="H6270" s="128"/>
      <c r="I6270" s="128"/>
      <c r="J6270" s="81"/>
      <c r="K6270" s="81"/>
      <c r="L6270" s="81"/>
      <c r="M6270" s="81"/>
      <c r="N6270" s="82"/>
    </row>
    <row r="6271">
      <c r="C6271" s="41"/>
      <c r="D6271" s="141"/>
      <c r="E6271" s="118"/>
      <c r="F6271" s="126"/>
      <c r="G6271" s="126"/>
      <c r="H6271" s="126"/>
      <c r="I6271" s="126"/>
      <c r="J6271" s="76"/>
      <c r="K6271" s="76"/>
      <c r="L6271" s="76"/>
      <c r="M6271" s="76"/>
      <c r="N6271" s="114"/>
    </row>
    <row r="6272">
      <c r="C6272" s="41"/>
      <c r="D6272" s="142"/>
      <c r="E6272" s="130"/>
      <c r="F6272" s="128"/>
      <c r="G6272" s="128"/>
      <c r="H6272" s="128"/>
      <c r="I6272" s="128"/>
      <c r="J6272" s="81"/>
      <c r="K6272" s="81"/>
      <c r="L6272" s="81"/>
      <c r="M6272" s="81"/>
      <c r="N6272" s="82"/>
    </row>
    <row r="6273">
      <c r="C6273" s="41"/>
      <c r="D6273" s="141"/>
      <c r="E6273" s="118"/>
      <c r="F6273" s="126"/>
      <c r="G6273" s="126"/>
      <c r="H6273" s="126"/>
      <c r="I6273" s="126"/>
      <c r="J6273" s="76"/>
      <c r="K6273" s="76"/>
      <c r="L6273" s="76"/>
      <c r="M6273" s="76"/>
      <c r="N6273" s="114"/>
    </row>
    <row r="6274">
      <c r="C6274" s="41"/>
      <c r="D6274" s="142"/>
      <c r="E6274" s="130"/>
      <c r="F6274" s="128"/>
      <c r="G6274" s="128"/>
      <c r="H6274" s="128"/>
      <c r="I6274" s="128"/>
      <c r="J6274" s="81"/>
      <c r="K6274" s="81"/>
      <c r="L6274" s="81"/>
      <c r="M6274" s="81"/>
      <c r="N6274" s="82"/>
    </row>
    <row r="6275">
      <c r="C6275" s="41"/>
      <c r="D6275" s="141"/>
      <c r="E6275" s="118"/>
      <c r="F6275" s="126"/>
      <c r="G6275" s="126"/>
      <c r="H6275" s="126"/>
      <c r="I6275" s="126"/>
      <c r="J6275" s="76"/>
      <c r="K6275" s="76"/>
      <c r="L6275" s="76"/>
      <c r="M6275" s="76"/>
      <c r="N6275" s="114"/>
    </row>
    <row r="6276">
      <c r="C6276" s="41"/>
      <c r="D6276" s="142"/>
      <c r="E6276" s="130"/>
      <c r="F6276" s="128"/>
      <c r="G6276" s="128"/>
      <c r="H6276" s="128"/>
      <c r="I6276" s="128"/>
      <c r="J6276" s="81"/>
      <c r="K6276" s="81"/>
      <c r="L6276" s="81"/>
      <c r="M6276" s="81"/>
      <c r="N6276" s="82"/>
    </row>
    <row r="6277">
      <c r="C6277" s="41"/>
      <c r="D6277" s="141"/>
      <c r="E6277" s="118"/>
      <c r="F6277" s="126"/>
      <c r="G6277" s="126"/>
      <c r="H6277" s="126"/>
      <c r="I6277" s="126"/>
      <c r="J6277" s="76"/>
      <c r="K6277" s="76"/>
      <c r="L6277" s="76"/>
      <c r="M6277" s="76"/>
      <c r="N6277" s="114"/>
    </row>
    <row r="6278">
      <c r="C6278" s="41"/>
      <c r="D6278" s="142"/>
      <c r="E6278" s="130"/>
      <c r="F6278" s="128"/>
      <c r="G6278" s="128"/>
      <c r="H6278" s="128"/>
      <c r="I6278" s="128"/>
      <c r="J6278" s="81"/>
      <c r="K6278" s="81"/>
      <c r="L6278" s="81"/>
      <c r="M6278" s="81"/>
      <c r="N6278" s="82"/>
    </row>
    <row r="6279">
      <c r="C6279" s="41"/>
      <c r="D6279" s="141"/>
      <c r="E6279" s="118"/>
      <c r="F6279" s="126"/>
      <c r="G6279" s="126"/>
      <c r="H6279" s="126"/>
      <c r="I6279" s="126"/>
      <c r="J6279" s="76"/>
      <c r="K6279" s="76"/>
      <c r="L6279" s="76"/>
      <c r="M6279" s="76"/>
      <c r="N6279" s="114"/>
    </row>
    <row r="6280">
      <c r="C6280" s="41"/>
      <c r="D6280" s="142"/>
      <c r="E6280" s="130"/>
      <c r="F6280" s="128"/>
      <c r="G6280" s="128"/>
      <c r="H6280" s="128"/>
      <c r="I6280" s="128"/>
      <c r="J6280" s="81"/>
      <c r="K6280" s="81"/>
      <c r="L6280" s="81"/>
      <c r="M6280" s="81"/>
      <c r="N6280" s="82"/>
    </row>
    <row r="6281">
      <c r="C6281" s="41"/>
      <c r="D6281" s="141"/>
      <c r="E6281" s="118"/>
      <c r="F6281" s="126"/>
      <c r="G6281" s="126"/>
      <c r="H6281" s="126"/>
      <c r="I6281" s="126"/>
      <c r="J6281" s="76"/>
      <c r="K6281" s="76"/>
      <c r="L6281" s="76"/>
      <c r="M6281" s="76"/>
      <c r="N6281" s="114"/>
    </row>
    <row r="6282">
      <c r="C6282" s="41"/>
      <c r="D6282" s="142"/>
      <c r="E6282" s="130"/>
      <c r="F6282" s="128"/>
      <c r="G6282" s="128"/>
      <c r="H6282" s="128"/>
      <c r="I6282" s="128"/>
      <c r="J6282" s="81"/>
      <c r="K6282" s="81"/>
      <c r="L6282" s="81"/>
      <c r="M6282" s="81"/>
      <c r="N6282" s="82"/>
    </row>
    <row r="6283">
      <c r="C6283" s="41"/>
      <c r="D6283" s="141"/>
      <c r="E6283" s="118"/>
      <c r="F6283" s="126"/>
      <c r="G6283" s="126"/>
      <c r="H6283" s="126"/>
      <c r="I6283" s="126"/>
      <c r="J6283" s="76"/>
      <c r="K6283" s="76"/>
      <c r="L6283" s="76"/>
      <c r="M6283" s="76"/>
      <c r="N6283" s="114"/>
    </row>
    <row r="6284">
      <c r="C6284" s="41"/>
      <c r="D6284" s="142"/>
      <c r="E6284" s="130"/>
      <c r="F6284" s="128"/>
      <c r="G6284" s="128"/>
      <c r="H6284" s="128"/>
      <c r="I6284" s="128"/>
      <c r="J6284" s="81"/>
      <c r="K6284" s="81"/>
      <c r="L6284" s="81"/>
      <c r="M6284" s="81"/>
      <c r="N6284" s="82"/>
    </row>
    <row r="6285">
      <c r="C6285" s="41"/>
      <c r="D6285" s="141"/>
      <c r="E6285" s="118"/>
      <c r="F6285" s="126"/>
      <c r="G6285" s="126"/>
      <c r="H6285" s="126"/>
      <c r="I6285" s="126"/>
      <c r="J6285" s="76"/>
      <c r="K6285" s="76"/>
      <c r="L6285" s="76"/>
      <c r="M6285" s="76"/>
      <c r="N6285" s="114"/>
    </row>
    <row r="6286">
      <c r="C6286" s="41"/>
      <c r="D6286" s="142"/>
      <c r="E6286" s="130"/>
      <c r="F6286" s="128"/>
      <c r="G6286" s="128"/>
      <c r="H6286" s="128"/>
      <c r="I6286" s="128"/>
      <c r="J6286" s="81"/>
      <c r="K6286" s="81"/>
      <c r="L6286" s="81"/>
      <c r="M6286" s="81"/>
      <c r="N6286" s="82"/>
    </row>
    <row r="6287">
      <c r="C6287" s="41"/>
      <c r="D6287" s="141"/>
      <c r="E6287" s="118"/>
      <c r="F6287" s="126"/>
      <c r="G6287" s="126"/>
      <c r="H6287" s="126"/>
      <c r="I6287" s="126"/>
      <c r="J6287" s="76"/>
      <c r="K6287" s="76"/>
      <c r="L6287" s="76"/>
      <c r="M6287" s="76"/>
      <c r="N6287" s="114"/>
    </row>
    <row r="6288">
      <c r="C6288" s="41"/>
      <c r="D6288" s="142"/>
      <c r="E6288" s="130"/>
      <c r="F6288" s="128"/>
      <c r="G6288" s="128"/>
      <c r="H6288" s="128"/>
      <c r="I6288" s="128"/>
      <c r="J6288" s="81"/>
      <c r="K6288" s="81"/>
      <c r="L6288" s="81"/>
      <c r="M6288" s="81"/>
      <c r="N6288" s="82"/>
    </row>
    <row r="6289">
      <c r="C6289" s="41"/>
      <c r="D6289" s="141"/>
      <c r="E6289" s="118"/>
      <c r="F6289" s="126"/>
      <c r="G6289" s="126"/>
      <c r="H6289" s="126"/>
      <c r="I6289" s="126"/>
      <c r="J6289" s="76"/>
      <c r="K6289" s="76"/>
      <c r="L6289" s="76"/>
      <c r="M6289" s="76"/>
      <c r="N6289" s="114"/>
    </row>
    <row r="6290">
      <c r="C6290" s="41"/>
      <c r="D6290" s="142"/>
      <c r="E6290" s="130"/>
      <c r="F6290" s="128"/>
      <c r="G6290" s="128"/>
      <c r="H6290" s="128"/>
      <c r="I6290" s="128"/>
      <c r="J6290" s="81"/>
      <c r="K6290" s="81"/>
      <c r="L6290" s="81"/>
      <c r="M6290" s="81"/>
      <c r="N6290" s="82"/>
    </row>
    <row r="6291">
      <c r="C6291" s="41"/>
      <c r="D6291" s="141"/>
      <c r="E6291" s="118"/>
      <c r="F6291" s="126"/>
      <c r="G6291" s="126"/>
      <c r="H6291" s="126"/>
      <c r="I6291" s="126"/>
      <c r="J6291" s="76"/>
      <c r="K6291" s="76"/>
      <c r="L6291" s="76"/>
      <c r="M6291" s="76"/>
      <c r="N6291" s="114"/>
    </row>
    <row r="6292">
      <c r="C6292" s="41"/>
      <c r="D6292" s="142"/>
      <c r="E6292" s="130"/>
      <c r="F6292" s="128"/>
      <c r="G6292" s="128"/>
      <c r="H6292" s="128"/>
      <c r="I6292" s="128"/>
      <c r="J6292" s="81"/>
      <c r="K6292" s="81"/>
      <c r="L6292" s="81"/>
      <c r="M6292" s="81"/>
      <c r="N6292" s="82"/>
    </row>
    <row r="6293">
      <c r="C6293" s="41"/>
      <c r="D6293" s="141"/>
      <c r="E6293" s="118"/>
      <c r="F6293" s="126"/>
      <c r="G6293" s="126"/>
      <c r="H6293" s="126"/>
      <c r="I6293" s="126"/>
      <c r="J6293" s="76"/>
      <c r="K6293" s="76"/>
      <c r="L6293" s="76"/>
      <c r="M6293" s="76"/>
      <c r="N6293" s="114"/>
    </row>
    <row r="6294">
      <c r="C6294" s="41"/>
      <c r="D6294" s="142"/>
      <c r="E6294" s="130"/>
      <c r="F6294" s="128"/>
      <c r="G6294" s="128"/>
      <c r="H6294" s="128"/>
      <c r="I6294" s="128"/>
      <c r="J6294" s="81"/>
      <c r="K6294" s="81"/>
      <c r="L6294" s="81"/>
      <c r="M6294" s="81"/>
      <c r="N6294" s="82"/>
    </row>
    <row r="6295">
      <c r="C6295" s="41"/>
      <c r="D6295" s="141"/>
      <c r="E6295" s="118"/>
      <c r="F6295" s="126"/>
      <c r="G6295" s="126"/>
      <c r="H6295" s="126"/>
      <c r="I6295" s="126"/>
      <c r="J6295" s="76"/>
      <c r="K6295" s="76"/>
      <c r="L6295" s="76"/>
      <c r="M6295" s="76"/>
      <c r="N6295" s="114"/>
    </row>
    <row r="6296">
      <c r="C6296" s="41"/>
      <c r="D6296" s="142"/>
      <c r="E6296" s="130"/>
      <c r="F6296" s="128"/>
      <c r="G6296" s="128"/>
      <c r="H6296" s="128"/>
      <c r="I6296" s="128"/>
      <c r="J6296" s="81"/>
      <c r="K6296" s="81"/>
      <c r="L6296" s="81"/>
      <c r="M6296" s="81"/>
      <c r="N6296" s="82"/>
    </row>
    <row r="6297">
      <c r="C6297" s="41"/>
      <c r="D6297" s="141"/>
      <c r="E6297" s="118"/>
      <c r="F6297" s="126"/>
      <c r="G6297" s="126"/>
      <c r="H6297" s="126"/>
      <c r="I6297" s="126"/>
      <c r="J6297" s="76"/>
      <c r="K6297" s="76"/>
      <c r="L6297" s="76"/>
      <c r="M6297" s="76"/>
      <c r="N6297" s="114"/>
    </row>
    <row r="6298">
      <c r="C6298" s="41"/>
      <c r="D6298" s="142"/>
      <c r="E6298" s="130"/>
      <c r="F6298" s="128"/>
      <c r="G6298" s="128"/>
      <c r="H6298" s="128"/>
      <c r="I6298" s="128"/>
      <c r="J6298" s="81"/>
      <c r="K6298" s="81"/>
      <c r="L6298" s="81"/>
      <c r="M6298" s="81"/>
      <c r="N6298" s="82"/>
    </row>
    <row r="6299">
      <c r="C6299" s="41"/>
      <c r="D6299" s="141"/>
      <c r="E6299" s="118"/>
      <c r="F6299" s="126"/>
      <c r="G6299" s="126"/>
      <c r="H6299" s="126"/>
      <c r="I6299" s="126"/>
      <c r="J6299" s="76"/>
      <c r="K6299" s="76"/>
      <c r="L6299" s="76"/>
      <c r="M6299" s="76"/>
      <c r="N6299" s="114"/>
    </row>
    <row r="6300">
      <c r="C6300" s="41"/>
      <c r="D6300" s="142"/>
      <c r="E6300" s="130"/>
      <c r="F6300" s="128"/>
      <c r="G6300" s="128"/>
      <c r="H6300" s="128"/>
      <c r="I6300" s="128"/>
      <c r="J6300" s="81"/>
      <c r="K6300" s="81"/>
      <c r="L6300" s="81"/>
      <c r="M6300" s="81"/>
      <c r="N6300" s="82"/>
    </row>
    <row r="6301">
      <c r="C6301" s="41"/>
      <c r="D6301" s="141"/>
      <c r="E6301" s="118"/>
      <c r="F6301" s="126"/>
      <c r="G6301" s="126"/>
      <c r="H6301" s="126"/>
      <c r="I6301" s="126"/>
      <c r="J6301" s="76"/>
      <c r="K6301" s="76"/>
      <c r="L6301" s="76"/>
      <c r="M6301" s="76"/>
      <c r="N6301" s="114"/>
    </row>
    <row r="6302">
      <c r="C6302" s="41"/>
      <c r="D6302" s="142"/>
      <c r="E6302" s="130"/>
      <c r="F6302" s="128"/>
      <c r="G6302" s="128"/>
      <c r="H6302" s="128"/>
      <c r="I6302" s="128"/>
      <c r="J6302" s="81"/>
      <c r="K6302" s="81"/>
      <c r="L6302" s="81"/>
      <c r="M6302" s="81"/>
      <c r="N6302" s="82"/>
    </row>
    <row r="6303">
      <c r="C6303" s="41"/>
      <c r="D6303" s="141"/>
      <c r="E6303" s="118"/>
      <c r="F6303" s="126"/>
      <c r="G6303" s="126"/>
      <c r="H6303" s="126"/>
      <c r="I6303" s="126"/>
      <c r="J6303" s="76"/>
      <c r="K6303" s="76"/>
      <c r="L6303" s="76"/>
      <c r="M6303" s="76"/>
      <c r="N6303" s="114"/>
    </row>
    <row r="6304">
      <c r="C6304" s="41"/>
      <c r="D6304" s="142"/>
      <c r="E6304" s="130"/>
      <c r="F6304" s="128"/>
      <c r="G6304" s="128"/>
      <c r="H6304" s="128"/>
      <c r="I6304" s="128"/>
      <c r="J6304" s="81"/>
      <c r="K6304" s="81"/>
      <c r="L6304" s="81"/>
      <c r="M6304" s="81"/>
      <c r="N6304" s="82"/>
    </row>
    <row r="6305">
      <c r="C6305" s="41"/>
      <c r="D6305" s="141"/>
      <c r="E6305" s="118"/>
      <c r="F6305" s="126"/>
      <c r="G6305" s="126"/>
      <c r="H6305" s="126"/>
      <c r="I6305" s="126"/>
      <c r="J6305" s="76"/>
      <c r="K6305" s="76"/>
      <c r="L6305" s="76"/>
      <c r="M6305" s="76"/>
      <c r="N6305" s="114"/>
    </row>
    <row r="6306">
      <c r="C6306" s="41"/>
      <c r="D6306" s="142"/>
      <c r="E6306" s="130"/>
      <c r="F6306" s="128"/>
      <c r="G6306" s="128"/>
      <c r="H6306" s="128"/>
      <c r="I6306" s="128"/>
      <c r="J6306" s="81"/>
      <c r="K6306" s="81"/>
      <c r="L6306" s="81"/>
      <c r="M6306" s="81"/>
      <c r="N6306" s="82"/>
    </row>
    <row r="6307">
      <c r="C6307" s="41"/>
      <c r="D6307" s="141"/>
      <c r="E6307" s="118"/>
      <c r="F6307" s="126"/>
      <c r="G6307" s="126"/>
      <c r="H6307" s="126"/>
      <c r="I6307" s="126"/>
      <c r="J6307" s="76"/>
      <c r="K6307" s="76"/>
      <c r="L6307" s="76"/>
      <c r="M6307" s="76"/>
      <c r="N6307" s="114"/>
    </row>
    <row r="6308">
      <c r="C6308" s="41"/>
      <c r="D6308" s="142"/>
      <c r="E6308" s="130"/>
      <c r="F6308" s="128"/>
      <c r="G6308" s="128"/>
      <c r="H6308" s="128"/>
      <c r="I6308" s="128"/>
      <c r="J6308" s="81"/>
      <c r="K6308" s="81"/>
      <c r="L6308" s="81"/>
      <c r="M6308" s="81"/>
      <c r="N6308" s="82"/>
    </row>
    <row r="6309">
      <c r="C6309" s="41"/>
      <c r="D6309" s="141"/>
      <c r="E6309" s="118"/>
      <c r="F6309" s="126"/>
      <c r="G6309" s="126"/>
      <c r="H6309" s="126"/>
      <c r="I6309" s="126"/>
      <c r="J6309" s="76"/>
      <c r="K6309" s="76"/>
      <c r="L6309" s="76"/>
      <c r="M6309" s="76"/>
      <c r="N6309" s="114"/>
    </row>
    <row r="6310">
      <c r="C6310" s="41"/>
      <c r="D6310" s="142"/>
      <c r="E6310" s="130"/>
      <c r="F6310" s="128"/>
      <c r="G6310" s="128"/>
      <c r="H6310" s="128"/>
      <c r="I6310" s="128"/>
      <c r="J6310" s="81"/>
      <c r="K6310" s="81"/>
      <c r="L6310" s="81"/>
      <c r="M6310" s="81"/>
      <c r="N6310" s="82"/>
    </row>
    <row r="6311">
      <c r="C6311" s="41"/>
      <c r="D6311" s="141"/>
      <c r="E6311" s="118"/>
      <c r="F6311" s="126"/>
      <c r="G6311" s="126"/>
      <c r="H6311" s="126"/>
      <c r="I6311" s="126"/>
      <c r="J6311" s="76"/>
      <c r="K6311" s="76"/>
      <c r="L6311" s="76"/>
      <c r="M6311" s="76"/>
      <c r="N6311" s="114"/>
    </row>
    <row r="6312">
      <c r="C6312" s="41"/>
      <c r="D6312" s="142"/>
      <c r="E6312" s="130"/>
      <c r="F6312" s="128"/>
      <c r="G6312" s="128"/>
      <c r="H6312" s="128"/>
      <c r="I6312" s="128"/>
      <c r="J6312" s="81"/>
      <c r="K6312" s="81"/>
      <c r="L6312" s="81"/>
      <c r="M6312" s="81"/>
      <c r="N6312" s="82"/>
    </row>
    <row r="6313">
      <c r="C6313" s="41"/>
      <c r="D6313" s="141"/>
      <c r="E6313" s="118"/>
      <c r="F6313" s="126"/>
      <c r="G6313" s="126"/>
      <c r="H6313" s="126"/>
      <c r="I6313" s="126"/>
      <c r="J6313" s="76"/>
      <c r="K6313" s="76"/>
      <c r="L6313" s="76"/>
      <c r="M6313" s="76"/>
      <c r="N6313" s="114"/>
    </row>
    <row r="6314">
      <c r="C6314" s="41"/>
      <c r="D6314" s="142"/>
      <c r="E6314" s="130"/>
      <c r="F6314" s="128"/>
      <c r="G6314" s="128"/>
      <c r="H6314" s="128"/>
      <c r="I6314" s="128"/>
      <c r="J6314" s="81"/>
      <c r="K6314" s="81"/>
      <c r="L6314" s="81"/>
      <c r="M6314" s="81"/>
      <c r="N6314" s="82"/>
    </row>
    <row r="6315">
      <c r="C6315" s="41"/>
      <c r="D6315" s="141"/>
      <c r="E6315" s="118"/>
      <c r="F6315" s="126"/>
      <c r="G6315" s="126"/>
      <c r="H6315" s="126"/>
      <c r="I6315" s="126"/>
      <c r="J6315" s="76"/>
      <c r="K6315" s="76"/>
      <c r="L6315" s="76"/>
      <c r="M6315" s="76"/>
      <c r="N6315" s="114"/>
    </row>
    <row r="6316">
      <c r="C6316" s="41"/>
      <c r="D6316" s="142"/>
      <c r="E6316" s="130"/>
      <c r="F6316" s="128"/>
      <c r="G6316" s="128"/>
      <c r="H6316" s="128"/>
      <c r="I6316" s="128"/>
      <c r="J6316" s="81"/>
      <c r="K6316" s="81"/>
      <c r="L6316" s="81"/>
      <c r="M6316" s="81"/>
      <c r="N6316" s="82"/>
    </row>
    <row r="6317">
      <c r="C6317" s="41"/>
      <c r="D6317" s="141"/>
      <c r="E6317" s="118"/>
      <c r="F6317" s="126"/>
      <c r="G6317" s="126"/>
      <c r="H6317" s="126"/>
      <c r="I6317" s="126"/>
      <c r="J6317" s="76"/>
      <c r="K6317" s="76"/>
      <c r="L6317" s="76"/>
      <c r="M6317" s="76"/>
      <c r="N6317" s="114"/>
    </row>
    <row r="6318">
      <c r="C6318" s="41"/>
      <c r="D6318" s="142"/>
      <c r="E6318" s="130"/>
      <c r="F6318" s="128"/>
      <c r="G6318" s="128"/>
      <c r="H6318" s="128"/>
      <c r="I6318" s="128"/>
      <c r="J6318" s="81"/>
      <c r="K6318" s="81"/>
      <c r="L6318" s="81"/>
      <c r="M6318" s="81"/>
      <c r="N6318" s="82"/>
    </row>
    <row r="6319">
      <c r="C6319" s="41"/>
      <c r="D6319" s="141"/>
      <c r="E6319" s="118"/>
      <c r="F6319" s="126"/>
      <c r="G6319" s="126"/>
      <c r="H6319" s="126"/>
      <c r="I6319" s="126"/>
      <c r="J6319" s="76"/>
      <c r="K6319" s="76"/>
      <c r="L6319" s="76"/>
      <c r="M6319" s="76"/>
      <c r="N6319" s="114"/>
    </row>
    <row r="6320">
      <c r="C6320" s="41"/>
      <c r="D6320" s="142"/>
      <c r="E6320" s="130"/>
      <c r="F6320" s="128"/>
      <c r="G6320" s="128"/>
      <c r="H6320" s="87" t="s">
        <v>339</v>
      </c>
      <c r="I6320" s="87" t="s">
        <v>99</v>
      </c>
      <c r="J6320" s="81"/>
      <c r="K6320" s="81"/>
      <c r="L6320" s="81"/>
      <c r="M6320" s="81"/>
      <c r="N6320" s="82"/>
    </row>
    <row r="6321">
      <c r="C6321" s="41"/>
      <c r="D6321" s="141"/>
      <c r="E6321" s="118"/>
      <c r="F6321" s="126"/>
      <c r="G6321" s="126"/>
      <c r="H6321" s="126"/>
      <c r="I6321" s="126"/>
      <c r="J6321" s="76"/>
      <c r="K6321" s="76"/>
      <c r="L6321" s="76"/>
      <c r="M6321" s="76"/>
      <c r="N6321" s="114"/>
    </row>
    <row r="6322">
      <c r="C6322" s="41"/>
      <c r="D6322" s="142"/>
      <c r="E6322" s="130"/>
      <c r="F6322" s="128"/>
      <c r="G6322" s="128"/>
      <c r="H6322" s="128"/>
      <c r="I6322" s="128"/>
      <c r="J6322" s="81"/>
      <c r="K6322" s="81"/>
      <c r="L6322" s="81"/>
      <c r="M6322" s="81"/>
      <c r="N6322" s="82"/>
    </row>
    <row r="6323">
      <c r="C6323" s="41"/>
      <c r="D6323" s="141"/>
      <c r="E6323" s="118"/>
      <c r="F6323" s="126"/>
      <c r="G6323" s="126"/>
      <c r="H6323" s="126"/>
      <c r="I6323" s="126"/>
      <c r="J6323" s="76"/>
      <c r="K6323" s="76"/>
      <c r="L6323" s="76"/>
      <c r="M6323" s="76"/>
      <c r="N6323" s="114"/>
    </row>
    <row r="6324">
      <c r="C6324" s="41"/>
      <c r="D6324" s="142"/>
      <c r="E6324" s="130"/>
      <c r="F6324" s="128"/>
      <c r="G6324" s="128"/>
      <c r="H6324" s="128"/>
      <c r="I6324" s="128"/>
      <c r="J6324" s="81"/>
      <c r="K6324" s="81"/>
      <c r="L6324" s="81"/>
      <c r="M6324" s="81"/>
      <c r="N6324" s="82"/>
    </row>
    <row r="6325">
      <c r="C6325" s="41"/>
      <c r="D6325" s="141"/>
      <c r="E6325" s="118"/>
      <c r="F6325" s="126"/>
      <c r="G6325" s="126"/>
      <c r="H6325" s="126"/>
      <c r="I6325" s="126"/>
      <c r="J6325" s="76"/>
      <c r="K6325" s="76"/>
      <c r="L6325" s="76"/>
      <c r="M6325" s="76"/>
      <c r="N6325" s="114"/>
    </row>
    <row r="6326">
      <c r="C6326" s="41"/>
      <c r="D6326" s="142"/>
      <c r="E6326" s="130"/>
      <c r="F6326" s="128"/>
      <c r="G6326" s="128"/>
      <c r="H6326" s="128"/>
      <c r="I6326" s="128"/>
      <c r="J6326" s="81"/>
      <c r="K6326" s="81"/>
      <c r="L6326" s="81"/>
      <c r="M6326" s="81"/>
      <c r="N6326" s="82"/>
    </row>
    <row r="6327">
      <c r="C6327" s="41"/>
      <c r="D6327" s="141"/>
      <c r="E6327" s="118"/>
      <c r="F6327" s="126"/>
      <c r="G6327" s="126"/>
      <c r="H6327" s="126"/>
      <c r="I6327" s="126"/>
      <c r="J6327" s="76"/>
      <c r="K6327" s="76"/>
      <c r="L6327" s="76"/>
      <c r="M6327" s="76"/>
      <c r="N6327" s="114"/>
    </row>
    <row r="6328">
      <c r="C6328" s="41"/>
      <c r="D6328" s="142"/>
      <c r="E6328" s="130"/>
      <c r="F6328" s="128"/>
      <c r="G6328" s="128"/>
      <c r="H6328" s="128"/>
      <c r="I6328" s="128"/>
      <c r="J6328" s="81"/>
      <c r="K6328" s="81"/>
      <c r="L6328" s="81"/>
      <c r="M6328" s="81"/>
      <c r="N6328" s="82"/>
    </row>
    <row r="6329">
      <c r="C6329" s="41"/>
      <c r="D6329" s="141"/>
      <c r="E6329" s="118"/>
      <c r="F6329" s="126"/>
      <c r="G6329" s="126"/>
      <c r="H6329" s="126"/>
      <c r="I6329" s="126"/>
      <c r="J6329" s="76"/>
      <c r="K6329" s="76"/>
      <c r="L6329" s="76"/>
      <c r="M6329" s="76"/>
      <c r="N6329" s="114"/>
    </row>
    <row r="6330">
      <c r="C6330" s="41"/>
      <c r="D6330" s="142"/>
      <c r="E6330" s="130"/>
      <c r="F6330" s="128"/>
      <c r="G6330" s="128"/>
      <c r="H6330" s="128"/>
      <c r="I6330" s="128"/>
      <c r="J6330" s="81"/>
      <c r="K6330" s="81"/>
      <c r="L6330" s="81"/>
      <c r="M6330" s="81"/>
      <c r="N6330" s="82"/>
    </row>
    <row r="6331">
      <c r="C6331" s="41"/>
      <c r="D6331" s="141"/>
      <c r="E6331" s="118"/>
      <c r="F6331" s="126"/>
      <c r="G6331" s="126"/>
      <c r="H6331" s="126"/>
      <c r="I6331" s="126"/>
      <c r="J6331" s="76"/>
      <c r="K6331" s="76"/>
      <c r="L6331" s="76"/>
      <c r="M6331" s="76"/>
      <c r="N6331" s="114"/>
    </row>
    <row r="6332">
      <c r="C6332" s="41"/>
      <c r="D6332" s="142"/>
      <c r="E6332" s="130"/>
      <c r="F6332" s="128"/>
      <c r="G6332" s="128"/>
      <c r="H6332" s="128"/>
      <c r="I6332" s="128"/>
      <c r="J6332" s="81"/>
      <c r="K6332" s="81"/>
      <c r="L6332" s="81"/>
      <c r="M6332" s="81"/>
      <c r="N6332" s="82"/>
    </row>
    <row r="6333">
      <c r="C6333" s="41"/>
      <c r="D6333" s="141"/>
      <c r="E6333" s="118"/>
      <c r="F6333" s="126"/>
      <c r="G6333" s="126"/>
      <c r="H6333" s="126"/>
      <c r="I6333" s="126"/>
      <c r="J6333" s="76"/>
      <c r="K6333" s="76"/>
      <c r="L6333" s="76"/>
      <c r="M6333" s="76"/>
      <c r="N6333" s="114"/>
    </row>
    <row r="6334">
      <c r="C6334" s="41"/>
      <c r="D6334" s="142"/>
      <c r="E6334" s="130"/>
      <c r="F6334" s="128"/>
      <c r="G6334" s="128"/>
      <c r="H6334" s="128"/>
      <c r="I6334" s="128"/>
      <c r="J6334" s="81"/>
      <c r="K6334" s="81"/>
      <c r="L6334" s="81"/>
      <c r="M6334" s="81"/>
      <c r="N6334" s="82"/>
    </row>
    <row r="6335">
      <c r="C6335" s="41"/>
      <c r="D6335" s="141"/>
      <c r="E6335" s="118"/>
      <c r="F6335" s="126"/>
      <c r="G6335" s="126"/>
      <c r="H6335" s="126"/>
      <c r="I6335" s="126"/>
      <c r="J6335" s="76"/>
      <c r="K6335" s="76"/>
      <c r="L6335" s="76"/>
      <c r="M6335" s="76"/>
      <c r="N6335" s="114"/>
    </row>
    <row r="6336">
      <c r="C6336" s="41"/>
      <c r="D6336" s="142"/>
      <c r="E6336" s="130"/>
      <c r="F6336" s="128"/>
      <c r="G6336" s="128"/>
      <c r="H6336" s="128"/>
      <c r="I6336" s="128"/>
      <c r="J6336" s="81"/>
      <c r="K6336" s="81"/>
      <c r="L6336" s="81"/>
      <c r="M6336" s="81"/>
      <c r="N6336" s="82"/>
    </row>
    <row r="6337">
      <c r="C6337" s="41"/>
      <c r="D6337" s="141"/>
      <c r="E6337" s="118"/>
      <c r="F6337" s="126"/>
      <c r="G6337" s="126"/>
      <c r="H6337" s="126"/>
      <c r="I6337" s="126"/>
      <c r="J6337" s="76"/>
      <c r="K6337" s="76"/>
      <c r="L6337" s="76"/>
      <c r="M6337" s="76"/>
      <c r="N6337" s="114"/>
    </row>
    <row r="6338">
      <c r="C6338" s="41"/>
      <c r="D6338" s="142"/>
      <c r="E6338" s="130"/>
      <c r="F6338" s="128"/>
      <c r="G6338" s="128"/>
      <c r="H6338" s="128"/>
      <c r="I6338" s="128"/>
      <c r="J6338" s="81"/>
      <c r="K6338" s="81"/>
      <c r="L6338" s="81"/>
      <c r="M6338" s="81"/>
      <c r="N6338" s="82"/>
    </row>
    <row r="6339">
      <c r="C6339" s="41"/>
      <c r="D6339" s="141"/>
      <c r="E6339" s="118"/>
      <c r="F6339" s="126"/>
      <c r="G6339" s="126"/>
      <c r="H6339" s="126"/>
      <c r="I6339" s="126"/>
      <c r="J6339" s="76"/>
      <c r="K6339" s="76"/>
      <c r="L6339" s="76"/>
      <c r="M6339" s="76"/>
      <c r="N6339" s="114"/>
    </row>
    <row r="6340">
      <c r="C6340" s="41"/>
      <c r="D6340" s="142"/>
      <c r="E6340" s="130"/>
      <c r="F6340" s="128"/>
      <c r="G6340" s="128"/>
      <c r="H6340" s="128"/>
      <c r="I6340" s="128"/>
      <c r="J6340" s="81"/>
      <c r="K6340" s="81"/>
      <c r="L6340" s="81"/>
      <c r="M6340" s="81"/>
      <c r="N6340" s="82"/>
    </row>
    <row r="6341">
      <c r="C6341" s="41"/>
      <c r="D6341" s="141"/>
      <c r="E6341" s="118"/>
      <c r="F6341" s="126"/>
      <c r="G6341" s="126"/>
      <c r="H6341" s="126"/>
      <c r="I6341" s="126"/>
      <c r="J6341" s="76"/>
      <c r="K6341" s="76"/>
      <c r="L6341" s="76"/>
      <c r="M6341" s="76"/>
      <c r="N6341" s="114"/>
    </row>
    <row r="6342">
      <c r="C6342" s="41"/>
      <c r="D6342" s="142"/>
      <c r="E6342" s="130"/>
      <c r="F6342" s="128"/>
      <c r="G6342" s="128"/>
      <c r="H6342" s="128"/>
      <c r="I6342" s="128"/>
      <c r="J6342" s="81"/>
      <c r="K6342" s="81"/>
      <c r="L6342" s="81"/>
      <c r="M6342" s="81"/>
      <c r="N6342" s="82"/>
    </row>
    <row r="6343">
      <c r="C6343" s="41"/>
      <c r="D6343" s="141"/>
      <c r="E6343" s="118"/>
      <c r="F6343" s="126"/>
      <c r="G6343" s="126"/>
      <c r="H6343" s="126"/>
      <c r="I6343" s="126"/>
      <c r="J6343" s="76"/>
      <c r="K6343" s="76"/>
      <c r="L6343" s="76"/>
      <c r="M6343" s="76"/>
      <c r="N6343" s="114"/>
    </row>
    <row r="6344">
      <c r="C6344" s="41"/>
      <c r="D6344" s="142"/>
      <c r="E6344" s="130"/>
      <c r="F6344" s="128"/>
      <c r="G6344" s="128"/>
      <c r="H6344" s="128"/>
      <c r="I6344" s="128"/>
      <c r="J6344" s="81"/>
      <c r="K6344" s="81"/>
      <c r="L6344" s="81"/>
      <c r="M6344" s="81"/>
      <c r="N6344" s="82"/>
    </row>
    <row r="6345">
      <c r="C6345" s="41"/>
      <c r="D6345" s="141"/>
      <c r="E6345" s="118"/>
      <c r="F6345" s="126"/>
      <c r="G6345" s="126"/>
      <c r="H6345" s="126"/>
      <c r="I6345" s="126"/>
      <c r="J6345" s="76"/>
      <c r="K6345" s="76"/>
      <c r="L6345" s="76"/>
      <c r="M6345" s="76"/>
      <c r="N6345" s="114"/>
    </row>
    <row r="6346">
      <c r="C6346" s="41"/>
      <c r="D6346" s="142"/>
      <c r="E6346" s="130"/>
      <c r="F6346" s="128"/>
      <c r="G6346" s="128"/>
      <c r="H6346" s="128"/>
      <c r="I6346" s="128"/>
      <c r="J6346" s="81"/>
      <c r="K6346" s="81"/>
      <c r="L6346" s="81"/>
      <c r="M6346" s="81"/>
      <c r="N6346" s="82"/>
    </row>
    <row r="6347">
      <c r="C6347" s="41"/>
      <c r="D6347" s="141"/>
      <c r="E6347" s="118"/>
      <c r="F6347" s="126"/>
      <c r="G6347" s="126"/>
      <c r="H6347" s="126"/>
      <c r="I6347" s="126"/>
      <c r="J6347" s="76"/>
      <c r="K6347" s="76"/>
      <c r="L6347" s="76"/>
      <c r="M6347" s="76"/>
      <c r="N6347" s="114"/>
    </row>
    <row r="6348">
      <c r="C6348" s="41"/>
      <c r="D6348" s="142"/>
      <c r="E6348" s="130"/>
      <c r="F6348" s="128"/>
      <c r="G6348" s="128"/>
      <c r="H6348" s="128"/>
      <c r="I6348" s="128"/>
      <c r="J6348" s="81"/>
      <c r="K6348" s="81"/>
      <c r="L6348" s="81"/>
      <c r="M6348" s="81"/>
      <c r="N6348" s="82"/>
    </row>
    <row r="6349">
      <c r="C6349" s="41"/>
      <c r="D6349" s="141"/>
      <c r="E6349" s="118"/>
      <c r="F6349" s="126"/>
      <c r="G6349" s="126"/>
      <c r="H6349" s="126"/>
      <c r="I6349" s="126"/>
      <c r="J6349" s="76"/>
      <c r="K6349" s="76"/>
      <c r="L6349" s="76"/>
      <c r="M6349" s="76"/>
      <c r="N6349" s="114"/>
    </row>
    <row r="6350">
      <c r="C6350" s="41"/>
      <c r="D6350" s="142"/>
      <c r="E6350" s="130"/>
      <c r="F6350" s="128"/>
      <c r="G6350" s="128"/>
      <c r="H6350" s="128"/>
      <c r="I6350" s="128"/>
      <c r="J6350" s="81"/>
      <c r="K6350" s="81"/>
      <c r="L6350" s="81"/>
      <c r="M6350" s="81"/>
      <c r="N6350" s="82"/>
    </row>
    <row r="6351">
      <c r="C6351" s="41"/>
      <c r="D6351" s="141"/>
      <c r="E6351" s="118"/>
      <c r="F6351" s="126"/>
      <c r="G6351" s="126"/>
      <c r="H6351" s="126"/>
      <c r="I6351" s="126"/>
      <c r="J6351" s="76"/>
      <c r="K6351" s="76"/>
      <c r="L6351" s="76"/>
      <c r="M6351" s="76"/>
      <c r="N6351" s="114"/>
    </row>
    <row r="6352">
      <c r="C6352" s="41"/>
      <c r="D6352" s="142"/>
      <c r="E6352" s="130"/>
      <c r="F6352" s="128"/>
      <c r="G6352" s="128"/>
      <c r="H6352" s="128"/>
      <c r="I6352" s="128"/>
      <c r="J6352" s="81"/>
      <c r="K6352" s="81"/>
      <c r="L6352" s="81"/>
      <c r="M6352" s="81"/>
      <c r="N6352" s="82"/>
    </row>
    <row r="6353">
      <c r="C6353" s="41"/>
      <c r="D6353" s="141"/>
      <c r="E6353" s="118"/>
      <c r="F6353" s="126"/>
      <c r="G6353" s="126"/>
      <c r="H6353" s="126"/>
      <c r="I6353" s="126"/>
      <c r="J6353" s="76"/>
      <c r="K6353" s="76"/>
      <c r="L6353" s="76"/>
      <c r="M6353" s="76"/>
      <c r="N6353" s="114"/>
    </row>
    <row r="6354">
      <c r="C6354" s="41"/>
      <c r="D6354" s="142"/>
      <c r="E6354" s="130"/>
      <c r="F6354" s="128"/>
      <c r="G6354" s="128"/>
      <c r="H6354" s="128"/>
      <c r="I6354" s="128"/>
      <c r="J6354" s="81"/>
      <c r="K6354" s="81"/>
      <c r="L6354" s="81"/>
      <c r="M6354" s="81"/>
      <c r="N6354" s="82"/>
    </row>
    <row r="6355">
      <c r="C6355" s="41"/>
      <c r="D6355" s="141"/>
      <c r="E6355" s="118"/>
      <c r="F6355" s="126"/>
      <c r="G6355" s="126"/>
      <c r="H6355" s="126"/>
      <c r="I6355" s="126"/>
      <c r="J6355" s="76"/>
      <c r="K6355" s="76"/>
      <c r="L6355" s="76"/>
      <c r="M6355" s="76"/>
      <c r="N6355" s="114"/>
    </row>
    <row r="6356">
      <c r="C6356" s="41"/>
      <c r="D6356" s="142"/>
      <c r="E6356" s="130"/>
      <c r="F6356" s="128"/>
      <c r="G6356" s="128"/>
      <c r="H6356" s="128"/>
      <c r="I6356" s="128"/>
      <c r="J6356" s="81"/>
      <c r="K6356" s="81"/>
      <c r="L6356" s="81"/>
      <c r="M6356" s="81"/>
      <c r="N6356" s="82"/>
    </row>
    <row r="6357">
      <c r="C6357" s="41"/>
      <c r="D6357" s="141"/>
      <c r="E6357" s="118"/>
      <c r="F6357" s="126"/>
      <c r="G6357" s="126"/>
      <c r="H6357" s="126"/>
      <c r="I6357" s="126"/>
      <c r="J6357" s="76"/>
      <c r="K6357" s="76"/>
      <c r="L6357" s="76"/>
      <c r="M6357" s="76"/>
      <c r="N6357" s="114"/>
    </row>
    <row r="6358">
      <c r="C6358" s="41"/>
      <c r="D6358" s="142"/>
      <c r="E6358" s="130"/>
      <c r="F6358" s="128"/>
      <c r="G6358" s="128"/>
      <c r="H6358" s="128"/>
      <c r="I6358" s="128"/>
      <c r="J6358" s="81"/>
      <c r="K6358" s="81"/>
      <c r="L6358" s="81"/>
      <c r="M6358" s="81"/>
      <c r="N6358" s="82"/>
    </row>
    <row r="6359">
      <c r="C6359" s="41"/>
      <c r="D6359" s="141"/>
      <c r="E6359" s="118"/>
      <c r="F6359" s="126"/>
      <c r="G6359" s="126"/>
      <c r="H6359" s="126"/>
      <c r="I6359" s="126"/>
      <c r="J6359" s="76"/>
      <c r="K6359" s="76"/>
      <c r="L6359" s="76"/>
      <c r="M6359" s="76"/>
      <c r="N6359" s="114"/>
    </row>
    <row r="6360">
      <c r="C6360" s="41"/>
      <c r="D6360" s="142"/>
      <c r="E6360" s="130"/>
      <c r="F6360" s="128"/>
      <c r="G6360" s="128"/>
      <c r="H6360" s="128"/>
      <c r="I6360" s="128"/>
      <c r="J6360" s="81"/>
      <c r="K6360" s="81"/>
      <c r="L6360" s="81"/>
      <c r="M6360" s="81"/>
      <c r="N6360" s="82"/>
    </row>
    <row r="6361">
      <c r="C6361" s="41"/>
      <c r="D6361" s="141"/>
      <c r="E6361" s="118"/>
      <c r="F6361" s="126"/>
      <c r="G6361" s="126"/>
      <c r="H6361" s="126"/>
      <c r="I6361" s="126"/>
      <c r="J6361" s="76"/>
      <c r="K6361" s="76"/>
      <c r="L6361" s="76"/>
      <c r="M6361" s="76"/>
      <c r="N6361" s="114"/>
    </row>
    <row r="6362">
      <c r="C6362" s="41"/>
      <c r="D6362" s="142"/>
      <c r="E6362" s="130"/>
      <c r="F6362" s="128"/>
      <c r="G6362" s="128"/>
      <c r="H6362" s="128"/>
      <c r="I6362" s="128"/>
      <c r="J6362" s="81"/>
      <c r="K6362" s="81"/>
      <c r="L6362" s="81"/>
      <c r="M6362" s="81"/>
      <c r="N6362" s="82"/>
    </row>
    <row r="6363">
      <c r="C6363" s="41"/>
      <c r="D6363" s="141"/>
      <c r="E6363" s="118"/>
      <c r="F6363" s="126"/>
      <c r="G6363" s="126"/>
      <c r="H6363" s="126"/>
      <c r="I6363" s="126"/>
      <c r="J6363" s="76"/>
      <c r="K6363" s="76"/>
      <c r="L6363" s="76"/>
      <c r="M6363" s="76"/>
      <c r="N6363" s="114"/>
    </row>
    <row r="6364">
      <c r="C6364" s="41"/>
      <c r="D6364" s="142"/>
      <c r="E6364" s="130"/>
      <c r="F6364" s="128"/>
      <c r="G6364" s="128"/>
      <c r="H6364" s="128"/>
      <c r="I6364" s="128"/>
      <c r="J6364" s="81"/>
      <c r="K6364" s="81"/>
      <c r="L6364" s="81"/>
      <c r="M6364" s="81"/>
      <c r="N6364" s="82"/>
    </row>
    <row r="6365">
      <c r="C6365" s="41"/>
      <c r="D6365" s="141"/>
      <c r="E6365" s="118"/>
      <c r="F6365" s="126"/>
      <c r="G6365" s="126"/>
      <c r="H6365" s="126"/>
      <c r="I6365" s="126"/>
      <c r="J6365" s="76"/>
      <c r="K6365" s="76"/>
      <c r="L6365" s="76"/>
      <c r="M6365" s="76"/>
      <c r="N6365" s="114"/>
    </row>
    <row r="6366">
      <c r="C6366" s="41"/>
      <c r="D6366" s="142"/>
      <c r="E6366" s="130"/>
      <c r="F6366" s="128"/>
      <c r="G6366" s="128"/>
      <c r="H6366" s="128"/>
      <c r="I6366" s="128"/>
      <c r="J6366" s="81"/>
      <c r="K6366" s="81"/>
      <c r="L6366" s="81"/>
      <c r="M6366" s="81"/>
      <c r="N6366" s="82"/>
    </row>
    <row r="6367">
      <c r="C6367" s="41"/>
      <c r="D6367" s="141"/>
      <c r="E6367" s="118"/>
      <c r="F6367" s="126"/>
      <c r="G6367" s="126"/>
      <c r="H6367" s="126"/>
      <c r="I6367" s="126"/>
      <c r="J6367" s="76"/>
      <c r="K6367" s="76"/>
      <c r="L6367" s="76"/>
      <c r="M6367" s="76"/>
      <c r="N6367" s="114"/>
    </row>
    <row r="6368">
      <c r="C6368" s="41"/>
      <c r="D6368" s="142"/>
      <c r="E6368" s="130"/>
      <c r="F6368" s="128"/>
      <c r="G6368" s="128"/>
      <c r="H6368" s="128"/>
      <c r="I6368" s="128"/>
      <c r="J6368" s="81"/>
      <c r="K6368" s="81"/>
      <c r="L6368" s="81"/>
      <c r="M6368" s="81"/>
      <c r="N6368" s="82"/>
    </row>
    <row r="6369">
      <c r="C6369" s="41"/>
      <c r="D6369" s="141"/>
      <c r="E6369" s="118"/>
      <c r="F6369" s="126"/>
      <c r="G6369" s="126"/>
      <c r="H6369" s="126"/>
      <c r="I6369" s="126"/>
      <c r="J6369" s="76"/>
      <c r="K6369" s="76"/>
      <c r="L6369" s="76"/>
      <c r="M6369" s="76"/>
      <c r="N6369" s="114"/>
    </row>
    <row r="6370">
      <c r="C6370" s="41"/>
      <c r="D6370" s="142"/>
      <c r="E6370" s="130"/>
      <c r="F6370" s="128"/>
      <c r="G6370" s="128"/>
      <c r="H6370" s="128"/>
      <c r="I6370" s="128"/>
      <c r="J6370" s="81"/>
      <c r="K6370" s="81"/>
      <c r="L6370" s="81"/>
      <c r="M6370" s="81"/>
      <c r="N6370" s="82"/>
    </row>
    <row r="6371">
      <c r="C6371" s="41"/>
      <c r="D6371" s="141"/>
      <c r="E6371" s="118"/>
      <c r="F6371" s="126"/>
      <c r="G6371" s="126"/>
      <c r="H6371" s="126"/>
      <c r="I6371" s="126"/>
      <c r="J6371" s="76"/>
      <c r="K6371" s="76"/>
      <c r="L6371" s="76"/>
      <c r="M6371" s="76"/>
      <c r="N6371" s="114"/>
    </row>
    <row r="6372">
      <c r="C6372" s="41"/>
      <c r="D6372" s="142"/>
      <c r="E6372" s="130"/>
      <c r="F6372" s="128"/>
      <c r="G6372" s="128"/>
      <c r="H6372" s="128"/>
      <c r="I6372" s="128"/>
      <c r="J6372" s="81"/>
      <c r="K6372" s="81"/>
      <c r="L6372" s="81"/>
      <c r="M6372" s="81"/>
      <c r="N6372" s="82"/>
    </row>
    <row r="6373">
      <c r="C6373" s="41"/>
      <c r="D6373" s="141"/>
      <c r="E6373" s="118"/>
      <c r="F6373" s="126"/>
      <c r="G6373" s="126"/>
      <c r="H6373" s="126"/>
      <c r="I6373" s="126"/>
      <c r="J6373" s="76"/>
      <c r="K6373" s="76"/>
      <c r="L6373" s="76"/>
      <c r="M6373" s="76"/>
      <c r="N6373" s="114"/>
    </row>
    <row r="6374">
      <c r="C6374" s="41"/>
      <c r="D6374" s="142"/>
      <c r="E6374" s="130"/>
      <c r="F6374" s="128"/>
      <c r="G6374" s="128"/>
      <c r="H6374" s="128"/>
      <c r="I6374" s="128"/>
      <c r="J6374" s="81"/>
      <c r="K6374" s="81"/>
      <c r="L6374" s="81"/>
      <c r="M6374" s="81"/>
      <c r="N6374" s="82"/>
    </row>
    <row r="6375">
      <c r="C6375" s="41"/>
      <c r="D6375" s="141"/>
      <c r="E6375" s="118"/>
      <c r="F6375" s="126"/>
      <c r="G6375" s="126"/>
      <c r="H6375" s="126"/>
      <c r="I6375" s="126"/>
      <c r="J6375" s="76"/>
      <c r="K6375" s="76"/>
      <c r="L6375" s="76"/>
      <c r="M6375" s="76"/>
      <c r="N6375" s="114"/>
    </row>
    <row r="6376">
      <c r="C6376" s="41"/>
      <c r="D6376" s="142"/>
      <c r="E6376" s="130"/>
      <c r="F6376" s="128"/>
      <c r="G6376" s="128"/>
      <c r="H6376" s="128"/>
      <c r="I6376" s="128"/>
      <c r="J6376" s="81"/>
      <c r="K6376" s="81"/>
      <c r="L6376" s="81"/>
      <c r="M6376" s="81"/>
      <c r="N6376" s="82"/>
    </row>
    <row r="6377">
      <c r="C6377" s="41"/>
      <c r="D6377" s="141"/>
      <c r="E6377" s="118"/>
      <c r="F6377" s="126"/>
      <c r="G6377" s="126"/>
      <c r="H6377" s="126"/>
      <c r="I6377" s="126"/>
      <c r="J6377" s="76"/>
      <c r="K6377" s="76"/>
      <c r="L6377" s="76"/>
      <c r="M6377" s="76"/>
      <c r="N6377" s="114"/>
    </row>
    <row r="6378">
      <c r="C6378" s="41"/>
      <c r="D6378" s="142"/>
      <c r="E6378" s="130"/>
      <c r="F6378" s="128"/>
      <c r="G6378" s="128"/>
      <c r="H6378" s="128"/>
      <c r="I6378" s="128"/>
      <c r="J6378" s="81"/>
      <c r="K6378" s="81"/>
      <c r="L6378" s="81"/>
      <c r="M6378" s="81"/>
      <c r="N6378" s="82"/>
    </row>
    <row r="6379">
      <c r="C6379" s="41"/>
      <c r="D6379" s="141"/>
      <c r="E6379" s="118"/>
      <c r="F6379" s="126"/>
      <c r="G6379" s="126"/>
      <c r="H6379" s="126"/>
      <c r="I6379" s="126"/>
      <c r="J6379" s="76"/>
      <c r="K6379" s="76"/>
      <c r="L6379" s="76"/>
      <c r="M6379" s="76"/>
      <c r="N6379" s="114"/>
    </row>
    <row r="6380">
      <c r="C6380" s="41"/>
      <c r="D6380" s="142"/>
      <c r="E6380" s="130"/>
      <c r="F6380" s="128"/>
      <c r="G6380" s="128"/>
      <c r="H6380" s="128"/>
      <c r="I6380" s="128"/>
      <c r="J6380" s="81"/>
      <c r="K6380" s="81"/>
      <c r="L6380" s="81"/>
      <c r="M6380" s="81"/>
      <c r="N6380" s="82"/>
    </row>
    <row r="6381">
      <c r="C6381" s="41"/>
      <c r="D6381" s="141"/>
      <c r="E6381" s="118"/>
      <c r="F6381" s="126"/>
      <c r="G6381" s="126"/>
      <c r="H6381" s="126"/>
      <c r="I6381" s="126"/>
      <c r="J6381" s="76"/>
      <c r="K6381" s="76"/>
      <c r="L6381" s="76"/>
      <c r="M6381" s="76"/>
      <c r="N6381" s="114"/>
    </row>
    <row r="6382">
      <c r="C6382" s="41"/>
      <c r="D6382" s="142"/>
      <c r="E6382" s="130"/>
      <c r="F6382" s="128"/>
      <c r="G6382" s="128"/>
      <c r="H6382" s="128"/>
      <c r="I6382" s="128"/>
      <c r="J6382" s="81"/>
      <c r="K6382" s="81"/>
      <c r="L6382" s="81"/>
      <c r="M6382" s="81"/>
      <c r="N6382" s="82"/>
    </row>
    <row r="6383">
      <c r="C6383" s="41"/>
      <c r="D6383" s="141"/>
      <c r="E6383" s="118"/>
      <c r="F6383" s="126"/>
      <c r="G6383" s="126"/>
      <c r="H6383" s="126"/>
      <c r="I6383" s="126"/>
      <c r="J6383" s="76"/>
      <c r="K6383" s="76"/>
      <c r="L6383" s="76"/>
      <c r="M6383" s="76"/>
      <c r="N6383" s="114"/>
    </row>
    <row r="6384">
      <c r="C6384" s="41"/>
      <c r="D6384" s="142"/>
      <c r="E6384" s="130"/>
      <c r="F6384" s="128"/>
      <c r="G6384" s="128"/>
      <c r="H6384" s="128"/>
      <c r="I6384" s="128"/>
      <c r="J6384" s="81"/>
      <c r="K6384" s="81"/>
      <c r="L6384" s="81"/>
      <c r="M6384" s="81"/>
      <c r="N6384" s="82"/>
    </row>
    <row r="6385">
      <c r="C6385" s="41"/>
      <c r="D6385" s="141"/>
      <c r="E6385" s="118"/>
      <c r="F6385" s="126"/>
      <c r="G6385" s="126"/>
      <c r="H6385" s="126"/>
      <c r="I6385" s="126"/>
      <c r="J6385" s="76"/>
      <c r="K6385" s="76"/>
      <c r="L6385" s="76"/>
      <c r="M6385" s="76"/>
      <c r="N6385" s="114"/>
    </row>
    <row r="6386">
      <c r="C6386" s="41"/>
      <c r="D6386" s="142"/>
      <c r="E6386" s="130"/>
      <c r="F6386" s="128"/>
      <c r="G6386" s="128"/>
      <c r="H6386" s="128"/>
      <c r="I6386" s="128"/>
      <c r="J6386" s="81"/>
      <c r="K6386" s="81"/>
      <c r="L6386" s="81"/>
      <c r="M6386" s="81"/>
      <c r="N6386" s="82"/>
    </row>
    <row r="6387">
      <c r="C6387" s="41"/>
      <c r="D6387" s="141"/>
      <c r="E6387" s="118"/>
      <c r="F6387" s="126"/>
      <c r="G6387" s="126"/>
      <c r="H6387" s="126"/>
      <c r="I6387" s="126"/>
      <c r="J6387" s="76"/>
      <c r="K6387" s="76"/>
      <c r="L6387" s="76"/>
      <c r="M6387" s="76"/>
      <c r="N6387" s="114"/>
    </row>
    <row r="6388">
      <c r="C6388" s="41"/>
      <c r="D6388" s="142"/>
      <c r="E6388" s="130"/>
      <c r="F6388" s="128"/>
      <c r="G6388" s="128"/>
      <c r="H6388" s="128"/>
      <c r="I6388" s="128"/>
      <c r="J6388" s="81"/>
      <c r="K6388" s="81"/>
      <c r="L6388" s="81"/>
      <c r="M6388" s="81"/>
      <c r="N6388" s="82"/>
    </row>
    <row r="6389">
      <c r="C6389" s="41"/>
      <c r="D6389" s="141"/>
      <c r="E6389" s="118"/>
      <c r="F6389" s="126"/>
      <c r="G6389" s="126"/>
      <c r="H6389" s="126"/>
      <c r="I6389" s="126"/>
      <c r="J6389" s="76"/>
      <c r="K6389" s="76"/>
      <c r="L6389" s="76"/>
      <c r="M6389" s="76"/>
      <c r="N6389" s="114"/>
    </row>
    <row r="6390">
      <c r="C6390" s="41"/>
      <c r="D6390" s="142"/>
      <c r="E6390" s="130"/>
      <c r="F6390" s="128"/>
      <c r="G6390" s="128"/>
      <c r="H6390" s="128"/>
      <c r="I6390" s="128"/>
      <c r="J6390" s="81"/>
      <c r="K6390" s="81"/>
      <c r="L6390" s="81"/>
      <c r="M6390" s="81"/>
      <c r="N6390" s="82"/>
    </row>
    <row r="6391">
      <c r="C6391" s="41"/>
      <c r="D6391" s="141"/>
      <c r="E6391" s="118"/>
      <c r="F6391" s="126"/>
      <c r="G6391" s="126"/>
      <c r="H6391" s="126"/>
      <c r="I6391" s="126"/>
      <c r="J6391" s="76"/>
      <c r="K6391" s="76"/>
      <c r="L6391" s="76"/>
      <c r="M6391" s="76"/>
      <c r="N6391" s="114"/>
    </row>
    <row r="6392">
      <c r="C6392" s="41"/>
      <c r="D6392" s="142"/>
      <c r="E6392" s="130"/>
      <c r="F6392" s="128"/>
      <c r="G6392" s="128"/>
      <c r="H6392" s="128"/>
      <c r="I6392" s="128"/>
      <c r="J6392" s="81"/>
      <c r="K6392" s="81"/>
      <c r="L6392" s="81"/>
      <c r="M6392" s="81"/>
      <c r="N6392" s="82"/>
    </row>
    <row r="6393">
      <c r="C6393" s="41"/>
      <c r="D6393" s="141"/>
      <c r="E6393" s="118"/>
      <c r="F6393" s="126"/>
      <c r="G6393" s="126"/>
      <c r="H6393" s="126"/>
      <c r="I6393" s="126"/>
      <c r="J6393" s="76"/>
      <c r="K6393" s="76"/>
      <c r="L6393" s="76"/>
      <c r="M6393" s="76"/>
      <c r="N6393" s="114"/>
    </row>
    <row r="6394">
      <c r="C6394" s="41"/>
      <c r="D6394" s="142"/>
      <c r="E6394" s="130"/>
      <c r="F6394" s="128"/>
      <c r="G6394" s="128"/>
      <c r="H6394" s="128"/>
      <c r="I6394" s="128"/>
      <c r="J6394" s="81"/>
      <c r="K6394" s="81"/>
      <c r="L6394" s="81"/>
      <c r="M6394" s="81"/>
      <c r="N6394" s="82"/>
    </row>
    <row r="6395">
      <c r="C6395" s="41"/>
      <c r="D6395" s="141"/>
      <c r="E6395" s="118"/>
      <c r="F6395" s="126"/>
      <c r="G6395" s="126"/>
      <c r="H6395" s="126"/>
      <c r="I6395" s="126"/>
      <c r="J6395" s="76"/>
      <c r="K6395" s="76"/>
      <c r="L6395" s="76"/>
      <c r="M6395" s="76"/>
      <c r="N6395" s="114"/>
    </row>
    <row r="6396">
      <c r="C6396" s="41"/>
      <c r="D6396" s="142"/>
      <c r="E6396" s="130"/>
      <c r="F6396" s="128"/>
      <c r="G6396" s="128"/>
      <c r="H6396" s="128"/>
      <c r="I6396" s="128"/>
      <c r="J6396" s="81"/>
      <c r="K6396" s="81"/>
      <c r="L6396" s="81"/>
      <c r="M6396" s="81"/>
      <c r="N6396" s="82"/>
    </row>
    <row r="6397">
      <c r="C6397" s="41"/>
      <c r="D6397" s="141"/>
      <c r="E6397" s="118"/>
      <c r="F6397" s="126"/>
      <c r="G6397" s="126"/>
      <c r="H6397" s="126"/>
      <c r="I6397" s="126"/>
      <c r="J6397" s="76"/>
      <c r="K6397" s="76"/>
      <c r="L6397" s="76"/>
      <c r="M6397" s="76"/>
      <c r="N6397" s="114"/>
    </row>
    <row r="6398">
      <c r="C6398" s="41"/>
      <c r="D6398" s="142"/>
      <c r="E6398" s="130"/>
      <c r="F6398" s="128"/>
      <c r="G6398" s="128"/>
      <c r="H6398" s="128"/>
      <c r="I6398" s="128"/>
      <c r="J6398" s="81"/>
      <c r="K6398" s="81"/>
      <c r="L6398" s="81"/>
      <c r="M6398" s="81"/>
      <c r="N6398" s="82"/>
    </row>
    <row r="6399">
      <c r="C6399" s="41"/>
      <c r="D6399" s="141"/>
      <c r="E6399" s="118"/>
      <c r="F6399" s="126"/>
      <c r="G6399" s="126"/>
      <c r="H6399" s="126"/>
      <c r="I6399" s="126"/>
      <c r="J6399" s="76"/>
      <c r="K6399" s="76"/>
      <c r="L6399" s="76"/>
      <c r="M6399" s="76"/>
      <c r="N6399" s="114"/>
    </row>
    <row r="6400">
      <c r="C6400" s="41"/>
      <c r="D6400" s="142"/>
      <c r="E6400" s="130"/>
      <c r="F6400" s="128"/>
      <c r="G6400" s="128"/>
      <c r="H6400" s="128"/>
      <c r="I6400" s="128"/>
      <c r="J6400" s="81"/>
      <c r="K6400" s="81"/>
      <c r="L6400" s="81"/>
      <c r="M6400" s="81"/>
      <c r="N6400" s="82"/>
    </row>
    <row r="6401">
      <c r="C6401" s="41"/>
      <c r="D6401" s="141"/>
      <c r="E6401" s="118"/>
      <c r="F6401" s="126"/>
      <c r="G6401" s="126"/>
      <c r="H6401" s="126"/>
      <c r="I6401" s="126"/>
      <c r="J6401" s="76"/>
      <c r="K6401" s="76"/>
      <c r="L6401" s="76"/>
      <c r="M6401" s="76"/>
      <c r="N6401" s="114"/>
    </row>
    <row r="6402">
      <c r="C6402" s="41"/>
      <c r="D6402" s="142"/>
      <c r="E6402" s="130"/>
      <c r="F6402" s="128"/>
      <c r="G6402" s="128"/>
      <c r="H6402" s="128"/>
      <c r="I6402" s="128"/>
      <c r="J6402" s="81"/>
      <c r="K6402" s="81"/>
      <c r="L6402" s="81"/>
      <c r="M6402" s="81"/>
      <c r="N6402" s="82"/>
    </row>
    <row r="6403">
      <c r="C6403" s="41"/>
      <c r="D6403" s="141"/>
      <c r="E6403" s="118"/>
      <c r="F6403" s="126"/>
      <c r="G6403" s="126"/>
      <c r="H6403" s="126"/>
      <c r="I6403" s="126"/>
      <c r="J6403" s="76"/>
      <c r="K6403" s="76"/>
      <c r="L6403" s="76"/>
      <c r="M6403" s="76"/>
      <c r="N6403" s="114"/>
    </row>
    <row r="6404">
      <c r="C6404" s="41"/>
      <c r="D6404" s="142"/>
      <c r="E6404" s="130"/>
      <c r="F6404" s="128"/>
      <c r="G6404" s="128"/>
      <c r="H6404" s="128"/>
      <c r="I6404" s="128"/>
      <c r="J6404" s="81"/>
      <c r="K6404" s="81"/>
      <c r="L6404" s="81"/>
      <c r="M6404" s="81"/>
      <c r="N6404" s="82"/>
    </row>
    <row r="6405">
      <c r="C6405" s="41"/>
      <c r="D6405" s="141"/>
      <c r="E6405" s="118"/>
      <c r="F6405" s="126"/>
      <c r="G6405" s="126"/>
      <c r="H6405" s="126"/>
      <c r="I6405" s="126"/>
      <c r="J6405" s="76"/>
      <c r="K6405" s="76"/>
      <c r="L6405" s="76"/>
      <c r="M6405" s="76"/>
      <c r="N6405" s="114"/>
    </row>
    <row r="6406">
      <c r="C6406" s="41"/>
      <c r="D6406" s="142"/>
      <c r="E6406" s="130"/>
      <c r="F6406" s="128"/>
      <c r="G6406" s="128"/>
      <c r="H6406" s="128"/>
      <c r="I6406" s="128"/>
      <c r="J6406" s="81"/>
      <c r="K6406" s="81"/>
      <c r="L6406" s="81"/>
      <c r="M6406" s="81"/>
      <c r="N6406" s="82"/>
    </row>
    <row r="6407">
      <c r="C6407" s="41"/>
      <c r="D6407" s="141"/>
      <c r="E6407" s="118"/>
      <c r="F6407" s="126"/>
      <c r="G6407" s="126"/>
      <c r="H6407" s="126"/>
      <c r="I6407" s="126"/>
      <c r="J6407" s="76"/>
      <c r="K6407" s="76"/>
      <c r="L6407" s="76"/>
      <c r="M6407" s="76"/>
      <c r="N6407" s="114"/>
    </row>
    <row r="6408">
      <c r="C6408" s="41"/>
      <c r="D6408" s="142"/>
      <c r="E6408" s="130"/>
      <c r="F6408" s="128"/>
      <c r="G6408" s="128"/>
      <c r="H6408" s="128"/>
      <c r="I6408" s="128"/>
      <c r="J6408" s="81"/>
      <c r="K6408" s="81"/>
      <c r="L6408" s="81"/>
      <c r="M6408" s="81"/>
      <c r="N6408" s="82"/>
    </row>
    <row r="6409">
      <c r="C6409" s="41"/>
      <c r="D6409" s="141"/>
      <c r="E6409" s="118"/>
      <c r="F6409" s="126"/>
      <c r="G6409" s="126"/>
      <c r="H6409" s="126"/>
      <c r="I6409" s="126"/>
      <c r="J6409" s="76"/>
      <c r="K6409" s="76"/>
      <c r="L6409" s="76"/>
      <c r="M6409" s="76"/>
      <c r="N6409" s="114"/>
    </row>
    <row r="6410">
      <c r="C6410" s="41"/>
      <c r="D6410" s="142"/>
      <c r="E6410" s="130"/>
      <c r="F6410" s="128"/>
      <c r="G6410" s="128"/>
      <c r="H6410" s="128"/>
      <c r="I6410" s="128"/>
      <c r="J6410" s="81"/>
      <c r="K6410" s="81"/>
      <c r="L6410" s="81"/>
      <c r="M6410" s="81"/>
      <c r="N6410" s="82"/>
    </row>
    <row r="6411">
      <c r="C6411" s="41"/>
      <c r="D6411" s="141"/>
      <c r="E6411" s="118"/>
      <c r="F6411" s="126"/>
      <c r="G6411" s="126"/>
      <c r="H6411" s="126"/>
      <c r="I6411" s="126"/>
      <c r="J6411" s="76"/>
      <c r="K6411" s="76"/>
      <c r="L6411" s="76"/>
      <c r="M6411" s="76"/>
      <c r="N6411" s="114"/>
    </row>
    <row r="6412">
      <c r="C6412" s="41"/>
      <c r="D6412" s="142"/>
      <c r="E6412" s="130"/>
      <c r="F6412" s="128"/>
      <c r="G6412" s="128"/>
      <c r="H6412" s="128"/>
      <c r="I6412" s="128"/>
      <c r="J6412" s="81"/>
      <c r="K6412" s="81"/>
      <c r="L6412" s="81"/>
      <c r="M6412" s="81"/>
      <c r="N6412" s="82"/>
    </row>
    <row r="6413">
      <c r="C6413" s="41"/>
      <c r="D6413" s="141"/>
      <c r="E6413" s="118"/>
      <c r="F6413" s="126"/>
      <c r="G6413" s="126"/>
      <c r="H6413" s="126"/>
      <c r="I6413" s="126"/>
      <c r="J6413" s="76"/>
      <c r="K6413" s="76"/>
      <c r="L6413" s="76"/>
      <c r="M6413" s="76"/>
      <c r="N6413" s="114"/>
    </row>
    <row r="6414">
      <c r="C6414" s="41"/>
      <c r="D6414" s="142"/>
      <c r="E6414" s="130"/>
      <c r="F6414" s="128"/>
      <c r="G6414" s="128"/>
      <c r="H6414" s="128"/>
      <c r="I6414" s="128"/>
      <c r="J6414" s="81"/>
      <c r="K6414" s="81"/>
      <c r="L6414" s="81"/>
      <c r="M6414" s="81"/>
      <c r="N6414" s="82"/>
    </row>
    <row r="6415">
      <c r="C6415" s="41"/>
      <c r="D6415" s="141"/>
      <c r="E6415" s="118"/>
      <c r="F6415" s="126"/>
      <c r="G6415" s="126"/>
      <c r="H6415" s="126"/>
      <c r="I6415" s="126"/>
      <c r="J6415" s="76"/>
      <c r="K6415" s="76"/>
      <c r="L6415" s="76"/>
      <c r="M6415" s="76"/>
      <c r="N6415" s="114"/>
    </row>
    <row r="6416">
      <c r="C6416" s="41"/>
      <c r="D6416" s="142"/>
      <c r="E6416" s="130"/>
      <c r="F6416" s="128"/>
      <c r="G6416" s="128"/>
      <c r="H6416" s="128"/>
      <c r="I6416" s="128"/>
      <c r="J6416" s="81"/>
      <c r="K6416" s="81"/>
      <c r="L6416" s="81"/>
      <c r="M6416" s="81"/>
      <c r="N6416" s="82"/>
    </row>
    <row r="6417">
      <c r="C6417" s="41"/>
      <c r="D6417" s="141"/>
      <c r="E6417" s="118"/>
      <c r="F6417" s="126"/>
      <c r="G6417" s="126"/>
      <c r="H6417" s="126"/>
      <c r="I6417" s="126"/>
      <c r="J6417" s="76"/>
      <c r="K6417" s="76"/>
      <c r="L6417" s="76"/>
      <c r="M6417" s="76"/>
      <c r="N6417" s="114"/>
    </row>
    <row r="6418">
      <c r="C6418" s="41"/>
      <c r="D6418" s="142"/>
      <c r="E6418" s="130"/>
      <c r="F6418" s="128"/>
      <c r="G6418" s="128"/>
      <c r="H6418" s="128"/>
      <c r="I6418" s="128"/>
      <c r="J6418" s="81"/>
      <c r="K6418" s="81"/>
      <c r="L6418" s="81"/>
      <c r="M6418" s="81"/>
      <c r="N6418" s="82"/>
    </row>
    <row r="6419">
      <c r="C6419" s="41"/>
      <c r="D6419" s="141"/>
      <c r="E6419" s="118"/>
      <c r="F6419" s="126"/>
      <c r="G6419" s="126"/>
      <c r="H6419" s="126"/>
      <c r="I6419" s="126"/>
      <c r="J6419" s="76"/>
      <c r="K6419" s="76"/>
      <c r="L6419" s="76"/>
      <c r="M6419" s="76"/>
      <c r="N6419" s="114"/>
    </row>
    <row r="6420">
      <c r="C6420" s="41"/>
      <c r="D6420" s="142"/>
      <c r="E6420" s="130"/>
      <c r="F6420" s="128"/>
      <c r="G6420" s="128"/>
      <c r="H6420" s="128"/>
      <c r="I6420" s="128"/>
      <c r="J6420" s="81"/>
      <c r="K6420" s="81"/>
      <c r="L6420" s="81"/>
      <c r="M6420" s="81"/>
      <c r="N6420" s="82"/>
    </row>
    <row r="6421">
      <c r="C6421" s="41"/>
      <c r="D6421" s="141"/>
      <c r="E6421" s="118"/>
      <c r="F6421" s="126"/>
      <c r="G6421" s="126"/>
      <c r="H6421" s="126"/>
      <c r="I6421" s="126"/>
      <c r="J6421" s="76"/>
      <c r="K6421" s="76"/>
      <c r="L6421" s="76"/>
      <c r="M6421" s="76"/>
      <c r="N6421" s="114"/>
    </row>
    <row r="6422">
      <c r="C6422" s="41"/>
      <c r="D6422" s="142"/>
      <c r="E6422" s="130"/>
      <c r="F6422" s="128"/>
      <c r="G6422" s="128"/>
      <c r="H6422" s="128"/>
      <c r="I6422" s="128"/>
      <c r="J6422" s="81"/>
      <c r="K6422" s="81"/>
      <c r="L6422" s="81"/>
      <c r="M6422" s="81"/>
      <c r="N6422" s="82"/>
    </row>
    <row r="6423">
      <c r="C6423" s="41"/>
      <c r="D6423" s="141"/>
      <c r="E6423" s="118"/>
      <c r="F6423" s="126"/>
      <c r="G6423" s="126"/>
      <c r="H6423" s="126"/>
      <c r="I6423" s="126"/>
      <c r="J6423" s="76"/>
      <c r="K6423" s="76"/>
      <c r="L6423" s="76"/>
      <c r="M6423" s="76"/>
      <c r="N6423" s="114"/>
    </row>
    <row r="6424">
      <c r="C6424" s="41"/>
      <c r="D6424" s="142"/>
      <c r="E6424" s="130"/>
      <c r="F6424" s="128"/>
      <c r="G6424" s="128"/>
      <c r="H6424" s="128"/>
      <c r="I6424" s="128"/>
      <c r="J6424" s="81"/>
      <c r="K6424" s="81"/>
      <c r="L6424" s="81"/>
      <c r="M6424" s="81"/>
      <c r="N6424" s="82"/>
    </row>
    <row r="6425">
      <c r="C6425" s="41"/>
      <c r="D6425" s="141"/>
      <c r="E6425" s="118"/>
      <c r="F6425" s="126"/>
      <c r="G6425" s="126"/>
      <c r="H6425" s="126"/>
      <c r="I6425" s="126"/>
      <c r="J6425" s="76"/>
      <c r="K6425" s="76"/>
      <c r="L6425" s="76"/>
      <c r="M6425" s="76"/>
      <c r="N6425" s="114"/>
    </row>
    <row r="6426">
      <c r="C6426" s="41"/>
      <c r="D6426" s="142"/>
      <c r="E6426" s="130"/>
      <c r="F6426" s="128"/>
      <c r="G6426" s="128"/>
      <c r="H6426" s="128"/>
      <c r="I6426" s="128"/>
      <c r="J6426" s="81"/>
      <c r="K6426" s="81"/>
      <c r="L6426" s="81"/>
      <c r="M6426" s="81"/>
      <c r="N6426" s="82"/>
    </row>
    <row r="6427">
      <c r="C6427" s="41"/>
      <c r="D6427" s="141"/>
      <c r="E6427" s="118"/>
      <c r="F6427" s="126"/>
      <c r="G6427" s="126"/>
      <c r="H6427" s="126"/>
      <c r="I6427" s="126"/>
      <c r="J6427" s="76"/>
      <c r="K6427" s="76"/>
      <c r="L6427" s="76"/>
      <c r="M6427" s="76"/>
      <c r="N6427" s="114"/>
    </row>
    <row r="6428">
      <c r="C6428" s="41"/>
      <c r="D6428" s="142"/>
      <c r="E6428" s="130"/>
      <c r="F6428" s="128"/>
      <c r="G6428" s="128"/>
      <c r="H6428" s="128"/>
      <c r="I6428" s="128"/>
      <c r="J6428" s="81"/>
      <c r="K6428" s="81"/>
      <c r="L6428" s="81"/>
      <c r="M6428" s="81"/>
      <c r="N6428" s="82"/>
    </row>
    <row r="6429">
      <c r="C6429" s="41"/>
      <c r="D6429" s="141"/>
      <c r="E6429" s="118"/>
      <c r="F6429" s="126"/>
      <c r="G6429" s="126"/>
      <c r="H6429" s="126"/>
      <c r="I6429" s="126"/>
      <c r="J6429" s="76"/>
      <c r="K6429" s="76"/>
      <c r="L6429" s="76"/>
      <c r="M6429" s="76"/>
      <c r="N6429" s="114"/>
    </row>
    <row r="6430">
      <c r="C6430" s="41"/>
      <c r="D6430" s="142"/>
      <c r="E6430" s="130"/>
      <c r="F6430" s="128"/>
      <c r="G6430" s="128"/>
      <c r="H6430" s="128"/>
      <c r="I6430" s="128"/>
      <c r="J6430" s="81"/>
      <c r="K6430" s="81"/>
      <c r="L6430" s="81"/>
      <c r="M6430" s="81"/>
      <c r="N6430" s="82"/>
    </row>
    <row r="6431">
      <c r="C6431" s="41"/>
      <c r="D6431" s="141"/>
      <c r="E6431" s="118"/>
      <c r="F6431" s="126"/>
      <c r="G6431" s="126"/>
      <c r="H6431" s="126"/>
      <c r="I6431" s="126"/>
      <c r="J6431" s="76"/>
      <c r="K6431" s="76"/>
      <c r="L6431" s="76"/>
      <c r="M6431" s="76"/>
      <c r="N6431" s="114"/>
    </row>
    <row r="6432">
      <c r="C6432" s="41"/>
      <c r="D6432" s="142"/>
      <c r="E6432" s="130"/>
      <c r="F6432" s="128"/>
      <c r="G6432" s="128"/>
      <c r="H6432" s="128"/>
      <c r="I6432" s="128"/>
      <c r="J6432" s="81"/>
      <c r="K6432" s="81"/>
      <c r="L6432" s="81"/>
      <c r="M6432" s="81"/>
      <c r="N6432" s="82"/>
    </row>
    <row r="6433">
      <c r="C6433" s="41"/>
      <c r="D6433" s="141"/>
      <c r="E6433" s="118"/>
      <c r="F6433" s="126"/>
      <c r="G6433" s="126"/>
      <c r="H6433" s="126"/>
      <c r="I6433" s="126"/>
      <c r="J6433" s="76"/>
      <c r="K6433" s="76"/>
      <c r="L6433" s="76"/>
      <c r="M6433" s="76"/>
      <c r="N6433" s="114"/>
    </row>
    <row r="6434">
      <c r="C6434" s="41"/>
      <c r="D6434" s="142"/>
      <c r="E6434" s="130"/>
      <c r="F6434" s="128"/>
      <c r="G6434" s="128"/>
      <c r="H6434" s="128"/>
      <c r="I6434" s="128"/>
      <c r="J6434" s="81"/>
      <c r="K6434" s="81"/>
      <c r="L6434" s="81"/>
      <c r="M6434" s="81"/>
      <c r="N6434" s="82"/>
    </row>
    <row r="6435">
      <c r="C6435" s="41"/>
      <c r="D6435" s="141"/>
      <c r="E6435" s="118"/>
      <c r="F6435" s="126"/>
      <c r="G6435" s="126"/>
      <c r="H6435" s="126"/>
      <c r="I6435" s="126"/>
      <c r="J6435" s="76"/>
      <c r="K6435" s="76"/>
      <c r="L6435" s="76"/>
      <c r="M6435" s="76"/>
      <c r="N6435" s="114"/>
    </row>
    <row r="6436">
      <c r="C6436" s="41"/>
      <c r="D6436" s="142"/>
      <c r="E6436" s="130"/>
      <c r="F6436" s="128"/>
      <c r="G6436" s="128"/>
      <c r="H6436" s="128"/>
      <c r="I6436" s="128"/>
      <c r="J6436" s="81"/>
      <c r="K6436" s="81"/>
      <c r="L6436" s="81"/>
      <c r="M6436" s="81"/>
      <c r="N6436" s="82"/>
    </row>
    <row r="6437">
      <c r="C6437" s="41"/>
      <c r="D6437" s="141"/>
      <c r="E6437" s="118"/>
      <c r="F6437" s="126"/>
      <c r="G6437" s="126"/>
      <c r="H6437" s="126"/>
      <c r="I6437" s="126"/>
      <c r="J6437" s="76"/>
      <c r="K6437" s="76"/>
      <c r="L6437" s="76"/>
      <c r="M6437" s="76"/>
      <c r="N6437" s="114"/>
    </row>
    <row r="6438">
      <c r="C6438" s="41"/>
      <c r="D6438" s="142"/>
      <c r="E6438" s="130"/>
      <c r="F6438" s="128"/>
      <c r="G6438" s="128"/>
      <c r="H6438" s="128"/>
      <c r="I6438" s="128"/>
      <c r="J6438" s="81"/>
      <c r="K6438" s="81"/>
      <c r="L6438" s="81"/>
      <c r="M6438" s="81"/>
      <c r="N6438" s="82"/>
    </row>
    <row r="6439">
      <c r="C6439" s="41"/>
      <c r="D6439" s="141"/>
      <c r="E6439" s="118"/>
      <c r="F6439" s="126"/>
      <c r="G6439" s="126"/>
      <c r="H6439" s="126"/>
      <c r="I6439" s="126"/>
      <c r="J6439" s="76"/>
      <c r="K6439" s="76"/>
      <c r="L6439" s="76"/>
      <c r="M6439" s="76"/>
      <c r="N6439" s="114"/>
    </row>
    <row r="6440">
      <c r="C6440" s="41"/>
      <c r="D6440" s="142"/>
      <c r="E6440" s="130"/>
      <c r="F6440" s="128"/>
      <c r="G6440" s="128"/>
      <c r="H6440" s="128"/>
      <c r="I6440" s="128"/>
      <c r="J6440" s="81"/>
      <c r="K6440" s="81"/>
      <c r="L6440" s="81"/>
      <c r="M6440" s="81"/>
      <c r="N6440" s="82"/>
    </row>
    <row r="6441">
      <c r="C6441" s="41"/>
      <c r="D6441" s="141"/>
      <c r="E6441" s="118"/>
      <c r="F6441" s="126"/>
      <c r="G6441" s="126"/>
      <c r="H6441" s="126"/>
      <c r="I6441" s="126"/>
      <c r="J6441" s="76"/>
      <c r="K6441" s="76"/>
      <c r="L6441" s="76"/>
      <c r="M6441" s="76"/>
      <c r="N6441" s="114"/>
    </row>
    <row r="6442">
      <c r="C6442" s="41"/>
      <c r="D6442" s="142"/>
      <c r="E6442" s="130"/>
      <c r="F6442" s="128"/>
      <c r="G6442" s="128"/>
      <c r="H6442" s="128"/>
      <c r="I6442" s="128"/>
      <c r="J6442" s="81"/>
      <c r="K6442" s="81"/>
      <c r="L6442" s="81"/>
      <c r="M6442" s="81"/>
      <c r="N6442" s="82"/>
    </row>
    <row r="6443">
      <c r="C6443" s="41"/>
      <c r="D6443" s="141"/>
      <c r="E6443" s="118"/>
      <c r="F6443" s="126"/>
      <c r="G6443" s="126"/>
      <c r="H6443" s="126"/>
      <c r="I6443" s="126"/>
      <c r="J6443" s="76"/>
      <c r="K6443" s="76"/>
      <c r="L6443" s="76"/>
      <c r="M6443" s="76"/>
      <c r="N6443" s="114"/>
    </row>
    <row r="6444">
      <c r="C6444" s="41"/>
      <c r="D6444" s="142"/>
      <c r="E6444" s="130"/>
      <c r="F6444" s="128"/>
      <c r="G6444" s="128"/>
      <c r="H6444" s="128"/>
      <c r="I6444" s="128"/>
      <c r="J6444" s="81"/>
      <c r="K6444" s="81"/>
      <c r="L6444" s="81"/>
      <c r="M6444" s="81"/>
      <c r="N6444" s="82"/>
    </row>
    <row r="6445">
      <c r="C6445" s="41"/>
      <c r="D6445" s="141"/>
      <c r="E6445" s="118"/>
      <c r="F6445" s="126"/>
      <c r="G6445" s="126"/>
      <c r="H6445" s="126"/>
      <c r="I6445" s="126"/>
      <c r="J6445" s="76"/>
      <c r="K6445" s="76"/>
      <c r="L6445" s="76"/>
      <c r="M6445" s="76"/>
      <c r="N6445" s="114"/>
    </row>
    <row r="6446">
      <c r="C6446" s="41"/>
      <c r="D6446" s="142"/>
      <c r="E6446" s="130"/>
      <c r="F6446" s="128"/>
      <c r="G6446" s="128"/>
      <c r="H6446" s="128"/>
      <c r="I6446" s="128"/>
      <c r="J6446" s="81"/>
      <c r="K6446" s="81"/>
      <c r="L6446" s="81"/>
      <c r="M6446" s="81"/>
      <c r="N6446" s="82"/>
    </row>
    <row r="6447">
      <c r="C6447" s="41"/>
      <c r="D6447" s="141"/>
      <c r="E6447" s="118"/>
      <c r="F6447" s="126"/>
      <c r="G6447" s="126"/>
      <c r="H6447" s="126"/>
      <c r="I6447" s="126"/>
      <c r="J6447" s="76"/>
      <c r="K6447" s="76"/>
      <c r="L6447" s="76"/>
      <c r="M6447" s="76"/>
      <c r="N6447" s="114"/>
    </row>
    <row r="6448">
      <c r="C6448" s="41"/>
      <c r="D6448" s="142"/>
      <c r="E6448" s="130"/>
      <c r="F6448" s="128"/>
      <c r="G6448" s="128"/>
      <c r="H6448" s="128"/>
      <c r="I6448" s="128"/>
      <c r="J6448" s="81"/>
      <c r="K6448" s="81"/>
      <c r="L6448" s="81"/>
      <c r="M6448" s="81"/>
      <c r="N6448" s="82"/>
    </row>
    <row r="6449">
      <c r="C6449" s="41"/>
      <c r="D6449" s="141"/>
      <c r="E6449" s="118"/>
      <c r="F6449" s="126"/>
      <c r="G6449" s="126"/>
      <c r="H6449" s="126"/>
      <c r="I6449" s="126"/>
      <c r="J6449" s="76"/>
      <c r="K6449" s="76"/>
      <c r="L6449" s="76"/>
      <c r="M6449" s="76"/>
      <c r="N6449" s="114"/>
    </row>
    <row r="6450">
      <c r="C6450" s="41"/>
      <c r="D6450" s="142"/>
      <c r="E6450" s="130"/>
      <c r="F6450" s="128"/>
      <c r="G6450" s="128"/>
      <c r="H6450" s="128"/>
      <c r="I6450" s="128"/>
      <c r="J6450" s="81"/>
      <c r="K6450" s="81"/>
      <c r="L6450" s="81"/>
      <c r="M6450" s="81"/>
      <c r="N6450" s="82"/>
    </row>
    <row r="6451">
      <c r="C6451" s="41"/>
      <c r="D6451" s="141"/>
      <c r="E6451" s="118"/>
      <c r="F6451" s="126"/>
      <c r="G6451" s="126"/>
      <c r="H6451" s="126"/>
      <c r="I6451" s="126"/>
      <c r="J6451" s="76"/>
      <c r="K6451" s="76"/>
      <c r="L6451" s="76"/>
      <c r="M6451" s="76"/>
      <c r="N6451" s="114"/>
    </row>
    <row r="6452">
      <c r="C6452" s="41"/>
      <c r="D6452" s="142"/>
      <c r="E6452" s="130"/>
      <c r="F6452" s="128"/>
      <c r="G6452" s="128"/>
      <c r="H6452" s="128"/>
      <c r="I6452" s="128"/>
      <c r="J6452" s="81"/>
      <c r="K6452" s="81"/>
      <c r="L6452" s="81"/>
      <c r="M6452" s="81"/>
      <c r="N6452" s="82"/>
    </row>
    <row r="6453">
      <c r="C6453" s="41"/>
      <c r="D6453" s="141"/>
      <c r="E6453" s="118"/>
      <c r="F6453" s="126"/>
      <c r="G6453" s="126"/>
      <c r="H6453" s="126"/>
      <c r="I6453" s="126"/>
      <c r="J6453" s="76"/>
      <c r="K6453" s="76"/>
      <c r="L6453" s="76"/>
      <c r="M6453" s="76"/>
      <c r="N6453" s="114"/>
    </row>
    <row r="6454">
      <c r="C6454" s="41"/>
      <c r="D6454" s="142"/>
      <c r="E6454" s="130"/>
      <c r="F6454" s="128"/>
      <c r="G6454" s="128"/>
      <c r="H6454" s="128"/>
      <c r="I6454" s="128"/>
      <c r="J6454" s="81"/>
      <c r="K6454" s="81"/>
      <c r="L6454" s="81"/>
      <c r="M6454" s="81"/>
      <c r="N6454" s="82"/>
    </row>
    <row r="6455">
      <c r="C6455" s="41"/>
      <c r="D6455" s="141"/>
      <c r="E6455" s="118"/>
      <c r="F6455" s="126"/>
      <c r="G6455" s="126"/>
      <c r="H6455" s="126"/>
      <c r="I6455" s="126"/>
      <c r="J6455" s="76"/>
      <c r="K6455" s="76"/>
      <c r="L6455" s="76"/>
      <c r="M6455" s="76"/>
      <c r="N6455" s="114"/>
    </row>
    <row r="6456">
      <c r="C6456" s="41"/>
      <c r="D6456" s="142"/>
      <c r="E6456" s="130"/>
      <c r="F6456" s="128"/>
      <c r="G6456" s="128"/>
      <c r="H6456" s="128"/>
      <c r="I6456" s="128"/>
      <c r="J6456" s="81"/>
      <c r="K6456" s="81"/>
      <c r="L6456" s="81"/>
      <c r="M6456" s="81"/>
      <c r="N6456" s="82"/>
    </row>
    <row r="6457">
      <c r="C6457" s="41"/>
      <c r="D6457" s="141"/>
      <c r="E6457" s="118"/>
      <c r="F6457" s="126"/>
      <c r="G6457" s="126"/>
      <c r="H6457" s="126"/>
      <c r="I6457" s="126"/>
      <c r="J6457" s="76"/>
      <c r="K6457" s="76"/>
      <c r="L6457" s="76"/>
      <c r="M6457" s="76"/>
      <c r="N6457" s="114"/>
    </row>
    <row r="6458">
      <c r="C6458" s="41"/>
      <c r="D6458" s="142"/>
      <c r="E6458" s="130"/>
      <c r="F6458" s="128"/>
      <c r="G6458" s="128"/>
      <c r="H6458" s="128"/>
      <c r="I6458" s="128"/>
      <c r="J6458" s="81"/>
      <c r="K6458" s="81"/>
      <c r="L6458" s="81"/>
      <c r="M6458" s="81"/>
      <c r="N6458" s="82"/>
    </row>
    <row r="6459">
      <c r="C6459" s="41"/>
      <c r="D6459" s="141"/>
      <c r="E6459" s="118"/>
      <c r="F6459" s="126"/>
      <c r="G6459" s="126"/>
      <c r="H6459" s="126"/>
      <c r="I6459" s="126"/>
      <c r="J6459" s="76"/>
      <c r="K6459" s="76"/>
      <c r="L6459" s="76"/>
      <c r="M6459" s="76"/>
      <c r="N6459" s="114"/>
    </row>
    <row r="6460">
      <c r="C6460" s="41"/>
      <c r="D6460" s="142"/>
      <c r="E6460" s="130"/>
      <c r="F6460" s="128"/>
      <c r="G6460" s="128"/>
      <c r="H6460" s="128"/>
      <c r="I6460" s="128"/>
      <c r="J6460" s="81"/>
      <c r="K6460" s="81"/>
      <c r="L6460" s="81"/>
      <c r="M6460" s="81"/>
      <c r="N6460" s="82"/>
    </row>
    <row r="6461">
      <c r="C6461" s="41"/>
      <c r="D6461" s="141"/>
      <c r="E6461" s="118"/>
      <c r="F6461" s="126"/>
      <c r="G6461" s="126"/>
      <c r="H6461" s="126"/>
      <c r="I6461" s="126"/>
      <c r="J6461" s="76"/>
      <c r="K6461" s="76"/>
      <c r="L6461" s="76"/>
      <c r="M6461" s="76"/>
      <c r="N6461" s="114"/>
    </row>
    <row r="6462">
      <c r="C6462" s="41"/>
      <c r="D6462" s="142"/>
      <c r="E6462" s="130"/>
      <c r="F6462" s="128"/>
      <c r="G6462" s="128"/>
      <c r="H6462" s="128"/>
      <c r="I6462" s="128"/>
      <c r="J6462" s="81"/>
      <c r="K6462" s="81"/>
      <c r="L6462" s="81"/>
      <c r="M6462" s="81"/>
      <c r="N6462" s="82"/>
    </row>
    <row r="6463">
      <c r="C6463" s="41"/>
      <c r="D6463" s="141"/>
      <c r="E6463" s="118"/>
      <c r="F6463" s="126"/>
      <c r="G6463" s="126"/>
      <c r="H6463" s="126"/>
      <c r="I6463" s="126"/>
      <c r="J6463" s="76"/>
      <c r="K6463" s="76"/>
      <c r="L6463" s="76"/>
      <c r="M6463" s="76"/>
      <c r="N6463" s="114"/>
    </row>
    <row r="6464">
      <c r="C6464" s="41"/>
      <c r="D6464" s="142"/>
      <c r="E6464" s="130"/>
      <c r="F6464" s="128"/>
      <c r="G6464" s="128"/>
      <c r="H6464" s="128"/>
      <c r="I6464" s="128"/>
      <c r="J6464" s="81"/>
      <c r="K6464" s="81"/>
      <c r="L6464" s="81"/>
      <c r="M6464" s="81"/>
      <c r="N6464" s="82"/>
    </row>
    <row r="6465">
      <c r="C6465" s="41"/>
      <c r="D6465" s="141"/>
      <c r="E6465" s="118"/>
      <c r="F6465" s="126"/>
      <c r="G6465" s="126"/>
      <c r="H6465" s="126"/>
      <c r="I6465" s="126"/>
      <c r="J6465" s="76"/>
      <c r="K6465" s="76"/>
      <c r="L6465" s="76"/>
      <c r="M6465" s="76"/>
      <c r="N6465" s="114"/>
    </row>
    <row r="6466">
      <c r="C6466" s="41"/>
      <c r="D6466" s="142"/>
      <c r="E6466" s="130"/>
      <c r="F6466" s="128"/>
      <c r="G6466" s="128"/>
      <c r="H6466" s="128"/>
      <c r="I6466" s="128"/>
      <c r="J6466" s="81"/>
      <c r="K6466" s="81"/>
      <c r="L6466" s="81"/>
      <c r="M6466" s="81"/>
      <c r="N6466" s="82"/>
    </row>
    <row r="6467">
      <c r="C6467" s="41"/>
      <c r="D6467" s="141"/>
      <c r="E6467" s="118"/>
      <c r="F6467" s="126"/>
      <c r="G6467" s="126"/>
      <c r="H6467" s="126"/>
      <c r="I6467" s="126"/>
      <c r="J6467" s="76"/>
      <c r="K6467" s="76"/>
      <c r="L6467" s="76"/>
      <c r="M6467" s="76"/>
      <c r="N6467" s="114"/>
    </row>
    <row r="6468">
      <c r="C6468" s="41"/>
      <c r="D6468" s="142"/>
      <c r="E6468" s="130"/>
      <c r="F6468" s="128"/>
      <c r="G6468" s="128"/>
      <c r="H6468" s="128"/>
      <c r="I6468" s="128"/>
      <c r="J6468" s="81"/>
      <c r="K6468" s="81"/>
      <c r="L6468" s="81"/>
      <c r="M6468" s="81"/>
      <c r="N6468" s="82"/>
    </row>
    <row r="6469">
      <c r="C6469" s="41"/>
      <c r="D6469" s="141"/>
      <c r="E6469" s="118"/>
      <c r="F6469" s="126"/>
      <c r="G6469" s="126"/>
      <c r="H6469" s="126"/>
      <c r="I6469" s="126"/>
      <c r="J6469" s="76"/>
      <c r="K6469" s="76"/>
      <c r="L6469" s="76"/>
      <c r="M6469" s="76"/>
      <c r="N6469" s="114"/>
    </row>
    <row r="6470">
      <c r="C6470" s="41"/>
      <c r="D6470" s="142"/>
      <c r="E6470" s="130"/>
      <c r="F6470" s="128"/>
      <c r="G6470" s="128"/>
      <c r="H6470" s="128"/>
      <c r="I6470" s="128"/>
      <c r="J6470" s="81"/>
      <c r="K6470" s="81"/>
      <c r="L6470" s="81"/>
      <c r="M6470" s="81"/>
      <c r="N6470" s="82"/>
    </row>
    <row r="6471">
      <c r="C6471" s="41"/>
      <c r="D6471" s="141"/>
      <c r="E6471" s="118"/>
      <c r="F6471" s="126"/>
      <c r="G6471" s="126"/>
      <c r="H6471" s="126"/>
      <c r="I6471" s="126"/>
      <c r="J6471" s="76"/>
      <c r="K6471" s="76"/>
      <c r="L6471" s="76"/>
      <c r="M6471" s="76"/>
      <c r="N6471" s="114"/>
    </row>
    <row r="6472">
      <c r="C6472" s="41"/>
      <c r="D6472" s="142"/>
      <c r="E6472" s="130"/>
      <c r="F6472" s="128"/>
      <c r="G6472" s="128"/>
      <c r="H6472" s="128"/>
      <c r="I6472" s="128"/>
      <c r="J6472" s="81"/>
      <c r="K6472" s="81"/>
      <c r="L6472" s="81"/>
      <c r="M6472" s="81"/>
      <c r="N6472" s="82"/>
    </row>
    <row r="6473">
      <c r="C6473" s="41"/>
      <c r="D6473" s="141"/>
      <c r="E6473" s="118"/>
      <c r="F6473" s="126"/>
      <c r="G6473" s="126"/>
      <c r="H6473" s="126"/>
      <c r="I6473" s="126"/>
      <c r="J6473" s="76"/>
      <c r="K6473" s="76"/>
      <c r="L6473" s="76"/>
      <c r="M6473" s="76"/>
      <c r="N6473" s="114"/>
    </row>
    <row r="6474">
      <c r="C6474" s="41"/>
      <c r="D6474" s="142"/>
      <c r="E6474" s="130"/>
      <c r="F6474" s="128"/>
      <c r="G6474" s="128"/>
      <c r="H6474" s="128"/>
      <c r="I6474" s="128"/>
      <c r="J6474" s="81"/>
      <c r="K6474" s="81"/>
      <c r="L6474" s="81"/>
      <c r="M6474" s="81"/>
      <c r="N6474" s="82"/>
    </row>
    <row r="6475">
      <c r="C6475" s="41"/>
      <c r="D6475" s="141"/>
      <c r="E6475" s="118"/>
      <c r="F6475" s="126"/>
      <c r="G6475" s="126"/>
      <c r="H6475" s="126"/>
      <c r="I6475" s="126"/>
      <c r="J6475" s="76"/>
      <c r="K6475" s="76"/>
      <c r="L6475" s="76"/>
      <c r="M6475" s="76"/>
      <c r="N6475" s="114"/>
    </row>
    <row r="6476">
      <c r="C6476" s="41"/>
      <c r="D6476" s="142"/>
      <c r="E6476" s="130"/>
      <c r="F6476" s="128"/>
      <c r="G6476" s="128"/>
      <c r="H6476" s="128"/>
      <c r="I6476" s="128"/>
      <c r="J6476" s="81"/>
      <c r="K6476" s="81"/>
      <c r="L6476" s="81"/>
      <c r="M6476" s="81"/>
      <c r="N6476" s="82"/>
    </row>
    <row r="6477">
      <c r="C6477" s="41"/>
      <c r="D6477" s="141"/>
      <c r="E6477" s="118"/>
      <c r="F6477" s="126"/>
      <c r="G6477" s="126"/>
      <c r="H6477" s="126"/>
      <c r="I6477" s="126"/>
      <c r="J6477" s="76"/>
      <c r="K6477" s="76"/>
      <c r="L6477" s="76"/>
      <c r="M6477" s="76"/>
      <c r="N6477" s="114"/>
    </row>
    <row r="6478">
      <c r="C6478" s="41"/>
      <c r="D6478" s="142"/>
      <c r="E6478" s="130"/>
      <c r="F6478" s="128"/>
      <c r="G6478" s="128"/>
      <c r="H6478" s="128"/>
      <c r="I6478" s="128"/>
      <c r="J6478" s="81"/>
      <c r="K6478" s="81"/>
      <c r="L6478" s="81"/>
      <c r="M6478" s="81"/>
      <c r="N6478" s="82"/>
    </row>
    <row r="6479">
      <c r="C6479" s="41"/>
      <c r="D6479" s="141"/>
      <c r="E6479" s="118"/>
      <c r="F6479" s="126"/>
      <c r="G6479" s="126"/>
      <c r="H6479" s="126"/>
      <c r="I6479" s="126"/>
      <c r="J6479" s="76"/>
      <c r="K6479" s="76"/>
      <c r="L6479" s="76"/>
      <c r="M6479" s="76"/>
      <c r="N6479" s="114"/>
    </row>
    <row r="6480">
      <c r="C6480" s="41"/>
      <c r="D6480" s="142"/>
      <c r="E6480" s="130"/>
      <c r="F6480" s="128"/>
      <c r="G6480" s="128"/>
      <c r="H6480" s="128"/>
      <c r="I6480" s="128"/>
      <c r="J6480" s="81"/>
      <c r="K6480" s="81"/>
      <c r="L6480" s="81"/>
      <c r="M6480" s="81"/>
      <c r="N6480" s="82"/>
    </row>
    <row r="6481">
      <c r="C6481" s="41"/>
      <c r="D6481" s="141"/>
      <c r="E6481" s="118"/>
      <c r="F6481" s="126"/>
      <c r="G6481" s="126"/>
      <c r="H6481" s="126"/>
      <c r="I6481" s="126"/>
      <c r="J6481" s="76"/>
      <c r="K6481" s="76"/>
      <c r="L6481" s="76"/>
      <c r="M6481" s="76"/>
      <c r="N6481" s="114"/>
    </row>
    <row r="6482">
      <c r="C6482" s="41"/>
      <c r="D6482" s="142"/>
      <c r="E6482" s="130"/>
      <c r="F6482" s="128"/>
      <c r="G6482" s="128"/>
      <c r="H6482" s="128"/>
      <c r="I6482" s="128"/>
      <c r="J6482" s="81"/>
      <c r="K6482" s="81"/>
      <c r="L6482" s="81"/>
      <c r="M6482" s="81"/>
      <c r="N6482" s="82"/>
    </row>
    <row r="6483">
      <c r="C6483" s="41"/>
      <c r="D6483" s="141"/>
      <c r="E6483" s="118"/>
      <c r="F6483" s="126"/>
      <c r="G6483" s="126"/>
      <c r="H6483" s="126"/>
      <c r="I6483" s="126"/>
      <c r="J6483" s="76"/>
      <c r="K6483" s="76"/>
      <c r="L6483" s="76"/>
      <c r="M6483" s="76"/>
      <c r="N6483" s="114"/>
    </row>
    <row r="6484">
      <c r="C6484" s="41"/>
      <c r="D6484" s="142"/>
      <c r="E6484" s="130"/>
      <c r="F6484" s="128"/>
      <c r="G6484" s="128"/>
      <c r="H6484" s="128"/>
      <c r="I6484" s="128"/>
      <c r="J6484" s="81"/>
      <c r="K6484" s="81"/>
      <c r="L6484" s="81"/>
      <c r="M6484" s="81"/>
      <c r="N6484" s="82"/>
    </row>
    <row r="6485">
      <c r="C6485" s="41"/>
      <c r="D6485" s="141"/>
      <c r="E6485" s="118"/>
      <c r="F6485" s="126"/>
      <c r="G6485" s="126"/>
      <c r="H6485" s="126"/>
      <c r="I6485" s="126"/>
      <c r="J6485" s="76"/>
      <c r="K6485" s="76"/>
      <c r="L6485" s="76"/>
      <c r="M6485" s="76"/>
      <c r="N6485" s="114"/>
    </row>
    <row r="6486">
      <c r="C6486" s="41"/>
      <c r="D6486" s="142"/>
      <c r="E6486" s="130"/>
      <c r="F6486" s="128"/>
      <c r="G6486" s="128"/>
      <c r="H6486" s="128"/>
      <c r="I6486" s="128"/>
      <c r="J6486" s="81"/>
      <c r="K6486" s="81"/>
      <c r="L6486" s="81"/>
      <c r="M6486" s="81"/>
      <c r="N6486" s="82"/>
    </row>
    <row r="6487">
      <c r="C6487" s="41"/>
      <c r="D6487" s="141"/>
      <c r="E6487" s="118"/>
      <c r="F6487" s="126"/>
      <c r="G6487" s="126"/>
      <c r="H6487" s="126"/>
      <c r="I6487" s="126"/>
      <c r="J6487" s="76"/>
      <c r="K6487" s="76"/>
      <c r="L6487" s="76"/>
      <c r="M6487" s="76"/>
      <c r="N6487" s="114"/>
    </row>
    <row r="6488">
      <c r="C6488" s="41"/>
      <c r="D6488" s="142"/>
      <c r="E6488" s="130"/>
      <c r="F6488" s="128"/>
      <c r="G6488" s="128"/>
      <c r="H6488" s="128"/>
      <c r="I6488" s="128"/>
      <c r="J6488" s="81"/>
      <c r="K6488" s="81"/>
      <c r="L6488" s="81"/>
      <c r="M6488" s="81"/>
      <c r="N6488" s="82"/>
    </row>
    <row r="6489">
      <c r="C6489" s="41"/>
      <c r="D6489" s="141"/>
      <c r="E6489" s="118"/>
      <c r="F6489" s="126"/>
      <c r="G6489" s="126"/>
      <c r="H6489" s="126"/>
      <c r="I6489" s="126"/>
      <c r="J6489" s="76"/>
      <c r="K6489" s="76"/>
      <c r="L6489" s="76"/>
      <c r="M6489" s="76"/>
      <c r="N6489" s="114"/>
    </row>
    <row r="6490">
      <c r="C6490" s="41"/>
      <c r="D6490" s="142"/>
      <c r="E6490" s="130"/>
      <c r="F6490" s="128"/>
      <c r="G6490" s="128"/>
      <c r="H6490" s="128"/>
      <c r="I6490" s="128"/>
      <c r="J6490" s="81"/>
      <c r="K6490" s="81"/>
      <c r="L6490" s="81"/>
      <c r="M6490" s="81"/>
      <c r="N6490" s="82"/>
    </row>
    <row r="6491">
      <c r="C6491" s="41"/>
      <c r="D6491" s="141"/>
      <c r="E6491" s="118"/>
      <c r="F6491" s="126"/>
      <c r="G6491" s="126"/>
      <c r="H6491" s="126"/>
      <c r="I6491" s="126"/>
      <c r="J6491" s="76"/>
      <c r="K6491" s="76"/>
      <c r="L6491" s="76"/>
      <c r="M6491" s="76"/>
      <c r="N6491" s="114"/>
    </row>
    <row r="6492">
      <c r="C6492" s="41"/>
      <c r="D6492" s="142"/>
      <c r="E6492" s="130"/>
      <c r="F6492" s="128"/>
      <c r="G6492" s="128"/>
      <c r="H6492" s="128"/>
      <c r="I6492" s="128"/>
      <c r="J6492" s="81"/>
      <c r="K6492" s="81"/>
      <c r="L6492" s="81"/>
      <c r="M6492" s="81"/>
      <c r="N6492" s="82"/>
    </row>
    <row r="6493">
      <c r="C6493" s="41"/>
      <c r="D6493" s="141"/>
      <c r="E6493" s="118"/>
      <c r="F6493" s="126"/>
      <c r="G6493" s="126"/>
      <c r="H6493" s="126"/>
      <c r="I6493" s="126"/>
      <c r="J6493" s="76"/>
      <c r="K6493" s="76"/>
      <c r="L6493" s="76"/>
      <c r="M6493" s="76"/>
      <c r="N6493" s="114"/>
    </row>
    <row r="6494">
      <c r="C6494" s="41"/>
      <c r="D6494" s="142"/>
      <c r="E6494" s="130"/>
      <c r="F6494" s="128"/>
      <c r="G6494" s="128"/>
      <c r="H6494" s="128"/>
      <c r="I6494" s="128"/>
      <c r="J6494" s="81"/>
      <c r="K6494" s="81"/>
      <c r="L6494" s="81"/>
      <c r="M6494" s="81"/>
      <c r="N6494" s="82"/>
    </row>
    <row r="6495">
      <c r="C6495" s="41"/>
      <c r="D6495" s="141"/>
      <c r="E6495" s="118"/>
      <c r="F6495" s="126"/>
      <c r="G6495" s="126"/>
      <c r="H6495" s="126"/>
      <c r="I6495" s="126"/>
      <c r="J6495" s="76"/>
      <c r="K6495" s="76"/>
      <c r="L6495" s="76"/>
      <c r="M6495" s="76"/>
      <c r="N6495" s="114"/>
    </row>
    <row r="6496">
      <c r="C6496" s="41"/>
      <c r="D6496" s="142"/>
      <c r="E6496" s="130"/>
      <c r="F6496" s="128"/>
      <c r="G6496" s="128"/>
      <c r="H6496" s="128"/>
      <c r="I6496" s="128"/>
      <c r="J6496" s="81"/>
      <c r="K6496" s="81"/>
      <c r="L6496" s="81"/>
      <c r="M6496" s="81"/>
      <c r="N6496" s="82"/>
    </row>
    <row r="6497">
      <c r="C6497" s="41"/>
      <c r="D6497" s="141"/>
      <c r="E6497" s="118"/>
      <c r="F6497" s="126"/>
      <c r="G6497" s="126"/>
      <c r="H6497" s="126"/>
      <c r="I6497" s="126"/>
      <c r="J6497" s="76"/>
      <c r="K6497" s="76"/>
      <c r="L6497" s="76"/>
      <c r="M6497" s="76"/>
      <c r="N6497" s="114"/>
    </row>
    <row r="6498">
      <c r="C6498" s="41"/>
      <c r="D6498" s="142"/>
      <c r="E6498" s="130"/>
      <c r="F6498" s="128"/>
      <c r="G6498" s="128"/>
      <c r="H6498" s="128"/>
      <c r="I6498" s="128"/>
      <c r="J6498" s="81"/>
      <c r="K6498" s="81"/>
      <c r="L6498" s="81"/>
      <c r="M6498" s="81"/>
      <c r="N6498" s="82"/>
    </row>
    <row r="6499">
      <c r="C6499" s="41"/>
      <c r="D6499" s="141"/>
      <c r="E6499" s="118"/>
      <c r="F6499" s="126"/>
      <c r="G6499" s="126"/>
      <c r="H6499" s="126"/>
      <c r="I6499" s="126"/>
      <c r="J6499" s="76"/>
      <c r="K6499" s="76"/>
      <c r="L6499" s="76"/>
      <c r="M6499" s="76"/>
      <c r="N6499" s="114"/>
    </row>
    <row r="6500">
      <c r="C6500" s="41"/>
      <c r="D6500" s="142"/>
      <c r="E6500" s="130"/>
      <c r="F6500" s="128"/>
      <c r="G6500" s="128"/>
      <c r="H6500" s="128"/>
      <c r="I6500" s="128"/>
      <c r="J6500" s="81"/>
      <c r="K6500" s="81"/>
      <c r="L6500" s="81"/>
      <c r="M6500" s="81"/>
      <c r="N6500" s="82"/>
    </row>
    <row r="6501">
      <c r="C6501" s="41"/>
      <c r="D6501" s="141"/>
      <c r="E6501" s="118"/>
      <c r="F6501" s="126"/>
      <c r="G6501" s="126"/>
      <c r="H6501" s="126"/>
      <c r="I6501" s="126"/>
      <c r="J6501" s="76"/>
      <c r="K6501" s="76"/>
      <c r="L6501" s="76"/>
      <c r="M6501" s="76"/>
      <c r="N6501" s="114"/>
    </row>
    <row r="6502">
      <c r="C6502" s="41"/>
      <c r="D6502" s="142"/>
      <c r="E6502" s="130"/>
      <c r="F6502" s="128"/>
      <c r="G6502" s="128"/>
      <c r="H6502" s="128"/>
      <c r="I6502" s="128"/>
      <c r="J6502" s="81"/>
      <c r="K6502" s="81"/>
      <c r="L6502" s="81"/>
      <c r="M6502" s="81"/>
      <c r="N6502" s="82"/>
    </row>
    <row r="6503">
      <c r="C6503" s="41"/>
      <c r="D6503" s="141"/>
      <c r="E6503" s="118"/>
      <c r="F6503" s="126"/>
      <c r="G6503" s="126"/>
      <c r="H6503" s="126"/>
      <c r="I6503" s="126"/>
      <c r="J6503" s="76"/>
      <c r="K6503" s="76"/>
      <c r="L6503" s="76"/>
      <c r="M6503" s="76"/>
      <c r="N6503" s="114"/>
    </row>
    <row r="6504">
      <c r="C6504" s="41"/>
      <c r="D6504" s="142"/>
      <c r="E6504" s="130"/>
      <c r="F6504" s="128"/>
      <c r="G6504" s="128"/>
      <c r="H6504" s="128"/>
      <c r="I6504" s="128"/>
      <c r="J6504" s="81"/>
      <c r="K6504" s="81"/>
      <c r="L6504" s="81"/>
      <c r="M6504" s="81"/>
      <c r="N6504" s="82"/>
    </row>
    <row r="6505">
      <c r="C6505" s="41"/>
      <c r="D6505" s="141"/>
      <c r="E6505" s="118"/>
      <c r="F6505" s="126"/>
      <c r="G6505" s="126"/>
      <c r="H6505" s="126"/>
      <c r="I6505" s="126"/>
      <c r="J6505" s="76"/>
      <c r="K6505" s="76"/>
      <c r="L6505" s="76"/>
      <c r="M6505" s="76"/>
      <c r="N6505" s="114"/>
    </row>
    <row r="6506">
      <c r="C6506" s="41"/>
      <c r="D6506" s="142"/>
      <c r="E6506" s="130"/>
      <c r="F6506" s="128"/>
      <c r="G6506" s="128"/>
      <c r="H6506" s="128"/>
      <c r="I6506" s="128"/>
      <c r="J6506" s="81"/>
      <c r="K6506" s="81"/>
      <c r="L6506" s="81"/>
      <c r="M6506" s="81"/>
      <c r="N6506" s="82"/>
    </row>
    <row r="6507">
      <c r="C6507" s="41"/>
      <c r="D6507" s="141"/>
      <c r="E6507" s="118"/>
      <c r="F6507" s="126"/>
      <c r="G6507" s="126"/>
      <c r="H6507" s="126"/>
      <c r="I6507" s="126"/>
      <c r="J6507" s="76"/>
      <c r="K6507" s="76"/>
      <c r="L6507" s="76"/>
      <c r="M6507" s="76"/>
      <c r="N6507" s="114"/>
    </row>
    <row r="6508">
      <c r="C6508" s="41"/>
      <c r="D6508" s="142"/>
      <c r="E6508" s="130"/>
      <c r="F6508" s="128"/>
      <c r="G6508" s="128"/>
      <c r="H6508" s="128"/>
      <c r="I6508" s="128"/>
      <c r="J6508" s="81"/>
      <c r="K6508" s="81"/>
      <c r="L6508" s="81"/>
      <c r="M6508" s="81"/>
      <c r="N6508" s="82"/>
    </row>
    <row r="6509">
      <c r="C6509" s="41"/>
      <c r="D6509" s="141"/>
      <c r="E6509" s="118"/>
      <c r="F6509" s="126"/>
      <c r="G6509" s="126"/>
      <c r="H6509" s="126"/>
      <c r="I6509" s="126"/>
      <c r="J6509" s="76"/>
      <c r="K6509" s="76"/>
      <c r="L6509" s="76"/>
      <c r="M6509" s="76"/>
      <c r="N6509" s="114"/>
    </row>
    <row r="6510">
      <c r="C6510" s="41"/>
      <c r="D6510" s="142"/>
      <c r="E6510" s="130"/>
      <c r="F6510" s="128"/>
      <c r="G6510" s="128"/>
      <c r="H6510" s="128"/>
      <c r="I6510" s="128"/>
      <c r="J6510" s="81"/>
      <c r="K6510" s="81"/>
      <c r="L6510" s="81"/>
      <c r="M6510" s="81"/>
      <c r="N6510" s="82"/>
    </row>
    <row r="6511">
      <c r="C6511" s="41"/>
      <c r="D6511" s="141"/>
      <c r="E6511" s="118"/>
      <c r="F6511" s="126"/>
      <c r="G6511" s="126"/>
      <c r="H6511" s="126"/>
      <c r="I6511" s="126"/>
      <c r="J6511" s="76"/>
      <c r="K6511" s="76"/>
      <c r="L6511" s="76"/>
      <c r="M6511" s="76"/>
      <c r="N6511" s="114"/>
    </row>
    <row r="6512">
      <c r="C6512" s="41"/>
      <c r="D6512" s="142"/>
      <c r="E6512" s="130"/>
      <c r="F6512" s="128"/>
      <c r="G6512" s="128"/>
      <c r="H6512" s="128"/>
      <c r="I6512" s="128"/>
      <c r="J6512" s="81"/>
      <c r="K6512" s="81"/>
      <c r="L6512" s="81"/>
      <c r="M6512" s="81"/>
      <c r="N6512" s="82"/>
    </row>
    <row r="6513">
      <c r="C6513" s="41"/>
      <c r="D6513" s="141"/>
      <c r="E6513" s="118"/>
      <c r="F6513" s="126"/>
      <c r="G6513" s="126"/>
      <c r="H6513" s="126"/>
      <c r="I6513" s="126"/>
      <c r="J6513" s="76"/>
      <c r="K6513" s="76"/>
      <c r="L6513" s="76"/>
      <c r="M6513" s="76"/>
      <c r="N6513" s="114"/>
    </row>
    <row r="6514">
      <c r="C6514" s="41"/>
      <c r="D6514" s="142"/>
      <c r="E6514" s="130"/>
      <c r="F6514" s="128"/>
      <c r="G6514" s="128"/>
      <c r="H6514" s="128"/>
      <c r="I6514" s="128"/>
      <c r="J6514" s="81"/>
      <c r="K6514" s="81"/>
      <c r="L6514" s="81"/>
      <c r="M6514" s="81"/>
      <c r="N6514" s="82"/>
    </row>
    <row r="6515">
      <c r="C6515" s="41"/>
      <c r="D6515" s="141"/>
      <c r="E6515" s="118"/>
      <c r="F6515" s="126"/>
      <c r="G6515" s="126"/>
      <c r="H6515" s="126"/>
      <c r="I6515" s="126"/>
      <c r="J6515" s="76"/>
      <c r="K6515" s="76"/>
      <c r="L6515" s="76"/>
      <c r="M6515" s="76"/>
      <c r="N6515" s="114"/>
    </row>
    <row r="6516">
      <c r="C6516" s="41"/>
      <c r="D6516" s="142"/>
      <c r="E6516" s="130"/>
      <c r="F6516" s="128"/>
      <c r="G6516" s="128"/>
      <c r="H6516" s="128"/>
      <c r="I6516" s="128"/>
      <c r="J6516" s="81"/>
      <c r="K6516" s="81"/>
      <c r="L6516" s="81"/>
      <c r="M6516" s="81"/>
      <c r="N6516" s="82"/>
    </row>
    <row r="6517">
      <c r="C6517" s="41"/>
      <c r="D6517" s="141"/>
      <c r="E6517" s="118"/>
      <c r="F6517" s="126"/>
      <c r="G6517" s="126"/>
      <c r="H6517" s="126"/>
      <c r="I6517" s="126"/>
      <c r="J6517" s="76"/>
      <c r="K6517" s="76"/>
      <c r="L6517" s="76"/>
      <c r="M6517" s="76"/>
      <c r="N6517" s="114"/>
    </row>
    <row r="6518">
      <c r="C6518" s="41"/>
      <c r="D6518" s="142"/>
      <c r="E6518" s="130"/>
      <c r="F6518" s="128"/>
      <c r="G6518" s="128"/>
      <c r="H6518" s="128"/>
      <c r="I6518" s="128"/>
      <c r="J6518" s="81"/>
      <c r="K6518" s="81"/>
      <c r="L6518" s="81"/>
      <c r="M6518" s="81"/>
      <c r="N6518" s="82"/>
    </row>
    <row r="6519">
      <c r="C6519" s="41"/>
      <c r="D6519" s="141"/>
      <c r="E6519" s="118"/>
      <c r="F6519" s="126"/>
      <c r="G6519" s="126"/>
      <c r="H6519" s="126"/>
      <c r="I6519" s="126"/>
      <c r="J6519" s="76"/>
      <c r="K6519" s="76"/>
      <c r="L6519" s="76"/>
      <c r="M6519" s="76"/>
      <c r="N6519" s="114"/>
    </row>
    <row r="6520">
      <c r="C6520" s="41"/>
      <c r="D6520" s="142"/>
      <c r="E6520" s="130"/>
      <c r="F6520" s="128"/>
      <c r="G6520" s="128"/>
      <c r="H6520" s="128"/>
      <c r="I6520" s="128"/>
      <c r="J6520" s="81"/>
      <c r="K6520" s="81"/>
      <c r="L6520" s="81"/>
      <c r="M6520" s="81"/>
      <c r="N6520" s="82"/>
    </row>
    <row r="6521">
      <c r="C6521" s="41"/>
      <c r="D6521" s="141"/>
      <c r="E6521" s="118"/>
      <c r="F6521" s="126"/>
      <c r="G6521" s="126"/>
      <c r="H6521" s="126"/>
      <c r="I6521" s="126"/>
      <c r="J6521" s="76"/>
      <c r="K6521" s="76"/>
      <c r="L6521" s="76"/>
      <c r="M6521" s="76"/>
      <c r="N6521" s="114"/>
    </row>
    <row r="6522">
      <c r="C6522" s="41"/>
      <c r="D6522" s="142"/>
      <c r="E6522" s="130"/>
      <c r="F6522" s="128"/>
      <c r="G6522" s="128"/>
      <c r="H6522" s="128"/>
      <c r="I6522" s="128"/>
      <c r="J6522" s="81"/>
      <c r="K6522" s="81"/>
      <c r="L6522" s="81"/>
      <c r="M6522" s="81"/>
      <c r="N6522" s="82"/>
    </row>
    <row r="6523">
      <c r="C6523" s="41"/>
      <c r="D6523" s="141"/>
      <c r="E6523" s="118"/>
      <c r="F6523" s="126"/>
      <c r="G6523" s="126"/>
      <c r="H6523" s="126"/>
      <c r="I6523" s="126"/>
      <c r="J6523" s="76"/>
      <c r="K6523" s="76"/>
      <c r="L6523" s="76"/>
      <c r="M6523" s="76"/>
      <c r="N6523" s="114"/>
    </row>
    <row r="6524">
      <c r="C6524" s="41"/>
      <c r="D6524" s="142"/>
      <c r="E6524" s="130"/>
      <c r="F6524" s="128"/>
      <c r="G6524" s="128"/>
      <c r="H6524" s="128"/>
      <c r="I6524" s="128"/>
      <c r="J6524" s="81"/>
      <c r="K6524" s="81"/>
      <c r="L6524" s="81"/>
      <c r="M6524" s="81"/>
      <c r="N6524" s="82"/>
    </row>
    <row r="6525">
      <c r="C6525" s="41"/>
      <c r="D6525" s="141"/>
      <c r="E6525" s="118"/>
      <c r="F6525" s="126"/>
      <c r="G6525" s="126"/>
      <c r="H6525" s="126"/>
      <c r="I6525" s="126"/>
      <c r="J6525" s="76"/>
      <c r="K6525" s="76"/>
      <c r="L6525" s="76"/>
      <c r="M6525" s="76"/>
      <c r="N6525" s="114"/>
    </row>
    <row r="6526">
      <c r="C6526" s="41"/>
      <c r="D6526" s="142"/>
      <c r="E6526" s="130"/>
      <c r="F6526" s="128"/>
      <c r="G6526" s="128"/>
      <c r="H6526" s="128"/>
      <c r="I6526" s="128"/>
      <c r="J6526" s="81"/>
      <c r="K6526" s="81"/>
      <c r="L6526" s="81"/>
      <c r="M6526" s="81"/>
      <c r="N6526" s="82"/>
    </row>
    <row r="6527">
      <c r="C6527" s="41"/>
      <c r="D6527" s="141"/>
      <c r="E6527" s="118"/>
      <c r="F6527" s="126"/>
      <c r="G6527" s="126"/>
      <c r="H6527" s="126"/>
      <c r="I6527" s="126"/>
      <c r="J6527" s="76"/>
      <c r="K6527" s="76"/>
      <c r="L6527" s="76"/>
      <c r="M6527" s="76"/>
      <c r="N6527" s="114"/>
    </row>
    <row r="6528">
      <c r="C6528" s="41"/>
      <c r="D6528" s="142"/>
      <c r="E6528" s="130"/>
      <c r="F6528" s="128"/>
      <c r="G6528" s="128"/>
      <c r="H6528" s="128"/>
      <c r="I6528" s="128"/>
      <c r="J6528" s="81"/>
      <c r="K6528" s="81"/>
      <c r="L6528" s="81"/>
      <c r="M6528" s="81"/>
      <c r="N6528" s="82"/>
    </row>
    <row r="6529">
      <c r="C6529" s="41"/>
      <c r="D6529" s="141"/>
      <c r="E6529" s="118"/>
      <c r="F6529" s="126"/>
      <c r="G6529" s="126"/>
      <c r="H6529" s="126"/>
      <c r="I6529" s="126"/>
      <c r="J6529" s="76"/>
      <c r="K6529" s="76"/>
      <c r="L6529" s="76"/>
      <c r="M6529" s="76"/>
      <c r="N6529" s="114"/>
    </row>
    <row r="6530">
      <c r="C6530" s="41"/>
      <c r="D6530" s="142"/>
      <c r="E6530" s="130"/>
      <c r="F6530" s="128"/>
      <c r="G6530" s="128"/>
      <c r="H6530" s="128"/>
      <c r="I6530" s="128"/>
      <c r="J6530" s="81"/>
      <c r="K6530" s="81"/>
      <c r="L6530" s="81"/>
      <c r="M6530" s="81"/>
      <c r="N6530" s="82"/>
    </row>
    <row r="6531">
      <c r="C6531" s="41"/>
      <c r="D6531" s="141"/>
      <c r="E6531" s="118"/>
      <c r="F6531" s="126"/>
      <c r="G6531" s="126"/>
      <c r="H6531" s="126"/>
      <c r="I6531" s="126"/>
      <c r="J6531" s="76"/>
      <c r="K6531" s="76"/>
      <c r="L6531" s="76"/>
      <c r="M6531" s="76"/>
      <c r="N6531" s="114"/>
    </row>
    <row r="6532">
      <c r="C6532" s="41"/>
      <c r="D6532" s="142"/>
      <c r="E6532" s="130"/>
      <c r="F6532" s="128"/>
      <c r="G6532" s="128"/>
      <c r="H6532" s="128"/>
      <c r="I6532" s="128"/>
      <c r="J6532" s="81"/>
      <c r="K6532" s="81"/>
      <c r="L6532" s="81"/>
      <c r="M6532" s="81"/>
      <c r="N6532" s="82"/>
    </row>
    <row r="6533">
      <c r="C6533" s="41"/>
      <c r="D6533" s="141"/>
      <c r="E6533" s="118"/>
      <c r="F6533" s="126"/>
      <c r="G6533" s="126"/>
      <c r="H6533" s="126"/>
      <c r="I6533" s="126"/>
      <c r="J6533" s="76"/>
      <c r="K6533" s="76"/>
      <c r="L6533" s="76"/>
      <c r="M6533" s="76"/>
      <c r="N6533" s="114"/>
    </row>
    <row r="6534">
      <c r="C6534" s="41"/>
      <c r="D6534" s="142"/>
      <c r="E6534" s="130"/>
      <c r="F6534" s="128"/>
      <c r="G6534" s="128"/>
      <c r="H6534" s="128"/>
      <c r="I6534" s="128"/>
      <c r="J6534" s="81"/>
      <c r="K6534" s="81"/>
      <c r="L6534" s="81"/>
      <c r="M6534" s="81"/>
      <c r="N6534" s="82"/>
    </row>
    <row r="6535">
      <c r="C6535" s="41"/>
      <c r="D6535" s="141"/>
      <c r="E6535" s="118"/>
      <c r="F6535" s="126"/>
      <c r="G6535" s="126"/>
      <c r="H6535" s="126"/>
      <c r="I6535" s="126"/>
      <c r="J6535" s="76"/>
      <c r="K6535" s="76"/>
      <c r="L6535" s="76"/>
      <c r="M6535" s="76"/>
      <c r="N6535" s="114"/>
    </row>
    <row r="6536">
      <c r="C6536" s="41"/>
      <c r="D6536" s="142"/>
      <c r="E6536" s="130"/>
      <c r="F6536" s="128"/>
      <c r="G6536" s="128"/>
      <c r="H6536" s="128"/>
      <c r="I6536" s="128"/>
      <c r="J6536" s="81"/>
      <c r="K6536" s="81"/>
      <c r="L6536" s="81"/>
      <c r="M6536" s="81"/>
      <c r="N6536" s="82"/>
    </row>
    <row r="6537">
      <c r="C6537" s="41"/>
      <c r="D6537" s="141"/>
      <c r="E6537" s="118"/>
      <c r="F6537" s="126"/>
      <c r="G6537" s="126"/>
      <c r="H6537" s="126"/>
      <c r="I6537" s="126"/>
      <c r="J6537" s="76"/>
      <c r="K6537" s="76"/>
      <c r="L6537" s="76"/>
      <c r="M6537" s="76"/>
      <c r="N6537" s="114"/>
    </row>
    <row r="6538">
      <c r="C6538" s="41"/>
      <c r="D6538" s="142"/>
      <c r="E6538" s="130"/>
      <c r="F6538" s="128"/>
      <c r="G6538" s="128"/>
      <c r="H6538" s="128"/>
      <c r="I6538" s="128"/>
      <c r="J6538" s="81"/>
      <c r="K6538" s="81"/>
      <c r="L6538" s="81"/>
      <c r="M6538" s="81"/>
      <c r="N6538" s="82"/>
    </row>
    <row r="6539">
      <c r="C6539" s="41"/>
      <c r="D6539" s="141"/>
      <c r="E6539" s="118"/>
      <c r="F6539" s="126"/>
      <c r="G6539" s="126"/>
      <c r="H6539" s="126"/>
      <c r="I6539" s="126"/>
      <c r="J6539" s="76"/>
      <c r="K6539" s="76"/>
      <c r="L6539" s="76"/>
      <c r="M6539" s="76"/>
      <c r="N6539" s="114"/>
    </row>
    <row r="6540">
      <c r="C6540" s="41"/>
      <c r="D6540" s="142"/>
      <c r="E6540" s="130"/>
      <c r="F6540" s="128"/>
      <c r="G6540" s="128"/>
      <c r="H6540" s="128"/>
      <c r="I6540" s="128"/>
      <c r="J6540" s="81"/>
      <c r="K6540" s="81"/>
      <c r="L6540" s="81"/>
      <c r="M6540" s="81"/>
      <c r="N6540" s="82"/>
    </row>
    <row r="6541">
      <c r="C6541" s="41"/>
      <c r="D6541" s="141"/>
      <c r="E6541" s="118"/>
      <c r="F6541" s="126"/>
      <c r="G6541" s="126"/>
      <c r="H6541" s="126"/>
      <c r="I6541" s="126"/>
      <c r="J6541" s="76"/>
      <c r="K6541" s="76"/>
      <c r="L6541" s="76"/>
      <c r="M6541" s="76"/>
      <c r="N6541" s="114"/>
    </row>
    <row r="6542">
      <c r="C6542" s="41"/>
      <c r="D6542" s="142"/>
      <c r="E6542" s="130"/>
      <c r="F6542" s="128"/>
      <c r="G6542" s="128"/>
      <c r="H6542" s="128"/>
      <c r="I6542" s="128"/>
      <c r="J6542" s="81"/>
      <c r="K6542" s="81"/>
      <c r="L6542" s="81"/>
      <c r="M6542" s="81"/>
      <c r="N6542" s="82"/>
    </row>
    <row r="6543">
      <c r="C6543" s="41"/>
      <c r="D6543" s="141"/>
      <c r="E6543" s="118"/>
      <c r="F6543" s="126"/>
      <c r="G6543" s="126"/>
      <c r="H6543" s="126"/>
      <c r="I6543" s="126"/>
      <c r="J6543" s="76"/>
      <c r="K6543" s="76"/>
      <c r="L6543" s="76"/>
      <c r="M6543" s="76"/>
      <c r="N6543" s="114"/>
    </row>
    <row r="6544">
      <c r="C6544" s="41"/>
      <c r="D6544" s="142"/>
      <c r="E6544" s="130"/>
      <c r="F6544" s="128"/>
      <c r="G6544" s="128"/>
      <c r="H6544" s="128"/>
      <c r="I6544" s="128"/>
      <c r="J6544" s="81"/>
      <c r="K6544" s="81"/>
      <c r="L6544" s="81"/>
      <c r="M6544" s="81"/>
      <c r="N6544" s="82"/>
    </row>
    <row r="6545">
      <c r="C6545" s="41"/>
      <c r="D6545" s="141"/>
      <c r="E6545" s="118"/>
      <c r="F6545" s="126"/>
      <c r="G6545" s="126"/>
      <c r="H6545" s="126"/>
      <c r="I6545" s="126"/>
      <c r="J6545" s="76"/>
      <c r="K6545" s="76"/>
      <c r="L6545" s="76"/>
      <c r="M6545" s="76"/>
      <c r="N6545" s="114"/>
    </row>
    <row r="6546">
      <c r="C6546" s="41"/>
      <c r="D6546" s="142"/>
      <c r="E6546" s="130"/>
      <c r="F6546" s="128"/>
      <c r="G6546" s="128"/>
      <c r="H6546" s="128"/>
      <c r="I6546" s="128"/>
      <c r="J6546" s="81"/>
      <c r="K6546" s="81"/>
      <c r="L6546" s="81"/>
      <c r="M6546" s="81"/>
      <c r="N6546" s="82"/>
    </row>
    <row r="6547">
      <c r="C6547" s="41"/>
      <c r="D6547" s="141"/>
      <c r="E6547" s="118"/>
      <c r="F6547" s="126"/>
      <c r="G6547" s="126"/>
      <c r="H6547" s="126"/>
      <c r="I6547" s="126"/>
      <c r="J6547" s="76"/>
      <c r="K6547" s="76"/>
      <c r="L6547" s="76"/>
      <c r="M6547" s="76"/>
      <c r="N6547" s="114"/>
    </row>
    <row r="6548">
      <c r="C6548" s="41"/>
      <c r="D6548" s="142"/>
      <c r="E6548" s="130"/>
      <c r="F6548" s="128"/>
      <c r="G6548" s="128"/>
      <c r="H6548" s="128"/>
      <c r="I6548" s="128"/>
      <c r="J6548" s="81"/>
      <c r="K6548" s="81"/>
      <c r="L6548" s="81"/>
      <c r="M6548" s="81"/>
      <c r="N6548" s="82"/>
    </row>
    <row r="6549">
      <c r="C6549" s="41"/>
      <c r="D6549" s="141"/>
      <c r="E6549" s="118"/>
      <c r="F6549" s="126"/>
      <c r="G6549" s="126"/>
      <c r="H6549" s="126"/>
      <c r="I6549" s="126"/>
      <c r="J6549" s="76"/>
      <c r="K6549" s="76"/>
      <c r="L6549" s="76"/>
      <c r="M6549" s="76"/>
      <c r="N6549" s="114"/>
    </row>
    <row r="6550">
      <c r="C6550" s="41"/>
      <c r="D6550" s="142"/>
      <c r="E6550" s="130"/>
      <c r="F6550" s="128"/>
      <c r="G6550" s="128"/>
      <c r="H6550" s="128"/>
      <c r="I6550" s="128"/>
      <c r="J6550" s="81"/>
      <c r="K6550" s="81"/>
      <c r="L6550" s="81"/>
      <c r="M6550" s="81"/>
      <c r="N6550" s="82"/>
    </row>
    <row r="6551">
      <c r="C6551" s="41"/>
      <c r="D6551" s="141"/>
      <c r="E6551" s="118"/>
      <c r="F6551" s="126"/>
      <c r="G6551" s="126"/>
      <c r="H6551" s="126"/>
      <c r="I6551" s="126"/>
      <c r="J6551" s="76"/>
      <c r="K6551" s="76"/>
      <c r="L6551" s="76"/>
      <c r="M6551" s="76"/>
      <c r="N6551" s="114"/>
    </row>
    <row r="6552">
      <c r="C6552" s="41"/>
      <c r="D6552" s="142"/>
      <c r="E6552" s="130"/>
      <c r="F6552" s="128"/>
      <c r="G6552" s="128"/>
      <c r="H6552" s="128"/>
      <c r="I6552" s="128"/>
      <c r="J6552" s="81"/>
      <c r="K6552" s="81"/>
      <c r="L6552" s="81"/>
      <c r="M6552" s="81"/>
      <c r="N6552" s="82"/>
    </row>
    <row r="6553">
      <c r="C6553" s="41"/>
      <c r="D6553" s="141"/>
      <c r="E6553" s="118"/>
      <c r="F6553" s="126"/>
      <c r="G6553" s="126"/>
      <c r="H6553" s="126"/>
      <c r="I6553" s="126"/>
      <c r="J6553" s="76"/>
      <c r="K6553" s="76"/>
      <c r="L6553" s="76"/>
      <c r="M6553" s="76"/>
      <c r="N6553" s="114"/>
    </row>
    <row r="6554">
      <c r="C6554" s="41"/>
      <c r="D6554" s="142"/>
      <c r="E6554" s="130"/>
      <c r="F6554" s="128"/>
      <c r="G6554" s="128"/>
      <c r="H6554" s="128"/>
      <c r="I6554" s="128"/>
      <c r="J6554" s="81"/>
      <c r="K6554" s="81"/>
      <c r="L6554" s="81"/>
      <c r="M6554" s="81"/>
      <c r="N6554" s="82"/>
    </row>
    <row r="6555">
      <c r="C6555" s="41"/>
      <c r="D6555" s="141"/>
      <c r="E6555" s="118"/>
      <c r="F6555" s="126"/>
      <c r="G6555" s="126"/>
      <c r="H6555" s="126"/>
      <c r="I6555" s="126"/>
      <c r="J6555" s="76"/>
      <c r="K6555" s="76"/>
      <c r="L6555" s="76"/>
      <c r="M6555" s="76"/>
      <c r="N6555" s="114"/>
    </row>
    <row r="6556">
      <c r="C6556" s="41"/>
      <c r="D6556" s="142"/>
      <c r="E6556" s="130"/>
      <c r="F6556" s="128"/>
      <c r="G6556" s="128"/>
      <c r="H6556" s="128"/>
      <c r="I6556" s="128"/>
      <c r="J6556" s="81"/>
      <c r="K6556" s="81"/>
      <c r="L6556" s="81"/>
      <c r="M6556" s="81"/>
      <c r="N6556" s="82"/>
    </row>
    <row r="6557">
      <c r="C6557" s="41"/>
      <c r="D6557" s="141"/>
      <c r="E6557" s="118"/>
      <c r="F6557" s="126"/>
      <c r="G6557" s="126"/>
      <c r="H6557" s="126"/>
      <c r="I6557" s="126"/>
      <c r="J6557" s="76"/>
      <c r="K6557" s="76"/>
      <c r="L6557" s="76"/>
      <c r="M6557" s="76"/>
      <c r="N6557" s="114"/>
    </row>
    <row r="6558">
      <c r="C6558" s="41"/>
      <c r="D6558" s="142"/>
      <c r="E6558" s="130"/>
      <c r="F6558" s="128"/>
      <c r="G6558" s="128"/>
      <c r="H6558" s="128"/>
      <c r="I6558" s="128"/>
      <c r="J6558" s="81"/>
      <c r="K6558" s="81"/>
      <c r="L6558" s="81"/>
      <c r="M6558" s="81"/>
      <c r="N6558" s="82"/>
    </row>
    <row r="6559">
      <c r="C6559" s="41"/>
      <c r="D6559" s="141"/>
      <c r="E6559" s="118"/>
      <c r="F6559" s="126"/>
      <c r="G6559" s="126"/>
      <c r="H6559" s="126"/>
      <c r="I6559" s="126"/>
      <c r="J6559" s="76"/>
      <c r="K6559" s="76"/>
      <c r="L6559" s="76"/>
      <c r="M6559" s="76"/>
      <c r="N6559" s="114"/>
    </row>
    <row r="6560">
      <c r="C6560" s="41"/>
      <c r="D6560" s="142"/>
      <c r="E6560" s="130"/>
      <c r="F6560" s="128"/>
      <c r="G6560" s="128"/>
      <c r="H6560" s="128"/>
      <c r="I6560" s="128"/>
      <c r="J6560" s="81"/>
      <c r="K6560" s="81"/>
      <c r="L6560" s="81"/>
      <c r="M6560" s="81"/>
      <c r="N6560" s="82"/>
    </row>
    <row r="6561">
      <c r="C6561" s="41"/>
      <c r="D6561" s="141"/>
      <c r="E6561" s="118"/>
      <c r="F6561" s="126"/>
      <c r="G6561" s="126"/>
      <c r="H6561" s="126"/>
      <c r="I6561" s="126"/>
      <c r="J6561" s="76"/>
      <c r="K6561" s="76"/>
      <c r="L6561" s="76"/>
      <c r="M6561" s="76"/>
      <c r="N6561" s="114"/>
    </row>
    <row r="6562">
      <c r="C6562" s="41"/>
      <c r="D6562" s="142"/>
      <c r="E6562" s="130"/>
      <c r="F6562" s="128"/>
      <c r="G6562" s="128"/>
      <c r="H6562" s="128"/>
      <c r="I6562" s="128"/>
      <c r="J6562" s="81"/>
      <c r="K6562" s="81"/>
      <c r="L6562" s="81"/>
      <c r="M6562" s="81"/>
      <c r="N6562" s="82"/>
    </row>
    <row r="6563">
      <c r="C6563" s="41"/>
      <c r="D6563" s="141"/>
      <c r="E6563" s="118"/>
      <c r="F6563" s="126"/>
      <c r="G6563" s="126"/>
      <c r="H6563" s="126"/>
      <c r="I6563" s="126"/>
      <c r="J6563" s="76"/>
      <c r="K6563" s="76"/>
      <c r="L6563" s="76"/>
      <c r="M6563" s="76"/>
      <c r="N6563" s="114"/>
    </row>
    <row r="6564">
      <c r="C6564" s="41"/>
      <c r="D6564" s="142"/>
      <c r="E6564" s="130"/>
      <c r="F6564" s="128"/>
      <c r="G6564" s="128"/>
      <c r="H6564" s="128"/>
      <c r="I6564" s="128"/>
      <c r="J6564" s="81"/>
      <c r="K6564" s="81"/>
      <c r="L6564" s="81"/>
      <c r="M6564" s="81"/>
      <c r="N6564" s="82"/>
    </row>
    <row r="6565">
      <c r="C6565" s="41"/>
      <c r="D6565" s="141"/>
      <c r="E6565" s="118"/>
      <c r="F6565" s="126"/>
      <c r="G6565" s="126"/>
      <c r="H6565" s="126"/>
      <c r="I6565" s="126"/>
      <c r="J6565" s="76"/>
      <c r="K6565" s="76"/>
      <c r="L6565" s="76"/>
      <c r="M6565" s="76"/>
      <c r="N6565" s="114"/>
    </row>
    <row r="6566">
      <c r="C6566" s="41"/>
      <c r="D6566" s="142"/>
      <c r="E6566" s="130"/>
      <c r="F6566" s="128"/>
      <c r="G6566" s="128"/>
      <c r="H6566" s="128"/>
      <c r="I6566" s="128"/>
      <c r="J6566" s="81"/>
      <c r="K6566" s="81"/>
      <c r="L6566" s="81"/>
      <c r="M6566" s="81"/>
      <c r="N6566" s="82"/>
    </row>
    <row r="6567">
      <c r="C6567" s="41"/>
      <c r="D6567" s="141"/>
      <c r="E6567" s="118"/>
      <c r="F6567" s="126"/>
      <c r="G6567" s="126"/>
      <c r="H6567" s="126"/>
      <c r="I6567" s="126"/>
      <c r="J6567" s="76"/>
      <c r="K6567" s="76"/>
      <c r="L6567" s="76"/>
      <c r="M6567" s="76"/>
      <c r="N6567" s="114"/>
    </row>
    <row r="6568">
      <c r="C6568" s="41"/>
      <c r="D6568" s="142"/>
      <c r="E6568" s="130"/>
      <c r="F6568" s="128"/>
      <c r="G6568" s="128"/>
      <c r="H6568" s="128"/>
      <c r="I6568" s="128"/>
      <c r="J6568" s="81"/>
      <c r="K6568" s="81"/>
      <c r="L6568" s="81"/>
      <c r="M6568" s="81"/>
      <c r="N6568" s="82"/>
    </row>
    <row r="6569">
      <c r="C6569" s="41"/>
      <c r="D6569" s="141"/>
      <c r="E6569" s="118"/>
      <c r="F6569" s="126"/>
      <c r="G6569" s="126"/>
      <c r="H6569" s="126"/>
      <c r="I6569" s="126"/>
      <c r="J6569" s="76"/>
      <c r="K6569" s="76"/>
      <c r="L6569" s="76"/>
      <c r="M6569" s="76"/>
      <c r="N6569" s="114"/>
    </row>
    <row r="6570">
      <c r="C6570" s="41"/>
      <c r="D6570" s="142"/>
      <c r="E6570" s="130"/>
      <c r="F6570" s="128"/>
      <c r="G6570" s="128"/>
      <c r="H6570" s="128"/>
      <c r="I6570" s="128"/>
      <c r="J6570" s="81"/>
      <c r="K6570" s="81"/>
      <c r="L6570" s="81"/>
      <c r="M6570" s="81"/>
      <c r="N6570" s="82"/>
    </row>
    <row r="6571">
      <c r="C6571" s="41"/>
      <c r="D6571" s="141"/>
      <c r="E6571" s="118"/>
      <c r="F6571" s="126"/>
      <c r="G6571" s="126"/>
      <c r="H6571" s="126"/>
      <c r="I6571" s="126"/>
      <c r="J6571" s="76"/>
      <c r="K6571" s="76"/>
      <c r="L6571" s="76"/>
      <c r="M6571" s="76"/>
      <c r="N6571" s="114"/>
    </row>
    <row r="6572">
      <c r="C6572" s="41"/>
      <c r="D6572" s="142"/>
      <c r="E6572" s="130"/>
      <c r="F6572" s="128"/>
      <c r="G6572" s="128"/>
      <c r="H6572" s="128"/>
      <c r="I6572" s="128"/>
      <c r="J6572" s="81"/>
      <c r="K6572" s="81"/>
      <c r="L6572" s="81"/>
      <c r="M6572" s="81"/>
      <c r="N6572" s="82"/>
    </row>
    <row r="6573">
      <c r="C6573" s="41"/>
      <c r="D6573" s="141"/>
      <c r="E6573" s="118"/>
      <c r="F6573" s="126"/>
      <c r="G6573" s="126"/>
      <c r="H6573" s="126"/>
      <c r="I6573" s="126"/>
      <c r="J6573" s="76"/>
      <c r="K6573" s="76"/>
      <c r="L6573" s="76"/>
      <c r="M6573" s="76"/>
      <c r="N6573" s="114"/>
    </row>
    <row r="6574">
      <c r="C6574" s="41"/>
      <c r="D6574" s="142"/>
      <c r="E6574" s="130"/>
      <c r="F6574" s="128"/>
      <c r="G6574" s="128"/>
      <c r="H6574" s="128"/>
      <c r="I6574" s="128"/>
      <c r="J6574" s="81"/>
      <c r="K6574" s="81"/>
      <c r="L6574" s="81"/>
      <c r="M6574" s="81"/>
      <c r="N6574" s="82"/>
    </row>
    <row r="6575">
      <c r="C6575" s="41"/>
      <c r="D6575" s="141"/>
      <c r="E6575" s="118"/>
      <c r="F6575" s="126"/>
      <c r="G6575" s="126"/>
      <c r="H6575" s="126"/>
      <c r="I6575" s="126"/>
      <c r="J6575" s="76"/>
      <c r="K6575" s="76"/>
      <c r="L6575" s="76"/>
      <c r="M6575" s="76"/>
      <c r="N6575" s="114"/>
    </row>
    <row r="6576">
      <c r="C6576" s="41"/>
      <c r="D6576" s="142"/>
      <c r="E6576" s="130"/>
      <c r="F6576" s="128"/>
      <c r="G6576" s="128"/>
      <c r="H6576" s="128"/>
      <c r="I6576" s="128"/>
      <c r="J6576" s="81"/>
      <c r="K6576" s="81"/>
      <c r="L6576" s="81"/>
      <c r="M6576" s="81"/>
      <c r="N6576" s="82"/>
    </row>
    <row r="6577">
      <c r="C6577" s="41"/>
      <c r="D6577" s="141"/>
      <c r="E6577" s="118"/>
      <c r="F6577" s="126"/>
      <c r="G6577" s="126"/>
      <c r="H6577" s="126"/>
      <c r="I6577" s="126"/>
      <c r="J6577" s="76"/>
      <c r="K6577" s="76"/>
      <c r="L6577" s="76"/>
      <c r="M6577" s="76"/>
      <c r="N6577" s="114"/>
    </row>
    <row r="6578">
      <c r="C6578" s="41"/>
      <c r="D6578" s="142"/>
      <c r="E6578" s="130"/>
      <c r="F6578" s="128"/>
      <c r="G6578" s="128"/>
      <c r="H6578" s="128"/>
      <c r="I6578" s="128"/>
      <c r="J6578" s="81"/>
      <c r="K6578" s="81"/>
      <c r="L6578" s="81"/>
      <c r="M6578" s="81"/>
      <c r="N6578" s="82"/>
    </row>
    <row r="6579">
      <c r="C6579" s="41"/>
      <c r="D6579" s="141"/>
      <c r="E6579" s="118"/>
      <c r="F6579" s="126"/>
      <c r="G6579" s="126"/>
      <c r="H6579" s="126"/>
      <c r="I6579" s="126"/>
      <c r="J6579" s="76"/>
      <c r="K6579" s="76"/>
      <c r="L6579" s="76"/>
      <c r="M6579" s="76"/>
      <c r="N6579" s="114"/>
    </row>
    <row r="6580">
      <c r="C6580" s="41"/>
      <c r="D6580" s="142"/>
      <c r="E6580" s="130"/>
      <c r="F6580" s="128"/>
      <c r="G6580" s="128"/>
      <c r="H6580" s="128"/>
      <c r="I6580" s="128"/>
      <c r="J6580" s="81"/>
      <c r="K6580" s="81"/>
      <c r="L6580" s="81"/>
      <c r="M6580" s="81"/>
      <c r="N6580" s="82"/>
    </row>
    <row r="6581">
      <c r="C6581" s="41"/>
      <c r="D6581" s="141"/>
      <c r="E6581" s="118"/>
      <c r="F6581" s="126"/>
      <c r="G6581" s="126"/>
      <c r="H6581" s="126"/>
      <c r="I6581" s="126"/>
      <c r="J6581" s="76"/>
      <c r="K6581" s="76"/>
      <c r="L6581" s="76"/>
      <c r="M6581" s="76"/>
      <c r="N6581" s="114"/>
    </row>
    <row r="6582">
      <c r="C6582" s="41"/>
      <c r="D6582" s="142"/>
      <c r="E6582" s="130"/>
      <c r="F6582" s="128"/>
      <c r="G6582" s="128"/>
      <c r="H6582" s="128"/>
      <c r="I6582" s="128"/>
      <c r="J6582" s="81"/>
      <c r="K6582" s="81"/>
      <c r="L6582" s="81"/>
      <c r="M6582" s="81"/>
      <c r="N6582" s="82"/>
    </row>
    <row r="6583">
      <c r="C6583" s="41"/>
      <c r="D6583" s="141"/>
      <c r="E6583" s="118"/>
      <c r="F6583" s="126"/>
      <c r="G6583" s="126"/>
      <c r="H6583" s="126"/>
      <c r="I6583" s="126"/>
      <c r="J6583" s="76"/>
      <c r="K6583" s="76"/>
      <c r="L6583" s="76"/>
      <c r="M6583" s="76"/>
      <c r="N6583" s="114"/>
    </row>
    <row r="6584">
      <c r="C6584" s="41"/>
      <c r="D6584" s="142"/>
      <c r="E6584" s="130"/>
      <c r="F6584" s="128"/>
      <c r="G6584" s="128"/>
      <c r="H6584" s="128"/>
      <c r="I6584" s="128"/>
      <c r="J6584" s="81"/>
      <c r="K6584" s="81"/>
      <c r="L6584" s="81"/>
      <c r="M6584" s="81"/>
      <c r="N6584" s="82"/>
    </row>
    <row r="6585">
      <c r="C6585" s="41"/>
      <c r="D6585" s="141"/>
      <c r="E6585" s="118"/>
      <c r="F6585" s="126"/>
      <c r="G6585" s="126"/>
      <c r="H6585" s="126"/>
      <c r="I6585" s="126"/>
      <c r="J6585" s="76"/>
      <c r="K6585" s="76"/>
      <c r="L6585" s="76"/>
      <c r="M6585" s="76"/>
      <c r="N6585" s="114"/>
    </row>
    <row r="6586">
      <c r="C6586" s="41"/>
      <c r="D6586" s="142"/>
      <c r="E6586" s="130"/>
      <c r="F6586" s="128"/>
      <c r="G6586" s="128"/>
      <c r="H6586" s="128"/>
      <c r="I6586" s="128"/>
      <c r="J6586" s="81"/>
      <c r="K6586" s="81"/>
      <c r="L6586" s="81"/>
      <c r="M6586" s="81"/>
      <c r="N6586" s="82"/>
    </row>
    <row r="6587">
      <c r="C6587" s="41"/>
      <c r="D6587" s="141"/>
      <c r="E6587" s="118"/>
      <c r="F6587" s="126"/>
      <c r="G6587" s="126"/>
      <c r="H6587" s="126"/>
      <c r="I6587" s="126"/>
      <c r="J6587" s="76"/>
      <c r="K6587" s="76"/>
      <c r="L6587" s="76"/>
      <c r="M6587" s="76"/>
      <c r="N6587" s="114"/>
    </row>
    <row r="6588">
      <c r="C6588" s="41"/>
      <c r="D6588" s="142"/>
      <c r="E6588" s="130"/>
      <c r="F6588" s="128"/>
      <c r="G6588" s="128"/>
      <c r="H6588" s="128"/>
      <c r="I6588" s="128"/>
      <c r="J6588" s="81"/>
      <c r="K6588" s="81"/>
      <c r="L6588" s="81"/>
      <c r="M6588" s="81"/>
      <c r="N6588" s="82"/>
    </row>
    <row r="6589">
      <c r="C6589" s="41"/>
      <c r="D6589" s="141"/>
      <c r="E6589" s="118"/>
      <c r="F6589" s="126"/>
      <c r="G6589" s="126"/>
      <c r="H6589" s="126"/>
      <c r="I6589" s="126"/>
      <c r="J6589" s="76"/>
      <c r="K6589" s="76"/>
      <c r="L6589" s="76"/>
      <c r="M6589" s="76"/>
      <c r="N6589" s="114"/>
    </row>
    <row r="6590">
      <c r="C6590" s="41"/>
      <c r="D6590" s="142"/>
      <c r="E6590" s="130"/>
      <c r="F6590" s="128"/>
      <c r="G6590" s="128"/>
      <c r="H6590" s="128"/>
      <c r="I6590" s="128"/>
      <c r="J6590" s="81"/>
      <c r="K6590" s="81"/>
      <c r="L6590" s="81"/>
      <c r="M6590" s="81"/>
      <c r="N6590" s="82"/>
    </row>
    <row r="6591">
      <c r="C6591" s="41"/>
      <c r="D6591" s="141"/>
      <c r="E6591" s="118"/>
      <c r="F6591" s="126"/>
      <c r="G6591" s="126"/>
      <c r="H6591" s="126"/>
      <c r="I6591" s="126"/>
      <c r="J6591" s="76"/>
      <c r="K6591" s="76"/>
      <c r="L6591" s="76"/>
      <c r="M6591" s="76"/>
      <c r="N6591" s="114"/>
    </row>
    <row r="6592">
      <c r="C6592" s="41"/>
      <c r="D6592" s="142"/>
      <c r="E6592" s="130"/>
      <c r="F6592" s="128"/>
      <c r="G6592" s="128"/>
      <c r="H6592" s="128"/>
      <c r="I6592" s="128"/>
      <c r="J6592" s="81"/>
      <c r="K6592" s="81"/>
      <c r="L6592" s="81"/>
      <c r="M6592" s="81"/>
      <c r="N6592" s="82"/>
    </row>
    <row r="6593">
      <c r="C6593" s="41"/>
      <c r="D6593" s="141"/>
      <c r="E6593" s="118"/>
      <c r="F6593" s="126"/>
      <c r="G6593" s="126"/>
      <c r="H6593" s="126"/>
      <c r="I6593" s="126"/>
      <c r="J6593" s="76"/>
      <c r="K6593" s="76"/>
      <c r="L6593" s="76"/>
      <c r="M6593" s="76"/>
      <c r="N6593" s="114"/>
    </row>
    <row r="6594">
      <c r="C6594" s="41"/>
      <c r="D6594" s="142"/>
      <c r="E6594" s="130"/>
      <c r="F6594" s="128"/>
      <c r="G6594" s="128"/>
      <c r="H6594" s="128"/>
      <c r="I6594" s="128"/>
      <c r="J6594" s="81"/>
      <c r="K6594" s="81"/>
      <c r="L6594" s="81"/>
      <c r="M6594" s="81"/>
      <c r="N6594" s="82"/>
    </row>
    <row r="6595">
      <c r="C6595" s="41"/>
      <c r="D6595" s="141"/>
      <c r="E6595" s="118"/>
      <c r="F6595" s="126"/>
      <c r="G6595" s="126"/>
      <c r="H6595" s="126"/>
      <c r="I6595" s="126"/>
      <c r="J6595" s="76"/>
      <c r="K6595" s="76"/>
      <c r="L6595" s="76"/>
      <c r="M6595" s="76"/>
      <c r="N6595" s="114"/>
    </row>
    <row r="6596">
      <c r="C6596" s="41"/>
      <c r="D6596" s="142"/>
      <c r="E6596" s="130"/>
      <c r="F6596" s="128"/>
      <c r="G6596" s="128"/>
      <c r="H6596" s="128"/>
      <c r="I6596" s="128"/>
      <c r="J6596" s="81"/>
      <c r="K6596" s="81"/>
      <c r="L6596" s="81"/>
      <c r="M6596" s="81"/>
      <c r="N6596" s="82"/>
    </row>
    <row r="6597">
      <c r="C6597" s="41"/>
      <c r="D6597" s="141"/>
      <c r="E6597" s="118"/>
      <c r="F6597" s="126"/>
      <c r="G6597" s="126"/>
      <c r="H6597" s="126"/>
      <c r="I6597" s="126"/>
      <c r="J6597" s="76"/>
      <c r="K6597" s="76"/>
      <c r="L6597" s="76"/>
      <c r="M6597" s="76"/>
      <c r="N6597" s="114"/>
    </row>
    <row r="6598">
      <c r="C6598" s="41"/>
      <c r="D6598" s="142"/>
      <c r="E6598" s="130"/>
      <c r="F6598" s="128"/>
      <c r="G6598" s="128"/>
      <c r="H6598" s="128"/>
      <c r="I6598" s="128"/>
      <c r="J6598" s="81"/>
      <c r="K6598" s="81"/>
      <c r="L6598" s="81"/>
      <c r="M6598" s="81"/>
      <c r="N6598" s="82"/>
    </row>
    <row r="6599">
      <c r="C6599" s="41"/>
      <c r="D6599" s="141"/>
      <c r="E6599" s="118"/>
      <c r="F6599" s="126"/>
      <c r="G6599" s="126"/>
      <c r="H6599" s="126"/>
      <c r="I6599" s="126"/>
      <c r="J6599" s="76"/>
      <c r="K6599" s="76"/>
      <c r="L6599" s="76"/>
      <c r="M6599" s="76"/>
      <c r="N6599" s="114"/>
    </row>
    <row r="6600">
      <c r="C6600" s="41"/>
      <c r="D6600" s="142"/>
      <c r="E6600" s="130"/>
      <c r="F6600" s="128"/>
      <c r="G6600" s="128"/>
      <c r="H6600" s="128"/>
      <c r="I6600" s="128"/>
      <c r="J6600" s="81"/>
      <c r="K6600" s="81"/>
      <c r="L6600" s="81"/>
      <c r="M6600" s="81"/>
      <c r="N6600" s="82"/>
    </row>
    <row r="6601">
      <c r="C6601" s="41"/>
      <c r="D6601" s="141"/>
      <c r="E6601" s="118"/>
      <c r="F6601" s="126"/>
      <c r="G6601" s="126"/>
      <c r="H6601" s="126"/>
      <c r="I6601" s="126"/>
      <c r="J6601" s="76"/>
      <c r="K6601" s="76"/>
      <c r="L6601" s="76"/>
      <c r="M6601" s="76"/>
      <c r="N6601" s="114"/>
    </row>
    <row r="6602">
      <c r="C6602" s="41"/>
      <c r="D6602" s="142"/>
      <c r="E6602" s="130"/>
      <c r="F6602" s="128"/>
      <c r="G6602" s="128"/>
      <c r="H6602" s="128"/>
      <c r="I6602" s="128"/>
      <c r="J6602" s="81"/>
      <c r="K6602" s="81"/>
      <c r="L6602" s="81"/>
      <c r="M6602" s="81"/>
      <c r="N6602" s="82"/>
    </row>
    <row r="6603">
      <c r="C6603" s="41"/>
      <c r="D6603" s="141"/>
      <c r="E6603" s="118"/>
      <c r="F6603" s="126"/>
      <c r="G6603" s="126"/>
      <c r="H6603" s="126"/>
      <c r="I6603" s="126"/>
      <c r="J6603" s="76"/>
      <c r="K6603" s="76"/>
      <c r="L6603" s="76"/>
      <c r="M6603" s="76"/>
      <c r="N6603" s="114"/>
    </row>
    <row r="6604">
      <c r="C6604" s="41"/>
      <c r="D6604" s="142"/>
      <c r="E6604" s="130"/>
      <c r="F6604" s="128"/>
      <c r="G6604" s="128"/>
      <c r="H6604" s="128"/>
      <c r="I6604" s="128"/>
      <c r="J6604" s="81"/>
      <c r="K6604" s="81"/>
      <c r="L6604" s="81"/>
      <c r="M6604" s="81"/>
      <c r="N6604" s="82"/>
    </row>
    <row r="6605">
      <c r="C6605" s="41"/>
      <c r="D6605" s="141"/>
      <c r="E6605" s="118"/>
      <c r="F6605" s="126"/>
      <c r="G6605" s="126"/>
      <c r="H6605" s="126"/>
      <c r="I6605" s="126"/>
      <c r="J6605" s="76"/>
      <c r="K6605" s="76"/>
      <c r="L6605" s="76"/>
      <c r="M6605" s="76"/>
      <c r="N6605" s="114"/>
    </row>
    <row r="6606">
      <c r="C6606" s="41"/>
      <c r="D6606" s="142"/>
      <c r="E6606" s="130"/>
      <c r="F6606" s="128"/>
      <c r="G6606" s="128"/>
      <c r="H6606" s="128"/>
      <c r="I6606" s="128"/>
      <c r="J6606" s="81"/>
      <c r="K6606" s="81"/>
      <c r="L6606" s="81"/>
      <c r="M6606" s="81"/>
      <c r="N6606" s="82"/>
    </row>
    <row r="6607">
      <c r="C6607" s="41"/>
      <c r="D6607" s="141"/>
      <c r="E6607" s="118"/>
      <c r="F6607" s="126"/>
      <c r="G6607" s="126"/>
      <c r="H6607" s="126"/>
      <c r="I6607" s="126"/>
      <c r="J6607" s="76"/>
      <c r="K6607" s="76"/>
      <c r="L6607" s="76"/>
      <c r="M6607" s="76"/>
      <c r="N6607" s="114"/>
    </row>
    <row r="6608">
      <c r="C6608" s="41"/>
      <c r="D6608" s="142"/>
      <c r="E6608" s="130"/>
      <c r="F6608" s="128"/>
      <c r="G6608" s="128"/>
      <c r="H6608" s="128"/>
      <c r="I6608" s="128"/>
      <c r="J6608" s="81"/>
      <c r="K6608" s="81"/>
      <c r="L6608" s="81"/>
      <c r="M6608" s="81"/>
      <c r="N6608" s="82"/>
    </row>
    <row r="6609">
      <c r="C6609" s="41"/>
      <c r="D6609" s="141"/>
      <c r="E6609" s="118"/>
      <c r="F6609" s="126"/>
      <c r="G6609" s="126"/>
      <c r="H6609" s="126"/>
      <c r="I6609" s="126"/>
      <c r="J6609" s="76"/>
      <c r="K6609" s="76"/>
      <c r="L6609" s="76"/>
      <c r="M6609" s="76"/>
      <c r="N6609" s="114"/>
    </row>
    <row r="6610">
      <c r="C6610" s="41"/>
      <c r="D6610" s="142"/>
      <c r="E6610" s="130"/>
      <c r="F6610" s="128"/>
      <c r="G6610" s="128"/>
      <c r="H6610" s="128"/>
      <c r="I6610" s="128"/>
      <c r="J6610" s="81"/>
      <c r="K6610" s="81"/>
      <c r="L6610" s="81"/>
      <c r="M6610" s="81"/>
      <c r="N6610" s="82"/>
    </row>
    <row r="6611">
      <c r="C6611" s="41"/>
      <c r="D6611" s="141"/>
      <c r="E6611" s="118"/>
      <c r="F6611" s="126"/>
      <c r="G6611" s="126"/>
      <c r="H6611" s="126"/>
      <c r="I6611" s="126"/>
      <c r="J6611" s="76"/>
      <c r="K6611" s="76"/>
      <c r="L6611" s="76"/>
      <c r="M6611" s="76"/>
      <c r="N6611" s="114"/>
    </row>
    <row r="6612">
      <c r="C6612" s="41"/>
      <c r="D6612" s="142"/>
      <c r="E6612" s="130"/>
      <c r="F6612" s="128"/>
      <c r="G6612" s="128"/>
      <c r="H6612" s="128"/>
      <c r="I6612" s="128"/>
      <c r="J6612" s="81"/>
      <c r="K6612" s="81"/>
      <c r="L6612" s="81"/>
      <c r="M6612" s="81"/>
      <c r="N6612" s="82"/>
    </row>
    <row r="6613">
      <c r="C6613" s="41"/>
      <c r="D6613" s="141"/>
      <c r="E6613" s="118"/>
      <c r="F6613" s="126"/>
      <c r="G6613" s="126"/>
      <c r="H6613" s="126"/>
      <c r="I6613" s="126"/>
      <c r="J6613" s="76"/>
      <c r="K6613" s="76"/>
      <c r="L6613" s="76"/>
      <c r="M6613" s="76"/>
      <c r="N6613" s="114"/>
    </row>
    <row r="6614">
      <c r="C6614" s="41"/>
      <c r="D6614" s="142"/>
      <c r="E6614" s="130"/>
      <c r="F6614" s="128"/>
      <c r="G6614" s="128"/>
      <c r="H6614" s="128"/>
      <c r="I6614" s="128"/>
      <c r="J6614" s="81"/>
      <c r="K6614" s="81"/>
      <c r="L6614" s="81"/>
      <c r="M6614" s="81"/>
      <c r="N6614" s="82"/>
    </row>
    <row r="6615">
      <c r="C6615" s="41"/>
      <c r="D6615" s="141"/>
      <c r="E6615" s="118"/>
      <c r="F6615" s="126"/>
      <c r="G6615" s="126"/>
      <c r="H6615" s="126"/>
      <c r="I6615" s="126"/>
      <c r="J6615" s="76"/>
      <c r="K6615" s="76"/>
      <c r="L6615" s="76"/>
      <c r="M6615" s="76"/>
      <c r="N6615" s="114"/>
    </row>
    <row r="6616">
      <c r="C6616" s="41"/>
      <c r="D6616" s="142"/>
      <c r="E6616" s="130"/>
      <c r="F6616" s="128"/>
      <c r="G6616" s="128"/>
      <c r="H6616" s="128"/>
      <c r="I6616" s="128"/>
      <c r="J6616" s="81"/>
      <c r="K6616" s="81"/>
      <c r="L6616" s="81"/>
      <c r="M6616" s="81"/>
      <c r="N6616" s="82"/>
    </row>
    <row r="6617">
      <c r="C6617" s="41"/>
      <c r="D6617" s="141"/>
      <c r="E6617" s="118"/>
      <c r="F6617" s="126"/>
      <c r="G6617" s="126"/>
      <c r="H6617" s="126"/>
      <c r="I6617" s="126"/>
      <c r="J6617" s="76"/>
      <c r="K6617" s="76"/>
      <c r="L6617" s="76"/>
      <c r="M6617" s="76"/>
      <c r="N6617" s="114"/>
    </row>
    <row r="6618">
      <c r="C6618" s="41"/>
      <c r="D6618" s="142"/>
      <c r="E6618" s="130"/>
      <c r="F6618" s="128"/>
      <c r="G6618" s="128"/>
      <c r="H6618" s="128"/>
      <c r="I6618" s="128"/>
      <c r="J6618" s="81"/>
      <c r="K6618" s="81"/>
      <c r="L6618" s="81"/>
      <c r="M6618" s="81"/>
      <c r="N6618" s="82"/>
    </row>
    <row r="6619">
      <c r="C6619" s="41"/>
      <c r="D6619" s="141"/>
      <c r="E6619" s="118"/>
      <c r="F6619" s="126"/>
      <c r="G6619" s="126"/>
      <c r="H6619" s="126"/>
      <c r="I6619" s="126"/>
      <c r="J6619" s="76"/>
      <c r="K6619" s="76"/>
      <c r="L6619" s="76"/>
      <c r="M6619" s="76"/>
      <c r="N6619" s="114"/>
    </row>
    <row r="6620">
      <c r="C6620" s="41"/>
      <c r="D6620" s="142"/>
      <c r="E6620" s="130"/>
      <c r="F6620" s="128"/>
      <c r="G6620" s="128"/>
      <c r="H6620" s="128"/>
      <c r="I6620" s="128"/>
      <c r="J6620" s="81"/>
      <c r="K6620" s="81"/>
      <c r="L6620" s="81"/>
      <c r="M6620" s="81"/>
      <c r="N6620" s="82"/>
    </row>
    <row r="6621">
      <c r="C6621" s="41"/>
      <c r="D6621" s="141"/>
      <c r="E6621" s="118"/>
      <c r="F6621" s="126"/>
      <c r="G6621" s="126"/>
      <c r="H6621" s="126"/>
      <c r="I6621" s="126"/>
      <c r="J6621" s="76"/>
      <c r="K6621" s="76"/>
      <c r="L6621" s="76"/>
      <c r="M6621" s="76"/>
      <c r="N6621" s="114"/>
    </row>
    <row r="6622">
      <c r="C6622" s="41"/>
      <c r="D6622" s="142"/>
      <c r="E6622" s="130"/>
      <c r="F6622" s="128"/>
      <c r="G6622" s="128"/>
      <c r="H6622" s="128"/>
      <c r="I6622" s="128"/>
      <c r="J6622" s="81"/>
      <c r="K6622" s="81"/>
      <c r="L6622" s="81"/>
      <c r="M6622" s="81"/>
      <c r="N6622" s="82"/>
    </row>
    <row r="6623">
      <c r="C6623" s="41"/>
      <c r="D6623" s="141"/>
      <c r="E6623" s="118"/>
      <c r="F6623" s="126"/>
      <c r="G6623" s="126"/>
      <c r="H6623" s="126"/>
      <c r="I6623" s="126"/>
      <c r="J6623" s="76"/>
      <c r="K6623" s="76"/>
      <c r="L6623" s="76"/>
      <c r="M6623" s="76"/>
      <c r="N6623" s="114"/>
    </row>
    <row r="6624">
      <c r="C6624" s="41"/>
      <c r="D6624" s="142"/>
      <c r="E6624" s="130"/>
      <c r="F6624" s="128"/>
      <c r="G6624" s="128"/>
      <c r="H6624" s="128"/>
      <c r="I6624" s="128"/>
      <c r="J6624" s="81"/>
      <c r="K6624" s="81"/>
      <c r="L6624" s="81"/>
      <c r="M6624" s="81"/>
      <c r="N6624" s="82"/>
    </row>
    <row r="6625">
      <c r="C6625" s="41"/>
      <c r="D6625" s="141"/>
      <c r="E6625" s="118"/>
      <c r="F6625" s="126"/>
      <c r="G6625" s="126"/>
      <c r="H6625" s="126"/>
      <c r="I6625" s="126"/>
      <c r="J6625" s="76"/>
      <c r="K6625" s="76"/>
      <c r="L6625" s="76"/>
      <c r="M6625" s="76"/>
      <c r="N6625" s="114"/>
    </row>
    <row r="6626">
      <c r="C6626" s="41"/>
      <c r="D6626" s="142"/>
      <c r="E6626" s="130"/>
      <c r="F6626" s="128"/>
      <c r="G6626" s="128"/>
      <c r="H6626" s="128"/>
      <c r="I6626" s="128"/>
      <c r="J6626" s="81"/>
      <c r="K6626" s="81"/>
      <c r="L6626" s="81"/>
      <c r="M6626" s="81"/>
      <c r="N6626" s="82"/>
    </row>
    <row r="6627">
      <c r="C6627" s="41"/>
      <c r="D6627" s="141"/>
      <c r="E6627" s="118"/>
      <c r="F6627" s="126"/>
      <c r="G6627" s="126"/>
      <c r="H6627" s="126"/>
      <c r="I6627" s="126"/>
      <c r="J6627" s="76"/>
      <c r="K6627" s="76"/>
      <c r="L6627" s="76"/>
      <c r="M6627" s="76"/>
      <c r="N6627" s="114"/>
    </row>
    <row r="6628">
      <c r="C6628" s="41"/>
      <c r="D6628" s="142"/>
      <c r="E6628" s="130"/>
      <c r="F6628" s="128"/>
      <c r="G6628" s="128"/>
      <c r="H6628" s="128"/>
      <c r="I6628" s="128"/>
      <c r="J6628" s="81"/>
      <c r="K6628" s="81"/>
      <c r="L6628" s="81"/>
      <c r="M6628" s="81"/>
      <c r="N6628" s="82"/>
    </row>
    <row r="6629">
      <c r="C6629" s="41"/>
      <c r="D6629" s="141"/>
      <c r="E6629" s="118"/>
      <c r="F6629" s="126"/>
      <c r="G6629" s="126"/>
      <c r="H6629" s="126"/>
      <c r="I6629" s="126"/>
      <c r="J6629" s="76"/>
      <c r="K6629" s="76"/>
      <c r="L6629" s="76"/>
      <c r="M6629" s="76"/>
      <c r="N6629" s="114"/>
    </row>
    <row r="6630">
      <c r="C6630" s="41"/>
      <c r="D6630" s="142"/>
      <c r="E6630" s="130"/>
      <c r="F6630" s="128"/>
      <c r="G6630" s="128"/>
      <c r="H6630" s="128"/>
      <c r="I6630" s="128"/>
      <c r="J6630" s="81"/>
      <c r="K6630" s="81"/>
      <c r="L6630" s="81"/>
      <c r="M6630" s="81"/>
      <c r="N6630" s="82"/>
    </row>
    <row r="6631">
      <c r="C6631" s="41"/>
      <c r="D6631" s="141"/>
      <c r="E6631" s="118"/>
      <c r="F6631" s="126"/>
      <c r="G6631" s="126"/>
      <c r="H6631" s="126"/>
      <c r="I6631" s="126"/>
      <c r="J6631" s="76"/>
      <c r="K6631" s="76"/>
      <c r="L6631" s="76"/>
      <c r="M6631" s="76"/>
      <c r="N6631" s="114"/>
    </row>
    <row r="6632">
      <c r="C6632" s="41"/>
      <c r="D6632" s="142"/>
      <c r="E6632" s="130"/>
      <c r="F6632" s="128"/>
      <c r="G6632" s="128"/>
      <c r="H6632" s="128"/>
      <c r="I6632" s="128"/>
      <c r="J6632" s="81"/>
      <c r="K6632" s="81"/>
      <c r="L6632" s="81"/>
      <c r="M6632" s="81"/>
      <c r="N6632" s="82"/>
    </row>
    <row r="6633">
      <c r="C6633" s="41"/>
      <c r="D6633" s="141"/>
      <c r="E6633" s="118"/>
      <c r="F6633" s="126"/>
      <c r="G6633" s="126"/>
      <c r="H6633" s="126"/>
      <c r="I6633" s="126"/>
      <c r="J6633" s="76"/>
      <c r="K6633" s="76"/>
      <c r="L6633" s="76"/>
      <c r="M6633" s="76"/>
      <c r="N6633" s="114"/>
    </row>
    <row r="6634">
      <c r="C6634" s="41"/>
      <c r="D6634" s="142"/>
      <c r="E6634" s="130"/>
      <c r="F6634" s="128"/>
      <c r="G6634" s="128"/>
      <c r="H6634" s="128"/>
      <c r="I6634" s="128"/>
      <c r="J6634" s="81"/>
      <c r="K6634" s="81"/>
      <c r="L6634" s="81"/>
      <c r="M6634" s="81"/>
      <c r="N6634" s="82"/>
    </row>
    <row r="6635">
      <c r="C6635" s="41"/>
      <c r="D6635" s="141"/>
      <c r="E6635" s="118"/>
      <c r="F6635" s="126"/>
      <c r="G6635" s="126"/>
      <c r="H6635" s="126"/>
      <c r="I6635" s="126"/>
      <c r="J6635" s="76"/>
      <c r="K6635" s="76"/>
      <c r="L6635" s="76"/>
      <c r="M6635" s="76"/>
      <c r="N6635" s="114"/>
    </row>
    <row r="6636">
      <c r="C6636" s="41"/>
      <c r="D6636" s="142"/>
      <c r="E6636" s="130"/>
      <c r="F6636" s="128"/>
      <c r="G6636" s="128"/>
      <c r="H6636" s="128"/>
      <c r="I6636" s="128"/>
      <c r="J6636" s="81"/>
      <c r="K6636" s="81"/>
      <c r="L6636" s="81"/>
      <c r="M6636" s="81"/>
      <c r="N6636" s="82"/>
    </row>
    <row r="6637">
      <c r="C6637" s="41"/>
      <c r="D6637" s="141"/>
      <c r="E6637" s="118"/>
      <c r="F6637" s="126"/>
      <c r="G6637" s="126"/>
      <c r="H6637" s="126"/>
      <c r="I6637" s="126"/>
      <c r="J6637" s="76"/>
      <c r="K6637" s="76"/>
      <c r="L6637" s="76"/>
      <c r="M6637" s="76"/>
      <c r="N6637" s="114"/>
    </row>
    <row r="6638">
      <c r="C6638" s="41"/>
      <c r="D6638" s="142"/>
      <c r="E6638" s="130"/>
      <c r="F6638" s="128"/>
      <c r="G6638" s="128"/>
      <c r="H6638" s="128"/>
      <c r="I6638" s="128"/>
      <c r="J6638" s="81"/>
      <c r="K6638" s="81"/>
      <c r="L6638" s="81"/>
      <c r="M6638" s="81"/>
      <c r="N6638" s="82"/>
    </row>
    <row r="6639">
      <c r="C6639" s="41"/>
      <c r="D6639" s="141"/>
      <c r="E6639" s="118"/>
      <c r="F6639" s="126"/>
      <c r="G6639" s="126"/>
      <c r="H6639" s="126"/>
      <c r="I6639" s="126"/>
      <c r="J6639" s="76"/>
      <c r="K6639" s="76"/>
      <c r="L6639" s="76"/>
      <c r="M6639" s="76"/>
      <c r="N6639" s="114"/>
    </row>
    <row r="6640">
      <c r="C6640" s="41"/>
      <c r="D6640" s="142"/>
      <c r="E6640" s="130"/>
      <c r="F6640" s="128"/>
      <c r="G6640" s="128"/>
      <c r="H6640" s="128"/>
      <c r="I6640" s="128"/>
      <c r="J6640" s="81"/>
      <c r="K6640" s="81"/>
      <c r="L6640" s="81"/>
      <c r="M6640" s="81"/>
      <c r="N6640" s="82"/>
    </row>
    <row r="6641">
      <c r="C6641" s="41"/>
      <c r="D6641" s="141"/>
      <c r="E6641" s="118"/>
      <c r="F6641" s="126"/>
      <c r="G6641" s="126"/>
      <c r="H6641" s="126"/>
      <c r="I6641" s="126"/>
      <c r="J6641" s="76"/>
      <c r="K6641" s="76"/>
      <c r="L6641" s="76"/>
      <c r="M6641" s="76"/>
      <c r="N6641" s="114"/>
    </row>
    <row r="6642">
      <c r="C6642" s="41"/>
      <c r="D6642" s="142"/>
      <c r="E6642" s="130"/>
      <c r="F6642" s="128"/>
      <c r="G6642" s="128"/>
      <c r="H6642" s="128"/>
      <c r="I6642" s="128"/>
      <c r="J6642" s="81"/>
      <c r="K6642" s="81"/>
      <c r="L6642" s="81"/>
      <c r="M6642" s="81"/>
      <c r="N6642" s="82"/>
    </row>
    <row r="6643">
      <c r="C6643" s="41"/>
      <c r="D6643" s="141"/>
      <c r="E6643" s="118"/>
      <c r="F6643" s="126"/>
      <c r="G6643" s="126"/>
      <c r="H6643" s="126"/>
      <c r="I6643" s="126"/>
      <c r="J6643" s="76"/>
      <c r="K6643" s="76"/>
      <c r="L6643" s="76"/>
      <c r="M6643" s="76"/>
      <c r="N6643" s="114"/>
    </row>
    <row r="6644">
      <c r="C6644" s="41"/>
      <c r="D6644" s="142"/>
      <c r="E6644" s="130"/>
      <c r="F6644" s="128"/>
      <c r="G6644" s="128"/>
      <c r="H6644" s="128"/>
      <c r="I6644" s="128"/>
      <c r="J6644" s="81"/>
      <c r="K6644" s="81"/>
      <c r="L6644" s="81"/>
      <c r="M6644" s="81"/>
      <c r="N6644" s="82"/>
    </row>
    <row r="6645">
      <c r="C6645" s="41"/>
      <c r="D6645" s="141"/>
      <c r="E6645" s="118"/>
      <c r="F6645" s="126"/>
      <c r="G6645" s="126"/>
      <c r="H6645" s="126"/>
      <c r="I6645" s="126"/>
      <c r="J6645" s="76"/>
      <c r="K6645" s="76"/>
      <c r="L6645" s="76"/>
      <c r="M6645" s="76"/>
      <c r="N6645" s="114"/>
    </row>
    <row r="6646">
      <c r="C6646" s="41"/>
      <c r="D6646" s="142"/>
      <c r="E6646" s="130"/>
      <c r="F6646" s="128"/>
      <c r="G6646" s="128"/>
      <c r="H6646" s="128"/>
      <c r="I6646" s="128"/>
      <c r="J6646" s="81"/>
      <c r="K6646" s="81"/>
      <c r="L6646" s="81"/>
      <c r="M6646" s="81"/>
      <c r="N6646" s="82"/>
    </row>
    <row r="6647">
      <c r="C6647" s="41"/>
      <c r="D6647" s="141"/>
      <c r="E6647" s="118"/>
      <c r="F6647" s="126"/>
      <c r="G6647" s="126"/>
      <c r="H6647" s="126"/>
      <c r="I6647" s="126"/>
      <c r="J6647" s="76"/>
      <c r="K6647" s="76"/>
      <c r="L6647" s="76"/>
      <c r="M6647" s="76"/>
      <c r="N6647" s="114"/>
    </row>
    <row r="6648">
      <c r="C6648" s="41"/>
      <c r="D6648" s="142"/>
      <c r="E6648" s="130"/>
      <c r="F6648" s="128"/>
      <c r="G6648" s="128"/>
      <c r="H6648" s="128"/>
      <c r="I6648" s="128"/>
      <c r="J6648" s="81"/>
      <c r="K6648" s="81"/>
      <c r="L6648" s="81"/>
      <c r="M6648" s="81"/>
      <c r="N6648" s="82"/>
    </row>
    <row r="6649">
      <c r="C6649" s="41"/>
      <c r="D6649" s="141"/>
      <c r="E6649" s="118"/>
      <c r="F6649" s="126"/>
      <c r="G6649" s="126"/>
      <c r="H6649" s="126"/>
      <c r="I6649" s="126"/>
      <c r="J6649" s="76"/>
      <c r="K6649" s="76"/>
      <c r="L6649" s="76"/>
      <c r="M6649" s="76"/>
      <c r="N6649" s="114"/>
    </row>
    <row r="6650">
      <c r="C6650" s="41"/>
      <c r="D6650" s="142"/>
      <c r="E6650" s="130"/>
      <c r="F6650" s="128"/>
      <c r="G6650" s="128"/>
      <c r="H6650" s="128"/>
      <c r="I6650" s="128"/>
      <c r="J6650" s="81"/>
      <c r="K6650" s="81"/>
      <c r="L6650" s="81"/>
      <c r="M6650" s="81"/>
      <c r="N6650" s="82"/>
    </row>
    <row r="6651">
      <c r="C6651" s="41"/>
      <c r="D6651" s="141"/>
      <c r="E6651" s="118"/>
      <c r="F6651" s="126"/>
      <c r="G6651" s="126"/>
      <c r="H6651" s="126"/>
      <c r="I6651" s="126"/>
      <c r="J6651" s="76"/>
      <c r="K6651" s="76"/>
      <c r="L6651" s="76"/>
      <c r="M6651" s="76"/>
      <c r="N6651" s="114"/>
    </row>
    <row r="6652">
      <c r="C6652" s="41"/>
      <c r="D6652" s="142"/>
      <c r="E6652" s="130"/>
      <c r="F6652" s="128"/>
      <c r="G6652" s="128"/>
      <c r="H6652" s="128"/>
      <c r="I6652" s="128"/>
      <c r="J6652" s="81"/>
      <c r="K6652" s="81"/>
      <c r="L6652" s="81"/>
      <c r="M6652" s="81"/>
      <c r="N6652" s="82"/>
    </row>
    <row r="6653">
      <c r="C6653" s="41"/>
      <c r="D6653" s="141"/>
      <c r="E6653" s="118"/>
      <c r="F6653" s="126"/>
      <c r="G6653" s="126"/>
      <c r="H6653" s="126"/>
      <c r="I6653" s="126"/>
      <c r="J6653" s="76"/>
      <c r="K6653" s="76"/>
      <c r="L6653" s="76"/>
      <c r="M6653" s="76"/>
      <c r="N6653" s="114"/>
    </row>
    <row r="6654">
      <c r="C6654" s="41"/>
      <c r="D6654" s="142"/>
      <c r="E6654" s="130"/>
      <c r="F6654" s="128"/>
      <c r="G6654" s="128"/>
      <c r="H6654" s="128"/>
      <c r="I6654" s="128"/>
      <c r="J6654" s="81"/>
      <c r="K6654" s="81"/>
      <c r="L6654" s="81"/>
      <c r="M6654" s="81"/>
      <c r="N6654" s="82"/>
    </row>
    <row r="6655">
      <c r="C6655" s="41"/>
      <c r="D6655" s="141"/>
      <c r="E6655" s="118"/>
      <c r="F6655" s="126"/>
      <c r="G6655" s="126"/>
      <c r="H6655" s="126"/>
      <c r="I6655" s="126"/>
      <c r="J6655" s="76"/>
      <c r="K6655" s="76"/>
      <c r="L6655" s="76"/>
      <c r="M6655" s="76"/>
      <c r="N6655" s="114"/>
    </row>
    <row r="6656">
      <c r="C6656" s="41"/>
      <c r="D6656" s="142"/>
      <c r="E6656" s="130"/>
      <c r="F6656" s="128"/>
      <c r="G6656" s="128"/>
      <c r="H6656" s="128"/>
      <c r="I6656" s="128"/>
      <c r="J6656" s="81"/>
      <c r="K6656" s="81"/>
      <c r="L6656" s="81"/>
      <c r="M6656" s="81"/>
      <c r="N6656" s="82"/>
    </row>
    <row r="6657">
      <c r="C6657" s="41"/>
      <c r="D6657" s="141"/>
      <c r="E6657" s="118"/>
      <c r="F6657" s="126"/>
      <c r="G6657" s="126"/>
      <c r="H6657" s="126"/>
      <c r="I6657" s="126"/>
      <c r="J6657" s="76"/>
      <c r="K6657" s="76"/>
      <c r="L6657" s="76"/>
      <c r="M6657" s="76"/>
      <c r="N6657" s="114"/>
    </row>
    <row r="6658">
      <c r="C6658" s="41"/>
      <c r="D6658" s="142"/>
      <c r="E6658" s="130"/>
      <c r="F6658" s="128"/>
      <c r="G6658" s="128"/>
      <c r="H6658" s="128"/>
      <c r="I6658" s="128"/>
      <c r="J6658" s="81"/>
      <c r="K6658" s="81"/>
      <c r="L6658" s="81"/>
      <c r="M6658" s="81"/>
      <c r="N6658" s="82"/>
    </row>
    <row r="6659">
      <c r="C6659" s="41"/>
      <c r="D6659" s="141"/>
      <c r="E6659" s="118"/>
      <c r="F6659" s="126"/>
      <c r="G6659" s="126"/>
      <c r="H6659" s="126"/>
      <c r="I6659" s="126"/>
      <c r="J6659" s="76"/>
      <c r="K6659" s="76"/>
      <c r="L6659" s="76"/>
      <c r="M6659" s="76"/>
      <c r="N6659" s="114"/>
    </row>
    <row r="6660">
      <c r="C6660" s="41"/>
      <c r="D6660" s="142"/>
      <c r="E6660" s="130"/>
      <c r="F6660" s="128"/>
      <c r="G6660" s="128"/>
      <c r="H6660" s="128"/>
      <c r="I6660" s="128"/>
      <c r="J6660" s="81"/>
      <c r="K6660" s="81"/>
      <c r="L6660" s="81"/>
      <c r="M6660" s="81"/>
      <c r="N6660" s="82"/>
    </row>
    <row r="6661">
      <c r="C6661" s="41"/>
      <c r="D6661" s="141"/>
      <c r="E6661" s="118"/>
      <c r="F6661" s="126"/>
      <c r="G6661" s="126"/>
      <c r="H6661" s="126"/>
      <c r="I6661" s="126"/>
      <c r="J6661" s="76"/>
      <c r="K6661" s="76"/>
      <c r="L6661" s="76"/>
      <c r="M6661" s="76"/>
      <c r="N6661" s="114"/>
    </row>
    <row r="6662">
      <c r="C6662" s="41"/>
      <c r="D6662" s="142"/>
      <c r="E6662" s="130"/>
      <c r="F6662" s="128"/>
      <c r="G6662" s="128"/>
      <c r="H6662" s="128"/>
      <c r="I6662" s="128"/>
      <c r="J6662" s="81"/>
      <c r="K6662" s="81"/>
      <c r="L6662" s="81"/>
      <c r="M6662" s="81"/>
      <c r="N6662" s="82"/>
    </row>
    <row r="6663">
      <c r="C6663" s="41"/>
      <c r="D6663" s="141"/>
      <c r="E6663" s="118"/>
      <c r="F6663" s="126"/>
      <c r="G6663" s="126"/>
      <c r="H6663" s="126"/>
      <c r="I6663" s="126"/>
      <c r="J6663" s="76"/>
      <c r="K6663" s="76"/>
      <c r="L6663" s="76"/>
      <c r="M6663" s="76"/>
      <c r="N6663" s="114"/>
    </row>
    <row r="6664">
      <c r="C6664" s="41"/>
      <c r="D6664" s="142"/>
      <c r="E6664" s="130"/>
      <c r="F6664" s="128"/>
      <c r="G6664" s="128"/>
      <c r="H6664" s="128"/>
      <c r="I6664" s="128"/>
      <c r="J6664" s="81"/>
      <c r="K6664" s="81"/>
      <c r="L6664" s="81"/>
      <c r="M6664" s="81"/>
      <c r="N6664" s="82"/>
    </row>
    <row r="6665">
      <c r="C6665" s="41"/>
      <c r="D6665" s="141"/>
      <c r="E6665" s="118"/>
      <c r="F6665" s="126"/>
      <c r="G6665" s="126"/>
      <c r="H6665" s="126"/>
      <c r="I6665" s="126"/>
      <c r="J6665" s="76"/>
      <c r="K6665" s="76"/>
      <c r="L6665" s="76"/>
      <c r="M6665" s="76"/>
      <c r="N6665" s="114"/>
    </row>
    <row r="6666">
      <c r="C6666" s="41"/>
      <c r="D6666" s="142"/>
      <c r="E6666" s="130"/>
      <c r="F6666" s="128"/>
      <c r="G6666" s="128"/>
      <c r="H6666" s="128"/>
      <c r="I6666" s="128"/>
      <c r="J6666" s="81"/>
      <c r="K6666" s="81"/>
      <c r="L6666" s="81"/>
      <c r="M6666" s="81"/>
      <c r="N6666" s="82"/>
    </row>
    <row r="6667">
      <c r="C6667" s="41"/>
      <c r="D6667" s="141"/>
      <c r="E6667" s="118"/>
      <c r="F6667" s="126"/>
      <c r="G6667" s="126"/>
      <c r="H6667" s="126"/>
      <c r="I6667" s="126"/>
      <c r="J6667" s="76"/>
      <c r="K6667" s="76"/>
      <c r="L6667" s="76"/>
      <c r="M6667" s="76"/>
      <c r="N6667" s="114"/>
    </row>
    <row r="6668">
      <c r="C6668" s="41"/>
      <c r="D6668" s="142"/>
      <c r="E6668" s="130"/>
      <c r="F6668" s="128"/>
      <c r="G6668" s="128"/>
      <c r="H6668" s="128"/>
      <c r="I6668" s="128"/>
      <c r="J6668" s="81"/>
      <c r="K6668" s="81"/>
      <c r="L6668" s="81"/>
      <c r="M6668" s="81"/>
      <c r="N6668" s="82"/>
    </row>
    <row r="6669">
      <c r="C6669" s="41"/>
      <c r="D6669" s="141"/>
      <c r="E6669" s="118"/>
      <c r="F6669" s="126"/>
      <c r="G6669" s="126"/>
      <c r="H6669" s="126"/>
      <c r="I6669" s="126"/>
      <c r="J6669" s="76"/>
      <c r="K6669" s="76"/>
      <c r="L6669" s="76"/>
      <c r="M6669" s="76"/>
      <c r="N6669" s="114"/>
    </row>
    <row r="6670">
      <c r="C6670" s="41"/>
      <c r="D6670" s="142"/>
      <c r="E6670" s="130"/>
      <c r="F6670" s="128"/>
      <c r="G6670" s="128"/>
      <c r="H6670" s="128"/>
      <c r="I6670" s="128"/>
      <c r="J6670" s="81"/>
      <c r="K6670" s="81"/>
      <c r="L6670" s="81"/>
      <c r="M6670" s="81"/>
      <c r="N6670" s="82"/>
    </row>
    <row r="6671">
      <c r="C6671" s="41"/>
      <c r="D6671" s="141"/>
      <c r="E6671" s="118"/>
      <c r="F6671" s="126"/>
      <c r="G6671" s="126"/>
      <c r="H6671" s="126"/>
      <c r="I6671" s="126"/>
      <c r="J6671" s="76"/>
      <c r="K6671" s="76"/>
      <c r="L6671" s="76"/>
      <c r="M6671" s="76"/>
      <c r="N6671" s="114"/>
    </row>
    <row r="6672">
      <c r="C6672" s="41"/>
      <c r="D6672" s="142"/>
      <c r="E6672" s="130"/>
      <c r="F6672" s="128"/>
      <c r="G6672" s="128"/>
      <c r="H6672" s="128"/>
      <c r="I6672" s="128"/>
      <c r="J6672" s="81"/>
      <c r="K6672" s="81"/>
      <c r="L6672" s="81"/>
      <c r="M6672" s="81"/>
      <c r="N6672" s="82"/>
    </row>
    <row r="6673">
      <c r="C6673" s="41"/>
      <c r="D6673" s="141"/>
      <c r="E6673" s="118"/>
      <c r="F6673" s="126"/>
      <c r="G6673" s="126"/>
      <c r="H6673" s="126"/>
      <c r="I6673" s="126"/>
      <c r="J6673" s="76"/>
      <c r="K6673" s="76"/>
      <c r="L6673" s="76"/>
      <c r="M6673" s="76"/>
      <c r="N6673" s="114"/>
    </row>
    <row r="6674">
      <c r="C6674" s="41"/>
      <c r="D6674" s="142"/>
      <c r="E6674" s="130"/>
      <c r="F6674" s="128"/>
      <c r="G6674" s="128"/>
      <c r="H6674" s="128"/>
      <c r="I6674" s="128"/>
      <c r="J6674" s="81"/>
      <c r="K6674" s="81"/>
      <c r="L6674" s="81"/>
      <c r="M6674" s="81"/>
      <c r="N6674" s="82"/>
    </row>
    <row r="6675">
      <c r="C6675" s="41"/>
      <c r="D6675" s="141"/>
      <c r="E6675" s="118"/>
      <c r="F6675" s="126"/>
      <c r="G6675" s="126"/>
      <c r="H6675" s="126"/>
      <c r="I6675" s="126"/>
      <c r="J6675" s="76"/>
      <c r="K6675" s="76"/>
      <c r="L6675" s="76"/>
      <c r="M6675" s="76"/>
      <c r="N6675" s="114"/>
    </row>
    <row r="6676">
      <c r="C6676" s="41"/>
      <c r="D6676" s="142"/>
      <c r="E6676" s="130"/>
      <c r="F6676" s="128"/>
      <c r="G6676" s="128"/>
      <c r="H6676" s="128"/>
      <c r="I6676" s="128"/>
      <c r="J6676" s="81"/>
      <c r="K6676" s="81"/>
      <c r="L6676" s="81"/>
      <c r="M6676" s="81"/>
      <c r="N6676" s="82"/>
    </row>
    <row r="6677">
      <c r="C6677" s="41"/>
      <c r="D6677" s="141"/>
      <c r="E6677" s="118"/>
      <c r="F6677" s="126"/>
      <c r="G6677" s="126"/>
      <c r="H6677" s="126"/>
      <c r="I6677" s="126"/>
      <c r="J6677" s="76"/>
      <c r="K6677" s="76"/>
      <c r="L6677" s="76"/>
      <c r="M6677" s="76"/>
      <c r="N6677" s="114"/>
    </row>
    <row r="6678">
      <c r="C6678" s="41"/>
      <c r="D6678" s="142"/>
      <c r="E6678" s="130"/>
      <c r="F6678" s="128"/>
      <c r="G6678" s="128"/>
      <c r="H6678" s="128"/>
      <c r="I6678" s="128"/>
      <c r="J6678" s="81"/>
      <c r="K6678" s="81"/>
      <c r="L6678" s="81"/>
      <c r="M6678" s="81"/>
      <c r="N6678" s="82"/>
    </row>
    <row r="6679">
      <c r="C6679" s="41"/>
      <c r="D6679" s="141"/>
      <c r="E6679" s="118"/>
      <c r="F6679" s="126"/>
      <c r="G6679" s="126"/>
      <c r="H6679" s="126"/>
      <c r="I6679" s="126"/>
      <c r="J6679" s="76"/>
      <c r="K6679" s="76"/>
      <c r="L6679" s="76"/>
      <c r="M6679" s="76"/>
      <c r="N6679" s="114"/>
    </row>
    <row r="6680">
      <c r="C6680" s="41"/>
      <c r="D6680" s="142"/>
      <c r="E6680" s="130"/>
      <c r="F6680" s="128"/>
      <c r="G6680" s="128"/>
      <c r="H6680" s="128"/>
      <c r="I6680" s="128"/>
      <c r="J6680" s="81"/>
      <c r="K6680" s="81"/>
      <c r="L6680" s="81"/>
      <c r="M6680" s="81"/>
      <c r="N6680" s="82"/>
    </row>
    <row r="6681">
      <c r="C6681" s="41"/>
      <c r="D6681" s="141"/>
      <c r="E6681" s="118"/>
      <c r="F6681" s="126"/>
      <c r="G6681" s="126"/>
      <c r="H6681" s="126"/>
      <c r="I6681" s="126"/>
      <c r="J6681" s="76"/>
      <c r="K6681" s="76"/>
      <c r="L6681" s="76"/>
      <c r="M6681" s="76"/>
      <c r="N6681" s="114"/>
    </row>
    <row r="6682">
      <c r="C6682" s="41"/>
      <c r="D6682" s="142"/>
      <c r="E6682" s="130"/>
      <c r="F6682" s="128"/>
      <c r="G6682" s="128"/>
      <c r="H6682" s="128"/>
      <c r="I6682" s="128"/>
      <c r="J6682" s="81"/>
      <c r="K6682" s="81"/>
      <c r="L6682" s="81"/>
      <c r="M6682" s="81"/>
      <c r="N6682" s="82"/>
    </row>
    <row r="6683">
      <c r="C6683" s="41"/>
      <c r="D6683" s="141"/>
      <c r="E6683" s="118"/>
      <c r="F6683" s="126"/>
      <c r="G6683" s="126"/>
      <c r="H6683" s="126"/>
      <c r="I6683" s="126"/>
      <c r="J6683" s="76"/>
      <c r="K6683" s="76"/>
      <c r="L6683" s="76"/>
      <c r="M6683" s="76"/>
      <c r="N6683" s="114"/>
    </row>
    <row r="6684">
      <c r="C6684" s="41"/>
      <c r="D6684" s="142"/>
      <c r="E6684" s="130"/>
      <c r="F6684" s="128"/>
      <c r="G6684" s="128"/>
      <c r="H6684" s="128"/>
      <c r="I6684" s="128"/>
      <c r="J6684" s="81"/>
      <c r="K6684" s="81"/>
      <c r="L6684" s="81"/>
      <c r="M6684" s="81"/>
      <c r="N6684" s="82"/>
    </row>
    <row r="6685">
      <c r="C6685" s="41"/>
      <c r="D6685" s="141"/>
      <c r="E6685" s="118"/>
      <c r="F6685" s="126"/>
      <c r="G6685" s="126"/>
      <c r="H6685" s="126"/>
      <c r="I6685" s="126"/>
      <c r="J6685" s="76"/>
      <c r="K6685" s="76"/>
      <c r="L6685" s="76"/>
      <c r="M6685" s="76"/>
      <c r="N6685" s="114"/>
    </row>
    <row r="6686">
      <c r="C6686" s="41"/>
      <c r="D6686" s="142"/>
      <c r="E6686" s="130"/>
      <c r="F6686" s="128"/>
      <c r="G6686" s="128"/>
      <c r="H6686" s="128"/>
      <c r="I6686" s="128"/>
      <c r="J6686" s="81"/>
      <c r="K6686" s="81"/>
      <c r="L6686" s="81"/>
      <c r="M6686" s="81"/>
      <c r="N6686" s="82"/>
    </row>
    <row r="6687">
      <c r="C6687" s="41"/>
      <c r="D6687" s="141"/>
      <c r="E6687" s="118"/>
      <c r="F6687" s="126"/>
      <c r="G6687" s="126"/>
      <c r="H6687" s="126"/>
      <c r="I6687" s="126"/>
      <c r="J6687" s="76"/>
      <c r="K6687" s="76"/>
      <c r="L6687" s="76"/>
      <c r="M6687" s="76"/>
      <c r="N6687" s="114"/>
    </row>
    <row r="6688">
      <c r="C6688" s="41"/>
      <c r="D6688" s="142"/>
      <c r="E6688" s="130"/>
      <c r="F6688" s="128"/>
      <c r="G6688" s="128"/>
      <c r="H6688" s="128"/>
      <c r="I6688" s="128"/>
      <c r="J6688" s="81"/>
      <c r="K6688" s="81"/>
      <c r="L6688" s="81"/>
      <c r="M6688" s="81"/>
      <c r="N6688" s="82"/>
    </row>
    <row r="6689">
      <c r="C6689" s="41"/>
      <c r="D6689" s="141"/>
      <c r="E6689" s="118"/>
      <c r="F6689" s="126"/>
      <c r="G6689" s="126"/>
      <c r="H6689" s="126"/>
      <c r="I6689" s="126"/>
      <c r="J6689" s="76"/>
      <c r="K6689" s="76"/>
      <c r="L6689" s="76"/>
      <c r="M6689" s="76"/>
      <c r="N6689" s="114"/>
    </row>
    <row r="6690">
      <c r="C6690" s="41"/>
      <c r="D6690" s="142"/>
      <c r="E6690" s="130"/>
      <c r="F6690" s="128"/>
      <c r="G6690" s="128"/>
      <c r="H6690" s="128"/>
      <c r="I6690" s="128"/>
      <c r="J6690" s="81"/>
      <c r="K6690" s="81"/>
      <c r="L6690" s="81"/>
      <c r="M6690" s="81"/>
      <c r="N6690" s="82"/>
    </row>
    <row r="6691">
      <c r="C6691" s="41"/>
      <c r="D6691" s="141"/>
      <c r="E6691" s="118"/>
      <c r="F6691" s="126"/>
      <c r="G6691" s="126"/>
      <c r="H6691" s="126"/>
      <c r="I6691" s="126"/>
      <c r="J6691" s="76"/>
      <c r="K6691" s="76"/>
      <c r="L6691" s="76"/>
      <c r="M6691" s="76"/>
      <c r="N6691" s="114"/>
    </row>
    <row r="6692">
      <c r="C6692" s="41"/>
      <c r="D6692" s="142"/>
      <c r="E6692" s="130"/>
      <c r="F6692" s="128"/>
      <c r="G6692" s="128"/>
      <c r="H6692" s="128"/>
      <c r="I6692" s="128"/>
      <c r="J6692" s="81"/>
      <c r="K6692" s="81"/>
      <c r="L6692" s="81"/>
      <c r="M6692" s="81"/>
      <c r="N6692" s="82"/>
    </row>
    <row r="6693">
      <c r="C6693" s="41"/>
      <c r="D6693" s="141"/>
      <c r="E6693" s="118"/>
      <c r="F6693" s="126"/>
      <c r="G6693" s="126"/>
      <c r="H6693" s="126"/>
      <c r="I6693" s="126"/>
      <c r="J6693" s="76"/>
      <c r="K6693" s="76"/>
      <c r="L6693" s="76"/>
      <c r="M6693" s="76"/>
      <c r="N6693" s="114"/>
    </row>
    <row r="6694">
      <c r="C6694" s="41"/>
      <c r="D6694" s="142"/>
      <c r="E6694" s="130"/>
      <c r="F6694" s="128"/>
      <c r="G6694" s="128"/>
      <c r="H6694" s="128"/>
      <c r="I6694" s="128"/>
      <c r="J6694" s="81"/>
      <c r="K6694" s="81"/>
      <c r="L6694" s="81"/>
      <c r="M6694" s="81"/>
      <c r="N6694" s="82"/>
    </row>
    <row r="6695">
      <c r="C6695" s="41"/>
      <c r="D6695" s="141"/>
      <c r="E6695" s="118"/>
      <c r="F6695" s="126"/>
      <c r="G6695" s="126"/>
      <c r="H6695" s="126"/>
      <c r="I6695" s="126"/>
      <c r="J6695" s="76"/>
      <c r="K6695" s="76"/>
      <c r="L6695" s="76"/>
      <c r="M6695" s="76"/>
      <c r="N6695" s="114"/>
    </row>
    <row r="6696">
      <c r="C6696" s="41"/>
      <c r="D6696" s="142"/>
      <c r="E6696" s="130"/>
      <c r="F6696" s="128"/>
      <c r="G6696" s="128"/>
      <c r="H6696" s="128"/>
      <c r="I6696" s="128"/>
      <c r="J6696" s="81"/>
      <c r="K6696" s="81"/>
      <c r="L6696" s="81"/>
      <c r="M6696" s="81"/>
      <c r="N6696" s="82"/>
    </row>
    <row r="6697">
      <c r="C6697" s="41"/>
      <c r="D6697" s="141"/>
      <c r="E6697" s="118"/>
      <c r="F6697" s="126"/>
      <c r="G6697" s="126"/>
      <c r="H6697" s="126"/>
      <c r="I6697" s="126"/>
      <c r="J6697" s="76"/>
      <c r="K6697" s="76"/>
      <c r="L6697" s="76"/>
      <c r="M6697" s="76"/>
      <c r="N6697" s="114"/>
    </row>
    <row r="6698">
      <c r="C6698" s="41"/>
      <c r="D6698" s="142"/>
      <c r="E6698" s="130"/>
      <c r="F6698" s="128"/>
      <c r="G6698" s="128"/>
      <c r="H6698" s="128"/>
      <c r="I6698" s="128"/>
      <c r="J6698" s="81"/>
      <c r="K6698" s="81"/>
      <c r="L6698" s="81"/>
      <c r="M6698" s="81"/>
      <c r="N6698" s="82"/>
    </row>
    <row r="6699">
      <c r="C6699" s="41"/>
      <c r="D6699" s="141"/>
      <c r="E6699" s="118"/>
      <c r="F6699" s="126"/>
      <c r="G6699" s="126"/>
      <c r="H6699" s="126"/>
      <c r="I6699" s="126"/>
      <c r="J6699" s="76"/>
      <c r="K6699" s="76"/>
      <c r="L6699" s="76"/>
      <c r="M6699" s="76"/>
      <c r="N6699" s="114"/>
    </row>
    <row r="6700">
      <c r="C6700" s="41"/>
      <c r="D6700" s="142"/>
      <c r="E6700" s="130"/>
      <c r="F6700" s="128"/>
      <c r="G6700" s="128"/>
      <c r="H6700" s="128"/>
      <c r="I6700" s="128"/>
      <c r="J6700" s="81"/>
      <c r="K6700" s="81"/>
      <c r="L6700" s="81"/>
      <c r="M6700" s="81"/>
      <c r="N6700" s="82"/>
    </row>
    <row r="6701">
      <c r="C6701" s="41"/>
      <c r="D6701" s="141"/>
      <c r="E6701" s="118"/>
      <c r="F6701" s="126"/>
      <c r="G6701" s="126"/>
      <c r="H6701" s="126"/>
      <c r="I6701" s="126"/>
      <c r="J6701" s="76"/>
      <c r="K6701" s="76"/>
      <c r="L6701" s="76"/>
      <c r="M6701" s="76"/>
      <c r="N6701" s="114"/>
    </row>
    <row r="6702">
      <c r="C6702" s="41"/>
      <c r="D6702" s="142"/>
      <c r="E6702" s="130"/>
      <c r="F6702" s="128"/>
      <c r="G6702" s="128"/>
      <c r="H6702" s="128"/>
      <c r="I6702" s="128"/>
      <c r="J6702" s="81"/>
      <c r="K6702" s="81"/>
      <c r="L6702" s="81"/>
      <c r="M6702" s="81"/>
      <c r="N6702" s="82"/>
    </row>
    <row r="6703">
      <c r="C6703" s="41"/>
      <c r="D6703" s="141"/>
      <c r="E6703" s="118"/>
      <c r="F6703" s="126"/>
      <c r="G6703" s="126"/>
      <c r="H6703" s="126"/>
      <c r="I6703" s="126"/>
      <c r="J6703" s="76"/>
      <c r="K6703" s="76"/>
      <c r="L6703" s="76"/>
      <c r="M6703" s="76"/>
      <c r="N6703" s="114"/>
    </row>
    <row r="6704">
      <c r="C6704" s="41"/>
      <c r="D6704" s="142"/>
      <c r="E6704" s="130"/>
      <c r="F6704" s="128"/>
      <c r="G6704" s="128"/>
      <c r="H6704" s="128"/>
      <c r="I6704" s="128"/>
      <c r="J6704" s="81"/>
      <c r="K6704" s="81"/>
      <c r="L6704" s="81"/>
      <c r="M6704" s="81"/>
      <c r="N6704" s="82"/>
    </row>
    <row r="6705">
      <c r="C6705" s="41"/>
      <c r="D6705" s="141"/>
      <c r="E6705" s="118"/>
      <c r="F6705" s="126"/>
      <c r="G6705" s="126"/>
      <c r="H6705" s="126"/>
      <c r="I6705" s="126"/>
      <c r="J6705" s="76"/>
      <c r="K6705" s="76"/>
      <c r="L6705" s="76"/>
      <c r="M6705" s="76"/>
      <c r="N6705" s="114"/>
    </row>
    <row r="6706">
      <c r="C6706" s="41"/>
      <c r="D6706" s="142"/>
      <c r="E6706" s="130"/>
      <c r="F6706" s="128"/>
      <c r="G6706" s="128"/>
      <c r="H6706" s="128"/>
      <c r="I6706" s="128"/>
      <c r="J6706" s="81"/>
      <c r="K6706" s="81"/>
      <c r="L6706" s="81"/>
      <c r="M6706" s="81"/>
      <c r="N6706" s="82"/>
    </row>
    <row r="6707">
      <c r="C6707" s="41"/>
      <c r="D6707" s="141"/>
      <c r="E6707" s="118"/>
      <c r="F6707" s="126"/>
      <c r="G6707" s="126"/>
      <c r="H6707" s="126"/>
      <c r="I6707" s="126"/>
      <c r="J6707" s="76"/>
      <c r="K6707" s="76"/>
      <c r="L6707" s="76"/>
      <c r="M6707" s="76"/>
      <c r="N6707" s="114"/>
    </row>
    <row r="6708">
      <c r="C6708" s="41"/>
      <c r="D6708" s="142"/>
      <c r="E6708" s="130"/>
      <c r="F6708" s="128"/>
      <c r="G6708" s="128"/>
      <c r="H6708" s="128"/>
      <c r="I6708" s="128"/>
      <c r="J6708" s="81"/>
      <c r="K6708" s="81"/>
      <c r="L6708" s="81"/>
      <c r="M6708" s="81"/>
      <c r="N6708" s="82"/>
    </row>
    <row r="6709">
      <c r="C6709" s="41"/>
      <c r="D6709" s="141"/>
      <c r="E6709" s="118"/>
      <c r="F6709" s="126"/>
      <c r="G6709" s="126"/>
      <c r="H6709" s="126"/>
      <c r="I6709" s="126"/>
      <c r="J6709" s="76"/>
      <c r="K6709" s="76"/>
      <c r="L6709" s="76"/>
      <c r="M6709" s="76"/>
      <c r="N6709" s="114"/>
    </row>
    <row r="6710">
      <c r="C6710" s="41"/>
      <c r="D6710" s="142"/>
      <c r="E6710" s="130"/>
      <c r="F6710" s="128"/>
      <c r="G6710" s="128"/>
      <c r="H6710" s="128"/>
      <c r="I6710" s="128"/>
      <c r="J6710" s="81"/>
      <c r="K6710" s="81"/>
      <c r="L6710" s="81"/>
      <c r="M6710" s="81"/>
      <c r="N6710" s="82"/>
    </row>
    <row r="6711">
      <c r="C6711" s="41"/>
      <c r="D6711" s="141"/>
      <c r="E6711" s="118"/>
      <c r="F6711" s="126"/>
      <c r="G6711" s="126"/>
      <c r="H6711" s="126"/>
      <c r="I6711" s="126"/>
      <c r="J6711" s="76"/>
      <c r="K6711" s="76"/>
      <c r="L6711" s="76"/>
      <c r="M6711" s="76"/>
      <c r="N6711" s="114"/>
    </row>
    <row r="6712">
      <c r="C6712" s="41"/>
      <c r="D6712" s="142"/>
      <c r="E6712" s="130"/>
      <c r="F6712" s="128"/>
      <c r="G6712" s="128"/>
      <c r="H6712" s="128"/>
      <c r="I6712" s="128"/>
      <c r="J6712" s="81"/>
      <c r="K6712" s="81"/>
      <c r="L6712" s="81"/>
      <c r="M6712" s="81"/>
      <c r="N6712" s="82"/>
    </row>
    <row r="6713">
      <c r="C6713" s="41"/>
      <c r="D6713" s="141"/>
      <c r="E6713" s="118"/>
      <c r="F6713" s="126"/>
      <c r="G6713" s="126"/>
      <c r="H6713" s="126"/>
      <c r="I6713" s="126"/>
      <c r="J6713" s="76"/>
      <c r="K6713" s="76"/>
      <c r="L6713" s="76"/>
      <c r="M6713" s="76"/>
      <c r="N6713" s="114"/>
    </row>
    <row r="6714">
      <c r="C6714" s="41"/>
      <c r="D6714" s="142"/>
      <c r="E6714" s="130"/>
      <c r="F6714" s="128"/>
      <c r="G6714" s="128"/>
      <c r="H6714" s="128"/>
      <c r="I6714" s="128"/>
      <c r="J6714" s="81"/>
      <c r="K6714" s="81"/>
      <c r="L6714" s="81"/>
      <c r="M6714" s="81"/>
      <c r="N6714" s="82"/>
    </row>
    <row r="6715">
      <c r="C6715" s="41"/>
      <c r="D6715" s="141"/>
      <c r="E6715" s="118"/>
      <c r="F6715" s="126"/>
      <c r="G6715" s="126"/>
      <c r="H6715" s="126"/>
      <c r="I6715" s="126"/>
      <c r="J6715" s="76"/>
      <c r="K6715" s="76"/>
      <c r="L6715" s="76"/>
      <c r="M6715" s="76"/>
      <c r="N6715" s="114"/>
    </row>
    <row r="6716">
      <c r="C6716" s="41"/>
      <c r="D6716" s="142"/>
      <c r="E6716" s="130"/>
      <c r="F6716" s="128"/>
      <c r="G6716" s="128"/>
      <c r="H6716" s="128"/>
      <c r="I6716" s="128"/>
      <c r="J6716" s="81"/>
      <c r="K6716" s="81"/>
      <c r="L6716" s="81"/>
      <c r="M6716" s="81"/>
      <c r="N6716" s="82"/>
    </row>
    <row r="6717">
      <c r="C6717" s="41"/>
      <c r="D6717" s="141"/>
      <c r="E6717" s="118"/>
      <c r="F6717" s="126"/>
      <c r="G6717" s="126"/>
      <c r="H6717" s="126"/>
      <c r="I6717" s="126"/>
      <c r="J6717" s="76"/>
      <c r="K6717" s="76"/>
      <c r="L6717" s="76"/>
      <c r="M6717" s="76"/>
      <c r="N6717" s="114"/>
    </row>
    <row r="6718">
      <c r="C6718" s="41"/>
      <c r="D6718" s="142"/>
      <c r="E6718" s="130"/>
      <c r="F6718" s="128"/>
      <c r="G6718" s="128"/>
      <c r="H6718" s="128"/>
      <c r="I6718" s="128"/>
      <c r="J6718" s="81"/>
      <c r="K6718" s="81"/>
      <c r="L6718" s="81"/>
      <c r="M6718" s="81"/>
      <c r="N6718" s="82"/>
    </row>
    <row r="6719">
      <c r="C6719" s="41"/>
      <c r="D6719" s="141"/>
      <c r="E6719" s="118"/>
      <c r="F6719" s="126"/>
      <c r="G6719" s="126"/>
      <c r="H6719" s="126"/>
      <c r="I6719" s="126"/>
      <c r="J6719" s="76"/>
      <c r="K6719" s="76"/>
      <c r="L6719" s="76"/>
      <c r="M6719" s="76"/>
      <c r="N6719" s="114"/>
    </row>
    <row r="6720">
      <c r="C6720" s="41"/>
      <c r="D6720" s="142"/>
      <c r="E6720" s="130"/>
      <c r="F6720" s="128"/>
      <c r="G6720" s="128"/>
      <c r="H6720" s="128"/>
      <c r="I6720" s="128"/>
      <c r="J6720" s="81"/>
      <c r="K6720" s="81"/>
      <c r="L6720" s="81"/>
      <c r="M6720" s="81"/>
      <c r="N6720" s="82"/>
    </row>
    <row r="6721">
      <c r="C6721" s="41"/>
      <c r="D6721" s="141"/>
      <c r="E6721" s="118"/>
      <c r="F6721" s="126"/>
      <c r="G6721" s="126"/>
      <c r="H6721" s="126"/>
      <c r="I6721" s="126"/>
      <c r="J6721" s="76"/>
      <c r="K6721" s="76"/>
      <c r="L6721" s="76"/>
      <c r="M6721" s="76"/>
      <c r="N6721" s="114"/>
    </row>
    <row r="6722">
      <c r="C6722" s="41"/>
      <c r="D6722" s="142"/>
      <c r="E6722" s="130"/>
      <c r="F6722" s="128"/>
      <c r="G6722" s="128"/>
      <c r="H6722" s="128"/>
      <c r="I6722" s="128"/>
      <c r="J6722" s="81"/>
      <c r="K6722" s="81"/>
      <c r="L6722" s="81"/>
      <c r="M6722" s="81"/>
      <c r="N6722" s="82"/>
    </row>
    <row r="6723">
      <c r="C6723" s="41"/>
      <c r="D6723" s="141"/>
      <c r="E6723" s="118"/>
      <c r="F6723" s="126"/>
      <c r="G6723" s="126"/>
      <c r="H6723" s="126"/>
      <c r="I6723" s="126"/>
      <c r="J6723" s="76"/>
      <c r="K6723" s="76"/>
      <c r="L6723" s="76"/>
      <c r="M6723" s="76"/>
      <c r="N6723" s="114"/>
    </row>
    <row r="6724">
      <c r="C6724" s="41"/>
      <c r="D6724" s="142"/>
      <c r="E6724" s="130"/>
      <c r="F6724" s="128"/>
      <c r="G6724" s="128"/>
      <c r="H6724" s="128"/>
      <c r="I6724" s="128"/>
      <c r="J6724" s="81"/>
      <c r="K6724" s="81"/>
      <c r="L6724" s="81"/>
      <c r="M6724" s="81"/>
      <c r="N6724" s="82"/>
    </row>
    <row r="6725">
      <c r="C6725" s="41"/>
      <c r="D6725" s="141"/>
      <c r="E6725" s="118"/>
      <c r="F6725" s="126"/>
      <c r="G6725" s="126"/>
      <c r="H6725" s="126"/>
      <c r="I6725" s="126"/>
      <c r="J6725" s="76"/>
      <c r="K6725" s="76"/>
      <c r="L6725" s="76"/>
      <c r="M6725" s="76"/>
      <c r="N6725" s="114"/>
    </row>
    <row r="6726">
      <c r="C6726" s="41"/>
      <c r="D6726" s="142"/>
      <c r="E6726" s="130"/>
      <c r="F6726" s="128"/>
      <c r="G6726" s="128"/>
      <c r="H6726" s="128"/>
      <c r="I6726" s="128"/>
      <c r="J6726" s="81"/>
      <c r="K6726" s="81"/>
      <c r="L6726" s="81"/>
      <c r="M6726" s="81"/>
      <c r="N6726" s="82"/>
    </row>
    <row r="6727">
      <c r="C6727" s="41"/>
      <c r="D6727" s="141"/>
      <c r="E6727" s="118"/>
      <c r="F6727" s="126"/>
      <c r="G6727" s="126"/>
      <c r="H6727" s="126"/>
      <c r="I6727" s="126"/>
      <c r="J6727" s="76"/>
      <c r="K6727" s="76"/>
      <c r="L6727" s="76"/>
      <c r="M6727" s="76"/>
      <c r="N6727" s="114"/>
    </row>
    <row r="6728">
      <c r="C6728" s="41"/>
      <c r="D6728" s="142"/>
      <c r="E6728" s="130"/>
      <c r="F6728" s="128"/>
      <c r="G6728" s="128"/>
      <c r="H6728" s="128"/>
      <c r="I6728" s="128"/>
      <c r="J6728" s="81"/>
      <c r="K6728" s="81"/>
      <c r="L6728" s="81"/>
      <c r="M6728" s="81"/>
      <c r="N6728" s="82"/>
    </row>
    <row r="6729">
      <c r="C6729" s="41"/>
      <c r="D6729" s="141"/>
      <c r="E6729" s="118"/>
      <c r="F6729" s="126"/>
      <c r="G6729" s="126"/>
      <c r="H6729" s="126"/>
      <c r="I6729" s="126"/>
      <c r="J6729" s="76"/>
      <c r="K6729" s="76"/>
      <c r="L6729" s="76"/>
      <c r="M6729" s="76"/>
      <c r="N6729" s="114"/>
    </row>
    <row r="6730">
      <c r="C6730" s="41"/>
      <c r="D6730" s="142"/>
      <c r="E6730" s="130"/>
      <c r="F6730" s="128"/>
      <c r="G6730" s="128"/>
      <c r="H6730" s="128"/>
      <c r="I6730" s="128"/>
      <c r="J6730" s="81"/>
      <c r="K6730" s="81"/>
      <c r="L6730" s="81"/>
      <c r="M6730" s="81"/>
      <c r="N6730" s="82"/>
    </row>
    <row r="6731">
      <c r="C6731" s="41"/>
      <c r="D6731" s="141"/>
      <c r="E6731" s="118"/>
      <c r="F6731" s="126"/>
      <c r="G6731" s="126"/>
      <c r="H6731" s="126"/>
      <c r="I6731" s="126"/>
      <c r="J6731" s="76"/>
      <c r="K6731" s="76"/>
      <c r="L6731" s="76"/>
      <c r="M6731" s="76"/>
      <c r="N6731" s="114"/>
    </row>
    <row r="6732">
      <c r="C6732" s="41"/>
      <c r="D6732" s="142"/>
      <c r="E6732" s="130"/>
      <c r="F6732" s="128"/>
      <c r="G6732" s="128"/>
      <c r="H6732" s="128"/>
      <c r="I6732" s="128"/>
      <c r="J6732" s="81"/>
      <c r="K6732" s="81"/>
      <c r="L6732" s="81"/>
      <c r="M6732" s="81"/>
      <c r="N6732" s="82"/>
    </row>
    <row r="6733">
      <c r="C6733" s="41"/>
      <c r="D6733" s="141"/>
      <c r="E6733" s="118"/>
      <c r="F6733" s="126"/>
      <c r="G6733" s="126"/>
      <c r="H6733" s="126"/>
      <c r="I6733" s="126"/>
      <c r="J6733" s="76"/>
      <c r="K6733" s="76"/>
      <c r="L6733" s="76"/>
      <c r="M6733" s="76"/>
      <c r="N6733" s="114"/>
    </row>
    <row r="6734">
      <c r="C6734" s="41"/>
      <c r="D6734" s="142"/>
      <c r="E6734" s="130"/>
      <c r="F6734" s="128"/>
      <c r="G6734" s="128"/>
      <c r="H6734" s="128"/>
      <c r="I6734" s="128"/>
      <c r="J6734" s="81"/>
      <c r="K6734" s="81"/>
      <c r="L6734" s="81"/>
      <c r="M6734" s="81"/>
      <c r="N6734" s="82"/>
    </row>
    <row r="6735">
      <c r="C6735" s="41"/>
      <c r="D6735" s="141"/>
      <c r="E6735" s="118"/>
      <c r="F6735" s="126"/>
      <c r="G6735" s="126"/>
      <c r="H6735" s="126"/>
      <c r="I6735" s="126"/>
      <c r="J6735" s="76"/>
      <c r="K6735" s="76"/>
      <c r="L6735" s="76"/>
      <c r="M6735" s="76"/>
      <c r="N6735" s="114"/>
    </row>
    <row r="6736">
      <c r="C6736" s="41"/>
      <c r="D6736" s="142"/>
      <c r="E6736" s="130"/>
      <c r="F6736" s="128"/>
      <c r="G6736" s="128"/>
      <c r="H6736" s="128"/>
      <c r="I6736" s="128"/>
      <c r="J6736" s="81"/>
      <c r="K6736" s="81"/>
      <c r="L6736" s="81"/>
      <c r="M6736" s="81"/>
      <c r="N6736" s="82"/>
    </row>
    <row r="6737">
      <c r="C6737" s="41"/>
      <c r="D6737" s="141"/>
      <c r="E6737" s="118"/>
      <c r="F6737" s="126"/>
      <c r="G6737" s="126"/>
      <c r="H6737" s="126"/>
      <c r="I6737" s="126"/>
      <c r="J6737" s="76"/>
      <c r="K6737" s="76"/>
      <c r="L6737" s="76"/>
      <c r="M6737" s="76"/>
      <c r="N6737" s="114"/>
    </row>
    <row r="6738">
      <c r="C6738" s="41"/>
      <c r="D6738" s="142"/>
      <c r="E6738" s="130"/>
      <c r="F6738" s="128"/>
      <c r="G6738" s="128"/>
      <c r="H6738" s="128"/>
      <c r="I6738" s="128"/>
      <c r="J6738" s="81"/>
      <c r="K6738" s="81"/>
      <c r="L6738" s="81"/>
      <c r="M6738" s="81"/>
      <c r="N6738" s="82"/>
    </row>
    <row r="6739">
      <c r="C6739" s="41"/>
      <c r="D6739" s="141"/>
      <c r="E6739" s="118"/>
      <c r="F6739" s="126"/>
      <c r="G6739" s="126"/>
      <c r="H6739" s="126"/>
      <c r="I6739" s="126"/>
      <c r="J6739" s="76"/>
      <c r="K6739" s="76"/>
      <c r="L6739" s="76"/>
      <c r="M6739" s="76"/>
      <c r="N6739" s="114"/>
    </row>
    <row r="6740">
      <c r="C6740" s="41"/>
      <c r="D6740" s="142"/>
      <c r="E6740" s="130"/>
      <c r="F6740" s="128"/>
      <c r="G6740" s="128"/>
      <c r="H6740" s="128"/>
      <c r="I6740" s="128"/>
      <c r="J6740" s="81"/>
      <c r="K6740" s="81"/>
      <c r="L6740" s="81"/>
      <c r="M6740" s="81"/>
      <c r="N6740" s="82"/>
    </row>
    <row r="6741">
      <c r="C6741" s="41"/>
      <c r="D6741" s="141"/>
      <c r="E6741" s="118"/>
      <c r="F6741" s="126"/>
      <c r="G6741" s="126"/>
      <c r="H6741" s="126"/>
      <c r="I6741" s="126"/>
      <c r="J6741" s="76"/>
      <c r="K6741" s="76"/>
      <c r="L6741" s="76"/>
      <c r="M6741" s="76"/>
      <c r="N6741" s="114"/>
    </row>
    <row r="6742">
      <c r="C6742" s="41"/>
      <c r="D6742" s="142"/>
      <c r="E6742" s="130"/>
      <c r="F6742" s="128"/>
      <c r="G6742" s="128"/>
      <c r="H6742" s="128"/>
      <c r="I6742" s="128"/>
      <c r="J6742" s="81"/>
      <c r="K6742" s="81"/>
      <c r="L6742" s="81"/>
      <c r="M6742" s="81"/>
      <c r="N6742" s="82"/>
    </row>
    <row r="6743">
      <c r="C6743" s="41"/>
      <c r="D6743" s="141"/>
      <c r="E6743" s="118"/>
      <c r="F6743" s="126"/>
      <c r="G6743" s="126"/>
      <c r="H6743" s="126"/>
      <c r="I6743" s="126"/>
      <c r="J6743" s="76"/>
      <c r="K6743" s="76"/>
      <c r="L6743" s="76"/>
      <c r="M6743" s="76"/>
      <c r="N6743" s="114"/>
    </row>
    <row r="6744">
      <c r="C6744" s="41"/>
      <c r="D6744" s="142"/>
      <c r="E6744" s="130"/>
      <c r="F6744" s="128"/>
      <c r="G6744" s="128"/>
      <c r="H6744" s="128"/>
      <c r="I6744" s="128"/>
      <c r="J6744" s="81"/>
      <c r="K6744" s="81"/>
      <c r="L6744" s="81"/>
      <c r="M6744" s="81"/>
      <c r="N6744" s="82"/>
    </row>
    <row r="6745">
      <c r="C6745" s="41"/>
      <c r="D6745" s="141"/>
      <c r="E6745" s="118"/>
      <c r="F6745" s="126"/>
      <c r="G6745" s="126"/>
      <c r="H6745" s="126"/>
      <c r="I6745" s="126"/>
      <c r="J6745" s="76"/>
      <c r="K6745" s="76"/>
      <c r="L6745" s="76"/>
      <c r="M6745" s="76"/>
      <c r="N6745" s="114"/>
    </row>
    <row r="6746">
      <c r="C6746" s="41"/>
      <c r="D6746" s="142"/>
      <c r="E6746" s="130"/>
      <c r="F6746" s="128"/>
      <c r="G6746" s="128"/>
      <c r="H6746" s="128"/>
      <c r="I6746" s="128"/>
      <c r="J6746" s="81"/>
      <c r="K6746" s="81"/>
      <c r="L6746" s="81"/>
      <c r="M6746" s="81"/>
      <c r="N6746" s="82"/>
    </row>
    <row r="6747">
      <c r="C6747" s="41"/>
      <c r="D6747" s="141"/>
      <c r="E6747" s="118"/>
      <c r="F6747" s="126"/>
      <c r="G6747" s="126"/>
      <c r="H6747" s="126"/>
      <c r="I6747" s="126"/>
      <c r="J6747" s="76"/>
      <c r="K6747" s="76"/>
      <c r="L6747" s="76"/>
      <c r="M6747" s="76"/>
      <c r="N6747" s="114"/>
    </row>
    <row r="6748">
      <c r="C6748" s="41"/>
      <c r="D6748" s="142"/>
      <c r="E6748" s="130"/>
      <c r="F6748" s="128"/>
      <c r="G6748" s="128"/>
      <c r="H6748" s="128"/>
      <c r="I6748" s="128"/>
      <c r="J6748" s="81"/>
      <c r="K6748" s="81"/>
      <c r="L6748" s="81"/>
      <c r="M6748" s="81"/>
      <c r="N6748" s="82"/>
    </row>
    <row r="6749">
      <c r="C6749" s="41"/>
      <c r="D6749" s="141"/>
      <c r="E6749" s="118"/>
      <c r="F6749" s="126"/>
      <c r="G6749" s="126"/>
      <c r="H6749" s="126"/>
      <c r="I6749" s="126"/>
      <c r="J6749" s="76"/>
      <c r="K6749" s="76"/>
      <c r="L6749" s="76"/>
      <c r="M6749" s="76"/>
      <c r="N6749" s="114"/>
    </row>
    <row r="6750">
      <c r="C6750" s="41"/>
      <c r="D6750" s="142"/>
      <c r="E6750" s="130"/>
      <c r="F6750" s="128"/>
      <c r="G6750" s="128"/>
      <c r="H6750" s="128"/>
      <c r="I6750" s="128"/>
      <c r="J6750" s="81"/>
      <c r="K6750" s="81"/>
      <c r="L6750" s="81"/>
      <c r="M6750" s="81"/>
      <c r="N6750" s="82"/>
    </row>
    <row r="6751">
      <c r="C6751" s="41"/>
      <c r="D6751" s="141"/>
      <c r="E6751" s="118"/>
      <c r="F6751" s="126"/>
      <c r="G6751" s="126"/>
      <c r="H6751" s="126"/>
      <c r="I6751" s="126"/>
      <c r="J6751" s="76"/>
      <c r="K6751" s="76"/>
      <c r="L6751" s="76"/>
      <c r="M6751" s="76"/>
      <c r="N6751" s="114"/>
    </row>
    <row r="6752">
      <c r="C6752" s="41"/>
      <c r="D6752" s="142"/>
      <c r="E6752" s="130"/>
      <c r="F6752" s="128"/>
      <c r="G6752" s="128"/>
      <c r="H6752" s="128"/>
      <c r="I6752" s="128"/>
      <c r="J6752" s="81"/>
      <c r="K6752" s="81"/>
      <c r="L6752" s="81"/>
      <c r="M6752" s="81"/>
      <c r="N6752" s="82"/>
    </row>
    <row r="6753">
      <c r="C6753" s="41"/>
      <c r="D6753" s="141"/>
      <c r="E6753" s="118"/>
      <c r="F6753" s="126"/>
      <c r="G6753" s="126"/>
      <c r="H6753" s="126"/>
      <c r="I6753" s="126"/>
      <c r="J6753" s="76"/>
      <c r="K6753" s="76"/>
      <c r="L6753" s="76"/>
      <c r="M6753" s="76"/>
      <c r="N6753" s="114"/>
    </row>
    <row r="6754">
      <c r="C6754" s="41"/>
      <c r="D6754" s="142"/>
      <c r="E6754" s="130"/>
      <c r="F6754" s="128"/>
      <c r="G6754" s="128"/>
      <c r="H6754" s="128"/>
      <c r="I6754" s="128"/>
      <c r="J6754" s="81"/>
      <c r="K6754" s="81"/>
      <c r="L6754" s="81"/>
      <c r="M6754" s="81"/>
      <c r="N6754" s="82"/>
    </row>
    <row r="6755">
      <c r="C6755" s="41"/>
      <c r="D6755" s="141"/>
      <c r="E6755" s="118"/>
      <c r="F6755" s="126"/>
      <c r="G6755" s="126"/>
      <c r="H6755" s="126"/>
      <c r="I6755" s="126"/>
      <c r="J6755" s="76"/>
      <c r="K6755" s="76"/>
      <c r="L6755" s="76"/>
      <c r="M6755" s="76"/>
      <c r="N6755" s="114"/>
    </row>
    <row r="6756">
      <c r="C6756" s="41"/>
      <c r="D6756" s="142"/>
      <c r="E6756" s="130"/>
      <c r="F6756" s="128"/>
      <c r="G6756" s="128"/>
      <c r="H6756" s="128"/>
      <c r="I6756" s="128"/>
      <c r="J6756" s="81"/>
      <c r="K6756" s="81"/>
      <c r="L6756" s="81"/>
      <c r="M6756" s="81"/>
      <c r="N6756" s="82"/>
    </row>
    <row r="6757">
      <c r="C6757" s="41"/>
      <c r="D6757" s="141"/>
      <c r="E6757" s="118"/>
      <c r="F6757" s="126"/>
      <c r="G6757" s="126"/>
      <c r="H6757" s="126"/>
      <c r="I6757" s="126"/>
      <c r="J6757" s="76"/>
      <c r="K6757" s="76"/>
      <c r="L6757" s="76"/>
      <c r="M6757" s="76"/>
      <c r="N6757" s="114"/>
    </row>
    <row r="6758">
      <c r="C6758" s="41"/>
      <c r="D6758" s="142"/>
      <c r="E6758" s="130"/>
      <c r="F6758" s="128"/>
      <c r="G6758" s="128"/>
      <c r="H6758" s="128"/>
      <c r="I6758" s="128"/>
      <c r="J6758" s="81"/>
      <c r="K6758" s="81"/>
      <c r="L6758" s="81"/>
      <c r="M6758" s="81"/>
      <c r="N6758" s="82"/>
    </row>
    <row r="6759">
      <c r="C6759" s="41"/>
      <c r="D6759" s="141"/>
      <c r="E6759" s="118"/>
      <c r="F6759" s="126"/>
      <c r="G6759" s="126"/>
      <c r="H6759" s="126"/>
      <c r="I6759" s="126"/>
      <c r="J6759" s="76"/>
      <c r="K6759" s="76"/>
      <c r="L6759" s="76"/>
      <c r="M6759" s="76"/>
      <c r="N6759" s="114"/>
    </row>
    <row r="6760">
      <c r="C6760" s="41"/>
      <c r="D6760" s="142"/>
      <c r="E6760" s="130"/>
      <c r="F6760" s="128"/>
      <c r="G6760" s="128"/>
      <c r="H6760" s="128"/>
      <c r="I6760" s="128"/>
      <c r="J6760" s="81"/>
      <c r="K6760" s="81"/>
      <c r="L6760" s="81"/>
      <c r="M6760" s="81"/>
      <c r="N6760" s="82"/>
    </row>
    <row r="6761">
      <c r="C6761" s="41"/>
      <c r="D6761" s="141"/>
      <c r="E6761" s="118"/>
      <c r="F6761" s="126"/>
      <c r="G6761" s="126"/>
      <c r="H6761" s="126"/>
      <c r="I6761" s="126"/>
      <c r="J6761" s="76"/>
      <c r="K6761" s="76"/>
      <c r="L6761" s="76"/>
      <c r="M6761" s="76"/>
      <c r="N6761" s="114"/>
    </row>
    <row r="6762">
      <c r="C6762" s="41"/>
      <c r="D6762" s="142"/>
      <c r="E6762" s="130"/>
      <c r="F6762" s="128"/>
      <c r="G6762" s="128"/>
      <c r="H6762" s="128"/>
      <c r="I6762" s="128"/>
      <c r="J6762" s="81"/>
      <c r="K6762" s="81"/>
      <c r="L6762" s="81"/>
      <c r="M6762" s="81"/>
      <c r="N6762" s="82"/>
    </row>
    <row r="6763">
      <c r="C6763" s="41"/>
      <c r="D6763" s="141"/>
      <c r="E6763" s="118"/>
      <c r="F6763" s="126"/>
      <c r="G6763" s="126"/>
      <c r="H6763" s="126"/>
      <c r="I6763" s="126"/>
      <c r="J6763" s="76"/>
      <c r="K6763" s="76"/>
      <c r="L6763" s="76"/>
      <c r="M6763" s="76"/>
      <c r="N6763" s="114"/>
    </row>
    <row r="6764">
      <c r="C6764" s="41"/>
      <c r="D6764" s="142"/>
      <c r="E6764" s="130"/>
      <c r="F6764" s="128"/>
      <c r="G6764" s="128"/>
      <c r="H6764" s="128"/>
      <c r="I6764" s="128"/>
      <c r="J6764" s="81"/>
      <c r="K6764" s="81"/>
      <c r="L6764" s="81"/>
      <c r="M6764" s="81"/>
      <c r="N6764" s="82"/>
    </row>
    <row r="6765">
      <c r="C6765" s="41"/>
      <c r="D6765" s="141"/>
      <c r="E6765" s="118"/>
      <c r="F6765" s="126"/>
      <c r="G6765" s="126"/>
      <c r="H6765" s="126"/>
      <c r="I6765" s="126"/>
      <c r="J6765" s="76"/>
      <c r="K6765" s="76"/>
      <c r="L6765" s="76"/>
      <c r="M6765" s="76"/>
      <c r="N6765" s="114"/>
    </row>
    <row r="6766">
      <c r="C6766" s="41"/>
      <c r="D6766" s="142"/>
      <c r="E6766" s="130"/>
      <c r="F6766" s="128"/>
      <c r="G6766" s="128"/>
      <c r="H6766" s="128"/>
      <c r="I6766" s="128"/>
      <c r="J6766" s="81"/>
      <c r="K6766" s="81"/>
      <c r="L6766" s="81"/>
      <c r="M6766" s="81"/>
      <c r="N6766" s="82"/>
    </row>
    <row r="6767">
      <c r="C6767" s="41"/>
      <c r="D6767" s="141"/>
      <c r="E6767" s="118"/>
      <c r="F6767" s="126"/>
      <c r="G6767" s="126"/>
      <c r="H6767" s="126"/>
      <c r="I6767" s="126"/>
      <c r="J6767" s="76"/>
      <c r="K6767" s="76"/>
      <c r="L6767" s="76"/>
      <c r="M6767" s="76"/>
      <c r="N6767" s="114"/>
    </row>
    <row r="6768">
      <c r="C6768" s="41"/>
      <c r="D6768" s="142"/>
      <c r="E6768" s="130"/>
      <c r="F6768" s="128"/>
      <c r="G6768" s="128"/>
      <c r="H6768" s="128"/>
      <c r="I6768" s="128"/>
      <c r="J6768" s="81"/>
      <c r="K6768" s="81"/>
      <c r="L6768" s="81"/>
      <c r="M6768" s="81"/>
      <c r="N6768" s="82"/>
    </row>
    <row r="6769">
      <c r="C6769" s="41"/>
      <c r="D6769" s="141"/>
      <c r="E6769" s="118"/>
      <c r="F6769" s="126"/>
      <c r="G6769" s="126"/>
      <c r="H6769" s="126"/>
      <c r="I6769" s="126"/>
      <c r="J6769" s="76"/>
      <c r="K6769" s="76"/>
      <c r="L6769" s="76"/>
      <c r="M6769" s="76"/>
      <c r="N6769" s="114"/>
    </row>
    <row r="6770">
      <c r="C6770" s="41"/>
      <c r="D6770" s="142"/>
      <c r="E6770" s="130"/>
      <c r="F6770" s="128"/>
      <c r="G6770" s="128"/>
      <c r="H6770" s="128"/>
      <c r="I6770" s="128"/>
      <c r="J6770" s="81"/>
      <c r="K6770" s="81"/>
      <c r="L6770" s="81"/>
      <c r="M6770" s="81"/>
      <c r="N6770" s="82"/>
    </row>
    <row r="6771">
      <c r="C6771" s="41"/>
      <c r="D6771" s="141"/>
      <c r="E6771" s="118"/>
      <c r="F6771" s="126"/>
      <c r="G6771" s="126"/>
      <c r="H6771" s="126"/>
      <c r="I6771" s="126"/>
      <c r="J6771" s="76"/>
      <c r="K6771" s="76"/>
      <c r="L6771" s="76"/>
      <c r="M6771" s="76"/>
      <c r="N6771" s="114"/>
    </row>
    <row r="6772">
      <c r="C6772" s="41"/>
      <c r="D6772" s="142"/>
      <c r="E6772" s="130"/>
      <c r="F6772" s="128"/>
      <c r="G6772" s="128"/>
      <c r="H6772" s="128"/>
      <c r="I6772" s="128"/>
      <c r="J6772" s="81"/>
      <c r="K6772" s="81"/>
      <c r="L6772" s="81"/>
      <c r="M6772" s="81"/>
      <c r="N6772" s="82"/>
    </row>
    <row r="6773">
      <c r="C6773" s="41"/>
      <c r="D6773" s="141"/>
      <c r="E6773" s="118"/>
      <c r="F6773" s="126"/>
      <c r="G6773" s="126"/>
      <c r="H6773" s="126"/>
      <c r="I6773" s="126"/>
      <c r="J6773" s="76"/>
      <c r="K6773" s="76"/>
      <c r="L6773" s="76"/>
      <c r="M6773" s="76"/>
      <c r="N6773" s="114"/>
    </row>
    <row r="6774">
      <c r="C6774" s="41"/>
      <c r="D6774" s="142"/>
      <c r="E6774" s="130"/>
      <c r="F6774" s="128"/>
      <c r="G6774" s="128"/>
      <c r="H6774" s="128"/>
      <c r="I6774" s="128"/>
      <c r="J6774" s="81"/>
      <c r="K6774" s="81"/>
      <c r="L6774" s="81"/>
      <c r="M6774" s="81"/>
      <c r="N6774" s="82"/>
    </row>
    <row r="6775">
      <c r="C6775" s="41"/>
      <c r="D6775" s="141"/>
      <c r="E6775" s="118"/>
      <c r="F6775" s="126"/>
      <c r="G6775" s="126"/>
      <c r="H6775" s="126"/>
      <c r="I6775" s="126"/>
      <c r="J6775" s="76"/>
      <c r="K6775" s="76"/>
      <c r="L6775" s="76"/>
      <c r="M6775" s="76"/>
      <c r="N6775" s="114"/>
    </row>
    <row r="6776">
      <c r="C6776" s="41"/>
      <c r="D6776" s="142"/>
      <c r="E6776" s="130"/>
      <c r="F6776" s="128"/>
      <c r="G6776" s="128"/>
      <c r="H6776" s="128"/>
      <c r="I6776" s="128"/>
      <c r="J6776" s="81"/>
      <c r="K6776" s="81"/>
      <c r="L6776" s="81"/>
      <c r="M6776" s="81"/>
      <c r="N6776" s="82"/>
    </row>
    <row r="6777">
      <c r="C6777" s="41"/>
      <c r="D6777" s="141"/>
      <c r="E6777" s="118"/>
      <c r="F6777" s="126"/>
      <c r="G6777" s="126"/>
      <c r="H6777" s="126"/>
      <c r="I6777" s="126"/>
      <c r="J6777" s="76"/>
      <c r="K6777" s="76"/>
      <c r="L6777" s="76"/>
      <c r="M6777" s="76"/>
      <c r="N6777" s="114"/>
    </row>
    <row r="6778">
      <c r="C6778" s="41"/>
      <c r="D6778" s="142"/>
      <c r="E6778" s="130"/>
      <c r="F6778" s="128"/>
      <c r="G6778" s="128"/>
      <c r="H6778" s="128"/>
      <c r="I6778" s="128"/>
      <c r="J6778" s="81"/>
      <c r="K6778" s="81"/>
      <c r="L6778" s="81"/>
      <c r="M6778" s="81"/>
      <c r="N6778" s="82"/>
    </row>
    <row r="6779">
      <c r="C6779" s="41"/>
      <c r="D6779" s="141"/>
      <c r="E6779" s="118"/>
      <c r="F6779" s="126"/>
      <c r="G6779" s="126"/>
      <c r="H6779" s="126"/>
      <c r="I6779" s="126"/>
      <c r="J6779" s="76"/>
      <c r="K6779" s="76"/>
      <c r="L6779" s="76"/>
      <c r="M6779" s="76"/>
      <c r="N6779" s="114"/>
    </row>
    <row r="6780">
      <c r="C6780" s="41"/>
      <c r="D6780" s="142"/>
      <c r="E6780" s="130"/>
      <c r="F6780" s="128"/>
      <c r="G6780" s="128"/>
      <c r="H6780" s="128"/>
      <c r="I6780" s="128"/>
      <c r="J6780" s="81"/>
      <c r="K6780" s="81"/>
      <c r="L6780" s="81"/>
      <c r="M6780" s="81"/>
      <c r="N6780" s="82"/>
    </row>
    <row r="6781">
      <c r="C6781" s="41"/>
      <c r="D6781" s="141"/>
      <c r="E6781" s="118"/>
      <c r="F6781" s="126"/>
      <c r="G6781" s="126"/>
      <c r="H6781" s="126"/>
      <c r="I6781" s="126"/>
      <c r="J6781" s="76"/>
      <c r="K6781" s="76"/>
      <c r="L6781" s="76"/>
      <c r="M6781" s="76"/>
      <c r="N6781" s="114"/>
    </row>
    <row r="6782">
      <c r="C6782" s="41"/>
      <c r="D6782" s="142"/>
      <c r="E6782" s="130"/>
      <c r="F6782" s="128"/>
      <c r="G6782" s="128"/>
      <c r="H6782" s="128"/>
      <c r="I6782" s="128"/>
      <c r="J6782" s="81"/>
      <c r="K6782" s="81"/>
      <c r="L6782" s="81"/>
      <c r="M6782" s="81"/>
      <c r="N6782" s="82"/>
    </row>
    <row r="6783">
      <c r="C6783" s="41"/>
      <c r="D6783" s="141"/>
      <c r="E6783" s="118"/>
      <c r="F6783" s="126"/>
      <c r="G6783" s="126"/>
      <c r="H6783" s="126"/>
      <c r="I6783" s="126"/>
      <c r="J6783" s="76"/>
      <c r="K6783" s="76"/>
      <c r="L6783" s="76"/>
      <c r="M6783" s="76"/>
      <c r="N6783" s="114"/>
    </row>
    <row r="6784">
      <c r="C6784" s="41"/>
      <c r="D6784" s="142"/>
      <c r="E6784" s="130"/>
      <c r="F6784" s="128"/>
      <c r="G6784" s="128"/>
      <c r="H6784" s="128"/>
      <c r="I6784" s="128"/>
      <c r="J6784" s="81"/>
      <c r="K6784" s="81"/>
      <c r="L6784" s="81"/>
      <c r="M6784" s="81"/>
      <c r="N6784" s="82"/>
    </row>
    <row r="6785">
      <c r="C6785" s="41"/>
      <c r="D6785" s="141"/>
      <c r="E6785" s="118"/>
      <c r="F6785" s="126"/>
      <c r="G6785" s="126"/>
      <c r="H6785" s="126"/>
      <c r="I6785" s="126"/>
      <c r="J6785" s="76"/>
      <c r="K6785" s="76"/>
      <c r="L6785" s="76"/>
      <c r="M6785" s="76"/>
      <c r="N6785" s="114"/>
    </row>
    <row r="6786">
      <c r="C6786" s="41"/>
      <c r="D6786" s="142"/>
      <c r="E6786" s="130"/>
      <c r="F6786" s="128"/>
      <c r="G6786" s="128"/>
      <c r="H6786" s="128"/>
      <c r="I6786" s="128"/>
      <c r="J6786" s="81"/>
      <c r="K6786" s="81"/>
      <c r="L6786" s="81"/>
      <c r="M6786" s="81"/>
      <c r="N6786" s="82"/>
    </row>
    <row r="6787">
      <c r="C6787" s="41"/>
      <c r="D6787" s="141"/>
      <c r="E6787" s="118"/>
      <c r="F6787" s="126"/>
      <c r="G6787" s="126"/>
      <c r="H6787" s="126"/>
      <c r="I6787" s="126"/>
      <c r="J6787" s="76"/>
      <c r="K6787" s="76"/>
      <c r="L6787" s="76"/>
      <c r="M6787" s="76"/>
      <c r="N6787" s="114"/>
    </row>
    <row r="6788">
      <c r="C6788" s="41"/>
      <c r="D6788" s="142"/>
      <c r="E6788" s="130"/>
      <c r="F6788" s="128"/>
      <c r="G6788" s="128"/>
      <c r="H6788" s="128"/>
      <c r="I6788" s="128"/>
      <c r="J6788" s="81"/>
      <c r="K6788" s="81"/>
      <c r="L6788" s="81"/>
      <c r="M6788" s="81"/>
      <c r="N6788" s="82"/>
    </row>
    <row r="6789">
      <c r="C6789" s="41"/>
      <c r="D6789" s="141"/>
      <c r="E6789" s="118"/>
      <c r="F6789" s="126"/>
      <c r="G6789" s="126"/>
      <c r="H6789" s="126"/>
      <c r="I6789" s="126"/>
      <c r="J6789" s="76"/>
      <c r="K6789" s="76"/>
      <c r="L6789" s="76"/>
      <c r="M6789" s="76"/>
      <c r="N6789" s="114"/>
    </row>
    <row r="6790">
      <c r="C6790" s="41"/>
      <c r="D6790" s="142"/>
      <c r="E6790" s="130"/>
      <c r="F6790" s="128"/>
      <c r="G6790" s="128"/>
      <c r="H6790" s="128"/>
      <c r="I6790" s="128"/>
      <c r="J6790" s="81"/>
      <c r="K6790" s="81"/>
      <c r="L6790" s="81"/>
      <c r="M6790" s="81"/>
      <c r="N6790" s="82"/>
    </row>
    <row r="6791">
      <c r="C6791" s="41"/>
      <c r="D6791" s="141"/>
      <c r="E6791" s="118"/>
      <c r="F6791" s="126"/>
      <c r="G6791" s="126"/>
      <c r="H6791" s="126"/>
      <c r="I6791" s="126"/>
      <c r="J6791" s="76"/>
      <c r="K6791" s="76"/>
      <c r="L6791" s="76"/>
      <c r="M6791" s="76"/>
      <c r="N6791" s="114"/>
    </row>
    <row r="6792">
      <c r="C6792" s="41"/>
      <c r="D6792" s="142"/>
      <c r="E6792" s="130"/>
      <c r="F6792" s="128"/>
      <c r="G6792" s="128"/>
      <c r="H6792" s="128"/>
      <c r="I6792" s="128"/>
      <c r="J6792" s="81"/>
      <c r="K6792" s="81"/>
      <c r="L6792" s="81"/>
      <c r="M6792" s="81"/>
      <c r="N6792" s="82"/>
    </row>
    <row r="6793">
      <c r="C6793" s="41"/>
      <c r="D6793" s="141"/>
      <c r="E6793" s="118"/>
      <c r="F6793" s="126"/>
      <c r="G6793" s="126"/>
      <c r="H6793" s="126"/>
      <c r="I6793" s="126"/>
      <c r="J6793" s="76"/>
      <c r="K6793" s="76"/>
      <c r="L6793" s="76"/>
      <c r="M6793" s="76"/>
      <c r="N6793" s="114"/>
    </row>
    <row r="6794">
      <c r="C6794" s="41"/>
      <c r="D6794" s="142"/>
      <c r="E6794" s="130"/>
      <c r="F6794" s="128"/>
      <c r="G6794" s="128"/>
      <c r="H6794" s="128"/>
      <c r="I6794" s="128"/>
      <c r="J6794" s="81"/>
      <c r="K6794" s="81"/>
      <c r="L6794" s="81"/>
      <c r="M6794" s="81"/>
      <c r="N6794" s="82"/>
    </row>
    <row r="6795">
      <c r="C6795" s="41"/>
      <c r="D6795" s="141"/>
      <c r="E6795" s="118"/>
      <c r="F6795" s="126"/>
      <c r="G6795" s="126"/>
      <c r="H6795" s="126"/>
      <c r="I6795" s="126"/>
      <c r="J6795" s="76"/>
      <c r="K6795" s="76"/>
      <c r="L6795" s="76"/>
      <c r="M6795" s="76"/>
      <c r="N6795" s="114"/>
    </row>
    <row r="6796">
      <c r="C6796" s="41"/>
      <c r="D6796" s="142"/>
      <c r="E6796" s="130"/>
      <c r="F6796" s="128"/>
      <c r="G6796" s="128"/>
      <c r="H6796" s="128"/>
      <c r="I6796" s="128"/>
      <c r="J6796" s="81"/>
      <c r="K6796" s="81"/>
      <c r="L6796" s="81"/>
      <c r="M6796" s="81"/>
      <c r="N6796" s="82"/>
    </row>
    <row r="6797">
      <c r="C6797" s="41"/>
      <c r="D6797" s="141"/>
      <c r="E6797" s="118"/>
      <c r="F6797" s="126"/>
      <c r="G6797" s="126"/>
      <c r="H6797" s="126"/>
      <c r="I6797" s="126"/>
      <c r="J6797" s="76"/>
      <c r="K6797" s="76"/>
      <c r="L6797" s="76"/>
      <c r="M6797" s="76"/>
      <c r="N6797" s="114"/>
    </row>
    <row r="6798">
      <c r="C6798" s="41"/>
      <c r="D6798" s="142"/>
      <c r="E6798" s="130"/>
      <c r="F6798" s="128"/>
      <c r="G6798" s="128"/>
      <c r="H6798" s="128"/>
      <c r="I6798" s="128"/>
      <c r="J6798" s="81"/>
      <c r="K6798" s="81"/>
      <c r="L6798" s="81"/>
      <c r="M6798" s="81"/>
      <c r="N6798" s="82"/>
    </row>
    <row r="6799">
      <c r="C6799" s="41"/>
      <c r="D6799" s="141"/>
      <c r="E6799" s="118"/>
      <c r="F6799" s="126"/>
      <c r="G6799" s="126"/>
      <c r="H6799" s="126"/>
      <c r="I6799" s="126"/>
      <c r="J6799" s="76"/>
      <c r="K6799" s="76"/>
      <c r="L6799" s="76"/>
      <c r="M6799" s="76"/>
      <c r="N6799" s="114"/>
    </row>
    <row r="6800">
      <c r="C6800" s="41"/>
      <c r="D6800" s="142"/>
      <c r="E6800" s="130"/>
      <c r="F6800" s="128"/>
      <c r="G6800" s="128"/>
      <c r="H6800" s="128"/>
      <c r="I6800" s="128"/>
      <c r="J6800" s="81"/>
      <c r="K6800" s="81"/>
      <c r="L6800" s="81"/>
      <c r="M6800" s="81"/>
      <c r="N6800" s="82"/>
    </row>
    <row r="6801">
      <c r="C6801" s="41"/>
      <c r="D6801" s="141"/>
      <c r="E6801" s="118"/>
      <c r="F6801" s="126"/>
      <c r="G6801" s="126"/>
      <c r="H6801" s="126"/>
      <c r="I6801" s="126"/>
      <c r="J6801" s="76"/>
      <c r="K6801" s="76"/>
      <c r="L6801" s="76"/>
      <c r="M6801" s="76"/>
      <c r="N6801" s="114"/>
    </row>
    <row r="6802">
      <c r="C6802" s="41"/>
      <c r="D6802" s="142"/>
      <c r="E6802" s="130"/>
      <c r="F6802" s="128"/>
      <c r="G6802" s="128"/>
      <c r="H6802" s="128"/>
      <c r="I6802" s="128"/>
      <c r="J6802" s="81"/>
      <c r="K6802" s="81"/>
      <c r="L6802" s="81"/>
      <c r="M6802" s="81"/>
      <c r="N6802" s="82"/>
    </row>
    <row r="6803">
      <c r="C6803" s="41"/>
      <c r="D6803" s="141"/>
      <c r="E6803" s="118"/>
      <c r="F6803" s="126"/>
      <c r="G6803" s="126"/>
      <c r="H6803" s="126"/>
      <c r="I6803" s="126"/>
      <c r="J6803" s="76"/>
      <c r="K6803" s="76"/>
      <c r="L6803" s="76"/>
      <c r="M6803" s="76"/>
      <c r="N6803" s="114"/>
    </row>
    <row r="6804">
      <c r="C6804" s="41"/>
      <c r="D6804" s="142"/>
      <c r="E6804" s="130"/>
      <c r="F6804" s="128"/>
      <c r="G6804" s="128"/>
      <c r="H6804" s="128"/>
      <c r="I6804" s="128"/>
      <c r="J6804" s="81"/>
      <c r="K6804" s="81"/>
      <c r="L6804" s="81"/>
      <c r="M6804" s="81"/>
      <c r="N6804" s="82"/>
    </row>
    <row r="6805">
      <c r="C6805" s="41"/>
      <c r="D6805" s="141"/>
      <c r="E6805" s="118"/>
      <c r="F6805" s="126"/>
      <c r="G6805" s="126"/>
      <c r="H6805" s="126"/>
      <c r="I6805" s="126"/>
      <c r="J6805" s="76"/>
      <c r="K6805" s="76"/>
      <c r="L6805" s="76"/>
      <c r="M6805" s="76"/>
      <c r="N6805" s="114"/>
    </row>
    <row r="6806">
      <c r="C6806" s="41"/>
      <c r="D6806" s="142"/>
      <c r="E6806" s="130"/>
      <c r="F6806" s="128"/>
      <c r="G6806" s="128"/>
      <c r="H6806" s="128"/>
      <c r="I6806" s="128"/>
      <c r="J6806" s="81"/>
      <c r="K6806" s="81"/>
      <c r="L6806" s="81"/>
      <c r="M6806" s="81"/>
      <c r="N6806" s="82"/>
    </row>
    <row r="6807">
      <c r="C6807" s="41"/>
      <c r="D6807" s="141"/>
      <c r="E6807" s="118"/>
      <c r="F6807" s="126"/>
      <c r="G6807" s="126"/>
      <c r="H6807" s="126"/>
      <c r="I6807" s="126"/>
      <c r="J6807" s="76"/>
      <c r="K6807" s="76"/>
      <c r="L6807" s="76"/>
      <c r="M6807" s="76"/>
      <c r="N6807" s="114"/>
    </row>
    <row r="6808">
      <c r="C6808" s="41"/>
      <c r="D6808" s="142"/>
      <c r="E6808" s="130"/>
      <c r="F6808" s="128"/>
      <c r="G6808" s="128"/>
      <c r="H6808" s="128"/>
      <c r="I6808" s="128"/>
      <c r="J6808" s="81"/>
      <c r="K6808" s="81"/>
      <c r="L6808" s="81"/>
      <c r="M6808" s="81"/>
      <c r="N6808" s="82"/>
    </row>
    <row r="6809">
      <c r="C6809" s="41"/>
      <c r="D6809" s="141"/>
      <c r="E6809" s="118"/>
      <c r="F6809" s="126"/>
      <c r="G6809" s="126"/>
      <c r="H6809" s="126"/>
      <c r="I6809" s="126"/>
      <c r="J6809" s="76"/>
      <c r="K6809" s="76"/>
      <c r="L6809" s="76"/>
      <c r="M6809" s="76"/>
      <c r="N6809" s="114"/>
    </row>
    <row r="6810">
      <c r="C6810" s="41"/>
      <c r="D6810" s="142"/>
      <c r="E6810" s="130"/>
      <c r="F6810" s="128"/>
      <c r="G6810" s="128"/>
      <c r="H6810" s="128"/>
      <c r="I6810" s="128"/>
      <c r="J6810" s="81"/>
      <c r="K6810" s="81"/>
      <c r="L6810" s="81"/>
      <c r="M6810" s="81"/>
      <c r="N6810" s="82"/>
    </row>
    <row r="6811">
      <c r="C6811" s="41"/>
      <c r="D6811" s="141"/>
      <c r="E6811" s="118"/>
      <c r="F6811" s="126"/>
      <c r="G6811" s="126"/>
      <c r="H6811" s="126"/>
      <c r="I6811" s="126"/>
      <c r="J6811" s="76"/>
      <c r="K6811" s="76"/>
      <c r="L6811" s="76"/>
      <c r="M6811" s="76"/>
      <c r="N6811" s="114"/>
    </row>
    <row r="6812">
      <c r="C6812" s="41"/>
      <c r="D6812" s="142"/>
      <c r="E6812" s="130"/>
      <c r="F6812" s="128"/>
      <c r="G6812" s="128"/>
      <c r="H6812" s="128"/>
      <c r="I6812" s="128"/>
      <c r="J6812" s="81"/>
      <c r="K6812" s="81"/>
      <c r="L6812" s="81"/>
      <c r="M6812" s="81"/>
      <c r="N6812" s="82"/>
    </row>
    <row r="6813">
      <c r="C6813" s="41"/>
      <c r="D6813" s="141"/>
      <c r="E6813" s="118"/>
      <c r="F6813" s="126"/>
      <c r="G6813" s="126"/>
      <c r="H6813" s="126"/>
      <c r="I6813" s="126"/>
      <c r="J6813" s="76"/>
      <c r="K6813" s="76"/>
      <c r="L6813" s="76"/>
      <c r="M6813" s="76"/>
      <c r="N6813" s="114"/>
    </row>
    <row r="6814">
      <c r="C6814" s="41"/>
      <c r="D6814" s="142"/>
      <c r="E6814" s="130"/>
      <c r="F6814" s="128"/>
      <c r="G6814" s="128"/>
      <c r="H6814" s="128"/>
      <c r="I6814" s="128"/>
      <c r="J6814" s="81"/>
      <c r="K6814" s="81"/>
      <c r="L6814" s="81"/>
      <c r="M6814" s="81"/>
      <c r="N6814" s="82"/>
    </row>
    <row r="6815">
      <c r="C6815" s="41"/>
      <c r="D6815" s="141"/>
      <c r="E6815" s="118"/>
      <c r="F6815" s="126"/>
      <c r="G6815" s="126"/>
      <c r="H6815" s="126"/>
      <c r="I6815" s="126"/>
      <c r="J6815" s="76"/>
      <c r="K6815" s="76"/>
      <c r="L6815" s="76"/>
      <c r="M6815" s="76"/>
      <c r="N6815" s="114"/>
    </row>
    <row r="6816">
      <c r="C6816" s="41"/>
      <c r="D6816" s="142"/>
      <c r="E6816" s="130"/>
      <c r="F6816" s="128"/>
      <c r="G6816" s="128"/>
      <c r="H6816" s="128"/>
      <c r="I6816" s="128"/>
      <c r="J6816" s="81"/>
      <c r="K6816" s="81"/>
      <c r="L6816" s="81"/>
      <c r="M6816" s="81"/>
      <c r="N6816" s="82"/>
    </row>
    <row r="6817">
      <c r="C6817" s="41"/>
      <c r="D6817" s="141"/>
      <c r="E6817" s="118"/>
      <c r="F6817" s="126"/>
      <c r="G6817" s="126"/>
      <c r="H6817" s="126"/>
      <c r="I6817" s="126"/>
      <c r="J6817" s="76"/>
      <c r="K6817" s="76"/>
      <c r="L6817" s="76"/>
      <c r="M6817" s="76"/>
      <c r="N6817" s="114"/>
    </row>
    <row r="6818">
      <c r="C6818" s="41"/>
      <c r="D6818" s="142"/>
      <c r="E6818" s="130"/>
      <c r="F6818" s="128"/>
      <c r="G6818" s="128"/>
      <c r="H6818" s="128"/>
      <c r="I6818" s="128"/>
      <c r="J6818" s="81"/>
      <c r="K6818" s="81"/>
      <c r="L6818" s="81"/>
      <c r="M6818" s="81"/>
      <c r="N6818" s="82"/>
    </row>
    <row r="6819">
      <c r="C6819" s="41"/>
      <c r="D6819" s="141"/>
      <c r="E6819" s="118"/>
      <c r="F6819" s="126"/>
      <c r="G6819" s="126"/>
      <c r="H6819" s="126"/>
      <c r="I6819" s="126"/>
      <c r="J6819" s="76"/>
      <c r="K6819" s="76"/>
      <c r="L6819" s="76"/>
      <c r="M6819" s="76"/>
      <c r="N6819" s="114"/>
    </row>
    <row r="6820">
      <c r="C6820" s="41"/>
      <c r="D6820" s="142"/>
      <c r="E6820" s="130"/>
      <c r="F6820" s="128"/>
      <c r="G6820" s="128"/>
      <c r="H6820" s="128"/>
      <c r="I6820" s="128"/>
      <c r="J6820" s="81"/>
      <c r="K6820" s="81"/>
      <c r="L6820" s="81"/>
      <c r="M6820" s="81"/>
      <c r="N6820" s="82"/>
    </row>
    <row r="6821">
      <c r="C6821" s="41"/>
      <c r="D6821" s="141"/>
      <c r="E6821" s="118"/>
      <c r="F6821" s="126"/>
      <c r="G6821" s="126"/>
      <c r="H6821" s="126"/>
      <c r="I6821" s="126"/>
      <c r="J6821" s="76"/>
      <c r="K6821" s="76"/>
      <c r="L6821" s="76"/>
      <c r="M6821" s="76"/>
      <c r="N6821" s="114"/>
    </row>
    <row r="6822">
      <c r="C6822" s="41"/>
      <c r="D6822" s="142"/>
      <c r="E6822" s="130"/>
      <c r="F6822" s="128"/>
      <c r="G6822" s="128"/>
      <c r="H6822" s="128"/>
      <c r="I6822" s="128"/>
      <c r="J6822" s="81"/>
      <c r="K6822" s="81"/>
      <c r="L6822" s="81"/>
      <c r="M6822" s="81"/>
      <c r="N6822" s="82"/>
    </row>
    <row r="6823">
      <c r="C6823" s="41"/>
      <c r="D6823" s="141"/>
      <c r="E6823" s="118"/>
      <c r="F6823" s="126"/>
      <c r="G6823" s="126"/>
      <c r="H6823" s="126"/>
      <c r="I6823" s="126"/>
      <c r="J6823" s="76"/>
      <c r="K6823" s="76"/>
      <c r="L6823" s="76"/>
      <c r="M6823" s="76"/>
      <c r="N6823" s="114"/>
    </row>
    <row r="6824">
      <c r="C6824" s="41"/>
      <c r="D6824" s="142"/>
      <c r="E6824" s="130"/>
      <c r="F6824" s="128"/>
      <c r="G6824" s="128"/>
      <c r="H6824" s="128"/>
      <c r="I6824" s="128"/>
      <c r="J6824" s="81"/>
      <c r="K6824" s="81"/>
      <c r="L6824" s="81"/>
      <c r="M6824" s="81"/>
      <c r="N6824" s="82"/>
    </row>
    <row r="6825">
      <c r="C6825" s="41"/>
      <c r="D6825" s="141"/>
      <c r="E6825" s="118"/>
      <c r="F6825" s="126"/>
      <c r="G6825" s="126"/>
      <c r="H6825" s="126"/>
      <c r="I6825" s="126"/>
      <c r="J6825" s="76"/>
      <c r="K6825" s="76"/>
      <c r="L6825" s="76"/>
      <c r="M6825" s="76"/>
      <c r="N6825" s="114"/>
    </row>
    <row r="6826">
      <c r="C6826" s="41"/>
      <c r="D6826" s="142"/>
      <c r="E6826" s="130"/>
      <c r="F6826" s="128"/>
      <c r="G6826" s="128"/>
      <c r="H6826" s="128"/>
      <c r="I6826" s="128"/>
      <c r="J6826" s="81"/>
      <c r="K6826" s="81"/>
      <c r="L6826" s="81"/>
      <c r="M6826" s="81"/>
      <c r="N6826" s="82"/>
    </row>
    <row r="6827">
      <c r="C6827" s="41"/>
      <c r="D6827" s="141"/>
      <c r="E6827" s="118"/>
      <c r="F6827" s="126"/>
      <c r="G6827" s="126"/>
      <c r="H6827" s="126"/>
      <c r="I6827" s="126"/>
      <c r="J6827" s="76"/>
      <c r="K6827" s="76"/>
      <c r="L6827" s="76"/>
      <c r="M6827" s="76"/>
      <c r="N6827" s="114"/>
    </row>
    <row r="6828">
      <c r="C6828" s="41"/>
      <c r="D6828" s="142"/>
      <c r="E6828" s="130"/>
      <c r="F6828" s="128"/>
      <c r="G6828" s="128"/>
      <c r="H6828" s="128"/>
      <c r="I6828" s="128"/>
      <c r="J6828" s="81"/>
      <c r="K6828" s="81"/>
      <c r="L6828" s="81"/>
      <c r="M6828" s="81"/>
      <c r="N6828" s="82"/>
    </row>
    <row r="6829">
      <c r="C6829" s="41"/>
      <c r="D6829" s="141"/>
      <c r="E6829" s="118"/>
      <c r="F6829" s="126"/>
      <c r="G6829" s="126"/>
      <c r="H6829" s="126"/>
      <c r="I6829" s="126"/>
      <c r="J6829" s="76"/>
      <c r="K6829" s="76"/>
      <c r="L6829" s="76"/>
      <c r="M6829" s="76"/>
      <c r="N6829" s="114"/>
    </row>
    <row r="6830">
      <c r="C6830" s="41"/>
      <c r="D6830" s="142"/>
      <c r="E6830" s="130"/>
      <c r="F6830" s="128"/>
      <c r="G6830" s="128"/>
      <c r="H6830" s="128"/>
      <c r="I6830" s="128"/>
      <c r="J6830" s="81"/>
      <c r="K6830" s="81"/>
      <c r="L6830" s="81"/>
      <c r="M6830" s="81"/>
      <c r="N6830" s="82"/>
    </row>
    <row r="6831">
      <c r="C6831" s="41"/>
      <c r="D6831" s="141"/>
      <c r="E6831" s="118"/>
      <c r="F6831" s="126"/>
      <c r="G6831" s="126"/>
      <c r="H6831" s="126"/>
      <c r="I6831" s="126"/>
      <c r="J6831" s="76"/>
      <c r="K6831" s="76"/>
      <c r="L6831" s="76"/>
      <c r="M6831" s="76"/>
      <c r="N6831" s="114"/>
    </row>
    <row r="6832">
      <c r="C6832" s="41"/>
      <c r="D6832" s="142"/>
      <c r="E6832" s="130"/>
      <c r="F6832" s="128"/>
      <c r="G6832" s="128"/>
      <c r="H6832" s="128"/>
      <c r="I6832" s="128"/>
      <c r="J6832" s="81"/>
      <c r="K6832" s="81"/>
      <c r="L6832" s="81"/>
      <c r="M6832" s="81"/>
      <c r="N6832" s="82"/>
    </row>
    <row r="6833">
      <c r="C6833" s="41"/>
      <c r="D6833" s="141"/>
      <c r="E6833" s="118"/>
      <c r="F6833" s="126"/>
      <c r="G6833" s="126"/>
      <c r="H6833" s="126"/>
      <c r="I6833" s="126"/>
      <c r="J6833" s="76"/>
      <c r="K6833" s="76"/>
      <c r="L6833" s="76"/>
      <c r="M6833" s="76"/>
      <c r="N6833" s="114"/>
    </row>
    <row r="6834">
      <c r="C6834" s="41"/>
      <c r="D6834" s="142"/>
      <c r="E6834" s="130"/>
      <c r="F6834" s="128"/>
      <c r="G6834" s="128"/>
      <c r="H6834" s="128"/>
      <c r="I6834" s="128"/>
      <c r="J6834" s="81"/>
      <c r="K6834" s="81"/>
      <c r="L6834" s="81"/>
      <c r="M6834" s="81"/>
      <c r="N6834" s="82"/>
    </row>
    <row r="6835">
      <c r="C6835" s="41"/>
      <c r="D6835" s="141"/>
      <c r="E6835" s="118"/>
      <c r="F6835" s="126"/>
      <c r="G6835" s="126"/>
      <c r="H6835" s="126"/>
      <c r="I6835" s="126"/>
      <c r="J6835" s="76"/>
      <c r="K6835" s="76"/>
      <c r="L6835" s="76"/>
      <c r="M6835" s="76"/>
      <c r="N6835" s="114"/>
    </row>
    <row r="6836">
      <c r="C6836" s="41"/>
      <c r="D6836" s="142"/>
      <c r="E6836" s="130"/>
      <c r="F6836" s="128"/>
      <c r="G6836" s="128"/>
      <c r="H6836" s="128"/>
      <c r="I6836" s="128"/>
      <c r="J6836" s="81"/>
      <c r="K6836" s="81"/>
      <c r="L6836" s="81"/>
      <c r="M6836" s="81"/>
      <c r="N6836" s="82"/>
    </row>
    <row r="6837">
      <c r="C6837" s="41"/>
      <c r="D6837" s="141"/>
      <c r="E6837" s="118"/>
      <c r="F6837" s="126"/>
      <c r="G6837" s="126"/>
      <c r="H6837" s="126"/>
      <c r="I6837" s="126"/>
      <c r="J6837" s="76"/>
      <c r="K6837" s="76"/>
      <c r="L6837" s="76"/>
      <c r="M6837" s="76"/>
      <c r="N6837" s="114"/>
    </row>
    <row r="6838">
      <c r="C6838" s="41"/>
      <c r="D6838" s="142"/>
      <c r="E6838" s="130"/>
      <c r="F6838" s="128"/>
      <c r="G6838" s="128"/>
      <c r="H6838" s="128"/>
      <c r="I6838" s="128"/>
      <c r="J6838" s="81"/>
      <c r="K6838" s="81"/>
      <c r="L6838" s="81"/>
      <c r="M6838" s="81"/>
      <c r="N6838" s="82"/>
    </row>
    <row r="6839">
      <c r="C6839" s="41"/>
      <c r="D6839" s="141"/>
      <c r="E6839" s="118"/>
      <c r="F6839" s="126"/>
      <c r="G6839" s="126"/>
      <c r="H6839" s="126"/>
      <c r="I6839" s="126"/>
      <c r="J6839" s="76"/>
      <c r="K6839" s="76"/>
      <c r="L6839" s="76"/>
      <c r="M6839" s="76"/>
      <c r="N6839" s="114"/>
    </row>
    <row r="6840">
      <c r="C6840" s="41"/>
      <c r="D6840" s="142"/>
      <c r="E6840" s="130"/>
      <c r="F6840" s="128"/>
      <c r="G6840" s="128"/>
      <c r="H6840" s="128"/>
      <c r="I6840" s="128"/>
      <c r="J6840" s="81"/>
      <c r="K6840" s="81"/>
      <c r="L6840" s="81"/>
      <c r="M6840" s="81"/>
      <c r="N6840" s="82"/>
    </row>
    <row r="6841">
      <c r="C6841" s="41"/>
      <c r="D6841" s="141"/>
      <c r="E6841" s="118"/>
      <c r="F6841" s="126"/>
      <c r="G6841" s="126"/>
      <c r="H6841" s="126"/>
      <c r="I6841" s="126"/>
      <c r="J6841" s="76"/>
      <c r="K6841" s="76"/>
      <c r="L6841" s="76"/>
      <c r="M6841" s="76"/>
      <c r="N6841" s="114"/>
    </row>
    <row r="6842">
      <c r="C6842" s="41"/>
      <c r="D6842" s="142"/>
      <c r="E6842" s="130"/>
      <c r="F6842" s="128"/>
      <c r="G6842" s="128"/>
      <c r="H6842" s="128"/>
      <c r="I6842" s="128"/>
      <c r="J6842" s="81"/>
      <c r="K6842" s="81"/>
      <c r="L6842" s="81"/>
      <c r="M6842" s="81"/>
      <c r="N6842" s="82"/>
    </row>
    <row r="6843">
      <c r="C6843" s="41"/>
      <c r="D6843" s="141"/>
      <c r="E6843" s="118"/>
      <c r="F6843" s="126"/>
      <c r="G6843" s="126"/>
      <c r="H6843" s="126"/>
      <c r="I6843" s="126"/>
      <c r="J6843" s="76"/>
      <c r="K6843" s="76"/>
      <c r="L6843" s="76"/>
      <c r="M6843" s="76"/>
      <c r="N6843" s="114"/>
    </row>
    <row r="6844">
      <c r="C6844" s="41"/>
      <c r="D6844" s="142"/>
      <c r="E6844" s="130"/>
      <c r="F6844" s="128"/>
      <c r="G6844" s="128"/>
      <c r="H6844" s="128"/>
      <c r="I6844" s="128"/>
      <c r="J6844" s="81"/>
      <c r="K6844" s="81"/>
      <c r="L6844" s="81"/>
      <c r="M6844" s="81"/>
      <c r="N6844" s="82"/>
    </row>
    <row r="6845">
      <c r="C6845" s="41"/>
      <c r="D6845" s="141"/>
      <c r="E6845" s="118"/>
      <c r="F6845" s="126"/>
      <c r="G6845" s="126"/>
      <c r="H6845" s="126"/>
      <c r="I6845" s="126"/>
      <c r="J6845" s="76"/>
      <c r="K6845" s="76"/>
      <c r="L6845" s="76"/>
      <c r="M6845" s="76"/>
      <c r="N6845" s="114"/>
    </row>
    <row r="6846">
      <c r="C6846" s="41"/>
      <c r="D6846" s="142"/>
      <c r="E6846" s="130"/>
      <c r="F6846" s="128"/>
      <c r="G6846" s="128"/>
      <c r="H6846" s="128"/>
      <c r="I6846" s="128"/>
      <c r="J6846" s="81"/>
      <c r="K6846" s="81"/>
      <c r="L6846" s="81"/>
      <c r="M6846" s="81"/>
      <c r="N6846" s="82"/>
    </row>
    <row r="6847">
      <c r="C6847" s="41"/>
      <c r="D6847" s="141"/>
      <c r="E6847" s="118"/>
      <c r="F6847" s="126"/>
      <c r="G6847" s="126"/>
      <c r="H6847" s="126"/>
      <c r="I6847" s="126"/>
      <c r="J6847" s="76"/>
      <c r="K6847" s="76"/>
      <c r="L6847" s="76"/>
      <c r="M6847" s="76"/>
      <c r="N6847" s="114"/>
    </row>
    <row r="6848">
      <c r="C6848" s="41"/>
      <c r="D6848" s="142"/>
      <c r="E6848" s="130"/>
      <c r="F6848" s="128"/>
      <c r="G6848" s="128"/>
      <c r="H6848" s="128"/>
      <c r="I6848" s="128"/>
      <c r="J6848" s="81"/>
      <c r="K6848" s="81"/>
      <c r="L6848" s="81"/>
      <c r="M6848" s="81"/>
      <c r="N6848" s="82"/>
    </row>
    <row r="6849">
      <c r="C6849" s="41"/>
      <c r="D6849" s="141"/>
      <c r="E6849" s="118"/>
      <c r="F6849" s="126"/>
      <c r="G6849" s="126"/>
      <c r="H6849" s="126"/>
      <c r="I6849" s="126"/>
      <c r="J6849" s="76"/>
      <c r="K6849" s="76"/>
      <c r="L6849" s="76"/>
      <c r="M6849" s="76"/>
      <c r="N6849" s="114"/>
    </row>
    <row r="6850">
      <c r="C6850" s="41"/>
      <c r="D6850" s="142"/>
      <c r="E6850" s="130"/>
      <c r="F6850" s="128"/>
      <c r="G6850" s="128"/>
      <c r="H6850" s="128"/>
      <c r="I6850" s="128"/>
      <c r="J6850" s="81"/>
      <c r="K6850" s="81"/>
      <c r="L6850" s="81"/>
      <c r="M6850" s="81"/>
      <c r="N6850" s="82"/>
    </row>
    <row r="6851">
      <c r="C6851" s="41"/>
      <c r="D6851" s="141"/>
      <c r="E6851" s="118"/>
      <c r="F6851" s="126"/>
      <c r="G6851" s="126"/>
      <c r="H6851" s="126"/>
      <c r="I6851" s="126"/>
      <c r="J6851" s="76"/>
      <c r="K6851" s="76"/>
      <c r="L6851" s="76"/>
      <c r="M6851" s="76"/>
      <c r="N6851" s="114"/>
    </row>
    <row r="6852">
      <c r="C6852" s="41"/>
      <c r="D6852" s="142"/>
      <c r="E6852" s="130"/>
      <c r="F6852" s="128"/>
      <c r="G6852" s="128"/>
      <c r="H6852" s="128"/>
      <c r="I6852" s="128"/>
      <c r="J6852" s="81"/>
      <c r="K6852" s="81"/>
      <c r="L6852" s="81"/>
      <c r="M6852" s="81"/>
      <c r="N6852" s="82"/>
    </row>
    <row r="6853">
      <c r="C6853" s="41"/>
      <c r="D6853" s="141"/>
      <c r="E6853" s="118"/>
      <c r="F6853" s="126"/>
      <c r="G6853" s="126"/>
      <c r="H6853" s="126"/>
      <c r="I6853" s="126"/>
      <c r="J6853" s="76"/>
      <c r="K6853" s="76"/>
      <c r="L6853" s="76"/>
      <c r="M6853" s="76"/>
      <c r="N6853" s="114"/>
    </row>
    <row r="6854">
      <c r="C6854" s="41"/>
      <c r="D6854" s="142"/>
      <c r="E6854" s="130"/>
      <c r="F6854" s="128"/>
      <c r="G6854" s="128"/>
      <c r="H6854" s="128"/>
      <c r="I6854" s="128"/>
      <c r="J6854" s="81"/>
      <c r="K6854" s="81"/>
      <c r="L6854" s="81"/>
      <c r="M6854" s="81"/>
      <c r="N6854" s="82"/>
    </row>
    <row r="6855">
      <c r="C6855" s="41"/>
      <c r="D6855" s="141"/>
      <c r="E6855" s="118"/>
      <c r="F6855" s="126"/>
      <c r="G6855" s="126"/>
      <c r="H6855" s="126"/>
      <c r="I6855" s="126"/>
      <c r="J6855" s="76"/>
      <c r="K6855" s="76"/>
      <c r="L6855" s="76"/>
      <c r="M6855" s="76"/>
      <c r="N6855" s="114"/>
    </row>
    <row r="6856">
      <c r="C6856" s="41"/>
      <c r="D6856" s="142"/>
      <c r="E6856" s="130"/>
      <c r="F6856" s="128"/>
      <c r="G6856" s="128"/>
      <c r="H6856" s="128"/>
      <c r="I6856" s="128"/>
      <c r="J6856" s="81"/>
      <c r="K6856" s="81"/>
      <c r="L6856" s="81"/>
      <c r="M6856" s="81"/>
      <c r="N6856" s="82"/>
    </row>
    <row r="6857">
      <c r="C6857" s="41"/>
      <c r="D6857" s="141"/>
      <c r="E6857" s="118"/>
      <c r="F6857" s="126"/>
      <c r="G6857" s="126"/>
      <c r="H6857" s="126"/>
      <c r="I6857" s="126"/>
      <c r="J6857" s="76"/>
      <c r="K6857" s="76"/>
      <c r="L6857" s="76"/>
      <c r="M6857" s="76"/>
      <c r="N6857" s="114"/>
    </row>
    <row r="6858">
      <c r="C6858" s="41"/>
      <c r="D6858" s="142"/>
      <c r="E6858" s="130"/>
      <c r="F6858" s="128"/>
      <c r="G6858" s="128"/>
      <c r="H6858" s="128"/>
      <c r="I6858" s="128"/>
      <c r="J6858" s="81"/>
      <c r="K6858" s="81"/>
      <c r="L6858" s="81"/>
      <c r="M6858" s="81"/>
      <c r="N6858" s="82"/>
    </row>
    <row r="6859">
      <c r="C6859" s="41"/>
      <c r="D6859" s="141"/>
      <c r="E6859" s="118"/>
      <c r="F6859" s="126"/>
      <c r="G6859" s="126"/>
      <c r="H6859" s="126"/>
      <c r="I6859" s="126"/>
      <c r="J6859" s="76"/>
      <c r="K6859" s="76"/>
      <c r="L6859" s="76"/>
      <c r="M6859" s="76"/>
      <c r="N6859" s="114"/>
    </row>
    <row r="6860">
      <c r="C6860" s="41"/>
      <c r="D6860" s="142"/>
      <c r="E6860" s="130"/>
      <c r="F6860" s="128"/>
      <c r="G6860" s="128"/>
      <c r="H6860" s="128"/>
      <c r="I6860" s="128"/>
      <c r="J6860" s="81"/>
      <c r="K6860" s="81"/>
      <c r="L6860" s="81"/>
      <c r="M6860" s="81"/>
      <c r="N6860" s="82"/>
    </row>
    <row r="6861">
      <c r="C6861" s="41"/>
      <c r="D6861" s="141"/>
      <c r="E6861" s="118"/>
      <c r="F6861" s="126"/>
      <c r="G6861" s="126"/>
      <c r="H6861" s="126"/>
      <c r="I6861" s="126"/>
      <c r="J6861" s="76"/>
      <c r="K6861" s="76"/>
      <c r="L6861" s="76"/>
      <c r="M6861" s="76"/>
      <c r="N6861" s="114"/>
    </row>
    <row r="6862">
      <c r="C6862" s="41"/>
      <c r="D6862" s="142"/>
      <c r="E6862" s="130"/>
      <c r="F6862" s="128"/>
      <c r="G6862" s="128"/>
      <c r="H6862" s="128"/>
      <c r="I6862" s="128"/>
      <c r="J6862" s="81"/>
      <c r="K6862" s="81"/>
      <c r="L6862" s="81"/>
      <c r="M6862" s="81"/>
      <c r="N6862" s="82"/>
    </row>
    <row r="6863">
      <c r="C6863" s="41"/>
      <c r="D6863" s="141"/>
      <c r="E6863" s="118"/>
      <c r="F6863" s="126"/>
      <c r="G6863" s="126"/>
      <c r="H6863" s="126"/>
      <c r="I6863" s="126"/>
      <c r="J6863" s="76"/>
      <c r="K6863" s="76"/>
      <c r="L6863" s="76"/>
      <c r="M6863" s="76"/>
      <c r="N6863" s="114"/>
    </row>
    <row r="6864">
      <c r="C6864" s="41"/>
      <c r="D6864" s="142"/>
      <c r="E6864" s="130"/>
      <c r="F6864" s="128"/>
      <c r="G6864" s="128"/>
      <c r="H6864" s="128"/>
      <c r="I6864" s="128"/>
      <c r="J6864" s="81"/>
      <c r="K6864" s="81"/>
      <c r="L6864" s="81"/>
      <c r="M6864" s="81"/>
      <c r="N6864" s="82"/>
    </row>
    <row r="6865">
      <c r="C6865" s="41"/>
      <c r="D6865" s="141"/>
      <c r="E6865" s="118"/>
      <c r="F6865" s="126"/>
      <c r="G6865" s="126"/>
      <c r="H6865" s="126"/>
      <c r="I6865" s="126"/>
      <c r="J6865" s="76"/>
      <c r="K6865" s="76"/>
      <c r="L6865" s="76"/>
      <c r="M6865" s="76"/>
      <c r="N6865" s="114"/>
    </row>
    <row r="6866">
      <c r="C6866" s="41"/>
      <c r="D6866" s="142"/>
      <c r="E6866" s="130"/>
      <c r="F6866" s="128"/>
      <c r="G6866" s="128"/>
      <c r="H6866" s="128"/>
      <c r="I6866" s="128"/>
      <c r="J6866" s="81"/>
      <c r="K6866" s="81"/>
      <c r="L6866" s="81"/>
      <c r="M6866" s="81"/>
      <c r="N6866" s="82"/>
    </row>
    <row r="6867">
      <c r="C6867" s="41"/>
      <c r="D6867" s="141"/>
      <c r="E6867" s="118"/>
      <c r="F6867" s="126"/>
      <c r="G6867" s="126"/>
      <c r="H6867" s="126"/>
      <c r="I6867" s="126"/>
      <c r="J6867" s="76"/>
      <c r="K6867" s="76"/>
      <c r="L6867" s="76"/>
      <c r="M6867" s="76"/>
      <c r="N6867" s="114"/>
    </row>
    <row r="6868">
      <c r="C6868" s="41"/>
      <c r="D6868" s="142"/>
      <c r="E6868" s="130"/>
      <c r="F6868" s="128"/>
      <c r="G6868" s="128"/>
      <c r="H6868" s="128"/>
      <c r="I6868" s="128"/>
      <c r="J6868" s="81"/>
      <c r="K6868" s="81"/>
      <c r="L6868" s="81"/>
      <c r="M6868" s="81"/>
      <c r="N6868" s="82"/>
    </row>
    <row r="6869">
      <c r="C6869" s="41"/>
      <c r="D6869" s="141"/>
      <c r="E6869" s="118"/>
      <c r="F6869" s="126"/>
      <c r="G6869" s="126"/>
      <c r="H6869" s="126"/>
      <c r="I6869" s="126"/>
      <c r="J6869" s="76"/>
      <c r="K6869" s="76"/>
      <c r="L6869" s="76"/>
      <c r="M6869" s="76"/>
      <c r="N6869" s="114"/>
    </row>
    <row r="6870">
      <c r="C6870" s="41"/>
      <c r="D6870" s="142"/>
      <c r="E6870" s="130"/>
      <c r="F6870" s="128"/>
      <c r="G6870" s="128"/>
      <c r="H6870" s="128"/>
      <c r="I6870" s="128"/>
      <c r="J6870" s="81"/>
      <c r="K6870" s="81"/>
      <c r="L6870" s="81"/>
      <c r="M6870" s="81"/>
      <c r="N6870" s="82"/>
    </row>
    <row r="6871">
      <c r="C6871" s="41"/>
      <c r="D6871" s="141"/>
      <c r="E6871" s="118"/>
      <c r="F6871" s="126"/>
      <c r="G6871" s="126"/>
      <c r="H6871" s="126"/>
      <c r="I6871" s="126"/>
      <c r="J6871" s="76"/>
      <c r="K6871" s="76"/>
      <c r="L6871" s="76"/>
      <c r="M6871" s="76"/>
      <c r="N6871" s="114"/>
    </row>
    <row r="6872">
      <c r="C6872" s="41"/>
      <c r="D6872" s="142"/>
      <c r="E6872" s="130"/>
      <c r="F6872" s="128"/>
      <c r="G6872" s="128"/>
      <c r="H6872" s="128"/>
      <c r="I6872" s="128"/>
      <c r="J6872" s="81"/>
      <c r="K6872" s="81"/>
      <c r="L6872" s="81"/>
      <c r="M6872" s="81"/>
      <c r="N6872" s="82"/>
    </row>
    <row r="6873">
      <c r="C6873" s="41"/>
      <c r="D6873" s="141"/>
      <c r="E6873" s="118"/>
      <c r="F6873" s="126"/>
      <c r="G6873" s="126"/>
      <c r="H6873" s="126"/>
      <c r="I6873" s="126"/>
      <c r="J6873" s="76"/>
      <c r="K6873" s="76"/>
      <c r="L6873" s="76"/>
      <c r="M6873" s="76"/>
      <c r="N6873" s="114"/>
    </row>
    <row r="6874">
      <c r="C6874" s="41"/>
      <c r="D6874" s="142"/>
      <c r="E6874" s="130"/>
      <c r="F6874" s="128"/>
      <c r="G6874" s="128"/>
      <c r="H6874" s="128"/>
      <c r="I6874" s="128"/>
      <c r="J6874" s="81"/>
      <c r="K6874" s="81"/>
      <c r="L6874" s="81"/>
      <c r="M6874" s="81"/>
      <c r="N6874" s="82"/>
    </row>
    <row r="6875">
      <c r="C6875" s="41"/>
      <c r="D6875" s="141"/>
      <c r="E6875" s="118"/>
      <c r="F6875" s="126"/>
      <c r="G6875" s="126"/>
      <c r="H6875" s="126"/>
      <c r="I6875" s="126"/>
      <c r="J6875" s="76"/>
      <c r="K6875" s="76"/>
      <c r="L6875" s="76"/>
      <c r="M6875" s="76"/>
      <c r="N6875" s="114"/>
    </row>
    <row r="6876">
      <c r="C6876" s="41"/>
      <c r="D6876" s="142"/>
      <c r="E6876" s="130"/>
      <c r="F6876" s="128"/>
      <c r="G6876" s="128"/>
      <c r="H6876" s="128"/>
      <c r="I6876" s="128"/>
      <c r="J6876" s="81"/>
      <c r="K6876" s="81"/>
      <c r="L6876" s="81"/>
      <c r="M6876" s="81"/>
      <c r="N6876" s="82"/>
    </row>
    <row r="6877">
      <c r="C6877" s="41"/>
      <c r="D6877" s="141"/>
      <c r="E6877" s="118"/>
      <c r="F6877" s="126"/>
      <c r="G6877" s="126"/>
      <c r="H6877" s="126"/>
      <c r="I6877" s="126"/>
      <c r="J6877" s="76"/>
      <c r="K6877" s="76"/>
      <c r="L6877" s="76"/>
      <c r="M6877" s="76"/>
      <c r="N6877" s="114"/>
    </row>
    <row r="6878">
      <c r="C6878" s="41"/>
      <c r="D6878" s="142"/>
      <c r="E6878" s="130"/>
      <c r="F6878" s="128"/>
      <c r="G6878" s="128"/>
      <c r="H6878" s="128"/>
      <c r="I6878" s="128"/>
      <c r="J6878" s="81"/>
      <c r="K6878" s="81"/>
      <c r="L6878" s="81"/>
      <c r="M6878" s="81"/>
      <c r="N6878" s="82"/>
    </row>
    <row r="6879">
      <c r="C6879" s="41"/>
      <c r="D6879" s="141"/>
      <c r="E6879" s="118"/>
      <c r="F6879" s="126"/>
      <c r="G6879" s="126"/>
      <c r="H6879" s="126"/>
      <c r="I6879" s="126"/>
      <c r="J6879" s="76"/>
      <c r="K6879" s="76"/>
      <c r="L6879" s="76"/>
      <c r="M6879" s="76"/>
      <c r="N6879" s="114"/>
    </row>
    <row r="6880">
      <c r="C6880" s="41"/>
      <c r="D6880" s="142"/>
      <c r="E6880" s="130"/>
      <c r="F6880" s="128"/>
      <c r="G6880" s="128"/>
      <c r="H6880" s="128"/>
      <c r="I6880" s="128"/>
      <c r="J6880" s="81"/>
      <c r="K6880" s="81"/>
      <c r="L6880" s="81"/>
      <c r="M6880" s="81"/>
      <c r="N6880" s="82"/>
    </row>
    <row r="6881">
      <c r="C6881" s="41"/>
      <c r="D6881" s="141"/>
      <c r="E6881" s="118"/>
      <c r="F6881" s="126"/>
      <c r="G6881" s="126"/>
      <c r="H6881" s="126"/>
      <c r="I6881" s="126"/>
      <c r="J6881" s="76"/>
      <c r="K6881" s="76"/>
      <c r="L6881" s="76"/>
      <c r="M6881" s="76"/>
      <c r="N6881" s="114"/>
    </row>
    <row r="6882">
      <c r="C6882" s="41"/>
      <c r="D6882" s="142"/>
      <c r="E6882" s="130"/>
      <c r="F6882" s="128"/>
      <c r="G6882" s="128"/>
      <c r="H6882" s="128"/>
      <c r="I6882" s="128"/>
      <c r="J6882" s="81"/>
      <c r="K6882" s="81"/>
      <c r="L6882" s="81"/>
      <c r="M6882" s="81"/>
      <c r="N6882" s="82"/>
    </row>
    <row r="6883">
      <c r="C6883" s="41"/>
      <c r="D6883" s="141"/>
      <c r="E6883" s="118"/>
      <c r="F6883" s="126"/>
      <c r="G6883" s="126"/>
      <c r="H6883" s="126"/>
      <c r="I6883" s="126"/>
      <c r="J6883" s="76"/>
      <c r="K6883" s="76"/>
      <c r="L6883" s="76"/>
      <c r="M6883" s="76"/>
      <c r="N6883" s="114"/>
    </row>
    <row r="6884">
      <c r="C6884" s="41"/>
      <c r="D6884" s="142"/>
      <c r="E6884" s="130"/>
      <c r="F6884" s="128"/>
      <c r="G6884" s="128"/>
      <c r="H6884" s="128"/>
      <c r="I6884" s="128"/>
      <c r="J6884" s="81"/>
      <c r="K6884" s="81"/>
      <c r="L6884" s="81"/>
      <c r="M6884" s="81"/>
      <c r="N6884" s="82"/>
    </row>
    <row r="6885">
      <c r="C6885" s="41"/>
      <c r="D6885" s="141"/>
      <c r="E6885" s="118"/>
      <c r="F6885" s="126"/>
      <c r="G6885" s="126"/>
      <c r="H6885" s="126"/>
      <c r="I6885" s="126"/>
      <c r="J6885" s="76"/>
      <c r="K6885" s="76"/>
      <c r="L6885" s="76"/>
      <c r="M6885" s="76"/>
      <c r="N6885" s="114"/>
    </row>
    <row r="6886">
      <c r="C6886" s="41"/>
      <c r="D6886" s="142"/>
      <c r="E6886" s="130"/>
      <c r="F6886" s="128"/>
      <c r="G6886" s="128"/>
      <c r="H6886" s="128"/>
      <c r="I6886" s="128"/>
      <c r="J6886" s="81"/>
      <c r="K6886" s="81"/>
      <c r="L6886" s="81"/>
      <c r="M6886" s="81"/>
      <c r="N6886" s="82"/>
    </row>
    <row r="6887">
      <c r="C6887" s="41"/>
      <c r="D6887" s="141"/>
      <c r="E6887" s="118"/>
      <c r="F6887" s="126"/>
      <c r="G6887" s="126"/>
      <c r="H6887" s="126"/>
      <c r="I6887" s="126"/>
      <c r="J6887" s="76"/>
      <c r="K6887" s="76"/>
      <c r="L6887" s="76"/>
      <c r="M6887" s="76"/>
      <c r="N6887" s="114"/>
    </row>
    <row r="6888">
      <c r="C6888" s="41"/>
      <c r="D6888" s="142"/>
      <c r="E6888" s="130"/>
      <c r="F6888" s="128"/>
      <c r="G6888" s="128"/>
      <c r="H6888" s="128"/>
      <c r="I6888" s="128"/>
      <c r="J6888" s="81"/>
      <c r="K6888" s="81"/>
      <c r="L6888" s="81"/>
      <c r="M6888" s="81"/>
      <c r="N6888" s="82"/>
    </row>
    <row r="6889">
      <c r="C6889" s="41"/>
      <c r="D6889" s="141"/>
      <c r="E6889" s="118"/>
      <c r="F6889" s="126"/>
      <c r="G6889" s="126"/>
      <c r="H6889" s="126"/>
      <c r="I6889" s="126"/>
      <c r="J6889" s="76"/>
      <c r="K6889" s="76"/>
      <c r="L6889" s="76"/>
      <c r="M6889" s="76"/>
      <c r="N6889" s="114"/>
    </row>
    <row r="6890">
      <c r="C6890" s="41"/>
      <c r="D6890" s="142"/>
      <c r="E6890" s="130"/>
      <c r="F6890" s="128"/>
      <c r="G6890" s="128"/>
      <c r="H6890" s="128"/>
      <c r="I6890" s="128"/>
      <c r="J6890" s="81"/>
      <c r="K6890" s="81"/>
      <c r="L6890" s="81"/>
      <c r="M6890" s="81"/>
      <c r="N6890" s="82"/>
    </row>
    <row r="6891">
      <c r="C6891" s="41"/>
      <c r="D6891" s="141"/>
      <c r="E6891" s="118"/>
      <c r="F6891" s="126"/>
      <c r="G6891" s="126"/>
      <c r="H6891" s="126"/>
      <c r="I6891" s="126"/>
      <c r="J6891" s="76"/>
      <c r="K6891" s="76"/>
      <c r="L6891" s="76"/>
      <c r="M6891" s="76"/>
      <c r="N6891" s="114"/>
    </row>
    <row r="6892">
      <c r="C6892" s="41"/>
      <c r="D6892" s="142"/>
      <c r="E6892" s="130"/>
      <c r="F6892" s="128"/>
      <c r="G6892" s="128"/>
      <c r="H6892" s="128"/>
      <c r="I6892" s="128"/>
      <c r="J6892" s="81"/>
      <c r="K6892" s="81"/>
      <c r="L6892" s="81"/>
      <c r="M6892" s="81"/>
      <c r="N6892" s="82"/>
    </row>
    <row r="6893">
      <c r="C6893" s="41"/>
      <c r="D6893" s="141"/>
      <c r="E6893" s="118"/>
      <c r="F6893" s="126"/>
      <c r="G6893" s="126"/>
      <c r="H6893" s="126"/>
      <c r="I6893" s="126"/>
      <c r="J6893" s="76"/>
      <c r="K6893" s="76"/>
      <c r="L6893" s="76"/>
      <c r="M6893" s="76"/>
      <c r="N6893" s="114"/>
    </row>
    <row r="6894">
      <c r="C6894" s="41"/>
      <c r="D6894" s="142"/>
      <c r="E6894" s="130"/>
      <c r="F6894" s="128"/>
      <c r="G6894" s="128"/>
      <c r="H6894" s="128"/>
      <c r="I6894" s="128"/>
      <c r="J6894" s="81"/>
      <c r="K6894" s="81"/>
      <c r="L6894" s="81"/>
      <c r="M6894" s="81"/>
      <c r="N6894" s="82"/>
    </row>
    <row r="6895">
      <c r="C6895" s="41"/>
      <c r="D6895" s="141"/>
      <c r="E6895" s="118"/>
      <c r="F6895" s="126"/>
      <c r="G6895" s="126"/>
      <c r="H6895" s="126"/>
      <c r="I6895" s="126"/>
      <c r="J6895" s="76"/>
      <c r="K6895" s="76"/>
      <c r="L6895" s="76"/>
      <c r="M6895" s="76"/>
      <c r="N6895" s="114"/>
    </row>
    <row r="6896">
      <c r="C6896" s="41"/>
      <c r="D6896" s="142"/>
      <c r="E6896" s="130"/>
      <c r="F6896" s="128"/>
      <c r="G6896" s="128"/>
      <c r="H6896" s="128"/>
      <c r="I6896" s="128"/>
      <c r="J6896" s="81"/>
      <c r="K6896" s="81"/>
      <c r="L6896" s="81"/>
      <c r="M6896" s="81"/>
      <c r="N6896" s="82"/>
    </row>
    <row r="6897">
      <c r="C6897" s="41"/>
      <c r="D6897" s="141"/>
      <c r="E6897" s="118"/>
      <c r="F6897" s="126"/>
      <c r="G6897" s="126"/>
      <c r="H6897" s="126"/>
      <c r="I6897" s="126"/>
      <c r="J6897" s="76"/>
      <c r="K6897" s="76"/>
      <c r="L6897" s="76"/>
      <c r="M6897" s="76"/>
      <c r="N6897" s="114"/>
    </row>
    <row r="6898">
      <c r="C6898" s="41"/>
      <c r="D6898" s="142"/>
      <c r="E6898" s="130"/>
      <c r="F6898" s="128"/>
      <c r="G6898" s="128"/>
      <c r="H6898" s="128"/>
      <c r="I6898" s="128"/>
      <c r="J6898" s="81"/>
      <c r="K6898" s="81"/>
      <c r="L6898" s="81"/>
      <c r="M6898" s="81"/>
      <c r="N6898" s="82"/>
    </row>
    <row r="6899">
      <c r="C6899" s="41"/>
      <c r="D6899" s="141"/>
      <c r="E6899" s="118"/>
      <c r="F6899" s="126"/>
      <c r="G6899" s="126"/>
      <c r="H6899" s="126"/>
      <c r="I6899" s="126"/>
      <c r="J6899" s="76"/>
      <c r="K6899" s="76"/>
      <c r="L6899" s="76"/>
      <c r="M6899" s="76"/>
      <c r="N6899" s="114"/>
    </row>
    <row r="6900">
      <c r="C6900" s="41"/>
      <c r="D6900" s="142"/>
      <c r="E6900" s="130"/>
      <c r="F6900" s="128"/>
      <c r="G6900" s="128"/>
      <c r="H6900" s="128"/>
      <c r="I6900" s="128"/>
      <c r="J6900" s="81"/>
      <c r="K6900" s="81"/>
      <c r="L6900" s="81"/>
      <c r="M6900" s="81"/>
      <c r="N6900" s="82"/>
    </row>
    <row r="6901">
      <c r="C6901" s="41"/>
      <c r="D6901" s="141"/>
      <c r="E6901" s="118"/>
      <c r="F6901" s="126"/>
      <c r="G6901" s="126"/>
      <c r="H6901" s="126"/>
      <c r="I6901" s="126"/>
      <c r="J6901" s="76"/>
      <c r="K6901" s="76"/>
      <c r="L6901" s="76"/>
      <c r="M6901" s="76"/>
      <c r="N6901" s="114"/>
    </row>
    <row r="6902">
      <c r="C6902" s="41"/>
      <c r="D6902" s="142"/>
      <c r="E6902" s="130"/>
      <c r="F6902" s="128"/>
      <c r="G6902" s="128"/>
      <c r="H6902" s="128"/>
      <c r="I6902" s="128"/>
      <c r="J6902" s="81"/>
      <c r="K6902" s="81"/>
      <c r="L6902" s="81"/>
      <c r="M6902" s="81"/>
      <c r="N6902" s="82"/>
    </row>
    <row r="6903">
      <c r="C6903" s="41"/>
      <c r="D6903" s="141"/>
      <c r="E6903" s="118"/>
      <c r="F6903" s="126"/>
      <c r="G6903" s="126"/>
      <c r="H6903" s="126"/>
      <c r="I6903" s="126"/>
      <c r="J6903" s="76"/>
      <c r="K6903" s="76"/>
      <c r="L6903" s="76"/>
      <c r="M6903" s="76"/>
      <c r="N6903" s="114"/>
    </row>
    <row r="6904">
      <c r="C6904" s="41"/>
      <c r="D6904" s="142"/>
      <c r="E6904" s="130"/>
      <c r="F6904" s="128"/>
      <c r="G6904" s="128"/>
      <c r="H6904" s="128"/>
      <c r="I6904" s="128"/>
      <c r="J6904" s="81"/>
      <c r="K6904" s="81"/>
      <c r="L6904" s="81"/>
      <c r="M6904" s="81"/>
      <c r="N6904" s="82"/>
    </row>
    <row r="6905">
      <c r="C6905" s="41"/>
      <c r="D6905" s="141"/>
      <c r="E6905" s="118"/>
      <c r="F6905" s="126"/>
      <c r="G6905" s="126"/>
      <c r="H6905" s="126"/>
      <c r="I6905" s="126"/>
      <c r="J6905" s="76"/>
      <c r="K6905" s="76"/>
      <c r="L6905" s="76"/>
      <c r="M6905" s="76"/>
      <c r="N6905" s="114"/>
    </row>
    <row r="6906">
      <c r="C6906" s="41"/>
      <c r="D6906" s="142"/>
      <c r="E6906" s="130"/>
      <c r="F6906" s="128"/>
      <c r="G6906" s="128"/>
      <c r="H6906" s="128"/>
      <c r="I6906" s="128"/>
      <c r="J6906" s="81"/>
      <c r="K6906" s="81"/>
      <c r="L6906" s="81"/>
      <c r="M6906" s="81"/>
      <c r="N6906" s="82"/>
    </row>
    <row r="6907">
      <c r="C6907" s="41"/>
      <c r="D6907" s="141"/>
      <c r="E6907" s="118"/>
      <c r="F6907" s="126"/>
      <c r="G6907" s="126"/>
      <c r="H6907" s="126"/>
      <c r="I6907" s="126"/>
      <c r="J6907" s="76"/>
      <c r="K6907" s="76"/>
      <c r="L6907" s="76"/>
      <c r="M6907" s="76"/>
      <c r="N6907" s="114"/>
    </row>
    <row r="6908">
      <c r="C6908" s="41"/>
      <c r="D6908" s="142"/>
      <c r="E6908" s="130"/>
      <c r="F6908" s="128"/>
      <c r="G6908" s="128"/>
      <c r="H6908" s="128"/>
      <c r="I6908" s="128"/>
      <c r="J6908" s="81"/>
      <c r="K6908" s="81"/>
      <c r="L6908" s="81"/>
      <c r="M6908" s="81"/>
      <c r="N6908" s="82"/>
    </row>
    <row r="6909">
      <c r="C6909" s="41"/>
      <c r="D6909" s="141"/>
      <c r="E6909" s="118"/>
      <c r="F6909" s="126"/>
      <c r="G6909" s="126"/>
      <c r="H6909" s="126"/>
      <c r="I6909" s="126"/>
      <c r="J6909" s="76"/>
      <c r="K6909" s="76"/>
      <c r="L6909" s="76"/>
      <c r="M6909" s="76"/>
      <c r="N6909" s="114"/>
    </row>
    <row r="6910">
      <c r="C6910" s="41"/>
      <c r="D6910" s="142"/>
      <c r="E6910" s="130"/>
      <c r="F6910" s="128"/>
      <c r="G6910" s="128"/>
      <c r="H6910" s="128"/>
      <c r="I6910" s="128"/>
      <c r="J6910" s="81"/>
      <c r="K6910" s="81"/>
      <c r="L6910" s="81"/>
      <c r="M6910" s="81"/>
      <c r="N6910" s="82"/>
    </row>
    <row r="6911">
      <c r="C6911" s="41"/>
      <c r="D6911" s="141"/>
      <c r="E6911" s="118"/>
      <c r="F6911" s="126"/>
      <c r="G6911" s="126"/>
      <c r="H6911" s="126"/>
      <c r="I6911" s="126"/>
      <c r="J6911" s="76"/>
      <c r="K6911" s="76"/>
      <c r="L6911" s="76"/>
      <c r="M6911" s="76"/>
      <c r="N6911" s="114"/>
    </row>
    <row r="6912">
      <c r="C6912" s="41"/>
      <c r="D6912" s="142"/>
      <c r="E6912" s="130"/>
      <c r="F6912" s="128"/>
      <c r="G6912" s="128"/>
      <c r="H6912" s="128"/>
      <c r="I6912" s="128"/>
      <c r="J6912" s="81"/>
      <c r="K6912" s="81"/>
      <c r="L6912" s="81"/>
      <c r="M6912" s="81"/>
      <c r="N6912" s="82"/>
    </row>
    <row r="6913">
      <c r="C6913" s="41"/>
      <c r="D6913" s="141"/>
      <c r="E6913" s="118"/>
      <c r="F6913" s="126"/>
      <c r="G6913" s="126"/>
      <c r="H6913" s="126"/>
      <c r="I6913" s="126"/>
      <c r="J6913" s="76"/>
      <c r="K6913" s="76"/>
      <c r="L6913" s="76"/>
      <c r="M6913" s="76"/>
      <c r="N6913" s="114"/>
    </row>
    <row r="6914">
      <c r="C6914" s="41"/>
      <c r="D6914" s="142"/>
      <c r="E6914" s="130"/>
      <c r="F6914" s="128"/>
      <c r="G6914" s="128"/>
      <c r="H6914" s="128"/>
      <c r="I6914" s="128"/>
      <c r="J6914" s="81"/>
      <c r="K6914" s="81"/>
      <c r="L6914" s="81"/>
      <c r="M6914" s="81"/>
      <c r="N6914" s="82"/>
    </row>
    <row r="6915">
      <c r="C6915" s="41"/>
      <c r="D6915" s="141"/>
      <c r="E6915" s="118"/>
      <c r="F6915" s="126"/>
      <c r="G6915" s="126"/>
      <c r="H6915" s="126"/>
      <c r="I6915" s="126"/>
      <c r="J6915" s="76"/>
      <c r="K6915" s="76"/>
      <c r="L6915" s="76"/>
      <c r="M6915" s="76"/>
      <c r="N6915" s="114"/>
    </row>
    <row r="6916">
      <c r="C6916" s="41"/>
      <c r="D6916" s="142"/>
      <c r="E6916" s="130"/>
      <c r="F6916" s="128"/>
      <c r="G6916" s="128"/>
      <c r="H6916" s="128"/>
      <c r="I6916" s="128"/>
      <c r="J6916" s="81"/>
      <c r="K6916" s="81"/>
      <c r="L6916" s="81"/>
      <c r="M6916" s="81"/>
      <c r="N6916" s="82"/>
    </row>
    <row r="6917">
      <c r="C6917" s="41"/>
      <c r="D6917" s="141"/>
      <c r="E6917" s="118"/>
      <c r="F6917" s="126"/>
      <c r="G6917" s="126"/>
      <c r="H6917" s="126"/>
      <c r="I6917" s="126"/>
      <c r="J6917" s="76"/>
      <c r="K6917" s="76"/>
      <c r="L6917" s="76"/>
      <c r="M6917" s="76"/>
      <c r="N6917" s="114"/>
    </row>
    <row r="6918">
      <c r="C6918" s="41"/>
      <c r="D6918" s="142"/>
      <c r="E6918" s="130"/>
      <c r="F6918" s="128"/>
      <c r="G6918" s="128"/>
      <c r="H6918" s="128"/>
      <c r="I6918" s="128"/>
      <c r="J6918" s="81"/>
      <c r="K6918" s="81"/>
      <c r="L6918" s="81"/>
      <c r="M6918" s="81"/>
      <c r="N6918" s="82"/>
    </row>
    <row r="6919">
      <c r="C6919" s="41"/>
      <c r="D6919" s="141"/>
      <c r="E6919" s="118"/>
      <c r="F6919" s="126"/>
      <c r="G6919" s="126"/>
      <c r="H6919" s="126"/>
      <c r="I6919" s="126"/>
      <c r="J6919" s="76"/>
      <c r="K6919" s="76"/>
      <c r="L6919" s="76"/>
      <c r="M6919" s="76"/>
      <c r="N6919" s="114"/>
    </row>
    <row r="6920">
      <c r="C6920" s="41"/>
      <c r="D6920" s="142"/>
      <c r="E6920" s="130"/>
      <c r="F6920" s="128"/>
      <c r="G6920" s="128"/>
      <c r="H6920" s="128"/>
      <c r="I6920" s="128"/>
      <c r="J6920" s="81"/>
      <c r="K6920" s="81"/>
      <c r="L6920" s="81"/>
      <c r="M6920" s="81"/>
      <c r="N6920" s="82"/>
    </row>
    <row r="6921">
      <c r="C6921" s="41"/>
      <c r="D6921" s="141"/>
      <c r="E6921" s="118"/>
      <c r="F6921" s="126"/>
      <c r="G6921" s="126"/>
      <c r="H6921" s="126"/>
      <c r="I6921" s="126"/>
      <c r="J6921" s="76"/>
      <c r="K6921" s="76"/>
      <c r="L6921" s="76"/>
      <c r="M6921" s="76"/>
      <c r="N6921" s="114"/>
    </row>
    <row r="6922">
      <c r="C6922" s="41"/>
      <c r="D6922" s="142"/>
      <c r="E6922" s="130"/>
      <c r="F6922" s="128"/>
      <c r="G6922" s="128"/>
      <c r="H6922" s="128"/>
      <c r="I6922" s="128"/>
      <c r="J6922" s="81"/>
      <c r="K6922" s="81"/>
      <c r="L6922" s="81"/>
      <c r="M6922" s="81"/>
      <c r="N6922" s="82"/>
    </row>
    <row r="6923">
      <c r="C6923" s="41"/>
      <c r="D6923" s="141"/>
      <c r="E6923" s="118"/>
      <c r="F6923" s="126"/>
      <c r="G6923" s="126"/>
      <c r="H6923" s="126"/>
      <c r="I6923" s="126"/>
      <c r="J6923" s="76"/>
      <c r="K6923" s="76"/>
      <c r="L6923" s="76"/>
      <c r="M6923" s="76"/>
      <c r="N6923" s="114"/>
    </row>
    <row r="6924">
      <c r="C6924" s="41"/>
      <c r="D6924" s="142"/>
      <c r="E6924" s="130"/>
      <c r="F6924" s="128"/>
      <c r="G6924" s="128"/>
      <c r="H6924" s="128"/>
      <c r="I6924" s="128"/>
      <c r="J6924" s="81"/>
      <c r="K6924" s="81"/>
      <c r="L6924" s="81"/>
      <c r="M6924" s="81"/>
      <c r="N6924" s="82"/>
    </row>
    <row r="6925">
      <c r="C6925" s="41"/>
      <c r="D6925" s="141"/>
      <c r="E6925" s="118"/>
      <c r="F6925" s="126"/>
      <c r="G6925" s="126"/>
      <c r="H6925" s="126"/>
      <c r="I6925" s="126"/>
      <c r="J6925" s="76"/>
      <c r="K6925" s="76"/>
      <c r="L6925" s="76"/>
      <c r="M6925" s="76"/>
      <c r="N6925" s="114"/>
    </row>
    <row r="6926">
      <c r="C6926" s="41"/>
      <c r="D6926" s="142"/>
      <c r="E6926" s="130"/>
      <c r="F6926" s="128"/>
      <c r="G6926" s="128"/>
      <c r="H6926" s="128"/>
      <c r="I6926" s="128"/>
      <c r="J6926" s="81"/>
      <c r="K6926" s="81"/>
      <c r="L6926" s="81"/>
      <c r="M6926" s="81"/>
      <c r="N6926" s="82"/>
    </row>
    <row r="6927">
      <c r="C6927" s="41"/>
      <c r="D6927" s="141"/>
      <c r="E6927" s="118"/>
      <c r="F6927" s="126"/>
      <c r="G6927" s="126"/>
      <c r="H6927" s="126"/>
      <c r="I6927" s="126"/>
      <c r="J6927" s="76"/>
      <c r="K6927" s="76"/>
      <c r="L6927" s="76"/>
      <c r="M6927" s="76"/>
      <c r="N6927" s="114"/>
    </row>
    <row r="6928">
      <c r="C6928" s="41"/>
      <c r="D6928" s="142"/>
      <c r="E6928" s="130"/>
      <c r="F6928" s="128"/>
      <c r="G6928" s="128"/>
      <c r="H6928" s="128"/>
      <c r="I6928" s="128"/>
      <c r="J6928" s="81"/>
      <c r="K6928" s="81"/>
      <c r="L6928" s="81"/>
      <c r="M6928" s="81"/>
      <c r="N6928" s="82"/>
    </row>
    <row r="6929">
      <c r="C6929" s="41"/>
      <c r="D6929" s="141"/>
      <c r="E6929" s="118"/>
      <c r="F6929" s="126"/>
      <c r="G6929" s="126"/>
      <c r="H6929" s="126"/>
      <c r="I6929" s="126"/>
      <c r="J6929" s="76"/>
      <c r="K6929" s="76"/>
      <c r="L6929" s="76"/>
      <c r="M6929" s="76"/>
      <c r="N6929" s="114"/>
    </row>
    <row r="6930">
      <c r="C6930" s="41"/>
      <c r="D6930" s="142"/>
      <c r="E6930" s="130"/>
      <c r="F6930" s="128"/>
      <c r="G6930" s="128"/>
      <c r="H6930" s="128"/>
      <c r="I6930" s="128"/>
      <c r="J6930" s="81"/>
      <c r="K6930" s="81"/>
      <c r="L6930" s="81"/>
      <c r="M6930" s="81"/>
      <c r="N6930" s="82"/>
    </row>
    <row r="6931">
      <c r="C6931" s="41"/>
      <c r="D6931" s="141"/>
      <c r="E6931" s="118"/>
      <c r="F6931" s="126"/>
      <c r="G6931" s="126"/>
      <c r="H6931" s="126"/>
      <c r="I6931" s="126"/>
      <c r="J6931" s="76"/>
      <c r="K6931" s="76"/>
      <c r="L6931" s="76"/>
      <c r="M6931" s="76"/>
      <c r="N6931" s="114"/>
    </row>
    <row r="6932">
      <c r="C6932" s="41"/>
      <c r="D6932" s="142"/>
      <c r="E6932" s="130"/>
      <c r="F6932" s="128"/>
      <c r="G6932" s="128"/>
      <c r="H6932" s="128"/>
      <c r="I6932" s="128"/>
      <c r="J6932" s="81"/>
      <c r="K6932" s="81"/>
      <c r="L6932" s="81"/>
      <c r="M6932" s="81"/>
      <c r="N6932" s="82"/>
    </row>
    <row r="6933">
      <c r="C6933" s="41"/>
      <c r="D6933" s="141"/>
      <c r="E6933" s="118"/>
      <c r="F6933" s="126"/>
      <c r="G6933" s="126"/>
      <c r="H6933" s="126"/>
      <c r="I6933" s="126"/>
      <c r="J6933" s="76"/>
      <c r="K6933" s="76"/>
      <c r="L6933" s="76"/>
      <c r="M6933" s="76"/>
      <c r="N6933" s="114"/>
    </row>
    <row r="6934">
      <c r="C6934" s="41"/>
      <c r="D6934" s="142"/>
      <c r="E6934" s="130"/>
      <c r="F6934" s="128"/>
      <c r="G6934" s="128"/>
      <c r="H6934" s="128"/>
      <c r="I6934" s="128"/>
      <c r="J6934" s="81"/>
      <c r="K6934" s="81"/>
      <c r="L6934" s="81"/>
      <c r="M6934" s="81"/>
      <c r="N6934" s="82"/>
    </row>
    <row r="6935">
      <c r="C6935" s="41"/>
      <c r="D6935" s="141"/>
      <c r="E6935" s="118"/>
      <c r="F6935" s="126"/>
      <c r="G6935" s="126"/>
      <c r="H6935" s="126"/>
      <c r="I6935" s="126"/>
      <c r="J6935" s="76"/>
      <c r="K6935" s="76"/>
      <c r="L6935" s="76"/>
      <c r="M6935" s="76"/>
      <c r="N6935" s="114"/>
    </row>
    <row r="6936">
      <c r="C6936" s="41"/>
      <c r="D6936" s="142"/>
      <c r="E6936" s="130"/>
      <c r="F6936" s="128"/>
      <c r="G6936" s="128"/>
      <c r="H6936" s="128"/>
      <c r="I6936" s="128"/>
      <c r="J6936" s="81"/>
      <c r="K6936" s="81"/>
      <c r="L6936" s="81"/>
      <c r="M6936" s="81"/>
      <c r="N6936" s="82"/>
    </row>
    <row r="6937">
      <c r="C6937" s="41"/>
      <c r="D6937" s="141"/>
      <c r="E6937" s="118"/>
      <c r="F6937" s="126"/>
      <c r="G6937" s="126"/>
      <c r="H6937" s="126"/>
      <c r="I6937" s="126"/>
      <c r="J6937" s="76"/>
      <c r="K6937" s="76"/>
      <c r="L6937" s="76"/>
      <c r="M6937" s="76"/>
      <c r="N6937" s="114"/>
    </row>
    <row r="6938">
      <c r="C6938" s="41"/>
      <c r="D6938" s="142"/>
      <c r="E6938" s="130"/>
      <c r="F6938" s="128"/>
      <c r="G6938" s="128"/>
      <c r="H6938" s="128"/>
      <c r="I6938" s="128"/>
      <c r="J6938" s="81"/>
      <c r="K6938" s="81"/>
      <c r="L6938" s="81"/>
      <c r="M6938" s="81"/>
      <c r="N6938" s="82"/>
    </row>
    <row r="6939">
      <c r="C6939" s="41"/>
      <c r="D6939" s="141"/>
      <c r="E6939" s="118"/>
      <c r="F6939" s="126"/>
      <c r="G6939" s="126"/>
      <c r="H6939" s="126"/>
      <c r="I6939" s="126"/>
      <c r="J6939" s="76"/>
      <c r="K6939" s="76"/>
      <c r="L6939" s="76"/>
      <c r="M6939" s="76"/>
      <c r="N6939" s="114"/>
    </row>
    <row r="6940">
      <c r="C6940" s="41"/>
      <c r="D6940" s="142"/>
      <c r="E6940" s="130"/>
      <c r="F6940" s="128"/>
      <c r="G6940" s="128"/>
      <c r="H6940" s="128"/>
      <c r="I6940" s="128"/>
      <c r="J6940" s="81"/>
      <c r="K6940" s="81"/>
      <c r="L6940" s="81"/>
      <c r="M6940" s="81"/>
      <c r="N6940" s="82"/>
    </row>
    <row r="6941">
      <c r="C6941" s="41"/>
      <c r="D6941" s="141"/>
      <c r="E6941" s="118"/>
      <c r="F6941" s="126"/>
      <c r="G6941" s="126"/>
      <c r="H6941" s="126"/>
      <c r="I6941" s="126"/>
      <c r="J6941" s="76"/>
      <c r="K6941" s="76"/>
      <c r="L6941" s="76"/>
      <c r="M6941" s="76"/>
      <c r="N6941" s="114"/>
    </row>
    <row r="6942">
      <c r="C6942" s="41"/>
      <c r="D6942" s="142"/>
      <c r="E6942" s="130"/>
      <c r="F6942" s="128"/>
      <c r="G6942" s="128"/>
      <c r="H6942" s="128"/>
      <c r="I6942" s="128"/>
      <c r="J6942" s="81"/>
      <c r="K6942" s="81"/>
      <c r="L6942" s="81"/>
      <c r="M6942" s="81"/>
      <c r="N6942" s="82"/>
    </row>
    <row r="6943">
      <c r="C6943" s="41"/>
      <c r="D6943" s="141"/>
      <c r="E6943" s="118"/>
      <c r="F6943" s="126"/>
      <c r="G6943" s="126"/>
      <c r="H6943" s="126"/>
      <c r="I6943" s="126"/>
      <c r="J6943" s="76"/>
      <c r="K6943" s="76"/>
      <c r="L6943" s="76"/>
      <c r="M6943" s="76"/>
      <c r="N6943" s="114"/>
    </row>
    <row r="6944">
      <c r="C6944" s="41"/>
      <c r="D6944" s="142"/>
      <c r="E6944" s="130"/>
      <c r="F6944" s="128"/>
      <c r="G6944" s="128"/>
      <c r="H6944" s="128"/>
      <c r="I6944" s="128"/>
      <c r="J6944" s="81"/>
      <c r="K6944" s="81"/>
      <c r="L6944" s="81"/>
      <c r="M6944" s="81"/>
      <c r="N6944" s="82"/>
    </row>
    <row r="6945">
      <c r="C6945" s="41"/>
      <c r="D6945" s="141"/>
      <c r="E6945" s="118"/>
      <c r="F6945" s="126"/>
      <c r="G6945" s="126"/>
      <c r="H6945" s="126"/>
      <c r="I6945" s="126"/>
      <c r="J6945" s="76"/>
      <c r="K6945" s="76"/>
      <c r="L6945" s="76"/>
      <c r="M6945" s="76"/>
      <c r="N6945" s="114"/>
    </row>
    <row r="6946">
      <c r="C6946" s="41"/>
      <c r="D6946" s="142"/>
      <c r="E6946" s="130"/>
      <c r="F6946" s="128"/>
      <c r="G6946" s="128"/>
      <c r="H6946" s="128"/>
      <c r="I6946" s="128"/>
      <c r="J6946" s="81"/>
      <c r="K6946" s="81"/>
      <c r="L6946" s="81"/>
      <c r="M6946" s="81"/>
      <c r="N6946" s="82"/>
    </row>
    <row r="6947">
      <c r="C6947" s="41"/>
      <c r="D6947" s="141"/>
      <c r="E6947" s="118"/>
      <c r="F6947" s="126"/>
      <c r="G6947" s="126"/>
      <c r="H6947" s="126"/>
      <c r="I6947" s="126"/>
      <c r="J6947" s="76"/>
      <c r="K6947" s="76"/>
      <c r="L6947" s="76"/>
      <c r="M6947" s="76"/>
      <c r="N6947" s="114"/>
    </row>
    <row r="6948">
      <c r="C6948" s="41"/>
      <c r="D6948" s="142"/>
      <c r="E6948" s="130"/>
      <c r="F6948" s="128"/>
      <c r="G6948" s="128"/>
      <c r="H6948" s="128"/>
      <c r="I6948" s="128"/>
      <c r="J6948" s="81"/>
      <c r="K6948" s="81"/>
      <c r="L6948" s="81"/>
      <c r="M6948" s="81"/>
      <c r="N6948" s="82"/>
    </row>
    <row r="6949">
      <c r="C6949" s="41"/>
      <c r="D6949" s="141"/>
      <c r="E6949" s="118"/>
      <c r="F6949" s="126"/>
      <c r="G6949" s="126"/>
      <c r="H6949" s="126"/>
      <c r="I6949" s="126"/>
      <c r="J6949" s="76"/>
      <c r="K6949" s="76"/>
      <c r="L6949" s="76"/>
      <c r="M6949" s="76"/>
      <c r="N6949" s="114"/>
    </row>
    <row r="6950">
      <c r="C6950" s="41"/>
      <c r="D6950" s="142"/>
      <c r="E6950" s="130"/>
      <c r="F6950" s="128"/>
      <c r="G6950" s="128"/>
      <c r="H6950" s="128"/>
      <c r="I6950" s="128"/>
      <c r="J6950" s="81"/>
      <c r="K6950" s="81"/>
      <c r="L6950" s="81"/>
      <c r="M6950" s="81"/>
      <c r="N6950" s="82"/>
    </row>
    <row r="6951">
      <c r="C6951" s="41"/>
      <c r="D6951" s="141"/>
      <c r="E6951" s="118"/>
      <c r="F6951" s="126"/>
      <c r="G6951" s="126"/>
      <c r="H6951" s="126"/>
      <c r="I6951" s="126"/>
      <c r="J6951" s="76"/>
      <c r="K6951" s="76"/>
      <c r="L6951" s="76"/>
      <c r="M6951" s="76"/>
      <c r="N6951" s="114"/>
    </row>
    <row r="6952">
      <c r="C6952" s="41"/>
      <c r="D6952" s="142"/>
      <c r="E6952" s="130"/>
      <c r="F6952" s="128"/>
      <c r="G6952" s="128"/>
      <c r="H6952" s="128"/>
      <c r="I6952" s="128"/>
      <c r="J6952" s="81"/>
      <c r="K6952" s="81"/>
      <c r="L6952" s="81"/>
      <c r="M6952" s="81"/>
      <c r="N6952" s="82"/>
    </row>
    <row r="6953">
      <c r="C6953" s="41"/>
      <c r="D6953" s="141"/>
      <c r="E6953" s="118"/>
      <c r="F6953" s="126"/>
      <c r="G6953" s="126"/>
      <c r="H6953" s="126"/>
      <c r="I6953" s="126"/>
      <c r="J6953" s="76"/>
      <c r="K6953" s="76"/>
      <c r="L6953" s="76"/>
      <c r="M6953" s="76"/>
      <c r="N6953" s="114"/>
    </row>
    <row r="6954">
      <c r="C6954" s="41"/>
      <c r="D6954" s="142"/>
      <c r="E6954" s="130"/>
      <c r="F6954" s="128"/>
      <c r="G6954" s="128"/>
      <c r="H6954" s="128"/>
      <c r="I6954" s="128"/>
      <c r="J6954" s="81"/>
      <c r="K6954" s="81"/>
      <c r="L6954" s="81"/>
      <c r="M6954" s="81"/>
      <c r="N6954" s="82"/>
    </row>
    <row r="6955">
      <c r="C6955" s="41"/>
      <c r="D6955" s="141"/>
      <c r="E6955" s="118"/>
      <c r="F6955" s="126"/>
      <c r="G6955" s="126"/>
      <c r="H6955" s="126"/>
      <c r="I6955" s="126"/>
      <c r="J6955" s="76"/>
      <c r="K6955" s="76"/>
      <c r="L6955" s="76"/>
      <c r="M6955" s="76"/>
      <c r="N6955" s="114"/>
    </row>
    <row r="6956">
      <c r="C6956" s="41"/>
      <c r="D6956" s="142"/>
      <c r="E6956" s="130"/>
      <c r="F6956" s="128"/>
      <c r="G6956" s="128"/>
      <c r="H6956" s="128"/>
      <c r="I6956" s="128"/>
      <c r="J6956" s="81"/>
      <c r="K6956" s="81"/>
      <c r="L6956" s="81"/>
      <c r="M6956" s="81"/>
      <c r="N6956" s="82"/>
    </row>
    <row r="6957">
      <c r="C6957" s="41"/>
      <c r="D6957" s="141"/>
      <c r="E6957" s="118"/>
      <c r="F6957" s="126"/>
      <c r="G6957" s="126"/>
      <c r="H6957" s="126"/>
      <c r="I6957" s="126"/>
      <c r="J6957" s="76"/>
      <c r="K6957" s="76"/>
      <c r="L6957" s="76"/>
      <c r="M6957" s="76"/>
      <c r="N6957" s="114"/>
    </row>
    <row r="6958">
      <c r="C6958" s="41"/>
      <c r="D6958" s="142"/>
      <c r="E6958" s="130"/>
      <c r="F6958" s="128"/>
      <c r="G6958" s="128"/>
      <c r="H6958" s="128"/>
      <c r="I6958" s="128"/>
      <c r="J6958" s="81"/>
      <c r="K6958" s="81"/>
      <c r="L6958" s="81"/>
      <c r="M6958" s="81"/>
      <c r="N6958" s="82"/>
    </row>
    <row r="6959">
      <c r="C6959" s="41"/>
      <c r="D6959" s="141"/>
      <c r="E6959" s="118"/>
      <c r="F6959" s="126"/>
      <c r="G6959" s="126"/>
      <c r="H6959" s="126"/>
      <c r="I6959" s="126"/>
      <c r="J6959" s="76"/>
      <c r="K6959" s="76"/>
      <c r="L6959" s="76"/>
      <c r="M6959" s="76"/>
      <c r="N6959" s="114"/>
    </row>
    <row r="6960">
      <c r="C6960" s="41"/>
      <c r="D6960" s="142"/>
      <c r="E6960" s="130"/>
      <c r="F6960" s="128"/>
      <c r="G6960" s="128"/>
      <c r="H6960" s="128"/>
      <c r="I6960" s="128"/>
      <c r="J6960" s="81"/>
      <c r="K6960" s="81"/>
      <c r="L6960" s="81"/>
      <c r="M6960" s="81"/>
      <c r="N6960" s="82"/>
    </row>
    <row r="6961">
      <c r="C6961" s="41"/>
      <c r="D6961" s="141"/>
      <c r="E6961" s="118"/>
      <c r="F6961" s="126"/>
      <c r="G6961" s="126"/>
      <c r="H6961" s="126"/>
      <c r="I6961" s="126"/>
      <c r="J6961" s="76"/>
      <c r="K6961" s="76"/>
      <c r="L6961" s="76"/>
      <c r="M6961" s="76"/>
      <c r="N6961" s="114"/>
    </row>
    <row r="6962">
      <c r="C6962" s="41"/>
      <c r="D6962" s="142"/>
      <c r="E6962" s="130"/>
      <c r="F6962" s="128"/>
      <c r="G6962" s="128"/>
      <c r="H6962" s="128"/>
      <c r="I6962" s="128"/>
      <c r="J6962" s="81"/>
      <c r="K6962" s="81"/>
      <c r="L6962" s="81"/>
      <c r="M6962" s="81"/>
      <c r="N6962" s="82"/>
    </row>
    <row r="6963">
      <c r="C6963" s="41"/>
      <c r="D6963" s="141"/>
      <c r="E6963" s="118"/>
      <c r="F6963" s="126"/>
      <c r="G6963" s="126"/>
      <c r="H6963" s="126"/>
      <c r="I6963" s="126"/>
      <c r="J6963" s="76"/>
      <c r="K6963" s="76"/>
      <c r="L6963" s="76"/>
      <c r="M6963" s="76"/>
      <c r="N6963" s="114"/>
    </row>
    <row r="6964">
      <c r="C6964" s="41"/>
      <c r="D6964" s="142"/>
      <c r="E6964" s="130"/>
      <c r="F6964" s="128"/>
      <c r="G6964" s="128"/>
      <c r="H6964" s="128"/>
      <c r="I6964" s="128"/>
      <c r="J6964" s="81"/>
      <c r="K6964" s="81"/>
      <c r="L6964" s="81"/>
      <c r="M6964" s="81"/>
      <c r="N6964" s="82"/>
    </row>
    <row r="6965">
      <c r="C6965" s="41"/>
      <c r="D6965" s="141"/>
      <c r="E6965" s="118"/>
      <c r="F6965" s="126"/>
      <c r="G6965" s="126"/>
      <c r="H6965" s="126"/>
      <c r="I6965" s="126"/>
      <c r="J6965" s="76"/>
      <c r="K6965" s="76"/>
      <c r="L6965" s="76"/>
      <c r="M6965" s="76"/>
      <c r="N6965" s="114"/>
    </row>
    <row r="6966">
      <c r="C6966" s="41"/>
      <c r="D6966" s="142"/>
      <c r="E6966" s="130"/>
      <c r="F6966" s="128"/>
      <c r="G6966" s="128"/>
      <c r="H6966" s="128"/>
      <c r="I6966" s="128"/>
      <c r="J6966" s="81"/>
      <c r="K6966" s="81"/>
      <c r="L6966" s="81"/>
      <c r="M6966" s="81"/>
      <c r="N6966" s="82"/>
    </row>
    <row r="6967">
      <c r="C6967" s="41"/>
      <c r="D6967" s="141"/>
      <c r="E6967" s="118"/>
      <c r="F6967" s="126"/>
      <c r="G6967" s="126"/>
      <c r="H6967" s="126"/>
      <c r="I6967" s="126"/>
      <c r="J6967" s="76"/>
      <c r="K6967" s="76"/>
      <c r="L6967" s="76"/>
      <c r="M6967" s="76"/>
      <c r="N6967" s="114"/>
    </row>
    <row r="6968">
      <c r="C6968" s="41"/>
      <c r="D6968" s="142"/>
      <c r="E6968" s="130"/>
      <c r="F6968" s="128"/>
      <c r="G6968" s="128"/>
      <c r="H6968" s="128"/>
      <c r="I6968" s="128"/>
      <c r="J6968" s="81"/>
      <c r="K6968" s="81"/>
      <c r="L6968" s="81"/>
      <c r="M6968" s="81"/>
      <c r="N6968" s="82"/>
    </row>
    <row r="6969">
      <c r="C6969" s="41"/>
      <c r="D6969" s="141"/>
      <c r="E6969" s="118"/>
      <c r="F6969" s="126"/>
      <c r="G6969" s="126"/>
      <c r="H6969" s="126"/>
      <c r="I6969" s="126"/>
      <c r="J6969" s="76"/>
      <c r="K6969" s="76"/>
      <c r="L6969" s="76"/>
      <c r="M6969" s="76"/>
      <c r="N6969" s="114"/>
    </row>
    <row r="6970">
      <c r="C6970" s="41"/>
      <c r="D6970" s="142"/>
      <c r="E6970" s="130"/>
      <c r="F6970" s="128"/>
      <c r="G6970" s="128"/>
      <c r="H6970" s="128"/>
      <c r="I6970" s="128"/>
      <c r="J6970" s="81"/>
      <c r="K6970" s="81"/>
      <c r="L6970" s="81"/>
      <c r="M6970" s="81"/>
      <c r="N6970" s="82"/>
    </row>
    <row r="6971">
      <c r="C6971" s="41"/>
      <c r="D6971" s="141"/>
      <c r="E6971" s="118"/>
      <c r="F6971" s="126"/>
      <c r="G6971" s="126"/>
      <c r="H6971" s="126"/>
      <c r="I6971" s="126"/>
      <c r="J6971" s="76"/>
      <c r="K6971" s="76"/>
      <c r="L6971" s="76"/>
      <c r="M6971" s="76"/>
      <c r="N6971" s="114"/>
    </row>
    <row r="6972">
      <c r="C6972" s="41"/>
      <c r="D6972" s="142"/>
      <c r="E6972" s="130"/>
      <c r="F6972" s="128"/>
      <c r="G6972" s="128"/>
      <c r="H6972" s="128"/>
      <c r="I6972" s="128"/>
      <c r="J6972" s="81"/>
      <c r="K6972" s="81"/>
      <c r="L6972" s="81"/>
      <c r="M6972" s="81"/>
      <c r="N6972" s="82"/>
    </row>
    <row r="6973">
      <c r="C6973" s="41"/>
      <c r="D6973" s="141"/>
      <c r="E6973" s="118"/>
      <c r="F6973" s="126"/>
      <c r="G6973" s="126"/>
      <c r="H6973" s="126"/>
      <c r="I6973" s="126"/>
      <c r="J6973" s="76"/>
      <c r="K6973" s="76"/>
      <c r="L6973" s="76"/>
      <c r="M6973" s="76"/>
      <c r="N6973" s="114"/>
    </row>
    <row r="6974">
      <c r="C6974" s="41"/>
      <c r="D6974" s="142"/>
      <c r="E6974" s="130"/>
      <c r="F6974" s="128"/>
      <c r="G6974" s="128"/>
      <c r="H6974" s="128"/>
      <c r="I6974" s="128"/>
      <c r="J6974" s="81"/>
      <c r="K6974" s="81"/>
      <c r="L6974" s="81"/>
      <c r="M6974" s="81"/>
      <c r="N6974" s="82"/>
    </row>
    <row r="6975">
      <c r="C6975" s="41"/>
      <c r="D6975" s="141"/>
      <c r="E6975" s="118"/>
      <c r="F6975" s="126"/>
      <c r="G6975" s="126"/>
      <c r="H6975" s="126"/>
      <c r="I6975" s="126"/>
      <c r="J6975" s="76"/>
      <c r="K6975" s="76"/>
      <c r="L6975" s="76"/>
      <c r="M6975" s="76"/>
      <c r="N6975" s="114"/>
    </row>
    <row r="6976">
      <c r="C6976" s="41"/>
      <c r="D6976" s="142"/>
      <c r="E6976" s="130"/>
      <c r="F6976" s="128"/>
      <c r="G6976" s="128"/>
      <c r="H6976" s="128"/>
      <c r="I6976" s="128"/>
      <c r="J6976" s="81"/>
      <c r="K6976" s="81"/>
      <c r="L6976" s="81"/>
      <c r="M6976" s="81"/>
      <c r="N6976" s="82"/>
    </row>
    <row r="6977">
      <c r="C6977" s="41"/>
      <c r="D6977" s="141"/>
      <c r="E6977" s="118"/>
      <c r="F6977" s="126"/>
      <c r="G6977" s="126"/>
      <c r="H6977" s="126"/>
      <c r="I6977" s="126"/>
      <c r="J6977" s="76"/>
      <c r="K6977" s="76"/>
      <c r="L6977" s="76"/>
      <c r="M6977" s="76"/>
      <c r="N6977" s="114"/>
    </row>
    <row r="6978">
      <c r="C6978" s="41"/>
      <c r="D6978" s="142"/>
      <c r="E6978" s="130"/>
      <c r="F6978" s="128"/>
      <c r="G6978" s="128"/>
      <c r="H6978" s="128"/>
      <c r="I6978" s="128"/>
      <c r="J6978" s="81"/>
      <c r="K6978" s="81"/>
      <c r="L6978" s="81"/>
      <c r="M6978" s="81"/>
      <c r="N6978" s="82"/>
    </row>
    <row r="6979">
      <c r="C6979" s="41"/>
      <c r="D6979" s="141"/>
      <c r="E6979" s="118"/>
      <c r="F6979" s="126"/>
      <c r="G6979" s="126"/>
      <c r="H6979" s="126"/>
      <c r="I6979" s="126"/>
      <c r="J6979" s="76"/>
      <c r="K6979" s="76"/>
      <c r="L6979" s="76"/>
      <c r="M6979" s="76"/>
      <c r="N6979" s="114"/>
    </row>
    <row r="6980">
      <c r="C6980" s="41"/>
      <c r="D6980" s="142"/>
      <c r="E6980" s="130"/>
      <c r="F6980" s="128"/>
      <c r="G6980" s="128"/>
      <c r="H6980" s="128"/>
      <c r="I6980" s="128"/>
      <c r="J6980" s="81"/>
      <c r="K6980" s="81"/>
      <c r="L6980" s="81"/>
      <c r="M6980" s="81"/>
      <c r="N6980" s="82"/>
    </row>
    <row r="6981">
      <c r="C6981" s="41"/>
      <c r="D6981" s="141"/>
      <c r="E6981" s="118"/>
      <c r="F6981" s="126"/>
      <c r="G6981" s="126"/>
      <c r="H6981" s="126"/>
      <c r="I6981" s="126"/>
      <c r="J6981" s="76"/>
      <c r="K6981" s="76"/>
      <c r="L6981" s="76"/>
      <c r="M6981" s="76"/>
      <c r="N6981" s="114"/>
    </row>
    <row r="6982">
      <c r="C6982" s="41"/>
      <c r="D6982" s="142"/>
      <c r="E6982" s="130"/>
      <c r="F6982" s="128"/>
      <c r="G6982" s="128"/>
      <c r="H6982" s="128"/>
      <c r="I6982" s="128"/>
      <c r="J6982" s="81"/>
      <c r="K6982" s="81"/>
      <c r="L6982" s="81"/>
      <c r="M6982" s="81"/>
      <c r="N6982" s="82"/>
    </row>
    <row r="6983">
      <c r="C6983" s="41"/>
      <c r="D6983" s="141"/>
      <c r="E6983" s="118"/>
      <c r="F6983" s="126"/>
      <c r="G6983" s="126"/>
      <c r="H6983" s="126"/>
      <c r="I6983" s="126"/>
      <c r="J6983" s="76"/>
      <c r="K6983" s="76"/>
      <c r="L6983" s="76"/>
      <c r="M6983" s="76"/>
      <c r="N6983" s="114"/>
    </row>
    <row r="6984">
      <c r="C6984" s="41"/>
      <c r="D6984" s="142"/>
      <c r="E6984" s="130"/>
      <c r="F6984" s="128"/>
      <c r="G6984" s="128"/>
      <c r="H6984" s="128"/>
      <c r="I6984" s="128"/>
      <c r="J6984" s="81"/>
      <c r="K6984" s="81"/>
      <c r="L6984" s="81"/>
      <c r="M6984" s="81"/>
      <c r="N6984" s="82"/>
    </row>
    <row r="6985">
      <c r="C6985" s="41"/>
      <c r="D6985" s="141"/>
      <c r="E6985" s="118"/>
      <c r="F6985" s="126"/>
      <c r="G6985" s="126"/>
      <c r="H6985" s="126"/>
      <c r="I6985" s="126"/>
      <c r="J6985" s="76"/>
      <c r="K6985" s="76"/>
      <c r="L6985" s="76"/>
      <c r="M6985" s="76"/>
      <c r="N6985" s="114"/>
    </row>
    <row r="6986">
      <c r="C6986" s="41"/>
      <c r="D6986" s="142"/>
      <c r="E6986" s="130"/>
      <c r="F6986" s="128"/>
      <c r="G6986" s="128"/>
      <c r="H6986" s="128"/>
      <c r="I6986" s="128"/>
      <c r="J6986" s="81"/>
      <c r="K6986" s="81"/>
      <c r="L6986" s="81"/>
      <c r="M6986" s="81"/>
      <c r="N6986" s="82"/>
    </row>
    <row r="6987">
      <c r="C6987" s="41"/>
      <c r="D6987" s="141"/>
      <c r="E6987" s="118"/>
      <c r="F6987" s="126"/>
      <c r="G6987" s="126"/>
      <c r="H6987" s="126"/>
      <c r="I6987" s="126"/>
      <c r="J6987" s="76"/>
      <c r="K6987" s="76"/>
      <c r="L6987" s="76"/>
      <c r="M6987" s="76"/>
      <c r="N6987" s="114"/>
    </row>
    <row r="6988">
      <c r="C6988" s="41"/>
      <c r="D6988" s="142"/>
      <c r="E6988" s="130"/>
      <c r="F6988" s="128"/>
      <c r="G6988" s="128"/>
      <c r="H6988" s="128"/>
      <c r="I6988" s="128"/>
      <c r="J6988" s="81"/>
      <c r="K6988" s="81"/>
      <c r="L6988" s="81"/>
      <c r="M6988" s="81"/>
      <c r="N6988" s="82"/>
    </row>
    <row r="6989">
      <c r="C6989" s="41"/>
      <c r="D6989" s="141"/>
      <c r="E6989" s="118"/>
      <c r="F6989" s="126"/>
      <c r="G6989" s="126"/>
      <c r="H6989" s="126"/>
      <c r="I6989" s="126"/>
      <c r="J6989" s="76"/>
      <c r="K6989" s="76"/>
      <c r="L6989" s="76"/>
      <c r="M6989" s="76"/>
      <c r="N6989" s="114"/>
    </row>
    <row r="6990">
      <c r="C6990" s="41"/>
      <c r="D6990" s="142"/>
      <c r="E6990" s="130"/>
      <c r="F6990" s="128"/>
      <c r="G6990" s="128"/>
      <c r="H6990" s="128"/>
      <c r="I6990" s="128"/>
      <c r="J6990" s="81"/>
      <c r="K6990" s="81"/>
      <c r="L6990" s="81"/>
      <c r="M6990" s="81"/>
      <c r="N6990" s="82"/>
    </row>
    <row r="6991">
      <c r="C6991" s="41"/>
      <c r="D6991" s="141"/>
      <c r="E6991" s="118"/>
      <c r="F6991" s="126"/>
      <c r="G6991" s="126"/>
      <c r="H6991" s="126"/>
      <c r="I6991" s="126"/>
      <c r="J6991" s="76"/>
      <c r="K6991" s="76"/>
      <c r="L6991" s="76"/>
      <c r="M6991" s="76"/>
      <c r="N6991" s="114"/>
    </row>
    <row r="6992">
      <c r="C6992" s="41"/>
      <c r="D6992" s="142"/>
      <c r="E6992" s="130"/>
      <c r="F6992" s="128"/>
      <c r="G6992" s="128"/>
      <c r="H6992" s="128"/>
      <c r="I6992" s="128"/>
      <c r="J6992" s="81"/>
      <c r="K6992" s="81"/>
      <c r="L6992" s="81"/>
      <c r="M6992" s="81"/>
      <c r="N6992" s="82"/>
    </row>
    <row r="6993">
      <c r="C6993" s="41"/>
      <c r="D6993" s="141"/>
      <c r="E6993" s="118"/>
      <c r="F6993" s="126"/>
      <c r="G6993" s="126"/>
      <c r="H6993" s="126"/>
      <c r="I6993" s="126"/>
      <c r="J6993" s="76"/>
      <c r="K6993" s="76"/>
      <c r="L6993" s="76"/>
      <c r="M6993" s="76"/>
      <c r="N6993" s="114"/>
    </row>
    <row r="6994">
      <c r="C6994" s="41"/>
      <c r="D6994" s="142"/>
      <c r="E6994" s="130"/>
      <c r="F6994" s="128"/>
      <c r="G6994" s="128"/>
      <c r="H6994" s="128"/>
      <c r="I6994" s="128"/>
      <c r="J6994" s="81"/>
      <c r="K6994" s="81"/>
      <c r="L6994" s="81"/>
      <c r="M6994" s="81"/>
      <c r="N6994" s="82"/>
    </row>
    <row r="6995">
      <c r="C6995" s="41"/>
      <c r="D6995" s="141"/>
      <c r="E6995" s="118"/>
      <c r="F6995" s="126"/>
      <c r="G6995" s="126"/>
      <c r="H6995" s="126"/>
      <c r="I6995" s="126"/>
      <c r="J6995" s="76"/>
      <c r="K6995" s="76"/>
      <c r="L6995" s="76"/>
      <c r="M6995" s="76"/>
      <c r="N6995" s="114"/>
    </row>
    <row r="6996">
      <c r="C6996" s="41"/>
      <c r="D6996" s="142"/>
      <c r="E6996" s="130"/>
      <c r="F6996" s="128"/>
      <c r="G6996" s="128"/>
      <c r="H6996" s="128"/>
      <c r="I6996" s="128"/>
      <c r="J6996" s="81"/>
      <c r="K6996" s="81"/>
      <c r="L6996" s="81"/>
      <c r="M6996" s="81"/>
      <c r="N6996" s="82"/>
    </row>
    <row r="6997">
      <c r="C6997" s="41"/>
      <c r="D6997" s="141"/>
      <c r="E6997" s="118"/>
      <c r="F6997" s="126"/>
      <c r="G6997" s="126"/>
      <c r="H6997" s="126"/>
      <c r="I6997" s="126"/>
      <c r="J6997" s="76"/>
      <c r="K6997" s="76"/>
      <c r="L6997" s="76"/>
      <c r="M6997" s="76"/>
      <c r="N6997" s="114"/>
    </row>
    <row r="6998">
      <c r="C6998" s="41"/>
      <c r="D6998" s="142"/>
      <c r="E6998" s="130"/>
      <c r="F6998" s="128"/>
      <c r="G6998" s="128"/>
      <c r="H6998" s="128"/>
      <c r="I6998" s="128"/>
      <c r="J6998" s="81"/>
      <c r="K6998" s="81"/>
      <c r="L6998" s="81"/>
      <c r="M6998" s="81"/>
      <c r="N6998" s="82"/>
    </row>
    <row r="6999">
      <c r="C6999" s="41"/>
      <c r="D6999" s="141"/>
      <c r="E6999" s="118"/>
      <c r="F6999" s="126"/>
      <c r="G6999" s="126"/>
      <c r="H6999" s="126"/>
      <c r="I6999" s="126"/>
      <c r="J6999" s="76"/>
      <c r="K6999" s="76"/>
      <c r="L6999" s="76"/>
      <c r="M6999" s="76"/>
      <c r="N6999" s="114"/>
    </row>
    <row r="7000">
      <c r="C7000" s="41"/>
      <c r="D7000" s="142"/>
      <c r="E7000" s="130"/>
      <c r="F7000" s="128"/>
      <c r="G7000" s="128"/>
      <c r="H7000" s="128"/>
      <c r="I7000" s="128"/>
      <c r="J7000" s="81"/>
      <c r="K7000" s="81"/>
      <c r="L7000" s="81"/>
      <c r="M7000" s="81"/>
      <c r="N7000" s="82"/>
    </row>
    <row r="7001">
      <c r="C7001" s="41"/>
      <c r="D7001" s="141"/>
      <c r="E7001" s="118"/>
      <c r="F7001" s="126"/>
      <c r="G7001" s="126"/>
      <c r="H7001" s="126"/>
      <c r="I7001" s="126"/>
      <c r="J7001" s="76"/>
      <c r="K7001" s="76"/>
      <c r="L7001" s="76"/>
      <c r="M7001" s="76"/>
      <c r="N7001" s="114"/>
    </row>
    <row r="7002">
      <c r="C7002" s="41"/>
      <c r="D7002" s="142"/>
      <c r="E7002" s="130"/>
      <c r="F7002" s="128"/>
      <c r="G7002" s="128"/>
      <c r="H7002" s="128"/>
      <c r="I7002" s="128"/>
      <c r="J7002" s="81"/>
      <c r="K7002" s="81"/>
      <c r="L7002" s="81"/>
      <c r="M7002" s="81"/>
      <c r="N7002" s="82"/>
    </row>
    <row r="7003">
      <c r="C7003" s="41"/>
      <c r="D7003" s="141"/>
      <c r="E7003" s="118"/>
      <c r="F7003" s="126"/>
      <c r="G7003" s="126"/>
      <c r="H7003" s="126"/>
      <c r="I7003" s="126"/>
      <c r="J7003" s="76"/>
      <c r="K7003" s="76"/>
      <c r="L7003" s="76"/>
      <c r="M7003" s="76"/>
      <c r="N7003" s="114"/>
    </row>
    <row r="7004">
      <c r="C7004" s="41"/>
      <c r="D7004" s="142"/>
      <c r="E7004" s="130"/>
      <c r="F7004" s="128"/>
      <c r="G7004" s="128"/>
      <c r="H7004" s="128"/>
      <c r="I7004" s="128"/>
      <c r="J7004" s="81"/>
      <c r="K7004" s="81"/>
      <c r="L7004" s="81"/>
      <c r="M7004" s="81"/>
      <c r="N7004" s="82"/>
    </row>
    <row r="7005">
      <c r="C7005" s="41"/>
      <c r="D7005" s="141"/>
      <c r="E7005" s="118"/>
      <c r="F7005" s="126"/>
      <c r="G7005" s="126"/>
      <c r="H7005" s="126"/>
      <c r="I7005" s="126"/>
      <c r="J7005" s="76"/>
      <c r="K7005" s="76"/>
      <c r="L7005" s="76"/>
      <c r="M7005" s="76"/>
      <c r="N7005" s="114"/>
    </row>
    <row r="7006">
      <c r="C7006" s="41"/>
      <c r="D7006" s="142"/>
      <c r="E7006" s="130"/>
      <c r="F7006" s="128"/>
      <c r="G7006" s="128"/>
      <c r="H7006" s="128"/>
      <c r="I7006" s="128"/>
      <c r="J7006" s="81"/>
      <c r="K7006" s="81"/>
      <c r="L7006" s="81"/>
      <c r="M7006" s="81"/>
      <c r="N7006" s="82"/>
    </row>
    <row r="7007">
      <c r="C7007" s="41"/>
      <c r="D7007" s="141"/>
      <c r="E7007" s="118"/>
      <c r="F7007" s="126"/>
      <c r="G7007" s="126"/>
      <c r="H7007" s="126"/>
      <c r="I7007" s="126"/>
      <c r="J7007" s="76"/>
      <c r="K7007" s="76"/>
      <c r="L7007" s="76"/>
      <c r="M7007" s="76"/>
      <c r="N7007" s="114"/>
    </row>
    <row r="7008">
      <c r="C7008" s="41"/>
      <c r="D7008" s="142"/>
      <c r="E7008" s="130"/>
      <c r="F7008" s="128"/>
      <c r="G7008" s="128"/>
      <c r="H7008" s="128"/>
      <c r="I7008" s="128"/>
      <c r="J7008" s="81"/>
      <c r="K7008" s="81"/>
      <c r="L7008" s="81"/>
      <c r="M7008" s="81"/>
      <c r="N7008" s="82"/>
    </row>
    <row r="7009">
      <c r="C7009" s="41"/>
      <c r="D7009" s="141"/>
      <c r="E7009" s="118"/>
      <c r="F7009" s="126"/>
      <c r="G7009" s="126"/>
      <c r="H7009" s="126"/>
      <c r="I7009" s="126"/>
      <c r="J7009" s="76"/>
      <c r="K7009" s="76"/>
      <c r="L7009" s="76"/>
      <c r="M7009" s="76"/>
      <c r="N7009" s="114"/>
    </row>
    <row r="7010">
      <c r="C7010" s="41"/>
      <c r="D7010" s="142"/>
      <c r="E7010" s="130"/>
      <c r="F7010" s="128"/>
      <c r="G7010" s="128"/>
      <c r="H7010" s="128"/>
      <c r="I7010" s="128"/>
      <c r="J7010" s="81"/>
      <c r="K7010" s="81"/>
      <c r="L7010" s="81"/>
      <c r="M7010" s="81"/>
      <c r="N7010" s="82"/>
    </row>
    <row r="7011">
      <c r="C7011" s="41"/>
      <c r="D7011" s="141"/>
      <c r="E7011" s="118"/>
      <c r="F7011" s="126"/>
      <c r="G7011" s="126"/>
      <c r="H7011" s="126"/>
      <c r="I7011" s="126"/>
      <c r="J7011" s="76"/>
      <c r="K7011" s="76"/>
      <c r="L7011" s="76"/>
      <c r="M7011" s="76"/>
      <c r="N7011" s="114"/>
    </row>
    <row r="7012">
      <c r="C7012" s="41"/>
      <c r="D7012" s="142"/>
      <c r="E7012" s="130"/>
      <c r="F7012" s="128"/>
      <c r="G7012" s="128"/>
      <c r="H7012" s="128"/>
      <c r="I7012" s="128"/>
      <c r="J7012" s="81"/>
      <c r="K7012" s="81"/>
      <c r="L7012" s="81"/>
      <c r="M7012" s="81"/>
      <c r="N7012" s="82"/>
    </row>
    <row r="7013">
      <c r="C7013" s="41"/>
      <c r="D7013" s="141"/>
      <c r="E7013" s="118"/>
      <c r="F7013" s="126"/>
      <c r="G7013" s="126"/>
      <c r="H7013" s="126"/>
      <c r="I7013" s="126"/>
      <c r="J7013" s="76"/>
      <c r="K7013" s="76"/>
      <c r="L7013" s="76"/>
      <c r="M7013" s="76"/>
      <c r="N7013" s="114"/>
    </row>
    <row r="7014">
      <c r="C7014" s="41"/>
      <c r="D7014" s="142"/>
      <c r="E7014" s="130"/>
      <c r="F7014" s="128"/>
      <c r="G7014" s="128"/>
      <c r="H7014" s="128"/>
      <c r="I7014" s="128"/>
      <c r="J7014" s="81"/>
      <c r="K7014" s="81"/>
      <c r="L7014" s="81"/>
      <c r="M7014" s="81"/>
      <c r="N7014" s="82"/>
    </row>
    <row r="7015">
      <c r="C7015" s="41"/>
      <c r="D7015" s="141"/>
      <c r="E7015" s="118"/>
      <c r="F7015" s="126"/>
      <c r="G7015" s="126"/>
      <c r="H7015" s="126"/>
      <c r="I7015" s="126"/>
      <c r="J7015" s="76"/>
      <c r="K7015" s="76"/>
      <c r="L7015" s="76"/>
      <c r="M7015" s="76"/>
      <c r="N7015" s="114"/>
    </row>
    <row r="7016">
      <c r="C7016" s="41"/>
      <c r="D7016" s="142"/>
      <c r="E7016" s="130"/>
      <c r="F7016" s="128"/>
      <c r="G7016" s="128"/>
      <c r="H7016" s="128"/>
      <c r="I7016" s="128"/>
      <c r="J7016" s="81"/>
      <c r="K7016" s="81"/>
      <c r="L7016" s="81"/>
      <c r="M7016" s="81"/>
      <c r="N7016" s="82"/>
    </row>
    <row r="7017">
      <c r="C7017" s="41"/>
      <c r="D7017" s="141"/>
      <c r="E7017" s="118"/>
      <c r="F7017" s="126"/>
      <c r="G7017" s="126"/>
      <c r="H7017" s="126"/>
      <c r="I7017" s="126"/>
      <c r="J7017" s="76"/>
      <c r="K7017" s="76"/>
      <c r="L7017" s="76"/>
      <c r="M7017" s="76"/>
      <c r="N7017" s="114"/>
    </row>
    <row r="7018">
      <c r="C7018" s="41"/>
      <c r="D7018" s="142"/>
      <c r="E7018" s="130"/>
      <c r="F7018" s="128"/>
      <c r="G7018" s="128"/>
      <c r="H7018" s="128"/>
      <c r="I7018" s="128"/>
      <c r="J7018" s="81"/>
      <c r="K7018" s="81"/>
      <c r="L7018" s="81"/>
      <c r="M7018" s="81"/>
      <c r="N7018" s="82"/>
    </row>
    <row r="7019">
      <c r="C7019" s="41"/>
      <c r="D7019" s="141"/>
      <c r="E7019" s="118"/>
      <c r="F7019" s="126"/>
      <c r="G7019" s="126"/>
      <c r="H7019" s="126"/>
      <c r="I7019" s="126"/>
      <c r="J7019" s="76"/>
      <c r="K7019" s="76"/>
      <c r="L7019" s="76"/>
      <c r="M7019" s="76"/>
      <c r="N7019" s="114"/>
    </row>
    <row r="7020">
      <c r="C7020" s="41"/>
      <c r="D7020" s="142"/>
      <c r="E7020" s="130"/>
      <c r="F7020" s="128"/>
      <c r="G7020" s="128"/>
      <c r="H7020" s="128"/>
      <c r="I7020" s="128"/>
      <c r="J7020" s="81"/>
      <c r="K7020" s="81"/>
      <c r="L7020" s="81"/>
      <c r="M7020" s="81"/>
      <c r="N7020" s="82"/>
    </row>
    <row r="7021">
      <c r="C7021" s="41"/>
      <c r="D7021" s="141"/>
      <c r="E7021" s="118"/>
      <c r="F7021" s="126"/>
      <c r="G7021" s="126"/>
      <c r="H7021" s="126"/>
      <c r="I7021" s="126"/>
      <c r="J7021" s="76"/>
      <c r="K7021" s="76"/>
      <c r="L7021" s="76"/>
      <c r="M7021" s="76"/>
      <c r="N7021" s="114"/>
    </row>
    <row r="7022">
      <c r="C7022" s="41"/>
      <c r="D7022" s="142"/>
      <c r="E7022" s="130"/>
      <c r="F7022" s="128"/>
      <c r="G7022" s="128"/>
      <c r="H7022" s="128"/>
      <c r="I7022" s="128"/>
      <c r="J7022" s="81"/>
      <c r="K7022" s="81"/>
      <c r="L7022" s="81"/>
      <c r="M7022" s="81"/>
      <c r="N7022" s="82"/>
    </row>
    <row r="7023">
      <c r="C7023" s="41"/>
      <c r="D7023" s="141"/>
      <c r="E7023" s="118"/>
      <c r="F7023" s="126"/>
      <c r="G7023" s="126"/>
      <c r="H7023" s="126"/>
      <c r="I7023" s="126"/>
      <c r="J7023" s="76"/>
      <c r="K7023" s="76"/>
      <c r="L7023" s="76"/>
      <c r="M7023" s="76"/>
      <c r="N7023" s="114"/>
    </row>
    <row r="7024">
      <c r="C7024" s="41"/>
      <c r="D7024" s="142"/>
      <c r="E7024" s="130"/>
      <c r="F7024" s="128"/>
      <c r="G7024" s="128"/>
      <c r="H7024" s="128"/>
      <c r="I7024" s="128"/>
      <c r="J7024" s="81"/>
      <c r="K7024" s="81"/>
      <c r="L7024" s="81"/>
      <c r="M7024" s="81"/>
      <c r="N7024" s="82"/>
    </row>
    <row r="7025">
      <c r="C7025" s="41"/>
      <c r="D7025" s="141"/>
      <c r="E7025" s="118"/>
      <c r="F7025" s="126"/>
      <c r="G7025" s="126"/>
      <c r="H7025" s="126"/>
      <c r="I7025" s="126"/>
      <c r="J7025" s="76"/>
      <c r="K7025" s="76"/>
      <c r="L7025" s="76"/>
      <c r="M7025" s="76"/>
      <c r="N7025" s="114"/>
    </row>
    <row r="7026">
      <c r="C7026" s="41"/>
      <c r="D7026" s="142"/>
      <c r="E7026" s="130"/>
      <c r="F7026" s="128"/>
      <c r="G7026" s="128"/>
      <c r="H7026" s="128"/>
      <c r="I7026" s="128"/>
      <c r="J7026" s="81"/>
      <c r="K7026" s="81"/>
      <c r="L7026" s="81"/>
      <c r="M7026" s="81"/>
      <c r="N7026" s="82"/>
    </row>
    <row r="7027">
      <c r="C7027" s="41"/>
      <c r="D7027" s="141"/>
      <c r="E7027" s="118"/>
      <c r="F7027" s="126"/>
      <c r="G7027" s="126"/>
      <c r="H7027" s="126"/>
      <c r="I7027" s="126"/>
      <c r="J7027" s="76"/>
      <c r="K7027" s="76"/>
      <c r="L7027" s="76"/>
      <c r="M7027" s="76"/>
      <c r="N7027" s="114"/>
    </row>
    <row r="7028">
      <c r="C7028" s="41"/>
      <c r="D7028" s="142"/>
      <c r="E7028" s="130"/>
      <c r="F7028" s="128"/>
      <c r="G7028" s="128"/>
      <c r="H7028" s="128"/>
      <c r="I7028" s="128"/>
      <c r="J7028" s="81"/>
      <c r="K7028" s="81"/>
      <c r="L7028" s="81"/>
      <c r="M7028" s="81"/>
      <c r="N7028" s="82"/>
    </row>
    <row r="7029">
      <c r="C7029" s="41"/>
      <c r="D7029" s="141"/>
      <c r="E7029" s="118"/>
      <c r="F7029" s="126"/>
      <c r="G7029" s="126"/>
      <c r="H7029" s="126"/>
      <c r="I7029" s="126"/>
      <c r="J7029" s="76"/>
      <c r="K7029" s="76"/>
      <c r="L7029" s="76"/>
      <c r="M7029" s="76"/>
      <c r="N7029" s="114"/>
    </row>
    <row r="7030">
      <c r="C7030" s="41"/>
      <c r="D7030" s="142"/>
      <c r="E7030" s="130"/>
      <c r="F7030" s="128"/>
      <c r="G7030" s="128"/>
      <c r="H7030" s="128"/>
      <c r="I7030" s="128"/>
      <c r="J7030" s="81"/>
      <c r="K7030" s="81"/>
      <c r="L7030" s="81"/>
      <c r="M7030" s="81"/>
      <c r="N7030" s="82"/>
    </row>
    <row r="7031">
      <c r="C7031" s="41"/>
      <c r="D7031" s="141"/>
      <c r="E7031" s="118"/>
      <c r="F7031" s="126"/>
      <c r="G7031" s="126"/>
      <c r="H7031" s="126"/>
      <c r="I7031" s="126"/>
      <c r="J7031" s="76"/>
      <c r="K7031" s="76"/>
      <c r="L7031" s="76"/>
      <c r="M7031" s="76"/>
      <c r="N7031" s="114"/>
    </row>
    <row r="7032">
      <c r="C7032" s="41"/>
      <c r="D7032" s="142"/>
      <c r="E7032" s="130"/>
      <c r="F7032" s="128"/>
      <c r="G7032" s="128"/>
      <c r="H7032" s="128"/>
      <c r="I7032" s="128"/>
      <c r="J7032" s="81"/>
      <c r="K7032" s="81"/>
      <c r="L7032" s="81"/>
      <c r="M7032" s="81"/>
      <c r="N7032" s="82"/>
    </row>
    <row r="7033">
      <c r="C7033" s="41"/>
      <c r="D7033" s="141"/>
      <c r="E7033" s="118"/>
      <c r="F7033" s="126"/>
      <c r="G7033" s="126"/>
      <c r="H7033" s="126"/>
      <c r="I7033" s="126"/>
      <c r="J7033" s="76"/>
      <c r="K7033" s="76"/>
      <c r="L7033" s="76"/>
      <c r="M7033" s="76"/>
      <c r="N7033" s="114"/>
    </row>
    <row r="7034">
      <c r="C7034" s="41"/>
      <c r="D7034" s="142"/>
      <c r="E7034" s="130"/>
      <c r="F7034" s="128"/>
      <c r="G7034" s="128"/>
      <c r="H7034" s="128"/>
      <c r="I7034" s="128"/>
      <c r="J7034" s="81"/>
      <c r="K7034" s="81"/>
      <c r="L7034" s="81"/>
      <c r="M7034" s="81"/>
      <c r="N7034" s="82"/>
    </row>
    <row r="7035">
      <c r="C7035" s="41"/>
      <c r="D7035" s="141"/>
      <c r="E7035" s="118"/>
      <c r="F7035" s="126"/>
      <c r="G7035" s="126"/>
      <c r="H7035" s="126"/>
      <c r="I7035" s="126"/>
      <c r="J7035" s="76"/>
      <c r="K7035" s="76"/>
      <c r="L7035" s="76"/>
      <c r="M7035" s="76"/>
      <c r="N7035" s="114"/>
    </row>
    <row r="7036">
      <c r="C7036" s="41"/>
      <c r="D7036" s="142"/>
      <c r="E7036" s="130"/>
      <c r="F7036" s="128"/>
      <c r="G7036" s="128"/>
      <c r="H7036" s="128"/>
      <c r="I7036" s="128"/>
      <c r="J7036" s="81"/>
      <c r="K7036" s="81"/>
      <c r="L7036" s="81"/>
      <c r="M7036" s="81"/>
      <c r="N7036" s="82"/>
    </row>
    <row r="7037">
      <c r="C7037" s="41"/>
      <c r="D7037" s="141"/>
      <c r="E7037" s="118"/>
      <c r="F7037" s="126"/>
      <c r="G7037" s="126"/>
      <c r="H7037" s="126"/>
      <c r="I7037" s="126"/>
      <c r="J7037" s="76"/>
      <c r="K7037" s="76"/>
      <c r="L7037" s="76"/>
      <c r="M7037" s="76"/>
      <c r="N7037" s="114"/>
    </row>
    <row r="7038">
      <c r="C7038" s="41"/>
      <c r="D7038" s="142"/>
      <c r="E7038" s="130"/>
      <c r="F7038" s="128"/>
      <c r="G7038" s="128"/>
      <c r="H7038" s="128"/>
      <c r="I7038" s="128"/>
      <c r="J7038" s="81"/>
      <c r="K7038" s="81"/>
      <c r="L7038" s="81"/>
      <c r="M7038" s="81"/>
      <c r="N7038" s="82"/>
    </row>
    <row r="7039">
      <c r="C7039" s="41"/>
      <c r="D7039" s="141"/>
      <c r="E7039" s="118"/>
      <c r="F7039" s="126"/>
      <c r="G7039" s="126"/>
      <c r="H7039" s="126"/>
      <c r="I7039" s="126"/>
      <c r="J7039" s="76"/>
      <c r="K7039" s="76"/>
      <c r="L7039" s="76"/>
      <c r="M7039" s="76"/>
      <c r="N7039" s="114"/>
    </row>
    <row r="7040">
      <c r="C7040" s="41"/>
      <c r="D7040" s="142"/>
      <c r="E7040" s="130"/>
      <c r="F7040" s="128"/>
      <c r="G7040" s="128"/>
      <c r="H7040" s="128"/>
      <c r="I7040" s="128"/>
      <c r="J7040" s="81"/>
      <c r="K7040" s="81"/>
      <c r="L7040" s="81"/>
      <c r="M7040" s="81"/>
      <c r="N7040" s="82"/>
    </row>
    <row r="7041">
      <c r="C7041" s="41"/>
      <c r="D7041" s="141"/>
      <c r="E7041" s="118"/>
      <c r="F7041" s="126"/>
      <c r="G7041" s="126"/>
      <c r="H7041" s="126"/>
      <c r="I7041" s="126"/>
      <c r="J7041" s="76"/>
      <c r="K7041" s="76"/>
      <c r="L7041" s="76"/>
      <c r="M7041" s="76"/>
      <c r="N7041" s="114"/>
    </row>
    <row r="7042">
      <c r="C7042" s="41"/>
      <c r="D7042" s="142"/>
      <c r="E7042" s="130"/>
      <c r="F7042" s="128"/>
      <c r="G7042" s="128"/>
      <c r="H7042" s="128"/>
      <c r="I7042" s="128"/>
      <c r="J7042" s="81"/>
      <c r="K7042" s="81"/>
      <c r="L7042" s="81"/>
      <c r="M7042" s="81"/>
      <c r="N7042" s="82"/>
    </row>
    <row r="7043">
      <c r="C7043" s="41"/>
      <c r="D7043" s="141"/>
      <c r="E7043" s="118"/>
      <c r="F7043" s="126"/>
      <c r="G7043" s="126"/>
      <c r="H7043" s="126"/>
      <c r="I7043" s="126"/>
      <c r="J7043" s="76"/>
      <c r="K7043" s="76"/>
      <c r="L7043" s="76"/>
      <c r="M7043" s="76"/>
      <c r="N7043" s="114"/>
    </row>
    <row r="7044">
      <c r="C7044" s="41"/>
      <c r="D7044" s="142"/>
      <c r="E7044" s="130"/>
      <c r="F7044" s="128"/>
      <c r="G7044" s="128"/>
      <c r="H7044" s="128"/>
      <c r="I7044" s="128"/>
      <c r="J7044" s="81"/>
      <c r="K7044" s="81"/>
      <c r="L7044" s="81"/>
      <c r="M7044" s="81"/>
      <c r="N7044" s="82"/>
    </row>
    <row r="7045">
      <c r="C7045" s="41"/>
      <c r="D7045" s="141"/>
      <c r="E7045" s="118"/>
      <c r="F7045" s="126"/>
      <c r="G7045" s="126"/>
      <c r="H7045" s="126"/>
      <c r="I7045" s="126"/>
      <c r="J7045" s="76"/>
      <c r="K7045" s="76"/>
      <c r="L7045" s="76"/>
      <c r="M7045" s="76"/>
      <c r="N7045" s="114"/>
    </row>
    <row r="7046">
      <c r="C7046" s="41"/>
      <c r="D7046" s="142"/>
      <c r="E7046" s="130"/>
      <c r="F7046" s="128"/>
      <c r="G7046" s="128"/>
      <c r="H7046" s="128"/>
      <c r="I7046" s="128"/>
      <c r="J7046" s="81"/>
      <c r="K7046" s="81"/>
      <c r="L7046" s="81"/>
      <c r="M7046" s="81"/>
      <c r="N7046" s="82"/>
    </row>
    <row r="7047">
      <c r="C7047" s="41"/>
      <c r="D7047" s="141"/>
      <c r="E7047" s="118"/>
      <c r="F7047" s="126"/>
      <c r="G7047" s="126"/>
      <c r="H7047" s="126"/>
      <c r="I7047" s="126"/>
      <c r="J7047" s="76"/>
      <c r="K7047" s="76"/>
      <c r="L7047" s="76"/>
      <c r="M7047" s="76"/>
      <c r="N7047" s="114"/>
    </row>
    <row r="7048">
      <c r="C7048" s="41"/>
      <c r="D7048" s="142"/>
      <c r="E7048" s="130"/>
      <c r="F7048" s="128"/>
      <c r="G7048" s="128"/>
      <c r="H7048" s="128"/>
      <c r="I7048" s="128"/>
      <c r="J7048" s="81"/>
      <c r="K7048" s="81"/>
      <c r="L7048" s="81"/>
      <c r="M7048" s="81"/>
      <c r="N7048" s="82"/>
    </row>
    <row r="7049">
      <c r="C7049" s="41"/>
      <c r="D7049" s="141"/>
      <c r="E7049" s="118"/>
      <c r="F7049" s="126"/>
      <c r="G7049" s="126"/>
      <c r="H7049" s="126"/>
      <c r="I7049" s="126"/>
      <c r="J7049" s="76"/>
      <c r="K7049" s="76"/>
      <c r="L7049" s="76"/>
      <c r="M7049" s="76"/>
      <c r="N7049" s="114"/>
    </row>
    <row r="7050">
      <c r="C7050" s="41"/>
      <c r="D7050" s="142"/>
      <c r="E7050" s="130"/>
      <c r="F7050" s="128"/>
      <c r="G7050" s="128"/>
      <c r="H7050" s="128"/>
      <c r="I7050" s="128"/>
      <c r="J7050" s="81"/>
      <c r="K7050" s="81"/>
      <c r="L7050" s="81"/>
      <c r="M7050" s="81"/>
      <c r="N7050" s="82"/>
    </row>
    <row r="7051">
      <c r="C7051" s="41"/>
      <c r="D7051" s="141"/>
      <c r="E7051" s="118"/>
      <c r="F7051" s="126"/>
      <c r="G7051" s="126"/>
      <c r="H7051" s="126"/>
      <c r="I7051" s="126"/>
      <c r="J7051" s="76"/>
      <c r="K7051" s="76"/>
      <c r="L7051" s="76"/>
      <c r="M7051" s="76"/>
      <c r="N7051" s="114"/>
    </row>
    <row r="7052">
      <c r="C7052" s="41"/>
      <c r="D7052" s="142"/>
      <c r="E7052" s="130"/>
      <c r="F7052" s="128"/>
      <c r="G7052" s="128"/>
      <c r="H7052" s="128"/>
      <c r="I7052" s="128"/>
      <c r="J7052" s="81"/>
      <c r="K7052" s="81"/>
      <c r="L7052" s="81"/>
      <c r="M7052" s="81"/>
      <c r="N7052" s="82"/>
    </row>
    <row r="7053">
      <c r="C7053" s="41"/>
      <c r="D7053" s="141"/>
      <c r="E7053" s="118"/>
      <c r="F7053" s="126"/>
      <c r="G7053" s="126"/>
      <c r="H7053" s="126"/>
      <c r="I7053" s="126"/>
      <c r="J7053" s="76"/>
      <c r="K7053" s="76"/>
      <c r="L7053" s="76"/>
      <c r="M7053" s="76"/>
      <c r="N7053" s="114"/>
    </row>
    <row r="7054">
      <c r="C7054" s="41"/>
      <c r="D7054" s="142"/>
      <c r="E7054" s="130"/>
      <c r="F7054" s="128"/>
      <c r="G7054" s="128"/>
      <c r="H7054" s="128"/>
      <c r="I7054" s="128"/>
      <c r="J7054" s="81"/>
      <c r="K7054" s="81"/>
      <c r="L7054" s="81"/>
      <c r="M7054" s="81"/>
      <c r="N7054" s="82"/>
    </row>
    <row r="7055">
      <c r="C7055" s="41"/>
      <c r="D7055" s="141"/>
      <c r="E7055" s="118"/>
      <c r="F7055" s="126"/>
      <c r="G7055" s="126"/>
      <c r="H7055" s="126"/>
      <c r="I7055" s="126"/>
      <c r="J7055" s="76"/>
      <c r="K7055" s="76"/>
      <c r="L7055" s="76"/>
      <c r="M7055" s="76"/>
      <c r="N7055" s="114"/>
    </row>
    <row r="7056">
      <c r="C7056" s="41"/>
      <c r="D7056" s="142"/>
      <c r="E7056" s="130"/>
      <c r="F7056" s="128"/>
      <c r="G7056" s="128"/>
      <c r="H7056" s="128"/>
      <c r="I7056" s="128"/>
      <c r="J7056" s="81"/>
      <c r="K7056" s="81"/>
      <c r="L7056" s="81"/>
      <c r="M7056" s="81"/>
      <c r="N7056" s="82"/>
    </row>
    <row r="7057">
      <c r="C7057" s="41"/>
      <c r="D7057" s="141"/>
      <c r="E7057" s="118"/>
      <c r="F7057" s="126"/>
      <c r="G7057" s="126"/>
      <c r="H7057" s="126"/>
      <c r="I7057" s="126"/>
      <c r="J7057" s="76"/>
      <c r="K7057" s="76"/>
      <c r="L7057" s="76"/>
      <c r="M7057" s="76"/>
      <c r="N7057" s="114"/>
    </row>
    <row r="7058">
      <c r="C7058" s="41"/>
      <c r="D7058" s="142"/>
      <c r="E7058" s="130"/>
      <c r="F7058" s="128"/>
      <c r="G7058" s="128"/>
      <c r="H7058" s="128"/>
      <c r="I7058" s="128"/>
      <c r="J7058" s="81"/>
      <c r="K7058" s="81"/>
      <c r="L7058" s="81"/>
      <c r="M7058" s="81"/>
      <c r="N7058" s="82"/>
    </row>
    <row r="7059">
      <c r="C7059" s="41"/>
      <c r="D7059" s="141"/>
      <c r="E7059" s="118"/>
      <c r="F7059" s="126"/>
      <c r="G7059" s="126"/>
      <c r="H7059" s="126"/>
      <c r="I7059" s="126"/>
      <c r="J7059" s="76"/>
      <c r="K7059" s="76"/>
      <c r="L7059" s="76"/>
      <c r="M7059" s="76"/>
      <c r="N7059" s="114"/>
    </row>
    <row r="7060">
      <c r="C7060" s="41"/>
      <c r="D7060" s="142"/>
      <c r="E7060" s="130"/>
      <c r="F7060" s="128"/>
      <c r="G7060" s="128"/>
      <c r="H7060" s="128"/>
      <c r="I7060" s="128"/>
      <c r="J7060" s="81"/>
      <c r="K7060" s="81"/>
      <c r="L7060" s="81"/>
      <c r="M7060" s="81"/>
      <c r="N7060" s="82"/>
    </row>
    <row r="7061">
      <c r="C7061" s="41"/>
      <c r="D7061" s="141"/>
      <c r="E7061" s="118"/>
      <c r="F7061" s="126"/>
      <c r="G7061" s="126"/>
      <c r="H7061" s="126"/>
      <c r="I7061" s="126"/>
      <c r="J7061" s="76"/>
      <c r="K7061" s="76"/>
      <c r="L7061" s="76"/>
      <c r="M7061" s="76"/>
      <c r="N7061" s="114"/>
    </row>
    <row r="7062">
      <c r="C7062" s="41"/>
      <c r="D7062" s="142"/>
      <c r="E7062" s="130"/>
      <c r="F7062" s="128"/>
      <c r="G7062" s="128"/>
      <c r="H7062" s="128"/>
      <c r="I7062" s="128"/>
      <c r="J7062" s="81"/>
      <c r="K7062" s="81"/>
      <c r="L7062" s="81"/>
      <c r="M7062" s="81"/>
      <c r="N7062" s="82"/>
    </row>
    <row r="7063">
      <c r="C7063" s="41"/>
      <c r="D7063" s="141"/>
      <c r="E7063" s="118"/>
      <c r="F7063" s="126"/>
      <c r="G7063" s="126"/>
      <c r="H7063" s="126"/>
      <c r="I7063" s="126"/>
      <c r="J7063" s="76"/>
      <c r="K7063" s="76"/>
      <c r="L7063" s="76"/>
      <c r="M7063" s="76"/>
      <c r="N7063" s="114"/>
    </row>
    <row r="7064">
      <c r="C7064" s="41"/>
      <c r="D7064" s="142"/>
      <c r="E7064" s="130"/>
      <c r="F7064" s="128"/>
      <c r="G7064" s="128"/>
      <c r="H7064" s="128"/>
      <c r="I7064" s="128"/>
      <c r="J7064" s="81"/>
      <c r="K7064" s="81"/>
      <c r="L7064" s="81"/>
      <c r="M7064" s="81"/>
      <c r="N7064" s="82"/>
    </row>
    <row r="7065">
      <c r="C7065" s="41"/>
      <c r="D7065" s="141"/>
      <c r="E7065" s="118"/>
      <c r="F7065" s="126"/>
      <c r="G7065" s="126"/>
      <c r="H7065" s="126"/>
      <c r="I7065" s="126"/>
      <c r="J7065" s="76"/>
      <c r="K7065" s="76"/>
      <c r="L7065" s="76"/>
      <c r="M7065" s="76"/>
      <c r="N7065" s="114"/>
    </row>
    <row r="7066">
      <c r="C7066" s="41"/>
      <c r="D7066" s="142"/>
      <c r="E7066" s="130"/>
      <c r="F7066" s="128"/>
      <c r="G7066" s="128"/>
      <c r="H7066" s="128"/>
      <c r="I7066" s="128"/>
      <c r="J7066" s="81"/>
      <c r="K7066" s="81"/>
      <c r="L7066" s="81"/>
      <c r="M7066" s="81"/>
      <c r="N7066" s="82"/>
    </row>
    <row r="7067">
      <c r="C7067" s="41"/>
      <c r="D7067" s="141"/>
      <c r="E7067" s="118"/>
      <c r="F7067" s="126"/>
      <c r="G7067" s="126"/>
      <c r="H7067" s="126"/>
      <c r="I7067" s="126"/>
      <c r="J7067" s="76"/>
      <c r="K7067" s="76"/>
      <c r="L7067" s="76"/>
      <c r="M7067" s="76"/>
      <c r="N7067" s="114"/>
    </row>
    <row r="7068">
      <c r="C7068" s="41"/>
      <c r="D7068" s="142"/>
      <c r="E7068" s="130"/>
      <c r="F7068" s="128"/>
      <c r="G7068" s="128"/>
      <c r="H7068" s="128"/>
      <c r="I7068" s="128"/>
      <c r="J7068" s="81"/>
      <c r="K7068" s="81"/>
      <c r="L7068" s="81"/>
      <c r="M7068" s="81"/>
      <c r="N7068" s="82"/>
    </row>
    <row r="7069">
      <c r="C7069" s="41"/>
      <c r="D7069" s="141"/>
      <c r="E7069" s="118"/>
      <c r="F7069" s="126"/>
      <c r="G7069" s="126"/>
      <c r="H7069" s="126"/>
      <c r="I7069" s="126"/>
      <c r="J7069" s="76"/>
      <c r="K7069" s="76"/>
      <c r="L7069" s="76"/>
      <c r="M7069" s="76"/>
      <c r="N7069" s="114"/>
    </row>
    <row r="7070">
      <c r="C7070" s="41"/>
      <c r="D7070" s="142"/>
      <c r="E7070" s="130"/>
      <c r="F7070" s="128"/>
      <c r="G7070" s="128"/>
      <c r="H7070" s="128"/>
      <c r="I7070" s="128"/>
      <c r="J7070" s="81"/>
      <c r="K7070" s="81"/>
      <c r="L7070" s="81"/>
      <c r="M7070" s="81"/>
      <c r="N7070" s="82"/>
    </row>
    <row r="7071">
      <c r="C7071" s="41"/>
      <c r="D7071" s="141"/>
      <c r="E7071" s="118"/>
      <c r="F7071" s="126"/>
      <c r="G7071" s="126"/>
      <c r="H7071" s="126"/>
      <c r="I7071" s="126"/>
      <c r="J7071" s="76"/>
      <c r="K7071" s="76"/>
      <c r="L7071" s="76"/>
      <c r="M7071" s="76"/>
      <c r="N7071" s="114"/>
    </row>
    <row r="7072">
      <c r="C7072" s="41"/>
      <c r="D7072" s="142"/>
      <c r="E7072" s="130"/>
      <c r="F7072" s="128"/>
      <c r="G7072" s="128"/>
      <c r="H7072" s="128"/>
      <c r="I7072" s="128"/>
      <c r="J7072" s="81"/>
      <c r="K7072" s="81"/>
      <c r="L7072" s="81"/>
      <c r="M7072" s="81"/>
      <c r="N7072" s="82"/>
    </row>
    <row r="7073">
      <c r="C7073" s="41"/>
      <c r="D7073" s="141"/>
      <c r="E7073" s="118"/>
      <c r="F7073" s="126"/>
      <c r="G7073" s="126"/>
      <c r="H7073" s="126"/>
      <c r="I7073" s="126"/>
      <c r="J7073" s="76"/>
      <c r="K7073" s="76"/>
      <c r="L7073" s="76"/>
      <c r="M7073" s="76"/>
      <c r="N7073" s="114"/>
    </row>
    <row r="7074">
      <c r="C7074" s="41"/>
      <c r="D7074" s="142"/>
      <c r="E7074" s="130"/>
      <c r="F7074" s="128"/>
      <c r="G7074" s="128"/>
      <c r="H7074" s="128"/>
      <c r="I7074" s="128"/>
      <c r="J7074" s="81"/>
      <c r="K7074" s="81"/>
      <c r="L7074" s="81"/>
      <c r="M7074" s="81"/>
      <c r="N7074" s="82"/>
    </row>
    <row r="7075">
      <c r="C7075" s="41"/>
      <c r="D7075" s="141"/>
      <c r="E7075" s="118"/>
      <c r="F7075" s="126"/>
      <c r="G7075" s="126"/>
      <c r="H7075" s="126"/>
      <c r="I7075" s="126"/>
      <c r="J7075" s="76"/>
      <c r="K7075" s="76"/>
      <c r="L7075" s="76"/>
      <c r="M7075" s="76"/>
      <c r="N7075" s="114"/>
    </row>
    <row r="7076">
      <c r="C7076" s="41"/>
      <c r="D7076" s="142"/>
      <c r="E7076" s="130"/>
      <c r="F7076" s="128"/>
      <c r="G7076" s="128"/>
      <c r="H7076" s="128"/>
      <c r="I7076" s="128"/>
      <c r="J7076" s="81"/>
      <c r="K7076" s="81"/>
      <c r="L7076" s="81"/>
      <c r="M7076" s="81"/>
      <c r="N7076" s="82"/>
    </row>
    <row r="7077">
      <c r="C7077" s="41"/>
      <c r="D7077" s="141"/>
      <c r="E7077" s="118"/>
      <c r="F7077" s="126"/>
      <c r="G7077" s="126"/>
      <c r="H7077" s="126"/>
      <c r="I7077" s="126"/>
      <c r="J7077" s="76"/>
      <c r="K7077" s="76"/>
      <c r="L7077" s="76"/>
      <c r="M7077" s="76"/>
      <c r="N7077" s="114"/>
    </row>
    <row r="7078">
      <c r="C7078" s="41"/>
      <c r="D7078" s="142"/>
      <c r="E7078" s="130"/>
      <c r="F7078" s="128"/>
      <c r="G7078" s="128"/>
      <c r="H7078" s="128"/>
      <c r="I7078" s="128"/>
      <c r="J7078" s="81"/>
      <c r="K7078" s="81"/>
      <c r="L7078" s="81"/>
      <c r="M7078" s="81"/>
      <c r="N7078" s="82"/>
    </row>
    <row r="7079">
      <c r="C7079" s="41"/>
      <c r="D7079" s="141"/>
      <c r="E7079" s="118"/>
      <c r="F7079" s="126"/>
      <c r="G7079" s="126"/>
      <c r="H7079" s="126"/>
      <c r="I7079" s="126"/>
      <c r="J7079" s="76"/>
      <c r="K7079" s="76"/>
      <c r="L7079" s="76"/>
      <c r="M7079" s="76"/>
      <c r="N7079" s="114"/>
    </row>
    <row r="7080">
      <c r="C7080" s="41"/>
      <c r="D7080" s="142"/>
      <c r="E7080" s="130"/>
      <c r="F7080" s="128"/>
      <c r="G7080" s="128"/>
      <c r="H7080" s="128"/>
      <c r="I7080" s="128"/>
      <c r="J7080" s="81"/>
      <c r="K7080" s="81"/>
      <c r="L7080" s="81"/>
      <c r="M7080" s="81"/>
      <c r="N7080" s="82"/>
    </row>
    <row r="7081">
      <c r="C7081" s="41"/>
      <c r="D7081" s="141"/>
      <c r="E7081" s="118"/>
      <c r="F7081" s="126"/>
      <c r="G7081" s="126"/>
      <c r="H7081" s="126"/>
      <c r="I7081" s="126"/>
      <c r="J7081" s="76"/>
      <c r="K7081" s="76"/>
      <c r="L7081" s="76"/>
      <c r="M7081" s="76"/>
      <c r="N7081" s="114"/>
    </row>
    <row r="7082">
      <c r="C7082" s="41"/>
      <c r="D7082" s="142"/>
      <c r="E7082" s="130"/>
      <c r="F7082" s="128"/>
      <c r="G7082" s="128"/>
      <c r="H7082" s="128"/>
      <c r="I7082" s="128"/>
      <c r="J7082" s="81"/>
      <c r="K7082" s="81"/>
      <c r="L7082" s="81"/>
      <c r="M7082" s="81"/>
      <c r="N7082" s="82"/>
    </row>
    <row r="7083">
      <c r="C7083" s="41"/>
      <c r="D7083" s="141"/>
      <c r="E7083" s="118"/>
      <c r="F7083" s="126"/>
      <c r="G7083" s="126"/>
      <c r="H7083" s="126"/>
      <c r="I7083" s="126"/>
      <c r="J7083" s="76"/>
      <c r="K7083" s="76"/>
      <c r="L7083" s="76"/>
      <c r="M7083" s="76"/>
      <c r="N7083" s="114"/>
    </row>
    <row r="7084">
      <c r="C7084" s="41"/>
      <c r="D7084" s="142"/>
      <c r="E7084" s="130"/>
      <c r="F7084" s="128"/>
      <c r="G7084" s="128"/>
      <c r="H7084" s="128"/>
      <c r="I7084" s="128"/>
      <c r="J7084" s="81"/>
      <c r="K7084" s="81"/>
      <c r="L7084" s="81"/>
      <c r="M7084" s="81"/>
      <c r="N7084" s="82"/>
    </row>
    <row r="7085">
      <c r="C7085" s="41"/>
      <c r="D7085" s="141"/>
      <c r="E7085" s="118"/>
      <c r="F7085" s="126"/>
      <c r="G7085" s="126"/>
      <c r="H7085" s="126"/>
      <c r="I7085" s="126"/>
      <c r="J7085" s="76"/>
      <c r="K7085" s="76"/>
      <c r="L7085" s="76"/>
      <c r="M7085" s="76"/>
      <c r="N7085" s="114"/>
    </row>
    <row r="7086">
      <c r="C7086" s="41"/>
      <c r="D7086" s="142"/>
      <c r="E7086" s="130"/>
      <c r="F7086" s="128"/>
      <c r="G7086" s="128"/>
      <c r="H7086" s="128"/>
      <c r="I7086" s="128"/>
      <c r="J7086" s="81"/>
      <c r="K7086" s="81"/>
      <c r="L7086" s="81"/>
      <c r="M7086" s="81"/>
      <c r="N7086" s="82"/>
    </row>
    <row r="7087">
      <c r="C7087" s="41"/>
      <c r="D7087" s="141"/>
      <c r="E7087" s="118"/>
      <c r="F7087" s="126"/>
      <c r="G7087" s="126"/>
      <c r="H7087" s="126"/>
      <c r="I7087" s="126"/>
      <c r="J7087" s="76"/>
      <c r="K7087" s="76"/>
      <c r="L7087" s="76"/>
      <c r="M7087" s="76"/>
      <c r="N7087" s="114"/>
    </row>
    <row r="7088">
      <c r="C7088" s="41"/>
      <c r="D7088" s="142"/>
      <c r="E7088" s="130"/>
      <c r="F7088" s="128"/>
      <c r="G7088" s="128"/>
      <c r="H7088" s="128"/>
      <c r="I7088" s="128"/>
      <c r="J7088" s="81"/>
      <c r="K7088" s="81"/>
      <c r="L7088" s="81"/>
      <c r="M7088" s="81"/>
      <c r="N7088" s="82"/>
    </row>
    <row r="7089">
      <c r="C7089" s="41"/>
      <c r="D7089" s="141"/>
      <c r="E7089" s="118"/>
      <c r="F7089" s="126"/>
      <c r="G7089" s="126"/>
      <c r="H7089" s="126"/>
      <c r="I7089" s="126"/>
      <c r="J7089" s="76"/>
      <c r="K7089" s="76"/>
      <c r="L7089" s="76"/>
      <c r="M7089" s="76"/>
      <c r="N7089" s="114"/>
    </row>
    <row r="7090">
      <c r="C7090" s="41"/>
      <c r="D7090" s="142"/>
      <c r="E7090" s="130"/>
      <c r="F7090" s="128"/>
      <c r="G7090" s="128"/>
      <c r="H7090" s="128"/>
      <c r="I7090" s="128"/>
      <c r="J7090" s="81"/>
      <c r="K7090" s="81"/>
      <c r="L7090" s="81"/>
      <c r="M7090" s="81"/>
      <c r="N7090" s="82"/>
    </row>
    <row r="7091">
      <c r="C7091" s="41"/>
      <c r="D7091" s="141"/>
      <c r="E7091" s="118"/>
      <c r="F7091" s="126"/>
      <c r="G7091" s="126"/>
      <c r="H7091" s="126"/>
      <c r="I7091" s="126"/>
      <c r="J7091" s="76"/>
      <c r="K7091" s="76"/>
      <c r="L7091" s="76"/>
      <c r="M7091" s="76"/>
      <c r="N7091" s="114"/>
    </row>
    <row r="7092">
      <c r="C7092" s="41"/>
      <c r="D7092" s="142"/>
      <c r="E7092" s="130"/>
      <c r="F7092" s="128"/>
      <c r="G7092" s="128"/>
      <c r="H7092" s="128"/>
      <c r="I7092" s="128"/>
      <c r="J7092" s="81"/>
      <c r="K7092" s="81"/>
      <c r="L7092" s="81"/>
      <c r="M7092" s="81"/>
      <c r="N7092" s="82"/>
    </row>
    <row r="7093">
      <c r="C7093" s="41"/>
      <c r="D7093" s="141"/>
      <c r="E7093" s="118"/>
      <c r="F7093" s="126"/>
      <c r="G7093" s="126"/>
      <c r="H7093" s="126"/>
      <c r="I7093" s="126"/>
      <c r="J7093" s="76"/>
      <c r="K7093" s="76"/>
      <c r="L7093" s="76"/>
      <c r="M7093" s="76"/>
      <c r="N7093" s="114"/>
    </row>
    <row r="7094">
      <c r="C7094" s="41"/>
      <c r="D7094" s="142"/>
      <c r="E7094" s="130"/>
      <c r="F7094" s="128"/>
      <c r="G7094" s="128"/>
      <c r="H7094" s="128"/>
      <c r="I7094" s="128"/>
      <c r="J7094" s="81"/>
      <c r="K7094" s="81"/>
      <c r="L7094" s="81"/>
      <c r="M7094" s="81"/>
      <c r="N7094" s="82"/>
    </row>
    <row r="7095">
      <c r="C7095" s="41"/>
      <c r="D7095" s="141"/>
      <c r="E7095" s="118"/>
      <c r="F7095" s="126"/>
      <c r="G7095" s="126"/>
      <c r="H7095" s="126"/>
      <c r="I7095" s="126"/>
      <c r="J7095" s="76"/>
      <c r="K7095" s="76"/>
      <c r="L7095" s="76"/>
      <c r="M7095" s="76"/>
      <c r="N7095" s="114"/>
    </row>
    <row r="7096">
      <c r="C7096" s="41"/>
      <c r="D7096" s="142"/>
      <c r="E7096" s="130"/>
      <c r="F7096" s="128"/>
      <c r="G7096" s="128"/>
      <c r="H7096" s="128"/>
      <c r="I7096" s="128"/>
      <c r="J7096" s="81"/>
      <c r="K7096" s="81"/>
      <c r="L7096" s="81"/>
      <c r="M7096" s="81"/>
      <c r="N7096" s="82"/>
    </row>
    <row r="7097">
      <c r="C7097" s="41"/>
      <c r="D7097" s="141"/>
      <c r="E7097" s="118"/>
      <c r="F7097" s="126"/>
      <c r="G7097" s="126"/>
      <c r="H7097" s="126"/>
      <c r="I7097" s="126"/>
      <c r="J7097" s="76"/>
      <c r="K7097" s="76"/>
      <c r="L7097" s="76"/>
      <c r="M7097" s="76"/>
      <c r="N7097" s="114"/>
    </row>
    <row r="7098">
      <c r="C7098" s="41"/>
      <c r="D7098" s="142"/>
      <c r="E7098" s="130"/>
      <c r="F7098" s="128"/>
      <c r="G7098" s="128"/>
      <c r="H7098" s="128"/>
      <c r="I7098" s="128"/>
      <c r="J7098" s="81"/>
      <c r="K7098" s="81"/>
      <c r="L7098" s="81"/>
      <c r="M7098" s="81"/>
      <c r="N7098" s="82"/>
    </row>
    <row r="7099">
      <c r="C7099" s="41"/>
      <c r="D7099" s="141"/>
      <c r="E7099" s="118"/>
      <c r="F7099" s="126"/>
      <c r="G7099" s="126"/>
      <c r="H7099" s="126"/>
      <c r="I7099" s="126"/>
      <c r="J7099" s="76"/>
      <c r="K7099" s="76"/>
      <c r="L7099" s="76"/>
      <c r="M7099" s="76"/>
      <c r="N7099" s="114"/>
    </row>
    <row r="7100">
      <c r="C7100" s="41"/>
      <c r="D7100" s="142"/>
      <c r="E7100" s="130"/>
      <c r="F7100" s="128"/>
      <c r="G7100" s="128"/>
      <c r="H7100" s="128"/>
      <c r="I7100" s="128"/>
      <c r="J7100" s="81"/>
      <c r="K7100" s="81"/>
      <c r="L7100" s="81"/>
      <c r="M7100" s="81"/>
      <c r="N7100" s="82"/>
    </row>
    <row r="7101">
      <c r="C7101" s="41"/>
      <c r="D7101" s="141"/>
      <c r="E7101" s="118"/>
      <c r="F7101" s="126"/>
      <c r="G7101" s="126"/>
      <c r="H7101" s="126"/>
      <c r="I7101" s="126"/>
      <c r="J7101" s="76"/>
      <c r="K7101" s="76"/>
      <c r="L7101" s="76"/>
      <c r="M7101" s="76"/>
      <c r="N7101" s="114"/>
    </row>
    <row r="7102">
      <c r="C7102" s="41"/>
      <c r="D7102" s="142"/>
      <c r="E7102" s="130"/>
      <c r="F7102" s="128"/>
      <c r="G7102" s="128"/>
      <c r="H7102" s="128"/>
      <c r="I7102" s="128"/>
      <c r="J7102" s="81"/>
      <c r="K7102" s="81"/>
      <c r="L7102" s="81"/>
      <c r="M7102" s="81"/>
      <c r="N7102" s="82"/>
    </row>
    <row r="7103">
      <c r="C7103" s="41"/>
      <c r="D7103" s="141"/>
      <c r="E7103" s="118"/>
      <c r="F7103" s="126"/>
      <c r="G7103" s="126"/>
      <c r="H7103" s="126"/>
      <c r="I7103" s="126"/>
      <c r="J7103" s="76"/>
      <c r="K7103" s="76"/>
      <c r="L7103" s="76"/>
      <c r="M7103" s="76"/>
      <c r="N7103" s="114"/>
    </row>
    <row r="7104">
      <c r="C7104" s="41"/>
      <c r="D7104" s="142"/>
      <c r="E7104" s="130"/>
      <c r="F7104" s="128"/>
      <c r="G7104" s="128"/>
      <c r="H7104" s="128"/>
      <c r="I7104" s="128"/>
      <c r="J7104" s="81"/>
      <c r="K7104" s="81"/>
      <c r="L7104" s="81"/>
      <c r="M7104" s="81"/>
      <c r="N7104" s="82"/>
    </row>
    <row r="7105">
      <c r="C7105" s="41"/>
      <c r="D7105" s="141"/>
      <c r="E7105" s="118"/>
      <c r="F7105" s="126"/>
      <c r="G7105" s="126"/>
      <c r="H7105" s="126"/>
      <c r="I7105" s="126"/>
      <c r="J7105" s="76"/>
      <c r="K7105" s="76"/>
      <c r="L7105" s="76"/>
      <c r="M7105" s="76"/>
      <c r="N7105" s="114"/>
    </row>
    <row r="7106">
      <c r="C7106" s="41"/>
      <c r="D7106" s="142"/>
      <c r="E7106" s="130"/>
      <c r="F7106" s="128"/>
      <c r="G7106" s="128"/>
      <c r="H7106" s="128"/>
      <c r="I7106" s="128"/>
      <c r="J7106" s="81"/>
      <c r="K7106" s="81"/>
      <c r="L7106" s="81"/>
      <c r="M7106" s="81"/>
      <c r="N7106" s="82"/>
    </row>
    <row r="7107">
      <c r="C7107" s="41"/>
      <c r="D7107" s="141"/>
      <c r="E7107" s="118"/>
      <c r="F7107" s="126"/>
      <c r="G7107" s="126"/>
      <c r="H7107" s="126"/>
      <c r="I7107" s="126"/>
      <c r="J7107" s="76"/>
      <c r="K7107" s="76"/>
      <c r="L7107" s="76"/>
      <c r="M7107" s="76"/>
      <c r="N7107" s="114"/>
    </row>
    <row r="7108">
      <c r="C7108" s="41"/>
      <c r="D7108" s="142"/>
      <c r="E7108" s="130"/>
      <c r="F7108" s="128"/>
      <c r="G7108" s="128"/>
      <c r="H7108" s="128"/>
      <c r="I7108" s="128"/>
      <c r="J7108" s="81"/>
      <c r="K7108" s="81"/>
      <c r="L7108" s="81"/>
      <c r="M7108" s="81"/>
      <c r="N7108" s="82"/>
    </row>
    <row r="7109">
      <c r="C7109" s="41"/>
      <c r="D7109" s="141"/>
      <c r="E7109" s="118"/>
      <c r="F7109" s="126"/>
      <c r="G7109" s="126"/>
      <c r="H7109" s="126"/>
      <c r="I7109" s="126"/>
      <c r="J7109" s="76"/>
      <c r="K7109" s="76"/>
      <c r="L7109" s="76"/>
      <c r="M7109" s="76"/>
      <c r="N7109" s="114"/>
    </row>
    <row r="7110">
      <c r="C7110" s="41"/>
      <c r="D7110" s="142"/>
      <c r="E7110" s="130"/>
      <c r="F7110" s="128"/>
      <c r="G7110" s="128"/>
      <c r="H7110" s="128"/>
      <c r="I7110" s="128"/>
      <c r="J7110" s="81"/>
      <c r="K7110" s="81"/>
      <c r="L7110" s="81"/>
      <c r="M7110" s="81"/>
      <c r="N7110" s="82"/>
    </row>
    <row r="7111">
      <c r="C7111" s="41"/>
      <c r="D7111" s="141"/>
      <c r="E7111" s="118"/>
      <c r="F7111" s="126"/>
      <c r="G7111" s="126"/>
      <c r="H7111" s="126"/>
      <c r="I7111" s="126"/>
      <c r="J7111" s="76"/>
      <c r="K7111" s="76"/>
      <c r="L7111" s="76"/>
      <c r="M7111" s="76"/>
      <c r="N7111" s="114"/>
    </row>
    <row r="7112">
      <c r="C7112" s="41"/>
      <c r="D7112" s="142"/>
      <c r="E7112" s="130"/>
      <c r="F7112" s="128"/>
      <c r="G7112" s="128"/>
      <c r="H7112" s="128"/>
      <c r="I7112" s="128"/>
      <c r="J7112" s="81"/>
      <c r="K7112" s="81"/>
      <c r="L7112" s="81"/>
      <c r="M7112" s="81"/>
      <c r="N7112" s="82"/>
    </row>
    <row r="7113">
      <c r="C7113" s="41"/>
      <c r="D7113" s="141"/>
      <c r="E7113" s="118"/>
      <c r="F7113" s="126"/>
      <c r="G7113" s="126"/>
      <c r="H7113" s="126"/>
      <c r="I7113" s="126"/>
      <c r="J7113" s="76"/>
      <c r="K7113" s="76"/>
      <c r="L7113" s="76"/>
      <c r="M7113" s="76"/>
      <c r="N7113" s="114"/>
    </row>
    <row r="7114">
      <c r="C7114" s="41"/>
      <c r="D7114" s="142"/>
      <c r="E7114" s="130"/>
      <c r="F7114" s="128"/>
      <c r="G7114" s="128"/>
      <c r="H7114" s="128"/>
      <c r="I7114" s="128"/>
      <c r="J7114" s="81"/>
      <c r="K7114" s="81"/>
      <c r="L7114" s="81"/>
      <c r="M7114" s="81"/>
      <c r="N7114" s="82"/>
    </row>
    <row r="7115">
      <c r="C7115" s="41"/>
      <c r="D7115" s="141"/>
      <c r="E7115" s="118"/>
      <c r="F7115" s="126"/>
      <c r="G7115" s="126"/>
      <c r="H7115" s="126"/>
      <c r="I7115" s="126"/>
      <c r="J7115" s="76"/>
      <c r="K7115" s="76"/>
      <c r="L7115" s="76"/>
      <c r="M7115" s="76"/>
      <c r="N7115" s="114"/>
    </row>
    <row r="7116">
      <c r="C7116" s="41"/>
      <c r="D7116" s="142"/>
      <c r="E7116" s="130"/>
      <c r="F7116" s="128"/>
      <c r="G7116" s="128"/>
      <c r="H7116" s="128"/>
      <c r="I7116" s="128"/>
      <c r="J7116" s="81"/>
      <c r="K7116" s="81"/>
      <c r="L7116" s="81"/>
      <c r="M7116" s="81"/>
      <c r="N7116" s="82"/>
    </row>
    <row r="7117">
      <c r="C7117" s="41"/>
      <c r="D7117" s="141"/>
      <c r="E7117" s="118"/>
      <c r="F7117" s="126"/>
      <c r="G7117" s="126"/>
      <c r="H7117" s="126"/>
      <c r="I7117" s="126"/>
      <c r="J7117" s="76"/>
      <c r="K7117" s="76"/>
      <c r="L7117" s="76"/>
      <c r="M7117" s="76"/>
      <c r="N7117" s="114"/>
    </row>
    <row r="7118">
      <c r="C7118" s="41"/>
      <c r="D7118" s="142"/>
      <c r="E7118" s="130"/>
      <c r="F7118" s="128"/>
      <c r="G7118" s="128"/>
      <c r="H7118" s="128"/>
      <c r="I7118" s="128"/>
      <c r="J7118" s="81"/>
      <c r="K7118" s="81"/>
      <c r="L7118" s="81"/>
      <c r="M7118" s="81"/>
      <c r="N7118" s="82"/>
    </row>
    <row r="7119">
      <c r="C7119" s="41"/>
      <c r="D7119" s="141"/>
      <c r="E7119" s="118"/>
      <c r="F7119" s="126"/>
      <c r="G7119" s="126"/>
      <c r="H7119" s="126"/>
      <c r="I7119" s="126"/>
      <c r="J7119" s="76"/>
      <c r="K7119" s="76"/>
      <c r="L7119" s="76"/>
      <c r="M7119" s="76"/>
      <c r="N7119" s="114"/>
    </row>
    <row r="7120">
      <c r="C7120" s="41"/>
      <c r="D7120" s="142"/>
      <c r="E7120" s="130"/>
      <c r="F7120" s="128"/>
      <c r="G7120" s="128"/>
      <c r="H7120" s="128"/>
      <c r="I7120" s="128"/>
      <c r="J7120" s="81"/>
      <c r="K7120" s="81"/>
      <c r="L7120" s="81"/>
      <c r="M7120" s="81"/>
      <c r="N7120" s="82"/>
    </row>
    <row r="7121">
      <c r="C7121" s="41"/>
      <c r="D7121" s="141"/>
      <c r="E7121" s="118"/>
      <c r="F7121" s="126"/>
      <c r="G7121" s="126"/>
      <c r="H7121" s="126"/>
      <c r="I7121" s="126"/>
      <c r="J7121" s="76"/>
      <c r="K7121" s="76"/>
      <c r="L7121" s="76"/>
      <c r="M7121" s="76"/>
      <c r="N7121" s="114"/>
    </row>
    <row r="7122">
      <c r="C7122" s="41"/>
      <c r="D7122" s="142"/>
      <c r="E7122" s="130"/>
      <c r="F7122" s="128"/>
      <c r="G7122" s="128"/>
      <c r="H7122" s="128"/>
      <c r="I7122" s="128"/>
      <c r="J7122" s="81"/>
      <c r="K7122" s="81"/>
      <c r="L7122" s="81"/>
      <c r="M7122" s="81"/>
      <c r="N7122" s="82"/>
    </row>
    <row r="7123">
      <c r="C7123" s="41"/>
      <c r="D7123" s="141"/>
      <c r="E7123" s="118"/>
      <c r="F7123" s="126"/>
      <c r="G7123" s="126"/>
      <c r="H7123" s="126"/>
      <c r="I7123" s="126"/>
      <c r="J7123" s="76"/>
      <c r="K7123" s="76"/>
      <c r="L7123" s="76"/>
      <c r="M7123" s="76"/>
      <c r="N7123" s="114"/>
    </row>
    <row r="7124">
      <c r="C7124" s="41"/>
      <c r="D7124" s="142"/>
      <c r="E7124" s="130"/>
      <c r="F7124" s="128"/>
      <c r="G7124" s="128"/>
      <c r="H7124" s="128"/>
      <c r="I7124" s="128"/>
      <c r="J7124" s="81"/>
      <c r="K7124" s="81"/>
      <c r="L7124" s="81"/>
      <c r="M7124" s="81"/>
      <c r="N7124" s="82"/>
    </row>
    <row r="7125">
      <c r="C7125" s="41"/>
      <c r="D7125" s="141"/>
      <c r="E7125" s="118"/>
      <c r="F7125" s="126"/>
      <c r="G7125" s="126"/>
      <c r="H7125" s="126"/>
      <c r="I7125" s="126"/>
      <c r="J7125" s="76"/>
      <c r="K7125" s="76"/>
      <c r="L7125" s="76"/>
      <c r="M7125" s="76"/>
      <c r="N7125" s="114"/>
    </row>
    <row r="7126">
      <c r="C7126" s="41"/>
      <c r="D7126" s="142"/>
      <c r="E7126" s="130"/>
      <c r="F7126" s="128"/>
      <c r="G7126" s="128"/>
      <c r="H7126" s="128"/>
      <c r="I7126" s="128"/>
      <c r="J7126" s="81"/>
      <c r="K7126" s="81"/>
      <c r="L7126" s="81"/>
      <c r="M7126" s="81"/>
      <c r="N7126" s="82"/>
    </row>
    <row r="7127">
      <c r="C7127" s="41"/>
      <c r="D7127" s="141"/>
      <c r="E7127" s="118"/>
      <c r="F7127" s="126"/>
      <c r="G7127" s="126"/>
      <c r="H7127" s="126"/>
      <c r="I7127" s="126"/>
      <c r="J7127" s="76"/>
      <c r="K7127" s="76"/>
      <c r="L7127" s="76"/>
      <c r="M7127" s="76"/>
      <c r="N7127" s="114"/>
    </row>
    <row r="7128">
      <c r="C7128" s="41"/>
      <c r="D7128" s="142"/>
      <c r="E7128" s="130"/>
      <c r="F7128" s="128"/>
      <c r="G7128" s="128"/>
      <c r="H7128" s="128"/>
      <c r="I7128" s="128"/>
      <c r="J7128" s="81"/>
      <c r="K7128" s="81"/>
      <c r="L7128" s="81"/>
      <c r="M7128" s="81"/>
      <c r="N7128" s="82"/>
    </row>
    <row r="7129">
      <c r="C7129" s="41"/>
      <c r="D7129" s="141"/>
      <c r="E7129" s="118"/>
      <c r="F7129" s="126"/>
      <c r="G7129" s="126"/>
      <c r="H7129" s="126"/>
      <c r="I7129" s="126"/>
      <c r="J7129" s="76"/>
      <c r="K7129" s="76"/>
      <c r="L7129" s="76"/>
      <c r="M7129" s="76"/>
      <c r="N7129" s="114"/>
    </row>
    <row r="7130">
      <c r="C7130" s="41"/>
      <c r="D7130" s="142"/>
      <c r="E7130" s="130"/>
      <c r="F7130" s="128"/>
      <c r="G7130" s="128"/>
      <c r="H7130" s="128"/>
      <c r="I7130" s="128"/>
      <c r="J7130" s="81"/>
      <c r="K7130" s="81"/>
      <c r="L7130" s="81"/>
      <c r="M7130" s="81"/>
      <c r="N7130" s="82"/>
    </row>
    <row r="7131">
      <c r="C7131" s="41"/>
      <c r="D7131" s="141"/>
      <c r="E7131" s="118"/>
      <c r="F7131" s="126"/>
      <c r="G7131" s="126"/>
      <c r="H7131" s="126"/>
      <c r="I7131" s="126"/>
      <c r="J7131" s="76"/>
      <c r="K7131" s="76"/>
      <c r="L7131" s="76"/>
      <c r="M7131" s="76"/>
      <c r="N7131" s="114"/>
    </row>
    <row r="7132">
      <c r="C7132" s="41"/>
      <c r="D7132" s="142"/>
      <c r="E7132" s="130"/>
      <c r="F7132" s="128"/>
      <c r="G7132" s="128"/>
      <c r="H7132" s="128"/>
      <c r="I7132" s="128"/>
      <c r="J7132" s="81"/>
      <c r="K7132" s="81"/>
      <c r="L7132" s="81"/>
      <c r="M7132" s="81"/>
      <c r="N7132" s="82"/>
    </row>
    <row r="7133">
      <c r="C7133" s="41"/>
      <c r="D7133" s="141"/>
      <c r="E7133" s="118"/>
      <c r="F7133" s="126"/>
      <c r="G7133" s="126"/>
      <c r="H7133" s="126"/>
      <c r="I7133" s="126"/>
      <c r="J7133" s="76"/>
      <c r="K7133" s="76"/>
      <c r="L7133" s="76"/>
      <c r="M7133" s="76"/>
      <c r="N7133" s="114"/>
    </row>
    <row r="7134">
      <c r="C7134" s="41"/>
      <c r="D7134" s="142"/>
      <c r="E7134" s="130"/>
      <c r="F7134" s="128"/>
      <c r="G7134" s="128"/>
      <c r="H7134" s="128"/>
      <c r="I7134" s="128"/>
      <c r="J7134" s="81"/>
      <c r="K7134" s="81"/>
      <c r="L7134" s="81"/>
      <c r="M7134" s="81"/>
      <c r="N7134" s="82"/>
    </row>
    <row r="7135">
      <c r="C7135" s="41"/>
      <c r="D7135" s="141"/>
      <c r="E7135" s="118"/>
      <c r="F7135" s="126"/>
      <c r="G7135" s="126"/>
      <c r="H7135" s="126"/>
      <c r="I7135" s="126"/>
      <c r="J7135" s="76"/>
      <c r="K7135" s="76"/>
      <c r="L7135" s="76"/>
      <c r="M7135" s="76"/>
      <c r="N7135" s="114"/>
    </row>
    <row r="7136">
      <c r="C7136" s="41"/>
      <c r="D7136" s="142"/>
      <c r="E7136" s="130"/>
      <c r="F7136" s="128"/>
      <c r="G7136" s="128"/>
      <c r="H7136" s="128"/>
      <c r="I7136" s="128"/>
      <c r="J7136" s="81"/>
      <c r="K7136" s="81"/>
      <c r="L7136" s="81"/>
      <c r="M7136" s="81"/>
      <c r="N7136" s="82"/>
    </row>
    <row r="7137">
      <c r="C7137" s="41"/>
      <c r="D7137" s="141"/>
      <c r="E7137" s="118"/>
      <c r="F7137" s="126"/>
      <c r="G7137" s="126"/>
      <c r="H7137" s="126"/>
      <c r="I7137" s="126"/>
      <c r="J7137" s="76"/>
      <c r="K7137" s="76"/>
      <c r="L7137" s="76"/>
      <c r="M7137" s="76"/>
      <c r="N7137" s="114"/>
    </row>
    <row r="7138">
      <c r="C7138" s="41"/>
      <c r="D7138" s="142"/>
      <c r="E7138" s="130"/>
      <c r="F7138" s="128"/>
      <c r="G7138" s="128"/>
      <c r="H7138" s="128"/>
      <c r="I7138" s="128"/>
      <c r="J7138" s="81"/>
      <c r="K7138" s="81"/>
      <c r="L7138" s="81"/>
      <c r="M7138" s="81"/>
      <c r="N7138" s="82"/>
    </row>
    <row r="7139">
      <c r="C7139" s="41"/>
      <c r="D7139" s="141"/>
      <c r="E7139" s="118"/>
      <c r="F7139" s="126"/>
      <c r="G7139" s="126"/>
      <c r="H7139" s="126"/>
      <c r="I7139" s="126"/>
      <c r="J7139" s="76"/>
      <c r="K7139" s="76"/>
      <c r="L7139" s="76"/>
      <c r="M7139" s="76"/>
      <c r="N7139" s="114"/>
    </row>
    <row r="7140">
      <c r="C7140" s="41"/>
      <c r="D7140" s="142"/>
      <c r="E7140" s="130"/>
      <c r="F7140" s="128"/>
      <c r="G7140" s="128"/>
      <c r="H7140" s="128"/>
      <c r="I7140" s="128"/>
      <c r="J7140" s="81"/>
      <c r="K7140" s="81"/>
      <c r="L7140" s="81"/>
      <c r="M7140" s="81"/>
      <c r="N7140" s="82"/>
    </row>
    <row r="7141">
      <c r="C7141" s="41"/>
      <c r="D7141" s="141"/>
      <c r="E7141" s="118"/>
      <c r="F7141" s="126"/>
      <c r="G7141" s="126"/>
      <c r="H7141" s="126"/>
      <c r="I7141" s="126"/>
      <c r="J7141" s="76"/>
      <c r="K7141" s="76"/>
      <c r="L7141" s="76"/>
      <c r="M7141" s="76"/>
      <c r="N7141" s="114"/>
    </row>
    <row r="7142">
      <c r="C7142" s="41"/>
      <c r="D7142" s="142"/>
      <c r="E7142" s="130"/>
      <c r="F7142" s="128"/>
      <c r="G7142" s="128"/>
      <c r="H7142" s="128"/>
      <c r="I7142" s="128"/>
      <c r="J7142" s="81"/>
      <c r="K7142" s="81"/>
      <c r="L7142" s="81"/>
      <c r="M7142" s="81"/>
      <c r="N7142" s="82"/>
    </row>
    <row r="7143">
      <c r="C7143" s="41"/>
      <c r="D7143" s="141"/>
      <c r="E7143" s="118"/>
      <c r="F7143" s="126"/>
      <c r="G7143" s="126"/>
      <c r="H7143" s="126"/>
      <c r="I7143" s="126"/>
      <c r="J7143" s="76"/>
      <c r="K7143" s="76"/>
      <c r="L7143" s="76"/>
      <c r="M7143" s="76"/>
      <c r="N7143" s="114"/>
    </row>
    <row r="7144">
      <c r="C7144" s="41"/>
      <c r="D7144" s="142"/>
      <c r="E7144" s="130"/>
      <c r="F7144" s="128"/>
      <c r="G7144" s="128"/>
      <c r="H7144" s="128"/>
      <c r="I7144" s="128"/>
      <c r="J7144" s="81"/>
      <c r="K7144" s="81"/>
      <c r="L7144" s="81"/>
      <c r="M7144" s="81"/>
      <c r="N7144" s="82"/>
    </row>
    <row r="7145">
      <c r="C7145" s="41"/>
      <c r="D7145" s="141"/>
      <c r="E7145" s="118"/>
      <c r="F7145" s="126"/>
      <c r="G7145" s="126"/>
      <c r="H7145" s="126"/>
      <c r="I7145" s="126"/>
      <c r="J7145" s="76"/>
      <c r="K7145" s="76"/>
      <c r="L7145" s="76"/>
      <c r="M7145" s="76"/>
      <c r="N7145" s="114"/>
    </row>
    <row r="7146">
      <c r="C7146" s="41"/>
      <c r="D7146" s="142"/>
      <c r="E7146" s="130"/>
      <c r="F7146" s="128"/>
      <c r="G7146" s="128"/>
      <c r="H7146" s="128"/>
      <c r="I7146" s="128"/>
      <c r="J7146" s="81"/>
      <c r="K7146" s="81"/>
      <c r="L7146" s="81"/>
      <c r="M7146" s="81"/>
      <c r="N7146" s="82"/>
    </row>
    <row r="7147">
      <c r="C7147" s="41"/>
      <c r="D7147" s="141"/>
      <c r="E7147" s="118"/>
      <c r="F7147" s="126"/>
      <c r="G7147" s="126"/>
      <c r="H7147" s="126"/>
      <c r="I7147" s="126"/>
      <c r="J7147" s="76"/>
      <c r="K7147" s="76"/>
      <c r="L7147" s="76"/>
      <c r="M7147" s="76"/>
      <c r="N7147" s="114"/>
    </row>
    <row r="7148">
      <c r="C7148" s="41"/>
      <c r="D7148" s="142"/>
      <c r="E7148" s="130"/>
      <c r="F7148" s="128"/>
      <c r="G7148" s="128"/>
      <c r="H7148" s="128"/>
      <c r="I7148" s="128"/>
      <c r="J7148" s="81"/>
      <c r="K7148" s="81"/>
      <c r="L7148" s="81"/>
      <c r="M7148" s="81"/>
      <c r="N7148" s="82"/>
    </row>
    <row r="7149">
      <c r="C7149" s="41"/>
      <c r="D7149" s="141"/>
      <c r="E7149" s="118"/>
      <c r="F7149" s="126"/>
      <c r="G7149" s="126"/>
      <c r="H7149" s="126"/>
      <c r="I7149" s="126"/>
      <c r="J7149" s="76"/>
      <c r="K7149" s="76"/>
      <c r="L7149" s="76"/>
      <c r="M7149" s="76"/>
      <c r="N7149" s="114"/>
    </row>
    <row r="7150">
      <c r="C7150" s="41"/>
      <c r="D7150" s="142"/>
      <c r="E7150" s="130"/>
      <c r="F7150" s="128"/>
      <c r="G7150" s="128"/>
      <c r="H7150" s="128"/>
      <c r="I7150" s="128"/>
      <c r="J7150" s="81"/>
      <c r="K7150" s="81"/>
      <c r="L7150" s="81"/>
      <c r="M7150" s="81"/>
      <c r="N7150" s="82"/>
    </row>
    <row r="7151">
      <c r="C7151" s="41"/>
      <c r="D7151" s="141"/>
      <c r="E7151" s="118"/>
      <c r="F7151" s="126"/>
      <c r="G7151" s="126"/>
      <c r="H7151" s="126"/>
      <c r="I7151" s="126"/>
      <c r="J7151" s="76"/>
      <c r="K7151" s="76"/>
      <c r="L7151" s="76"/>
      <c r="M7151" s="76"/>
      <c r="N7151" s="114"/>
    </row>
    <row r="7152">
      <c r="C7152" s="41"/>
      <c r="D7152" s="142"/>
      <c r="E7152" s="130"/>
      <c r="F7152" s="128"/>
      <c r="G7152" s="128"/>
      <c r="H7152" s="128"/>
      <c r="I7152" s="128"/>
      <c r="J7152" s="81"/>
      <c r="K7152" s="81"/>
      <c r="L7152" s="81"/>
      <c r="M7152" s="81"/>
      <c r="N7152" s="82"/>
    </row>
    <row r="7153">
      <c r="C7153" s="41"/>
      <c r="D7153" s="141"/>
      <c r="E7153" s="118"/>
      <c r="F7153" s="126"/>
      <c r="G7153" s="126"/>
      <c r="H7153" s="126"/>
      <c r="I7153" s="126"/>
      <c r="J7153" s="76"/>
      <c r="K7153" s="76"/>
      <c r="L7153" s="76"/>
      <c r="M7153" s="76"/>
      <c r="N7153" s="114"/>
    </row>
    <row r="7154">
      <c r="C7154" s="41"/>
      <c r="D7154" s="142"/>
      <c r="E7154" s="130"/>
      <c r="F7154" s="128"/>
      <c r="G7154" s="128"/>
      <c r="H7154" s="128"/>
      <c r="I7154" s="128"/>
      <c r="J7154" s="81"/>
      <c r="K7154" s="81"/>
      <c r="L7154" s="81"/>
      <c r="M7154" s="81"/>
      <c r="N7154" s="82"/>
    </row>
    <row r="7155">
      <c r="C7155" s="41"/>
      <c r="D7155" s="141"/>
      <c r="E7155" s="118"/>
      <c r="F7155" s="126"/>
      <c r="G7155" s="126"/>
      <c r="H7155" s="126"/>
      <c r="I7155" s="126"/>
      <c r="J7155" s="76"/>
      <c r="K7155" s="76"/>
      <c r="L7155" s="76"/>
      <c r="M7155" s="76"/>
      <c r="N7155" s="114"/>
    </row>
    <row r="7156">
      <c r="C7156" s="41"/>
      <c r="D7156" s="142"/>
      <c r="E7156" s="130"/>
      <c r="F7156" s="128"/>
      <c r="G7156" s="128"/>
      <c r="H7156" s="128"/>
      <c r="I7156" s="128"/>
      <c r="J7156" s="81"/>
      <c r="K7156" s="81"/>
      <c r="L7156" s="81"/>
      <c r="M7156" s="81"/>
      <c r="N7156" s="82"/>
    </row>
    <row r="7157">
      <c r="C7157" s="41"/>
      <c r="D7157" s="141"/>
      <c r="E7157" s="118"/>
      <c r="F7157" s="126"/>
      <c r="G7157" s="126"/>
      <c r="H7157" s="126"/>
      <c r="I7157" s="126"/>
      <c r="J7157" s="76"/>
      <c r="K7157" s="76"/>
      <c r="L7157" s="76"/>
      <c r="M7157" s="76"/>
      <c r="N7157" s="114"/>
    </row>
    <row r="7158">
      <c r="C7158" s="41"/>
      <c r="D7158" s="142"/>
      <c r="E7158" s="130"/>
      <c r="F7158" s="128"/>
      <c r="G7158" s="128"/>
      <c r="H7158" s="128"/>
      <c r="I7158" s="128"/>
      <c r="J7158" s="81"/>
      <c r="K7158" s="81"/>
      <c r="L7158" s="81"/>
      <c r="M7158" s="81"/>
      <c r="N7158" s="82"/>
    </row>
    <row r="7159">
      <c r="C7159" s="41"/>
      <c r="D7159" s="141"/>
      <c r="E7159" s="118"/>
      <c r="F7159" s="126"/>
      <c r="G7159" s="126"/>
      <c r="H7159" s="126"/>
      <c r="I7159" s="126"/>
      <c r="J7159" s="76"/>
      <c r="K7159" s="76"/>
      <c r="L7159" s="76"/>
      <c r="M7159" s="76"/>
      <c r="N7159" s="114"/>
    </row>
    <row r="7160">
      <c r="C7160" s="41"/>
      <c r="D7160" s="142"/>
      <c r="E7160" s="130"/>
      <c r="F7160" s="128"/>
      <c r="G7160" s="128"/>
      <c r="H7160" s="128"/>
      <c r="I7160" s="128"/>
      <c r="J7160" s="81"/>
      <c r="K7160" s="81"/>
      <c r="L7160" s="81"/>
      <c r="M7160" s="81"/>
      <c r="N7160" s="82"/>
    </row>
    <row r="7161">
      <c r="C7161" s="41"/>
      <c r="D7161" s="141"/>
      <c r="E7161" s="118"/>
      <c r="F7161" s="126"/>
      <c r="G7161" s="126"/>
      <c r="H7161" s="126"/>
      <c r="I7161" s="126"/>
      <c r="J7161" s="76"/>
      <c r="K7161" s="76"/>
      <c r="L7161" s="76"/>
      <c r="M7161" s="76"/>
      <c r="N7161" s="114"/>
    </row>
    <row r="7162">
      <c r="C7162" s="41"/>
      <c r="D7162" s="142"/>
      <c r="E7162" s="130"/>
      <c r="F7162" s="128"/>
      <c r="G7162" s="128"/>
      <c r="H7162" s="128"/>
      <c r="I7162" s="128"/>
      <c r="J7162" s="81"/>
      <c r="K7162" s="81"/>
      <c r="L7162" s="81"/>
      <c r="M7162" s="81"/>
      <c r="N7162" s="82"/>
    </row>
    <row r="7163">
      <c r="C7163" s="41"/>
      <c r="D7163" s="141"/>
      <c r="E7163" s="118"/>
      <c r="F7163" s="126"/>
      <c r="G7163" s="126"/>
      <c r="H7163" s="126"/>
      <c r="I7163" s="126"/>
      <c r="J7163" s="76"/>
      <c r="K7163" s="76"/>
      <c r="L7163" s="76"/>
      <c r="M7163" s="76"/>
      <c r="N7163" s="114"/>
    </row>
    <row r="7164">
      <c r="C7164" s="41"/>
      <c r="D7164" s="142"/>
      <c r="E7164" s="130"/>
      <c r="F7164" s="128"/>
      <c r="G7164" s="128"/>
      <c r="H7164" s="128"/>
      <c r="I7164" s="128"/>
      <c r="J7164" s="81"/>
      <c r="K7164" s="81"/>
      <c r="L7164" s="81"/>
      <c r="M7164" s="81"/>
      <c r="N7164" s="82"/>
    </row>
    <row r="7165">
      <c r="C7165" s="41"/>
      <c r="D7165" s="141"/>
      <c r="E7165" s="118"/>
      <c r="F7165" s="126"/>
      <c r="G7165" s="126"/>
      <c r="H7165" s="126"/>
      <c r="I7165" s="126"/>
      <c r="J7165" s="76"/>
      <c r="K7165" s="76"/>
      <c r="L7165" s="76"/>
      <c r="M7165" s="76"/>
      <c r="N7165" s="114"/>
    </row>
    <row r="7166">
      <c r="C7166" s="41"/>
      <c r="D7166" s="142"/>
      <c r="E7166" s="130"/>
      <c r="F7166" s="128"/>
      <c r="G7166" s="128"/>
      <c r="H7166" s="128"/>
      <c r="I7166" s="128"/>
      <c r="J7166" s="81"/>
      <c r="K7166" s="81"/>
      <c r="L7166" s="81"/>
      <c r="M7166" s="81"/>
      <c r="N7166" s="82"/>
    </row>
    <row r="7167">
      <c r="C7167" s="41"/>
      <c r="D7167" s="141"/>
      <c r="E7167" s="118"/>
      <c r="F7167" s="126"/>
      <c r="G7167" s="126"/>
      <c r="H7167" s="126"/>
      <c r="I7167" s="126"/>
      <c r="J7167" s="76"/>
      <c r="K7167" s="76"/>
      <c r="L7167" s="76"/>
      <c r="M7167" s="76"/>
      <c r="N7167" s="114"/>
    </row>
    <row r="7168">
      <c r="C7168" s="41"/>
      <c r="D7168" s="142"/>
      <c r="E7168" s="130"/>
      <c r="F7168" s="128"/>
      <c r="G7168" s="128"/>
      <c r="H7168" s="128"/>
      <c r="I7168" s="128"/>
      <c r="J7168" s="81"/>
      <c r="K7168" s="81"/>
      <c r="L7168" s="81"/>
      <c r="M7168" s="81"/>
      <c r="N7168" s="82"/>
    </row>
    <row r="7169">
      <c r="C7169" s="41"/>
      <c r="D7169" s="141"/>
      <c r="E7169" s="118"/>
      <c r="F7169" s="126"/>
      <c r="G7169" s="126"/>
      <c r="H7169" s="126"/>
      <c r="I7169" s="126"/>
      <c r="J7169" s="76"/>
      <c r="K7169" s="76"/>
      <c r="L7169" s="76"/>
      <c r="M7169" s="76"/>
      <c r="N7169" s="114"/>
    </row>
    <row r="7170">
      <c r="C7170" s="41"/>
      <c r="D7170" s="142"/>
      <c r="E7170" s="130"/>
      <c r="F7170" s="128"/>
      <c r="G7170" s="128"/>
      <c r="H7170" s="128"/>
      <c r="I7170" s="128"/>
      <c r="J7170" s="81"/>
      <c r="K7170" s="81"/>
      <c r="L7170" s="81"/>
      <c r="M7170" s="81"/>
      <c r="N7170" s="82"/>
    </row>
    <row r="7171">
      <c r="C7171" s="41"/>
      <c r="D7171" s="141"/>
      <c r="E7171" s="118"/>
      <c r="F7171" s="126"/>
      <c r="G7171" s="126"/>
      <c r="H7171" s="126"/>
      <c r="I7171" s="126"/>
      <c r="J7171" s="76"/>
      <c r="K7171" s="76"/>
      <c r="L7171" s="76"/>
      <c r="M7171" s="76"/>
      <c r="N7171" s="114"/>
    </row>
    <row r="7172">
      <c r="C7172" s="41"/>
      <c r="D7172" s="142"/>
      <c r="E7172" s="130"/>
      <c r="F7172" s="128"/>
      <c r="G7172" s="128"/>
      <c r="H7172" s="128"/>
      <c r="I7172" s="128"/>
      <c r="J7172" s="81"/>
      <c r="K7172" s="81"/>
      <c r="L7172" s="81"/>
      <c r="M7172" s="81"/>
      <c r="N7172" s="82"/>
    </row>
    <row r="7173">
      <c r="C7173" s="41"/>
      <c r="D7173" s="141"/>
      <c r="E7173" s="118"/>
      <c r="F7173" s="126"/>
      <c r="G7173" s="126"/>
      <c r="H7173" s="126"/>
      <c r="I7173" s="126"/>
      <c r="J7173" s="76"/>
      <c r="K7173" s="76"/>
      <c r="L7173" s="76"/>
      <c r="M7173" s="76"/>
      <c r="N7173" s="114"/>
    </row>
    <row r="7174">
      <c r="C7174" s="41"/>
      <c r="D7174" s="142"/>
      <c r="E7174" s="130"/>
      <c r="F7174" s="128"/>
      <c r="G7174" s="128"/>
      <c r="H7174" s="128"/>
      <c r="I7174" s="128"/>
      <c r="J7174" s="81"/>
      <c r="K7174" s="81"/>
      <c r="L7174" s="81"/>
      <c r="M7174" s="81"/>
      <c r="N7174" s="82"/>
    </row>
    <row r="7175">
      <c r="C7175" s="41"/>
      <c r="D7175" s="141"/>
      <c r="E7175" s="118"/>
      <c r="F7175" s="126"/>
      <c r="G7175" s="126"/>
      <c r="H7175" s="126"/>
      <c r="I7175" s="126"/>
      <c r="J7175" s="76"/>
      <c r="K7175" s="76"/>
      <c r="L7175" s="76"/>
      <c r="M7175" s="76"/>
      <c r="N7175" s="114"/>
    </row>
    <row r="7176">
      <c r="C7176" s="41"/>
      <c r="D7176" s="142"/>
      <c r="E7176" s="130"/>
      <c r="F7176" s="128"/>
      <c r="G7176" s="128"/>
      <c r="H7176" s="128"/>
      <c r="I7176" s="128"/>
      <c r="J7176" s="81"/>
      <c r="K7176" s="81"/>
      <c r="L7176" s="81"/>
      <c r="M7176" s="81"/>
      <c r="N7176" s="82"/>
    </row>
    <row r="7177">
      <c r="C7177" s="41"/>
      <c r="D7177" s="141"/>
      <c r="E7177" s="118"/>
      <c r="F7177" s="126"/>
      <c r="G7177" s="126"/>
      <c r="H7177" s="126"/>
      <c r="I7177" s="126"/>
      <c r="J7177" s="76"/>
      <c r="K7177" s="76"/>
      <c r="L7177" s="76"/>
      <c r="M7177" s="76"/>
      <c r="N7177" s="114"/>
    </row>
    <row r="7178">
      <c r="C7178" s="41"/>
      <c r="D7178" s="142"/>
      <c r="E7178" s="130"/>
      <c r="F7178" s="128"/>
      <c r="G7178" s="128"/>
      <c r="H7178" s="128"/>
      <c r="I7178" s="128"/>
      <c r="J7178" s="81"/>
      <c r="K7178" s="81"/>
      <c r="L7178" s="81"/>
      <c r="M7178" s="81"/>
      <c r="N7178" s="82"/>
    </row>
    <row r="7179">
      <c r="C7179" s="41"/>
      <c r="D7179" s="141"/>
      <c r="E7179" s="118"/>
      <c r="F7179" s="126"/>
      <c r="G7179" s="126"/>
      <c r="H7179" s="126"/>
      <c r="I7179" s="126"/>
      <c r="J7179" s="76"/>
      <c r="K7179" s="76"/>
      <c r="L7179" s="76"/>
      <c r="M7179" s="76"/>
      <c r="N7179" s="114"/>
    </row>
    <row r="7180">
      <c r="C7180" s="41"/>
      <c r="D7180" s="142"/>
      <c r="E7180" s="130"/>
      <c r="F7180" s="128"/>
      <c r="G7180" s="128"/>
      <c r="H7180" s="128"/>
      <c r="I7180" s="128"/>
      <c r="J7180" s="81"/>
      <c r="K7180" s="81"/>
      <c r="L7180" s="81"/>
      <c r="M7180" s="81"/>
      <c r="N7180" s="82"/>
    </row>
    <row r="7181">
      <c r="C7181" s="41"/>
      <c r="D7181" s="141"/>
      <c r="E7181" s="118"/>
      <c r="F7181" s="126"/>
      <c r="G7181" s="126"/>
      <c r="H7181" s="126"/>
      <c r="I7181" s="126"/>
      <c r="J7181" s="76"/>
      <c r="K7181" s="76"/>
      <c r="L7181" s="76"/>
      <c r="M7181" s="76"/>
      <c r="N7181" s="114"/>
    </row>
    <row r="7182">
      <c r="C7182" s="41"/>
      <c r="D7182" s="142"/>
      <c r="E7182" s="130"/>
      <c r="F7182" s="128"/>
      <c r="G7182" s="128"/>
      <c r="H7182" s="128"/>
      <c r="I7182" s="128"/>
      <c r="J7182" s="81"/>
      <c r="K7182" s="81"/>
      <c r="L7182" s="81"/>
      <c r="M7182" s="81"/>
      <c r="N7182" s="82"/>
    </row>
    <row r="7183">
      <c r="C7183" s="41"/>
      <c r="D7183" s="141"/>
      <c r="E7183" s="118"/>
      <c r="F7183" s="126"/>
      <c r="G7183" s="126"/>
      <c r="H7183" s="126"/>
      <c r="I7183" s="126"/>
      <c r="J7183" s="76"/>
      <c r="K7183" s="76"/>
      <c r="L7183" s="76"/>
      <c r="M7183" s="76"/>
      <c r="N7183" s="114"/>
    </row>
    <row r="7184">
      <c r="C7184" s="41"/>
      <c r="D7184" s="142"/>
      <c r="E7184" s="130"/>
      <c r="F7184" s="128"/>
      <c r="G7184" s="128"/>
      <c r="H7184" s="128"/>
      <c r="I7184" s="128"/>
      <c r="J7184" s="81"/>
      <c r="K7184" s="81"/>
      <c r="L7184" s="81"/>
      <c r="M7184" s="81"/>
      <c r="N7184" s="82"/>
    </row>
    <row r="7185">
      <c r="C7185" s="41"/>
      <c r="D7185" s="141"/>
      <c r="E7185" s="118"/>
      <c r="F7185" s="126"/>
      <c r="G7185" s="126"/>
      <c r="H7185" s="126"/>
      <c r="I7185" s="126"/>
      <c r="J7185" s="76"/>
      <c r="K7185" s="76"/>
      <c r="L7185" s="76"/>
      <c r="M7185" s="76"/>
      <c r="N7185" s="114"/>
    </row>
    <row r="7186">
      <c r="C7186" s="41"/>
      <c r="D7186" s="142"/>
      <c r="E7186" s="130"/>
      <c r="F7186" s="128"/>
      <c r="G7186" s="128"/>
      <c r="H7186" s="128"/>
      <c r="I7186" s="128"/>
      <c r="J7186" s="81"/>
      <c r="K7186" s="81"/>
      <c r="L7186" s="81"/>
      <c r="M7186" s="81"/>
      <c r="N7186" s="82"/>
    </row>
    <row r="7187">
      <c r="C7187" s="41"/>
      <c r="D7187" s="141"/>
      <c r="E7187" s="118"/>
      <c r="F7187" s="126"/>
      <c r="G7187" s="126"/>
      <c r="H7187" s="126"/>
      <c r="I7187" s="126"/>
      <c r="J7187" s="76"/>
      <c r="K7187" s="76"/>
      <c r="L7187" s="76"/>
      <c r="M7187" s="76"/>
      <c r="N7187" s="114"/>
    </row>
    <row r="7188">
      <c r="C7188" s="41"/>
      <c r="D7188" s="142"/>
      <c r="E7188" s="130"/>
      <c r="F7188" s="128"/>
      <c r="G7188" s="128"/>
      <c r="H7188" s="128"/>
      <c r="I7188" s="128"/>
      <c r="J7188" s="81"/>
      <c r="K7188" s="81"/>
      <c r="L7188" s="81"/>
      <c r="M7188" s="81"/>
      <c r="N7188" s="82"/>
    </row>
    <row r="7189">
      <c r="C7189" s="41"/>
      <c r="D7189" s="141"/>
      <c r="E7189" s="118"/>
      <c r="F7189" s="126"/>
      <c r="G7189" s="126"/>
      <c r="H7189" s="126"/>
      <c r="I7189" s="126"/>
      <c r="J7189" s="76"/>
      <c r="K7189" s="76"/>
      <c r="L7189" s="76"/>
      <c r="M7189" s="76"/>
      <c r="N7189" s="114"/>
    </row>
    <row r="7190">
      <c r="C7190" s="41"/>
      <c r="D7190" s="142"/>
      <c r="E7190" s="130"/>
      <c r="F7190" s="128"/>
      <c r="G7190" s="128"/>
      <c r="H7190" s="128"/>
      <c r="I7190" s="128"/>
      <c r="J7190" s="81"/>
      <c r="K7190" s="81"/>
      <c r="L7190" s="81"/>
      <c r="M7190" s="81"/>
      <c r="N7190" s="82"/>
    </row>
    <row r="7191">
      <c r="C7191" s="41"/>
      <c r="D7191" s="141"/>
      <c r="E7191" s="118"/>
      <c r="F7191" s="126"/>
      <c r="G7191" s="126"/>
      <c r="H7191" s="126"/>
      <c r="I7191" s="126"/>
      <c r="J7191" s="76"/>
      <c r="K7191" s="76"/>
      <c r="L7191" s="76"/>
      <c r="M7191" s="76"/>
      <c r="N7191" s="114"/>
    </row>
    <row r="7192">
      <c r="C7192" s="41"/>
      <c r="D7192" s="142"/>
      <c r="E7192" s="130"/>
      <c r="F7192" s="128"/>
      <c r="G7192" s="128"/>
      <c r="H7192" s="128"/>
      <c r="I7192" s="128"/>
      <c r="J7192" s="81"/>
      <c r="K7192" s="81"/>
      <c r="L7192" s="81"/>
      <c r="M7192" s="81"/>
      <c r="N7192" s="82"/>
    </row>
    <row r="7193">
      <c r="C7193" s="41"/>
      <c r="D7193" s="141"/>
      <c r="E7193" s="118"/>
      <c r="F7193" s="126"/>
      <c r="G7193" s="126"/>
      <c r="H7193" s="126"/>
      <c r="I7193" s="126"/>
      <c r="J7193" s="76"/>
      <c r="K7193" s="76"/>
      <c r="L7193" s="76"/>
      <c r="M7193" s="76"/>
      <c r="N7193" s="114"/>
    </row>
    <row r="7194">
      <c r="C7194" s="41"/>
      <c r="D7194" s="142"/>
      <c r="E7194" s="130"/>
      <c r="F7194" s="128"/>
      <c r="G7194" s="128"/>
      <c r="H7194" s="128"/>
      <c r="I7194" s="128"/>
      <c r="J7194" s="81"/>
      <c r="K7194" s="81"/>
      <c r="L7194" s="81"/>
      <c r="M7194" s="81"/>
      <c r="N7194" s="82"/>
    </row>
    <row r="7195">
      <c r="C7195" s="41"/>
      <c r="D7195" s="141"/>
      <c r="E7195" s="118"/>
      <c r="F7195" s="126"/>
      <c r="G7195" s="126"/>
      <c r="H7195" s="126"/>
      <c r="I7195" s="126"/>
      <c r="J7195" s="76"/>
      <c r="K7195" s="76"/>
      <c r="L7195" s="76"/>
      <c r="M7195" s="76"/>
      <c r="N7195" s="114"/>
    </row>
    <row r="7196">
      <c r="C7196" s="41"/>
      <c r="D7196" s="142"/>
      <c r="E7196" s="130"/>
      <c r="F7196" s="128"/>
      <c r="G7196" s="128"/>
      <c r="H7196" s="128"/>
      <c r="I7196" s="128"/>
      <c r="J7196" s="81"/>
      <c r="K7196" s="81"/>
      <c r="L7196" s="81"/>
      <c r="M7196" s="81"/>
      <c r="N7196" s="82"/>
    </row>
    <row r="7197">
      <c r="C7197" s="41"/>
      <c r="D7197" s="141"/>
      <c r="E7197" s="118"/>
      <c r="F7197" s="126"/>
      <c r="G7197" s="126"/>
      <c r="H7197" s="126"/>
      <c r="I7197" s="126"/>
      <c r="J7197" s="76"/>
      <c r="K7197" s="76"/>
      <c r="L7197" s="76"/>
      <c r="M7197" s="76"/>
      <c r="N7197" s="114"/>
    </row>
    <row r="7198">
      <c r="C7198" s="41"/>
      <c r="D7198" s="142"/>
      <c r="E7198" s="130"/>
      <c r="F7198" s="128"/>
      <c r="G7198" s="128"/>
      <c r="H7198" s="128"/>
      <c r="I7198" s="128"/>
      <c r="J7198" s="81"/>
      <c r="K7198" s="81"/>
      <c r="L7198" s="81"/>
      <c r="M7198" s="81"/>
      <c r="N7198" s="82"/>
    </row>
    <row r="7199">
      <c r="C7199" s="41"/>
      <c r="D7199" s="141"/>
      <c r="E7199" s="118"/>
      <c r="F7199" s="126"/>
      <c r="G7199" s="126"/>
      <c r="H7199" s="126"/>
      <c r="I7199" s="126"/>
      <c r="J7199" s="76"/>
      <c r="K7199" s="76"/>
      <c r="L7199" s="76"/>
      <c r="M7199" s="76"/>
      <c r="N7199" s="114"/>
    </row>
    <row r="7200">
      <c r="C7200" s="41"/>
      <c r="D7200" s="142"/>
      <c r="E7200" s="130"/>
      <c r="F7200" s="128"/>
      <c r="G7200" s="128"/>
      <c r="H7200" s="128"/>
      <c r="I7200" s="128"/>
      <c r="J7200" s="81"/>
      <c r="K7200" s="81"/>
      <c r="L7200" s="81"/>
      <c r="M7200" s="81"/>
      <c r="N7200" s="82"/>
    </row>
    <row r="7201">
      <c r="C7201" s="41"/>
      <c r="D7201" s="141"/>
      <c r="E7201" s="118"/>
      <c r="F7201" s="126"/>
      <c r="G7201" s="126"/>
      <c r="H7201" s="126"/>
      <c r="I7201" s="126"/>
      <c r="J7201" s="76"/>
      <c r="K7201" s="76"/>
      <c r="L7201" s="76"/>
      <c r="M7201" s="76"/>
      <c r="N7201" s="114"/>
    </row>
    <row r="7202">
      <c r="C7202" s="41"/>
      <c r="D7202" s="142"/>
      <c r="E7202" s="130"/>
      <c r="F7202" s="128"/>
      <c r="G7202" s="128"/>
      <c r="H7202" s="128"/>
      <c r="I7202" s="128"/>
      <c r="J7202" s="81"/>
      <c r="K7202" s="81"/>
      <c r="L7202" s="81"/>
      <c r="M7202" s="81"/>
      <c r="N7202" s="82"/>
    </row>
    <row r="7203">
      <c r="C7203" s="41"/>
      <c r="D7203" s="141"/>
      <c r="E7203" s="118"/>
      <c r="F7203" s="126"/>
      <c r="G7203" s="126"/>
      <c r="H7203" s="126"/>
      <c r="I7203" s="126"/>
      <c r="J7203" s="76"/>
      <c r="K7203" s="76"/>
      <c r="L7203" s="76"/>
      <c r="M7203" s="76"/>
      <c r="N7203" s="114"/>
    </row>
    <row r="7204">
      <c r="C7204" s="41"/>
      <c r="D7204" s="142"/>
      <c r="E7204" s="130"/>
      <c r="F7204" s="128"/>
      <c r="G7204" s="128"/>
      <c r="H7204" s="128"/>
      <c r="I7204" s="128"/>
      <c r="J7204" s="81"/>
      <c r="K7204" s="81"/>
      <c r="L7204" s="81"/>
      <c r="M7204" s="81"/>
      <c r="N7204" s="82"/>
    </row>
    <row r="7205">
      <c r="C7205" s="41"/>
      <c r="D7205" s="141"/>
      <c r="E7205" s="118"/>
      <c r="F7205" s="126"/>
      <c r="G7205" s="126"/>
      <c r="H7205" s="126"/>
      <c r="I7205" s="126"/>
      <c r="J7205" s="76"/>
      <c r="K7205" s="76"/>
      <c r="L7205" s="76"/>
      <c r="M7205" s="76"/>
      <c r="N7205" s="114"/>
    </row>
    <row r="7206">
      <c r="C7206" s="41"/>
      <c r="D7206" s="142"/>
      <c r="E7206" s="130"/>
      <c r="F7206" s="128"/>
      <c r="G7206" s="128"/>
      <c r="H7206" s="128"/>
      <c r="I7206" s="128"/>
      <c r="J7206" s="81"/>
      <c r="K7206" s="81"/>
      <c r="L7206" s="81"/>
      <c r="M7206" s="81"/>
      <c r="N7206" s="82"/>
    </row>
    <row r="7207">
      <c r="C7207" s="41"/>
      <c r="D7207" s="141"/>
      <c r="E7207" s="118"/>
      <c r="F7207" s="126"/>
      <c r="G7207" s="126"/>
      <c r="H7207" s="126"/>
      <c r="I7207" s="126"/>
      <c r="J7207" s="76"/>
      <c r="K7207" s="76"/>
      <c r="L7207" s="76"/>
      <c r="M7207" s="76"/>
      <c r="N7207" s="114"/>
    </row>
    <row r="7208">
      <c r="C7208" s="41"/>
      <c r="D7208" s="142"/>
      <c r="E7208" s="130"/>
      <c r="F7208" s="128"/>
      <c r="G7208" s="128"/>
      <c r="H7208" s="128"/>
      <c r="I7208" s="128"/>
      <c r="J7208" s="81"/>
      <c r="K7208" s="81"/>
      <c r="L7208" s="81"/>
      <c r="M7208" s="81"/>
      <c r="N7208" s="82"/>
    </row>
    <row r="7209">
      <c r="C7209" s="41"/>
      <c r="D7209" s="141"/>
      <c r="E7209" s="118"/>
      <c r="F7209" s="126"/>
      <c r="G7209" s="126"/>
      <c r="H7209" s="126"/>
      <c r="I7209" s="126"/>
      <c r="J7209" s="76"/>
      <c r="K7209" s="76"/>
      <c r="L7209" s="76"/>
      <c r="M7209" s="76"/>
      <c r="N7209" s="114"/>
    </row>
    <row r="7210">
      <c r="C7210" s="41"/>
      <c r="D7210" s="142"/>
      <c r="E7210" s="130"/>
      <c r="F7210" s="128"/>
      <c r="G7210" s="128"/>
      <c r="H7210" s="128"/>
      <c r="I7210" s="128"/>
      <c r="J7210" s="81"/>
      <c r="K7210" s="81"/>
      <c r="L7210" s="81"/>
      <c r="M7210" s="81"/>
      <c r="N7210" s="82"/>
    </row>
    <row r="7211">
      <c r="C7211" s="41"/>
      <c r="D7211" s="141"/>
      <c r="E7211" s="118"/>
      <c r="F7211" s="126"/>
      <c r="G7211" s="126"/>
      <c r="H7211" s="126"/>
      <c r="I7211" s="126"/>
      <c r="J7211" s="76"/>
      <c r="K7211" s="76"/>
      <c r="L7211" s="76"/>
      <c r="M7211" s="76"/>
      <c r="N7211" s="114"/>
    </row>
    <row r="7212">
      <c r="C7212" s="41"/>
      <c r="D7212" s="142"/>
      <c r="E7212" s="130"/>
      <c r="F7212" s="128"/>
      <c r="G7212" s="128"/>
      <c r="H7212" s="128"/>
      <c r="I7212" s="128"/>
      <c r="J7212" s="81"/>
      <c r="K7212" s="81"/>
      <c r="L7212" s="81"/>
      <c r="M7212" s="81"/>
      <c r="N7212" s="82"/>
    </row>
    <row r="7213">
      <c r="C7213" s="41"/>
      <c r="D7213" s="141"/>
      <c r="E7213" s="118"/>
      <c r="F7213" s="126"/>
      <c r="G7213" s="126"/>
      <c r="H7213" s="126"/>
      <c r="I7213" s="126"/>
      <c r="J7213" s="76"/>
      <c r="K7213" s="76"/>
      <c r="L7213" s="76"/>
      <c r="M7213" s="76"/>
      <c r="N7213" s="114"/>
    </row>
    <row r="7214">
      <c r="C7214" s="41"/>
      <c r="D7214" s="142"/>
      <c r="E7214" s="130"/>
      <c r="F7214" s="128"/>
      <c r="G7214" s="128"/>
      <c r="H7214" s="128"/>
      <c r="I7214" s="128"/>
      <c r="J7214" s="81"/>
      <c r="K7214" s="81"/>
      <c r="L7214" s="81"/>
      <c r="M7214" s="81"/>
      <c r="N7214" s="82"/>
    </row>
    <row r="7215">
      <c r="C7215" s="41"/>
      <c r="D7215" s="141"/>
      <c r="E7215" s="118"/>
      <c r="F7215" s="126"/>
      <c r="G7215" s="126"/>
      <c r="H7215" s="126"/>
      <c r="I7215" s="126"/>
      <c r="J7215" s="76"/>
      <c r="K7215" s="76"/>
      <c r="L7215" s="76"/>
      <c r="M7215" s="76"/>
      <c r="N7215" s="114"/>
    </row>
    <row r="7216">
      <c r="C7216" s="41"/>
      <c r="D7216" s="142"/>
      <c r="E7216" s="130"/>
      <c r="F7216" s="128"/>
      <c r="G7216" s="128"/>
      <c r="H7216" s="128"/>
      <c r="I7216" s="128"/>
      <c r="J7216" s="81"/>
      <c r="K7216" s="81"/>
      <c r="L7216" s="81"/>
      <c r="M7216" s="81"/>
      <c r="N7216" s="82"/>
    </row>
    <row r="7217">
      <c r="C7217" s="41"/>
      <c r="D7217" s="141"/>
      <c r="E7217" s="118"/>
      <c r="F7217" s="126"/>
      <c r="G7217" s="126"/>
      <c r="H7217" s="126"/>
      <c r="I7217" s="126"/>
      <c r="J7217" s="76"/>
      <c r="K7217" s="76"/>
      <c r="L7217" s="76"/>
      <c r="M7217" s="76"/>
      <c r="N7217" s="114"/>
    </row>
    <row r="7218">
      <c r="C7218" s="41"/>
      <c r="D7218" s="142"/>
      <c r="E7218" s="130"/>
      <c r="F7218" s="128"/>
      <c r="G7218" s="128"/>
      <c r="H7218" s="128"/>
      <c r="I7218" s="128"/>
      <c r="J7218" s="81"/>
      <c r="K7218" s="81"/>
      <c r="L7218" s="81"/>
      <c r="M7218" s="81"/>
      <c r="N7218" s="82"/>
    </row>
    <row r="7219">
      <c r="C7219" s="41"/>
      <c r="D7219" s="141"/>
      <c r="E7219" s="118"/>
      <c r="F7219" s="126"/>
      <c r="G7219" s="126"/>
      <c r="H7219" s="126"/>
      <c r="I7219" s="126"/>
      <c r="J7219" s="76"/>
      <c r="K7219" s="76"/>
      <c r="L7219" s="76"/>
      <c r="M7219" s="76"/>
      <c r="N7219" s="114"/>
    </row>
    <row r="7220">
      <c r="C7220" s="41"/>
      <c r="D7220" s="142"/>
      <c r="E7220" s="130"/>
      <c r="F7220" s="128"/>
      <c r="G7220" s="128"/>
      <c r="H7220" s="128"/>
      <c r="I7220" s="128"/>
      <c r="J7220" s="81"/>
      <c r="K7220" s="81"/>
      <c r="L7220" s="81"/>
      <c r="M7220" s="81"/>
      <c r="N7220" s="82"/>
    </row>
    <row r="7221">
      <c r="C7221" s="41"/>
      <c r="D7221" s="141"/>
      <c r="E7221" s="118"/>
      <c r="F7221" s="126"/>
      <c r="G7221" s="126"/>
      <c r="H7221" s="126"/>
      <c r="I7221" s="126"/>
      <c r="J7221" s="76"/>
      <c r="K7221" s="76"/>
      <c r="L7221" s="76"/>
      <c r="M7221" s="76"/>
      <c r="N7221" s="114"/>
    </row>
    <row r="7222">
      <c r="C7222" s="41"/>
      <c r="D7222" s="142"/>
      <c r="E7222" s="130"/>
      <c r="F7222" s="128"/>
      <c r="G7222" s="128"/>
      <c r="H7222" s="128"/>
      <c r="I7222" s="128"/>
      <c r="J7222" s="81"/>
      <c r="K7222" s="81"/>
      <c r="L7222" s="81"/>
      <c r="M7222" s="81"/>
      <c r="N7222" s="82"/>
    </row>
    <row r="7223">
      <c r="C7223" s="41"/>
      <c r="D7223" s="141"/>
      <c r="E7223" s="118"/>
      <c r="F7223" s="126"/>
      <c r="G7223" s="126"/>
      <c r="H7223" s="126"/>
      <c r="I7223" s="126"/>
      <c r="J7223" s="76"/>
      <c r="K7223" s="76"/>
      <c r="L7223" s="76"/>
      <c r="M7223" s="76"/>
      <c r="N7223" s="114"/>
    </row>
    <row r="7224">
      <c r="C7224" s="41"/>
      <c r="D7224" s="142"/>
      <c r="E7224" s="130"/>
      <c r="F7224" s="128"/>
      <c r="G7224" s="128"/>
      <c r="H7224" s="128"/>
      <c r="I7224" s="128"/>
      <c r="J7224" s="81"/>
      <c r="K7224" s="81"/>
      <c r="L7224" s="81"/>
      <c r="M7224" s="81"/>
      <c r="N7224" s="82"/>
    </row>
    <row r="7225">
      <c r="C7225" s="41"/>
      <c r="D7225" s="141"/>
      <c r="E7225" s="118"/>
      <c r="F7225" s="126"/>
      <c r="G7225" s="126"/>
      <c r="H7225" s="126"/>
      <c r="I7225" s="126"/>
      <c r="J7225" s="76"/>
      <c r="K7225" s="76"/>
      <c r="L7225" s="76"/>
      <c r="M7225" s="76"/>
      <c r="N7225" s="114"/>
    </row>
    <row r="7226">
      <c r="C7226" s="41"/>
      <c r="D7226" s="142"/>
      <c r="E7226" s="130"/>
      <c r="F7226" s="128"/>
      <c r="G7226" s="128"/>
      <c r="H7226" s="128"/>
      <c r="I7226" s="128"/>
      <c r="J7226" s="81"/>
      <c r="K7226" s="81"/>
      <c r="L7226" s="81"/>
      <c r="M7226" s="81"/>
      <c r="N7226" s="82"/>
    </row>
    <row r="7227">
      <c r="C7227" s="41"/>
      <c r="D7227" s="141"/>
      <c r="E7227" s="118"/>
      <c r="F7227" s="126"/>
      <c r="G7227" s="126"/>
      <c r="H7227" s="126"/>
      <c r="I7227" s="126"/>
      <c r="J7227" s="76"/>
      <c r="K7227" s="76"/>
      <c r="L7227" s="76"/>
      <c r="M7227" s="76"/>
      <c r="N7227" s="114"/>
    </row>
    <row r="7228">
      <c r="C7228" s="41"/>
      <c r="D7228" s="142"/>
      <c r="E7228" s="130"/>
      <c r="F7228" s="128"/>
      <c r="G7228" s="128"/>
      <c r="H7228" s="128"/>
      <c r="I7228" s="128"/>
      <c r="J7228" s="81"/>
      <c r="K7228" s="81"/>
      <c r="L7228" s="81"/>
      <c r="M7228" s="81"/>
      <c r="N7228" s="82"/>
    </row>
    <row r="7229">
      <c r="C7229" s="41"/>
      <c r="D7229" s="141"/>
      <c r="E7229" s="118"/>
      <c r="F7229" s="126"/>
      <c r="G7229" s="126"/>
      <c r="H7229" s="126"/>
      <c r="I7229" s="126"/>
      <c r="J7229" s="76"/>
      <c r="K7229" s="76"/>
      <c r="L7229" s="76"/>
      <c r="M7229" s="76"/>
      <c r="N7229" s="114"/>
    </row>
    <row r="7230">
      <c r="C7230" s="41"/>
      <c r="D7230" s="142"/>
      <c r="E7230" s="130"/>
      <c r="F7230" s="128"/>
      <c r="G7230" s="128"/>
      <c r="H7230" s="128"/>
      <c r="I7230" s="128"/>
      <c r="J7230" s="81"/>
      <c r="K7230" s="81"/>
      <c r="L7230" s="81"/>
      <c r="M7230" s="81"/>
      <c r="N7230" s="82"/>
    </row>
    <row r="7231">
      <c r="C7231" s="41"/>
      <c r="D7231" s="141"/>
      <c r="E7231" s="118"/>
      <c r="F7231" s="126"/>
      <c r="G7231" s="126"/>
      <c r="H7231" s="126"/>
      <c r="I7231" s="126"/>
      <c r="J7231" s="76"/>
      <c r="K7231" s="76"/>
      <c r="L7231" s="76"/>
      <c r="M7231" s="76"/>
      <c r="N7231" s="114"/>
    </row>
    <row r="7232">
      <c r="C7232" s="41"/>
      <c r="D7232" s="142"/>
      <c r="E7232" s="130"/>
      <c r="F7232" s="128"/>
      <c r="G7232" s="128"/>
      <c r="H7232" s="128"/>
      <c r="I7232" s="128"/>
      <c r="J7232" s="81"/>
      <c r="K7232" s="81"/>
      <c r="L7232" s="81"/>
      <c r="M7232" s="81"/>
      <c r="N7232" s="82"/>
    </row>
    <row r="7233">
      <c r="C7233" s="41"/>
      <c r="D7233" s="141"/>
      <c r="E7233" s="118"/>
      <c r="F7233" s="126"/>
      <c r="G7233" s="126"/>
      <c r="H7233" s="126"/>
      <c r="I7233" s="126"/>
      <c r="J7233" s="76"/>
      <c r="K7233" s="76"/>
      <c r="L7233" s="76"/>
      <c r="M7233" s="76"/>
      <c r="N7233" s="114"/>
    </row>
    <row r="7234">
      <c r="C7234" s="41"/>
      <c r="D7234" s="142"/>
      <c r="E7234" s="130"/>
      <c r="F7234" s="128"/>
      <c r="G7234" s="128"/>
      <c r="H7234" s="128"/>
      <c r="I7234" s="128"/>
      <c r="J7234" s="81"/>
      <c r="K7234" s="81"/>
      <c r="L7234" s="81"/>
      <c r="M7234" s="81"/>
      <c r="N7234" s="82"/>
    </row>
    <row r="7235">
      <c r="C7235" s="41"/>
      <c r="D7235" s="141"/>
      <c r="E7235" s="118"/>
      <c r="F7235" s="126"/>
      <c r="G7235" s="126"/>
      <c r="H7235" s="126"/>
      <c r="I7235" s="126"/>
      <c r="J7235" s="76"/>
      <c r="K7235" s="76"/>
      <c r="L7235" s="76"/>
      <c r="M7235" s="76"/>
      <c r="N7235" s="114"/>
    </row>
    <row r="7236">
      <c r="C7236" s="41"/>
      <c r="D7236" s="142"/>
      <c r="E7236" s="130"/>
      <c r="F7236" s="128"/>
      <c r="G7236" s="128"/>
      <c r="H7236" s="128"/>
      <c r="I7236" s="128"/>
      <c r="J7236" s="81"/>
      <c r="K7236" s="81"/>
      <c r="L7236" s="81"/>
      <c r="M7236" s="81"/>
      <c r="N7236" s="82"/>
    </row>
    <row r="7237">
      <c r="C7237" s="41"/>
      <c r="D7237" s="141"/>
      <c r="E7237" s="118"/>
      <c r="F7237" s="126"/>
      <c r="G7237" s="126"/>
      <c r="H7237" s="126"/>
      <c r="I7237" s="126"/>
      <c r="J7237" s="76"/>
      <c r="K7237" s="76"/>
      <c r="L7237" s="76"/>
      <c r="M7237" s="76"/>
      <c r="N7237" s="114"/>
    </row>
    <row r="7238">
      <c r="C7238" s="41"/>
      <c r="D7238" s="142"/>
      <c r="E7238" s="130"/>
      <c r="F7238" s="128"/>
      <c r="G7238" s="128"/>
      <c r="H7238" s="128"/>
      <c r="I7238" s="128"/>
      <c r="J7238" s="81"/>
      <c r="K7238" s="81"/>
      <c r="L7238" s="81"/>
      <c r="M7238" s="81"/>
      <c r="N7238" s="82"/>
    </row>
    <row r="7239">
      <c r="C7239" s="41"/>
      <c r="D7239" s="141"/>
      <c r="E7239" s="118"/>
      <c r="F7239" s="126"/>
      <c r="G7239" s="126"/>
      <c r="H7239" s="126"/>
      <c r="I7239" s="126"/>
      <c r="J7239" s="76"/>
      <c r="K7239" s="76"/>
      <c r="L7239" s="76"/>
      <c r="M7239" s="76"/>
      <c r="N7239" s="114"/>
    </row>
    <row r="7240">
      <c r="C7240" s="41"/>
      <c r="D7240" s="142"/>
      <c r="E7240" s="130"/>
      <c r="F7240" s="128"/>
      <c r="G7240" s="128"/>
      <c r="H7240" s="128"/>
      <c r="I7240" s="128"/>
      <c r="J7240" s="81"/>
      <c r="K7240" s="81"/>
      <c r="L7240" s="81"/>
      <c r="M7240" s="81"/>
      <c r="N7240" s="82"/>
    </row>
    <row r="7241">
      <c r="C7241" s="41"/>
      <c r="D7241" s="141"/>
      <c r="E7241" s="118"/>
      <c r="F7241" s="126"/>
      <c r="G7241" s="126"/>
      <c r="H7241" s="126"/>
      <c r="I7241" s="126"/>
      <c r="J7241" s="76"/>
      <c r="K7241" s="76"/>
      <c r="L7241" s="76"/>
      <c r="M7241" s="76"/>
      <c r="N7241" s="114"/>
    </row>
    <row r="7242">
      <c r="C7242" s="41"/>
      <c r="D7242" s="142"/>
      <c r="E7242" s="130"/>
      <c r="F7242" s="128"/>
      <c r="G7242" s="128"/>
      <c r="H7242" s="128"/>
      <c r="I7242" s="128"/>
      <c r="J7242" s="81"/>
      <c r="K7242" s="81"/>
      <c r="L7242" s="81"/>
      <c r="M7242" s="81"/>
      <c r="N7242" s="82"/>
    </row>
    <row r="7243">
      <c r="C7243" s="41"/>
      <c r="D7243" s="141"/>
      <c r="E7243" s="118"/>
      <c r="F7243" s="126"/>
      <c r="G7243" s="126"/>
      <c r="H7243" s="126"/>
      <c r="I7243" s="126"/>
      <c r="J7243" s="76"/>
      <c r="K7243" s="76"/>
      <c r="L7243" s="76"/>
      <c r="M7243" s="76"/>
      <c r="N7243" s="114"/>
    </row>
    <row r="7244">
      <c r="C7244" s="41"/>
      <c r="D7244" s="142"/>
      <c r="E7244" s="130"/>
      <c r="F7244" s="128"/>
      <c r="G7244" s="128"/>
      <c r="H7244" s="128"/>
      <c r="I7244" s="128"/>
      <c r="J7244" s="81"/>
      <c r="K7244" s="81"/>
      <c r="L7244" s="81"/>
      <c r="M7244" s="81"/>
      <c r="N7244" s="82"/>
    </row>
    <row r="7245">
      <c r="C7245" s="41"/>
      <c r="D7245" s="141"/>
      <c r="E7245" s="118"/>
      <c r="F7245" s="126"/>
      <c r="G7245" s="126"/>
      <c r="H7245" s="126"/>
      <c r="I7245" s="126"/>
      <c r="J7245" s="76"/>
      <c r="K7245" s="76"/>
      <c r="L7245" s="76"/>
      <c r="M7245" s="76"/>
      <c r="N7245" s="114"/>
    </row>
    <row r="7246">
      <c r="C7246" s="41"/>
      <c r="D7246" s="142"/>
      <c r="E7246" s="130"/>
      <c r="F7246" s="128"/>
      <c r="G7246" s="128"/>
      <c r="H7246" s="128"/>
      <c r="I7246" s="128"/>
      <c r="J7246" s="81"/>
      <c r="K7246" s="81"/>
      <c r="L7246" s="81"/>
      <c r="M7246" s="81"/>
      <c r="N7246" s="82"/>
    </row>
    <row r="7247">
      <c r="C7247" s="41"/>
      <c r="D7247" s="141"/>
      <c r="E7247" s="118"/>
      <c r="F7247" s="126"/>
      <c r="G7247" s="126"/>
      <c r="H7247" s="126"/>
      <c r="I7247" s="126"/>
      <c r="J7247" s="76"/>
      <c r="K7247" s="76"/>
      <c r="L7247" s="76"/>
      <c r="M7247" s="76"/>
      <c r="N7247" s="114"/>
    </row>
    <row r="7248">
      <c r="C7248" s="41"/>
      <c r="D7248" s="142"/>
      <c r="E7248" s="130"/>
      <c r="F7248" s="128"/>
      <c r="G7248" s="128"/>
      <c r="H7248" s="128"/>
      <c r="I7248" s="128"/>
      <c r="J7248" s="81"/>
      <c r="K7248" s="81"/>
      <c r="L7248" s="81"/>
      <c r="M7248" s="81"/>
      <c r="N7248" s="82"/>
    </row>
    <row r="7249">
      <c r="C7249" s="41"/>
      <c r="D7249" s="141"/>
      <c r="E7249" s="118"/>
      <c r="F7249" s="126"/>
      <c r="G7249" s="126"/>
      <c r="H7249" s="126"/>
      <c r="I7249" s="126"/>
      <c r="J7249" s="76"/>
      <c r="K7249" s="76"/>
      <c r="L7249" s="76"/>
      <c r="M7249" s="76"/>
      <c r="N7249" s="114"/>
    </row>
    <row r="7250">
      <c r="C7250" s="41"/>
      <c r="D7250" s="142"/>
      <c r="E7250" s="130"/>
      <c r="F7250" s="128"/>
      <c r="G7250" s="128"/>
      <c r="H7250" s="128"/>
      <c r="I7250" s="128"/>
      <c r="J7250" s="81"/>
      <c r="K7250" s="81"/>
      <c r="L7250" s="81"/>
      <c r="M7250" s="81"/>
      <c r="N7250" s="82"/>
    </row>
    <row r="7251">
      <c r="C7251" s="41"/>
      <c r="D7251" s="141"/>
      <c r="E7251" s="118"/>
      <c r="F7251" s="126"/>
      <c r="G7251" s="126"/>
      <c r="H7251" s="126"/>
      <c r="I7251" s="126"/>
      <c r="J7251" s="76"/>
      <c r="K7251" s="76"/>
      <c r="L7251" s="76"/>
      <c r="M7251" s="76"/>
      <c r="N7251" s="114"/>
    </row>
    <row r="7252">
      <c r="C7252" s="41"/>
      <c r="D7252" s="142"/>
      <c r="E7252" s="130"/>
      <c r="F7252" s="128"/>
      <c r="G7252" s="128"/>
      <c r="H7252" s="128"/>
      <c r="I7252" s="128"/>
      <c r="J7252" s="81"/>
      <c r="K7252" s="81"/>
      <c r="L7252" s="81"/>
      <c r="M7252" s="81"/>
      <c r="N7252" s="82"/>
    </row>
    <row r="7253">
      <c r="C7253" s="41"/>
      <c r="D7253" s="141"/>
      <c r="E7253" s="118"/>
      <c r="F7253" s="126"/>
      <c r="G7253" s="126"/>
      <c r="H7253" s="126"/>
      <c r="I7253" s="126"/>
      <c r="J7253" s="76"/>
      <c r="K7253" s="76"/>
      <c r="L7253" s="76"/>
      <c r="M7253" s="76"/>
      <c r="N7253" s="114"/>
    </row>
    <row r="7254">
      <c r="C7254" s="41"/>
      <c r="D7254" s="142"/>
      <c r="E7254" s="130"/>
      <c r="F7254" s="128"/>
      <c r="G7254" s="128"/>
      <c r="H7254" s="128"/>
      <c r="I7254" s="128"/>
      <c r="J7254" s="81"/>
      <c r="K7254" s="81"/>
      <c r="L7254" s="81"/>
      <c r="M7254" s="81"/>
      <c r="N7254" s="82"/>
    </row>
    <row r="7255">
      <c r="C7255" s="41"/>
      <c r="D7255" s="141"/>
      <c r="E7255" s="118"/>
      <c r="F7255" s="126"/>
      <c r="G7255" s="126"/>
      <c r="H7255" s="126"/>
      <c r="I7255" s="126"/>
      <c r="J7255" s="76"/>
      <c r="K7255" s="76"/>
      <c r="L7255" s="76"/>
      <c r="M7255" s="76"/>
      <c r="N7255" s="114"/>
    </row>
    <row r="7256">
      <c r="C7256" s="41"/>
      <c r="D7256" s="142"/>
      <c r="E7256" s="130"/>
      <c r="F7256" s="128"/>
      <c r="G7256" s="128"/>
      <c r="H7256" s="128"/>
      <c r="I7256" s="128"/>
      <c r="J7256" s="81"/>
      <c r="K7256" s="81"/>
      <c r="L7256" s="81"/>
      <c r="M7256" s="81"/>
      <c r="N7256" s="82"/>
    </row>
    <row r="7257">
      <c r="C7257" s="41"/>
      <c r="D7257" s="141"/>
      <c r="E7257" s="118"/>
      <c r="F7257" s="126"/>
      <c r="G7257" s="126"/>
      <c r="H7257" s="126"/>
      <c r="I7257" s="126"/>
      <c r="J7257" s="76"/>
      <c r="K7257" s="76"/>
      <c r="L7257" s="76"/>
      <c r="M7257" s="76"/>
      <c r="N7257" s="114"/>
    </row>
    <row r="7258">
      <c r="C7258" s="41"/>
      <c r="D7258" s="142"/>
      <c r="E7258" s="130"/>
      <c r="F7258" s="128"/>
      <c r="G7258" s="128"/>
      <c r="H7258" s="128"/>
      <c r="I7258" s="128"/>
      <c r="J7258" s="81"/>
      <c r="K7258" s="81"/>
      <c r="L7258" s="81"/>
      <c r="M7258" s="81"/>
      <c r="N7258" s="82"/>
    </row>
    <row r="7259">
      <c r="C7259" s="41"/>
      <c r="D7259" s="141"/>
      <c r="E7259" s="118"/>
      <c r="F7259" s="126"/>
      <c r="G7259" s="126"/>
      <c r="H7259" s="126"/>
      <c r="I7259" s="126"/>
      <c r="J7259" s="76"/>
      <c r="K7259" s="76"/>
      <c r="L7259" s="76"/>
      <c r="M7259" s="76"/>
      <c r="N7259" s="114"/>
    </row>
    <row r="7260">
      <c r="C7260" s="41"/>
      <c r="D7260" s="142"/>
      <c r="E7260" s="130"/>
      <c r="F7260" s="128"/>
      <c r="G7260" s="128"/>
      <c r="H7260" s="128"/>
      <c r="I7260" s="128"/>
      <c r="J7260" s="81"/>
      <c r="K7260" s="81"/>
      <c r="L7260" s="81"/>
      <c r="M7260" s="81"/>
      <c r="N7260" s="82"/>
    </row>
    <row r="7261">
      <c r="C7261" s="41"/>
      <c r="D7261" s="141"/>
      <c r="E7261" s="118"/>
      <c r="F7261" s="126"/>
      <c r="G7261" s="126"/>
      <c r="H7261" s="126"/>
      <c r="I7261" s="126"/>
      <c r="J7261" s="76"/>
      <c r="K7261" s="76"/>
      <c r="L7261" s="76"/>
      <c r="M7261" s="76"/>
      <c r="N7261" s="114"/>
    </row>
    <row r="7262">
      <c r="C7262" s="41"/>
      <c r="D7262" s="142"/>
      <c r="E7262" s="130"/>
      <c r="F7262" s="128"/>
      <c r="G7262" s="128"/>
      <c r="H7262" s="128"/>
      <c r="I7262" s="128"/>
      <c r="J7262" s="81"/>
      <c r="K7262" s="81"/>
      <c r="L7262" s="81"/>
      <c r="M7262" s="81"/>
      <c r="N7262" s="82"/>
    </row>
    <row r="7263">
      <c r="C7263" s="41"/>
      <c r="D7263" s="141"/>
      <c r="E7263" s="118"/>
      <c r="F7263" s="126"/>
      <c r="G7263" s="126"/>
      <c r="H7263" s="126"/>
      <c r="I7263" s="126"/>
      <c r="J7263" s="76"/>
      <c r="K7263" s="76"/>
      <c r="L7263" s="76"/>
      <c r="M7263" s="76"/>
      <c r="N7263" s="114"/>
    </row>
    <row r="7264">
      <c r="C7264" s="41"/>
      <c r="D7264" s="142"/>
      <c r="E7264" s="130"/>
      <c r="F7264" s="128"/>
      <c r="G7264" s="128"/>
      <c r="H7264" s="128"/>
      <c r="I7264" s="128"/>
      <c r="J7264" s="81"/>
      <c r="K7264" s="81"/>
      <c r="L7264" s="81"/>
      <c r="M7264" s="81"/>
      <c r="N7264" s="82"/>
    </row>
    <row r="7265">
      <c r="C7265" s="41"/>
      <c r="D7265" s="141"/>
      <c r="E7265" s="118"/>
      <c r="F7265" s="126"/>
      <c r="G7265" s="126"/>
      <c r="H7265" s="126"/>
      <c r="I7265" s="126"/>
      <c r="J7265" s="76"/>
      <c r="K7265" s="76"/>
      <c r="L7265" s="76"/>
      <c r="M7265" s="76"/>
      <c r="N7265" s="114"/>
    </row>
    <row r="7266">
      <c r="C7266" s="41"/>
      <c r="D7266" s="142"/>
      <c r="E7266" s="130"/>
      <c r="F7266" s="128"/>
      <c r="G7266" s="128"/>
      <c r="H7266" s="128"/>
      <c r="I7266" s="128"/>
      <c r="J7266" s="81"/>
      <c r="K7266" s="81"/>
      <c r="L7266" s="81"/>
      <c r="M7266" s="81"/>
      <c r="N7266" s="82"/>
    </row>
    <row r="7267">
      <c r="C7267" s="41"/>
      <c r="D7267" s="141"/>
      <c r="E7267" s="118"/>
      <c r="F7267" s="126"/>
      <c r="G7267" s="126"/>
      <c r="H7267" s="126"/>
      <c r="I7267" s="126"/>
      <c r="J7267" s="76"/>
      <c r="K7267" s="76"/>
      <c r="L7267" s="76"/>
      <c r="M7267" s="76"/>
      <c r="N7267" s="114"/>
    </row>
    <row r="7268">
      <c r="C7268" s="41"/>
      <c r="D7268" s="142"/>
      <c r="E7268" s="130"/>
      <c r="F7268" s="128"/>
      <c r="G7268" s="128"/>
      <c r="H7268" s="128"/>
      <c r="I7268" s="128"/>
      <c r="J7268" s="81"/>
      <c r="K7268" s="81"/>
      <c r="L7268" s="81"/>
      <c r="M7268" s="81"/>
      <c r="N7268" s="82"/>
    </row>
    <row r="7269">
      <c r="C7269" s="41"/>
      <c r="D7269" s="141"/>
      <c r="E7269" s="118"/>
      <c r="F7269" s="126"/>
      <c r="G7269" s="126"/>
      <c r="H7269" s="126"/>
      <c r="I7269" s="126"/>
      <c r="J7269" s="76"/>
      <c r="K7269" s="76"/>
      <c r="L7269" s="76"/>
      <c r="M7269" s="76"/>
      <c r="N7269" s="114"/>
    </row>
    <row r="7270">
      <c r="C7270" s="41"/>
      <c r="D7270" s="142"/>
      <c r="E7270" s="130"/>
      <c r="F7270" s="128"/>
      <c r="G7270" s="128"/>
      <c r="H7270" s="128"/>
      <c r="I7270" s="128"/>
      <c r="J7270" s="81"/>
      <c r="K7270" s="81"/>
      <c r="L7270" s="81"/>
      <c r="M7270" s="81"/>
      <c r="N7270" s="82"/>
    </row>
    <row r="7271">
      <c r="C7271" s="41"/>
      <c r="D7271" s="141"/>
      <c r="E7271" s="118"/>
      <c r="F7271" s="126"/>
      <c r="G7271" s="126"/>
      <c r="H7271" s="126"/>
      <c r="I7271" s="126"/>
      <c r="J7271" s="76"/>
      <c r="K7271" s="76"/>
      <c r="L7271" s="76"/>
      <c r="M7271" s="76"/>
      <c r="N7271" s="114"/>
    </row>
    <row r="7272">
      <c r="C7272" s="41"/>
      <c r="D7272" s="142"/>
      <c r="E7272" s="130"/>
      <c r="F7272" s="128"/>
      <c r="G7272" s="128"/>
      <c r="H7272" s="128"/>
      <c r="I7272" s="128"/>
      <c r="J7272" s="81"/>
      <c r="K7272" s="81"/>
      <c r="L7272" s="81"/>
      <c r="M7272" s="81"/>
      <c r="N7272" s="82"/>
    </row>
    <row r="7273">
      <c r="C7273" s="41"/>
      <c r="D7273" s="141"/>
      <c r="E7273" s="118"/>
      <c r="F7273" s="126"/>
      <c r="G7273" s="126"/>
      <c r="H7273" s="126"/>
      <c r="I7273" s="126"/>
      <c r="J7273" s="76"/>
      <c r="K7273" s="76"/>
      <c r="L7273" s="76"/>
      <c r="M7273" s="76"/>
      <c r="N7273" s="114"/>
    </row>
    <row r="7274">
      <c r="C7274" s="41"/>
      <c r="D7274" s="142"/>
      <c r="E7274" s="130"/>
      <c r="F7274" s="128"/>
      <c r="G7274" s="128"/>
      <c r="H7274" s="128"/>
      <c r="I7274" s="128"/>
      <c r="J7274" s="81"/>
      <c r="K7274" s="81"/>
      <c r="L7274" s="81"/>
      <c r="M7274" s="81"/>
      <c r="N7274" s="82"/>
    </row>
    <row r="7275">
      <c r="C7275" s="41"/>
      <c r="D7275" s="141"/>
      <c r="E7275" s="118"/>
      <c r="F7275" s="126"/>
      <c r="G7275" s="126"/>
      <c r="H7275" s="126"/>
      <c r="I7275" s="126"/>
      <c r="J7275" s="76"/>
      <c r="K7275" s="76"/>
      <c r="L7275" s="76"/>
      <c r="M7275" s="76"/>
      <c r="N7275" s="114"/>
    </row>
    <row r="7276">
      <c r="D7276" s="143"/>
      <c r="E7276" s="143"/>
      <c r="F7276" s="143"/>
      <c r="G7276" s="143"/>
      <c r="H7276" s="143"/>
      <c r="I7276" s="143"/>
      <c r="J7276" s="143"/>
      <c r="K7276" s="143"/>
      <c r="L7276" s="143"/>
      <c r="M7276" s="143"/>
      <c r="N7276" s="143"/>
    </row>
    <row r="7277">
      <c r="D7277" s="144"/>
      <c r="E7277" s="144"/>
      <c r="F7277" s="144"/>
      <c r="G7277" s="144"/>
      <c r="H7277" s="144"/>
      <c r="I7277" s="144"/>
      <c r="J7277" s="144"/>
      <c r="K7277" s="144"/>
      <c r="L7277" s="144"/>
      <c r="M7277" s="144"/>
      <c r="N7277" s="144"/>
    </row>
    <row r="7278">
      <c r="D7278" s="143"/>
      <c r="E7278" s="143"/>
      <c r="F7278" s="143"/>
      <c r="G7278" s="143"/>
      <c r="H7278" s="143"/>
      <c r="I7278" s="143"/>
      <c r="J7278" s="143"/>
      <c r="K7278" s="143"/>
      <c r="L7278" s="143"/>
      <c r="M7278" s="143"/>
      <c r="N7278" s="143"/>
    </row>
    <row r="7279">
      <c r="D7279" s="144"/>
      <c r="E7279" s="144"/>
      <c r="F7279" s="144"/>
      <c r="G7279" s="144"/>
      <c r="H7279" s="144"/>
      <c r="I7279" s="144"/>
      <c r="J7279" s="144"/>
      <c r="K7279" s="144"/>
      <c r="L7279" s="144"/>
      <c r="M7279" s="144"/>
      <c r="N7279" s="144"/>
    </row>
    <row r="7280">
      <c r="D7280" s="143"/>
      <c r="E7280" s="143"/>
      <c r="F7280" s="143"/>
      <c r="G7280" s="143"/>
      <c r="H7280" s="143"/>
      <c r="I7280" s="143"/>
      <c r="J7280" s="143"/>
      <c r="K7280" s="143"/>
      <c r="L7280" s="143"/>
      <c r="M7280" s="143"/>
      <c r="N7280" s="143"/>
    </row>
    <row r="7281">
      <c r="D7281" s="144"/>
      <c r="E7281" s="144"/>
      <c r="F7281" s="144"/>
      <c r="G7281" s="144"/>
      <c r="H7281" s="144"/>
      <c r="I7281" s="144"/>
      <c r="J7281" s="144"/>
      <c r="K7281" s="144"/>
      <c r="L7281" s="144"/>
      <c r="M7281" s="144"/>
      <c r="N7281" s="144"/>
    </row>
    <row r="7282">
      <c r="D7282" s="143"/>
      <c r="E7282" s="143"/>
      <c r="F7282" s="143"/>
      <c r="G7282" s="143"/>
      <c r="H7282" s="143"/>
      <c r="I7282" s="143"/>
      <c r="J7282" s="143"/>
      <c r="K7282" s="143"/>
      <c r="L7282" s="143"/>
      <c r="M7282" s="143"/>
      <c r="N7282" s="143"/>
    </row>
    <row r="7283">
      <c r="D7283" s="144"/>
      <c r="E7283" s="144"/>
      <c r="F7283" s="144"/>
      <c r="G7283" s="144"/>
      <c r="H7283" s="144"/>
      <c r="I7283" s="144"/>
      <c r="J7283" s="144"/>
      <c r="K7283" s="144"/>
      <c r="L7283" s="144"/>
      <c r="M7283" s="144"/>
      <c r="N7283" s="144"/>
    </row>
    <row r="7284">
      <c r="D7284" s="143"/>
      <c r="E7284" s="143"/>
      <c r="F7284" s="143"/>
      <c r="G7284" s="143"/>
      <c r="H7284" s="143"/>
      <c r="I7284" s="143"/>
      <c r="J7284" s="143"/>
      <c r="K7284" s="143"/>
      <c r="L7284" s="143"/>
      <c r="M7284" s="143"/>
      <c r="N7284" s="143"/>
    </row>
    <row r="7285">
      <c r="D7285" s="144"/>
      <c r="E7285" s="144"/>
      <c r="F7285" s="144"/>
      <c r="G7285" s="144"/>
      <c r="H7285" s="144"/>
      <c r="I7285" s="144"/>
      <c r="J7285" s="144"/>
      <c r="K7285" s="144"/>
      <c r="L7285" s="144"/>
      <c r="M7285" s="144"/>
      <c r="N7285" s="144"/>
    </row>
    <row r="7286">
      <c r="D7286" s="143"/>
      <c r="E7286" s="143"/>
      <c r="F7286" s="143"/>
      <c r="G7286" s="143"/>
      <c r="H7286" s="143"/>
      <c r="I7286" s="143"/>
      <c r="J7286" s="143"/>
      <c r="K7286" s="143"/>
      <c r="L7286" s="143"/>
      <c r="M7286" s="143"/>
      <c r="N7286" s="143"/>
    </row>
    <row r="7287">
      <c r="D7287" s="144"/>
      <c r="E7287" s="144"/>
      <c r="F7287" s="144"/>
      <c r="G7287" s="144"/>
      <c r="H7287" s="144"/>
      <c r="I7287" s="144"/>
      <c r="J7287" s="144"/>
      <c r="K7287" s="144"/>
      <c r="L7287" s="144"/>
      <c r="M7287" s="144"/>
      <c r="N7287" s="144"/>
    </row>
    <row r="7288">
      <c r="D7288" s="143"/>
      <c r="E7288" s="143"/>
      <c r="F7288" s="143"/>
      <c r="G7288" s="143"/>
      <c r="H7288" s="143"/>
      <c r="I7288" s="143"/>
      <c r="J7288" s="143"/>
      <c r="K7288" s="143"/>
      <c r="L7288" s="143"/>
      <c r="M7288" s="143"/>
      <c r="N7288" s="143"/>
    </row>
    <row r="7289">
      <c r="D7289" s="144"/>
      <c r="E7289" s="144"/>
      <c r="F7289" s="144"/>
      <c r="G7289" s="144"/>
      <c r="H7289" s="144"/>
      <c r="I7289" s="144"/>
      <c r="J7289" s="144"/>
      <c r="K7289" s="144"/>
      <c r="L7289" s="144"/>
      <c r="M7289" s="144"/>
      <c r="N7289" s="144"/>
    </row>
    <row r="7290">
      <c r="D7290" s="143"/>
      <c r="E7290" s="143"/>
      <c r="F7290" s="143"/>
      <c r="G7290" s="143"/>
      <c r="H7290" s="143"/>
      <c r="I7290" s="143"/>
      <c r="J7290" s="143"/>
      <c r="K7290" s="143"/>
      <c r="L7290" s="143"/>
      <c r="M7290" s="143"/>
      <c r="N7290" s="143"/>
    </row>
    <row r="7291">
      <c r="D7291" s="144"/>
      <c r="E7291" s="144"/>
      <c r="F7291" s="144"/>
      <c r="G7291" s="144"/>
      <c r="H7291" s="144"/>
      <c r="I7291" s="144"/>
      <c r="J7291" s="144"/>
      <c r="K7291" s="144"/>
      <c r="L7291" s="144"/>
      <c r="M7291" s="144"/>
      <c r="N7291" s="144"/>
    </row>
    <row r="7292">
      <c r="D7292" s="143"/>
      <c r="E7292" s="143"/>
      <c r="F7292" s="143"/>
      <c r="G7292" s="143"/>
      <c r="H7292" s="143"/>
      <c r="I7292" s="143"/>
      <c r="J7292" s="143"/>
      <c r="K7292" s="143"/>
      <c r="L7292" s="143"/>
      <c r="M7292" s="143"/>
      <c r="N7292" s="143"/>
    </row>
    <row r="7293">
      <c r="D7293" s="144"/>
      <c r="E7293" s="144"/>
      <c r="F7293" s="144"/>
      <c r="G7293" s="144"/>
      <c r="H7293" s="144"/>
      <c r="I7293" s="144"/>
      <c r="J7293" s="144"/>
      <c r="K7293" s="144"/>
      <c r="L7293" s="144"/>
      <c r="M7293" s="144"/>
      <c r="N7293" s="144"/>
    </row>
    <row r="7294">
      <c r="D7294" s="143"/>
      <c r="E7294" s="143"/>
      <c r="F7294" s="143"/>
      <c r="G7294" s="143"/>
      <c r="H7294" s="143"/>
      <c r="I7294" s="143"/>
      <c r="J7294" s="143"/>
      <c r="K7294" s="143"/>
      <c r="L7294" s="143"/>
      <c r="M7294" s="143"/>
      <c r="N7294" s="143"/>
    </row>
    <row r="7295">
      <c r="D7295" s="144"/>
      <c r="E7295" s="144"/>
      <c r="F7295" s="144"/>
      <c r="G7295" s="144"/>
      <c r="H7295" s="144"/>
      <c r="I7295" s="144"/>
      <c r="J7295" s="144"/>
      <c r="K7295" s="144"/>
      <c r="L7295" s="144"/>
      <c r="M7295" s="144"/>
      <c r="N7295" s="144"/>
    </row>
    <row r="7296">
      <c r="D7296" s="143"/>
      <c r="E7296" s="143"/>
      <c r="F7296" s="143"/>
      <c r="G7296" s="143"/>
      <c r="H7296" s="143"/>
      <c r="I7296" s="143"/>
      <c r="J7296" s="143"/>
      <c r="K7296" s="143"/>
      <c r="L7296" s="143"/>
      <c r="M7296" s="143"/>
      <c r="N7296" s="143"/>
    </row>
    <row r="7297">
      <c r="D7297" s="144"/>
      <c r="E7297" s="144"/>
      <c r="F7297" s="144"/>
      <c r="G7297" s="144"/>
      <c r="H7297" s="144"/>
      <c r="I7297" s="144"/>
      <c r="J7297" s="144"/>
      <c r="K7297" s="144"/>
      <c r="L7297" s="144"/>
      <c r="M7297" s="144"/>
      <c r="N7297" s="144"/>
    </row>
    <row r="7298">
      <c r="D7298" s="143"/>
      <c r="E7298" s="143"/>
      <c r="F7298" s="143"/>
      <c r="G7298" s="143"/>
      <c r="H7298" s="143"/>
      <c r="I7298" s="143"/>
      <c r="J7298" s="143"/>
      <c r="K7298" s="143"/>
      <c r="L7298" s="143"/>
      <c r="M7298" s="143"/>
      <c r="N7298" s="143"/>
    </row>
    <row r="7299">
      <c r="D7299" s="144"/>
      <c r="E7299" s="144"/>
      <c r="F7299" s="144"/>
      <c r="G7299" s="144"/>
      <c r="H7299" s="144"/>
      <c r="I7299" s="144"/>
      <c r="J7299" s="144"/>
      <c r="K7299" s="144"/>
      <c r="L7299" s="144"/>
      <c r="M7299" s="144"/>
      <c r="N7299" s="144"/>
    </row>
    <row r="7300">
      <c r="D7300" s="143"/>
      <c r="E7300" s="143"/>
      <c r="F7300" s="143"/>
      <c r="G7300" s="143"/>
      <c r="H7300" s="143"/>
      <c r="I7300" s="143"/>
      <c r="J7300" s="143"/>
      <c r="K7300" s="143"/>
      <c r="L7300" s="143"/>
      <c r="M7300" s="143"/>
      <c r="N7300" s="143"/>
    </row>
    <row r="7301">
      <c r="D7301" s="144"/>
      <c r="E7301" s="144"/>
      <c r="F7301" s="144"/>
      <c r="G7301" s="144"/>
      <c r="H7301" s="144"/>
      <c r="I7301" s="144"/>
      <c r="J7301" s="144"/>
      <c r="K7301" s="144"/>
      <c r="L7301" s="144"/>
      <c r="M7301" s="144"/>
      <c r="N7301" s="144"/>
    </row>
    <row r="7302">
      <c r="D7302" s="143"/>
      <c r="E7302" s="143"/>
      <c r="F7302" s="143"/>
      <c r="G7302" s="143"/>
      <c r="H7302" s="143"/>
      <c r="I7302" s="143"/>
      <c r="J7302" s="143"/>
      <c r="K7302" s="143"/>
      <c r="L7302" s="143"/>
      <c r="M7302" s="143"/>
      <c r="N7302" s="143"/>
    </row>
    <row r="7303">
      <c r="D7303" s="144"/>
      <c r="E7303" s="144"/>
      <c r="F7303" s="144"/>
      <c r="G7303" s="144"/>
      <c r="H7303" s="144"/>
      <c r="I7303" s="144"/>
      <c r="J7303" s="144"/>
      <c r="K7303" s="144"/>
      <c r="L7303" s="144"/>
      <c r="M7303" s="144"/>
      <c r="N7303" s="144"/>
    </row>
    <row r="7304">
      <c r="D7304" s="143"/>
      <c r="E7304" s="143"/>
      <c r="F7304" s="143"/>
      <c r="G7304" s="143"/>
      <c r="H7304" s="143"/>
      <c r="I7304" s="143"/>
      <c r="J7304" s="143"/>
      <c r="K7304" s="143"/>
      <c r="L7304" s="143"/>
      <c r="M7304" s="143"/>
      <c r="N7304" s="143"/>
    </row>
    <row r="7305">
      <c r="D7305" s="144"/>
      <c r="E7305" s="144"/>
      <c r="F7305" s="144"/>
      <c r="G7305" s="144"/>
      <c r="H7305" s="144"/>
      <c r="I7305" s="144"/>
      <c r="J7305" s="144"/>
      <c r="K7305" s="144"/>
      <c r="L7305" s="144"/>
      <c r="M7305" s="144"/>
      <c r="N7305" s="144"/>
    </row>
    <row r="7306">
      <c r="D7306" s="143"/>
      <c r="E7306" s="143"/>
      <c r="F7306" s="143"/>
      <c r="G7306" s="143"/>
      <c r="H7306" s="143"/>
      <c r="I7306" s="143"/>
      <c r="J7306" s="143"/>
      <c r="K7306" s="143"/>
      <c r="L7306" s="143"/>
      <c r="M7306" s="143"/>
      <c r="N7306" s="143"/>
    </row>
    <row r="7307">
      <c r="D7307" s="144"/>
      <c r="E7307" s="144"/>
      <c r="F7307" s="144"/>
      <c r="G7307" s="144"/>
      <c r="H7307" s="144"/>
      <c r="I7307" s="144"/>
      <c r="J7307" s="144"/>
      <c r="K7307" s="144"/>
      <c r="L7307" s="144"/>
      <c r="M7307" s="144"/>
      <c r="N7307" s="144"/>
    </row>
    <row r="7308">
      <c r="D7308" s="143"/>
      <c r="E7308" s="143"/>
      <c r="F7308" s="143"/>
      <c r="G7308" s="143"/>
      <c r="H7308" s="143"/>
      <c r="I7308" s="143"/>
      <c r="J7308" s="143"/>
      <c r="K7308" s="143"/>
      <c r="L7308" s="143"/>
      <c r="M7308" s="143"/>
      <c r="N7308" s="143"/>
    </row>
    <row r="7309">
      <c r="D7309" s="144"/>
      <c r="E7309" s="144"/>
      <c r="F7309" s="144"/>
      <c r="G7309" s="144"/>
      <c r="H7309" s="144"/>
      <c r="I7309" s="144"/>
      <c r="J7309" s="144"/>
      <c r="K7309" s="144"/>
      <c r="L7309" s="144"/>
      <c r="M7309" s="144"/>
      <c r="N7309" s="144"/>
    </row>
    <row r="7310">
      <c r="D7310" s="143"/>
      <c r="E7310" s="143"/>
      <c r="F7310" s="143"/>
      <c r="G7310" s="143"/>
      <c r="H7310" s="143"/>
      <c r="I7310" s="143"/>
      <c r="J7310" s="143"/>
      <c r="K7310" s="143"/>
      <c r="L7310" s="143"/>
      <c r="M7310" s="143"/>
      <c r="N7310" s="143"/>
    </row>
    <row r="7311">
      <c r="D7311" s="144"/>
      <c r="E7311" s="144"/>
      <c r="F7311" s="144"/>
      <c r="G7311" s="144"/>
      <c r="H7311" s="144"/>
      <c r="I7311" s="144"/>
      <c r="J7311" s="144"/>
      <c r="K7311" s="144"/>
      <c r="L7311" s="144"/>
      <c r="M7311" s="144"/>
      <c r="N7311" s="144"/>
    </row>
    <row r="7312">
      <c r="D7312" s="143"/>
      <c r="E7312" s="143"/>
      <c r="F7312" s="143"/>
      <c r="G7312" s="143"/>
      <c r="H7312" s="143"/>
      <c r="I7312" s="143"/>
      <c r="J7312" s="143"/>
      <c r="K7312" s="143"/>
      <c r="L7312" s="143"/>
      <c r="M7312" s="143"/>
      <c r="N7312" s="143"/>
    </row>
    <row r="7313">
      <c r="D7313" s="144"/>
      <c r="E7313" s="144"/>
      <c r="F7313" s="144"/>
      <c r="G7313" s="144"/>
      <c r="H7313" s="144"/>
      <c r="I7313" s="144"/>
      <c r="J7313" s="144"/>
      <c r="K7313" s="144"/>
      <c r="L7313" s="144"/>
      <c r="M7313" s="144"/>
      <c r="N7313" s="144"/>
    </row>
    <row r="7314">
      <c r="D7314" s="143"/>
      <c r="E7314" s="143"/>
      <c r="F7314" s="143"/>
      <c r="G7314" s="143"/>
      <c r="H7314" s="143"/>
      <c r="I7314" s="143"/>
      <c r="J7314" s="143"/>
      <c r="K7314" s="143"/>
      <c r="L7314" s="143"/>
      <c r="M7314" s="143"/>
      <c r="N7314" s="143"/>
    </row>
    <row r="7315">
      <c r="D7315" s="144"/>
      <c r="E7315" s="144"/>
      <c r="F7315" s="144"/>
      <c r="G7315" s="144"/>
      <c r="H7315" s="144"/>
      <c r="I7315" s="144"/>
      <c r="J7315" s="144"/>
      <c r="K7315" s="144"/>
      <c r="L7315" s="144"/>
      <c r="M7315" s="144"/>
      <c r="N7315" s="144"/>
    </row>
    <row r="7316">
      <c r="D7316" s="143"/>
      <c r="E7316" s="143"/>
      <c r="F7316" s="143"/>
      <c r="G7316" s="143"/>
      <c r="H7316" s="143"/>
      <c r="I7316" s="143"/>
      <c r="J7316" s="143"/>
      <c r="K7316" s="143"/>
      <c r="L7316" s="143"/>
      <c r="M7316" s="143"/>
      <c r="N7316" s="143"/>
    </row>
    <row r="7317">
      <c r="D7317" s="144"/>
      <c r="E7317" s="144"/>
      <c r="F7317" s="144"/>
      <c r="G7317" s="144"/>
      <c r="H7317" s="144"/>
      <c r="I7317" s="144"/>
      <c r="J7317" s="144"/>
      <c r="K7317" s="144"/>
      <c r="L7317" s="144"/>
      <c r="M7317" s="144"/>
      <c r="N7317" s="144"/>
    </row>
    <row r="7318">
      <c r="D7318" s="143"/>
      <c r="E7318" s="143"/>
      <c r="F7318" s="143"/>
      <c r="G7318" s="143"/>
      <c r="H7318" s="143"/>
      <c r="I7318" s="143"/>
      <c r="J7318" s="143"/>
      <c r="K7318" s="143"/>
      <c r="L7318" s="143"/>
      <c r="M7318" s="143"/>
      <c r="N7318" s="143"/>
    </row>
    <row r="7319">
      <c r="D7319" s="144"/>
      <c r="E7319" s="144"/>
      <c r="F7319" s="144"/>
      <c r="G7319" s="144"/>
      <c r="H7319" s="144"/>
      <c r="I7319" s="144"/>
      <c r="J7319" s="144"/>
      <c r="K7319" s="144"/>
      <c r="L7319" s="144"/>
      <c r="M7319" s="144"/>
      <c r="N7319" s="144"/>
    </row>
    <row r="7320">
      <c r="D7320" s="143"/>
      <c r="E7320" s="143"/>
      <c r="F7320" s="143"/>
      <c r="G7320" s="143"/>
      <c r="H7320" s="143"/>
      <c r="I7320" s="143"/>
      <c r="J7320" s="143"/>
      <c r="K7320" s="143"/>
      <c r="L7320" s="143"/>
      <c r="M7320" s="143"/>
      <c r="N7320" s="143"/>
    </row>
    <row r="7321">
      <c r="D7321" s="144"/>
      <c r="E7321" s="144"/>
      <c r="F7321" s="144"/>
      <c r="G7321" s="144"/>
      <c r="H7321" s="144"/>
      <c r="I7321" s="144"/>
      <c r="J7321" s="144"/>
      <c r="K7321" s="144"/>
      <c r="L7321" s="144"/>
      <c r="M7321" s="144"/>
      <c r="N7321" s="144"/>
    </row>
    <row r="7322">
      <c r="D7322" s="143"/>
      <c r="E7322" s="143"/>
      <c r="F7322" s="143"/>
      <c r="G7322" s="143"/>
      <c r="H7322" s="143"/>
      <c r="I7322" s="143"/>
      <c r="J7322" s="143"/>
      <c r="K7322" s="143"/>
      <c r="L7322" s="143"/>
      <c r="M7322" s="143"/>
      <c r="N7322" s="143"/>
    </row>
    <row r="7323">
      <c r="D7323" s="144"/>
      <c r="E7323" s="144"/>
      <c r="F7323" s="144"/>
      <c r="G7323" s="144"/>
      <c r="H7323" s="144"/>
      <c r="I7323" s="144"/>
      <c r="J7323" s="144"/>
      <c r="K7323" s="144"/>
      <c r="L7323" s="144"/>
      <c r="M7323" s="144"/>
      <c r="N7323" s="144"/>
    </row>
    <row r="7324">
      <c r="D7324" s="143"/>
      <c r="E7324" s="143"/>
      <c r="F7324" s="143"/>
      <c r="G7324" s="143"/>
      <c r="H7324" s="143"/>
      <c r="I7324" s="143"/>
      <c r="J7324" s="143"/>
      <c r="K7324" s="143"/>
      <c r="L7324" s="143"/>
      <c r="M7324" s="143"/>
      <c r="N7324" s="143"/>
    </row>
    <row r="7325">
      <c r="D7325" s="144"/>
      <c r="E7325" s="144"/>
      <c r="F7325" s="144"/>
      <c r="G7325" s="144"/>
      <c r="H7325" s="144"/>
      <c r="I7325" s="144"/>
      <c r="J7325" s="144"/>
      <c r="K7325" s="144"/>
      <c r="L7325" s="144"/>
      <c r="M7325" s="144"/>
      <c r="N7325" s="144"/>
    </row>
    <row r="7326">
      <c r="D7326" s="143"/>
      <c r="E7326" s="143"/>
      <c r="F7326" s="143"/>
      <c r="G7326" s="143"/>
      <c r="H7326" s="143"/>
      <c r="I7326" s="143"/>
      <c r="J7326" s="143"/>
      <c r="K7326" s="143"/>
      <c r="L7326" s="143"/>
      <c r="M7326" s="143"/>
      <c r="N7326" s="143"/>
    </row>
    <row r="7327">
      <c r="D7327" s="144"/>
      <c r="E7327" s="144"/>
      <c r="F7327" s="144"/>
      <c r="G7327" s="144"/>
      <c r="H7327" s="144"/>
      <c r="I7327" s="144"/>
      <c r="J7327" s="144"/>
      <c r="K7327" s="144"/>
      <c r="L7327" s="144"/>
      <c r="M7327" s="144"/>
      <c r="N7327" s="144"/>
    </row>
    <row r="7328">
      <c r="D7328" s="143"/>
      <c r="E7328" s="143"/>
      <c r="F7328" s="143"/>
      <c r="G7328" s="143"/>
      <c r="H7328" s="143"/>
      <c r="I7328" s="143"/>
      <c r="J7328" s="143"/>
      <c r="K7328" s="143"/>
      <c r="L7328" s="143"/>
      <c r="M7328" s="143"/>
      <c r="N7328" s="143"/>
    </row>
    <row r="7329">
      <c r="D7329" s="144"/>
      <c r="E7329" s="144"/>
      <c r="F7329" s="144"/>
      <c r="G7329" s="144"/>
      <c r="H7329" s="144"/>
      <c r="I7329" s="144"/>
      <c r="J7329" s="144"/>
      <c r="K7329" s="144"/>
      <c r="L7329" s="144"/>
      <c r="M7329" s="144"/>
      <c r="N7329" s="144"/>
    </row>
    <row r="7330">
      <c r="D7330" s="143"/>
      <c r="E7330" s="143"/>
      <c r="F7330" s="143"/>
      <c r="G7330" s="143"/>
      <c r="H7330" s="143"/>
      <c r="I7330" s="143"/>
      <c r="J7330" s="143"/>
      <c r="K7330" s="143"/>
      <c r="L7330" s="143"/>
      <c r="M7330" s="143"/>
      <c r="N7330" s="143"/>
    </row>
    <row r="7331">
      <c r="D7331" s="144"/>
      <c r="E7331" s="144"/>
      <c r="F7331" s="144"/>
      <c r="G7331" s="144"/>
      <c r="H7331" s="144"/>
      <c r="I7331" s="144"/>
      <c r="J7331" s="144"/>
      <c r="K7331" s="144"/>
      <c r="L7331" s="144"/>
      <c r="M7331" s="144"/>
      <c r="N7331" s="144"/>
    </row>
    <row r="7332">
      <c r="D7332" s="143"/>
      <c r="E7332" s="143"/>
      <c r="F7332" s="143"/>
      <c r="G7332" s="143"/>
      <c r="H7332" s="143"/>
      <c r="I7332" s="143"/>
      <c r="J7332" s="143"/>
      <c r="K7332" s="143"/>
      <c r="L7332" s="143"/>
      <c r="M7332" s="143"/>
      <c r="N7332" s="143"/>
    </row>
    <row r="7333">
      <c r="D7333" s="144"/>
      <c r="E7333" s="144"/>
      <c r="F7333" s="144"/>
      <c r="G7333" s="144"/>
      <c r="H7333" s="144"/>
      <c r="I7333" s="144"/>
      <c r="J7333" s="144"/>
      <c r="K7333" s="144"/>
      <c r="L7333" s="144"/>
      <c r="M7333" s="144"/>
      <c r="N7333" s="144"/>
    </row>
    <row r="7334">
      <c r="D7334" s="143"/>
      <c r="E7334" s="143"/>
      <c r="F7334" s="143"/>
      <c r="G7334" s="143"/>
      <c r="H7334" s="143"/>
      <c r="I7334" s="143"/>
      <c r="J7334" s="143"/>
      <c r="K7334" s="143"/>
      <c r="L7334" s="143"/>
      <c r="M7334" s="143"/>
      <c r="N7334" s="143"/>
    </row>
    <row r="7335">
      <c r="D7335" s="144"/>
      <c r="E7335" s="144"/>
      <c r="F7335" s="144"/>
      <c r="G7335" s="144"/>
      <c r="H7335" s="144"/>
      <c r="I7335" s="144"/>
      <c r="J7335" s="144"/>
      <c r="K7335" s="144"/>
      <c r="L7335" s="144"/>
      <c r="M7335" s="144"/>
      <c r="N7335" s="144"/>
    </row>
    <row r="7336">
      <c r="D7336" s="143"/>
      <c r="E7336" s="143"/>
      <c r="F7336" s="143"/>
      <c r="G7336" s="143"/>
      <c r="H7336" s="143"/>
      <c r="I7336" s="143"/>
      <c r="J7336" s="143"/>
      <c r="K7336" s="143"/>
      <c r="L7336" s="143"/>
      <c r="M7336" s="143"/>
      <c r="N7336" s="143"/>
    </row>
    <row r="7337">
      <c r="D7337" s="144"/>
      <c r="E7337" s="144"/>
      <c r="F7337" s="144"/>
      <c r="G7337" s="144"/>
      <c r="H7337" s="144"/>
      <c r="I7337" s="144"/>
      <c r="J7337" s="144"/>
      <c r="K7337" s="144"/>
      <c r="L7337" s="144"/>
      <c r="M7337" s="144"/>
      <c r="N7337" s="144"/>
    </row>
    <row r="7338">
      <c r="D7338" s="143"/>
      <c r="E7338" s="143"/>
      <c r="F7338" s="143"/>
      <c r="G7338" s="143"/>
      <c r="H7338" s="143"/>
      <c r="I7338" s="143"/>
      <c r="J7338" s="143"/>
      <c r="K7338" s="143"/>
      <c r="L7338" s="143"/>
      <c r="M7338" s="143"/>
      <c r="N7338" s="143"/>
    </row>
    <row r="7339">
      <c r="D7339" s="144"/>
      <c r="E7339" s="144"/>
      <c r="F7339" s="144"/>
      <c r="G7339" s="144"/>
      <c r="H7339" s="144"/>
      <c r="I7339" s="144"/>
      <c r="J7339" s="144"/>
      <c r="K7339" s="144"/>
      <c r="L7339" s="144"/>
      <c r="M7339" s="144"/>
      <c r="N7339" s="144"/>
    </row>
    <row r="7340">
      <c r="D7340" s="143"/>
      <c r="E7340" s="143"/>
      <c r="F7340" s="143"/>
      <c r="G7340" s="143"/>
      <c r="H7340" s="143"/>
      <c r="I7340" s="143"/>
      <c r="J7340" s="143"/>
      <c r="K7340" s="143"/>
      <c r="L7340" s="143"/>
      <c r="M7340" s="143"/>
      <c r="N7340" s="143"/>
    </row>
    <row r="7341">
      <c r="D7341" s="144"/>
      <c r="E7341" s="144"/>
      <c r="F7341" s="144"/>
      <c r="G7341" s="144"/>
      <c r="H7341" s="144"/>
      <c r="I7341" s="144"/>
      <c r="J7341" s="144"/>
      <c r="K7341" s="144"/>
      <c r="L7341" s="144"/>
      <c r="M7341" s="144"/>
      <c r="N7341" s="144"/>
    </row>
    <row r="7342">
      <c r="D7342" s="143"/>
      <c r="E7342" s="143"/>
      <c r="F7342" s="143"/>
      <c r="G7342" s="143"/>
      <c r="H7342" s="143"/>
      <c r="I7342" s="143"/>
      <c r="J7342" s="143"/>
      <c r="K7342" s="143"/>
      <c r="L7342" s="143"/>
      <c r="M7342" s="143"/>
      <c r="N7342" s="143"/>
    </row>
    <row r="7343">
      <c r="D7343" s="144"/>
      <c r="E7343" s="144"/>
      <c r="F7343" s="144"/>
      <c r="G7343" s="144"/>
      <c r="H7343" s="144"/>
      <c r="I7343" s="144"/>
      <c r="J7343" s="144"/>
      <c r="K7343" s="144"/>
      <c r="L7343" s="144"/>
      <c r="M7343" s="144"/>
      <c r="N7343" s="144"/>
    </row>
    <row r="7344">
      <c r="D7344" s="143"/>
      <c r="E7344" s="143"/>
      <c r="F7344" s="143"/>
      <c r="G7344" s="143"/>
      <c r="H7344" s="143"/>
      <c r="I7344" s="143"/>
      <c r="J7344" s="143"/>
      <c r="K7344" s="143"/>
      <c r="L7344" s="143"/>
      <c r="M7344" s="143"/>
      <c r="N7344" s="143"/>
    </row>
    <row r="7345">
      <c r="D7345" s="144"/>
      <c r="E7345" s="144"/>
      <c r="F7345" s="144"/>
      <c r="G7345" s="144"/>
      <c r="H7345" s="144"/>
      <c r="I7345" s="144"/>
      <c r="J7345" s="144"/>
      <c r="K7345" s="144"/>
      <c r="L7345" s="144"/>
      <c r="M7345" s="144"/>
      <c r="N7345" s="144"/>
    </row>
    <row r="7346">
      <c r="D7346" s="143"/>
      <c r="E7346" s="143"/>
      <c r="F7346" s="143"/>
      <c r="G7346" s="143"/>
      <c r="H7346" s="143"/>
      <c r="I7346" s="143"/>
      <c r="J7346" s="143"/>
      <c r="K7346" s="143"/>
      <c r="L7346" s="143"/>
      <c r="M7346" s="143"/>
      <c r="N7346" s="143"/>
    </row>
    <row r="7347">
      <c r="D7347" s="144"/>
      <c r="E7347" s="144"/>
      <c r="F7347" s="144"/>
      <c r="G7347" s="144"/>
      <c r="H7347" s="144"/>
      <c r="I7347" s="144"/>
      <c r="J7347" s="144"/>
      <c r="K7347" s="144"/>
      <c r="L7347" s="144"/>
      <c r="M7347" s="144"/>
      <c r="N7347" s="144"/>
    </row>
    <row r="7348">
      <c r="D7348" s="143"/>
      <c r="E7348" s="143"/>
      <c r="F7348" s="143"/>
      <c r="G7348" s="143"/>
      <c r="H7348" s="143"/>
      <c r="I7348" s="143"/>
      <c r="J7348" s="143"/>
      <c r="K7348" s="143"/>
      <c r="L7348" s="143"/>
      <c r="M7348" s="143"/>
      <c r="N7348" s="143"/>
    </row>
    <row r="7349">
      <c r="D7349" s="144"/>
      <c r="E7349" s="144"/>
      <c r="F7349" s="144"/>
      <c r="G7349" s="144"/>
      <c r="H7349" s="144"/>
      <c r="I7349" s="144"/>
      <c r="J7349" s="144"/>
      <c r="K7349" s="144"/>
      <c r="L7349" s="144"/>
      <c r="M7349" s="144"/>
      <c r="N7349" s="144"/>
    </row>
    <row r="7350">
      <c r="D7350" s="143"/>
      <c r="E7350" s="143"/>
      <c r="F7350" s="143"/>
      <c r="G7350" s="143"/>
      <c r="H7350" s="143"/>
      <c r="I7350" s="143"/>
      <c r="J7350" s="143"/>
      <c r="K7350" s="143"/>
      <c r="L7350" s="143"/>
      <c r="M7350" s="143"/>
      <c r="N7350" s="143"/>
    </row>
    <row r="7351">
      <c r="D7351" s="144"/>
      <c r="E7351" s="144"/>
      <c r="F7351" s="144"/>
      <c r="G7351" s="144"/>
      <c r="H7351" s="144"/>
      <c r="I7351" s="144"/>
      <c r="J7351" s="144"/>
      <c r="K7351" s="144"/>
      <c r="L7351" s="144"/>
      <c r="M7351" s="144"/>
      <c r="N7351" s="144"/>
    </row>
    <row r="7352">
      <c r="D7352" s="143"/>
      <c r="E7352" s="143"/>
      <c r="F7352" s="143"/>
      <c r="G7352" s="143"/>
      <c r="H7352" s="143"/>
      <c r="I7352" s="143"/>
      <c r="J7352" s="143"/>
      <c r="K7352" s="143"/>
      <c r="L7352" s="143"/>
      <c r="M7352" s="143"/>
      <c r="N7352" s="143"/>
    </row>
    <row r="7353">
      <c r="D7353" s="144"/>
      <c r="E7353" s="144"/>
      <c r="F7353" s="144"/>
      <c r="G7353" s="144"/>
      <c r="H7353" s="144"/>
      <c r="I7353" s="144"/>
      <c r="J7353" s="144"/>
      <c r="K7353" s="144"/>
      <c r="L7353" s="144"/>
      <c r="M7353" s="144"/>
      <c r="N7353" s="144"/>
    </row>
    <row r="7354">
      <c r="D7354" s="143"/>
      <c r="E7354" s="143"/>
      <c r="F7354" s="143"/>
      <c r="G7354" s="143"/>
      <c r="H7354" s="143"/>
      <c r="I7354" s="143"/>
      <c r="J7354" s="143"/>
      <c r="K7354" s="143"/>
      <c r="L7354" s="143"/>
      <c r="M7354" s="143"/>
      <c r="N7354" s="143"/>
    </row>
    <row r="7355">
      <c r="D7355" s="144"/>
      <c r="E7355" s="144"/>
      <c r="F7355" s="144"/>
      <c r="G7355" s="144"/>
      <c r="H7355" s="144"/>
      <c r="I7355" s="144"/>
      <c r="J7355" s="144"/>
      <c r="K7355" s="144"/>
      <c r="L7355" s="144"/>
      <c r="M7355" s="144"/>
      <c r="N7355" s="144"/>
    </row>
    <row r="7356">
      <c r="D7356" s="143"/>
      <c r="E7356" s="143"/>
      <c r="F7356" s="143"/>
      <c r="G7356" s="143"/>
      <c r="H7356" s="143"/>
      <c r="I7356" s="143"/>
      <c r="J7356" s="143"/>
      <c r="K7356" s="143"/>
      <c r="L7356" s="143"/>
      <c r="M7356" s="143"/>
      <c r="N7356" s="143"/>
    </row>
    <row r="7357">
      <c r="D7357" s="144"/>
      <c r="E7357" s="144"/>
      <c r="F7357" s="144"/>
      <c r="G7357" s="144"/>
      <c r="H7357" s="144"/>
      <c r="I7357" s="144"/>
      <c r="J7357" s="144"/>
      <c r="K7357" s="144"/>
      <c r="L7357" s="144"/>
      <c r="M7357" s="144"/>
      <c r="N7357" s="144"/>
    </row>
    <row r="7358">
      <c r="D7358" s="143"/>
      <c r="E7358" s="143"/>
      <c r="F7358" s="143"/>
      <c r="G7358" s="143"/>
      <c r="H7358" s="143"/>
      <c r="I7358" s="143"/>
      <c r="J7358" s="143"/>
      <c r="K7358" s="143"/>
      <c r="L7358" s="143"/>
      <c r="M7358" s="143"/>
      <c r="N7358" s="143"/>
    </row>
    <row r="7359">
      <c r="D7359" s="144"/>
      <c r="E7359" s="144"/>
      <c r="F7359" s="144"/>
      <c r="G7359" s="144"/>
      <c r="H7359" s="144"/>
      <c r="I7359" s="144"/>
      <c r="J7359" s="144"/>
      <c r="K7359" s="144"/>
      <c r="L7359" s="144"/>
      <c r="M7359" s="144"/>
      <c r="N7359" s="144"/>
    </row>
    <row r="7360">
      <c r="D7360" s="143"/>
      <c r="E7360" s="143"/>
      <c r="F7360" s="143"/>
      <c r="G7360" s="143"/>
      <c r="H7360" s="143"/>
      <c r="I7360" s="143"/>
      <c r="J7360" s="143"/>
      <c r="K7360" s="143"/>
      <c r="L7360" s="143"/>
      <c r="M7360" s="143"/>
      <c r="N7360" s="143"/>
    </row>
    <row r="7361">
      <c r="D7361" s="144"/>
      <c r="E7361" s="144"/>
      <c r="F7361" s="144"/>
      <c r="G7361" s="144"/>
      <c r="H7361" s="144"/>
      <c r="I7361" s="144"/>
      <c r="J7361" s="144"/>
      <c r="K7361" s="144"/>
      <c r="L7361" s="144"/>
      <c r="M7361" s="144"/>
      <c r="N7361" s="144"/>
    </row>
    <row r="7362">
      <c r="D7362" s="143"/>
      <c r="E7362" s="143"/>
      <c r="F7362" s="143"/>
      <c r="G7362" s="143"/>
      <c r="H7362" s="143"/>
      <c r="I7362" s="143"/>
      <c r="J7362" s="143"/>
      <c r="K7362" s="143"/>
      <c r="L7362" s="143"/>
      <c r="M7362" s="143"/>
      <c r="N7362" s="143"/>
    </row>
    <row r="7363">
      <c r="D7363" s="144"/>
      <c r="E7363" s="144"/>
      <c r="F7363" s="144"/>
      <c r="G7363" s="144"/>
      <c r="H7363" s="144"/>
      <c r="I7363" s="144"/>
      <c r="J7363" s="144"/>
      <c r="K7363" s="144"/>
      <c r="L7363" s="144"/>
      <c r="M7363" s="144"/>
      <c r="N7363" s="144"/>
    </row>
    <row r="7364">
      <c r="D7364" s="143"/>
      <c r="E7364" s="143"/>
      <c r="F7364" s="143"/>
      <c r="G7364" s="143"/>
      <c r="H7364" s="143"/>
      <c r="I7364" s="143"/>
      <c r="J7364" s="143"/>
      <c r="K7364" s="143"/>
      <c r="L7364" s="143"/>
      <c r="M7364" s="143"/>
      <c r="N7364" s="143"/>
    </row>
    <row r="7365">
      <c r="D7365" s="144"/>
      <c r="E7365" s="144"/>
      <c r="F7365" s="144"/>
      <c r="G7365" s="144"/>
      <c r="H7365" s="144"/>
      <c r="I7365" s="144"/>
      <c r="J7365" s="144"/>
      <c r="K7365" s="144"/>
      <c r="L7365" s="144"/>
      <c r="M7365" s="144"/>
      <c r="N7365" s="144"/>
    </row>
    <row r="7366">
      <c r="D7366" s="143"/>
      <c r="E7366" s="143"/>
      <c r="F7366" s="143"/>
      <c r="G7366" s="143"/>
      <c r="H7366" s="143"/>
      <c r="I7366" s="143"/>
      <c r="J7366" s="143"/>
      <c r="K7366" s="143"/>
      <c r="L7366" s="143"/>
      <c r="M7366" s="143"/>
      <c r="N7366" s="143"/>
    </row>
    <row r="7367">
      <c r="D7367" s="144"/>
      <c r="E7367" s="144"/>
      <c r="F7367" s="144"/>
      <c r="G7367" s="144"/>
      <c r="H7367" s="144"/>
      <c r="I7367" s="144"/>
      <c r="J7367" s="144"/>
      <c r="K7367" s="144"/>
      <c r="L7367" s="144"/>
      <c r="M7367" s="144"/>
      <c r="N7367" s="144"/>
    </row>
    <row r="7368">
      <c r="D7368" s="143"/>
      <c r="E7368" s="143"/>
      <c r="F7368" s="143"/>
      <c r="G7368" s="143"/>
      <c r="H7368" s="143"/>
      <c r="I7368" s="143"/>
      <c r="J7368" s="143"/>
      <c r="K7368" s="143"/>
      <c r="L7368" s="143"/>
      <c r="M7368" s="143"/>
      <c r="N7368" s="143"/>
    </row>
    <row r="7369">
      <c r="D7369" s="144"/>
      <c r="E7369" s="144"/>
      <c r="F7369" s="144"/>
      <c r="G7369" s="144"/>
      <c r="H7369" s="144"/>
      <c r="I7369" s="144"/>
      <c r="J7369" s="144"/>
      <c r="K7369" s="144"/>
      <c r="L7369" s="144"/>
      <c r="M7369" s="144"/>
      <c r="N7369" s="144"/>
    </row>
    <row r="7370">
      <c r="D7370" s="143"/>
      <c r="E7370" s="143"/>
      <c r="F7370" s="143"/>
      <c r="G7370" s="143"/>
      <c r="H7370" s="143"/>
      <c r="I7370" s="143"/>
      <c r="J7370" s="143"/>
      <c r="K7370" s="143"/>
      <c r="L7370" s="143"/>
      <c r="M7370" s="143"/>
      <c r="N7370" s="143"/>
    </row>
    <row r="7371">
      <c r="D7371" s="144"/>
      <c r="E7371" s="144"/>
      <c r="F7371" s="144"/>
      <c r="G7371" s="144"/>
      <c r="H7371" s="144"/>
      <c r="I7371" s="144"/>
      <c r="J7371" s="144"/>
      <c r="K7371" s="144"/>
      <c r="L7371" s="144"/>
      <c r="M7371" s="144"/>
      <c r="N7371" s="144"/>
    </row>
    <row r="7372">
      <c r="D7372" s="143"/>
      <c r="E7372" s="143"/>
      <c r="F7372" s="143"/>
      <c r="G7372" s="143"/>
      <c r="H7372" s="143"/>
      <c r="I7372" s="143"/>
      <c r="J7372" s="143"/>
      <c r="K7372" s="143"/>
      <c r="L7372" s="143"/>
      <c r="M7372" s="143"/>
      <c r="N7372" s="143"/>
    </row>
    <row r="7373">
      <c r="D7373" s="144"/>
      <c r="E7373" s="144"/>
      <c r="F7373" s="144"/>
      <c r="G7373" s="144"/>
      <c r="H7373" s="144"/>
      <c r="I7373" s="144"/>
      <c r="J7373" s="144"/>
      <c r="K7373" s="144"/>
      <c r="L7373" s="144"/>
      <c r="M7373" s="144"/>
      <c r="N7373" s="144"/>
    </row>
    <row r="7374">
      <c r="D7374" s="143"/>
      <c r="E7374" s="143"/>
      <c r="F7374" s="143"/>
      <c r="G7374" s="143"/>
      <c r="H7374" s="143"/>
      <c r="I7374" s="143"/>
      <c r="J7374" s="143"/>
      <c r="K7374" s="143"/>
      <c r="L7374" s="143"/>
      <c r="M7374" s="143"/>
      <c r="N7374" s="143"/>
    </row>
    <row r="7375">
      <c r="D7375" s="144"/>
      <c r="E7375" s="144"/>
      <c r="F7375" s="144"/>
      <c r="G7375" s="144"/>
      <c r="H7375" s="144"/>
      <c r="I7375" s="144"/>
      <c r="J7375" s="144"/>
      <c r="K7375" s="144"/>
      <c r="L7375" s="144"/>
      <c r="M7375" s="144"/>
      <c r="N7375" s="144"/>
    </row>
    <row r="7376">
      <c r="D7376" s="143"/>
      <c r="E7376" s="143"/>
      <c r="F7376" s="143"/>
      <c r="G7376" s="143"/>
      <c r="H7376" s="143"/>
      <c r="I7376" s="143"/>
      <c r="J7376" s="143"/>
      <c r="K7376" s="143"/>
      <c r="L7376" s="143"/>
      <c r="M7376" s="143"/>
      <c r="N7376" s="143"/>
    </row>
    <row r="7377">
      <c r="D7377" s="144"/>
      <c r="E7377" s="144"/>
      <c r="F7377" s="144"/>
      <c r="G7377" s="144"/>
      <c r="H7377" s="144"/>
      <c r="I7377" s="144"/>
      <c r="J7377" s="144"/>
      <c r="K7377" s="144"/>
      <c r="L7377" s="144"/>
      <c r="M7377" s="144"/>
      <c r="N7377" s="144"/>
    </row>
    <row r="7378">
      <c r="D7378" s="143"/>
      <c r="E7378" s="143"/>
      <c r="F7378" s="143"/>
      <c r="G7378" s="143"/>
      <c r="H7378" s="143"/>
      <c r="I7378" s="143"/>
      <c r="J7378" s="143"/>
      <c r="K7378" s="143"/>
      <c r="L7378" s="143"/>
      <c r="M7378" s="143"/>
      <c r="N7378" s="143"/>
    </row>
    <row r="7379">
      <c r="D7379" s="144"/>
      <c r="E7379" s="144"/>
      <c r="F7379" s="144"/>
      <c r="G7379" s="144"/>
      <c r="H7379" s="144"/>
      <c r="I7379" s="144"/>
      <c r="J7379" s="144"/>
      <c r="K7379" s="144"/>
      <c r="L7379" s="144"/>
      <c r="M7379" s="144"/>
      <c r="N7379" s="144"/>
    </row>
    <row r="7380">
      <c r="D7380" s="143"/>
      <c r="E7380" s="143"/>
      <c r="F7380" s="143"/>
      <c r="G7380" s="143"/>
      <c r="H7380" s="143"/>
      <c r="I7380" s="143"/>
      <c r="J7380" s="143"/>
      <c r="K7380" s="143"/>
      <c r="L7380" s="143"/>
      <c r="M7380" s="143"/>
      <c r="N7380" s="143"/>
    </row>
    <row r="7381">
      <c r="D7381" s="144"/>
      <c r="E7381" s="144"/>
      <c r="F7381" s="144"/>
      <c r="G7381" s="144"/>
      <c r="H7381" s="144"/>
      <c r="I7381" s="144"/>
      <c r="J7381" s="144"/>
      <c r="K7381" s="144"/>
      <c r="L7381" s="144"/>
      <c r="M7381" s="144"/>
      <c r="N7381" s="144"/>
    </row>
    <row r="7382">
      <c r="D7382" s="143"/>
      <c r="E7382" s="143"/>
      <c r="F7382" s="143"/>
      <c r="G7382" s="143"/>
      <c r="H7382" s="143"/>
      <c r="I7382" s="143"/>
      <c r="J7382" s="143"/>
      <c r="K7382" s="143"/>
      <c r="L7382" s="143"/>
      <c r="M7382" s="143"/>
      <c r="N7382" s="143"/>
    </row>
    <row r="7383">
      <c r="D7383" s="144"/>
      <c r="E7383" s="144"/>
      <c r="F7383" s="144"/>
      <c r="G7383" s="144"/>
      <c r="H7383" s="144"/>
      <c r="I7383" s="144"/>
      <c r="J7383" s="144"/>
      <c r="K7383" s="144"/>
      <c r="L7383" s="144"/>
      <c r="M7383" s="144"/>
      <c r="N7383" s="144"/>
    </row>
    <row r="7384">
      <c r="D7384" s="143"/>
      <c r="E7384" s="143"/>
      <c r="F7384" s="143"/>
      <c r="G7384" s="143"/>
      <c r="H7384" s="143"/>
      <c r="I7384" s="143"/>
      <c r="J7384" s="143"/>
      <c r="K7384" s="143"/>
      <c r="L7384" s="143"/>
      <c r="M7384" s="143"/>
      <c r="N7384" s="143"/>
    </row>
    <row r="7385">
      <c r="D7385" s="144"/>
      <c r="E7385" s="144"/>
      <c r="F7385" s="144"/>
      <c r="G7385" s="144"/>
      <c r="H7385" s="144"/>
      <c r="I7385" s="144"/>
      <c r="J7385" s="144"/>
      <c r="K7385" s="144"/>
      <c r="L7385" s="144"/>
      <c r="M7385" s="144"/>
      <c r="N7385" s="144"/>
    </row>
    <row r="7386">
      <c r="D7386" s="143"/>
      <c r="E7386" s="143"/>
      <c r="F7386" s="143"/>
      <c r="G7386" s="143"/>
      <c r="H7386" s="143"/>
      <c r="I7386" s="143"/>
      <c r="J7386" s="143"/>
      <c r="K7386" s="143"/>
      <c r="L7386" s="143"/>
      <c r="M7386" s="143"/>
      <c r="N7386" s="143"/>
    </row>
    <row r="7387">
      <c r="D7387" s="144"/>
      <c r="E7387" s="144"/>
      <c r="F7387" s="144"/>
      <c r="G7387" s="144"/>
      <c r="H7387" s="144"/>
      <c r="I7387" s="144"/>
      <c r="J7387" s="144"/>
      <c r="K7387" s="144"/>
      <c r="L7387" s="144"/>
      <c r="M7387" s="144"/>
      <c r="N7387" s="144"/>
    </row>
    <row r="7388">
      <c r="D7388" s="143"/>
      <c r="E7388" s="143"/>
      <c r="F7388" s="143"/>
      <c r="G7388" s="143"/>
      <c r="H7388" s="143"/>
      <c r="I7388" s="143"/>
      <c r="J7388" s="143"/>
      <c r="K7388" s="143"/>
      <c r="L7388" s="143"/>
      <c r="M7388" s="143"/>
      <c r="N7388" s="143"/>
    </row>
    <row r="7389">
      <c r="D7389" s="144"/>
      <c r="E7389" s="144"/>
      <c r="F7389" s="144"/>
      <c r="G7389" s="144"/>
      <c r="H7389" s="144"/>
      <c r="I7389" s="144"/>
      <c r="J7389" s="144"/>
      <c r="K7389" s="144"/>
      <c r="L7389" s="144"/>
      <c r="M7389" s="144"/>
      <c r="N7389" s="144"/>
    </row>
    <row r="7390">
      <c r="D7390" s="143"/>
      <c r="E7390" s="143"/>
      <c r="F7390" s="143"/>
      <c r="G7390" s="143"/>
      <c r="H7390" s="143"/>
      <c r="I7390" s="143"/>
      <c r="J7390" s="143"/>
      <c r="K7390" s="143"/>
      <c r="L7390" s="143"/>
      <c r="M7390" s="143"/>
      <c r="N7390" s="143"/>
    </row>
    <row r="7391">
      <c r="D7391" s="144"/>
      <c r="E7391" s="144"/>
      <c r="F7391" s="144"/>
      <c r="G7391" s="144"/>
      <c r="H7391" s="144"/>
      <c r="I7391" s="144"/>
      <c r="J7391" s="144"/>
      <c r="K7391" s="144"/>
      <c r="L7391" s="144"/>
      <c r="M7391" s="144"/>
      <c r="N7391" s="144"/>
    </row>
    <row r="7392">
      <c r="D7392" s="143"/>
      <c r="E7392" s="143"/>
      <c r="F7392" s="143"/>
      <c r="G7392" s="143"/>
      <c r="H7392" s="143"/>
      <c r="I7392" s="143"/>
      <c r="J7392" s="143"/>
      <c r="K7392" s="143"/>
      <c r="L7392" s="143"/>
      <c r="M7392" s="143"/>
      <c r="N7392" s="143"/>
    </row>
    <row r="7393">
      <c r="D7393" s="144"/>
      <c r="E7393" s="144"/>
      <c r="F7393" s="144"/>
      <c r="G7393" s="144"/>
      <c r="H7393" s="144"/>
      <c r="I7393" s="144"/>
      <c r="J7393" s="144"/>
      <c r="K7393" s="144"/>
      <c r="L7393" s="144"/>
      <c r="M7393" s="144"/>
      <c r="N7393" s="144"/>
    </row>
    <row r="7394">
      <c r="D7394" s="143"/>
      <c r="E7394" s="143"/>
      <c r="F7394" s="143"/>
      <c r="G7394" s="143"/>
      <c r="H7394" s="143"/>
      <c r="I7394" s="143"/>
      <c r="J7394" s="143"/>
      <c r="K7394" s="143"/>
      <c r="L7394" s="143"/>
      <c r="M7394" s="143"/>
      <c r="N7394" s="143"/>
    </row>
    <row r="7395">
      <c r="D7395" s="144"/>
      <c r="E7395" s="144"/>
      <c r="F7395" s="144"/>
      <c r="G7395" s="144"/>
      <c r="H7395" s="144"/>
      <c r="I7395" s="144"/>
      <c r="J7395" s="144"/>
      <c r="K7395" s="144"/>
      <c r="L7395" s="144"/>
      <c r="M7395" s="144"/>
      <c r="N7395" s="144"/>
    </row>
    <row r="7396">
      <c r="D7396" s="143"/>
      <c r="E7396" s="143"/>
      <c r="F7396" s="143"/>
      <c r="G7396" s="143"/>
      <c r="H7396" s="143"/>
      <c r="I7396" s="143"/>
      <c r="J7396" s="143"/>
      <c r="K7396" s="143"/>
      <c r="L7396" s="143"/>
      <c r="M7396" s="143"/>
      <c r="N7396" s="143"/>
    </row>
    <row r="7397">
      <c r="D7397" s="144"/>
      <c r="E7397" s="144"/>
      <c r="F7397" s="144"/>
      <c r="G7397" s="144"/>
      <c r="H7397" s="144"/>
      <c r="I7397" s="144"/>
      <c r="J7397" s="144"/>
      <c r="K7397" s="144"/>
      <c r="L7397" s="144"/>
      <c r="M7397" s="144"/>
      <c r="N7397" s="144"/>
    </row>
    <row r="7398">
      <c r="D7398" s="143"/>
      <c r="E7398" s="143"/>
      <c r="F7398" s="143"/>
      <c r="G7398" s="143"/>
      <c r="H7398" s="143"/>
      <c r="I7398" s="143"/>
      <c r="J7398" s="143"/>
      <c r="K7398" s="143"/>
      <c r="L7398" s="143"/>
      <c r="M7398" s="143"/>
      <c r="N7398" s="143"/>
    </row>
    <row r="7399">
      <c r="D7399" s="144"/>
      <c r="E7399" s="144"/>
      <c r="F7399" s="144"/>
      <c r="G7399" s="144"/>
      <c r="H7399" s="144"/>
      <c r="I7399" s="144"/>
      <c r="J7399" s="144"/>
      <c r="K7399" s="144"/>
      <c r="L7399" s="144"/>
      <c r="M7399" s="144"/>
      <c r="N7399" s="144"/>
    </row>
    <row r="7400">
      <c r="D7400" s="143"/>
      <c r="E7400" s="143"/>
      <c r="F7400" s="143"/>
      <c r="G7400" s="143"/>
      <c r="H7400" s="143"/>
      <c r="I7400" s="143"/>
      <c r="J7400" s="143"/>
      <c r="K7400" s="143"/>
      <c r="L7400" s="143"/>
      <c r="M7400" s="143"/>
      <c r="N7400" s="143"/>
    </row>
    <row r="7401">
      <c r="D7401" s="144"/>
      <c r="E7401" s="144"/>
      <c r="F7401" s="144"/>
      <c r="G7401" s="144"/>
      <c r="H7401" s="144"/>
      <c r="I7401" s="144"/>
      <c r="J7401" s="144"/>
      <c r="K7401" s="144"/>
      <c r="L7401" s="144"/>
      <c r="M7401" s="144"/>
      <c r="N7401" s="144"/>
    </row>
    <row r="7402">
      <c r="D7402" s="143"/>
      <c r="E7402" s="143"/>
      <c r="F7402" s="143"/>
      <c r="G7402" s="143"/>
      <c r="H7402" s="143"/>
      <c r="I7402" s="143"/>
      <c r="J7402" s="143"/>
      <c r="K7402" s="143"/>
      <c r="L7402" s="143"/>
      <c r="M7402" s="143"/>
      <c r="N7402" s="143"/>
    </row>
    <row r="7403">
      <c r="D7403" s="144"/>
      <c r="E7403" s="144"/>
      <c r="F7403" s="144"/>
      <c r="G7403" s="144"/>
      <c r="H7403" s="144"/>
      <c r="I7403" s="144"/>
      <c r="J7403" s="144"/>
      <c r="K7403" s="144"/>
      <c r="L7403" s="144"/>
      <c r="M7403" s="144"/>
      <c r="N7403" s="144"/>
    </row>
    <row r="7404">
      <c r="D7404" s="143"/>
      <c r="E7404" s="143"/>
      <c r="F7404" s="143"/>
      <c r="G7404" s="143"/>
      <c r="H7404" s="143"/>
      <c r="I7404" s="143"/>
      <c r="J7404" s="143"/>
      <c r="K7404" s="143"/>
      <c r="L7404" s="143"/>
      <c r="M7404" s="143"/>
      <c r="N7404" s="143"/>
    </row>
    <row r="7405">
      <c r="D7405" s="144"/>
      <c r="E7405" s="144"/>
      <c r="F7405" s="144"/>
      <c r="G7405" s="144"/>
      <c r="H7405" s="144"/>
      <c r="I7405" s="144"/>
      <c r="J7405" s="144"/>
      <c r="K7405" s="144"/>
      <c r="L7405" s="144"/>
      <c r="M7405" s="144"/>
      <c r="N7405" s="144"/>
    </row>
    <row r="7406">
      <c r="D7406" s="143"/>
      <c r="E7406" s="143"/>
      <c r="F7406" s="143"/>
      <c r="G7406" s="143"/>
      <c r="H7406" s="143"/>
      <c r="I7406" s="143"/>
      <c r="J7406" s="143"/>
      <c r="K7406" s="143"/>
      <c r="L7406" s="143"/>
      <c r="M7406" s="143"/>
      <c r="N7406" s="143"/>
    </row>
    <row r="7407">
      <c r="D7407" s="144"/>
      <c r="E7407" s="144"/>
      <c r="F7407" s="144"/>
      <c r="G7407" s="144"/>
      <c r="H7407" s="144"/>
      <c r="I7407" s="144"/>
      <c r="J7407" s="144"/>
      <c r="K7407" s="144"/>
      <c r="L7407" s="144"/>
      <c r="M7407" s="144"/>
      <c r="N7407" s="144"/>
    </row>
    <row r="7408">
      <c r="D7408" s="143"/>
      <c r="E7408" s="143"/>
      <c r="F7408" s="143"/>
      <c r="G7408" s="143"/>
      <c r="H7408" s="143"/>
      <c r="I7408" s="143"/>
      <c r="J7408" s="143"/>
      <c r="K7408" s="143"/>
      <c r="L7408" s="143"/>
      <c r="M7408" s="143"/>
      <c r="N7408" s="143"/>
    </row>
    <row r="7409">
      <c r="D7409" s="144"/>
      <c r="E7409" s="144"/>
      <c r="F7409" s="144"/>
      <c r="G7409" s="144"/>
      <c r="H7409" s="144"/>
      <c r="I7409" s="144"/>
      <c r="J7409" s="144"/>
      <c r="K7409" s="144"/>
      <c r="L7409" s="144"/>
      <c r="M7409" s="144"/>
      <c r="N7409" s="144"/>
    </row>
    <row r="7410">
      <c r="D7410" s="143"/>
      <c r="E7410" s="143"/>
      <c r="F7410" s="143"/>
      <c r="G7410" s="143"/>
      <c r="H7410" s="143"/>
      <c r="I7410" s="143"/>
      <c r="J7410" s="143"/>
      <c r="K7410" s="143"/>
      <c r="L7410" s="143"/>
      <c r="M7410" s="143"/>
      <c r="N7410" s="143"/>
    </row>
    <row r="7411">
      <c r="D7411" s="144"/>
      <c r="E7411" s="144"/>
      <c r="F7411" s="144"/>
      <c r="G7411" s="144"/>
      <c r="H7411" s="144"/>
      <c r="I7411" s="144"/>
      <c r="J7411" s="144"/>
      <c r="K7411" s="144"/>
      <c r="L7411" s="144"/>
      <c r="M7411" s="144"/>
      <c r="N7411" s="144"/>
    </row>
    <row r="7412">
      <c r="D7412" s="143"/>
      <c r="E7412" s="143"/>
      <c r="F7412" s="143"/>
      <c r="G7412" s="143"/>
      <c r="H7412" s="143"/>
      <c r="I7412" s="143"/>
      <c r="J7412" s="143"/>
      <c r="K7412" s="143"/>
      <c r="L7412" s="143"/>
      <c r="M7412" s="143"/>
      <c r="N7412" s="143"/>
    </row>
    <row r="7413">
      <c r="D7413" s="144"/>
      <c r="E7413" s="144"/>
      <c r="F7413" s="144"/>
      <c r="G7413" s="144"/>
      <c r="H7413" s="144"/>
      <c r="I7413" s="144"/>
      <c r="J7413" s="144"/>
      <c r="K7413" s="144"/>
      <c r="L7413" s="144"/>
      <c r="M7413" s="144"/>
      <c r="N7413" s="144"/>
    </row>
    <row r="7414">
      <c r="D7414" s="143"/>
      <c r="E7414" s="143"/>
      <c r="F7414" s="143"/>
      <c r="G7414" s="143"/>
      <c r="H7414" s="143"/>
      <c r="I7414" s="143"/>
      <c r="J7414" s="143"/>
      <c r="K7414" s="143"/>
      <c r="L7414" s="143"/>
      <c r="M7414" s="143"/>
      <c r="N7414" s="143"/>
    </row>
    <row r="7415">
      <c r="D7415" s="144"/>
      <c r="E7415" s="144"/>
      <c r="F7415" s="144"/>
      <c r="G7415" s="144"/>
      <c r="H7415" s="144"/>
      <c r="I7415" s="144"/>
      <c r="J7415" s="144"/>
      <c r="K7415" s="144"/>
      <c r="L7415" s="144"/>
      <c r="M7415" s="144"/>
      <c r="N7415" s="144"/>
    </row>
    <row r="7416">
      <c r="D7416" s="143"/>
      <c r="E7416" s="143"/>
      <c r="F7416" s="143"/>
      <c r="G7416" s="143"/>
      <c r="H7416" s="143"/>
      <c r="I7416" s="143"/>
      <c r="J7416" s="143"/>
      <c r="K7416" s="143"/>
      <c r="L7416" s="143"/>
      <c r="M7416" s="143"/>
      <c r="N7416" s="143"/>
    </row>
    <row r="7417">
      <c r="D7417" s="144"/>
      <c r="E7417" s="144"/>
      <c r="F7417" s="144"/>
      <c r="G7417" s="144"/>
      <c r="H7417" s="144"/>
      <c r="I7417" s="144"/>
      <c r="J7417" s="144"/>
      <c r="K7417" s="144"/>
      <c r="L7417" s="144"/>
      <c r="M7417" s="144"/>
      <c r="N7417" s="144"/>
    </row>
    <row r="7418">
      <c r="D7418" s="143"/>
      <c r="E7418" s="143"/>
      <c r="F7418" s="143"/>
      <c r="G7418" s="143"/>
      <c r="H7418" s="143"/>
      <c r="I7418" s="143"/>
      <c r="J7418" s="143"/>
      <c r="K7418" s="143"/>
      <c r="L7418" s="143"/>
      <c r="M7418" s="143"/>
      <c r="N7418" s="143"/>
    </row>
    <row r="7419">
      <c r="D7419" s="144"/>
      <c r="E7419" s="144"/>
      <c r="F7419" s="144"/>
      <c r="G7419" s="144"/>
      <c r="H7419" s="144"/>
      <c r="I7419" s="144"/>
      <c r="J7419" s="144"/>
      <c r="K7419" s="144"/>
      <c r="L7419" s="144"/>
      <c r="M7419" s="144"/>
      <c r="N7419" s="144"/>
    </row>
    <row r="7420">
      <c r="D7420" s="143"/>
      <c r="E7420" s="143"/>
      <c r="F7420" s="143"/>
      <c r="G7420" s="143"/>
      <c r="H7420" s="143"/>
      <c r="I7420" s="143"/>
      <c r="J7420" s="143"/>
      <c r="K7420" s="143"/>
      <c r="L7420" s="143"/>
      <c r="M7420" s="143"/>
      <c r="N7420" s="143"/>
    </row>
    <row r="7421">
      <c r="D7421" s="144"/>
      <c r="E7421" s="144"/>
      <c r="F7421" s="144"/>
      <c r="G7421" s="144"/>
      <c r="H7421" s="144"/>
      <c r="I7421" s="144"/>
      <c r="J7421" s="144"/>
      <c r="K7421" s="144"/>
      <c r="L7421" s="144"/>
      <c r="M7421" s="144"/>
      <c r="N7421" s="144"/>
    </row>
    <row r="7422">
      <c r="D7422" s="143"/>
      <c r="E7422" s="143"/>
      <c r="F7422" s="143"/>
      <c r="G7422" s="143"/>
      <c r="H7422" s="143"/>
      <c r="I7422" s="143"/>
      <c r="J7422" s="143"/>
      <c r="K7422" s="143"/>
      <c r="L7422" s="143"/>
      <c r="M7422" s="143"/>
      <c r="N7422" s="143"/>
    </row>
    <row r="7423">
      <c r="D7423" s="144"/>
      <c r="E7423" s="144"/>
      <c r="F7423" s="144"/>
      <c r="G7423" s="144"/>
      <c r="H7423" s="144"/>
      <c r="I7423" s="144"/>
      <c r="J7423" s="144"/>
      <c r="K7423" s="144"/>
      <c r="L7423" s="144"/>
      <c r="M7423" s="144"/>
      <c r="N7423" s="144"/>
    </row>
    <row r="7424">
      <c r="D7424" s="143"/>
      <c r="E7424" s="143"/>
      <c r="F7424" s="143"/>
      <c r="G7424" s="143"/>
      <c r="H7424" s="143"/>
      <c r="I7424" s="143"/>
      <c r="J7424" s="143"/>
      <c r="K7424" s="143"/>
      <c r="L7424" s="143"/>
      <c r="M7424" s="143"/>
      <c r="N7424" s="143"/>
    </row>
    <row r="7425">
      <c r="D7425" s="144"/>
      <c r="E7425" s="144"/>
      <c r="F7425" s="144"/>
      <c r="G7425" s="144"/>
      <c r="H7425" s="144"/>
      <c r="I7425" s="144"/>
      <c r="J7425" s="144"/>
      <c r="K7425" s="144"/>
      <c r="L7425" s="144"/>
      <c r="M7425" s="144"/>
      <c r="N7425" s="144"/>
    </row>
    <row r="7426">
      <c r="D7426" s="143"/>
      <c r="E7426" s="143"/>
      <c r="F7426" s="143"/>
      <c r="G7426" s="143"/>
      <c r="H7426" s="143"/>
      <c r="I7426" s="143"/>
      <c r="J7426" s="143"/>
      <c r="K7426" s="143"/>
      <c r="L7426" s="143"/>
      <c r="M7426" s="143"/>
      <c r="N7426" s="143"/>
    </row>
    <row r="7427">
      <c r="D7427" s="144"/>
      <c r="E7427" s="144"/>
      <c r="F7427" s="144"/>
      <c r="G7427" s="144"/>
      <c r="H7427" s="144"/>
      <c r="I7427" s="144"/>
      <c r="J7427" s="144"/>
      <c r="K7427" s="144"/>
      <c r="L7427" s="144"/>
      <c r="M7427" s="144"/>
      <c r="N7427" s="144"/>
    </row>
    <row r="7428">
      <c r="D7428" s="143"/>
      <c r="E7428" s="143"/>
      <c r="F7428" s="143"/>
      <c r="G7428" s="143"/>
      <c r="H7428" s="143"/>
      <c r="I7428" s="143"/>
      <c r="J7428" s="143"/>
      <c r="K7428" s="143"/>
      <c r="L7428" s="143"/>
      <c r="M7428" s="143"/>
      <c r="N7428" s="143"/>
    </row>
    <row r="7429">
      <c r="D7429" s="144"/>
      <c r="E7429" s="144"/>
      <c r="F7429" s="144"/>
      <c r="G7429" s="144"/>
      <c r="H7429" s="144"/>
      <c r="I7429" s="144"/>
      <c r="J7429" s="144"/>
      <c r="K7429" s="144"/>
      <c r="L7429" s="144"/>
      <c r="M7429" s="144"/>
      <c r="N7429" s="144"/>
    </row>
    <row r="7430">
      <c r="D7430" s="143"/>
      <c r="E7430" s="143"/>
      <c r="F7430" s="143"/>
      <c r="G7430" s="143"/>
      <c r="H7430" s="143"/>
      <c r="I7430" s="143"/>
      <c r="J7430" s="143"/>
      <c r="K7430" s="143"/>
      <c r="L7430" s="143"/>
      <c r="M7430" s="143"/>
      <c r="N7430" s="143"/>
    </row>
    <row r="7431">
      <c r="D7431" s="144"/>
      <c r="E7431" s="144"/>
      <c r="F7431" s="144"/>
      <c r="G7431" s="144"/>
      <c r="H7431" s="144"/>
      <c r="I7431" s="144"/>
      <c r="J7431" s="144"/>
      <c r="K7431" s="144"/>
      <c r="L7431" s="144"/>
      <c r="M7431" s="144"/>
      <c r="N7431" s="144"/>
    </row>
    <row r="7432">
      <c r="D7432" s="143"/>
      <c r="E7432" s="143"/>
      <c r="F7432" s="143"/>
      <c r="G7432" s="143"/>
      <c r="H7432" s="143"/>
      <c r="I7432" s="143"/>
      <c r="J7432" s="143"/>
      <c r="K7432" s="143"/>
      <c r="L7432" s="143"/>
      <c r="M7432" s="143"/>
      <c r="N7432" s="143"/>
    </row>
    <row r="7433">
      <c r="D7433" s="144"/>
      <c r="E7433" s="144"/>
      <c r="F7433" s="144"/>
      <c r="G7433" s="144"/>
      <c r="H7433" s="144"/>
      <c r="I7433" s="144"/>
      <c r="J7433" s="144"/>
      <c r="K7433" s="144"/>
      <c r="L7433" s="144"/>
      <c r="M7433" s="144"/>
      <c r="N7433" s="144"/>
    </row>
    <row r="7434">
      <c r="D7434" s="143"/>
      <c r="E7434" s="143"/>
      <c r="F7434" s="143"/>
      <c r="G7434" s="143"/>
      <c r="H7434" s="143"/>
      <c r="I7434" s="143"/>
      <c r="J7434" s="143"/>
      <c r="K7434" s="143"/>
      <c r="L7434" s="143"/>
      <c r="M7434" s="143"/>
      <c r="N7434" s="143"/>
    </row>
    <row r="7435">
      <c r="D7435" s="144"/>
      <c r="E7435" s="144"/>
      <c r="F7435" s="144"/>
      <c r="G7435" s="144"/>
      <c r="H7435" s="144"/>
      <c r="I7435" s="144"/>
      <c r="J7435" s="144"/>
      <c r="K7435" s="144"/>
      <c r="L7435" s="144"/>
      <c r="M7435" s="144"/>
      <c r="N7435" s="144"/>
    </row>
    <row r="7436">
      <c r="D7436" s="143"/>
      <c r="E7436" s="143"/>
      <c r="F7436" s="143"/>
      <c r="G7436" s="143"/>
      <c r="H7436" s="143"/>
      <c r="I7436" s="143"/>
      <c r="J7436" s="143"/>
      <c r="K7436" s="143"/>
      <c r="L7436" s="143"/>
      <c r="M7436" s="143"/>
      <c r="N7436" s="143"/>
    </row>
    <row r="7437">
      <c r="D7437" s="144"/>
      <c r="E7437" s="144"/>
      <c r="F7437" s="144"/>
      <c r="G7437" s="144"/>
      <c r="H7437" s="144"/>
      <c r="I7437" s="144"/>
      <c r="J7437" s="144"/>
      <c r="K7437" s="144"/>
      <c r="L7437" s="144"/>
      <c r="M7437" s="144"/>
      <c r="N7437" s="144"/>
    </row>
    <row r="7438">
      <c r="D7438" s="143"/>
      <c r="E7438" s="143"/>
      <c r="F7438" s="143"/>
      <c r="G7438" s="143"/>
      <c r="H7438" s="143"/>
      <c r="I7438" s="143"/>
      <c r="J7438" s="143"/>
      <c r="K7438" s="143"/>
      <c r="L7438" s="143"/>
      <c r="M7438" s="143"/>
      <c r="N7438" s="143"/>
    </row>
    <row r="7439">
      <c r="D7439" s="144"/>
      <c r="E7439" s="144"/>
      <c r="F7439" s="144"/>
      <c r="G7439" s="144"/>
      <c r="H7439" s="144"/>
      <c r="I7439" s="144"/>
      <c r="J7439" s="144"/>
      <c r="K7439" s="144"/>
      <c r="L7439" s="144"/>
      <c r="M7439" s="144"/>
      <c r="N7439" s="144"/>
    </row>
    <row r="7440">
      <c r="D7440" s="143"/>
      <c r="E7440" s="143"/>
      <c r="F7440" s="143"/>
      <c r="G7440" s="143"/>
      <c r="H7440" s="143"/>
      <c r="I7440" s="143"/>
      <c r="J7440" s="143"/>
      <c r="K7440" s="143"/>
      <c r="L7440" s="143"/>
      <c r="M7440" s="143"/>
      <c r="N7440" s="143"/>
    </row>
    <row r="7441">
      <c r="D7441" s="144"/>
      <c r="E7441" s="144"/>
      <c r="F7441" s="144"/>
      <c r="G7441" s="144"/>
      <c r="H7441" s="144"/>
      <c r="I7441" s="144"/>
      <c r="J7441" s="144"/>
      <c r="K7441" s="144"/>
      <c r="L7441" s="144"/>
      <c r="M7441" s="144"/>
      <c r="N7441" s="144"/>
    </row>
    <row r="7442">
      <c r="D7442" s="143"/>
      <c r="E7442" s="143"/>
      <c r="F7442" s="143"/>
      <c r="G7442" s="143"/>
      <c r="H7442" s="143"/>
      <c r="I7442" s="143"/>
      <c r="J7442" s="143"/>
      <c r="K7442" s="143"/>
      <c r="L7442" s="143"/>
      <c r="M7442" s="143"/>
      <c r="N7442" s="143"/>
    </row>
    <row r="7443">
      <c r="D7443" s="144"/>
      <c r="E7443" s="144"/>
      <c r="F7443" s="144"/>
      <c r="G7443" s="144"/>
      <c r="H7443" s="144"/>
      <c r="I7443" s="144"/>
      <c r="J7443" s="144"/>
      <c r="K7443" s="144"/>
      <c r="L7443" s="144"/>
      <c r="M7443" s="144"/>
      <c r="N7443" s="144"/>
    </row>
    <row r="7444">
      <c r="D7444" s="143"/>
      <c r="E7444" s="143"/>
      <c r="F7444" s="143"/>
      <c r="G7444" s="143"/>
      <c r="H7444" s="143"/>
      <c r="I7444" s="143"/>
      <c r="J7444" s="143"/>
      <c r="K7444" s="143"/>
      <c r="L7444" s="143"/>
      <c r="M7444" s="143"/>
      <c r="N7444" s="143"/>
    </row>
    <row r="7445">
      <c r="D7445" s="144"/>
      <c r="E7445" s="144"/>
      <c r="F7445" s="144"/>
      <c r="G7445" s="144"/>
      <c r="H7445" s="144"/>
      <c r="I7445" s="144"/>
      <c r="J7445" s="144"/>
      <c r="K7445" s="144"/>
      <c r="L7445" s="144"/>
      <c r="M7445" s="144"/>
      <c r="N7445" s="144"/>
    </row>
    <row r="7446">
      <c r="D7446" s="143"/>
      <c r="E7446" s="143"/>
      <c r="F7446" s="143"/>
      <c r="G7446" s="143"/>
      <c r="H7446" s="143"/>
      <c r="I7446" s="143"/>
      <c r="J7446" s="143"/>
      <c r="K7446" s="143"/>
      <c r="L7446" s="143"/>
      <c r="M7446" s="143"/>
      <c r="N7446" s="143"/>
    </row>
    <row r="7447">
      <c r="D7447" s="144"/>
      <c r="E7447" s="144"/>
      <c r="F7447" s="144"/>
      <c r="G7447" s="144"/>
      <c r="H7447" s="144"/>
      <c r="I7447" s="144"/>
      <c r="J7447" s="144"/>
      <c r="K7447" s="144"/>
      <c r="L7447" s="144"/>
      <c r="M7447" s="144"/>
      <c r="N7447" s="144"/>
    </row>
    <row r="7448">
      <c r="D7448" s="143"/>
      <c r="E7448" s="143"/>
      <c r="F7448" s="143"/>
      <c r="G7448" s="143"/>
      <c r="H7448" s="143"/>
      <c r="I7448" s="143"/>
      <c r="J7448" s="143"/>
      <c r="K7448" s="143"/>
      <c r="L7448" s="143"/>
      <c r="M7448" s="143"/>
      <c r="N7448" s="143"/>
    </row>
    <row r="7449">
      <c r="D7449" s="144"/>
      <c r="E7449" s="144"/>
      <c r="F7449" s="144"/>
      <c r="G7449" s="144"/>
      <c r="H7449" s="144"/>
      <c r="I7449" s="144"/>
      <c r="J7449" s="144"/>
      <c r="K7449" s="144"/>
      <c r="L7449" s="144"/>
      <c r="M7449" s="144"/>
      <c r="N7449" s="144"/>
    </row>
    <row r="7450">
      <c r="D7450" s="143"/>
      <c r="E7450" s="143"/>
      <c r="F7450" s="143"/>
      <c r="G7450" s="143"/>
      <c r="H7450" s="143"/>
      <c r="I7450" s="143"/>
      <c r="J7450" s="143"/>
      <c r="K7450" s="143"/>
      <c r="L7450" s="143"/>
      <c r="M7450" s="143"/>
      <c r="N7450" s="143"/>
    </row>
    <row r="7451">
      <c r="D7451" s="144"/>
      <c r="E7451" s="144"/>
      <c r="F7451" s="144"/>
      <c r="G7451" s="144"/>
      <c r="H7451" s="144"/>
      <c r="I7451" s="144"/>
      <c r="J7451" s="144"/>
      <c r="K7451" s="144"/>
      <c r="L7451" s="144"/>
      <c r="M7451" s="144"/>
      <c r="N7451" s="144"/>
    </row>
    <row r="7452">
      <c r="D7452" s="143"/>
      <c r="E7452" s="143"/>
      <c r="F7452" s="143"/>
      <c r="G7452" s="143"/>
      <c r="H7452" s="143"/>
      <c r="I7452" s="143"/>
      <c r="J7452" s="143"/>
      <c r="K7452" s="143"/>
      <c r="L7452" s="143"/>
      <c r="M7452" s="143"/>
      <c r="N7452" s="143"/>
    </row>
    <row r="7453">
      <c r="D7453" s="144"/>
      <c r="E7453" s="144"/>
      <c r="F7453" s="144"/>
      <c r="G7453" s="144"/>
      <c r="H7453" s="144"/>
      <c r="I7453" s="144"/>
      <c r="J7453" s="144"/>
      <c r="K7453" s="144"/>
      <c r="L7453" s="144"/>
      <c r="M7453" s="144"/>
      <c r="N7453" s="144"/>
    </row>
    <row r="7454">
      <c r="D7454" s="143"/>
      <c r="E7454" s="143"/>
      <c r="F7454" s="143"/>
      <c r="G7454" s="143"/>
      <c r="H7454" s="143"/>
      <c r="I7454" s="143"/>
      <c r="J7454" s="143"/>
      <c r="K7454" s="143"/>
      <c r="L7454" s="143"/>
      <c r="M7454" s="143"/>
      <c r="N7454" s="143"/>
    </row>
    <row r="7455">
      <c r="D7455" s="144"/>
      <c r="E7455" s="144"/>
      <c r="F7455" s="144"/>
      <c r="G7455" s="144"/>
      <c r="H7455" s="144"/>
      <c r="I7455" s="144"/>
      <c r="J7455" s="144"/>
      <c r="K7455" s="144"/>
      <c r="L7455" s="144"/>
      <c r="M7455" s="144"/>
      <c r="N7455" s="144"/>
    </row>
    <row r="7456">
      <c r="D7456" s="143"/>
      <c r="E7456" s="143"/>
      <c r="F7456" s="143"/>
      <c r="G7456" s="143"/>
      <c r="H7456" s="143"/>
      <c r="I7456" s="143"/>
      <c r="J7456" s="143"/>
      <c r="K7456" s="143"/>
      <c r="L7456" s="143"/>
      <c r="M7456" s="143"/>
      <c r="N7456" s="143"/>
    </row>
    <row r="7457">
      <c r="D7457" s="144"/>
      <c r="E7457" s="144"/>
      <c r="F7457" s="144"/>
      <c r="G7457" s="144"/>
      <c r="H7457" s="144"/>
      <c r="I7457" s="144"/>
      <c r="J7457" s="144"/>
      <c r="K7457" s="144"/>
      <c r="L7457" s="144"/>
      <c r="M7457" s="144"/>
      <c r="N7457" s="144"/>
    </row>
    <row r="7458">
      <c r="D7458" s="143"/>
      <c r="E7458" s="143"/>
      <c r="F7458" s="143"/>
      <c r="G7458" s="143"/>
      <c r="H7458" s="143"/>
      <c r="I7458" s="143"/>
      <c r="J7458" s="143"/>
      <c r="K7458" s="143"/>
      <c r="L7458" s="143"/>
      <c r="M7458" s="143"/>
      <c r="N7458" s="143"/>
    </row>
    <row r="7459">
      <c r="D7459" s="144"/>
      <c r="E7459" s="144"/>
      <c r="F7459" s="144"/>
      <c r="G7459" s="144"/>
      <c r="H7459" s="144"/>
      <c r="I7459" s="144"/>
      <c r="J7459" s="144"/>
      <c r="K7459" s="144"/>
      <c r="L7459" s="144"/>
      <c r="M7459" s="144"/>
      <c r="N7459" s="144"/>
    </row>
    <row r="7460">
      <c r="D7460" s="143"/>
      <c r="E7460" s="143"/>
      <c r="F7460" s="143"/>
      <c r="G7460" s="143"/>
      <c r="H7460" s="143"/>
      <c r="I7460" s="143"/>
      <c r="J7460" s="143"/>
      <c r="K7460" s="143"/>
      <c r="L7460" s="143"/>
      <c r="M7460" s="143"/>
      <c r="N7460" s="143"/>
    </row>
    <row r="7461">
      <c r="D7461" s="144"/>
      <c r="E7461" s="144"/>
      <c r="F7461" s="144"/>
      <c r="G7461" s="144"/>
      <c r="H7461" s="144"/>
      <c r="I7461" s="144"/>
      <c r="J7461" s="144"/>
      <c r="K7461" s="144"/>
      <c r="L7461" s="144"/>
      <c r="M7461" s="144"/>
      <c r="N7461" s="144"/>
    </row>
    <row r="7462">
      <c r="D7462" s="143"/>
      <c r="E7462" s="143"/>
      <c r="F7462" s="143"/>
      <c r="G7462" s="143"/>
      <c r="H7462" s="143"/>
      <c r="I7462" s="143"/>
      <c r="J7462" s="143"/>
      <c r="K7462" s="143"/>
      <c r="L7462" s="143"/>
      <c r="M7462" s="143"/>
      <c r="N7462" s="143"/>
    </row>
    <row r="7463">
      <c r="D7463" s="144"/>
      <c r="E7463" s="144"/>
      <c r="F7463" s="144"/>
      <c r="G7463" s="144"/>
      <c r="H7463" s="144"/>
      <c r="I7463" s="144"/>
      <c r="J7463" s="144"/>
      <c r="K7463" s="144"/>
      <c r="L7463" s="144"/>
      <c r="M7463" s="144"/>
      <c r="N7463" s="144"/>
    </row>
    <row r="7464">
      <c r="D7464" s="143"/>
      <c r="E7464" s="143"/>
      <c r="F7464" s="143"/>
      <c r="G7464" s="143"/>
      <c r="H7464" s="143"/>
      <c r="I7464" s="143"/>
      <c r="J7464" s="143"/>
      <c r="K7464" s="143"/>
      <c r="L7464" s="143"/>
      <c r="M7464" s="143"/>
      <c r="N7464" s="143"/>
    </row>
    <row r="7465">
      <c r="D7465" s="144"/>
      <c r="E7465" s="144"/>
      <c r="F7465" s="144"/>
      <c r="G7465" s="144"/>
      <c r="H7465" s="144"/>
      <c r="I7465" s="144"/>
      <c r="J7465" s="144"/>
      <c r="K7465" s="144"/>
      <c r="L7465" s="144"/>
      <c r="M7465" s="144"/>
      <c r="N7465" s="144"/>
    </row>
    <row r="7466">
      <c r="D7466" s="143"/>
      <c r="E7466" s="143"/>
      <c r="F7466" s="143"/>
      <c r="G7466" s="143"/>
      <c r="H7466" s="143"/>
      <c r="I7466" s="143"/>
      <c r="J7466" s="143"/>
      <c r="K7466" s="143"/>
      <c r="L7466" s="143"/>
      <c r="M7466" s="143"/>
      <c r="N7466" s="143"/>
    </row>
    <row r="7467">
      <c r="D7467" s="144"/>
      <c r="E7467" s="144"/>
      <c r="F7467" s="144"/>
      <c r="G7467" s="144"/>
      <c r="H7467" s="144"/>
      <c r="I7467" s="144"/>
      <c r="J7467" s="144"/>
      <c r="K7467" s="144"/>
      <c r="L7467" s="144"/>
      <c r="M7467" s="144"/>
      <c r="N7467" s="144"/>
    </row>
    <row r="7468">
      <c r="D7468" s="143"/>
      <c r="E7468" s="143"/>
      <c r="F7468" s="143"/>
      <c r="G7468" s="143"/>
      <c r="H7468" s="143"/>
      <c r="I7468" s="143"/>
      <c r="J7468" s="143"/>
      <c r="K7468" s="143"/>
      <c r="L7468" s="143"/>
      <c r="M7468" s="143"/>
      <c r="N7468" s="143"/>
    </row>
    <row r="7469">
      <c r="D7469" s="144"/>
      <c r="E7469" s="144"/>
      <c r="F7469" s="144"/>
      <c r="G7469" s="144"/>
      <c r="H7469" s="144"/>
      <c r="I7469" s="144"/>
      <c r="J7469" s="144"/>
      <c r="K7469" s="144"/>
      <c r="L7469" s="144"/>
      <c r="M7469" s="144"/>
      <c r="N7469" s="144"/>
    </row>
    <row r="7470">
      <c r="D7470" s="143"/>
      <c r="E7470" s="143"/>
      <c r="F7470" s="143"/>
      <c r="G7470" s="143"/>
      <c r="H7470" s="143"/>
      <c r="I7470" s="143"/>
      <c r="J7470" s="143"/>
      <c r="K7470" s="143"/>
      <c r="L7470" s="143"/>
      <c r="M7470" s="143"/>
      <c r="N7470" s="143"/>
    </row>
    <row r="7471">
      <c r="D7471" s="144"/>
      <c r="E7471" s="144"/>
      <c r="F7471" s="144"/>
      <c r="G7471" s="144"/>
      <c r="H7471" s="144"/>
      <c r="I7471" s="144"/>
      <c r="J7471" s="144"/>
      <c r="K7471" s="144"/>
      <c r="L7471" s="144"/>
      <c r="M7471" s="144"/>
      <c r="N7471" s="144"/>
    </row>
    <row r="7472">
      <c r="D7472" s="143"/>
      <c r="E7472" s="143"/>
      <c r="F7472" s="143"/>
      <c r="G7472" s="143"/>
      <c r="H7472" s="143"/>
      <c r="I7472" s="143"/>
      <c r="J7472" s="143"/>
      <c r="K7472" s="143"/>
      <c r="L7472" s="143"/>
      <c r="M7472" s="143"/>
      <c r="N7472" s="143"/>
    </row>
    <row r="7473">
      <c r="D7473" s="144"/>
      <c r="E7473" s="144"/>
      <c r="F7473" s="144"/>
      <c r="G7473" s="144"/>
      <c r="H7473" s="144"/>
      <c r="I7473" s="144"/>
      <c r="J7473" s="144"/>
      <c r="K7473" s="144"/>
      <c r="L7473" s="144"/>
      <c r="M7473" s="144"/>
      <c r="N7473" s="144"/>
    </row>
    <row r="7474">
      <c r="D7474" s="143"/>
      <c r="E7474" s="143"/>
      <c r="F7474" s="143"/>
      <c r="G7474" s="143"/>
      <c r="H7474" s="143"/>
      <c r="I7474" s="143"/>
      <c r="J7474" s="143"/>
      <c r="K7474" s="143"/>
      <c r="L7474" s="143"/>
      <c r="M7474" s="143"/>
      <c r="N7474" s="143"/>
    </row>
    <row r="7475">
      <c r="D7475" s="144"/>
      <c r="E7475" s="144"/>
      <c r="F7475" s="144"/>
      <c r="G7475" s="144"/>
      <c r="H7475" s="144"/>
      <c r="I7475" s="144"/>
      <c r="J7475" s="144"/>
      <c r="K7475" s="144"/>
      <c r="L7475" s="144"/>
      <c r="M7475" s="144"/>
      <c r="N7475" s="144"/>
    </row>
    <row r="7476">
      <c r="D7476" s="143"/>
      <c r="E7476" s="143"/>
      <c r="F7476" s="143"/>
      <c r="G7476" s="143"/>
      <c r="H7476" s="143"/>
      <c r="I7476" s="143"/>
      <c r="J7476" s="143"/>
      <c r="K7476" s="143"/>
      <c r="L7476" s="143"/>
      <c r="M7476" s="143"/>
      <c r="N7476" s="143"/>
    </row>
    <row r="7477">
      <c r="D7477" s="144"/>
      <c r="E7477" s="144"/>
      <c r="F7477" s="144"/>
      <c r="G7477" s="144"/>
      <c r="H7477" s="144"/>
      <c r="I7477" s="144"/>
      <c r="J7477" s="144"/>
      <c r="K7477" s="144"/>
      <c r="L7477" s="144"/>
      <c r="M7477" s="144"/>
      <c r="N7477" s="144"/>
    </row>
    <row r="7478">
      <c r="D7478" s="143"/>
      <c r="E7478" s="143"/>
      <c r="F7478" s="143"/>
      <c r="G7478" s="143"/>
      <c r="H7478" s="143"/>
      <c r="I7478" s="143"/>
      <c r="J7478" s="143"/>
      <c r="K7478" s="143"/>
      <c r="L7478" s="143"/>
      <c r="M7478" s="143"/>
      <c r="N7478" s="143"/>
    </row>
    <row r="7479">
      <c r="D7479" s="144"/>
      <c r="E7479" s="144"/>
      <c r="F7479" s="144"/>
      <c r="G7479" s="144"/>
      <c r="H7479" s="144"/>
      <c r="I7479" s="144"/>
      <c r="J7479" s="144"/>
      <c r="K7479" s="144"/>
      <c r="L7479" s="144"/>
      <c r="M7479" s="144"/>
      <c r="N7479" s="144"/>
    </row>
    <row r="7480">
      <c r="D7480" s="143"/>
      <c r="E7480" s="143"/>
      <c r="F7480" s="143"/>
      <c r="G7480" s="143"/>
      <c r="H7480" s="143"/>
      <c r="I7480" s="143"/>
      <c r="J7480" s="143"/>
      <c r="K7480" s="143"/>
      <c r="L7480" s="143"/>
      <c r="M7480" s="143"/>
      <c r="N7480" s="143"/>
    </row>
    <row r="7481">
      <c r="D7481" s="144"/>
      <c r="E7481" s="144"/>
      <c r="F7481" s="144"/>
      <c r="G7481" s="144"/>
      <c r="H7481" s="144"/>
      <c r="I7481" s="144"/>
      <c r="J7481" s="144"/>
      <c r="K7481" s="144"/>
      <c r="L7481" s="144"/>
      <c r="M7481" s="144"/>
      <c r="N7481" s="144"/>
    </row>
    <row r="7482">
      <c r="D7482" s="143"/>
      <c r="E7482" s="143"/>
      <c r="F7482" s="143"/>
      <c r="G7482" s="143"/>
      <c r="H7482" s="143"/>
      <c r="I7482" s="143"/>
      <c r="J7482" s="143"/>
      <c r="K7482" s="143"/>
      <c r="L7482" s="143"/>
      <c r="M7482" s="143"/>
      <c r="N7482" s="143"/>
    </row>
    <row r="7483">
      <c r="D7483" s="144"/>
      <c r="E7483" s="144"/>
      <c r="F7483" s="144"/>
      <c r="G7483" s="144"/>
      <c r="H7483" s="144"/>
      <c r="I7483" s="144"/>
      <c r="J7483" s="144"/>
      <c r="K7483" s="144"/>
      <c r="L7483" s="144"/>
      <c r="M7483" s="144"/>
      <c r="N7483" s="144"/>
    </row>
    <row r="7484">
      <c r="D7484" s="143"/>
      <c r="E7484" s="143"/>
      <c r="F7484" s="143"/>
      <c r="G7484" s="143"/>
      <c r="H7484" s="143"/>
      <c r="I7484" s="143"/>
      <c r="J7484" s="143"/>
      <c r="K7484" s="143"/>
      <c r="L7484" s="143"/>
      <c r="M7484" s="143"/>
      <c r="N7484" s="143"/>
    </row>
    <row r="7485">
      <c r="D7485" s="144"/>
      <c r="E7485" s="144"/>
      <c r="F7485" s="144"/>
      <c r="G7485" s="144"/>
      <c r="H7485" s="144"/>
      <c r="I7485" s="144"/>
      <c r="J7485" s="144"/>
      <c r="K7485" s="144"/>
      <c r="L7485" s="144"/>
      <c r="M7485" s="144"/>
      <c r="N7485" s="144"/>
    </row>
    <row r="7486">
      <c r="D7486" s="143"/>
      <c r="E7486" s="143"/>
      <c r="F7486" s="143"/>
      <c r="G7486" s="143"/>
      <c r="H7486" s="143"/>
      <c r="I7486" s="143"/>
      <c r="J7486" s="143"/>
      <c r="K7486" s="143"/>
      <c r="L7486" s="143"/>
      <c r="M7486" s="143"/>
      <c r="N7486" s="143"/>
    </row>
    <row r="7487">
      <c r="D7487" s="144"/>
      <c r="E7487" s="144"/>
      <c r="F7487" s="144"/>
      <c r="G7487" s="144"/>
      <c r="H7487" s="144"/>
      <c r="I7487" s="144"/>
      <c r="J7487" s="144"/>
      <c r="K7487" s="144"/>
      <c r="L7487" s="144"/>
      <c r="M7487" s="144"/>
      <c r="N7487" s="144"/>
    </row>
    <row r="7488">
      <c r="D7488" s="143"/>
      <c r="E7488" s="143"/>
      <c r="F7488" s="143"/>
      <c r="G7488" s="143"/>
      <c r="H7488" s="143"/>
      <c r="I7488" s="143"/>
      <c r="J7488" s="143"/>
      <c r="K7488" s="143"/>
      <c r="L7488" s="143"/>
      <c r="M7488" s="143"/>
      <c r="N7488" s="143"/>
    </row>
    <row r="7489">
      <c r="D7489" s="144"/>
      <c r="E7489" s="144"/>
      <c r="F7489" s="144"/>
      <c r="G7489" s="144"/>
      <c r="H7489" s="144"/>
      <c r="I7489" s="144"/>
      <c r="J7489" s="144"/>
      <c r="K7489" s="144"/>
      <c r="L7489" s="144"/>
      <c r="M7489" s="144"/>
      <c r="N7489" s="144"/>
    </row>
    <row r="7490">
      <c r="D7490" s="143"/>
      <c r="E7490" s="143"/>
      <c r="F7490" s="143"/>
      <c r="G7490" s="143"/>
      <c r="H7490" s="143"/>
      <c r="I7490" s="143"/>
      <c r="J7490" s="143"/>
      <c r="K7490" s="143"/>
      <c r="L7490" s="143"/>
      <c r="M7490" s="143"/>
      <c r="N7490" s="143"/>
    </row>
    <row r="7491">
      <c r="D7491" s="144"/>
      <c r="E7491" s="144"/>
      <c r="F7491" s="144"/>
      <c r="G7491" s="144"/>
      <c r="H7491" s="144"/>
      <c r="I7491" s="144"/>
      <c r="J7491" s="144"/>
      <c r="K7491" s="144"/>
      <c r="L7491" s="144"/>
      <c r="M7491" s="144"/>
      <c r="N7491" s="144"/>
    </row>
    <row r="7492">
      <c r="D7492" s="143"/>
      <c r="E7492" s="143"/>
      <c r="F7492" s="143"/>
      <c r="G7492" s="143"/>
      <c r="H7492" s="143"/>
      <c r="I7492" s="143"/>
      <c r="J7492" s="143"/>
      <c r="K7492" s="143"/>
      <c r="L7492" s="143"/>
      <c r="M7492" s="143"/>
      <c r="N7492" s="143"/>
    </row>
    <row r="7493">
      <c r="D7493" s="144"/>
      <c r="E7493" s="144"/>
      <c r="F7493" s="144"/>
      <c r="G7493" s="144"/>
      <c r="H7493" s="144"/>
      <c r="I7493" s="144"/>
      <c r="J7493" s="144"/>
      <c r="K7493" s="144"/>
      <c r="L7493" s="144"/>
      <c r="M7493" s="144"/>
      <c r="N7493" s="144"/>
    </row>
    <row r="7494">
      <c r="D7494" s="143"/>
      <c r="E7494" s="143"/>
      <c r="F7494" s="143"/>
      <c r="G7494" s="143"/>
      <c r="H7494" s="143"/>
      <c r="I7494" s="143"/>
      <c r="J7494" s="143"/>
      <c r="K7494" s="143"/>
      <c r="L7494" s="143"/>
      <c r="M7494" s="143"/>
      <c r="N7494" s="143"/>
    </row>
    <row r="7495">
      <c r="D7495" s="144"/>
      <c r="E7495" s="144"/>
      <c r="F7495" s="144"/>
      <c r="G7495" s="144"/>
      <c r="H7495" s="144"/>
      <c r="I7495" s="144"/>
      <c r="J7495" s="144"/>
      <c r="K7495" s="144"/>
      <c r="L7495" s="144"/>
      <c r="M7495" s="144"/>
      <c r="N7495" s="144"/>
    </row>
    <row r="7496">
      <c r="D7496" s="143"/>
      <c r="E7496" s="143"/>
      <c r="F7496" s="143"/>
      <c r="G7496" s="143"/>
      <c r="H7496" s="143"/>
      <c r="I7496" s="143"/>
      <c r="J7496" s="143"/>
      <c r="K7496" s="143"/>
      <c r="L7496" s="143"/>
      <c r="M7496" s="143"/>
      <c r="N7496" s="143"/>
    </row>
    <row r="7497">
      <c r="D7497" s="144"/>
      <c r="E7497" s="144"/>
      <c r="F7497" s="144"/>
      <c r="G7497" s="144"/>
      <c r="H7497" s="144"/>
      <c r="I7497" s="144"/>
      <c r="J7497" s="144"/>
      <c r="K7497" s="144"/>
      <c r="L7497" s="144"/>
      <c r="M7497" s="144"/>
      <c r="N7497" s="144"/>
    </row>
    <row r="7498">
      <c r="D7498" s="143"/>
      <c r="E7498" s="143"/>
      <c r="F7498" s="143"/>
      <c r="G7498" s="143"/>
      <c r="H7498" s="143"/>
      <c r="I7498" s="143"/>
      <c r="J7498" s="143"/>
      <c r="K7498" s="143"/>
      <c r="L7498" s="143"/>
      <c r="M7498" s="143"/>
      <c r="N7498" s="143"/>
    </row>
    <row r="7499">
      <c r="D7499" s="144"/>
      <c r="E7499" s="144"/>
      <c r="F7499" s="144"/>
      <c r="G7499" s="144"/>
      <c r="H7499" s="144"/>
      <c r="I7499" s="144"/>
      <c r="J7499" s="144"/>
      <c r="K7499" s="144"/>
      <c r="L7499" s="144"/>
      <c r="M7499" s="144"/>
      <c r="N7499" s="144"/>
    </row>
    <row r="7500">
      <c r="D7500" s="143"/>
      <c r="E7500" s="143"/>
      <c r="F7500" s="143"/>
      <c r="G7500" s="143"/>
      <c r="H7500" s="143"/>
      <c r="I7500" s="143"/>
      <c r="J7500" s="143"/>
      <c r="K7500" s="143"/>
      <c r="L7500" s="143"/>
      <c r="M7500" s="143"/>
      <c r="N7500" s="143"/>
    </row>
    <row r="7501">
      <c r="D7501" s="144"/>
      <c r="E7501" s="144"/>
      <c r="F7501" s="144"/>
      <c r="G7501" s="144"/>
      <c r="H7501" s="144"/>
      <c r="I7501" s="144"/>
      <c r="J7501" s="144"/>
      <c r="K7501" s="144"/>
      <c r="L7501" s="144"/>
      <c r="M7501" s="144"/>
      <c r="N7501" s="144"/>
    </row>
    <row r="7502">
      <c r="D7502" s="143"/>
      <c r="E7502" s="143"/>
      <c r="F7502" s="143"/>
      <c r="G7502" s="143"/>
      <c r="H7502" s="143"/>
      <c r="I7502" s="143"/>
      <c r="J7502" s="143"/>
      <c r="K7502" s="143"/>
      <c r="L7502" s="143"/>
      <c r="M7502" s="143"/>
      <c r="N7502" s="143"/>
    </row>
    <row r="7503">
      <c r="D7503" s="144"/>
      <c r="E7503" s="144"/>
      <c r="F7503" s="144"/>
      <c r="G7503" s="144"/>
      <c r="H7503" s="144"/>
      <c r="I7503" s="144"/>
      <c r="J7503" s="144"/>
      <c r="K7503" s="144"/>
      <c r="L7503" s="144"/>
      <c r="M7503" s="144"/>
      <c r="N7503" s="144"/>
    </row>
    <row r="7504">
      <c r="D7504" s="143"/>
      <c r="E7504" s="143"/>
      <c r="F7504" s="143"/>
      <c r="G7504" s="143"/>
      <c r="H7504" s="143"/>
      <c r="I7504" s="143"/>
      <c r="J7504" s="143"/>
      <c r="K7504" s="143"/>
      <c r="L7504" s="143"/>
      <c r="M7504" s="143"/>
      <c r="N7504" s="143"/>
    </row>
    <row r="7505">
      <c r="D7505" s="144"/>
      <c r="E7505" s="144"/>
      <c r="F7505" s="144"/>
      <c r="G7505" s="144"/>
      <c r="H7505" s="144"/>
      <c r="I7505" s="144"/>
      <c r="J7505" s="144"/>
      <c r="K7505" s="144"/>
      <c r="L7505" s="144"/>
      <c r="M7505" s="144"/>
      <c r="N7505" s="144"/>
    </row>
    <row r="7506">
      <c r="D7506" s="143"/>
      <c r="E7506" s="143"/>
      <c r="F7506" s="143"/>
      <c r="G7506" s="143"/>
      <c r="H7506" s="143"/>
      <c r="I7506" s="143"/>
      <c r="J7506" s="143"/>
      <c r="K7506" s="143"/>
      <c r="L7506" s="143"/>
      <c r="M7506" s="143"/>
      <c r="N7506" s="143"/>
    </row>
    <row r="7507">
      <c r="D7507" s="144"/>
      <c r="E7507" s="144"/>
      <c r="F7507" s="144"/>
      <c r="G7507" s="144"/>
      <c r="H7507" s="144"/>
      <c r="I7507" s="144"/>
      <c r="J7507" s="144"/>
      <c r="K7507" s="144"/>
      <c r="L7507" s="144"/>
      <c r="M7507" s="144"/>
      <c r="N7507" s="144"/>
    </row>
    <row r="7508">
      <c r="D7508" s="143"/>
      <c r="E7508" s="143"/>
      <c r="F7508" s="143"/>
      <c r="G7508" s="143"/>
      <c r="H7508" s="143"/>
      <c r="I7508" s="143"/>
      <c r="J7508" s="143"/>
      <c r="K7508" s="143"/>
      <c r="L7508" s="143"/>
      <c r="M7508" s="143"/>
      <c r="N7508" s="143"/>
    </row>
    <row r="7509">
      <c r="D7509" s="144"/>
      <c r="E7509" s="144"/>
      <c r="F7509" s="144"/>
      <c r="G7509" s="144"/>
      <c r="H7509" s="144"/>
      <c r="I7509" s="144"/>
      <c r="J7509" s="144"/>
      <c r="K7509" s="144"/>
      <c r="L7509" s="144"/>
      <c r="M7509" s="144"/>
      <c r="N7509" s="144"/>
    </row>
    <row r="7510">
      <c r="D7510" s="143"/>
      <c r="E7510" s="143"/>
      <c r="F7510" s="143"/>
      <c r="G7510" s="143"/>
      <c r="H7510" s="143"/>
      <c r="I7510" s="143"/>
      <c r="J7510" s="143"/>
      <c r="K7510" s="143"/>
      <c r="L7510" s="143"/>
      <c r="M7510" s="143"/>
      <c r="N7510" s="143"/>
    </row>
    <row r="7511">
      <c r="D7511" s="144"/>
      <c r="E7511" s="144"/>
      <c r="F7511" s="144"/>
      <c r="G7511" s="144"/>
      <c r="H7511" s="144"/>
      <c r="I7511" s="144"/>
      <c r="J7511" s="144"/>
      <c r="K7511" s="144"/>
      <c r="L7511" s="144"/>
      <c r="M7511" s="144"/>
      <c r="N7511" s="144"/>
    </row>
    <row r="7512">
      <c r="D7512" s="143"/>
      <c r="E7512" s="143"/>
      <c r="F7512" s="143"/>
      <c r="G7512" s="143"/>
      <c r="H7512" s="143"/>
      <c r="I7512" s="143"/>
      <c r="J7512" s="143"/>
      <c r="K7512" s="143"/>
      <c r="L7512" s="143"/>
      <c r="M7512" s="143"/>
      <c r="N7512" s="143"/>
    </row>
    <row r="7513">
      <c r="D7513" s="144"/>
      <c r="E7513" s="144"/>
      <c r="F7513" s="144"/>
      <c r="G7513" s="144"/>
      <c r="H7513" s="144"/>
      <c r="I7513" s="144"/>
      <c r="J7513" s="144"/>
      <c r="K7513" s="144"/>
      <c r="L7513" s="144"/>
      <c r="M7513" s="144"/>
      <c r="N7513" s="144"/>
    </row>
    <row r="7514">
      <c r="D7514" s="143"/>
      <c r="E7514" s="143"/>
      <c r="F7514" s="143"/>
      <c r="G7514" s="143"/>
      <c r="H7514" s="143"/>
      <c r="I7514" s="143"/>
      <c r="J7514" s="143"/>
      <c r="K7514" s="143"/>
      <c r="L7514" s="143"/>
      <c r="M7514" s="143"/>
      <c r="N7514" s="143"/>
    </row>
    <row r="7515">
      <c r="D7515" s="144"/>
      <c r="E7515" s="144"/>
      <c r="F7515" s="144"/>
      <c r="G7515" s="144"/>
      <c r="H7515" s="144"/>
      <c r="I7515" s="144"/>
      <c r="J7515" s="144"/>
      <c r="K7515" s="144"/>
      <c r="L7515" s="144"/>
      <c r="M7515" s="144"/>
      <c r="N7515" s="144"/>
    </row>
    <row r="7516">
      <c r="D7516" s="143"/>
      <c r="E7516" s="143"/>
      <c r="F7516" s="143"/>
      <c r="G7516" s="143"/>
      <c r="H7516" s="143"/>
      <c r="I7516" s="143"/>
      <c r="J7516" s="143"/>
      <c r="K7516" s="143"/>
      <c r="L7516" s="143"/>
      <c r="M7516" s="143"/>
      <c r="N7516" s="143"/>
    </row>
    <row r="7517">
      <c r="D7517" s="144"/>
      <c r="E7517" s="144"/>
      <c r="F7517" s="144"/>
      <c r="G7517" s="144"/>
      <c r="H7517" s="144"/>
      <c r="I7517" s="144"/>
      <c r="J7517" s="144"/>
      <c r="K7517" s="144"/>
      <c r="L7517" s="144"/>
      <c r="M7517" s="144"/>
      <c r="N7517" s="144"/>
    </row>
    <row r="7518">
      <c r="D7518" s="143"/>
      <c r="E7518" s="143"/>
      <c r="F7518" s="143"/>
      <c r="G7518" s="143"/>
      <c r="H7518" s="143"/>
      <c r="I7518" s="143"/>
      <c r="J7518" s="143"/>
      <c r="K7518" s="143"/>
      <c r="L7518" s="143"/>
      <c r="M7518" s="143"/>
      <c r="N7518" s="143"/>
    </row>
    <row r="7519">
      <c r="D7519" s="144"/>
      <c r="E7519" s="144"/>
      <c r="F7519" s="144"/>
      <c r="G7519" s="144"/>
      <c r="H7519" s="144"/>
      <c r="I7519" s="144"/>
      <c r="J7519" s="144"/>
      <c r="K7519" s="144"/>
      <c r="L7519" s="144"/>
      <c r="M7519" s="144"/>
      <c r="N7519" s="144"/>
    </row>
    <row r="7520">
      <c r="D7520" s="143"/>
      <c r="E7520" s="143"/>
      <c r="F7520" s="143"/>
      <c r="G7520" s="143"/>
      <c r="H7520" s="143"/>
      <c r="I7520" s="143"/>
      <c r="J7520" s="143"/>
      <c r="K7520" s="143"/>
      <c r="L7520" s="143"/>
      <c r="M7520" s="143"/>
      <c r="N7520" s="143"/>
    </row>
    <row r="7521">
      <c r="D7521" s="144"/>
      <c r="E7521" s="144"/>
      <c r="F7521" s="144"/>
      <c r="G7521" s="144"/>
      <c r="H7521" s="144"/>
      <c r="I7521" s="144"/>
      <c r="J7521" s="144"/>
      <c r="K7521" s="144"/>
      <c r="L7521" s="144"/>
      <c r="M7521" s="144"/>
      <c r="N7521" s="144"/>
    </row>
    <row r="7522">
      <c r="D7522" s="143"/>
      <c r="E7522" s="143"/>
      <c r="F7522" s="143"/>
      <c r="G7522" s="143"/>
      <c r="H7522" s="143"/>
      <c r="I7522" s="143"/>
      <c r="J7522" s="143"/>
      <c r="K7522" s="143"/>
      <c r="L7522" s="143"/>
      <c r="M7522" s="143"/>
      <c r="N7522" s="143"/>
    </row>
    <row r="7523">
      <c r="D7523" s="144"/>
      <c r="E7523" s="144"/>
      <c r="F7523" s="144"/>
      <c r="G7523" s="144"/>
      <c r="H7523" s="144"/>
      <c r="I7523" s="144"/>
      <c r="J7523" s="144"/>
      <c r="K7523" s="144"/>
      <c r="L7523" s="144"/>
      <c r="M7523" s="144"/>
      <c r="N7523" s="144"/>
    </row>
    <row r="7524">
      <c r="D7524" s="143"/>
      <c r="E7524" s="143"/>
      <c r="F7524" s="143"/>
      <c r="G7524" s="143"/>
      <c r="H7524" s="143"/>
      <c r="I7524" s="143"/>
      <c r="J7524" s="143"/>
      <c r="K7524" s="143"/>
      <c r="L7524" s="143"/>
      <c r="M7524" s="143"/>
      <c r="N7524" s="143"/>
    </row>
    <row r="7525">
      <c r="D7525" s="144"/>
      <c r="E7525" s="144"/>
      <c r="F7525" s="144"/>
      <c r="G7525" s="144"/>
      <c r="H7525" s="144"/>
      <c r="I7525" s="144"/>
      <c r="J7525" s="144"/>
      <c r="K7525" s="144"/>
      <c r="L7525" s="144"/>
      <c r="M7525" s="144"/>
      <c r="N7525" s="144"/>
    </row>
    <row r="7526">
      <c r="D7526" s="143"/>
      <c r="E7526" s="143"/>
      <c r="F7526" s="143"/>
      <c r="G7526" s="143"/>
      <c r="H7526" s="143"/>
      <c r="I7526" s="143"/>
      <c r="J7526" s="143"/>
      <c r="K7526" s="143"/>
      <c r="L7526" s="143"/>
      <c r="M7526" s="143"/>
      <c r="N7526" s="143"/>
    </row>
    <row r="7527">
      <c r="D7527" s="144"/>
      <c r="E7527" s="144"/>
      <c r="F7527" s="144"/>
      <c r="G7527" s="144"/>
      <c r="H7527" s="144"/>
      <c r="I7527" s="144"/>
      <c r="J7527" s="144"/>
      <c r="K7527" s="144"/>
      <c r="L7527" s="144"/>
      <c r="M7527" s="144"/>
      <c r="N7527" s="144"/>
    </row>
    <row r="7528">
      <c r="D7528" s="143"/>
      <c r="E7528" s="143"/>
      <c r="F7528" s="143"/>
      <c r="G7528" s="143"/>
      <c r="H7528" s="143"/>
      <c r="I7528" s="143"/>
      <c r="J7528" s="143"/>
      <c r="K7528" s="143"/>
      <c r="L7528" s="143"/>
      <c r="M7528" s="143"/>
      <c r="N7528" s="143"/>
    </row>
    <row r="7529">
      <c r="D7529" s="144"/>
      <c r="E7529" s="144"/>
      <c r="F7529" s="144"/>
      <c r="G7529" s="144"/>
      <c r="H7529" s="144"/>
      <c r="I7529" s="144"/>
      <c r="J7529" s="144"/>
      <c r="K7529" s="144"/>
      <c r="L7529" s="144"/>
      <c r="M7529" s="144"/>
      <c r="N7529" s="144"/>
    </row>
    <row r="7530">
      <c r="D7530" s="143"/>
      <c r="E7530" s="143"/>
      <c r="F7530" s="143"/>
      <c r="G7530" s="143"/>
      <c r="H7530" s="143"/>
      <c r="I7530" s="143"/>
      <c r="J7530" s="143"/>
      <c r="K7530" s="143"/>
      <c r="L7530" s="143"/>
      <c r="M7530" s="143"/>
      <c r="N7530" s="143"/>
    </row>
    <row r="7531">
      <c r="D7531" s="144"/>
      <c r="E7531" s="144"/>
      <c r="F7531" s="144"/>
      <c r="G7531" s="144"/>
      <c r="H7531" s="144"/>
      <c r="I7531" s="144"/>
      <c r="J7531" s="144"/>
      <c r="K7531" s="144"/>
      <c r="L7531" s="144"/>
      <c r="M7531" s="144"/>
      <c r="N7531" s="144"/>
    </row>
    <row r="7532">
      <c r="D7532" s="143"/>
      <c r="E7532" s="143"/>
      <c r="F7532" s="143"/>
      <c r="G7532" s="143"/>
      <c r="H7532" s="143"/>
      <c r="I7532" s="143"/>
      <c r="J7532" s="143"/>
      <c r="K7532" s="143"/>
      <c r="L7532" s="143"/>
      <c r="M7532" s="143"/>
      <c r="N7532" s="143"/>
    </row>
    <row r="7533">
      <c r="D7533" s="144"/>
      <c r="E7533" s="144"/>
      <c r="F7533" s="144"/>
      <c r="G7533" s="144"/>
      <c r="H7533" s="144"/>
      <c r="I7533" s="144"/>
      <c r="J7533" s="144"/>
      <c r="K7533" s="144"/>
      <c r="L7533" s="144"/>
      <c r="M7533" s="144"/>
      <c r="N7533" s="144"/>
    </row>
    <row r="7534">
      <c r="D7534" s="143"/>
      <c r="E7534" s="143"/>
      <c r="F7534" s="143"/>
      <c r="G7534" s="143"/>
      <c r="H7534" s="143"/>
      <c r="I7534" s="143"/>
      <c r="J7534" s="143"/>
      <c r="K7534" s="143"/>
      <c r="L7534" s="143"/>
      <c r="M7534" s="143"/>
      <c r="N7534" s="143"/>
    </row>
    <row r="7535">
      <c r="D7535" s="144"/>
      <c r="E7535" s="144"/>
      <c r="F7535" s="144"/>
      <c r="G7535" s="144"/>
      <c r="H7535" s="144"/>
      <c r="I7535" s="144"/>
      <c r="J7535" s="144"/>
      <c r="K7535" s="144"/>
      <c r="L7535" s="144"/>
      <c r="M7535" s="144"/>
      <c r="N7535" s="144"/>
    </row>
    <row r="7536">
      <c r="D7536" s="143"/>
      <c r="E7536" s="143"/>
      <c r="F7536" s="143"/>
      <c r="G7536" s="143"/>
      <c r="H7536" s="143"/>
      <c r="I7536" s="143"/>
      <c r="J7536" s="143"/>
      <c r="K7536" s="143"/>
      <c r="L7536" s="143"/>
      <c r="M7536" s="143"/>
      <c r="N7536" s="143"/>
    </row>
    <row r="7537">
      <c r="D7537" s="144"/>
      <c r="E7537" s="144"/>
      <c r="F7537" s="144"/>
      <c r="G7537" s="144"/>
      <c r="H7537" s="144"/>
      <c r="I7537" s="144"/>
      <c r="J7537" s="144"/>
      <c r="K7537" s="144"/>
      <c r="L7537" s="144"/>
      <c r="M7537" s="144"/>
      <c r="N7537" s="144"/>
    </row>
    <row r="7538">
      <c r="D7538" s="143"/>
      <c r="E7538" s="143"/>
      <c r="F7538" s="143"/>
      <c r="G7538" s="143"/>
      <c r="H7538" s="143"/>
      <c r="I7538" s="143"/>
      <c r="J7538" s="143"/>
      <c r="K7538" s="143"/>
      <c r="L7538" s="143"/>
      <c r="M7538" s="143"/>
      <c r="N7538" s="143"/>
    </row>
    <row r="7539">
      <c r="D7539" s="144"/>
      <c r="E7539" s="144"/>
      <c r="F7539" s="144"/>
      <c r="G7539" s="144"/>
      <c r="H7539" s="144"/>
      <c r="I7539" s="144"/>
      <c r="J7539" s="144"/>
      <c r="K7539" s="144"/>
      <c r="L7539" s="144"/>
      <c r="M7539" s="144"/>
      <c r="N7539" s="144"/>
    </row>
    <row r="7540">
      <c r="D7540" s="143"/>
      <c r="E7540" s="143"/>
      <c r="F7540" s="143"/>
      <c r="G7540" s="143"/>
      <c r="H7540" s="143"/>
      <c r="I7540" s="143"/>
      <c r="J7540" s="143"/>
      <c r="K7540" s="143"/>
      <c r="L7540" s="143"/>
      <c r="M7540" s="143"/>
      <c r="N7540" s="143"/>
    </row>
    <row r="7541">
      <c r="D7541" s="144"/>
      <c r="E7541" s="144"/>
      <c r="F7541" s="144"/>
      <c r="G7541" s="144"/>
      <c r="H7541" s="144"/>
      <c r="I7541" s="144"/>
      <c r="J7541" s="144"/>
      <c r="K7541" s="144"/>
      <c r="L7541" s="144"/>
      <c r="M7541" s="144"/>
      <c r="N7541" s="144"/>
    </row>
    <row r="7542">
      <c r="D7542" s="143"/>
      <c r="E7542" s="143"/>
      <c r="F7542" s="143"/>
      <c r="G7542" s="143"/>
      <c r="H7542" s="143"/>
      <c r="I7542" s="143"/>
      <c r="J7542" s="143"/>
      <c r="K7542" s="143"/>
      <c r="L7542" s="143"/>
      <c r="M7542" s="143"/>
      <c r="N7542" s="143"/>
    </row>
    <row r="7543">
      <c r="D7543" s="144"/>
      <c r="E7543" s="144"/>
      <c r="F7543" s="144"/>
      <c r="G7543" s="144"/>
      <c r="H7543" s="144"/>
      <c r="I7543" s="144"/>
      <c r="J7543" s="144"/>
      <c r="K7543" s="144"/>
      <c r="L7543" s="144"/>
      <c r="M7543" s="144"/>
      <c r="N7543" s="144"/>
    </row>
    <row r="7544">
      <c r="D7544" s="143"/>
      <c r="E7544" s="143"/>
      <c r="F7544" s="143"/>
      <c r="G7544" s="143"/>
      <c r="H7544" s="143"/>
      <c r="I7544" s="143"/>
      <c r="J7544" s="143"/>
      <c r="K7544" s="143"/>
      <c r="L7544" s="143"/>
      <c r="M7544" s="143"/>
      <c r="N7544" s="143"/>
    </row>
    <row r="7545">
      <c r="D7545" s="144"/>
      <c r="E7545" s="144"/>
      <c r="F7545" s="144"/>
      <c r="G7545" s="144"/>
      <c r="H7545" s="144"/>
      <c r="I7545" s="144"/>
      <c r="J7545" s="144"/>
      <c r="K7545" s="144"/>
      <c r="L7545" s="144"/>
      <c r="M7545" s="144"/>
      <c r="N7545" s="144"/>
    </row>
    <row r="7546">
      <c r="D7546" s="143"/>
      <c r="E7546" s="143"/>
      <c r="F7546" s="143"/>
      <c r="G7546" s="143"/>
      <c r="H7546" s="143"/>
      <c r="I7546" s="143"/>
      <c r="J7546" s="143"/>
      <c r="K7546" s="143"/>
      <c r="L7546" s="143"/>
      <c r="M7546" s="143"/>
      <c r="N7546" s="143"/>
    </row>
    <row r="7547">
      <c r="D7547" s="144"/>
      <c r="E7547" s="144"/>
      <c r="F7547" s="144"/>
      <c r="G7547" s="144"/>
      <c r="H7547" s="144"/>
      <c r="I7547" s="144"/>
      <c r="J7547" s="144"/>
      <c r="K7547" s="144"/>
      <c r="L7547" s="144"/>
      <c r="M7547" s="144"/>
      <c r="N7547" s="144"/>
    </row>
    <row r="7548">
      <c r="D7548" s="143"/>
      <c r="E7548" s="143"/>
      <c r="F7548" s="143"/>
      <c r="G7548" s="143"/>
      <c r="H7548" s="143"/>
      <c r="I7548" s="143"/>
      <c r="J7548" s="143"/>
      <c r="K7548" s="143"/>
      <c r="L7548" s="143"/>
      <c r="M7548" s="143"/>
      <c r="N7548" s="143"/>
    </row>
    <row r="7549">
      <c r="D7549" s="144"/>
      <c r="E7549" s="144"/>
      <c r="F7549" s="144"/>
      <c r="G7549" s="144"/>
      <c r="H7549" s="144"/>
      <c r="I7549" s="144"/>
      <c r="J7549" s="144"/>
      <c r="K7549" s="144"/>
      <c r="L7549" s="144"/>
      <c r="M7549" s="144"/>
      <c r="N7549" s="144"/>
    </row>
    <row r="7550">
      <c r="D7550" s="143"/>
      <c r="E7550" s="143"/>
      <c r="F7550" s="143"/>
      <c r="G7550" s="143"/>
      <c r="H7550" s="143"/>
      <c r="I7550" s="143"/>
      <c r="J7550" s="143"/>
      <c r="K7550" s="143"/>
      <c r="L7550" s="143"/>
      <c r="M7550" s="143"/>
      <c r="N7550" s="143"/>
    </row>
    <row r="7551">
      <c r="D7551" s="144"/>
      <c r="E7551" s="144"/>
      <c r="F7551" s="144"/>
      <c r="G7551" s="144"/>
      <c r="H7551" s="144"/>
      <c r="I7551" s="144"/>
      <c r="J7551" s="144"/>
      <c r="K7551" s="144"/>
      <c r="L7551" s="144"/>
      <c r="M7551" s="144"/>
      <c r="N7551" s="144"/>
    </row>
    <row r="7552">
      <c r="D7552" s="143"/>
      <c r="E7552" s="143"/>
      <c r="F7552" s="143"/>
      <c r="G7552" s="143"/>
      <c r="H7552" s="143"/>
      <c r="I7552" s="143"/>
      <c r="J7552" s="143"/>
      <c r="K7552" s="143"/>
      <c r="L7552" s="143"/>
      <c r="M7552" s="143"/>
      <c r="N7552" s="143"/>
    </row>
    <row r="7553">
      <c r="D7553" s="144"/>
      <c r="E7553" s="144"/>
      <c r="F7553" s="144"/>
      <c r="G7553" s="144"/>
      <c r="H7553" s="144"/>
      <c r="I7553" s="144"/>
      <c r="J7553" s="144"/>
      <c r="K7553" s="144"/>
      <c r="L7553" s="144"/>
      <c r="M7553" s="144"/>
      <c r="N7553" s="144"/>
    </row>
    <row r="7554">
      <c r="D7554" s="143"/>
      <c r="E7554" s="143"/>
      <c r="F7554" s="143"/>
      <c r="G7554" s="143"/>
      <c r="H7554" s="143"/>
      <c r="I7554" s="143"/>
      <c r="J7554" s="143"/>
      <c r="K7554" s="143"/>
      <c r="L7554" s="143"/>
      <c r="M7554" s="143"/>
      <c r="N7554" s="143"/>
    </row>
    <row r="7555">
      <c r="D7555" s="144"/>
      <c r="E7555" s="144"/>
      <c r="F7555" s="144"/>
      <c r="G7555" s="144"/>
      <c r="H7555" s="144"/>
      <c r="I7555" s="144"/>
      <c r="J7555" s="144"/>
      <c r="K7555" s="144"/>
      <c r="L7555" s="144"/>
      <c r="M7555" s="144"/>
      <c r="N7555" s="144"/>
    </row>
    <row r="7556">
      <c r="D7556" s="143"/>
      <c r="E7556" s="143"/>
      <c r="F7556" s="143"/>
      <c r="G7556" s="143"/>
      <c r="H7556" s="143"/>
      <c r="I7556" s="143"/>
      <c r="J7556" s="143"/>
      <c r="K7556" s="143"/>
      <c r="L7556" s="143"/>
      <c r="M7556" s="143"/>
      <c r="N7556" s="143"/>
    </row>
    <row r="7557">
      <c r="D7557" s="144"/>
      <c r="E7557" s="144"/>
      <c r="F7557" s="144"/>
      <c r="G7557" s="144"/>
      <c r="H7557" s="144"/>
      <c r="I7557" s="144"/>
      <c r="J7557" s="144"/>
      <c r="K7557" s="144"/>
      <c r="L7557" s="144"/>
      <c r="M7557" s="144"/>
      <c r="N7557" s="144"/>
    </row>
    <row r="7558">
      <c r="D7558" s="143"/>
      <c r="E7558" s="143"/>
      <c r="F7558" s="143"/>
      <c r="G7558" s="143"/>
      <c r="H7558" s="143"/>
      <c r="I7558" s="143"/>
      <c r="J7558" s="143"/>
      <c r="K7558" s="143"/>
      <c r="L7558" s="143"/>
      <c r="M7558" s="143"/>
      <c r="N7558" s="143"/>
    </row>
    <row r="7559">
      <c r="D7559" s="144"/>
      <c r="E7559" s="144"/>
      <c r="F7559" s="144"/>
      <c r="G7559" s="144"/>
      <c r="H7559" s="144"/>
      <c r="I7559" s="144"/>
      <c r="J7559" s="144"/>
      <c r="K7559" s="144"/>
      <c r="L7559" s="144"/>
      <c r="M7559" s="144"/>
      <c r="N7559" s="144"/>
    </row>
    <row r="7560">
      <c r="D7560" s="143"/>
      <c r="E7560" s="143"/>
      <c r="F7560" s="143"/>
      <c r="G7560" s="143"/>
      <c r="H7560" s="143"/>
      <c r="I7560" s="143"/>
      <c r="J7560" s="143"/>
      <c r="K7560" s="143"/>
      <c r="L7560" s="143"/>
      <c r="M7560" s="143"/>
      <c r="N7560" s="143"/>
    </row>
    <row r="7561">
      <c r="D7561" s="144"/>
      <c r="E7561" s="144"/>
      <c r="F7561" s="144"/>
      <c r="G7561" s="144"/>
      <c r="H7561" s="144"/>
      <c r="I7561" s="144"/>
      <c r="J7561" s="144"/>
      <c r="K7561" s="144"/>
      <c r="L7561" s="144"/>
      <c r="M7561" s="144"/>
      <c r="N7561" s="144"/>
    </row>
    <row r="7562">
      <c r="D7562" s="143"/>
      <c r="E7562" s="143"/>
      <c r="F7562" s="143"/>
      <c r="G7562" s="143"/>
      <c r="H7562" s="143"/>
      <c r="I7562" s="143"/>
      <c r="J7562" s="143"/>
      <c r="K7562" s="143"/>
      <c r="L7562" s="143"/>
      <c r="M7562" s="143"/>
      <c r="N7562" s="143"/>
    </row>
    <row r="7563">
      <c r="D7563" s="144"/>
      <c r="E7563" s="144"/>
      <c r="F7563" s="144"/>
      <c r="G7563" s="144"/>
      <c r="H7563" s="144"/>
      <c r="I7563" s="144"/>
      <c r="J7563" s="144"/>
      <c r="K7563" s="144"/>
      <c r="L7563" s="144"/>
      <c r="M7563" s="144"/>
      <c r="N7563" s="144"/>
    </row>
    <row r="7564">
      <c r="D7564" s="143"/>
      <c r="E7564" s="143"/>
      <c r="F7564" s="143"/>
      <c r="G7564" s="143"/>
      <c r="H7564" s="143"/>
      <c r="I7564" s="143"/>
      <c r="J7564" s="143"/>
      <c r="K7564" s="143"/>
      <c r="L7564" s="143"/>
      <c r="M7564" s="143"/>
      <c r="N7564" s="143"/>
    </row>
    <row r="7565">
      <c r="D7565" s="144"/>
      <c r="E7565" s="144"/>
      <c r="F7565" s="144"/>
      <c r="G7565" s="144"/>
      <c r="H7565" s="144"/>
      <c r="I7565" s="144"/>
      <c r="J7565" s="144"/>
      <c r="K7565" s="144"/>
      <c r="L7565" s="144"/>
      <c r="M7565" s="144"/>
      <c r="N7565" s="144"/>
    </row>
    <row r="7566">
      <c r="D7566" s="143"/>
      <c r="E7566" s="143"/>
      <c r="F7566" s="143"/>
      <c r="G7566" s="143"/>
      <c r="H7566" s="143"/>
      <c r="I7566" s="143"/>
      <c r="J7566" s="143"/>
      <c r="K7566" s="143"/>
      <c r="L7566" s="143"/>
      <c r="M7566" s="143"/>
      <c r="N7566" s="143"/>
    </row>
    <row r="7567">
      <c r="D7567" s="144"/>
      <c r="E7567" s="144"/>
      <c r="F7567" s="144"/>
      <c r="G7567" s="144"/>
      <c r="H7567" s="144"/>
      <c r="I7567" s="144"/>
      <c r="J7567" s="144"/>
      <c r="K7567" s="144"/>
      <c r="L7567" s="144"/>
      <c r="M7567" s="144"/>
      <c r="N7567" s="144"/>
    </row>
    <row r="7568">
      <c r="D7568" s="143"/>
      <c r="E7568" s="143"/>
      <c r="F7568" s="143"/>
      <c r="G7568" s="143"/>
      <c r="H7568" s="143"/>
      <c r="I7568" s="143"/>
      <c r="J7568" s="143"/>
      <c r="K7568" s="143"/>
      <c r="L7568" s="143"/>
      <c r="M7568" s="143"/>
      <c r="N7568" s="143"/>
    </row>
    <row r="7569">
      <c r="D7569" s="144"/>
      <c r="E7569" s="144"/>
      <c r="F7569" s="144"/>
      <c r="G7569" s="144"/>
      <c r="H7569" s="144"/>
      <c r="I7569" s="144"/>
      <c r="J7569" s="144"/>
      <c r="K7569" s="144"/>
      <c r="L7569" s="144"/>
      <c r="M7569" s="144"/>
      <c r="N7569" s="144"/>
    </row>
    <row r="7570">
      <c r="D7570" s="143"/>
      <c r="E7570" s="143"/>
      <c r="F7570" s="143"/>
      <c r="G7570" s="143"/>
      <c r="H7570" s="143"/>
      <c r="I7570" s="143"/>
      <c r="J7570" s="143"/>
      <c r="K7570" s="143"/>
      <c r="L7570" s="143"/>
      <c r="M7570" s="143"/>
      <c r="N7570" s="143"/>
    </row>
    <row r="7571">
      <c r="D7571" s="144"/>
      <c r="E7571" s="144"/>
      <c r="F7571" s="144"/>
      <c r="G7571" s="144"/>
      <c r="H7571" s="144"/>
      <c r="I7571" s="144"/>
      <c r="J7571" s="144"/>
      <c r="K7571" s="144"/>
      <c r="L7571" s="144"/>
      <c r="M7571" s="144"/>
      <c r="N7571" s="144"/>
    </row>
    <row r="7572">
      <c r="D7572" s="143"/>
      <c r="E7572" s="143"/>
      <c r="F7572" s="143"/>
      <c r="G7572" s="143"/>
      <c r="H7572" s="143"/>
      <c r="I7572" s="143"/>
      <c r="J7572" s="143"/>
      <c r="K7572" s="143"/>
      <c r="L7572" s="143"/>
      <c r="M7572" s="143"/>
      <c r="N7572" s="143"/>
    </row>
    <row r="7573">
      <c r="D7573" s="144"/>
      <c r="E7573" s="144"/>
      <c r="F7573" s="144"/>
      <c r="G7573" s="144"/>
      <c r="H7573" s="144"/>
      <c r="I7573" s="144"/>
      <c r="J7573" s="144"/>
      <c r="K7573" s="144"/>
      <c r="L7573" s="144"/>
      <c r="M7573" s="144"/>
      <c r="N7573" s="144"/>
    </row>
    <row r="7574">
      <c r="D7574" s="143"/>
      <c r="E7574" s="143"/>
      <c r="F7574" s="143"/>
      <c r="G7574" s="143"/>
      <c r="H7574" s="143"/>
      <c r="I7574" s="143"/>
      <c r="J7574" s="143"/>
      <c r="K7574" s="143"/>
      <c r="L7574" s="143"/>
      <c r="M7574" s="143"/>
      <c r="N7574" s="143"/>
    </row>
    <row r="7575">
      <c r="D7575" s="144"/>
      <c r="E7575" s="144"/>
      <c r="F7575" s="144"/>
      <c r="G7575" s="144"/>
      <c r="H7575" s="144"/>
      <c r="I7575" s="144"/>
      <c r="J7575" s="144"/>
      <c r="K7575" s="144"/>
      <c r="L7575" s="144"/>
      <c r="M7575" s="144"/>
      <c r="N7575" s="144"/>
    </row>
    <row r="7576">
      <c r="D7576" s="143"/>
      <c r="E7576" s="143"/>
      <c r="F7576" s="143"/>
      <c r="G7576" s="143"/>
      <c r="H7576" s="143"/>
      <c r="I7576" s="143"/>
      <c r="J7576" s="143"/>
      <c r="K7576" s="143"/>
      <c r="L7576" s="143"/>
      <c r="M7576" s="143"/>
      <c r="N7576" s="143"/>
    </row>
    <row r="7577">
      <c r="D7577" s="144"/>
      <c r="E7577" s="144"/>
      <c r="F7577" s="144"/>
      <c r="G7577" s="144"/>
      <c r="H7577" s="144"/>
      <c r="I7577" s="144"/>
      <c r="J7577" s="144"/>
      <c r="K7577" s="144"/>
      <c r="L7577" s="144"/>
      <c r="M7577" s="144"/>
      <c r="N7577" s="144"/>
    </row>
    <row r="7578">
      <c r="D7578" s="143"/>
      <c r="E7578" s="143"/>
      <c r="F7578" s="143"/>
      <c r="G7578" s="143"/>
      <c r="H7578" s="143"/>
      <c r="I7578" s="143"/>
      <c r="J7578" s="143"/>
      <c r="K7578" s="143"/>
      <c r="L7578" s="143"/>
      <c r="M7578" s="143"/>
      <c r="N7578" s="143"/>
    </row>
    <row r="7579">
      <c r="D7579" s="144"/>
      <c r="E7579" s="144"/>
      <c r="F7579" s="144"/>
      <c r="G7579" s="144"/>
      <c r="H7579" s="144"/>
      <c r="I7579" s="144"/>
      <c r="J7579" s="144"/>
      <c r="K7579" s="144"/>
      <c r="L7579" s="144"/>
      <c r="M7579" s="144"/>
      <c r="N7579" s="144"/>
    </row>
    <row r="7580">
      <c r="D7580" s="143"/>
      <c r="E7580" s="143"/>
      <c r="F7580" s="143"/>
      <c r="G7580" s="143"/>
      <c r="H7580" s="143"/>
      <c r="I7580" s="143"/>
      <c r="J7580" s="143"/>
      <c r="K7580" s="143"/>
      <c r="L7580" s="143"/>
      <c r="M7580" s="143"/>
      <c r="N7580" s="143"/>
    </row>
    <row r="7581">
      <c r="D7581" s="144"/>
      <c r="E7581" s="144"/>
      <c r="F7581" s="144"/>
      <c r="G7581" s="144"/>
      <c r="H7581" s="144"/>
      <c r="I7581" s="144"/>
      <c r="J7581" s="144"/>
      <c r="K7581" s="144"/>
      <c r="L7581" s="144"/>
      <c r="M7581" s="144"/>
      <c r="N7581" s="144"/>
    </row>
    <row r="7582">
      <c r="D7582" s="143"/>
      <c r="E7582" s="143"/>
      <c r="F7582" s="143"/>
      <c r="G7582" s="143"/>
      <c r="H7582" s="143"/>
      <c r="I7582" s="143"/>
      <c r="J7582" s="143"/>
      <c r="K7582" s="143"/>
      <c r="L7582" s="143"/>
      <c r="M7582" s="143"/>
      <c r="N7582" s="143"/>
    </row>
    <row r="7583">
      <c r="D7583" s="144"/>
      <c r="E7583" s="144"/>
      <c r="F7583" s="144"/>
      <c r="G7583" s="144"/>
      <c r="H7583" s="144"/>
      <c r="I7583" s="144"/>
      <c r="J7583" s="144"/>
      <c r="K7583" s="144"/>
      <c r="L7583" s="144"/>
      <c r="M7583" s="144"/>
      <c r="N7583" s="144"/>
    </row>
    <row r="7584">
      <c r="D7584" s="143"/>
      <c r="E7584" s="143"/>
      <c r="F7584" s="143"/>
      <c r="G7584" s="143"/>
      <c r="H7584" s="143"/>
      <c r="I7584" s="143"/>
      <c r="J7584" s="143"/>
      <c r="K7584" s="143"/>
      <c r="L7584" s="143"/>
      <c r="M7584" s="143"/>
      <c r="N7584" s="143"/>
    </row>
    <row r="7585">
      <c r="D7585" s="144"/>
      <c r="E7585" s="144"/>
      <c r="F7585" s="144"/>
      <c r="G7585" s="144"/>
      <c r="H7585" s="144"/>
      <c r="I7585" s="144"/>
      <c r="J7585" s="144"/>
      <c r="K7585" s="144"/>
      <c r="L7585" s="144"/>
      <c r="M7585" s="144"/>
      <c r="N7585" s="144"/>
    </row>
    <row r="7586">
      <c r="D7586" s="143"/>
      <c r="E7586" s="143"/>
      <c r="F7586" s="143"/>
      <c r="G7586" s="143"/>
      <c r="H7586" s="143"/>
      <c r="I7586" s="143"/>
      <c r="J7586" s="143"/>
      <c r="K7586" s="143"/>
      <c r="L7586" s="143"/>
      <c r="M7586" s="143"/>
      <c r="N7586" s="143"/>
    </row>
    <row r="7587">
      <c r="D7587" s="144"/>
      <c r="E7587" s="144"/>
      <c r="F7587" s="144"/>
      <c r="G7587" s="144"/>
      <c r="H7587" s="144"/>
      <c r="I7587" s="144"/>
      <c r="J7587" s="144"/>
      <c r="K7587" s="144"/>
      <c r="L7587" s="144"/>
      <c r="M7587" s="144"/>
      <c r="N7587" s="144"/>
    </row>
    <row r="7588">
      <c r="D7588" s="143"/>
      <c r="E7588" s="143"/>
      <c r="F7588" s="143"/>
      <c r="G7588" s="143"/>
      <c r="H7588" s="143"/>
      <c r="I7588" s="143"/>
      <c r="J7588" s="143"/>
      <c r="K7588" s="143"/>
      <c r="L7588" s="143"/>
      <c r="M7588" s="143"/>
      <c r="N7588" s="143"/>
    </row>
    <row r="7589">
      <c r="D7589" s="144"/>
      <c r="E7589" s="144"/>
      <c r="F7589" s="144"/>
      <c r="G7589" s="144"/>
      <c r="H7589" s="144"/>
      <c r="I7589" s="144"/>
      <c r="J7589" s="144"/>
      <c r="K7589" s="144"/>
      <c r="L7589" s="144"/>
      <c r="M7589" s="144"/>
      <c r="N7589" s="144"/>
    </row>
    <row r="7590">
      <c r="D7590" s="143"/>
      <c r="E7590" s="143"/>
      <c r="F7590" s="143"/>
      <c r="G7590" s="143"/>
      <c r="H7590" s="143"/>
      <c r="I7590" s="143"/>
      <c r="J7590" s="143"/>
      <c r="K7590" s="143"/>
      <c r="L7590" s="143"/>
      <c r="M7590" s="143"/>
      <c r="N7590" s="143"/>
    </row>
    <row r="7591">
      <c r="D7591" s="144"/>
      <c r="E7591" s="144"/>
      <c r="F7591" s="144"/>
      <c r="G7591" s="144"/>
      <c r="H7591" s="144"/>
      <c r="I7591" s="144"/>
      <c r="J7591" s="144"/>
      <c r="K7591" s="144"/>
      <c r="L7591" s="144"/>
      <c r="M7591" s="144"/>
      <c r="N7591" s="144"/>
    </row>
    <row r="7592">
      <c r="D7592" s="143"/>
      <c r="E7592" s="143"/>
      <c r="F7592" s="143"/>
      <c r="G7592" s="143"/>
      <c r="H7592" s="143"/>
      <c r="I7592" s="143"/>
      <c r="J7592" s="143"/>
      <c r="K7592" s="143"/>
      <c r="L7592" s="143"/>
      <c r="M7592" s="143"/>
      <c r="N7592" s="143"/>
    </row>
    <row r="7593">
      <c r="D7593" s="144"/>
      <c r="E7593" s="144"/>
      <c r="F7593" s="144"/>
      <c r="G7593" s="144"/>
      <c r="H7593" s="144"/>
      <c r="I7593" s="144"/>
      <c r="J7593" s="144"/>
      <c r="K7593" s="144"/>
      <c r="L7593" s="144"/>
      <c r="M7593" s="144"/>
      <c r="N7593" s="144"/>
    </row>
    <row r="7594">
      <c r="D7594" s="143"/>
      <c r="E7594" s="143"/>
      <c r="F7594" s="143"/>
      <c r="G7594" s="143"/>
      <c r="H7594" s="143"/>
      <c r="I7594" s="143"/>
      <c r="J7594" s="143"/>
      <c r="K7594" s="143"/>
      <c r="L7594" s="143"/>
      <c r="M7594" s="143"/>
      <c r="N7594" s="143"/>
    </row>
    <row r="7595">
      <c r="D7595" s="144"/>
      <c r="E7595" s="144"/>
      <c r="F7595" s="144"/>
      <c r="G7595" s="144"/>
      <c r="H7595" s="144"/>
      <c r="I7595" s="144"/>
      <c r="J7595" s="144"/>
      <c r="K7595" s="144"/>
      <c r="L7595" s="144"/>
      <c r="M7595" s="144"/>
      <c r="N7595" s="144"/>
    </row>
    <row r="7596">
      <c r="D7596" s="143"/>
      <c r="E7596" s="143"/>
      <c r="F7596" s="143"/>
      <c r="G7596" s="143"/>
      <c r="H7596" s="143"/>
      <c r="I7596" s="143"/>
      <c r="J7596" s="143"/>
      <c r="K7596" s="143"/>
      <c r="L7596" s="143"/>
      <c r="M7596" s="143"/>
      <c r="N7596" s="143"/>
    </row>
    <row r="7597">
      <c r="D7597" s="144"/>
      <c r="E7597" s="144"/>
      <c r="F7597" s="144"/>
      <c r="G7597" s="144"/>
      <c r="H7597" s="144"/>
      <c r="I7597" s="144"/>
      <c r="J7597" s="144"/>
      <c r="K7597" s="144"/>
      <c r="L7597" s="144"/>
      <c r="M7597" s="144"/>
      <c r="N7597" s="144"/>
    </row>
    <row r="7598">
      <c r="D7598" s="143"/>
      <c r="E7598" s="143"/>
      <c r="F7598" s="143"/>
      <c r="G7598" s="143"/>
      <c r="H7598" s="143"/>
      <c r="I7598" s="143"/>
      <c r="J7598" s="143"/>
      <c r="K7598" s="143"/>
      <c r="L7598" s="143"/>
      <c r="M7598" s="143"/>
      <c r="N7598" s="143"/>
    </row>
    <row r="7599">
      <c r="D7599" s="144"/>
      <c r="E7599" s="144"/>
      <c r="F7599" s="144"/>
      <c r="G7599" s="144"/>
      <c r="H7599" s="144"/>
      <c r="I7599" s="144"/>
      <c r="J7599" s="144"/>
      <c r="K7599" s="144"/>
      <c r="L7599" s="144"/>
      <c r="M7599" s="144"/>
      <c r="N7599" s="144"/>
    </row>
    <row r="7600">
      <c r="D7600" s="143"/>
      <c r="E7600" s="143"/>
      <c r="F7600" s="143"/>
      <c r="G7600" s="143"/>
      <c r="H7600" s="143"/>
      <c r="I7600" s="143"/>
      <c r="J7600" s="143"/>
      <c r="K7600" s="143"/>
      <c r="L7600" s="143"/>
      <c r="M7600" s="143"/>
      <c r="N7600" s="143"/>
    </row>
    <row r="7601">
      <c r="D7601" s="144"/>
      <c r="E7601" s="144"/>
      <c r="F7601" s="144"/>
      <c r="G7601" s="144"/>
      <c r="H7601" s="144"/>
      <c r="I7601" s="144"/>
      <c r="J7601" s="144"/>
      <c r="K7601" s="144"/>
      <c r="L7601" s="144"/>
      <c r="M7601" s="144"/>
      <c r="N7601" s="144"/>
    </row>
    <row r="7602">
      <c r="D7602" s="143"/>
      <c r="E7602" s="143"/>
      <c r="F7602" s="143"/>
      <c r="G7602" s="143"/>
      <c r="H7602" s="143"/>
      <c r="I7602" s="143"/>
      <c r="J7602" s="143"/>
      <c r="K7602" s="143"/>
      <c r="L7602" s="143"/>
      <c r="M7602" s="143"/>
      <c r="N7602" s="143"/>
    </row>
    <row r="7603">
      <c r="D7603" s="144"/>
      <c r="E7603" s="144"/>
      <c r="F7603" s="144"/>
      <c r="G7603" s="144"/>
      <c r="H7603" s="144"/>
      <c r="I7603" s="144"/>
      <c r="J7603" s="144"/>
      <c r="K7603" s="144"/>
      <c r="L7603" s="144"/>
      <c r="M7603" s="144"/>
      <c r="N7603" s="144"/>
    </row>
    <row r="7604">
      <c r="D7604" s="143"/>
      <c r="E7604" s="143"/>
      <c r="F7604" s="143"/>
      <c r="G7604" s="143"/>
      <c r="H7604" s="143"/>
      <c r="I7604" s="143"/>
      <c r="J7604" s="143"/>
      <c r="K7604" s="143"/>
      <c r="L7604" s="143"/>
      <c r="M7604" s="143"/>
      <c r="N7604" s="143"/>
    </row>
    <row r="7605">
      <c r="D7605" s="144"/>
      <c r="E7605" s="144"/>
      <c r="F7605" s="144"/>
      <c r="G7605" s="144"/>
      <c r="H7605" s="144"/>
      <c r="I7605" s="144"/>
      <c r="J7605" s="144"/>
      <c r="K7605" s="144"/>
      <c r="L7605" s="144"/>
      <c r="M7605" s="144"/>
      <c r="N7605" s="144"/>
    </row>
    <row r="7606">
      <c r="D7606" s="143"/>
      <c r="E7606" s="143"/>
      <c r="F7606" s="143"/>
      <c r="G7606" s="143"/>
      <c r="H7606" s="143"/>
      <c r="I7606" s="143"/>
      <c r="J7606" s="143"/>
      <c r="K7606" s="143"/>
      <c r="L7606" s="143"/>
      <c r="M7606" s="143"/>
      <c r="N7606" s="143"/>
    </row>
    <row r="7607">
      <c r="D7607" s="144"/>
      <c r="E7607" s="144"/>
      <c r="F7607" s="144"/>
      <c r="G7607" s="144"/>
      <c r="H7607" s="144"/>
      <c r="I7607" s="144"/>
      <c r="J7607" s="144"/>
      <c r="K7607" s="144"/>
      <c r="L7607" s="144"/>
      <c r="M7607" s="144"/>
      <c r="N7607" s="144"/>
    </row>
    <row r="7608">
      <c r="D7608" s="143"/>
      <c r="E7608" s="143"/>
      <c r="F7608" s="143"/>
      <c r="G7608" s="143"/>
      <c r="H7608" s="143"/>
      <c r="I7608" s="143"/>
      <c r="J7608" s="143"/>
      <c r="K7608" s="143"/>
      <c r="L7608" s="143"/>
      <c r="M7608" s="143"/>
      <c r="N7608" s="143"/>
    </row>
    <row r="7609">
      <c r="D7609" s="144"/>
      <c r="E7609" s="144"/>
      <c r="F7609" s="144"/>
      <c r="G7609" s="144"/>
      <c r="H7609" s="144"/>
      <c r="I7609" s="144"/>
      <c r="J7609" s="144"/>
      <c r="K7609" s="144"/>
      <c r="L7609" s="144"/>
      <c r="M7609" s="144"/>
      <c r="N7609" s="144"/>
    </row>
    <row r="7610">
      <c r="D7610" s="143"/>
      <c r="E7610" s="143"/>
      <c r="F7610" s="143"/>
      <c r="G7610" s="143"/>
      <c r="H7610" s="143"/>
      <c r="I7610" s="143"/>
      <c r="J7610" s="143"/>
      <c r="K7610" s="143"/>
      <c r="L7610" s="143"/>
      <c r="M7610" s="143"/>
      <c r="N7610" s="143"/>
    </row>
    <row r="7611">
      <c r="D7611" s="144"/>
      <c r="E7611" s="144"/>
      <c r="F7611" s="144"/>
      <c r="G7611" s="144"/>
      <c r="H7611" s="144"/>
      <c r="I7611" s="144"/>
      <c r="J7611" s="144"/>
      <c r="K7611" s="144"/>
      <c r="L7611" s="144"/>
      <c r="M7611" s="144"/>
      <c r="N7611" s="144"/>
    </row>
    <row r="7612">
      <c r="D7612" s="143"/>
      <c r="E7612" s="143"/>
      <c r="F7612" s="143"/>
      <c r="G7612" s="143"/>
      <c r="H7612" s="143"/>
      <c r="I7612" s="143"/>
      <c r="J7612" s="143"/>
      <c r="K7612" s="143"/>
      <c r="L7612" s="143"/>
      <c r="M7612" s="143"/>
      <c r="N7612" s="143"/>
    </row>
    <row r="7613">
      <c r="D7613" s="144"/>
      <c r="E7613" s="144"/>
      <c r="F7613" s="144"/>
      <c r="G7613" s="144"/>
      <c r="H7613" s="144"/>
      <c r="I7613" s="144"/>
      <c r="J7613" s="144"/>
      <c r="K7613" s="144"/>
      <c r="L7613" s="144"/>
      <c r="M7613" s="144"/>
      <c r="N7613" s="144"/>
    </row>
    <row r="7614">
      <c r="D7614" s="143"/>
      <c r="E7614" s="143"/>
      <c r="F7614" s="143"/>
      <c r="G7614" s="143"/>
      <c r="H7614" s="143"/>
      <c r="I7614" s="143"/>
      <c r="J7614" s="143"/>
      <c r="K7614" s="143"/>
      <c r="L7614" s="143"/>
      <c r="M7614" s="143"/>
      <c r="N7614" s="143"/>
    </row>
    <row r="7615">
      <c r="D7615" s="144"/>
      <c r="E7615" s="144"/>
      <c r="F7615" s="144"/>
      <c r="G7615" s="144"/>
      <c r="H7615" s="144"/>
      <c r="I7615" s="144"/>
      <c r="J7615" s="144"/>
      <c r="K7615" s="144"/>
      <c r="L7615" s="144"/>
      <c r="M7615" s="144"/>
      <c r="N7615" s="144"/>
    </row>
    <row r="7616">
      <c r="D7616" s="143"/>
      <c r="E7616" s="143"/>
      <c r="F7616" s="143"/>
      <c r="G7616" s="143"/>
      <c r="H7616" s="143"/>
      <c r="I7616" s="143"/>
      <c r="J7616" s="143"/>
      <c r="K7616" s="143"/>
      <c r="L7616" s="143"/>
      <c r="M7616" s="143"/>
      <c r="N7616" s="143"/>
    </row>
    <row r="7617">
      <c r="D7617" s="144"/>
      <c r="E7617" s="144"/>
      <c r="F7617" s="144"/>
      <c r="G7617" s="144"/>
      <c r="H7617" s="144"/>
      <c r="I7617" s="144"/>
      <c r="J7617" s="144"/>
      <c r="K7617" s="144"/>
      <c r="L7617" s="144"/>
      <c r="M7617" s="144"/>
      <c r="N7617" s="144"/>
    </row>
    <row r="7618">
      <c r="D7618" s="143"/>
      <c r="E7618" s="143"/>
      <c r="F7618" s="143"/>
      <c r="G7618" s="143"/>
      <c r="H7618" s="143"/>
      <c r="I7618" s="143"/>
      <c r="J7618" s="143"/>
      <c r="K7618" s="143"/>
      <c r="L7618" s="143"/>
      <c r="M7618" s="143"/>
      <c r="N7618" s="143"/>
    </row>
    <row r="7619">
      <c r="D7619" s="144"/>
      <c r="E7619" s="144"/>
      <c r="F7619" s="144"/>
      <c r="G7619" s="144"/>
      <c r="H7619" s="144"/>
      <c r="I7619" s="144"/>
      <c r="J7619" s="144"/>
      <c r="K7619" s="144"/>
      <c r="L7619" s="144"/>
      <c r="M7619" s="144"/>
      <c r="N7619" s="144"/>
    </row>
    <row r="7620">
      <c r="D7620" s="143"/>
      <c r="E7620" s="143"/>
      <c r="F7620" s="143"/>
      <c r="G7620" s="143"/>
      <c r="H7620" s="143"/>
      <c r="I7620" s="143"/>
      <c r="J7620" s="143"/>
      <c r="K7620" s="143"/>
      <c r="L7620" s="143"/>
      <c r="M7620" s="143"/>
      <c r="N7620" s="143"/>
    </row>
    <row r="7621">
      <c r="D7621" s="144"/>
      <c r="E7621" s="144"/>
      <c r="F7621" s="144"/>
      <c r="G7621" s="144"/>
      <c r="H7621" s="144"/>
      <c r="I7621" s="144"/>
      <c r="J7621" s="144"/>
      <c r="K7621" s="144"/>
      <c r="L7621" s="144"/>
      <c r="M7621" s="144"/>
      <c r="N7621" s="144"/>
    </row>
    <row r="7622">
      <c r="D7622" s="143"/>
      <c r="E7622" s="143"/>
      <c r="F7622" s="143"/>
      <c r="G7622" s="143"/>
      <c r="H7622" s="143"/>
      <c r="I7622" s="143"/>
      <c r="J7622" s="143"/>
      <c r="K7622" s="143"/>
      <c r="L7622" s="143"/>
      <c r="M7622" s="143"/>
      <c r="N7622" s="143"/>
    </row>
    <row r="7623">
      <c r="D7623" s="144"/>
      <c r="E7623" s="144"/>
      <c r="F7623" s="144"/>
      <c r="G7623" s="144"/>
      <c r="H7623" s="144"/>
      <c r="I7623" s="144"/>
      <c r="J7623" s="144"/>
      <c r="K7623" s="144"/>
      <c r="L7623" s="144"/>
      <c r="M7623" s="144"/>
      <c r="N7623" s="144"/>
    </row>
    <row r="7624">
      <c r="D7624" s="143"/>
      <c r="E7624" s="143"/>
      <c r="F7624" s="143"/>
      <c r="G7624" s="143"/>
      <c r="H7624" s="143"/>
      <c r="I7624" s="143"/>
      <c r="J7624" s="143"/>
      <c r="K7624" s="143"/>
      <c r="L7624" s="143"/>
      <c r="M7624" s="143"/>
      <c r="N7624" s="143"/>
    </row>
    <row r="7625">
      <c r="D7625" s="144"/>
      <c r="E7625" s="144"/>
      <c r="F7625" s="144"/>
      <c r="G7625" s="144"/>
      <c r="H7625" s="144"/>
      <c r="I7625" s="144"/>
      <c r="J7625" s="144"/>
      <c r="K7625" s="144"/>
      <c r="L7625" s="144"/>
      <c r="M7625" s="144"/>
      <c r="N7625" s="144"/>
    </row>
    <row r="7626">
      <c r="D7626" s="143"/>
      <c r="E7626" s="143"/>
      <c r="F7626" s="143"/>
      <c r="G7626" s="143"/>
      <c r="H7626" s="143"/>
      <c r="I7626" s="143"/>
      <c r="J7626" s="143"/>
      <c r="K7626" s="143"/>
      <c r="L7626" s="143"/>
      <c r="M7626" s="143"/>
      <c r="N7626" s="143"/>
    </row>
    <row r="7627">
      <c r="D7627" s="144"/>
      <c r="E7627" s="144"/>
      <c r="F7627" s="144"/>
      <c r="G7627" s="144"/>
      <c r="H7627" s="144"/>
      <c r="I7627" s="144"/>
      <c r="J7627" s="144"/>
      <c r="K7627" s="144"/>
      <c r="L7627" s="144"/>
      <c r="M7627" s="144"/>
      <c r="N7627" s="144"/>
    </row>
    <row r="7628">
      <c r="D7628" s="143"/>
      <c r="E7628" s="143"/>
      <c r="F7628" s="143"/>
      <c r="G7628" s="143"/>
      <c r="H7628" s="143"/>
      <c r="I7628" s="143"/>
      <c r="J7628" s="143"/>
      <c r="K7628" s="143"/>
      <c r="L7628" s="143"/>
      <c r="M7628" s="143"/>
      <c r="N7628" s="143"/>
    </row>
    <row r="7629">
      <c r="D7629" s="144"/>
      <c r="E7629" s="144"/>
      <c r="F7629" s="144"/>
      <c r="G7629" s="144"/>
      <c r="H7629" s="144"/>
      <c r="I7629" s="144"/>
      <c r="J7629" s="144"/>
      <c r="K7629" s="144"/>
      <c r="L7629" s="144"/>
      <c r="M7629" s="144"/>
      <c r="N7629" s="144"/>
    </row>
    <row r="7630">
      <c r="D7630" s="143"/>
      <c r="E7630" s="143"/>
      <c r="F7630" s="143"/>
      <c r="G7630" s="143"/>
      <c r="H7630" s="143"/>
      <c r="I7630" s="143"/>
      <c r="J7630" s="143"/>
      <c r="K7630" s="143"/>
      <c r="L7630" s="143"/>
      <c r="M7630" s="143"/>
      <c r="N7630" s="143"/>
    </row>
    <row r="7631">
      <c r="D7631" s="144"/>
      <c r="E7631" s="144"/>
      <c r="F7631" s="144"/>
      <c r="G7631" s="144"/>
      <c r="H7631" s="144"/>
      <c r="I7631" s="144"/>
      <c r="J7631" s="144"/>
      <c r="K7631" s="144"/>
      <c r="L7631" s="144"/>
      <c r="M7631" s="144"/>
      <c r="N7631" s="144"/>
    </row>
    <row r="7632">
      <c r="D7632" s="143"/>
      <c r="E7632" s="143"/>
      <c r="F7632" s="143"/>
      <c r="G7632" s="143"/>
      <c r="H7632" s="143"/>
      <c r="I7632" s="143"/>
      <c r="J7632" s="143"/>
      <c r="K7632" s="143"/>
      <c r="L7632" s="143"/>
      <c r="M7632" s="143"/>
      <c r="N7632" s="143"/>
    </row>
    <row r="7633">
      <c r="D7633" s="144"/>
      <c r="E7633" s="144"/>
      <c r="F7633" s="144"/>
      <c r="G7633" s="144"/>
      <c r="H7633" s="144"/>
      <c r="I7633" s="144"/>
      <c r="J7633" s="144"/>
      <c r="K7633" s="144"/>
      <c r="L7633" s="144"/>
      <c r="M7633" s="144"/>
      <c r="N7633" s="144"/>
    </row>
    <row r="7634">
      <c r="D7634" s="143"/>
      <c r="E7634" s="143"/>
      <c r="F7634" s="143"/>
      <c r="G7634" s="143"/>
      <c r="H7634" s="143"/>
      <c r="I7634" s="143"/>
      <c r="J7634" s="143"/>
      <c r="K7634" s="143"/>
      <c r="L7634" s="143"/>
      <c r="M7634" s="143"/>
      <c r="N7634" s="143"/>
    </row>
    <row r="7635">
      <c r="D7635" s="144"/>
      <c r="E7635" s="144"/>
      <c r="F7635" s="144"/>
      <c r="G7635" s="144"/>
      <c r="H7635" s="144"/>
      <c r="I7635" s="144"/>
      <c r="J7635" s="144"/>
      <c r="K7635" s="144"/>
      <c r="L7635" s="144"/>
      <c r="M7635" s="144"/>
      <c r="N7635" s="144"/>
    </row>
    <row r="7636">
      <c r="D7636" s="143"/>
      <c r="E7636" s="143"/>
      <c r="F7636" s="143"/>
      <c r="G7636" s="143"/>
      <c r="H7636" s="143"/>
      <c r="I7636" s="143"/>
      <c r="J7636" s="143"/>
      <c r="K7636" s="143"/>
      <c r="L7636" s="143"/>
      <c r="M7636" s="143"/>
      <c r="N7636" s="143"/>
    </row>
    <row r="7637">
      <c r="D7637" s="144"/>
      <c r="E7637" s="144"/>
      <c r="F7637" s="144"/>
      <c r="G7637" s="144"/>
      <c r="H7637" s="144"/>
      <c r="I7637" s="144"/>
      <c r="J7637" s="144"/>
      <c r="K7637" s="144"/>
      <c r="L7637" s="144"/>
      <c r="M7637" s="144"/>
      <c r="N7637" s="144"/>
    </row>
    <row r="7638">
      <c r="D7638" s="143"/>
      <c r="E7638" s="143"/>
      <c r="F7638" s="143"/>
      <c r="G7638" s="143"/>
      <c r="H7638" s="143"/>
      <c r="I7638" s="143"/>
      <c r="J7638" s="143"/>
      <c r="K7638" s="143"/>
      <c r="L7638" s="143"/>
      <c r="M7638" s="143"/>
      <c r="N7638" s="143"/>
    </row>
    <row r="7639">
      <c r="D7639" s="144"/>
      <c r="E7639" s="144"/>
      <c r="F7639" s="144"/>
      <c r="G7639" s="144"/>
      <c r="H7639" s="144"/>
      <c r="I7639" s="144"/>
      <c r="J7639" s="144"/>
      <c r="K7639" s="144"/>
      <c r="L7639" s="144"/>
      <c r="M7639" s="144"/>
      <c r="N7639" s="144"/>
    </row>
    <row r="7640">
      <c r="D7640" s="143"/>
      <c r="E7640" s="143"/>
      <c r="F7640" s="143"/>
      <c r="G7640" s="143"/>
      <c r="H7640" s="143"/>
      <c r="I7640" s="143"/>
      <c r="J7640" s="143"/>
      <c r="K7640" s="143"/>
      <c r="L7640" s="143"/>
      <c r="M7640" s="143"/>
      <c r="N7640" s="143"/>
    </row>
    <row r="7641">
      <c r="D7641" s="144"/>
      <c r="E7641" s="144"/>
      <c r="F7641" s="144"/>
      <c r="G7641" s="144"/>
      <c r="H7641" s="144"/>
      <c r="I7641" s="144"/>
      <c r="J7641" s="144"/>
      <c r="K7641" s="144"/>
      <c r="L7641" s="144"/>
      <c r="M7641" s="144"/>
      <c r="N7641" s="144"/>
    </row>
    <row r="7642">
      <c r="D7642" s="143"/>
      <c r="E7642" s="143"/>
      <c r="F7642" s="143"/>
      <c r="G7642" s="143"/>
      <c r="H7642" s="143"/>
      <c r="I7642" s="143"/>
      <c r="J7642" s="143"/>
      <c r="K7642" s="143"/>
      <c r="L7642" s="143"/>
      <c r="M7642" s="143"/>
      <c r="N7642" s="143"/>
    </row>
    <row r="7643">
      <c r="D7643" s="144"/>
      <c r="E7643" s="144"/>
      <c r="F7643" s="144"/>
      <c r="G7643" s="144"/>
      <c r="H7643" s="144"/>
      <c r="I7643" s="144"/>
      <c r="J7643" s="144"/>
      <c r="K7643" s="144"/>
      <c r="L7643" s="144"/>
      <c r="M7643" s="144"/>
      <c r="N7643" s="144"/>
    </row>
    <row r="7644">
      <c r="D7644" s="143"/>
      <c r="E7644" s="143"/>
      <c r="F7644" s="143"/>
      <c r="G7644" s="143"/>
      <c r="H7644" s="143"/>
      <c r="I7644" s="143"/>
      <c r="J7644" s="143"/>
      <c r="K7644" s="143"/>
      <c r="L7644" s="143"/>
      <c r="M7644" s="143"/>
      <c r="N7644" s="143"/>
    </row>
    <row r="7645">
      <c r="D7645" s="144"/>
      <c r="E7645" s="144"/>
      <c r="F7645" s="144"/>
      <c r="G7645" s="144"/>
      <c r="H7645" s="144"/>
      <c r="I7645" s="144"/>
      <c r="J7645" s="144"/>
      <c r="K7645" s="144"/>
      <c r="L7645" s="144"/>
      <c r="M7645" s="144"/>
      <c r="N7645" s="144"/>
    </row>
    <row r="7646">
      <c r="D7646" s="143"/>
      <c r="E7646" s="143"/>
      <c r="F7646" s="143"/>
      <c r="G7646" s="143"/>
      <c r="H7646" s="143"/>
      <c r="I7646" s="143"/>
      <c r="J7646" s="143"/>
      <c r="K7646" s="143"/>
      <c r="L7646" s="143"/>
      <c r="M7646" s="143"/>
      <c r="N7646" s="143"/>
    </row>
    <row r="7647">
      <c r="D7647" s="144"/>
      <c r="E7647" s="144"/>
      <c r="F7647" s="144"/>
      <c r="G7647" s="144"/>
      <c r="H7647" s="144"/>
      <c r="I7647" s="144"/>
      <c r="J7647" s="144"/>
      <c r="K7647" s="144"/>
      <c r="L7647" s="144"/>
      <c r="M7647" s="144"/>
      <c r="N7647" s="144"/>
    </row>
    <row r="7648">
      <c r="D7648" s="143"/>
      <c r="E7648" s="143"/>
      <c r="F7648" s="143"/>
      <c r="G7648" s="143"/>
      <c r="H7648" s="143"/>
      <c r="I7648" s="143"/>
      <c r="J7648" s="143"/>
      <c r="K7648" s="143"/>
      <c r="L7648" s="143"/>
      <c r="M7648" s="143"/>
      <c r="N7648" s="143"/>
    </row>
    <row r="7649">
      <c r="D7649" s="144"/>
      <c r="E7649" s="144"/>
      <c r="F7649" s="144"/>
      <c r="G7649" s="144"/>
      <c r="H7649" s="144"/>
      <c r="I7649" s="144"/>
      <c r="J7649" s="144"/>
      <c r="K7649" s="144"/>
      <c r="L7649" s="144"/>
      <c r="M7649" s="144"/>
      <c r="N7649" s="144"/>
    </row>
    <row r="7650">
      <c r="D7650" s="143"/>
      <c r="E7650" s="143"/>
      <c r="F7650" s="143"/>
      <c r="G7650" s="143"/>
      <c r="H7650" s="143"/>
      <c r="I7650" s="143"/>
      <c r="J7650" s="143"/>
      <c r="K7650" s="143"/>
      <c r="L7650" s="143"/>
      <c r="M7650" s="143"/>
      <c r="N7650" s="143"/>
    </row>
    <row r="7651">
      <c r="D7651" s="144"/>
      <c r="E7651" s="144"/>
      <c r="F7651" s="144"/>
      <c r="G7651" s="144"/>
      <c r="H7651" s="144"/>
      <c r="I7651" s="144"/>
      <c r="J7651" s="144"/>
      <c r="K7651" s="144"/>
      <c r="L7651" s="144"/>
      <c r="M7651" s="144"/>
      <c r="N7651" s="144"/>
    </row>
    <row r="7652">
      <c r="D7652" s="143"/>
      <c r="E7652" s="143"/>
      <c r="F7652" s="143"/>
      <c r="G7652" s="143"/>
      <c r="H7652" s="143"/>
      <c r="I7652" s="143"/>
      <c r="J7652" s="143"/>
      <c r="K7652" s="143"/>
      <c r="L7652" s="143"/>
      <c r="M7652" s="143"/>
      <c r="N7652" s="143"/>
    </row>
    <row r="7653">
      <c r="D7653" s="144"/>
      <c r="E7653" s="144"/>
      <c r="F7653" s="144"/>
      <c r="G7653" s="144"/>
      <c r="H7653" s="144"/>
      <c r="I7653" s="144"/>
      <c r="J7653" s="144"/>
      <c r="K7653" s="144"/>
      <c r="L7653" s="144"/>
      <c r="M7653" s="144"/>
      <c r="N7653" s="144"/>
    </row>
    <row r="7654">
      <c r="D7654" s="143"/>
      <c r="E7654" s="143"/>
      <c r="F7654" s="143"/>
      <c r="G7654" s="143"/>
      <c r="H7654" s="143"/>
      <c r="I7654" s="143"/>
      <c r="J7654" s="143"/>
      <c r="K7654" s="143"/>
      <c r="L7654" s="143"/>
      <c r="M7654" s="143"/>
      <c r="N7654" s="143"/>
    </row>
    <row r="7655">
      <c r="D7655" s="144"/>
      <c r="E7655" s="144"/>
      <c r="F7655" s="144"/>
      <c r="G7655" s="144"/>
      <c r="H7655" s="144"/>
      <c r="I7655" s="144"/>
      <c r="J7655" s="144"/>
      <c r="K7655" s="144"/>
      <c r="L7655" s="144"/>
      <c r="M7655" s="144"/>
      <c r="N7655" s="144"/>
    </row>
    <row r="7656">
      <c r="D7656" s="143"/>
      <c r="E7656" s="143"/>
      <c r="F7656" s="143"/>
      <c r="G7656" s="143"/>
      <c r="H7656" s="143"/>
      <c r="I7656" s="143"/>
      <c r="J7656" s="143"/>
      <c r="K7656" s="143"/>
      <c r="L7656" s="143"/>
      <c r="M7656" s="143"/>
      <c r="N7656" s="143"/>
    </row>
    <row r="7657">
      <c r="D7657" s="144"/>
      <c r="E7657" s="144"/>
      <c r="F7657" s="144"/>
      <c r="G7657" s="144"/>
      <c r="H7657" s="144"/>
      <c r="I7657" s="144"/>
      <c r="J7657" s="144"/>
      <c r="K7657" s="144"/>
      <c r="L7657" s="144"/>
      <c r="M7657" s="144"/>
      <c r="N7657" s="144"/>
    </row>
    <row r="7658">
      <c r="D7658" s="143"/>
      <c r="E7658" s="143"/>
      <c r="F7658" s="143"/>
      <c r="G7658" s="143"/>
      <c r="H7658" s="143"/>
      <c r="I7658" s="143"/>
      <c r="J7658" s="143"/>
      <c r="K7658" s="143"/>
      <c r="L7658" s="143"/>
      <c r="M7658" s="143"/>
      <c r="N7658" s="143"/>
    </row>
    <row r="7659">
      <c r="D7659" s="144"/>
      <c r="E7659" s="144"/>
      <c r="F7659" s="144"/>
      <c r="G7659" s="144"/>
      <c r="H7659" s="144"/>
      <c r="I7659" s="144"/>
      <c r="J7659" s="144"/>
      <c r="K7659" s="144"/>
      <c r="L7659" s="144"/>
      <c r="M7659" s="144"/>
      <c r="N7659" s="144"/>
    </row>
    <row r="7660">
      <c r="D7660" s="143"/>
      <c r="E7660" s="143"/>
      <c r="F7660" s="143"/>
      <c r="G7660" s="143"/>
      <c r="H7660" s="143"/>
      <c r="I7660" s="143"/>
      <c r="J7660" s="143"/>
      <c r="K7660" s="143"/>
      <c r="L7660" s="143"/>
      <c r="M7660" s="143"/>
      <c r="N7660" s="143"/>
    </row>
    <row r="7661">
      <c r="D7661" s="144"/>
      <c r="E7661" s="144"/>
      <c r="F7661" s="144"/>
      <c r="G7661" s="144"/>
      <c r="H7661" s="144"/>
      <c r="I7661" s="144"/>
      <c r="J7661" s="144"/>
      <c r="K7661" s="144"/>
      <c r="L7661" s="144"/>
      <c r="M7661" s="144"/>
      <c r="N7661" s="144"/>
    </row>
    <row r="7662">
      <c r="D7662" s="143"/>
      <c r="E7662" s="143"/>
      <c r="F7662" s="143"/>
      <c r="G7662" s="143"/>
      <c r="H7662" s="143"/>
      <c r="I7662" s="143"/>
      <c r="J7662" s="143"/>
      <c r="K7662" s="143"/>
      <c r="L7662" s="143"/>
      <c r="M7662" s="143"/>
      <c r="N7662" s="143"/>
    </row>
    <row r="7663">
      <c r="D7663" s="144"/>
      <c r="E7663" s="144"/>
      <c r="F7663" s="144"/>
      <c r="G7663" s="144"/>
      <c r="H7663" s="144"/>
      <c r="I7663" s="144"/>
      <c r="J7663" s="144"/>
      <c r="K7663" s="144"/>
      <c r="L7663" s="144"/>
      <c r="M7663" s="144"/>
      <c r="N7663" s="144"/>
    </row>
    <row r="7664">
      <c r="D7664" s="143"/>
      <c r="E7664" s="143"/>
      <c r="F7664" s="143"/>
      <c r="G7664" s="143"/>
      <c r="H7664" s="143"/>
      <c r="I7664" s="143"/>
      <c r="J7664" s="143"/>
      <c r="K7664" s="143"/>
      <c r="L7664" s="143"/>
      <c r="M7664" s="143"/>
      <c r="N7664" s="143"/>
    </row>
    <row r="7665">
      <c r="D7665" s="144"/>
      <c r="E7665" s="144"/>
      <c r="F7665" s="144"/>
      <c r="G7665" s="144"/>
      <c r="H7665" s="144"/>
      <c r="I7665" s="144"/>
      <c r="J7665" s="144"/>
      <c r="K7665" s="144"/>
      <c r="L7665" s="144"/>
      <c r="M7665" s="144"/>
      <c r="N7665" s="144"/>
    </row>
    <row r="7666">
      <c r="D7666" s="143"/>
      <c r="E7666" s="143"/>
      <c r="F7666" s="143"/>
      <c r="G7666" s="143"/>
      <c r="H7666" s="143"/>
      <c r="I7666" s="143"/>
      <c r="J7666" s="143"/>
      <c r="K7666" s="143"/>
      <c r="L7666" s="143"/>
      <c r="M7666" s="143"/>
      <c r="N7666" s="143"/>
    </row>
    <row r="7667">
      <c r="D7667" s="144"/>
      <c r="E7667" s="144"/>
      <c r="F7667" s="144"/>
      <c r="G7667" s="144"/>
      <c r="H7667" s="144"/>
      <c r="I7667" s="144"/>
      <c r="J7667" s="144"/>
      <c r="K7667" s="144"/>
      <c r="L7667" s="144"/>
      <c r="M7667" s="144"/>
      <c r="N7667" s="144"/>
    </row>
    <row r="7668">
      <c r="D7668" s="143"/>
      <c r="E7668" s="143"/>
      <c r="F7668" s="143"/>
      <c r="G7668" s="143"/>
      <c r="H7668" s="143"/>
      <c r="I7668" s="143"/>
      <c r="J7668" s="143"/>
      <c r="K7668" s="143"/>
      <c r="L7668" s="143"/>
      <c r="M7668" s="143"/>
      <c r="N7668" s="143"/>
    </row>
    <row r="7669">
      <c r="D7669" s="144"/>
      <c r="E7669" s="144"/>
      <c r="F7669" s="144"/>
      <c r="G7669" s="144"/>
      <c r="H7669" s="144"/>
      <c r="I7669" s="144"/>
      <c r="J7669" s="144"/>
      <c r="K7669" s="144"/>
      <c r="L7669" s="144"/>
      <c r="M7669" s="144"/>
      <c r="N7669" s="144"/>
    </row>
    <row r="7670">
      <c r="D7670" s="143"/>
      <c r="E7670" s="143"/>
      <c r="F7670" s="143"/>
      <c r="G7670" s="143"/>
      <c r="H7670" s="143"/>
      <c r="I7670" s="143"/>
      <c r="J7670" s="143"/>
      <c r="K7670" s="143"/>
      <c r="L7670" s="143"/>
      <c r="M7670" s="143"/>
      <c r="N7670" s="143"/>
    </row>
    <row r="7671">
      <c r="D7671" s="144"/>
      <c r="E7671" s="144"/>
      <c r="F7671" s="144"/>
      <c r="G7671" s="144"/>
      <c r="H7671" s="144"/>
      <c r="I7671" s="144"/>
      <c r="J7671" s="144"/>
      <c r="K7671" s="144"/>
      <c r="L7671" s="144"/>
      <c r="M7671" s="144"/>
      <c r="N7671" s="144"/>
    </row>
    <row r="7672">
      <c r="D7672" s="143"/>
      <c r="E7672" s="143"/>
      <c r="F7672" s="143"/>
      <c r="G7672" s="143"/>
      <c r="H7672" s="143"/>
      <c r="I7672" s="143"/>
      <c r="J7672" s="143"/>
      <c r="K7672" s="143"/>
      <c r="L7672" s="143"/>
      <c r="M7672" s="143"/>
      <c r="N7672" s="143"/>
    </row>
    <row r="7673">
      <c r="D7673" s="144"/>
      <c r="E7673" s="144"/>
      <c r="F7673" s="144"/>
      <c r="G7673" s="144"/>
      <c r="H7673" s="144"/>
      <c r="I7673" s="144"/>
      <c r="J7673" s="144"/>
      <c r="K7673" s="144"/>
      <c r="L7673" s="144"/>
      <c r="M7673" s="144"/>
      <c r="N7673" s="144"/>
    </row>
    <row r="7674">
      <c r="D7674" s="143"/>
      <c r="E7674" s="143"/>
      <c r="F7674" s="143"/>
      <c r="G7674" s="143"/>
      <c r="H7674" s="143"/>
      <c r="I7674" s="143"/>
      <c r="J7674" s="143"/>
      <c r="K7674" s="143"/>
      <c r="L7674" s="143"/>
      <c r="M7674" s="143"/>
      <c r="N7674" s="143"/>
    </row>
    <row r="7675">
      <c r="D7675" s="144"/>
      <c r="E7675" s="144"/>
      <c r="F7675" s="144"/>
      <c r="G7675" s="144"/>
      <c r="H7675" s="144"/>
      <c r="I7675" s="144"/>
      <c r="J7675" s="144"/>
      <c r="K7675" s="144"/>
      <c r="L7675" s="144"/>
      <c r="M7675" s="144"/>
      <c r="N7675" s="144"/>
    </row>
    <row r="7676">
      <c r="D7676" s="143"/>
      <c r="E7676" s="143"/>
      <c r="F7676" s="143"/>
      <c r="G7676" s="143"/>
      <c r="H7676" s="143"/>
      <c r="I7676" s="143"/>
      <c r="J7676" s="143"/>
      <c r="K7676" s="143"/>
      <c r="L7676" s="143"/>
      <c r="M7676" s="143"/>
      <c r="N7676" s="143"/>
    </row>
    <row r="7677">
      <c r="D7677" s="144"/>
      <c r="E7677" s="144"/>
      <c r="F7677" s="144"/>
      <c r="G7677" s="144"/>
      <c r="H7677" s="144"/>
      <c r="I7677" s="144"/>
      <c r="J7677" s="144"/>
      <c r="K7677" s="144"/>
      <c r="L7677" s="144"/>
      <c r="M7677" s="144"/>
      <c r="N7677" s="144"/>
    </row>
    <row r="7678">
      <c r="D7678" s="143"/>
      <c r="E7678" s="143"/>
      <c r="F7678" s="143"/>
      <c r="G7678" s="143"/>
      <c r="H7678" s="143"/>
      <c r="I7678" s="143"/>
      <c r="J7678" s="143"/>
      <c r="K7678" s="143"/>
      <c r="L7678" s="143"/>
      <c r="M7678" s="143"/>
      <c r="N7678" s="143"/>
    </row>
    <row r="7679">
      <c r="D7679" s="144"/>
      <c r="E7679" s="144"/>
      <c r="F7679" s="144"/>
      <c r="G7679" s="144"/>
      <c r="H7679" s="144"/>
      <c r="I7679" s="144"/>
      <c r="J7679" s="144"/>
      <c r="K7679" s="144"/>
      <c r="L7679" s="144"/>
      <c r="M7679" s="144"/>
      <c r="N7679" s="144"/>
    </row>
    <row r="7680">
      <c r="D7680" s="143"/>
      <c r="E7680" s="143"/>
      <c r="F7680" s="143"/>
      <c r="G7680" s="143"/>
      <c r="H7680" s="143"/>
      <c r="I7680" s="143"/>
      <c r="J7680" s="143"/>
      <c r="K7680" s="143"/>
      <c r="L7680" s="143"/>
      <c r="M7680" s="143"/>
      <c r="N7680" s="143"/>
    </row>
    <row r="7681">
      <c r="D7681" s="144"/>
      <c r="E7681" s="144"/>
      <c r="F7681" s="144"/>
      <c r="G7681" s="144"/>
      <c r="H7681" s="144"/>
      <c r="I7681" s="144"/>
      <c r="J7681" s="144"/>
      <c r="K7681" s="144"/>
      <c r="L7681" s="144"/>
      <c r="M7681" s="144"/>
      <c r="N7681" s="144"/>
    </row>
    <row r="7682">
      <c r="D7682" s="143"/>
      <c r="E7682" s="143"/>
      <c r="F7682" s="143"/>
      <c r="G7682" s="143"/>
      <c r="H7682" s="143"/>
      <c r="I7682" s="143"/>
      <c r="J7682" s="143"/>
      <c r="K7682" s="143"/>
      <c r="L7682" s="143"/>
      <c r="M7682" s="143"/>
      <c r="N7682" s="143"/>
    </row>
    <row r="7683">
      <c r="D7683" s="144"/>
      <c r="E7683" s="144"/>
      <c r="F7683" s="144"/>
      <c r="G7683" s="144"/>
      <c r="H7683" s="144"/>
      <c r="I7683" s="144"/>
      <c r="J7683" s="144"/>
      <c r="K7683" s="144"/>
      <c r="L7683" s="144"/>
      <c r="M7683" s="144"/>
      <c r="N7683" s="144"/>
    </row>
    <row r="7684">
      <c r="D7684" s="143"/>
      <c r="E7684" s="143"/>
      <c r="F7684" s="143"/>
      <c r="G7684" s="143"/>
      <c r="H7684" s="143"/>
      <c r="I7684" s="143"/>
      <c r="J7684" s="143"/>
      <c r="K7684" s="143"/>
      <c r="L7684" s="143"/>
      <c r="M7684" s="143"/>
      <c r="N7684" s="143"/>
    </row>
    <row r="7685">
      <c r="D7685" s="144"/>
      <c r="E7685" s="144"/>
      <c r="F7685" s="144"/>
      <c r="G7685" s="144"/>
      <c r="H7685" s="144"/>
      <c r="I7685" s="144"/>
      <c r="J7685" s="144"/>
      <c r="K7685" s="144"/>
      <c r="L7685" s="144"/>
      <c r="M7685" s="144"/>
      <c r="N7685" s="144"/>
    </row>
    <row r="7686">
      <c r="D7686" s="143"/>
      <c r="E7686" s="143"/>
      <c r="F7686" s="143"/>
      <c r="G7686" s="143"/>
      <c r="H7686" s="143"/>
      <c r="I7686" s="143"/>
      <c r="J7686" s="143"/>
      <c r="K7686" s="143"/>
      <c r="L7686" s="143"/>
      <c r="M7686" s="143"/>
      <c r="N7686" s="143"/>
    </row>
    <row r="7687">
      <c r="D7687" s="144"/>
      <c r="E7687" s="144"/>
      <c r="F7687" s="144"/>
      <c r="G7687" s="144"/>
      <c r="H7687" s="144"/>
      <c r="I7687" s="144"/>
      <c r="J7687" s="144"/>
      <c r="K7687" s="144"/>
      <c r="L7687" s="144"/>
      <c r="M7687" s="144"/>
      <c r="N7687" s="144"/>
    </row>
    <row r="7688">
      <c r="D7688" s="143"/>
      <c r="E7688" s="143"/>
      <c r="F7688" s="143"/>
      <c r="G7688" s="143"/>
      <c r="H7688" s="143"/>
      <c r="I7688" s="143"/>
      <c r="J7688" s="143"/>
      <c r="K7688" s="143"/>
      <c r="L7688" s="143"/>
      <c r="M7688" s="143"/>
      <c r="N7688" s="143"/>
    </row>
    <row r="7689">
      <c r="D7689" s="144"/>
      <c r="E7689" s="144"/>
      <c r="F7689" s="144"/>
      <c r="G7689" s="144"/>
      <c r="H7689" s="144"/>
      <c r="I7689" s="144"/>
      <c r="J7689" s="144"/>
      <c r="K7689" s="144"/>
      <c r="L7689" s="144"/>
      <c r="M7689" s="144"/>
      <c r="N7689" s="144"/>
    </row>
    <row r="7690">
      <c r="D7690" s="143"/>
      <c r="E7690" s="143"/>
      <c r="F7690" s="143"/>
      <c r="G7690" s="143"/>
      <c r="H7690" s="143"/>
      <c r="I7690" s="143"/>
      <c r="J7690" s="143"/>
      <c r="K7690" s="143"/>
      <c r="L7690" s="143"/>
      <c r="M7690" s="143"/>
      <c r="N7690" s="143"/>
    </row>
    <row r="7691">
      <c r="D7691" s="144"/>
      <c r="E7691" s="144"/>
      <c r="F7691" s="144"/>
      <c r="G7691" s="144"/>
      <c r="H7691" s="144"/>
      <c r="I7691" s="144"/>
      <c r="J7691" s="144"/>
      <c r="K7691" s="144"/>
      <c r="L7691" s="144"/>
      <c r="M7691" s="144"/>
      <c r="N7691" s="144"/>
    </row>
    <row r="7692">
      <c r="D7692" s="143"/>
      <c r="E7692" s="143"/>
      <c r="F7692" s="143"/>
      <c r="G7692" s="143"/>
      <c r="H7692" s="143"/>
      <c r="I7692" s="143"/>
      <c r="J7692" s="143"/>
      <c r="K7692" s="143"/>
      <c r="L7692" s="143"/>
      <c r="M7692" s="143"/>
      <c r="N7692" s="143"/>
    </row>
    <row r="7693">
      <c r="D7693" s="144"/>
      <c r="E7693" s="144"/>
      <c r="F7693" s="144"/>
      <c r="G7693" s="144"/>
      <c r="H7693" s="144"/>
      <c r="I7693" s="144"/>
      <c r="J7693" s="144"/>
      <c r="K7693" s="144"/>
      <c r="L7693" s="144"/>
      <c r="M7693" s="144"/>
      <c r="N7693" s="144"/>
    </row>
    <row r="7694">
      <c r="D7694" s="143"/>
      <c r="E7694" s="143"/>
      <c r="F7694" s="143"/>
      <c r="G7694" s="143"/>
      <c r="H7694" s="143"/>
      <c r="I7694" s="143"/>
      <c r="J7694" s="143"/>
      <c r="K7694" s="143"/>
      <c r="L7694" s="143"/>
      <c r="M7694" s="143"/>
      <c r="N7694" s="143"/>
    </row>
    <row r="7695">
      <c r="D7695" s="144"/>
      <c r="E7695" s="144"/>
      <c r="F7695" s="144"/>
      <c r="G7695" s="144"/>
      <c r="H7695" s="144"/>
      <c r="I7695" s="144"/>
      <c r="J7695" s="144"/>
      <c r="K7695" s="144"/>
      <c r="L7695" s="144"/>
      <c r="M7695" s="144"/>
      <c r="N7695" s="144"/>
    </row>
    <row r="7696">
      <c r="D7696" s="143"/>
      <c r="E7696" s="143"/>
      <c r="F7696" s="143"/>
      <c r="G7696" s="143"/>
      <c r="H7696" s="143"/>
      <c r="I7696" s="143"/>
      <c r="J7696" s="143"/>
      <c r="K7696" s="143"/>
      <c r="L7696" s="143"/>
      <c r="M7696" s="143"/>
      <c r="N7696" s="143"/>
    </row>
    <row r="7697">
      <c r="D7697" s="144"/>
      <c r="E7697" s="144"/>
      <c r="F7697" s="144"/>
      <c r="G7697" s="144"/>
      <c r="H7697" s="144"/>
      <c r="I7697" s="144"/>
      <c r="J7697" s="144"/>
      <c r="K7697" s="144"/>
      <c r="L7697" s="144"/>
      <c r="M7697" s="144"/>
      <c r="N7697" s="144"/>
    </row>
    <row r="7698">
      <c r="D7698" s="143"/>
      <c r="E7698" s="143"/>
      <c r="F7698" s="143"/>
      <c r="G7698" s="143"/>
      <c r="H7698" s="143"/>
      <c r="I7698" s="143"/>
      <c r="J7698" s="143"/>
      <c r="K7698" s="143"/>
      <c r="L7698" s="143"/>
      <c r="M7698" s="143"/>
      <c r="N7698" s="143"/>
    </row>
    <row r="7699">
      <c r="D7699" s="144"/>
      <c r="E7699" s="144"/>
      <c r="F7699" s="144"/>
      <c r="G7699" s="144"/>
      <c r="H7699" s="144"/>
      <c r="I7699" s="144"/>
      <c r="J7699" s="144"/>
      <c r="K7699" s="144"/>
      <c r="L7699" s="144"/>
      <c r="M7699" s="144"/>
      <c r="N7699" s="144"/>
    </row>
    <row r="7700">
      <c r="D7700" s="143"/>
      <c r="E7700" s="143"/>
      <c r="F7700" s="143"/>
      <c r="G7700" s="143"/>
      <c r="H7700" s="143"/>
      <c r="I7700" s="143"/>
      <c r="J7700" s="143"/>
      <c r="K7700" s="143"/>
      <c r="L7700" s="143"/>
      <c r="M7700" s="143"/>
      <c r="N7700" s="143"/>
    </row>
    <row r="7701">
      <c r="D7701" s="144"/>
      <c r="E7701" s="144"/>
      <c r="F7701" s="144"/>
      <c r="G7701" s="144"/>
      <c r="H7701" s="144"/>
      <c r="I7701" s="144"/>
      <c r="J7701" s="144"/>
      <c r="K7701" s="144"/>
      <c r="L7701" s="144"/>
      <c r="M7701" s="144"/>
      <c r="N7701" s="144"/>
    </row>
    <row r="7702">
      <c r="D7702" s="143"/>
      <c r="E7702" s="143"/>
      <c r="F7702" s="143"/>
      <c r="G7702" s="143"/>
      <c r="H7702" s="143"/>
      <c r="I7702" s="143"/>
      <c r="J7702" s="143"/>
      <c r="K7702" s="143"/>
      <c r="L7702" s="143"/>
      <c r="M7702" s="143"/>
      <c r="N7702" s="143"/>
    </row>
    <row r="7703">
      <c r="D7703" s="144"/>
      <c r="E7703" s="144"/>
      <c r="F7703" s="144"/>
      <c r="G7703" s="144"/>
      <c r="H7703" s="144"/>
      <c r="I7703" s="144"/>
      <c r="J7703" s="144"/>
      <c r="K7703" s="144"/>
      <c r="L7703" s="144"/>
      <c r="M7703" s="144"/>
      <c r="N7703" s="144"/>
    </row>
    <row r="7704">
      <c r="D7704" s="143"/>
      <c r="E7704" s="143"/>
      <c r="F7704" s="143"/>
      <c r="G7704" s="143"/>
      <c r="H7704" s="143"/>
      <c r="I7704" s="143"/>
      <c r="J7704" s="143"/>
      <c r="K7704" s="143"/>
      <c r="L7704" s="143"/>
      <c r="M7704" s="143"/>
      <c r="N7704" s="143"/>
    </row>
    <row r="7705">
      <c r="D7705" s="144"/>
      <c r="E7705" s="144"/>
      <c r="F7705" s="144"/>
      <c r="G7705" s="144"/>
      <c r="H7705" s="144"/>
      <c r="I7705" s="144"/>
      <c r="J7705" s="144"/>
      <c r="K7705" s="144"/>
      <c r="L7705" s="144"/>
      <c r="M7705" s="144"/>
      <c r="N7705" s="144"/>
    </row>
    <row r="7706">
      <c r="D7706" s="143"/>
      <c r="E7706" s="143"/>
      <c r="F7706" s="143"/>
      <c r="G7706" s="143"/>
      <c r="H7706" s="143"/>
      <c r="I7706" s="143"/>
      <c r="J7706" s="143"/>
      <c r="K7706" s="143"/>
      <c r="L7706" s="143"/>
      <c r="M7706" s="143"/>
      <c r="N7706" s="143"/>
    </row>
    <row r="7707">
      <c r="D7707" s="144"/>
      <c r="E7707" s="144"/>
      <c r="F7707" s="144"/>
      <c r="G7707" s="144"/>
      <c r="H7707" s="144"/>
      <c r="I7707" s="144"/>
      <c r="J7707" s="144"/>
      <c r="K7707" s="144"/>
      <c r="L7707" s="144"/>
      <c r="M7707" s="144"/>
      <c r="N7707" s="144"/>
    </row>
    <row r="7708">
      <c r="D7708" s="143"/>
      <c r="E7708" s="143"/>
      <c r="F7708" s="143"/>
      <c r="G7708" s="143"/>
      <c r="H7708" s="143"/>
      <c r="I7708" s="143"/>
      <c r="J7708" s="143"/>
      <c r="K7708" s="143"/>
      <c r="L7708" s="143"/>
      <c r="M7708" s="143"/>
      <c r="N7708" s="143"/>
    </row>
    <row r="7709">
      <c r="D7709" s="144"/>
      <c r="E7709" s="144"/>
      <c r="F7709" s="144"/>
      <c r="G7709" s="144"/>
      <c r="H7709" s="144"/>
      <c r="I7709" s="144"/>
      <c r="J7709" s="144"/>
      <c r="K7709" s="144"/>
      <c r="L7709" s="144"/>
      <c r="M7709" s="144"/>
      <c r="N7709" s="144"/>
    </row>
    <row r="7710">
      <c r="D7710" s="143"/>
      <c r="E7710" s="143"/>
      <c r="F7710" s="143"/>
      <c r="G7710" s="143"/>
      <c r="H7710" s="143"/>
      <c r="I7710" s="143"/>
      <c r="J7710" s="143"/>
      <c r="K7710" s="143"/>
      <c r="L7710" s="143"/>
      <c r="M7710" s="143"/>
      <c r="N7710" s="143"/>
    </row>
    <row r="7711">
      <c r="D7711" s="144"/>
      <c r="E7711" s="144"/>
      <c r="F7711" s="144"/>
      <c r="G7711" s="144"/>
      <c r="H7711" s="144"/>
      <c r="I7711" s="144"/>
      <c r="J7711" s="144"/>
      <c r="K7711" s="144"/>
      <c r="L7711" s="144"/>
      <c r="M7711" s="144"/>
      <c r="N7711" s="144"/>
    </row>
    <row r="7712">
      <c r="D7712" s="143"/>
      <c r="E7712" s="143"/>
      <c r="F7712" s="143"/>
      <c r="G7712" s="143"/>
      <c r="H7712" s="143"/>
      <c r="I7712" s="143"/>
      <c r="J7712" s="143"/>
      <c r="K7712" s="143"/>
      <c r="L7712" s="143"/>
      <c r="M7712" s="143"/>
      <c r="N7712" s="143"/>
    </row>
    <row r="7713">
      <c r="D7713" s="144"/>
      <c r="E7713" s="144"/>
      <c r="F7713" s="144"/>
      <c r="G7713" s="144"/>
      <c r="H7713" s="144"/>
      <c r="I7713" s="144"/>
      <c r="J7713" s="144"/>
      <c r="K7713" s="144"/>
      <c r="L7713" s="144"/>
      <c r="M7713" s="144"/>
      <c r="N7713" s="144"/>
    </row>
    <row r="7714">
      <c r="D7714" s="143"/>
      <c r="E7714" s="143"/>
      <c r="F7714" s="143"/>
      <c r="G7714" s="143"/>
      <c r="H7714" s="143"/>
      <c r="I7714" s="143"/>
      <c r="J7714" s="143"/>
      <c r="K7714" s="143"/>
      <c r="L7714" s="143"/>
      <c r="M7714" s="143"/>
      <c r="N7714" s="143"/>
    </row>
    <row r="7715">
      <c r="D7715" s="144"/>
      <c r="E7715" s="144"/>
      <c r="F7715" s="144"/>
      <c r="G7715" s="144"/>
      <c r="H7715" s="144"/>
      <c r="I7715" s="144"/>
      <c r="J7715" s="144"/>
      <c r="K7715" s="144"/>
      <c r="L7715" s="144"/>
      <c r="M7715" s="144"/>
      <c r="N7715" s="144"/>
    </row>
    <row r="7716">
      <c r="D7716" s="143"/>
      <c r="E7716" s="143"/>
      <c r="F7716" s="143"/>
      <c r="G7716" s="143"/>
      <c r="H7716" s="143"/>
      <c r="I7716" s="143"/>
      <c r="J7716" s="143"/>
      <c r="K7716" s="143"/>
      <c r="L7716" s="143"/>
      <c r="M7716" s="143"/>
      <c r="N7716" s="143"/>
    </row>
    <row r="7717">
      <c r="D7717" s="144"/>
      <c r="E7717" s="144"/>
      <c r="F7717" s="144"/>
      <c r="G7717" s="144"/>
      <c r="H7717" s="144"/>
      <c r="I7717" s="144"/>
      <c r="J7717" s="144"/>
      <c r="K7717" s="144"/>
      <c r="L7717" s="144"/>
      <c r="M7717" s="144"/>
      <c r="N7717" s="144"/>
    </row>
    <row r="7718">
      <c r="D7718" s="143"/>
      <c r="E7718" s="143"/>
      <c r="F7718" s="143"/>
      <c r="G7718" s="143"/>
      <c r="H7718" s="143"/>
      <c r="I7718" s="143"/>
      <c r="J7718" s="143"/>
      <c r="K7718" s="143"/>
      <c r="L7718" s="143"/>
      <c r="M7718" s="143"/>
      <c r="N7718" s="143"/>
    </row>
    <row r="7719">
      <c r="D7719" s="144"/>
      <c r="E7719" s="144"/>
      <c r="F7719" s="144"/>
      <c r="G7719" s="144"/>
      <c r="H7719" s="144"/>
      <c r="I7719" s="144"/>
      <c r="J7719" s="144"/>
      <c r="K7719" s="144"/>
      <c r="L7719" s="144"/>
      <c r="M7719" s="144"/>
      <c r="N7719" s="144"/>
    </row>
    <row r="7720">
      <c r="D7720" s="143"/>
      <c r="E7720" s="143"/>
      <c r="F7720" s="143"/>
      <c r="G7720" s="143"/>
      <c r="H7720" s="143"/>
      <c r="I7720" s="143"/>
      <c r="J7720" s="143"/>
      <c r="K7720" s="143"/>
      <c r="L7720" s="143"/>
      <c r="M7720" s="143"/>
      <c r="N7720" s="143"/>
    </row>
    <row r="7721">
      <c r="D7721" s="144"/>
      <c r="E7721" s="144"/>
      <c r="F7721" s="144"/>
      <c r="G7721" s="144"/>
      <c r="H7721" s="144"/>
      <c r="I7721" s="144"/>
      <c r="J7721" s="144"/>
      <c r="K7721" s="144"/>
      <c r="L7721" s="144"/>
      <c r="M7721" s="144"/>
      <c r="N7721" s="144"/>
    </row>
    <row r="7722">
      <c r="D7722" s="143"/>
      <c r="E7722" s="143"/>
      <c r="F7722" s="143"/>
      <c r="G7722" s="143"/>
      <c r="H7722" s="143"/>
      <c r="I7722" s="143"/>
      <c r="J7722" s="143"/>
      <c r="K7722" s="143"/>
      <c r="L7722" s="143"/>
      <c r="M7722" s="143"/>
      <c r="N7722" s="143"/>
    </row>
    <row r="7723">
      <c r="D7723" s="144"/>
      <c r="E7723" s="144"/>
      <c r="F7723" s="144"/>
      <c r="G7723" s="144"/>
      <c r="H7723" s="144"/>
      <c r="I7723" s="144"/>
      <c r="J7723" s="144"/>
      <c r="K7723" s="144"/>
      <c r="L7723" s="144"/>
      <c r="M7723" s="144"/>
      <c r="N7723" s="144"/>
    </row>
    <row r="7724">
      <c r="D7724" s="143"/>
      <c r="E7724" s="143"/>
      <c r="F7724" s="143"/>
      <c r="G7724" s="143"/>
      <c r="H7724" s="143"/>
      <c r="I7724" s="143"/>
      <c r="J7724" s="143"/>
      <c r="K7724" s="143"/>
      <c r="L7724" s="143"/>
      <c r="M7724" s="143"/>
      <c r="N7724" s="143"/>
    </row>
    <row r="7725">
      <c r="D7725" s="144"/>
      <c r="E7725" s="144"/>
      <c r="F7725" s="144"/>
      <c r="G7725" s="144"/>
      <c r="H7725" s="144"/>
      <c r="I7725" s="144"/>
      <c r="J7725" s="144"/>
      <c r="K7725" s="144"/>
      <c r="L7725" s="144"/>
      <c r="M7725" s="144"/>
      <c r="N7725" s="144"/>
    </row>
    <row r="7726">
      <c r="D7726" s="143"/>
      <c r="E7726" s="143"/>
      <c r="F7726" s="143"/>
      <c r="G7726" s="143"/>
      <c r="H7726" s="143"/>
      <c r="I7726" s="143"/>
      <c r="J7726" s="143"/>
      <c r="K7726" s="143"/>
      <c r="L7726" s="143"/>
      <c r="M7726" s="143"/>
      <c r="N7726" s="143"/>
    </row>
    <row r="7727">
      <c r="D7727" s="144"/>
      <c r="E7727" s="144"/>
      <c r="F7727" s="144"/>
      <c r="G7727" s="144"/>
      <c r="H7727" s="144"/>
      <c r="I7727" s="144"/>
      <c r="J7727" s="144"/>
      <c r="K7727" s="144"/>
      <c r="L7727" s="144"/>
      <c r="M7727" s="144"/>
      <c r="N7727" s="144"/>
    </row>
    <row r="7728">
      <c r="D7728" s="143"/>
      <c r="E7728" s="143"/>
      <c r="F7728" s="143"/>
      <c r="G7728" s="143"/>
      <c r="H7728" s="143"/>
      <c r="I7728" s="143"/>
      <c r="J7728" s="143"/>
      <c r="K7728" s="143"/>
      <c r="L7728" s="143"/>
      <c r="M7728" s="143"/>
      <c r="N7728" s="143"/>
    </row>
    <row r="7729">
      <c r="D7729" s="144"/>
      <c r="E7729" s="144"/>
      <c r="F7729" s="144"/>
      <c r="G7729" s="144"/>
      <c r="H7729" s="144"/>
      <c r="I7729" s="144"/>
      <c r="J7729" s="144"/>
      <c r="K7729" s="144"/>
      <c r="L7729" s="144"/>
      <c r="M7729" s="144"/>
      <c r="N7729" s="144"/>
    </row>
    <row r="7730">
      <c r="D7730" s="143"/>
      <c r="E7730" s="143"/>
      <c r="F7730" s="143"/>
      <c r="G7730" s="143"/>
      <c r="H7730" s="143"/>
      <c r="I7730" s="143"/>
      <c r="J7730" s="143"/>
      <c r="K7730" s="143"/>
      <c r="L7730" s="143"/>
      <c r="M7730" s="143"/>
      <c r="N7730" s="143"/>
    </row>
    <row r="7731">
      <c r="D7731" s="144"/>
      <c r="E7731" s="144"/>
      <c r="F7731" s="144"/>
      <c r="G7731" s="144"/>
      <c r="H7731" s="144"/>
      <c r="I7731" s="144"/>
      <c r="J7731" s="144"/>
      <c r="K7731" s="144"/>
      <c r="L7731" s="144"/>
      <c r="M7731" s="144"/>
      <c r="N7731" s="144"/>
    </row>
    <row r="7732">
      <c r="D7732" s="143"/>
      <c r="E7732" s="143"/>
      <c r="F7732" s="143"/>
      <c r="G7732" s="143"/>
      <c r="H7732" s="143"/>
      <c r="I7732" s="143"/>
      <c r="J7732" s="143"/>
      <c r="K7732" s="143"/>
      <c r="L7732" s="143"/>
      <c r="M7732" s="143"/>
      <c r="N7732" s="143"/>
    </row>
    <row r="7733">
      <c r="D7733" s="144"/>
      <c r="E7733" s="144"/>
      <c r="F7733" s="144"/>
      <c r="G7733" s="144"/>
      <c r="H7733" s="144"/>
      <c r="I7733" s="144"/>
      <c r="J7733" s="144"/>
      <c r="K7733" s="144"/>
      <c r="L7733" s="144"/>
      <c r="M7733" s="144"/>
      <c r="N7733" s="144"/>
    </row>
    <row r="7734">
      <c r="D7734" s="143"/>
      <c r="E7734" s="143"/>
      <c r="F7734" s="143"/>
      <c r="G7734" s="143"/>
      <c r="H7734" s="143"/>
      <c r="I7734" s="143"/>
      <c r="J7734" s="143"/>
      <c r="K7734" s="143"/>
      <c r="L7734" s="143"/>
      <c r="M7734" s="143"/>
      <c r="N7734" s="143"/>
    </row>
    <row r="7735">
      <c r="D7735" s="144"/>
      <c r="E7735" s="144"/>
      <c r="F7735" s="144"/>
      <c r="G7735" s="144"/>
      <c r="H7735" s="144"/>
      <c r="I7735" s="144"/>
      <c r="J7735" s="144"/>
      <c r="K7735" s="144"/>
      <c r="L7735" s="144"/>
      <c r="M7735" s="144"/>
      <c r="N7735" s="144"/>
    </row>
    <row r="7736">
      <c r="D7736" s="143"/>
      <c r="E7736" s="143"/>
      <c r="F7736" s="143"/>
      <c r="G7736" s="143"/>
      <c r="H7736" s="143"/>
      <c r="I7736" s="143"/>
      <c r="J7736" s="143"/>
      <c r="K7736" s="143"/>
      <c r="L7736" s="143"/>
      <c r="M7736" s="143"/>
      <c r="N7736" s="143"/>
    </row>
    <row r="7737">
      <c r="D7737" s="144"/>
      <c r="E7737" s="144"/>
      <c r="F7737" s="144"/>
      <c r="G7737" s="144"/>
      <c r="H7737" s="144"/>
      <c r="I7737" s="144"/>
      <c r="J7737" s="144"/>
      <c r="K7737" s="144"/>
      <c r="L7737" s="144"/>
      <c r="M7737" s="144"/>
      <c r="N7737" s="144"/>
    </row>
    <row r="7738">
      <c r="D7738" s="143"/>
      <c r="E7738" s="143"/>
      <c r="F7738" s="143"/>
      <c r="G7738" s="143"/>
      <c r="H7738" s="143"/>
      <c r="I7738" s="143"/>
      <c r="J7738" s="143"/>
      <c r="K7738" s="143"/>
      <c r="L7738" s="143"/>
      <c r="M7738" s="143"/>
      <c r="N7738" s="143"/>
    </row>
    <row r="7739">
      <c r="D7739" s="144"/>
      <c r="E7739" s="144"/>
      <c r="F7739" s="144"/>
      <c r="G7739" s="144"/>
      <c r="H7739" s="144"/>
      <c r="I7739" s="144"/>
      <c r="J7739" s="144"/>
      <c r="K7739" s="144"/>
      <c r="L7739" s="144"/>
      <c r="M7739" s="144"/>
      <c r="N7739" s="144"/>
    </row>
    <row r="7740">
      <c r="D7740" s="143"/>
      <c r="E7740" s="143"/>
      <c r="F7740" s="143"/>
      <c r="G7740" s="143"/>
      <c r="H7740" s="143"/>
      <c r="I7740" s="143"/>
      <c r="J7740" s="143"/>
      <c r="K7740" s="143"/>
      <c r="L7740" s="143"/>
      <c r="M7740" s="143"/>
      <c r="N7740" s="143"/>
    </row>
    <row r="7741">
      <c r="D7741" s="144"/>
      <c r="E7741" s="144"/>
      <c r="F7741" s="144"/>
      <c r="G7741" s="144"/>
      <c r="H7741" s="144"/>
      <c r="I7741" s="144"/>
      <c r="J7741" s="144"/>
      <c r="K7741" s="144"/>
      <c r="L7741" s="144"/>
      <c r="M7741" s="144"/>
      <c r="N7741" s="144"/>
    </row>
    <row r="7742">
      <c r="D7742" s="143"/>
      <c r="E7742" s="143"/>
      <c r="F7742" s="143"/>
      <c r="G7742" s="143"/>
      <c r="H7742" s="143"/>
      <c r="I7742" s="143"/>
      <c r="J7742" s="143"/>
      <c r="K7742" s="143"/>
      <c r="L7742" s="143"/>
      <c r="M7742" s="143"/>
      <c r="N7742" s="143"/>
    </row>
    <row r="7743">
      <c r="D7743" s="144"/>
      <c r="E7743" s="144"/>
      <c r="F7743" s="144"/>
      <c r="G7743" s="144"/>
      <c r="H7743" s="144"/>
      <c r="I7743" s="144"/>
      <c r="J7743" s="144"/>
      <c r="K7743" s="144"/>
      <c r="L7743" s="144"/>
      <c r="M7743" s="144"/>
      <c r="N7743" s="144"/>
    </row>
    <row r="7744">
      <c r="D7744" s="143"/>
      <c r="E7744" s="143"/>
      <c r="F7744" s="143"/>
      <c r="G7744" s="143"/>
      <c r="H7744" s="143"/>
      <c r="I7744" s="143"/>
      <c r="J7744" s="143"/>
      <c r="K7744" s="143"/>
      <c r="L7744" s="143"/>
      <c r="M7744" s="143"/>
      <c r="N7744" s="143"/>
    </row>
    <row r="7745">
      <c r="D7745" s="144"/>
      <c r="E7745" s="144"/>
      <c r="F7745" s="144"/>
      <c r="G7745" s="144"/>
      <c r="H7745" s="144"/>
      <c r="I7745" s="144"/>
      <c r="J7745" s="144"/>
      <c r="K7745" s="144"/>
      <c r="L7745" s="144"/>
      <c r="M7745" s="144"/>
      <c r="N7745" s="144"/>
    </row>
    <row r="7746">
      <c r="D7746" s="143"/>
      <c r="E7746" s="143"/>
      <c r="F7746" s="143"/>
      <c r="G7746" s="143"/>
      <c r="H7746" s="143"/>
      <c r="I7746" s="143"/>
      <c r="J7746" s="143"/>
      <c r="K7746" s="143"/>
      <c r="L7746" s="143"/>
      <c r="M7746" s="143"/>
      <c r="N7746" s="143"/>
    </row>
    <row r="7747">
      <c r="D7747" s="144"/>
      <c r="E7747" s="144"/>
      <c r="F7747" s="144"/>
      <c r="G7747" s="144"/>
      <c r="H7747" s="144"/>
      <c r="I7747" s="144"/>
      <c r="J7747" s="144"/>
      <c r="K7747" s="144"/>
      <c r="L7747" s="144"/>
      <c r="M7747" s="144"/>
      <c r="N7747" s="144"/>
    </row>
    <row r="7748">
      <c r="D7748" s="143"/>
      <c r="E7748" s="143"/>
      <c r="F7748" s="143"/>
      <c r="G7748" s="143"/>
      <c r="H7748" s="143"/>
      <c r="I7748" s="143"/>
      <c r="J7748" s="143"/>
      <c r="K7748" s="143"/>
      <c r="L7748" s="143"/>
      <c r="M7748" s="143"/>
      <c r="N7748" s="143"/>
    </row>
    <row r="7749">
      <c r="D7749" s="144"/>
      <c r="E7749" s="144"/>
      <c r="F7749" s="144"/>
      <c r="G7749" s="144"/>
      <c r="H7749" s="144"/>
      <c r="I7749" s="144"/>
      <c r="J7749" s="144"/>
      <c r="K7749" s="144"/>
      <c r="L7749" s="144"/>
      <c r="M7749" s="144"/>
      <c r="N7749" s="144"/>
    </row>
    <row r="7750">
      <c r="D7750" s="143"/>
      <c r="E7750" s="143"/>
      <c r="F7750" s="143"/>
      <c r="G7750" s="143"/>
      <c r="H7750" s="143"/>
      <c r="I7750" s="143"/>
      <c r="J7750" s="143"/>
      <c r="K7750" s="143"/>
      <c r="L7750" s="143"/>
      <c r="M7750" s="143"/>
      <c r="N7750" s="143"/>
    </row>
    <row r="7751">
      <c r="D7751" s="144"/>
      <c r="E7751" s="144"/>
      <c r="F7751" s="144"/>
      <c r="G7751" s="144"/>
      <c r="H7751" s="144"/>
      <c r="I7751" s="144"/>
      <c r="J7751" s="144"/>
      <c r="K7751" s="144"/>
      <c r="L7751" s="144"/>
      <c r="M7751" s="144"/>
      <c r="N7751" s="144"/>
    </row>
    <row r="7752">
      <c r="D7752" s="143"/>
      <c r="E7752" s="143"/>
      <c r="F7752" s="143"/>
      <c r="G7752" s="143"/>
      <c r="H7752" s="143"/>
      <c r="I7752" s="143"/>
      <c r="J7752" s="143"/>
      <c r="K7752" s="143"/>
      <c r="L7752" s="143"/>
      <c r="M7752" s="143"/>
      <c r="N7752" s="143"/>
    </row>
    <row r="7753">
      <c r="D7753" s="144"/>
      <c r="E7753" s="144"/>
      <c r="F7753" s="144"/>
      <c r="G7753" s="144"/>
      <c r="H7753" s="144"/>
      <c r="I7753" s="144"/>
      <c r="J7753" s="144"/>
      <c r="K7753" s="144"/>
      <c r="L7753" s="144"/>
      <c r="M7753" s="144"/>
      <c r="N7753" s="144"/>
    </row>
    <row r="7754">
      <c r="D7754" s="143"/>
      <c r="E7754" s="143"/>
      <c r="F7754" s="143"/>
      <c r="G7754" s="143"/>
      <c r="H7754" s="143"/>
      <c r="I7754" s="143"/>
      <c r="J7754" s="143"/>
      <c r="K7754" s="143"/>
      <c r="L7754" s="143"/>
      <c r="M7754" s="143"/>
      <c r="N7754" s="143"/>
    </row>
    <row r="7755">
      <c r="D7755" s="144"/>
      <c r="E7755" s="144"/>
      <c r="F7755" s="144"/>
      <c r="G7755" s="144"/>
      <c r="H7755" s="144"/>
      <c r="I7755" s="144"/>
      <c r="J7755" s="144"/>
      <c r="K7755" s="144"/>
      <c r="L7755" s="144"/>
      <c r="M7755" s="144"/>
      <c r="N7755" s="144"/>
    </row>
    <row r="7756">
      <c r="D7756" s="143"/>
      <c r="E7756" s="143"/>
      <c r="F7756" s="143"/>
      <c r="G7756" s="143"/>
      <c r="H7756" s="143"/>
      <c r="I7756" s="143"/>
      <c r="J7756" s="143"/>
      <c r="K7756" s="143"/>
      <c r="L7756" s="143"/>
      <c r="M7756" s="143"/>
      <c r="N7756" s="143"/>
    </row>
    <row r="7757">
      <c r="D7757" s="144"/>
      <c r="E7757" s="144"/>
      <c r="F7757" s="144"/>
      <c r="G7757" s="144"/>
      <c r="H7757" s="144"/>
      <c r="I7757" s="144"/>
      <c r="J7757" s="144"/>
      <c r="K7757" s="144"/>
      <c r="L7757" s="144"/>
      <c r="M7757" s="144"/>
      <c r="N7757" s="144"/>
    </row>
    <row r="7758">
      <c r="D7758" s="143"/>
      <c r="E7758" s="143"/>
      <c r="F7758" s="143"/>
      <c r="G7758" s="143"/>
      <c r="H7758" s="143"/>
      <c r="I7758" s="143"/>
      <c r="J7758" s="143"/>
      <c r="K7758" s="143"/>
      <c r="L7758" s="143"/>
      <c r="M7758" s="143"/>
      <c r="N7758" s="143"/>
    </row>
    <row r="7759">
      <c r="D7759" s="144"/>
      <c r="E7759" s="144"/>
      <c r="F7759" s="144"/>
      <c r="G7759" s="144"/>
      <c r="H7759" s="144"/>
      <c r="I7759" s="144"/>
      <c r="J7759" s="144"/>
      <c r="K7759" s="144"/>
      <c r="L7759" s="144"/>
      <c r="M7759" s="144"/>
      <c r="N7759" s="144"/>
    </row>
    <row r="7760">
      <c r="D7760" s="143"/>
      <c r="E7760" s="143"/>
      <c r="F7760" s="143"/>
      <c r="G7760" s="143"/>
      <c r="H7760" s="143"/>
      <c r="I7760" s="143"/>
      <c r="J7760" s="143"/>
      <c r="K7760" s="143"/>
      <c r="L7760" s="143"/>
      <c r="M7760" s="143"/>
      <c r="N7760" s="143"/>
    </row>
    <row r="7761">
      <c r="D7761" s="144"/>
      <c r="E7761" s="144"/>
      <c r="F7761" s="144"/>
      <c r="G7761" s="144"/>
      <c r="H7761" s="144"/>
      <c r="I7761" s="144"/>
      <c r="J7761" s="144"/>
      <c r="K7761" s="144"/>
      <c r="L7761" s="144"/>
      <c r="M7761" s="144"/>
      <c r="N7761" s="144"/>
    </row>
    <row r="7762">
      <c r="D7762" s="143"/>
      <c r="E7762" s="143"/>
      <c r="F7762" s="143"/>
      <c r="G7762" s="143"/>
      <c r="H7762" s="143"/>
      <c r="I7762" s="143"/>
      <c r="J7762" s="143"/>
      <c r="K7762" s="143"/>
      <c r="L7762" s="143"/>
      <c r="M7762" s="143"/>
      <c r="N7762" s="143"/>
    </row>
    <row r="7763">
      <c r="D7763" s="144"/>
      <c r="E7763" s="144"/>
      <c r="F7763" s="144"/>
      <c r="G7763" s="144"/>
      <c r="H7763" s="144"/>
      <c r="I7763" s="144"/>
      <c r="J7763" s="144"/>
      <c r="K7763" s="144"/>
      <c r="L7763" s="144"/>
      <c r="M7763" s="144"/>
      <c r="N7763" s="144"/>
    </row>
    <row r="7764">
      <c r="D7764" s="143"/>
      <c r="E7764" s="143"/>
      <c r="F7764" s="143"/>
      <c r="G7764" s="143"/>
      <c r="H7764" s="143"/>
      <c r="I7764" s="143"/>
      <c r="J7764" s="143"/>
      <c r="K7764" s="143"/>
      <c r="L7764" s="143"/>
      <c r="M7764" s="143"/>
      <c r="N7764" s="143"/>
    </row>
    <row r="7765">
      <c r="D7765" s="144"/>
      <c r="E7765" s="144"/>
      <c r="F7765" s="144"/>
      <c r="G7765" s="144"/>
      <c r="H7765" s="144"/>
      <c r="I7765" s="144"/>
      <c r="J7765" s="144"/>
      <c r="K7765" s="144"/>
      <c r="L7765" s="144"/>
      <c r="M7765" s="144"/>
      <c r="N7765" s="144"/>
    </row>
    <row r="7766">
      <c r="D7766" s="143"/>
      <c r="E7766" s="143"/>
      <c r="F7766" s="143"/>
      <c r="G7766" s="143"/>
      <c r="H7766" s="143"/>
      <c r="I7766" s="143"/>
      <c r="J7766" s="143"/>
      <c r="K7766" s="143"/>
      <c r="L7766" s="143"/>
      <c r="M7766" s="143"/>
      <c r="N7766" s="143"/>
    </row>
    <row r="7767">
      <c r="D7767" s="144"/>
      <c r="E7767" s="144"/>
      <c r="F7767" s="144"/>
      <c r="G7767" s="144"/>
      <c r="H7767" s="144"/>
      <c r="I7767" s="144"/>
      <c r="J7767" s="144"/>
      <c r="K7767" s="144"/>
      <c r="L7767" s="144"/>
      <c r="M7767" s="144"/>
      <c r="N7767" s="144"/>
    </row>
    <row r="7768">
      <c r="D7768" s="143"/>
      <c r="E7768" s="143"/>
      <c r="F7768" s="143"/>
      <c r="G7768" s="143"/>
      <c r="H7768" s="143"/>
      <c r="I7768" s="143"/>
      <c r="J7768" s="143"/>
      <c r="K7768" s="143"/>
      <c r="L7768" s="143"/>
      <c r="M7768" s="143"/>
      <c r="N7768" s="143"/>
    </row>
    <row r="7769">
      <c r="D7769" s="144"/>
      <c r="E7769" s="144"/>
      <c r="F7769" s="144"/>
      <c r="G7769" s="144"/>
      <c r="H7769" s="144"/>
      <c r="I7769" s="144"/>
      <c r="J7769" s="144"/>
      <c r="K7769" s="144"/>
      <c r="L7769" s="144"/>
      <c r="M7769" s="144"/>
      <c r="N7769" s="144"/>
    </row>
    <row r="7770">
      <c r="D7770" s="143"/>
      <c r="E7770" s="143"/>
      <c r="F7770" s="143"/>
      <c r="G7770" s="143"/>
      <c r="H7770" s="143"/>
      <c r="I7770" s="143"/>
      <c r="J7770" s="143"/>
      <c r="K7770" s="143"/>
      <c r="L7770" s="143"/>
      <c r="M7770" s="143"/>
      <c r="N7770" s="143"/>
    </row>
    <row r="7771">
      <c r="D7771" s="144"/>
      <c r="E7771" s="144"/>
      <c r="F7771" s="144"/>
      <c r="G7771" s="144"/>
      <c r="H7771" s="144"/>
      <c r="I7771" s="144"/>
      <c r="J7771" s="144"/>
      <c r="K7771" s="144"/>
      <c r="L7771" s="144"/>
      <c r="M7771" s="144"/>
      <c r="N7771" s="144"/>
    </row>
    <row r="7772">
      <c r="D7772" s="143"/>
      <c r="E7772" s="143"/>
      <c r="F7772" s="143"/>
      <c r="G7772" s="143"/>
      <c r="H7772" s="143"/>
      <c r="I7772" s="143"/>
      <c r="J7772" s="143"/>
      <c r="K7772" s="143"/>
      <c r="L7772" s="143"/>
      <c r="M7772" s="143"/>
      <c r="N7772" s="143"/>
    </row>
    <row r="7773">
      <c r="D7773" s="144"/>
      <c r="E7773" s="144"/>
      <c r="F7773" s="144"/>
      <c r="G7773" s="144"/>
      <c r="H7773" s="144"/>
      <c r="I7773" s="144"/>
      <c r="J7773" s="144"/>
      <c r="K7773" s="144"/>
      <c r="L7773" s="144"/>
      <c r="M7773" s="144"/>
      <c r="N7773" s="144"/>
    </row>
    <row r="7774">
      <c r="D7774" s="143"/>
      <c r="E7774" s="143"/>
      <c r="F7774" s="143"/>
      <c r="G7774" s="143"/>
      <c r="H7774" s="143"/>
      <c r="I7774" s="143"/>
      <c r="J7774" s="143"/>
      <c r="K7774" s="143"/>
      <c r="L7774" s="143"/>
      <c r="M7774" s="143"/>
      <c r="N7774" s="143"/>
    </row>
    <row r="7775">
      <c r="D7775" s="144"/>
      <c r="E7775" s="144"/>
      <c r="F7775" s="144"/>
      <c r="G7775" s="144"/>
      <c r="H7775" s="144"/>
      <c r="I7775" s="144"/>
      <c r="J7775" s="144"/>
      <c r="K7775" s="144"/>
      <c r="L7775" s="144"/>
      <c r="M7775" s="144"/>
      <c r="N7775" s="144"/>
    </row>
    <row r="7776">
      <c r="D7776" s="143"/>
      <c r="E7776" s="143"/>
      <c r="F7776" s="143"/>
      <c r="G7776" s="143"/>
      <c r="H7776" s="143"/>
      <c r="I7776" s="143"/>
      <c r="J7776" s="143"/>
      <c r="K7776" s="143"/>
      <c r="L7776" s="143"/>
      <c r="M7776" s="143"/>
      <c r="N7776" s="143"/>
    </row>
    <row r="7777">
      <c r="D7777" s="144"/>
      <c r="E7777" s="144"/>
      <c r="F7777" s="144"/>
      <c r="G7777" s="144"/>
      <c r="H7777" s="144"/>
      <c r="I7777" s="144"/>
      <c r="J7777" s="144"/>
      <c r="K7777" s="144"/>
      <c r="L7777" s="144"/>
      <c r="M7777" s="144"/>
      <c r="N7777" s="144"/>
    </row>
    <row r="7778">
      <c r="D7778" s="143"/>
      <c r="E7778" s="143"/>
      <c r="F7778" s="143"/>
      <c r="G7778" s="143"/>
      <c r="H7778" s="143"/>
      <c r="I7778" s="143"/>
      <c r="J7778" s="143"/>
      <c r="K7778" s="143"/>
      <c r="L7778" s="143"/>
      <c r="M7778" s="143"/>
      <c r="N7778" s="143"/>
    </row>
    <row r="7779">
      <c r="D7779" s="144"/>
      <c r="E7779" s="144"/>
      <c r="F7779" s="144"/>
      <c r="G7779" s="144"/>
      <c r="H7779" s="144"/>
      <c r="I7779" s="144"/>
      <c r="J7779" s="144"/>
      <c r="K7779" s="144"/>
      <c r="L7779" s="144"/>
      <c r="M7779" s="144"/>
      <c r="N7779" s="144"/>
    </row>
    <row r="7780">
      <c r="D7780" s="143"/>
      <c r="E7780" s="143"/>
      <c r="F7780" s="143"/>
      <c r="G7780" s="143"/>
      <c r="H7780" s="143"/>
      <c r="I7780" s="143"/>
      <c r="J7780" s="143"/>
      <c r="K7780" s="143"/>
      <c r="L7780" s="143"/>
      <c r="M7780" s="143"/>
      <c r="N7780" s="143"/>
    </row>
    <row r="7781">
      <c r="D7781" s="144"/>
      <c r="E7781" s="144"/>
      <c r="F7781" s="144"/>
      <c r="G7781" s="144"/>
      <c r="H7781" s="144"/>
      <c r="I7781" s="144"/>
      <c r="J7781" s="144"/>
      <c r="K7781" s="144"/>
      <c r="L7781" s="144"/>
      <c r="M7781" s="144"/>
      <c r="N7781" s="144"/>
    </row>
    <row r="7782">
      <c r="D7782" s="143"/>
      <c r="E7782" s="143"/>
      <c r="F7782" s="143"/>
      <c r="G7782" s="143"/>
      <c r="H7782" s="143"/>
      <c r="I7782" s="143"/>
      <c r="J7782" s="143"/>
      <c r="K7782" s="143"/>
      <c r="L7782" s="143"/>
      <c r="M7782" s="143"/>
      <c r="N7782" s="143"/>
    </row>
    <row r="7783">
      <c r="D7783" s="144"/>
      <c r="E7783" s="144"/>
      <c r="F7783" s="144"/>
      <c r="G7783" s="144"/>
      <c r="H7783" s="144"/>
      <c r="I7783" s="144"/>
      <c r="J7783" s="144"/>
      <c r="K7783" s="144"/>
      <c r="L7783" s="144"/>
      <c r="M7783" s="144"/>
      <c r="N7783" s="144"/>
    </row>
    <row r="7784">
      <c r="D7784" s="143"/>
      <c r="E7784" s="143"/>
      <c r="F7784" s="143"/>
      <c r="G7784" s="143"/>
      <c r="H7784" s="143"/>
      <c r="I7784" s="143"/>
      <c r="J7784" s="143"/>
      <c r="K7784" s="143"/>
      <c r="L7784" s="143"/>
      <c r="M7784" s="143"/>
      <c r="N7784" s="143"/>
    </row>
    <row r="7785">
      <c r="D7785" s="144"/>
      <c r="E7785" s="144"/>
      <c r="F7785" s="144"/>
      <c r="G7785" s="144"/>
      <c r="H7785" s="144"/>
      <c r="I7785" s="144"/>
      <c r="J7785" s="144"/>
      <c r="K7785" s="144"/>
      <c r="L7785" s="144"/>
      <c r="M7785" s="144"/>
      <c r="N7785" s="144"/>
    </row>
    <row r="7786">
      <c r="D7786" s="143"/>
      <c r="E7786" s="143"/>
      <c r="F7786" s="143"/>
      <c r="G7786" s="143"/>
      <c r="H7786" s="143"/>
      <c r="I7786" s="143"/>
      <c r="J7786" s="143"/>
      <c r="K7786" s="143"/>
      <c r="L7786" s="143"/>
      <c r="M7786" s="143"/>
      <c r="N7786" s="143"/>
    </row>
    <row r="7787">
      <c r="D7787" s="144"/>
      <c r="E7787" s="144"/>
      <c r="F7787" s="144"/>
      <c r="G7787" s="144"/>
      <c r="H7787" s="144"/>
      <c r="I7787" s="144"/>
      <c r="J7787" s="144"/>
      <c r="K7787" s="144"/>
      <c r="L7787" s="144"/>
      <c r="M7787" s="144"/>
      <c r="N7787" s="144"/>
    </row>
    <row r="7788">
      <c r="D7788" s="143"/>
      <c r="E7788" s="143"/>
      <c r="F7788" s="143"/>
      <c r="G7788" s="143"/>
      <c r="H7788" s="143"/>
      <c r="I7788" s="143"/>
      <c r="J7788" s="143"/>
      <c r="K7788" s="143"/>
      <c r="L7788" s="143"/>
      <c r="M7788" s="143"/>
      <c r="N7788" s="143"/>
    </row>
    <row r="7789">
      <c r="D7789" s="144"/>
      <c r="E7789" s="144"/>
      <c r="F7789" s="144"/>
      <c r="G7789" s="144"/>
      <c r="H7789" s="144"/>
      <c r="I7789" s="144"/>
      <c r="J7789" s="144"/>
      <c r="K7789" s="144"/>
      <c r="L7789" s="144"/>
      <c r="M7789" s="144"/>
      <c r="N7789" s="144"/>
    </row>
    <row r="7790">
      <c r="D7790" s="143"/>
      <c r="E7790" s="143"/>
      <c r="F7790" s="143"/>
      <c r="G7790" s="143"/>
      <c r="H7790" s="143"/>
      <c r="I7790" s="143"/>
      <c r="J7790" s="143"/>
      <c r="K7790" s="143"/>
      <c r="L7790" s="143"/>
      <c r="M7790" s="143"/>
      <c r="N7790" s="143"/>
    </row>
    <row r="7791">
      <c r="D7791" s="144"/>
      <c r="E7791" s="144"/>
      <c r="F7791" s="144"/>
      <c r="G7791" s="144"/>
      <c r="H7791" s="144"/>
      <c r="I7791" s="144"/>
      <c r="J7791" s="144"/>
      <c r="K7791" s="144"/>
      <c r="L7791" s="144"/>
      <c r="M7791" s="144"/>
      <c r="N7791" s="144"/>
    </row>
    <row r="7792">
      <c r="D7792" s="143"/>
      <c r="E7792" s="143"/>
      <c r="F7792" s="143"/>
      <c r="G7792" s="143"/>
      <c r="H7792" s="143"/>
      <c r="I7792" s="143"/>
      <c r="J7792" s="143"/>
      <c r="K7792" s="143"/>
      <c r="L7792" s="143"/>
      <c r="M7792" s="143"/>
      <c r="N7792" s="143"/>
    </row>
    <row r="7793">
      <c r="D7793" s="144"/>
      <c r="E7793" s="144"/>
      <c r="F7793" s="144"/>
      <c r="G7793" s="144"/>
      <c r="H7793" s="144"/>
      <c r="I7793" s="144"/>
      <c r="J7793" s="144"/>
      <c r="K7793" s="144"/>
      <c r="L7793" s="144"/>
      <c r="M7793" s="144"/>
      <c r="N7793" s="144"/>
    </row>
    <row r="7794">
      <c r="D7794" s="143"/>
      <c r="E7794" s="143"/>
      <c r="F7794" s="143"/>
      <c r="G7794" s="143"/>
      <c r="H7794" s="143"/>
      <c r="I7794" s="143"/>
      <c r="J7794" s="143"/>
      <c r="K7794" s="143"/>
      <c r="L7794" s="143"/>
      <c r="M7794" s="143"/>
      <c r="N7794" s="143"/>
    </row>
    <row r="7795">
      <c r="D7795" s="144"/>
      <c r="E7795" s="144"/>
      <c r="F7795" s="144"/>
      <c r="G7795" s="144"/>
      <c r="H7795" s="144"/>
      <c r="I7795" s="144"/>
      <c r="J7795" s="144"/>
      <c r="K7795" s="144"/>
      <c r="L7795" s="144"/>
      <c r="M7795" s="144"/>
      <c r="N7795" s="144"/>
    </row>
    <row r="7796">
      <c r="D7796" s="143"/>
      <c r="E7796" s="143"/>
      <c r="F7796" s="143"/>
      <c r="G7796" s="143"/>
      <c r="H7796" s="143"/>
      <c r="I7796" s="143"/>
      <c r="J7796" s="143"/>
      <c r="K7796" s="143"/>
      <c r="L7796" s="143"/>
      <c r="M7796" s="143"/>
      <c r="N7796" s="143"/>
    </row>
    <row r="7797">
      <c r="D7797" s="144"/>
      <c r="E7797" s="144"/>
      <c r="F7797" s="144"/>
      <c r="G7797" s="144"/>
      <c r="H7797" s="144"/>
      <c r="I7797" s="144"/>
      <c r="J7797" s="144"/>
      <c r="K7797" s="144"/>
      <c r="L7797" s="144"/>
      <c r="M7797" s="144"/>
      <c r="N7797" s="144"/>
    </row>
    <row r="7798">
      <c r="D7798" s="143"/>
      <c r="E7798" s="143"/>
      <c r="F7798" s="143"/>
      <c r="G7798" s="143"/>
      <c r="H7798" s="143"/>
      <c r="I7798" s="143"/>
      <c r="J7798" s="143"/>
      <c r="K7798" s="143"/>
      <c r="L7798" s="143"/>
      <c r="M7798" s="143"/>
      <c r="N7798" s="143"/>
    </row>
    <row r="7799">
      <c r="D7799" s="144"/>
      <c r="E7799" s="144"/>
      <c r="F7799" s="144"/>
      <c r="G7799" s="144"/>
      <c r="H7799" s="144"/>
      <c r="I7799" s="144"/>
      <c r="J7799" s="144"/>
      <c r="K7799" s="144"/>
      <c r="L7799" s="144"/>
      <c r="M7799" s="144"/>
      <c r="N7799" s="144"/>
    </row>
    <row r="7800">
      <c r="D7800" s="143"/>
      <c r="E7800" s="143"/>
      <c r="F7800" s="143"/>
      <c r="G7800" s="143"/>
      <c r="H7800" s="143"/>
      <c r="I7800" s="143"/>
      <c r="J7800" s="143"/>
      <c r="K7800" s="143"/>
      <c r="L7800" s="143"/>
      <c r="M7800" s="143"/>
      <c r="N7800" s="143"/>
    </row>
    <row r="7801">
      <c r="D7801" s="144"/>
      <c r="E7801" s="144"/>
      <c r="F7801" s="144"/>
      <c r="G7801" s="144"/>
      <c r="H7801" s="144"/>
      <c r="I7801" s="144"/>
      <c r="J7801" s="144"/>
      <c r="K7801" s="144"/>
      <c r="L7801" s="144"/>
      <c r="M7801" s="144"/>
      <c r="N7801" s="144"/>
    </row>
    <row r="7802">
      <c r="D7802" s="143"/>
      <c r="E7802" s="143"/>
      <c r="F7802" s="143"/>
      <c r="G7802" s="143"/>
      <c r="H7802" s="143"/>
      <c r="I7802" s="143"/>
      <c r="J7802" s="143"/>
      <c r="K7802" s="143"/>
      <c r="L7802" s="143"/>
      <c r="M7802" s="143"/>
      <c r="N7802" s="143"/>
    </row>
    <row r="7803">
      <c r="D7803" s="144"/>
      <c r="E7803" s="144"/>
      <c r="F7803" s="144"/>
      <c r="G7803" s="144"/>
      <c r="H7803" s="144"/>
      <c r="I7803" s="144"/>
      <c r="J7803" s="144"/>
      <c r="K7803" s="144"/>
      <c r="L7803" s="144"/>
      <c r="M7803" s="144"/>
      <c r="N7803" s="144"/>
    </row>
    <row r="7804">
      <c r="D7804" s="143"/>
      <c r="E7804" s="143"/>
      <c r="F7804" s="143"/>
      <c r="G7804" s="143"/>
      <c r="H7804" s="143"/>
      <c r="I7804" s="143"/>
      <c r="J7804" s="143"/>
      <c r="K7804" s="143"/>
      <c r="L7804" s="143"/>
      <c r="M7804" s="143"/>
      <c r="N7804" s="143"/>
    </row>
    <row r="7805">
      <c r="D7805" s="144"/>
      <c r="E7805" s="144"/>
      <c r="F7805" s="144"/>
      <c r="G7805" s="144"/>
      <c r="H7805" s="144"/>
      <c r="I7805" s="144"/>
      <c r="J7805" s="144"/>
      <c r="K7805" s="144"/>
      <c r="L7805" s="144"/>
      <c r="M7805" s="144"/>
      <c r="N7805" s="144"/>
    </row>
    <row r="7806">
      <c r="D7806" s="143"/>
      <c r="E7806" s="143"/>
      <c r="F7806" s="143"/>
      <c r="G7806" s="143"/>
      <c r="H7806" s="143"/>
      <c r="I7806" s="143"/>
      <c r="J7806" s="143"/>
      <c r="K7806" s="143"/>
      <c r="L7806" s="143"/>
      <c r="M7806" s="143"/>
      <c r="N7806" s="143"/>
    </row>
    <row r="7807">
      <c r="D7807" s="144"/>
      <c r="E7807" s="144"/>
      <c r="F7807" s="144"/>
      <c r="G7807" s="144"/>
      <c r="H7807" s="144"/>
      <c r="I7807" s="144"/>
      <c r="J7807" s="144"/>
      <c r="K7807" s="144"/>
      <c r="L7807" s="144"/>
      <c r="M7807" s="144"/>
      <c r="N7807" s="144"/>
    </row>
    <row r="7808">
      <c r="D7808" s="143"/>
      <c r="E7808" s="143"/>
      <c r="F7808" s="143"/>
      <c r="G7808" s="143"/>
      <c r="H7808" s="143"/>
      <c r="I7808" s="143"/>
      <c r="J7808" s="143"/>
      <c r="K7808" s="143"/>
      <c r="L7808" s="143"/>
      <c r="M7808" s="143"/>
      <c r="N7808" s="143"/>
    </row>
    <row r="7809">
      <c r="D7809" s="144"/>
      <c r="E7809" s="144"/>
      <c r="F7809" s="144"/>
      <c r="G7809" s="144"/>
      <c r="H7809" s="144"/>
      <c r="I7809" s="144"/>
      <c r="J7809" s="144"/>
      <c r="K7809" s="144"/>
      <c r="L7809" s="144"/>
      <c r="M7809" s="144"/>
      <c r="N7809" s="144"/>
    </row>
    <row r="7810">
      <c r="D7810" s="143"/>
      <c r="E7810" s="143"/>
      <c r="F7810" s="143"/>
      <c r="G7810" s="143"/>
      <c r="H7810" s="143"/>
      <c r="I7810" s="143"/>
      <c r="J7810" s="143"/>
      <c r="K7810" s="143"/>
      <c r="L7810" s="143"/>
      <c r="M7810" s="143"/>
      <c r="N7810" s="143"/>
    </row>
    <row r="7811">
      <c r="D7811" s="144"/>
      <c r="E7811" s="144"/>
      <c r="F7811" s="144"/>
      <c r="G7811" s="144"/>
      <c r="H7811" s="144"/>
      <c r="I7811" s="144"/>
      <c r="J7811" s="144"/>
      <c r="K7811" s="144"/>
      <c r="L7811" s="144"/>
      <c r="M7811" s="144"/>
      <c r="N7811" s="144"/>
    </row>
    <row r="7812">
      <c r="D7812" s="143"/>
      <c r="E7812" s="143"/>
      <c r="F7812" s="143"/>
      <c r="G7812" s="143"/>
      <c r="H7812" s="143"/>
      <c r="I7812" s="143"/>
      <c r="J7812" s="143"/>
      <c r="K7812" s="143"/>
      <c r="L7812" s="143"/>
      <c r="M7812" s="143"/>
      <c r="N7812" s="143"/>
    </row>
    <row r="7813">
      <c r="D7813" s="144"/>
      <c r="E7813" s="144"/>
      <c r="F7813" s="144"/>
      <c r="G7813" s="144"/>
      <c r="H7813" s="144"/>
      <c r="I7813" s="144"/>
      <c r="J7813" s="144"/>
      <c r="K7813" s="144"/>
      <c r="L7813" s="144"/>
      <c r="M7813" s="144"/>
      <c r="N7813" s="144"/>
    </row>
    <row r="7814">
      <c r="D7814" s="143"/>
      <c r="E7814" s="143"/>
      <c r="F7814" s="143"/>
      <c r="G7814" s="143"/>
      <c r="H7814" s="143"/>
      <c r="I7814" s="143"/>
      <c r="J7814" s="143"/>
      <c r="K7814" s="143"/>
      <c r="L7814" s="143"/>
      <c r="M7814" s="143"/>
      <c r="N7814" s="143"/>
    </row>
    <row r="7815">
      <c r="D7815" s="144"/>
      <c r="E7815" s="144"/>
      <c r="F7815" s="144"/>
      <c r="G7815" s="144"/>
      <c r="H7815" s="144"/>
      <c r="I7815" s="144"/>
      <c r="J7815" s="144"/>
      <c r="K7815" s="144"/>
      <c r="L7815" s="144"/>
      <c r="M7815" s="144"/>
      <c r="N7815" s="144"/>
    </row>
    <row r="7816">
      <c r="D7816" s="143"/>
      <c r="E7816" s="143"/>
      <c r="F7816" s="143"/>
      <c r="G7816" s="143"/>
      <c r="H7816" s="143"/>
      <c r="I7816" s="143"/>
      <c r="J7816" s="143"/>
      <c r="K7816" s="143"/>
      <c r="L7816" s="143"/>
      <c r="M7816" s="143"/>
      <c r="N7816" s="143"/>
    </row>
    <row r="7817">
      <c r="D7817" s="144"/>
      <c r="E7817" s="144"/>
      <c r="F7817" s="144"/>
      <c r="G7817" s="144"/>
      <c r="H7817" s="144"/>
      <c r="I7817" s="144"/>
      <c r="J7817" s="144"/>
      <c r="K7817" s="144"/>
      <c r="L7817" s="144"/>
      <c r="M7817" s="144"/>
      <c r="N7817" s="144"/>
    </row>
    <row r="7818">
      <c r="D7818" s="143"/>
      <c r="E7818" s="143"/>
      <c r="F7818" s="143"/>
      <c r="G7818" s="143"/>
      <c r="H7818" s="143"/>
      <c r="I7818" s="143"/>
      <c r="J7818" s="143"/>
      <c r="K7818" s="143"/>
      <c r="L7818" s="143"/>
      <c r="M7818" s="143"/>
      <c r="N7818" s="143"/>
    </row>
    <row r="7819">
      <c r="D7819" s="144"/>
      <c r="E7819" s="144"/>
      <c r="F7819" s="144"/>
      <c r="G7819" s="144"/>
      <c r="H7819" s="144"/>
      <c r="I7819" s="144"/>
      <c r="J7819" s="144"/>
      <c r="K7819" s="144"/>
      <c r="L7819" s="144"/>
      <c r="M7819" s="144"/>
      <c r="N7819" s="144"/>
    </row>
    <row r="7820">
      <c r="D7820" s="143"/>
      <c r="E7820" s="143"/>
      <c r="F7820" s="143"/>
      <c r="G7820" s="143"/>
      <c r="H7820" s="143"/>
      <c r="I7820" s="143"/>
      <c r="J7820" s="143"/>
      <c r="K7820" s="143"/>
      <c r="L7820" s="143"/>
      <c r="M7820" s="143"/>
      <c r="N7820" s="143"/>
    </row>
    <row r="7821">
      <c r="D7821" s="144"/>
      <c r="E7821" s="144"/>
      <c r="F7821" s="144"/>
      <c r="G7821" s="144"/>
      <c r="H7821" s="144"/>
      <c r="I7821" s="144"/>
      <c r="J7821" s="144"/>
      <c r="K7821" s="144"/>
      <c r="L7821" s="144"/>
      <c r="M7821" s="144"/>
      <c r="N7821" s="144"/>
    </row>
    <row r="7822">
      <c r="D7822" s="143"/>
      <c r="E7822" s="143"/>
      <c r="F7822" s="143"/>
      <c r="G7822" s="143"/>
      <c r="H7822" s="143"/>
      <c r="I7822" s="143"/>
      <c r="J7822" s="143"/>
      <c r="K7822" s="143"/>
      <c r="L7822" s="143"/>
      <c r="M7822" s="143"/>
      <c r="N7822" s="143"/>
    </row>
    <row r="7823">
      <c r="D7823" s="144"/>
      <c r="E7823" s="144"/>
      <c r="F7823" s="144"/>
      <c r="G7823" s="144"/>
      <c r="H7823" s="144"/>
      <c r="I7823" s="144"/>
      <c r="J7823" s="144"/>
      <c r="K7823" s="144"/>
      <c r="L7823" s="144"/>
      <c r="M7823" s="144"/>
      <c r="N7823" s="144"/>
    </row>
    <row r="7824">
      <c r="D7824" s="143"/>
      <c r="E7824" s="143"/>
      <c r="F7824" s="143"/>
      <c r="G7824" s="143"/>
      <c r="H7824" s="143"/>
      <c r="I7824" s="143"/>
      <c r="J7824" s="143"/>
      <c r="K7824" s="143"/>
      <c r="L7824" s="143"/>
      <c r="M7824" s="143"/>
      <c r="N7824" s="143"/>
    </row>
    <row r="7825">
      <c r="D7825" s="144"/>
      <c r="E7825" s="144"/>
      <c r="F7825" s="144"/>
      <c r="G7825" s="144"/>
      <c r="H7825" s="144"/>
      <c r="I7825" s="144"/>
      <c r="J7825" s="144"/>
      <c r="K7825" s="144"/>
      <c r="L7825" s="144"/>
      <c r="M7825" s="144"/>
      <c r="N7825" s="144"/>
    </row>
    <row r="7826">
      <c r="D7826" s="143"/>
      <c r="E7826" s="143"/>
      <c r="F7826" s="143"/>
      <c r="G7826" s="143"/>
      <c r="H7826" s="143"/>
      <c r="I7826" s="143"/>
      <c r="J7826" s="143"/>
      <c r="K7826" s="143"/>
      <c r="L7826" s="143"/>
      <c r="M7826" s="143"/>
      <c r="N7826" s="143"/>
    </row>
    <row r="7827">
      <c r="D7827" s="144"/>
      <c r="E7827" s="144"/>
      <c r="F7827" s="144"/>
      <c r="G7827" s="144"/>
      <c r="H7827" s="144"/>
      <c r="I7827" s="144"/>
      <c r="J7827" s="144"/>
      <c r="K7827" s="144"/>
      <c r="L7827" s="144"/>
      <c r="M7827" s="144"/>
      <c r="N7827" s="144"/>
    </row>
    <row r="7828">
      <c r="D7828" s="143"/>
      <c r="E7828" s="143"/>
      <c r="F7828" s="143"/>
      <c r="G7828" s="143"/>
      <c r="H7828" s="143"/>
      <c r="I7828" s="143"/>
      <c r="J7828" s="143"/>
      <c r="K7828" s="143"/>
      <c r="L7828" s="143"/>
      <c r="M7828" s="143"/>
      <c r="N7828" s="143"/>
    </row>
    <row r="7829">
      <c r="D7829" s="144"/>
      <c r="E7829" s="144"/>
      <c r="F7829" s="144"/>
      <c r="G7829" s="144"/>
      <c r="H7829" s="144"/>
      <c r="I7829" s="144"/>
      <c r="J7829" s="144"/>
      <c r="K7829" s="144"/>
      <c r="L7829" s="144"/>
      <c r="M7829" s="144"/>
      <c r="N7829" s="144"/>
    </row>
    <row r="7830">
      <c r="D7830" s="143"/>
      <c r="E7830" s="143"/>
      <c r="F7830" s="143"/>
      <c r="G7830" s="143"/>
      <c r="H7830" s="143"/>
      <c r="I7830" s="143"/>
      <c r="J7830" s="143"/>
      <c r="K7830" s="143"/>
      <c r="L7830" s="143"/>
      <c r="M7830" s="143"/>
      <c r="N7830" s="143"/>
    </row>
    <row r="7831">
      <c r="D7831" s="144"/>
      <c r="E7831" s="144"/>
      <c r="F7831" s="144"/>
      <c r="G7831" s="144"/>
      <c r="H7831" s="144"/>
      <c r="I7831" s="144"/>
      <c r="J7831" s="144"/>
      <c r="K7831" s="144"/>
      <c r="L7831" s="144"/>
      <c r="M7831" s="144"/>
      <c r="N7831" s="144"/>
    </row>
    <row r="7832">
      <c r="D7832" s="143"/>
      <c r="E7832" s="143"/>
      <c r="F7832" s="143"/>
      <c r="G7832" s="143"/>
      <c r="H7832" s="143"/>
      <c r="I7832" s="143"/>
      <c r="J7832" s="143"/>
      <c r="K7832" s="143"/>
      <c r="L7832" s="143"/>
      <c r="M7832" s="143"/>
      <c r="N7832" s="143"/>
    </row>
    <row r="7833">
      <c r="D7833" s="144"/>
      <c r="E7833" s="144"/>
      <c r="F7833" s="144"/>
      <c r="G7833" s="144"/>
      <c r="H7833" s="144"/>
      <c r="I7833" s="144"/>
      <c r="J7833" s="144"/>
      <c r="K7833" s="144"/>
      <c r="L7833" s="144"/>
      <c r="M7833" s="144"/>
      <c r="N7833" s="144"/>
    </row>
    <row r="7834">
      <c r="D7834" s="143"/>
      <c r="E7834" s="143"/>
      <c r="F7834" s="143"/>
      <c r="G7834" s="143"/>
      <c r="H7834" s="143"/>
      <c r="I7834" s="143"/>
      <c r="J7834" s="143"/>
      <c r="K7834" s="143"/>
      <c r="L7834" s="143"/>
      <c r="M7834" s="143"/>
      <c r="N7834" s="143"/>
    </row>
    <row r="7835">
      <c r="D7835" s="144"/>
      <c r="E7835" s="144"/>
      <c r="F7835" s="144"/>
      <c r="G7835" s="144"/>
      <c r="H7835" s="144"/>
      <c r="I7835" s="144"/>
      <c r="J7835" s="144"/>
      <c r="K7835" s="144"/>
      <c r="L7835" s="144"/>
      <c r="M7835" s="144"/>
      <c r="N7835" s="144"/>
    </row>
    <row r="7836">
      <c r="D7836" s="143"/>
      <c r="E7836" s="143"/>
      <c r="F7836" s="143"/>
      <c r="G7836" s="143"/>
      <c r="H7836" s="143"/>
      <c r="I7836" s="143"/>
      <c r="J7836" s="143"/>
      <c r="K7836" s="143"/>
      <c r="L7836" s="143"/>
      <c r="M7836" s="143"/>
      <c r="N7836" s="143"/>
    </row>
    <row r="7837">
      <c r="D7837" s="144"/>
      <c r="E7837" s="144"/>
      <c r="F7837" s="144"/>
      <c r="G7837" s="144"/>
      <c r="H7837" s="144"/>
      <c r="I7837" s="144"/>
      <c r="J7837" s="144"/>
      <c r="K7837" s="144"/>
      <c r="L7837" s="144"/>
      <c r="M7837" s="144"/>
      <c r="N7837" s="144"/>
    </row>
    <row r="7838">
      <c r="D7838" s="143"/>
      <c r="E7838" s="143"/>
      <c r="F7838" s="143"/>
      <c r="G7838" s="143"/>
      <c r="H7838" s="143"/>
      <c r="I7838" s="143"/>
      <c r="J7838" s="143"/>
      <c r="K7838" s="143"/>
      <c r="L7838" s="143"/>
      <c r="M7838" s="143"/>
      <c r="N7838" s="143"/>
    </row>
    <row r="7839">
      <c r="D7839" s="144"/>
      <c r="E7839" s="144"/>
      <c r="F7839" s="144"/>
      <c r="G7839" s="144"/>
      <c r="H7839" s="144"/>
      <c r="I7839" s="144"/>
      <c r="J7839" s="144"/>
      <c r="K7839" s="144"/>
      <c r="L7839" s="144"/>
      <c r="M7839" s="144"/>
      <c r="N7839" s="144"/>
    </row>
    <row r="7840">
      <c r="D7840" s="143"/>
      <c r="E7840" s="143"/>
      <c r="F7840" s="143"/>
      <c r="G7840" s="143"/>
      <c r="H7840" s="143"/>
      <c r="I7840" s="143"/>
      <c r="J7840" s="143"/>
      <c r="K7840" s="143"/>
      <c r="L7840" s="143"/>
      <c r="M7840" s="143"/>
      <c r="N7840" s="143"/>
    </row>
    <row r="7841">
      <c r="D7841" s="144"/>
      <c r="E7841" s="144"/>
      <c r="F7841" s="144"/>
      <c r="G7841" s="144"/>
      <c r="H7841" s="144"/>
      <c r="I7841" s="144"/>
      <c r="J7841" s="144"/>
      <c r="K7841" s="144"/>
      <c r="L7841" s="144"/>
      <c r="M7841" s="144"/>
      <c r="N7841" s="144"/>
    </row>
    <row r="7842">
      <c r="D7842" s="143"/>
      <c r="E7842" s="143"/>
      <c r="F7842" s="143"/>
      <c r="G7842" s="143"/>
      <c r="H7842" s="143"/>
      <c r="I7842" s="143"/>
      <c r="J7842" s="143"/>
      <c r="K7842" s="143"/>
      <c r="L7842" s="143"/>
      <c r="M7842" s="143"/>
      <c r="N7842" s="143"/>
    </row>
    <row r="7843">
      <c r="D7843" s="144"/>
      <c r="E7843" s="144"/>
      <c r="F7843" s="144"/>
      <c r="G7843" s="144"/>
      <c r="H7843" s="144"/>
      <c r="I7843" s="144"/>
      <c r="J7843" s="144"/>
      <c r="K7843" s="144"/>
      <c r="L7843" s="144"/>
      <c r="M7843" s="144"/>
      <c r="N7843" s="144"/>
    </row>
    <row r="7844">
      <c r="D7844" s="143"/>
      <c r="E7844" s="143"/>
      <c r="F7844" s="143"/>
      <c r="G7844" s="143"/>
      <c r="H7844" s="143"/>
      <c r="I7844" s="143"/>
      <c r="J7844" s="143"/>
      <c r="K7844" s="143"/>
      <c r="L7844" s="143"/>
      <c r="M7844" s="143"/>
      <c r="N7844" s="143"/>
    </row>
    <row r="7845">
      <c r="D7845" s="144"/>
      <c r="E7845" s="144"/>
      <c r="F7845" s="144"/>
      <c r="G7845" s="144"/>
      <c r="H7845" s="144"/>
      <c r="I7845" s="144"/>
      <c r="J7845" s="144"/>
      <c r="K7845" s="144"/>
      <c r="L7845" s="144"/>
      <c r="M7845" s="144"/>
      <c r="N7845" s="144"/>
    </row>
    <row r="7846">
      <c r="D7846" s="143"/>
      <c r="E7846" s="143"/>
      <c r="F7846" s="143"/>
      <c r="G7846" s="143"/>
      <c r="H7846" s="143"/>
      <c r="I7846" s="143"/>
      <c r="J7846" s="143"/>
      <c r="K7846" s="143"/>
      <c r="L7846" s="143"/>
      <c r="M7846" s="143"/>
      <c r="N7846" s="143"/>
    </row>
    <row r="7847">
      <c r="D7847" s="144"/>
      <c r="E7847" s="144"/>
      <c r="F7847" s="144"/>
      <c r="G7847" s="144"/>
      <c r="H7847" s="144"/>
      <c r="I7847" s="144"/>
      <c r="J7847" s="144"/>
      <c r="K7847" s="144"/>
      <c r="L7847" s="144"/>
      <c r="M7847" s="144"/>
      <c r="N7847" s="144"/>
    </row>
    <row r="7848">
      <c r="D7848" s="143"/>
      <c r="E7848" s="143"/>
      <c r="F7848" s="143"/>
      <c r="G7848" s="143"/>
      <c r="H7848" s="143"/>
      <c r="I7848" s="143"/>
      <c r="J7848" s="143"/>
      <c r="K7848" s="143"/>
      <c r="L7848" s="143"/>
      <c r="M7848" s="143"/>
      <c r="N7848" s="143"/>
    </row>
    <row r="7849">
      <c r="D7849" s="144"/>
      <c r="E7849" s="144"/>
      <c r="F7849" s="144"/>
      <c r="G7849" s="144"/>
      <c r="H7849" s="144"/>
      <c r="I7849" s="144"/>
      <c r="J7849" s="144"/>
      <c r="K7849" s="144"/>
      <c r="L7849" s="144"/>
      <c r="M7849" s="144"/>
      <c r="N7849" s="144"/>
    </row>
    <row r="7850">
      <c r="D7850" s="143"/>
      <c r="E7850" s="143"/>
      <c r="F7850" s="143"/>
      <c r="G7850" s="143"/>
      <c r="H7850" s="143"/>
      <c r="I7850" s="143"/>
      <c r="J7850" s="143"/>
      <c r="K7850" s="143"/>
      <c r="L7850" s="143"/>
      <c r="M7850" s="143"/>
      <c r="N7850" s="143"/>
    </row>
    <row r="7851">
      <c r="D7851" s="144"/>
      <c r="E7851" s="144"/>
      <c r="F7851" s="144"/>
      <c r="G7851" s="144"/>
      <c r="H7851" s="144"/>
      <c r="I7851" s="144"/>
      <c r="J7851" s="144"/>
      <c r="K7851" s="144"/>
      <c r="L7851" s="144"/>
      <c r="M7851" s="144"/>
      <c r="N7851" s="144"/>
    </row>
    <row r="7852">
      <c r="D7852" s="143"/>
      <c r="E7852" s="143"/>
      <c r="F7852" s="143"/>
      <c r="G7852" s="143"/>
      <c r="H7852" s="143"/>
      <c r="I7852" s="143"/>
      <c r="J7852" s="143"/>
      <c r="K7852" s="143"/>
      <c r="L7852" s="143"/>
      <c r="M7852" s="143"/>
      <c r="N7852" s="143"/>
    </row>
    <row r="7853">
      <c r="D7853" s="144"/>
      <c r="E7853" s="144"/>
      <c r="F7853" s="144"/>
      <c r="G7853" s="144"/>
      <c r="H7853" s="144"/>
      <c r="I7853" s="144"/>
      <c r="J7853" s="144"/>
      <c r="K7853" s="144"/>
      <c r="L7853" s="144"/>
      <c r="M7853" s="144"/>
      <c r="N7853" s="144"/>
    </row>
    <row r="7854">
      <c r="D7854" s="143"/>
      <c r="E7854" s="143"/>
      <c r="F7854" s="143"/>
      <c r="G7854" s="143"/>
      <c r="H7854" s="143"/>
      <c r="I7854" s="143"/>
      <c r="J7854" s="143"/>
      <c r="K7854" s="143"/>
      <c r="L7854" s="143"/>
      <c r="M7854" s="143"/>
      <c r="N7854" s="143"/>
    </row>
    <row r="7855">
      <c r="D7855" s="144"/>
      <c r="E7855" s="144"/>
      <c r="F7855" s="144"/>
      <c r="G7855" s="144"/>
      <c r="H7855" s="144"/>
      <c r="I7855" s="144"/>
      <c r="J7855" s="144"/>
      <c r="K7855" s="144"/>
      <c r="L7855" s="144"/>
      <c r="M7855" s="144"/>
      <c r="N7855" s="144"/>
    </row>
    <row r="7856">
      <c r="D7856" s="143"/>
      <c r="E7856" s="143"/>
      <c r="F7856" s="143"/>
      <c r="G7856" s="143"/>
      <c r="H7856" s="143"/>
      <c r="I7856" s="143"/>
      <c r="J7856" s="143"/>
      <c r="K7856" s="143"/>
      <c r="L7856" s="143"/>
      <c r="M7856" s="143"/>
      <c r="N7856" s="143"/>
    </row>
    <row r="7857">
      <c r="D7857" s="144"/>
      <c r="E7857" s="144"/>
      <c r="F7857" s="144"/>
      <c r="G7857" s="144"/>
      <c r="H7857" s="144"/>
      <c r="I7857" s="144"/>
      <c r="J7857" s="144"/>
      <c r="K7857" s="144"/>
      <c r="L7857" s="144"/>
      <c r="M7857" s="144"/>
      <c r="N7857" s="144"/>
    </row>
    <row r="7858">
      <c r="D7858" s="143"/>
      <c r="E7858" s="143"/>
      <c r="F7858" s="143"/>
      <c r="G7858" s="143"/>
      <c r="H7858" s="143"/>
      <c r="I7858" s="143"/>
      <c r="J7858" s="143"/>
      <c r="K7858" s="143"/>
      <c r="L7858" s="143"/>
      <c r="M7858" s="143"/>
      <c r="N7858" s="143"/>
    </row>
    <row r="7859">
      <c r="D7859" s="144"/>
      <c r="E7859" s="144"/>
      <c r="F7859" s="144"/>
      <c r="G7859" s="144"/>
      <c r="H7859" s="144"/>
      <c r="I7859" s="144"/>
      <c r="J7859" s="144"/>
      <c r="K7859" s="144"/>
      <c r="L7859" s="144"/>
      <c r="M7859" s="144"/>
      <c r="N7859" s="144"/>
    </row>
    <row r="7860">
      <c r="D7860" s="143"/>
      <c r="E7860" s="143"/>
      <c r="F7860" s="143"/>
      <c r="G7860" s="143"/>
      <c r="H7860" s="143"/>
      <c r="I7860" s="143"/>
      <c r="J7860" s="143"/>
      <c r="K7860" s="143"/>
      <c r="L7860" s="143"/>
      <c r="M7860" s="143"/>
      <c r="N7860" s="143"/>
    </row>
    <row r="7861">
      <c r="D7861" s="144"/>
      <c r="E7861" s="144"/>
      <c r="F7861" s="144"/>
      <c r="G7861" s="144"/>
      <c r="H7861" s="144"/>
      <c r="I7861" s="144"/>
      <c r="J7861" s="144"/>
      <c r="K7861" s="144"/>
      <c r="L7861" s="144"/>
      <c r="M7861" s="144"/>
      <c r="N7861" s="144"/>
    </row>
    <row r="7862">
      <c r="D7862" s="143"/>
      <c r="E7862" s="143"/>
      <c r="F7862" s="143"/>
      <c r="G7862" s="143"/>
      <c r="H7862" s="143"/>
      <c r="I7862" s="143"/>
      <c r="J7862" s="143"/>
      <c r="K7862" s="143"/>
      <c r="L7862" s="143"/>
      <c r="M7862" s="143"/>
      <c r="N7862" s="143"/>
    </row>
    <row r="7863">
      <c r="D7863" s="144"/>
      <c r="E7863" s="144"/>
      <c r="F7863" s="144"/>
      <c r="G7863" s="144"/>
      <c r="H7863" s="144"/>
      <c r="I7863" s="144"/>
      <c r="J7863" s="144"/>
      <c r="K7863" s="144"/>
      <c r="L7863" s="144"/>
      <c r="M7863" s="144"/>
      <c r="N7863" s="144"/>
    </row>
    <row r="7864">
      <c r="D7864" s="143"/>
      <c r="E7864" s="143"/>
      <c r="F7864" s="143"/>
      <c r="G7864" s="143"/>
      <c r="H7864" s="143"/>
      <c r="I7864" s="143"/>
      <c r="J7864" s="143"/>
      <c r="K7864" s="143"/>
      <c r="L7864" s="143"/>
      <c r="M7864" s="143"/>
      <c r="N7864" s="143"/>
    </row>
    <row r="7865">
      <c r="D7865" s="144"/>
      <c r="E7865" s="144"/>
      <c r="F7865" s="144"/>
      <c r="G7865" s="144"/>
      <c r="H7865" s="144"/>
      <c r="I7865" s="144"/>
      <c r="J7865" s="144"/>
      <c r="K7865" s="144"/>
      <c r="L7865" s="144"/>
      <c r="M7865" s="144"/>
      <c r="N7865" s="144"/>
    </row>
    <row r="7866">
      <c r="D7866" s="143"/>
      <c r="E7866" s="143"/>
      <c r="F7866" s="143"/>
      <c r="G7866" s="143"/>
      <c r="H7866" s="143"/>
      <c r="I7866" s="143"/>
      <c r="J7866" s="143"/>
      <c r="K7866" s="143"/>
      <c r="L7866" s="143"/>
      <c r="M7866" s="143"/>
      <c r="N7866" s="143"/>
    </row>
    <row r="7867">
      <c r="D7867" s="144"/>
      <c r="E7867" s="144"/>
      <c r="F7867" s="144"/>
      <c r="G7867" s="144"/>
      <c r="H7867" s="144"/>
      <c r="I7867" s="144"/>
      <c r="J7867" s="144"/>
      <c r="K7867" s="144"/>
      <c r="L7867" s="144"/>
      <c r="M7867" s="144"/>
      <c r="N7867" s="144"/>
    </row>
    <row r="7868">
      <c r="D7868" s="143"/>
      <c r="E7868" s="143"/>
      <c r="F7868" s="143"/>
      <c r="G7868" s="143"/>
      <c r="H7868" s="143"/>
      <c r="I7868" s="143"/>
      <c r="J7868" s="143"/>
      <c r="K7868" s="143"/>
      <c r="L7868" s="143"/>
      <c r="M7868" s="143"/>
      <c r="N7868" s="143"/>
    </row>
    <row r="7869">
      <c r="D7869" s="144"/>
      <c r="E7869" s="144"/>
      <c r="F7869" s="144"/>
      <c r="G7869" s="144"/>
      <c r="H7869" s="144"/>
      <c r="I7869" s="144"/>
      <c r="J7869" s="144"/>
      <c r="K7869" s="144"/>
      <c r="L7869" s="144"/>
      <c r="M7869" s="144"/>
      <c r="N7869" s="144"/>
    </row>
    <row r="7870">
      <c r="D7870" s="143"/>
      <c r="E7870" s="143"/>
      <c r="F7870" s="143"/>
      <c r="G7870" s="143"/>
      <c r="H7870" s="143"/>
      <c r="I7870" s="143"/>
      <c r="J7870" s="143"/>
      <c r="K7870" s="143"/>
      <c r="L7870" s="143"/>
      <c r="M7870" s="143"/>
      <c r="N7870" s="143"/>
    </row>
    <row r="7871">
      <c r="D7871" s="144"/>
      <c r="E7871" s="144"/>
      <c r="F7871" s="144"/>
      <c r="G7871" s="144"/>
      <c r="H7871" s="144"/>
      <c r="I7871" s="144"/>
      <c r="J7871" s="144"/>
      <c r="K7871" s="144"/>
      <c r="L7871" s="144"/>
      <c r="M7871" s="144"/>
      <c r="N7871" s="144"/>
    </row>
    <row r="7872">
      <c r="D7872" s="143"/>
      <c r="E7872" s="143"/>
      <c r="F7872" s="143"/>
      <c r="G7872" s="143"/>
      <c r="H7872" s="143"/>
      <c r="I7872" s="143"/>
      <c r="J7872" s="143"/>
      <c r="K7872" s="143"/>
      <c r="L7872" s="143"/>
      <c r="M7872" s="143"/>
      <c r="N7872" s="143"/>
    </row>
    <row r="7873">
      <c r="D7873" s="144"/>
      <c r="E7873" s="144"/>
      <c r="F7873" s="144"/>
      <c r="G7873" s="144"/>
      <c r="H7873" s="144"/>
      <c r="I7873" s="144"/>
      <c r="J7873" s="144"/>
      <c r="K7873" s="144"/>
      <c r="L7873" s="144"/>
      <c r="M7873" s="144"/>
      <c r="N7873" s="144"/>
    </row>
    <row r="7874">
      <c r="D7874" s="143"/>
      <c r="E7874" s="143"/>
      <c r="F7874" s="143"/>
      <c r="G7874" s="143"/>
      <c r="H7874" s="143"/>
      <c r="I7874" s="143"/>
      <c r="J7874" s="143"/>
      <c r="K7874" s="143"/>
      <c r="L7874" s="143"/>
      <c r="M7874" s="143"/>
      <c r="N7874" s="143"/>
    </row>
    <row r="7875">
      <c r="D7875" s="144"/>
      <c r="E7875" s="144"/>
      <c r="F7875" s="144"/>
      <c r="G7875" s="144"/>
      <c r="H7875" s="144"/>
      <c r="I7875" s="144"/>
      <c r="J7875" s="144"/>
      <c r="K7875" s="144"/>
      <c r="L7875" s="144"/>
      <c r="M7875" s="144"/>
      <c r="N7875" s="144"/>
    </row>
    <row r="7876">
      <c r="D7876" s="143"/>
      <c r="E7876" s="143"/>
      <c r="F7876" s="143"/>
      <c r="G7876" s="143"/>
      <c r="H7876" s="143"/>
      <c r="I7876" s="143"/>
      <c r="J7876" s="143"/>
      <c r="K7876" s="143"/>
      <c r="L7876" s="143"/>
      <c r="M7876" s="143"/>
      <c r="N7876" s="143"/>
    </row>
    <row r="7877">
      <c r="D7877" s="144"/>
      <c r="E7877" s="144"/>
      <c r="F7877" s="144"/>
      <c r="G7877" s="144"/>
      <c r="H7877" s="144"/>
      <c r="I7877" s="144"/>
      <c r="J7877" s="144"/>
      <c r="K7877" s="144"/>
      <c r="L7877" s="144"/>
      <c r="M7877" s="144"/>
      <c r="N7877" s="144"/>
    </row>
    <row r="7878">
      <c r="D7878" s="143"/>
      <c r="E7878" s="143"/>
      <c r="F7878" s="143"/>
      <c r="G7878" s="143"/>
      <c r="H7878" s="143"/>
      <c r="I7878" s="143"/>
      <c r="J7878" s="143"/>
      <c r="K7878" s="143"/>
      <c r="L7878" s="143"/>
      <c r="M7878" s="143"/>
      <c r="N7878" s="143"/>
    </row>
    <row r="7879">
      <c r="D7879" s="144"/>
      <c r="E7879" s="144"/>
      <c r="F7879" s="144"/>
      <c r="G7879" s="144"/>
      <c r="H7879" s="144"/>
      <c r="I7879" s="144"/>
      <c r="J7879" s="144"/>
      <c r="K7879" s="144"/>
      <c r="L7879" s="144"/>
      <c r="M7879" s="144"/>
      <c r="N7879" s="144"/>
    </row>
    <row r="7880">
      <c r="D7880" s="143"/>
      <c r="E7880" s="143"/>
      <c r="F7880" s="143"/>
      <c r="G7880" s="143"/>
      <c r="H7880" s="143"/>
      <c r="I7880" s="143"/>
      <c r="J7880" s="143"/>
      <c r="K7880" s="143"/>
      <c r="L7880" s="143"/>
      <c r="M7880" s="143"/>
      <c r="N7880" s="143"/>
    </row>
    <row r="7881">
      <c r="D7881" s="144"/>
      <c r="E7881" s="144"/>
      <c r="F7881" s="144"/>
      <c r="G7881" s="144"/>
      <c r="H7881" s="144"/>
      <c r="I7881" s="144"/>
      <c r="J7881" s="144"/>
      <c r="K7881" s="144"/>
      <c r="L7881" s="144"/>
      <c r="M7881" s="144"/>
      <c r="N7881" s="144"/>
    </row>
    <row r="7882">
      <c r="D7882" s="143"/>
      <c r="E7882" s="143"/>
      <c r="F7882" s="143"/>
      <c r="G7882" s="143"/>
      <c r="H7882" s="143"/>
      <c r="I7882" s="143"/>
      <c r="J7882" s="143"/>
      <c r="K7882" s="143"/>
      <c r="L7882" s="143"/>
      <c r="M7882" s="143"/>
      <c r="N7882" s="143"/>
    </row>
    <row r="7883">
      <c r="D7883" s="144"/>
      <c r="E7883" s="144"/>
      <c r="F7883" s="144"/>
      <c r="G7883" s="144"/>
      <c r="H7883" s="144"/>
      <c r="I7883" s="144"/>
      <c r="J7883" s="144"/>
      <c r="K7883" s="144"/>
      <c r="L7883" s="144"/>
      <c r="M7883" s="144"/>
      <c r="N7883" s="144"/>
    </row>
    <row r="7884">
      <c r="D7884" s="143"/>
      <c r="E7884" s="143"/>
      <c r="F7884" s="143"/>
      <c r="G7884" s="143"/>
      <c r="H7884" s="143"/>
      <c r="I7884" s="143"/>
      <c r="J7884" s="143"/>
      <c r="K7884" s="143"/>
      <c r="L7884" s="143"/>
      <c r="M7884" s="143"/>
      <c r="N7884" s="143"/>
    </row>
    <row r="7885">
      <c r="D7885" s="144"/>
      <c r="E7885" s="144"/>
      <c r="F7885" s="144"/>
      <c r="G7885" s="144"/>
      <c r="H7885" s="144"/>
      <c r="I7885" s="144"/>
      <c r="J7885" s="144"/>
      <c r="K7885" s="144"/>
      <c r="L7885" s="144"/>
      <c r="M7885" s="144"/>
      <c r="N7885" s="144"/>
    </row>
    <row r="7886">
      <c r="D7886" s="143"/>
      <c r="E7886" s="143"/>
      <c r="F7886" s="143"/>
      <c r="G7886" s="143"/>
      <c r="H7886" s="143"/>
      <c r="I7886" s="143"/>
      <c r="J7886" s="143"/>
      <c r="K7886" s="143"/>
      <c r="L7886" s="143"/>
      <c r="M7886" s="143"/>
      <c r="N7886" s="143"/>
    </row>
    <row r="7887">
      <c r="D7887" s="144"/>
      <c r="E7887" s="144"/>
      <c r="F7887" s="144"/>
      <c r="G7887" s="144"/>
      <c r="H7887" s="144"/>
      <c r="I7887" s="144"/>
      <c r="J7887" s="144"/>
      <c r="K7887" s="144"/>
      <c r="L7887" s="144"/>
      <c r="M7887" s="144"/>
      <c r="N7887" s="144"/>
    </row>
    <row r="7888">
      <c r="D7888" s="143"/>
      <c r="E7888" s="143"/>
      <c r="F7888" s="143"/>
      <c r="G7888" s="143"/>
      <c r="H7888" s="143"/>
      <c r="I7888" s="143"/>
      <c r="J7888" s="143"/>
      <c r="K7888" s="143"/>
      <c r="L7888" s="143"/>
      <c r="M7888" s="143"/>
      <c r="N7888" s="143"/>
    </row>
    <row r="7889">
      <c r="D7889" s="144"/>
      <c r="E7889" s="144"/>
      <c r="F7889" s="144"/>
      <c r="G7889" s="144"/>
      <c r="H7889" s="144"/>
      <c r="I7889" s="144"/>
      <c r="J7889" s="144"/>
      <c r="K7889" s="144"/>
      <c r="L7889" s="144"/>
      <c r="M7889" s="144"/>
      <c r="N7889" s="144"/>
    </row>
    <row r="7890">
      <c r="D7890" s="143"/>
      <c r="E7890" s="143"/>
      <c r="F7890" s="143"/>
      <c r="G7890" s="143"/>
      <c r="H7890" s="143"/>
      <c r="I7890" s="143"/>
      <c r="J7890" s="143"/>
      <c r="K7890" s="143"/>
      <c r="L7890" s="143"/>
      <c r="M7890" s="143"/>
      <c r="N7890" s="143"/>
    </row>
    <row r="7891">
      <c r="D7891" s="144"/>
      <c r="E7891" s="144"/>
      <c r="F7891" s="144"/>
      <c r="G7891" s="144"/>
      <c r="H7891" s="144"/>
      <c r="I7891" s="144"/>
      <c r="J7891" s="144"/>
      <c r="K7891" s="144"/>
      <c r="L7891" s="144"/>
      <c r="M7891" s="144"/>
      <c r="N7891" s="144"/>
    </row>
    <row r="7892">
      <c r="D7892" s="143"/>
      <c r="E7892" s="143"/>
      <c r="F7892" s="143"/>
      <c r="G7892" s="143"/>
      <c r="H7892" s="143"/>
      <c r="I7892" s="143"/>
      <c r="J7892" s="143"/>
      <c r="K7892" s="143"/>
      <c r="L7892" s="143"/>
      <c r="M7892" s="143"/>
      <c r="N7892" s="143"/>
    </row>
    <row r="7893">
      <c r="D7893" s="144"/>
      <c r="E7893" s="144"/>
      <c r="F7893" s="144"/>
      <c r="G7893" s="144"/>
      <c r="H7893" s="144"/>
      <c r="I7893" s="144"/>
      <c r="J7893" s="144"/>
      <c r="K7893" s="144"/>
      <c r="L7893" s="144"/>
      <c r="M7893" s="144"/>
      <c r="N7893" s="144"/>
    </row>
    <row r="7894">
      <c r="D7894" s="143"/>
      <c r="E7894" s="143"/>
      <c r="F7894" s="143"/>
      <c r="G7894" s="143"/>
      <c r="H7894" s="143"/>
      <c r="I7894" s="143"/>
      <c r="J7894" s="143"/>
      <c r="K7894" s="143"/>
      <c r="L7894" s="143"/>
      <c r="M7894" s="143"/>
      <c r="N7894" s="143"/>
    </row>
    <row r="7895">
      <c r="D7895" s="144"/>
      <c r="E7895" s="144"/>
      <c r="F7895" s="144"/>
      <c r="G7895" s="144"/>
      <c r="H7895" s="144"/>
      <c r="I7895" s="144"/>
      <c r="J7895" s="144"/>
      <c r="K7895" s="144"/>
      <c r="L7895" s="144"/>
      <c r="M7895" s="144"/>
      <c r="N7895" s="144"/>
    </row>
    <row r="7896">
      <c r="D7896" s="143"/>
      <c r="E7896" s="143"/>
      <c r="F7896" s="143"/>
      <c r="G7896" s="143"/>
      <c r="H7896" s="143"/>
      <c r="I7896" s="143"/>
      <c r="J7896" s="143"/>
      <c r="K7896" s="143"/>
      <c r="L7896" s="143"/>
      <c r="M7896" s="143"/>
      <c r="N7896" s="143"/>
    </row>
    <row r="7897">
      <c r="D7897" s="144"/>
      <c r="E7897" s="144"/>
      <c r="F7897" s="144"/>
      <c r="G7897" s="144"/>
      <c r="H7897" s="144"/>
      <c r="I7897" s="144"/>
      <c r="J7897" s="144"/>
      <c r="K7897" s="144"/>
      <c r="L7897" s="144"/>
      <c r="M7897" s="144"/>
      <c r="N7897" s="144"/>
    </row>
    <row r="7898">
      <c r="D7898" s="143"/>
      <c r="E7898" s="143"/>
      <c r="F7898" s="143"/>
      <c r="G7898" s="143"/>
      <c r="H7898" s="143"/>
      <c r="I7898" s="143"/>
      <c r="J7898" s="143"/>
      <c r="K7898" s="143"/>
      <c r="L7898" s="143"/>
      <c r="M7898" s="143"/>
      <c r="N7898" s="143"/>
    </row>
    <row r="7899">
      <c r="D7899" s="144"/>
      <c r="E7899" s="144"/>
      <c r="F7899" s="144"/>
      <c r="G7899" s="144"/>
      <c r="H7899" s="144"/>
      <c r="I7899" s="144"/>
      <c r="J7899" s="144"/>
      <c r="K7899" s="144"/>
      <c r="L7899" s="144"/>
      <c r="M7899" s="144"/>
      <c r="N7899" s="144"/>
    </row>
    <row r="7900">
      <c r="D7900" s="143"/>
      <c r="E7900" s="143"/>
      <c r="F7900" s="143"/>
      <c r="G7900" s="143"/>
      <c r="H7900" s="143"/>
      <c r="I7900" s="143"/>
      <c r="J7900" s="143"/>
      <c r="K7900" s="143"/>
      <c r="L7900" s="143"/>
      <c r="M7900" s="143"/>
      <c r="N7900" s="143"/>
    </row>
    <row r="7901">
      <c r="D7901" s="144"/>
      <c r="E7901" s="144"/>
      <c r="F7901" s="144"/>
      <c r="G7901" s="144"/>
      <c r="H7901" s="144"/>
      <c r="I7901" s="144"/>
      <c r="J7901" s="144"/>
      <c r="K7901" s="144"/>
      <c r="L7901" s="144"/>
      <c r="M7901" s="144"/>
      <c r="N7901" s="144"/>
    </row>
    <row r="7902">
      <c r="D7902" s="143"/>
      <c r="E7902" s="143"/>
      <c r="F7902" s="143"/>
      <c r="G7902" s="143"/>
      <c r="H7902" s="143"/>
      <c r="I7902" s="143"/>
      <c r="J7902" s="143"/>
      <c r="K7902" s="143"/>
      <c r="L7902" s="143"/>
      <c r="M7902" s="143"/>
      <c r="N7902" s="143"/>
    </row>
    <row r="7903">
      <c r="D7903" s="144"/>
      <c r="E7903" s="144"/>
      <c r="F7903" s="144"/>
      <c r="G7903" s="144"/>
      <c r="H7903" s="144"/>
      <c r="I7903" s="144"/>
      <c r="J7903" s="144"/>
      <c r="K7903" s="144"/>
      <c r="L7903" s="144"/>
      <c r="M7903" s="144"/>
      <c r="N7903" s="144"/>
    </row>
    <row r="7904">
      <c r="D7904" s="143"/>
      <c r="E7904" s="143"/>
      <c r="F7904" s="143"/>
      <c r="G7904" s="143"/>
      <c r="H7904" s="143"/>
      <c r="I7904" s="143"/>
      <c r="J7904" s="143"/>
      <c r="K7904" s="143"/>
      <c r="L7904" s="143"/>
      <c r="M7904" s="143"/>
      <c r="N7904" s="143"/>
    </row>
    <row r="7905">
      <c r="D7905" s="144"/>
      <c r="E7905" s="144"/>
      <c r="F7905" s="144"/>
      <c r="G7905" s="144"/>
      <c r="H7905" s="144"/>
      <c r="I7905" s="144"/>
      <c r="J7905" s="144"/>
      <c r="K7905" s="144"/>
      <c r="L7905" s="144"/>
      <c r="M7905" s="144"/>
      <c r="N7905" s="144"/>
    </row>
    <row r="7906">
      <c r="D7906" s="143"/>
      <c r="E7906" s="143"/>
      <c r="F7906" s="143"/>
      <c r="G7906" s="143"/>
      <c r="H7906" s="143"/>
      <c r="I7906" s="143"/>
      <c r="J7906" s="143"/>
      <c r="K7906" s="143"/>
      <c r="L7906" s="143"/>
      <c r="M7906" s="143"/>
      <c r="N7906" s="143"/>
    </row>
    <row r="7907">
      <c r="D7907" s="144"/>
      <c r="E7907" s="144"/>
      <c r="F7907" s="144"/>
      <c r="G7907" s="144"/>
      <c r="H7907" s="144"/>
      <c r="I7907" s="144"/>
      <c r="J7907" s="144"/>
      <c r="K7907" s="144"/>
      <c r="L7907" s="144"/>
      <c r="M7907" s="144"/>
      <c r="N7907" s="144"/>
    </row>
    <row r="7908">
      <c r="D7908" s="143"/>
      <c r="E7908" s="143"/>
      <c r="F7908" s="143"/>
      <c r="G7908" s="143"/>
      <c r="H7908" s="143"/>
      <c r="I7908" s="143"/>
      <c r="J7908" s="143"/>
      <c r="K7908" s="143"/>
      <c r="L7908" s="143"/>
      <c r="M7908" s="143"/>
      <c r="N7908" s="143"/>
    </row>
    <row r="7909">
      <c r="D7909" s="144"/>
      <c r="E7909" s="144"/>
      <c r="F7909" s="144"/>
      <c r="G7909" s="144"/>
      <c r="H7909" s="144"/>
      <c r="I7909" s="144"/>
      <c r="J7909" s="144"/>
      <c r="K7909" s="144"/>
      <c r="L7909" s="144"/>
      <c r="M7909" s="144"/>
      <c r="N7909" s="144"/>
    </row>
    <row r="7910">
      <c r="D7910" s="143"/>
      <c r="E7910" s="143"/>
      <c r="F7910" s="143"/>
      <c r="G7910" s="143"/>
      <c r="H7910" s="143"/>
      <c r="I7910" s="143"/>
      <c r="J7910" s="143"/>
      <c r="K7910" s="143"/>
      <c r="L7910" s="143"/>
      <c r="M7910" s="143"/>
      <c r="N7910" s="143"/>
    </row>
    <row r="7911">
      <c r="D7911" s="144"/>
      <c r="E7911" s="144"/>
      <c r="F7911" s="144"/>
      <c r="G7911" s="144"/>
      <c r="H7911" s="144"/>
      <c r="I7911" s="144"/>
      <c r="J7911" s="144"/>
      <c r="K7911" s="144"/>
      <c r="L7911" s="144"/>
      <c r="M7911" s="144"/>
      <c r="N7911" s="144"/>
    </row>
    <row r="7912">
      <c r="D7912" s="143"/>
      <c r="E7912" s="143"/>
      <c r="F7912" s="143"/>
      <c r="G7912" s="143"/>
      <c r="H7912" s="143"/>
      <c r="I7912" s="143"/>
      <c r="J7912" s="143"/>
      <c r="K7912" s="143"/>
      <c r="L7912" s="143"/>
      <c r="M7912" s="143"/>
      <c r="N7912" s="143"/>
    </row>
    <row r="7913">
      <c r="D7913" s="144"/>
      <c r="E7913" s="144"/>
      <c r="F7913" s="144"/>
      <c r="G7913" s="144"/>
      <c r="H7913" s="144"/>
      <c r="I7913" s="144"/>
      <c r="J7913" s="144"/>
      <c r="K7913" s="144"/>
      <c r="L7913" s="144"/>
      <c r="M7913" s="144"/>
      <c r="N7913" s="144"/>
    </row>
    <row r="7914">
      <c r="D7914" s="143"/>
      <c r="E7914" s="143"/>
      <c r="F7914" s="143"/>
      <c r="G7914" s="143"/>
      <c r="H7914" s="143"/>
      <c r="I7914" s="143"/>
      <c r="J7914" s="143"/>
      <c r="K7914" s="143"/>
      <c r="L7914" s="143"/>
      <c r="M7914" s="143"/>
      <c r="N7914" s="143"/>
    </row>
    <row r="7915">
      <c r="D7915" s="144"/>
      <c r="E7915" s="144"/>
      <c r="F7915" s="144"/>
      <c r="G7915" s="144"/>
      <c r="H7915" s="144"/>
      <c r="I7915" s="144"/>
      <c r="J7915" s="144"/>
      <c r="K7915" s="144"/>
      <c r="L7915" s="144"/>
      <c r="M7915" s="144"/>
      <c r="N7915" s="144"/>
    </row>
    <row r="7916">
      <c r="D7916" s="143"/>
      <c r="E7916" s="143"/>
      <c r="F7916" s="143"/>
      <c r="G7916" s="143"/>
      <c r="H7916" s="143"/>
      <c r="I7916" s="143"/>
      <c r="J7916" s="143"/>
      <c r="K7916" s="143"/>
      <c r="L7916" s="143"/>
      <c r="M7916" s="143"/>
      <c r="N7916" s="143"/>
    </row>
    <row r="7917">
      <c r="D7917" s="144"/>
      <c r="E7917" s="144"/>
      <c r="F7917" s="144"/>
      <c r="G7917" s="144"/>
      <c r="H7917" s="144"/>
      <c r="I7917" s="144"/>
      <c r="J7917" s="144"/>
      <c r="K7917" s="144"/>
      <c r="L7917" s="144"/>
      <c r="M7917" s="144"/>
      <c r="N7917" s="144"/>
    </row>
    <row r="7918">
      <c r="D7918" s="143"/>
      <c r="E7918" s="143"/>
      <c r="F7918" s="143"/>
      <c r="G7918" s="143"/>
      <c r="H7918" s="143"/>
      <c r="I7918" s="143"/>
      <c r="J7918" s="143"/>
      <c r="K7918" s="143"/>
      <c r="L7918" s="143"/>
      <c r="M7918" s="143"/>
      <c r="N7918" s="143"/>
    </row>
    <row r="7919">
      <c r="D7919" s="144"/>
      <c r="E7919" s="144"/>
      <c r="F7919" s="144"/>
      <c r="G7919" s="144"/>
      <c r="H7919" s="144"/>
      <c r="I7919" s="144"/>
      <c r="J7919" s="144"/>
      <c r="K7919" s="144"/>
      <c r="L7919" s="144"/>
      <c r="M7919" s="144"/>
      <c r="N7919" s="144"/>
    </row>
    <row r="7920">
      <c r="D7920" s="143"/>
      <c r="E7920" s="143"/>
      <c r="F7920" s="143"/>
      <c r="G7920" s="143"/>
      <c r="H7920" s="143"/>
      <c r="I7920" s="143"/>
      <c r="J7920" s="143"/>
      <c r="K7920" s="143"/>
      <c r="L7920" s="143"/>
      <c r="M7920" s="143"/>
      <c r="N7920" s="143"/>
    </row>
    <row r="7921">
      <c r="D7921" s="144"/>
      <c r="E7921" s="144"/>
      <c r="F7921" s="144"/>
      <c r="G7921" s="144"/>
      <c r="H7921" s="144"/>
      <c r="I7921" s="144"/>
      <c r="J7921" s="144"/>
      <c r="K7921" s="144"/>
      <c r="L7921" s="144"/>
      <c r="M7921" s="144"/>
      <c r="N7921" s="144"/>
    </row>
    <row r="7922">
      <c r="D7922" s="143"/>
      <c r="E7922" s="143"/>
      <c r="F7922" s="143"/>
      <c r="G7922" s="143"/>
      <c r="H7922" s="143"/>
      <c r="I7922" s="143"/>
      <c r="J7922" s="143"/>
      <c r="K7922" s="143"/>
      <c r="L7922" s="143"/>
      <c r="M7922" s="143"/>
      <c r="N7922" s="143"/>
    </row>
    <row r="7923">
      <c r="D7923" s="144"/>
      <c r="E7923" s="144"/>
      <c r="F7923" s="144"/>
      <c r="G7923" s="144"/>
      <c r="H7923" s="144"/>
      <c r="I7923" s="144"/>
      <c r="J7923" s="144"/>
      <c r="K7923" s="144"/>
      <c r="L7923" s="144"/>
      <c r="M7923" s="144"/>
      <c r="N7923" s="144"/>
    </row>
    <row r="7924">
      <c r="D7924" s="143"/>
      <c r="E7924" s="143"/>
      <c r="F7924" s="143"/>
      <c r="G7924" s="143"/>
      <c r="H7924" s="143"/>
      <c r="I7924" s="143"/>
      <c r="J7924" s="143"/>
      <c r="K7924" s="143"/>
      <c r="L7924" s="143"/>
      <c r="M7924" s="143"/>
      <c r="N7924" s="143"/>
    </row>
    <row r="7925">
      <c r="D7925" s="144"/>
      <c r="E7925" s="144"/>
      <c r="F7925" s="144"/>
      <c r="G7925" s="144"/>
      <c r="H7925" s="144"/>
      <c r="I7925" s="144"/>
      <c r="J7925" s="144"/>
      <c r="K7925" s="144"/>
      <c r="L7925" s="144"/>
      <c r="M7925" s="144"/>
      <c r="N7925" s="144"/>
    </row>
    <row r="7926">
      <c r="D7926" s="143"/>
      <c r="E7926" s="143"/>
      <c r="F7926" s="143"/>
      <c r="G7926" s="143"/>
      <c r="H7926" s="143"/>
      <c r="I7926" s="143"/>
      <c r="J7926" s="143"/>
      <c r="K7926" s="143"/>
      <c r="L7926" s="143"/>
      <c r="M7926" s="143"/>
      <c r="N7926" s="143"/>
    </row>
    <row r="7927">
      <c r="D7927" s="144"/>
      <c r="E7927" s="144"/>
      <c r="F7927" s="144"/>
      <c r="G7927" s="144"/>
      <c r="H7927" s="144"/>
      <c r="I7927" s="144"/>
      <c r="J7927" s="144"/>
      <c r="K7927" s="144"/>
      <c r="L7927" s="144"/>
      <c r="M7927" s="144"/>
      <c r="N7927" s="144"/>
    </row>
    <row r="7928">
      <c r="D7928" s="143"/>
      <c r="E7928" s="143"/>
      <c r="F7928" s="143"/>
      <c r="G7928" s="143"/>
      <c r="H7928" s="143"/>
      <c r="I7928" s="143"/>
      <c r="J7928" s="143"/>
      <c r="K7928" s="143"/>
      <c r="L7928" s="143"/>
      <c r="M7928" s="143"/>
      <c r="N7928" s="143"/>
    </row>
    <row r="7929">
      <c r="D7929" s="144"/>
      <c r="E7929" s="144"/>
      <c r="F7929" s="144"/>
      <c r="G7929" s="144"/>
      <c r="H7929" s="144"/>
      <c r="I7929" s="144"/>
      <c r="J7929" s="144"/>
      <c r="K7929" s="144"/>
      <c r="L7929" s="144"/>
      <c r="M7929" s="144"/>
      <c r="N7929" s="144"/>
    </row>
    <row r="7930">
      <c r="D7930" s="143"/>
      <c r="E7930" s="143"/>
      <c r="F7930" s="143"/>
      <c r="G7930" s="143"/>
      <c r="H7930" s="143"/>
      <c r="I7930" s="143"/>
      <c r="J7930" s="143"/>
      <c r="K7930" s="143"/>
      <c r="L7930" s="143"/>
      <c r="M7930" s="143"/>
      <c r="N7930" s="143"/>
    </row>
    <row r="7931">
      <c r="D7931" s="144"/>
      <c r="E7931" s="144"/>
      <c r="F7931" s="144"/>
      <c r="G7931" s="144"/>
      <c r="H7931" s="144"/>
      <c r="I7931" s="144"/>
      <c r="J7931" s="144"/>
      <c r="K7931" s="144"/>
      <c r="L7931" s="144"/>
      <c r="M7931" s="144"/>
      <c r="N7931" s="144"/>
    </row>
    <row r="7932">
      <c r="D7932" s="143"/>
      <c r="E7932" s="143"/>
      <c r="F7932" s="143"/>
      <c r="G7932" s="143"/>
      <c r="H7932" s="143"/>
      <c r="I7932" s="143"/>
      <c r="J7932" s="143"/>
      <c r="K7932" s="143"/>
      <c r="L7932" s="143"/>
      <c r="M7932" s="143"/>
      <c r="N7932" s="143"/>
    </row>
    <row r="7933">
      <c r="D7933" s="144"/>
      <c r="E7933" s="144"/>
      <c r="F7933" s="144"/>
      <c r="G7933" s="144"/>
      <c r="H7933" s="144"/>
      <c r="I7933" s="144"/>
      <c r="J7933" s="144"/>
      <c r="K7933" s="144"/>
      <c r="L7933" s="144"/>
      <c r="M7933" s="144"/>
      <c r="N7933" s="144"/>
    </row>
    <row r="7934">
      <c r="D7934" s="143"/>
      <c r="E7934" s="143"/>
      <c r="F7934" s="143"/>
      <c r="G7934" s="143"/>
      <c r="H7934" s="143"/>
      <c r="I7934" s="143"/>
      <c r="J7934" s="143"/>
      <c r="K7934" s="143"/>
      <c r="L7934" s="143"/>
      <c r="M7934" s="143"/>
      <c r="N7934" s="143"/>
    </row>
    <row r="7935">
      <c r="D7935" s="144"/>
      <c r="E7935" s="144"/>
      <c r="F7935" s="144"/>
      <c r="G7935" s="144"/>
      <c r="H7935" s="144"/>
      <c r="I7935" s="144"/>
      <c r="J7935" s="144"/>
      <c r="K7935" s="144"/>
      <c r="L7935" s="144"/>
      <c r="M7935" s="144"/>
      <c r="N7935" s="144"/>
    </row>
    <row r="7936">
      <c r="D7936" s="143"/>
      <c r="E7936" s="143"/>
      <c r="F7936" s="143"/>
      <c r="G7936" s="143"/>
      <c r="H7936" s="143"/>
      <c r="I7936" s="143"/>
      <c r="J7936" s="143"/>
      <c r="K7936" s="143"/>
      <c r="L7936" s="143"/>
      <c r="M7936" s="143"/>
      <c r="N7936" s="143"/>
    </row>
    <row r="7937">
      <c r="D7937" s="144"/>
      <c r="E7937" s="144"/>
      <c r="F7937" s="144"/>
      <c r="G7937" s="144"/>
      <c r="H7937" s="144"/>
      <c r="I7937" s="144"/>
      <c r="J7937" s="144"/>
      <c r="K7937" s="144"/>
      <c r="L7937" s="144"/>
      <c r="M7937" s="144"/>
      <c r="N7937" s="144"/>
    </row>
    <row r="7938">
      <c r="D7938" s="143"/>
      <c r="E7938" s="143"/>
      <c r="F7938" s="143"/>
      <c r="G7938" s="143"/>
      <c r="H7938" s="143"/>
      <c r="I7938" s="143"/>
      <c r="J7938" s="143"/>
      <c r="K7938" s="143"/>
      <c r="L7938" s="143"/>
      <c r="M7938" s="143"/>
      <c r="N7938" s="143"/>
    </row>
    <row r="7939">
      <c r="D7939" s="144"/>
      <c r="E7939" s="144"/>
      <c r="F7939" s="144"/>
      <c r="G7939" s="144"/>
      <c r="H7939" s="144"/>
      <c r="I7939" s="144"/>
      <c r="J7939" s="144"/>
      <c r="K7939" s="144"/>
      <c r="L7939" s="144"/>
      <c r="M7939" s="144"/>
      <c r="N7939" s="144"/>
    </row>
    <row r="7940">
      <c r="D7940" s="143"/>
      <c r="E7940" s="143"/>
      <c r="F7940" s="143"/>
      <c r="G7940" s="143"/>
      <c r="H7940" s="143"/>
      <c r="I7940" s="143"/>
      <c r="J7940" s="143"/>
      <c r="K7940" s="143"/>
      <c r="L7940" s="143"/>
      <c r="M7940" s="143"/>
      <c r="N7940" s="143"/>
    </row>
    <row r="7941">
      <c r="D7941" s="144"/>
      <c r="E7941" s="144"/>
      <c r="F7941" s="144"/>
      <c r="G7941" s="144"/>
      <c r="H7941" s="144"/>
      <c r="I7941" s="144"/>
      <c r="J7941" s="144"/>
      <c r="K7941" s="144"/>
      <c r="L7941" s="144"/>
      <c r="M7941" s="144"/>
      <c r="N7941" s="144"/>
    </row>
    <row r="7942">
      <c r="D7942" s="143"/>
      <c r="E7942" s="143"/>
      <c r="F7942" s="143"/>
      <c r="G7942" s="143"/>
      <c r="H7942" s="143"/>
      <c r="I7942" s="143"/>
      <c r="J7942" s="143"/>
      <c r="K7942" s="143"/>
      <c r="L7942" s="143"/>
      <c r="M7942" s="143"/>
      <c r="N7942" s="143"/>
    </row>
    <row r="7943">
      <c r="D7943" s="144"/>
      <c r="E7943" s="144"/>
      <c r="F7943" s="144"/>
      <c r="G7943" s="144"/>
      <c r="H7943" s="144"/>
      <c r="I7943" s="144"/>
      <c r="J7943" s="144"/>
      <c r="K7943" s="144"/>
      <c r="L7943" s="144"/>
      <c r="M7943" s="144"/>
      <c r="N7943" s="144"/>
    </row>
    <row r="7944">
      <c r="D7944" s="143"/>
      <c r="E7944" s="143"/>
      <c r="F7944" s="143"/>
      <c r="G7944" s="143"/>
      <c r="H7944" s="143"/>
      <c r="I7944" s="143"/>
      <c r="J7944" s="143"/>
      <c r="K7944" s="143"/>
      <c r="L7944" s="143"/>
      <c r="M7944" s="143"/>
      <c r="N7944" s="143"/>
    </row>
    <row r="7945">
      <c r="D7945" s="144"/>
      <c r="E7945" s="144"/>
      <c r="F7945" s="144"/>
      <c r="G7945" s="144"/>
      <c r="H7945" s="144"/>
      <c r="I7945" s="144"/>
      <c r="J7945" s="144"/>
      <c r="K7945" s="144"/>
      <c r="L7945" s="144"/>
      <c r="M7945" s="144"/>
      <c r="N7945" s="144"/>
    </row>
    <row r="7946">
      <c r="D7946" s="143"/>
      <c r="E7946" s="143"/>
      <c r="F7946" s="143"/>
      <c r="G7946" s="143"/>
      <c r="H7946" s="143"/>
      <c r="I7946" s="143"/>
      <c r="J7946" s="143"/>
      <c r="K7946" s="143"/>
      <c r="L7946" s="143"/>
      <c r="M7946" s="143"/>
      <c r="N7946" s="143"/>
    </row>
    <row r="7947">
      <c r="D7947" s="144"/>
      <c r="E7947" s="144"/>
      <c r="F7947" s="144"/>
      <c r="G7947" s="144"/>
      <c r="H7947" s="144"/>
      <c r="I7947" s="144"/>
      <c r="J7947" s="144"/>
      <c r="K7947" s="144"/>
      <c r="L7947" s="144"/>
      <c r="M7947" s="144"/>
      <c r="N7947" s="144"/>
    </row>
    <row r="7948">
      <c r="D7948" s="143"/>
      <c r="E7948" s="143"/>
      <c r="F7948" s="143"/>
      <c r="G7948" s="143"/>
      <c r="H7948" s="143"/>
      <c r="I7948" s="143"/>
      <c r="J7948" s="143"/>
      <c r="K7948" s="143"/>
      <c r="L7948" s="143"/>
      <c r="M7948" s="143"/>
      <c r="N7948" s="143"/>
    </row>
    <row r="7949">
      <c r="D7949" s="144"/>
      <c r="E7949" s="144"/>
      <c r="F7949" s="144"/>
      <c r="G7949" s="144"/>
      <c r="H7949" s="144"/>
      <c r="I7949" s="144"/>
      <c r="J7949" s="144"/>
      <c r="K7949" s="144"/>
      <c r="L7949" s="144"/>
      <c r="M7949" s="144"/>
      <c r="N7949" s="144"/>
    </row>
    <row r="7950">
      <c r="D7950" s="143"/>
      <c r="E7950" s="143"/>
      <c r="F7950" s="143"/>
      <c r="G7950" s="143"/>
      <c r="H7950" s="143"/>
      <c r="I7950" s="143"/>
      <c r="J7950" s="143"/>
      <c r="K7950" s="143"/>
      <c r="L7950" s="143"/>
      <c r="M7950" s="143"/>
      <c r="N7950" s="143"/>
    </row>
    <row r="7951">
      <c r="D7951" s="144"/>
      <c r="E7951" s="144"/>
      <c r="F7951" s="144"/>
      <c r="G7951" s="144"/>
      <c r="H7951" s="144"/>
      <c r="I7951" s="144"/>
      <c r="J7951" s="144"/>
      <c r="K7951" s="144"/>
      <c r="L7951" s="144"/>
      <c r="M7951" s="144"/>
      <c r="N7951" s="144"/>
    </row>
    <row r="7952">
      <c r="D7952" s="143"/>
      <c r="E7952" s="143"/>
      <c r="F7952" s="143"/>
      <c r="G7952" s="143"/>
      <c r="H7952" s="143"/>
      <c r="I7952" s="143"/>
      <c r="J7952" s="143"/>
      <c r="K7952" s="143"/>
      <c r="L7952" s="143"/>
      <c r="M7952" s="143"/>
      <c r="N7952" s="143"/>
    </row>
    <row r="7953">
      <c r="D7953" s="144"/>
      <c r="E7953" s="144"/>
      <c r="F7953" s="144"/>
      <c r="G7953" s="144"/>
      <c r="H7953" s="144"/>
      <c r="I7953" s="144"/>
      <c r="J7953" s="144"/>
      <c r="K7953" s="144"/>
      <c r="L7953" s="144"/>
      <c r="M7953" s="144"/>
      <c r="N7953" s="144"/>
    </row>
    <row r="7954">
      <c r="D7954" s="143"/>
      <c r="E7954" s="143"/>
      <c r="F7954" s="143"/>
      <c r="G7954" s="143"/>
      <c r="H7954" s="143"/>
      <c r="I7954" s="143"/>
      <c r="J7954" s="143"/>
      <c r="K7954" s="143"/>
      <c r="L7954" s="143"/>
      <c r="M7954" s="143"/>
      <c r="N7954" s="143"/>
    </row>
    <row r="7955">
      <c r="D7955" s="144"/>
      <c r="E7955" s="144"/>
      <c r="F7955" s="144"/>
      <c r="G7955" s="144"/>
      <c r="H7955" s="144"/>
      <c r="I7955" s="144"/>
      <c r="J7955" s="144"/>
      <c r="K7955" s="144"/>
      <c r="L7955" s="144"/>
      <c r="M7955" s="144"/>
      <c r="N7955" s="144"/>
    </row>
    <row r="7956">
      <c r="D7956" s="143"/>
      <c r="E7956" s="143"/>
      <c r="F7956" s="143"/>
      <c r="G7956" s="143"/>
      <c r="H7956" s="143"/>
      <c r="I7956" s="143"/>
      <c r="J7956" s="143"/>
      <c r="K7956" s="143"/>
      <c r="L7956" s="143"/>
      <c r="M7956" s="143"/>
      <c r="N7956" s="143"/>
    </row>
    <row r="7957">
      <c r="D7957" s="144"/>
      <c r="E7957" s="144"/>
      <c r="F7957" s="144"/>
      <c r="G7957" s="144"/>
      <c r="H7957" s="144"/>
      <c r="I7957" s="144"/>
      <c r="J7957" s="144"/>
      <c r="K7957" s="144"/>
      <c r="L7957" s="144"/>
      <c r="M7957" s="144"/>
      <c r="N7957" s="144"/>
    </row>
    <row r="7958">
      <c r="D7958" s="143"/>
      <c r="E7958" s="143"/>
      <c r="F7958" s="143"/>
      <c r="G7958" s="143"/>
      <c r="H7958" s="143"/>
      <c r="I7958" s="143"/>
      <c r="J7958" s="143"/>
      <c r="K7958" s="143"/>
      <c r="L7958" s="143"/>
      <c r="M7958" s="143"/>
      <c r="N7958" s="143"/>
    </row>
    <row r="7959">
      <c r="D7959" s="144"/>
      <c r="E7959" s="144"/>
      <c r="F7959" s="144"/>
      <c r="G7959" s="144"/>
      <c r="H7959" s="144"/>
      <c r="I7959" s="144"/>
      <c r="J7959" s="144"/>
      <c r="K7959" s="144"/>
      <c r="L7959" s="144"/>
      <c r="M7959" s="144"/>
      <c r="N7959" s="144"/>
    </row>
    <row r="7960">
      <c r="D7960" s="143"/>
      <c r="E7960" s="143"/>
      <c r="F7960" s="143"/>
      <c r="G7960" s="143"/>
      <c r="H7960" s="143"/>
      <c r="I7960" s="143"/>
      <c r="J7960" s="143"/>
      <c r="K7960" s="143"/>
      <c r="L7960" s="143"/>
      <c r="M7960" s="143"/>
      <c r="N7960" s="143"/>
    </row>
    <row r="7961">
      <c r="D7961" s="144"/>
      <c r="E7961" s="144"/>
      <c r="F7961" s="144"/>
      <c r="G7961" s="144"/>
      <c r="H7961" s="144"/>
      <c r="I7961" s="144"/>
      <c r="J7961" s="144"/>
      <c r="K7961" s="144"/>
      <c r="L7961" s="144"/>
      <c r="M7961" s="144"/>
      <c r="N7961" s="144"/>
    </row>
    <row r="7962">
      <c r="D7962" s="143"/>
      <c r="E7962" s="143"/>
      <c r="F7962" s="143"/>
      <c r="G7962" s="143"/>
      <c r="H7962" s="143"/>
      <c r="I7962" s="143"/>
      <c r="J7962" s="143"/>
      <c r="K7962" s="143"/>
      <c r="L7962" s="143"/>
      <c r="M7962" s="143"/>
      <c r="N7962" s="143"/>
    </row>
    <row r="7963">
      <c r="D7963" s="144"/>
      <c r="E7963" s="144"/>
      <c r="F7963" s="144"/>
      <c r="G7963" s="144"/>
      <c r="H7963" s="144"/>
      <c r="I7963" s="144"/>
      <c r="J7963" s="144"/>
      <c r="K7963" s="144"/>
      <c r="L7963" s="144"/>
      <c r="M7963" s="144"/>
      <c r="N7963" s="144"/>
    </row>
    <row r="7964">
      <c r="D7964" s="143"/>
      <c r="E7964" s="143"/>
      <c r="F7964" s="143"/>
      <c r="G7964" s="143"/>
      <c r="H7964" s="143"/>
      <c r="I7964" s="143"/>
      <c r="J7964" s="143"/>
      <c r="K7964" s="143"/>
      <c r="L7964" s="143"/>
      <c r="M7964" s="143"/>
      <c r="N7964" s="143"/>
    </row>
    <row r="7965">
      <c r="D7965" s="144"/>
      <c r="E7965" s="144"/>
      <c r="F7965" s="144"/>
      <c r="G7965" s="144"/>
      <c r="H7965" s="144"/>
      <c r="I7965" s="144"/>
      <c r="J7965" s="144"/>
      <c r="K7965" s="144"/>
      <c r="L7965" s="144"/>
      <c r="M7965" s="144"/>
      <c r="N7965" s="144"/>
    </row>
    <row r="7966">
      <c r="D7966" s="143"/>
      <c r="E7966" s="143"/>
      <c r="F7966" s="143"/>
      <c r="G7966" s="143"/>
      <c r="H7966" s="143"/>
      <c r="I7966" s="143"/>
      <c r="J7966" s="143"/>
      <c r="K7966" s="143"/>
      <c r="L7966" s="143"/>
      <c r="M7966" s="143"/>
      <c r="N7966" s="143"/>
    </row>
    <row r="7967">
      <c r="D7967" s="144"/>
      <c r="E7967" s="144"/>
      <c r="F7967" s="144"/>
      <c r="G7967" s="144"/>
      <c r="H7967" s="144"/>
      <c r="I7967" s="144"/>
      <c r="J7967" s="144"/>
      <c r="K7967" s="144"/>
      <c r="L7967" s="144"/>
      <c r="M7967" s="144"/>
      <c r="N7967" s="144"/>
    </row>
    <row r="7968">
      <c r="D7968" s="143"/>
      <c r="E7968" s="143"/>
      <c r="F7968" s="143"/>
      <c r="G7968" s="143"/>
      <c r="H7968" s="143"/>
      <c r="I7968" s="143"/>
      <c r="J7968" s="143"/>
      <c r="K7968" s="143"/>
      <c r="L7968" s="143"/>
      <c r="M7968" s="143"/>
      <c r="N7968" s="143"/>
    </row>
    <row r="7969">
      <c r="D7969" s="144"/>
      <c r="E7969" s="144"/>
      <c r="F7969" s="144"/>
      <c r="G7969" s="144"/>
      <c r="H7969" s="144"/>
      <c r="I7969" s="144"/>
      <c r="J7969" s="144"/>
      <c r="K7969" s="144"/>
      <c r="L7969" s="144"/>
      <c r="M7969" s="144"/>
      <c r="N7969" s="144"/>
    </row>
    <row r="7970">
      <c r="D7970" s="143"/>
      <c r="E7970" s="143"/>
      <c r="F7970" s="143"/>
      <c r="G7970" s="143"/>
      <c r="H7970" s="143"/>
      <c r="I7970" s="143"/>
      <c r="J7970" s="143"/>
      <c r="K7970" s="143"/>
      <c r="L7970" s="143"/>
      <c r="M7970" s="143"/>
      <c r="N7970" s="143"/>
    </row>
    <row r="7971">
      <c r="D7971" s="144"/>
      <c r="E7971" s="144"/>
      <c r="F7971" s="144"/>
      <c r="G7971" s="144"/>
      <c r="H7971" s="144"/>
      <c r="I7971" s="144"/>
      <c r="J7971" s="144"/>
      <c r="K7971" s="144"/>
      <c r="L7971" s="144"/>
      <c r="M7971" s="144"/>
      <c r="N7971" s="144"/>
    </row>
    <row r="7972">
      <c r="D7972" s="143"/>
      <c r="E7972" s="143"/>
      <c r="F7972" s="143"/>
      <c r="G7972" s="143"/>
      <c r="H7972" s="143"/>
      <c r="I7972" s="143"/>
      <c r="J7972" s="143"/>
      <c r="K7972" s="143"/>
      <c r="L7972" s="143"/>
      <c r="M7972" s="143"/>
      <c r="N7972" s="143"/>
    </row>
    <row r="7973">
      <c r="D7973" s="144"/>
      <c r="E7973" s="144"/>
      <c r="F7973" s="144"/>
      <c r="G7973" s="144"/>
      <c r="H7973" s="144"/>
      <c r="I7973" s="144"/>
      <c r="J7973" s="144"/>
      <c r="K7973" s="144"/>
      <c r="L7973" s="144"/>
      <c r="M7973" s="144"/>
      <c r="N7973" s="144"/>
    </row>
    <row r="7974">
      <c r="D7974" s="143"/>
      <c r="E7974" s="143"/>
      <c r="F7974" s="143"/>
      <c r="G7974" s="143"/>
      <c r="H7974" s="143"/>
      <c r="I7974" s="143"/>
      <c r="J7974" s="143"/>
      <c r="K7974" s="143"/>
      <c r="L7974" s="143"/>
      <c r="M7974" s="143"/>
      <c r="N7974" s="143"/>
    </row>
    <row r="7975">
      <c r="D7975" s="144"/>
      <c r="E7975" s="144"/>
      <c r="F7975" s="144"/>
      <c r="G7975" s="144"/>
      <c r="H7975" s="144"/>
      <c r="I7975" s="144"/>
      <c r="J7975" s="144"/>
      <c r="K7975" s="144"/>
      <c r="L7975" s="144"/>
      <c r="M7975" s="144"/>
      <c r="N7975" s="144"/>
    </row>
    <row r="7976">
      <c r="D7976" s="143"/>
      <c r="E7976" s="143"/>
      <c r="F7976" s="143"/>
      <c r="G7976" s="143"/>
      <c r="H7976" s="143"/>
      <c r="I7976" s="143"/>
      <c r="J7976" s="143"/>
      <c r="K7976" s="143"/>
      <c r="L7976" s="143"/>
      <c r="M7976" s="143"/>
      <c r="N7976" s="143"/>
    </row>
    <row r="7977">
      <c r="D7977" s="144"/>
      <c r="E7977" s="144"/>
      <c r="F7977" s="144"/>
      <c r="G7977" s="144"/>
      <c r="H7977" s="144"/>
      <c r="I7977" s="144"/>
      <c r="J7977" s="144"/>
      <c r="K7977" s="144"/>
      <c r="L7977" s="144"/>
      <c r="M7977" s="144"/>
      <c r="N7977" s="144"/>
    </row>
    <row r="7978">
      <c r="D7978" s="143"/>
      <c r="E7978" s="143"/>
      <c r="F7978" s="143"/>
      <c r="G7978" s="143"/>
      <c r="H7978" s="143"/>
      <c r="I7978" s="143"/>
      <c r="J7978" s="143"/>
      <c r="K7978" s="143"/>
      <c r="L7978" s="143"/>
      <c r="M7978" s="143"/>
      <c r="N7978" s="143"/>
    </row>
    <row r="7979">
      <c r="D7979" s="144"/>
      <c r="E7979" s="144"/>
      <c r="F7979" s="144"/>
      <c r="G7979" s="144"/>
      <c r="H7979" s="144"/>
      <c r="I7979" s="144"/>
      <c r="J7979" s="144"/>
      <c r="K7979" s="144"/>
      <c r="L7979" s="144"/>
      <c r="M7979" s="144"/>
      <c r="N7979" s="144"/>
    </row>
    <row r="7980">
      <c r="D7980" s="143"/>
      <c r="E7980" s="143"/>
      <c r="F7980" s="143"/>
      <c r="G7980" s="143"/>
      <c r="H7980" s="143"/>
      <c r="I7980" s="143"/>
      <c r="J7980" s="143"/>
      <c r="K7980" s="143"/>
      <c r="L7980" s="143"/>
      <c r="M7980" s="143"/>
      <c r="N7980" s="143"/>
    </row>
    <row r="7981">
      <c r="D7981" s="144"/>
      <c r="E7981" s="144"/>
      <c r="F7981" s="144"/>
      <c r="G7981" s="144"/>
      <c r="H7981" s="144"/>
      <c r="I7981" s="144"/>
      <c r="J7981" s="144"/>
      <c r="K7981" s="144"/>
      <c r="L7981" s="144"/>
      <c r="M7981" s="144"/>
      <c r="N7981" s="144"/>
    </row>
    <row r="7982">
      <c r="D7982" s="143"/>
      <c r="E7982" s="143"/>
      <c r="F7982" s="143"/>
      <c r="G7982" s="143"/>
      <c r="H7982" s="143"/>
      <c r="I7982" s="143"/>
      <c r="J7982" s="143"/>
      <c r="K7982" s="143"/>
      <c r="L7982" s="143"/>
      <c r="M7982" s="143"/>
      <c r="N7982" s="143"/>
    </row>
    <row r="7983">
      <c r="D7983" s="144"/>
      <c r="E7983" s="144"/>
      <c r="F7983" s="144"/>
      <c r="G7983" s="144"/>
      <c r="H7983" s="144"/>
      <c r="I7983" s="144"/>
      <c r="J7983" s="144"/>
      <c r="K7983" s="144"/>
      <c r="L7983" s="144"/>
      <c r="M7983" s="144"/>
      <c r="N7983" s="144"/>
    </row>
    <row r="7984">
      <c r="D7984" s="143"/>
      <c r="E7984" s="143"/>
      <c r="F7984" s="143"/>
      <c r="G7984" s="143"/>
      <c r="H7984" s="143"/>
      <c r="I7984" s="143"/>
      <c r="J7984" s="143"/>
      <c r="K7984" s="143"/>
      <c r="L7984" s="143"/>
      <c r="M7984" s="143"/>
      <c r="N7984" s="143"/>
    </row>
    <row r="7985">
      <c r="D7985" s="144"/>
      <c r="E7985" s="144"/>
      <c r="F7985" s="144"/>
      <c r="G7985" s="144"/>
      <c r="H7985" s="144"/>
      <c r="I7985" s="144"/>
      <c r="J7985" s="144"/>
      <c r="K7985" s="144"/>
      <c r="L7985" s="144"/>
      <c r="M7985" s="144"/>
      <c r="N7985" s="144"/>
    </row>
    <row r="7986">
      <c r="D7986" s="143"/>
      <c r="E7986" s="143"/>
      <c r="F7986" s="143"/>
      <c r="G7986" s="143"/>
      <c r="H7986" s="143"/>
      <c r="I7986" s="143"/>
      <c r="J7986" s="143"/>
      <c r="K7986" s="143"/>
      <c r="L7986" s="143"/>
      <c r="M7986" s="143"/>
      <c r="N7986" s="143"/>
    </row>
    <row r="7987">
      <c r="D7987" s="144"/>
      <c r="E7987" s="144"/>
      <c r="F7987" s="144"/>
      <c r="G7987" s="144"/>
      <c r="H7987" s="144"/>
      <c r="I7987" s="144"/>
      <c r="J7987" s="144"/>
      <c r="K7987" s="144"/>
      <c r="L7987" s="144"/>
      <c r="M7987" s="144"/>
      <c r="N7987" s="144"/>
    </row>
    <row r="7988">
      <c r="D7988" s="143"/>
      <c r="E7988" s="143"/>
      <c r="F7988" s="143"/>
      <c r="G7988" s="143"/>
      <c r="H7988" s="143"/>
      <c r="I7988" s="143"/>
      <c r="J7988" s="143"/>
      <c r="K7988" s="143"/>
      <c r="L7988" s="143"/>
      <c r="M7988" s="143"/>
      <c r="N7988" s="143"/>
    </row>
    <row r="7989">
      <c r="D7989" s="144"/>
      <c r="E7989" s="144"/>
      <c r="F7989" s="144"/>
      <c r="G7989" s="144"/>
      <c r="H7989" s="144"/>
      <c r="I7989" s="144"/>
      <c r="J7989" s="144"/>
      <c r="K7989" s="144"/>
      <c r="L7989" s="144"/>
      <c r="M7989" s="144"/>
      <c r="N7989" s="144"/>
    </row>
    <row r="7990">
      <c r="D7990" s="143"/>
      <c r="E7990" s="143"/>
      <c r="F7990" s="143"/>
      <c r="G7990" s="143"/>
      <c r="H7990" s="143"/>
      <c r="I7990" s="143"/>
      <c r="J7990" s="143"/>
      <c r="K7990" s="143"/>
      <c r="L7990" s="143"/>
      <c r="M7990" s="143"/>
      <c r="N7990" s="143"/>
    </row>
    <row r="7991">
      <c r="D7991" s="144"/>
      <c r="E7991" s="144"/>
      <c r="F7991" s="144"/>
      <c r="G7991" s="144"/>
      <c r="H7991" s="144"/>
      <c r="I7991" s="144"/>
      <c r="J7991" s="144"/>
      <c r="K7991" s="144"/>
      <c r="L7991" s="144"/>
      <c r="M7991" s="144"/>
      <c r="N7991" s="144"/>
    </row>
    <row r="7992">
      <c r="D7992" s="143"/>
      <c r="E7992" s="143"/>
      <c r="F7992" s="143"/>
      <c r="G7992" s="143"/>
      <c r="H7992" s="143"/>
      <c r="I7992" s="143"/>
      <c r="J7992" s="143"/>
      <c r="K7992" s="143"/>
      <c r="L7992" s="143"/>
      <c r="M7992" s="143"/>
      <c r="N7992" s="143"/>
    </row>
    <row r="7993">
      <c r="D7993" s="144"/>
      <c r="E7993" s="144"/>
      <c r="F7993" s="144"/>
      <c r="G7993" s="144"/>
      <c r="H7993" s="144"/>
      <c r="I7993" s="144"/>
      <c r="J7993" s="144"/>
      <c r="K7993" s="144"/>
      <c r="L7993" s="144"/>
      <c r="M7993" s="144"/>
      <c r="N7993" s="144"/>
    </row>
    <row r="7994">
      <c r="D7994" s="143"/>
      <c r="E7994" s="143"/>
      <c r="F7994" s="143"/>
      <c r="G7994" s="143"/>
      <c r="H7994" s="143"/>
      <c r="I7994" s="143"/>
      <c r="J7994" s="143"/>
      <c r="K7994" s="143"/>
      <c r="L7994" s="143"/>
      <c r="M7994" s="143"/>
      <c r="N7994" s="143"/>
    </row>
    <row r="7995">
      <c r="D7995" s="144"/>
      <c r="E7995" s="144"/>
      <c r="F7995" s="144"/>
      <c r="G7995" s="144"/>
      <c r="H7995" s="144"/>
      <c r="I7995" s="144"/>
      <c r="J7995" s="144"/>
      <c r="K7995" s="144"/>
      <c r="L7995" s="144"/>
      <c r="M7995" s="144"/>
      <c r="N7995" s="144"/>
    </row>
    <row r="7996">
      <c r="D7996" s="143"/>
      <c r="E7996" s="143"/>
      <c r="F7996" s="143"/>
      <c r="G7996" s="143"/>
      <c r="H7996" s="143"/>
      <c r="I7996" s="143"/>
      <c r="J7996" s="143"/>
      <c r="K7996" s="143"/>
      <c r="L7996" s="143"/>
      <c r="M7996" s="143"/>
      <c r="N7996" s="143"/>
    </row>
    <row r="7997">
      <c r="D7997" s="144"/>
      <c r="E7997" s="144"/>
      <c r="F7997" s="144"/>
      <c r="G7997" s="144"/>
      <c r="H7997" s="144"/>
      <c r="I7997" s="144"/>
      <c r="J7997" s="144"/>
      <c r="K7997" s="144"/>
      <c r="L7997" s="144"/>
      <c r="M7997" s="144"/>
      <c r="N7997" s="144"/>
    </row>
    <row r="7998">
      <c r="D7998" s="143"/>
      <c r="E7998" s="143"/>
      <c r="F7998" s="143"/>
      <c r="G7998" s="143"/>
      <c r="H7998" s="143"/>
      <c r="I7998" s="143"/>
      <c r="J7998" s="143"/>
      <c r="K7998" s="143"/>
      <c r="L7998" s="143"/>
      <c r="M7998" s="143"/>
      <c r="N7998" s="143"/>
    </row>
    <row r="7999">
      <c r="D7999" s="144"/>
      <c r="E7999" s="144"/>
      <c r="F7999" s="144"/>
      <c r="G7999" s="144"/>
      <c r="H7999" s="144"/>
      <c r="I7999" s="144"/>
      <c r="J7999" s="144"/>
      <c r="K7999" s="144"/>
      <c r="L7999" s="144"/>
      <c r="M7999" s="144"/>
      <c r="N7999" s="144"/>
    </row>
    <row r="8000">
      <c r="D8000" s="143"/>
      <c r="E8000" s="143"/>
      <c r="F8000" s="143"/>
      <c r="G8000" s="143"/>
      <c r="H8000" s="143"/>
      <c r="I8000" s="143"/>
      <c r="J8000" s="143"/>
      <c r="K8000" s="143"/>
      <c r="L8000" s="143"/>
      <c r="M8000" s="143"/>
      <c r="N8000" s="143"/>
    </row>
    <row r="8001">
      <c r="D8001" s="144"/>
      <c r="E8001" s="144"/>
      <c r="F8001" s="144"/>
      <c r="G8001" s="144"/>
      <c r="H8001" s="144"/>
      <c r="I8001" s="144"/>
      <c r="J8001" s="144"/>
      <c r="K8001" s="144"/>
      <c r="L8001" s="144"/>
      <c r="M8001" s="144"/>
      <c r="N8001" s="144"/>
    </row>
    <row r="8002">
      <c r="D8002" s="143"/>
      <c r="E8002" s="143"/>
      <c r="F8002" s="143"/>
      <c r="G8002" s="143"/>
      <c r="H8002" s="143"/>
      <c r="I8002" s="143"/>
      <c r="J8002" s="143"/>
      <c r="K8002" s="143"/>
      <c r="L8002" s="143"/>
      <c r="M8002" s="143"/>
      <c r="N8002" s="143"/>
    </row>
    <row r="8003">
      <c r="D8003" s="144"/>
      <c r="E8003" s="144"/>
      <c r="F8003" s="144"/>
      <c r="G8003" s="144"/>
      <c r="H8003" s="144"/>
      <c r="I8003" s="144"/>
      <c r="J8003" s="144"/>
      <c r="K8003" s="144"/>
      <c r="L8003" s="144"/>
      <c r="M8003" s="144"/>
      <c r="N8003" s="144"/>
    </row>
    <row r="8004">
      <c r="D8004" s="143"/>
      <c r="E8004" s="143"/>
      <c r="F8004" s="143"/>
      <c r="G8004" s="143"/>
      <c r="H8004" s="143"/>
      <c r="I8004" s="143"/>
      <c r="J8004" s="143"/>
      <c r="K8004" s="143"/>
      <c r="L8004" s="143"/>
      <c r="M8004" s="143"/>
      <c r="N8004" s="143"/>
    </row>
    <row r="8005">
      <c r="D8005" s="144"/>
      <c r="E8005" s="144"/>
      <c r="F8005" s="144"/>
      <c r="G8005" s="144"/>
      <c r="H8005" s="144"/>
      <c r="I8005" s="144"/>
      <c r="J8005" s="144"/>
      <c r="K8005" s="144"/>
      <c r="L8005" s="144"/>
      <c r="M8005" s="144"/>
      <c r="N8005" s="144"/>
    </row>
    <row r="8006">
      <c r="D8006" s="143"/>
      <c r="E8006" s="143"/>
      <c r="F8006" s="143"/>
      <c r="G8006" s="143"/>
      <c r="H8006" s="143"/>
      <c r="I8006" s="143"/>
      <c r="J8006" s="143"/>
      <c r="K8006" s="143"/>
      <c r="L8006" s="143"/>
      <c r="M8006" s="143"/>
      <c r="N8006" s="143"/>
    </row>
    <row r="8007">
      <c r="D8007" s="144"/>
      <c r="E8007" s="144"/>
      <c r="F8007" s="144"/>
      <c r="G8007" s="144"/>
      <c r="H8007" s="144"/>
      <c r="I8007" s="144"/>
      <c r="J8007" s="144"/>
      <c r="K8007" s="144"/>
      <c r="L8007" s="144"/>
      <c r="M8007" s="144"/>
      <c r="N8007" s="144"/>
    </row>
    <row r="8008">
      <c r="D8008" s="143"/>
      <c r="E8008" s="143"/>
      <c r="F8008" s="143"/>
      <c r="G8008" s="143"/>
      <c r="H8008" s="143"/>
      <c r="I8008" s="143"/>
      <c r="J8008" s="143"/>
      <c r="K8008" s="143"/>
      <c r="L8008" s="143"/>
      <c r="M8008" s="143"/>
      <c r="N8008" s="143"/>
    </row>
    <row r="8009">
      <c r="D8009" s="144"/>
      <c r="E8009" s="144"/>
      <c r="F8009" s="144"/>
      <c r="G8009" s="144"/>
      <c r="H8009" s="144"/>
      <c r="I8009" s="144"/>
      <c r="J8009" s="144"/>
      <c r="K8009" s="144"/>
      <c r="L8009" s="144"/>
      <c r="M8009" s="144"/>
      <c r="N8009" s="144"/>
    </row>
    <row r="8010">
      <c r="D8010" s="143"/>
      <c r="E8010" s="143"/>
      <c r="F8010" s="143"/>
      <c r="G8010" s="143"/>
      <c r="H8010" s="143"/>
      <c r="I8010" s="143"/>
      <c r="J8010" s="143"/>
      <c r="K8010" s="143"/>
      <c r="L8010" s="143"/>
      <c r="M8010" s="143"/>
      <c r="N8010" s="143"/>
    </row>
    <row r="8011">
      <c r="D8011" s="144"/>
      <c r="E8011" s="144"/>
      <c r="F8011" s="144"/>
      <c r="G8011" s="144"/>
      <c r="H8011" s="144"/>
      <c r="I8011" s="144"/>
      <c r="J8011" s="144"/>
      <c r="K8011" s="144"/>
      <c r="L8011" s="144"/>
      <c r="M8011" s="144"/>
      <c r="N8011" s="144"/>
    </row>
    <row r="8012">
      <c r="D8012" s="143"/>
      <c r="E8012" s="143"/>
      <c r="F8012" s="143"/>
      <c r="G8012" s="143"/>
      <c r="H8012" s="143"/>
      <c r="I8012" s="143"/>
      <c r="J8012" s="143"/>
      <c r="K8012" s="143"/>
      <c r="L8012" s="143"/>
      <c r="M8012" s="143"/>
      <c r="N8012" s="143"/>
    </row>
    <row r="8013">
      <c r="D8013" s="144"/>
      <c r="E8013" s="144"/>
      <c r="F8013" s="144"/>
      <c r="G8013" s="144"/>
      <c r="H8013" s="144"/>
      <c r="I8013" s="144"/>
      <c r="J8013" s="144"/>
      <c r="K8013" s="144"/>
      <c r="L8013" s="144"/>
      <c r="M8013" s="144"/>
      <c r="N8013" s="144"/>
    </row>
    <row r="8014">
      <c r="D8014" s="143"/>
      <c r="E8014" s="143"/>
      <c r="F8014" s="143"/>
      <c r="G8014" s="143"/>
      <c r="H8014" s="143"/>
      <c r="I8014" s="143"/>
      <c r="J8014" s="143"/>
      <c r="K8014" s="143"/>
      <c r="L8014" s="143"/>
      <c r="M8014" s="143"/>
      <c r="N8014" s="143"/>
    </row>
    <row r="8015">
      <c r="D8015" s="144"/>
      <c r="E8015" s="144"/>
      <c r="F8015" s="144"/>
      <c r="G8015" s="144"/>
      <c r="H8015" s="144"/>
      <c r="I8015" s="144"/>
      <c r="J8015" s="144"/>
      <c r="K8015" s="144"/>
      <c r="L8015" s="144"/>
      <c r="M8015" s="144"/>
      <c r="N8015" s="144"/>
    </row>
    <row r="8016">
      <c r="D8016" s="143"/>
      <c r="E8016" s="143"/>
      <c r="F8016" s="143"/>
      <c r="G8016" s="143"/>
      <c r="H8016" s="143"/>
      <c r="I8016" s="143"/>
      <c r="J8016" s="143"/>
      <c r="K8016" s="143"/>
      <c r="L8016" s="143"/>
      <c r="M8016" s="143"/>
      <c r="N8016" s="143"/>
    </row>
    <row r="8017">
      <c r="D8017" s="144"/>
      <c r="E8017" s="144"/>
      <c r="F8017" s="144"/>
      <c r="G8017" s="144"/>
      <c r="H8017" s="144"/>
      <c r="I8017" s="144"/>
      <c r="J8017" s="144"/>
      <c r="K8017" s="144"/>
      <c r="L8017" s="144"/>
      <c r="M8017" s="144"/>
      <c r="N8017" s="144"/>
    </row>
    <row r="8018">
      <c r="D8018" s="143"/>
      <c r="E8018" s="143"/>
      <c r="F8018" s="143"/>
      <c r="G8018" s="143"/>
      <c r="H8018" s="143"/>
      <c r="I8018" s="143"/>
      <c r="J8018" s="143"/>
      <c r="K8018" s="143"/>
      <c r="L8018" s="143"/>
      <c r="M8018" s="143"/>
      <c r="N8018" s="143"/>
    </row>
    <row r="8019">
      <c r="D8019" s="144"/>
      <c r="E8019" s="144"/>
      <c r="F8019" s="144"/>
      <c r="G8019" s="144"/>
      <c r="H8019" s="144"/>
      <c r="I8019" s="144"/>
      <c r="J8019" s="144"/>
      <c r="K8019" s="144"/>
      <c r="L8019" s="144"/>
      <c r="M8019" s="144"/>
      <c r="N8019" s="144"/>
    </row>
    <row r="8020">
      <c r="D8020" s="143"/>
      <c r="E8020" s="143"/>
      <c r="F8020" s="143"/>
      <c r="G8020" s="143"/>
      <c r="H8020" s="143"/>
      <c r="I8020" s="143"/>
      <c r="J8020" s="143"/>
      <c r="K8020" s="143"/>
      <c r="L8020" s="143"/>
      <c r="M8020" s="143"/>
      <c r="N8020" s="143"/>
    </row>
    <row r="8021">
      <c r="D8021" s="144"/>
      <c r="E8021" s="144"/>
      <c r="F8021" s="144"/>
      <c r="G8021" s="144"/>
      <c r="H8021" s="144"/>
      <c r="I8021" s="144"/>
      <c r="J8021" s="144"/>
      <c r="K8021" s="144"/>
      <c r="L8021" s="144"/>
      <c r="M8021" s="144"/>
      <c r="N8021" s="144"/>
    </row>
    <row r="8022">
      <c r="D8022" s="143"/>
      <c r="E8022" s="143"/>
      <c r="F8022" s="143"/>
      <c r="G8022" s="143"/>
      <c r="H8022" s="143"/>
      <c r="I8022" s="143"/>
      <c r="J8022" s="143"/>
      <c r="K8022" s="143"/>
      <c r="L8022" s="143"/>
      <c r="M8022" s="143"/>
      <c r="N8022" s="143"/>
    </row>
    <row r="8023">
      <c r="D8023" s="144"/>
      <c r="E8023" s="144"/>
      <c r="F8023" s="144"/>
      <c r="G8023" s="144"/>
      <c r="H8023" s="144"/>
      <c r="I8023" s="144"/>
      <c r="J8023" s="144"/>
      <c r="K8023" s="144"/>
      <c r="L8023" s="144"/>
      <c r="M8023" s="144"/>
      <c r="N8023" s="144"/>
    </row>
    <row r="8024">
      <c r="D8024" s="143"/>
      <c r="E8024" s="143"/>
      <c r="F8024" s="143"/>
      <c r="G8024" s="143"/>
      <c r="H8024" s="143"/>
      <c r="I8024" s="143"/>
      <c r="J8024" s="143"/>
      <c r="K8024" s="143"/>
      <c r="L8024" s="143"/>
      <c r="M8024" s="143"/>
      <c r="N8024" s="143"/>
    </row>
    <row r="8025">
      <c r="D8025" s="144"/>
      <c r="E8025" s="144"/>
      <c r="F8025" s="144"/>
      <c r="G8025" s="144"/>
      <c r="H8025" s="144"/>
      <c r="I8025" s="144"/>
      <c r="J8025" s="144"/>
      <c r="K8025" s="144"/>
      <c r="L8025" s="144"/>
      <c r="M8025" s="144"/>
      <c r="N8025" s="144"/>
    </row>
    <row r="8026">
      <c r="D8026" s="143"/>
      <c r="E8026" s="143"/>
      <c r="F8026" s="143"/>
      <c r="G8026" s="143"/>
      <c r="H8026" s="143"/>
      <c r="I8026" s="143"/>
      <c r="J8026" s="143"/>
      <c r="K8026" s="143"/>
      <c r="L8026" s="143"/>
      <c r="M8026" s="143"/>
      <c r="N8026" s="143"/>
    </row>
    <row r="8027">
      <c r="D8027" s="144"/>
      <c r="E8027" s="144"/>
      <c r="F8027" s="144"/>
      <c r="G8027" s="144"/>
      <c r="H8027" s="144"/>
      <c r="I8027" s="144"/>
      <c r="J8027" s="144"/>
      <c r="K8027" s="144"/>
      <c r="L8027" s="144"/>
      <c r="M8027" s="144"/>
      <c r="N8027" s="144"/>
    </row>
    <row r="8028">
      <c r="D8028" s="143"/>
      <c r="E8028" s="143"/>
      <c r="F8028" s="143"/>
      <c r="G8028" s="143"/>
      <c r="H8028" s="143"/>
      <c r="I8028" s="143"/>
      <c r="J8028" s="143"/>
      <c r="K8028" s="143"/>
      <c r="L8028" s="143"/>
      <c r="M8028" s="143"/>
      <c r="N8028" s="143"/>
    </row>
    <row r="8029">
      <c r="D8029" s="144"/>
      <c r="E8029" s="144"/>
      <c r="F8029" s="144"/>
      <c r="G8029" s="144"/>
      <c r="H8029" s="144"/>
      <c r="I8029" s="144"/>
      <c r="J8029" s="144"/>
      <c r="K8029" s="144"/>
      <c r="L8029" s="144"/>
      <c r="M8029" s="144"/>
      <c r="N8029" s="144"/>
    </row>
    <row r="8030">
      <c r="D8030" s="143"/>
      <c r="E8030" s="143"/>
      <c r="F8030" s="143"/>
      <c r="G8030" s="143"/>
      <c r="H8030" s="143"/>
      <c r="I8030" s="143"/>
      <c r="J8030" s="143"/>
      <c r="K8030" s="143"/>
      <c r="L8030" s="143"/>
      <c r="M8030" s="143"/>
      <c r="N8030" s="143"/>
    </row>
    <row r="8031">
      <c r="D8031" s="144"/>
      <c r="E8031" s="144"/>
      <c r="F8031" s="144"/>
      <c r="G8031" s="144"/>
      <c r="H8031" s="144"/>
      <c r="I8031" s="144"/>
      <c r="J8031" s="144"/>
      <c r="K8031" s="144"/>
      <c r="L8031" s="144"/>
      <c r="M8031" s="144"/>
      <c r="N8031" s="144"/>
    </row>
    <row r="8032">
      <c r="D8032" s="143"/>
      <c r="E8032" s="143"/>
      <c r="F8032" s="143"/>
      <c r="G8032" s="143"/>
      <c r="H8032" s="143"/>
      <c r="I8032" s="143"/>
      <c r="J8032" s="143"/>
      <c r="K8032" s="143"/>
      <c r="L8032" s="143"/>
      <c r="M8032" s="143"/>
      <c r="N8032" s="143"/>
    </row>
    <row r="8033">
      <c r="D8033" s="144"/>
      <c r="E8033" s="144"/>
      <c r="F8033" s="144"/>
      <c r="G8033" s="144"/>
      <c r="H8033" s="144"/>
      <c r="I8033" s="144"/>
      <c r="J8033" s="144"/>
      <c r="K8033" s="144"/>
      <c r="L8033" s="144"/>
      <c r="M8033" s="144"/>
      <c r="N8033" s="144"/>
    </row>
    <row r="8034">
      <c r="D8034" s="143"/>
      <c r="E8034" s="143"/>
      <c r="F8034" s="143"/>
      <c r="G8034" s="143"/>
      <c r="H8034" s="143"/>
      <c r="I8034" s="143"/>
      <c r="J8034" s="143"/>
      <c r="K8034" s="143"/>
      <c r="L8034" s="143"/>
      <c r="M8034" s="143"/>
      <c r="N8034" s="143"/>
    </row>
    <row r="8035">
      <c r="D8035" s="144"/>
      <c r="E8035" s="144"/>
      <c r="F8035" s="144"/>
      <c r="G8035" s="144"/>
      <c r="H8035" s="144"/>
      <c r="I8035" s="144"/>
      <c r="J8035" s="144"/>
      <c r="K8035" s="144"/>
      <c r="L8035" s="144"/>
      <c r="M8035" s="144"/>
      <c r="N8035" s="144"/>
    </row>
    <row r="8036">
      <c r="D8036" s="143"/>
      <c r="E8036" s="143"/>
      <c r="F8036" s="143"/>
      <c r="G8036" s="143"/>
      <c r="H8036" s="143"/>
      <c r="I8036" s="143"/>
      <c r="J8036" s="143"/>
      <c r="K8036" s="143"/>
      <c r="L8036" s="143"/>
      <c r="M8036" s="143"/>
      <c r="N8036" s="143"/>
    </row>
    <row r="8037">
      <c r="D8037" s="144"/>
      <c r="E8037" s="144"/>
      <c r="F8037" s="144"/>
      <c r="G8037" s="144"/>
      <c r="H8037" s="144"/>
      <c r="I8037" s="144"/>
      <c r="J8037" s="144"/>
      <c r="K8037" s="144"/>
      <c r="L8037" s="144"/>
      <c r="M8037" s="144"/>
      <c r="N8037" s="144"/>
    </row>
    <row r="8038">
      <c r="D8038" s="143"/>
      <c r="E8038" s="143"/>
      <c r="F8038" s="143"/>
      <c r="G8038" s="143"/>
      <c r="H8038" s="143"/>
      <c r="I8038" s="143"/>
      <c r="J8038" s="143"/>
      <c r="K8038" s="143"/>
      <c r="L8038" s="143"/>
      <c r="M8038" s="143"/>
      <c r="N8038" s="143"/>
    </row>
    <row r="8039">
      <c r="D8039" s="144"/>
      <c r="E8039" s="144"/>
      <c r="F8039" s="144"/>
      <c r="G8039" s="144"/>
      <c r="H8039" s="144"/>
      <c r="I8039" s="144"/>
      <c r="J8039" s="144"/>
      <c r="K8039" s="144"/>
      <c r="L8039" s="144"/>
      <c r="M8039" s="144"/>
      <c r="N8039" s="144"/>
    </row>
    <row r="8040">
      <c r="D8040" s="143"/>
      <c r="E8040" s="143"/>
      <c r="F8040" s="143"/>
      <c r="G8040" s="143"/>
      <c r="H8040" s="143"/>
      <c r="I8040" s="143"/>
      <c r="J8040" s="143"/>
      <c r="K8040" s="143"/>
      <c r="L8040" s="143"/>
      <c r="M8040" s="143"/>
      <c r="N8040" s="143"/>
    </row>
    <row r="8041">
      <c r="D8041" s="144"/>
      <c r="E8041" s="144"/>
      <c r="F8041" s="144"/>
      <c r="G8041" s="144"/>
      <c r="H8041" s="144"/>
      <c r="I8041" s="144"/>
      <c r="J8041" s="144"/>
      <c r="K8041" s="144"/>
      <c r="L8041" s="144"/>
      <c r="M8041" s="144"/>
      <c r="N8041" s="144"/>
    </row>
    <row r="8042">
      <c r="D8042" s="143"/>
      <c r="E8042" s="143"/>
      <c r="F8042" s="143"/>
      <c r="G8042" s="143"/>
      <c r="H8042" s="143"/>
      <c r="I8042" s="143"/>
      <c r="J8042" s="143"/>
      <c r="K8042" s="143"/>
      <c r="L8042" s="143"/>
      <c r="M8042" s="143"/>
      <c r="N8042" s="143"/>
    </row>
    <row r="8043">
      <c r="D8043" s="144"/>
      <c r="E8043" s="144"/>
      <c r="F8043" s="144"/>
      <c r="G8043" s="144"/>
      <c r="H8043" s="144"/>
      <c r="I8043" s="144"/>
      <c r="J8043" s="144"/>
      <c r="K8043" s="144"/>
      <c r="L8043" s="144"/>
      <c r="M8043" s="144"/>
      <c r="N8043" s="144"/>
    </row>
    <row r="8044">
      <c r="D8044" s="143"/>
      <c r="E8044" s="143"/>
      <c r="F8044" s="143"/>
      <c r="G8044" s="143"/>
      <c r="H8044" s="143"/>
      <c r="I8044" s="143"/>
      <c r="J8044" s="143"/>
      <c r="K8044" s="143"/>
      <c r="L8044" s="143"/>
      <c r="M8044" s="143"/>
      <c r="N8044" s="143"/>
    </row>
    <row r="8045">
      <c r="D8045" s="144"/>
      <c r="E8045" s="144"/>
      <c r="F8045" s="144"/>
      <c r="G8045" s="144"/>
      <c r="H8045" s="144"/>
      <c r="I8045" s="144"/>
      <c r="J8045" s="144"/>
      <c r="K8045" s="144"/>
      <c r="L8045" s="144"/>
      <c r="M8045" s="144"/>
      <c r="N8045" s="144"/>
    </row>
    <row r="8046">
      <c r="D8046" s="143"/>
      <c r="E8046" s="143"/>
      <c r="F8046" s="143"/>
      <c r="G8046" s="143"/>
      <c r="H8046" s="143"/>
      <c r="I8046" s="143"/>
      <c r="J8046" s="143"/>
      <c r="K8046" s="143"/>
      <c r="L8046" s="143"/>
      <c r="M8046" s="143"/>
      <c r="N8046" s="143"/>
    </row>
    <row r="8047">
      <c r="D8047" s="144"/>
      <c r="E8047" s="144"/>
      <c r="F8047" s="144"/>
      <c r="G8047" s="144"/>
      <c r="H8047" s="144"/>
      <c r="I8047" s="144"/>
      <c r="J8047" s="144"/>
      <c r="K8047" s="144"/>
      <c r="L8047" s="144"/>
      <c r="M8047" s="144"/>
      <c r="N8047" s="144"/>
    </row>
    <row r="8048">
      <c r="D8048" s="143"/>
      <c r="E8048" s="143"/>
      <c r="F8048" s="143"/>
      <c r="G8048" s="143"/>
      <c r="H8048" s="143"/>
      <c r="I8048" s="143"/>
      <c r="J8048" s="143"/>
      <c r="K8048" s="143"/>
      <c r="L8048" s="143"/>
      <c r="M8048" s="143"/>
      <c r="N8048" s="143"/>
    </row>
    <row r="8049">
      <c r="D8049" s="144"/>
      <c r="E8049" s="144"/>
      <c r="F8049" s="144"/>
      <c r="G8049" s="144"/>
      <c r="H8049" s="144"/>
      <c r="I8049" s="144"/>
      <c r="J8049" s="144"/>
      <c r="K8049" s="144"/>
      <c r="L8049" s="144"/>
      <c r="M8049" s="144"/>
      <c r="N8049" s="144"/>
    </row>
    <row r="8050">
      <c r="D8050" s="143"/>
      <c r="E8050" s="143"/>
      <c r="F8050" s="143"/>
      <c r="G8050" s="143"/>
      <c r="H8050" s="143"/>
      <c r="I8050" s="143"/>
      <c r="J8050" s="143"/>
      <c r="K8050" s="143"/>
      <c r="L8050" s="143"/>
      <c r="M8050" s="143"/>
      <c r="N8050" s="143"/>
    </row>
    <row r="8051">
      <c r="D8051" s="144"/>
      <c r="E8051" s="144"/>
      <c r="F8051" s="144"/>
      <c r="G8051" s="144"/>
      <c r="H8051" s="144"/>
      <c r="I8051" s="144"/>
      <c r="J8051" s="144"/>
      <c r="K8051" s="144"/>
      <c r="L8051" s="144"/>
      <c r="M8051" s="144"/>
      <c r="N8051" s="144"/>
    </row>
    <row r="8052">
      <c r="D8052" s="143"/>
      <c r="E8052" s="143"/>
      <c r="F8052" s="143"/>
      <c r="G8052" s="143"/>
      <c r="H8052" s="143"/>
      <c r="I8052" s="143"/>
      <c r="J8052" s="143"/>
      <c r="K8052" s="143"/>
      <c r="L8052" s="143"/>
      <c r="M8052" s="143"/>
      <c r="N8052" s="143"/>
    </row>
    <row r="8053">
      <c r="D8053" s="144"/>
      <c r="E8053" s="144"/>
      <c r="F8053" s="144"/>
      <c r="G8053" s="144"/>
      <c r="H8053" s="144"/>
      <c r="I8053" s="144"/>
      <c r="J8053" s="144"/>
      <c r="K8053" s="144"/>
      <c r="L8053" s="144"/>
      <c r="M8053" s="144"/>
      <c r="N8053" s="144"/>
    </row>
    <row r="8054">
      <c r="D8054" s="143"/>
      <c r="E8054" s="143"/>
      <c r="F8054" s="143"/>
      <c r="G8054" s="143"/>
      <c r="H8054" s="143"/>
      <c r="I8054" s="143"/>
      <c r="J8054" s="143"/>
      <c r="K8054" s="143"/>
      <c r="L8054" s="143"/>
      <c r="M8054" s="143"/>
      <c r="N8054" s="143"/>
    </row>
    <row r="8055">
      <c r="D8055" s="144"/>
      <c r="E8055" s="144"/>
      <c r="F8055" s="144"/>
      <c r="G8055" s="144"/>
      <c r="H8055" s="144"/>
      <c r="I8055" s="144"/>
      <c r="J8055" s="144"/>
      <c r="K8055" s="144"/>
      <c r="L8055" s="144"/>
      <c r="M8055" s="144"/>
      <c r="N8055" s="144"/>
    </row>
    <row r="8056">
      <c r="D8056" s="143"/>
      <c r="E8056" s="143"/>
      <c r="F8056" s="143"/>
      <c r="G8056" s="143"/>
      <c r="H8056" s="143"/>
      <c r="I8056" s="143"/>
      <c r="J8056" s="143"/>
      <c r="K8056" s="143"/>
      <c r="L8056" s="143"/>
      <c r="M8056" s="143"/>
      <c r="N8056" s="143"/>
    </row>
    <row r="8057">
      <c r="D8057" s="144"/>
      <c r="E8057" s="144"/>
      <c r="F8057" s="144"/>
      <c r="G8057" s="144"/>
      <c r="H8057" s="144"/>
      <c r="I8057" s="144"/>
      <c r="J8057" s="144"/>
      <c r="K8057" s="144"/>
      <c r="L8057" s="144"/>
      <c r="M8057" s="144"/>
      <c r="N8057" s="144"/>
    </row>
    <row r="8058">
      <c r="D8058" s="143"/>
      <c r="E8058" s="143"/>
      <c r="F8058" s="143"/>
      <c r="G8058" s="143"/>
      <c r="H8058" s="143"/>
      <c r="I8058" s="143"/>
      <c r="J8058" s="143"/>
      <c r="K8058" s="143"/>
      <c r="L8058" s="143"/>
      <c r="M8058" s="143"/>
      <c r="N8058" s="143"/>
    </row>
    <row r="8059">
      <c r="D8059" s="144"/>
      <c r="E8059" s="144"/>
      <c r="F8059" s="144"/>
      <c r="G8059" s="144"/>
      <c r="H8059" s="144"/>
      <c r="I8059" s="144"/>
      <c r="J8059" s="144"/>
      <c r="K8059" s="144"/>
      <c r="L8059" s="144"/>
      <c r="M8059" s="144"/>
      <c r="N8059" s="144"/>
    </row>
    <row r="8060">
      <c r="D8060" s="143"/>
      <c r="E8060" s="143"/>
      <c r="F8060" s="143"/>
      <c r="G8060" s="143"/>
      <c r="H8060" s="143"/>
      <c r="I8060" s="143"/>
      <c r="J8060" s="143"/>
      <c r="K8060" s="143"/>
      <c r="L8060" s="143"/>
      <c r="M8060" s="143"/>
      <c r="N8060" s="143"/>
    </row>
    <row r="8061">
      <c r="D8061" s="144"/>
      <c r="E8061" s="144"/>
      <c r="F8061" s="144"/>
      <c r="G8061" s="144"/>
      <c r="H8061" s="144"/>
      <c r="I8061" s="144"/>
      <c r="J8061" s="144"/>
      <c r="K8061" s="144"/>
      <c r="L8061" s="144"/>
      <c r="M8061" s="144"/>
      <c r="N8061" s="144"/>
    </row>
    <row r="8062">
      <c r="D8062" s="143"/>
      <c r="E8062" s="143"/>
      <c r="F8062" s="143"/>
      <c r="G8062" s="143"/>
      <c r="H8062" s="143"/>
      <c r="I8062" s="143"/>
      <c r="J8062" s="143"/>
      <c r="K8062" s="143"/>
      <c r="L8062" s="143"/>
      <c r="M8062" s="143"/>
      <c r="N8062" s="143"/>
    </row>
    <row r="8063">
      <c r="D8063" s="144"/>
      <c r="E8063" s="144"/>
      <c r="F8063" s="144"/>
      <c r="G8063" s="144"/>
      <c r="H8063" s="144"/>
      <c r="I8063" s="144"/>
      <c r="J8063" s="144"/>
      <c r="K8063" s="144"/>
      <c r="L8063" s="144"/>
      <c r="M8063" s="144"/>
      <c r="N8063" s="144"/>
    </row>
    <row r="8064">
      <c r="D8064" s="143"/>
      <c r="E8064" s="143"/>
      <c r="F8064" s="143"/>
      <c r="G8064" s="143"/>
      <c r="H8064" s="143"/>
      <c r="I8064" s="143"/>
      <c r="J8064" s="143"/>
      <c r="K8064" s="143"/>
      <c r="L8064" s="143"/>
      <c r="M8064" s="143"/>
      <c r="N8064" s="143"/>
    </row>
    <row r="8065">
      <c r="D8065" s="144"/>
      <c r="E8065" s="144"/>
      <c r="F8065" s="144"/>
      <c r="G8065" s="144"/>
      <c r="H8065" s="144"/>
      <c r="I8065" s="144"/>
      <c r="J8065" s="144"/>
      <c r="K8065" s="144"/>
      <c r="L8065" s="144"/>
      <c r="M8065" s="144"/>
      <c r="N8065" s="144"/>
    </row>
    <row r="8066">
      <c r="D8066" s="143"/>
      <c r="E8066" s="143"/>
      <c r="F8066" s="143"/>
      <c r="G8066" s="143"/>
      <c r="H8066" s="143"/>
      <c r="I8066" s="143"/>
      <c r="J8066" s="143"/>
      <c r="K8066" s="143"/>
      <c r="L8066" s="143"/>
      <c r="M8066" s="143"/>
      <c r="N8066" s="143"/>
    </row>
    <row r="8067">
      <c r="D8067" s="144"/>
      <c r="E8067" s="144"/>
      <c r="F8067" s="144"/>
      <c r="G8067" s="144"/>
      <c r="H8067" s="144"/>
      <c r="I8067" s="144"/>
      <c r="J8067" s="144"/>
      <c r="K8067" s="144"/>
      <c r="L8067" s="144"/>
      <c r="M8067" s="144"/>
      <c r="N8067" s="144"/>
    </row>
    <row r="8068">
      <c r="D8068" s="143"/>
      <c r="E8068" s="143"/>
      <c r="F8068" s="143"/>
      <c r="G8068" s="143"/>
      <c r="H8068" s="143"/>
      <c r="I8068" s="143"/>
      <c r="J8068" s="143"/>
      <c r="K8068" s="143"/>
      <c r="L8068" s="143"/>
      <c r="M8068" s="143"/>
      <c r="N8068" s="143"/>
    </row>
    <row r="8069">
      <c r="D8069" s="144"/>
      <c r="E8069" s="144"/>
      <c r="F8069" s="144"/>
      <c r="G8069" s="144"/>
      <c r="H8069" s="144"/>
      <c r="I8069" s="144"/>
      <c r="J8069" s="144"/>
      <c r="K8069" s="144"/>
      <c r="L8069" s="144"/>
      <c r="M8069" s="144"/>
      <c r="N8069" s="144"/>
    </row>
    <row r="8070">
      <c r="D8070" s="143"/>
      <c r="E8070" s="143"/>
      <c r="F8070" s="143"/>
      <c r="G8070" s="143"/>
      <c r="H8070" s="143"/>
      <c r="I8070" s="143"/>
      <c r="J8070" s="143"/>
      <c r="K8070" s="143"/>
      <c r="L8070" s="143"/>
      <c r="M8070" s="143"/>
      <c r="N8070" s="143"/>
    </row>
    <row r="8071">
      <c r="D8071" s="144"/>
      <c r="E8071" s="144"/>
      <c r="F8071" s="144"/>
      <c r="G8071" s="144"/>
      <c r="H8071" s="144"/>
      <c r="I8071" s="144"/>
      <c r="J8071" s="144"/>
      <c r="K8071" s="144"/>
      <c r="L8071" s="144"/>
      <c r="M8071" s="144"/>
      <c r="N8071" s="144"/>
    </row>
    <row r="8072">
      <c r="D8072" s="143"/>
      <c r="E8072" s="143"/>
      <c r="F8072" s="143"/>
      <c r="G8072" s="143"/>
      <c r="H8072" s="143"/>
      <c r="I8072" s="143"/>
      <c r="J8072" s="143"/>
      <c r="K8072" s="143"/>
      <c r="L8072" s="143"/>
      <c r="M8072" s="143"/>
      <c r="N8072" s="143"/>
    </row>
    <row r="8073">
      <c r="D8073" s="144"/>
      <c r="E8073" s="144"/>
      <c r="F8073" s="144"/>
      <c r="G8073" s="144"/>
      <c r="H8073" s="144"/>
      <c r="I8073" s="144"/>
      <c r="J8073" s="144"/>
      <c r="K8073" s="144"/>
      <c r="L8073" s="144"/>
      <c r="M8073" s="144"/>
      <c r="N8073" s="144"/>
    </row>
    <row r="8074">
      <c r="D8074" s="143"/>
      <c r="E8074" s="143"/>
      <c r="F8074" s="143"/>
      <c r="G8074" s="143"/>
      <c r="H8074" s="143"/>
      <c r="I8074" s="143"/>
      <c r="J8074" s="143"/>
      <c r="K8074" s="143"/>
      <c r="L8074" s="143"/>
      <c r="M8074" s="143"/>
      <c r="N8074" s="143"/>
    </row>
    <row r="8075">
      <c r="D8075" s="144"/>
      <c r="E8075" s="144"/>
      <c r="F8075" s="144"/>
      <c r="G8075" s="144"/>
      <c r="H8075" s="144"/>
      <c r="I8075" s="144"/>
      <c r="J8075" s="144"/>
      <c r="K8075" s="144"/>
      <c r="L8075" s="144"/>
      <c r="M8075" s="144"/>
      <c r="N8075" s="144"/>
    </row>
    <row r="8076">
      <c r="D8076" s="143"/>
      <c r="E8076" s="143"/>
      <c r="F8076" s="143"/>
      <c r="G8076" s="143"/>
      <c r="H8076" s="143"/>
      <c r="I8076" s="143"/>
      <c r="J8076" s="143"/>
      <c r="K8076" s="143"/>
      <c r="L8076" s="143"/>
      <c r="M8076" s="143"/>
      <c r="N8076" s="143"/>
    </row>
    <row r="8077">
      <c r="D8077" s="144"/>
      <c r="E8077" s="144"/>
      <c r="F8077" s="144"/>
      <c r="G8077" s="144"/>
      <c r="H8077" s="144"/>
      <c r="I8077" s="144"/>
      <c r="J8077" s="144"/>
      <c r="K8077" s="144"/>
      <c r="L8077" s="144"/>
      <c r="M8077" s="144"/>
      <c r="N8077" s="144"/>
    </row>
    <row r="8078">
      <c r="D8078" s="143"/>
      <c r="E8078" s="143"/>
      <c r="F8078" s="143"/>
      <c r="G8078" s="143"/>
      <c r="H8078" s="143"/>
      <c r="I8078" s="143"/>
      <c r="J8078" s="143"/>
      <c r="K8078" s="143"/>
      <c r="L8078" s="143"/>
      <c r="M8078" s="143"/>
      <c r="N8078" s="143"/>
    </row>
    <row r="8079">
      <c r="D8079" s="144"/>
      <c r="E8079" s="144"/>
      <c r="F8079" s="144"/>
      <c r="G8079" s="144"/>
      <c r="H8079" s="144"/>
      <c r="I8079" s="144"/>
      <c r="J8079" s="144"/>
      <c r="K8079" s="144"/>
      <c r="L8079" s="144"/>
      <c r="M8079" s="144"/>
      <c r="N8079" s="144"/>
    </row>
    <row r="8080">
      <c r="D8080" s="143"/>
      <c r="E8080" s="143"/>
      <c r="F8080" s="143"/>
      <c r="G8080" s="143"/>
      <c r="H8080" s="143"/>
      <c r="I8080" s="143"/>
      <c r="J8080" s="143"/>
      <c r="K8080" s="143"/>
      <c r="L8080" s="143"/>
      <c r="M8080" s="143"/>
      <c r="N8080" s="143"/>
    </row>
    <row r="8081">
      <c r="D8081" s="144"/>
      <c r="E8081" s="144"/>
      <c r="F8081" s="144"/>
      <c r="G8081" s="144"/>
      <c r="H8081" s="144"/>
      <c r="I8081" s="144"/>
      <c r="J8081" s="144"/>
      <c r="K8081" s="144"/>
      <c r="L8081" s="144"/>
      <c r="M8081" s="144"/>
      <c r="N8081" s="144"/>
    </row>
    <row r="8082">
      <c r="D8082" s="143"/>
      <c r="E8082" s="143"/>
      <c r="F8082" s="143"/>
      <c r="G8082" s="143"/>
      <c r="H8082" s="143"/>
      <c r="I8082" s="143"/>
      <c r="J8082" s="143"/>
      <c r="K8082" s="143"/>
      <c r="L8082" s="143"/>
      <c r="M8082" s="143"/>
      <c r="N8082" s="143"/>
    </row>
    <row r="8083">
      <c r="D8083" s="144"/>
      <c r="E8083" s="144"/>
      <c r="F8083" s="144"/>
      <c r="G8083" s="144"/>
      <c r="H8083" s="144"/>
      <c r="I8083" s="144"/>
      <c r="J8083" s="144"/>
      <c r="K8083" s="144"/>
      <c r="L8083" s="144"/>
      <c r="M8083" s="144"/>
      <c r="N8083" s="144"/>
    </row>
    <row r="8084">
      <c r="D8084" s="143"/>
      <c r="E8084" s="143"/>
      <c r="F8084" s="143"/>
      <c r="G8084" s="143"/>
      <c r="H8084" s="143"/>
      <c r="I8084" s="143"/>
      <c r="J8084" s="143"/>
      <c r="K8084" s="143"/>
      <c r="L8084" s="143"/>
      <c r="M8084" s="143"/>
      <c r="N8084" s="143"/>
    </row>
    <row r="8085">
      <c r="D8085" s="144"/>
      <c r="E8085" s="144"/>
      <c r="F8085" s="144"/>
      <c r="G8085" s="144"/>
      <c r="H8085" s="144"/>
      <c r="I8085" s="144"/>
      <c r="J8085" s="144"/>
      <c r="K8085" s="144"/>
      <c r="L8085" s="144"/>
      <c r="M8085" s="144"/>
      <c r="N8085" s="144"/>
    </row>
    <row r="8086">
      <c r="D8086" s="143"/>
      <c r="E8086" s="143"/>
      <c r="F8086" s="143"/>
      <c r="G8086" s="143"/>
      <c r="H8086" s="143"/>
      <c r="I8086" s="143"/>
      <c r="J8086" s="143"/>
      <c r="K8086" s="143"/>
      <c r="L8086" s="143"/>
      <c r="M8086" s="143"/>
      <c r="N8086" s="143"/>
    </row>
    <row r="8087">
      <c r="D8087" s="144"/>
      <c r="E8087" s="144"/>
      <c r="F8087" s="144"/>
      <c r="G8087" s="144"/>
      <c r="H8087" s="144"/>
      <c r="I8087" s="144"/>
      <c r="J8087" s="144"/>
      <c r="K8087" s="144"/>
      <c r="L8087" s="144"/>
      <c r="M8087" s="144"/>
      <c r="N8087" s="144"/>
    </row>
    <row r="8088">
      <c r="D8088" s="143"/>
      <c r="E8088" s="143"/>
      <c r="F8088" s="143"/>
      <c r="G8088" s="143"/>
      <c r="H8088" s="143"/>
      <c r="I8088" s="143"/>
      <c r="J8088" s="143"/>
      <c r="K8088" s="143"/>
      <c r="L8088" s="143"/>
      <c r="M8088" s="143"/>
      <c r="N8088" s="143"/>
    </row>
    <row r="8089">
      <c r="D8089" s="144"/>
      <c r="E8089" s="144"/>
      <c r="F8089" s="144"/>
      <c r="G8089" s="144"/>
      <c r="H8089" s="144"/>
      <c r="I8089" s="144"/>
      <c r="J8089" s="144"/>
      <c r="K8089" s="144"/>
      <c r="L8089" s="144"/>
      <c r="M8089" s="144"/>
      <c r="N8089" s="144"/>
    </row>
    <row r="8090">
      <c r="D8090" s="143"/>
      <c r="E8090" s="143"/>
      <c r="F8090" s="143"/>
      <c r="G8090" s="143"/>
      <c r="H8090" s="143"/>
      <c r="I8090" s="143"/>
      <c r="J8090" s="143"/>
      <c r="K8090" s="143"/>
      <c r="L8090" s="143"/>
      <c r="M8090" s="143"/>
      <c r="N8090" s="143"/>
    </row>
    <row r="8091">
      <c r="D8091" s="144"/>
      <c r="E8091" s="144"/>
      <c r="F8091" s="144"/>
      <c r="G8091" s="144"/>
      <c r="H8091" s="144"/>
      <c r="I8091" s="144"/>
      <c r="J8091" s="144"/>
      <c r="K8091" s="144"/>
      <c r="L8091" s="144"/>
      <c r="M8091" s="144"/>
      <c r="N8091" s="144"/>
    </row>
    <row r="8092">
      <c r="D8092" s="143"/>
      <c r="E8092" s="143"/>
      <c r="F8092" s="143"/>
      <c r="G8092" s="143"/>
      <c r="H8092" s="143"/>
      <c r="I8092" s="143"/>
      <c r="J8092" s="143"/>
      <c r="K8092" s="143"/>
      <c r="L8092" s="143"/>
      <c r="M8092" s="143"/>
      <c r="N8092" s="143"/>
    </row>
    <row r="8093">
      <c r="D8093" s="144"/>
      <c r="E8093" s="144"/>
      <c r="F8093" s="144"/>
      <c r="G8093" s="144"/>
      <c r="H8093" s="144"/>
      <c r="I8093" s="144"/>
      <c r="J8093" s="144"/>
      <c r="K8093" s="144"/>
      <c r="L8093" s="144"/>
      <c r="M8093" s="144"/>
      <c r="N8093" s="144"/>
    </row>
    <row r="8094">
      <c r="D8094" s="143"/>
      <c r="E8094" s="143"/>
      <c r="F8094" s="143"/>
      <c r="G8094" s="143"/>
      <c r="H8094" s="143"/>
      <c r="I8094" s="143"/>
      <c r="J8094" s="143"/>
      <c r="K8094" s="143"/>
      <c r="L8094" s="143"/>
      <c r="M8094" s="143"/>
      <c r="N8094" s="143"/>
    </row>
    <row r="8095">
      <c r="D8095" s="144"/>
      <c r="E8095" s="144"/>
      <c r="F8095" s="144"/>
      <c r="G8095" s="144"/>
      <c r="H8095" s="144"/>
      <c r="I8095" s="144"/>
      <c r="J8095" s="144"/>
      <c r="K8095" s="144"/>
      <c r="L8095" s="144"/>
      <c r="M8095" s="144"/>
      <c r="N8095" s="144"/>
    </row>
    <row r="8096">
      <c r="D8096" s="143"/>
      <c r="E8096" s="143"/>
      <c r="F8096" s="143"/>
      <c r="G8096" s="143"/>
      <c r="H8096" s="143"/>
      <c r="I8096" s="143"/>
      <c r="J8096" s="143"/>
      <c r="K8096" s="143"/>
      <c r="L8096" s="143"/>
      <c r="M8096" s="143"/>
      <c r="N8096" s="143"/>
    </row>
    <row r="8097">
      <c r="D8097" s="144"/>
      <c r="E8097" s="144"/>
      <c r="F8097" s="144"/>
      <c r="G8097" s="144"/>
      <c r="H8097" s="144"/>
      <c r="I8097" s="144"/>
      <c r="J8097" s="144"/>
      <c r="K8097" s="144"/>
      <c r="L8097" s="144"/>
      <c r="M8097" s="144"/>
      <c r="N8097" s="144"/>
    </row>
    <row r="8098">
      <c r="D8098" s="143"/>
      <c r="E8098" s="143"/>
      <c r="F8098" s="143"/>
      <c r="G8098" s="143"/>
      <c r="H8098" s="143"/>
      <c r="I8098" s="143"/>
      <c r="J8098" s="143"/>
      <c r="K8098" s="143"/>
      <c r="L8098" s="143"/>
      <c r="M8098" s="143"/>
      <c r="N8098" s="143"/>
    </row>
    <row r="8099">
      <c r="D8099" s="144"/>
      <c r="E8099" s="144"/>
      <c r="F8099" s="144"/>
      <c r="G8099" s="144"/>
      <c r="H8099" s="144"/>
      <c r="I8099" s="144"/>
      <c r="J8099" s="144"/>
      <c r="K8099" s="144"/>
      <c r="L8099" s="144"/>
      <c r="M8099" s="144"/>
      <c r="N8099" s="144"/>
    </row>
    <row r="8100">
      <c r="D8100" s="143"/>
      <c r="E8100" s="143"/>
      <c r="F8100" s="143"/>
      <c r="G8100" s="143"/>
      <c r="H8100" s="143"/>
      <c r="I8100" s="143"/>
      <c r="J8100" s="143"/>
      <c r="K8100" s="143"/>
      <c r="L8100" s="143"/>
      <c r="M8100" s="143"/>
      <c r="N8100" s="143"/>
    </row>
    <row r="8101">
      <c r="D8101" s="144"/>
      <c r="E8101" s="144"/>
      <c r="F8101" s="144"/>
      <c r="G8101" s="144"/>
      <c r="H8101" s="144"/>
      <c r="I8101" s="144"/>
      <c r="J8101" s="144"/>
      <c r="K8101" s="144"/>
      <c r="L8101" s="144"/>
      <c r="M8101" s="144"/>
      <c r="N8101" s="144"/>
    </row>
    <row r="8102">
      <c r="D8102" s="143"/>
      <c r="E8102" s="143"/>
      <c r="F8102" s="143"/>
      <c r="G8102" s="143"/>
      <c r="H8102" s="143"/>
      <c r="I8102" s="143"/>
      <c r="J8102" s="143"/>
      <c r="K8102" s="143"/>
      <c r="L8102" s="143"/>
      <c r="M8102" s="143"/>
      <c r="N8102" s="143"/>
    </row>
    <row r="8103">
      <c r="D8103" s="144"/>
      <c r="E8103" s="144"/>
      <c r="F8103" s="144"/>
      <c r="G8103" s="144"/>
      <c r="H8103" s="144"/>
      <c r="I8103" s="144"/>
      <c r="J8103" s="144"/>
      <c r="K8103" s="144"/>
      <c r="L8103" s="144"/>
      <c r="M8103" s="144"/>
      <c r="N8103" s="144"/>
    </row>
    <row r="8104">
      <c r="D8104" s="143"/>
      <c r="E8104" s="143"/>
      <c r="F8104" s="143"/>
      <c r="G8104" s="143"/>
      <c r="H8104" s="143"/>
      <c r="I8104" s="143"/>
      <c r="J8104" s="143"/>
      <c r="K8104" s="143"/>
      <c r="L8104" s="143"/>
      <c r="M8104" s="143"/>
      <c r="N8104" s="143"/>
    </row>
    <row r="8105">
      <c r="D8105" s="144"/>
      <c r="E8105" s="144"/>
      <c r="F8105" s="144"/>
      <c r="G8105" s="144"/>
      <c r="H8105" s="144"/>
      <c r="I8105" s="144"/>
      <c r="J8105" s="144"/>
      <c r="K8105" s="144"/>
      <c r="L8105" s="144"/>
      <c r="M8105" s="144"/>
      <c r="N8105" s="144"/>
    </row>
    <row r="8106">
      <c r="D8106" s="143"/>
      <c r="E8106" s="143"/>
      <c r="F8106" s="143"/>
      <c r="G8106" s="143"/>
      <c r="H8106" s="143"/>
      <c r="I8106" s="143"/>
      <c r="J8106" s="143"/>
      <c r="K8106" s="143"/>
      <c r="L8106" s="143"/>
      <c r="M8106" s="143"/>
      <c r="N8106" s="143"/>
    </row>
    <row r="8107">
      <c r="D8107" s="144"/>
      <c r="E8107" s="144"/>
      <c r="F8107" s="144"/>
      <c r="G8107" s="144"/>
      <c r="H8107" s="144"/>
      <c r="I8107" s="144"/>
      <c r="J8107" s="144"/>
      <c r="K8107" s="144"/>
      <c r="L8107" s="144"/>
      <c r="M8107" s="144"/>
      <c r="N8107" s="144"/>
    </row>
    <row r="8108">
      <c r="D8108" s="143"/>
      <c r="E8108" s="143"/>
      <c r="F8108" s="143"/>
      <c r="G8108" s="143"/>
      <c r="H8108" s="143"/>
      <c r="I8108" s="143"/>
      <c r="J8108" s="143"/>
      <c r="K8108" s="143"/>
      <c r="L8108" s="143"/>
      <c r="M8108" s="143"/>
      <c r="N8108" s="143"/>
    </row>
    <row r="8109">
      <c r="D8109" s="144"/>
      <c r="E8109" s="144"/>
      <c r="F8109" s="144"/>
      <c r="G8109" s="144"/>
      <c r="H8109" s="144"/>
      <c r="I8109" s="144"/>
      <c r="J8109" s="144"/>
      <c r="K8109" s="144"/>
      <c r="L8109" s="144"/>
      <c r="M8109" s="144"/>
      <c r="N8109" s="144"/>
    </row>
    <row r="8110">
      <c r="D8110" s="143"/>
      <c r="E8110" s="143"/>
      <c r="F8110" s="143"/>
      <c r="G8110" s="143"/>
      <c r="H8110" s="143"/>
      <c r="I8110" s="143"/>
      <c r="J8110" s="143"/>
      <c r="K8110" s="143"/>
      <c r="L8110" s="143"/>
      <c r="M8110" s="143"/>
      <c r="N8110" s="143"/>
    </row>
    <row r="8111">
      <c r="D8111" s="144"/>
      <c r="E8111" s="144"/>
      <c r="F8111" s="144"/>
      <c r="G8111" s="144"/>
      <c r="H8111" s="144"/>
      <c r="I8111" s="144"/>
      <c r="J8111" s="144"/>
      <c r="K8111" s="144"/>
      <c r="L8111" s="144"/>
      <c r="M8111" s="144"/>
      <c r="N8111" s="144"/>
    </row>
    <row r="8112">
      <c r="D8112" s="143"/>
      <c r="E8112" s="143"/>
      <c r="F8112" s="143"/>
      <c r="G8112" s="143"/>
      <c r="H8112" s="143"/>
      <c r="I8112" s="143"/>
      <c r="J8112" s="143"/>
      <c r="K8112" s="143"/>
      <c r="L8112" s="143"/>
      <c r="M8112" s="143"/>
      <c r="N8112" s="143"/>
    </row>
    <row r="8113">
      <c r="D8113" s="144"/>
      <c r="E8113" s="144"/>
      <c r="F8113" s="144"/>
      <c r="G8113" s="144"/>
      <c r="H8113" s="144"/>
      <c r="I8113" s="144"/>
      <c r="J8113" s="144"/>
      <c r="K8113" s="144"/>
      <c r="L8113" s="144"/>
      <c r="M8113" s="144"/>
      <c r="N8113" s="144"/>
    </row>
    <row r="8114">
      <c r="D8114" s="143"/>
      <c r="E8114" s="143"/>
      <c r="F8114" s="143"/>
      <c r="G8114" s="143"/>
      <c r="H8114" s="143"/>
      <c r="I8114" s="143"/>
      <c r="J8114" s="143"/>
      <c r="K8114" s="143"/>
      <c r="L8114" s="143"/>
      <c r="M8114" s="143"/>
      <c r="N8114" s="143"/>
    </row>
    <row r="8115">
      <c r="D8115" s="144"/>
      <c r="E8115" s="144"/>
      <c r="F8115" s="144"/>
      <c r="G8115" s="144"/>
      <c r="H8115" s="144"/>
      <c r="I8115" s="144"/>
      <c r="J8115" s="144"/>
      <c r="K8115" s="144"/>
      <c r="L8115" s="144"/>
      <c r="M8115" s="144"/>
      <c r="N8115" s="144"/>
    </row>
    <row r="8116">
      <c r="D8116" s="143"/>
      <c r="E8116" s="143"/>
      <c r="F8116" s="143"/>
      <c r="G8116" s="143"/>
      <c r="H8116" s="143"/>
      <c r="I8116" s="143"/>
      <c r="J8116" s="143"/>
      <c r="K8116" s="143"/>
      <c r="L8116" s="143"/>
      <c r="M8116" s="143"/>
      <c r="N8116" s="143"/>
    </row>
    <row r="8117">
      <c r="D8117" s="144"/>
      <c r="E8117" s="144"/>
      <c r="F8117" s="144"/>
      <c r="G8117" s="144"/>
      <c r="H8117" s="144"/>
      <c r="I8117" s="144"/>
      <c r="J8117" s="144"/>
      <c r="K8117" s="144"/>
      <c r="L8117" s="144"/>
      <c r="M8117" s="144"/>
      <c r="N8117" s="144"/>
    </row>
    <row r="8118">
      <c r="D8118" s="143"/>
      <c r="E8118" s="143"/>
      <c r="F8118" s="143"/>
      <c r="G8118" s="143"/>
      <c r="H8118" s="143"/>
      <c r="I8118" s="143"/>
      <c r="J8118" s="143"/>
      <c r="K8118" s="143"/>
      <c r="L8118" s="143"/>
      <c r="M8118" s="143"/>
      <c r="N8118" s="143"/>
    </row>
    <row r="8119">
      <c r="D8119" s="144"/>
      <c r="E8119" s="144"/>
      <c r="F8119" s="144"/>
      <c r="G8119" s="144"/>
      <c r="H8119" s="144"/>
      <c r="I8119" s="144"/>
      <c r="J8119" s="144"/>
      <c r="K8119" s="144"/>
      <c r="L8119" s="144"/>
      <c r="M8119" s="144"/>
      <c r="N8119" s="144"/>
    </row>
    <row r="8120">
      <c r="D8120" s="143"/>
      <c r="E8120" s="143"/>
      <c r="F8120" s="143"/>
      <c r="G8120" s="143"/>
      <c r="H8120" s="143"/>
      <c r="I8120" s="143"/>
      <c r="J8120" s="143"/>
      <c r="K8120" s="143"/>
      <c r="L8120" s="143"/>
      <c r="M8120" s="143"/>
      <c r="N8120" s="143"/>
    </row>
    <row r="8121">
      <c r="D8121" s="144"/>
      <c r="E8121" s="144"/>
      <c r="F8121" s="144"/>
      <c r="G8121" s="144"/>
      <c r="H8121" s="144"/>
      <c r="I8121" s="144"/>
      <c r="J8121" s="144"/>
      <c r="K8121" s="144"/>
      <c r="L8121" s="144"/>
      <c r="M8121" s="144"/>
      <c r="N8121" s="144"/>
    </row>
    <row r="8122">
      <c r="D8122" s="143"/>
      <c r="E8122" s="143"/>
      <c r="F8122" s="143"/>
      <c r="G8122" s="143"/>
      <c r="H8122" s="143"/>
      <c r="I8122" s="143"/>
      <c r="J8122" s="143"/>
      <c r="K8122" s="143"/>
      <c r="L8122" s="143"/>
      <c r="M8122" s="143"/>
      <c r="N8122" s="143"/>
    </row>
    <row r="8123">
      <c r="D8123" s="144"/>
      <c r="E8123" s="144"/>
      <c r="F8123" s="144"/>
      <c r="G8123" s="144"/>
      <c r="H8123" s="144"/>
      <c r="I8123" s="144"/>
      <c r="J8123" s="144"/>
      <c r="K8123" s="144"/>
      <c r="L8123" s="144"/>
      <c r="M8123" s="144"/>
      <c r="N8123" s="144"/>
    </row>
    <row r="8124">
      <c r="D8124" s="143"/>
      <c r="E8124" s="143"/>
      <c r="F8124" s="143"/>
      <c r="G8124" s="143"/>
      <c r="H8124" s="143"/>
      <c r="I8124" s="143"/>
      <c r="J8124" s="143"/>
      <c r="K8124" s="143"/>
      <c r="L8124" s="143"/>
      <c r="M8124" s="143"/>
      <c r="N8124" s="143"/>
    </row>
    <row r="8125">
      <c r="D8125" s="144"/>
      <c r="E8125" s="144"/>
      <c r="F8125" s="144"/>
      <c r="G8125" s="144"/>
      <c r="H8125" s="144"/>
      <c r="I8125" s="144"/>
      <c r="J8125" s="144"/>
      <c r="K8125" s="144"/>
      <c r="L8125" s="144"/>
      <c r="M8125" s="144"/>
      <c r="N8125" s="144"/>
    </row>
    <row r="8126">
      <c r="D8126" s="143"/>
      <c r="E8126" s="143"/>
      <c r="F8126" s="143"/>
      <c r="G8126" s="143"/>
      <c r="H8126" s="143"/>
      <c r="I8126" s="143"/>
      <c r="J8126" s="143"/>
      <c r="K8126" s="143"/>
      <c r="L8126" s="143"/>
      <c r="M8126" s="143"/>
      <c r="N8126" s="143"/>
    </row>
    <row r="8127">
      <c r="D8127" s="144"/>
      <c r="E8127" s="144"/>
      <c r="F8127" s="144"/>
      <c r="G8127" s="144"/>
      <c r="H8127" s="144"/>
      <c r="I8127" s="144"/>
      <c r="J8127" s="144"/>
      <c r="K8127" s="144"/>
      <c r="L8127" s="144"/>
      <c r="M8127" s="144"/>
      <c r="N8127" s="144"/>
    </row>
    <row r="8128">
      <c r="D8128" s="143"/>
      <c r="E8128" s="143"/>
      <c r="F8128" s="143"/>
      <c r="G8128" s="143"/>
      <c r="H8128" s="143"/>
      <c r="I8128" s="143"/>
      <c r="J8128" s="143"/>
      <c r="K8128" s="143"/>
      <c r="L8128" s="143"/>
      <c r="M8128" s="143"/>
      <c r="N8128" s="143"/>
    </row>
    <row r="8129">
      <c r="D8129" s="144"/>
      <c r="E8129" s="144"/>
      <c r="F8129" s="144"/>
      <c r="G8129" s="144"/>
      <c r="H8129" s="144"/>
      <c r="I8129" s="144"/>
      <c r="J8129" s="144"/>
      <c r="K8129" s="144"/>
      <c r="L8129" s="144"/>
      <c r="M8129" s="144"/>
      <c r="N8129" s="144"/>
    </row>
    <row r="8130">
      <c r="D8130" s="143"/>
      <c r="E8130" s="143"/>
      <c r="F8130" s="143"/>
      <c r="G8130" s="143"/>
      <c r="H8130" s="143"/>
      <c r="I8130" s="143"/>
      <c r="J8130" s="143"/>
      <c r="K8130" s="143"/>
      <c r="L8130" s="143"/>
      <c r="M8130" s="143"/>
      <c r="N8130" s="143"/>
    </row>
    <row r="8131">
      <c r="D8131" s="144"/>
      <c r="E8131" s="144"/>
      <c r="F8131" s="144"/>
      <c r="G8131" s="144"/>
      <c r="H8131" s="144"/>
      <c r="I8131" s="144"/>
      <c r="J8131" s="144"/>
      <c r="K8131" s="144"/>
      <c r="L8131" s="144"/>
      <c r="M8131" s="144"/>
      <c r="N8131" s="144"/>
    </row>
    <row r="8132">
      <c r="D8132" s="143"/>
      <c r="E8132" s="143"/>
      <c r="F8132" s="143"/>
      <c r="G8132" s="143"/>
      <c r="H8132" s="143"/>
      <c r="I8132" s="143"/>
      <c r="J8132" s="143"/>
      <c r="K8132" s="143"/>
      <c r="L8132" s="143"/>
      <c r="M8132" s="143"/>
      <c r="N8132" s="143"/>
    </row>
    <row r="8133">
      <c r="D8133" s="144"/>
      <c r="E8133" s="144"/>
      <c r="F8133" s="144"/>
      <c r="G8133" s="144"/>
      <c r="H8133" s="144"/>
      <c r="I8133" s="144"/>
      <c r="J8133" s="144"/>
      <c r="K8133" s="144"/>
      <c r="L8133" s="144"/>
      <c r="M8133" s="144"/>
      <c r="N8133" s="144"/>
    </row>
    <row r="8134">
      <c r="D8134" s="143"/>
      <c r="E8134" s="143"/>
      <c r="F8134" s="143"/>
      <c r="G8134" s="143"/>
      <c r="H8134" s="143"/>
      <c r="I8134" s="143"/>
      <c r="J8134" s="143"/>
      <c r="K8134" s="143"/>
      <c r="L8134" s="143"/>
      <c r="M8134" s="143"/>
      <c r="N8134" s="143"/>
    </row>
    <row r="8135">
      <c r="D8135" s="144"/>
      <c r="E8135" s="144"/>
      <c r="F8135" s="144"/>
      <c r="G8135" s="144"/>
      <c r="H8135" s="144"/>
      <c r="I8135" s="144"/>
      <c r="J8135" s="144"/>
      <c r="K8135" s="144"/>
      <c r="L8135" s="144"/>
      <c r="M8135" s="144"/>
      <c r="N8135" s="144"/>
    </row>
    <row r="8136">
      <c r="D8136" s="143"/>
      <c r="E8136" s="143"/>
      <c r="F8136" s="143"/>
      <c r="G8136" s="143"/>
      <c r="H8136" s="143"/>
      <c r="I8136" s="143"/>
      <c r="J8136" s="143"/>
      <c r="K8136" s="143"/>
      <c r="L8136" s="143"/>
      <c r="M8136" s="143"/>
      <c r="N8136" s="143"/>
    </row>
    <row r="8137">
      <c r="D8137" s="144"/>
      <c r="E8137" s="144"/>
      <c r="F8137" s="144"/>
      <c r="G8137" s="144"/>
      <c r="H8137" s="144"/>
      <c r="I8137" s="144"/>
      <c r="J8137" s="144"/>
      <c r="K8137" s="144"/>
      <c r="L8137" s="144"/>
      <c r="M8137" s="144"/>
      <c r="N8137" s="144"/>
    </row>
    <row r="8138">
      <c r="D8138" s="143"/>
      <c r="E8138" s="143"/>
      <c r="F8138" s="143"/>
      <c r="G8138" s="143"/>
      <c r="H8138" s="143"/>
      <c r="I8138" s="143"/>
      <c r="J8138" s="143"/>
      <c r="K8138" s="143"/>
      <c r="L8138" s="143"/>
      <c r="M8138" s="143"/>
      <c r="N8138" s="143"/>
    </row>
    <row r="8139">
      <c r="D8139" s="144"/>
      <c r="E8139" s="144"/>
      <c r="F8139" s="144"/>
      <c r="G8139" s="144"/>
      <c r="H8139" s="144"/>
      <c r="I8139" s="144"/>
      <c r="J8139" s="144"/>
      <c r="K8139" s="144"/>
      <c r="L8139" s="144"/>
      <c r="M8139" s="144"/>
      <c r="N8139" s="144"/>
    </row>
    <row r="8140">
      <c r="D8140" s="143"/>
      <c r="E8140" s="143"/>
      <c r="F8140" s="143"/>
      <c r="G8140" s="143"/>
      <c r="H8140" s="143"/>
      <c r="I8140" s="143"/>
      <c r="J8140" s="143"/>
      <c r="K8140" s="143"/>
      <c r="L8140" s="143"/>
      <c r="M8140" s="143"/>
      <c r="N8140" s="143"/>
    </row>
    <row r="8141">
      <c r="D8141" s="144"/>
      <c r="E8141" s="144"/>
      <c r="F8141" s="144"/>
      <c r="G8141" s="144"/>
      <c r="H8141" s="144"/>
      <c r="I8141" s="144"/>
      <c r="J8141" s="144"/>
      <c r="K8141" s="144"/>
      <c r="L8141" s="144"/>
      <c r="M8141" s="144"/>
      <c r="N8141" s="144"/>
    </row>
    <row r="8142">
      <c r="D8142" s="143"/>
      <c r="E8142" s="143"/>
      <c r="F8142" s="143"/>
      <c r="G8142" s="143"/>
      <c r="H8142" s="143"/>
      <c r="I8142" s="143"/>
      <c r="J8142" s="143"/>
      <c r="K8142" s="143"/>
      <c r="L8142" s="143"/>
      <c r="M8142" s="143"/>
      <c r="N8142" s="143"/>
    </row>
    <row r="8143">
      <c r="D8143" s="144"/>
      <c r="E8143" s="144"/>
      <c r="F8143" s="144"/>
      <c r="G8143" s="144"/>
      <c r="H8143" s="144"/>
      <c r="I8143" s="144"/>
      <c r="J8143" s="144"/>
      <c r="K8143" s="144"/>
      <c r="L8143" s="144"/>
      <c r="M8143" s="144"/>
      <c r="N8143" s="144"/>
    </row>
    <row r="8144">
      <c r="D8144" s="143"/>
      <c r="E8144" s="143"/>
      <c r="F8144" s="143"/>
      <c r="G8144" s="143"/>
      <c r="H8144" s="143"/>
      <c r="I8144" s="143"/>
      <c r="J8144" s="143"/>
      <c r="K8144" s="143"/>
      <c r="L8144" s="143"/>
      <c r="M8144" s="143"/>
      <c r="N8144" s="143"/>
    </row>
    <row r="8145">
      <c r="D8145" s="144"/>
      <c r="E8145" s="144"/>
      <c r="F8145" s="144"/>
      <c r="G8145" s="144"/>
      <c r="H8145" s="144"/>
      <c r="I8145" s="144"/>
      <c r="J8145" s="144"/>
      <c r="K8145" s="144"/>
      <c r="L8145" s="144"/>
      <c r="M8145" s="144"/>
      <c r="N8145" s="144"/>
    </row>
    <row r="8146">
      <c r="D8146" s="143"/>
      <c r="E8146" s="143"/>
      <c r="F8146" s="143"/>
      <c r="G8146" s="143"/>
      <c r="H8146" s="143"/>
      <c r="I8146" s="143"/>
      <c r="J8146" s="143"/>
      <c r="K8146" s="143"/>
      <c r="L8146" s="143"/>
      <c r="M8146" s="143"/>
      <c r="N8146" s="143"/>
    </row>
    <row r="8147">
      <c r="D8147" s="144"/>
      <c r="E8147" s="144"/>
      <c r="F8147" s="144"/>
      <c r="G8147" s="144"/>
      <c r="H8147" s="144"/>
      <c r="I8147" s="144"/>
      <c r="J8147" s="144"/>
      <c r="K8147" s="144"/>
      <c r="L8147" s="144"/>
      <c r="M8147" s="144"/>
      <c r="N8147" s="144"/>
    </row>
    <row r="8148">
      <c r="D8148" s="143"/>
      <c r="E8148" s="143"/>
      <c r="F8148" s="143"/>
      <c r="G8148" s="143"/>
      <c r="H8148" s="143"/>
      <c r="I8148" s="143"/>
      <c r="J8148" s="143"/>
      <c r="K8148" s="143"/>
      <c r="L8148" s="143"/>
      <c r="M8148" s="143"/>
      <c r="N8148" s="143"/>
    </row>
    <row r="8149">
      <c r="D8149" s="144"/>
      <c r="E8149" s="144"/>
      <c r="F8149" s="144"/>
      <c r="G8149" s="144"/>
      <c r="H8149" s="144"/>
      <c r="I8149" s="144"/>
      <c r="J8149" s="144"/>
      <c r="K8149" s="144"/>
      <c r="L8149" s="144"/>
      <c r="M8149" s="144"/>
      <c r="N8149" s="144"/>
    </row>
    <row r="8150">
      <c r="D8150" s="143"/>
      <c r="E8150" s="143"/>
      <c r="F8150" s="143"/>
      <c r="G8150" s="143"/>
      <c r="H8150" s="143"/>
      <c r="I8150" s="143"/>
      <c r="J8150" s="143"/>
      <c r="K8150" s="143"/>
      <c r="L8150" s="143"/>
      <c r="M8150" s="143"/>
      <c r="N8150" s="143"/>
    </row>
    <row r="8151">
      <c r="D8151" s="144"/>
      <c r="E8151" s="144"/>
      <c r="F8151" s="144"/>
      <c r="G8151" s="144"/>
      <c r="H8151" s="144"/>
      <c r="I8151" s="144"/>
      <c r="J8151" s="144"/>
      <c r="K8151" s="144"/>
      <c r="L8151" s="144"/>
      <c r="M8151" s="144"/>
      <c r="N8151" s="144"/>
    </row>
    <row r="8152">
      <c r="D8152" s="143"/>
      <c r="E8152" s="143"/>
      <c r="F8152" s="143"/>
      <c r="G8152" s="143"/>
      <c r="H8152" s="143"/>
      <c r="I8152" s="143"/>
      <c r="J8152" s="143"/>
      <c r="K8152" s="143"/>
      <c r="L8152" s="143"/>
      <c r="M8152" s="143"/>
      <c r="N8152" s="143"/>
    </row>
    <row r="8153">
      <c r="D8153" s="144"/>
      <c r="E8153" s="144"/>
      <c r="F8153" s="144"/>
      <c r="G8153" s="144"/>
      <c r="H8153" s="144"/>
      <c r="I8153" s="144"/>
      <c r="J8153" s="144"/>
      <c r="K8153" s="144"/>
      <c r="L8153" s="144"/>
      <c r="M8153" s="144"/>
      <c r="N8153" s="144"/>
    </row>
    <row r="8154">
      <c r="D8154" s="143"/>
      <c r="E8154" s="143"/>
      <c r="F8154" s="143"/>
      <c r="G8154" s="143"/>
      <c r="H8154" s="143"/>
      <c r="I8154" s="143"/>
      <c r="J8154" s="143"/>
      <c r="K8154" s="143"/>
      <c r="L8154" s="143"/>
      <c r="M8154" s="143"/>
      <c r="N8154" s="143"/>
    </row>
    <row r="8155">
      <c r="D8155" s="144"/>
      <c r="E8155" s="144"/>
      <c r="F8155" s="144"/>
      <c r="G8155" s="144"/>
      <c r="H8155" s="144"/>
      <c r="I8155" s="144"/>
      <c r="J8155" s="144"/>
      <c r="K8155" s="144"/>
      <c r="L8155" s="144"/>
      <c r="M8155" s="144"/>
      <c r="N8155" s="144"/>
    </row>
    <row r="8156">
      <c r="D8156" s="143"/>
      <c r="E8156" s="143"/>
      <c r="F8156" s="143"/>
      <c r="G8156" s="143"/>
      <c r="H8156" s="143"/>
      <c r="I8156" s="143"/>
      <c r="J8156" s="143"/>
      <c r="K8156" s="143"/>
      <c r="L8156" s="143"/>
      <c r="M8156" s="143"/>
      <c r="N8156" s="143"/>
    </row>
    <row r="8157">
      <c r="D8157" s="144"/>
      <c r="E8157" s="144"/>
      <c r="F8157" s="144"/>
      <c r="G8157" s="144"/>
      <c r="H8157" s="144"/>
      <c r="I8157" s="144"/>
      <c r="J8157" s="144"/>
      <c r="K8157" s="144"/>
      <c r="L8157" s="144"/>
      <c r="M8157" s="144"/>
      <c r="N8157" s="144"/>
    </row>
    <row r="8158">
      <c r="D8158" s="143"/>
      <c r="E8158" s="143"/>
      <c r="F8158" s="143"/>
      <c r="G8158" s="143"/>
      <c r="H8158" s="143"/>
      <c r="I8158" s="143"/>
      <c r="J8158" s="143"/>
      <c r="K8158" s="143"/>
      <c r="L8158" s="143"/>
      <c r="M8158" s="143"/>
      <c r="N8158" s="143"/>
    </row>
    <row r="8159">
      <c r="D8159" s="144"/>
      <c r="E8159" s="144"/>
      <c r="F8159" s="144"/>
      <c r="G8159" s="144"/>
      <c r="H8159" s="144"/>
      <c r="I8159" s="144"/>
      <c r="J8159" s="144"/>
      <c r="K8159" s="144"/>
      <c r="L8159" s="144"/>
      <c r="M8159" s="144"/>
      <c r="N8159" s="144"/>
    </row>
    <row r="8160">
      <c r="D8160" s="143"/>
      <c r="E8160" s="143"/>
      <c r="F8160" s="143"/>
      <c r="G8160" s="143"/>
      <c r="H8160" s="143"/>
      <c r="I8160" s="143"/>
      <c r="J8160" s="143"/>
      <c r="K8160" s="143"/>
      <c r="L8160" s="143"/>
      <c r="M8160" s="143"/>
      <c r="N8160" s="143"/>
    </row>
    <row r="8161">
      <c r="D8161" s="144"/>
      <c r="E8161" s="144"/>
      <c r="F8161" s="144"/>
      <c r="G8161" s="144"/>
      <c r="H8161" s="144"/>
      <c r="I8161" s="144"/>
      <c r="J8161" s="144"/>
      <c r="K8161" s="144"/>
      <c r="L8161" s="144"/>
      <c r="M8161" s="144"/>
      <c r="N8161" s="144"/>
    </row>
    <row r="8162">
      <c r="D8162" s="143"/>
      <c r="E8162" s="143"/>
      <c r="F8162" s="143"/>
      <c r="G8162" s="143"/>
      <c r="H8162" s="143"/>
      <c r="I8162" s="143"/>
      <c r="J8162" s="143"/>
      <c r="K8162" s="143"/>
      <c r="L8162" s="143"/>
      <c r="M8162" s="143"/>
      <c r="N8162" s="143"/>
    </row>
    <row r="8163">
      <c r="D8163" s="144"/>
      <c r="E8163" s="144"/>
      <c r="F8163" s="144"/>
      <c r="G8163" s="144"/>
      <c r="H8163" s="144"/>
      <c r="I8163" s="144"/>
      <c r="J8163" s="144"/>
      <c r="K8163" s="144"/>
      <c r="L8163" s="144"/>
      <c r="M8163" s="144"/>
      <c r="N8163" s="144"/>
    </row>
    <row r="8164">
      <c r="D8164" s="143"/>
      <c r="E8164" s="143"/>
      <c r="F8164" s="143"/>
      <c r="G8164" s="143"/>
      <c r="H8164" s="143"/>
      <c r="I8164" s="143"/>
      <c r="J8164" s="143"/>
      <c r="K8164" s="143"/>
      <c r="L8164" s="143"/>
      <c r="M8164" s="143"/>
      <c r="N8164" s="143"/>
    </row>
    <row r="8165">
      <c r="D8165" s="144"/>
      <c r="E8165" s="144"/>
      <c r="F8165" s="144"/>
      <c r="G8165" s="144"/>
      <c r="H8165" s="144"/>
      <c r="I8165" s="144"/>
      <c r="J8165" s="144"/>
      <c r="K8165" s="144"/>
      <c r="L8165" s="144"/>
      <c r="M8165" s="144"/>
      <c r="N8165" s="144"/>
    </row>
    <row r="8166">
      <c r="D8166" s="143"/>
      <c r="E8166" s="143"/>
      <c r="F8166" s="143"/>
      <c r="G8166" s="143"/>
      <c r="H8166" s="143"/>
      <c r="I8166" s="143"/>
      <c r="J8166" s="143"/>
      <c r="K8166" s="143"/>
      <c r="L8166" s="143"/>
      <c r="M8166" s="143"/>
      <c r="N8166" s="143"/>
    </row>
    <row r="8167">
      <c r="D8167" s="144"/>
      <c r="E8167" s="144"/>
      <c r="F8167" s="144"/>
      <c r="G8167" s="144"/>
      <c r="H8167" s="144"/>
      <c r="I8167" s="144"/>
      <c r="J8167" s="144"/>
      <c r="K8167" s="144"/>
      <c r="L8167" s="144"/>
      <c r="M8167" s="144"/>
      <c r="N8167" s="144"/>
    </row>
    <row r="8168">
      <c r="D8168" s="143"/>
      <c r="E8168" s="143"/>
      <c r="F8168" s="143"/>
      <c r="G8168" s="143"/>
      <c r="H8168" s="143"/>
      <c r="I8168" s="143"/>
      <c r="J8168" s="143"/>
      <c r="K8168" s="143"/>
      <c r="L8168" s="143"/>
      <c r="M8168" s="143"/>
      <c r="N8168" s="143"/>
    </row>
    <row r="8169">
      <c r="D8169" s="144"/>
      <c r="E8169" s="144"/>
      <c r="F8169" s="144"/>
      <c r="G8169" s="144"/>
      <c r="H8169" s="144"/>
      <c r="I8169" s="144"/>
      <c r="J8169" s="144"/>
      <c r="K8169" s="144"/>
      <c r="L8169" s="144"/>
      <c r="M8169" s="144"/>
      <c r="N8169" s="144"/>
    </row>
    <row r="8170">
      <c r="D8170" s="143"/>
      <c r="E8170" s="143"/>
      <c r="F8170" s="143"/>
      <c r="G8170" s="143"/>
      <c r="H8170" s="143"/>
      <c r="I8170" s="143"/>
      <c r="J8170" s="143"/>
      <c r="K8170" s="143"/>
      <c r="L8170" s="143"/>
      <c r="M8170" s="143"/>
      <c r="N8170" s="143"/>
    </row>
    <row r="8171">
      <c r="D8171" s="144"/>
      <c r="E8171" s="144"/>
      <c r="F8171" s="144"/>
      <c r="G8171" s="144"/>
      <c r="H8171" s="144"/>
      <c r="I8171" s="144"/>
      <c r="J8171" s="144"/>
      <c r="K8171" s="144"/>
      <c r="L8171" s="144"/>
      <c r="M8171" s="144"/>
      <c r="N8171" s="144"/>
    </row>
    <row r="8172">
      <c r="D8172" s="143"/>
      <c r="E8172" s="143"/>
      <c r="F8172" s="143"/>
      <c r="G8172" s="143"/>
      <c r="H8172" s="143"/>
      <c r="I8172" s="143"/>
      <c r="J8172" s="143"/>
      <c r="K8172" s="143"/>
      <c r="L8172" s="143"/>
      <c r="M8172" s="143"/>
      <c r="N8172" s="143"/>
    </row>
    <row r="8173">
      <c r="D8173" s="144"/>
      <c r="E8173" s="144"/>
      <c r="F8173" s="144"/>
      <c r="G8173" s="144"/>
      <c r="H8173" s="144"/>
      <c r="I8173" s="144"/>
      <c r="J8173" s="144"/>
      <c r="K8173" s="144"/>
      <c r="L8173" s="144"/>
      <c r="M8173" s="144"/>
      <c r="N8173" s="144"/>
    </row>
    <row r="8174">
      <c r="D8174" s="143"/>
      <c r="E8174" s="143"/>
      <c r="F8174" s="143"/>
      <c r="G8174" s="143"/>
      <c r="H8174" s="143"/>
      <c r="I8174" s="143"/>
      <c r="J8174" s="143"/>
      <c r="K8174" s="143"/>
      <c r="L8174" s="143"/>
      <c r="M8174" s="143"/>
      <c r="N8174" s="143"/>
    </row>
    <row r="8175">
      <c r="D8175" s="144"/>
      <c r="E8175" s="144"/>
      <c r="F8175" s="144"/>
      <c r="G8175" s="144"/>
      <c r="H8175" s="144"/>
      <c r="I8175" s="144"/>
      <c r="J8175" s="144"/>
      <c r="K8175" s="144"/>
      <c r="L8175" s="144"/>
      <c r="M8175" s="144"/>
      <c r="N8175" s="144"/>
    </row>
    <row r="8176">
      <c r="D8176" s="143"/>
      <c r="E8176" s="143"/>
      <c r="F8176" s="143"/>
      <c r="G8176" s="143"/>
      <c r="H8176" s="143"/>
      <c r="I8176" s="143"/>
      <c r="J8176" s="143"/>
      <c r="K8176" s="143"/>
      <c r="L8176" s="143"/>
      <c r="M8176" s="143"/>
      <c r="N8176" s="143"/>
    </row>
    <row r="8177">
      <c r="D8177" s="144"/>
      <c r="E8177" s="144"/>
      <c r="F8177" s="144"/>
      <c r="G8177" s="144"/>
      <c r="H8177" s="144"/>
      <c r="I8177" s="144"/>
      <c r="J8177" s="144"/>
      <c r="K8177" s="144"/>
      <c r="L8177" s="144"/>
      <c r="M8177" s="144"/>
      <c r="N8177" s="144"/>
    </row>
    <row r="8178">
      <c r="D8178" s="143"/>
      <c r="E8178" s="143"/>
      <c r="F8178" s="143"/>
      <c r="G8178" s="143"/>
      <c r="H8178" s="143"/>
      <c r="I8178" s="143"/>
      <c r="J8178" s="143"/>
      <c r="K8178" s="143"/>
      <c r="L8178" s="143"/>
      <c r="M8178" s="143"/>
      <c r="N8178" s="143"/>
    </row>
    <row r="8179">
      <c r="D8179" s="144"/>
      <c r="E8179" s="144"/>
      <c r="F8179" s="144"/>
      <c r="G8179" s="144"/>
      <c r="H8179" s="144"/>
      <c r="I8179" s="144"/>
      <c r="J8179" s="144"/>
      <c r="K8179" s="144"/>
      <c r="L8179" s="144"/>
      <c r="M8179" s="144"/>
      <c r="N8179" s="144"/>
    </row>
    <row r="8180">
      <c r="D8180" s="143"/>
      <c r="E8180" s="143"/>
      <c r="F8180" s="143"/>
      <c r="G8180" s="143"/>
      <c r="H8180" s="143"/>
      <c r="I8180" s="143"/>
      <c r="J8180" s="143"/>
      <c r="K8180" s="143"/>
      <c r="L8180" s="143"/>
      <c r="M8180" s="143"/>
      <c r="N8180" s="143"/>
    </row>
    <row r="8181">
      <c r="D8181" s="144"/>
      <c r="E8181" s="144"/>
      <c r="F8181" s="144"/>
      <c r="G8181" s="144"/>
      <c r="H8181" s="144"/>
      <c r="I8181" s="144"/>
      <c r="J8181" s="144"/>
      <c r="K8181" s="144"/>
      <c r="L8181" s="144"/>
      <c r="M8181" s="144"/>
      <c r="N8181" s="144"/>
    </row>
    <row r="8182">
      <c r="D8182" s="143"/>
      <c r="E8182" s="143"/>
      <c r="F8182" s="143"/>
      <c r="G8182" s="143"/>
      <c r="H8182" s="143"/>
      <c r="I8182" s="143"/>
      <c r="J8182" s="143"/>
      <c r="K8182" s="143"/>
      <c r="L8182" s="143"/>
      <c r="M8182" s="143"/>
      <c r="N8182" s="143"/>
    </row>
    <row r="8183">
      <c r="D8183" s="144"/>
      <c r="E8183" s="144"/>
      <c r="F8183" s="144"/>
      <c r="G8183" s="144"/>
      <c r="H8183" s="144"/>
      <c r="I8183" s="144"/>
      <c r="J8183" s="144"/>
      <c r="K8183" s="144"/>
      <c r="L8183" s="144"/>
      <c r="M8183" s="144"/>
      <c r="N8183" s="144"/>
    </row>
    <row r="8184">
      <c r="D8184" s="143"/>
      <c r="E8184" s="143"/>
      <c r="F8184" s="143"/>
      <c r="G8184" s="143"/>
      <c r="H8184" s="143"/>
      <c r="I8184" s="143"/>
      <c r="J8184" s="143"/>
      <c r="K8184" s="143"/>
      <c r="L8184" s="143"/>
      <c r="M8184" s="143"/>
      <c r="N8184" s="143"/>
    </row>
    <row r="8185">
      <c r="D8185" s="144"/>
      <c r="E8185" s="144"/>
      <c r="F8185" s="144"/>
      <c r="G8185" s="144"/>
      <c r="H8185" s="144"/>
      <c r="I8185" s="144"/>
      <c r="J8185" s="144"/>
      <c r="K8185" s="144"/>
      <c r="L8185" s="144"/>
      <c r="M8185" s="144"/>
      <c r="N8185" s="144"/>
    </row>
    <row r="8186">
      <c r="D8186" s="143"/>
      <c r="E8186" s="143"/>
      <c r="F8186" s="143"/>
      <c r="G8186" s="143"/>
      <c r="H8186" s="143"/>
      <c r="I8186" s="143"/>
      <c r="J8186" s="143"/>
      <c r="K8186" s="143"/>
      <c r="L8186" s="143"/>
      <c r="M8186" s="143"/>
      <c r="N8186" s="143"/>
    </row>
    <row r="8187">
      <c r="D8187" s="144"/>
      <c r="E8187" s="144"/>
      <c r="F8187" s="144"/>
      <c r="G8187" s="144"/>
      <c r="H8187" s="144"/>
      <c r="I8187" s="144"/>
      <c r="J8187" s="144"/>
      <c r="K8187" s="144"/>
      <c r="L8187" s="144"/>
      <c r="M8187" s="144"/>
      <c r="N8187" s="144"/>
    </row>
    <row r="8188">
      <c r="D8188" s="143"/>
      <c r="E8188" s="143"/>
      <c r="F8188" s="143"/>
      <c r="G8188" s="143"/>
      <c r="H8188" s="143"/>
      <c r="I8188" s="143"/>
      <c r="J8188" s="143"/>
      <c r="K8188" s="143"/>
      <c r="L8188" s="143"/>
      <c r="M8188" s="143"/>
      <c r="N8188" s="143"/>
    </row>
    <row r="8189">
      <c r="D8189" s="144"/>
      <c r="E8189" s="144"/>
      <c r="F8189" s="144"/>
      <c r="G8189" s="144"/>
      <c r="H8189" s="144"/>
      <c r="I8189" s="144"/>
      <c r="J8189" s="144"/>
      <c r="K8189" s="144"/>
      <c r="L8189" s="144"/>
      <c r="M8189" s="144"/>
      <c r="N8189" s="144"/>
    </row>
    <row r="8190">
      <c r="D8190" s="143"/>
      <c r="E8190" s="143"/>
      <c r="F8190" s="143"/>
      <c r="G8190" s="143"/>
      <c r="H8190" s="143"/>
      <c r="I8190" s="143"/>
      <c r="J8190" s="143"/>
      <c r="K8190" s="143"/>
      <c r="L8190" s="143"/>
      <c r="M8190" s="143"/>
      <c r="N8190" s="143"/>
    </row>
    <row r="8191">
      <c r="D8191" s="144"/>
      <c r="E8191" s="144"/>
      <c r="F8191" s="144"/>
      <c r="G8191" s="144"/>
      <c r="H8191" s="144"/>
      <c r="I8191" s="144"/>
      <c r="J8191" s="144"/>
      <c r="K8191" s="144"/>
      <c r="L8191" s="144"/>
      <c r="M8191" s="144"/>
      <c r="N8191" s="144"/>
    </row>
    <row r="8192">
      <c r="D8192" s="143"/>
      <c r="E8192" s="143"/>
      <c r="F8192" s="143"/>
      <c r="G8192" s="143"/>
      <c r="H8192" s="143"/>
      <c r="I8192" s="143"/>
      <c r="J8192" s="143"/>
      <c r="K8192" s="143"/>
      <c r="L8192" s="143"/>
      <c r="M8192" s="143"/>
      <c r="N8192" s="143"/>
    </row>
    <row r="8193">
      <c r="D8193" s="144"/>
      <c r="E8193" s="144"/>
      <c r="F8193" s="144"/>
      <c r="G8193" s="144"/>
      <c r="H8193" s="144"/>
      <c r="I8193" s="144"/>
      <c r="J8193" s="144"/>
      <c r="K8193" s="144"/>
      <c r="L8193" s="144"/>
      <c r="M8193" s="144"/>
      <c r="N8193" s="144"/>
    </row>
    <row r="8194">
      <c r="D8194" s="143"/>
      <c r="E8194" s="143"/>
      <c r="F8194" s="143"/>
      <c r="G8194" s="143"/>
      <c r="H8194" s="143"/>
      <c r="I8194" s="143"/>
      <c r="J8194" s="143"/>
      <c r="K8194" s="143"/>
      <c r="L8194" s="143"/>
      <c r="M8194" s="143"/>
      <c r="N8194" s="143"/>
    </row>
    <row r="8195">
      <c r="D8195" s="144"/>
      <c r="E8195" s="144"/>
      <c r="F8195" s="144"/>
      <c r="G8195" s="144"/>
      <c r="H8195" s="144"/>
      <c r="I8195" s="144"/>
      <c r="J8195" s="144"/>
      <c r="K8195" s="144"/>
      <c r="L8195" s="144"/>
      <c r="M8195" s="144"/>
      <c r="N8195" s="144"/>
    </row>
    <row r="8196">
      <c r="D8196" s="143"/>
      <c r="E8196" s="143"/>
      <c r="F8196" s="143"/>
      <c r="G8196" s="143"/>
      <c r="H8196" s="143"/>
      <c r="I8196" s="143"/>
      <c r="J8196" s="143"/>
      <c r="K8196" s="143"/>
      <c r="L8196" s="143"/>
      <c r="M8196" s="143"/>
      <c r="N8196" s="143"/>
    </row>
    <row r="8197">
      <c r="D8197" s="144"/>
      <c r="E8197" s="144"/>
      <c r="F8197" s="144"/>
      <c r="G8197" s="144"/>
      <c r="H8197" s="144"/>
      <c r="I8197" s="144"/>
      <c r="J8197" s="144"/>
      <c r="K8197" s="144"/>
      <c r="L8197" s="144"/>
      <c r="M8197" s="144"/>
      <c r="N8197" s="144"/>
    </row>
    <row r="8198">
      <c r="D8198" s="143"/>
      <c r="E8198" s="143"/>
      <c r="F8198" s="143"/>
      <c r="G8198" s="143"/>
      <c r="H8198" s="143"/>
      <c r="I8198" s="143"/>
      <c r="J8198" s="143"/>
      <c r="K8198" s="143"/>
      <c r="L8198" s="143"/>
      <c r="M8198" s="143"/>
      <c r="N8198" s="143"/>
    </row>
    <row r="8199">
      <c r="D8199" s="144"/>
      <c r="E8199" s="144"/>
      <c r="F8199" s="144"/>
      <c r="G8199" s="144"/>
      <c r="H8199" s="144"/>
      <c r="I8199" s="144"/>
      <c r="J8199" s="144"/>
      <c r="K8199" s="144"/>
      <c r="L8199" s="144"/>
      <c r="M8199" s="144"/>
      <c r="N8199" s="144"/>
    </row>
    <row r="8200">
      <c r="D8200" s="143"/>
      <c r="E8200" s="143"/>
      <c r="F8200" s="143"/>
      <c r="G8200" s="143"/>
      <c r="H8200" s="143"/>
      <c r="I8200" s="143"/>
      <c r="J8200" s="143"/>
      <c r="K8200" s="143"/>
      <c r="L8200" s="143"/>
      <c r="M8200" s="143"/>
      <c r="N8200" s="143"/>
    </row>
    <row r="8201">
      <c r="D8201" s="144"/>
      <c r="E8201" s="144"/>
      <c r="F8201" s="144"/>
      <c r="G8201" s="144"/>
      <c r="H8201" s="144"/>
      <c r="I8201" s="144"/>
      <c r="J8201" s="144"/>
      <c r="K8201" s="144"/>
      <c r="L8201" s="144"/>
      <c r="M8201" s="144"/>
      <c r="N8201" s="144"/>
    </row>
    <row r="8202">
      <c r="D8202" s="143"/>
      <c r="E8202" s="143"/>
      <c r="F8202" s="143"/>
      <c r="G8202" s="143"/>
      <c r="H8202" s="143"/>
      <c r="I8202" s="143"/>
      <c r="J8202" s="143"/>
      <c r="K8202" s="143"/>
      <c r="L8202" s="143"/>
      <c r="M8202" s="143"/>
      <c r="N8202" s="143"/>
    </row>
    <row r="8203">
      <c r="D8203" s="144"/>
      <c r="E8203" s="144"/>
      <c r="F8203" s="144"/>
      <c r="G8203" s="144"/>
      <c r="H8203" s="144"/>
      <c r="I8203" s="144"/>
      <c r="J8203" s="144"/>
      <c r="K8203" s="144"/>
      <c r="L8203" s="144"/>
      <c r="M8203" s="144"/>
      <c r="N8203" s="144"/>
    </row>
    <row r="8204">
      <c r="D8204" s="143"/>
      <c r="E8204" s="143"/>
      <c r="F8204" s="143"/>
      <c r="G8204" s="143"/>
      <c r="H8204" s="143"/>
      <c r="I8204" s="143"/>
      <c r="J8204" s="143"/>
      <c r="K8204" s="143"/>
      <c r="L8204" s="143"/>
      <c r="M8204" s="143"/>
      <c r="N8204" s="143"/>
    </row>
    <row r="8205">
      <c r="D8205" s="144"/>
      <c r="E8205" s="144"/>
      <c r="F8205" s="144"/>
      <c r="G8205" s="144"/>
      <c r="H8205" s="144"/>
      <c r="I8205" s="144"/>
      <c r="J8205" s="144"/>
      <c r="K8205" s="144"/>
      <c r="L8205" s="144"/>
      <c r="M8205" s="144"/>
      <c r="N8205" s="144"/>
    </row>
    <row r="8206">
      <c r="D8206" s="143"/>
      <c r="E8206" s="143"/>
      <c r="F8206" s="143"/>
      <c r="G8206" s="143"/>
      <c r="H8206" s="143"/>
      <c r="I8206" s="143"/>
      <c r="J8206" s="143"/>
      <c r="K8206" s="143"/>
      <c r="L8206" s="143"/>
      <c r="M8206" s="143"/>
      <c r="N8206" s="143"/>
    </row>
    <row r="8207">
      <c r="D8207" s="144"/>
      <c r="E8207" s="144"/>
      <c r="F8207" s="144"/>
      <c r="G8207" s="144"/>
      <c r="H8207" s="144"/>
      <c r="I8207" s="144"/>
      <c r="J8207" s="144"/>
      <c r="K8207" s="144"/>
      <c r="L8207" s="144"/>
      <c r="M8207" s="144"/>
      <c r="N8207" s="144"/>
    </row>
    <row r="8208">
      <c r="D8208" s="143"/>
      <c r="E8208" s="143"/>
      <c r="F8208" s="143"/>
      <c r="G8208" s="143"/>
      <c r="H8208" s="143"/>
      <c r="I8208" s="143"/>
      <c r="J8208" s="143"/>
      <c r="K8208" s="143"/>
      <c r="L8208" s="143"/>
      <c r="M8208" s="143"/>
      <c r="N8208" s="143"/>
    </row>
    <row r="8209">
      <c r="D8209" s="144"/>
      <c r="E8209" s="144"/>
      <c r="F8209" s="144"/>
      <c r="G8209" s="144"/>
      <c r="H8209" s="144"/>
      <c r="I8209" s="144"/>
      <c r="J8209" s="144"/>
      <c r="K8209" s="144"/>
      <c r="L8209" s="144"/>
      <c r="M8209" s="144"/>
      <c r="N8209" s="144"/>
    </row>
    <row r="8210">
      <c r="D8210" s="143"/>
      <c r="E8210" s="143"/>
      <c r="F8210" s="143"/>
      <c r="G8210" s="143"/>
      <c r="H8210" s="143"/>
      <c r="I8210" s="143"/>
      <c r="J8210" s="143"/>
      <c r="K8210" s="143"/>
      <c r="L8210" s="143"/>
      <c r="M8210" s="143"/>
      <c r="N8210" s="143"/>
    </row>
    <row r="8211">
      <c r="D8211" s="144"/>
      <c r="E8211" s="144"/>
      <c r="F8211" s="144"/>
      <c r="G8211" s="144"/>
      <c r="H8211" s="144"/>
      <c r="I8211" s="144"/>
      <c r="J8211" s="144"/>
      <c r="K8211" s="144"/>
      <c r="L8211" s="144"/>
      <c r="M8211" s="144"/>
      <c r="N8211" s="144"/>
    </row>
    <row r="8212">
      <c r="D8212" s="143"/>
      <c r="E8212" s="143"/>
      <c r="F8212" s="143"/>
      <c r="G8212" s="143"/>
      <c r="H8212" s="143"/>
      <c r="I8212" s="143"/>
      <c r="J8212" s="143"/>
      <c r="K8212" s="143"/>
      <c r="L8212" s="143"/>
      <c r="M8212" s="143"/>
      <c r="N8212" s="143"/>
    </row>
    <row r="8213">
      <c r="D8213" s="144"/>
      <c r="E8213" s="144"/>
      <c r="F8213" s="144"/>
      <c r="G8213" s="144"/>
      <c r="H8213" s="144"/>
      <c r="I8213" s="144"/>
      <c r="J8213" s="144"/>
      <c r="K8213" s="144"/>
      <c r="L8213" s="144"/>
      <c r="M8213" s="144"/>
      <c r="N8213" s="144"/>
    </row>
    <row r="8214">
      <c r="D8214" s="143"/>
      <c r="E8214" s="143"/>
      <c r="F8214" s="143"/>
      <c r="G8214" s="143"/>
      <c r="H8214" s="143"/>
      <c r="I8214" s="143"/>
      <c r="J8214" s="143"/>
      <c r="K8214" s="143"/>
      <c r="L8214" s="143"/>
      <c r="M8214" s="143"/>
      <c r="N8214" s="143"/>
    </row>
    <row r="8215">
      <c r="D8215" s="144"/>
      <c r="E8215" s="144"/>
      <c r="F8215" s="144"/>
      <c r="G8215" s="144"/>
      <c r="H8215" s="144"/>
      <c r="I8215" s="144"/>
      <c r="J8215" s="144"/>
      <c r="K8215" s="144"/>
      <c r="L8215" s="144"/>
      <c r="M8215" s="144"/>
      <c r="N8215" s="144"/>
    </row>
    <row r="8216">
      <c r="D8216" s="143"/>
      <c r="E8216" s="143"/>
      <c r="F8216" s="143"/>
      <c r="G8216" s="143"/>
      <c r="H8216" s="143"/>
      <c r="I8216" s="143"/>
      <c r="J8216" s="143"/>
      <c r="K8216" s="143"/>
      <c r="L8216" s="143"/>
      <c r="M8216" s="143"/>
      <c r="N8216" s="143"/>
    </row>
    <row r="8217">
      <c r="D8217" s="144"/>
      <c r="E8217" s="144"/>
      <c r="F8217" s="144"/>
      <c r="G8217" s="144"/>
      <c r="H8217" s="144"/>
      <c r="I8217" s="144"/>
      <c r="J8217" s="144"/>
      <c r="K8217" s="144"/>
      <c r="L8217" s="144"/>
      <c r="M8217" s="144"/>
      <c r="N8217" s="144"/>
    </row>
    <row r="8218">
      <c r="D8218" s="143"/>
      <c r="E8218" s="143"/>
      <c r="F8218" s="143"/>
      <c r="G8218" s="143"/>
      <c r="H8218" s="143"/>
      <c r="I8218" s="143"/>
      <c r="J8218" s="143"/>
      <c r="K8218" s="143"/>
      <c r="L8218" s="143"/>
      <c r="M8218" s="143"/>
      <c r="N8218" s="143"/>
    </row>
    <row r="8219">
      <c r="D8219" s="144"/>
      <c r="E8219" s="144"/>
      <c r="F8219" s="144"/>
      <c r="G8219" s="144"/>
      <c r="H8219" s="144"/>
      <c r="I8219" s="144"/>
      <c r="J8219" s="144"/>
      <c r="K8219" s="144"/>
      <c r="L8219" s="144"/>
      <c r="M8219" s="144"/>
      <c r="N8219" s="144"/>
    </row>
    <row r="8220">
      <c r="D8220" s="143"/>
      <c r="E8220" s="143"/>
      <c r="F8220" s="143"/>
      <c r="G8220" s="143"/>
      <c r="H8220" s="143"/>
      <c r="I8220" s="143"/>
      <c r="J8220" s="143"/>
      <c r="K8220" s="143"/>
      <c r="L8220" s="143"/>
      <c r="M8220" s="143"/>
      <c r="N8220" s="143"/>
    </row>
    <row r="8221">
      <c r="D8221" s="144"/>
      <c r="E8221" s="144"/>
      <c r="F8221" s="144"/>
      <c r="G8221" s="144"/>
      <c r="H8221" s="144"/>
      <c r="I8221" s="144"/>
      <c r="J8221" s="144"/>
      <c r="K8221" s="144"/>
      <c r="L8221" s="144"/>
      <c r="M8221" s="144"/>
      <c r="N8221" s="144"/>
    </row>
    <row r="8222">
      <c r="D8222" s="143"/>
      <c r="E8222" s="143"/>
      <c r="F8222" s="143"/>
      <c r="G8222" s="143"/>
      <c r="H8222" s="143"/>
      <c r="I8222" s="143"/>
      <c r="J8222" s="143"/>
      <c r="K8222" s="143"/>
      <c r="L8222" s="143"/>
      <c r="M8222" s="143"/>
      <c r="N8222" s="143"/>
    </row>
    <row r="8223">
      <c r="D8223" s="144"/>
      <c r="E8223" s="144"/>
      <c r="F8223" s="144"/>
      <c r="G8223" s="144"/>
      <c r="H8223" s="144"/>
      <c r="I8223" s="144"/>
      <c r="J8223" s="144"/>
      <c r="K8223" s="144"/>
      <c r="L8223" s="144"/>
      <c r="M8223" s="144"/>
      <c r="N8223" s="144"/>
    </row>
    <row r="8224">
      <c r="D8224" s="143"/>
      <c r="E8224" s="143"/>
      <c r="F8224" s="143"/>
      <c r="G8224" s="143"/>
      <c r="H8224" s="143"/>
      <c r="I8224" s="143"/>
      <c r="J8224" s="143"/>
      <c r="K8224" s="143"/>
      <c r="L8224" s="143"/>
      <c r="M8224" s="143"/>
      <c r="N8224" s="143"/>
    </row>
    <row r="8225">
      <c r="D8225" s="144"/>
      <c r="E8225" s="144"/>
      <c r="F8225" s="144"/>
      <c r="G8225" s="144"/>
      <c r="H8225" s="144"/>
      <c r="I8225" s="144"/>
      <c r="J8225" s="144"/>
      <c r="K8225" s="144"/>
      <c r="L8225" s="144"/>
      <c r="M8225" s="144"/>
      <c r="N8225" s="144"/>
    </row>
    <row r="8226">
      <c r="D8226" s="143"/>
      <c r="E8226" s="143"/>
      <c r="F8226" s="143"/>
      <c r="G8226" s="143"/>
      <c r="H8226" s="143"/>
      <c r="I8226" s="143"/>
      <c r="J8226" s="143"/>
      <c r="K8226" s="143"/>
      <c r="L8226" s="143"/>
      <c r="M8226" s="143"/>
      <c r="N8226" s="143"/>
    </row>
    <row r="8227">
      <c r="D8227" s="144"/>
      <c r="E8227" s="144"/>
      <c r="F8227" s="144"/>
      <c r="G8227" s="144"/>
      <c r="H8227" s="144"/>
      <c r="I8227" s="144"/>
      <c r="J8227" s="144"/>
      <c r="K8227" s="144"/>
      <c r="L8227" s="144"/>
      <c r="M8227" s="144"/>
      <c r="N8227" s="144"/>
    </row>
    <row r="8228">
      <c r="D8228" s="143"/>
      <c r="E8228" s="143"/>
      <c r="F8228" s="143"/>
      <c r="G8228" s="143"/>
      <c r="H8228" s="143"/>
      <c r="I8228" s="143"/>
      <c r="J8228" s="143"/>
      <c r="K8228" s="143"/>
      <c r="L8228" s="143"/>
      <c r="M8228" s="143"/>
      <c r="N8228" s="143"/>
    </row>
    <row r="8229">
      <c r="D8229" s="144"/>
      <c r="E8229" s="144"/>
      <c r="F8229" s="144"/>
      <c r="G8229" s="144"/>
      <c r="H8229" s="144"/>
      <c r="I8229" s="144"/>
      <c r="J8229" s="144"/>
      <c r="K8229" s="144"/>
      <c r="L8229" s="144"/>
      <c r="M8229" s="144"/>
      <c r="N8229" s="144"/>
    </row>
    <row r="8230">
      <c r="D8230" s="143"/>
      <c r="E8230" s="143"/>
      <c r="F8230" s="143"/>
      <c r="G8230" s="143"/>
      <c r="H8230" s="143"/>
      <c r="I8230" s="143"/>
      <c r="J8230" s="143"/>
      <c r="K8230" s="143"/>
      <c r="L8230" s="143"/>
      <c r="M8230" s="143"/>
      <c r="N8230" s="143"/>
    </row>
    <row r="8231">
      <c r="D8231" s="144"/>
      <c r="E8231" s="144"/>
      <c r="F8231" s="144"/>
      <c r="G8231" s="144"/>
      <c r="H8231" s="144"/>
      <c r="I8231" s="144"/>
      <c r="J8231" s="144"/>
      <c r="K8231" s="144"/>
      <c r="L8231" s="144"/>
      <c r="M8231" s="144"/>
      <c r="N8231" s="144"/>
    </row>
    <row r="8232">
      <c r="D8232" s="143"/>
      <c r="E8232" s="143"/>
      <c r="F8232" s="143"/>
      <c r="G8232" s="143"/>
      <c r="H8232" s="143"/>
      <c r="I8232" s="143"/>
      <c r="J8232" s="143"/>
      <c r="K8232" s="143"/>
      <c r="L8232" s="143"/>
      <c r="M8232" s="143"/>
      <c r="N8232" s="143"/>
    </row>
    <row r="8233">
      <c r="D8233" s="144"/>
      <c r="E8233" s="144"/>
      <c r="F8233" s="144"/>
      <c r="G8233" s="144"/>
      <c r="H8233" s="144"/>
      <c r="I8233" s="144"/>
      <c r="J8233" s="144"/>
      <c r="K8233" s="144"/>
      <c r="L8233" s="144"/>
      <c r="M8233" s="144"/>
      <c r="N8233" s="144"/>
    </row>
    <row r="8234">
      <c r="D8234" s="143"/>
      <c r="E8234" s="143"/>
      <c r="F8234" s="143"/>
      <c r="G8234" s="143"/>
      <c r="H8234" s="143"/>
      <c r="I8234" s="143"/>
      <c r="J8234" s="143"/>
      <c r="K8234" s="143"/>
      <c r="L8234" s="143"/>
      <c r="M8234" s="143"/>
      <c r="N8234" s="143"/>
    </row>
    <row r="8235">
      <c r="D8235" s="144"/>
      <c r="E8235" s="144"/>
      <c r="F8235" s="144"/>
      <c r="G8235" s="144"/>
      <c r="H8235" s="144"/>
      <c r="I8235" s="144"/>
      <c r="J8235" s="144"/>
      <c r="K8235" s="144"/>
      <c r="L8235" s="144"/>
      <c r="M8235" s="144"/>
      <c r="N8235" s="144"/>
    </row>
    <row r="8236">
      <c r="D8236" s="143"/>
      <c r="E8236" s="143"/>
      <c r="F8236" s="143"/>
      <c r="G8236" s="143"/>
      <c r="H8236" s="143"/>
      <c r="I8236" s="143"/>
      <c r="J8236" s="143"/>
      <c r="K8236" s="143"/>
      <c r="L8236" s="143"/>
      <c r="M8236" s="143"/>
      <c r="N8236" s="143"/>
    </row>
    <row r="8237">
      <c r="D8237" s="144"/>
      <c r="E8237" s="144"/>
      <c r="F8237" s="144"/>
      <c r="G8237" s="144"/>
      <c r="H8237" s="144"/>
      <c r="I8237" s="144"/>
      <c r="J8237" s="144"/>
      <c r="K8237" s="144"/>
      <c r="L8237" s="144"/>
      <c r="M8237" s="144"/>
      <c r="N8237" s="144"/>
    </row>
    <row r="8238">
      <c r="D8238" s="143"/>
      <c r="E8238" s="143"/>
      <c r="F8238" s="143"/>
      <c r="G8238" s="143"/>
      <c r="H8238" s="143"/>
      <c r="I8238" s="143"/>
      <c r="J8238" s="143"/>
      <c r="K8238" s="143"/>
      <c r="L8238" s="143"/>
      <c r="M8238" s="143"/>
      <c r="N8238" s="143"/>
    </row>
    <row r="8239">
      <c r="D8239" s="144"/>
      <c r="E8239" s="144"/>
      <c r="F8239" s="144"/>
      <c r="G8239" s="144"/>
      <c r="H8239" s="144"/>
      <c r="I8239" s="144"/>
      <c r="J8239" s="144"/>
      <c r="K8239" s="144"/>
      <c r="L8239" s="144"/>
      <c r="M8239" s="144"/>
      <c r="N8239" s="144"/>
    </row>
    <row r="8240">
      <c r="D8240" s="143"/>
      <c r="E8240" s="143"/>
      <c r="F8240" s="143"/>
      <c r="G8240" s="143"/>
      <c r="H8240" s="143"/>
      <c r="I8240" s="143"/>
      <c r="J8240" s="143"/>
      <c r="K8240" s="143"/>
      <c r="L8240" s="143"/>
      <c r="M8240" s="143"/>
      <c r="N8240" s="143"/>
    </row>
    <row r="8241">
      <c r="D8241" s="144"/>
      <c r="E8241" s="144"/>
      <c r="F8241" s="144"/>
      <c r="G8241" s="144"/>
      <c r="H8241" s="144"/>
      <c r="I8241" s="144"/>
      <c r="J8241" s="144"/>
      <c r="K8241" s="144"/>
      <c r="L8241" s="144"/>
      <c r="M8241" s="144"/>
      <c r="N8241" s="144"/>
    </row>
    <row r="8242">
      <c r="D8242" s="143"/>
      <c r="E8242" s="143"/>
      <c r="F8242" s="143"/>
      <c r="G8242" s="143"/>
      <c r="H8242" s="143"/>
      <c r="I8242" s="143"/>
      <c r="J8242" s="143"/>
      <c r="K8242" s="143"/>
      <c r="L8242" s="143"/>
      <c r="M8242" s="143"/>
      <c r="N8242" s="143"/>
    </row>
    <row r="8243">
      <c r="D8243" s="144"/>
      <c r="E8243" s="144"/>
      <c r="F8243" s="144"/>
      <c r="G8243" s="144"/>
      <c r="H8243" s="144"/>
      <c r="I8243" s="144"/>
      <c r="J8243" s="144"/>
      <c r="K8243" s="144"/>
      <c r="L8243" s="144"/>
      <c r="M8243" s="144"/>
      <c r="N8243" s="144"/>
    </row>
    <row r="8244">
      <c r="D8244" s="143"/>
      <c r="E8244" s="143"/>
      <c r="F8244" s="143"/>
      <c r="G8244" s="143"/>
      <c r="H8244" s="143"/>
      <c r="I8244" s="143"/>
      <c r="J8244" s="143"/>
      <c r="K8244" s="143"/>
      <c r="L8244" s="143"/>
      <c r="M8244" s="143"/>
      <c r="N8244" s="143"/>
    </row>
    <row r="8245">
      <c r="D8245" s="144"/>
      <c r="E8245" s="144"/>
      <c r="F8245" s="144"/>
      <c r="G8245" s="144"/>
      <c r="H8245" s="144"/>
      <c r="I8245" s="144"/>
      <c r="J8245" s="144"/>
      <c r="K8245" s="144"/>
      <c r="L8245" s="144"/>
      <c r="M8245" s="144"/>
      <c r="N8245" s="144"/>
    </row>
    <row r="8246">
      <c r="D8246" s="143"/>
      <c r="E8246" s="143"/>
      <c r="F8246" s="143"/>
      <c r="G8246" s="143"/>
      <c r="H8246" s="143"/>
      <c r="I8246" s="143"/>
      <c r="J8246" s="143"/>
      <c r="K8246" s="143"/>
      <c r="L8246" s="143"/>
      <c r="M8246" s="143"/>
      <c r="N8246" s="143"/>
    </row>
    <row r="8247">
      <c r="D8247" s="144"/>
      <c r="E8247" s="144"/>
      <c r="F8247" s="144"/>
      <c r="G8247" s="144"/>
      <c r="H8247" s="144"/>
      <c r="I8247" s="144"/>
      <c r="J8247" s="144"/>
      <c r="K8247" s="144"/>
      <c r="L8247" s="144"/>
      <c r="M8247" s="144"/>
      <c r="N8247" s="144"/>
    </row>
    <row r="8248">
      <c r="D8248" s="143"/>
      <c r="E8248" s="143"/>
      <c r="F8248" s="143"/>
      <c r="G8248" s="143"/>
      <c r="H8248" s="143"/>
      <c r="I8248" s="143"/>
      <c r="J8248" s="143"/>
      <c r="K8248" s="143"/>
      <c r="L8248" s="143"/>
      <c r="M8248" s="143"/>
      <c r="N8248" s="143"/>
    </row>
    <row r="8249">
      <c r="D8249" s="144"/>
      <c r="E8249" s="144"/>
      <c r="F8249" s="144"/>
      <c r="G8249" s="144"/>
      <c r="H8249" s="144"/>
      <c r="I8249" s="144"/>
      <c r="J8249" s="144"/>
      <c r="K8249" s="144"/>
      <c r="L8249" s="144"/>
      <c r="M8249" s="144"/>
      <c r="N8249" s="144"/>
    </row>
    <row r="8250">
      <c r="D8250" s="143"/>
      <c r="E8250" s="143"/>
      <c r="F8250" s="143"/>
      <c r="G8250" s="143"/>
      <c r="H8250" s="143"/>
      <c r="I8250" s="143"/>
      <c r="J8250" s="143"/>
      <c r="K8250" s="143"/>
      <c r="L8250" s="143"/>
      <c r="M8250" s="143"/>
      <c r="N8250" s="143"/>
    </row>
    <row r="8251">
      <c r="D8251" s="144"/>
      <c r="E8251" s="144"/>
      <c r="F8251" s="144"/>
      <c r="G8251" s="144"/>
      <c r="H8251" s="144"/>
      <c r="I8251" s="144"/>
      <c r="J8251" s="144"/>
      <c r="K8251" s="144"/>
      <c r="L8251" s="144"/>
      <c r="M8251" s="144"/>
      <c r="N8251" s="144"/>
    </row>
    <row r="8252">
      <c r="D8252" s="143"/>
      <c r="E8252" s="143"/>
      <c r="F8252" s="143"/>
      <c r="G8252" s="143"/>
      <c r="H8252" s="143"/>
      <c r="I8252" s="143"/>
      <c r="J8252" s="143"/>
      <c r="K8252" s="143"/>
      <c r="L8252" s="143"/>
      <c r="M8252" s="143"/>
      <c r="N8252" s="143"/>
    </row>
    <row r="8253">
      <c r="D8253" s="144"/>
      <c r="E8253" s="144"/>
      <c r="F8253" s="144"/>
      <c r="G8253" s="144"/>
      <c r="H8253" s="144"/>
      <c r="I8253" s="144"/>
      <c r="J8253" s="144"/>
      <c r="K8253" s="144"/>
      <c r="L8253" s="144"/>
      <c r="M8253" s="144"/>
      <c r="N8253" s="144"/>
    </row>
    <row r="8254">
      <c r="D8254" s="143"/>
      <c r="E8254" s="143"/>
      <c r="F8254" s="143"/>
      <c r="G8254" s="143"/>
      <c r="H8254" s="143"/>
      <c r="I8254" s="143"/>
      <c r="J8254" s="143"/>
      <c r="K8254" s="143"/>
      <c r="L8254" s="143"/>
      <c r="M8254" s="143"/>
      <c r="N8254" s="143"/>
    </row>
    <row r="8255">
      <c r="D8255" s="144"/>
      <c r="E8255" s="144"/>
      <c r="F8255" s="144"/>
      <c r="G8255" s="144"/>
      <c r="H8255" s="144"/>
      <c r="I8255" s="144"/>
      <c r="J8255" s="144"/>
      <c r="K8255" s="144"/>
      <c r="L8255" s="144"/>
      <c r="M8255" s="144"/>
      <c r="N8255" s="144"/>
    </row>
    <row r="8256">
      <c r="D8256" s="143"/>
      <c r="E8256" s="143"/>
      <c r="F8256" s="143"/>
      <c r="G8256" s="143"/>
      <c r="H8256" s="143"/>
      <c r="I8256" s="143"/>
      <c r="J8256" s="143"/>
      <c r="K8256" s="143"/>
      <c r="L8256" s="143"/>
      <c r="M8256" s="143"/>
      <c r="N8256" s="143"/>
    </row>
    <row r="8257">
      <c r="D8257" s="144"/>
      <c r="E8257" s="144"/>
      <c r="F8257" s="144"/>
      <c r="G8257" s="144"/>
      <c r="H8257" s="144"/>
      <c r="I8257" s="144"/>
      <c r="J8257" s="144"/>
      <c r="K8257" s="144"/>
      <c r="L8257" s="144"/>
      <c r="M8257" s="144"/>
      <c r="N8257" s="144"/>
    </row>
    <row r="8258">
      <c r="D8258" s="143"/>
      <c r="E8258" s="143"/>
      <c r="F8258" s="143"/>
      <c r="G8258" s="143"/>
      <c r="H8258" s="143"/>
      <c r="I8258" s="143"/>
      <c r="J8258" s="143"/>
      <c r="K8258" s="143"/>
      <c r="L8258" s="143"/>
      <c r="M8258" s="143"/>
      <c r="N8258" s="143"/>
    </row>
    <row r="8259">
      <c r="D8259" s="144"/>
      <c r="E8259" s="144"/>
      <c r="F8259" s="144"/>
      <c r="G8259" s="144"/>
      <c r="H8259" s="144"/>
      <c r="I8259" s="144"/>
      <c r="J8259" s="144"/>
      <c r="K8259" s="144"/>
      <c r="L8259" s="144"/>
      <c r="M8259" s="144"/>
      <c r="N8259" s="144"/>
    </row>
    <row r="8260">
      <c r="D8260" s="143"/>
      <c r="E8260" s="143"/>
      <c r="F8260" s="143"/>
      <c r="G8260" s="143"/>
      <c r="H8260" s="143"/>
      <c r="I8260" s="143"/>
      <c r="J8260" s="143"/>
      <c r="K8260" s="143"/>
      <c r="L8260" s="143"/>
      <c r="M8260" s="143"/>
      <c r="N8260" s="143"/>
    </row>
    <row r="8261">
      <c r="D8261" s="144"/>
      <c r="E8261" s="144"/>
      <c r="F8261" s="144"/>
      <c r="G8261" s="144"/>
      <c r="H8261" s="144"/>
      <c r="I8261" s="144"/>
      <c r="J8261" s="144"/>
      <c r="K8261" s="144"/>
      <c r="L8261" s="144"/>
      <c r="M8261" s="144"/>
      <c r="N8261" s="144"/>
    </row>
    <row r="8262">
      <c r="D8262" s="143"/>
      <c r="E8262" s="143"/>
      <c r="F8262" s="143"/>
      <c r="G8262" s="143"/>
      <c r="H8262" s="143"/>
      <c r="I8262" s="143"/>
      <c r="J8262" s="143"/>
      <c r="K8262" s="143"/>
      <c r="L8262" s="143"/>
      <c r="M8262" s="143"/>
      <c r="N8262" s="143"/>
    </row>
    <row r="8263">
      <c r="D8263" s="144"/>
      <c r="E8263" s="144"/>
      <c r="F8263" s="144"/>
      <c r="G8263" s="144"/>
      <c r="H8263" s="144"/>
      <c r="I8263" s="144"/>
      <c r="J8263" s="144"/>
      <c r="K8263" s="144"/>
      <c r="L8263" s="144"/>
      <c r="M8263" s="144"/>
      <c r="N8263" s="144"/>
    </row>
    <row r="8264">
      <c r="D8264" s="143"/>
      <c r="E8264" s="143"/>
      <c r="F8264" s="143"/>
      <c r="G8264" s="143"/>
      <c r="H8264" s="143"/>
      <c r="I8264" s="143"/>
      <c r="J8264" s="143"/>
      <c r="K8264" s="143"/>
      <c r="L8264" s="143"/>
      <c r="M8264" s="143"/>
      <c r="N8264" s="143"/>
    </row>
    <row r="8265">
      <c r="D8265" s="144"/>
      <c r="E8265" s="144"/>
      <c r="F8265" s="144"/>
      <c r="G8265" s="144"/>
      <c r="H8265" s="144"/>
      <c r="I8265" s="144"/>
      <c r="J8265" s="144"/>
      <c r="K8265" s="144"/>
      <c r="L8265" s="144"/>
      <c r="M8265" s="144"/>
      <c r="N8265" s="144"/>
    </row>
    <row r="8266">
      <c r="D8266" s="143"/>
      <c r="E8266" s="143"/>
      <c r="F8266" s="143"/>
      <c r="G8266" s="143"/>
      <c r="H8266" s="143"/>
      <c r="I8266" s="143"/>
      <c r="J8266" s="143"/>
      <c r="K8266" s="143"/>
      <c r="L8266" s="143"/>
      <c r="M8266" s="143"/>
      <c r="N8266" s="143"/>
    </row>
    <row r="8267">
      <c r="D8267" s="144"/>
      <c r="E8267" s="144"/>
      <c r="F8267" s="144"/>
      <c r="G8267" s="144"/>
      <c r="H8267" s="144"/>
      <c r="I8267" s="144"/>
      <c r="J8267" s="144"/>
      <c r="K8267" s="144"/>
      <c r="L8267" s="144"/>
      <c r="M8267" s="144"/>
      <c r="N8267" s="144"/>
    </row>
    <row r="8268">
      <c r="D8268" s="143"/>
      <c r="E8268" s="143"/>
      <c r="F8268" s="143"/>
      <c r="G8268" s="143"/>
      <c r="H8268" s="143"/>
      <c r="I8268" s="143"/>
      <c r="J8268" s="143"/>
      <c r="K8268" s="143"/>
      <c r="L8268" s="143"/>
      <c r="M8268" s="143"/>
      <c r="N8268" s="143"/>
    </row>
    <row r="8269">
      <c r="D8269" s="144"/>
      <c r="E8269" s="144"/>
      <c r="F8269" s="144"/>
      <c r="G8269" s="144"/>
      <c r="H8269" s="144"/>
      <c r="I8269" s="144"/>
      <c r="J8269" s="144"/>
      <c r="K8269" s="144"/>
      <c r="L8269" s="144"/>
      <c r="M8269" s="144"/>
      <c r="N8269" s="144"/>
    </row>
    <row r="8270">
      <c r="D8270" s="143"/>
      <c r="E8270" s="143"/>
      <c r="F8270" s="143"/>
      <c r="G8270" s="143"/>
      <c r="H8270" s="143"/>
      <c r="I8270" s="143"/>
      <c r="J8270" s="143"/>
      <c r="K8270" s="143"/>
      <c r="L8270" s="143"/>
      <c r="M8270" s="143"/>
      <c r="N8270" s="143"/>
    </row>
    <row r="8271">
      <c r="D8271" s="144"/>
      <c r="E8271" s="144"/>
      <c r="F8271" s="144"/>
      <c r="G8271" s="144"/>
      <c r="H8271" s="144"/>
      <c r="I8271" s="144"/>
      <c r="J8271" s="144"/>
      <c r="K8271" s="144"/>
      <c r="L8271" s="144"/>
      <c r="M8271" s="144"/>
      <c r="N8271" s="144"/>
    </row>
    <row r="8272">
      <c r="D8272" s="143"/>
      <c r="E8272" s="143"/>
      <c r="F8272" s="143"/>
      <c r="G8272" s="143"/>
      <c r="H8272" s="143"/>
      <c r="I8272" s="143"/>
      <c r="J8272" s="143"/>
      <c r="K8272" s="143"/>
      <c r="L8272" s="143"/>
      <c r="M8272" s="143"/>
      <c r="N8272" s="143"/>
    </row>
    <row r="8273">
      <c r="D8273" s="144"/>
      <c r="E8273" s="144"/>
      <c r="F8273" s="144"/>
      <c r="G8273" s="144"/>
      <c r="H8273" s="144"/>
      <c r="I8273" s="144"/>
      <c r="J8273" s="144"/>
      <c r="K8273" s="144"/>
      <c r="L8273" s="144"/>
      <c r="M8273" s="144"/>
      <c r="N8273" s="144"/>
    </row>
    <row r="8274">
      <c r="D8274" s="143"/>
      <c r="E8274" s="143"/>
      <c r="F8274" s="143"/>
      <c r="G8274" s="143"/>
      <c r="H8274" s="143"/>
      <c r="I8274" s="143"/>
      <c r="J8274" s="143"/>
      <c r="K8274" s="143"/>
      <c r="L8274" s="143"/>
      <c r="M8274" s="143"/>
      <c r="N8274" s="143"/>
    </row>
    <row r="8275">
      <c r="D8275" s="144"/>
      <c r="E8275" s="144"/>
      <c r="F8275" s="144"/>
      <c r="G8275" s="144"/>
      <c r="H8275" s="144"/>
      <c r="I8275" s="144"/>
      <c r="J8275" s="144"/>
      <c r="K8275" s="144"/>
      <c r="L8275" s="144"/>
      <c r="M8275" s="144"/>
      <c r="N8275" s="144"/>
    </row>
    <row r="8276">
      <c r="D8276" s="143"/>
      <c r="E8276" s="143"/>
      <c r="F8276" s="143"/>
      <c r="G8276" s="143"/>
      <c r="H8276" s="143"/>
      <c r="I8276" s="143"/>
      <c r="J8276" s="143"/>
      <c r="K8276" s="143"/>
      <c r="L8276" s="143"/>
      <c r="M8276" s="143"/>
      <c r="N8276" s="143"/>
    </row>
    <row r="8277">
      <c r="D8277" s="144"/>
      <c r="E8277" s="144"/>
      <c r="F8277" s="144"/>
      <c r="G8277" s="144"/>
      <c r="H8277" s="144"/>
      <c r="I8277" s="144"/>
      <c r="J8277" s="144"/>
      <c r="K8277" s="144"/>
      <c r="L8277" s="144"/>
      <c r="M8277" s="144"/>
      <c r="N8277" s="144"/>
    </row>
    <row r="8278">
      <c r="D8278" s="143"/>
      <c r="E8278" s="143"/>
      <c r="F8278" s="143"/>
      <c r="G8278" s="143"/>
      <c r="H8278" s="143"/>
      <c r="I8278" s="143"/>
      <c r="J8278" s="143"/>
      <c r="K8278" s="143"/>
      <c r="L8278" s="143"/>
      <c r="M8278" s="143"/>
      <c r="N8278" s="143"/>
    </row>
    <row r="8279">
      <c r="D8279" s="144"/>
      <c r="E8279" s="144"/>
      <c r="F8279" s="144"/>
      <c r="G8279" s="144"/>
      <c r="H8279" s="144"/>
      <c r="I8279" s="144"/>
      <c r="J8279" s="144"/>
      <c r="K8279" s="144"/>
      <c r="L8279" s="144"/>
      <c r="M8279" s="144"/>
      <c r="N8279" s="144"/>
    </row>
    <row r="8280">
      <c r="D8280" s="143"/>
      <c r="E8280" s="143"/>
      <c r="F8280" s="143"/>
      <c r="G8280" s="143"/>
      <c r="H8280" s="143"/>
      <c r="I8280" s="143"/>
      <c r="J8280" s="143"/>
      <c r="K8280" s="143"/>
      <c r="L8280" s="143"/>
      <c r="M8280" s="143"/>
      <c r="N8280" s="143"/>
    </row>
    <row r="8281">
      <c r="D8281" s="144"/>
      <c r="E8281" s="144"/>
      <c r="F8281" s="144"/>
      <c r="G8281" s="144"/>
      <c r="H8281" s="144"/>
      <c r="I8281" s="144"/>
      <c r="J8281" s="144"/>
      <c r="K8281" s="144"/>
      <c r="L8281" s="144"/>
      <c r="M8281" s="144"/>
      <c r="N8281" s="144"/>
    </row>
    <row r="8282">
      <c r="D8282" s="143"/>
      <c r="E8282" s="143"/>
      <c r="F8282" s="143"/>
      <c r="G8282" s="143"/>
      <c r="H8282" s="143"/>
      <c r="I8282" s="143"/>
      <c r="J8282" s="143"/>
      <c r="K8282" s="143"/>
      <c r="L8282" s="143"/>
      <c r="M8282" s="143"/>
      <c r="N8282" s="143"/>
    </row>
    <row r="8283">
      <c r="D8283" s="144"/>
      <c r="E8283" s="144"/>
      <c r="F8283" s="144"/>
      <c r="G8283" s="144"/>
      <c r="H8283" s="144"/>
      <c r="I8283" s="144"/>
      <c r="J8283" s="144"/>
      <c r="K8283" s="144"/>
      <c r="L8283" s="144"/>
      <c r="M8283" s="144"/>
      <c r="N8283" s="144"/>
    </row>
    <row r="8284">
      <c r="D8284" s="143"/>
      <c r="E8284" s="143"/>
      <c r="F8284" s="143"/>
      <c r="G8284" s="143"/>
      <c r="H8284" s="143"/>
      <c r="I8284" s="143"/>
      <c r="J8284" s="143"/>
      <c r="K8284" s="143"/>
      <c r="L8284" s="143"/>
      <c r="M8284" s="143"/>
      <c r="N8284" s="143"/>
    </row>
    <row r="8285">
      <c r="D8285" s="144"/>
      <c r="E8285" s="144"/>
      <c r="F8285" s="144"/>
      <c r="G8285" s="144"/>
      <c r="H8285" s="144"/>
      <c r="I8285" s="144"/>
      <c r="J8285" s="144"/>
      <c r="K8285" s="144"/>
      <c r="L8285" s="144"/>
      <c r="M8285" s="144"/>
      <c r="N8285" s="144"/>
    </row>
    <row r="8286">
      <c r="D8286" s="143"/>
      <c r="E8286" s="143"/>
      <c r="F8286" s="143"/>
      <c r="G8286" s="143"/>
      <c r="H8286" s="143"/>
      <c r="I8286" s="143"/>
      <c r="J8286" s="143"/>
      <c r="K8286" s="143"/>
      <c r="L8286" s="143"/>
      <c r="M8286" s="143"/>
      <c r="N8286" s="143"/>
    </row>
    <row r="8287">
      <c r="D8287" s="144"/>
      <c r="E8287" s="144"/>
      <c r="F8287" s="144"/>
      <c r="G8287" s="144"/>
      <c r="H8287" s="144"/>
      <c r="I8287" s="144"/>
      <c r="J8287" s="144"/>
      <c r="K8287" s="144"/>
      <c r="L8287" s="144"/>
      <c r="M8287" s="144"/>
      <c r="N8287" s="144"/>
    </row>
    <row r="8288">
      <c r="D8288" s="143"/>
      <c r="E8288" s="143"/>
      <c r="F8288" s="143"/>
      <c r="G8288" s="143"/>
      <c r="H8288" s="143"/>
      <c r="I8288" s="143"/>
      <c r="J8288" s="143"/>
      <c r="K8288" s="143"/>
      <c r="L8288" s="143"/>
      <c r="M8288" s="143"/>
      <c r="N8288" s="143"/>
    </row>
    <row r="8289">
      <c r="D8289" s="144"/>
      <c r="E8289" s="144"/>
      <c r="F8289" s="144"/>
      <c r="G8289" s="144"/>
      <c r="H8289" s="144"/>
      <c r="I8289" s="144"/>
      <c r="J8289" s="144"/>
      <c r="K8289" s="144"/>
      <c r="L8289" s="144"/>
      <c r="M8289" s="144"/>
      <c r="N8289" s="144"/>
    </row>
    <row r="8290">
      <c r="D8290" s="143"/>
      <c r="E8290" s="143"/>
      <c r="F8290" s="143"/>
      <c r="G8290" s="143"/>
      <c r="H8290" s="143"/>
      <c r="I8290" s="143"/>
      <c r="J8290" s="143"/>
      <c r="K8290" s="143"/>
      <c r="L8290" s="143"/>
      <c r="M8290" s="143"/>
      <c r="N8290" s="143"/>
    </row>
    <row r="8291">
      <c r="D8291" s="144"/>
      <c r="E8291" s="144"/>
      <c r="F8291" s="144"/>
      <c r="G8291" s="144"/>
      <c r="H8291" s="144"/>
      <c r="I8291" s="144"/>
      <c r="J8291" s="144"/>
      <c r="K8291" s="144"/>
      <c r="L8291" s="144"/>
      <c r="M8291" s="144"/>
      <c r="N8291" s="144"/>
    </row>
    <row r="8292">
      <c r="D8292" s="143"/>
      <c r="E8292" s="143"/>
      <c r="F8292" s="143"/>
      <c r="G8292" s="143"/>
      <c r="H8292" s="143"/>
      <c r="I8292" s="143"/>
      <c r="J8292" s="143"/>
      <c r="K8292" s="143"/>
      <c r="L8292" s="143"/>
      <c r="M8292" s="143"/>
      <c r="N8292" s="143"/>
    </row>
    <row r="8293">
      <c r="D8293" s="144"/>
      <c r="E8293" s="144"/>
      <c r="F8293" s="144"/>
      <c r="G8293" s="144"/>
      <c r="H8293" s="144"/>
      <c r="I8293" s="144"/>
      <c r="J8293" s="144"/>
      <c r="K8293" s="144"/>
      <c r="L8293" s="144"/>
      <c r="M8293" s="144"/>
      <c r="N8293" s="144"/>
    </row>
    <row r="8294">
      <c r="D8294" s="143"/>
      <c r="E8294" s="143"/>
      <c r="F8294" s="143"/>
      <c r="G8294" s="143"/>
      <c r="H8294" s="143"/>
      <c r="I8294" s="143"/>
      <c r="J8294" s="143"/>
      <c r="K8294" s="143"/>
      <c r="L8294" s="143"/>
      <c r="M8294" s="143"/>
      <c r="N8294" s="143"/>
    </row>
    <row r="8295">
      <c r="D8295" s="144"/>
      <c r="E8295" s="144"/>
      <c r="F8295" s="144"/>
      <c r="G8295" s="144"/>
      <c r="H8295" s="144"/>
      <c r="I8295" s="144"/>
      <c r="J8295" s="144"/>
      <c r="K8295" s="144"/>
      <c r="L8295" s="144"/>
      <c r="M8295" s="144"/>
      <c r="N8295" s="144"/>
    </row>
    <row r="8296">
      <c r="D8296" s="143"/>
      <c r="E8296" s="143"/>
      <c r="F8296" s="143"/>
      <c r="G8296" s="143"/>
      <c r="H8296" s="143"/>
      <c r="I8296" s="143"/>
      <c r="J8296" s="143"/>
      <c r="K8296" s="143"/>
      <c r="L8296" s="143"/>
      <c r="M8296" s="143"/>
      <c r="N8296" s="143"/>
    </row>
    <row r="8297">
      <c r="D8297" s="144"/>
      <c r="E8297" s="144"/>
      <c r="F8297" s="144"/>
      <c r="G8297" s="144"/>
      <c r="H8297" s="144"/>
      <c r="I8297" s="144"/>
      <c r="J8297" s="144"/>
      <c r="K8297" s="144"/>
      <c r="L8297" s="144"/>
      <c r="M8297" s="144"/>
      <c r="N8297" s="144"/>
    </row>
    <row r="8298">
      <c r="D8298" s="143"/>
      <c r="E8298" s="143"/>
      <c r="F8298" s="143"/>
      <c r="G8298" s="143"/>
      <c r="H8298" s="143"/>
      <c r="I8298" s="143"/>
      <c r="J8298" s="143"/>
      <c r="K8298" s="143"/>
      <c r="L8298" s="143"/>
      <c r="M8298" s="143"/>
      <c r="N8298" s="143"/>
    </row>
    <row r="8299">
      <c r="D8299" s="144"/>
      <c r="E8299" s="144"/>
      <c r="F8299" s="144"/>
      <c r="G8299" s="144"/>
      <c r="H8299" s="144"/>
      <c r="I8299" s="144"/>
      <c r="J8299" s="144"/>
      <c r="K8299" s="144"/>
      <c r="L8299" s="144"/>
      <c r="M8299" s="144"/>
      <c r="N8299" s="144"/>
    </row>
    <row r="8300">
      <c r="D8300" s="143"/>
      <c r="E8300" s="143"/>
      <c r="F8300" s="143"/>
      <c r="G8300" s="143"/>
      <c r="H8300" s="143"/>
      <c r="I8300" s="143"/>
      <c r="J8300" s="143"/>
      <c r="K8300" s="143"/>
      <c r="L8300" s="143"/>
      <c r="M8300" s="143"/>
      <c r="N8300" s="143"/>
    </row>
    <row r="8301">
      <c r="D8301" s="144"/>
      <c r="E8301" s="144"/>
      <c r="F8301" s="144"/>
      <c r="G8301" s="144"/>
      <c r="H8301" s="144"/>
      <c r="I8301" s="144"/>
      <c r="J8301" s="144"/>
      <c r="K8301" s="144"/>
      <c r="L8301" s="144"/>
      <c r="M8301" s="144"/>
      <c r="N8301" s="144"/>
    </row>
    <row r="8302">
      <c r="D8302" s="143"/>
      <c r="E8302" s="143"/>
      <c r="F8302" s="143"/>
      <c r="G8302" s="143"/>
      <c r="H8302" s="143"/>
      <c r="I8302" s="143"/>
      <c r="J8302" s="143"/>
      <c r="K8302" s="143"/>
      <c r="L8302" s="143"/>
      <c r="M8302" s="143"/>
      <c r="N8302" s="143"/>
    </row>
    <row r="8303">
      <c r="D8303" s="144"/>
      <c r="E8303" s="144"/>
      <c r="F8303" s="144"/>
      <c r="G8303" s="144"/>
      <c r="H8303" s="144"/>
      <c r="I8303" s="144"/>
      <c r="J8303" s="144"/>
      <c r="K8303" s="144"/>
      <c r="L8303" s="144"/>
      <c r="M8303" s="144"/>
      <c r="N8303" s="144"/>
    </row>
    <row r="8304">
      <c r="D8304" s="143"/>
      <c r="E8304" s="143"/>
      <c r="F8304" s="143"/>
      <c r="G8304" s="143"/>
      <c r="H8304" s="143"/>
      <c r="I8304" s="143"/>
      <c r="J8304" s="143"/>
      <c r="K8304" s="143"/>
      <c r="L8304" s="143"/>
      <c r="M8304" s="143"/>
      <c r="N8304" s="143"/>
    </row>
    <row r="8305">
      <c r="D8305" s="144"/>
      <c r="E8305" s="144"/>
      <c r="F8305" s="144"/>
      <c r="G8305" s="144"/>
      <c r="H8305" s="144"/>
      <c r="I8305" s="144"/>
      <c r="J8305" s="144"/>
      <c r="K8305" s="144"/>
      <c r="L8305" s="144"/>
      <c r="M8305" s="144"/>
      <c r="N8305" s="144"/>
    </row>
    <row r="8306">
      <c r="D8306" s="143"/>
      <c r="E8306" s="143"/>
      <c r="F8306" s="143"/>
      <c r="G8306" s="143"/>
      <c r="H8306" s="143"/>
      <c r="I8306" s="143"/>
      <c r="J8306" s="143"/>
      <c r="K8306" s="143"/>
      <c r="L8306" s="143"/>
      <c r="M8306" s="143"/>
      <c r="N8306" s="143"/>
    </row>
    <row r="8307">
      <c r="D8307" s="144"/>
      <c r="E8307" s="144"/>
      <c r="F8307" s="144"/>
      <c r="G8307" s="144"/>
      <c r="H8307" s="144"/>
      <c r="I8307" s="144"/>
      <c r="J8307" s="144"/>
      <c r="K8307" s="144"/>
      <c r="L8307" s="144"/>
      <c r="M8307" s="144"/>
      <c r="N8307" s="144"/>
    </row>
    <row r="8308">
      <c r="D8308" s="143"/>
      <c r="E8308" s="143"/>
      <c r="F8308" s="143"/>
      <c r="G8308" s="143"/>
      <c r="H8308" s="143"/>
      <c r="I8308" s="143"/>
      <c r="J8308" s="143"/>
      <c r="K8308" s="143"/>
      <c r="L8308" s="143"/>
      <c r="M8308" s="143"/>
      <c r="N8308" s="143"/>
    </row>
    <row r="8309">
      <c r="D8309" s="144"/>
      <c r="E8309" s="144"/>
      <c r="F8309" s="144"/>
      <c r="G8309" s="144"/>
      <c r="H8309" s="144"/>
      <c r="I8309" s="144"/>
      <c r="J8309" s="144"/>
      <c r="K8309" s="144"/>
      <c r="L8309" s="144"/>
      <c r="M8309" s="144"/>
      <c r="N8309" s="144"/>
    </row>
    <row r="8310">
      <c r="D8310" s="143"/>
      <c r="E8310" s="143"/>
      <c r="F8310" s="143"/>
      <c r="G8310" s="143"/>
      <c r="H8310" s="143"/>
      <c r="I8310" s="143"/>
      <c r="J8310" s="143"/>
      <c r="K8310" s="143"/>
      <c r="L8310" s="143"/>
      <c r="M8310" s="143"/>
      <c r="N8310" s="143"/>
    </row>
    <row r="8311">
      <c r="D8311" s="144"/>
      <c r="E8311" s="144"/>
      <c r="F8311" s="144"/>
      <c r="G8311" s="144"/>
      <c r="H8311" s="144"/>
      <c r="I8311" s="144"/>
      <c r="J8311" s="144"/>
      <c r="K8311" s="144"/>
      <c r="L8311" s="144"/>
      <c r="M8311" s="144"/>
      <c r="N8311" s="144"/>
    </row>
    <row r="8312">
      <c r="D8312" s="143"/>
      <c r="E8312" s="143"/>
      <c r="F8312" s="143"/>
      <c r="G8312" s="143"/>
      <c r="H8312" s="143"/>
      <c r="I8312" s="143"/>
      <c r="J8312" s="143"/>
      <c r="K8312" s="143"/>
      <c r="L8312" s="143"/>
      <c r="M8312" s="143"/>
      <c r="N8312" s="143"/>
    </row>
    <row r="8313">
      <c r="D8313" s="144"/>
      <c r="E8313" s="144"/>
      <c r="F8313" s="144"/>
      <c r="G8313" s="144"/>
      <c r="H8313" s="144"/>
      <c r="I8313" s="144"/>
      <c r="J8313" s="144"/>
      <c r="K8313" s="144"/>
      <c r="L8313" s="144"/>
      <c r="M8313" s="144"/>
      <c r="N8313" s="144"/>
    </row>
    <row r="8314">
      <c r="D8314" s="143"/>
      <c r="E8314" s="143"/>
      <c r="F8314" s="143"/>
      <c r="G8314" s="143"/>
      <c r="H8314" s="143"/>
      <c r="I8314" s="143"/>
      <c r="J8314" s="143"/>
      <c r="K8314" s="143"/>
      <c r="L8314" s="143"/>
      <c r="M8314" s="143"/>
      <c r="N8314" s="143"/>
    </row>
    <row r="8315">
      <c r="D8315" s="144"/>
      <c r="E8315" s="144"/>
      <c r="F8315" s="144"/>
      <c r="G8315" s="144"/>
      <c r="H8315" s="144"/>
      <c r="I8315" s="144"/>
      <c r="J8315" s="144"/>
      <c r="K8315" s="144"/>
      <c r="L8315" s="144"/>
      <c r="M8315" s="144"/>
      <c r="N8315" s="144"/>
    </row>
    <row r="8316">
      <c r="D8316" s="143"/>
      <c r="E8316" s="143"/>
      <c r="F8316" s="143"/>
      <c r="G8316" s="143"/>
      <c r="H8316" s="143"/>
      <c r="I8316" s="143"/>
      <c r="J8316" s="143"/>
      <c r="K8316" s="143"/>
      <c r="L8316" s="143"/>
      <c r="M8316" s="143"/>
      <c r="N8316" s="143"/>
    </row>
    <row r="8317">
      <c r="D8317" s="144"/>
      <c r="E8317" s="144"/>
      <c r="F8317" s="144"/>
      <c r="G8317" s="144"/>
      <c r="H8317" s="144"/>
      <c r="I8317" s="144"/>
      <c r="J8317" s="144"/>
      <c r="K8317" s="144"/>
      <c r="L8317" s="144"/>
      <c r="M8317" s="144"/>
      <c r="N8317" s="144"/>
    </row>
    <row r="8318">
      <c r="D8318" s="143"/>
      <c r="E8318" s="143"/>
      <c r="F8318" s="143"/>
      <c r="G8318" s="143"/>
      <c r="H8318" s="143"/>
      <c r="I8318" s="143"/>
      <c r="J8318" s="143"/>
      <c r="K8318" s="143"/>
      <c r="L8318" s="143"/>
      <c r="M8318" s="143"/>
      <c r="N8318" s="143"/>
    </row>
    <row r="8319">
      <c r="D8319" s="144"/>
      <c r="E8319" s="144"/>
      <c r="F8319" s="144"/>
      <c r="G8319" s="144"/>
      <c r="H8319" s="144"/>
      <c r="I8319" s="144"/>
      <c r="J8319" s="144"/>
      <c r="K8319" s="144"/>
      <c r="L8319" s="144"/>
      <c r="M8319" s="144"/>
      <c r="N8319" s="144"/>
    </row>
    <row r="8320">
      <c r="D8320" s="143"/>
      <c r="E8320" s="143"/>
      <c r="F8320" s="143"/>
      <c r="G8320" s="143"/>
      <c r="H8320" s="143"/>
      <c r="I8320" s="143"/>
      <c r="J8320" s="143"/>
      <c r="K8320" s="143"/>
      <c r="L8320" s="143"/>
      <c r="M8320" s="143"/>
      <c r="N8320" s="143"/>
    </row>
    <row r="8321">
      <c r="D8321" s="144"/>
      <c r="E8321" s="144"/>
      <c r="F8321" s="144"/>
      <c r="G8321" s="144"/>
      <c r="H8321" s="144"/>
      <c r="I8321" s="144"/>
      <c r="J8321" s="144"/>
      <c r="K8321" s="144"/>
      <c r="L8321" s="144"/>
      <c r="M8321" s="144"/>
      <c r="N8321" s="144"/>
    </row>
    <row r="8322">
      <c r="D8322" s="143"/>
      <c r="E8322" s="143"/>
      <c r="F8322" s="143"/>
      <c r="G8322" s="143"/>
      <c r="H8322" s="143"/>
      <c r="I8322" s="143"/>
      <c r="J8322" s="143"/>
      <c r="K8322" s="143"/>
      <c r="L8322" s="143"/>
      <c r="M8322" s="143"/>
      <c r="N8322" s="143"/>
    </row>
    <row r="8323">
      <c r="D8323" s="144"/>
      <c r="E8323" s="144"/>
      <c r="F8323" s="144"/>
      <c r="G8323" s="144"/>
      <c r="H8323" s="144"/>
      <c r="I8323" s="144"/>
      <c r="J8323" s="144"/>
      <c r="K8323" s="144"/>
      <c r="L8323" s="144"/>
      <c r="M8323" s="144"/>
      <c r="N8323" s="144"/>
    </row>
    <row r="8324">
      <c r="D8324" s="143"/>
      <c r="E8324" s="143"/>
      <c r="F8324" s="143"/>
      <c r="G8324" s="143"/>
      <c r="H8324" s="143"/>
      <c r="I8324" s="143"/>
      <c r="J8324" s="143"/>
      <c r="K8324" s="143"/>
      <c r="L8324" s="143"/>
      <c r="M8324" s="143"/>
      <c r="N8324" s="143"/>
    </row>
    <row r="8325">
      <c r="D8325" s="144"/>
      <c r="E8325" s="144"/>
      <c r="F8325" s="144"/>
      <c r="G8325" s="144"/>
      <c r="H8325" s="144"/>
      <c r="I8325" s="144"/>
      <c r="J8325" s="144"/>
      <c r="K8325" s="144"/>
      <c r="L8325" s="144"/>
      <c r="M8325" s="144"/>
      <c r="N8325" s="144"/>
    </row>
    <row r="8326">
      <c r="D8326" s="143"/>
      <c r="E8326" s="143"/>
      <c r="F8326" s="143"/>
      <c r="G8326" s="143"/>
      <c r="H8326" s="143"/>
      <c r="I8326" s="143"/>
      <c r="J8326" s="143"/>
      <c r="K8326" s="143"/>
      <c r="L8326" s="143"/>
      <c r="M8326" s="143"/>
      <c r="N8326" s="143"/>
    </row>
    <row r="8327">
      <c r="D8327" s="144"/>
      <c r="E8327" s="144"/>
      <c r="F8327" s="144"/>
      <c r="G8327" s="144"/>
      <c r="H8327" s="144"/>
      <c r="I8327" s="144"/>
      <c r="J8327" s="144"/>
      <c r="K8327" s="144"/>
      <c r="L8327" s="144"/>
      <c r="M8327" s="144"/>
      <c r="N8327" s="144"/>
    </row>
    <row r="8328">
      <c r="D8328" s="143"/>
      <c r="E8328" s="143"/>
      <c r="F8328" s="143"/>
      <c r="G8328" s="143"/>
      <c r="H8328" s="143"/>
      <c r="I8328" s="143"/>
      <c r="J8328" s="143"/>
      <c r="K8328" s="143"/>
      <c r="L8328" s="143"/>
      <c r="M8328" s="143"/>
      <c r="N8328" s="143"/>
    </row>
    <row r="8329">
      <c r="D8329" s="144"/>
      <c r="E8329" s="144"/>
      <c r="F8329" s="144"/>
      <c r="G8329" s="144"/>
      <c r="H8329" s="144"/>
      <c r="I8329" s="144"/>
      <c r="J8329" s="144"/>
      <c r="K8329" s="144"/>
      <c r="L8329" s="144"/>
      <c r="M8329" s="144"/>
      <c r="N8329" s="144"/>
    </row>
    <row r="8330">
      <c r="D8330" s="143"/>
      <c r="E8330" s="143"/>
      <c r="F8330" s="143"/>
      <c r="G8330" s="143"/>
      <c r="H8330" s="143"/>
      <c r="I8330" s="143"/>
      <c r="J8330" s="143"/>
      <c r="K8330" s="143"/>
      <c r="L8330" s="143"/>
      <c r="M8330" s="143"/>
      <c r="N8330" s="143"/>
    </row>
    <row r="8331">
      <c r="D8331" s="144"/>
      <c r="E8331" s="144"/>
      <c r="F8331" s="144"/>
      <c r="G8331" s="144"/>
      <c r="H8331" s="144"/>
      <c r="I8331" s="144"/>
      <c r="J8331" s="144"/>
      <c r="K8331" s="144"/>
      <c r="L8331" s="144"/>
      <c r="M8331" s="144"/>
      <c r="N8331" s="144"/>
    </row>
    <row r="8332">
      <c r="D8332" s="143"/>
      <c r="E8332" s="143"/>
      <c r="F8332" s="143"/>
      <c r="G8332" s="143"/>
      <c r="H8332" s="143"/>
      <c r="I8332" s="143"/>
      <c r="J8332" s="143"/>
      <c r="K8332" s="143"/>
      <c r="L8332" s="143"/>
      <c r="M8332" s="143"/>
      <c r="N8332" s="143"/>
    </row>
    <row r="8333">
      <c r="D8333" s="144"/>
      <c r="E8333" s="144"/>
      <c r="F8333" s="144"/>
      <c r="G8333" s="144"/>
      <c r="H8333" s="144"/>
      <c r="I8333" s="144"/>
      <c r="J8333" s="144"/>
      <c r="K8333" s="144"/>
      <c r="L8333" s="144"/>
      <c r="M8333" s="144"/>
      <c r="N8333" s="144"/>
    </row>
    <row r="8334">
      <c r="D8334" s="143"/>
      <c r="E8334" s="143"/>
      <c r="F8334" s="143"/>
      <c r="G8334" s="143"/>
      <c r="H8334" s="143"/>
      <c r="I8334" s="143"/>
      <c r="J8334" s="143"/>
      <c r="K8334" s="143"/>
      <c r="L8334" s="143"/>
      <c r="M8334" s="143"/>
      <c r="N8334" s="143"/>
    </row>
    <row r="8335">
      <c r="D8335" s="144"/>
      <c r="E8335" s="144"/>
      <c r="F8335" s="144"/>
      <c r="G8335" s="144"/>
      <c r="H8335" s="144"/>
      <c r="I8335" s="144"/>
      <c r="J8335" s="144"/>
      <c r="K8335" s="144"/>
      <c r="L8335" s="144"/>
      <c r="M8335" s="144"/>
      <c r="N8335" s="144"/>
    </row>
    <row r="8336">
      <c r="D8336" s="143"/>
      <c r="E8336" s="143"/>
      <c r="F8336" s="143"/>
      <c r="G8336" s="143"/>
      <c r="H8336" s="143"/>
      <c r="I8336" s="143"/>
      <c r="J8336" s="143"/>
      <c r="K8336" s="143"/>
      <c r="L8336" s="143"/>
      <c r="M8336" s="143"/>
      <c r="N8336" s="143"/>
    </row>
    <row r="8337">
      <c r="D8337" s="144"/>
      <c r="E8337" s="144"/>
      <c r="F8337" s="144"/>
      <c r="G8337" s="144"/>
      <c r="H8337" s="144"/>
      <c r="I8337" s="144"/>
      <c r="J8337" s="144"/>
      <c r="K8337" s="144"/>
      <c r="L8337" s="144"/>
      <c r="M8337" s="144"/>
      <c r="N8337" s="144"/>
    </row>
    <row r="8338">
      <c r="D8338" s="143"/>
      <c r="E8338" s="143"/>
      <c r="F8338" s="143"/>
      <c r="G8338" s="143"/>
      <c r="H8338" s="143"/>
      <c r="I8338" s="143"/>
      <c r="J8338" s="143"/>
      <c r="K8338" s="143"/>
      <c r="L8338" s="143"/>
      <c r="M8338" s="143"/>
      <c r="N8338" s="143"/>
    </row>
    <row r="8339">
      <c r="D8339" s="144"/>
      <c r="E8339" s="144"/>
      <c r="F8339" s="144"/>
      <c r="G8339" s="144"/>
      <c r="H8339" s="144"/>
      <c r="I8339" s="144"/>
      <c r="J8339" s="144"/>
      <c r="K8339" s="144"/>
      <c r="L8339" s="144"/>
      <c r="M8339" s="144"/>
      <c r="N8339" s="144"/>
    </row>
    <row r="8340">
      <c r="D8340" s="143"/>
      <c r="E8340" s="143"/>
      <c r="F8340" s="143"/>
      <c r="G8340" s="143"/>
      <c r="H8340" s="143"/>
      <c r="I8340" s="143"/>
      <c r="J8340" s="143"/>
      <c r="K8340" s="143"/>
      <c r="L8340" s="143"/>
      <c r="M8340" s="143"/>
      <c r="N8340" s="143"/>
    </row>
    <row r="8341">
      <c r="D8341" s="144"/>
      <c r="E8341" s="144"/>
      <c r="F8341" s="144"/>
      <c r="G8341" s="144"/>
      <c r="H8341" s="144"/>
      <c r="I8341" s="144"/>
      <c r="J8341" s="144"/>
      <c r="K8341" s="144"/>
      <c r="L8341" s="144"/>
      <c r="M8341" s="144"/>
      <c r="N8341" s="144"/>
    </row>
    <row r="8342">
      <c r="D8342" s="143"/>
      <c r="E8342" s="143"/>
      <c r="F8342" s="143"/>
      <c r="G8342" s="143"/>
      <c r="H8342" s="143"/>
      <c r="I8342" s="143"/>
      <c r="J8342" s="143"/>
      <c r="K8342" s="143"/>
      <c r="L8342" s="143"/>
      <c r="M8342" s="143"/>
      <c r="N8342" s="143"/>
    </row>
    <row r="8343">
      <c r="D8343" s="144"/>
      <c r="E8343" s="144"/>
      <c r="F8343" s="144"/>
      <c r="G8343" s="144"/>
      <c r="H8343" s="144"/>
      <c r="I8343" s="144"/>
      <c r="J8343" s="144"/>
      <c r="K8343" s="144"/>
      <c r="L8343" s="144"/>
      <c r="M8343" s="144"/>
      <c r="N8343" s="144"/>
    </row>
    <row r="8344">
      <c r="D8344" s="143"/>
      <c r="E8344" s="143"/>
      <c r="F8344" s="143"/>
      <c r="G8344" s="143"/>
      <c r="H8344" s="143"/>
      <c r="I8344" s="143"/>
      <c r="J8344" s="143"/>
      <c r="K8344" s="143"/>
      <c r="L8344" s="143"/>
      <c r="M8344" s="143"/>
      <c r="N8344" s="143"/>
    </row>
    <row r="8345">
      <c r="D8345" s="144"/>
      <c r="E8345" s="144"/>
      <c r="F8345" s="144"/>
      <c r="G8345" s="144"/>
      <c r="H8345" s="144"/>
      <c r="I8345" s="144"/>
      <c r="J8345" s="144"/>
      <c r="K8345" s="144"/>
      <c r="L8345" s="144"/>
      <c r="M8345" s="144"/>
      <c r="N8345" s="144"/>
    </row>
    <row r="8346">
      <c r="D8346" s="143"/>
      <c r="E8346" s="143"/>
      <c r="F8346" s="143"/>
      <c r="G8346" s="143"/>
      <c r="H8346" s="143"/>
      <c r="I8346" s="143"/>
      <c r="J8346" s="143"/>
      <c r="K8346" s="143"/>
      <c r="L8346" s="143"/>
      <c r="M8346" s="143"/>
      <c r="N8346" s="143"/>
    </row>
    <row r="8347">
      <c r="D8347" s="144"/>
      <c r="E8347" s="144"/>
      <c r="F8347" s="144"/>
      <c r="G8347" s="144"/>
      <c r="H8347" s="144"/>
      <c r="I8347" s="144"/>
      <c r="J8347" s="144"/>
      <c r="K8347" s="144"/>
      <c r="L8347" s="144"/>
      <c r="M8347" s="144"/>
      <c r="N8347" s="144"/>
    </row>
    <row r="8348">
      <c r="D8348" s="143"/>
      <c r="E8348" s="143"/>
      <c r="F8348" s="143"/>
      <c r="G8348" s="143"/>
      <c r="H8348" s="143"/>
      <c r="I8348" s="143"/>
      <c r="J8348" s="143"/>
      <c r="K8348" s="143"/>
      <c r="L8348" s="143"/>
      <c r="M8348" s="143"/>
      <c r="N8348" s="143"/>
    </row>
    <row r="8349">
      <c r="D8349" s="144"/>
      <c r="E8349" s="144"/>
      <c r="F8349" s="144"/>
      <c r="G8349" s="144"/>
      <c r="H8349" s="144"/>
      <c r="I8349" s="144"/>
      <c r="J8349" s="144"/>
      <c r="K8349" s="144"/>
      <c r="L8349" s="144"/>
      <c r="M8349" s="144"/>
      <c r="N8349" s="144"/>
    </row>
    <row r="8350">
      <c r="D8350" s="143"/>
      <c r="E8350" s="143"/>
      <c r="F8350" s="143"/>
      <c r="G8350" s="143"/>
      <c r="H8350" s="143"/>
      <c r="I8350" s="143"/>
      <c r="J8350" s="143"/>
      <c r="K8350" s="143"/>
      <c r="L8350" s="143"/>
      <c r="M8350" s="143"/>
      <c r="N8350" s="143"/>
    </row>
    <row r="8351">
      <c r="D8351" s="144"/>
      <c r="E8351" s="144"/>
      <c r="F8351" s="144"/>
      <c r="G8351" s="144"/>
      <c r="H8351" s="144"/>
      <c r="I8351" s="144"/>
      <c r="J8351" s="144"/>
      <c r="K8351" s="144"/>
      <c r="L8351" s="144"/>
      <c r="M8351" s="144"/>
      <c r="N8351" s="144"/>
    </row>
    <row r="8352">
      <c r="D8352" s="143"/>
      <c r="E8352" s="143"/>
      <c r="F8352" s="143"/>
      <c r="G8352" s="143"/>
      <c r="H8352" s="143"/>
      <c r="I8352" s="143"/>
      <c r="J8352" s="143"/>
      <c r="K8352" s="143"/>
      <c r="L8352" s="143"/>
      <c r="M8352" s="143"/>
      <c r="N8352" s="143"/>
    </row>
    <row r="8353">
      <c r="D8353" s="144"/>
      <c r="E8353" s="144"/>
      <c r="F8353" s="144"/>
      <c r="G8353" s="144"/>
      <c r="H8353" s="144"/>
      <c r="I8353" s="144"/>
      <c r="J8353" s="144"/>
      <c r="K8353" s="144"/>
      <c r="L8353" s="144"/>
      <c r="M8353" s="144"/>
      <c r="N8353" s="144"/>
    </row>
    <row r="8354">
      <c r="D8354" s="143"/>
      <c r="E8354" s="143"/>
      <c r="F8354" s="143"/>
      <c r="G8354" s="143"/>
      <c r="H8354" s="143"/>
      <c r="I8354" s="143"/>
      <c r="J8354" s="143"/>
      <c r="K8354" s="143"/>
      <c r="L8354" s="143"/>
      <c r="M8354" s="143"/>
      <c r="N8354" s="143"/>
    </row>
    <row r="8355">
      <c r="D8355" s="144"/>
      <c r="E8355" s="144"/>
      <c r="F8355" s="144"/>
      <c r="G8355" s="144"/>
      <c r="H8355" s="144"/>
      <c r="I8355" s="144"/>
      <c r="J8355" s="144"/>
      <c r="K8355" s="144"/>
      <c r="L8355" s="144"/>
      <c r="M8355" s="144"/>
      <c r="N8355" s="144"/>
    </row>
    <row r="8356">
      <c r="D8356" s="143"/>
      <c r="E8356" s="143"/>
      <c r="F8356" s="143"/>
      <c r="G8356" s="143"/>
      <c r="H8356" s="143"/>
      <c r="I8356" s="143"/>
      <c r="J8356" s="143"/>
      <c r="K8356" s="143"/>
      <c r="L8356" s="143"/>
      <c r="M8356" s="143"/>
      <c r="N8356" s="143"/>
    </row>
    <row r="8357">
      <c r="D8357" s="144"/>
      <c r="E8357" s="144"/>
      <c r="F8357" s="144"/>
      <c r="G8357" s="144"/>
      <c r="H8357" s="144"/>
      <c r="I8357" s="144"/>
      <c r="J8357" s="144"/>
      <c r="K8357" s="144"/>
      <c r="L8357" s="144"/>
      <c r="M8357" s="144"/>
      <c r="N8357" s="144"/>
    </row>
    <row r="8358">
      <c r="D8358" s="143"/>
      <c r="E8358" s="143"/>
      <c r="F8358" s="143"/>
      <c r="G8358" s="143"/>
      <c r="H8358" s="143"/>
      <c r="I8358" s="143"/>
      <c r="J8358" s="143"/>
      <c r="K8358" s="143"/>
      <c r="L8358" s="143"/>
      <c r="M8358" s="143"/>
      <c r="N8358" s="143"/>
    </row>
    <row r="8359">
      <c r="D8359" s="144"/>
      <c r="E8359" s="144"/>
      <c r="F8359" s="144"/>
      <c r="G8359" s="144"/>
      <c r="H8359" s="144"/>
      <c r="I8359" s="144"/>
      <c r="J8359" s="144"/>
      <c r="K8359" s="144"/>
      <c r="L8359" s="144"/>
      <c r="M8359" s="144"/>
      <c r="N8359" s="144"/>
    </row>
    <row r="8360">
      <c r="D8360" s="143"/>
      <c r="E8360" s="143"/>
      <c r="F8360" s="143"/>
      <c r="G8360" s="143"/>
      <c r="H8360" s="143"/>
      <c r="I8360" s="143"/>
      <c r="J8360" s="143"/>
      <c r="K8360" s="143"/>
      <c r="L8360" s="143"/>
      <c r="M8360" s="143"/>
      <c r="N8360" s="143"/>
    </row>
    <row r="8361">
      <c r="D8361" s="144"/>
      <c r="E8361" s="144"/>
      <c r="F8361" s="144"/>
      <c r="G8361" s="144"/>
      <c r="H8361" s="144"/>
      <c r="I8361" s="144"/>
      <c r="J8361" s="144"/>
      <c r="K8361" s="144"/>
      <c r="L8361" s="144"/>
      <c r="M8361" s="144"/>
      <c r="N8361" s="144"/>
    </row>
    <row r="8362">
      <c r="D8362" s="143"/>
      <c r="E8362" s="143"/>
      <c r="F8362" s="143"/>
      <c r="G8362" s="143"/>
      <c r="H8362" s="143"/>
      <c r="I8362" s="143"/>
      <c r="J8362" s="143"/>
      <c r="K8362" s="143"/>
      <c r="L8362" s="143"/>
      <c r="M8362" s="143"/>
      <c r="N8362" s="143"/>
    </row>
    <row r="8363">
      <c r="D8363" s="144"/>
      <c r="E8363" s="144"/>
      <c r="F8363" s="144"/>
      <c r="G8363" s="144"/>
      <c r="H8363" s="144"/>
      <c r="I8363" s="144"/>
      <c r="J8363" s="144"/>
      <c r="K8363" s="144"/>
      <c r="L8363" s="144"/>
      <c r="M8363" s="144"/>
      <c r="N8363" s="144"/>
    </row>
    <row r="8364">
      <c r="D8364" s="143"/>
      <c r="E8364" s="143"/>
      <c r="F8364" s="143"/>
      <c r="G8364" s="143"/>
      <c r="H8364" s="143"/>
      <c r="I8364" s="143"/>
      <c r="J8364" s="143"/>
      <c r="K8364" s="143"/>
      <c r="L8364" s="143"/>
      <c r="M8364" s="143"/>
      <c r="N8364" s="143"/>
    </row>
    <row r="8365">
      <c r="D8365" s="144"/>
      <c r="E8365" s="144"/>
      <c r="F8365" s="144"/>
      <c r="G8365" s="144"/>
      <c r="H8365" s="144"/>
      <c r="I8365" s="144"/>
      <c r="J8365" s="144"/>
      <c r="K8365" s="144"/>
      <c r="L8365" s="144"/>
      <c r="M8365" s="144"/>
      <c r="N8365" s="144"/>
    </row>
    <row r="8366">
      <c r="D8366" s="143"/>
      <c r="E8366" s="143"/>
      <c r="F8366" s="143"/>
      <c r="G8366" s="143"/>
      <c r="H8366" s="143"/>
      <c r="I8366" s="143"/>
      <c r="J8366" s="143"/>
      <c r="K8366" s="143"/>
      <c r="L8366" s="143"/>
      <c r="M8366" s="143"/>
      <c r="N8366" s="143"/>
    </row>
    <row r="8367">
      <c r="D8367" s="144"/>
      <c r="E8367" s="144"/>
      <c r="F8367" s="144"/>
      <c r="G8367" s="144"/>
      <c r="H8367" s="144"/>
      <c r="I8367" s="144"/>
      <c r="J8367" s="144"/>
      <c r="K8367" s="144"/>
      <c r="L8367" s="144"/>
      <c r="M8367" s="144"/>
      <c r="N8367" s="144"/>
    </row>
    <row r="8368">
      <c r="D8368" s="143"/>
      <c r="E8368" s="143"/>
      <c r="F8368" s="143"/>
      <c r="G8368" s="143"/>
      <c r="H8368" s="143"/>
      <c r="I8368" s="143"/>
      <c r="J8368" s="143"/>
      <c r="K8368" s="143"/>
      <c r="L8368" s="143"/>
      <c r="M8368" s="143"/>
      <c r="N8368" s="143"/>
    </row>
    <row r="8369">
      <c r="D8369" s="144"/>
      <c r="E8369" s="144"/>
      <c r="F8369" s="144"/>
      <c r="G8369" s="144"/>
      <c r="H8369" s="144"/>
      <c r="I8369" s="144"/>
      <c r="J8369" s="144"/>
      <c r="K8369" s="144"/>
      <c r="L8369" s="144"/>
      <c r="M8369" s="144"/>
      <c r="N8369" s="144"/>
    </row>
    <row r="8370">
      <c r="D8370" s="143"/>
      <c r="E8370" s="143"/>
      <c r="F8370" s="143"/>
      <c r="G8370" s="143"/>
      <c r="H8370" s="143"/>
      <c r="I8370" s="143"/>
      <c r="J8370" s="143"/>
      <c r="K8370" s="143"/>
      <c r="L8370" s="143"/>
      <c r="M8370" s="143"/>
      <c r="N8370" s="143"/>
    </row>
    <row r="8371">
      <c r="D8371" s="144"/>
      <c r="E8371" s="144"/>
      <c r="F8371" s="144"/>
      <c r="G8371" s="144"/>
      <c r="H8371" s="144"/>
      <c r="I8371" s="144"/>
      <c r="J8371" s="144"/>
      <c r="K8371" s="144"/>
      <c r="L8371" s="144"/>
      <c r="M8371" s="144"/>
      <c r="N8371" s="144"/>
    </row>
    <row r="8372">
      <c r="D8372" s="143"/>
      <c r="E8372" s="143"/>
      <c r="F8372" s="143"/>
      <c r="G8372" s="143"/>
      <c r="H8372" s="143"/>
      <c r="I8372" s="143"/>
      <c r="J8372" s="143"/>
      <c r="K8372" s="143"/>
      <c r="L8372" s="143"/>
      <c r="M8372" s="143"/>
      <c r="N8372" s="143"/>
    </row>
    <row r="8373">
      <c r="D8373" s="144"/>
      <c r="E8373" s="144"/>
      <c r="F8373" s="144"/>
      <c r="G8373" s="144"/>
      <c r="H8373" s="144"/>
      <c r="I8373" s="144"/>
      <c r="J8373" s="144"/>
      <c r="K8373" s="144"/>
      <c r="L8373" s="144"/>
      <c r="M8373" s="144"/>
      <c r="N8373" s="144"/>
    </row>
    <row r="8374">
      <c r="D8374" s="143"/>
      <c r="E8374" s="143"/>
      <c r="F8374" s="143"/>
      <c r="G8374" s="143"/>
      <c r="H8374" s="143"/>
      <c r="I8374" s="143"/>
      <c r="J8374" s="143"/>
      <c r="K8374" s="143"/>
      <c r="L8374" s="143"/>
      <c r="M8374" s="143"/>
      <c r="N8374" s="143"/>
    </row>
    <row r="8375">
      <c r="D8375" s="144"/>
      <c r="E8375" s="144"/>
      <c r="F8375" s="144"/>
      <c r="G8375" s="144"/>
      <c r="H8375" s="144"/>
      <c r="I8375" s="144"/>
      <c r="J8375" s="144"/>
      <c r="K8375" s="144"/>
      <c r="L8375" s="144"/>
      <c r="M8375" s="144"/>
      <c r="N8375" s="144"/>
    </row>
    <row r="8376">
      <c r="D8376" s="143"/>
      <c r="E8376" s="143"/>
      <c r="F8376" s="143"/>
      <c r="G8376" s="143"/>
      <c r="H8376" s="143"/>
      <c r="I8376" s="143"/>
      <c r="J8376" s="143"/>
      <c r="K8376" s="143"/>
      <c r="L8376" s="143"/>
      <c r="M8376" s="143"/>
      <c r="N8376" s="143"/>
    </row>
    <row r="8377">
      <c r="D8377" s="144"/>
      <c r="E8377" s="144"/>
      <c r="F8377" s="144"/>
      <c r="G8377" s="144"/>
      <c r="H8377" s="144"/>
      <c r="I8377" s="144"/>
      <c r="J8377" s="144"/>
      <c r="K8377" s="144"/>
      <c r="L8377" s="144"/>
      <c r="M8377" s="144"/>
      <c r="N8377" s="144"/>
    </row>
    <row r="8378">
      <c r="D8378" s="143"/>
      <c r="E8378" s="143"/>
      <c r="F8378" s="143"/>
      <c r="G8378" s="143"/>
      <c r="H8378" s="143"/>
      <c r="I8378" s="143"/>
      <c r="J8378" s="143"/>
      <c r="K8378" s="143"/>
      <c r="L8378" s="143"/>
      <c r="M8378" s="143"/>
      <c r="N8378" s="143"/>
    </row>
    <row r="8379">
      <c r="D8379" s="144"/>
      <c r="E8379" s="144"/>
      <c r="F8379" s="144"/>
      <c r="G8379" s="144"/>
      <c r="H8379" s="144"/>
      <c r="I8379" s="144"/>
      <c r="J8379" s="144"/>
      <c r="K8379" s="144"/>
      <c r="L8379" s="144"/>
      <c r="M8379" s="144"/>
      <c r="N8379" s="144"/>
    </row>
  </sheetData>
  <autoFilter ref="$C$10:$N$6320"/>
  <mergeCells count="2">
    <mergeCell ref="C3:H3"/>
    <mergeCell ref="U3:U10"/>
  </mergeCells>
  <dataValidations>
    <dataValidation type="list" allowBlank="1" showErrorMessage="1" sqref="E11:E33 E35:E39 E41:E45 E47:E51 E53:E57 E61:E66 E69 E119:E123 E129:E133 E141:E145 E170 E172:E186 E188:E201 E203:E206 E209 E214 E217:E221 E230:E234 E248 E256:E260 E286:E297 E299:E301 E321 E327 E329:E333 E335:E345 E347:E351 E353:E357 E359:E362 E366:E370 E373:E384 E386:E388">
      <formula1>$AE$10:$AE$8925</formula1>
    </dataValidation>
    <dataValidation type="list" allowBlank="1" showErrorMessage="1" sqref="E34 E40 E46 E52 E58:E60 E67:E68 E70:E118 E124:E128 E134:E140 E146:E169 E171 E187 E202 E207:E208 E210:E213 E215:E216 E222:E229 E235:E247 E249:E255 E261:E285 E298 E302:E320 E322:E326 E328 E334 E346 E352 E358 E363:E365 E371:E372 E385 E389:E7275">
      <formula1>$AE$10:$AE$8925</formula1>
    </dataValidation>
    <dataValidation type="list" allowBlank="1" showErrorMessage="1" sqref="N11:N7275">
      <formula1>$AH$10:$AH$19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.13"/>
    <col customWidth="1" min="3" max="3" width="50.38"/>
    <col customWidth="1" min="4" max="5" width="18.5"/>
    <col customWidth="1" min="6" max="7" width="9.63"/>
    <col customWidth="1" min="8" max="8" width="2.88"/>
    <col customWidth="1" min="9" max="10" width="18.63"/>
    <col customWidth="1" min="11" max="13" width="9.25"/>
    <col customWidth="1" min="14" max="15" width="17.25"/>
    <col customWidth="1" min="16" max="18" width="9.88"/>
    <col customWidth="1" min="57" max="58" width="21.0"/>
    <col customWidth="1" min="59" max="59" width="12.88"/>
    <col customWidth="1" min="60" max="60" width="4.88"/>
    <col customWidth="1" min="61" max="61" width="19.63"/>
    <col customWidth="1" min="62" max="63" width="12.25"/>
  </cols>
  <sheetData>
    <row r="1">
      <c r="A1" s="145"/>
      <c r="B1" s="1"/>
      <c r="C1" s="1"/>
      <c r="D1" s="146"/>
      <c r="E1" s="146"/>
      <c r="F1" s="147"/>
      <c r="G1" s="1"/>
      <c r="H1" s="1"/>
      <c r="I1" s="1"/>
      <c r="J1" s="1"/>
      <c r="K1" s="148"/>
      <c r="L1" s="148"/>
      <c r="M1" s="148"/>
      <c r="N1" s="1"/>
      <c r="O1" s="1"/>
      <c r="P1" s="148"/>
      <c r="Q1" s="148"/>
      <c r="R1" s="148"/>
      <c r="S1" s="1"/>
      <c r="T1" s="1"/>
      <c r="U1" s="148"/>
      <c r="V1" s="148"/>
      <c r="W1" s="148"/>
      <c r="X1" s="1"/>
      <c r="Y1" s="1"/>
      <c r="Z1" s="148"/>
      <c r="AA1" s="148"/>
      <c r="AB1" s="148"/>
      <c r="AC1" s="1"/>
      <c r="AD1" s="1"/>
      <c r="AE1" s="148"/>
      <c r="AF1" s="148"/>
      <c r="AG1" s="1"/>
      <c r="AH1" s="1"/>
      <c r="AI1" s="148"/>
      <c r="AJ1" s="148"/>
      <c r="AK1" s="1"/>
      <c r="AL1" s="1"/>
      <c r="AM1" s="148"/>
      <c r="AN1" s="148"/>
      <c r="AO1" s="1"/>
      <c r="AP1" s="1"/>
      <c r="AQ1" s="148"/>
      <c r="AR1" s="148"/>
      <c r="AS1" s="1"/>
      <c r="AT1" s="1"/>
      <c r="AU1" s="148"/>
      <c r="AV1" s="148"/>
      <c r="AW1" s="1"/>
      <c r="AX1" s="1"/>
      <c r="AY1" s="148"/>
      <c r="AZ1" s="148"/>
      <c r="BA1" s="1"/>
      <c r="BB1" s="1"/>
      <c r="BC1" s="148"/>
      <c r="BD1" s="148"/>
      <c r="BE1" s="1"/>
      <c r="BF1" s="1"/>
      <c r="BG1" s="149"/>
      <c r="BH1" s="1"/>
      <c r="BI1" s="150"/>
      <c r="BJ1" s="151"/>
      <c r="BK1" s="1"/>
      <c r="BL1" s="1"/>
    </row>
    <row r="2">
      <c r="A2" s="11"/>
      <c r="B2" s="11"/>
      <c r="C2" s="152" t="s">
        <v>518</v>
      </c>
      <c r="D2" s="153" t="s">
        <v>519</v>
      </c>
      <c r="E2" s="154">
        <f>E11</f>
        <v>7753.7</v>
      </c>
      <c r="F2" s="155">
        <f t="shared" ref="F2:F5" si="1">IF(E$2=0,"",E2/E$2)</f>
        <v>1</v>
      </c>
      <c r="G2" s="156"/>
      <c r="H2" s="157"/>
      <c r="I2" s="153" t="s">
        <v>519</v>
      </c>
      <c r="J2" s="154">
        <f>J11</f>
        <v>0</v>
      </c>
      <c r="K2" s="155" t="str">
        <f t="shared" ref="K2:K5" si="2">IF(J$2=0,"",J2/J$2)</f>
        <v/>
      </c>
      <c r="L2" s="148"/>
      <c r="M2" s="157"/>
      <c r="N2" s="153" t="s">
        <v>519</v>
      </c>
      <c r="O2" s="154">
        <f>O11</f>
        <v>0</v>
      </c>
      <c r="P2" s="155" t="str">
        <f t="shared" ref="P2:P5" si="3">IF(O$2=0,"",O2/O$2)</f>
        <v/>
      </c>
      <c r="Q2" s="148"/>
      <c r="R2" s="157"/>
      <c r="S2" s="153" t="s">
        <v>519</v>
      </c>
      <c r="T2" s="154">
        <f>T11</f>
        <v>0</v>
      </c>
      <c r="U2" s="155" t="str">
        <f t="shared" ref="U2:U5" si="4">IF(T$2=0,"",T2/T$2)</f>
        <v/>
      </c>
      <c r="V2" s="148"/>
      <c r="W2" s="157"/>
      <c r="X2" s="153" t="s">
        <v>519</v>
      </c>
      <c r="Y2" s="154">
        <f>Y11</f>
        <v>0</v>
      </c>
      <c r="Z2" s="155" t="str">
        <f t="shared" ref="Z2:Z5" si="5">IF(Y$2=0,"",Y2/Y$2)</f>
        <v/>
      </c>
      <c r="AA2" s="148"/>
      <c r="AB2" s="157"/>
      <c r="AC2" s="153" t="s">
        <v>519</v>
      </c>
      <c r="AD2" s="154">
        <f>AD11</f>
        <v>0</v>
      </c>
      <c r="AE2" s="155" t="str">
        <f t="shared" ref="AE2:AE5" si="6">IF(AD$2=0,"",AD2/AD$2)</f>
        <v/>
      </c>
      <c r="AF2" s="148"/>
      <c r="AG2" s="153" t="s">
        <v>519</v>
      </c>
      <c r="AH2" s="154">
        <f>AH11</f>
        <v>0</v>
      </c>
      <c r="AI2" s="155" t="str">
        <f t="shared" ref="AI2:AI5" si="7">IF(AH$2=0,"",AH2/AH$2)</f>
        <v/>
      </c>
      <c r="AJ2" s="148"/>
      <c r="AK2" s="153" t="s">
        <v>519</v>
      </c>
      <c r="AL2" s="154">
        <f>AL11</f>
        <v>0</v>
      </c>
      <c r="AM2" s="155" t="str">
        <f t="shared" ref="AM2:AM5" si="8">IF(AL$2=0,"",AL2/AL$2)</f>
        <v/>
      </c>
      <c r="AN2" s="148"/>
      <c r="AO2" s="153" t="s">
        <v>519</v>
      </c>
      <c r="AP2" s="154">
        <f>AP11</f>
        <v>0</v>
      </c>
      <c r="AQ2" s="155" t="str">
        <f t="shared" ref="AQ2:AQ5" si="9">IF(AP$2=0,"",AP2/AP$2)</f>
        <v/>
      </c>
      <c r="AR2" s="148"/>
      <c r="AS2" s="153" t="s">
        <v>519</v>
      </c>
      <c r="AT2" s="154">
        <f>AT11</f>
        <v>0</v>
      </c>
      <c r="AU2" s="155" t="str">
        <f t="shared" ref="AU2:AU5" si="10">IF(AT$2=0,"",AT2/AT$2)</f>
        <v/>
      </c>
      <c r="AV2" s="148"/>
      <c r="AW2" s="153" t="s">
        <v>519</v>
      </c>
      <c r="AX2" s="154">
        <f>AX11</f>
        <v>0</v>
      </c>
      <c r="AY2" s="155" t="str">
        <f t="shared" ref="AY2:AY5" si="11">IF(AX$2=0,"",AX2/AX$2)</f>
        <v/>
      </c>
      <c r="AZ2" s="148"/>
      <c r="BA2" s="153" t="s">
        <v>519</v>
      </c>
      <c r="BB2" s="154">
        <f>BB11</f>
        <v>0</v>
      </c>
      <c r="BC2" s="155" t="str">
        <f t="shared" ref="BC2:BC5" si="12">IF(BB$2=0,"",BB2/BB$2)</f>
        <v/>
      </c>
      <c r="BD2" s="148"/>
      <c r="BE2" s="1"/>
      <c r="BF2" s="1"/>
      <c r="BG2" s="149"/>
      <c r="BH2" s="1"/>
      <c r="BI2" s="150"/>
      <c r="BJ2" s="151"/>
      <c r="BK2" s="1"/>
      <c r="BL2" s="1"/>
    </row>
    <row r="3">
      <c r="A3" s="1"/>
      <c r="B3" s="1"/>
      <c r="C3" s="158" t="s">
        <v>520</v>
      </c>
      <c r="D3" s="159" t="s">
        <v>521</v>
      </c>
      <c r="E3" s="160">
        <f>E10</f>
        <v>10921.25</v>
      </c>
      <c r="F3" s="161">
        <f t="shared" si="1"/>
        <v>1.408521093</v>
      </c>
      <c r="G3" s="156"/>
      <c r="H3" s="157"/>
      <c r="I3" s="159" t="s">
        <v>521</v>
      </c>
      <c r="J3" s="160">
        <f>J10</f>
        <v>0</v>
      </c>
      <c r="K3" s="161" t="str">
        <f t="shared" si="2"/>
        <v/>
      </c>
      <c r="L3" s="148"/>
      <c r="M3" s="157"/>
      <c r="N3" s="159" t="s">
        <v>521</v>
      </c>
      <c r="O3" s="160">
        <f>O10</f>
        <v>0</v>
      </c>
      <c r="P3" s="161" t="str">
        <f t="shared" si="3"/>
        <v/>
      </c>
      <c r="Q3" s="148"/>
      <c r="R3" s="157"/>
      <c r="S3" s="159" t="s">
        <v>521</v>
      </c>
      <c r="T3" s="160">
        <f>T10</f>
        <v>0</v>
      </c>
      <c r="U3" s="161" t="str">
        <f t="shared" si="4"/>
        <v/>
      </c>
      <c r="V3" s="148"/>
      <c r="W3" s="157"/>
      <c r="X3" s="159" t="s">
        <v>521</v>
      </c>
      <c r="Y3" s="160">
        <f>Y10</f>
        <v>0</v>
      </c>
      <c r="Z3" s="161" t="str">
        <f t="shared" si="5"/>
        <v/>
      </c>
      <c r="AA3" s="148"/>
      <c r="AB3" s="157"/>
      <c r="AC3" s="159" t="s">
        <v>521</v>
      </c>
      <c r="AD3" s="160">
        <f>AD10</f>
        <v>0</v>
      </c>
      <c r="AE3" s="161" t="str">
        <f t="shared" si="6"/>
        <v/>
      </c>
      <c r="AF3" s="148"/>
      <c r="AG3" s="159" t="s">
        <v>521</v>
      </c>
      <c r="AH3" s="160">
        <f>AH10</f>
        <v>0</v>
      </c>
      <c r="AI3" s="161" t="str">
        <f t="shared" si="7"/>
        <v/>
      </c>
      <c r="AJ3" s="148"/>
      <c r="AK3" s="159" t="s">
        <v>521</v>
      </c>
      <c r="AL3" s="160">
        <f>AL10</f>
        <v>0</v>
      </c>
      <c r="AM3" s="161" t="str">
        <f t="shared" si="8"/>
        <v/>
      </c>
      <c r="AN3" s="148"/>
      <c r="AO3" s="159" t="s">
        <v>521</v>
      </c>
      <c r="AP3" s="160">
        <f>AP10</f>
        <v>0</v>
      </c>
      <c r="AQ3" s="161" t="str">
        <f t="shared" si="9"/>
        <v/>
      </c>
      <c r="AR3" s="148"/>
      <c r="AS3" s="159" t="s">
        <v>521</v>
      </c>
      <c r="AT3" s="160">
        <f>AT10</f>
        <v>0</v>
      </c>
      <c r="AU3" s="161" t="str">
        <f t="shared" si="10"/>
        <v/>
      </c>
      <c r="AV3" s="148"/>
      <c r="AW3" s="159" t="s">
        <v>521</v>
      </c>
      <c r="AX3" s="160">
        <f>AX10</f>
        <v>0</v>
      </c>
      <c r="AY3" s="161" t="str">
        <f t="shared" si="11"/>
        <v/>
      </c>
      <c r="AZ3" s="148"/>
      <c r="BA3" s="159" t="s">
        <v>521</v>
      </c>
      <c r="BB3" s="160">
        <f>BB10</f>
        <v>0</v>
      </c>
      <c r="BC3" s="161" t="str">
        <f t="shared" si="12"/>
        <v/>
      </c>
      <c r="BD3" s="148"/>
      <c r="BE3" s="1"/>
      <c r="BF3" s="1"/>
      <c r="BG3" s="149"/>
      <c r="BH3" s="1"/>
      <c r="BI3" s="150"/>
      <c r="BJ3" s="151"/>
      <c r="BK3" s="1"/>
      <c r="BL3" s="1"/>
    </row>
    <row r="4">
      <c r="A4" s="1"/>
      <c r="B4" s="1"/>
      <c r="C4" s="162" t="s">
        <v>522</v>
      </c>
      <c r="D4" s="163" t="s">
        <v>523</v>
      </c>
      <c r="E4" s="164">
        <f>SUM(E2-E3)</f>
        <v>-3167.55</v>
      </c>
      <c r="F4" s="165">
        <f t="shared" si="1"/>
        <v>-0.4085210932</v>
      </c>
      <c r="G4" s="156"/>
      <c r="H4" s="157"/>
      <c r="I4" s="163" t="s">
        <v>523</v>
      </c>
      <c r="J4" s="164">
        <f>SUM(J2-J3)</f>
        <v>0</v>
      </c>
      <c r="K4" s="165" t="str">
        <f t="shared" si="2"/>
        <v/>
      </c>
      <c r="L4" s="148"/>
      <c r="M4" s="157"/>
      <c r="N4" s="163" t="s">
        <v>523</v>
      </c>
      <c r="O4" s="164">
        <f>SUM(O2-O3)</f>
        <v>0</v>
      </c>
      <c r="P4" s="165" t="str">
        <f t="shared" si="3"/>
        <v/>
      </c>
      <c r="Q4" s="148"/>
      <c r="R4" s="157"/>
      <c r="S4" s="163" t="s">
        <v>523</v>
      </c>
      <c r="T4" s="164">
        <f>SUM(T2-T3)</f>
        <v>0</v>
      </c>
      <c r="U4" s="165" t="str">
        <f t="shared" si="4"/>
        <v/>
      </c>
      <c r="V4" s="148"/>
      <c r="W4" s="157"/>
      <c r="X4" s="163" t="s">
        <v>523</v>
      </c>
      <c r="Y4" s="164">
        <f>SUM(Y2-Y3)</f>
        <v>0</v>
      </c>
      <c r="Z4" s="165" t="str">
        <f t="shared" si="5"/>
        <v/>
      </c>
      <c r="AA4" s="148"/>
      <c r="AB4" s="157"/>
      <c r="AC4" s="163" t="s">
        <v>523</v>
      </c>
      <c r="AD4" s="164">
        <f>SUM(AD2-AD3)</f>
        <v>0</v>
      </c>
      <c r="AE4" s="165" t="str">
        <f t="shared" si="6"/>
        <v/>
      </c>
      <c r="AF4" s="148"/>
      <c r="AG4" s="163" t="s">
        <v>523</v>
      </c>
      <c r="AH4" s="164">
        <f>SUM(AH2-AH3)</f>
        <v>0</v>
      </c>
      <c r="AI4" s="165" t="str">
        <f t="shared" si="7"/>
        <v/>
      </c>
      <c r="AJ4" s="148"/>
      <c r="AK4" s="163" t="s">
        <v>523</v>
      </c>
      <c r="AL4" s="164">
        <f>SUM(AL2-AL3)</f>
        <v>0</v>
      </c>
      <c r="AM4" s="165" t="str">
        <f t="shared" si="8"/>
        <v/>
      </c>
      <c r="AN4" s="148"/>
      <c r="AO4" s="163" t="s">
        <v>523</v>
      </c>
      <c r="AP4" s="164">
        <f>SUM(AP2-AP3)</f>
        <v>0</v>
      </c>
      <c r="AQ4" s="165" t="str">
        <f t="shared" si="9"/>
        <v/>
      </c>
      <c r="AR4" s="148"/>
      <c r="AS4" s="163" t="s">
        <v>523</v>
      </c>
      <c r="AT4" s="164">
        <f>SUM(AT2-AT3)</f>
        <v>0</v>
      </c>
      <c r="AU4" s="165" t="str">
        <f t="shared" si="10"/>
        <v/>
      </c>
      <c r="AV4" s="148"/>
      <c r="AW4" s="163" t="s">
        <v>523</v>
      </c>
      <c r="AX4" s="164">
        <f>SUM(AX2-AX3)</f>
        <v>0</v>
      </c>
      <c r="AY4" s="165" t="str">
        <f t="shared" si="11"/>
        <v/>
      </c>
      <c r="AZ4" s="148"/>
      <c r="BA4" s="163" t="s">
        <v>523</v>
      </c>
      <c r="BB4" s="164">
        <f>SUM(BB2-BB3)</f>
        <v>0</v>
      </c>
      <c r="BC4" s="165" t="str">
        <f t="shared" si="12"/>
        <v/>
      </c>
      <c r="BD4" s="148"/>
      <c r="BE4" s="1"/>
      <c r="BF4" s="1"/>
      <c r="BG4" s="149"/>
      <c r="BH4" s="1"/>
      <c r="BI4" s="150"/>
      <c r="BJ4" s="151"/>
      <c r="BK4" s="1"/>
      <c r="BL4" s="1"/>
    </row>
    <row r="5">
      <c r="A5" s="1"/>
      <c r="B5" s="1"/>
      <c r="C5" s="166" t="s">
        <v>524</v>
      </c>
      <c r="D5" s="167" t="s">
        <v>525</v>
      </c>
      <c r="E5" s="168">
        <v>0.0</v>
      </c>
      <c r="F5" s="169">
        <f t="shared" si="1"/>
        <v>0</v>
      </c>
      <c r="G5" s="156"/>
      <c r="H5" s="157"/>
      <c r="I5" s="167" t="s">
        <v>525</v>
      </c>
      <c r="J5" s="168">
        <v>0.0</v>
      </c>
      <c r="K5" s="169" t="str">
        <f t="shared" si="2"/>
        <v/>
      </c>
      <c r="L5" s="148"/>
      <c r="M5" s="157"/>
      <c r="N5" s="167" t="s">
        <v>525</v>
      </c>
      <c r="O5" s="168">
        <v>0.0</v>
      </c>
      <c r="P5" s="169" t="str">
        <f t="shared" si="3"/>
        <v/>
      </c>
      <c r="Q5" s="148"/>
      <c r="R5" s="157"/>
      <c r="S5" s="167" t="s">
        <v>525</v>
      </c>
      <c r="T5" s="168">
        <v>0.0</v>
      </c>
      <c r="U5" s="169" t="str">
        <f t="shared" si="4"/>
        <v/>
      </c>
      <c r="V5" s="148"/>
      <c r="W5" s="157"/>
      <c r="X5" s="167" t="s">
        <v>525</v>
      </c>
      <c r="Y5" s="168">
        <v>0.0</v>
      </c>
      <c r="Z5" s="169" t="str">
        <f t="shared" si="5"/>
        <v/>
      </c>
      <c r="AA5" s="148"/>
      <c r="AB5" s="157"/>
      <c r="AC5" s="167" t="s">
        <v>525</v>
      </c>
      <c r="AD5" s="168">
        <v>0.0</v>
      </c>
      <c r="AE5" s="169" t="str">
        <f t="shared" si="6"/>
        <v/>
      </c>
      <c r="AF5" s="148"/>
      <c r="AG5" s="167" t="s">
        <v>525</v>
      </c>
      <c r="AH5" s="168">
        <v>0.0</v>
      </c>
      <c r="AI5" s="169" t="str">
        <f t="shared" si="7"/>
        <v/>
      </c>
      <c r="AJ5" s="148"/>
      <c r="AK5" s="167" t="s">
        <v>525</v>
      </c>
      <c r="AL5" s="168">
        <v>0.0</v>
      </c>
      <c r="AM5" s="169" t="str">
        <f t="shared" si="8"/>
        <v/>
      </c>
      <c r="AN5" s="148"/>
      <c r="AO5" s="167" t="s">
        <v>525</v>
      </c>
      <c r="AP5" s="168">
        <v>0.0</v>
      </c>
      <c r="AQ5" s="169" t="str">
        <f t="shared" si="9"/>
        <v/>
      </c>
      <c r="AR5" s="148"/>
      <c r="AS5" s="167" t="s">
        <v>525</v>
      </c>
      <c r="AT5" s="168">
        <v>0.0</v>
      </c>
      <c r="AU5" s="169" t="str">
        <f t="shared" si="10"/>
        <v/>
      </c>
      <c r="AV5" s="148"/>
      <c r="AW5" s="167" t="s">
        <v>525</v>
      </c>
      <c r="AX5" s="168">
        <v>0.0</v>
      </c>
      <c r="AY5" s="169" t="str">
        <f t="shared" si="11"/>
        <v/>
      </c>
      <c r="AZ5" s="148"/>
      <c r="BA5" s="167" t="s">
        <v>525</v>
      </c>
      <c r="BB5" s="168">
        <v>0.0</v>
      </c>
      <c r="BC5" s="169" t="str">
        <f t="shared" si="12"/>
        <v/>
      </c>
      <c r="BD5" s="148"/>
      <c r="BE5" s="1"/>
      <c r="BF5" s="1"/>
      <c r="BG5" s="149"/>
      <c r="BH5" s="1"/>
      <c r="BI5" s="150"/>
      <c r="BJ5" s="151"/>
      <c r="BK5" s="1"/>
      <c r="BL5" s="1"/>
    </row>
    <row r="6">
      <c r="A6" s="1"/>
      <c r="B6" s="1"/>
      <c r="C6" s="170">
        <v>2026.0</v>
      </c>
      <c r="D6" s="171" t="s">
        <v>526</v>
      </c>
      <c r="E6" s="172">
        <f>SUM(E4-E5)</f>
        <v>-3167.55</v>
      </c>
      <c r="F6" s="173"/>
      <c r="G6" s="156"/>
      <c r="H6" s="157"/>
      <c r="I6" s="171" t="s">
        <v>526</v>
      </c>
      <c r="J6" s="172">
        <f>SUM(J4-J5)</f>
        <v>0</v>
      </c>
      <c r="K6" s="173"/>
      <c r="L6" s="148"/>
      <c r="M6" s="157"/>
      <c r="N6" s="171" t="s">
        <v>526</v>
      </c>
      <c r="O6" s="172">
        <f>SUM(O4-O5)</f>
        <v>0</v>
      </c>
      <c r="P6" s="173"/>
      <c r="Q6" s="148"/>
      <c r="R6" s="157"/>
      <c r="S6" s="171" t="s">
        <v>526</v>
      </c>
      <c r="T6" s="172">
        <f>SUM(T4-T5)</f>
        <v>0</v>
      </c>
      <c r="U6" s="173"/>
      <c r="V6" s="148"/>
      <c r="W6" s="157"/>
      <c r="X6" s="171" t="s">
        <v>526</v>
      </c>
      <c r="Y6" s="172">
        <f>SUM(Y4-Y5)</f>
        <v>0</v>
      </c>
      <c r="Z6" s="173"/>
      <c r="AA6" s="148"/>
      <c r="AB6" s="157"/>
      <c r="AC6" s="171" t="s">
        <v>526</v>
      </c>
      <c r="AD6" s="172">
        <f>SUM(AD4-AD5)</f>
        <v>0</v>
      </c>
      <c r="AE6" s="173"/>
      <c r="AF6" s="148"/>
      <c r="AG6" s="171" t="s">
        <v>526</v>
      </c>
      <c r="AH6" s="172">
        <f>SUM(AH4-AH5)</f>
        <v>0</v>
      </c>
      <c r="AI6" s="173"/>
      <c r="AJ6" s="148"/>
      <c r="AK6" s="171" t="s">
        <v>526</v>
      </c>
      <c r="AL6" s="172">
        <f>SUM(AL4-AL5)</f>
        <v>0</v>
      </c>
      <c r="AM6" s="173"/>
      <c r="AN6" s="148"/>
      <c r="AO6" s="171" t="s">
        <v>526</v>
      </c>
      <c r="AP6" s="172">
        <f>SUM(AP4-AP5)</f>
        <v>0</v>
      </c>
      <c r="AQ6" s="173"/>
      <c r="AR6" s="148"/>
      <c r="AS6" s="171" t="s">
        <v>526</v>
      </c>
      <c r="AT6" s="172">
        <f>SUM(AT4-AT5)</f>
        <v>0</v>
      </c>
      <c r="AU6" s="173"/>
      <c r="AV6" s="148"/>
      <c r="AW6" s="171" t="s">
        <v>526</v>
      </c>
      <c r="AX6" s="172">
        <f>SUM(AX4-AX5)</f>
        <v>0</v>
      </c>
      <c r="AY6" s="173"/>
      <c r="AZ6" s="148"/>
      <c r="BA6" s="171" t="s">
        <v>526</v>
      </c>
      <c r="BB6" s="172">
        <f>SUM(BB4-BB5)</f>
        <v>0</v>
      </c>
      <c r="BC6" s="173"/>
      <c r="BD6" s="148"/>
      <c r="BE6" s="174" t="s">
        <v>527</v>
      </c>
      <c r="BF6" s="175">
        <f>SUM(BF11/12)</f>
        <v>646.1416667</v>
      </c>
      <c r="BG6" s="149"/>
      <c r="BH6" s="1"/>
      <c r="BI6" s="150"/>
      <c r="BJ6" s="151"/>
      <c r="BK6" s="1"/>
      <c r="BL6" s="1"/>
    </row>
    <row r="7">
      <c r="A7" s="1"/>
      <c r="B7" s="1"/>
      <c r="C7" s="176"/>
      <c r="D7" s="9"/>
      <c r="E7" s="9"/>
      <c r="F7" s="177"/>
      <c r="G7" s="147"/>
      <c r="H7" s="157"/>
      <c r="I7" s="9"/>
      <c r="J7" s="9"/>
      <c r="K7" s="178"/>
      <c r="L7" s="147"/>
      <c r="M7" s="157"/>
      <c r="N7" s="9"/>
      <c r="O7" s="9"/>
      <c r="P7" s="178"/>
      <c r="Q7" s="147"/>
      <c r="R7" s="157"/>
      <c r="S7" s="9"/>
      <c r="T7" s="9"/>
      <c r="U7" s="178"/>
      <c r="V7" s="147"/>
      <c r="W7" s="157"/>
      <c r="X7" s="9"/>
      <c r="Y7" s="9"/>
      <c r="Z7" s="178"/>
      <c r="AA7" s="147"/>
      <c r="AB7" s="157"/>
      <c r="AC7" s="9"/>
      <c r="AD7" s="9"/>
      <c r="AE7" s="178"/>
      <c r="AF7" s="147"/>
      <c r="AG7" s="9"/>
      <c r="AH7" s="9"/>
      <c r="AI7" s="178"/>
      <c r="AJ7" s="147"/>
      <c r="AK7" s="9"/>
      <c r="AL7" s="9"/>
      <c r="AM7" s="178"/>
      <c r="AN7" s="147"/>
      <c r="AO7" s="9"/>
      <c r="AP7" s="9"/>
      <c r="AQ7" s="178"/>
      <c r="AR7" s="147"/>
      <c r="AS7" s="9"/>
      <c r="AT7" s="9"/>
      <c r="AU7" s="178"/>
      <c r="AV7" s="147"/>
      <c r="AW7" s="9"/>
      <c r="AX7" s="9"/>
      <c r="AY7" s="178"/>
      <c r="AZ7" s="147"/>
      <c r="BA7" s="9"/>
      <c r="BB7" s="9"/>
      <c r="BC7" s="178"/>
      <c r="BD7" s="147"/>
      <c r="BE7" s="146"/>
      <c r="BF7" s="146"/>
      <c r="BG7" s="179"/>
      <c r="BH7" s="1"/>
      <c r="BI7" s="180"/>
      <c r="BJ7" s="181"/>
      <c r="BK7" s="146"/>
      <c r="BL7" s="1"/>
    </row>
    <row r="8">
      <c r="A8" s="1"/>
      <c r="B8" s="1"/>
      <c r="C8" s="182">
        <f>YEAR((TODAY()))</f>
        <v>2026</v>
      </c>
      <c r="D8" s="183" t="s">
        <v>528</v>
      </c>
      <c r="E8" s="184"/>
      <c r="F8" s="184"/>
      <c r="G8" s="185"/>
      <c r="H8" s="186"/>
      <c r="I8" s="187" t="s">
        <v>529</v>
      </c>
      <c r="J8" s="184"/>
      <c r="K8" s="184"/>
      <c r="L8" s="185"/>
      <c r="M8" s="188"/>
      <c r="N8" s="187" t="s">
        <v>530</v>
      </c>
      <c r="O8" s="184"/>
      <c r="P8" s="184"/>
      <c r="Q8" s="185"/>
      <c r="R8" s="188"/>
      <c r="S8" s="187" t="s">
        <v>531</v>
      </c>
      <c r="T8" s="184"/>
      <c r="U8" s="184"/>
      <c r="V8" s="185"/>
      <c r="W8" s="188"/>
      <c r="X8" s="187" t="s">
        <v>532</v>
      </c>
      <c r="Y8" s="184"/>
      <c r="Z8" s="184"/>
      <c r="AA8" s="185"/>
      <c r="AB8" s="188"/>
      <c r="AC8" s="187" t="s">
        <v>533</v>
      </c>
      <c r="AD8" s="184"/>
      <c r="AE8" s="184"/>
      <c r="AF8" s="185"/>
      <c r="AG8" s="187" t="s">
        <v>534</v>
      </c>
      <c r="AH8" s="184"/>
      <c r="AI8" s="184"/>
      <c r="AJ8" s="185"/>
      <c r="AK8" s="187" t="s">
        <v>535</v>
      </c>
      <c r="AL8" s="184"/>
      <c r="AM8" s="184"/>
      <c r="AN8" s="185"/>
      <c r="AO8" s="187" t="s">
        <v>536</v>
      </c>
      <c r="AP8" s="184"/>
      <c r="AQ8" s="184"/>
      <c r="AR8" s="185"/>
      <c r="AS8" s="187" t="s">
        <v>537</v>
      </c>
      <c r="AT8" s="184"/>
      <c r="AU8" s="184"/>
      <c r="AV8" s="185"/>
      <c r="AW8" s="187" t="s">
        <v>538</v>
      </c>
      <c r="AX8" s="184"/>
      <c r="AY8" s="184"/>
      <c r="AZ8" s="185"/>
      <c r="BA8" s="187" t="s">
        <v>539</v>
      </c>
      <c r="BB8" s="184"/>
      <c r="BC8" s="184"/>
      <c r="BD8" s="185"/>
      <c r="BE8" s="189" t="s">
        <v>540</v>
      </c>
      <c r="BF8" s="190"/>
      <c r="BG8" s="191"/>
      <c r="BH8" s="192"/>
      <c r="BI8" s="193" t="s">
        <v>541</v>
      </c>
      <c r="BJ8" s="194"/>
      <c r="BK8" s="195">
        <v>45292.0</v>
      </c>
      <c r="BL8" s="1"/>
    </row>
    <row r="9">
      <c r="A9" s="1"/>
      <c r="B9" s="1"/>
      <c r="C9" s="196"/>
      <c r="D9" s="197" t="s">
        <v>542</v>
      </c>
      <c r="E9" s="198" t="s">
        <v>543</v>
      </c>
      <c r="F9" s="199" t="s">
        <v>544</v>
      </c>
      <c r="G9" s="200" t="s">
        <v>545</v>
      </c>
      <c r="H9" s="201"/>
      <c r="I9" s="197" t="s">
        <v>542</v>
      </c>
      <c r="J9" s="198" t="s">
        <v>543</v>
      </c>
      <c r="K9" s="199" t="s">
        <v>544</v>
      </c>
      <c r="L9" s="200" t="s">
        <v>545</v>
      </c>
      <c r="M9" s="202"/>
      <c r="N9" s="197" t="s">
        <v>542</v>
      </c>
      <c r="O9" s="198" t="s">
        <v>543</v>
      </c>
      <c r="P9" s="199" t="s">
        <v>544</v>
      </c>
      <c r="Q9" s="200" t="s">
        <v>545</v>
      </c>
      <c r="R9" s="202"/>
      <c r="S9" s="197" t="s">
        <v>542</v>
      </c>
      <c r="T9" s="198" t="s">
        <v>543</v>
      </c>
      <c r="U9" s="199" t="s">
        <v>544</v>
      </c>
      <c r="V9" s="200" t="s">
        <v>545</v>
      </c>
      <c r="W9" s="202"/>
      <c r="X9" s="197" t="s">
        <v>542</v>
      </c>
      <c r="Y9" s="198" t="s">
        <v>543</v>
      </c>
      <c r="Z9" s="199" t="s">
        <v>544</v>
      </c>
      <c r="AA9" s="200" t="s">
        <v>545</v>
      </c>
      <c r="AB9" s="202"/>
      <c r="AC9" s="197" t="s">
        <v>542</v>
      </c>
      <c r="AD9" s="198" t="s">
        <v>543</v>
      </c>
      <c r="AE9" s="199" t="s">
        <v>544</v>
      </c>
      <c r="AF9" s="200" t="s">
        <v>545</v>
      </c>
      <c r="AG9" s="197" t="s">
        <v>542</v>
      </c>
      <c r="AH9" s="198" t="s">
        <v>543</v>
      </c>
      <c r="AI9" s="199" t="s">
        <v>544</v>
      </c>
      <c r="AJ9" s="200" t="s">
        <v>545</v>
      </c>
      <c r="AK9" s="197" t="s">
        <v>542</v>
      </c>
      <c r="AL9" s="198" t="s">
        <v>543</v>
      </c>
      <c r="AM9" s="199" t="s">
        <v>544</v>
      </c>
      <c r="AN9" s="200" t="s">
        <v>545</v>
      </c>
      <c r="AO9" s="197" t="s">
        <v>542</v>
      </c>
      <c r="AP9" s="198" t="s">
        <v>543</v>
      </c>
      <c r="AQ9" s="199" t="s">
        <v>544</v>
      </c>
      <c r="AR9" s="200" t="s">
        <v>545</v>
      </c>
      <c r="AS9" s="197" t="s">
        <v>542</v>
      </c>
      <c r="AT9" s="198" t="s">
        <v>543</v>
      </c>
      <c r="AU9" s="199" t="s">
        <v>544</v>
      </c>
      <c r="AV9" s="200" t="s">
        <v>545</v>
      </c>
      <c r="AW9" s="197" t="s">
        <v>542</v>
      </c>
      <c r="AX9" s="198" t="s">
        <v>543</v>
      </c>
      <c r="AY9" s="199" t="s">
        <v>544</v>
      </c>
      <c r="AZ9" s="200" t="s">
        <v>545</v>
      </c>
      <c r="BA9" s="197" t="s">
        <v>542</v>
      </c>
      <c r="BB9" s="198" t="s">
        <v>543</v>
      </c>
      <c r="BC9" s="199" t="s">
        <v>544</v>
      </c>
      <c r="BD9" s="202" t="s">
        <v>545</v>
      </c>
      <c r="BE9" s="203" t="s">
        <v>542</v>
      </c>
      <c r="BF9" s="204" t="s">
        <v>543</v>
      </c>
      <c r="BG9" s="205" t="s">
        <v>546</v>
      </c>
      <c r="BH9" s="192"/>
      <c r="BI9" s="206" t="s">
        <v>543</v>
      </c>
      <c r="BJ9" s="207" t="s">
        <v>544</v>
      </c>
      <c r="BK9" s="208">
        <v>45657.0</v>
      </c>
    </row>
    <row r="10">
      <c r="A10" s="209"/>
      <c r="B10" s="210"/>
      <c r="C10" s="211" t="s">
        <v>547</v>
      </c>
      <c r="D10" s="212" t="s">
        <v>548</v>
      </c>
      <c r="E10" s="213">
        <f t="shared" ref="E10:F10" si="13">E321</f>
        <v>10921.25</v>
      </c>
      <c r="F10" s="214">
        <f t="shared" si="13"/>
        <v>1.408521093</v>
      </c>
      <c r="G10" s="215"/>
      <c r="H10" s="216"/>
      <c r="I10" s="217" t="s">
        <v>548</v>
      </c>
      <c r="J10" s="213">
        <f t="shared" ref="J10:K10" si="14">J321</f>
        <v>0</v>
      </c>
      <c r="K10" s="214" t="str">
        <f t="shared" si="14"/>
        <v/>
      </c>
      <c r="L10" s="215"/>
      <c r="M10" s="218"/>
      <c r="N10" s="212" t="s">
        <v>548</v>
      </c>
      <c r="O10" s="213">
        <f t="shared" ref="O10:P10" si="15">O321</f>
        <v>0</v>
      </c>
      <c r="P10" s="214" t="str">
        <f t="shared" si="15"/>
        <v/>
      </c>
      <c r="Q10" s="215"/>
      <c r="R10" s="218"/>
      <c r="S10" s="212" t="s">
        <v>548</v>
      </c>
      <c r="T10" s="213">
        <f t="shared" ref="T10:U10" si="16">T321</f>
        <v>0</v>
      </c>
      <c r="U10" s="214" t="str">
        <f t="shared" si="16"/>
        <v/>
      </c>
      <c r="V10" s="215"/>
      <c r="W10" s="218"/>
      <c r="X10" s="212" t="s">
        <v>548</v>
      </c>
      <c r="Y10" s="213">
        <f t="shared" ref="Y10:Z10" si="17">Y321</f>
        <v>0</v>
      </c>
      <c r="Z10" s="214" t="str">
        <f t="shared" si="17"/>
        <v/>
      </c>
      <c r="AA10" s="215"/>
      <c r="AB10" s="218"/>
      <c r="AC10" s="212" t="s">
        <v>548</v>
      </c>
      <c r="AD10" s="213">
        <f t="shared" ref="AD10:AE10" si="18">AD321</f>
        <v>0</v>
      </c>
      <c r="AE10" s="214" t="str">
        <f t="shared" si="18"/>
        <v/>
      </c>
      <c r="AF10" s="215"/>
      <c r="AG10" s="212" t="s">
        <v>548</v>
      </c>
      <c r="AH10" s="213">
        <f t="shared" ref="AH10:AI10" si="19">AH321</f>
        <v>0</v>
      </c>
      <c r="AI10" s="214" t="str">
        <f t="shared" si="19"/>
        <v/>
      </c>
      <c r="AJ10" s="215"/>
      <c r="AK10" s="212" t="s">
        <v>548</v>
      </c>
      <c r="AL10" s="213">
        <f t="shared" ref="AL10:AM10" si="20">AL321</f>
        <v>0</v>
      </c>
      <c r="AM10" s="214" t="str">
        <f t="shared" si="20"/>
        <v/>
      </c>
      <c r="AN10" s="215"/>
      <c r="AO10" s="212" t="s">
        <v>548</v>
      </c>
      <c r="AP10" s="213">
        <f t="shared" ref="AP10:AQ10" si="21">AP321</f>
        <v>0</v>
      </c>
      <c r="AQ10" s="214" t="str">
        <f t="shared" si="21"/>
        <v/>
      </c>
      <c r="AR10" s="215"/>
      <c r="AS10" s="212" t="s">
        <v>548</v>
      </c>
      <c r="AT10" s="213">
        <f t="shared" ref="AT10:AU10" si="22">AT321</f>
        <v>0</v>
      </c>
      <c r="AU10" s="214" t="str">
        <f t="shared" si="22"/>
        <v/>
      </c>
      <c r="AV10" s="215"/>
      <c r="AW10" s="212" t="s">
        <v>548</v>
      </c>
      <c r="AX10" s="213">
        <f t="shared" ref="AX10:AY10" si="23">AX321</f>
        <v>0</v>
      </c>
      <c r="AY10" s="214" t="str">
        <f t="shared" si="23"/>
        <v/>
      </c>
      <c r="AZ10" s="215"/>
      <c r="BA10" s="212" t="s">
        <v>548</v>
      </c>
      <c r="BB10" s="213">
        <f t="shared" ref="BB10:BC10" si="24">BB321</f>
        <v>0</v>
      </c>
      <c r="BC10" s="214" t="str">
        <f t="shared" si="24"/>
        <v/>
      </c>
      <c r="BD10" s="218"/>
      <c r="BE10" s="219"/>
      <c r="BF10" s="220"/>
      <c r="BG10" s="221"/>
      <c r="BH10" s="222"/>
      <c r="BI10" s="223"/>
      <c r="BJ10" s="224"/>
      <c r="BK10" s="225">
        <f>ROUND((BK9-BK8)/30,0.1)</f>
        <v>12</v>
      </c>
      <c r="BL10" s="226"/>
    </row>
    <row r="11">
      <c r="A11" s="209"/>
      <c r="B11" s="210"/>
      <c r="C11" s="227"/>
      <c r="D11" s="228">
        <f t="shared" ref="D11:E11" si="25">D12</f>
        <v>3276</v>
      </c>
      <c r="E11" s="229">
        <f t="shared" si="25"/>
        <v>7753.7</v>
      </c>
      <c r="F11" s="230">
        <f t="shared" ref="F11:F25" si="38">IF(E$11=0,"",E11/E$11)</f>
        <v>1</v>
      </c>
      <c r="G11" s="231" t="str">
        <f t="shared" ref="G11:G16" si="39">IF(A11=0,"",E11/A11-1)</f>
        <v/>
      </c>
      <c r="H11" s="232"/>
      <c r="I11" s="233">
        <f t="shared" ref="I11:J11" si="26">I12</f>
        <v>0</v>
      </c>
      <c r="J11" s="229">
        <f t="shared" si="26"/>
        <v>0</v>
      </c>
      <c r="K11" s="230" t="str">
        <f t="shared" ref="K11:K19" si="40">IF(J$11=0,"",J11/J$11)</f>
        <v/>
      </c>
      <c r="L11" s="231">
        <f t="shared" ref="L11:L16" si="41">IF(E11=0,"",J11/E11-1)</f>
        <v>-1</v>
      </c>
      <c r="M11" s="234"/>
      <c r="N11" s="228">
        <f t="shared" ref="N11:O11" si="27">N12</f>
        <v>0</v>
      </c>
      <c r="O11" s="229">
        <f t="shared" si="27"/>
        <v>0</v>
      </c>
      <c r="P11" s="230" t="str">
        <f t="shared" ref="P11:P19" si="42">IF(O$11=0,"",O11/O$11)</f>
        <v/>
      </c>
      <c r="Q11" s="231" t="str">
        <f t="shared" ref="Q11:Q16" si="43">IF(J11=0,"",O11/J11-1)</f>
        <v/>
      </c>
      <c r="R11" s="234"/>
      <c r="S11" s="228">
        <f t="shared" ref="S11:T11" si="28">S12</f>
        <v>0</v>
      </c>
      <c r="T11" s="229">
        <f t="shared" si="28"/>
        <v>0</v>
      </c>
      <c r="U11" s="230" t="str">
        <f t="shared" ref="U11:U19" si="44">IF(T$11=0,"",T11/T$11)</f>
        <v/>
      </c>
      <c r="V11" s="231" t="str">
        <f t="shared" ref="V11:V16" si="45">IF(O11=0,"",T11/O11-1)</f>
        <v/>
      </c>
      <c r="W11" s="234"/>
      <c r="X11" s="228">
        <f t="shared" ref="X11:Y11" si="29">X12</f>
        <v>0</v>
      </c>
      <c r="Y11" s="229">
        <f t="shared" si="29"/>
        <v>0</v>
      </c>
      <c r="Z11" s="230" t="str">
        <f t="shared" ref="Z11:Z19" si="46">IF(Y$11=0,"",Y11/Y$11)</f>
        <v/>
      </c>
      <c r="AA11" s="231" t="str">
        <f t="shared" ref="AA11:AA16" si="47">IF(T11=0,"",Y11/T11-1)</f>
        <v/>
      </c>
      <c r="AB11" s="234"/>
      <c r="AC11" s="228">
        <f t="shared" ref="AC11:AD11" si="30">AC12</f>
        <v>0</v>
      </c>
      <c r="AD11" s="229">
        <f t="shared" si="30"/>
        <v>0</v>
      </c>
      <c r="AE11" s="230" t="str">
        <f t="shared" ref="AE11:AE19" si="48">IF(AD$11=0,"",AD11/AD$11)</f>
        <v/>
      </c>
      <c r="AF11" s="231" t="str">
        <f t="shared" ref="AF11:AF16" si="49">IF(Y11=0,"",AD11/Y11-1)</f>
        <v/>
      </c>
      <c r="AG11" s="228">
        <f t="shared" ref="AG11:AH11" si="31">AG12</f>
        <v>0</v>
      </c>
      <c r="AH11" s="229">
        <f t="shared" si="31"/>
        <v>0</v>
      </c>
      <c r="AI11" s="230" t="str">
        <f t="shared" ref="AI11:AI19" si="50">IF(AH$11=0,"",AH11/AH$11)</f>
        <v/>
      </c>
      <c r="AJ11" s="231" t="str">
        <f t="shared" ref="AJ11:AJ16" si="51">IF(AD11=0,"",AH11/AD11-1)</f>
        <v/>
      </c>
      <c r="AK11" s="228">
        <f t="shared" ref="AK11:AL11" si="32">AK12</f>
        <v>0</v>
      </c>
      <c r="AL11" s="229">
        <f t="shared" si="32"/>
        <v>0</v>
      </c>
      <c r="AM11" s="230" t="str">
        <f t="shared" ref="AM11:AM19" si="52">IF(AL$11=0,"",AL11/AL$11)</f>
        <v/>
      </c>
      <c r="AN11" s="231" t="str">
        <f t="shared" ref="AN11:AN16" si="53">IF(AH11=0,"",AL11/AH11-1)</f>
        <v/>
      </c>
      <c r="AO11" s="228">
        <f t="shared" ref="AO11:AP11" si="33">AO12</f>
        <v>0</v>
      </c>
      <c r="AP11" s="229">
        <f t="shared" si="33"/>
        <v>0</v>
      </c>
      <c r="AQ11" s="230" t="str">
        <f t="shared" ref="AQ11:AQ19" si="54">IF(AP$11=0,"",AP11/AP$11)</f>
        <v/>
      </c>
      <c r="AR11" s="231" t="str">
        <f t="shared" ref="AR11:AR16" si="55">IF(AL11=0,"",AP11/AL11-1)</f>
        <v/>
      </c>
      <c r="AS11" s="228">
        <f t="shared" ref="AS11:AT11" si="34">AS12</f>
        <v>0</v>
      </c>
      <c r="AT11" s="229">
        <f t="shared" si="34"/>
        <v>0</v>
      </c>
      <c r="AU11" s="230" t="str">
        <f t="shared" ref="AU11:AU19" si="56">IF(AT$11=0,"",AT11/AT$11)</f>
        <v/>
      </c>
      <c r="AV11" s="231" t="str">
        <f t="shared" ref="AV11:AV16" si="57">IF(AP11=0,"",AT11/AP11-1)</f>
        <v/>
      </c>
      <c r="AW11" s="228">
        <f t="shared" ref="AW11:AX11" si="35">AW12</f>
        <v>0</v>
      </c>
      <c r="AX11" s="229">
        <f t="shared" si="35"/>
        <v>0</v>
      </c>
      <c r="AY11" s="230" t="str">
        <f t="shared" ref="AY11:AY19" si="58">IF(AX$11=0,"",AX11/AX$11)</f>
        <v/>
      </c>
      <c r="AZ11" s="231" t="str">
        <f t="shared" ref="AZ11:AZ16" si="59">IF(AT11=0,"",AX11/AT11-1)</f>
        <v/>
      </c>
      <c r="BA11" s="228">
        <f t="shared" ref="BA11:BB11" si="36">BA12</f>
        <v>0</v>
      </c>
      <c r="BB11" s="229">
        <f t="shared" si="36"/>
        <v>0</v>
      </c>
      <c r="BC11" s="230" t="str">
        <f t="shared" ref="BC11:BC19" si="60">IF(BB$11=0,"",BB11/BB$11)</f>
        <v/>
      </c>
      <c r="BD11" s="234" t="str">
        <f t="shared" ref="BD11:BD16" si="61">IF(AX11=0,"",BB11/AX11-1)</f>
        <v/>
      </c>
      <c r="BE11" s="235">
        <f t="shared" ref="BE11:BF11" si="37">SUM(D11,I11,N11,S11,X11,AC11,AG11,AK11,AO11,AS11,AW11,BA11)</f>
        <v>3276</v>
      </c>
      <c r="BF11" s="236">
        <f t="shared" si="37"/>
        <v>7753.7</v>
      </c>
      <c r="BG11" s="237">
        <f t="shared" ref="BG11:BG12" si="63">IF(BF$11=0,"",BF11/BF$11)</f>
        <v>1</v>
      </c>
      <c r="BH11" s="238"/>
      <c r="BI11" s="239">
        <f>BI12</f>
        <v>0</v>
      </c>
      <c r="BJ11" s="224" t="str">
        <f t="shared" ref="BJ11:BJ12" si="64">IF(BI$11=0,"",BI11/BI$11)</f>
        <v/>
      </c>
      <c r="BK11" s="225" t="s">
        <v>549</v>
      </c>
      <c r="BL11" s="209"/>
    </row>
    <row r="12">
      <c r="A12" s="240"/>
      <c r="B12" s="1"/>
      <c r="C12" s="241" t="s">
        <v>24</v>
      </c>
      <c r="D12" s="242">
        <f>SUMIFS('Livro Diario - FC'!$J$11:$J1028,'Livro Diario - FC'!$E$11:$E1028,$C$12,'Livro Diario - FC'!$D$11:$D1028,"&gt;=01/01"&amp;$C$7,'Livro Diario - FC'!$D$11:$D1028,"&lt;=31/01"&amp;$C$7)+SUM(D13:D22)</f>
        <v>3276</v>
      </c>
      <c r="E12" s="243">
        <f>SUMIFS('Livro Diario - FC'!$L$11:$L1028,'Livro Diario - FC'!$E$11:$E1028,$C$12,'Livro Diario - FC'!$D$11:$D1028,"&gt;=01/01"&amp;$C$7,'Livro Diario - FC'!$D$11:$D1028,"&lt;=31/01"&amp;$C$7)+SUM(E13:E22)</f>
        <v>7753.7</v>
      </c>
      <c r="F12" s="244">
        <f t="shared" si="38"/>
        <v>1</v>
      </c>
      <c r="G12" s="245" t="str">
        <f t="shared" si="39"/>
        <v/>
      </c>
      <c r="H12" s="246"/>
      <c r="I12" s="242">
        <f>SUMIFS('Livro Diario - FC'!$J$11:$J1028,'Livro Diario - FC'!$E$11:$E1028,$C$12,'Livro Diario - FC'!$D$11:$D1028,"&gt;=01/02"&amp;$C$7,'Livro Diario - FC'!$D$11:$D1028,"&lt;=29/02"&amp;$C$7)+SUM(I13:I22)</f>
        <v>0</v>
      </c>
      <c r="J12" s="243">
        <f>SUMIFS('Livro Diario - FC'!$L$11:$L1028,'Livro Diario - FC'!$E$11:$E1028,$C$12,'Livro Diario - FC'!$D$11:$D1028,"&gt;=01/02"&amp;$C$7,'Livro Diario - FC'!$D$11:$D1028,"&lt;=29/02"&amp;$C$7)+SUM(J13:J22)</f>
        <v>0</v>
      </c>
      <c r="K12" s="244" t="str">
        <f t="shared" si="40"/>
        <v/>
      </c>
      <c r="L12" s="245">
        <f t="shared" si="41"/>
        <v>-1</v>
      </c>
      <c r="M12" s="247"/>
      <c r="N12" s="242">
        <f>SUMIFS('Livro Diario - FC'!$J$11:$J1028,'Livro Diario - FC'!$E$11:$E1028,$C$12,'Livro Diario - FC'!$D$11:$D1028,"&gt;=01/03"&amp;$C$7,'Livro Diario - FC'!$D$11:$D1028,"&lt;=31/03"&amp;$C$7)+SUM(N13:N22)</f>
        <v>0</v>
      </c>
      <c r="O12" s="243">
        <f>SUMIFS('Livro Diario - FC'!$L$11:$L1028,'Livro Diario - FC'!$E$11:$E1028,$C$12,'Livro Diario - FC'!$D$11:$D1028,"&gt;=01/03"&amp;$C$7,'Livro Diario - FC'!$D$11:$D1028,"&lt;=31/03"&amp;$C$7)+SUM(O13:O22)</f>
        <v>0</v>
      </c>
      <c r="P12" s="244" t="str">
        <f t="shared" si="42"/>
        <v/>
      </c>
      <c r="Q12" s="245" t="str">
        <f t="shared" si="43"/>
        <v/>
      </c>
      <c r="R12" s="247"/>
      <c r="S12" s="242">
        <f>SUMIFS('Livro Diario - FC'!$J$11:$J1028,'Livro Diario - FC'!$E$11:$E1028,$C$12,'Livro Diario - FC'!$D$11:$D1028,"&gt;=01/04"&amp;$C$7,'Livro Diario - FC'!$D$11:$D1028,"&lt;=30/04"&amp;$C$7)+SUM(S13:S22)</f>
        <v>0</v>
      </c>
      <c r="T12" s="243">
        <f>SUMIFS('Livro Diario - FC'!$L$11:$L1028,'Livro Diario - FC'!$E$11:$E1028,$C$12,'Livro Diario - FC'!$D$11:$D1028,"&gt;=01/04"&amp;$C$7,'Livro Diario - FC'!$D$11:$D1028,"&lt;=30/04"&amp;$C$7)+SUM(T13:T22)</f>
        <v>0</v>
      </c>
      <c r="U12" s="244" t="str">
        <f t="shared" si="44"/>
        <v/>
      </c>
      <c r="V12" s="245" t="str">
        <f t="shared" si="45"/>
        <v/>
      </c>
      <c r="W12" s="247"/>
      <c r="X12" s="242">
        <f>SUMIFS('Livro Diario - FC'!$J$11:$J1028,'Livro Diario - FC'!$E$11:$E1028,$C$12,'Livro Diario - FC'!$D$11:$D1028,"&gt;=01/05"&amp;$C$7,'Livro Diario - FC'!$D$11:$D1028,"&lt;=31/05"&amp;$C$7)+SUM(X13:X22)</f>
        <v>0</v>
      </c>
      <c r="Y12" s="243">
        <f>SUMIFS('Livro Diario - FC'!$L$11:$L1028,'Livro Diario - FC'!$E$11:$E1028,$C$12,'Livro Diario - FC'!$D$11:$D1028,"&gt;=01/05"&amp;$C$7,'Livro Diario - FC'!$D$11:$D1028,"&lt;=31/05"&amp;$C$7)+SUM(Y13:Y22)</f>
        <v>0</v>
      </c>
      <c r="Z12" s="244" t="str">
        <f t="shared" si="46"/>
        <v/>
      </c>
      <c r="AA12" s="245" t="str">
        <f t="shared" si="47"/>
        <v/>
      </c>
      <c r="AB12" s="247"/>
      <c r="AC12" s="242">
        <f>SUMIFS('Livro Diario - FC'!$J$11:$J1028,'Livro Diario - FC'!$E$11:$E1028,$C$12,'Livro Diario - FC'!$D$11:$D1028,"&gt;=01/06"&amp;$C$7,'Livro Diario - FC'!$D$11:$D1028,"&lt;=30/06"&amp;$C$7)+SUM(AC13:AC22)</f>
        <v>0</v>
      </c>
      <c r="AD12" s="243">
        <f>SUMIFS('Livro Diario - FC'!$L$11:$L1028,'Livro Diario - FC'!$E$11:$E1028,$C$12,'Livro Diario - FC'!$D$11:$D1028,"&gt;=01/06"&amp;$C$7,'Livro Diario - FC'!$D$11:$D1028,"&lt;=30/06"&amp;$C$7)+SUM(AD13:AD22)</f>
        <v>0</v>
      </c>
      <c r="AE12" s="244" t="str">
        <f t="shared" si="48"/>
        <v/>
      </c>
      <c r="AF12" s="245" t="str">
        <f t="shared" si="49"/>
        <v/>
      </c>
      <c r="AG12" s="242">
        <f>SUMIFS('Livro Diario - FC'!$J$11:$J1028,'Livro Diario - FC'!$E$11:$E1028,$C$12,'Livro Diario - FC'!$D$11:$D1028,"&gt;=01/07"&amp;$C$7,'Livro Diario - FC'!$D$11:$D1028,"&lt;=31/07"&amp;$C$7)+SUM(AG13:AG22)</f>
        <v>0</v>
      </c>
      <c r="AH12" s="243">
        <f>SUMIFS('Livro Diario - FC'!$L$11:$L1028,'Livro Diario - FC'!$E$11:$E1028,$C$12,'Livro Diario - FC'!$D$11:$D1028,"&gt;=01/07"&amp;$C$7,'Livro Diario - FC'!$D$11:$D1028,"&lt;=31/07"&amp;$C$7)+SUM(AH13:AH22)</f>
        <v>0</v>
      </c>
      <c r="AI12" s="244" t="str">
        <f t="shared" si="50"/>
        <v/>
      </c>
      <c r="AJ12" s="245" t="str">
        <f t="shared" si="51"/>
        <v/>
      </c>
      <c r="AK12" s="242">
        <f>SUMIFS('Livro Diario - FC'!$J$11:$J1028,'Livro Diario - FC'!$E$11:$E1028,$C$12,'Livro Diario - FC'!$D$11:$D1028,"&gt;=01/08"&amp;$C$7,'Livro Diario - FC'!$D$11:$D1028,"&lt;=31/08"&amp;$C$7)+SUM(AK13:AK22)</f>
        <v>0</v>
      </c>
      <c r="AL12" s="243">
        <f>SUMIFS('Livro Diario - FC'!$L$11:$L1028,'Livro Diario - FC'!$E$11:$E1028,$C$12,'Livro Diario - FC'!$D$11:$D1028,"&gt;=01/08"&amp;$C$7,'Livro Diario - FC'!$D$11:$D1028,"&lt;=31/08"&amp;$C$7)+SUM(AL13:AL22)</f>
        <v>0</v>
      </c>
      <c r="AM12" s="244" t="str">
        <f t="shared" si="52"/>
        <v/>
      </c>
      <c r="AN12" s="245" t="str">
        <f t="shared" si="53"/>
        <v/>
      </c>
      <c r="AO12" s="242">
        <f>SUMIFS('Livro Diario - FC'!$J$11:$J1028,'Livro Diario - FC'!$E$11:$E1028,$C$12,'Livro Diario - FC'!$D$11:$D1028,"&gt;=01/09"&amp;$C$7,'Livro Diario - FC'!$D$11:$D1028,"&lt;=30/09"&amp;$C$7)+SUM(AO13:AO22)</f>
        <v>0</v>
      </c>
      <c r="AP12" s="243">
        <f>SUMIFS('Livro Diario - FC'!$L$11:$L1028,'Livro Diario - FC'!$E$11:$E1028,$C$12,'Livro Diario - FC'!$D$11:$D1028,"&gt;=01/09"&amp;$C$7,'Livro Diario - FC'!$D$11:$D1028,"&lt;=30/09"&amp;$C$7)+SUM(AP13:AP22)</f>
        <v>0</v>
      </c>
      <c r="AQ12" s="244" t="str">
        <f t="shared" si="54"/>
        <v/>
      </c>
      <c r="AR12" s="245" t="str">
        <f t="shared" si="55"/>
        <v/>
      </c>
      <c r="AS12" s="242">
        <f>SUMIFS('Livro Diario - FC'!$J$11:$J1028,'Livro Diario - FC'!$E$11:$E1028,$C$12,'Livro Diario - FC'!$D$11:$D1028,"&gt;=01/10"&amp;$C$7,'Livro Diario - FC'!$D$11:$D1028,"&lt;=31/10"&amp;$C$7)+SUM(AS13:AS22)</f>
        <v>0</v>
      </c>
      <c r="AT12" s="243">
        <f>SUMIFS('Livro Diario - FC'!$L$11:$L1028,'Livro Diario - FC'!$E$11:$E1028,$C$12,'Livro Diario - FC'!$D$11:$D1028,"&gt;=01/10"&amp;$C$7,'Livro Diario - FC'!$D$11:$D1028,"&lt;=31/10"&amp;$C$7)+SUM(AT13:AT22)</f>
        <v>0</v>
      </c>
      <c r="AU12" s="244" t="str">
        <f t="shared" si="56"/>
        <v/>
      </c>
      <c r="AV12" s="245" t="str">
        <f t="shared" si="57"/>
        <v/>
      </c>
      <c r="AW12" s="242">
        <f>SUMIFS('Livro Diario - FC'!$J$11:$J1028,'Livro Diario - FC'!$E$11:$E1028,$C$12,'Livro Diario - FC'!$D$11:$D1028,"&gt;=01/11"&amp;$C$7,'Livro Diario - FC'!$D$11:$D1028,"&lt;=30/11"&amp;$C$7)+SUM(AW13:AW22)</f>
        <v>0</v>
      </c>
      <c r="AX12" s="243">
        <f>SUMIFS('Livro Diario - FC'!$L$11:$L1028,'Livro Diario - FC'!$E$11:$E1028,$C$12,'Livro Diario - FC'!$D$11:$D1028,"&gt;=01/11"&amp;$C$7,'Livro Diario - FC'!$D$11:$D1028,"&lt;=30/11"&amp;$C$7)+SUM(AX13:AX22)</f>
        <v>0</v>
      </c>
      <c r="AY12" s="244" t="str">
        <f t="shared" si="58"/>
        <v/>
      </c>
      <c r="AZ12" s="245" t="str">
        <f t="shared" si="59"/>
        <v/>
      </c>
      <c r="BA12" s="242">
        <f>SUMIFS('Livro Diario - FC'!$J$11:$J1028,'Livro Diario - FC'!$E$11:$E1028,$C$12,'Livro Diario - FC'!$D$11:$D1028,"&gt;=01/12"&amp;$C$7,'Livro Diario - FC'!$D$11:$D1028,"&lt;=31/12"&amp;$C$7)+SUM(BA13:BA22)</f>
        <v>0</v>
      </c>
      <c r="BB12" s="243">
        <f>SUMIFS('Livro Diario - FC'!$L$11:$L1028,'Livro Diario - FC'!$E$11:$E1028,$C$12,'Livro Diario - FC'!$D$11:$D1028,"&gt;=01/12"&amp;$C$7,'Livro Diario - FC'!$D$11:$D1028,"&lt;=31/12"&amp;$C$7)+SUM(BB13:BB22)</f>
        <v>0</v>
      </c>
      <c r="BC12" s="244" t="str">
        <f t="shared" si="60"/>
        <v/>
      </c>
      <c r="BD12" s="248" t="str">
        <f t="shared" si="61"/>
        <v/>
      </c>
      <c r="BE12" s="249">
        <f t="shared" ref="BE12:BF12" si="62">SUM(D12,I12,N12,S12,X12,AC12,AG12,AK12,AO12,AS12,AW12,BA12)</f>
        <v>3276</v>
      </c>
      <c r="BF12" s="250">
        <f t="shared" si="62"/>
        <v>7753.7</v>
      </c>
      <c r="BG12" s="251">
        <f t="shared" si="63"/>
        <v>1</v>
      </c>
      <c r="BH12" s="9"/>
      <c r="BI12" s="252">
        <f>SUMIFS('Livro Diario - FC'!$L$11:$L1028,'Livro Diario - FC'!$E$11:$E1028,C13,'Livro Diario - FC'!$D$11:$D1028,"&gt;="&amp;$BK$8,'Livro Diario - FC'!$D$11:$D1028,"&lt;="&amp;$BK$9)+SUM(BI13:BI22)</f>
        <v>0</v>
      </c>
      <c r="BJ12" s="253" t="str">
        <f t="shared" si="64"/>
        <v/>
      </c>
      <c r="BK12" s="254"/>
      <c r="BL12" s="1"/>
    </row>
    <row r="13">
      <c r="A13" s="8"/>
      <c r="B13" s="1"/>
      <c r="C13" s="52" t="str">
        <f>'Livro Diario - FC'!AE12</f>
        <v>3.1.1 Receita com Cash - Diaria</v>
      </c>
      <c r="D13" s="255">
        <f>SUMIFS('Livro Diario - FC'!$J$11:$J1028,'Livro Diario - FC'!$E$11:$E1028,$C$13,'Livro Diario - FC'!$D$11:$D1028,"&gt;=01/01"&amp;$C$7,'Livro Diario - FC'!$D$11:$D1028,"&lt;=31/01"&amp;$C$7)</f>
        <v>3276</v>
      </c>
      <c r="E13" s="256">
        <f>SUMIFS('Livro Diario - FC'!$L$11:$L1028,'Livro Diario - FC'!$E$11:$E1028,$C$13,'Livro Diario - FC'!$D$11:$D1028,"&gt;=01/01"&amp;$C$7,'Livro Diario - FC'!$D$11:$D1028,"&lt;=31/01"&amp;$C$7)</f>
        <v>7753.7</v>
      </c>
      <c r="F13" s="257">
        <f t="shared" si="38"/>
        <v>1</v>
      </c>
      <c r="G13" s="258" t="str">
        <f t="shared" si="39"/>
        <v/>
      </c>
      <c r="H13" s="157"/>
      <c r="I13" s="255">
        <f>SUMIFS('Livro Diario - FC'!$J$11:$J1028,'Livro Diario - FC'!$E$11:$E1028,$C$13,'Livro Diario - FC'!$D$11:$D1028,"&gt;=01/02"&amp;$C$7,'Livro Diario - FC'!$D$11:$D1028,"&lt;=29/02"&amp;$C$7)</f>
        <v>0</v>
      </c>
      <c r="J13" s="256">
        <f>SUMIFS('Livro Diario - FC'!$L$11:$L1028,'Livro Diario - FC'!$E$11:$E1028,$C$13,'Livro Diario - FC'!$D$11:$D1028,"&gt;=01/02"&amp;$C$7,'Livro Diario - FC'!$D$11:$D1028,"&lt;=29/02"&amp;$C$7)</f>
        <v>0</v>
      </c>
      <c r="K13" s="257" t="str">
        <f t="shared" si="40"/>
        <v/>
      </c>
      <c r="L13" s="258">
        <f t="shared" si="41"/>
        <v>-1</v>
      </c>
      <c r="M13" s="259"/>
      <c r="N13" s="255">
        <f>SUMIFS('Livro Diario - FC'!$J$11:$J1028,'Livro Diario - FC'!$E$11:$E1028,$C$13,'Livro Diario - FC'!$D$11:$D1028,"&gt;=01/03"&amp;$C$7,'Livro Diario - FC'!$D$11:$D1028,"&lt;=31/03"&amp;$C$7)</f>
        <v>0</v>
      </c>
      <c r="O13" s="256">
        <f>SUMIFS('Livro Diario - FC'!$L$11:$L1028,'Livro Diario - FC'!$E$11:$E1028,$C$13,'Livro Diario - FC'!$D$11:$D1028,"&gt;=01/03"&amp;$C$7,'Livro Diario - FC'!$D$11:$D1028,"&lt;=31/03"&amp;$C$7)</f>
        <v>0</v>
      </c>
      <c r="P13" s="257" t="str">
        <f t="shared" si="42"/>
        <v/>
      </c>
      <c r="Q13" s="258" t="str">
        <f t="shared" si="43"/>
        <v/>
      </c>
      <c r="R13" s="259"/>
      <c r="S13" s="255">
        <f>SUMIFS('Livro Diario - FC'!$J$11:$J1028,'Livro Diario - FC'!$E$11:$E1028,$C$13,'Livro Diario - FC'!$D$11:$D1028,"&gt;=01/04"&amp;$C$7,'Livro Diario - FC'!$D$11:$D1028,"&lt;=30/04"&amp;$C$7)</f>
        <v>0</v>
      </c>
      <c r="T13" s="256">
        <f>SUMIFS('Livro Diario - FC'!$L$11:$L1028,'Livro Diario - FC'!$E$11:$E1028,$C$13,'Livro Diario - FC'!$D$11:$D1028,"&gt;=01/04"&amp;$C$7,'Livro Diario - FC'!$D$11:$D1028,"&lt;=30/04"&amp;$C$7)</f>
        <v>0</v>
      </c>
      <c r="U13" s="257" t="str">
        <f t="shared" si="44"/>
        <v/>
      </c>
      <c r="V13" s="258" t="str">
        <f t="shared" si="45"/>
        <v/>
      </c>
      <c r="W13" s="259"/>
      <c r="X13" s="255">
        <f>SUMIFS('Livro Diario - FC'!$J$11:$J1028,'Livro Diario - FC'!$E$11:$E1028,$C$13,'Livro Diario - FC'!$D$11:$D1028,"&gt;=01/05"&amp;$C$7,'Livro Diario - FC'!$D$11:$D1028,"&lt;=31/05"&amp;$C$7)</f>
        <v>0</v>
      </c>
      <c r="Y13" s="256">
        <f>SUMIFS('Livro Diario - FC'!$L$11:$L1028,'Livro Diario - FC'!$E$11:$E1028,$C$13,'Livro Diario - FC'!$D$11:$D1028,"&gt;=01/05"&amp;$C$7,'Livro Diario - FC'!$D$11:$D1028,"&lt;=31/05"&amp;$C$7)</f>
        <v>0</v>
      </c>
      <c r="Z13" s="257" t="str">
        <f t="shared" si="46"/>
        <v/>
      </c>
      <c r="AA13" s="258" t="str">
        <f t="shared" si="47"/>
        <v/>
      </c>
      <c r="AB13" s="259"/>
      <c r="AC13" s="255">
        <f>SUMIFS('Livro Diario - FC'!$J$11:$J1028,'Livro Diario - FC'!$E$11:$E1028,$C$13,'Livro Diario - FC'!$D$11:$D1028,"&gt;=01/06"&amp;$C$7,'Livro Diario - FC'!$D$11:$D1028,"&lt;=30/06"&amp;$C$7)</f>
        <v>0</v>
      </c>
      <c r="AD13" s="256">
        <f>SUMIFS('Livro Diario - FC'!$L$11:$L1028,'Livro Diario - FC'!$E$11:$E1028,$C$13,'Livro Diario - FC'!$D$11:$D1028,"&gt;=01/06"&amp;$C$7,'Livro Diario - FC'!$D$11:$D1028,"&lt;=30/06"&amp;$C$7)</f>
        <v>0</v>
      </c>
      <c r="AE13" s="257" t="str">
        <f t="shared" si="48"/>
        <v/>
      </c>
      <c r="AF13" s="258" t="str">
        <f t="shared" si="49"/>
        <v/>
      </c>
      <c r="AG13" s="255">
        <f>SUMIFS('Livro Diario - FC'!$J$11:$J1028,'Livro Diario - FC'!$E$11:$E1028,$C$13,'Livro Diario - FC'!$D$11:$D1028,"&gt;=01/07"&amp;$C$7,'Livro Diario - FC'!$D$11:$D1028,"&lt;=31/07"&amp;$C$7)</f>
        <v>0</v>
      </c>
      <c r="AH13" s="256">
        <f>SUMIFS('Livro Diario - FC'!$L$11:$L1028,'Livro Diario - FC'!$E$11:$E1028,$C$13,'Livro Diario - FC'!$D$11:$D1028,"&gt;=01/07"&amp;$C$7,'Livro Diario - FC'!$D$11:$D1028,"&lt;=31/07"&amp;$C$7)</f>
        <v>0</v>
      </c>
      <c r="AI13" s="257" t="str">
        <f t="shared" si="50"/>
        <v/>
      </c>
      <c r="AJ13" s="258" t="str">
        <f t="shared" si="51"/>
        <v/>
      </c>
      <c r="AK13" s="255">
        <f>SUMIFS('Livro Diario - FC'!$J$11:$J1028,'Livro Diario - FC'!$E$11:$E1028,$C$13,'Livro Diario - FC'!$D$11:$D1028,"&gt;=01/08"&amp;$C$7,'Livro Diario - FC'!$D$11:$D1028,"&lt;=31/08"&amp;$C$7)</f>
        <v>0</v>
      </c>
      <c r="AL13" s="256">
        <f>SUMIFS('Livro Diario - FC'!$L$11:$L1028,'Livro Diario - FC'!$E$11:$E1028,$C$13,'Livro Diario - FC'!$D$11:$D1028,"&gt;=01/08"&amp;$C$7,'Livro Diario - FC'!$D$11:$D1028,"&lt;=31/08"&amp;$C$7)</f>
        <v>0</v>
      </c>
      <c r="AM13" s="257" t="str">
        <f t="shared" si="52"/>
        <v/>
      </c>
      <c r="AN13" s="258" t="str">
        <f t="shared" si="53"/>
        <v/>
      </c>
      <c r="AO13" s="255">
        <f>SUMIFS('Livro Diario - FC'!$J$11:$J1028,'Livro Diario - FC'!$E$11:$E1028,$C$13,'Livro Diario - FC'!$D$11:$D1028,"&gt;=01/09"&amp;$C$7,'Livro Diario - FC'!$D$11:$D1028,"&lt;=30/09"&amp;$C$7)</f>
        <v>0</v>
      </c>
      <c r="AP13" s="256">
        <f>SUMIFS('Livro Diario - FC'!$L$11:$L1028,'Livro Diario - FC'!$E$11:$E1028,$C$13,'Livro Diario - FC'!$D$11:$D1028,"&gt;=01/09"&amp;$C$7,'Livro Diario - FC'!$D$11:$D1028,"&lt;=30/09"&amp;$C$7)</f>
        <v>0</v>
      </c>
      <c r="AQ13" s="257" t="str">
        <f t="shared" si="54"/>
        <v/>
      </c>
      <c r="AR13" s="258" t="str">
        <f t="shared" si="55"/>
        <v/>
      </c>
      <c r="AS13" s="255">
        <f>SUMIFS('Livro Diario - FC'!$J$11:$J1028,'Livro Diario - FC'!$E$11:$E1028,$C$13,'Livro Diario - FC'!$D$11:$D1028,"&gt;=01/10"&amp;$C$7,'Livro Diario - FC'!$D$11:$D1028,"&lt;=31/10"&amp;$C$7)</f>
        <v>0</v>
      </c>
      <c r="AT13" s="256">
        <f>SUMIFS('Livro Diario - FC'!$L$11:$L1028,'Livro Diario - FC'!$E$11:$E1028,$C$13,'Livro Diario - FC'!$D$11:$D1028,"&gt;=01/10"&amp;$C$7,'Livro Diario - FC'!$D$11:$D1028,"&lt;=31/10"&amp;$C$7)</f>
        <v>0</v>
      </c>
      <c r="AU13" s="257" t="str">
        <f t="shared" si="56"/>
        <v/>
      </c>
      <c r="AV13" s="258" t="str">
        <f t="shared" si="57"/>
        <v/>
      </c>
      <c r="AW13" s="255">
        <f>SUMIFS('Livro Diario - FC'!$J$11:$J1028,'Livro Diario - FC'!$E$11:$E1028,$C$13,'Livro Diario - FC'!$D$11:$D1028,"&gt;=01/11"&amp;$C$7,'Livro Diario - FC'!$D$11:$D1028,"&lt;=30/11"&amp;$C$7)</f>
        <v>0</v>
      </c>
      <c r="AX13" s="256">
        <f>SUMIFS('Livro Diario - FC'!$L$11:$L1028,'Livro Diario - FC'!$E$11:$E1028,$C$13,'Livro Diario - FC'!$D$11:$D1028,"&gt;=01/11"&amp;$C$7,'Livro Diario - FC'!$D$11:$D1028,"&lt;=30/11"&amp;$C$7)</f>
        <v>0</v>
      </c>
      <c r="AY13" s="257" t="str">
        <f t="shared" si="58"/>
        <v/>
      </c>
      <c r="AZ13" s="258" t="str">
        <f t="shared" si="59"/>
        <v/>
      </c>
      <c r="BA13" s="255">
        <f>SUMIFS('Livro Diario - FC'!$J$11:$J1028,'Livro Diario - FC'!$E$11:$E1028,$C$13,'Livro Diario - FC'!$D$11:$D1028,"&gt;=01/12"&amp;$C$7,'Livro Diario - FC'!$D$11:$D1028,"&lt;=31/12"&amp;$C$7)</f>
        <v>0</v>
      </c>
      <c r="BB13" s="256">
        <f>SUMIFS('Livro Diario - FC'!$L$11:$L1028,'Livro Diario - FC'!$E$11:$E1028,$C$13,'Livro Diario - FC'!$D$11:$D1028,"&gt;=01/12"&amp;$C$7,'Livro Diario - FC'!$D$11:$D1028,"&lt;=31/12"&amp;$C$7)</f>
        <v>0</v>
      </c>
      <c r="BC13" s="257" t="str">
        <f t="shared" si="60"/>
        <v/>
      </c>
      <c r="BD13" s="258" t="str">
        <f t="shared" si="61"/>
        <v/>
      </c>
      <c r="BE13" s="260">
        <f t="shared" ref="BE13:BF13" si="65">SUM(D13,I13,N13,S13,X13,AC13,AG13,AK13,AO13,AS13,AW13,BA13)</f>
        <v>3276</v>
      </c>
      <c r="BF13" s="261">
        <f t="shared" si="65"/>
        <v>7753.7</v>
      </c>
      <c r="BG13" s="262"/>
      <c r="BH13" s="263"/>
      <c r="BI13" s="264">
        <f>SUMIFS('Livro Diario - FC'!$L$11:$L1028,'Livro Diario - FC'!$E$11:$E1028,C13,'Livro Diario - FC'!$D$11:$D1028,"&gt;="&amp;$BK$8,'Livro Diario - FC'!$D$11:$D1028,"&lt;="&amp;$BK$9)</f>
        <v>0</v>
      </c>
      <c r="BJ13" s="265"/>
      <c r="BK13" s="266"/>
      <c r="BL13" s="1"/>
    </row>
    <row r="14">
      <c r="A14" s="8"/>
      <c r="B14" s="1"/>
      <c r="C14" s="52" t="str">
        <f>'Livro Diario - FC'!AE13</f>
        <v>3.1.2 Receita com Cartão (Caixa)</v>
      </c>
      <c r="D14" s="255">
        <f>SUMIFS('Livro Diario - FC'!$J$11:$J1028,'Livro Diario - FC'!$E$11:$E1028,$C$14,'Livro Diario - FC'!$D$11:$D1028,"&gt;=01/01"&amp;$C$7,'Livro Diario - FC'!$D$11:$D1028,"&lt;=31/01"&amp;$C$7)</f>
        <v>0</v>
      </c>
      <c r="E14" s="256">
        <f>SUMIFS('Livro Diario - FC'!$L$11:$L1028,'Livro Diario - FC'!$E$11:$E1028,$C$14,'Livro Diario - FC'!$D$11:$D1028,"&gt;=01/01"&amp;$C$7,'Livro Diario - FC'!$D$11:$D1028,"&lt;=31/01"&amp;$C$7)</f>
        <v>0</v>
      </c>
      <c r="F14" s="257">
        <f t="shared" si="38"/>
        <v>0</v>
      </c>
      <c r="G14" s="258" t="str">
        <f t="shared" si="39"/>
        <v/>
      </c>
      <c r="H14" s="157"/>
      <c r="I14" s="255">
        <f>SUMIFS('Livro Diario - FC'!$J$11:$J1028,'Livro Diario - FC'!$E$11:$E1028,$C$14,'Livro Diario - FC'!$D$11:$D1028,"&gt;=01/02"&amp;$C$7,'Livro Diario - FC'!$D$11:$D1028,"&lt;=29/02"&amp;$C$7)</f>
        <v>0</v>
      </c>
      <c r="J14" s="256">
        <f>SUMIFS('Livro Diario - FC'!$L$11:$L1028,'Livro Diario - FC'!$E$11:$E1028,$C$14,'Livro Diario - FC'!$D$11:$D1028,"&gt;=01/02"&amp;$C$7,'Livro Diario - FC'!$D$11:$D1028,"&lt;=29/02"&amp;$C$7)</f>
        <v>0</v>
      </c>
      <c r="K14" s="257" t="str">
        <f t="shared" si="40"/>
        <v/>
      </c>
      <c r="L14" s="258" t="str">
        <f t="shared" si="41"/>
        <v/>
      </c>
      <c r="M14" s="259"/>
      <c r="N14" s="255">
        <f>SUMIFS('Livro Diario - FC'!$J$11:$J1028,'Livro Diario - FC'!$E$11:$E1028,$C$14,'Livro Diario - FC'!$D$11:$D1028,"&gt;=01/03"&amp;$C$7,'Livro Diario - FC'!$D$11:$D1028,"&lt;=31/03"&amp;$C$7)</f>
        <v>0</v>
      </c>
      <c r="O14" s="256">
        <f>SUMIFS('Livro Diario - FC'!$L$11:$L1028,'Livro Diario - FC'!$E$11:$E1028,$C$14,'Livro Diario - FC'!$D$11:$D1028,"&gt;=01/03"&amp;$C$7,'Livro Diario - FC'!$D$11:$D1028,"&lt;=31/03"&amp;$C$7)</f>
        <v>0</v>
      </c>
      <c r="P14" s="257" t="str">
        <f t="shared" si="42"/>
        <v/>
      </c>
      <c r="Q14" s="258" t="str">
        <f t="shared" si="43"/>
        <v/>
      </c>
      <c r="R14" s="259"/>
      <c r="S14" s="255">
        <f>SUMIFS('Livro Diario - FC'!$J$11:$J1028,'Livro Diario - FC'!$E$11:$E1028,$C$14,'Livro Diario - FC'!$D$11:$D1028,"&gt;=01/04"&amp;$C$7,'Livro Diario - FC'!$D$11:$D1028,"&lt;=30/04"&amp;$C$7)</f>
        <v>0</v>
      </c>
      <c r="T14" s="256">
        <f>SUMIFS('Livro Diario - FC'!$L$11:$L1028,'Livro Diario - FC'!$E$11:$E1028,$C$14,'Livro Diario - FC'!$D$11:$D1028,"&gt;=01/04"&amp;$C$7,'Livro Diario - FC'!$D$11:$D1028,"&lt;=30/04"&amp;$C$7)</f>
        <v>0</v>
      </c>
      <c r="U14" s="257" t="str">
        <f t="shared" si="44"/>
        <v/>
      </c>
      <c r="V14" s="258" t="str">
        <f t="shared" si="45"/>
        <v/>
      </c>
      <c r="W14" s="259"/>
      <c r="X14" s="255">
        <f>SUMIFS('Livro Diario - FC'!$J$11:$J1028,'Livro Diario - FC'!$E$11:$E1028,$C$14,'Livro Diario - FC'!$D$11:$D1028,"&gt;=01/05"&amp;$C$7,'Livro Diario - FC'!$D$11:$D1028,"&lt;=31/05"&amp;$C$7)</f>
        <v>0</v>
      </c>
      <c r="Y14" s="256">
        <f>SUMIFS('Livro Diario - FC'!$L$11:$L1028,'Livro Diario - FC'!$E$11:$E1028,$C$14,'Livro Diario - FC'!$D$11:$D1028,"&gt;=01/05"&amp;$C$7,'Livro Diario - FC'!$D$11:$D1028,"&lt;=31/05"&amp;$C$7)</f>
        <v>0</v>
      </c>
      <c r="Z14" s="257" t="str">
        <f t="shared" si="46"/>
        <v/>
      </c>
      <c r="AA14" s="258" t="str">
        <f t="shared" si="47"/>
        <v/>
      </c>
      <c r="AB14" s="259"/>
      <c r="AC14" s="255">
        <f>SUMIFS('Livro Diario - FC'!$J$11:$J1028,'Livro Diario - FC'!$E$11:$E1028,$C$14,'Livro Diario - FC'!$D$11:$D1028,"&gt;=01/06"&amp;$C$7,'Livro Diario - FC'!$D$11:$D1028,"&lt;=30/06"&amp;$C$7)</f>
        <v>0</v>
      </c>
      <c r="AD14" s="256">
        <f>SUMIFS('Livro Diario - FC'!$L$11:$L1028,'Livro Diario - FC'!$E$11:$E1028,$C$14,'Livro Diario - FC'!$D$11:$D1028,"&gt;=01/06"&amp;$C$7,'Livro Diario - FC'!$D$11:$D1028,"&lt;=30/06"&amp;$C$7)</f>
        <v>0</v>
      </c>
      <c r="AE14" s="257" t="str">
        <f t="shared" si="48"/>
        <v/>
      </c>
      <c r="AF14" s="258" t="str">
        <f t="shared" si="49"/>
        <v/>
      </c>
      <c r="AG14" s="255">
        <f>SUMIFS('Livro Diario - FC'!$J$11:$J1028,'Livro Diario - FC'!$E$11:$E1028,$C$14,'Livro Diario - FC'!$D$11:$D1028,"&gt;=01/07"&amp;$C$7,'Livro Diario - FC'!$D$11:$D1028,"&lt;=31/07"&amp;$C$7)</f>
        <v>0</v>
      </c>
      <c r="AH14" s="256">
        <f>SUMIFS('Livro Diario - FC'!$L$11:$L1028,'Livro Diario - FC'!$E$11:$E1028,$C$14,'Livro Diario - FC'!$D$11:$D1028,"&gt;=01/07"&amp;$C$7,'Livro Diario - FC'!$D$11:$D1028,"&lt;=31/07"&amp;$C$7)</f>
        <v>0</v>
      </c>
      <c r="AI14" s="257" t="str">
        <f t="shared" si="50"/>
        <v/>
      </c>
      <c r="AJ14" s="258" t="str">
        <f t="shared" si="51"/>
        <v/>
      </c>
      <c r="AK14" s="255">
        <f>SUMIFS('Livro Diario - FC'!$J$11:$J1028,'Livro Diario - FC'!$E$11:$E1028,$C$14,'Livro Diario - FC'!$D$11:$D1028,"&gt;=01/08"&amp;$C$7,'Livro Diario - FC'!$D$11:$D1028,"&lt;=31/08"&amp;$C$7)</f>
        <v>0</v>
      </c>
      <c r="AL14" s="256">
        <f>SUMIFS('Livro Diario - FC'!$L$11:$L1028,'Livro Diario - FC'!$E$11:$E1028,$C$14,'Livro Diario - FC'!$D$11:$D1028,"&gt;=01/08"&amp;$C$7,'Livro Diario - FC'!$D$11:$D1028,"&lt;=31/08"&amp;$C$7)</f>
        <v>0</v>
      </c>
      <c r="AM14" s="257" t="str">
        <f t="shared" si="52"/>
        <v/>
      </c>
      <c r="AN14" s="258" t="str">
        <f t="shared" si="53"/>
        <v/>
      </c>
      <c r="AO14" s="255">
        <f>SUMIFS('Livro Diario - FC'!$J$11:$J1028,'Livro Diario - FC'!$E$11:$E1028,$C$14,'Livro Diario - FC'!$D$11:$D1028,"&gt;=01/09"&amp;$C$7,'Livro Diario - FC'!$D$11:$D1028,"&lt;=30/09"&amp;$C$7)</f>
        <v>0</v>
      </c>
      <c r="AP14" s="256">
        <f>SUMIFS('Livro Diario - FC'!$L$11:$L1028,'Livro Diario - FC'!$E$11:$E1028,$C$14,'Livro Diario - FC'!$D$11:$D1028,"&gt;=01/09"&amp;$C$7,'Livro Diario - FC'!$D$11:$D1028,"&lt;=30/09"&amp;$C$7)</f>
        <v>0</v>
      </c>
      <c r="AQ14" s="257" t="str">
        <f t="shared" si="54"/>
        <v/>
      </c>
      <c r="AR14" s="258" t="str">
        <f t="shared" si="55"/>
        <v/>
      </c>
      <c r="AS14" s="255">
        <f>SUMIFS('Livro Diario - FC'!$J$11:$J1028,'Livro Diario - FC'!$E$11:$E1028,$C$14,'Livro Diario - FC'!$D$11:$D1028,"&gt;=01/10"&amp;$C$7,'Livro Diario - FC'!$D$11:$D1028,"&lt;=31/10"&amp;$C$7)</f>
        <v>0</v>
      </c>
      <c r="AT14" s="256">
        <f>SUMIFS('Livro Diario - FC'!$L$11:$L1028,'Livro Diario - FC'!$E$11:$E1028,$C$14,'Livro Diario - FC'!$D$11:$D1028,"&gt;=01/10"&amp;$C$7,'Livro Diario - FC'!$D$11:$D1028,"&lt;=31/10"&amp;$C$7)</f>
        <v>0</v>
      </c>
      <c r="AU14" s="257" t="str">
        <f t="shared" si="56"/>
        <v/>
      </c>
      <c r="AV14" s="258" t="str">
        <f t="shared" si="57"/>
        <v/>
      </c>
      <c r="AW14" s="255">
        <f>SUMIFS('Livro Diario - FC'!$J$11:$J1028,'Livro Diario - FC'!$E$11:$E1028,$C$14,'Livro Diario - FC'!$D$11:$D1028,"&gt;=01/11"&amp;$C$7,'Livro Diario - FC'!$D$11:$D1028,"&lt;=30/11"&amp;$C$7)</f>
        <v>0</v>
      </c>
      <c r="AX14" s="256">
        <f>SUMIFS('Livro Diario - FC'!$L$11:$L1028,'Livro Diario - FC'!$E$11:$E1028,$C$14,'Livro Diario - FC'!$D$11:$D1028,"&gt;=01/11"&amp;$C$7,'Livro Diario - FC'!$D$11:$D1028,"&lt;=30/11"&amp;$C$7)</f>
        <v>0</v>
      </c>
      <c r="AY14" s="257" t="str">
        <f t="shared" si="58"/>
        <v/>
      </c>
      <c r="AZ14" s="258" t="str">
        <f t="shared" si="59"/>
        <v/>
      </c>
      <c r="BA14" s="255">
        <f>SUMIFS('Livro Diario - FC'!$J$11:$J1028,'Livro Diario - FC'!$E$11:$E1028,$C$14,'Livro Diario - FC'!$D$11:$D1028,"&gt;=01/12"&amp;$C$7,'Livro Diario - FC'!$D$11:$D1028,"&lt;=31/12"&amp;$C$7)</f>
        <v>0</v>
      </c>
      <c r="BB14" s="256">
        <f>SUMIFS('Livro Diario - FC'!$L$11:$L1028,'Livro Diario - FC'!$E$11:$E1028,$C$14,'Livro Diario - FC'!$D$11:$D1028,"&gt;=01/12"&amp;$C$7,'Livro Diario - FC'!$D$11:$D1028,"&lt;=31/12"&amp;$C$7)</f>
        <v>0</v>
      </c>
      <c r="BC14" s="257" t="str">
        <f t="shared" si="60"/>
        <v/>
      </c>
      <c r="BD14" s="258" t="str">
        <f t="shared" si="61"/>
        <v/>
      </c>
      <c r="BE14" s="267">
        <f t="shared" ref="BE14:BF14" si="66">SUM(D14,I14,N14,S14,X14,AC14,AG14,AK14,AO14,AS14,AW14,BA14)</f>
        <v>0</v>
      </c>
      <c r="BF14" s="268">
        <f t="shared" si="66"/>
        <v>0</v>
      </c>
      <c r="BG14" s="269"/>
      <c r="BH14" s="40"/>
      <c r="BI14" s="270">
        <f>SUMIFS('Livro Diario - FC'!$L$11:$L1028,'Livro Diario - FC'!$E$11:$E1028,C14,'Livro Diario - FC'!$D$11:$D1028,"&gt;="&amp;$BK$8,'Livro Diario - FC'!$D$11:$D1028,"&lt;="&amp;$BK$9)</f>
        <v>0</v>
      </c>
      <c r="BJ14" s="271"/>
      <c r="BK14" s="272"/>
      <c r="BL14" s="1"/>
    </row>
    <row r="15">
      <c r="A15" s="8"/>
      <c r="B15" s="1"/>
      <c r="C15" s="52" t="str">
        <f>'Livro Diario - FC'!AE14</f>
        <v>3.1.3 Receita Ifood </v>
      </c>
      <c r="D15" s="255">
        <f>SUMIFS('Livro Diario - FC'!$J$11:$J1028,'Livro Diario - FC'!$E$11:$E1028,$C$15,'Livro Diario - FC'!$D$11:$D1028,"&gt;=01/01"&amp;$C$7,'Livro Diario - FC'!$D$11:$D1028,"&lt;=31/01"&amp;$C$7)</f>
        <v>0</v>
      </c>
      <c r="E15" s="256">
        <f>SUMIFS('Livro Diario - FC'!$L$11:$L1028,'Livro Diario - FC'!$E$11:$E1028,$C$15,'Livro Diario - FC'!$D$11:$D1028,"&gt;=01/01"&amp;$C$7,'Livro Diario - FC'!$D$11:$D1028,"&lt;=31/01"&amp;$C$7)</f>
        <v>0</v>
      </c>
      <c r="F15" s="257">
        <f t="shared" si="38"/>
        <v>0</v>
      </c>
      <c r="G15" s="258" t="str">
        <f t="shared" si="39"/>
        <v/>
      </c>
      <c r="H15" s="157"/>
      <c r="I15" s="255">
        <f>SUMIFS('Livro Diario - FC'!$J$11:$J1028,'Livro Diario - FC'!$E$11:$E1028,$C$15,'Livro Diario - FC'!$D$11:$D1028,"&gt;=01/02"&amp;$C$7,'Livro Diario - FC'!$D$11:$D1028,"&lt;=29/02"&amp;$C$7)</f>
        <v>0</v>
      </c>
      <c r="J15" s="256">
        <f>SUMIFS('Livro Diario - FC'!$L$11:$L1028,'Livro Diario - FC'!$E$11:$E1028,$C$15,'Livro Diario - FC'!$D$11:$D1028,"&gt;=01/02"&amp;$C$7,'Livro Diario - FC'!$D$11:$D1028,"&lt;=29/02"&amp;$C$7)</f>
        <v>0</v>
      </c>
      <c r="K15" s="257" t="str">
        <f t="shared" si="40"/>
        <v/>
      </c>
      <c r="L15" s="258" t="str">
        <f t="shared" si="41"/>
        <v/>
      </c>
      <c r="M15" s="259"/>
      <c r="N15" s="255">
        <f>SUMIFS('Livro Diario - FC'!$J$11:$J1028,'Livro Diario - FC'!$E$11:$E1028,$C$15,'Livro Diario - FC'!$D$11:$D1028,"&gt;=01/03"&amp;$C$7,'Livro Diario - FC'!$D$11:$D1028,"&lt;=31/03"&amp;$C$7)</f>
        <v>0</v>
      </c>
      <c r="O15" s="256">
        <f>SUMIFS('Livro Diario - FC'!$L$11:$L1028,'Livro Diario - FC'!$E$11:$E1028,$C$15,'Livro Diario - FC'!$D$11:$D1028,"&gt;=01/03"&amp;$C$7,'Livro Diario - FC'!$D$11:$D1028,"&lt;=31/03"&amp;$C$7)</f>
        <v>0</v>
      </c>
      <c r="P15" s="257" t="str">
        <f t="shared" si="42"/>
        <v/>
      </c>
      <c r="Q15" s="258" t="str">
        <f t="shared" si="43"/>
        <v/>
      </c>
      <c r="R15" s="259"/>
      <c r="S15" s="255">
        <f>SUMIFS('Livro Diario - FC'!$J$11:$J1028,'Livro Diario - FC'!$E$11:$E1028,$C$15,'Livro Diario - FC'!$D$11:$D1028,"&gt;=01/04"&amp;$C$7,'Livro Diario - FC'!$D$11:$D1028,"&lt;=30/04"&amp;$C$7)</f>
        <v>0</v>
      </c>
      <c r="T15" s="256">
        <f>SUMIFS('Livro Diario - FC'!$L$11:$L1028,'Livro Diario - FC'!$E$11:$E1028,$C$15,'Livro Diario - FC'!$D$11:$D1028,"&gt;=01/04"&amp;$C$7,'Livro Diario - FC'!$D$11:$D1028,"&lt;=30/04"&amp;$C$7)</f>
        <v>0</v>
      </c>
      <c r="U15" s="257" t="str">
        <f t="shared" si="44"/>
        <v/>
      </c>
      <c r="V15" s="258" t="str">
        <f t="shared" si="45"/>
        <v/>
      </c>
      <c r="W15" s="259"/>
      <c r="X15" s="255">
        <f>SUMIFS('Livro Diario - FC'!$J$11:$J1028,'Livro Diario - FC'!$E$11:$E1028,$C$15,'Livro Diario - FC'!$D$11:$D1028,"&gt;=01/05"&amp;$C$7,'Livro Diario - FC'!$D$11:$D1028,"&lt;=31/05"&amp;$C$7)</f>
        <v>0</v>
      </c>
      <c r="Y15" s="256">
        <f>SUMIFS('Livro Diario - FC'!$L$11:$L1028,'Livro Diario - FC'!$E$11:$E1028,$C$15,'Livro Diario - FC'!$D$11:$D1028,"&gt;=01/05"&amp;$C$7,'Livro Diario - FC'!$D$11:$D1028,"&lt;=31/05"&amp;$C$7)</f>
        <v>0</v>
      </c>
      <c r="Z15" s="257" t="str">
        <f t="shared" si="46"/>
        <v/>
      </c>
      <c r="AA15" s="258" t="str">
        <f t="shared" si="47"/>
        <v/>
      </c>
      <c r="AB15" s="259"/>
      <c r="AC15" s="255">
        <f>SUMIFS('Livro Diario - FC'!$J$11:$J1028,'Livro Diario - FC'!$E$11:$E1028,$C$15,'Livro Diario - FC'!$D$11:$D1028,"&gt;=01/06"&amp;$C$7,'Livro Diario - FC'!$D$11:$D1028,"&lt;=30/06"&amp;$C$7)</f>
        <v>0</v>
      </c>
      <c r="AD15" s="256">
        <f>SUMIFS('Livro Diario - FC'!$L$11:$L1028,'Livro Diario - FC'!$E$11:$E1028,$C$15,'Livro Diario - FC'!$D$11:$D1028,"&gt;=01/06"&amp;$C$7,'Livro Diario - FC'!$D$11:$D1028,"&lt;=30/06"&amp;$C$7)</f>
        <v>0</v>
      </c>
      <c r="AE15" s="257" t="str">
        <f t="shared" si="48"/>
        <v/>
      </c>
      <c r="AF15" s="258" t="str">
        <f t="shared" si="49"/>
        <v/>
      </c>
      <c r="AG15" s="255">
        <f>SUMIFS('Livro Diario - FC'!$J$11:$J1028,'Livro Diario - FC'!$E$11:$E1028,$C$15,'Livro Diario - FC'!$D$11:$D1028,"&gt;=01/07"&amp;$C$7,'Livro Diario - FC'!$D$11:$D1028,"&lt;=31/07"&amp;$C$7)</f>
        <v>0</v>
      </c>
      <c r="AH15" s="256">
        <f>SUMIFS('Livro Diario - FC'!$L$11:$L1028,'Livro Diario - FC'!$E$11:$E1028,$C$15,'Livro Diario - FC'!$D$11:$D1028,"&gt;=01/07"&amp;$C$7,'Livro Diario - FC'!$D$11:$D1028,"&lt;=31/07"&amp;$C$7)</f>
        <v>0</v>
      </c>
      <c r="AI15" s="257" t="str">
        <f t="shared" si="50"/>
        <v/>
      </c>
      <c r="AJ15" s="258" t="str">
        <f t="shared" si="51"/>
        <v/>
      </c>
      <c r="AK15" s="255">
        <f>SUMIFS('Livro Diario - FC'!$J$11:$J1028,'Livro Diario - FC'!$E$11:$E1028,$C$15,'Livro Diario - FC'!$D$11:$D1028,"&gt;=01/08"&amp;$C$7,'Livro Diario - FC'!$D$11:$D1028,"&lt;=31/08"&amp;$C$7)</f>
        <v>0</v>
      </c>
      <c r="AL15" s="256">
        <f>SUMIFS('Livro Diario - FC'!$L$11:$L1028,'Livro Diario - FC'!$E$11:$E1028,$C$15,'Livro Diario - FC'!$D$11:$D1028,"&gt;=01/08"&amp;$C$7,'Livro Diario - FC'!$D$11:$D1028,"&lt;=31/08"&amp;$C$7)</f>
        <v>0</v>
      </c>
      <c r="AM15" s="257" t="str">
        <f t="shared" si="52"/>
        <v/>
      </c>
      <c r="AN15" s="258" t="str">
        <f t="shared" si="53"/>
        <v/>
      </c>
      <c r="AO15" s="255">
        <f>SUMIFS('Livro Diario - FC'!$J$11:$J1028,'Livro Diario - FC'!$E$11:$E1028,$C$15,'Livro Diario - FC'!$D$11:$D1028,"&gt;=01/09"&amp;$C$7,'Livro Diario - FC'!$D$11:$D1028,"&lt;=30/09"&amp;$C$7)</f>
        <v>0</v>
      </c>
      <c r="AP15" s="256">
        <f>SUMIFS('Livro Diario - FC'!$L$11:$L1028,'Livro Diario - FC'!$E$11:$E1028,$C$15,'Livro Diario - FC'!$D$11:$D1028,"&gt;=01/09"&amp;$C$7,'Livro Diario - FC'!$D$11:$D1028,"&lt;=30/09"&amp;$C$7)</f>
        <v>0</v>
      </c>
      <c r="AQ15" s="257" t="str">
        <f t="shared" si="54"/>
        <v/>
      </c>
      <c r="AR15" s="258" t="str">
        <f t="shared" si="55"/>
        <v/>
      </c>
      <c r="AS15" s="255">
        <f>SUMIFS('Livro Diario - FC'!$J$11:$J1028,'Livro Diario - FC'!$E$11:$E1028,$C$15,'Livro Diario - FC'!$D$11:$D1028,"&gt;=01/10"&amp;$C$7,'Livro Diario - FC'!$D$11:$D1028,"&lt;=31/10"&amp;$C$7)</f>
        <v>0</v>
      </c>
      <c r="AT15" s="256">
        <f>SUMIFS('Livro Diario - FC'!$L$11:$L1028,'Livro Diario - FC'!$E$11:$E1028,$C$15,'Livro Diario - FC'!$D$11:$D1028,"&gt;=01/10"&amp;$C$7,'Livro Diario - FC'!$D$11:$D1028,"&lt;=31/10"&amp;$C$7)</f>
        <v>0</v>
      </c>
      <c r="AU15" s="257" t="str">
        <f t="shared" si="56"/>
        <v/>
      </c>
      <c r="AV15" s="258" t="str">
        <f t="shared" si="57"/>
        <v/>
      </c>
      <c r="AW15" s="255">
        <f>SUMIFS('Livro Diario - FC'!$J$11:$J1028,'Livro Diario - FC'!$E$11:$E1028,$C$15,'Livro Diario - FC'!$D$11:$D1028,"&gt;=01/11"&amp;$C$7,'Livro Diario - FC'!$D$11:$D1028,"&lt;=30/11"&amp;$C$7)</f>
        <v>0</v>
      </c>
      <c r="AX15" s="256">
        <f>SUMIFS('Livro Diario - FC'!$L$11:$L1028,'Livro Diario - FC'!$E$11:$E1028,$C$15,'Livro Diario - FC'!$D$11:$D1028,"&gt;=01/11"&amp;$C$7,'Livro Diario - FC'!$D$11:$D1028,"&lt;=30/11"&amp;$C$7)</f>
        <v>0</v>
      </c>
      <c r="AY15" s="257" t="str">
        <f t="shared" si="58"/>
        <v/>
      </c>
      <c r="AZ15" s="258" t="str">
        <f t="shared" si="59"/>
        <v/>
      </c>
      <c r="BA15" s="255">
        <f>SUMIFS('Livro Diario - FC'!$J$11:$J1028,'Livro Diario - FC'!$E$11:$E1028,$C$15,'Livro Diario - FC'!$D$11:$D1028,"&gt;=01/12"&amp;$C$7,'Livro Diario - FC'!$D$11:$D1028,"&lt;=31/12"&amp;$C$7)</f>
        <v>0</v>
      </c>
      <c r="BB15" s="256">
        <f>SUMIFS('Livro Diario - FC'!$L$11:$L1028,'Livro Diario - FC'!$E$11:$E1028,$C$15,'Livro Diario - FC'!$D$11:$D1028,"&gt;=01/12"&amp;$C$7,'Livro Diario - FC'!$D$11:$D1028,"&lt;=31/12"&amp;$C$7)</f>
        <v>0</v>
      </c>
      <c r="BC15" s="257" t="str">
        <f t="shared" si="60"/>
        <v/>
      </c>
      <c r="BD15" s="258" t="str">
        <f t="shared" si="61"/>
        <v/>
      </c>
      <c r="BE15" s="267">
        <f t="shared" ref="BE15:BF15" si="67">SUM(D15,I15,N15,S15,X15,AC15,AG15,AK15,AO15,AS15,AW15,BA15)</f>
        <v>0</v>
      </c>
      <c r="BF15" s="268">
        <f t="shared" si="67"/>
        <v>0</v>
      </c>
      <c r="BG15" s="269"/>
      <c r="BH15" s="40"/>
      <c r="BI15" s="270">
        <f>SUMIFS('Livro Diario - FC'!$L$11:$L1028,'Livro Diario - FC'!$E$11:$E1028,C15,'Livro Diario - FC'!$D$11:$D1028,"&gt;="&amp;$BK$8,'Livro Diario - FC'!$D$11:$D1028,"&lt;="&amp;$BK$9)</f>
        <v>0</v>
      </c>
      <c r="BJ15" s="271"/>
      <c r="BK15" s="272"/>
      <c r="BL15" s="1"/>
    </row>
    <row r="16">
      <c r="A16" s="8"/>
      <c r="B16" s="1"/>
      <c r="C16" s="52" t="str">
        <f>'Livro Diario - FC'!AE15</f>
        <v>3.1.4 Receita com Cartão - (Infinity Emp)</v>
      </c>
      <c r="D16" s="255">
        <f>SUMIFS('Livro Diario - FC'!$J$11:$J1028,'Livro Diario - FC'!$E$11:$E1028,$C$16,'Livro Diario - FC'!$D$11:$D1028,"&gt;=01/01"&amp;$C$7,'Livro Diario - FC'!$D$11:$D1028,"&lt;=31/01"&amp;$C$7)</f>
        <v>0</v>
      </c>
      <c r="E16" s="256">
        <f>SUMIFS('Livro Diario - FC'!$L$11:$L1028,'Livro Diario - FC'!$E$11:$E1028,$C$16,'Livro Diario - FC'!$D$11:$D1028,"&gt;=01/01"&amp;$C$7,'Livro Diario - FC'!$D$11:$D1028,"&lt;=31/01"&amp;$C$7)</f>
        <v>0</v>
      </c>
      <c r="F16" s="257">
        <f t="shared" si="38"/>
        <v>0</v>
      </c>
      <c r="G16" s="258" t="str">
        <f t="shared" si="39"/>
        <v/>
      </c>
      <c r="H16" s="157"/>
      <c r="I16" s="255">
        <f>SUMIFS('Livro Diario - FC'!$J$11:$J1028,'Livro Diario - FC'!$E$11:$E1028,$C$16,'Livro Diario - FC'!$D$11:$D1028,"&gt;=01/02"&amp;$C$7,'Livro Diario - FC'!$D$11:$D1028,"&lt;=29/02"&amp;$C$7)</f>
        <v>0</v>
      </c>
      <c r="J16" s="256">
        <f>SUMIFS('Livro Diario - FC'!$L$11:$L1028,'Livro Diario - FC'!$E$11:$E1028,$C$16,'Livro Diario - FC'!$D$11:$D1028,"&gt;=01/02"&amp;$C$7,'Livro Diario - FC'!$D$11:$D1028,"&lt;=29/02"&amp;$C$7)</f>
        <v>0</v>
      </c>
      <c r="K16" s="257" t="str">
        <f t="shared" si="40"/>
        <v/>
      </c>
      <c r="L16" s="258" t="str">
        <f t="shared" si="41"/>
        <v/>
      </c>
      <c r="M16" s="259"/>
      <c r="N16" s="255">
        <f>SUMIFS('Livro Diario - FC'!$J$11:$J1028,'Livro Diario - FC'!$E$11:$E1028,$C$16,'Livro Diario - FC'!$D$11:$D1028,"&gt;=01/03"&amp;$C$7,'Livro Diario - FC'!$D$11:$D1028,"&lt;=31/03"&amp;$C$7)</f>
        <v>0</v>
      </c>
      <c r="O16" s="256">
        <f>SUMIFS('Livro Diario - FC'!$L$11:$L1028,'Livro Diario - FC'!$E$11:$E1028,$C$16,'Livro Diario - FC'!$D$11:$D1028,"&gt;=01/03"&amp;$C$7,'Livro Diario - FC'!$D$11:$D1028,"&lt;=31/03"&amp;$C$7)</f>
        <v>0</v>
      </c>
      <c r="P16" s="257" t="str">
        <f t="shared" si="42"/>
        <v/>
      </c>
      <c r="Q16" s="258" t="str">
        <f t="shared" si="43"/>
        <v/>
      </c>
      <c r="R16" s="259"/>
      <c r="S16" s="255">
        <f>SUMIFS('Livro Diario - FC'!$J$11:$J1028,'Livro Diario - FC'!$E$11:$E1028,$C$16,'Livro Diario - FC'!$D$11:$D1028,"&gt;=01/04"&amp;$C$7,'Livro Diario - FC'!$D$11:$D1028,"&lt;=30/04"&amp;$C$7)</f>
        <v>0</v>
      </c>
      <c r="T16" s="256">
        <f>SUMIFS('Livro Diario - FC'!$L$11:$L1028,'Livro Diario - FC'!$E$11:$E1028,$C$16,'Livro Diario - FC'!$D$11:$D1028,"&gt;=01/04"&amp;$C$7,'Livro Diario - FC'!$D$11:$D1028,"&lt;=30/04"&amp;$C$7)</f>
        <v>0</v>
      </c>
      <c r="U16" s="257" t="str">
        <f t="shared" si="44"/>
        <v/>
      </c>
      <c r="V16" s="258" t="str">
        <f t="shared" si="45"/>
        <v/>
      </c>
      <c r="W16" s="259"/>
      <c r="X16" s="255">
        <f>SUMIFS('Livro Diario - FC'!$J$11:$J1028,'Livro Diario - FC'!$E$11:$E1028,$C$16,'Livro Diario - FC'!$D$11:$D1028,"&gt;=01/05"&amp;$C$7,'Livro Diario - FC'!$D$11:$D1028,"&lt;=31/05"&amp;$C$7)</f>
        <v>0</v>
      </c>
      <c r="Y16" s="256">
        <f>SUMIFS('Livro Diario - FC'!$L$11:$L1028,'Livro Diario - FC'!$E$11:$E1028,$C$16,'Livro Diario - FC'!$D$11:$D1028,"&gt;=01/05"&amp;$C$7,'Livro Diario - FC'!$D$11:$D1028,"&lt;=31/05"&amp;$C$7)</f>
        <v>0</v>
      </c>
      <c r="Z16" s="257" t="str">
        <f t="shared" si="46"/>
        <v/>
      </c>
      <c r="AA16" s="258" t="str">
        <f t="shared" si="47"/>
        <v/>
      </c>
      <c r="AB16" s="259"/>
      <c r="AC16" s="255">
        <f>SUMIFS('Livro Diario - FC'!$J$11:$J1028,'Livro Diario - FC'!$E$11:$E1028,$C$16,'Livro Diario - FC'!$D$11:$D1028,"&gt;=01/06"&amp;$C$7,'Livro Diario - FC'!$D$11:$D1028,"&lt;=30/06"&amp;$C$7)</f>
        <v>0</v>
      </c>
      <c r="AD16" s="256">
        <f>SUMIFS('Livro Diario - FC'!$L$11:$L1028,'Livro Diario - FC'!$E$11:$E1028,$C$16,'Livro Diario - FC'!$D$11:$D1028,"&gt;=01/06"&amp;$C$7,'Livro Diario - FC'!$D$11:$D1028,"&lt;=30/06"&amp;$C$7)</f>
        <v>0</v>
      </c>
      <c r="AE16" s="257" t="str">
        <f t="shared" si="48"/>
        <v/>
      </c>
      <c r="AF16" s="258" t="str">
        <f t="shared" si="49"/>
        <v/>
      </c>
      <c r="AG16" s="255">
        <f>SUMIFS('Livro Diario - FC'!$J$11:$J1028,'Livro Diario - FC'!$E$11:$E1028,$C$16,'Livro Diario - FC'!$D$11:$D1028,"&gt;=01/07"&amp;$C$7,'Livro Diario - FC'!$D$11:$D1028,"&lt;=31/07"&amp;$C$7)</f>
        <v>0</v>
      </c>
      <c r="AH16" s="256">
        <f>SUMIFS('Livro Diario - FC'!$L$11:$L1028,'Livro Diario - FC'!$E$11:$E1028,$C$16,'Livro Diario - FC'!$D$11:$D1028,"&gt;=01/07"&amp;$C$7,'Livro Diario - FC'!$D$11:$D1028,"&lt;=31/07"&amp;$C$7)</f>
        <v>0</v>
      </c>
      <c r="AI16" s="257" t="str">
        <f t="shared" si="50"/>
        <v/>
      </c>
      <c r="AJ16" s="258" t="str">
        <f t="shared" si="51"/>
        <v/>
      </c>
      <c r="AK16" s="255">
        <f>SUMIFS('Livro Diario - FC'!$J$11:$J1028,'Livro Diario - FC'!$E$11:$E1028,$C$16,'Livro Diario - FC'!$D$11:$D1028,"&gt;=01/08"&amp;$C$7,'Livro Diario - FC'!$D$11:$D1028,"&lt;=31/08"&amp;$C$7)</f>
        <v>0</v>
      </c>
      <c r="AL16" s="256">
        <f>SUMIFS('Livro Diario - FC'!$L$11:$L1028,'Livro Diario - FC'!$E$11:$E1028,$C$16,'Livro Diario - FC'!$D$11:$D1028,"&gt;=01/08"&amp;$C$7,'Livro Diario - FC'!$D$11:$D1028,"&lt;=31/08"&amp;$C$7)</f>
        <v>0</v>
      </c>
      <c r="AM16" s="257" t="str">
        <f t="shared" si="52"/>
        <v/>
      </c>
      <c r="AN16" s="258" t="str">
        <f t="shared" si="53"/>
        <v/>
      </c>
      <c r="AO16" s="255">
        <f>SUMIFS('Livro Diario - FC'!$J$11:$J1028,'Livro Diario - FC'!$E$11:$E1028,$C$16,'Livro Diario - FC'!$D$11:$D1028,"&gt;=01/09"&amp;$C$7,'Livro Diario - FC'!$D$11:$D1028,"&lt;=30/09"&amp;$C$7)</f>
        <v>0</v>
      </c>
      <c r="AP16" s="256">
        <f>SUMIFS('Livro Diario - FC'!$L$11:$L1028,'Livro Diario - FC'!$E$11:$E1028,$C$16,'Livro Diario - FC'!$D$11:$D1028,"&gt;=01/09"&amp;$C$7,'Livro Diario - FC'!$D$11:$D1028,"&lt;=30/09"&amp;$C$7)</f>
        <v>0</v>
      </c>
      <c r="AQ16" s="257" t="str">
        <f t="shared" si="54"/>
        <v/>
      </c>
      <c r="AR16" s="258" t="str">
        <f t="shared" si="55"/>
        <v/>
      </c>
      <c r="AS16" s="255">
        <f>SUMIFS('Livro Diario - FC'!$J$11:$J1028,'Livro Diario - FC'!$E$11:$E1028,$C$16,'Livro Diario - FC'!$D$11:$D1028,"&gt;=01/10"&amp;$C$7,'Livro Diario - FC'!$D$11:$D1028,"&lt;=31/10"&amp;$C$7)</f>
        <v>0</v>
      </c>
      <c r="AT16" s="256">
        <f>SUMIFS('Livro Diario - FC'!$L$11:$L1028,'Livro Diario - FC'!$E$11:$E1028,$C$16,'Livro Diario - FC'!$D$11:$D1028,"&gt;=01/10"&amp;$C$7,'Livro Diario - FC'!$D$11:$D1028,"&lt;=31/10"&amp;$C$7)</f>
        <v>0</v>
      </c>
      <c r="AU16" s="257" t="str">
        <f t="shared" si="56"/>
        <v/>
      </c>
      <c r="AV16" s="258" t="str">
        <f t="shared" si="57"/>
        <v/>
      </c>
      <c r="AW16" s="255">
        <f>SUMIFS('Livro Diario - FC'!$J$11:$J1028,'Livro Diario - FC'!$E$11:$E1028,$C$16,'Livro Diario - FC'!$D$11:$D1028,"&gt;=01/11"&amp;$C$7,'Livro Diario - FC'!$D$11:$D1028,"&lt;=30/11"&amp;$C$7)</f>
        <v>0</v>
      </c>
      <c r="AX16" s="256">
        <f>SUMIFS('Livro Diario - FC'!$L$11:$L1028,'Livro Diario - FC'!$E$11:$E1028,$C$16,'Livro Diario - FC'!$D$11:$D1028,"&gt;=01/11"&amp;$C$7,'Livro Diario - FC'!$D$11:$D1028,"&lt;=30/11"&amp;$C$7)</f>
        <v>0</v>
      </c>
      <c r="AY16" s="257" t="str">
        <f t="shared" si="58"/>
        <v/>
      </c>
      <c r="AZ16" s="258" t="str">
        <f t="shared" si="59"/>
        <v/>
      </c>
      <c r="BA16" s="255">
        <f>SUMIFS('Livro Diario - FC'!$J$11:$J1028,'Livro Diario - FC'!$E$11:$E1028,$C$16,'Livro Diario - FC'!$D$11:$D1028,"&gt;=01/12"&amp;$C$7,'Livro Diario - FC'!$D$11:$D1028,"&lt;=31/12"&amp;$C$7)</f>
        <v>0</v>
      </c>
      <c r="BB16" s="256">
        <f>SUMIFS('Livro Diario - FC'!$L$11:$L1028,'Livro Diario - FC'!$E$11:$E1028,$C$16,'Livro Diario - FC'!$D$11:$D1028,"&gt;=01/12"&amp;$C$7,'Livro Diario - FC'!$D$11:$D1028,"&lt;=31/12"&amp;$C$7)</f>
        <v>0</v>
      </c>
      <c r="BC16" s="257" t="str">
        <f t="shared" si="60"/>
        <v/>
      </c>
      <c r="BD16" s="258" t="str">
        <f t="shared" si="61"/>
        <v/>
      </c>
      <c r="BE16" s="267">
        <f t="shared" ref="BE16:BF16" si="68">SUM(D16,I16,N16,S16,X16,AC16,AG16,AK16,AO16,AS16,AW16,BA16)</f>
        <v>0</v>
      </c>
      <c r="BF16" s="268">
        <f t="shared" si="68"/>
        <v>0</v>
      </c>
      <c r="BG16" s="269"/>
      <c r="BH16" s="40"/>
      <c r="BI16" s="270">
        <f>SUMIFS('Livro Diario - FC'!$L$11:$L1028,'Livro Diario - FC'!$E$11:$E1028,C16,'Livro Diario - FC'!$D$11:$D1028,"&gt;="&amp;$BK$8,'Livro Diario - FC'!$D$11:$D1028,"&lt;="&amp;$BK$9)</f>
        <v>0</v>
      </c>
      <c r="BJ16" s="271"/>
      <c r="BK16" s="272"/>
      <c r="BL16" s="1"/>
    </row>
    <row r="17">
      <c r="A17" s="1"/>
      <c r="B17" s="1"/>
      <c r="C17" s="52" t="str">
        <f>'Livro Diario - FC'!AE16</f>
        <v>3.1.5 Receita com Cartão - (Infinity Sil)</v>
      </c>
      <c r="D17" s="255">
        <f>SUMIFS('Livro Diario - FC'!$J$11:$J1028,'Livro Diario - FC'!$E$11:$E1028,$C$17,'Livro Diario - FC'!$D$11:$D1028,"&gt;=01/01"&amp;$C$7,'Livro Diario - FC'!$D$11:$D1028,"&lt;=31/01"&amp;$C$7)</f>
        <v>0</v>
      </c>
      <c r="E17" s="256">
        <f>SUMIFS('Livro Diario - FC'!$L$11:$L1028,'Livro Diario - FC'!$E$11:$E1028,$C$17,'Livro Diario - FC'!$D$11:$D1028,"&gt;=01/01"&amp;$C$7,'Livro Diario - FC'!$D$11:$D1028,"&lt;=31/01"&amp;$C$7)</f>
        <v>0</v>
      </c>
      <c r="F17" s="257">
        <f t="shared" si="38"/>
        <v>0</v>
      </c>
      <c r="G17" s="258"/>
      <c r="H17" s="157"/>
      <c r="I17" s="255">
        <f>SUMIFS('Livro Diario - FC'!$J$11:$J1028,'Livro Diario - FC'!$E$11:$E1028,$C$17,'Livro Diario - FC'!$D$11:$D1028,"&gt;=01/02"&amp;$C$7,'Livro Diario - FC'!$D$11:$D1028,"&lt;=29/02"&amp;$C$7)</f>
        <v>0</v>
      </c>
      <c r="J17" s="256">
        <f>SUMIFS('Livro Diario - FC'!$L$11:$L1028,'Livro Diario - FC'!$E$11:$E1028,$C$17,'Livro Diario - FC'!$D$11:$D1028,"&gt;=01/02"&amp;$C$7,'Livro Diario - FC'!$D$11:$D1028,"&lt;=29/02"&amp;$C$7)</f>
        <v>0</v>
      </c>
      <c r="K17" s="257" t="str">
        <f t="shared" si="40"/>
        <v/>
      </c>
      <c r="L17" s="258"/>
      <c r="M17" s="259"/>
      <c r="N17" s="255">
        <f>SUMIFS('Livro Diario - FC'!$J$11:$J1028,'Livro Diario - FC'!$E$11:$E1028,$C$17,'Livro Diario - FC'!$D$11:$D1028,"&gt;=01/03"&amp;$C$7,'Livro Diario - FC'!$D$11:$D1028,"&lt;=31/03"&amp;$C$7)</f>
        <v>0</v>
      </c>
      <c r="O17" s="256">
        <f>SUMIFS('Livro Diario - FC'!$L$11:$L1028,'Livro Diario - FC'!$E$11:$E1028,$C$17,'Livro Diario - FC'!$D$11:$D1028,"&gt;=01/03"&amp;$C$7,'Livro Diario - FC'!$D$11:$D1028,"&lt;=31/03"&amp;$C$7)</f>
        <v>0</v>
      </c>
      <c r="P17" s="257" t="str">
        <f t="shared" si="42"/>
        <v/>
      </c>
      <c r="Q17" s="258"/>
      <c r="R17" s="259"/>
      <c r="S17" s="255">
        <f>SUMIFS('Livro Diario - FC'!$J$11:$J1028,'Livro Diario - FC'!$E$11:$E1028,$C$17,'Livro Diario - FC'!$D$11:$D1028,"&gt;=01/04"&amp;$C$7,'Livro Diario - FC'!$D$11:$D1028,"&lt;=30/04"&amp;$C$7)</f>
        <v>0</v>
      </c>
      <c r="T17" s="256">
        <f>SUMIFS('Livro Diario - FC'!$L$11:$L1028,'Livro Diario - FC'!$E$11:$E1028,$C$17,'Livro Diario - FC'!$D$11:$D1028,"&gt;=01/04"&amp;$C$7,'Livro Diario - FC'!$D$11:$D1028,"&lt;=30/04"&amp;$C$7)</f>
        <v>0</v>
      </c>
      <c r="U17" s="257" t="str">
        <f t="shared" si="44"/>
        <v/>
      </c>
      <c r="V17" s="258"/>
      <c r="W17" s="259"/>
      <c r="X17" s="255">
        <f>SUMIFS('Livro Diario - FC'!$J$11:$J1028,'Livro Diario - FC'!$E$11:$E1028,$C$17,'Livro Diario - FC'!$D$11:$D1028,"&gt;=01/05"&amp;$C$7,'Livro Diario - FC'!$D$11:$D1028,"&lt;=31/05"&amp;$C$7)</f>
        <v>0</v>
      </c>
      <c r="Y17" s="256">
        <f>SUMIFS('Livro Diario - FC'!$L$11:$L1028,'Livro Diario - FC'!$E$11:$E1028,$C$17,'Livro Diario - FC'!$D$11:$D1028,"&gt;=01/05"&amp;$C$7,'Livro Diario - FC'!$D$11:$D1028,"&lt;=31/05"&amp;$C$7)</f>
        <v>0</v>
      </c>
      <c r="Z17" s="257" t="str">
        <f t="shared" si="46"/>
        <v/>
      </c>
      <c r="AA17" s="258"/>
      <c r="AB17" s="259"/>
      <c r="AC17" s="255">
        <f>SUMIFS('Livro Diario - FC'!$J$11:$J1028,'Livro Diario - FC'!$E$11:$E1028,$C$17,'Livro Diario - FC'!$D$11:$D1028,"&gt;=01/06"&amp;$C$7,'Livro Diario - FC'!$D$11:$D1028,"&lt;=30/06"&amp;$C$7)</f>
        <v>0</v>
      </c>
      <c r="AD17" s="256">
        <f>SUMIFS('Livro Diario - FC'!$L$11:$L1028,'Livro Diario - FC'!$E$11:$E1028,$C$17,'Livro Diario - FC'!$D$11:$D1028,"&gt;=01/06"&amp;$C$7,'Livro Diario - FC'!$D$11:$D1028,"&lt;=30/06"&amp;$C$7)</f>
        <v>0</v>
      </c>
      <c r="AE17" s="257" t="str">
        <f t="shared" si="48"/>
        <v/>
      </c>
      <c r="AF17" s="258"/>
      <c r="AG17" s="255">
        <f>SUMIFS('Livro Diario - FC'!$J$11:$J1028,'Livro Diario - FC'!$E$11:$E1028,$C$17,'Livro Diario - FC'!$D$11:$D1028,"&gt;=01/07"&amp;$C$7,'Livro Diario - FC'!$D$11:$D1028,"&lt;=31/07"&amp;$C$7)</f>
        <v>0</v>
      </c>
      <c r="AH17" s="256">
        <f>SUMIFS('Livro Diario - FC'!$L$11:$L1028,'Livro Diario - FC'!$E$11:$E1028,$C$17,'Livro Diario - FC'!$D$11:$D1028,"&gt;=01/07"&amp;$C$7,'Livro Diario - FC'!$D$11:$D1028,"&lt;=31/07"&amp;$C$7)</f>
        <v>0</v>
      </c>
      <c r="AI17" s="257" t="str">
        <f t="shared" si="50"/>
        <v/>
      </c>
      <c r="AJ17" s="258"/>
      <c r="AK17" s="255">
        <f>SUMIFS('Livro Diario - FC'!$J$11:$J1028,'Livro Diario - FC'!$E$11:$E1028,$C$17,'Livro Diario - FC'!$D$11:$D1028,"&gt;=01/08"&amp;$C$7,'Livro Diario - FC'!$D$11:$D1028,"&lt;=31/08"&amp;$C$7)</f>
        <v>0</v>
      </c>
      <c r="AL17" s="256">
        <f>SUMIFS('Livro Diario - FC'!$L$11:$L1028,'Livro Diario - FC'!$E$11:$E1028,$C$17,'Livro Diario - FC'!$D$11:$D1028,"&gt;=01/08"&amp;$C$7,'Livro Diario - FC'!$D$11:$D1028,"&lt;=31/08"&amp;$C$7)</f>
        <v>0</v>
      </c>
      <c r="AM17" s="257" t="str">
        <f t="shared" si="52"/>
        <v/>
      </c>
      <c r="AN17" s="258"/>
      <c r="AO17" s="255">
        <f>SUMIFS('Livro Diario - FC'!$J$11:$J1028,'Livro Diario - FC'!$E$11:$E1028,$C$17,'Livro Diario - FC'!$D$11:$D1028,"&gt;=01/09"&amp;$C$7,'Livro Diario - FC'!$D$11:$D1028,"&lt;=30/09"&amp;$C$7)</f>
        <v>0</v>
      </c>
      <c r="AP17" s="256">
        <f>SUMIFS('Livro Diario - FC'!$L$11:$L1028,'Livro Diario - FC'!$E$11:$E1028,$C$17,'Livro Diario - FC'!$D$11:$D1028,"&gt;=01/09"&amp;$C$7,'Livro Diario - FC'!$D$11:$D1028,"&lt;=30/09"&amp;$C$7)</f>
        <v>0</v>
      </c>
      <c r="AQ17" s="257" t="str">
        <f t="shared" si="54"/>
        <v/>
      </c>
      <c r="AR17" s="258"/>
      <c r="AS17" s="255">
        <f>SUMIFS('Livro Diario - FC'!$J$11:$J1028,'Livro Diario - FC'!$E$11:$E1028,$C$17,'Livro Diario - FC'!$D$11:$D1028,"&gt;=01/10"&amp;$C$7,'Livro Diario - FC'!$D$11:$D1028,"&lt;=31/10"&amp;$C$7)</f>
        <v>0</v>
      </c>
      <c r="AT17" s="256">
        <f>SUMIFS('Livro Diario - FC'!$L$11:$L1028,'Livro Diario - FC'!$E$11:$E1028,$C$17,'Livro Diario - FC'!$D$11:$D1028,"&gt;=01/10"&amp;$C$7,'Livro Diario - FC'!$D$11:$D1028,"&lt;=31/10"&amp;$C$7)</f>
        <v>0</v>
      </c>
      <c r="AU17" s="257" t="str">
        <f t="shared" si="56"/>
        <v/>
      </c>
      <c r="AV17" s="258"/>
      <c r="AW17" s="255">
        <f>SUMIFS('Livro Diario - FC'!$J$11:$J1028,'Livro Diario - FC'!$E$11:$E1028,$C$17,'Livro Diario - FC'!$D$11:$D1028,"&gt;=01/11"&amp;$C$7,'Livro Diario - FC'!$D$11:$D1028,"&lt;=30/11"&amp;$C$7)</f>
        <v>0</v>
      </c>
      <c r="AX17" s="256">
        <f>SUMIFS('Livro Diario - FC'!$L$11:$L1028,'Livro Diario - FC'!$E$11:$E1028,$C$17,'Livro Diario - FC'!$D$11:$D1028,"&gt;=01/11"&amp;$C$7,'Livro Diario - FC'!$D$11:$D1028,"&lt;=30/11"&amp;$C$7)</f>
        <v>0</v>
      </c>
      <c r="AY17" s="257" t="str">
        <f t="shared" si="58"/>
        <v/>
      </c>
      <c r="AZ17" s="258"/>
      <c r="BA17" s="255">
        <f>SUMIFS('Livro Diario - FC'!$J$11:$J1028,'Livro Diario - FC'!$E$11:$E1028,$C$17,'Livro Diario - FC'!$D$11:$D1028,"&gt;=01/12"&amp;$C$7,'Livro Diario - FC'!$D$11:$D1028,"&lt;=31/12"&amp;$C$7)</f>
        <v>0</v>
      </c>
      <c r="BB17" s="256">
        <f>SUMIFS('Livro Diario - FC'!$L$11:$L1028,'Livro Diario - FC'!$E$11:$E1028,$C$17,'Livro Diario - FC'!$D$11:$D1028,"&gt;=01/12"&amp;$C$7,'Livro Diario - FC'!$D$11:$D1028,"&lt;=31/12"&amp;$C$7)</f>
        <v>0</v>
      </c>
      <c r="BC17" s="257" t="str">
        <f t="shared" si="60"/>
        <v/>
      </c>
      <c r="BD17" s="258"/>
      <c r="BE17" s="267">
        <f t="shared" ref="BE17:BF17" si="69">SUM(D17,I17,N17,S17,X17,AC17,AG17,AK17,AO17,AS17,AW17,BA17)</f>
        <v>0</v>
      </c>
      <c r="BF17" s="268">
        <f t="shared" si="69"/>
        <v>0</v>
      </c>
      <c r="BG17" s="269"/>
      <c r="BH17" s="40"/>
      <c r="BI17" s="270">
        <f>SUMIFS('Livro Diario - FC'!$L$11:$L1028,'Livro Diario - FC'!$E$11:$E1028,C17,'Livro Diario - FC'!$D$11:$D1028,"&gt;="&amp;$BK$8,'Livro Diario - FC'!$D$11:$D1028,"&lt;="&amp;$BK$9)</f>
        <v>0</v>
      </c>
      <c r="BJ17" s="271"/>
      <c r="BK17" s="272"/>
      <c r="BL17" s="1"/>
    </row>
    <row r="18">
      <c r="A18" s="1"/>
      <c r="B18" s="1"/>
      <c r="C18" s="52" t="str">
        <f>'Livro Diario - FC'!AE17</f>
        <v>3.1.6 -</v>
      </c>
      <c r="D18" s="255">
        <f>SUMIFS('Livro Diario - FC'!$J$11:$J1028,'Livro Diario - FC'!$E$11:$E1028,$C$18,'Livro Diario - FC'!$D$11:$D1028,"&gt;=01/01"&amp;$C$7,'Livro Diario - FC'!$D$11:$D1028,"&lt;=31/01"&amp;$C$7)</f>
        <v>0</v>
      </c>
      <c r="E18" s="256">
        <f>SUMIFS('Livro Diario - FC'!$L$11:$L1028,'Livro Diario - FC'!$E$11:$E1028,$C$18,'Livro Diario - FC'!$D$11:$D1028,"&gt;=01/01"&amp;$C$7,'Livro Diario - FC'!$D$11:$D1028,"&lt;=31/01"&amp;$C$7)</f>
        <v>0</v>
      </c>
      <c r="F18" s="257">
        <f t="shared" si="38"/>
        <v>0</v>
      </c>
      <c r="G18" s="258"/>
      <c r="H18" s="157"/>
      <c r="I18" s="255">
        <f>SUMIFS('Livro Diario - FC'!$J$11:$J1028,'Livro Diario - FC'!$E$11:$E1028,$C$18,'Livro Diario - FC'!$D$11:$D1028,"&gt;=01/02"&amp;$C$7,'Livro Diario - FC'!$D$11:$D1028,"&lt;=29/02"&amp;$C$7)</f>
        <v>0</v>
      </c>
      <c r="J18" s="256">
        <f>SUMIFS('Livro Diario - FC'!$L$11:$L1028,'Livro Diario - FC'!$E$11:$E1028,$C$18,'Livro Diario - FC'!$D$11:$D1028,"&gt;=01/02"&amp;$C$7,'Livro Diario - FC'!$D$11:$D1028,"&lt;=29/02"&amp;$C$7)</f>
        <v>0</v>
      </c>
      <c r="K18" s="257" t="str">
        <f t="shared" si="40"/>
        <v/>
      </c>
      <c r="L18" s="258"/>
      <c r="M18" s="259"/>
      <c r="N18" s="255">
        <f>SUMIFS('Livro Diario - FC'!$J$11:$J1028,'Livro Diario - FC'!$E$11:$E1028,$C$18,'Livro Diario - FC'!$D$11:$D1028,"&gt;=01/03"&amp;$C$7,'Livro Diario - FC'!$D$11:$D1028,"&lt;=31/03"&amp;$C$7)</f>
        <v>0</v>
      </c>
      <c r="O18" s="256">
        <f>SUMIFS('Livro Diario - FC'!$L$11:$L1028,'Livro Diario - FC'!$E$11:$E1028,$C$18,'Livro Diario - FC'!$D$11:$D1028,"&gt;=01/03"&amp;$C$7,'Livro Diario - FC'!$D$11:$D1028,"&lt;=31/03"&amp;$C$7)</f>
        <v>0</v>
      </c>
      <c r="P18" s="257" t="str">
        <f t="shared" si="42"/>
        <v/>
      </c>
      <c r="Q18" s="258"/>
      <c r="R18" s="259"/>
      <c r="S18" s="255">
        <f>SUMIFS('Livro Diario - FC'!$J$11:$J1028,'Livro Diario - FC'!$E$11:$E1028,$C$18,'Livro Diario - FC'!$D$11:$D1028,"&gt;=01/04"&amp;$C$7,'Livro Diario - FC'!$D$11:$D1028,"&lt;=30/04"&amp;$C$7)</f>
        <v>0</v>
      </c>
      <c r="T18" s="256">
        <f>SUMIFS('Livro Diario - FC'!$L$11:$L1028,'Livro Diario - FC'!$E$11:$E1028,$C$18,'Livro Diario - FC'!$D$11:$D1028,"&gt;=01/04"&amp;$C$7,'Livro Diario - FC'!$D$11:$D1028,"&lt;=30/04"&amp;$C$7)</f>
        <v>0</v>
      </c>
      <c r="U18" s="257" t="str">
        <f t="shared" si="44"/>
        <v/>
      </c>
      <c r="V18" s="258"/>
      <c r="W18" s="259"/>
      <c r="X18" s="255">
        <f>SUMIFS('Livro Diario - FC'!$J$11:$J1028,'Livro Diario - FC'!$E$11:$E1028,$C$18,'Livro Diario - FC'!$D$11:$D1028,"&gt;=01/05"&amp;$C$7,'Livro Diario - FC'!$D$11:$D1028,"&lt;=31/05"&amp;$C$7)</f>
        <v>0</v>
      </c>
      <c r="Y18" s="256">
        <f>SUMIFS('Livro Diario - FC'!$L$11:$L1028,'Livro Diario - FC'!$E$11:$E1028,$C$18,'Livro Diario - FC'!$D$11:$D1028,"&gt;=01/05"&amp;$C$7,'Livro Diario - FC'!$D$11:$D1028,"&lt;=31/05"&amp;$C$7)</f>
        <v>0</v>
      </c>
      <c r="Z18" s="257" t="str">
        <f t="shared" si="46"/>
        <v/>
      </c>
      <c r="AA18" s="258"/>
      <c r="AB18" s="259"/>
      <c r="AC18" s="255">
        <f>SUMIFS('Livro Diario - FC'!$J$11:$J1028,'Livro Diario - FC'!$E$11:$E1028,$C$18,'Livro Diario - FC'!$D$11:$D1028,"&gt;=01/06"&amp;$C$7,'Livro Diario - FC'!$D$11:$D1028,"&lt;=30/06"&amp;$C$7)</f>
        <v>0</v>
      </c>
      <c r="AD18" s="256">
        <f>SUMIFS('Livro Diario - FC'!$L$11:$L1028,'Livro Diario - FC'!$E$11:$E1028,$C$18,'Livro Diario - FC'!$D$11:$D1028,"&gt;=01/06"&amp;$C$7,'Livro Diario - FC'!$D$11:$D1028,"&lt;=30/06"&amp;$C$7)</f>
        <v>0</v>
      </c>
      <c r="AE18" s="257" t="str">
        <f t="shared" si="48"/>
        <v/>
      </c>
      <c r="AF18" s="258"/>
      <c r="AG18" s="255">
        <f>SUMIFS('Livro Diario - FC'!$J$11:$J1028,'Livro Diario - FC'!$E$11:$E1028,$C$18,'Livro Diario - FC'!$D$11:$D1028,"&gt;=01/07"&amp;$C$7,'Livro Diario - FC'!$D$11:$D1028,"&lt;=31/07"&amp;$C$7)</f>
        <v>0</v>
      </c>
      <c r="AH18" s="256">
        <f>SUMIFS('Livro Diario - FC'!$L$11:$L1028,'Livro Diario - FC'!$E$11:$E1028,$C$18,'Livro Diario - FC'!$D$11:$D1028,"&gt;=01/07"&amp;$C$7,'Livro Diario - FC'!$D$11:$D1028,"&lt;=31/07"&amp;$C$7)</f>
        <v>0</v>
      </c>
      <c r="AI18" s="257" t="str">
        <f t="shared" si="50"/>
        <v/>
      </c>
      <c r="AJ18" s="258"/>
      <c r="AK18" s="255">
        <f>SUMIFS('Livro Diario - FC'!$J$11:$J1028,'Livro Diario - FC'!$E$11:$E1028,$C$18,'Livro Diario - FC'!$D$11:$D1028,"&gt;=01/08"&amp;$C$7,'Livro Diario - FC'!$D$11:$D1028,"&lt;=31/08"&amp;$C$7)</f>
        <v>0</v>
      </c>
      <c r="AL18" s="256">
        <f>SUMIFS('Livro Diario - FC'!$L$11:$L1028,'Livro Diario - FC'!$E$11:$E1028,$C$18,'Livro Diario - FC'!$D$11:$D1028,"&gt;=01/08"&amp;$C$7,'Livro Diario - FC'!$D$11:$D1028,"&lt;=31/08"&amp;$C$7)</f>
        <v>0</v>
      </c>
      <c r="AM18" s="257" t="str">
        <f t="shared" si="52"/>
        <v/>
      </c>
      <c r="AN18" s="258"/>
      <c r="AO18" s="255">
        <f>SUMIFS('Livro Diario - FC'!$J$11:$J1028,'Livro Diario - FC'!$E$11:$E1028,$C$18,'Livro Diario - FC'!$D$11:$D1028,"&gt;=01/09"&amp;$C$7,'Livro Diario - FC'!$D$11:$D1028,"&lt;=30/09"&amp;$C$7)</f>
        <v>0</v>
      </c>
      <c r="AP18" s="256">
        <f>SUMIFS('Livro Diario - FC'!$L$11:$L1028,'Livro Diario - FC'!$E$11:$E1028,$C$18,'Livro Diario - FC'!$D$11:$D1028,"&gt;=01/09"&amp;$C$7,'Livro Diario - FC'!$D$11:$D1028,"&lt;=30/09"&amp;$C$7)</f>
        <v>0</v>
      </c>
      <c r="AQ18" s="257" t="str">
        <f t="shared" si="54"/>
        <v/>
      </c>
      <c r="AR18" s="258"/>
      <c r="AS18" s="255">
        <f>SUMIFS('Livro Diario - FC'!$J$11:$J1028,'Livro Diario - FC'!$E$11:$E1028,$C$18,'Livro Diario - FC'!$D$11:$D1028,"&gt;=01/10"&amp;$C$7,'Livro Diario - FC'!$D$11:$D1028,"&lt;=31/10"&amp;$C$7)</f>
        <v>0</v>
      </c>
      <c r="AT18" s="256">
        <f>SUMIFS('Livro Diario - FC'!$L$11:$L1028,'Livro Diario - FC'!$E$11:$E1028,$C$18,'Livro Diario - FC'!$D$11:$D1028,"&gt;=01/10"&amp;$C$7,'Livro Diario - FC'!$D$11:$D1028,"&lt;=31/10"&amp;$C$7)</f>
        <v>0</v>
      </c>
      <c r="AU18" s="257" t="str">
        <f t="shared" si="56"/>
        <v/>
      </c>
      <c r="AV18" s="258"/>
      <c r="AW18" s="255">
        <f>SUMIFS('Livro Diario - FC'!$J$11:$J1028,'Livro Diario - FC'!$E$11:$E1028,$C$18,'Livro Diario - FC'!$D$11:$D1028,"&gt;=01/11"&amp;$C$7,'Livro Diario - FC'!$D$11:$D1028,"&lt;=30/11"&amp;$C$7)</f>
        <v>0</v>
      </c>
      <c r="AX18" s="256">
        <f>SUMIFS('Livro Diario - FC'!$L$11:$L1028,'Livro Diario - FC'!$E$11:$E1028,$C$18,'Livro Diario - FC'!$D$11:$D1028,"&gt;=01/11"&amp;$C$7,'Livro Diario - FC'!$D$11:$D1028,"&lt;=30/11"&amp;$C$7)</f>
        <v>0</v>
      </c>
      <c r="AY18" s="257" t="str">
        <f t="shared" si="58"/>
        <v/>
      </c>
      <c r="AZ18" s="258"/>
      <c r="BA18" s="255">
        <f>SUMIFS('Livro Diario - FC'!$J$11:$J1028,'Livro Diario - FC'!$E$11:$E1028,$C$18,'Livro Diario - FC'!$D$11:$D1028,"&gt;=01/12"&amp;$C$7,'Livro Diario - FC'!$D$11:$D1028,"&lt;=31/12"&amp;$C$7)</f>
        <v>0</v>
      </c>
      <c r="BB18" s="256">
        <f>SUMIFS('Livro Diario - FC'!$L$11:$L1028,'Livro Diario - FC'!$E$11:$E1028,$C$18,'Livro Diario - FC'!$D$11:$D1028,"&gt;=01/12"&amp;$C$7,'Livro Diario - FC'!$D$11:$D1028,"&lt;=31/12"&amp;$C$7)</f>
        <v>0</v>
      </c>
      <c r="BC18" s="257" t="str">
        <f t="shared" si="60"/>
        <v/>
      </c>
      <c r="BD18" s="258"/>
      <c r="BE18" s="267">
        <f t="shared" ref="BE18:BF18" si="70">SUM(D18,I18,N18,S18,X18,AC18,AG18,AK18,AO18,AS18,AW18,BA18)</f>
        <v>0</v>
      </c>
      <c r="BF18" s="268">
        <f t="shared" si="70"/>
        <v>0</v>
      </c>
      <c r="BG18" s="269"/>
      <c r="BH18" s="40"/>
      <c r="BI18" s="270">
        <f>SUMIFS('Livro Diario - FC'!$L$11:$L1028,'Livro Diario - FC'!$E$11:$E1028,C18,'Livro Diario - FC'!$D$11:$D1028,"&gt;="&amp;$BK$8,'Livro Diario - FC'!$D$11:$D1028,"&lt;="&amp;$BK$9)</f>
        <v>0</v>
      </c>
      <c r="BJ18" s="271"/>
      <c r="BK18" s="272"/>
      <c r="BL18" s="1"/>
    </row>
    <row r="19">
      <c r="A19" s="1"/>
      <c r="B19" s="1"/>
      <c r="C19" s="52" t="str">
        <f>'Livro Diario - FC'!AE18</f>
        <v>3.1.7 -</v>
      </c>
      <c r="D19" s="255">
        <f>SUMIFS('Livro Diario - FC'!$J$11:$J1028,'Livro Diario - FC'!$E$11:$E1028,$C$19,'Livro Diario - FC'!$D$11:$D1028,"&gt;=01/01"&amp;$C$7,'Livro Diario - FC'!$D$11:$D1028,"&lt;=31/01"&amp;$C$7)</f>
        <v>0</v>
      </c>
      <c r="E19" s="256">
        <f>SUMIFS('Livro Diario - FC'!$L$11:$L1028,'Livro Diario - FC'!$E$11:$E1028,$C$19,'Livro Diario - FC'!$D$11:$D1028,"&gt;=01/01"&amp;$C$7,'Livro Diario - FC'!$D$11:$D1028,"&lt;=31/01"&amp;$C$7)</f>
        <v>0</v>
      </c>
      <c r="F19" s="257">
        <f t="shared" si="38"/>
        <v>0</v>
      </c>
      <c r="G19" s="258"/>
      <c r="H19" s="157"/>
      <c r="I19" s="255">
        <f>SUMIFS('Livro Diario - FC'!$J$11:$J1028,'Livro Diario - FC'!$E$11:$E1028,$C$19,'Livro Diario - FC'!$D$11:$D1028,"&gt;=01/02"&amp;$C$7,'Livro Diario - FC'!$D$11:$D1028,"&lt;=29/02"&amp;$C$7)</f>
        <v>0</v>
      </c>
      <c r="J19" s="256">
        <f>SUMIFS('Livro Diario - FC'!$L$11:$L1028,'Livro Diario - FC'!$E$11:$E1028,$C$19,'Livro Diario - FC'!$D$11:$D1028,"&gt;=01/02"&amp;$C$7,'Livro Diario - FC'!$D$11:$D1028,"&lt;=29/02"&amp;$C$7)</f>
        <v>0</v>
      </c>
      <c r="K19" s="257" t="str">
        <f t="shared" si="40"/>
        <v/>
      </c>
      <c r="L19" s="258"/>
      <c r="M19" s="259"/>
      <c r="N19" s="255">
        <f>SUMIFS('Livro Diario - FC'!$J$11:$J1028,'Livro Diario - FC'!$E$11:$E1028,$C$19,'Livro Diario - FC'!$D$11:$D1028,"&gt;=01/03"&amp;$C$7,'Livro Diario - FC'!$D$11:$D1028,"&lt;=31/03"&amp;$C$7)</f>
        <v>0</v>
      </c>
      <c r="O19" s="256">
        <f>SUMIFS('Livro Diario - FC'!$L$11:$L1028,'Livro Diario - FC'!$E$11:$E1028,$C$19,'Livro Diario - FC'!$D$11:$D1028,"&gt;=01/03"&amp;$C$7,'Livro Diario - FC'!$D$11:$D1028,"&lt;=31/03"&amp;$C$7)</f>
        <v>0</v>
      </c>
      <c r="P19" s="257" t="str">
        <f t="shared" si="42"/>
        <v/>
      </c>
      <c r="Q19" s="258"/>
      <c r="R19" s="259"/>
      <c r="S19" s="255">
        <f>SUMIFS('Livro Diario - FC'!$J$11:$J1028,'Livro Diario - FC'!$E$11:$E1028,$C$19,'Livro Diario - FC'!$D$11:$D1028,"&gt;=01/04"&amp;$C$7,'Livro Diario - FC'!$D$11:$D1028,"&lt;=30/04"&amp;$C$7)</f>
        <v>0</v>
      </c>
      <c r="T19" s="256">
        <f>SUMIFS('Livro Diario - FC'!$L$11:$L1028,'Livro Diario - FC'!$E$11:$E1028,$C$19,'Livro Diario - FC'!$D$11:$D1028,"&gt;=01/04"&amp;$C$7,'Livro Diario - FC'!$D$11:$D1028,"&lt;=30/04"&amp;$C$7)</f>
        <v>0</v>
      </c>
      <c r="U19" s="257" t="str">
        <f t="shared" si="44"/>
        <v/>
      </c>
      <c r="V19" s="258"/>
      <c r="W19" s="259"/>
      <c r="X19" s="255">
        <f>SUMIFS('Livro Diario - FC'!$J$11:$J1028,'Livro Diario - FC'!$E$11:$E1028,$C$19,'Livro Diario - FC'!$D$11:$D1028,"&gt;=01/05"&amp;$C$7,'Livro Diario - FC'!$D$11:$D1028,"&lt;=31/05"&amp;$C$7)</f>
        <v>0</v>
      </c>
      <c r="Y19" s="256">
        <f>SUMIFS('Livro Diario - FC'!$L$11:$L1028,'Livro Diario - FC'!$E$11:$E1028,$C$19,'Livro Diario - FC'!$D$11:$D1028,"&gt;=01/05"&amp;$C$7,'Livro Diario - FC'!$D$11:$D1028,"&lt;=31/05"&amp;$C$7)</f>
        <v>0</v>
      </c>
      <c r="Z19" s="257" t="str">
        <f t="shared" si="46"/>
        <v/>
      </c>
      <c r="AA19" s="258"/>
      <c r="AB19" s="259"/>
      <c r="AC19" s="255">
        <f>SUMIFS('Livro Diario - FC'!$J$11:$J1028,'Livro Diario - FC'!$E$11:$E1028,$C$19,'Livro Diario - FC'!$D$11:$D1028,"&gt;=01/06"&amp;$C$7,'Livro Diario - FC'!$D$11:$D1028,"&lt;=30/06"&amp;$C$7)</f>
        <v>0</v>
      </c>
      <c r="AD19" s="256">
        <f>SUMIFS('Livro Diario - FC'!$L$11:$L1028,'Livro Diario - FC'!$E$11:$E1028,$C$19,'Livro Diario - FC'!$D$11:$D1028,"&gt;=01/06"&amp;$C$7,'Livro Diario - FC'!$D$11:$D1028,"&lt;=30/06"&amp;$C$7)</f>
        <v>0</v>
      </c>
      <c r="AE19" s="257" t="str">
        <f t="shared" si="48"/>
        <v/>
      </c>
      <c r="AF19" s="258"/>
      <c r="AG19" s="255">
        <f>SUMIFS('Livro Diario - FC'!$J$11:$J1028,'Livro Diario - FC'!$E$11:$E1028,$C$19,'Livro Diario - FC'!$D$11:$D1028,"&gt;=01/07"&amp;$C$7,'Livro Diario - FC'!$D$11:$D1028,"&lt;=31/07"&amp;$C$7)</f>
        <v>0</v>
      </c>
      <c r="AH19" s="256">
        <f>SUMIFS('Livro Diario - FC'!$L$11:$L1028,'Livro Diario - FC'!$E$11:$E1028,$C$19,'Livro Diario - FC'!$D$11:$D1028,"&gt;=01/07"&amp;$C$7,'Livro Diario - FC'!$D$11:$D1028,"&lt;=31/07"&amp;$C$7)</f>
        <v>0</v>
      </c>
      <c r="AI19" s="257" t="str">
        <f t="shared" si="50"/>
        <v/>
      </c>
      <c r="AJ19" s="258"/>
      <c r="AK19" s="255">
        <f>SUMIFS('Livro Diario - FC'!$J$11:$J1028,'Livro Diario - FC'!$E$11:$E1028,$C$19,'Livro Diario - FC'!$D$11:$D1028,"&gt;=01/08"&amp;$C$7,'Livro Diario - FC'!$D$11:$D1028,"&lt;=31/08"&amp;$C$7)</f>
        <v>0</v>
      </c>
      <c r="AL19" s="256">
        <f>SUMIFS('Livro Diario - FC'!$L$11:$L1028,'Livro Diario - FC'!$E$11:$E1028,$C$19,'Livro Diario - FC'!$D$11:$D1028,"&gt;=01/08"&amp;$C$7,'Livro Diario - FC'!$D$11:$D1028,"&lt;=31/08"&amp;$C$7)</f>
        <v>0</v>
      </c>
      <c r="AM19" s="257" t="str">
        <f t="shared" si="52"/>
        <v/>
      </c>
      <c r="AN19" s="258"/>
      <c r="AO19" s="255">
        <f>SUMIFS('Livro Diario - FC'!$J$11:$J1028,'Livro Diario - FC'!$E$11:$E1028,$C$19,'Livro Diario - FC'!$D$11:$D1028,"&gt;=01/09"&amp;$C$7,'Livro Diario - FC'!$D$11:$D1028,"&lt;=30/09"&amp;$C$7)</f>
        <v>0</v>
      </c>
      <c r="AP19" s="256">
        <f>SUMIFS('Livro Diario - FC'!$L$11:$L1028,'Livro Diario - FC'!$E$11:$E1028,$C$19,'Livro Diario - FC'!$D$11:$D1028,"&gt;=01/09"&amp;$C$7,'Livro Diario - FC'!$D$11:$D1028,"&lt;=30/09"&amp;$C$7)</f>
        <v>0</v>
      </c>
      <c r="AQ19" s="257" t="str">
        <f t="shared" si="54"/>
        <v/>
      </c>
      <c r="AR19" s="258"/>
      <c r="AS19" s="255">
        <f>SUMIFS('Livro Diario - FC'!$J$11:$J1028,'Livro Diario - FC'!$E$11:$E1028,$C$19,'Livro Diario - FC'!$D$11:$D1028,"&gt;=01/10"&amp;$C$7,'Livro Diario - FC'!$D$11:$D1028,"&lt;=31/10"&amp;$C$7)</f>
        <v>0</v>
      </c>
      <c r="AT19" s="256">
        <f>SUMIFS('Livro Diario - FC'!$L$11:$L1028,'Livro Diario - FC'!$E$11:$E1028,$C$19,'Livro Diario - FC'!$D$11:$D1028,"&gt;=01/10"&amp;$C$7,'Livro Diario - FC'!$D$11:$D1028,"&lt;=31/10"&amp;$C$7)</f>
        <v>0</v>
      </c>
      <c r="AU19" s="257" t="str">
        <f t="shared" si="56"/>
        <v/>
      </c>
      <c r="AV19" s="258"/>
      <c r="AW19" s="255">
        <f>SUMIFS('Livro Diario - FC'!$J$11:$J1028,'Livro Diario - FC'!$E$11:$E1028,$C$19,'Livro Diario - FC'!$D$11:$D1028,"&gt;=01/11"&amp;$C$7,'Livro Diario - FC'!$D$11:$D1028,"&lt;=30/11"&amp;$C$7)</f>
        <v>0</v>
      </c>
      <c r="AX19" s="256">
        <f>SUMIFS('Livro Diario - FC'!$L$11:$L1028,'Livro Diario - FC'!$E$11:$E1028,$C$19,'Livro Diario - FC'!$D$11:$D1028,"&gt;=01/11"&amp;$C$7,'Livro Diario - FC'!$D$11:$D1028,"&lt;=30/11"&amp;$C$7)</f>
        <v>0</v>
      </c>
      <c r="AY19" s="257" t="str">
        <f t="shared" si="58"/>
        <v/>
      </c>
      <c r="AZ19" s="258"/>
      <c r="BA19" s="255">
        <f>SUMIFS('Livro Diario - FC'!$J$11:$J1028,'Livro Diario - FC'!$E$11:$E1028,$C$19,'Livro Diario - FC'!$D$11:$D1028,"&gt;=01/12"&amp;$C$7,'Livro Diario - FC'!$D$11:$D1028,"&lt;=31/12"&amp;$C$7)</f>
        <v>0</v>
      </c>
      <c r="BB19" s="256">
        <f>SUMIFS('Livro Diario - FC'!$L$11:$L1028,'Livro Diario - FC'!$E$11:$E1028,$C$19,'Livro Diario - FC'!$D$11:$D1028,"&gt;=01/12"&amp;$C$7,'Livro Diario - FC'!$D$11:$D1028,"&lt;=31/12"&amp;$C$7)</f>
        <v>0</v>
      </c>
      <c r="BC19" s="257" t="str">
        <f t="shared" si="60"/>
        <v/>
      </c>
      <c r="BD19" s="258"/>
      <c r="BE19" s="267">
        <f t="shared" ref="BE19:BF19" si="71">SUM(D19,I19,N19,S19,X19,AC19,AG19,AK19,AO19,AS19,AW19,BA19)</f>
        <v>0</v>
      </c>
      <c r="BF19" s="268">
        <f t="shared" si="71"/>
        <v>0</v>
      </c>
      <c r="BG19" s="269"/>
      <c r="BH19" s="40"/>
      <c r="BI19" s="270">
        <f>SUMIFS('Livro Diario - FC'!$L$11:$L1028,'Livro Diario - FC'!$E$11:$E1028,C19,'Livro Diario - FC'!$D$11:$D1028,"&gt;="&amp;$BK$8,'Livro Diario - FC'!$D$11:$D1028,"&lt;="&amp;$BK$9)</f>
        <v>0</v>
      </c>
      <c r="BJ19" s="271"/>
      <c r="BK19" s="272"/>
      <c r="BL19" s="1"/>
    </row>
    <row r="20">
      <c r="A20" s="1"/>
      <c r="B20" s="1"/>
      <c r="C20" s="52" t="str">
        <f>'Livro Diario - FC'!AE19</f>
        <v>3.1.8 -</v>
      </c>
      <c r="D20" s="255">
        <f>SUMIFS('Livro Diario - FC'!$J$11:$J1028,'Livro Diario - FC'!$E$11:$E1028,$C$20,'Livro Diario - FC'!$D$11:$D1028,"&gt;=01/01"&amp;$C$7,'Livro Diario - FC'!$D$11:$D1028,"&lt;=31/01"&amp;$C$7)</f>
        <v>0</v>
      </c>
      <c r="E20" s="256">
        <f>SUMIFS('Livro Diario - FC'!$L$11:$L1028,'Livro Diario - FC'!$E$11:$E1028,$C$20,'Livro Diario - FC'!$D$11:$D1028,"&gt;=01/01"&amp;$C$7,'Livro Diario - FC'!$D$11:$D1028,"&lt;=31/01"&amp;$C$7)</f>
        <v>0</v>
      </c>
      <c r="F20" s="257">
        <f t="shared" si="38"/>
        <v>0</v>
      </c>
      <c r="G20" s="258"/>
      <c r="H20" s="157"/>
      <c r="I20" s="255">
        <f>SUMIFS('Livro Diario - FC'!$J$11:$J1028,'Livro Diario - FC'!$E$11:$E1028,$C$20,'Livro Diario - FC'!$D$11:$D1028,"&gt;=01/02"&amp;$C$7,'Livro Diario - FC'!$D$11:$D1028,"&lt;=29/02"&amp;$C$7)</f>
        <v>0</v>
      </c>
      <c r="J20" s="256">
        <f>SUMIFS('Livro Diario - FC'!$L$11:$L1028,'Livro Diario - FC'!$E$11:$E1028,$C$20,'Livro Diario - FC'!$D$11:$D1028,"&gt;=01/02"&amp;$C$7,'Livro Diario - FC'!$D$11:$D1028,"&lt;=29/02"&amp;$C$7)</f>
        <v>0</v>
      </c>
      <c r="K20" s="273"/>
      <c r="L20" s="258"/>
      <c r="M20" s="259"/>
      <c r="N20" s="255">
        <f>SUMIFS('Livro Diario - FC'!$J$11:$J1028,'Livro Diario - FC'!$E$11:$E1028,$C$20,'Livro Diario - FC'!$D$11:$D1028,"&gt;=01/03"&amp;$C$7,'Livro Diario - FC'!$D$11:$D1028,"&lt;=31/03"&amp;$C$7)</f>
        <v>0</v>
      </c>
      <c r="O20" s="256">
        <f>SUMIFS('Livro Diario - FC'!$L$11:$L1028,'Livro Diario - FC'!$E$11:$E1028,$C$20,'Livro Diario - FC'!$D$11:$D1028,"&gt;=01/03"&amp;$C$7,'Livro Diario - FC'!$D$11:$D1028,"&lt;=31/03"&amp;$C$7)</f>
        <v>0</v>
      </c>
      <c r="P20" s="273"/>
      <c r="Q20" s="258"/>
      <c r="R20" s="259"/>
      <c r="S20" s="255">
        <f>SUMIFS('Livro Diario - FC'!$J$11:$J1028,'Livro Diario - FC'!$E$11:$E1028,$C$20,'Livro Diario - FC'!$D$11:$D1028,"&gt;=01/04"&amp;$C$7,'Livro Diario - FC'!$D$11:$D1028,"&lt;=30/04"&amp;$C$7)</f>
        <v>0</v>
      </c>
      <c r="T20" s="256">
        <f>SUMIFS('Livro Diario - FC'!$L$11:$L1028,'Livro Diario - FC'!$E$11:$E1028,$C$20,'Livro Diario - FC'!$D$11:$D1028,"&gt;=01/04"&amp;$C$7,'Livro Diario - FC'!$D$11:$D1028,"&lt;=30/04"&amp;$C$7)</f>
        <v>0</v>
      </c>
      <c r="U20" s="273"/>
      <c r="V20" s="258"/>
      <c r="W20" s="259"/>
      <c r="X20" s="255">
        <f>SUMIFS('Livro Diario - FC'!$J$11:$J1028,'Livro Diario - FC'!$E$11:$E1028,$C$20,'Livro Diario - FC'!$D$11:$D1028,"&gt;=01/05"&amp;$C$7,'Livro Diario - FC'!$D$11:$D1028,"&lt;=31/05"&amp;$C$7)</f>
        <v>0</v>
      </c>
      <c r="Y20" s="256">
        <f>SUMIFS('Livro Diario - FC'!$L$11:$L1028,'Livro Diario - FC'!$E$11:$E1028,$C$20,'Livro Diario - FC'!$D$11:$D1028,"&gt;=01/05"&amp;$C$7,'Livro Diario - FC'!$D$11:$D1028,"&lt;=31/05"&amp;$C$7)</f>
        <v>0</v>
      </c>
      <c r="Z20" s="273"/>
      <c r="AA20" s="258"/>
      <c r="AB20" s="259"/>
      <c r="AC20" s="255">
        <f>SUMIFS('Livro Diario - FC'!$J$11:$J1028,'Livro Diario - FC'!$E$11:$E1028,$C$20,'Livro Diario - FC'!$D$11:$D1028,"&gt;=01/06"&amp;$C$7,'Livro Diario - FC'!$D$11:$D1028,"&lt;=30/06"&amp;$C$7)</f>
        <v>0</v>
      </c>
      <c r="AD20" s="256">
        <f>SUMIFS('Livro Diario - FC'!$L$11:$L1028,'Livro Diario - FC'!$E$11:$E1028,$C$20,'Livro Diario - FC'!$D$11:$D1028,"&gt;=01/06"&amp;$C$7,'Livro Diario - FC'!$D$11:$D1028,"&lt;=30/06"&amp;$C$7)</f>
        <v>0</v>
      </c>
      <c r="AE20" s="273"/>
      <c r="AF20" s="258"/>
      <c r="AG20" s="255">
        <f>SUMIFS('Livro Diario - FC'!$J$11:$J1028,'Livro Diario - FC'!$E$11:$E1028,$C$20,'Livro Diario - FC'!$D$11:$D1028,"&gt;=01/07"&amp;$C$7,'Livro Diario - FC'!$D$11:$D1028,"&lt;=31/07"&amp;$C$7)</f>
        <v>0</v>
      </c>
      <c r="AH20" s="256">
        <f>SUMIFS('Livro Diario - FC'!$L$11:$L1028,'Livro Diario - FC'!$E$11:$E1028,$C$20,'Livro Diario - FC'!$D$11:$D1028,"&gt;=01/07"&amp;$C$7,'Livro Diario - FC'!$D$11:$D1028,"&lt;=31/07"&amp;$C$7)</f>
        <v>0</v>
      </c>
      <c r="AI20" s="273"/>
      <c r="AJ20" s="258"/>
      <c r="AK20" s="255">
        <f>SUMIFS('Livro Diario - FC'!$J$11:$J1028,'Livro Diario - FC'!$E$11:$E1028,$C$20,'Livro Diario - FC'!$D$11:$D1028,"&gt;=01/08"&amp;$C$7,'Livro Diario - FC'!$D$11:$D1028,"&lt;=31/08"&amp;$C$7)</f>
        <v>0</v>
      </c>
      <c r="AL20" s="256">
        <f>SUMIFS('Livro Diario - FC'!$L$11:$L1028,'Livro Diario - FC'!$E$11:$E1028,$C$20,'Livro Diario - FC'!$D$11:$D1028,"&gt;=01/08"&amp;$C$7,'Livro Diario - FC'!$D$11:$D1028,"&lt;=31/08"&amp;$C$7)</f>
        <v>0</v>
      </c>
      <c r="AM20" s="273"/>
      <c r="AN20" s="258"/>
      <c r="AO20" s="255">
        <f>SUMIFS('Livro Diario - FC'!$J$11:$J1028,'Livro Diario - FC'!$E$11:$E1028,$C$20,'Livro Diario - FC'!$D$11:$D1028,"&gt;=01/09"&amp;$C$7,'Livro Diario - FC'!$D$11:$D1028,"&lt;=30/09"&amp;$C$7)</f>
        <v>0</v>
      </c>
      <c r="AP20" s="256">
        <f>SUMIFS('Livro Diario - FC'!$L$11:$L1028,'Livro Diario - FC'!$E$11:$E1028,$C$20,'Livro Diario - FC'!$D$11:$D1028,"&gt;=01/09"&amp;$C$7,'Livro Diario - FC'!$D$11:$D1028,"&lt;=30/09"&amp;$C$7)</f>
        <v>0</v>
      </c>
      <c r="AQ20" s="273"/>
      <c r="AR20" s="258"/>
      <c r="AS20" s="255">
        <f>SUMIFS('Livro Diario - FC'!$J$11:$J1028,'Livro Diario - FC'!$E$11:$E1028,$C$20,'Livro Diario - FC'!$D$11:$D1028,"&gt;=01/10"&amp;$C$7,'Livro Diario - FC'!$D$11:$D1028,"&lt;=31/10"&amp;$C$7)</f>
        <v>0</v>
      </c>
      <c r="AT20" s="256">
        <f>SUMIFS('Livro Diario - FC'!$L$11:$L1028,'Livro Diario - FC'!$E$11:$E1028,$C$20,'Livro Diario - FC'!$D$11:$D1028,"&gt;=01/10"&amp;$C$7,'Livro Diario - FC'!$D$11:$D1028,"&lt;=31/10"&amp;$C$7)</f>
        <v>0</v>
      </c>
      <c r="AU20" s="273"/>
      <c r="AV20" s="258"/>
      <c r="AW20" s="255">
        <f>SUMIFS('Livro Diario - FC'!$J$11:$J1028,'Livro Diario - FC'!$E$11:$E1028,$C$20,'Livro Diario - FC'!$D$11:$D1028,"&gt;=01/11"&amp;$C$7,'Livro Diario - FC'!$D$11:$D1028,"&lt;=30/11"&amp;$C$7)</f>
        <v>0</v>
      </c>
      <c r="AX20" s="256">
        <f>SUMIFS('Livro Diario - FC'!$L$11:$L1028,'Livro Diario - FC'!$E$11:$E1028,$C$20,'Livro Diario - FC'!$D$11:$D1028,"&gt;=01/11"&amp;$C$7,'Livro Diario - FC'!$D$11:$D1028,"&lt;=30/11"&amp;$C$7)</f>
        <v>0</v>
      </c>
      <c r="AY20" s="273"/>
      <c r="AZ20" s="258"/>
      <c r="BA20" s="255">
        <f>SUMIFS('Livro Diario - FC'!$J$11:$J1028,'Livro Diario - FC'!$E$11:$E1028,$C$20,'Livro Diario - FC'!$D$11:$D1028,"&gt;=01/12"&amp;$C$7,'Livro Diario - FC'!$D$11:$D1028,"&lt;=31/12"&amp;$C$7)</f>
        <v>0</v>
      </c>
      <c r="BB20" s="256">
        <f>SUMIFS('Livro Diario - FC'!$L$11:$L1028,'Livro Diario - FC'!$E$11:$E1028,$C$20,'Livro Diario - FC'!$D$11:$D1028,"&gt;=01/12"&amp;$C$7,'Livro Diario - FC'!$D$11:$D1028,"&lt;=31/12"&amp;$C$7)</f>
        <v>0</v>
      </c>
      <c r="BC20" s="273"/>
      <c r="BD20" s="258"/>
      <c r="BE20" s="267">
        <f t="shared" ref="BE20:BF20" si="72">SUM(D20,I20,N20,S20,X20,AC20,AG20,AK20,AO20,AS20,AW20,BA20)</f>
        <v>0</v>
      </c>
      <c r="BF20" s="268">
        <f t="shared" si="72"/>
        <v>0</v>
      </c>
      <c r="BG20" s="269"/>
      <c r="BH20" s="40"/>
      <c r="BI20" s="270">
        <f>SUMIFS('Livro Diario - FC'!$L$11:$L1028,'Livro Diario - FC'!$E$11:$E1028,C20,'Livro Diario - FC'!$D$11:$D1028,"&gt;="&amp;$BK$8,'Livro Diario - FC'!$D$11:$D1028,"&lt;="&amp;$BK$9)</f>
        <v>0</v>
      </c>
      <c r="BJ20" s="271"/>
      <c r="BK20" s="272"/>
      <c r="BL20" s="1"/>
    </row>
    <row r="21">
      <c r="A21" s="1"/>
      <c r="B21" s="1"/>
      <c r="C21" s="52" t="str">
        <f>'Livro Diario - FC'!AE20</f>
        <v>3.1.9 .</v>
      </c>
      <c r="D21" s="255">
        <f>SUMIFS('Livro Diario - FC'!$J$11:$J1028,'Livro Diario - FC'!$E$11:$E1028,$C$21,'Livro Diario - FC'!$D$11:$D1028,"&gt;=01/01"&amp;$C$7,'Livro Diario - FC'!$D$11:$D1028,"&lt;=31/01"&amp;$C$7)</f>
        <v>0</v>
      </c>
      <c r="E21" s="256">
        <f>SUMIFS('Livro Diario - FC'!$L$11:$L1028,'Livro Diario - FC'!$E$11:$E1028,$C$21,'Livro Diario - FC'!$D$11:$D1028,"&gt;=01/01"&amp;$C$7,'Livro Diario - FC'!$D$11:$D1028,"&lt;=31/01"&amp;$C$7)</f>
        <v>0</v>
      </c>
      <c r="F21" s="257">
        <f t="shared" si="38"/>
        <v>0</v>
      </c>
      <c r="G21" s="258"/>
      <c r="H21" s="157"/>
      <c r="I21" s="255">
        <f>SUMIFS('Livro Diario - FC'!$J$11:$J1028,'Livro Diario - FC'!$E$11:$E1028,$C$21,'Livro Diario - FC'!$D$11:$D1028,"&gt;=01/02"&amp;$C$7,'Livro Diario - FC'!$D$11:$D1028,"&lt;=29/02"&amp;$C$7)</f>
        <v>0</v>
      </c>
      <c r="J21" s="256">
        <f>SUMIFS('Livro Diario - FC'!$L$11:$L1028,'Livro Diario - FC'!$E$11:$E1028,$C$21,'Livro Diario - FC'!$D$11:$D1028,"&gt;=01/02"&amp;$C$7,'Livro Diario - FC'!$D$11:$D1028,"&lt;=29/02"&amp;$C$7)</f>
        <v>0</v>
      </c>
      <c r="K21" s="273"/>
      <c r="L21" s="258"/>
      <c r="M21" s="259"/>
      <c r="N21" s="255">
        <f>SUMIFS('Livro Diario - FC'!$J$11:$J1028,'Livro Diario - FC'!$E$11:$E1028,$C$21,'Livro Diario - FC'!$D$11:$D1028,"&gt;=01/03"&amp;$C$7,'Livro Diario - FC'!$D$11:$D1028,"&lt;=31/03"&amp;$C$7)</f>
        <v>0</v>
      </c>
      <c r="O21" s="256">
        <f>SUMIFS('Livro Diario - FC'!$L$11:$L1028,'Livro Diario - FC'!$E$11:$E1028,$C$21,'Livro Diario - FC'!$D$11:$D1028,"&gt;=01/03"&amp;$C$7,'Livro Diario - FC'!$D$11:$D1028,"&lt;=31/03"&amp;$C$7)</f>
        <v>0</v>
      </c>
      <c r="P21" s="273"/>
      <c r="Q21" s="258"/>
      <c r="R21" s="259"/>
      <c r="S21" s="255">
        <f>SUMIFS('Livro Diario - FC'!$J$11:$J1028,'Livro Diario - FC'!$E$11:$E1028,$C$21,'Livro Diario - FC'!$D$11:$D1028,"&gt;=01/04"&amp;$C$7,'Livro Diario - FC'!$D$11:$D1028,"&lt;=30/04"&amp;$C$7)</f>
        <v>0</v>
      </c>
      <c r="T21" s="256">
        <f>SUMIFS('Livro Diario - FC'!$L$11:$L1028,'Livro Diario - FC'!$E$11:$E1028,$C$21,'Livro Diario - FC'!$D$11:$D1028,"&gt;=01/04"&amp;$C$7,'Livro Diario - FC'!$D$11:$D1028,"&lt;=30/04"&amp;$C$7)</f>
        <v>0</v>
      </c>
      <c r="U21" s="273"/>
      <c r="V21" s="258"/>
      <c r="W21" s="259"/>
      <c r="X21" s="255">
        <f>SUMIFS('Livro Diario - FC'!$J$11:$J1028,'Livro Diario - FC'!$E$11:$E1028,$C$21,'Livro Diario - FC'!$D$11:$D1028,"&gt;=01/05"&amp;$C$7,'Livro Diario - FC'!$D$11:$D1028,"&lt;=31/05"&amp;$C$7)</f>
        <v>0</v>
      </c>
      <c r="Y21" s="256">
        <f>SUMIFS('Livro Diario - FC'!$L$11:$L1028,'Livro Diario - FC'!$E$11:$E1028,$C$21,'Livro Diario - FC'!$D$11:$D1028,"&gt;=01/05"&amp;$C$7,'Livro Diario - FC'!$D$11:$D1028,"&lt;=31/05"&amp;$C$7)</f>
        <v>0</v>
      </c>
      <c r="Z21" s="273"/>
      <c r="AA21" s="258"/>
      <c r="AB21" s="259"/>
      <c r="AC21" s="255">
        <f>SUMIFS('Livro Diario - FC'!$J$11:$J1028,'Livro Diario - FC'!$E$11:$E1028,$C$21,'Livro Diario - FC'!$D$11:$D1028,"&gt;=01/06"&amp;$C$7,'Livro Diario - FC'!$D$11:$D1028,"&lt;=30/06"&amp;$C$7)</f>
        <v>0</v>
      </c>
      <c r="AD21" s="256">
        <f>SUMIFS('Livro Diario - FC'!$L$11:$L1028,'Livro Diario - FC'!$E$11:$E1028,$C$21,'Livro Diario - FC'!$D$11:$D1028,"&gt;=01/06"&amp;$C$7,'Livro Diario - FC'!$D$11:$D1028,"&lt;=30/06"&amp;$C$7)</f>
        <v>0</v>
      </c>
      <c r="AE21" s="273"/>
      <c r="AF21" s="258"/>
      <c r="AG21" s="255">
        <f>SUMIFS('Livro Diario - FC'!$J$11:$J1028,'Livro Diario - FC'!$E$11:$E1028,$C$21,'Livro Diario - FC'!$D$11:$D1028,"&gt;=01/07"&amp;$C$7,'Livro Diario - FC'!$D$11:$D1028,"&lt;=31/07"&amp;$C$7)</f>
        <v>0</v>
      </c>
      <c r="AH21" s="256">
        <f>SUMIFS('Livro Diario - FC'!$L$11:$L1028,'Livro Diario - FC'!$E$11:$E1028,$C$21,'Livro Diario - FC'!$D$11:$D1028,"&gt;=01/07"&amp;$C$7,'Livro Diario - FC'!$D$11:$D1028,"&lt;=31/07"&amp;$C$7)</f>
        <v>0</v>
      </c>
      <c r="AI21" s="273"/>
      <c r="AJ21" s="258"/>
      <c r="AK21" s="255">
        <f>SUMIFS('Livro Diario - FC'!$J$11:$J1028,'Livro Diario - FC'!$E$11:$E1028,$C$21,'Livro Diario - FC'!$D$11:$D1028,"&gt;=01/08"&amp;$C$7,'Livro Diario - FC'!$D$11:$D1028,"&lt;=31/08"&amp;$C$7)</f>
        <v>0</v>
      </c>
      <c r="AL21" s="256">
        <f>SUMIFS('Livro Diario - FC'!$L$11:$L1028,'Livro Diario - FC'!$E$11:$E1028,$C$21,'Livro Diario - FC'!$D$11:$D1028,"&gt;=01/08"&amp;$C$7,'Livro Diario - FC'!$D$11:$D1028,"&lt;=31/08"&amp;$C$7)</f>
        <v>0</v>
      </c>
      <c r="AM21" s="273"/>
      <c r="AN21" s="258"/>
      <c r="AO21" s="255">
        <f>SUMIFS('Livro Diario - FC'!$J$11:$J1028,'Livro Diario - FC'!$E$11:$E1028,$C$21,'Livro Diario - FC'!$D$11:$D1028,"&gt;=01/09"&amp;$C$7,'Livro Diario - FC'!$D$11:$D1028,"&lt;=30/09"&amp;$C$7)</f>
        <v>0</v>
      </c>
      <c r="AP21" s="256">
        <f>SUMIFS('Livro Diario - FC'!$L$11:$L1028,'Livro Diario - FC'!$E$11:$E1028,$C$21,'Livro Diario - FC'!$D$11:$D1028,"&gt;=01/09"&amp;$C$7,'Livro Diario - FC'!$D$11:$D1028,"&lt;=30/09"&amp;$C$7)</f>
        <v>0</v>
      </c>
      <c r="AQ21" s="273"/>
      <c r="AR21" s="258"/>
      <c r="AS21" s="255">
        <f>SUMIFS('Livro Diario - FC'!$J$11:$J1028,'Livro Diario - FC'!$E$11:$E1028,$C$21,'Livro Diario - FC'!$D$11:$D1028,"&gt;=01/10"&amp;$C$7,'Livro Diario - FC'!$D$11:$D1028,"&lt;=31/10"&amp;$C$7)</f>
        <v>0</v>
      </c>
      <c r="AT21" s="256">
        <f>SUMIFS('Livro Diario - FC'!$L$11:$L1028,'Livro Diario - FC'!$E$11:$E1028,$C$21,'Livro Diario - FC'!$D$11:$D1028,"&gt;=01/10"&amp;$C$7,'Livro Diario - FC'!$D$11:$D1028,"&lt;=31/10"&amp;$C$7)</f>
        <v>0</v>
      </c>
      <c r="AU21" s="273"/>
      <c r="AV21" s="258"/>
      <c r="AW21" s="255">
        <f>SUMIFS('Livro Diario - FC'!$J$11:$J1028,'Livro Diario - FC'!$E$11:$E1028,$C$21,'Livro Diario - FC'!$D$11:$D1028,"&gt;=01/11"&amp;$C$7,'Livro Diario - FC'!$D$11:$D1028,"&lt;=30/11"&amp;$C$7)</f>
        <v>0</v>
      </c>
      <c r="AX21" s="256">
        <f>SUMIFS('Livro Diario - FC'!$L$11:$L1028,'Livro Diario - FC'!$E$11:$E1028,$C$21,'Livro Diario - FC'!$D$11:$D1028,"&gt;=01/11"&amp;$C$7,'Livro Diario - FC'!$D$11:$D1028,"&lt;=30/11"&amp;$C$7)</f>
        <v>0</v>
      </c>
      <c r="AY21" s="273"/>
      <c r="AZ21" s="258"/>
      <c r="BA21" s="255">
        <f>SUMIFS('Livro Diario - FC'!$J$11:$J1028,'Livro Diario - FC'!$E$11:$E1028,$C$21,'Livro Diario - FC'!$D$11:$D1028,"&gt;=01/12"&amp;$C$7,'Livro Diario - FC'!$D$11:$D1028,"&lt;=31/12"&amp;$C$7)</f>
        <v>0</v>
      </c>
      <c r="BB21" s="256">
        <f>SUMIFS('Livro Diario - FC'!$L$11:$L1028,'Livro Diario - FC'!$E$11:$E1028,$C$21,'Livro Diario - FC'!$D$11:$D1028,"&gt;=01/12"&amp;$C$7,'Livro Diario - FC'!$D$11:$D1028,"&lt;=31/12"&amp;$C$7)</f>
        <v>0</v>
      </c>
      <c r="BC21" s="273"/>
      <c r="BD21" s="258"/>
      <c r="BE21" s="267">
        <f t="shared" ref="BE21:BF21" si="73">SUM(D21,I21,N21,S21,X21,AC21,AG21,AK21,AO21,AS21,AW21,BA21)</f>
        <v>0</v>
      </c>
      <c r="BF21" s="268">
        <f t="shared" si="73"/>
        <v>0</v>
      </c>
      <c r="BG21" s="269"/>
      <c r="BH21" s="40"/>
      <c r="BI21" s="270">
        <f>SUMIFS('Livro Diario - FC'!$L$11:$L1028,'Livro Diario - FC'!$E$11:$E1028,C21,'Livro Diario - FC'!$D$11:$D1028,"&gt;="&amp;$BK$8,'Livro Diario - FC'!$D$11:$D1028,"&lt;="&amp;$BK$9)</f>
        <v>0</v>
      </c>
      <c r="BJ21" s="271"/>
      <c r="BK21" s="272"/>
      <c r="BL21" s="1"/>
    </row>
    <row r="22">
      <c r="A22" s="1"/>
      <c r="B22" s="1"/>
      <c r="C22" s="52" t="str">
        <f>'Livro Diario - FC'!AE21</f>
        <v>3.1.10 Acerto</v>
      </c>
      <c r="D22" s="255">
        <f>SUMIFS('Livro Diario - FC'!$J$11:$J1028,'Livro Diario - FC'!$E$11:$E1028,$C$22,'Livro Diario - FC'!$D$11:$D1028,"&gt;=01/01"&amp;$C$7,'Livro Diario - FC'!$D$11:$D1028,"&lt;=31/01"&amp;$C$7)</f>
        <v>0</v>
      </c>
      <c r="E22" s="256">
        <f>SUMIFS('Livro Diario - FC'!$L$11:$L1028,'Livro Diario - FC'!$E$11:$E1028,$C$22,'Livro Diario - FC'!$D$11:$D1028,"&gt;=01/01"&amp;$C$7,'Livro Diario - FC'!$D$11:$D1028,"&lt;=31/01"&amp;$C$7)</f>
        <v>0</v>
      </c>
      <c r="F22" s="257">
        <f t="shared" si="38"/>
        <v>0</v>
      </c>
      <c r="G22" s="258"/>
      <c r="H22" s="157"/>
      <c r="I22" s="255">
        <f>SUMIFS('Livro Diario - FC'!$J$11:$J1028,'Livro Diario - FC'!$E$11:$E1028,$C$22,'Livro Diario - FC'!$D$11:$D1028,"&gt;=01/02"&amp;$C$7,'Livro Diario - FC'!$D$11:$D1028,"&lt;=29/02"&amp;$C$7)</f>
        <v>0</v>
      </c>
      <c r="J22" s="256">
        <f>SUMIFS('Livro Diario - FC'!$L$11:$L1028,'Livro Diario - FC'!$E$11:$E1028,$C$22,'Livro Diario - FC'!$D$11:$D1028,"&gt;=01/02"&amp;$C$7,'Livro Diario - FC'!$D$11:$D1028,"&lt;=29/02"&amp;$C$7)</f>
        <v>0</v>
      </c>
      <c r="K22" s="273"/>
      <c r="L22" s="258"/>
      <c r="M22" s="259"/>
      <c r="N22" s="255">
        <f>SUMIFS('Livro Diario - FC'!$J$11:$J1028,'Livro Diario - FC'!$E$11:$E1028,$C$22,'Livro Diario - FC'!$D$11:$D1028,"&gt;=01/03"&amp;$C$7,'Livro Diario - FC'!$D$11:$D1028,"&lt;=31/03"&amp;$C$7)</f>
        <v>0</v>
      </c>
      <c r="O22" s="256">
        <f>SUMIFS('Livro Diario - FC'!$L$11:$L1028,'Livro Diario - FC'!$E$11:$E1028,$C$22,'Livro Diario - FC'!$D$11:$D1028,"&gt;=01/03"&amp;$C$7,'Livro Diario - FC'!$D$11:$D1028,"&lt;=31/03"&amp;$C$7)</f>
        <v>0</v>
      </c>
      <c r="P22" s="273"/>
      <c r="Q22" s="258"/>
      <c r="R22" s="259"/>
      <c r="S22" s="255">
        <f>SUMIFS('Livro Diario - FC'!$J$11:$J1028,'Livro Diario - FC'!$E$11:$E1028,$C$22,'Livro Diario - FC'!$D$11:$D1028,"&gt;=01/04"&amp;$C$7,'Livro Diario - FC'!$D$11:$D1028,"&lt;=30/04"&amp;$C$7)</f>
        <v>0</v>
      </c>
      <c r="T22" s="256">
        <f>SUMIFS('Livro Diario - FC'!$L$11:$L1028,'Livro Diario - FC'!$E$11:$E1028,$C$22,'Livro Diario - FC'!$D$11:$D1028,"&gt;=01/04"&amp;$C$7,'Livro Diario - FC'!$D$11:$D1028,"&lt;=30/04"&amp;$C$7)</f>
        <v>0</v>
      </c>
      <c r="U22" s="273"/>
      <c r="V22" s="258"/>
      <c r="W22" s="259"/>
      <c r="X22" s="255">
        <f>SUMIFS('Livro Diario - FC'!$J$11:$J1028,'Livro Diario - FC'!$E$11:$E1028,$C$22,'Livro Diario - FC'!$D$11:$D1028,"&gt;=01/05"&amp;$C$7,'Livro Diario - FC'!$D$11:$D1028,"&lt;=31/05"&amp;$C$7)</f>
        <v>0</v>
      </c>
      <c r="Y22" s="256">
        <f>SUMIFS('Livro Diario - FC'!$L$11:$L1028,'Livro Diario - FC'!$E$11:$E1028,$C$22,'Livro Diario - FC'!$D$11:$D1028,"&gt;=01/05"&amp;$C$7,'Livro Diario - FC'!$D$11:$D1028,"&lt;=31/05"&amp;$C$7)</f>
        <v>0</v>
      </c>
      <c r="Z22" s="273"/>
      <c r="AA22" s="258"/>
      <c r="AB22" s="259"/>
      <c r="AC22" s="255">
        <f>SUMIFS('Livro Diario - FC'!$J$11:$J1028,'Livro Diario - FC'!$E$11:$E1028,$C$22,'Livro Diario - FC'!$D$11:$D1028,"&gt;=01/06"&amp;$C$7,'Livro Diario - FC'!$D$11:$D1028,"&lt;=30/06"&amp;$C$7)</f>
        <v>0</v>
      </c>
      <c r="AD22" s="256">
        <f>SUMIFS('Livro Diario - FC'!$L$11:$L1028,'Livro Diario - FC'!$E$11:$E1028,$C$22,'Livro Diario - FC'!$D$11:$D1028,"&gt;=01/06"&amp;$C$7,'Livro Diario - FC'!$D$11:$D1028,"&lt;=30/06"&amp;$C$7)</f>
        <v>0</v>
      </c>
      <c r="AE22" s="273"/>
      <c r="AF22" s="258"/>
      <c r="AG22" s="255">
        <f>SUMIFS('Livro Diario - FC'!$J$11:$J1028,'Livro Diario - FC'!$E$11:$E1028,$C$22,'Livro Diario - FC'!$D$11:$D1028,"&gt;=01/07"&amp;$C$7,'Livro Diario - FC'!$D$11:$D1028,"&lt;=31/07"&amp;$C$7)</f>
        <v>0</v>
      </c>
      <c r="AH22" s="256">
        <f>SUMIFS('Livro Diario - FC'!$L$11:$L1028,'Livro Diario - FC'!$E$11:$E1028,$C$22,'Livro Diario - FC'!$D$11:$D1028,"&gt;=01/07"&amp;$C$7,'Livro Diario - FC'!$D$11:$D1028,"&lt;=31/07"&amp;$C$7)</f>
        <v>0</v>
      </c>
      <c r="AI22" s="273"/>
      <c r="AJ22" s="258"/>
      <c r="AK22" s="255">
        <f>SUMIFS('Livro Diario - FC'!$J$11:$J1028,'Livro Diario - FC'!$E$11:$E1028,$C$22,'Livro Diario - FC'!$D$11:$D1028,"&gt;=01/08"&amp;$C$7,'Livro Diario - FC'!$D$11:$D1028,"&lt;=31/08"&amp;$C$7)</f>
        <v>0</v>
      </c>
      <c r="AL22" s="256">
        <f>SUMIFS('Livro Diario - FC'!$L$11:$L1028,'Livro Diario - FC'!$E$11:$E1028,$C$22,'Livro Diario - FC'!$D$11:$D1028,"&gt;=01/08"&amp;$C$7,'Livro Diario - FC'!$D$11:$D1028,"&lt;=31/08"&amp;$C$7)</f>
        <v>0</v>
      </c>
      <c r="AM22" s="273"/>
      <c r="AN22" s="258"/>
      <c r="AO22" s="255">
        <f>SUMIFS('Livro Diario - FC'!$J$11:$J1028,'Livro Diario - FC'!$E$11:$E1028,$C$22,'Livro Diario - FC'!$D$11:$D1028,"&gt;=01/09"&amp;$C$7,'Livro Diario - FC'!$D$11:$D1028,"&lt;=30/09"&amp;$C$7)</f>
        <v>0</v>
      </c>
      <c r="AP22" s="256">
        <f>SUMIFS('Livro Diario - FC'!$L$11:$L1028,'Livro Diario - FC'!$E$11:$E1028,$C$22,'Livro Diario - FC'!$D$11:$D1028,"&gt;=01/09"&amp;$C$7,'Livro Diario - FC'!$D$11:$D1028,"&lt;=30/09"&amp;$C$7)</f>
        <v>0</v>
      </c>
      <c r="AQ22" s="273"/>
      <c r="AR22" s="258"/>
      <c r="AS22" s="255">
        <f>SUMIFS('Livro Diario - FC'!$J$11:$J1028,'Livro Diario - FC'!$E$11:$E1028,$C$22,'Livro Diario - FC'!$D$11:$D1028,"&gt;=01/10"&amp;$C$7,'Livro Diario - FC'!$D$11:$D1028,"&lt;=31/10"&amp;$C$7)</f>
        <v>0</v>
      </c>
      <c r="AT22" s="256">
        <f>SUMIFS('Livro Diario - FC'!$L$11:$L1028,'Livro Diario - FC'!$E$11:$E1028,$C$22,'Livro Diario - FC'!$D$11:$D1028,"&gt;=01/10"&amp;$C$7,'Livro Diario - FC'!$D$11:$D1028,"&lt;=31/10"&amp;$C$7)</f>
        <v>0</v>
      </c>
      <c r="AU22" s="273"/>
      <c r="AV22" s="258"/>
      <c r="AW22" s="255">
        <f>SUMIFS('Livro Diario - FC'!$J$11:$J1028,'Livro Diario - FC'!$E$11:$E1028,$C$22,'Livro Diario - FC'!$D$11:$D1028,"&gt;=01/11"&amp;$C$7,'Livro Diario - FC'!$D$11:$D1028,"&lt;=30/11"&amp;$C$7)</f>
        <v>0</v>
      </c>
      <c r="AX22" s="256">
        <f>SUMIFS('Livro Diario - FC'!$L$11:$L1028,'Livro Diario - FC'!$E$11:$E1028,$C$22,'Livro Diario - FC'!$D$11:$D1028,"&gt;=01/11"&amp;$C$7,'Livro Diario - FC'!$D$11:$D1028,"&lt;=30/11"&amp;$C$7)</f>
        <v>0</v>
      </c>
      <c r="AY22" s="273"/>
      <c r="AZ22" s="258"/>
      <c r="BA22" s="255">
        <f>SUMIFS('Livro Diario - FC'!$J$11:$J1028,'Livro Diario - FC'!$E$11:$E1028,$C$22,'Livro Diario - FC'!$D$11:$D1028,"&gt;=01/12"&amp;$C$7,'Livro Diario - FC'!$D$11:$D1028,"&lt;=31/12"&amp;$C$7)</f>
        <v>0</v>
      </c>
      <c r="BB22" s="256">
        <f>SUMIFS('Livro Diario - FC'!$L$11:$L1028,'Livro Diario - FC'!$E$11:$E1028,$C$22,'Livro Diario - FC'!$D$11:$D1028,"&gt;=01/12"&amp;$C$7,'Livro Diario - FC'!$D$11:$D1028,"&lt;=31/12"&amp;$C$7)</f>
        <v>0</v>
      </c>
      <c r="BC22" s="273"/>
      <c r="BD22" s="258"/>
      <c r="BE22" s="267">
        <f t="shared" ref="BE22:BF22" si="74">SUM(D22,I22,N22,S22,X22,AC22,AG22,AK22,AO22,AS22,AW22,BA22)</f>
        <v>0</v>
      </c>
      <c r="BF22" s="268">
        <f t="shared" si="74"/>
        <v>0</v>
      </c>
      <c r="BG22" s="269"/>
      <c r="BH22" s="40"/>
      <c r="BI22" s="270">
        <f>SUMIFS('Livro Diario - FC'!$L$11:$L1028,'Livro Diario - FC'!$E$11:$E1028,C22,'Livro Diario - FC'!$D$11:$D1028,"&gt;="&amp;$BK$8,'Livro Diario - FC'!$D$11:$D1028,"&lt;="&amp;$BK$9)</f>
        <v>0</v>
      </c>
      <c r="BJ22" s="271"/>
      <c r="BK22" s="272"/>
      <c r="BL22" s="1"/>
    </row>
    <row r="23">
      <c r="A23" s="1"/>
      <c r="B23" s="1"/>
      <c r="C23" s="52" t="str">
        <f>'Livro Diario - FC'!AE22</f>
        <v>3.1.11 -</v>
      </c>
      <c r="D23" s="255">
        <f>SUMIFS('Livro Diario - FC'!$J$11:$J1028,'Livro Diario - FC'!$E$11:$E1028,$C$23,'Livro Diario - FC'!$D$11:$D1028,"&gt;=01/01"&amp;$C$7,'Livro Diario - FC'!$D$11:$D1028,"&lt;=31/01"&amp;$C$7)</f>
        <v>0</v>
      </c>
      <c r="E23" s="256">
        <f>SUMIFS('Livro Diario - FC'!$L$11:$L1028,'Livro Diario - FC'!$E$11:$E1028,$C$23,'Livro Diario - FC'!$D$11:$D1028,"&gt;=01/01"&amp;$C$7,'Livro Diario - FC'!$D$11:$D1028,"&lt;=31/01"&amp;$C$7)</f>
        <v>0</v>
      </c>
      <c r="F23" s="257">
        <f t="shared" si="38"/>
        <v>0</v>
      </c>
      <c r="G23" s="258"/>
      <c r="H23" s="157"/>
      <c r="I23" s="255">
        <f>SUMIFS('Livro Diario - FC'!$J$11:$J1028,'Livro Diario - FC'!$E$11:$E1028,$C$22,'Livro Diario - FC'!$D$11:$D1028,"&gt;=01/02"&amp;$C$7,'Livro Diario - FC'!$D$11:$D1028,"&lt;=29/02"&amp;$C$7)</f>
        <v>0</v>
      </c>
      <c r="J23" s="256">
        <f>SUMIFS('Livro Diario - FC'!$L$11:$L1028,'Livro Diario - FC'!$E$11:$E1028,$C$22,'Livro Diario - FC'!$D$11:$D1028,"&gt;=01/02"&amp;$C$7,'Livro Diario - FC'!$D$11:$D1028,"&lt;=29/02"&amp;$C$7)</f>
        <v>0</v>
      </c>
      <c r="K23" s="273"/>
      <c r="L23" s="258"/>
      <c r="M23" s="259"/>
      <c r="N23" s="255">
        <f>SUMIFS('Livro Diario - FC'!$J$11:$J1028,'Livro Diario - FC'!$E$11:$E1028,$C$22,'Livro Diario - FC'!$D$11:$D1028,"&gt;=01/03"&amp;$C$7,'Livro Diario - FC'!$D$11:$D1028,"&lt;=31/03"&amp;$C$7)</f>
        <v>0</v>
      </c>
      <c r="O23" s="256">
        <f>SUMIFS('Livro Diario - FC'!$L$11:$L1028,'Livro Diario - FC'!$E$11:$E1028,$C$22,'Livro Diario - FC'!$D$11:$D1028,"&gt;=01/03"&amp;$C$7,'Livro Diario - FC'!$D$11:$D1028,"&lt;=31/03"&amp;$C$7)</f>
        <v>0</v>
      </c>
      <c r="P23" s="273"/>
      <c r="Q23" s="258"/>
      <c r="R23" s="259"/>
      <c r="S23" s="255">
        <f>SUMIFS('Livro Diario - FC'!$J$11:$J1028,'Livro Diario - FC'!$E$11:$E1028,$C$22,'Livro Diario - FC'!$D$11:$D1028,"&gt;=01/04"&amp;$C$7,'Livro Diario - FC'!$D$11:$D1028,"&lt;=30/04"&amp;$C$7)</f>
        <v>0</v>
      </c>
      <c r="T23" s="256">
        <f>SUMIFS('Livro Diario - FC'!$L$11:$L1028,'Livro Diario - FC'!$E$11:$E1028,$C$22,'Livro Diario - FC'!$D$11:$D1028,"&gt;=01/04"&amp;$C$7,'Livro Diario - FC'!$D$11:$D1028,"&lt;=30/04"&amp;$C$7)</f>
        <v>0</v>
      </c>
      <c r="U23" s="273"/>
      <c r="V23" s="258"/>
      <c r="W23" s="259"/>
      <c r="X23" s="255">
        <f>SUMIFS('Livro Diario - FC'!$J$11:$J1028,'Livro Diario - FC'!$E$11:$E1028,$C$22,'Livro Diario - FC'!$D$11:$D1028,"&gt;=01/05"&amp;$C$7,'Livro Diario - FC'!$D$11:$D1028,"&lt;=31/05"&amp;$C$7)</f>
        <v>0</v>
      </c>
      <c r="Y23" s="256">
        <f>SUMIFS('Livro Diario - FC'!$L$11:$L1028,'Livro Diario - FC'!$E$11:$E1028,$C$22,'Livro Diario - FC'!$D$11:$D1028,"&gt;=01/05"&amp;$C$7,'Livro Diario - FC'!$D$11:$D1028,"&lt;=31/05"&amp;$C$7)</f>
        <v>0</v>
      </c>
      <c r="Z23" s="273"/>
      <c r="AA23" s="258"/>
      <c r="AB23" s="259"/>
      <c r="AC23" s="255">
        <f>SUMIFS('Livro Diario - FC'!$J$11:$J1028,'Livro Diario - FC'!$E$11:$E1028,$C$22,'Livro Diario - FC'!$D$11:$D1028,"&gt;=01/06"&amp;$C$7,'Livro Diario - FC'!$D$11:$D1028,"&lt;=30/06"&amp;$C$7)</f>
        <v>0</v>
      </c>
      <c r="AD23" s="256">
        <f>SUMIFS('Livro Diario - FC'!$L$11:$L1028,'Livro Diario - FC'!$E$11:$E1028,$C$22,'Livro Diario - FC'!$D$11:$D1028,"&gt;=01/06"&amp;$C$7,'Livro Diario - FC'!$D$11:$D1028,"&lt;=30/06"&amp;$C$7)</f>
        <v>0</v>
      </c>
      <c r="AE23" s="273"/>
      <c r="AF23" s="258"/>
      <c r="AG23" s="255">
        <f>SUMIFS('Livro Diario - FC'!$J$11:$J1028,'Livro Diario - FC'!$E$11:$E1028,$C$22,'Livro Diario - FC'!$D$11:$D1028,"&gt;=01/07"&amp;$C$7,'Livro Diario - FC'!$D$11:$D1028,"&lt;=31/07"&amp;$C$7)</f>
        <v>0</v>
      </c>
      <c r="AH23" s="256">
        <f>SUMIFS('Livro Diario - FC'!$L$11:$L1028,'Livro Diario - FC'!$E$11:$E1028,$C$22,'Livro Diario - FC'!$D$11:$D1028,"&gt;=01/07"&amp;$C$7,'Livro Diario - FC'!$D$11:$D1028,"&lt;=31/07"&amp;$C$7)</f>
        <v>0</v>
      </c>
      <c r="AI23" s="273"/>
      <c r="AJ23" s="258"/>
      <c r="AK23" s="255">
        <f>SUMIFS('Livro Diario - FC'!$J$11:$J1028,'Livro Diario - FC'!$E$11:$E1028,$C$22,'Livro Diario - FC'!$D$11:$D1028,"&gt;=01/08"&amp;$C$7,'Livro Diario - FC'!$D$11:$D1028,"&lt;=31/08"&amp;$C$7)</f>
        <v>0</v>
      </c>
      <c r="AL23" s="256">
        <f>SUMIFS('Livro Diario - FC'!$L$11:$L1028,'Livro Diario - FC'!$E$11:$E1028,$C$22,'Livro Diario - FC'!$D$11:$D1028,"&gt;=01/08"&amp;$C$7,'Livro Diario - FC'!$D$11:$D1028,"&lt;=31/08"&amp;$C$7)</f>
        <v>0</v>
      </c>
      <c r="AM23" s="273"/>
      <c r="AN23" s="258"/>
      <c r="AO23" s="255">
        <f>SUMIFS('Livro Diario - FC'!$J$11:$J1028,'Livro Diario - FC'!$E$11:$E1028,$C$22,'Livro Diario - FC'!$D$11:$D1028,"&gt;=01/09"&amp;$C$7,'Livro Diario - FC'!$D$11:$D1028,"&lt;=30/09"&amp;$C$7)</f>
        <v>0</v>
      </c>
      <c r="AP23" s="256">
        <f>SUMIFS('Livro Diario - FC'!$L$11:$L1028,'Livro Diario - FC'!$E$11:$E1028,$C$22,'Livro Diario - FC'!$D$11:$D1028,"&gt;=01/09"&amp;$C$7,'Livro Diario - FC'!$D$11:$D1028,"&lt;=30/09"&amp;$C$7)</f>
        <v>0</v>
      </c>
      <c r="AQ23" s="273"/>
      <c r="AR23" s="258"/>
      <c r="AS23" s="255">
        <f>SUMIFS('Livro Diario - FC'!$J$11:$J1028,'Livro Diario - FC'!$E$11:$E1028,$C$22,'Livro Diario - FC'!$D$11:$D1028,"&gt;=01/10"&amp;$C$7,'Livro Diario - FC'!$D$11:$D1028,"&lt;=31/10"&amp;$C$7)</f>
        <v>0</v>
      </c>
      <c r="AT23" s="256">
        <f>SUMIFS('Livro Diario - FC'!$L$11:$L1028,'Livro Diario - FC'!$E$11:$E1028,$C$22,'Livro Diario - FC'!$D$11:$D1028,"&gt;=01/10"&amp;$C$7,'Livro Diario - FC'!$D$11:$D1028,"&lt;=31/10"&amp;$C$7)</f>
        <v>0</v>
      </c>
      <c r="AU23" s="273"/>
      <c r="AV23" s="258"/>
      <c r="AW23" s="255">
        <f>SUMIFS('Livro Diario - FC'!$J$11:$J1028,'Livro Diario - FC'!$E$11:$E1028,$C$22,'Livro Diario - FC'!$D$11:$D1028,"&gt;=01/11"&amp;$C$7,'Livro Diario - FC'!$D$11:$D1028,"&lt;=30/11"&amp;$C$7)</f>
        <v>0</v>
      </c>
      <c r="AX23" s="256">
        <f>SUMIFS('Livro Diario - FC'!$L$11:$L1028,'Livro Diario - FC'!$E$11:$E1028,$C$22,'Livro Diario - FC'!$D$11:$D1028,"&gt;=01/11"&amp;$C$7,'Livro Diario - FC'!$D$11:$D1028,"&lt;=30/11"&amp;$C$7)</f>
        <v>0</v>
      </c>
      <c r="AY23" s="273"/>
      <c r="AZ23" s="258"/>
      <c r="BA23" s="255">
        <f>SUMIFS('Livro Diario - FC'!$J$11:$J1028,'Livro Diario - FC'!$E$11:$E1028,$C$22,'Livro Diario - FC'!$D$11:$D1028,"&gt;=01/12"&amp;$C$7,'Livro Diario - FC'!$D$11:$D1028,"&lt;=31/12"&amp;$C$7)</f>
        <v>0</v>
      </c>
      <c r="BB23" s="256">
        <f>SUMIFS('Livro Diario - FC'!$L$11:$L1028,'Livro Diario - FC'!$E$11:$E1028,$C$22,'Livro Diario - FC'!$D$11:$D1028,"&gt;=01/12"&amp;$C$7,'Livro Diario - FC'!$D$11:$D1028,"&lt;=31/12"&amp;$C$7)</f>
        <v>0</v>
      </c>
      <c r="BC23" s="273"/>
      <c r="BD23" s="258"/>
      <c r="BE23" s="267">
        <f t="shared" ref="BE23:BF23" si="75">SUM(D23,I23,N23,S23,X23,AC23,AG23,AK23,AO23,AS23,AW23,BA23)</f>
        <v>0</v>
      </c>
      <c r="BF23" s="268">
        <f t="shared" si="75"/>
        <v>0</v>
      </c>
      <c r="BG23" s="269"/>
      <c r="BH23" s="40"/>
      <c r="BI23" s="270">
        <f>SUMIFS('Livro Diario - FC'!$L$11:$L1028,'Livro Diario - FC'!$E$11:$E1028,C23,'Livro Diario - FC'!$D$11:$D1028,"&gt;="&amp;$BK$8,'Livro Diario - FC'!$D$11:$D1028,"&lt;="&amp;$BK$9)</f>
        <v>0</v>
      </c>
      <c r="BJ23" s="271"/>
      <c r="BK23" s="272"/>
      <c r="BL23" s="1"/>
    </row>
    <row r="24">
      <c r="A24" s="1"/>
      <c r="B24" s="1"/>
      <c r="C24" s="274" t="s">
        <v>82</v>
      </c>
      <c r="D24" s="275">
        <f t="shared" ref="D24:E24" si="76">SUM(D25+D35)</f>
        <v>10707.89</v>
      </c>
      <c r="E24" s="276">
        <f t="shared" si="76"/>
        <v>10707.89</v>
      </c>
      <c r="F24" s="277">
        <f t="shared" si="38"/>
        <v>1.381003908</v>
      </c>
      <c r="G24" s="278" t="str">
        <f t="shared" ref="G24:G25" si="89">IF(A24=0,"",E24/A24-1)</f>
        <v/>
      </c>
      <c r="H24" s="279"/>
      <c r="I24" s="275">
        <f t="shared" ref="I24:J24" si="77">SUM(I25+I35)</f>
        <v>0</v>
      </c>
      <c r="J24" s="276">
        <f t="shared" si="77"/>
        <v>0</v>
      </c>
      <c r="K24" s="277" t="str">
        <f t="shared" ref="K24:K25" si="90">IF(J$11=0,"",J24/J$11)</f>
        <v/>
      </c>
      <c r="L24" s="278">
        <f t="shared" ref="L24:L25" si="91">IF(E24=0,"",J24/E24-1)</f>
        <v>-1</v>
      </c>
      <c r="M24" s="280"/>
      <c r="N24" s="275">
        <f t="shared" ref="N24:O24" si="78">SUM(N25+N35)</f>
        <v>0</v>
      </c>
      <c r="O24" s="276">
        <f t="shared" si="78"/>
        <v>0</v>
      </c>
      <c r="P24" s="277" t="str">
        <f t="shared" ref="P24:P25" si="92">IF(O$11=0,"",O24/O$11)</f>
        <v/>
      </c>
      <c r="Q24" s="278" t="str">
        <f t="shared" ref="Q24:Q25" si="93">IF(J24=0,"",O24/J24-1)</f>
        <v/>
      </c>
      <c r="R24" s="280"/>
      <c r="S24" s="275">
        <f t="shared" ref="S24:T24" si="79">SUM(S25+S35)</f>
        <v>0</v>
      </c>
      <c r="T24" s="276">
        <f t="shared" si="79"/>
        <v>0</v>
      </c>
      <c r="U24" s="277" t="str">
        <f t="shared" ref="U24:U25" si="94">IF(T$11=0,"",T24/T$11)</f>
        <v/>
      </c>
      <c r="V24" s="278" t="str">
        <f t="shared" ref="V24:V25" si="95">IF(O24=0,"",T24/O24-1)</f>
        <v/>
      </c>
      <c r="W24" s="280"/>
      <c r="X24" s="275">
        <f t="shared" ref="X24:Y24" si="80">SUM(X25+X35)</f>
        <v>0</v>
      </c>
      <c r="Y24" s="276">
        <f t="shared" si="80"/>
        <v>0</v>
      </c>
      <c r="Z24" s="277" t="str">
        <f t="shared" ref="Z24:Z25" si="96">IF(Y$11=0,"",Y24/Y$11)</f>
        <v/>
      </c>
      <c r="AA24" s="278" t="str">
        <f t="shared" ref="AA24:AA25" si="97">IF(T24=0,"",Y24/T24-1)</f>
        <v/>
      </c>
      <c r="AB24" s="280"/>
      <c r="AC24" s="275">
        <f t="shared" ref="AC24:AD24" si="81">SUM(AC25+AC35)</f>
        <v>0</v>
      </c>
      <c r="AD24" s="276">
        <f t="shared" si="81"/>
        <v>0</v>
      </c>
      <c r="AE24" s="277" t="str">
        <f t="shared" ref="AE24:AE25" si="98">IF(AD$11=0,"",AD24/AD$11)</f>
        <v/>
      </c>
      <c r="AF24" s="278" t="str">
        <f t="shared" ref="AF24:AF25" si="99">IF(Y24=0,"",AD24/Y24-1)</f>
        <v/>
      </c>
      <c r="AG24" s="275">
        <f t="shared" ref="AG24:AH24" si="82">SUM(AG25+AG35)</f>
        <v>0</v>
      </c>
      <c r="AH24" s="276">
        <f t="shared" si="82"/>
        <v>0</v>
      </c>
      <c r="AI24" s="277" t="str">
        <f t="shared" ref="AI24:AI25" si="100">IF(AH$11=0,"",AH24/AH$11)</f>
        <v/>
      </c>
      <c r="AJ24" s="278" t="str">
        <f t="shared" ref="AJ24:AJ25" si="101">IF(AD24=0,"",AH24/AD24-1)</f>
        <v/>
      </c>
      <c r="AK24" s="275">
        <f t="shared" ref="AK24:AL24" si="83">SUM(AK25+AK35)</f>
        <v>0</v>
      </c>
      <c r="AL24" s="276">
        <f t="shared" si="83"/>
        <v>0</v>
      </c>
      <c r="AM24" s="277" t="str">
        <f t="shared" ref="AM24:AM25" si="102">IF(AL$11=0,"",AL24/AL$11)</f>
        <v/>
      </c>
      <c r="AN24" s="278" t="str">
        <f t="shared" ref="AN24:AN25" si="103">IF(AH24=0,"",AL24/AH24-1)</f>
        <v/>
      </c>
      <c r="AO24" s="275">
        <f t="shared" ref="AO24:AP24" si="84">SUM(AO25+AO35)</f>
        <v>0</v>
      </c>
      <c r="AP24" s="276">
        <f t="shared" si="84"/>
        <v>0</v>
      </c>
      <c r="AQ24" s="277" t="str">
        <f t="shared" ref="AQ24:AQ25" si="104">IF(AP$11=0,"",AP24/AP$11)</f>
        <v/>
      </c>
      <c r="AR24" s="278" t="str">
        <f t="shared" ref="AR24:AR25" si="105">IF(AL24=0,"",AP24/AL24-1)</f>
        <v/>
      </c>
      <c r="AS24" s="275">
        <f t="shared" ref="AS24:AT24" si="85">SUM(AS25+AS35)</f>
        <v>0</v>
      </c>
      <c r="AT24" s="276">
        <f t="shared" si="85"/>
        <v>0</v>
      </c>
      <c r="AU24" s="277" t="str">
        <f t="shared" ref="AU24:AU25" si="106">IF(AT$11=0,"",AT24/AT$11)</f>
        <v/>
      </c>
      <c r="AV24" s="278" t="str">
        <f t="shared" ref="AV24:AV25" si="107">IF(AP24=0,"",AT24/AP24-1)</f>
        <v/>
      </c>
      <c r="AW24" s="275">
        <f t="shared" ref="AW24:AX24" si="86">SUM(AW25+AW35)</f>
        <v>0</v>
      </c>
      <c r="AX24" s="276">
        <f t="shared" si="86"/>
        <v>0</v>
      </c>
      <c r="AY24" s="277" t="str">
        <f t="shared" ref="AY24:AY25" si="108">IF(AX$11=0,"",AX24/AX$11)</f>
        <v/>
      </c>
      <c r="AZ24" s="278" t="str">
        <f t="shared" ref="AZ24:AZ25" si="109">IF(AT24=0,"",AX24/AT24-1)</f>
        <v/>
      </c>
      <c r="BA24" s="275">
        <f t="shared" ref="BA24:BB24" si="87">SUM(BA25+BA35)</f>
        <v>0</v>
      </c>
      <c r="BB24" s="276">
        <f t="shared" si="87"/>
        <v>0</v>
      </c>
      <c r="BC24" s="277" t="str">
        <f t="shared" ref="BC24:BC25" si="110">IF(BB$11=0,"",BB24/BB$11)</f>
        <v/>
      </c>
      <c r="BD24" s="278" t="str">
        <f t="shared" ref="BD24:BD25" si="111">IF(AX24=0,"",BB24/AX24-1)</f>
        <v/>
      </c>
      <c r="BE24" s="281">
        <f t="shared" ref="BE24:BF24" si="88">SUM(D24,I24,N24,S24,X24,AC24,AG24,AK24,AO24,AS24,AW24,BA24)</f>
        <v>10707.89</v>
      </c>
      <c r="BF24" s="281">
        <f t="shared" si="88"/>
        <v>10707.89</v>
      </c>
      <c r="BG24" s="282">
        <f t="shared" ref="BG24:BG25" si="113">IF(BF$11=0,"",BF24/BF$11)</f>
        <v>1.381003908</v>
      </c>
      <c r="BH24" s="40"/>
      <c r="BI24" s="283">
        <f>SUM(BI25,BI35,BI43,BI47)</f>
        <v>0</v>
      </c>
      <c r="BJ24" s="284" t="str">
        <f t="shared" ref="BJ24:BJ25" si="114">IF(BI$11=0,"",BI24/BI$11)</f>
        <v/>
      </c>
      <c r="BK24" s="272"/>
      <c r="BL24" s="1"/>
    </row>
    <row r="25">
      <c r="A25" s="1"/>
      <c r="B25" s="1"/>
      <c r="C25" s="285" t="s">
        <v>85</v>
      </c>
      <c r="D25" s="286">
        <f>SUMIFS('Livro Diario - FC'!$J$11:$J1028,'Livro Diario - FC'!$E$11:$E1028,$C$25,'Livro Diario - FC'!$D$11:$D1028,"&gt;=01/01"&amp;$C$7,'Livro Diario - FC'!$D$11:$D1028,"&lt;=31/01"&amp;$C$7)+SUM(D26:D30)</f>
        <v>0</v>
      </c>
      <c r="E25" s="287">
        <f>SUMIFS('Livro Diario - FC'!$L$11:$L1028,'Livro Diario - FC'!$E$11:$E1028,$C$25,'Livro Diario - FC'!$D$11:$D1028,"&gt;=01/01"&amp;$C$7,'Livro Diario - FC'!$D$11:$D1028,"&lt;=31/01"&amp;$C$7)+SUM(E26:E30)</f>
        <v>0</v>
      </c>
      <c r="F25" s="288">
        <f t="shared" si="38"/>
        <v>0</v>
      </c>
      <c r="G25" s="289" t="str">
        <f t="shared" si="89"/>
        <v/>
      </c>
      <c r="H25" s="290"/>
      <c r="I25" s="286">
        <f>SUMIFS('Livro Diario - FC'!$J$11:$J1028,'Livro Diario - FC'!$E$11:$E1028,$C$25,'Livro Diario - FC'!$D$11:$D1028,"&gt;=01/02"&amp;$C$7,'Livro Diario - FC'!$D$11:$D1028,"&lt;=29/02"&amp;$C$7)+SUM(I26:I30)</f>
        <v>0</v>
      </c>
      <c r="J25" s="287">
        <f>SUMIFS('Livro Diario - FC'!$L$11:$L1028,'Livro Diario - FC'!$E$11:$E1028,$C$25,'Livro Diario - FC'!$D$11:$D1028,"&gt;=01/02"&amp;$C$7,'Livro Diario - FC'!$D$11:$D1028,"&lt;=29/02"&amp;$C$7)+SUM(J26:J30)</f>
        <v>0</v>
      </c>
      <c r="K25" s="288" t="str">
        <f t="shared" si="90"/>
        <v/>
      </c>
      <c r="L25" s="289" t="str">
        <f t="shared" si="91"/>
        <v/>
      </c>
      <c r="M25" s="291"/>
      <c r="N25" s="286">
        <f>SUMIFS('Livro Diario - FC'!$J$11:$J1028,'Livro Diario - FC'!$E$11:$E1028,$C$25,'Livro Diario - FC'!$D$11:$D1028,"&gt;=01/03"&amp;$C$7,'Livro Diario - FC'!$D$11:$D1028,"&lt;=31/03"&amp;$C$7)+SUM(N26:N30)</f>
        <v>0</v>
      </c>
      <c r="O25" s="287">
        <f>SUMIFS('Livro Diario - FC'!$L$11:$L1028,'Livro Diario - FC'!$E$11:$E1028,$C$25,'Livro Diario - FC'!$D$11:$D1028,"&gt;=01/03"&amp;$C$7,'Livro Diario - FC'!$D$11:$D1028,"&lt;=31/03"&amp;$C$7)+SUM(O26:O30)</f>
        <v>0</v>
      </c>
      <c r="P25" s="288" t="str">
        <f t="shared" si="92"/>
        <v/>
      </c>
      <c r="Q25" s="289" t="str">
        <f t="shared" si="93"/>
        <v/>
      </c>
      <c r="R25" s="291"/>
      <c r="S25" s="286">
        <f>SUMIFS('Livro Diario - FC'!$J$11:$J1028,'Livro Diario - FC'!$E$11:$E1028,$C$25,'Livro Diario - FC'!$D$11:$D1028,"&gt;=01/04"&amp;$C$7,'Livro Diario - FC'!$D$11:$D1028,"&lt;=30/04"&amp;$C$7)+SUM(S26:S30)</f>
        <v>0</v>
      </c>
      <c r="T25" s="287">
        <f>SUMIFS('Livro Diario - FC'!$L$11:$L1028,'Livro Diario - FC'!$E$11:$E1028,$C$25,'Livro Diario - FC'!$D$11:$D1028,"&gt;=01/04"&amp;$C$7,'Livro Diario - FC'!$D$11:$D1028,"&lt;=30/04"&amp;$C$7)+SUM(T26:T30)</f>
        <v>0</v>
      </c>
      <c r="U25" s="288" t="str">
        <f t="shared" si="94"/>
        <v/>
      </c>
      <c r="V25" s="289" t="str">
        <f t="shared" si="95"/>
        <v/>
      </c>
      <c r="W25" s="291"/>
      <c r="X25" s="286">
        <f>SUMIFS('Livro Diario - FC'!$J$11:$J1028,'Livro Diario - FC'!$E$11:$E1028,$C$25,'Livro Diario - FC'!$D$11:$D1028,"&gt;=01/05"&amp;$C$7,'Livro Diario - FC'!$D$11:$D1028,"&lt;=31/05"&amp;$C$7)+SUM(X26:X30)</f>
        <v>0</v>
      </c>
      <c r="Y25" s="287">
        <f>SUMIFS('Livro Diario - FC'!$L$11:$L1028,'Livro Diario - FC'!$E$11:$E1028,$C$25,'Livro Diario - FC'!$D$11:$D1028,"&gt;=01/05"&amp;$C$7,'Livro Diario - FC'!$D$11:$D1028,"&lt;=31/05"&amp;$C$7)+SUM(Y26:Y30)</f>
        <v>0</v>
      </c>
      <c r="Z25" s="288" t="str">
        <f t="shared" si="96"/>
        <v/>
      </c>
      <c r="AA25" s="289" t="str">
        <f t="shared" si="97"/>
        <v/>
      </c>
      <c r="AB25" s="291"/>
      <c r="AC25" s="286">
        <f>SUMIFS('Livro Diario - FC'!$J$11:$J1028,'Livro Diario - FC'!$E$11:$E1028,$C$25,'Livro Diario - FC'!$D$11:$D1028,"&gt;=01/06"&amp;$C$7,'Livro Diario - FC'!$D$11:$D1028,"&lt;=30/06"&amp;$C$7)+SUM(AC26:AC30)</f>
        <v>0</v>
      </c>
      <c r="AD25" s="287">
        <f>SUMIFS('Livro Diario - FC'!$L$11:$L1028,'Livro Diario - FC'!$E$11:$E1028,$C$25,'Livro Diario - FC'!$D$11:$D1028,"&gt;=01/06"&amp;$C$7,'Livro Diario - FC'!$D$11:$D1028,"&lt;=30/06"&amp;$C$7)+SUM(AD26:AD30)</f>
        <v>0</v>
      </c>
      <c r="AE25" s="288" t="str">
        <f t="shared" si="98"/>
        <v/>
      </c>
      <c r="AF25" s="289" t="str">
        <f t="shared" si="99"/>
        <v/>
      </c>
      <c r="AG25" s="286">
        <f>SUMIFS('Livro Diario - FC'!$J$11:$J1028,'Livro Diario - FC'!$E$11:$E1028,$C$25,'Livro Diario - FC'!$D$11:$D1028,"&gt;=01/07"&amp;$C$7,'Livro Diario - FC'!$D$11:$D1028,"&lt;=31/07"&amp;$C$7)+SUM(AG26:AG30)</f>
        <v>0</v>
      </c>
      <c r="AH25" s="287">
        <f>SUMIFS('Livro Diario - FC'!$L$11:$L1028,'Livro Diario - FC'!$E$11:$E1028,$C$25,'Livro Diario - FC'!$D$11:$D1028,"&gt;=01/07"&amp;$C$7,'Livro Diario - FC'!$D$11:$D1028,"&lt;=31/07"&amp;$C$7)+SUM(AH26:AH30)</f>
        <v>0</v>
      </c>
      <c r="AI25" s="288" t="str">
        <f t="shared" si="100"/>
        <v/>
      </c>
      <c r="AJ25" s="289" t="str">
        <f t="shared" si="101"/>
        <v/>
      </c>
      <c r="AK25" s="286">
        <f>SUMIFS('Livro Diario - FC'!$J$11:$J1028,'Livro Diario - FC'!$E$11:$E1028,$C$25,'Livro Diario - FC'!$D$11:$D1028,"&gt;=01/08"&amp;$C$7,'Livro Diario - FC'!$D$11:$D1028,"&lt;=31/08"&amp;$C$7)+SUM(AK26:AK30)</f>
        <v>0</v>
      </c>
      <c r="AL25" s="287">
        <f>SUMIFS('Livro Diario - FC'!$L$11:$L1028,'Livro Diario - FC'!$E$11:$E1028,$C$25,'Livro Diario - FC'!$D$11:$D1028,"&gt;=01/08"&amp;$C$7,'Livro Diario - FC'!$D$11:$D1028,"&lt;=31/08"&amp;$C$7)+SUM(AL26:AL30)</f>
        <v>0</v>
      </c>
      <c r="AM25" s="288" t="str">
        <f t="shared" si="102"/>
        <v/>
      </c>
      <c r="AN25" s="289" t="str">
        <f t="shared" si="103"/>
        <v/>
      </c>
      <c r="AO25" s="286">
        <f>SUMIFS('Livro Diario - FC'!$J$11:$J1028,'Livro Diario - FC'!$E$11:$E1028,$C$25,'Livro Diario - FC'!$D$11:$D1028,"&gt;=01/09"&amp;$C$7,'Livro Diario - FC'!$D$11:$D1028,"&lt;=30/09"&amp;$C$7)+SUM(AO26:AO30)</f>
        <v>0</v>
      </c>
      <c r="AP25" s="287">
        <f>SUMIFS('Livro Diario - FC'!$L$11:$L1028,'Livro Diario - FC'!$E$11:$E1028,$C$25,'Livro Diario - FC'!$D$11:$D1028,"&gt;=01/09"&amp;$C$7,'Livro Diario - FC'!$D$11:$D1028,"&lt;=30/09"&amp;$C$7)+SUM(AP26:AP30)</f>
        <v>0</v>
      </c>
      <c r="AQ25" s="288" t="str">
        <f t="shared" si="104"/>
        <v/>
      </c>
      <c r="AR25" s="289" t="str">
        <f t="shared" si="105"/>
        <v/>
      </c>
      <c r="AS25" s="286">
        <f>SUMIFS('Livro Diario - FC'!$J$11:$J1028,'Livro Diario - FC'!$E$11:$E1028,$C$25,'Livro Diario - FC'!$D$11:$D1028,"&gt;=01/10"&amp;$C$7,'Livro Diario - FC'!$D$11:$D1028,"&lt;=31/10"&amp;$C$7)+SUM(AS26:AS30)</f>
        <v>0</v>
      </c>
      <c r="AT25" s="287">
        <f>SUMIFS('Livro Diario - FC'!$L$11:$L1028,'Livro Diario - FC'!$E$11:$E1028,$C$25,'Livro Diario - FC'!$D$11:$D1028,"&gt;=01/10"&amp;$C$7,'Livro Diario - FC'!$D$11:$D1028,"&lt;=31/10"&amp;$C$7)+SUM(AT26:AT30)</f>
        <v>0</v>
      </c>
      <c r="AU25" s="288" t="str">
        <f t="shared" si="106"/>
        <v/>
      </c>
      <c r="AV25" s="289" t="str">
        <f t="shared" si="107"/>
        <v/>
      </c>
      <c r="AW25" s="286">
        <f>SUMIFS('Livro Diario - FC'!$J$11:$J1028,'Livro Diario - FC'!$E$11:$E1028,$C$25,'Livro Diario - FC'!$D$11:$D1028,"&gt;=01/11"&amp;$C$7,'Livro Diario - FC'!$D$11:$D1028,"&lt;=30/11"&amp;$C$7)+SUM(AW26:AW30)</f>
        <v>0</v>
      </c>
      <c r="AX25" s="287">
        <f>SUMIFS('Livro Diario - FC'!$L$11:$L1028,'Livro Diario - FC'!$E$11:$E1028,$C$25,'Livro Diario - FC'!$D$11:$D1028,"&gt;=01/11"&amp;$C$7,'Livro Diario - FC'!$D$11:$D1028,"&lt;=30/11"&amp;$C$7)+SUM(AX26:AX30)</f>
        <v>0</v>
      </c>
      <c r="AY25" s="288" t="str">
        <f t="shared" si="108"/>
        <v/>
      </c>
      <c r="AZ25" s="289" t="str">
        <f t="shared" si="109"/>
        <v/>
      </c>
      <c r="BA25" s="286">
        <f>SUMIFS('Livro Diario - FC'!$J$11:$J1028,'Livro Diario - FC'!$E$11:$E1028,$C$25,'Livro Diario - FC'!$D$11:$D1028,"&gt;=01/12"&amp;$C$7,'Livro Diario - FC'!$D$11:$D1028,"&lt;=31/12"&amp;$C$7)+SUM(BA26:BA30)</f>
        <v>0</v>
      </c>
      <c r="BB25" s="287">
        <f>SUMIFS('Livro Diario - FC'!$L$11:$L1028,'Livro Diario - FC'!$E$11:$E1028,$C$25,'Livro Diario - FC'!$D$11:$D1028,"&gt;=01/12"&amp;$C$7,'Livro Diario - FC'!$D$11:$D1028,"&lt;=31/12"&amp;$C$7)+SUM(BB26:BB30)</f>
        <v>0</v>
      </c>
      <c r="BC25" s="288" t="str">
        <f t="shared" si="110"/>
        <v/>
      </c>
      <c r="BD25" s="292" t="str">
        <f t="shared" si="111"/>
        <v/>
      </c>
      <c r="BE25" s="293">
        <f t="shared" ref="BE25:BF25" si="112">SUM(D25,I25,N25,S25,X25,AC25,AG25,AK25,AO25,AS25,AW25,BA25)</f>
        <v>0</v>
      </c>
      <c r="BF25" s="294">
        <f t="shared" si="112"/>
        <v>0</v>
      </c>
      <c r="BG25" s="295">
        <f t="shared" si="113"/>
        <v>0</v>
      </c>
      <c r="BH25" s="296"/>
      <c r="BI25" s="297">
        <f>SUMIFS('Livro Diario - FC'!$M$11:$M1028,'Livro Diario - FC'!$E$11:$E1028,C25,'Livro Diario - FC'!$D$11:$D1028,"&gt;="&amp;$BK$8,'Livro Diario - FC'!$D$11:$D1028,"&lt;="&amp;$BK$9)+SUM(BI26:BI30)</f>
        <v>0</v>
      </c>
      <c r="BJ25" s="298" t="str">
        <f t="shared" si="114"/>
        <v/>
      </c>
      <c r="BK25" s="299"/>
      <c r="BL25" s="1"/>
    </row>
    <row r="26">
      <c r="A26" s="1"/>
      <c r="B26" s="1"/>
      <c r="C26" s="300" t="str">
        <f>'Livro Diario - FC'!AE29</f>
        <v>4.1.1 Simples Federal</v>
      </c>
      <c r="D26" s="255">
        <f>SUMIFS('Livro Diario - FC'!$K$11:$K1028,'Livro Diario - FC'!$E$11:$E1028,$C$26,'Livro Diario - FC'!$D$11:$D1028,"&gt;=01/01"&amp;$C$7,'Livro Diario - FC'!$D$11:$D1028,"&lt;=31/01"&amp;$C$7)</f>
        <v>0</v>
      </c>
      <c r="E26" s="256">
        <f>SUMIFS('Livro Diario - FC'!$M$11:$M1028,'Livro Diario - FC'!$E$11:$E1028,$C$26,'Livro Diario - FC'!$D$11:$D1028,"&gt;=01/01"&amp;$C$7,'Livro Diario - FC'!$D$11:$D1028,"&lt;=31/01"&amp;$C$7)</f>
        <v>0</v>
      </c>
      <c r="F26" s="273"/>
      <c r="G26" s="258"/>
      <c r="H26" s="157"/>
      <c r="I26" s="255">
        <f>SUMIFS('Livro Diario - FC'!$K$11:$K1028,'Livro Diario - FC'!$E$11:$E1028,$C$26,'Livro Diario - FC'!$D$11:$D1028,"&gt;=01/02"&amp;$C$7,'Livro Diario - FC'!$D$11:$D1028,"&lt;=29/02"&amp;$C$7)</f>
        <v>0</v>
      </c>
      <c r="J26" s="256">
        <f>SUMIFS('Livro Diario - FC'!$M$11:$M1028,'Livro Diario - FC'!$E$11:$E1028,$C$26,'Livro Diario - FC'!$D$11:$D1028,"&gt;=01/02"&amp;$C$7,'Livro Diario - FC'!$D$11:$D1028,"&lt;=29/02"&amp;$C$7)</f>
        <v>0</v>
      </c>
      <c r="K26" s="273"/>
      <c r="L26" s="258"/>
      <c r="M26" s="259"/>
      <c r="N26" s="255">
        <f>SUMIFS('Livro Diario - FC'!$K$11:$K1028,'Livro Diario - FC'!$E$11:$E1028,$C$26,'Livro Diario - FC'!$D$11:$D1028,"&gt;=01/03"&amp;$C$7,'Livro Diario - FC'!$D$11:$D1028,"&lt;=31/03"&amp;$C$7)</f>
        <v>0</v>
      </c>
      <c r="O26" s="256">
        <f>SUMIFS('Livro Diario - FC'!$M$11:$M1028,'Livro Diario - FC'!$E$11:$E1028,$C$26,'Livro Diario - FC'!$D$11:$D1028,"&gt;=01/03"&amp;$C$7,'Livro Diario - FC'!$D$11:$D1028,"&lt;=31/03"&amp;$C$7)</f>
        <v>0</v>
      </c>
      <c r="P26" s="273"/>
      <c r="Q26" s="258"/>
      <c r="R26" s="259"/>
      <c r="S26" s="255">
        <f>SUMIFS('Livro Diario - FC'!$K$11:$K1028,'Livro Diario - FC'!$E$11:$E1028,$C$26,'Livro Diario - FC'!$D$11:$D1028,"&gt;=01/04"&amp;$C$7,'Livro Diario - FC'!$D$11:$D1028,"&lt;=30/04"&amp;$C$7)</f>
        <v>0</v>
      </c>
      <c r="T26" s="256">
        <f>SUMIFS('Livro Diario - FC'!$M$11:$M1028,'Livro Diario - FC'!$E$11:$E1028,$C$26,'Livro Diario - FC'!$D$11:$D1028,"&gt;=01/04"&amp;$C$7,'Livro Diario - FC'!$D$11:$D1028,"&lt;=30/04"&amp;$C$7)</f>
        <v>0</v>
      </c>
      <c r="U26" s="273"/>
      <c r="V26" s="258"/>
      <c r="W26" s="259"/>
      <c r="X26" s="255">
        <f>SUMIFS('Livro Diario - FC'!$K$11:$K1028,'Livro Diario - FC'!$E$11:$E1028,$C$26,'Livro Diario - FC'!$D$11:$D1028,"&gt;=01/05"&amp;$C$7,'Livro Diario - FC'!$D$11:$D1028,"&lt;=31/05"&amp;$C$7)</f>
        <v>0</v>
      </c>
      <c r="Y26" s="256">
        <f>SUMIFS('Livro Diario - FC'!$M$11:$M1028,'Livro Diario - FC'!$E$11:$E1028,$C$26,'Livro Diario - FC'!$D$11:$D1028,"&gt;=01/05"&amp;$C$7,'Livro Diario - FC'!$D$11:$D1028,"&lt;=31/05"&amp;$C$7)</f>
        <v>0</v>
      </c>
      <c r="Z26" s="273"/>
      <c r="AA26" s="258"/>
      <c r="AB26" s="259"/>
      <c r="AC26" s="255">
        <f>SUMIFS('Livro Diario - FC'!$K$11:$K1028,'Livro Diario - FC'!$E$11:$E1028,$C$26,'Livro Diario - FC'!$D$11:$D1028,"&gt;=01/06"&amp;$C$7,'Livro Diario - FC'!$D$11:$D1028,"&lt;=30/06"&amp;$C$7)</f>
        <v>0</v>
      </c>
      <c r="AD26" s="256">
        <f>SUMIFS('Livro Diario - FC'!$M$11:$M1028,'Livro Diario - FC'!$E$11:$E1028,$C$26,'Livro Diario - FC'!$D$11:$D1028,"&gt;=01/06"&amp;$C$7,'Livro Diario - FC'!$D$11:$D1028,"&lt;=30/06"&amp;$C$7)</f>
        <v>0</v>
      </c>
      <c r="AE26" s="273"/>
      <c r="AF26" s="258"/>
      <c r="AG26" s="255">
        <f>SUMIFS('Livro Diario - FC'!$K$11:$K1028,'Livro Diario - FC'!$E$11:$E1028,$C$26,'Livro Diario - FC'!$D$11:$D1028,"&gt;=01/07"&amp;$C$7,'Livro Diario - FC'!$D$11:$D1028,"&lt;=31/07"&amp;$C$7)</f>
        <v>0</v>
      </c>
      <c r="AH26" s="256">
        <f>SUMIFS('Livro Diario - FC'!$M$11:$M1028,'Livro Diario - FC'!$E$11:$E1028,$C$26,'Livro Diario - FC'!$D$11:$D1028,"&gt;=01/07"&amp;$C$7,'Livro Diario - FC'!$D$11:$D1028,"&lt;=31/07"&amp;$C$7)</f>
        <v>0</v>
      </c>
      <c r="AI26" s="273"/>
      <c r="AJ26" s="258"/>
      <c r="AK26" s="255">
        <f>SUMIFS('Livro Diario - FC'!$K$11:$K1028,'Livro Diario - FC'!$E$11:$E1028,$C$26,'Livro Diario - FC'!$D$11:$D1028,"&gt;=01/08"&amp;$C$7,'Livro Diario - FC'!$D$11:$D1028,"&lt;=31/08"&amp;$C$7)</f>
        <v>0</v>
      </c>
      <c r="AL26" s="256">
        <f>SUMIFS('Livro Diario - FC'!$M$11:$M1028,'Livro Diario - FC'!$E$11:$E1028,$C$26,'Livro Diario - FC'!$D$11:$D1028,"&gt;=01/08"&amp;$C$7,'Livro Diario - FC'!$D$11:$D1028,"&lt;=31/08"&amp;$C$7)</f>
        <v>0</v>
      </c>
      <c r="AM26" s="273"/>
      <c r="AN26" s="258"/>
      <c r="AO26" s="255">
        <f>SUMIFS('Livro Diario - FC'!$K$11:$K1028,'Livro Diario - FC'!$E$11:$E1028,$C$26,'Livro Diario - FC'!$D$11:$D1028,"&gt;=01/09"&amp;$C$7,'Livro Diario - FC'!$D$11:$D1028,"&lt;=30/09"&amp;$C$7)</f>
        <v>0</v>
      </c>
      <c r="AP26" s="256">
        <f>SUMIFS('Livro Diario - FC'!$M$11:$M1028,'Livro Diario - FC'!$E$11:$E1028,$C$26,'Livro Diario - FC'!$D$11:$D1028,"&gt;=01/09"&amp;$C$7,'Livro Diario - FC'!$D$11:$D1028,"&lt;=30/09"&amp;$C$7)</f>
        <v>0</v>
      </c>
      <c r="AQ26" s="273"/>
      <c r="AR26" s="258"/>
      <c r="AS26" s="255">
        <f>SUMIFS('Livro Diario - FC'!$K$11:$K1028,'Livro Diario - FC'!$E$11:$E1028,$C$26,'Livro Diario - FC'!$D$11:$D1028,"&gt;=01/10"&amp;$C$7,'Livro Diario - FC'!$D$11:$D1028,"&lt;=31/10"&amp;$C$7)</f>
        <v>0</v>
      </c>
      <c r="AT26" s="256">
        <f>SUMIFS('Livro Diario - FC'!$M$11:$M1028,'Livro Diario - FC'!$E$11:$E1028,$C$26,'Livro Diario - FC'!$D$11:$D1028,"&gt;=01/10"&amp;$C$7,'Livro Diario - FC'!$D$11:$D1028,"&lt;=31/10"&amp;$C$7)</f>
        <v>0</v>
      </c>
      <c r="AU26" s="273"/>
      <c r="AV26" s="258"/>
      <c r="AW26" s="255">
        <f>SUMIFS('Livro Diario - FC'!$K$11:$K1028,'Livro Diario - FC'!$E$11:$E1028,$C$26,'Livro Diario - FC'!$D$11:$D1028,"&gt;=01/11"&amp;$C$7,'Livro Diario - FC'!$D$11:$D1028,"&lt;=30/11"&amp;$C$7)</f>
        <v>0</v>
      </c>
      <c r="AX26" s="256">
        <f>SUMIFS('Livro Diario - FC'!$M$11:$M1028,'Livro Diario - FC'!$E$11:$E1028,$C$26,'Livro Diario - FC'!$D$11:$D1028,"&gt;=01/11"&amp;$C$7,'Livro Diario - FC'!$D$11:$D1028,"&lt;=30/11"&amp;$C$7)</f>
        <v>0</v>
      </c>
      <c r="AY26" s="273"/>
      <c r="AZ26" s="258"/>
      <c r="BA26" s="255">
        <f>SUMIFS('Livro Diario - FC'!$K$11:$K1028,'Livro Diario - FC'!$E$11:$E1028,$C$26,'Livro Diario - FC'!$D$11:$D1028,"&gt;=01/12"&amp;$C$7,'Livro Diario - FC'!$D$11:$D1028,"&lt;=31/12"&amp;$C$7)</f>
        <v>0</v>
      </c>
      <c r="BB26" s="256">
        <f>SUMIFS('Livro Diario - FC'!$M$11:$M1028,'Livro Diario - FC'!$E$11:$E1028,$C$26,'Livro Diario - FC'!$D$11:$D1028,"&gt;=01/12"&amp;$C$7,'Livro Diario - FC'!$D$11:$D1028,"&lt;=31/12"&amp;$C$7)</f>
        <v>0</v>
      </c>
      <c r="BC26" s="273"/>
      <c r="BD26" s="273"/>
      <c r="BE26" s="301">
        <f t="shared" ref="BE26:BF26" si="115">SUM(D26,I26,N26,S26,X26,AC26,AG26,AK26,AO26,AS26,AW26,BA26)</f>
        <v>0</v>
      </c>
      <c r="BF26" s="261">
        <f t="shared" si="115"/>
        <v>0</v>
      </c>
      <c r="BG26" s="262"/>
      <c r="BH26" s="302"/>
      <c r="BI26" s="303">
        <f>SUMIFS('Livro Diario - FC'!$M$11:$M1028,'Livro Diario - FC'!$E$11:$E1028,C26,'Livro Diario - FC'!$D$11:$D1028,"&gt;="&amp;$BK$8,'Livro Diario - FC'!$D$11:$D1028,"&lt;="&amp;$BK$9)</f>
        <v>0</v>
      </c>
      <c r="BJ26" s="271"/>
      <c r="BK26" s="304"/>
      <c r="BL26" s="1"/>
    </row>
    <row r="27">
      <c r="A27" s="1"/>
      <c r="B27" s="1"/>
      <c r="C27" s="300" t="str">
        <f>'Livro Diario - FC'!AE30</f>
        <v>4.1.2 Mercantil</v>
      </c>
      <c r="D27" s="255">
        <f>SUMIFS('Livro Diario - FC'!$K$11:$K1028,'Livro Diario - FC'!$E$11:$E1028,$C$27,'Livro Diario - FC'!$D$11:$D1028,"&gt;=01/01"&amp;$C$7,'Livro Diario - FC'!$D$11:$D1028,"&lt;=31/01"&amp;$C$7)</f>
        <v>0</v>
      </c>
      <c r="E27" s="256">
        <f>SUMIFS('Livro Diario - FC'!$M$11:$M1028,'Livro Diario - FC'!$E$11:$E1028,$C$27,'Livro Diario - FC'!$D$11:$D1028,"&gt;=01/01"&amp;$C$7,'Livro Diario - FC'!$D$11:$D1028,"&lt;=31/01"&amp;$C$7)</f>
        <v>0</v>
      </c>
      <c r="F27" s="273"/>
      <c r="G27" s="258"/>
      <c r="H27" s="157"/>
      <c r="I27" s="255">
        <f>SUMIFS('Livro Diario - FC'!$K$11:$K1028,'Livro Diario - FC'!$E$11:$E1028,$C$27,'Livro Diario - FC'!$D$11:$D1028,"&gt;=01/02"&amp;$C$7,'Livro Diario - FC'!$D$11:$D1028,"&lt;=29/02"&amp;$C$7)</f>
        <v>0</v>
      </c>
      <c r="J27" s="256">
        <f>SUMIFS('Livro Diario - FC'!$M$11:$M1028,'Livro Diario - FC'!$E$11:$E1028,$C$27,'Livro Diario - FC'!$D$11:$D1028,"&gt;=01/02"&amp;$C$7,'Livro Diario - FC'!$D$11:$D1028,"&lt;=29/02"&amp;$C$7)</f>
        <v>0</v>
      </c>
      <c r="K27" s="273"/>
      <c r="L27" s="258"/>
      <c r="M27" s="259"/>
      <c r="N27" s="255">
        <f>SUMIFS('Livro Diario - FC'!$K$11:$K1028,'Livro Diario - FC'!$E$11:$E1028,$C$27,'Livro Diario - FC'!$D$11:$D1028,"&gt;=01/03"&amp;$C$7,'Livro Diario - FC'!$D$11:$D1028,"&lt;=31/03"&amp;$C$7)</f>
        <v>0</v>
      </c>
      <c r="O27" s="256">
        <f>SUMIFS('Livro Diario - FC'!$M$11:$M1028,'Livro Diario - FC'!$E$11:$E1028,$C$27,'Livro Diario - FC'!$D$11:$D1028,"&gt;=01/03"&amp;$C$7,'Livro Diario - FC'!$D$11:$D1028,"&lt;=31/03"&amp;$C$7)</f>
        <v>0</v>
      </c>
      <c r="P27" s="273"/>
      <c r="Q27" s="258"/>
      <c r="R27" s="259"/>
      <c r="S27" s="255">
        <f>SUMIFS('Livro Diario - FC'!$K$11:$K1028,'Livro Diario - FC'!$E$11:$E1028,$C$27,'Livro Diario - FC'!$D$11:$D1028,"&gt;=01/04"&amp;$C$7,'Livro Diario - FC'!$D$11:$D1028,"&lt;=30/04"&amp;$C$7)</f>
        <v>0</v>
      </c>
      <c r="T27" s="256">
        <f>SUMIFS('Livro Diario - FC'!$M$11:$M1028,'Livro Diario - FC'!$E$11:$E1028,$C$27,'Livro Diario - FC'!$D$11:$D1028,"&gt;=01/04"&amp;$C$7,'Livro Diario - FC'!$D$11:$D1028,"&lt;=30/04"&amp;$C$7)</f>
        <v>0</v>
      </c>
      <c r="U27" s="273"/>
      <c r="V27" s="258"/>
      <c r="W27" s="259"/>
      <c r="X27" s="255">
        <f>SUMIFS('Livro Diario - FC'!$K$11:$K1028,'Livro Diario - FC'!$E$11:$E1028,$C$27,'Livro Diario - FC'!$D$11:$D1028,"&gt;=01/05"&amp;$C$7,'Livro Diario - FC'!$D$11:$D1028,"&lt;=31/05"&amp;$C$7)</f>
        <v>0</v>
      </c>
      <c r="Y27" s="256">
        <f>SUMIFS('Livro Diario - FC'!$M$11:$M1028,'Livro Diario - FC'!$E$11:$E1028,$C$27,'Livro Diario - FC'!$D$11:$D1028,"&gt;=01/05"&amp;$C$7,'Livro Diario - FC'!$D$11:$D1028,"&lt;=31/05"&amp;$C$7)</f>
        <v>0</v>
      </c>
      <c r="Z27" s="273"/>
      <c r="AA27" s="258"/>
      <c r="AB27" s="259"/>
      <c r="AC27" s="255">
        <f>SUMIFS('Livro Diario - FC'!$K$11:$K1028,'Livro Diario - FC'!$E$11:$E1028,$C$27,'Livro Diario - FC'!$D$11:$D1028,"&gt;=01/06"&amp;$C$7,'Livro Diario - FC'!$D$11:$D1028,"&lt;=30/06"&amp;$C$7)</f>
        <v>0</v>
      </c>
      <c r="AD27" s="256">
        <f>SUMIFS('Livro Diario - FC'!$M$11:$M1028,'Livro Diario - FC'!$E$11:$E1028,$C$27,'Livro Diario - FC'!$D$11:$D1028,"&gt;=01/06"&amp;$C$7,'Livro Diario - FC'!$D$11:$D1028,"&lt;=30/06"&amp;$C$7)</f>
        <v>0</v>
      </c>
      <c r="AE27" s="273"/>
      <c r="AF27" s="258"/>
      <c r="AG27" s="255">
        <f>SUMIFS('Livro Diario - FC'!$K$11:$K1028,'Livro Diario - FC'!$E$11:$E1028,$C$27,'Livro Diario - FC'!$D$11:$D1028,"&gt;=01/07"&amp;$C$7,'Livro Diario - FC'!$D$11:$D1028,"&lt;=31/07"&amp;$C$7)</f>
        <v>0</v>
      </c>
      <c r="AH27" s="256">
        <f>SUMIFS('Livro Diario - FC'!$M$11:$M1028,'Livro Diario - FC'!$E$11:$E1028,$C$27,'Livro Diario - FC'!$D$11:$D1028,"&gt;=01/07"&amp;$C$7,'Livro Diario - FC'!$D$11:$D1028,"&lt;=31/07"&amp;$C$7)</f>
        <v>0</v>
      </c>
      <c r="AI27" s="273"/>
      <c r="AJ27" s="258"/>
      <c r="AK27" s="255">
        <f>SUMIFS('Livro Diario - FC'!$K$11:$K1028,'Livro Diario - FC'!$E$11:$E1028,$C$27,'Livro Diario - FC'!$D$11:$D1028,"&gt;=01/08"&amp;$C$7,'Livro Diario - FC'!$D$11:$D1028,"&lt;=31/08"&amp;$C$7)</f>
        <v>0</v>
      </c>
      <c r="AL27" s="256">
        <f>SUMIFS('Livro Diario - FC'!$M$11:$M1028,'Livro Diario - FC'!$E$11:$E1028,$C$27,'Livro Diario - FC'!$D$11:$D1028,"&gt;=01/08"&amp;$C$7,'Livro Diario - FC'!$D$11:$D1028,"&lt;=31/08"&amp;$C$7)</f>
        <v>0</v>
      </c>
      <c r="AM27" s="273"/>
      <c r="AN27" s="258"/>
      <c r="AO27" s="255">
        <f>SUMIFS('Livro Diario - FC'!$K$11:$K1028,'Livro Diario - FC'!$E$11:$E1028,$C$27,'Livro Diario - FC'!$D$11:$D1028,"&gt;=01/09"&amp;$C$7,'Livro Diario - FC'!$D$11:$D1028,"&lt;=30/09"&amp;$C$7)</f>
        <v>0</v>
      </c>
      <c r="AP27" s="256">
        <f>SUMIFS('Livro Diario - FC'!$M$11:$M1028,'Livro Diario - FC'!$E$11:$E1028,$C$27,'Livro Diario - FC'!$D$11:$D1028,"&gt;=01/09"&amp;$C$7,'Livro Diario - FC'!$D$11:$D1028,"&lt;=30/09"&amp;$C$7)</f>
        <v>0</v>
      </c>
      <c r="AQ27" s="273"/>
      <c r="AR27" s="258"/>
      <c r="AS27" s="255">
        <f>SUMIFS('Livro Diario - FC'!$K$11:$K1028,'Livro Diario - FC'!$E$11:$E1028,$C$27,'Livro Diario - FC'!$D$11:$D1028,"&gt;=01/10"&amp;$C$7,'Livro Diario - FC'!$D$11:$D1028,"&lt;=31/10"&amp;$C$7)</f>
        <v>0</v>
      </c>
      <c r="AT27" s="256">
        <f>SUMIFS('Livro Diario - FC'!$M$11:$M1028,'Livro Diario - FC'!$E$11:$E1028,$C$27,'Livro Diario - FC'!$D$11:$D1028,"&gt;=01/10"&amp;$C$7,'Livro Diario - FC'!$D$11:$D1028,"&lt;=31/10"&amp;$C$7)</f>
        <v>0</v>
      </c>
      <c r="AU27" s="273"/>
      <c r="AV27" s="258"/>
      <c r="AW27" s="255">
        <f>SUMIFS('Livro Diario - FC'!$K$11:$K1028,'Livro Diario - FC'!$E$11:$E1028,$C$27,'Livro Diario - FC'!$D$11:$D1028,"&gt;=01/11"&amp;$C$7,'Livro Diario - FC'!$D$11:$D1028,"&lt;=30/11"&amp;$C$7)</f>
        <v>0</v>
      </c>
      <c r="AX27" s="256">
        <f>SUMIFS('Livro Diario - FC'!$M$11:$M1028,'Livro Diario - FC'!$E$11:$E1028,$C$27,'Livro Diario - FC'!$D$11:$D1028,"&gt;=01/11"&amp;$C$7,'Livro Diario - FC'!$D$11:$D1028,"&lt;=30/11"&amp;$C$7)</f>
        <v>0</v>
      </c>
      <c r="AY27" s="273"/>
      <c r="AZ27" s="258"/>
      <c r="BA27" s="255">
        <f>SUMIFS('Livro Diario - FC'!$K$11:$K1028,'Livro Diario - FC'!$E$11:$E1028,$C$27,'Livro Diario - FC'!$D$11:$D1028,"&gt;=01/12"&amp;$C$7,'Livro Diario - FC'!$D$11:$D1028,"&lt;=31/12"&amp;$C$7)</f>
        <v>0</v>
      </c>
      <c r="BB27" s="256">
        <f>SUMIFS('Livro Diario - FC'!$M$11:$M1028,'Livro Diario - FC'!$E$11:$E1028,$C$27,'Livro Diario - FC'!$D$11:$D1028,"&gt;=01/12"&amp;$C$7,'Livro Diario - FC'!$D$11:$D1028,"&lt;=31/12"&amp;$C$7)</f>
        <v>0</v>
      </c>
      <c r="BC27" s="273"/>
      <c r="BD27" s="273"/>
      <c r="BE27" s="305">
        <f t="shared" ref="BE27:BF27" si="116">SUM(D27,I27,N27,S27,X27,AC27,AG27,AK27,AO27,AS27,AW27,BA27)</f>
        <v>0</v>
      </c>
      <c r="BF27" s="268">
        <f t="shared" si="116"/>
        <v>0</v>
      </c>
      <c r="BG27" s="269"/>
      <c r="BH27" s="192"/>
      <c r="BI27" s="303">
        <f>SUMIFS('Livro Diario - FC'!$M$11:$M1028,'Livro Diario - FC'!$E$11:$E1028,C27,'Livro Diario - FC'!$D$11:$D1028,"&gt;="&amp;$BK$8,'Livro Diario - FC'!$D$11:$D1028,"&lt;="&amp;$BK$9)</f>
        <v>0</v>
      </c>
      <c r="BJ27" s="271"/>
      <c r="BK27" s="272"/>
      <c r="BL27" s="1"/>
    </row>
    <row r="28">
      <c r="A28" s="1"/>
      <c r="B28" s="1"/>
      <c r="C28" s="300" t="str">
        <f>'Livro Diario - FC'!AE31</f>
        <v>4.1.3 IPTU</v>
      </c>
      <c r="D28" s="255">
        <f>SUMIFS('Livro Diario - FC'!$K$11:$K1028,'Livro Diario - FC'!$E$11:$E1028,$C$28,'Livro Diario - FC'!$D$11:$D1028,"&gt;=01/01"&amp;$C$7,'Livro Diario - FC'!$D$11:$D1028,"&lt;=31/01"&amp;$C$7)</f>
        <v>0</v>
      </c>
      <c r="E28" s="256">
        <f>SUMIFS('Livro Diario - FC'!$M$11:$M1028,'Livro Diario - FC'!$E$11:$E1028,$C$28,'Livro Diario - FC'!$D$11:$D1028,"&gt;=01/01"&amp;$C$7,'Livro Diario - FC'!$D$11:$D1028,"&lt;=31/01"&amp;$C$7)</f>
        <v>0</v>
      </c>
      <c r="F28" s="273"/>
      <c r="G28" s="258"/>
      <c r="H28" s="157"/>
      <c r="I28" s="255">
        <f>SUMIFS('Livro Diario - FC'!$K$11:$K1028,'Livro Diario - FC'!$E$11:$E1028,$C$28,'Livro Diario - FC'!$D$11:$D1028,"&gt;=01/02"&amp;$C$7,'Livro Diario - FC'!$D$11:$D1028,"&lt;=29/02"&amp;$C$7)</f>
        <v>0</v>
      </c>
      <c r="J28" s="256">
        <f>SUMIFS('Livro Diario - FC'!$M$11:$M1028,'Livro Diario - FC'!$E$11:$E1028,$C$28,'Livro Diario - FC'!$D$11:$D1028,"&gt;=01/02"&amp;$C$7,'Livro Diario - FC'!$D$11:$D1028,"&lt;=29/02"&amp;$C$7)</f>
        <v>0</v>
      </c>
      <c r="K28" s="273"/>
      <c r="L28" s="258"/>
      <c r="M28" s="259"/>
      <c r="N28" s="255">
        <f>SUMIFS('Livro Diario - FC'!$K$11:$K1028,'Livro Diario - FC'!$E$11:$E1028,$C$28,'Livro Diario - FC'!$D$11:$D1028,"&gt;=01/03"&amp;$C$7,'Livro Diario - FC'!$D$11:$D1028,"&lt;=31/03"&amp;$C$7)</f>
        <v>0</v>
      </c>
      <c r="O28" s="256">
        <f>SUMIFS('Livro Diario - FC'!$M$11:$M1028,'Livro Diario - FC'!$E$11:$E1028,$C$28,'Livro Diario - FC'!$D$11:$D1028,"&gt;=01/03"&amp;$C$7,'Livro Diario - FC'!$D$11:$D1028,"&lt;=31/03"&amp;$C$7)</f>
        <v>0</v>
      </c>
      <c r="P28" s="273"/>
      <c r="Q28" s="258"/>
      <c r="R28" s="259"/>
      <c r="S28" s="255">
        <f>SUMIFS('Livro Diario - FC'!$K$11:$K1028,'Livro Diario - FC'!$E$11:$E1028,$C$28,'Livro Diario - FC'!$D$11:$D1028,"&gt;=01/04"&amp;$C$7,'Livro Diario - FC'!$D$11:$D1028,"&lt;=30/04"&amp;$C$7)</f>
        <v>0</v>
      </c>
      <c r="T28" s="256">
        <f>SUMIFS('Livro Diario - FC'!$M$11:$M1028,'Livro Diario - FC'!$E$11:$E1028,$C$28,'Livro Diario - FC'!$D$11:$D1028,"&gt;=01/04"&amp;$C$7,'Livro Diario - FC'!$D$11:$D1028,"&lt;=30/04"&amp;$C$7)</f>
        <v>0</v>
      </c>
      <c r="U28" s="273"/>
      <c r="V28" s="258"/>
      <c r="W28" s="259"/>
      <c r="X28" s="255">
        <f>SUMIFS('Livro Diario - FC'!$K$11:$K1028,'Livro Diario - FC'!$E$11:$E1028,$C$28,'Livro Diario - FC'!$D$11:$D1028,"&gt;=01/05"&amp;$C$7,'Livro Diario - FC'!$D$11:$D1028,"&lt;=31/05"&amp;$C$7)</f>
        <v>0</v>
      </c>
      <c r="Y28" s="256">
        <f>SUMIFS('Livro Diario - FC'!$M$11:$M1028,'Livro Diario - FC'!$E$11:$E1028,$C$28,'Livro Diario - FC'!$D$11:$D1028,"&gt;=01/05"&amp;$C$7,'Livro Diario - FC'!$D$11:$D1028,"&lt;=31/05"&amp;$C$7)</f>
        <v>0</v>
      </c>
      <c r="Z28" s="273"/>
      <c r="AA28" s="258"/>
      <c r="AB28" s="259"/>
      <c r="AC28" s="255">
        <f>SUMIFS('Livro Diario - FC'!$K$11:$K1028,'Livro Diario - FC'!$E$11:$E1028,$C$28,'Livro Diario - FC'!$D$11:$D1028,"&gt;=01/06"&amp;$C$7,'Livro Diario - FC'!$D$11:$D1028,"&lt;=30/06"&amp;$C$7)</f>
        <v>0</v>
      </c>
      <c r="AD28" s="256">
        <f>SUMIFS('Livro Diario - FC'!$M$11:$M1028,'Livro Diario - FC'!$E$11:$E1028,$C$28,'Livro Diario - FC'!$D$11:$D1028,"&gt;=01/06"&amp;$C$7,'Livro Diario - FC'!$D$11:$D1028,"&lt;=30/06"&amp;$C$7)</f>
        <v>0</v>
      </c>
      <c r="AE28" s="273"/>
      <c r="AF28" s="258"/>
      <c r="AG28" s="255">
        <f>SUMIFS('Livro Diario - FC'!$K$11:$K1028,'Livro Diario - FC'!$E$11:$E1028,$C$28,'Livro Diario - FC'!$D$11:$D1028,"&gt;=01/07"&amp;$C$7,'Livro Diario - FC'!$D$11:$D1028,"&lt;=31/07"&amp;$C$7)</f>
        <v>0</v>
      </c>
      <c r="AH28" s="256">
        <f>SUMIFS('Livro Diario - FC'!$M$11:$M1028,'Livro Diario - FC'!$E$11:$E1028,$C$28,'Livro Diario - FC'!$D$11:$D1028,"&gt;=01/07"&amp;$C$7,'Livro Diario - FC'!$D$11:$D1028,"&lt;=31/07"&amp;$C$7)</f>
        <v>0</v>
      </c>
      <c r="AI28" s="273"/>
      <c r="AJ28" s="258"/>
      <c r="AK28" s="255">
        <f>SUMIFS('Livro Diario - FC'!$K$11:$K1028,'Livro Diario - FC'!$E$11:$E1028,$C$28,'Livro Diario - FC'!$D$11:$D1028,"&gt;=01/08"&amp;$C$7,'Livro Diario - FC'!$D$11:$D1028,"&lt;=31/08"&amp;$C$7)</f>
        <v>0</v>
      </c>
      <c r="AL28" s="256">
        <f>SUMIFS('Livro Diario - FC'!$M$11:$M1028,'Livro Diario - FC'!$E$11:$E1028,$C$28,'Livro Diario - FC'!$D$11:$D1028,"&gt;=01/08"&amp;$C$7,'Livro Diario - FC'!$D$11:$D1028,"&lt;=31/08"&amp;$C$7)</f>
        <v>0</v>
      </c>
      <c r="AM28" s="273"/>
      <c r="AN28" s="258"/>
      <c r="AO28" s="255">
        <f>SUMIFS('Livro Diario - FC'!$K$11:$K1028,'Livro Diario - FC'!$E$11:$E1028,$C$28,'Livro Diario - FC'!$D$11:$D1028,"&gt;=01/09"&amp;$C$7,'Livro Diario - FC'!$D$11:$D1028,"&lt;=30/09"&amp;$C$7)</f>
        <v>0</v>
      </c>
      <c r="AP28" s="256">
        <f>SUMIFS('Livro Diario - FC'!$M$11:$M1028,'Livro Diario - FC'!$E$11:$E1028,$C$28,'Livro Diario - FC'!$D$11:$D1028,"&gt;=01/09"&amp;$C$7,'Livro Diario - FC'!$D$11:$D1028,"&lt;=30/09"&amp;$C$7)</f>
        <v>0</v>
      </c>
      <c r="AQ28" s="273"/>
      <c r="AR28" s="258"/>
      <c r="AS28" s="255">
        <f>SUMIFS('Livro Diario - FC'!$K$11:$K1028,'Livro Diario - FC'!$E$11:$E1028,$C$28,'Livro Diario - FC'!$D$11:$D1028,"&gt;=01/10"&amp;$C$7,'Livro Diario - FC'!$D$11:$D1028,"&lt;=31/10"&amp;$C$7)</f>
        <v>0</v>
      </c>
      <c r="AT28" s="256">
        <f>SUMIFS('Livro Diario - FC'!$M$11:$M1028,'Livro Diario - FC'!$E$11:$E1028,$C$28,'Livro Diario - FC'!$D$11:$D1028,"&gt;=01/10"&amp;$C$7,'Livro Diario - FC'!$D$11:$D1028,"&lt;=31/10"&amp;$C$7)</f>
        <v>0</v>
      </c>
      <c r="AU28" s="273"/>
      <c r="AV28" s="258"/>
      <c r="AW28" s="255">
        <f>SUMIFS('Livro Diario - FC'!$K$11:$K1028,'Livro Diario - FC'!$E$11:$E1028,$C$28,'Livro Diario - FC'!$D$11:$D1028,"&gt;=01/11"&amp;$C$7,'Livro Diario - FC'!$D$11:$D1028,"&lt;=30/11"&amp;$C$7)</f>
        <v>0</v>
      </c>
      <c r="AX28" s="256">
        <f>SUMIFS('Livro Diario - FC'!$M$11:$M1028,'Livro Diario - FC'!$E$11:$E1028,$C$28,'Livro Diario - FC'!$D$11:$D1028,"&gt;=01/11"&amp;$C$7,'Livro Diario - FC'!$D$11:$D1028,"&lt;=30/11"&amp;$C$7)</f>
        <v>0</v>
      </c>
      <c r="AY28" s="273"/>
      <c r="AZ28" s="258"/>
      <c r="BA28" s="255">
        <f>SUMIFS('Livro Diario - FC'!$K$11:$K1028,'Livro Diario - FC'!$E$11:$E1028,$C$28,'Livro Diario - FC'!$D$11:$D1028,"&gt;=01/12"&amp;$C$7,'Livro Diario - FC'!$D$11:$D1028,"&lt;=31/12"&amp;$C$7)</f>
        <v>0</v>
      </c>
      <c r="BB28" s="256">
        <f>SUMIFS('Livro Diario - FC'!$M$11:$M1028,'Livro Diario - FC'!$E$11:$E1028,$C$28,'Livro Diario - FC'!$D$11:$D1028,"&gt;=01/12"&amp;$C$7,'Livro Diario - FC'!$D$11:$D1028,"&lt;=31/12"&amp;$C$7)</f>
        <v>0</v>
      </c>
      <c r="BC28" s="273"/>
      <c r="BD28" s="273"/>
      <c r="BE28" s="305">
        <f t="shared" ref="BE28:BF28" si="117">SUM(D28,I28,N28,S28,X28,AC28,AG28,AK28,AO28,AS28,AW28,BA28)</f>
        <v>0</v>
      </c>
      <c r="BF28" s="268">
        <f t="shared" si="117"/>
        <v>0</v>
      </c>
      <c r="BG28" s="269"/>
      <c r="BH28" s="192"/>
      <c r="BI28" s="303">
        <f>SUMIFS('Livro Diario - FC'!$M$11:$M1028,'Livro Diario - FC'!$E$11:$E1028,C28,'Livro Diario - FC'!$D$11:$D1028,"&gt;="&amp;$BK$8,'Livro Diario - FC'!$D$11:$D1028,"&lt;="&amp;$BK$9)</f>
        <v>0</v>
      </c>
      <c r="BJ28" s="271"/>
      <c r="BK28" s="272"/>
      <c r="BL28" s="1"/>
    </row>
    <row r="29">
      <c r="A29" s="1"/>
      <c r="B29" s="1"/>
      <c r="C29" s="300" t="str">
        <f>'Livro Diario - FC'!AE32</f>
        <v>4.1.4 FGTS</v>
      </c>
      <c r="D29" s="255">
        <f>SUMIFS('Livro Diario - FC'!$K$11:$K1028,'Livro Diario - FC'!$E$11:$E1028,$C$29,'Livro Diario - FC'!$D$11:$D1028,"&gt;=01/01"&amp;$C$7,'Livro Diario - FC'!$D$11:$D1028,"&lt;=31/01"&amp;$C$7)</f>
        <v>0</v>
      </c>
      <c r="E29" s="256">
        <f>SUMIFS('Livro Diario - FC'!$M$11:$M1028,'Livro Diario - FC'!$E$11:$E1028,$C$29,'Livro Diario - FC'!$D$11:$D1028,"&gt;=01/01"&amp;$C$7,'Livro Diario - FC'!$D$11:$D1028,"&lt;=31/01"&amp;$C$7)</f>
        <v>0</v>
      </c>
      <c r="F29" s="273"/>
      <c r="G29" s="258"/>
      <c r="H29" s="157"/>
      <c r="I29" s="255">
        <f>SUMIFS('Livro Diario - FC'!$K$11:$K1028,'Livro Diario - FC'!$E$11:$E1028,$C$29,'Livro Diario - FC'!$D$11:$D1028,"&gt;=01/02"&amp;$C$7,'Livro Diario - FC'!$D$11:$D1028,"&lt;=29/02"&amp;$C$7)</f>
        <v>0</v>
      </c>
      <c r="J29" s="256">
        <f>SUMIFS('Livro Diario - FC'!$M$11:$M1028,'Livro Diario - FC'!$E$11:$E1028,$C$29,'Livro Diario - FC'!$D$11:$D1028,"&gt;=01/02"&amp;$C$7,'Livro Diario - FC'!$D$11:$D1028,"&lt;=29/02"&amp;$C$7)</f>
        <v>0</v>
      </c>
      <c r="K29" s="273"/>
      <c r="L29" s="258"/>
      <c r="M29" s="259"/>
      <c r="N29" s="255">
        <f>SUMIFS('Livro Diario - FC'!$K$11:$K1028,'Livro Diario - FC'!$E$11:$E1028,$C$29,'Livro Diario - FC'!$D$11:$D1028,"&gt;=01/03"&amp;$C$7,'Livro Diario - FC'!$D$11:$D1028,"&lt;=31/03"&amp;$C$7)</f>
        <v>0</v>
      </c>
      <c r="O29" s="256">
        <f>SUMIFS('Livro Diario - FC'!$M$11:$M1028,'Livro Diario - FC'!$E$11:$E1028,$C$29,'Livro Diario - FC'!$D$11:$D1028,"&gt;=01/03"&amp;$C$7,'Livro Diario - FC'!$D$11:$D1028,"&lt;=31/03"&amp;$C$7)</f>
        <v>0</v>
      </c>
      <c r="P29" s="273"/>
      <c r="Q29" s="258"/>
      <c r="R29" s="259"/>
      <c r="S29" s="255">
        <f>SUMIFS('Livro Diario - FC'!$K$11:$K1028,'Livro Diario - FC'!$E$11:$E1028,$C$29,'Livro Diario - FC'!$D$11:$D1028,"&gt;=01/04"&amp;$C$7,'Livro Diario - FC'!$D$11:$D1028,"&lt;=30/04"&amp;$C$7)</f>
        <v>0</v>
      </c>
      <c r="T29" s="256">
        <f>SUMIFS('Livro Diario - FC'!$M$11:$M1028,'Livro Diario - FC'!$E$11:$E1028,$C$29,'Livro Diario - FC'!$D$11:$D1028,"&gt;=01/04"&amp;$C$7,'Livro Diario - FC'!$D$11:$D1028,"&lt;=30/04"&amp;$C$7)</f>
        <v>0</v>
      </c>
      <c r="U29" s="273"/>
      <c r="V29" s="258"/>
      <c r="W29" s="259"/>
      <c r="X29" s="255">
        <f>SUMIFS('Livro Diario - FC'!$K$11:$K1028,'Livro Diario - FC'!$E$11:$E1028,$C$29,'Livro Diario - FC'!$D$11:$D1028,"&gt;=01/05"&amp;$C$7,'Livro Diario - FC'!$D$11:$D1028,"&lt;=31/05"&amp;$C$7)</f>
        <v>0</v>
      </c>
      <c r="Y29" s="256">
        <f>SUMIFS('Livro Diario - FC'!$M$11:$M1028,'Livro Diario - FC'!$E$11:$E1028,$C$29,'Livro Diario - FC'!$D$11:$D1028,"&gt;=01/05"&amp;$C$7,'Livro Diario - FC'!$D$11:$D1028,"&lt;=31/05"&amp;$C$7)</f>
        <v>0</v>
      </c>
      <c r="Z29" s="273"/>
      <c r="AA29" s="258"/>
      <c r="AB29" s="259"/>
      <c r="AC29" s="255">
        <f>SUMIFS('Livro Diario - FC'!$K$11:$K1028,'Livro Diario - FC'!$E$11:$E1028,$C$29,'Livro Diario - FC'!$D$11:$D1028,"&gt;=01/06"&amp;$C$7,'Livro Diario - FC'!$D$11:$D1028,"&lt;=30/06"&amp;$C$7)</f>
        <v>0</v>
      </c>
      <c r="AD29" s="256">
        <f>SUMIFS('Livro Diario - FC'!$M$11:$M1028,'Livro Diario - FC'!$E$11:$E1028,$C$29,'Livro Diario - FC'!$D$11:$D1028,"&gt;=01/06"&amp;$C$7,'Livro Diario - FC'!$D$11:$D1028,"&lt;=30/06"&amp;$C$7)</f>
        <v>0</v>
      </c>
      <c r="AE29" s="273"/>
      <c r="AF29" s="258"/>
      <c r="AG29" s="255">
        <f>SUMIFS('Livro Diario - FC'!$K$11:$K1028,'Livro Diario - FC'!$E$11:$E1028,$C$29,'Livro Diario - FC'!$D$11:$D1028,"&gt;=01/07"&amp;$C$7,'Livro Diario - FC'!$D$11:$D1028,"&lt;=31/07"&amp;$C$7)</f>
        <v>0</v>
      </c>
      <c r="AH29" s="256">
        <f>SUMIFS('Livro Diario - FC'!$M$11:$M1028,'Livro Diario - FC'!$E$11:$E1028,$C$29,'Livro Diario - FC'!$D$11:$D1028,"&gt;=01/07"&amp;$C$7,'Livro Diario - FC'!$D$11:$D1028,"&lt;=31/07"&amp;$C$7)</f>
        <v>0</v>
      </c>
      <c r="AI29" s="273"/>
      <c r="AJ29" s="258"/>
      <c r="AK29" s="255">
        <f>SUMIFS('Livro Diario - FC'!$K$11:$K1028,'Livro Diario - FC'!$E$11:$E1028,$C$29,'Livro Diario - FC'!$D$11:$D1028,"&gt;=01/08"&amp;$C$7,'Livro Diario - FC'!$D$11:$D1028,"&lt;=31/08"&amp;$C$7)</f>
        <v>0</v>
      </c>
      <c r="AL29" s="256">
        <f>SUMIFS('Livro Diario - FC'!$M$11:$M1028,'Livro Diario - FC'!$E$11:$E1028,$C$29,'Livro Diario - FC'!$D$11:$D1028,"&gt;=01/08"&amp;$C$7,'Livro Diario - FC'!$D$11:$D1028,"&lt;=31/08"&amp;$C$7)</f>
        <v>0</v>
      </c>
      <c r="AM29" s="273"/>
      <c r="AN29" s="258"/>
      <c r="AO29" s="255">
        <f>SUMIFS('Livro Diario - FC'!$K$11:$K1028,'Livro Diario - FC'!$E$11:$E1028,$C$29,'Livro Diario - FC'!$D$11:$D1028,"&gt;=01/09"&amp;$C$7,'Livro Diario - FC'!$D$11:$D1028,"&lt;=30/09"&amp;$C$7)</f>
        <v>0</v>
      </c>
      <c r="AP29" s="256">
        <f>SUMIFS('Livro Diario - FC'!$M$11:$M1028,'Livro Diario - FC'!$E$11:$E1028,$C$29,'Livro Diario - FC'!$D$11:$D1028,"&gt;=01/09"&amp;$C$7,'Livro Diario - FC'!$D$11:$D1028,"&lt;=30/09"&amp;$C$7)</f>
        <v>0</v>
      </c>
      <c r="AQ29" s="273"/>
      <c r="AR29" s="258"/>
      <c r="AS29" s="255">
        <f>SUMIFS('Livro Diario - FC'!$K$11:$K1028,'Livro Diario - FC'!$E$11:$E1028,$C$29,'Livro Diario - FC'!$D$11:$D1028,"&gt;=01/10"&amp;$C$7,'Livro Diario - FC'!$D$11:$D1028,"&lt;=31/10"&amp;$C$7)</f>
        <v>0</v>
      </c>
      <c r="AT29" s="256">
        <f>SUMIFS('Livro Diario - FC'!$M$11:$M1028,'Livro Diario - FC'!$E$11:$E1028,$C$29,'Livro Diario - FC'!$D$11:$D1028,"&gt;=01/10"&amp;$C$7,'Livro Diario - FC'!$D$11:$D1028,"&lt;=31/10"&amp;$C$7)</f>
        <v>0</v>
      </c>
      <c r="AU29" s="273"/>
      <c r="AV29" s="258"/>
      <c r="AW29" s="255">
        <f>SUMIFS('Livro Diario - FC'!$K$11:$K1028,'Livro Diario - FC'!$E$11:$E1028,$C$29,'Livro Diario - FC'!$D$11:$D1028,"&gt;=01/11"&amp;$C$7,'Livro Diario - FC'!$D$11:$D1028,"&lt;=30/11"&amp;$C$7)</f>
        <v>0</v>
      </c>
      <c r="AX29" s="256">
        <f>SUMIFS('Livro Diario - FC'!$M$11:$M1028,'Livro Diario - FC'!$E$11:$E1028,$C$29,'Livro Diario - FC'!$D$11:$D1028,"&gt;=01/11"&amp;$C$7,'Livro Diario - FC'!$D$11:$D1028,"&lt;=30/11"&amp;$C$7)</f>
        <v>0</v>
      </c>
      <c r="AY29" s="273"/>
      <c r="AZ29" s="258"/>
      <c r="BA29" s="255">
        <f>SUMIFS('Livro Diario - FC'!$K$11:$K1028,'Livro Diario - FC'!$E$11:$E1028,$C$29,'Livro Diario - FC'!$D$11:$D1028,"&gt;=01/12"&amp;$C$7,'Livro Diario - FC'!$D$11:$D1028,"&lt;=31/12"&amp;$C$7)</f>
        <v>0</v>
      </c>
      <c r="BB29" s="256">
        <f>SUMIFS('Livro Diario - FC'!$M$11:$M1028,'Livro Diario - FC'!$E$11:$E1028,$C$29,'Livro Diario - FC'!$D$11:$D1028,"&gt;=01/12"&amp;$C$7,'Livro Diario - FC'!$D$11:$D1028,"&lt;=31/12"&amp;$C$7)</f>
        <v>0</v>
      </c>
      <c r="BC29" s="273"/>
      <c r="BD29" s="273"/>
      <c r="BE29" s="305">
        <f t="shared" ref="BE29:BF29" si="118">SUM(D29,I29,N29,S29,X29,AC29,AG29,AK29,AO29,AS29,AW29,BA29)</f>
        <v>0</v>
      </c>
      <c r="BF29" s="268">
        <f t="shared" si="118"/>
        <v>0</v>
      </c>
      <c r="BG29" s="269"/>
      <c r="BH29" s="192"/>
      <c r="BI29" s="303">
        <f>SUMIFS('Livro Diario - FC'!$M$11:$M1028,'Livro Diario - FC'!$E$11:$E1028,C29,'Livro Diario - FC'!$D$11:$D1028,"&gt;="&amp;$BK$8,'Livro Diario - FC'!$D$11:$D1028,"&lt;="&amp;$BK$9)</f>
        <v>0</v>
      </c>
      <c r="BJ29" s="271"/>
      <c r="BK29" s="272"/>
      <c r="BL29" s="1"/>
    </row>
    <row r="30">
      <c r="A30" s="1"/>
      <c r="B30" s="1"/>
      <c r="C30" s="300" t="str">
        <f>'Livro Diario - FC'!AE33</f>
        <v>4.1.5 INSS</v>
      </c>
      <c r="D30" s="255">
        <f>SUMIFS('Livro Diario - FC'!$K$11:$K1028,'Livro Diario - FC'!$E$11:$E1028,$C$30,'Livro Diario - FC'!$D$11:$D1028,"&gt;=01/01"&amp;$C$7,'Livro Diario - FC'!$D$11:$D1028,"&lt;=31/01"&amp;$C$7)</f>
        <v>0</v>
      </c>
      <c r="E30" s="256">
        <f>SUMIFS('Livro Diario - FC'!$M$11:$M1028,'Livro Diario - FC'!$E$11:$E1028,$C$30,'Livro Diario - FC'!$D$11:$D1028,"&gt;=01/01"&amp;$C$7,'Livro Diario - FC'!$D$11:$D1028,"&lt;=31/01"&amp;$C$7)</f>
        <v>0</v>
      </c>
      <c r="F30" s="273"/>
      <c r="G30" s="258"/>
      <c r="H30" s="157"/>
      <c r="I30" s="255">
        <f>SUMIFS('Livro Diario - FC'!$K$11:$K1028,'Livro Diario - FC'!$E$11:$E1028,$C$30,'Livro Diario - FC'!$D$11:$D1028,"&gt;=01/02"&amp;$C$7,'Livro Diario - FC'!$D$11:$D1028,"&lt;=29/02"&amp;$C$7)</f>
        <v>0</v>
      </c>
      <c r="J30" s="256">
        <f>SUMIFS('Livro Diario - FC'!$M$11:$M1028,'Livro Diario - FC'!$E$11:$E1028,$C$30,'Livro Diario - FC'!$D$11:$D1028,"&gt;=01/02"&amp;$C$7,'Livro Diario - FC'!$D$11:$D1028,"&lt;=29/02"&amp;$C$7)</f>
        <v>0</v>
      </c>
      <c r="K30" s="273"/>
      <c r="L30" s="258"/>
      <c r="M30" s="259"/>
      <c r="N30" s="255">
        <f>SUMIFS('Livro Diario - FC'!$K$11:$K1028,'Livro Diario - FC'!$E$11:$E1028,$C$30,'Livro Diario - FC'!$D$11:$D1028,"&gt;=01/03"&amp;$C$7,'Livro Diario - FC'!$D$11:$D1028,"&lt;=31/03"&amp;$C$7)</f>
        <v>0</v>
      </c>
      <c r="O30" s="256">
        <f>SUMIFS('Livro Diario - FC'!$M$11:$M1028,'Livro Diario - FC'!$E$11:$E1028,$C$30,'Livro Diario - FC'!$D$11:$D1028,"&gt;=01/03"&amp;$C$7,'Livro Diario - FC'!$D$11:$D1028,"&lt;=31/03"&amp;$C$7)</f>
        <v>0</v>
      </c>
      <c r="P30" s="273"/>
      <c r="Q30" s="258"/>
      <c r="R30" s="259"/>
      <c r="S30" s="255">
        <f>SUMIFS('Livro Diario - FC'!$K$11:$K1028,'Livro Diario - FC'!$E$11:$E1028,$C$30,'Livro Diario - FC'!$D$11:$D1028,"&gt;=01/04"&amp;$C$7,'Livro Diario - FC'!$D$11:$D1028,"&lt;=30/04"&amp;$C$7)</f>
        <v>0</v>
      </c>
      <c r="T30" s="256">
        <f>SUMIFS('Livro Diario - FC'!$M$11:$M1028,'Livro Diario - FC'!$E$11:$E1028,$C$30,'Livro Diario - FC'!$D$11:$D1028,"&gt;=01/04"&amp;$C$7,'Livro Diario - FC'!$D$11:$D1028,"&lt;=30/04"&amp;$C$7)</f>
        <v>0</v>
      </c>
      <c r="U30" s="273"/>
      <c r="V30" s="258"/>
      <c r="W30" s="259"/>
      <c r="X30" s="255">
        <f>SUMIFS('Livro Diario - FC'!$K$11:$K1028,'Livro Diario - FC'!$E$11:$E1028,$C$30,'Livro Diario - FC'!$D$11:$D1028,"&gt;=01/05"&amp;$C$7,'Livro Diario - FC'!$D$11:$D1028,"&lt;=31/05"&amp;$C$7)</f>
        <v>0</v>
      </c>
      <c r="Y30" s="256">
        <f>SUMIFS('Livro Diario - FC'!$M$11:$M1028,'Livro Diario - FC'!$E$11:$E1028,$C$30,'Livro Diario - FC'!$D$11:$D1028,"&gt;=01/05"&amp;$C$7,'Livro Diario - FC'!$D$11:$D1028,"&lt;=31/05"&amp;$C$7)</f>
        <v>0</v>
      </c>
      <c r="Z30" s="273"/>
      <c r="AA30" s="258"/>
      <c r="AB30" s="259"/>
      <c r="AC30" s="255">
        <f>SUMIFS('Livro Diario - FC'!$K$11:$K1028,'Livro Diario - FC'!$E$11:$E1028,$C$30,'Livro Diario - FC'!$D$11:$D1028,"&gt;=01/06"&amp;$C$7,'Livro Diario - FC'!$D$11:$D1028,"&lt;=30/06"&amp;$C$7)</f>
        <v>0</v>
      </c>
      <c r="AD30" s="256">
        <f>SUMIFS('Livro Diario - FC'!$M$11:$M1028,'Livro Diario - FC'!$E$11:$E1028,$C$30,'Livro Diario - FC'!$D$11:$D1028,"&gt;=01/06"&amp;$C$7,'Livro Diario - FC'!$D$11:$D1028,"&lt;=30/06"&amp;$C$7)</f>
        <v>0</v>
      </c>
      <c r="AE30" s="273"/>
      <c r="AF30" s="258"/>
      <c r="AG30" s="255">
        <f>SUMIFS('Livro Diario - FC'!$K$11:$K1028,'Livro Diario - FC'!$E$11:$E1028,$C$30,'Livro Diario - FC'!$D$11:$D1028,"&gt;=01/07"&amp;$C$7,'Livro Diario - FC'!$D$11:$D1028,"&lt;=31/07"&amp;$C$7)</f>
        <v>0</v>
      </c>
      <c r="AH30" s="256">
        <f>SUMIFS('Livro Diario - FC'!$M$11:$M1028,'Livro Diario - FC'!$E$11:$E1028,$C$30,'Livro Diario - FC'!$D$11:$D1028,"&gt;=01/07"&amp;$C$7,'Livro Diario - FC'!$D$11:$D1028,"&lt;=31/07"&amp;$C$7)</f>
        <v>0</v>
      </c>
      <c r="AI30" s="273"/>
      <c r="AJ30" s="258"/>
      <c r="AK30" s="255">
        <f>SUMIFS('Livro Diario - FC'!$K$11:$K1028,'Livro Diario - FC'!$E$11:$E1028,$C$30,'Livro Diario - FC'!$D$11:$D1028,"&gt;=01/08"&amp;$C$7,'Livro Diario - FC'!$D$11:$D1028,"&lt;=31/08"&amp;$C$7)</f>
        <v>0</v>
      </c>
      <c r="AL30" s="256">
        <f>SUMIFS('Livro Diario - FC'!$M$11:$M1028,'Livro Diario - FC'!$E$11:$E1028,$C$30,'Livro Diario - FC'!$D$11:$D1028,"&gt;=01/08"&amp;$C$7,'Livro Diario - FC'!$D$11:$D1028,"&lt;=31/08"&amp;$C$7)</f>
        <v>0</v>
      </c>
      <c r="AM30" s="273"/>
      <c r="AN30" s="258"/>
      <c r="AO30" s="255">
        <f>SUMIFS('Livro Diario - FC'!$K$11:$K1028,'Livro Diario - FC'!$E$11:$E1028,$C$30,'Livro Diario - FC'!$D$11:$D1028,"&gt;=01/09"&amp;$C$7,'Livro Diario - FC'!$D$11:$D1028,"&lt;=30/09"&amp;$C$7)</f>
        <v>0</v>
      </c>
      <c r="AP30" s="256">
        <f>SUMIFS('Livro Diario - FC'!$M$11:$M1028,'Livro Diario - FC'!$E$11:$E1028,$C$30,'Livro Diario - FC'!$D$11:$D1028,"&gt;=01/09"&amp;$C$7,'Livro Diario - FC'!$D$11:$D1028,"&lt;=30/09"&amp;$C$7)</f>
        <v>0</v>
      </c>
      <c r="AQ30" s="273"/>
      <c r="AR30" s="258"/>
      <c r="AS30" s="255">
        <f>SUMIFS('Livro Diario - FC'!$K$11:$K1028,'Livro Diario - FC'!$E$11:$E1028,$C$30,'Livro Diario - FC'!$D$11:$D1028,"&gt;=01/10"&amp;$C$7,'Livro Diario - FC'!$D$11:$D1028,"&lt;=31/10"&amp;$C$7)</f>
        <v>0</v>
      </c>
      <c r="AT30" s="256">
        <f>SUMIFS('Livro Diario - FC'!$M$11:$M1028,'Livro Diario - FC'!$E$11:$E1028,$C$30,'Livro Diario - FC'!$D$11:$D1028,"&gt;=01/10"&amp;$C$7,'Livro Diario - FC'!$D$11:$D1028,"&lt;=31/10"&amp;$C$7)</f>
        <v>0</v>
      </c>
      <c r="AU30" s="273"/>
      <c r="AV30" s="258"/>
      <c r="AW30" s="255">
        <f>SUMIFS('Livro Diario - FC'!$K$11:$K1028,'Livro Diario - FC'!$E$11:$E1028,$C$30,'Livro Diario - FC'!$D$11:$D1028,"&gt;=01/11"&amp;$C$7,'Livro Diario - FC'!$D$11:$D1028,"&lt;=30/11"&amp;$C$7)</f>
        <v>0</v>
      </c>
      <c r="AX30" s="256">
        <f>SUMIFS('Livro Diario - FC'!$M$11:$M1028,'Livro Diario - FC'!$E$11:$E1028,$C$30,'Livro Diario - FC'!$D$11:$D1028,"&gt;=01/11"&amp;$C$7,'Livro Diario - FC'!$D$11:$D1028,"&lt;=30/11"&amp;$C$7)</f>
        <v>0</v>
      </c>
      <c r="AY30" s="273"/>
      <c r="AZ30" s="258"/>
      <c r="BA30" s="255">
        <f>SUMIFS('Livro Diario - FC'!$K$11:$K1028,'Livro Diario - FC'!$E$11:$E1028,$C$30,'Livro Diario - FC'!$D$11:$D1028,"&gt;=01/12"&amp;$C$7,'Livro Diario - FC'!$D$11:$D1028,"&lt;=31/12"&amp;$C$7)</f>
        <v>0</v>
      </c>
      <c r="BB30" s="256">
        <f>SUMIFS('Livro Diario - FC'!$M$11:$M1028,'Livro Diario - FC'!$E$11:$E1028,$C$30,'Livro Diario - FC'!$D$11:$D1028,"&gt;=01/12"&amp;$C$7,'Livro Diario - FC'!$D$11:$D1028,"&lt;=31/12"&amp;$C$7)</f>
        <v>0</v>
      </c>
      <c r="BC30" s="273"/>
      <c r="BD30" s="273"/>
      <c r="BE30" s="305">
        <f t="shared" ref="BE30:BF30" si="119">SUM(D30,I30,N30,S30,X30,AC30,AG30,AK30,AO30,AS30,AW30,BA30)</f>
        <v>0</v>
      </c>
      <c r="BF30" s="268">
        <f t="shared" si="119"/>
        <v>0</v>
      </c>
      <c r="BG30" s="269"/>
      <c r="BH30" s="192"/>
      <c r="BI30" s="303">
        <f>SUMIFS('Livro Diario - FC'!$M$11:$M1028,'Livro Diario - FC'!$E$11:$E1028,C30,'Livro Diario - FC'!$D$11:$D1028,"&gt;="&amp;$BK$8,'Livro Diario - FC'!$D$11:$D1028,"&lt;="&amp;$BK$9)</f>
        <v>0</v>
      </c>
      <c r="BJ30" s="271"/>
      <c r="BK30" s="272"/>
      <c r="BL30" s="1"/>
    </row>
    <row r="31">
      <c r="A31" s="1"/>
      <c r="B31" s="1"/>
      <c r="C31" s="300" t="str">
        <f>'Livro Diario - FC'!AE34</f>
        <v>4.1.6 Parcelamento Imposto</v>
      </c>
      <c r="D31" s="255">
        <f>SUMIFS('Livro Diario - FC'!$K$11:$K1028,'Livro Diario - FC'!$E$11:$E1028,$C$30,'Livro Diario - FC'!$D$11:$D1028,"&gt;=01/01"&amp;$C$7,'Livro Diario - FC'!$D$11:$D1028,"&lt;=31/01"&amp;$C$7)</f>
        <v>0</v>
      </c>
      <c r="E31" s="256">
        <f>SUMIFS('Livro Diario - FC'!$M$11:$M1028,'Livro Diario - FC'!$E$11:$E1028,$C$30,'Livro Diario - FC'!$D$11:$D1028,"&gt;=01/01"&amp;$C$7,'Livro Diario - FC'!$D$11:$D1028,"&lt;=31/01"&amp;$C$7)</f>
        <v>0</v>
      </c>
      <c r="F31" s="273"/>
      <c r="G31" s="258"/>
      <c r="H31" s="157"/>
      <c r="I31" s="255">
        <f>SUMIFS('Livro Diario - FC'!$K$11:$K1028,'Livro Diario - FC'!$E$11:$E1028,$C$30,'Livro Diario - FC'!$D$11:$D1028,"&gt;=01/02"&amp;$C$7,'Livro Diario - FC'!$D$11:$D1028,"&lt;=29/02"&amp;$C$7)</f>
        <v>0</v>
      </c>
      <c r="J31" s="256">
        <f>SUMIFS('Livro Diario - FC'!$M$11:$M1028,'Livro Diario - FC'!$E$11:$E1028,$C$30,'Livro Diario - FC'!$D$11:$D1028,"&gt;=01/02"&amp;$C$7,'Livro Diario - FC'!$D$11:$D1028,"&lt;=29/02"&amp;$C$7)</f>
        <v>0</v>
      </c>
      <c r="K31" s="273"/>
      <c r="L31" s="258"/>
      <c r="M31" s="259"/>
      <c r="N31" s="255">
        <f>SUMIFS('Livro Diario - FC'!$K$11:$K1028,'Livro Diario - FC'!$E$11:$E1028,$C$30,'Livro Diario - FC'!$D$11:$D1028,"&gt;=01/03"&amp;$C$7,'Livro Diario - FC'!$D$11:$D1028,"&lt;=31/03"&amp;$C$7)</f>
        <v>0</v>
      </c>
      <c r="O31" s="256">
        <f>SUMIFS('Livro Diario - FC'!$M$11:$M1028,'Livro Diario - FC'!$E$11:$E1028,$C$30,'Livro Diario - FC'!$D$11:$D1028,"&gt;=01/03"&amp;$C$7,'Livro Diario - FC'!$D$11:$D1028,"&lt;=31/03"&amp;$C$7)</f>
        <v>0</v>
      </c>
      <c r="P31" s="273"/>
      <c r="Q31" s="258"/>
      <c r="R31" s="259"/>
      <c r="S31" s="255">
        <f>SUMIFS('Livro Diario - FC'!$K$11:$K1028,'Livro Diario - FC'!$E$11:$E1028,$C$30,'Livro Diario - FC'!$D$11:$D1028,"&gt;=01/04"&amp;$C$7,'Livro Diario - FC'!$D$11:$D1028,"&lt;=30/04"&amp;$C$7)</f>
        <v>0</v>
      </c>
      <c r="T31" s="256">
        <f>SUMIFS('Livro Diario - FC'!$M$11:$M1028,'Livro Diario - FC'!$E$11:$E1028,$C$30,'Livro Diario - FC'!$D$11:$D1028,"&gt;=01/04"&amp;$C$7,'Livro Diario - FC'!$D$11:$D1028,"&lt;=30/04"&amp;$C$7)</f>
        <v>0</v>
      </c>
      <c r="U31" s="273"/>
      <c r="V31" s="258"/>
      <c r="W31" s="259"/>
      <c r="X31" s="255">
        <f>SUMIFS('Livro Diario - FC'!$K$11:$K1028,'Livro Diario - FC'!$E$11:$E1028,$C$30,'Livro Diario - FC'!$D$11:$D1028,"&gt;=01/05"&amp;$C$7,'Livro Diario - FC'!$D$11:$D1028,"&lt;=31/05"&amp;$C$7)</f>
        <v>0</v>
      </c>
      <c r="Y31" s="256">
        <f>SUMIFS('Livro Diario - FC'!$M$11:$M1028,'Livro Diario - FC'!$E$11:$E1028,$C$30,'Livro Diario - FC'!$D$11:$D1028,"&gt;=01/05"&amp;$C$7,'Livro Diario - FC'!$D$11:$D1028,"&lt;=31/05"&amp;$C$7)</f>
        <v>0</v>
      </c>
      <c r="Z31" s="273"/>
      <c r="AA31" s="258"/>
      <c r="AB31" s="259"/>
      <c r="AC31" s="255">
        <f>SUMIFS('Livro Diario - FC'!$K$11:$K1028,'Livro Diario - FC'!$E$11:$E1028,$C$30,'Livro Diario - FC'!$D$11:$D1028,"&gt;=01/06"&amp;$C$7,'Livro Diario - FC'!$D$11:$D1028,"&lt;=30/06"&amp;$C$7)</f>
        <v>0</v>
      </c>
      <c r="AD31" s="256">
        <f>SUMIFS('Livro Diario - FC'!$M$11:$M1028,'Livro Diario - FC'!$E$11:$E1028,$C$30,'Livro Diario - FC'!$D$11:$D1028,"&gt;=01/06"&amp;$C$7,'Livro Diario - FC'!$D$11:$D1028,"&lt;=30/06"&amp;$C$7)</f>
        <v>0</v>
      </c>
      <c r="AE31" s="273"/>
      <c r="AF31" s="258"/>
      <c r="AG31" s="255">
        <f>SUMIFS('Livro Diario - FC'!$K$11:$K1028,'Livro Diario - FC'!$E$11:$E1028,$C$30,'Livro Diario - FC'!$D$11:$D1028,"&gt;=01/07"&amp;$C$7,'Livro Diario - FC'!$D$11:$D1028,"&lt;=31/07"&amp;$C$7)</f>
        <v>0</v>
      </c>
      <c r="AH31" s="256">
        <f>SUMIFS('Livro Diario - FC'!$M$11:$M1028,'Livro Diario - FC'!$E$11:$E1028,$C$30,'Livro Diario - FC'!$D$11:$D1028,"&gt;=01/07"&amp;$C$7,'Livro Diario - FC'!$D$11:$D1028,"&lt;=31/07"&amp;$C$7)</f>
        <v>0</v>
      </c>
      <c r="AI31" s="273"/>
      <c r="AJ31" s="258"/>
      <c r="AK31" s="255">
        <f>SUMIFS('Livro Diario - FC'!$K$11:$K1028,'Livro Diario - FC'!$E$11:$E1028,$C$30,'Livro Diario - FC'!$D$11:$D1028,"&gt;=01/08"&amp;$C$7,'Livro Diario - FC'!$D$11:$D1028,"&lt;=31/08"&amp;$C$7)</f>
        <v>0</v>
      </c>
      <c r="AL31" s="256">
        <f>SUMIFS('Livro Diario - FC'!$M$11:$M1028,'Livro Diario - FC'!$E$11:$E1028,$C$30,'Livro Diario - FC'!$D$11:$D1028,"&gt;=01/08"&amp;$C$7,'Livro Diario - FC'!$D$11:$D1028,"&lt;=31/08"&amp;$C$7)</f>
        <v>0</v>
      </c>
      <c r="AM31" s="273"/>
      <c r="AN31" s="258"/>
      <c r="AO31" s="255">
        <f>SUMIFS('Livro Diario - FC'!$K$11:$K1028,'Livro Diario - FC'!$E$11:$E1028,$C$30,'Livro Diario - FC'!$D$11:$D1028,"&gt;=01/09"&amp;$C$7,'Livro Diario - FC'!$D$11:$D1028,"&lt;=30/09"&amp;$C$7)</f>
        <v>0</v>
      </c>
      <c r="AP31" s="256">
        <f>SUMIFS('Livro Diario - FC'!$M$11:$M1028,'Livro Diario - FC'!$E$11:$E1028,$C$30,'Livro Diario - FC'!$D$11:$D1028,"&gt;=01/09"&amp;$C$7,'Livro Diario - FC'!$D$11:$D1028,"&lt;=30/09"&amp;$C$7)</f>
        <v>0</v>
      </c>
      <c r="AQ31" s="273"/>
      <c r="AR31" s="258"/>
      <c r="AS31" s="255">
        <f>SUMIFS('Livro Diario - FC'!$K$11:$K1028,'Livro Diario - FC'!$E$11:$E1028,$C$30,'Livro Diario - FC'!$D$11:$D1028,"&gt;=01/10"&amp;$C$7,'Livro Diario - FC'!$D$11:$D1028,"&lt;=31/10"&amp;$C$7)</f>
        <v>0</v>
      </c>
      <c r="AT31" s="256">
        <f>SUMIFS('Livro Diario - FC'!$M$11:$M1028,'Livro Diario - FC'!$E$11:$E1028,$C$30,'Livro Diario - FC'!$D$11:$D1028,"&gt;=01/10"&amp;$C$7,'Livro Diario - FC'!$D$11:$D1028,"&lt;=31/10"&amp;$C$7)</f>
        <v>0</v>
      </c>
      <c r="AU31" s="273"/>
      <c r="AV31" s="258"/>
      <c r="AW31" s="255">
        <f>SUMIFS('Livro Diario - FC'!$K$11:$K1028,'Livro Diario - FC'!$E$11:$E1028,$C$30,'Livro Diario - FC'!$D$11:$D1028,"&gt;=01/11"&amp;$C$7,'Livro Diario - FC'!$D$11:$D1028,"&lt;=30/11"&amp;$C$7)</f>
        <v>0</v>
      </c>
      <c r="AX31" s="256">
        <f>SUMIFS('Livro Diario - FC'!$M$11:$M1028,'Livro Diario - FC'!$E$11:$E1028,$C$30,'Livro Diario - FC'!$D$11:$D1028,"&gt;=01/11"&amp;$C$7,'Livro Diario - FC'!$D$11:$D1028,"&lt;=30/11"&amp;$C$7)</f>
        <v>0</v>
      </c>
      <c r="AY31" s="273"/>
      <c r="AZ31" s="258"/>
      <c r="BA31" s="255">
        <f>SUMIFS('Livro Diario - FC'!$K$11:$K1028,'Livro Diario - FC'!$E$11:$E1028,$C$30,'Livro Diario - FC'!$D$11:$D1028,"&gt;=01/12"&amp;$C$7,'Livro Diario - FC'!$D$11:$D1028,"&lt;=31/12"&amp;$C$7)</f>
        <v>0</v>
      </c>
      <c r="BB31" s="256">
        <f>SUMIFS('Livro Diario - FC'!$M$11:$M1028,'Livro Diario - FC'!$E$11:$E1028,$C$30,'Livro Diario - FC'!$D$11:$D1028,"&gt;=01/12"&amp;$C$7,'Livro Diario - FC'!$D$11:$D1028,"&lt;=31/12"&amp;$C$7)</f>
        <v>0</v>
      </c>
      <c r="BC31" s="273"/>
      <c r="BD31" s="273"/>
      <c r="BE31" s="305">
        <f t="shared" ref="BE31:BF31" si="120">SUM(D31,I31,N31,S31,X31,AC31,AG31,AK31,AO31,AS31,AW31,BA31)</f>
        <v>0</v>
      </c>
      <c r="BF31" s="268">
        <f t="shared" si="120"/>
        <v>0</v>
      </c>
      <c r="BG31" s="269"/>
      <c r="BH31" s="192"/>
      <c r="BI31" s="303">
        <f>SUMIFS('Livro Diario - FC'!$M$11:$M1028,'Livro Diario - FC'!$E$11:$E1028,C31,'Livro Diario - FC'!$D$11:$D1028,"&gt;="&amp;$BK$8,'Livro Diario - FC'!$D$11:$D1028,"&lt;="&amp;$BK$9)</f>
        <v>0</v>
      </c>
      <c r="BJ31" s="271"/>
      <c r="BK31" s="272"/>
      <c r="BL31" s="1"/>
    </row>
    <row r="32">
      <c r="A32" s="1"/>
      <c r="B32" s="1"/>
      <c r="C32" s="300" t="str">
        <f>'Livro Diario - FC'!AE35</f>
        <v>4.1.7 Parcelamento Imposto</v>
      </c>
      <c r="D32" s="255">
        <f>SUMIFS('Livro Diario - FC'!$K$11:$K1028,'Livro Diario - FC'!$E$11:$E1028,$C$30,'Livro Diario - FC'!$D$11:$D1028,"&gt;=01/01"&amp;$C$7,'Livro Diario - FC'!$D$11:$D1028,"&lt;=31/01"&amp;$C$7)</f>
        <v>0</v>
      </c>
      <c r="E32" s="256">
        <f>SUMIFS('Livro Diario - FC'!$M$11:$M1028,'Livro Diario - FC'!$E$11:$E1028,$C$30,'Livro Diario - FC'!$D$11:$D1028,"&gt;=01/01"&amp;$C$7,'Livro Diario - FC'!$D$11:$D1028,"&lt;=31/01"&amp;$C$7)</f>
        <v>0</v>
      </c>
      <c r="F32" s="273"/>
      <c r="G32" s="258"/>
      <c r="H32" s="157"/>
      <c r="I32" s="255">
        <f>SUMIFS('Livro Diario - FC'!$K$11:$K1028,'Livro Diario - FC'!$E$11:$E1028,$C$30,'Livro Diario - FC'!$D$11:$D1028,"&gt;=01/02"&amp;$C$7,'Livro Diario - FC'!$D$11:$D1028,"&lt;=29/02"&amp;$C$7)</f>
        <v>0</v>
      </c>
      <c r="J32" s="256">
        <f>SUMIFS('Livro Diario - FC'!$M$11:$M1028,'Livro Diario - FC'!$E$11:$E1028,$C$30,'Livro Diario - FC'!$D$11:$D1028,"&gt;=01/02"&amp;$C$7,'Livro Diario - FC'!$D$11:$D1028,"&lt;=29/02"&amp;$C$7)</f>
        <v>0</v>
      </c>
      <c r="K32" s="273"/>
      <c r="L32" s="258"/>
      <c r="M32" s="259"/>
      <c r="N32" s="255">
        <f>SUMIFS('Livro Diario - FC'!$K$11:$K1028,'Livro Diario - FC'!$E$11:$E1028,$C$30,'Livro Diario - FC'!$D$11:$D1028,"&gt;=01/03"&amp;$C$7,'Livro Diario - FC'!$D$11:$D1028,"&lt;=31/03"&amp;$C$7)</f>
        <v>0</v>
      </c>
      <c r="O32" s="256">
        <f>SUMIFS('Livro Diario - FC'!$M$11:$M1028,'Livro Diario - FC'!$E$11:$E1028,$C$30,'Livro Diario - FC'!$D$11:$D1028,"&gt;=01/03"&amp;$C$7,'Livro Diario - FC'!$D$11:$D1028,"&lt;=31/03"&amp;$C$7)</f>
        <v>0</v>
      </c>
      <c r="P32" s="273"/>
      <c r="Q32" s="258"/>
      <c r="R32" s="259"/>
      <c r="S32" s="255">
        <f>SUMIFS('Livro Diario - FC'!$K$11:$K1028,'Livro Diario - FC'!$E$11:$E1028,$C$30,'Livro Diario - FC'!$D$11:$D1028,"&gt;=01/04"&amp;$C$7,'Livro Diario - FC'!$D$11:$D1028,"&lt;=30/04"&amp;$C$7)</f>
        <v>0</v>
      </c>
      <c r="T32" s="256">
        <f>SUMIFS('Livro Diario - FC'!$M$11:$M1028,'Livro Diario - FC'!$E$11:$E1028,$C$30,'Livro Diario - FC'!$D$11:$D1028,"&gt;=01/04"&amp;$C$7,'Livro Diario - FC'!$D$11:$D1028,"&lt;=30/04"&amp;$C$7)</f>
        <v>0</v>
      </c>
      <c r="U32" s="273"/>
      <c r="V32" s="258"/>
      <c r="W32" s="259"/>
      <c r="X32" s="255">
        <f>SUMIFS('Livro Diario - FC'!$K$11:$K1028,'Livro Diario - FC'!$E$11:$E1028,$C$30,'Livro Diario - FC'!$D$11:$D1028,"&gt;=01/05"&amp;$C$7,'Livro Diario - FC'!$D$11:$D1028,"&lt;=31/05"&amp;$C$7)</f>
        <v>0</v>
      </c>
      <c r="Y32" s="256">
        <f>SUMIFS('Livro Diario - FC'!$M$11:$M1028,'Livro Diario - FC'!$E$11:$E1028,$C$30,'Livro Diario - FC'!$D$11:$D1028,"&gt;=01/05"&amp;$C$7,'Livro Diario - FC'!$D$11:$D1028,"&lt;=31/05"&amp;$C$7)</f>
        <v>0</v>
      </c>
      <c r="Z32" s="273"/>
      <c r="AA32" s="258"/>
      <c r="AB32" s="259"/>
      <c r="AC32" s="255">
        <f>SUMIFS('Livro Diario - FC'!$K$11:$K1028,'Livro Diario - FC'!$E$11:$E1028,$C$30,'Livro Diario - FC'!$D$11:$D1028,"&gt;=01/06"&amp;$C$7,'Livro Diario - FC'!$D$11:$D1028,"&lt;=30/06"&amp;$C$7)</f>
        <v>0</v>
      </c>
      <c r="AD32" s="256">
        <f>SUMIFS('Livro Diario - FC'!$M$11:$M1028,'Livro Diario - FC'!$E$11:$E1028,$C$30,'Livro Diario - FC'!$D$11:$D1028,"&gt;=01/06"&amp;$C$7,'Livro Diario - FC'!$D$11:$D1028,"&lt;=30/06"&amp;$C$7)</f>
        <v>0</v>
      </c>
      <c r="AE32" s="273"/>
      <c r="AF32" s="258"/>
      <c r="AG32" s="255">
        <f>SUMIFS('Livro Diario - FC'!$K$11:$K1028,'Livro Diario - FC'!$E$11:$E1028,$C$30,'Livro Diario - FC'!$D$11:$D1028,"&gt;=01/07"&amp;$C$7,'Livro Diario - FC'!$D$11:$D1028,"&lt;=31/07"&amp;$C$7)</f>
        <v>0</v>
      </c>
      <c r="AH32" s="256">
        <f>SUMIFS('Livro Diario - FC'!$M$11:$M1028,'Livro Diario - FC'!$E$11:$E1028,$C$30,'Livro Diario - FC'!$D$11:$D1028,"&gt;=01/07"&amp;$C$7,'Livro Diario - FC'!$D$11:$D1028,"&lt;=31/07"&amp;$C$7)</f>
        <v>0</v>
      </c>
      <c r="AI32" s="273"/>
      <c r="AJ32" s="258"/>
      <c r="AK32" s="255">
        <f>SUMIFS('Livro Diario - FC'!$K$11:$K1028,'Livro Diario - FC'!$E$11:$E1028,$C$30,'Livro Diario - FC'!$D$11:$D1028,"&gt;=01/08"&amp;$C$7,'Livro Diario - FC'!$D$11:$D1028,"&lt;=31/08"&amp;$C$7)</f>
        <v>0</v>
      </c>
      <c r="AL32" s="256">
        <f>SUMIFS('Livro Diario - FC'!$M$11:$M1028,'Livro Diario - FC'!$E$11:$E1028,$C$30,'Livro Diario - FC'!$D$11:$D1028,"&gt;=01/08"&amp;$C$7,'Livro Diario - FC'!$D$11:$D1028,"&lt;=31/08"&amp;$C$7)</f>
        <v>0</v>
      </c>
      <c r="AM32" s="273"/>
      <c r="AN32" s="258"/>
      <c r="AO32" s="255">
        <f>SUMIFS('Livro Diario - FC'!$K$11:$K1028,'Livro Diario - FC'!$E$11:$E1028,$C$30,'Livro Diario - FC'!$D$11:$D1028,"&gt;=01/09"&amp;$C$7,'Livro Diario - FC'!$D$11:$D1028,"&lt;=30/09"&amp;$C$7)</f>
        <v>0</v>
      </c>
      <c r="AP32" s="256">
        <f>SUMIFS('Livro Diario - FC'!$M$11:$M1028,'Livro Diario - FC'!$E$11:$E1028,$C$30,'Livro Diario - FC'!$D$11:$D1028,"&gt;=01/09"&amp;$C$7,'Livro Diario - FC'!$D$11:$D1028,"&lt;=30/09"&amp;$C$7)</f>
        <v>0</v>
      </c>
      <c r="AQ32" s="273"/>
      <c r="AR32" s="258"/>
      <c r="AS32" s="255">
        <f>SUMIFS('Livro Diario - FC'!$K$11:$K1028,'Livro Diario - FC'!$E$11:$E1028,$C$30,'Livro Diario - FC'!$D$11:$D1028,"&gt;=01/10"&amp;$C$7,'Livro Diario - FC'!$D$11:$D1028,"&lt;=31/10"&amp;$C$7)</f>
        <v>0</v>
      </c>
      <c r="AT32" s="256">
        <f>SUMIFS('Livro Diario - FC'!$M$11:$M1028,'Livro Diario - FC'!$E$11:$E1028,$C$30,'Livro Diario - FC'!$D$11:$D1028,"&gt;=01/10"&amp;$C$7,'Livro Diario - FC'!$D$11:$D1028,"&lt;=31/10"&amp;$C$7)</f>
        <v>0</v>
      </c>
      <c r="AU32" s="273"/>
      <c r="AV32" s="258"/>
      <c r="AW32" s="255">
        <f>SUMIFS('Livro Diario - FC'!$K$11:$K1028,'Livro Diario - FC'!$E$11:$E1028,$C$30,'Livro Diario - FC'!$D$11:$D1028,"&gt;=01/11"&amp;$C$7,'Livro Diario - FC'!$D$11:$D1028,"&lt;=30/11"&amp;$C$7)</f>
        <v>0</v>
      </c>
      <c r="AX32" s="256">
        <f>SUMIFS('Livro Diario - FC'!$M$11:$M1028,'Livro Diario - FC'!$E$11:$E1028,$C$30,'Livro Diario - FC'!$D$11:$D1028,"&gt;=01/11"&amp;$C$7,'Livro Diario - FC'!$D$11:$D1028,"&lt;=30/11"&amp;$C$7)</f>
        <v>0</v>
      </c>
      <c r="AY32" s="273"/>
      <c r="AZ32" s="258"/>
      <c r="BA32" s="255">
        <f>SUMIFS('Livro Diario - FC'!$K$11:$K1028,'Livro Diario - FC'!$E$11:$E1028,$C$30,'Livro Diario - FC'!$D$11:$D1028,"&gt;=01/12"&amp;$C$7,'Livro Diario - FC'!$D$11:$D1028,"&lt;=31/12"&amp;$C$7)</f>
        <v>0</v>
      </c>
      <c r="BB32" s="256">
        <f>SUMIFS('Livro Diario - FC'!$M$11:$M1028,'Livro Diario - FC'!$E$11:$E1028,$C$30,'Livro Diario - FC'!$D$11:$D1028,"&gt;=01/12"&amp;$C$7,'Livro Diario - FC'!$D$11:$D1028,"&lt;=31/12"&amp;$C$7)</f>
        <v>0</v>
      </c>
      <c r="BC32" s="273"/>
      <c r="BD32" s="273"/>
      <c r="BE32" s="305">
        <f t="shared" ref="BE32:BF32" si="121">SUM(D32,I32,N32,S32,X32,AC32,AG32,AK32,AO32,AS32,AW32,BA32)</f>
        <v>0</v>
      </c>
      <c r="BF32" s="268">
        <f t="shared" si="121"/>
        <v>0</v>
      </c>
      <c r="BG32" s="269"/>
      <c r="BH32" s="192"/>
      <c r="BI32" s="303">
        <f>SUMIFS('Livro Diario - FC'!$M$11:$M1028,'Livro Diario - FC'!$E$11:$E1028,C32,'Livro Diario - FC'!$D$11:$D1028,"&gt;="&amp;$BK$8,'Livro Diario - FC'!$D$11:$D1028,"&lt;="&amp;$BK$9)</f>
        <v>0</v>
      </c>
      <c r="BJ32" s="271"/>
      <c r="BK32" s="272"/>
      <c r="BL32" s="1"/>
    </row>
    <row r="33">
      <c r="A33" s="1"/>
      <c r="B33" s="1"/>
      <c r="C33" s="300" t="str">
        <f>'Livro Diario - FC'!AE36</f>
        <v>4.1.8 .</v>
      </c>
      <c r="D33" s="255">
        <f>SUMIFS('Livro Diario - FC'!$K$11:$K1028,'Livro Diario - FC'!$E$11:$E1028,$C$30,'Livro Diario - FC'!$D$11:$D1028,"&gt;=01/01"&amp;$C$7,'Livro Diario - FC'!$D$11:$D1028,"&lt;=31/01"&amp;$C$7)</f>
        <v>0</v>
      </c>
      <c r="E33" s="256">
        <f>SUMIFS('Livro Diario - FC'!$M$11:$M1028,'Livro Diario - FC'!$E$11:$E1028,$C$30,'Livro Diario - FC'!$D$11:$D1028,"&gt;=01/01"&amp;$C$7,'Livro Diario - FC'!$D$11:$D1028,"&lt;=31/01"&amp;$C$7)</f>
        <v>0</v>
      </c>
      <c r="F33" s="273"/>
      <c r="G33" s="258"/>
      <c r="H33" s="157"/>
      <c r="I33" s="255">
        <f>SUMIFS('Livro Diario - FC'!$K$11:$K1028,'Livro Diario - FC'!$E$11:$E1028,$C$30,'Livro Diario - FC'!$D$11:$D1028,"&gt;=01/02"&amp;$C$7,'Livro Diario - FC'!$D$11:$D1028,"&lt;=29/02"&amp;$C$7)</f>
        <v>0</v>
      </c>
      <c r="J33" s="256">
        <f>SUMIFS('Livro Diario - FC'!$M$11:$M1028,'Livro Diario - FC'!$E$11:$E1028,$C$30,'Livro Diario - FC'!$D$11:$D1028,"&gt;=01/02"&amp;$C$7,'Livro Diario - FC'!$D$11:$D1028,"&lt;=29/02"&amp;$C$7)</f>
        <v>0</v>
      </c>
      <c r="K33" s="273"/>
      <c r="L33" s="258"/>
      <c r="M33" s="259"/>
      <c r="N33" s="255">
        <f>SUMIFS('Livro Diario - FC'!$K$11:$K1028,'Livro Diario - FC'!$E$11:$E1028,$C$30,'Livro Diario - FC'!$D$11:$D1028,"&gt;=01/03"&amp;$C$7,'Livro Diario - FC'!$D$11:$D1028,"&lt;=31/03"&amp;$C$7)</f>
        <v>0</v>
      </c>
      <c r="O33" s="256">
        <f>SUMIFS('Livro Diario - FC'!$M$11:$M1028,'Livro Diario - FC'!$E$11:$E1028,$C$30,'Livro Diario - FC'!$D$11:$D1028,"&gt;=01/03"&amp;$C$7,'Livro Diario - FC'!$D$11:$D1028,"&lt;=31/03"&amp;$C$7)</f>
        <v>0</v>
      </c>
      <c r="P33" s="273"/>
      <c r="Q33" s="258"/>
      <c r="R33" s="259"/>
      <c r="S33" s="255">
        <f>SUMIFS('Livro Diario - FC'!$K$11:$K1028,'Livro Diario - FC'!$E$11:$E1028,$C$30,'Livro Diario - FC'!$D$11:$D1028,"&gt;=01/04"&amp;$C$7,'Livro Diario - FC'!$D$11:$D1028,"&lt;=30/04"&amp;$C$7)</f>
        <v>0</v>
      </c>
      <c r="T33" s="256">
        <f>SUMIFS('Livro Diario - FC'!$M$11:$M1028,'Livro Diario - FC'!$E$11:$E1028,$C$30,'Livro Diario - FC'!$D$11:$D1028,"&gt;=01/04"&amp;$C$7,'Livro Diario - FC'!$D$11:$D1028,"&lt;=30/04"&amp;$C$7)</f>
        <v>0</v>
      </c>
      <c r="U33" s="273"/>
      <c r="V33" s="258"/>
      <c r="W33" s="259"/>
      <c r="X33" s="255">
        <f>SUMIFS('Livro Diario - FC'!$K$11:$K1028,'Livro Diario - FC'!$E$11:$E1028,$C$30,'Livro Diario - FC'!$D$11:$D1028,"&gt;=01/05"&amp;$C$7,'Livro Diario - FC'!$D$11:$D1028,"&lt;=31/05"&amp;$C$7)</f>
        <v>0</v>
      </c>
      <c r="Y33" s="256">
        <f>SUMIFS('Livro Diario - FC'!$M$11:$M1028,'Livro Diario - FC'!$E$11:$E1028,$C$30,'Livro Diario - FC'!$D$11:$D1028,"&gt;=01/05"&amp;$C$7,'Livro Diario - FC'!$D$11:$D1028,"&lt;=31/05"&amp;$C$7)</f>
        <v>0</v>
      </c>
      <c r="Z33" s="273"/>
      <c r="AA33" s="258"/>
      <c r="AB33" s="259"/>
      <c r="AC33" s="255">
        <f>SUMIFS('Livro Diario - FC'!$K$11:$K1028,'Livro Diario - FC'!$E$11:$E1028,$C$30,'Livro Diario - FC'!$D$11:$D1028,"&gt;=01/06"&amp;$C$7,'Livro Diario - FC'!$D$11:$D1028,"&lt;=30/06"&amp;$C$7)</f>
        <v>0</v>
      </c>
      <c r="AD33" s="256">
        <f>SUMIFS('Livro Diario - FC'!$M$11:$M1028,'Livro Diario - FC'!$E$11:$E1028,$C$30,'Livro Diario - FC'!$D$11:$D1028,"&gt;=01/06"&amp;$C$7,'Livro Diario - FC'!$D$11:$D1028,"&lt;=30/06"&amp;$C$7)</f>
        <v>0</v>
      </c>
      <c r="AE33" s="273"/>
      <c r="AF33" s="258"/>
      <c r="AG33" s="255">
        <f>SUMIFS('Livro Diario - FC'!$K$11:$K1028,'Livro Diario - FC'!$E$11:$E1028,$C$30,'Livro Diario - FC'!$D$11:$D1028,"&gt;=01/07"&amp;$C$7,'Livro Diario - FC'!$D$11:$D1028,"&lt;=31/07"&amp;$C$7)</f>
        <v>0</v>
      </c>
      <c r="AH33" s="256">
        <f>SUMIFS('Livro Diario - FC'!$M$11:$M1028,'Livro Diario - FC'!$E$11:$E1028,$C$30,'Livro Diario - FC'!$D$11:$D1028,"&gt;=01/07"&amp;$C$7,'Livro Diario - FC'!$D$11:$D1028,"&lt;=31/07"&amp;$C$7)</f>
        <v>0</v>
      </c>
      <c r="AI33" s="273"/>
      <c r="AJ33" s="258"/>
      <c r="AK33" s="255">
        <f>SUMIFS('Livro Diario - FC'!$K$11:$K1028,'Livro Diario - FC'!$E$11:$E1028,$C$30,'Livro Diario - FC'!$D$11:$D1028,"&gt;=01/08"&amp;$C$7,'Livro Diario - FC'!$D$11:$D1028,"&lt;=31/08"&amp;$C$7)</f>
        <v>0</v>
      </c>
      <c r="AL33" s="256">
        <f>SUMIFS('Livro Diario - FC'!$M$11:$M1028,'Livro Diario - FC'!$E$11:$E1028,$C$30,'Livro Diario - FC'!$D$11:$D1028,"&gt;=01/08"&amp;$C$7,'Livro Diario - FC'!$D$11:$D1028,"&lt;=31/08"&amp;$C$7)</f>
        <v>0</v>
      </c>
      <c r="AM33" s="273"/>
      <c r="AN33" s="258"/>
      <c r="AO33" s="255">
        <f>SUMIFS('Livro Diario - FC'!$K$11:$K1028,'Livro Diario - FC'!$E$11:$E1028,$C$30,'Livro Diario - FC'!$D$11:$D1028,"&gt;=01/09"&amp;$C$7,'Livro Diario - FC'!$D$11:$D1028,"&lt;=30/09"&amp;$C$7)</f>
        <v>0</v>
      </c>
      <c r="AP33" s="256">
        <f>SUMIFS('Livro Diario - FC'!$M$11:$M1028,'Livro Diario - FC'!$E$11:$E1028,$C$30,'Livro Diario - FC'!$D$11:$D1028,"&gt;=01/09"&amp;$C$7,'Livro Diario - FC'!$D$11:$D1028,"&lt;=30/09"&amp;$C$7)</f>
        <v>0</v>
      </c>
      <c r="AQ33" s="273"/>
      <c r="AR33" s="258"/>
      <c r="AS33" s="255">
        <f>SUMIFS('Livro Diario - FC'!$K$11:$K1028,'Livro Diario - FC'!$E$11:$E1028,$C$30,'Livro Diario - FC'!$D$11:$D1028,"&gt;=01/10"&amp;$C$7,'Livro Diario - FC'!$D$11:$D1028,"&lt;=31/10"&amp;$C$7)</f>
        <v>0</v>
      </c>
      <c r="AT33" s="256">
        <f>SUMIFS('Livro Diario - FC'!$M$11:$M1028,'Livro Diario - FC'!$E$11:$E1028,$C$30,'Livro Diario - FC'!$D$11:$D1028,"&gt;=01/10"&amp;$C$7,'Livro Diario - FC'!$D$11:$D1028,"&lt;=31/10"&amp;$C$7)</f>
        <v>0</v>
      </c>
      <c r="AU33" s="273"/>
      <c r="AV33" s="258"/>
      <c r="AW33" s="255">
        <f>SUMIFS('Livro Diario - FC'!$K$11:$K1028,'Livro Diario - FC'!$E$11:$E1028,$C$30,'Livro Diario - FC'!$D$11:$D1028,"&gt;=01/11"&amp;$C$7,'Livro Diario - FC'!$D$11:$D1028,"&lt;=30/11"&amp;$C$7)</f>
        <v>0</v>
      </c>
      <c r="AX33" s="256">
        <f>SUMIFS('Livro Diario - FC'!$M$11:$M1028,'Livro Diario - FC'!$E$11:$E1028,$C$30,'Livro Diario - FC'!$D$11:$D1028,"&gt;=01/11"&amp;$C$7,'Livro Diario - FC'!$D$11:$D1028,"&lt;=30/11"&amp;$C$7)</f>
        <v>0</v>
      </c>
      <c r="AY33" s="273"/>
      <c r="AZ33" s="258"/>
      <c r="BA33" s="255">
        <f>SUMIFS('Livro Diario - FC'!$K$11:$K1028,'Livro Diario - FC'!$E$11:$E1028,$C$30,'Livro Diario - FC'!$D$11:$D1028,"&gt;=01/12"&amp;$C$7,'Livro Diario - FC'!$D$11:$D1028,"&lt;=31/12"&amp;$C$7)</f>
        <v>0</v>
      </c>
      <c r="BB33" s="256">
        <f>SUMIFS('Livro Diario - FC'!$M$11:$M1028,'Livro Diario - FC'!$E$11:$E1028,$C$30,'Livro Diario - FC'!$D$11:$D1028,"&gt;=01/12"&amp;$C$7,'Livro Diario - FC'!$D$11:$D1028,"&lt;=31/12"&amp;$C$7)</f>
        <v>0</v>
      </c>
      <c r="BC33" s="273"/>
      <c r="BD33" s="273"/>
      <c r="BE33" s="305">
        <f t="shared" ref="BE33:BF33" si="122">SUM(D33,I33,N33,S33,X33,AC33,AG33,AK33,AO33,AS33,AW33,BA33)</f>
        <v>0</v>
      </c>
      <c r="BF33" s="268">
        <f t="shared" si="122"/>
        <v>0</v>
      </c>
      <c r="BG33" s="269"/>
      <c r="BH33" s="192"/>
      <c r="BI33" s="303">
        <f>SUMIFS('Livro Diario - FC'!$M$11:$M1028,'Livro Diario - FC'!$E$11:$E1028,C33,'Livro Diario - FC'!$D$11:$D1028,"&gt;="&amp;$BK$8,'Livro Diario - FC'!$D$11:$D1028,"&lt;="&amp;$BK$9)</f>
        <v>0</v>
      </c>
      <c r="BJ33" s="271"/>
      <c r="BK33" s="272"/>
      <c r="BL33" s="1"/>
    </row>
    <row r="34">
      <c r="A34" s="1"/>
      <c r="B34" s="1"/>
      <c r="C34" s="300" t="str">
        <f>'Livro Diario - FC'!AE37</f>
        <v>4.1.9 .</v>
      </c>
      <c r="D34" s="255">
        <f>SUMIFS('Livro Diario - FC'!$K$11:$K1028,'Livro Diario - FC'!$E$11:$E1028,$C$30,'Livro Diario - FC'!$D$11:$D1028,"&gt;=01/01"&amp;$C$7,'Livro Diario - FC'!$D$11:$D1028,"&lt;=31/01"&amp;$C$7)</f>
        <v>0</v>
      </c>
      <c r="E34" s="256">
        <f>SUMIFS('Livro Diario - FC'!$M$11:$M1028,'Livro Diario - FC'!$E$11:$E1028,$C$30,'Livro Diario - FC'!$D$11:$D1028,"&gt;=01/01"&amp;$C$7,'Livro Diario - FC'!$D$11:$D1028,"&lt;=31/01"&amp;$C$7)</f>
        <v>0</v>
      </c>
      <c r="F34" s="273"/>
      <c r="G34" s="258"/>
      <c r="H34" s="157"/>
      <c r="I34" s="255">
        <f>SUMIFS('Livro Diario - FC'!$K$11:$K1028,'Livro Diario - FC'!$E$11:$E1028,$C$30,'Livro Diario - FC'!$D$11:$D1028,"&gt;=01/02"&amp;$C$7,'Livro Diario - FC'!$D$11:$D1028,"&lt;=29/02"&amp;$C$7)</f>
        <v>0</v>
      </c>
      <c r="J34" s="256">
        <f>SUMIFS('Livro Diario - FC'!$M$11:$M1028,'Livro Diario - FC'!$E$11:$E1028,$C$30,'Livro Diario - FC'!$D$11:$D1028,"&gt;=01/02"&amp;$C$7,'Livro Diario - FC'!$D$11:$D1028,"&lt;=29/02"&amp;$C$7)</f>
        <v>0</v>
      </c>
      <c r="K34" s="273"/>
      <c r="L34" s="258"/>
      <c r="M34" s="259"/>
      <c r="N34" s="255">
        <f>SUMIFS('Livro Diario - FC'!$K$11:$K1028,'Livro Diario - FC'!$E$11:$E1028,$C$30,'Livro Diario - FC'!$D$11:$D1028,"&gt;=01/03"&amp;$C$7,'Livro Diario - FC'!$D$11:$D1028,"&lt;=31/03"&amp;$C$7)</f>
        <v>0</v>
      </c>
      <c r="O34" s="256">
        <f>SUMIFS('Livro Diario - FC'!$M$11:$M1028,'Livro Diario - FC'!$E$11:$E1028,$C$30,'Livro Diario - FC'!$D$11:$D1028,"&gt;=01/03"&amp;$C$7,'Livro Diario - FC'!$D$11:$D1028,"&lt;=31/03"&amp;$C$7)</f>
        <v>0</v>
      </c>
      <c r="P34" s="273"/>
      <c r="Q34" s="258"/>
      <c r="R34" s="259"/>
      <c r="S34" s="255">
        <f>SUMIFS('Livro Diario - FC'!$K$11:$K1028,'Livro Diario - FC'!$E$11:$E1028,$C$30,'Livro Diario - FC'!$D$11:$D1028,"&gt;=01/04"&amp;$C$7,'Livro Diario - FC'!$D$11:$D1028,"&lt;=30/04"&amp;$C$7)</f>
        <v>0</v>
      </c>
      <c r="T34" s="256">
        <f>SUMIFS('Livro Diario - FC'!$M$11:$M1028,'Livro Diario - FC'!$E$11:$E1028,$C$30,'Livro Diario - FC'!$D$11:$D1028,"&gt;=01/04"&amp;$C$7,'Livro Diario - FC'!$D$11:$D1028,"&lt;=30/04"&amp;$C$7)</f>
        <v>0</v>
      </c>
      <c r="U34" s="273"/>
      <c r="V34" s="258"/>
      <c r="W34" s="259"/>
      <c r="X34" s="255">
        <f>SUMIFS('Livro Diario - FC'!$K$11:$K1028,'Livro Diario - FC'!$E$11:$E1028,$C$30,'Livro Diario - FC'!$D$11:$D1028,"&gt;=01/05"&amp;$C$7,'Livro Diario - FC'!$D$11:$D1028,"&lt;=31/05"&amp;$C$7)</f>
        <v>0</v>
      </c>
      <c r="Y34" s="256">
        <f>SUMIFS('Livro Diario - FC'!$M$11:$M1028,'Livro Diario - FC'!$E$11:$E1028,$C$30,'Livro Diario - FC'!$D$11:$D1028,"&gt;=01/05"&amp;$C$7,'Livro Diario - FC'!$D$11:$D1028,"&lt;=31/05"&amp;$C$7)</f>
        <v>0</v>
      </c>
      <c r="Z34" s="273"/>
      <c r="AA34" s="258"/>
      <c r="AB34" s="259"/>
      <c r="AC34" s="255">
        <f>SUMIFS('Livro Diario - FC'!$K$11:$K1028,'Livro Diario - FC'!$E$11:$E1028,$C$30,'Livro Diario - FC'!$D$11:$D1028,"&gt;=01/06"&amp;$C$7,'Livro Diario - FC'!$D$11:$D1028,"&lt;=30/06"&amp;$C$7)</f>
        <v>0</v>
      </c>
      <c r="AD34" s="256">
        <f>SUMIFS('Livro Diario - FC'!$M$11:$M1028,'Livro Diario - FC'!$E$11:$E1028,$C$30,'Livro Diario - FC'!$D$11:$D1028,"&gt;=01/06"&amp;$C$7,'Livro Diario - FC'!$D$11:$D1028,"&lt;=30/06"&amp;$C$7)</f>
        <v>0</v>
      </c>
      <c r="AE34" s="273"/>
      <c r="AF34" s="258"/>
      <c r="AG34" s="255">
        <f>SUMIFS('Livro Diario - FC'!$K$11:$K1028,'Livro Diario - FC'!$E$11:$E1028,$C$30,'Livro Diario - FC'!$D$11:$D1028,"&gt;=01/07"&amp;$C$7,'Livro Diario - FC'!$D$11:$D1028,"&lt;=31/07"&amp;$C$7)</f>
        <v>0</v>
      </c>
      <c r="AH34" s="256">
        <f>SUMIFS('Livro Diario - FC'!$M$11:$M1028,'Livro Diario - FC'!$E$11:$E1028,$C$30,'Livro Diario - FC'!$D$11:$D1028,"&gt;=01/07"&amp;$C$7,'Livro Diario - FC'!$D$11:$D1028,"&lt;=31/07"&amp;$C$7)</f>
        <v>0</v>
      </c>
      <c r="AI34" s="273"/>
      <c r="AJ34" s="258"/>
      <c r="AK34" s="255">
        <f>SUMIFS('Livro Diario - FC'!$K$11:$K1028,'Livro Diario - FC'!$E$11:$E1028,$C$30,'Livro Diario - FC'!$D$11:$D1028,"&gt;=01/08"&amp;$C$7,'Livro Diario - FC'!$D$11:$D1028,"&lt;=31/08"&amp;$C$7)</f>
        <v>0</v>
      </c>
      <c r="AL34" s="256">
        <f>SUMIFS('Livro Diario - FC'!$M$11:$M1028,'Livro Diario - FC'!$E$11:$E1028,$C$30,'Livro Diario - FC'!$D$11:$D1028,"&gt;=01/08"&amp;$C$7,'Livro Diario - FC'!$D$11:$D1028,"&lt;=31/08"&amp;$C$7)</f>
        <v>0</v>
      </c>
      <c r="AM34" s="273"/>
      <c r="AN34" s="258"/>
      <c r="AO34" s="255">
        <f>SUMIFS('Livro Diario - FC'!$K$11:$K1028,'Livro Diario - FC'!$E$11:$E1028,$C$30,'Livro Diario - FC'!$D$11:$D1028,"&gt;=01/09"&amp;$C$7,'Livro Diario - FC'!$D$11:$D1028,"&lt;=30/09"&amp;$C$7)</f>
        <v>0</v>
      </c>
      <c r="AP34" s="256">
        <f>SUMIFS('Livro Diario - FC'!$M$11:$M1028,'Livro Diario - FC'!$E$11:$E1028,$C$30,'Livro Diario - FC'!$D$11:$D1028,"&gt;=01/09"&amp;$C$7,'Livro Diario - FC'!$D$11:$D1028,"&lt;=30/09"&amp;$C$7)</f>
        <v>0</v>
      </c>
      <c r="AQ34" s="273"/>
      <c r="AR34" s="258"/>
      <c r="AS34" s="255">
        <f>SUMIFS('Livro Diario - FC'!$K$11:$K1028,'Livro Diario - FC'!$E$11:$E1028,$C$30,'Livro Diario - FC'!$D$11:$D1028,"&gt;=01/10"&amp;$C$7,'Livro Diario - FC'!$D$11:$D1028,"&lt;=31/10"&amp;$C$7)</f>
        <v>0</v>
      </c>
      <c r="AT34" s="256">
        <f>SUMIFS('Livro Diario - FC'!$M$11:$M1028,'Livro Diario - FC'!$E$11:$E1028,$C$30,'Livro Diario - FC'!$D$11:$D1028,"&gt;=01/10"&amp;$C$7,'Livro Diario - FC'!$D$11:$D1028,"&lt;=31/10"&amp;$C$7)</f>
        <v>0</v>
      </c>
      <c r="AU34" s="273"/>
      <c r="AV34" s="258"/>
      <c r="AW34" s="255">
        <f>SUMIFS('Livro Diario - FC'!$K$11:$K1028,'Livro Diario - FC'!$E$11:$E1028,$C$30,'Livro Diario - FC'!$D$11:$D1028,"&gt;=01/11"&amp;$C$7,'Livro Diario - FC'!$D$11:$D1028,"&lt;=30/11"&amp;$C$7)</f>
        <v>0</v>
      </c>
      <c r="AX34" s="256">
        <f>SUMIFS('Livro Diario - FC'!$M$11:$M1028,'Livro Diario - FC'!$E$11:$E1028,$C$30,'Livro Diario - FC'!$D$11:$D1028,"&gt;=01/11"&amp;$C$7,'Livro Diario - FC'!$D$11:$D1028,"&lt;=30/11"&amp;$C$7)</f>
        <v>0</v>
      </c>
      <c r="AY34" s="273"/>
      <c r="AZ34" s="258"/>
      <c r="BA34" s="255">
        <f>SUMIFS('Livro Diario - FC'!$K$11:$K1028,'Livro Diario - FC'!$E$11:$E1028,$C$30,'Livro Diario - FC'!$D$11:$D1028,"&gt;=01/12"&amp;$C$7,'Livro Diario - FC'!$D$11:$D1028,"&lt;=31/12"&amp;$C$7)</f>
        <v>0</v>
      </c>
      <c r="BB34" s="256">
        <f>SUMIFS('Livro Diario - FC'!$M$11:$M1028,'Livro Diario - FC'!$E$11:$E1028,$C$30,'Livro Diario - FC'!$D$11:$D1028,"&gt;=01/12"&amp;$C$7,'Livro Diario - FC'!$D$11:$D1028,"&lt;=31/12"&amp;$C$7)</f>
        <v>0</v>
      </c>
      <c r="BC34" s="273"/>
      <c r="BD34" s="273"/>
      <c r="BE34" s="305">
        <f t="shared" ref="BE34:BF34" si="123">SUM(D34,I34,N34,S34,X34,AC34,AG34,AK34,AO34,AS34,AW34,BA34)</f>
        <v>0</v>
      </c>
      <c r="BF34" s="268">
        <f t="shared" si="123"/>
        <v>0</v>
      </c>
      <c r="BG34" s="269"/>
      <c r="BH34" s="192"/>
      <c r="BI34" s="303">
        <f>SUMIFS('Livro Diario - FC'!$M$11:$M1028,'Livro Diario - FC'!$E$11:$E1028,C34,'Livro Diario - FC'!$D$11:$D1028,"&gt;="&amp;$BK$8,'Livro Diario - FC'!$D$11:$D1028,"&lt;="&amp;$BK$9)</f>
        <v>0</v>
      </c>
      <c r="BJ34" s="271"/>
      <c r="BK34" s="272"/>
      <c r="BL34" s="1"/>
    </row>
    <row r="35" ht="25.5" customHeight="1">
      <c r="A35" s="1"/>
      <c r="B35" s="1"/>
      <c r="C35" s="306" t="s">
        <v>121</v>
      </c>
      <c r="D35" s="307">
        <f>SUMIFS('Livro Diario - FC'!$K$11:$K1028,'Livro Diario - FC'!$E$11:$E1028,$C$35,'Livro Diario - FC'!$D$11:$D1028,"&gt;=01/01"&amp;$C$7,'Livro Diario - FC'!$D$11:$D1028,"&lt;=31/01"&amp;$C$7)+SUM(D36+D133+D149+D189+D206)</f>
        <v>10707.89</v>
      </c>
      <c r="E35" s="308">
        <f>SUMIFS('Livro Diario - FC'!$K$11:$K1028,'Livro Diario - FC'!$E$11:$E1028,$C$35,'Livro Diario - FC'!$D$11:$D1028,"&gt;=01/01"&amp;$C$7,'Livro Diario - FC'!$D$11:$D1028,"&lt;=31/01"&amp;$C$7)+SUM(E36+E133+E149+E189+E206)</f>
        <v>10707.89</v>
      </c>
      <c r="F35" s="309">
        <f t="shared" ref="F35:F36" si="125">IF(E$11=0,"",E35/E$11)</f>
        <v>1.381003908</v>
      </c>
      <c r="G35" s="310" t="str">
        <f>IF(A35=0,"",E35/A35-1)</f>
        <v/>
      </c>
      <c r="H35" s="311"/>
      <c r="I35" s="307">
        <f>SUMIFS('Livro Diario - FC'!$K$11:$K1028,'Livro Diario - FC'!$E$11:$E1028,$C$35,'Livro Diario - FC'!$D$11:$D1028,"&gt;=01/02"&amp;$C$7,'Livro Diario - FC'!$D$11:$D1028,"&lt;=29/02"&amp;$C$7)+SUM(I36+I133+I149+I189+I206)</f>
        <v>0</v>
      </c>
      <c r="J35" s="308">
        <f>SUMIFS('Livro Diario - FC'!$K$11:$K1028,'Livro Diario - FC'!$E$11:$E1028,$C$35,'Livro Diario - FC'!$D$11:$D1028,"&gt;=01/02"&amp;$C$7,'Livro Diario - FC'!$D$11:$D1028,"&lt;=29/02"&amp;$C$7)+SUM(J36+J133+J149+J189+J206)</f>
        <v>0</v>
      </c>
      <c r="K35" s="309" t="str">
        <f t="shared" ref="K35:K36" si="126">IF(J$11=0,"",J35/J$11)</f>
        <v/>
      </c>
      <c r="L35" s="310">
        <f>IF(E35=0,"",J35/E35-1)</f>
        <v>-1</v>
      </c>
      <c r="M35" s="312"/>
      <c r="N35" s="307">
        <f>SUMIFS('Livro Diario - FC'!$K$11:$K1028,'Livro Diario - FC'!$E$11:$E1028,$C$35,'Livro Diario - FC'!$D$11:$D1028,"&gt;=01/03"&amp;$C$7,'Livro Diario - FC'!$D$11:$D1028,"&lt;=31/03"&amp;$C$7)+SUM(N36+N133+N149+N189+N206)</f>
        <v>0</v>
      </c>
      <c r="O35" s="308">
        <f>SUMIFS('Livro Diario - FC'!$K$11:$K1028,'Livro Diario - FC'!$E$11:$E1028,$C$35,'Livro Diario - FC'!$D$11:$D1028,"&gt;=01/03"&amp;$C$7,'Livro Diario - FC'!$D$11:$D1028,"&lt;=31/03"&amp;$C$7)+SUM(O36+O133+O149+O189+O206)</f>
        <v>0</v>
      </c>
      <c r="P35" s="309" t="str">
        <f t="shared" ref="P35:P36" si="127">IF(O$11=0,"",O35/O$11)</f>
        <v/>
      </c>
      <c r="Q35" s="310" t="str">
        <f>IF(J35=0,"",O35/J35-1)</f>
        <v/>
      </c>
      <c r="R35" s="312"/>
      <c r="S35" s="307">
        <f>SUMIFS('Livro Diario - FC'!$K$11:$K1028,'Livro Diario - FC'!$E$11:$E1028,$C$35,'Livro Diario - FC'!$D$11:$D1028,"&gt;=01/04"&amp;$C$7,'Livro Diario - FC'!$D$11:$D1028,"&lt;=30/04"&amp;$C$7)+SUM(S36+S133+S149+S189+S206)</f>
        <v>0</v>
      </c>
      <c r="T35" s="308">
        <f>SUMIFS('Livro Diario - FC'!$K$11:$K1028,'Livro Diario - FC'!$E$11:$E1028,$C$35,'Livro Diario - FC'!$D$11:$D1028,"&gt;=01/04"&amp;$C$7,'Livro Diario - FC'!$D$11:$D1028,"&lt;=30/04"&amp;$C$7)+SUM(T36+T133+T149+T189+T206)</f>
        <v>0</v>
      </c>
      <c r="U35" s="309" t="str">
        <f t="shared" ref="U35:U36" si="128">IF(T$11=0,"",T35/T$11)</f>
        <v/>
      </c>
      <c r="V35" s="310" t="str">
        <f>IF(O35=0,"",T35/O35-1)</f>
        <v/>
      </c>
      <c r="W35" s="312"/>
      <c r="X35" s="307">
        <f>SUMIFS('Livro Diario - FC'!$K$11:$K1028,'Livro Diario - FC'!$E$11:$E1028,$C$35,'Livro Diario - FC'!$D$11:$D1028,"&gt;=01/05"&amp;$C$7,'Livro Diario - FC'!$D$11:$D1028,"&lt;=31/05"&amp;$C$7)+SUM(X36+X133+X149+X189+X206)</f>
        <v>0</v>
      </c>
      <c r="Y35" s="308">
        <f>SUMIFS('Livro Diario - FC'!$K$11:$K1028,'Livro Diario - FC'!$E$11:$E1028,$C$35,'Livro Diario - FC'!$D$11:$D1028,"&gt;=01/05"&amp;$C$7,'Livro Diario - FC'!$D$11:$D1028,"&lt;=31/05"&amp;$C$7)+SUM(Y36+Y133+Y149+Y189+Y206)</f>
        <v>0</v>
      </c>
      <c r="Z35" s="309" t="str">
        <f t="shared" ref="Z35:Z36" si="129">IF(Y$11=0,"",Y35/Y$11)</f>
        <v/>
      </c>
      <c r="AA35" s="310" t="str">
        <f>IF(T35=0,"",Y35/T35-1)</f>
        <v/>
      </c>
      <c r="AB35" s="312"/>
      <c r="AC35" s="307">
        <f>SUMIFS('Livro Diario - FC'!$K$11:$K1028,'Livro Diario - FC'!$E$11:$E1028,$C$35,'Livro Diario - FC'!$D$11:$D1028,"&gt;=01/06"&amp;$C$7,'Livro Diario - FC'!$D$11:$D1028,"&lt;=30/06"&amp;$C$7)+SUM(AC36+AC133+AC149+AC189+AC206)</f>
        <v>0</v>
      </c>
      <c r="AD35" s="308">
        <f>SUMIFS('Livro Diario - FC'!$K$11:$K1028,'Livro Diario - FC'!$E$11:$E1028,$C$35,'Livro Diario - FC'!$D$11:$D1028,"&gt;=01/06"&amp;$C$7,'Livro Diario - FC'!$D$11:$D1028,"&lt;=30/06"&amp;$C$7)+SUM(AD36+AD133+AD149+AD189+AD206)</f>
        <v>0</v>
      </c>
      <c r="AE35" s="309" t="str">
        <f t="shared" ref="AE35:AE36" si="130">IF(AD$11=0,"",AD35/AD$11)</f>
        <v/>
      </c>
      <c r="AF35" s="310" t="str">
        <f>IF(Y35=0,"",AD35/Y35-1)</f>
        <v/>
      </c>
      <c r="AG35" s="307">
        <f>SUMIFS('Livro Diario - FC'!$K$11:$K1028,'Livro Diario - FC'!$E$11:$E1028,$C$35,'Livro Diario - FC'!$D$11:$D1028,"&gt;=01/07"&amp;$C$7,'Livro Diario - FC'!$D$11:$D1028,"&lt;=31/07"&amp;$C$7)+SUM(AG36+AG133+AG149+AG189+AG206)</f>
        <v>0</v>
      </c>
      <c r="AH35" s="308">
        <f>SUMIFS('Livro Diario - FC'!$K$11:$K1028,'Livro Diario - FC'!$E$11:$E1028,$C$35,'Livro Diario - FC'!$D$11:$D1028,"&gt;=01/07"&amp;$C$7,'Livro Diario - FC'!$D$11:$D1028,"&lt;=31/07"&amp;$C$7)+SUM(AH36+AH133+AH149+AH189+AH206)</f>
        <v>0</v>
      </c>
      <c r="AI35" s="309" t="str">
        <f t="shared" ref="AI35:AI36" si="131">IF(AH$11=0,"",AH35/AH$11)</f>
        <v/>
      </c>
      <c r="AJ35" s="310" t="str">
        <f>IF(AD35=0,"",AH35/AD35-1)</f>
        <v/>
      </c>
      <c r="AK35" s="307">
        <f>SUMIFS('Livro Diario - FC'!$K$11:$K1028,'Livro Diario - FC'!$E$11:$E1028,$C$35,'Livro Diario - FC'!$D$11:$D1028,"&gt;=01/08"&amp;$C$7,'Livro Diario - FC'!$D$11:$D1028,"&lt;=31/08"&amp;$C$7)+SUM(AK36+AK133+AK149+AK189+AK206)</f>
        <v>0</v>
      </c>
      <c r="AL35" s="308">
        <f>SUMIFS('Livro Diario - FC'!$K$11:$K1028,'Livro Diario - FC'!$E$11:$E1028,$C$35,'Livro Diario - FC'!$D$11:$D1028,"&gt;=01/08"&amp;$C$7,'Livro Diario - FC'!$D$11:$D1028,"&lt;=31/08"&amp;$C$7)+SUM(AL36+AL133+AL149+AL189+AL206)</f>
        <v>0</v>
      </c>
      <c r="AM35" s="309" t="str">
        <f t="shared" ref="AM35:AM36" si="132">IF(AL$11=0,"",AL35/AL$11)</f>
        <v/>
      </c>
      <c r="AN35" s="310" t="str">
        <f>IF(AH35=0,"",AL35/AH35-1)</f>
        <v/>
      </c>
      <c r="AO35" s="307">
        <f>SUMIFS('Livro Diario - FC'!$K$11:$K1028,'Livro Diario - FC'!$E$11:$E1028,$C$35,'Livro Diario - FC'!$D$11:$D1028,"&gt;=01/09"&amp;$C$7,'Livro Diario - FC'!$D$11:$D1028,"&lt;=30/09"&amp;$C$7)+SUM(AO36+AO133+AO149+AO189+AO206)</f>
        <v>0</v>
      </c>
      <c r="AP35" s="308">
        <f>SUMIFS('Livro Diario - FC'!$K$11:$K1028,'Livro Diario - FC'!$E$11:$E1028,$C$35,'Livro Diario - FC'!$D$11:$D1028,"&gt;=01/09"&amp;$C$7,'Livro Diario - FC'!$D$11:$D1028,"&lt;=30/09"&amp;$C$7)+SUM(AP36+AP133+AP149+AP189+AP206)</f>
        <v>0</v>
      </c>
      <c r="AQ35" s="309" t="str">
        <f t="shared" ref="AQ35:AQ36" si="133">IF(AP$11=0,"",AP35/AP$11)</f>
        <v/>
      </c>
      <c r="AR35" s="310" t="str">
        <f>IF(AL35=0,"",AP35/AL35-1)</f>
        <v/>
      </c>
      <c r="AS35" s="307">
        <f>SUMIFS('Livro Diario - FC'!$K$11:$K1028,'Livro Diario - FC'!$E$11:$E1028,$C$35,'Livro Diario - FC'!$D$11:$D1028,"&gt;=01/10"&amp;$C$7,'Livro Diario - FC'!$D$11:$D1028,"&lt;=31/10"&amp;$C$7)+SUM(AS36+AS133+AS149+AS189+AS206)</f>
        <v>0</v>
      </c>
      <c r="AT35" s="308">
        <f>SUMIFS('Livro Diario - FC'!$K$11:$K1028,'Livro Diario - FC'!$E$11:$E1028,$C$35,'Livro Diario - FC'!$D$11:$D1028,"&gt;=01/10"&amp;$C$7,'Livro Diario - FC'!$D$11:$D1028,"&lt;=31/10"&amp;$C$7)+SUM(AT36+AT133+AT149+AT189+AT206)</f>
        <v>0</v>
      </c>
      <c r="AU35" s="309" t="str">
        <f t="shared" ref="AU35:AU36" si="134">IF(AT$11=0,"",AT35/AT$11)</f>
        <v/>
      </c>
      <c r="AV35" s="310" t="str">
        <f>IF(AP35=0,"",AT35/AP35-1)</f>
        <v/>
      </c>
      <c r="AW35" s="307">
        <f>SUMIFS('Livro Diario - FC'!$K$11:$K1028,'Livro Diario - FC'!$E$11:$E1028,$C$35,'Livro Diario - FC'!$D$11:$D1028,"&gt;=01/11"&amp;$C$7,'Livro Diario - FC'!$D$11:$D1028,"&lt;=30/11"&amp;$C$7)+SUM(AW36+AW133+AW149+AW189+AW206)</f>
        <v>0</v>
      </c>
      <c r="AX35" s="308">
        <f>SUMIFS('Livro Diario - FC'!$K$11:$K1028,'Livro Diario - FC'!$E$11:$E1028,$C$35,'Livro Diario - FC'!$D$11:$D1028,"&gt;=01/11"&amp;$C$7,'Livro Diario - FC'!$D$11:$D1028,"&lt;=30/11"&amp;$C$7)+SUM(AX36+AX133+AX149+AX189+AX206)</f>
        <v>0</v>
      </c>
      <c r="AY35" s="309" t="str">
        <f t="shared" ref="AY35:AY36" si="135">IF(AX$11=0,"",AX35/AX$11)</f>
        <v/>
      </c>
      <c r="AZ35" s="310" t="str">
        <f>IF(AT35=0,"",AX35/AT35-1)</f>
        <v/>
      </c>
      <c r="BA35" s="307">
        <f>SUMIFS('Livro Diario - FC'!$K$11:$K1028,'Livro Diario - FC'!$E$11:$E1028,$C$35,'Livro Diario - FC'!$D$11:$D1028,"&gt;=01/12"&amp;$C$7,'Livro Diario - FC'!$D$11:$D1028,"&lt;=31/12"&amp;$C$7)+SUM(BA36+BA133+BA149+BA189+BA206)</f>
        <v>0</v>
      </c>
      <c r="BB35" s="308">
        <f>SUMIFS('Livro Diario - FC'!$K$11:$K1028,'Livro Diario - FC'!$E$11:$E1028,$C$35,'Livro Diario - FC'!$D$11:$D1028,"&gt;=01/12"&amp;$C$7,'Livro Diario - FC'!$D$11:$D1028,"&lt;=31/12"&amp;$C$7)+SUM(BB36+BB133+BB149+BB189+BB206)</f>
        <v>0</v>
      </c>
      <c r="BC35" s="309" t="str">
        <f t="shared" ref="BC35:BC36" si="136">IF(BB$11=0,"",BB35/BB$11)</f>
        <v/>
      </c>
      <c r="BD35" s="313" t="str">
        <f>IF(AX35=0,"",BB35/AX35-1)</f>
        <v/>
      </c>
      <c r="BE35" s="314">
        <f t="shared" ref="BE35:BF35" si="124">SUM(D35,I35,N35,S35,X35,AC35,AG35,AK35,AO35,AS35,AW35,BA35)</f>
        <v>10707.89</v>
      </c>
      <c r="BF35" s="315">
        <f t="shared" si="124"/>
        <v>10707.89</v>
      </c>
      <c r="BG35" s="316">
        <f>IF(BF$11=0,"",BF35/BF$11)</f>
        <v>1.381003908</v>
      </c>
      <c r="BH35" s="317"/>
      <c r="BI35" s="318">
        <f>SUMIFS('Livro Diario - FC'!$M$11:$M1028,'Livro Diario - FC'!$E$11:$E1028,C189,'Livro Diario - FC'!$D$11:$D1028,"&gt;="&amp;$BK$8,'Livro Diario - FC'!$D$11:$D1028,"&lt;="&amp;$BK$9)+SUM(BI36+BI133+BI149+BI189+BI206)</f>
        <v>0</v>
      </c>
      <c r="BJ35" s="319" t="str">
        <f>IF(BI$11=0,"",BI35/BI$11)</f>
        <v/>
      </c>
      <c r="BK35" s="320"/>
      <c r="BL35" s="321"/>
    </row>
    <row r="36">
      <c r="A36" s="1"/>
      <c r="B36" s="40"/>
      <c r="C36" s="322" t="s">
        <v>125</v>
      </c>
      <c r="D36" s="323">
        <f>SUMIFS('Livro Diario - FC'!$J$11:$J1028,'Livro Diario - FC'!$E$11:$E1028,$C$36,'Livro Diario - FC'!$D$11:$D1028,"&gt;=01/01"&amp;$C$7,'Livro Diario - FC'!$D$11:$D1028,"&lt;=31/01"&amp;$C$7)+SUM(D37:D120)</f>
        <v>6219.78</v>
      </c>
      <c r="E36" s="324">
        <f>SUMIFS('Livro Diario - FC'!$L$11:$L1028,'Livro Diario - FC'!$E$11:$E1028,$C$36,'Livro Diario - FC'!$D$11:$D1028,"&gt;=01/01"&amp;$C$7,'Livro Diario - FC'!$D$11:$D1028,"&lt;=31/01"&amp;$C$7)+SUM(E37:E120)</f>
        <v>6219.78</v>
      </c>
      <c r="F36" s="325">
        <f t="shared" si="125"/>
        <v>0.8021692869</v>
      </c>
      <c r="G36" s="326"/>
      <c r="H36" s="327"/>
      <c r="I36" s="323">
        <f>SUMIFS('Livro Diario - FC'!$J$11:$J1028,'Livro Diario - FC'!$E$11:$E1028,$C$36,'Livro Diario - FC'!$D$11:$D1028,"&gt;=01/02"&amp;$C$7,'Livro Diario - FC'!$D$11:$D1028,"&lt;=29/02"&amp;$C$7)+SUM(I37:I120)</f>
        <v>0</v>
      </c>
      <c r="J36" s="324">
        <f>SUMIFS('Livro Diario - FC'!$L$11:$L1028,'Livro Diario - FC'!$E$11:$E1028,$C$36,'Livro Diario - FC'!$D$11:$D1028,"&gt;=01/02"&amp;$C$7,'Livro Diario - FC'!$D$11:$D1028,"&lt;=29/02"&amp;$C$7)+SUM(J37:J120)</f>
        <v>0</v>
      </c>
      <c r="K36" s="325" t="str">
        <f t="shared" si="126"/>
        <v/>
      </c>
      <c r="L36" s="326"/>
      <c r="M36" s="328"/>
      <c r="N36" s="323">
        <f>SUMIFS('Livro Diario - FC'!$J$11:$J1028,'Livro Diario - FC'!$E$11:$E1028,$C$36,'Livro Diario - FC'!$D$11:$D1028,"&gt;=01/03"&amp;$C$7,'Livro Diario - FC'!$D$11:$D1028,"&lt;=31/03"&amp;$C$7)+SUM(N37:N120)</f>
        <v>0</v>
      </c>
      <c r="O36" s="324">
        <f>SUMIFS('Livro Diario - FC'!$L$11:$L1028,'Livro Diario - FC'!$E$11:$E1028,$C$36,'Livro Diario - FC'!$D$11:$D1028,"&gt;=01/03"&amp;$C$7,'Livro Diario - FC'!$D$11:$D1028,"&lt;=31/03"&amp;$C$7)+SUM(O37:O120)</f>
        <v>0</v>
      </c>
      <c r="P36" s="325" t="str">
        <f t="shared" si="127"/>
        <v/>
      </c>
      <c r="Q36" s="326"/>
      <c r="R36" s="328"/>
      <c r="S36" s="323">
        <f>SUMIFS('Livro Diario - FC'!$J$11:$J1028,'Livro Diario - FC'!$E$11:$E1028,$C$36,'Livro Diario - FC'!$D$11:$D1028,"&gt;=01/04"&amp;$C$7,'Livro Diario - FC'!$D$11:$D1028,"&lt;=30/04"&amp;$C$7)+SUM(S37:S120)</f>
        <v>0</v>
      </c>
      <c r="T36" s="324">
        <f>SUMIFS('Livro Diario - FC'!$L$11:$L1028,'Livro Diario - FC'!$E$11:$E1028,$C$36,'Livro Diario - FC'!$D$11:$D1028,"&gt;=01/04"&amp;$C$7,'Livro Diario - FC'!$D$11:$D1028,"&lt;=30/04"&amp;$C$7)+SUM(T37:T120)</f>
        <v>0</v>
      </c>
      <c r="U36" s="325" t="str">
        <f t="shared" si="128"/>
        <v/>
      </c>
      <c r="V36" s="326"/>
      <c r="W36" s="328"/>
      <c r="X36" s="323">
        <f>SUMIFS('Livro Diario - FC'!$J$11:$J1028,'Livro Diario - FC'!$E$11:$E1028,$C$36,'Livro Diario - FC'!$D$11:$D1028,"&gt;=01/05"&amp;$C$7,'Livro Diario - FC'!$D$11:$D1028,"&lt;=31/05"&amp;$C$7)+SUM(X37:X120)</f>
        <v>0</v>
      </c>
      <c r="Y36" s="324">
        <f>SUMIFS('Livro Diario - FC'!$L$11:$L1028,'Livro Diario - FC'!$E$11:$E1028,$C$36,'Livro Diario - FC'!$D$11:$D1028,"&gt;=01/05"&amp;$C$7,'Livro Diario - FC'!$D$11:$D1028,"&lt;=31/05"&amp;$C$7)+SUM(Y37:Y120)</f>
        <v>0</v>
      </c>
      <c r="Z36" s="325" t="str">
        <f t="shared" si="129"/>
        <v/>
      </c>
      <c r="AA36" s="326"/>
      <c r="AB36" s="328"/>
      <c r="AC36" s="323">
        <f>SUMIFS('Livro Diario - FC'!$J$11:$J1028,'Livro Diario - FC'!$E$11:$E1028,$C$36,'Livro Diario - FC'!$D$11:$D1028,"&gt;=01/06"&amp;$C$7,'Livro Diario - FC'!$D$11:$D1028,"&lt;=30/06"&amp;$C$7)+SUM(AC37:AC120)</f>
        <v>0</v>
      </c>
      <c r="AD36" s="324">
        <f>SUMIFS('Livro Diario - FC'!$L$11:$L1028,'Livro Diario - FC'!$E$11:$E1028,$C$36,'Livro Diario - FC'!$D$11:$D1028,"&gt;=01/06"&amp;$C$7,'Livro Diario - FC'!$D$11:$D1028,"&lt;=30/06"&amp;$C$7)+SUM(AD37:AD120)</f>
        <v>0</v>
      </c>
      <c r="AE36" s="325" t="str">
        <f t="shared" si="130"/>
        <v/>
      </c>
      <c r="AF36" s="326"/>
      <c r="AG36" s="323">
        <f>SUMIFS('Livro Diario - FC'!$J$11:$J1028,'Livro Diario - FC'!$E$11:$E1028,$C$36,'Livro Diario - FC'!$D$11:$D1028,"&gt;=01/07"&amp;$C$7,'Livro Diario - FC'!$D$11:$D1028,"&lt;=31/07"&amp;$C$7)+SUM(AG37:AG120)</f>
        <v>0</v>
      </c>
      <c r="AH36" s="324">
        <f>SUMIFS('Livro Diario - FC'!$L$11:$L1028,'Livro Diario - FC'!$E$11:$E1028,$C$36,'Livro Diario - FC'!$D$11:$D1028,"&gt;=01/07"&amp;$C$7,'Livro Diario - FC'!$D$11:$D1028,"&lt;=31/07"&amp;$C$7)+SUM(AH37:AH120)</f>
        <v>0</v>
      </c>
      <c r="AI36" s="325" t="str">
        <f t="shared" si="131"/>
        <v/>
      </c>
      <c r="AJ36" s="326"/>
      <c r="AK36" s="323">
        <f>SUMIFS('Livro Diario - FC'!$J$11:$J1028,'Livro Diario - FC'!$E$11:$E1028,$C$36,'Livro Diario - FC'!$D$11:$D1028,"&gt;=01/08"&amp;$C$7,'Livro Diario - FC'!$D$11:$D1028,"&lt;=31/08"&amp;$C$7)+SUM(AK37:AK120)</f>
        <v>0</v>
      </c>
      <c r="AL36" s="324">
        <f>SUMIFS('Livro Diario - FC'!$L$11:$L1028,'Livro Diario - FC'!$E$11:$E1028,$C$36,'Livro Diario - FC'!$D$11:$D1028,"&gt;=01/08"&amp;$C$7,'Livro Diario - FC'!$D$11:$D1028,"&lt;=31/08"&amp;$C$7)+SUM(AL37:AL120)</f>
        <v>0</v>
      </c>
      <c r="AM36" s="325" t="str">
        <f t="shared" si="132"/>
        <v/>
      </c>
      <c r="AN36" s="326"/>
      <c r="AO36" s="323">
        <f>SUMIFS('Livro Diario - FC'!$J$11:$J1028,'Livro Diario - FC'!$E$11:$E1028,$C$36,'Livro Diario - FC'!$D$11:$D1028,"&gt;=01/09"&amp;$C$7,'Livro Diario - FC'!$D$11:$D1028,"&lt;=30/09"&amp;$C$7)+SUM(AO37:AO120)</f>
        <v>0</v>
      </c>
      <c r="AP36" s="324">
        <f>SUMIFS('Livro Diario - FC'!$L$11:$L1028,'Livro Diario - FC'!$E$11:$E1028,$C$36,'Livro Diario - FC'!$D$11:$D1028,"&gt;=01/09"&amp;$C$7,'Livro Diario - FC'!$D$11:$D1028,"&lt;=30/09"&amp;$C$7)+SUM(AP37:AP120)</f>
        <v>0</v>
      </c>
      <c r="AQ36" s="325" t="str">
        <f t="shared" si="133"/>
        <v/>
      </c>
      <c r="AR36" s="326"/>
      <c r="AS36" s="323">
        <f>SUMIFS('Livro Diario - FC'!$J$11:$J1028,'Livro Diario - FC'!$E$11:$E1028,$C$36,'Livro Diario - FC'!$D$11:$D1028,"&gt;=01/10"&amp;$C$7,'Livro Diario - FC'!$D$11:$D1028,"&lt;=31/10"&amp;$C$7)+SUM(AS37:AS120)</f>
        <v>0</v>
      </c>
      <c r="AT36" s="324">
        <f>SUMIFS('Livro Diario - FC'!$L$11:$L1028,'Livro Diario - FC'!$E$11:$E1028,$C$36,'Livro Diario - FC'!$D$11:$D1028,"&gt;=01/10"&amp;$C$7,'Livro Diario - FC'!$D$11:$D1028,"&lt;=31/10"&amp;$C$7)+SUM(AT37:AT120)</f>
        <v>0</v>
      </c>
      <c r="AU36" s="325" t="str">
        <f t="shared" si="134"/>
        <v/>
      </c>
      <c r="AV36" s="326"/>
      <c r="AW36" s="323">
        <f>SUMIFS('Livro Diario - FC'!$J$11:$J1028,'Livro Diario - FC'!$E$11:$E1028,$C$36,'Livro Diario - FC'!$D$11:$D1028,"&gt;=01/11"&amp;$C$7,'Livro Diario - FC'!$D$11:$D1028,"&lt;=30/11"&amp;$C$7)+SUM(AW37:AW120)</f>
        <v>0</v>
      </c>
      <c r="AX36" s="324">
        <f>SUMIFS('Livro Diario - FC'!$L$11:$L1028,'Livro Diario - FC'!$E$11:$E1028,$C$36,'Livro Diario - FC'!$D$11:$D1028,"&gt;=01/11"&amp;$C$7,'Livro Diario - FC'!$D$11:$D1028,"&lt;=30/11"&amp;$C$7)+SUM(AX37:AX120)</f>
        <v>0</v>
      </c>
      <c r="AY36" s="325" t="str">
        <f t="shared" si="135"/>
        <v/>
      </c>
      <c r="AZ36" s="326"/>
      <c r="BA36" s="323">
        <f>SUMIFS('Livro Diario - FC'!$J$11:$J1028,'Livro Diario - FC'!$E$11:$E1028,$C$36,'Livro Diario - FC'!$D$11:$D1028,"&gt;=01/12"&amp;$C$7,'Livro Diario - FC'!$D$11:$D1028,"&lt;=31/12"&amp;$C$7)+SUM(BA37:BA120)</f>
        <v>0</v>
      </c>
      <c r="BB36" s="324">
        <f>SUMIFS('Livro Diario - FC'!$L$11:$L1028,'Livro Diario - FC'!$E$11:$E1028,$C$36,'Livro Diario - FC'!$D$11:$D1028,"&gt;=01/12"&amp;$C$7,'Livro Diario - FC'!$D$11:$D1028,"&lt;=31/12"&amp;$C$7)+SUM(BB37:BB120)</f>
        <v>0</v>
      </c>
      <c r="BC36" s="325" t="str">
        <f t="shared" si="136"/>
        <v/>
      </c>
      <c r="BD36" s="329"/>
      <c r="BE36" s="330">
        <f t="shared" ref="BE36:BF36" si="137">SUM(D36,I36,N36,S36,X36,AC36,AG36,AK36,AO36,AS36,AW36,BA36)</f>
        <v>6219.78</v>
      </c>
      <c r="BF36" s="331">
        <f t="shared" si="137"/>
        <v>6219.78</v>
      </c>
      <c r="BG36" s="332"/>
      <c r="BH36" s="333"/>
      <c r="BI36" s="334">
        <f>SUMIFS('Livro Diario - FC'!$M$11:$M1028,'Livro Diario - FC'!$E$11:$E1028,C36,'Livro Diario - FC'!$D$11:$D1028,"&gt;="&amp;$BK$8,'Livro Diario - FC'!$D$11:$D1028,"&lt;="&amp;$BK$9)+SUM(BI37:BI120)</f>
        <v>0</v>
      </c>
      <c r="BJ36" s="335"/>
      <c r="BK36" s="336"/>
      <c r="BL36" s="337"/>
    </row>
    <row r="37">
      <c r="A37" s="1"/>
      <c r="B37" s="1"/>
      <c r="C37" s="338" t="str">
        <f>'Livro Diario - FC'!AE40</f>
        <v>Macarrão</v>
      </c>
      <c r="D37" s="255">
        <f>SUMIFS('Livro Diario - FC'!$K$11:$K1028,'Livro Diario - FC'!$E$11:$E1028,$C$37,'Livro Diario - FC'!$D$11:$D1028,"&gt;=01/01"&amp;$C$7,'Livro Diario - FC'!$D$11:$D1028,"&lt;=31/01"&amp;$C$7)</f>
        <v>333.25</v>
      </c>
      <c r="E37" s="256">
        <f>SUMIFS('Livro Diario - FC'!$M$11:$M1028,'Livro Diario - FC'!$E$11:$E1028,$C$37,'Livro Diario - FC'!$D$11:$D1028,"&gt;=01/01"&amp;$C$7,'Livro Diario - FC'!$D$11:$D1028,"&lt;=31/01"&amp;$C$7)</f>
        <v>333.25</v>
      </c>
      <c r="F37" s="273"/>
      <c r="G37" s="258"/>
      <c r="H37" s="157"/>
      <c r="I37" s="255">
        <f>SUMIFS('Livro Diario - FC'!$K$11:$K1028,'Livro Diario - FC'!$E$11:$E1028,$C$37,'Livro Diario - FC'!$D$11:$D1028,"&gt;=01/02"&amp;$C$7,'Livro Diario - FC'!$D$11:$D1028,"&lt;=29/02"&amp;$C$7)</f>
        <v>0</v>
      </c>
      <c r="J37" s="256">
        <f>SUMIFS('Livro Diario - FC'!$M$11:$M1028,'Livro Diario - FC'!$E$11:$E1028,$C$37,'Livro Diario - FC'!$D$11:$D1028,"&gt;=01/02"&amp;$C$7,'Livro Diario - FC'!$D$11:$D1028,"&lt;=29/02"&amp;$C$7)</f>
        <v>0</v>
      </c>
      <c r="K37" s="273"/>
      <c r="L37" s="258"/>
      <c r="M37" s="259"/>
      <c r="N37" s="255">
        <f>SUMIFS('Livro Diario - FC'!$K$11:$K1028,'Livro Diario - FC'!$E$11:$E1028,$C$37,'Livro Diario - FC'!$D$11:$D1028,"&gt;=01/03"&amp;$C$7,'Livro Diario - FC'!$D$11:$D1028,"&lt;=31/03"&amp;$C$7)</f>
        <v>0</v>
      </c>
      <c r="O37" s="256">
        <f>SUMIFS('Livro Diario - FC'!$M$11:$M1028,'Livro Diario - FC'!$E$11:$E1028,$C$37,'Livro Diario - FC'!$D$11:$D1028,"&gt;=01/03"&amp;$C$7,'Livro Diario - FC'!$D$11:$D1028,"&lt;=31/03"&amp;$C$7)</f>
        <v>0</v>
      </c>
      <c r="P37" s="273"/>
      <c r="Q37" s="258"/>
      <c r="R37" s="259"/>
      <c r="S37" s="255">
        <f>SUMIFS('Livro Diario - FC'!$K$11:$K1028,'Livro Diario - FC'!$E$11:$E1028,$C$37,'Livro Diario - FC'!$D$11:$D1028,"&gt;=01/04"&amp;$C$7,'Livro Diario - FC'!$D$11:$D1028,"&lt;=30/04"&amp;$C$7)</f>
        <v>0</v>
      </c>
      <c r="T37" s="256">
        <f>SUMIFS('Livro Diario - FC'!$M$11:$M1028,'Livro Diario - FC'!$E$11:$E1028,$C$37,'Livro Diario - FC'!$D$11:$D1028,"&gt;=01/04"&amp;$C$7,'Livro Diario - FC'!$D$11:$D1028,"&lt;=30/04"&amp;$C$7)</f>
        <v>0</v>
      </c>
      <c r="U37" s="273"/>
      <c r="V37" s="258"/>
      <c r="W37" s="259"/>
      <c r="X37" s="255">
        <f>SUMIFS('Livro Diario - FC'!$K$11:$K1028,'Livro Diario - FC'!$E$11:$E1028,$C$37,'Livro Diario - FC'!$D$11:$D1028,"&gt;=01/05"&amp;$C$7,'Livro Diario - FC'!$D$11:$D1028,"&lt;=31/05"&amp;$C$7)</f>
        <v>0</v>
      </c>
      <c r="Y37" s="256">
        <f>SUMIFS('Livro Diario - FC'!$M$11:$M1028,'Livro Diario - FC'!$E$11:$E1028,$C$37,'Livro Diario - FC'!$D$11:$D1028,"&gt;=01/05"&amp;$C$7,'Livro Diario - FC'!$D$11:$D1028,"&lt;=31/05"&amp;$C$7)</f>
        <v>0</v>
      </c>
      <c r="Z37" s="273"/>
      <c r="AA37" s="258"/>
      <c r="AB37" s="259"/>
      <c r="AC37" s="255">
        <f>SUMIFS('Livro Diario - FC'!$K$11:$K1028,'Livro Diario - FC'!$E$11:$E1028,$C$37,'Livro Diario - FC'!$D$11:$D1028,"&gt;=01/06"&amp;$C$7,'Livro Diario - FC'!$D$11:$D1028,"&lt;=30/06"&amp;$C$7)</f>
        <v>0</v>
      </c>
      <c r="AD37" s="256">
        <f>SUMIFS('Livro Diario - FC'!$M$11:$M1028,'Livro Diario - FC'!$E$11:$E1028,$C$37,'Livro Diario - FC'!$D$11:$D1028,"&gt;=01/06"&amp;$C$7,'Livro Diario - FC'!$D$11:$D1028,"&lt;=30/06"&amp;$C$7)</f>
        <v>0</v>
      </c>
      <c r="AE37" s="273"/>
      <c r="AF37" s="258"/>
      <c r="AG37" s="255">
        <f>SUMIFS('Livro Diario - FC'!$K$11:$K1028,'Livro Diario - FC'!$E$11:$E1028,$C$37,'Livro Diario - FC'!$D$11:$D1028,"&gt;=01/07"&amp;$C$7,'Livro Diario - FC'!$D$11:$D1028,"&lt;=31/07"&amp;$C$7)</f>
        <v>0</v>
      </c>
      <c r="AH37" s="256">
        <f>SUMIFS('Livro Diario - FC'!$M$11:$M1028,'Livro Diario - FC'!$E$11:$E1028,$C$37,'Livro Diario - FC'!$D$11:$D1028,"&gt;=01/07"&amp;$C$7,'Livro Diario - FC'!$D$11:$D1028,"&lt;=31/07"&amp;$C$7)</f>
        <v>0</v>
      </c>
      <c r="AI37" s="273"/>
      <c r="AJ37" s="258"/>
      <c r="AK37" s="255">
        <f>SUMIFS('Livro Diario - FC'!$K$11:$K1028,'Livro Diario - FC'!$E$11:$E1028,$C$37,'Livro Diario - FC'!$D$11:$D1028,"&gt;=01/08"&amp;$C$7,'Livro Diario - FC'!$D$11:$D1028,"&lt;=31/08"&amp;$C$7)</f>
        <v>0</v>
      </c>
      <c r="AL37" s="256">
        <f>SUMIFS('Livro Diario - FC'!$M$11:$M1028,'Livro Diario - FC'!$E$11:$E1028,$C$37,'Livro Diario - FC'!$D$11:$D1028,"&gt;=01/08"&amp;$C$7,'Livro Diario - FC'!$D$11:$D1028,"&lt;=31/08"&amp;$C$7)</f>
        <v>0</v>
      </c>
      <c r="AM37" s="273"/>
      <c r="AN37" s="258"/>
      <c r="AO37" s="255">
        <f>SUMIFS('Livro Diario - FC'!$K$11:$K1028,'Livro Diario - FC'!$E$11:$E1028,$C$37,'Livro Diario - FC'!$D$11:$D1028,"&gt;=01/09"&amp;$C$7,'Livro Diario - FC'!$D$11:$D1028,"&lt;=30/09"&amp;$C$7)</f>
        <v>0</v>
      </c>
      <c r="AP37" s="256">
        <f>SUMIFS('Livro Diario - FC'!$M$11:$M1028,'Livro Diario - FC'!$E$11:$E1028,$C$37,'Livro Diario - FC'!$D$11:$D1028,"&gt;=01/09"&amp;$C$7,'Livro Diario - FC'!$D$11:$D1028,"&lt;=30/09"&amp;$C$7)</f>
        <v>0</v>
      </c>
      <c r="AQ37" s="273"/>
      <c r="AR37" s="258"/>
      <c r="AS37" s="255">
        <f>SUMIFS('Livro Diario - FC'!$K$11:$K1028,'Livro Diario - FC'!$E$11:$E1028,$C$37,'Livro Diario - FC'!$D$11:$D1028,"&gt;=01/10"&amp;$C$7,'Livro Diario - FC'!$D$11:$D1028,"&lt;=31/10"&amp;$C$7)</f>
        <v>0</v>
      </c>
      <c r="AT37" s="256">
        <f>SUMIFS('Livro Diario - FC'!$M$11:$M1028,'Livro Diario - FC'!$E$11:$E1028,$C$37,'Livro Diario - FC'!$D$11:$D1028,"&gt;=01/10"&amp;$C$7,'Livro Diario - FC'!$D$11:$D1028,"&lt;=31/10"&amp;$C$7)</f>
        <v>0</v>
      </c>
      <c r="AU37" s="273"/>
      <c r="AV37" s="258"/>
      <c r="AW37" s="255">
        <f>SUMIFS('Livro Diario - FC'!$K$11:$K1028,'Livro Diario - FC'!$E$11:$E1028,$C$37,'Livro Diario - FC'!$D$11:$D1028,"&gt;=01/11"&amp;$C$7,'Livro Diario - FC'!$D$11:$D1028,"&lt;=30/11"&amp;$C$7)</f>
        <v>0</v>
      </c>
      <c r="AX37" s="256">
        <f>SUMIFS('Livro Diario - FC'!$M$11:$M1028,'Livro Diario - FC'!$E$11:$E1028,$C$37,'Livro Diario - FC'!$D$11:$D1028,"&gt;=01/11"&amp;$C$7,'Livro Diario - FC'!$D$11:$D1028,"&lt;=30/11"&amp;$C$7)</f>
        <v>0</v>
      </c>
      <c r="AY37" s="273"/>
      <c r="AZ37" s="258"/>
      <c r="BA37" s="255">
        <f>SUMIFS('Livro Diario - FC'!$K$11:$K1028,'Livro Diario - FC'!$E$11:$E1028,$C$37,'Livro Diario - FC'!$D$11:$D1028,"&gt;=01/12"&amp;$C$7,'Livro Diario - FC'!$D$11:$D1028,"&lt;=31/12"&amp;$C$7)</f>
        <v>0</v>
      </c>
      <c r="BB37" s="256">
        <f>SUMIFS('Livro Diario - FC'!$M$11:$M1028,'Livro Diario - FC'!$E$11:$E1028,$C$37,'Livro Diario - FC'!$D$11:$D1028,"&gt;=01/12"&amp;$C$7,'Livro Diario - FC'!$D$11:$D1028,"&lt;=31/12"&amp;$C$7)</f>
        <v>0</v>
      </c>
      <c r="BC37" s="273"/>
      <c r="BD37" s="273"/>
      <c r="BE37" s="260">
        <f t="shared" ref="BE37:BF37" si="138">SUM(D37,I37,N37,S37,X37,AC37,AG37,AK37,AO37,AS37,AW37,BA37)</f>
        <v>333.25</v>
      </c>
      <c r="BF37" s="261">
        <f t="shared" si="138"/>
        <v>333.25</v>
      </c>
      <c r="BG37" s="262"/>
      <c r="BH37" s="302"/>
      <c r="BI37" s="303">
        <f>SUMIFS('Livro Diario - FC'!$M$11:$M1028,'Livro Diario - FC'!$E$11:$E1028,C37,'Livro Diario - FC'!$D$11:$D1028,"&gt;="&amp;$BK$8,'Livro Diario - FC'!$D$11:$D1028,"&lt;="&amp;$BK$9)</f>
        <v>0</v>
      </c>
      <c r="BJ37" s="271"/>
      <c r="BK37" s="304"/>
      <c r="BL37" s="339"/>
    </row>
    <row r="38">
      <c r="A38" s="1"/>
      <c r="B38" s="1"/>
      <c r="C38" s="338" t="str">
        <f>'Livro Diario - FC'!AE41</f>
        <v>Arroz</v>
      </c>
      <c r="D38" s="255">
        <f>SUMIFS('Livro Diario - FC'!$K$11:$K1028,'Livro Diario - FC'!$E$11:$E1028,$C$38,'Livro Diario - FC'!$D$11:$D1028,"&gt;=01/01"&amp;$C$7,'Livro Diario - FC'!$D$11:$D1028,"&lt;=31/01"&amp;$C$7)</f>
        <v>203.07</v>
      </c>
      <c r="E38" s="256">
        <f>SUMIFS('Livro Diario - FC'!$M$11:$M1028,'Livro Diario - FC'!$E$11:$E1028,$C$38,'Livro Diario - FC'!$D$11:$D1028,"&gt;=01/01"&amp;$C$7,'Livro Diario - FC'!$D$11:$D1028,"&lt;=31/01"&amp;$C$7)</f>
        <v>203.07</v>
      </c>
      <c r="F38" s="273"/>
      <c r="G38" s="258"/>
      <c r="H38" s="157"/>
      <c r="I38" s="255">
        <f>SUMIFS('Livro Diario - FC'!$K$11:$K1028,'Livro Diario - FC'!$E$11:$E1028,$C$38,'Livro Diario - FC'!$D$11:$D1028,"&gt;=01/02"&amp;$C$7,'Livro Diario - FC'!$D$11:$D1028,"&lt;=29/02"&amp;$C$7)</f>
        <v>0</v>
      </c>
      <c r="J38" s="256">
        <f>SUMIFS('Livro Diario - FC'!$M$11:$M1028,'Livro Diario - FC'!$E$11:$E1028,$C$38,'Livro Diario - FC'!$D$11:$D1028,"&gt;=01/02"&amp;$C$7,'Livro Diario - FC'!$D$11:$D1028,"&lt;=29/02"&amp;$C$7)</f>
        <v>0</v>
      </c>
      <c r="K38" s="273"/>
      <c r="L38" s="258"/>
      <c r="M38" s="259"/>
      <c r="N38" s="255">
        <f>SUMIFS('Livro Diario - FC'!$K$11:$K1028,'Livro Diario - FC'!$E$11:$E1028,$C$38,'Livro Diario - FC'!$D$11:$D1028,"&gt;=01/03"&amp;$C$7,'Livro Diario - FC'!$D$11:$D1028,"&lt;=31/03"&amp;$C$7)</f>
        <v>0</v>
      </c>
      <c r="O38" s="256">
        <f>SUMIFS('Livro Diario - FC'!$M$11:$M1028,'Livro Diario - FC'!$E$11:$E1028,$C$38,'Livro Diario - FC'!$D$11:$D1028,"&gt;=01/03"&amp;$C$7,'Livro Diario - FC'!$D$11:$D1028,"&lt;=31/03"&amp;$C$7)</f>
        <v>0</v>
      </c>
      <c r="P38" s="273"/>
      <c r="Q38" s="258"/>
      <c r="R38" s="259"/>
      <c r="S38" s="255">
        <f>SUMIFS('Livro Diario - FC'!$K$11:$K1028,'Livro Diario - FC'!$E$11:$E1028,$C$38,'Livro Diario - FC'!$D$11:$D1028,"&gt;=01/04"&amp;$C$7,'Livro Diario - FC'!$D$11:$D1028,"&lt;=30/04"&amp;$C$7)</f>
        <v>0</v>
      </c>
      <c r="T38" s="256">
        <f>SUMIFS('Livro Diario - FC'!$M$11:$M1028,'Livro Diario - FC'!$E$11:$E1028,$C$38,'Livro Diario - FC'!$D$11:$D1028,"&gt;=01/04"&amp;$C$7,'Livro Diario - FC'!$D$11:$D1028,"&lt;=30/04"&amp;$C$7)</f>
        <v>0</v>
      </c>
      <c r="U38" s="273"/>
      <c r="V38" s="258"/>
      <c r="W38" s="259"/>
      <c r="X38" s="255">
        <f>SUMIFS('Livro Diario - FC'!$K$11:$K1028,'Livro Diario - FC'!$E$11:$E1028,$C$38,'Livro Diario - FC'!$D$11:$D1028,"&gt;=01/05"&amp;$C$7,'Livro Diario - FC'!$D$11:$D1028,"&lt;=31/05"&amp;$C$7)</f>
        <v>0</v>
      </c>
      <c r="Y38" s="256">
        <f>SUMIFS('Livro Diario - FC'!$M$11:$M1028,'Livro Diario - FC'!$E$11:$E1028,$C$38,'Livro Diario - FC'!$D$11:$D1028,"&gt;=01/05"&amp;$C$7,'Livro Diario - FC'!$D$11:$D1028,"&lt;=31/05"&amp;$C$7)</f>
        <v>0</v>
      </c>
      <c r="Z38" s="273"/>
      <c r="AA38" s="258"/>
      <c r="AB38" s="259"/>
      <c r="AC38" s="255">
        <f>SUMIFS('Livro Diario - FC'!$K$11:$K1028,'Livro Diario - FC'!$E$11:$E1028,$C$38,'Livro Diario - FC'!$D$11:$D1028,"&gt;=01/06"&amp;$C$7,'Livro Diario - FC'!$D$11:$D1028,"&lt;=30/06"&amp;$C$7)</f>
        <v>0</v>
      </c>
      <c r="AD38" s="256">
        <f>SUMIFS('Livro Diario - FC'!$M$11:$M1028,'Livro Diario - FC'!$E$11:$E1028,$C$38,'Livro Diario - FC'!$D$11:$D1028,"&gt;=01/06"&amp;$C$7,'Livro Diario - FC'!$D$11:$D1028,"&lt;=30/06"&amp;$C$7)</f>
        <v>0</v>
      </c>
      <c r="AE38" s="273"/>
      <c r="AF38" s="258"/>
      <c r="AG38" s="255">
        <f>SUMIFS('Livro Diario - FC'!$K$11:$K1028,'Livro Diario - FC'!$E$11:$E1028,$C$38,'Livro Diario - FC'!$D$11:$D1028,"&gt;=01/07"&amp;$C$7,'Livro Diario - FC'!$D$11:$D1028,"&lt;=31/07"&amp;$C$7)</f>
        <v>0</v>
      </c>
      <c r="AH38" s="256">
        <f>SUMIFS('Livro Diario - FC'!$M$11:$M1028,'Livro Diario - FC'!$E$11:$E1028,$C$38,'Livro Diario - FC'!$D$11:$D1028,"&gt;=01/07"&amp;$C$7,'Livro Diario - FC'!$D$11:$D1028,"&lt;=31/07"&amp;$C$7)</f>
        <v>0</v>
      </c>
      <c r="AI38" s="273"/>
      <c r="AJ38" s="258"/>
      <c r="AK38" s="255">
        <f>SUMIFS('Livro Diario - FC'!$K$11:$K1028,'Livro Diario - FC'!$E$11:$E1028,$C$38,'Livro Diario - FC'!$D$11:$D1028,"&gt;=01/08"&amp;$C$7,'Livro Diario - FC'!$D$11:$D1028,"&lt;=31/08"&amp;$C$7)</f>
        <v>0</v>
      </c>
      <c r="AL38" s="256">
        <f>SUMIFS('Livro Diario - FC'!$M$11:$M1028,'Livro Diario - FC'!$E$11:$E1028,$C$38,'Livro Diario - FC'!$D$11:$D1028,"&gt;=01/08"&amp;$C$7,'Livro Diario - FC'!$D$11:$D1028,"&lt;=31/08"&amp;$C$7)</f>
        <v>0</v>
      </c>
      <c r="AM38" s="273"/>
      <c r="AN38" s="258"/>
      <c r="AO38" s="255">
        <f>SUMIFS('Livro Diario - FC'!$K$11:$K1028,'Livro Diario - FC'!$E$11:$E1028,$C$38,'Livro Diario - FC'!$D$11:$D1028,"&gt;=01/09"&amp;$C$7,'Livro Diario - FC'!$D$11:$D1028,"&lt;=30/09"&amp;$C$7)</f>
        <v>0</v>
      </c>
      <c r="AP38" s="256">
        <f>SUMIFS('Livro Diario - FC'!$M$11:$M1028,'Livro Diario - FC'!$E$11:$E1028,$C$38,'Livro Diario - FC'!$D$11:$D1028,"&gt;=01/09"&amp;$C$7,'Livro Diario - FC'!$D$11:$D1028,"&lt;=30/09"&amp;$C$7)</f>
        <v>0</v>
      </c>
      <c r="AQ38" s="273"/>
      <c r="AR38" s="258"/>
      <c r="AS38" s="255">
        <f>SUMIFS('Livro Diario - FC'!$K$11:$K1028,'Livro Diario - FC'!$E$11:$E1028,$C$38,'Livro Diario - FC'!$D$11:$D1028,"&gt;=01/10"&amp;$C$7,'Livro Diario - FC'!$D$11:$D1028,"&lt;=31/10"&amp;$C$7)</f>
        <v>0</v>
      </c>
      <c r="AT38" s="256">
        <f>SUMIFS('Livro Diario - FC'!$M$11:$M1028,'Livro Diario - FC'!$E$11:$E1028,$C$38,'Livro Diario - FC'!$D$11:$D1028,"&gt;=01/10"&amp;$C$7,'Livro Diario - FC'!$D$11:$D1028,"&lt;=31/10"&amp;$C$7)</f>
        <v>0</v>
      </c>
      <c r="AU38" s="273"/>
      <c r="AV38" s="258"/>
      <c r="AW38" s="255">
        <f>SUMIFS('Livro Diario - FC'!$K$11:$K1028,'Livro Diario - FC'!$E$11:$E1028,$C$38,'Livro Diario - FC'!$D$11:$D1028,"&gt;=01/11"&amp;$C$7,'Livro Diario - FC'!$D$11:$D1028,"&lt;=30/11"&amp;$C$7)</f>
        <v>0</v>
      </c>
      <c r="AX38" s="256">
        <f>SUMIFS('Livro Diario - FC'!$M$11:$M1028,'Livro Diario - FC'!$E$11:$E1028,$C$38,'Livro Diario - FC'!$D$11:$D1028,"&gt;=01/11"&amp;$C$7,'Livro Diario - FC'!$D$11:$D1028,"&lt;=30/11"&amp;$C$7)</f>
        <v>0</v>
      </c>
      <c r="AY38" s="273"/>
      <c r="AZ38" s="258"/>
      <c r="BA38" s="255">
        <f>SUMIFS('Livro Diario - FC'!$K$11:$K1028,'Livro Diario - FC'!$E$11:$E1028,$C$38,'Livro Diario - FC'!$D$11:$D1028,"&gt;=01/12"&amp;$C$7,'Livro Diario - FC'!$D$11:$D1028,"&lt;=31/12"&amp;$C$7)</f>
        <v>0</v>
      </c>
      <c r="BB38" s="256">
        <f>SUMIFS('Livro Diario - FC'!$M$11:$M1028,'Livro Diario - FC'!$E$11:$E1028,$C$38,'Livro Diario - FC'!$D$11:$D1028,"&gt;=01/12"&amp;$C$7,'Livro Diario - FC'!$D$11:$D1028,"&lt;=31/12"&amp;$C$7)</f>
        <v>0</v>
      </c>
      <c r="BC38" s="273"/>
      <c r="BD38" s="273"/>
      <c r="BE38" s="267">
        <f t="shared" ref="BE38:BF38" si="139">SUM(D38,I38,N38,S38,X38,AC38,AG38,AK38,AO38,AS38,AW38,BA38)</f>
        <v>203.07</v>
      </c>
      <c r="BF38" s="268">
        <f t="shared" si="139"/>
        <v>203.07</v>
      </c>
      <c r="BG38" s="269"/>
      <c r="BH38" s="192"/>
      <c r="BI38" s="270">
        <f>SUMIFS('Livro Diario - FC'!$M$11:$M1028,'Livro Diario - FC'!$E$11:$E1028,C38,'Livro Diario - FC'!$D$11:$D1028,"&gt;="&amp;$BK$8,'Livro Diario - FC'!$D$11:$D1028,"&lt;="&amp;$BK$9)</f>
        <v>0</v>
      </c>
      <c r="BJ38" s="271"/>
      <c r="BK38" s="272"/>
      <c r="BL38" s="1"/>
    </row>
    <row r="39">
      <c r="A39" s="1"/>
      <c r="B39" s="1"/>
      <c r="C39" s="338" t="str">
        <f>'Livro Diario - FC'!AE42</f>
        <v>Feijão mulato</v>
      </c>
      <c r="D39" s="255">
        <f>SUMIFS('Livro Diario - FC'!$K$11:$K1028,'Livro Diario - FC'!$E$11:$E1028,$C$39,'Livro Diario - FC'!$D$11:$D1028,"&gt;=01/01"&amp;$C$7,'Livro Diario - FC'!$D$11:$D1028,"&lt;=31/01"&amp;$C$7)</f>
        <v>148.95</v>
      </c>
      <c r="E39" s="256">
        <f>SUMIFS('Livro Diario - FC'!$M$11:$M1028,'Livro Diario - FC'!$E$11:$E1028,$C$39,'Livro Diario - FC'!$D$11:$D1028,"&gt;=01/01"&amp;$C$7,'Livro Diario - FC'!$D$11:$D1028,"&lt;=31/01"&amp;$C$7)</f>
        <v>148.95</v>
      </c>
      <c r="F39" s="273"/>
      <c r="G39" s="258"/>
      <c r="H39" s="157"/>
      <c r="I39" s="255">
        <f>SUMIFS('Livro Diario - FC'!$K$11:$K1028,'Livro Diario - FC'!$E$11:$E1028,$C$39,'Livro Diario - FC'!$D$11:$D1028,"&gt;=01/02"&amp;$C$7,'Livro Diario - FC'!$D$11:$D1028,"&lt;=29/02"&amp;$C$7)</f>
        <v>0</v>
      </c>
      <c r="J39" s="256">
        <f>SUMIFS('Livro Diario - FC'!$M$11:$M1028,'Livro Diario - FC'!$E$11:$E1028,$C$39,'Livro Diario - FC'!$D$11:$D1028,"&gt;=01/02"&amp;$C$7,'Livro Diario - FC'!$D$11:$D1028,"&lt;=29/02"&amp;$C$7)</f>
        <v>0</v>
      </c>
      <c r="K39" s="273"/>
      <c r="L39" s="258"/>
      <c r="M39" s="259"/>
      <c r="N39" s="255">
        <f>SUMIFS('Livro Diario - FC'!$K$11:$K1028,'Livro Diario - FC'!$E$11:$E1028,$C$39,'Livro Diario - FC'!$D$11:$D1028,"&gt;=01/03"&amp;$C$7,'Livro Diario - FC'!$D$11:$D1028,"&lt;=31/03"&amp;$C$7)</f>
        <v>0</v>
      </c>
      <c r="O39" s="256">
        <f>SUMIFS('Livro Diario - FC'!$M$11:$M1028,'Livro Diario - FC'!$E$11:$E1028,$C$39,'Livro Diario - FC'!$D$11:$D1028,"&gt;=01/03"&amp;$C$7,'Livro Diario - FC'!$D$11:$D1028,"&lt;=31/03"&amp;$C$7)</f>
        <v>0</v>
      </c>
      <c r="P39" s="273"/>
      <c r="Q39" s="258"/>
      <c r="R39" s="259"/>
      <c r="S39" s="255">
        <f>SUMIFS('Livro Diario - FC'!$K$11:$K1028,'Livro Diario - FC'!$E$11:$E1028,$C$39,'Livro Diario - FC'!$D$11:$D1028,"&gt;=01/04"&amp;$C$7,'Livro Diario - FC'!$D$11:$D1028,"&lt;=30/04"&amp;$C$7)</f>
        <v>0</v>
      </c>
      <c r="T39" s="256">
        <f>SUMIFS('Livro Diario - FC'!$M$11:$M1028,'Livro Diario - FC'!$E$11:$E1028,$C$39,'Livro Diario - FC'!$D$11:$D1028,"&gt;=01/04"&amp;$C$7,'Livro Diario - FC'!$D$11:$D1028,"&lt;=30/04"&amp;$C$7)</f>
        <v>0</v>
      </c>
      <c r="U39" s="273"/>
      <c r="V39" s="258"/>
      <c r="W39" s="259"/>
      <c r="X39" s="255">
        <f>SUMIFS('Livro Diario - FC'!$K$11:$K1028,'Livro Diario - FC'!$E$11:$E1028,$C$39,'Livro Diario - FC'!$D$11:$D1028,"&gt;=01/05"&amp;$C$7,'Livro Diario - FC'!$D$11:$D1028,"&lt;=31/05"&amp;$C$7)</f>
        <v>0</v>
      </c>
      <c r="Y39" s="256">
        <f>SUMIFS('Livro Diario - FC'!$M$11:$M1028,'Livro Diario - FC'!$E$11:$E1028,$C$39,'Livro Diario - FC'!$D$11:$D1028,"&gt;=01/05"&amp;$C$7,'Livro Diario - FC'!$D$11:$D1028,"&lt;=31/05"&amp;$C$7)</f>
        <v>0</v>
      </c>
      <c r="Z39" s="273"/>
      <c r="AA39" s="258"/>
      <c r="AB39" s="259"/>
      <c r="AC39" s="255">
        <f>SUMIFS('Livro Diario - FC'!$K$11:$K1028,'Livro Diario - FC'!$E$11:$E1028,$C$39,'Livro Diario - FC'!$D$11:$D1028,"&gt;=01/06"&amp;$C$7,'Livro Diario - FC'!$D$11:$D1028,"&lt;=30/06"&amp;$C$7)</f>
        <v>0</v>
      </c>
      <c r="AD39" s="256">
        <f>SUMIFS('Livro Diario - FC'!$M$11:$M1028,'Livro Diario - FC'!$E$11:$E1028,$C$39,'Livro Diario - FC'!$D$11:$D1028,"&gt;=01/06"&amp;$C$7,'Livro Diario - FC'!$D$11:$D1028,"&lt;=30/06"&amp;$C$7)</f>
        <v>0</v>
      </c>
      <c r="AE39" s="273"/>
      <c r="AF39" s="258"/>
      <c r="AG39" s="255">
        <f>SUMIFS('Livro Diario - FC'!$K$11:$K1028,'Livro Diario - FC'!$E$11:$E1028,$C$39,'Livro Diario - FC'!$D$11:$D1028,"&gt;=01/07"&amp;$C$7,'Livro Diario - FC'!$D$11:$D1028,"&lt;=31/07"&amp;$C$7)</f>
        <v>0</v>
      </c>
      <c r="AH39" s="256">
        <f>SUMIFS('Livro Diario - FC'!$M$11:$M1028,'Livro Diario - FC'!$E$11:$E1028,$C$39,'Livro Diario - FC'!$D$11:$D1028,"&gt;=01/07"&amp;$C$7,'Livro Diario - FC'!$D$11:$D1028,"&lt;=31/07"&amp;$C$7)</f>
        <v>0</v>
      </c>
      <c r="AI39" s="273"/>
      <c r="AJ39" s="258"/>
      <c r="AK39" s="255">
        <f>SUMIFS('Livro Diario - FC'!$K$11:$K1028,'Livro Diario - FC'!$E$11:$E1028,$C$39,'Livro Diario - FC'!$D$11:$D1028,"&gt;=01/08"&amp;$C$7,'Livro Diario - FC'!$D$11:$D1028,"&lt;=31/08"&amp;$C$7)</f>
        <v>0</v>
      </c>
      <c r="AL39" s="256">
        <f>SUMIFS('Livro Diario - FC'!$M$11:$M1028,'Livro Diario - FC'!$E$11:$E1028,$C$39,'Livro Diario - FC'!$D$11:$D1028,"&gt;=01/08"&amp;$C$7,'Livro Diario - FC'!$D$11:$D1028,"&lt;=31/08"&amp;$C$7)</f>
        <v>0</v>
      </c>
      <c r="AM39" s="273"/>
      <c r="AN39" s="258"/>
      <c r="AO39" s="255">
        <f>SUMIFS('Livro Diario - FC'!$K$11:$K1028,'Livro Diario - FC'!$E$11:$E1028,$C$39,'Livro Diario - FC'!$D$11:$D1028,"&gt;=01/09"&amp;$C$7,'Livro Diario - FC'!$D$11:$D1028,"&lt;=30/09"&amp;$C$7)</f>
        <v>0</v>
      </c>
      <c r="AP39" s="256">
        <f>SUMIFS('Livro Diario - FC'!$M$11:$M1028,'Livro Diario - FC'!$E$11:$E1028,$C$39,'Livro Diario - FC'!$D$11:$D1028,"&gt;=01/09"&amp;$C$7,'Livro Diario - FC'!$D$11:$D1028,"&lt;=30/09"&amp;$C$7)</f>
        <v>0</v>
      </c>
      <c r="AQ39" s="273"/>
      <c r="AR39" s="258"/>
      <c r="AS39" s="255">
        <f>SUMIFS('Livro Diario - FC'!$K$11:$K1028,'Livro Diario - FC'!$E$11:$E1028,$C$39,'Livro Diario - FC'!$D$11:$D1028,"&gt;=01/10"&amp;$C$7,'Livro Diario - FC'!$D$11:$D1028,"&lt;=31/10"&amp;$C$7)</f>
        <v>0</v>
      </c>
      <c r="AT39" s="256">
        <f>SUMIFS('Livro Diario - FC'!$M$11:$M1028,'Livro Diario - FC'!$E$11:$E1028,$C$39,'Livro Diario - FC'!$D$11:$D1028,"&gt;=01/10"&amp;$C$7,'Livro Diario - FC'!$D$11:$D1028,"&lt;=31/10"&amp;$C$7)</f>
        <v>0</v>
      </c>
      <c r="AU39" s="273"/>
      <c r="AV39" s="258"/>
      <c r="AW39" s="255">
        <f>SUMIFS('Livro Diario - FC'!$K$11:$K1028,'Livro Diario - FC'!$E$11:$E1028,$C$39,'Livro Diario - FC'!$D$11:$D1028,"&gt;=01/11"&amp;$C$7,'Livro Diario - FC'!$D$11:$D1028,"&lt;=30/11"&amp;$C$7)</f>
        <v>0</v>
      </c>
      <c r="AX39" s="256">
        <f>SUMIFS('Livro Diario - FC'!$M$11:$M1028,'Livro Diario - FC'!$E$11:$E1028,$C$39,'Livro Diario - FC'!$D$11:$D1028,"&gt;=01/11"&amp;$C$7,'Livro Diario - FC'!$D$11:$D1028,"&lt;=30/11"&amp;$C$7)</f>
        <v>0</v>
      </c>
      <c r="AY39" s="273"/>
      <c r="AZ39" s="258"/>
      <c r="BA39" s="255">
        <f>SUMIFS('Livro Diario - FC'!$K$11:$K1028,'Livro Diario - FC'!$E$11:$E1028,$C$39,'Livro Diario - FC'!$D$11:$D1028,"&gt;=01/12"&amp;$C$7,'Livro Diario - FC'!$D$11:$D1028,"&lt;=31/12"&amp;$C$7)</f>
        <v>0</v>
      </c>
      <c r="BB39" s="256">
        <f>SUMIFS('Livro Diario - FC'!$M$11:$M1028,'Livro Diario - FC'!$E$11:$E1028,$C$39,'Livro Diario - FC'!$D$11:$D1028,"&gt;=01/12"&amp;$C$7,'Livro Diario - FC'!$D$11:$D1028,"&lt;=31/12"&amp;$C$7)</f>
        <v>0</v>
      </c>
      <c r="BC39" s="273"/>
      <c r="BD39" s="273"/>
      <c r="BE39" s="267">
        <f t="shared" ref="BE39:BF39" si="140">SUM(D39,I39,N39,S39,X39,AC39,AG39,AK39,AO39,AS39,AW39,BA39)</f>
        <v>148.95</v>
      </c>
      <c r="BF39" s="268">
        <f t="shared" si="140"/>
        <v>148.95</v>
      </c>
      <c r="BG39" s="269"/>
      <c r="BH39" s="192"/>
      <c r="BI39" s="270">
        <f>SUMIFS('Livro Diario - FC'!$M$11:$M1028,'Livro Diario - FC'!$E$11:$E1028,C39,'Livro Diario - FC'!$D$11:$D1028,"&gt;="&amp;$BK$8,'Livro Diario - FC'!$D$11:$D1028,"&lt;="&amp;$BK$9)</f>
        <v>0</v>
      </c>
      <c r="BJ39" s="271"/>
      <c r="BK39" s="272"/>
      <c r="BL39" s="1"/>
    </row>
    <row r="40">
      <c r="A40" s="1"/>
      <c r="B40" s="1"/>
      <c r="C40" s="338" t="str">
        <f>'Livro Diario - FC'!AE43</f>
        <v>Feijão Preto</v>
      </c>
      <c r="D40" s="255">
        <f>SUMIFS('Livro Diario - FC'!$K$11:$K1028,'Livro Diario - FC'!$E$11:$E1028,$C$40,'Livro Diario - FC'!$D$11:$D1028,"&gt;=01/01"&amp;$C$7,'Livro Diario - FC'!$D$11:$D1028,"&lt;=31/01"&amp;$C$7)</f>
        <v>120.07</v>
      </c>
      <c r="E40" s="256">
        <f>SUMIFS('Livro Diario - FC'!$M$11:$M1028,'Livro Diario - FC'!$E$11:$E1028,$C$40,'Livro Diario - FC'!$D$11:$D1028,"&gt;=01/01"&amp;$C$7,'Livro Diario - FC'!$D$11:$D1028,"&lt;=31/01"&amp;$C$7)</f>
        <v>120.07</v>
      </c>
      <c r="F40" s="273"/>
      <c r="G40" s="258"/>
      <c r="H40" s="157"/>
      <c r="I40" s="255">
        <f>SUMIFS('Livro Diario - FC'!$K$11:$K1028,'Livro Diario - FC'!$E$11:$E1028,$C$40,'Livro Diario - FC'!$D$11:$D1028,"&gt;=01/02"&amp;$C$7,'Livro Diario - FC'!$D$11:$D1028,"&lt;=29/02"&amp;$C$7)</f>
        <v>0</v>
      </c>
      <c r="J40" s="256">
        <f>SUMIFS('Livro Diario - FC'!$M$11:$M1028,'Livro Diario - FC'!$E$11:$E1028,$C$40,'Livro Diario - FC'!$D$11:$D1028,"&gt;=01/02"&amp;$C$7,'Livro Diario - FC'!$D$11:$D1028,"&lt;=29/02"&amp;$C$7)</f>
        <v>0</v>
      </c>
      <c r="K40" s="273"/>
      <c r="L40" s="258"/>
      <c r="M40" s="259"/>
      <c r="N40" s="255">
        <f>SUMIFS('Livro Diario - FC'!$K$11:$K1028,'Livro Diario - FC'!$E$11:$E1028,$C$40,'Livro Diario - FC'!$D$11:$D1028,"&gt;=01/03"&amp;$C$7,'Livro Diario - FC'!$D$11:$D1028,"&lt;=31/03"&amp;$C$7)</f>
        <v>0</v>
      </c>
      <c r="O40" s="256">
        <f>SUMIFS('Livro Diario - FC'!$M$11:$M1028,'Livro Diario - FC'!$E$11:$E1028,$C$40,'Livro Diario - FC'!$D$11:$D1028,"&gt;=01/03"&amp;$C$7,'Livro Diario - FC'!$D$11:$D1028,"&lt;=31/03"&amp;$C$7)</f>
        <v>0</v>
      </c>
      <c r="P40" s="273"/>
      <c r="Q40" s="258"/>
      <c r="R40" s="259"/>
      <c r="S40" s="255">
        <f>SUMIFS('Livro Diario - FC'!$K$11:$K1028,'Livro Diario - FC'!$E$11:$E1028,$C$40,'Livro Diario - FC'!$D$11:$D1028,"&gt;=01/04"&amp;$C$7,'Livro Diario - FC'!$D$11:$D1028,"&lt;=30/04"&amp;$C$7)</f>
        <v>0</v>
      </c>
      <c r="T40" s="256">
        <f>SUMIFS('Livro Diario - FC'!$M$11:$M1028,'Livro Diario - FC'!$E$11:$E1028,$C$40,'Livro Diario - FC'!$D$11:$D1028,"&gt;=01/04"&amp;$C$7,'Livro Diario - FC'!$D$11:$D1028,"&lt;=30/04"&amp;$C$7)</f>
        <v>0</v>
      </c>
      <c r="U40" s="273"/>
      <c r="V40" s="258"/>
      <c r="W40" s="259"/>
      <c r="X40" s="255">
        <f>SUMIFS('Livro Diario - FC'!$K$11:$K1028,'Livro Diario - FC'!$E$11:$E1028,$C$40,'Livro Diario - FC'!$D$11:$D1028,"&gt;=01/05"&amp;$C$7,'Livro Diario - FC'!$D$11:$D1028,"&lt;=31/05"&amp;$C$7)</f>
        <v>0</v>
      </c>
      <c r="Y40" s="256">
        <f>SUMIFS('Livro Diario - FC'!$M$11:$M1028,'Livro Diario - FC'!$E$11:$E1028,$C$40,'Livro Diario - FC'!$D$11:$D1028,"&gt;=01/05"&amp;$C$7,'Livro Diario - FC'!$D$11:$D1028,"&lt;=31/05"&amp;$C$7)</f>
        <v>0</v>
      </c>
      <c r="Z40" s="273"/>
      <c r="AA40" s="258"/>
      <c r="AB40" s="259"/>
      <c r="AC40" s="255">
        <f>SUMIFS('Livro Diario - FC'!$K$11:$K1028,'Livro Diario - FC'!$E$11:$E1028,$C$40,'Livro Diario - FC'!$D$11:$D1028,"&gt;=01/06"&amp;$C$7,'Livro Diario - FC'!$D$11:$D1028,"&lt;=30/06"&amp;$C$7)</f>
        <v>0</v>
      </c>
      <c r="AD40" s="256">
        <f>SUMIFS('Livro Diario - FC'!$M$11:$M1028,'Livro Diario - FC'!$E$11:$E1028,$C$40,'Livro Diario - FC'!$D$11:$D1028,"&gt;=01/06"&amp;$C$7,'Livro Diario - FC'!$D$11:$D1028,"&lt;=30/06"&amp;$C$7)</f>
        <v>0</v>
      </c>
      <c r="AE40" s="273"/>
      <c r="AF40" s="258"/>
      <c r="AG40" s="255">
        <f>SUMIFS('Livro Diario - FC'!$K$11:$K1028,'Livro Diario - FC'!$E$11:$E1028,$C$40,'Livro Diario - FC'!$D$11:$D1028,"&gt;=01/07"&amp;$C$7,'Livro Diario - FC'!$D$11:$D1028,"&lt;=31/07"&amp;$C$7)</f>
        <v>0</v>
      </c>
      <c r="AH40" s="256">
        <f>SUMIFS('Livro Diario - FC'!$M$11:$M1028,'Livro Diario - FC'!$E$11:$E1028,$C$40,'Livro Diario - FC'!$D$11:$D1028,"&gt;=01/07"&amp;$C$7,'Livro Diario - FC'!$D$11:$D1028,"&lt;=31/07"&amp;$C$7)</f>
        <v>0</v>
      </c>
      <c r="AI40" s="273"/>
      <c r="AJ40" s="258"/>
      <c r="AK40" s="255">
        <f>SUMIFS('Livro Diario - FC'!$K$11:$K1028,'Livro Diario - FC'!$E$11:$E1028,$C$40,'Livro Diario - FC'!$D$11:$D1028,"&gt;=01/08"&amp;$C$7,'Livro Diario - FC'!$D$11:$D1028,"&lt;=31/08"&amp;$C$7)</f>
        <v>0</v>
      </c>
      <c r="AL40" s="256">
        <f>SUMIFS('Livro Diario - FC'!$M$11:$M1028,'Livro Diario - FC'!$E$11:$E1028,$C$40,'Livro Diario - FC'!$D$11:$D1028,"&gt;=01/08"&amp;$C$7,'Livro Diario - FC'!$D$11:$D1028,"&lt;=31/08"&amp;$C$7)</f>
        <v>0</v>
      </c>
      <c r="AM40" s="273"/>
      <c r="AN40" s="258"/>
      <c r="AO40" s="255">
        <f>SUMIFS('Livro Diario - FC'!$K$11:$K1028,'Livro Diario - FC'!$E$11:$E1028,$C$40,'Livro Diario - FC'!$D$11:$D1028,"&gt;=01/09"&amp;$C$7,'Livro Diario - FC'!$D$11:$D1028,"&lt;=30/09"&amp;$C$7)</f>
        <v>0</v>
      </c>
      <c r="AP40" s="256">
        <f>SUMIFS('Livro Diario - FC'!$M$11:$M1028,'Livro Diario - FC'!$E$11:$E1028,$C$40,'Livro Diario - FC'!$D$11:$D1028,"&gt;=01/09"&amp;$C$7,'Livro Diario - FC'!$D$11:$D1028,"&lt;=30/09"&amp;$C$7)</f>
        <v>0</v>
      </c>
      <c r="AQ40" s="273"/>
      <c r="AR40" s="258"/>
      <c r="AS40" s="255">
        <f>SUMIFS('Livro Diario - FC'!$K$11:$K1028,'Livro Diario - FC'!$E$11:$E1028,$C$40,'Livro Diario - FC'!$D$11:$D1028,"&gt;=01/10"&amp;$C$7,'Livro Diario - FC'!$D$11:$D1028,"&lt;=31/10"&amp;$C$7)</f>
        <v>0</v>
      </c>
      <c r="AT40" s="256">
        <f>SUMIFS('Livro Diario - FC'!$M$11:$M1028,'Livro Diario - FC'!$E$11:$E1028,$C$40,'Livro Diario - FC'!$D$11:$D1028,"&gt;=01/10"&amp;$C$7,'Livro Diario - FC'!$D$11:$D1028,"&lt;=31/10"&amp;$C$7)</f>
        <v>0</v>
      </c>
      <c r="AU40" s="273"/>
      <c r="AV40" s="258"/>
      <c r="AW40" s="255">
        <f>SUMIFS('Livro Diario - FC'!$K$11:$K1028,'Livro Diario - FC'!$E$11:$E1028,$C$40,'Livro Diario - FC'!$D$11:$D1028,"&gt;=01/11"&amp;$C$7,'Livro Diario - FC'!$D$11:$D1028,"&lt;=30/11"&amp;$C$7)</f>
        <v>0</v>
      </c>
      <c r="AX40" s="256">
        <f>SUMIFS('Livro Diario - FC'!$M$11:$M1028,'Livro Diario - FC'!$E$11:$E1028,$C$40,'Livro Diario - FC'!$D$11:$D1028,"&gt;=01/11"&amp;$C$7,'Livro Diario - FC'!$D$11:$D1028,"&lt;=30/11"&amp;$C$7)</f>
        <v>0</v>
      </c>
      <c r="AY40" s="273"/>
      <c r="AZ40" s="258"/>
      <c r="BA40" s="255">
        <f>SUMIFS('Livro Diario - FC'!$K$11:$K1028,'Livro Diario - FC'!$E$11:$E1028,$C$40,'Livro Diario - FC'!$D$11:$D1028,"&gt;=01/12"&amp;$C$7,'Livro Diario - FC'!$D$11:$D1028,"&lt;=31/12"&amp;$C$7)</f>
        <v>0</v>
      </c>
      <c r="BB40" s="256">
        <f>SUMIFS('Livro Diario - FC'!$M$11:$M1028,'Livro Diario - FC'!$E$11:$E1028,$C$40,'Livro Diario - FC'!$D$11:$D1028,"&gt;=01/12"&amp;$C$7,'Livro Diario - FC'!$D$11:$D1028,"&lt;=31/12"&amp;$C$7)</f>
        <v>0</v>
      </c>
      <c r="BC40" s="273"/>
      <c r="BD40" s="273"/>
      <c r="BE40" s="267">
        <f t="shared" ref="BE40:BF40" si="141">SUM(D40,I40,N40,S40,X40,AC40,AG40,AK40,AO40,AS40,AW40,BA40)</f>
        <v>120.07</v>
      </c>
      <c r="BF40" s="268">
        <f t="shared" si="141"/>
        <v>120.07</v>
      </c>
      <c r="BG40" s="269"/>
      <c r="BH40" s="192"/>
      <c r="BI40" s="270">
        <f>SUMIFS('Livro Diario - FC'!$M$11:$M1028,'Livro Diario - FC'!$E$11:$E1028,C40,'Livro Diario - FC'!$D$11:$D1028,"&gt;="&amp;$BK$8,'Livro Diario - FC'!$D$11:$D1028,"&lt;="&amp;$BK$9)</f>
        <v>0</v>
      </c>
      <c r="BJ40" s="271"/>
      <c r="BK40" s="272"/>
      <c r="BL40" s="1"/>
    </row>
    <row r="41">
      <c r="A41" s="1"/>
      <c r="B41" s="1"/>
      <c r="C41" s="338" t="str">
        <f>'Livro Diario - FC'!AE44</f>
        <v>Feijão macassar</v>
      </c>
      <c r="D41" s="255">
        <f>SUMIFS('Livro Diario - FC'!$K$11:$K1028,'Livro Diario - FC'!$E$11:$E1028,$C$41,'Livro Diario - FC'!$D$11:$D1028,"&gt;=01/01"&amp;$C$7,'Livro Diario - FC'!$D$11:$D1028,"&lt;=31/01"&amp;$C$7)</f>
        <v>70.9</v>
      </c>
      <c r="E41" s="256">
        <f>SUMIFS('Livro Diario - FC'!$M$11:$M1028,'Livro Diario - FC'!$E$11:$E1028,$C$41,'Livro Diario - FC'!$D$11:$D1028,"&gt;=01/01"&amp;$C$7,'Livro Diario - FC'!$D$11:$D1028,"&lt;=31/01"&amp;$C$7)</f>
        <v>70.9</v>
      </c>
      <c r="F41" s="273"/>
      <c r="G41" s="258"/>
      <c r="H41" s="157"/>
      <c r="I41" s="255">
        <f>SUMIFS('Livro Diario - FC'!$K$11:$K1028,'Livro Diario - FC'!$E$11:$E1028,$C$41,'Livro Diario - FC'!$D$11:$D1028,"&gt;=01/02"&amp;$C$7,'Livro Diario - FC'!$D$11:$D1028,"&lt;=29/02"&amp;$C$7)</f>
        <v>0</v>
      </c>
      <c r="J41" s="256">
        <f>SUMIFS('Livro Diario - FC'!$M$11:$M1028,'Livro Diario - FC'!$E$11:$E1028,$C$41,'Livro Diario - FC'!$D$11:$D1028,"&gt;=01/02"&amp;$C$7,'Livro Diario - FC'!$D$11:$D1028,"&lt;=29/02"&amp;$C$7)</f>
        <v>0</v>
      </c>
      <c r="K41" s="273"/>
      <c r="L41" s="258"/>
      <c r="M41" s="259"/>
      <c r="N41" s="255">
        <f>SUMIFS('Livro Diario - FC'!$K$11:$K1028,'Livro Diario - FC'!$E$11:$E1028,$C$41,'Livro Diario - FC'!$D$11:$D1028,"&gt;=01/03"&amp;$C$7,'Livro Diario - FC'!$D$11:$D1028,"&lt;=31/03"&amp;$C$7)</f>
        <v>0</v>
      </c>
      <c r="O41" s="256">
        <f>SUMIFS('Livro Diario - FC'!$M$11:$M1028,'Livro Diario - FC'!$E$11:$E1028,$C$41,'Livro Diario - FC'!$D$11:$D1028,"&gt;=01/03"&amp;$C$7,'Livro Diario - FC'!$D$11:$D1028,"&lt;=31/03"&amp;$C$7)</f>
        <v>0</v>
      </c>
      <c r="P41" s="273"/>
      <c r="Q41" s="258"/>
      <c r="R41" s="259"/>
      <c r="S41" s="255">
        <f>SUMIFS('Livro Diario - FC'!$K$11:$K1028,'Livro Diario - FC'!$E$11:$E1028,$C$41,'Livro Diario - FC'!$D$11:$D1028,"&gt;=01/04"&amp;$C$7,'Livro Diario - FC'!$D$11:$D1028,"&lt;=30/04"&amp;$C$7)</f>
        <v>0</v>
      </c>
      <c r="T41" s="256">
        <f>SUMIFS('Livro Diario - FC'!$M$11:$M1028,'Livro Diario - FC'!$E$11:$E1028,$C$41,'Livro Diario - FC'!$D$11:$D1028,"&gt;=01/04"&amp;$C$7,'Livro Diario - FC'!$D$11:$D1028,"&lt;=30/04"&amp;$C$7)</f>
        <v>0</v>
      </c>
      <c r="U41" s="273"/>
      <c r="V41" s="258"/>
      <c r="W41" s="259"/>
      <c r="X41" s="255">
        <f>SUMIFS('Livro Diario - FC'!$K$11:$K1028,'Livro Diario - FC'!$E$11:$E1028,$C$41,'Livro Diario - FC'!$D$11:$D1028,"&gt;=01/05"&amp;$C$7,'Livro Diario - FC'!$D$11:$D1028,"&lt;=31/05"&amp;$C$7)</f>
        <v>0</v>
      </c>
      <c r="Y41" s="256">
        <f>SUMIFS('Livro Diario - FC'!$M$11:$M1028,'Livro Diario - FC'!$E$11:$E1028,$C$41,'Livro Diario - FC'!$D$11:$D1028,"&gt;=01/05"&amp;$C$7,'Livro Diario - FC'!$D$11:$D1028,"&lt;=31/05"&amp;$C$7)</f>
        <v>0</v>
      </c>
      <c r="Z41" s="273"/>
      <c r="AA41" s="258"/>
      <c r="AB41" s="259"/>
      <c r="AC41" s="255">
        <f>SUMIFS('Livro Diario - FC'!$K$11:$K1028,'Livro Diario - FC'!$E$11:$E1028,$C$41,'Livro Diario - FC'!$D$11:$D1028,"&gt;=01/06"&amp;$C$7,'Livro Diario - FC'!$D$11:$D1028,"&lt;=30/06"&amp;$C$7)</f>
        <v>0</v>
      </c>
      <c r="AD41" s="256">
        <f>SUMIFS('Livro Diario - FC'!$M$11:$M1028,'Livro Diario - FC'!$E$11:$E1028,$C$41,'Livro Diario - FC'!$D$11:$D1028,"&gt;=01/06"&amp;$C$7,'Livro Diario - FC'!$D$11:$D1028,"&lt;=30/06"&amp;$C$7)</f>
        <v>0</v>
      </c>
      <c r="AE41" s="273"/>
      <c r="AF41" s="258"/>
      <c r="AG41" s="255">
        <f>SUMIFS('Livro Diario - FC'!$K$11:$K1028,'Livro Diario - FC'!$E$11:$E1028,$C$41,'Livro Diario - FC'!$D$11:$D1028,"&gt;=01/07"&amp;$C$7,'Livro Diario - FC'!$D$11:$D1028,"&lt;=31/07"&amp;$C$7)</f>
        <v>0</v>
      </c>
      <c r="AH41" s="256">
        <f>SUMIFS('Livro Diario - FC'!$M$11:$M1028,'Livro Diario - FC'!$E$11:$E1028,$C$41,'Livro Diario - FC'!$D$11:$D1028,"&gt;=01/07"&amp;$C$7,'Livro Diario - FC'!$D$11:$D1028,"&lt;=31/07"&amp;$C$7)</f>
        <v>0</v>
      </c>
      <c r="AI41" s="273"/>
      <c r="AJ41" s="258"/>
      <c r="AK41" s="255">
        <f>SUMIFS('Livro Diario - FC'!$K$11:$K1028,'Livro Diario - FC'!$E$11:$E1028,$C$41,'Livro Diario - FC'!$D$11:$D1028,"&gt;=01/08"&amp;$C$7,'Livro Diario - FC'!$D$11:$D1028,"&lt;=31/08"&amp;$C$7)</f>
        <v>0</v>
      </c>
      <c r="AL41" s="256">
        <f>SUMIFS('Livro Diario - FC'!$M$11:$M1028,'Livro Diario - FC'!$E$11:$E1028,$C$41,'Livro Diario - FC'!$D$11:$D1028,"&gt;=01/08"&amp;$C$7,'Livro Diario - FC'!$D$11:$D1028,"&lt;=31/08"&amp;$C$7)</f>
        <v>0</v>
      </c>
      <c r="AM41" s="273"/>
      <c r="AN41" s="258"/>
      <c r="AO41" s="255">
        <f>SUMIFS('Livro Diario - FC'!$K$11:$K1028,'Livro Diario - FC'!$E$11:$E1028,$C$41,'Livro Diario - FC'!$D$11:$D1028,"&gt;=01/09"&amp;$C$7,'Livro Diario - FC'!$D$11:$D1028,"&lt;=30/09"&amp;$C$7)</f>
        <v>0</v>
      </c>
      <c r="AP41" s="256">
        <f>SUMIFS('Livro Diario - FC'!$M$11:$M1028,'Livro Diario - FC'!$E$11:$E1028,$C$41,'Livro Diario - FC'!$D$11:$D1028,"&gt;=01/09"&amp;$C$7,'Livro Diario - FC'!$D$11:$D1028,"&lt;=30/09"&amp;$C$7)</f>
        <v>0</v>
      </c>
      <c r="AQ41" s="273"/>
      <c r="AR41" s="258"/>
      <c r="AS41" s="255">
        <f>SUMIFS('Livro Diario - FC'!$K$11:$K1028,'Livro Diario - FC'!$E$11:$E1028,$C$41,'Livro Diario - FC'!$D$11:$D1028,"&gt;=01/10"&amp;$C$7,'Livro Diario - FC'!$D$11:$D1028,"&lt;=31/10"&amp;$C$7)</f>
        <v>0</v>
      </c>
      <c r="AT41" s="256">
        <f>SUMIFS('Livro Diario - FC'!$M$11:$M1028,'Livro Diario - FC'!$E$11:$E1028,$C$41,'Livro Diario - FC'!$D$11:$D1028,"&gt;=01/10"&amp;$C$7,'Livro Diario - FC'!$D$11:$D1028,"&lt;=31/10"&amp;$C$7)</f>
        <v>0</v>
      </c>
      <c r="AU41" s="273"/>
      <c r="AV41" s="258"/>
      <c r="AW41" s="255">
        <f>SUMIFS('Livro Diario - FC'!$K$11:$K1028,'Livro Diario - FC'!$E$11:$E1028,$C$41,'Livro Diario - FC'!$D$11:$D1028,"&gt;=01/11"&amp;$C$7,'Livro Diario - FC'!$D$11:$D1028,"&lt;=30/11"&amp;$C$7)</f>
        <v>0</v>
      </c>
      <c r="AX41" s="256">
        <f>SUMIFS('Livro Diario - FC'!$M$11:$M1028,'Livro Diario - FC'!$E$11:$E1028,$C$41,'Livro Diario - FC'!$D$11:$D1028,"&gt;=01/11"&amp;$C$7,'Livro Diario - FC'!$D$11:$D1028,"&lt;=30/11"&amp;$C$7)</f>
        <v>0</v>
      </c>
      <c r="AY41" s="273"/>
      <c r="AZ41" s="258"/>
      <c r="BA41" s="255">
        <f>SUMIFS('Livro Diario - FC'!$K$11:$K1028,'Livro Diario - FC'!$E$11:$E1028,$C$41,'Livro Diario - FC'!$D$11:$D1028,"&gt;=01/12"&amp;$C$7,'Livro Diario - FC'!$D$11:$D1028,"&lt;=31/12"&amp;$C$7)</f>
        <v>0</v>
      </c>
      <c r="BB41" s="256">
        <f>SUMIFS('Livro Diario - FC'!$M$11:$M1028,'Livro Diario - FC'!$E$11:$E1028,$C$41,'Livro Diario - FC'!$D$11:$D1028,"&gt;=01/12"&amp;$C$7,'Livro Diario - FC'!$D$11:$D1028,"&lt;=31/12"&amp;$C$7)</f>
        <v>0</v>
      </c>
      <c r="BC41" s="273"/>
      <c r="BD41" s="273"/>
      <c r="BE41" s="267">
        <f t="shared" ref="BE41:BF41" si="142">SUM(D41,I41,N41,S41,X41,AC41,AG41,AK41,AO41,AS41,AW41,BA41)</f>
        <v>70.9</v>
      </c>
      <c r="BF41" s="268">
        <f t="shared" si="142"/>
        <v>70.9</v>
      </c>
      <c r="BG41" s="269"/>
      <c r="BH41" s="192"/>
      <c r="BI41" s="270">
        <f>SUMIFS('Livro Diario - FC'!$M$11:$M1028,'Livro Diario - FC'!$E$11:$E1028,C41,'Livro Diario - FC'!$D$11:$D1028,"&gt;="&amp;$BK$8,'Livro Diario - FC'!$D$11:$D1028,"&lt;="&amp;$BK$9)</f>
        <v>0</v>
      </c>
      <c r="BJ41" s="271"/>
      <c r="BK41" s="272"/>
      <c r="BL41" s="1"/>
    </row>
    <row r="42">
      <c r="A42" s="1"/>
      <c r="B42" s="1"/>
      <c r="C42" s="338" t="str">
        <f>'Livro Diario - FC'!AE45</f>
        <v>Sal</v>
      </c>
      <c r="D42" s="255">
        <f>SUMIFS('Livro Diario - FC'!$K$11:$K1028,'Livro Diario - FC'!$E$11:$E1028,$C$42,'Livro Diario - FC'!$D$11:$D1028,"&gt;=01/01"&amp;$C$7,'Livro Diario - FC'!$D$11:$D1028,"&lt;=31/01"&amp;$C$7)</f>
        <v>17.99</v>
      </c>
      <c r="E42" s="256">
        <f>SUMIFS('Livro Diario - FC'!$M$11:$M1028,'Livro Diario - FC'!$E$11:$E1028,$C$42,'Livro Diario - FC'!$D$11:$D1028,"&gt;=01/01"&amp;$C$7,'Livro Diario - FC'!$D$11:$D1028,"&lt;=31/01"&amp;$C$7)</f>
        <v>17.99</v>
      </c>
      <c r="F42" s="273"/>
      <c r="G42" s="258"/>
      <c r="H42" s="157"/>
      <c r="I42" s="255">
        <f>SUMIFS('Livro Diario - FC'!$K$11:$K1028,'Livro Diario - FC'!$E$11:$E1028,$C$42,'Livro Diario - FC'!$D$11:$D1028,"&gt;=01/02"&amp;$C$7,'Livro Diario - FC'!$D$11:$D1028,"&lt;=29/02"&amp;$C$7)</f>
        <v>0</v>
      </c>
      <c r="J42" s="256">
        <f>SUMIFS('Livro Diario - FC'!$M$11:$M1028,'Livro Diario - FC'!$E$11:$E1028,$C$42,'Livro Diario - FC'!$D$11:$D1028,"&gt;=01/02"&amp;$C$7,'Livro Diario - FC'!$D$11:$D1028,"&lt;=29/02"&amp;$C$7)</f>
        <v>0</v>
      </c>
      <c r="K42" s="273"/>
      <c r="L42" s="258"/>
      <c r="M42" s="259"/>
      <c r="N42" s="255">
        <f>SUMIFS('Livro Diario - FC'!$K$11:$K1028,'Livro Diario - FC'!$E$11:$E1028,$C$42,'Livro Diario - FC'!$D$11:$D1028,"&gt;=01/03"&amp;$C$7,'Livro Diario - FC'!$D$11:$D1028,"&lt;=31/03"&amp;$C$7)</f>
        <v>0</v>
      </c>
      <c r="O42" s="256">
        <f>SUMIFS('Livro Diario - FC'!$M$11:$M1028,'Livro Diario - FC'!$E$11:$E1028,$C$42,'Livro Diario - FC'!$D$11:$D1028,"&gt;=01/03"&amp;$C$7,'Livro Diario - FC'!$D$11:$D1028,"&lt;=31/03"&amp;$C$7)</f>
        <v>0</v>
      </c>
      <c r="P42" s="273"/>
      <c r="Q42" s="258"/>
      <c r="R42" s="259"/>
      <c r="S42" s="255">
        <f>SUMIFS('Livro Diario - FC'!$K$11:$K1028,'Livro Diario - FC'!$E$11:$E1028,$C$42,'Livro Diario - FC'!$D$11:$D1028,"&gt;=01/04"&amp;$C$7,'Livro Diario - FC'!$D$11:$D1028,"&lt;=30/04"&amp;$C$7)</f>
        <v>0</v>
      </c>
      <c r="T42" s="256">
        <f>SUMIFS('Livro Diario - FC'!$M$11:$M1028,'Livro Diario - FC'!$E$11:$E1028,$C$42,'Livro Diario - FC'!$D$11:$D1028,"&gt;=01/04"&amp;$C$7,'Livro Diario - FC'!$D$11:$D1028,"&lt;=30/04"&amp;$C$7)</f>
        <v>0</v>
      </c>
      <c r="U42" s="273"/>
      <c r="V42" s="258"/>
      <c r="W42" s="259"/>
      <c r="X42" s="255">
        <f>SUMIFS('Livro Diario - FC'!$K$11:$K1028,'Livro Diario - FC'!$E$11:$E1028,$C$42,'Livro Diario - FC'!$D$11:$D1028,"&gt;=01/05"&amp;$C$7,'Livro Diario - FC'!$D$11:$D1028,"&lt;=31/05"&amp;$C$7)</f>
        <v>0</v>
      </c>
      <c r="Y42" s="256">
        <f>SUMIFS('Livro Diario - FC'!$M$11:$M1028,'Livro Diario - FC'!$E$11:$E1028,$C$42,'Livro Diario - FC'!$D$11:$D1028,"&gt;=01/05"&amp;$C$7,'Livro Diario - FC'!$D$11:$D1028,"&lt;=31/05"&amp;$C$7)</f>
        <v>0</v>
      </c>
      <c r="Z42" s="273"/>
      <c r="AA42" s="258"/>
      <c r="AB42" s="259"/>
      <c r="AC42" s="255">
        <f>SUMIFS('Livro Diario - FC'!$K$11:$K1028,'Livro Diario - FC'!$E$11:$E1028,$C$42,'Livro Diario - FC'!$D$11:$D1028,"&gt;=01/06"&amp;$C$7,'Livro Diario - FC'!$D$11:$D1028,"&lt;=30/06"&amp;$C$7)</f>
        <v>0</v>
      </c>
      <c r="AD42" s="256">
        <f>SUMIFS('Livro Diario - FC'!$M$11:$M1028,'Livro Diario - FC'!$E$11:$E1028,$C$42,'Livro Diario - FC'!$D$11:$D1028,"&gt;=01/06"&amp;$C$7,'Livro Diario - FC'!$D$11:$D1028,"&lt;=30/06"&amp;$C$7)</f>
        <v>0</v>
      </c>
      <c r="AE42" s="273"/>
      <c r="AF42" s="258"/>
      <c r="AG42" s="255">
        <f>SUMIFS('Livro Diario - FC'!$K$11:$K1028,'Livro Diario - FC'!$E$11:$E1028,$C$42,'Livro Diario - FC'!$D$11:$D1028,"&gt;=01/07"&amp;$C$7,'Livro Diario - FC'!$D$11:$D1028,"&lt;=31/07"&amp;$C$7)</f>
        <v>0</v>
      </c>
      <c r="AH42" s="256">
        <f>SUMIFS('Livro Diario - FC'!$M$11:$M1028,'Livro Diario - FC'!$E$11:$E1028,$C$42,'Livro Diario - FC'!$D$11:$D1028,"&gt;=01/07"&amp;$C$7,'Livro Diario - FC'!$D$11:$D1028,"&lt;=31/07"&amp;$C$7)</f>
        <v>0</v>
      </c>
      <c r="AI42" s="273"/>
      <c r="AJ42" s="258"/>
      <c r="AK42" s="255">
        <f>SUMIFS('Livro Diario - FC'!$K$11:$K1028,'Livro Diario - FC'!$E$11:$E1028,$C$42,'Livro Diario - FC'!$D$11:$D1028,"&gt;=01/08"&amp;$C$7,'Livro Diario - FC'!$D$11:$D1028,"&lt;=31/08"&amp;$C$7)</f>
        <v>0</v>
      </c>
      <c r="AL42" s="256">
        <f>SUMIFS('Livro Diario - FC'!$M$11:$M1028,'Livro Diario - FC'!$E$11:$E1028,$C$42,'Livro Diario - FC'!$D$11:$D1028,"&gt;=01/08"&amp;$C$7,'Livro Diario - FC'!$D$11:$D1028,"&lt;=31/08"&amp;$C$7)</f>
        <v>0</v>
      </c>
      <c r="AM42" s="273"/>
      <c r="AN42" s="258"/>
      <c r="AO42" s="255">
        <f>SUMIFS('Livro Diario - FC'!$K$11:$K1028,'Livro Diario - FC'!$E$11:$E1028,$C$42,'Livro Diario - FC'!$D$11:$D1028,"&gt;=01/09"&amp;$C$7,'Livro Diario - FC'!$D$11:$D1028,"&lt;=30/09"&amp;$C$7)</f>
        <v>0</v>
      </c>
      <c r="AP42" s="256">
        <f>SUMIFS('Livro Diario - FC'!$M$11:$M1028,'Livro Diario - FC'!$E$11:$E1028,$C$42,'Livro Diario - FC'!$D$11:$D1028,"&gt;=01/09"&amp;$C$7,'Livro Diario - FC'!$D$11:$D1028,"&lt;=30/09"&amp;$C$7)</f>
        <v>0</v>
      </c>
      <c r="AQ42" s="273"/>
      <c r="AR42" s="258"/>
      <c r="AS42" s="255">
        <f>SUMIFS('Livro Diario - FC'!$K$11:$K1028,'Livro Diario - FC'!$E$11:$E1028,$C$42,'Livro Diario - FC'!$D$11:$D1028,"&gt;=01/10"&amp;$C$7,'Livro Diario - FC'!$D$11:$D1028,"&lt;=31/10"&amp;$C$7)</f>
        <v>0</v>
      </c>
      <c r="AT42" s="256">
        <f>SUMIFS('Livro Diario - FC'!$M$11:$M1028,'Livro Diario - FC'!$E$11:$E1028,$C$42,'Livro Diario - FC'!$D$11:$D1028,"&gt;=01/10"&amp;$C$7,'Livro Diario - FC'!$D$11:$D1028,"&lt;=31/10"&amp;$C$7)</f>
        <v>0</v>
      </c>
      <c r="AU42" s="273"/>
      <c r="AV42" s="258"/>
      <c r="AW42" s="255">
        <f>SUMIFS('Livro Diario - FC'!$K$11:$K1028,'Livro Diario - FC'!$E$11:$E1028,$C$42,'Livro Diario - FC'!$D$11:$D1028,"&gt;=01/11"&amp;$C$7,'Livro Diario - FC'!$D$11:$D1028,"&lt;=30/11"&amp;$C$7)</f>
        <v>0</v>
      </c>
      <c r="AX42" s="256">
        <f>SUMIFS('Livro Diario - FC'!$M$11:$M1028,'Livro Diario - FC'!$E$11:$E1028,$C$42,'Livro Diario - FC'!$D$11:$D1028,"&gt;=01/11"&amp;$C$7,'Livro Diario - FC'!$D$11:$D1028,"&lt;=30/11"&amp;$C$7)</f>
        <v>0</v>
      </c>
      <c r="AY42" s="273"/>
      <c r="AZ42" s="258"/>
      <c r="BA42" s="255">
        <f>SUMIFS('Livro Diario - FC'!$K$11:$K1028,'Livro Diario - FC'!$E$11:$E1028,$C$42,'Livro Diario - FC'!$D$11:$D1028,"&gt;=01/12"&amp;$C$7,'Livro Diario - FC'!$D$11:$D1028,"&lt;=31/12"&amp;$C$7)</f>
        <v>0</v>
      </c>
      <c r="BB42" s="256">
        <f>SUMIFS('Livro Diario - FC'!$M$11:$M1028,'Livro Diario - FC'!$E$11:$E1028,$C$42,'Livro Diario - FC'!$D$11:$D1028,"&gt;=01/12"&amp;$C$7,'Livro Diario - FC'!$D$11:$D1028,"&lt;=31/12"&amp;$C$7)</f>
        <v>0</v>
      </c>
      <c r="BC42" s="273"/>
      <c r="BD42" s="273"/>
      <c r="BE42" s="267">
        <f t="shared" ref="BE42:BF42" si="143">SUM(D42,I42,N42,S42,X42,AC42,AG42,AK42,AO42,AS42,AW42,BA42)</f>
        <v>17.99</v>
      </c>
      <c r="BF42" s="268">
        <f t="shared" si="143"/>
        <v>17.99</v>
      </c>
      <c r="BG42" s="269"/>
      <c r="BH42" s="192"/>
      <c r="BI42" s="270">
        <f>SUMIFS('Livro Diario - FC'!$M$11:$M1028,'Livro Diario - FC'!$E$11:$E1028,C42,'Livro Diario - FC'!$D$11:$D1028,"&gt;="&amp;$BK$8,'Livro Diario - FC'!$D$11:$D1028,"&lt;="&amp;$BK$9)</f>
        <v>0</v>
      </c>
      <c r="BJ42" s="271"/>
      <c r="BK42" s="272"/>
      <c r="BL42" s="1"/>
    </row>
    <row r="43">
      <c r="A43" s="1"/>
      <c r="B43" s="1"/>
      <c r="C43" s="338" t="str">
        <f>'Livro Diario - FC'!AE46</f>
        <v>Açúcar</v>
      </c>
      <c r="D43" s="255">
        <f>SUMIFS('Livro Diario - FC'!$K$11:$K1028,'Livro Diario - FC'!$E$11:$E1028,$C$43,'Livro Diario - FC'!$D$11:$D1028,"&gt;=01/01"&amp;$C$7,'Livro Diario - FC'!$D$11:$D1028,"&lt;=31/01"&amp;$C$7)</f>
        <v>65.8</v>
      </c>
      <c r="E43" s="256">
        <f>SUMIFS('Livro Diario - FC'!$M$11:$M1028,'Livro Diario - FC'!$E$11:$E1028,$C$43,'Livro Diario - FC'!$D$11:$D1028,"&gt;=01/01"&amp;$C$7,'Livro Diario - FC'!$D$11:$D1028,"&lt;=31/01"&amp;$C$7)</f>
        <v>65.8</v>
      </c>
      <c r="F43" s="273"/>
      <c r="G43" s="258"/>
      <c r="H43" s="157"/>
      <c r="I43" s="255">
        <f>SUMIFS('Livro Diario - FC'!$K$11:$K1028,'Livro Diario - FC'!$E$11:$E1028,$C$43,'Livro Diario - FC'!$D$11:$D1028,"&gt;=01/02"&amp;$C$7,'Livro Diario - FC'!$D$11:$D1028,"&lt;=29/02"&amp;$C$7)</f>
        <v>0</v>
      </c>
      <c r="J43" s="256">
        <f>SUMIFS('Livro Diario - FC'!$M$11:$M1028,'Livro Diario - FC'!$E$11:$E1028,$C$43,'Livro Diario - FC'!$D$11:$D1028,"&gt;=01/02"&amp;$C$7,'Livro Diario - FC'!$D$11:$D1028,"&lt;=29/02"&amp;$C$7)</f>
        <v>0</v>
      </c>
      <c r="K43" s="273"/>
      <c r="L43" s="258"/>
      <c r="M43" s="259"/>
      <c r="N43" s="255">
        <f>SUMIFS('Livro Diario - FC'!$K$11:$K1028,'Livro Diario - FC'!$E$11:$E1028,$C$43,'Livro Diario - FC'!$D$11:$D1028,"&gt;=01/03"&amp;$C$7,'Livro Diario - FC'!$D$11:$D1028,"&lt;=31/03"&amp;$C$7)</f>
        <v>0</v>
      </c>
      <c r="O43" s="256">
        <f>SUMIFS('Livro Diario - FC'!$M$11:$M1028,'Livro Diario - FC'!$E$11:$E1028,$C$43,'Livro Diario - FC'!$D$11:$D1028,"&gt;=01/03"&amp;$C$7,'Livro Diario - FC'!$D$11:$D1028,"&lt;=31/03"&amp;$C$7)</f>
        <v>0</v>
      </c>
      <c r="P43" s="273"/>
      <c r="Q43" s="258"/>
      <c r="R43" s="259"/>
      <c r="S43" s="255">
        <f>SUMIFS('Livro Diario - FC'!$K$11:$K1028,'Livro Diario - FC'!$E$11:$E1028,$C$43,'Livro Diario - FC'!$D$11:$D1028,"&gt;=01/04"&amp;$C$7,'Livro Diario - FC'!$D$11:$D1028,"&lt;=30/04"&amp;$C$7)</f>
        <v>0</v>
      </c>
      <c r="T43" s="256">
        <f>SUMIFS('Livro Diario - FC'!$M$11:$M1028,'Livro Diario - FC'!$E$11:$E1028,$C$43,'Livro Diario - FC'!$D$11:$D1028,"&gt;=01/04"&amp;$C$7,'Livro Diario - FC'!$D$11:$D1028,"&lt;=30/04"&amp;$C$7)</f>
        <v>0</v>
      </c>
      <c r="U43" s="273"/>
      <c r="V43" s="258"/>
      <c r="W43" s="259"/>
      <c r="X43" s="255">
        <f>SUMIFS('Livro Diario - FC'!$K$11:$K1028,'Livro Diario - FC'!$E$11:$E1028,$C$43,'Livro Diario - FC'!$D$11:$D1028,"&gt;=01/05"&amp;$C$7,'Livro Diario - FC'!$D$11:$D1028,"&lt;=31/05"&amp;$C$7)</f>
        <v>0</v>
      </c>
      <c r="Y43" s="256">
        <f>SUMIFS('Livro Diario - FC'!$M$11:$M1028,'Livro Diario - FC'!$E$11:$E1028,$C$43,'Livro Diario - FC'!$D$11:$D1028,"&gt;=01/05"&amp;$C$7,'Livro Diario - FC'!$D$11:$D1028,"&lt;=31/05"&amp;$C$7)</f>
        <v>0</v>
      </c>
      <c r="Z43" s="273"/>
      <c r="AA43" s="258"/>
      <c r="AB43" s="259"/>
      <c r="AC43" s="255">
        <f>SUMIFS('Livro Diario - FC'!$K$11:$K1028,'Livro Diario - FC'!$E$11:$E1028,$C$43,'Livro Diario - FC'!$D$11:$D1028,"&gt;=01/06"&amp;$C$7,'Livro Diario - FC'!$D$11:$D1028,"&lt;=30/06"&amp;$C$7)</f>
        <v>0</v>
      </c>
      <c r="AD43" s="256">
        <f>SUMIFS('Livro Diario - FC'!$M$11:$M1028,'Livro Diario - FC'!$E$11:$E1028,$C$43,'Livro Diario - FC'!$D$11:$D1028,"&gt;=01/06"&amp;$C$7,'Livro Diario - FC'!$D$11:$D1028,"&lt;=30/06"&amp;$C$7)</f>
        <v>0</v>
      </c>
      <c r="AE43" s="273"/>
      <c r="AF43" s="258"/>
      <c r="AG43" s="255">
        <f>SUMIFS('Livro Diario - FC'!$K$11:$K1028,'Livro Diario - FC'!$E$11:$E1028,$C$43,'Livro Diario - FC'!$D$11:$D1028,"&gt;=01/07"&amp;$C$7,'Livro Diario - FC'!$D$11:$D1028,"&lt;=31/07"&amp;$C$7)</f>
        <v>0</v>
      </c>
      <c r="AH43" s="256">
        <f>SUMIFS('Livro Diario - FC'!$M$11:$M1028,'Livro Diario - FC'!$E$11:$E1028,$C$43,'Livro Diario - FC'!$D$11:$D1028,"&gt;=01/07"&amp;$C$7,'Livro Diario - FC'!$D$11:$D1028,"&lt;=31/07"&amp;$C$7)</f>
        <v>0</v>
      </c>
      <c r="AI43" s="273"/>
      <c r="AJ43" s="258"/>
      <c r="AK43" s="255">
        <f>SUMIFS('Livro Diario - FC'!$K$11:$K1028,'Livro Diario - FC'!$E$11:$E1028,$C$43,'Livro Diario - FC'!$D$11:$D1028,"&gt;=01/08"&amp;$C$7,'Livro Diario - FC'!$D$11:$D1028,"&lt;=31/08"&amp;$C$7)</f>
        <v>0</v>
      </c>
      <c r="AL43" s="256">
        <f>SUMIFS('Livro Diario - FC'!$M$11:$M1028,'Livro Diario - FC'!$E$11:$E1028,$C$43,'Livro Diario - FC'!$D$11:$D1028,"&gt;=01/08"&amp;$C$7,'Livro Diario - FC'!$D$11:$D1028,"&lt;=31/08"&amp;$C$7)</f>
        <v>0</v>
      </c>
      <c r="AM43" s="273"/>
      <c r="AN43" s="258"/>
      <c r="AO43" s="255">
        <f>SUMIFS('Livro Diario - FC'!$K$11:$K1028,'Livro Diario - FC'!$E$11:$E1028,$C$43,'Livro Diario - FC'!$D$11:$D1028,"&gt;=01/09"&amp;$C$7,'Livro Diario - FC'!$D$11:$D1028,"&lt;=30/09"&amp;$C$7)</f>
        <v>0</v>
      </c>
      <c r="AP43" s="256">
        <f>SUMIFS('Livro Diario - FC'!$M$11:$M1028,'Livro Diario - FC'!$E$11:$E1028,$C$43,'Livro Diario - FC'!$D$11:$D1028,"&gt;=01/09"&amp;$C$7,'Livro Diario - FC'!$D$11:$D1028,"&lt;=30/09"&amp;$C$7)</f>
        <v>0</v>
      </c>
      <c r="AQ43" s="273"/>
      <c r="AR43" s="258"/>
      <c r="AS43" s="255">
        <f>SUMIFS('Livro Diario - FC'!$K$11:$K1028,'Livro Diario - FC'!$E$11:$E1028,$C$43,'Livro Diario - FC'!$D$11:$D1028,"&gt;=01/10"&amp;$C$7,'Livro Diario - FC'!$D$11:$D1028,"&lt;=31/10"&amp;$C$7)</f>
        <v>0</v>
      </c>
      <c r="AT43" s="256">
        <f>SUMIFS('Livro Diario - FC'!$M$11:$M1028,'Livro Diario - FC'!$E$11:$E1028,$C$43,'Livro Diario - FC'!$D$11:$D1028,"&gt;=01/10"&amp;$C$7,'Livro Diario - FC'!$D$11:$D1028,"&lt;=31/10"&amp;$C$7)</f>
        <v>0</v>
      </c>
      <c r="AU43" s="273"/>
      <c r="AV43" s="258"/>
      <c r="AW43" s="255">
        <f>SUMIFS('Livro Diario - FC'!$K$11:$K1028,'Livro Diario - FC'!$E$11:$E1028,$C$43,'Livro Diario - FC'!$D$11:$D1028,"&gt;=01/11"&amp;$C$7,'Livro Diario - FC'!$D$11:$D1028,"&lt;=30/11"&amp;$C$7)</f>
        <v>0</v>
      </c>
      <c r="AX43" s="256">
        <f>SUMIFS('Livro Diario - FC'!$M$11:$M1028,'Livro Diario - FC'!$E$11:$E1028,$C$43,'Livro Diario - FC'!$D$11:$D1028,"&gt;=01/11"&amp;$C$7,'Livro Diario - FC'!$D$11:$D1028,"&lt;=30/11"&amp;$C$7)</f>
        <v>0</v>
      </c>
      <c r="AY43" s="273"/>
      <c r="AZ43" s="258"/>
      <c r="BA43" s="255">
        <f>SUMIFS('Livro Diario - FC'!$K$11:$K1028,'Livro Diario - FC'!$E$11:$E1028,$C$43,'Livro Diario - FC'!$D$11:$D1028,"&gt;=01/12"&amp;$C$7,'Livro Diario - FC'!$D$11:$D1028,"&lt;=31/12"&amp;$C$7)</f>
        <v>0</v>
      </c>
      <c r="BB43" s="256">
        <f>SUMIFS('Livro Diario - FC'!$M$11:$M1028,'Livro Diario - FC'!$E$11:$E1028,$C$43,'Livro Diario - FC'!$D$11:$D1028,"&gt;=01/12"&amp;$C$7,'Livro Diario - FC'!$D$11:$D1028,"&lt;=31/12"&amp;$C$7)</f>
        <v>0</v>
      </c>
      <c r="BC43" s="273"/>
      <c r="BD43" s="273"/>
      <c r="BE43" s="267">
        <f t="shared" ref="BE43:BF43" si="144">SUM(D43,I43,N43,S43,X43,AC43,AG43,AK43,AO43,AS43,AW43,BA43)</f>
        <v>65.8</v>
      </c>
      <c r="BF43" s="268">
        <f t="shared" si="144"/>
        <v>65.8</v>
      </c>
      <c r="BG43" s="269"/>
      <c r="BH43" s="192"/>
      <c r="BI43" s="270">
        <f>SUMIFS('Livro Diario - FC'!$M$11:$M1028,'Livro Diario - FC'!$E$11:$E1028,C43,'Livro Diario - FC'!$D$11:$D1028,"&gt;="&amp;$BK$8,'Livro Diario - FC'!$D$11:$D1028,"&lt;="&amp;$BK$9)</f>
        <v>0</v>
      </c>
      <c r="BJ43" s="271"/>
      <c r="BK43" s="272"/>
      <c r="BL43" s="1"/>
    </row>
    <row r="44">
      <c r="A44" s="1"/>
      <c r="B44" s="1"/>
      <c r="C44" s="338" t="str">
        <f>'Livro Diario - FC'!AE47</f>
        <v>Farinha</v>
      </c>
      <c r="D44" s="255">
        <f>SUMIFS('Livro Diario - FC'!$K$11:$K1028,'Livro Diario - FC'!$E$11:$E1028,$C$44,'Livro Diario - FC'!$D$11:$D1028,"&gt;=01/01"&amp;$C$7,'Livro Diario - FC'!$D$11:$D1028,"&lt;=31/01"&amp;$C$7)</f>
        <v>162.12</v>
      </c>
      <c r="E44" s="256">
        <f>SUMIFS('Livro Diario - FC'!$M$11:$M1028,'Livro Diario - FC'!$E$11:$E1028,$C$44,'Livro Diario - FC'!$D$11:$D1028,"&gt;=01/01"&amp;$C$7,'Livro Diario - FC'!$D$11:$D1028,"&lt;=31/01"&amp;$C$7)</f>
        <v>162.12</v>
      </c>
      <c r="F44" s="273"/>
      <c r="G44" s="258"/>
      <c r="H44" s="157"/>
      <c r="I44" s="255">
        <f>SUMIFS('Livro Diario - FC'!$K$11:$K1028,'Livro Diario - FC'!$E$11:$E1028,$C$44,'Livro Diario - FC'!$D$11:$D1028,"&gt;=01/02"&amp;$C$7,'Livro Diario - FC'!$D$11:$D1028,"&lt;=29/02"&amp;$C$7)</f>
        <v>0</v>
      </c>
      <c r="J44" s="256">
        <f>SUMIFS('Livro Diario - FC'!$M$11:$M1028,'Livro Diario - FC'!$E$11:$E1028,$C$44,'Livro Diario - FC'!$D$11:$D1028,"&gt;=01/02"&amp;$C$7,'Livro Diario - FC'!$D$11:$D1028,"&lt;=29/02"&amp;$C$7)</f>
        <v>0</v>
      </c>
      <c r="K44" s="273"/>
      <c r="L44" s="258"/>
      <c r="M44" s="259"/>
      <c r="N44" s="255">
        <f>SUMIFS('Livro Diario - FC'!$K$11:$K1028,'Livro Diario - FC'!$E$11:$E1028,$C$44,'Livro Diario - FC'!$D$11:$D1028,"&gt;=01/03"&amp;$C$7,'Livro Diario - FC'!$D$11:$D1028,"&lt;=31/03"&amp;$C$7)</f>
        <v>0</v>
      </c>
      <c r="O44" s="256">
        <f>SUMIFS('Livro Diario - FC'!$M$11:$M1028,'Livro Diario - FC'!$E$11:$E1028,$C$44,'Livro Diario - FC'!$D$11:$D1028,"&gt;=01/03"&amp;$C$7,'Livro Diario - FC'!$D$11:$D1028,"&lt;=31/03"&amp;$C$7)</f>
        <v>0</v>
      </c>
      <c r="P44" s="273"/>
      <c r="Q44" s="258"/>
      <c r="R44" s="259"/>
      <c r="S44" s="255">
        <f>SUMIFS('Livro Diario - FC'!$K$11:$K1028,'Livro Diario - FC'!$E$11:$E1028,$C$44,'Livro Diario - FC'!$D$11:$D1028,"&gt;=01/04"&amp;$C$7,'Livro Diario - FC'!$D$11:$D1028,"&lt;=30/04"&amp;$C$7)</f>
        <v>0</v>
      </c>
      <c r="T44" s="256">
        <f>SUMIFS('Livro Diario - FC'!$M$11:$M1028,'Livro Diario - FC'!$E$11:$E1028,$C$44,'Livro Diario - FC'!$D$11:$D1028,"&gt;=01/04"&amp;$C$7,'Livro Diario - FC'!$D$11:$D1028,"&lt;=30/04"&amp;$C$7)</f>
        <v>0</v>
      </c>
      <c r="U44" s="273"/>
      <c r="V44" s="258"/>
      <c r="W44" s="259"/>
      <c r="X44" s="255">
        <f>SUMIFS('Livro Diario - FC'!$K$11:$K1028,'Livro Diario - FC'!$E$11:$E1028,$C$44,'Livro Diario - FC'!$D$11:$D1028,"&gt;=01/05"&amp;$C$7,'Livro Diario - FC'!$D$11:$D1028,"&lt;=31/05"&amp;$C$7)</f>
        <v>0</v>
      </c>
      <c r="Y44" s="256">
        <f>SUMIFS('Livro Diario - FC'!$M$11:$M1028,'Livro Diario - FC'!$E$11:$E1028,$C$44,'Livro Diario - FC'!$D$11:$D1028,"&gt;=01/05"&amp;$C$7,'Livro Diario - FC'!$D$11:$D1028,"&lt;=31/05"&amp;$C$7)</f>
        <v>0</v>
      </c>
      <c r="Z44" s="273"/>
      <c r="AA44" s="258"/>
      <c r="AB44" s="259"/>
      <c r="AC44" s="255">
        <f>SUMIFS('Livro Diario - FC'!$K$11:$K1028,'Livro Diario - FC'!$E$11:$E1028,$C$44,'Livro Diario - FC'!$D$11:$D1028,"&gt;=01/06"&amp;$C$7,'Livro Diario - FC'!$D$11:$D1028,"&lt;=30/06"&amp;$C$7)</f>
        <v>0</v>
      </c>
      <c r="AD44" s="256">
        <f>SUMIFS('Livro Diario - FC'!$M$11:$M1028,'Livro Diario - FC'!$E$11:$E1028,$C$44,'Livro Diario - FC'!$D$11:$D1028,"&gt;=01/06"&amp;$C$7,'Livro Diario - FC'!$D$11:$D1028,"&lt;=30/06"&amp;$C$7)</f>
        <v>0</v>
      </c>
      <c r="AE44" s="273"/>
      <c r="AF44" s="258"/>
      <c r="AG44" s="255">
        <f>SUMIFS('Livro Diario - FC'!$K$11:$K1028,'Livro Diario - FC'!$E$11:$E1028,$C$44,'Livro Diario - FC'!$D$11:$D1028,"&gt;=01/07"&amp;$C$7,'Livro Diario - FC'!$D$11:$D1028,"&lt;=31/07"&amp;$C$7)</f>
        <v>0</v>
      </c>
      <c r="AH44" s="256">
        <f>SUMIFS('Livro Diario - FC'!$M$11:$M1028,'Livro Diario - FC'!$E$11:$E1028,$C$44,'Livro Diario - FC'!$D$11:$D1028,"&gt;=01/07"&amp;$C$7,'Livro Diario - FC'!$D$11:$D1028,"&lt;=31/07"&amp;$C$7)</f>
        <v>0</v>
      </c>
      <c r="AI44" s="273"/>
      <c r="AJ44" s="258"/>
      <c r="AK44" s="255">
        <f>SUMIFS('Livro Diario - FC'!$K$11:$K1028,'Livro Diario - FC'!$E$11:$E1028,$C$44,'Livro Diario - FC'!$D$11:$D1028,"&gt;=01/08"&amp;$C$7,'Livro Diario - FC'!$D$11:$D1028,"&lt;=31/08"&amp;$C$7)</f>
        <v>0</v>
      </c>
      <c r="AL44" s="256">
        <f>SUMIFS('Livro Diario - FC'!$M$11:$M1028,'Livro Diario - FC'!$E$11:$E1028,$C$44,'Livro Diario - FC'!$D$11:$D1028,"&gt;=01/08"&amp;$C$7,'Livro Diario - FC'!$D$11:$D1028,"&lt;=31/08"&amp;$C$7)</f>
        <v>0</v>
      </c>
      <c r="AM44" s="273"/>
      <c r="AN44" s="258"/>
      <c r="AO44" s="255">
        <f>SUMIFS('Livro Diario - FC'!$K$11:$K1028,'Livro Diario - FC'!$E$11:$E1028,$C$44,'Livro Diario - FC'!$D$11:$D1028,"&gt;=01/09"&amp;$C$7,'Livro Diario - FC'!$D$11:$D1028,"&lt;=30/09"&amp;$C$7)</f>
        <v>0</v>
      </c>
      <c r="AP44" s="256">
        <f>SUMIFS('Livro Diario - FC'!$M$11:$M1028,'Livro Diario - FC'!$E$11:$E1028,$C$44,'Livro Diario - FC'!$D$11:$D1028,"&gt;=01/09"&amp;$C$7,'Livro Diario - FC'!$D$11:$D1028,"&lt;=30/09"&amp;$C$7)</f>
        <v>0</v>
      </c>
      <c r="AQ44" s="273"/>
      <c r="AR44" s="258"/>
      <c r="AS44" s="255">
        <f>SUMIFS('Livro Diario - FC'!$K$11:$K1028,'Livro Diario - FC'!$E$11:$E1028,$C$44,'Livro Diario - FC'!$D$11:$D1028,"&gt;=01/10"&amp;$C$7,'Livro Diario - FC'!$D$11:$D1028,"&lt;=31/10"&amp;$C$7)</f>
        <v>0</v>
      </c>
      <c r="AT44" s="256">
        <f>SUMIFS('Livro Diario - FC'!$M$11:$M1028,'Livro Diario - FC'!$E$11:$E1028,$C$44,'Livro Diario - FC'!$D$11:$D1028,"&gt;=01/10"&amp;$C$7,'Livro Diario - FC'!$D$11:$D1028,"&lt;=31/10"&amp;$C$7)</f>
        <v>0</v>
      </c>
      <c r="AU44" s="273"/>
      <c r="AV44" s="258"/>
      <c r="AW44" s="255">
        <f>SUMIFS('Livro Diario - FC'!$K$11:$K1028,'Livro Diario - FC'!$E$11:$E1028,$C$44,'Livro Diario - FC'!$D$11:$D1028,"&gt;=01/11"&amp;$C$7,'Livro Diario - FC'!$D$11:$D1028,"&lt;=30/11"&amp;$C$7)</f>
        <v>0</v>
      </c>
      <c r="AX44" s="256">
        <f>SUMIFS('Livro Diario - FC'!$M$11:$M1028,'Livro Diario - FC'!$E$11:$E1028,$C$44,'Livro Diario - FC'!$D$11:$D1028,"&gt;=01/11"&amp;$C$7,'Livro Diario - FC'!$D$11:$D1028,"&lt;=30/11"&amp;$C$7)</f>
        <v>0</v>
      </c>
      <c r="AY44" s="273"/>
      <c r="AZ44" s="258"/>
      <c r="BA44" s="255">
        <f>SUMIFS('Livro Diario - FC'!$K$11:$K1028,'Livro Diario - FC'!$E$11:$E1028,$C$44,'Livro Diario - FC'!$D$11:$D1028,"&gt;=01/12"&amp;$C$7,'Livro Diario - FC'!$D$11:$D1028,"&lt;=31/12"&amp;$C$7)</f>
        <v>0</v>
      </c>
      <c r="BB44" s="256">
        <f>SUMIFS('Livro Diario - FC'!$M$11:$M1028,'Livro Diario - FC'!$E$11:$E1028,$C$44,'Livro Diario - FC'!$D$11:$D1028,"&gt;=01/12"&amp;$C$7,'Livro Diario - FC'!$D$11:$D1028,"&lt;=31/12"&amp;$C$7)</f>
        <v>0</v>
      </c>
      <c r="BC44" s="273"/>
      <c r="BD44" s="273"/>
      <c r="BE44" s="267">
        <f t="shared" ref="BE44:BF44" si="145">SUM(D44,I44,N44,S44,X44,AC44,AG44,AK44,AO44,AS44,AW44,BA44)</f>
        <v>162.12</v>
      </c>
      <c r="BF44" s="268">
        <f t="shared" si="145"/>
        <v>162.12</v>
      </c>
      <c r="BG44" s="269"/>
      <c r="BH44" s="192"/>
      <c r="BI44" s="270">
        <f>SUMIFS('Livro Diario - FC'!$M$11:$M1028,'Livro Diario - FC'!$E$11:$E1028,C44,'Livro Diario - FC'!$D$11:$D1028,"&gt;="&amp;$BK$8,'Livro Diario - FC'!$D$11:$D1028,"&lt;="&amp;$BK$9)</f>
        <v>0</v>
      </c>
      <c r="BJ44" s="271"/>
      <c r="BK44" s="272"/>
      <c r="BL44" s="1"/>
    </row>
    <row r="45">
      <c r="A45" s="1"/>
      <c r="B45" s="1"/>
      <c r="C45" s="338" t="str">
        <f>'Livro Diario - FC'!AE48</f>
        <v>Leite em pó</v>
      </c>
      <c r="D45" s="255">
        <f>SUMIFS('Livro Diario - FC'!$K$11:$K1028,'Livro Diario - FC'!$E$11:$E1028,$C$45,'Livro Diario - FC'!$D$11:$D1028,"&gt;=01/01"&amp;$C$7,'Livro Diario - FC'!$D$11:$D1028,"&lt;=31/01"&amp;$C$7)</f>
        <v>40.76</v>
      </c>
      <c r="E45" s="256">
        <f>SUMIFS('Livro Diario - FC'!$M$11:$M1028,'Livro Diario - FC'!$E$11:$E1028,$C$45,'Livro Diario - FC'!$D$11:$D1028,"&gt;=01/01"&amp;$C$7,'Livro Diario - FC'!$D$11:$D1028,"&lt;=31/01"&amp;$C$7)</f>
        <v>40.76</v>
      </c>
      <c r="F45" s="273"/>
      <c r="G45" s="258"/>
      <c r="H45" s="157"/>
      <c r="I45" s="255">
        <f>SUMIFS('Livro Diario - FC'!$K$11:$K1028,'Livro Diario - FC'!$E$11:$E1028,$C$45,'Livro Diario - FC'!$D$11:$D1028,"&gt;=01/02"&amp;$C$7,'Livro Diario - FC'!$D$11:$D1028,"&lt;=29/02"&amp;$C$7)</f>
        <v>0</v>
      </c>
      <c r="J45" s="256">
        <f>SUMIFS('Livro Diario - FC'!$M$11:$M1028,'Livro Diario - FC'!$E$11:$E1028,$C$45,'Livro Diario - FC'!$D$11:$D1028,"&gt;=01/02"&amp;$C$7,'Livro Diario - FC'!$D$11:$D1028,"&lt;=29/02"&amp;$C$7)</f>
        <v>0</v>
      </c>
      <c r="K45" s="273"/>
      <c r="L45" s="258"/>
      <c r="M45" s="259"/>
      <c r="N45" s="255">
        <f>SUMIFS('Livro Diario - FC'!$K$11:$K1028,'Livro Diario - FC'!$E$11:$E1028,$C$45,'Livro Diario - FC'!$D$11:$D1028,"&gt;=01/03"&amp;$C$7,'Livro Diario - FC'!$D$11:$D1028,"&lt;=31/03"&amp;$C$7)</f>
        <v>0</v>
      </c>
      <c r="O45" s="256">
        <f>SUMIFS('Livro Diario - FC'!$M$11:$M1028,'Livro Diario - FC'!$E$11:$E1028,$C$45,'Livro Diario - FC'!$D$11:$D1028,"&gt;=01/03"&amp;$C$7,'Livro Diario - FC'!$D$11:$D1028,"&lt;=31/03"&amp;$C$7)</f>
        <v>0</v>
      </c>
      <c r="P45" s="273"/>
      <c r="Q45" s="258"/>
      <c r="R45" s="259"/>
      <c r="S45" s="255">
        <f>SUMIFS('Livro Diario - FC'!$K$11:$K1028,'Livro Diario - FC'!$E$11:$E1028,$C$45,'Livro Diario - FC'!$D$11:$D1028,"&gt;=01/04"&amp;$C$7,'Livro Diario - FC'!$D$11:$D1028,"&lt;=30/04"&amp;$C$7)</f>
        <v>0</v>
      </c>
      <c r="T45" s="256">
        <f>SUMIFS('Livro Diario - FC'!$M$11:$M1028,'Livro Diario - FC'!$E$11:$E1028,$C$45,'Livro Diario - FC'!$D$11:$D1028,"&gt;=01/04"&amp;$C$7,'Livro Diario - FC'!$D$11:$D1028,"&lt;=30/04"&amp;$C$7)</f>
        <v>0</v>
      </c>
      <c r="U45" s="273"/>
      <c r="V45" s="258"/>
      <c r="W45" s="259"/>
      <c r="X45" s="255">
        <f>SUMIFS('Livro Diario - FC'!$K$11:$K1028,'Livro Diario - FC'!$E$11:$E1028,$C$45,'Livro Diario - FC'!$D$11:$D1028,"&gt;=01/05"&amp;$C$7,'Livro Diario - FC'!$D$11:$D1028,"&lt;=31/05"&amp;$C$7)</f>
        <v>0</v>
      </c>
      <c r="Y45" s="256">
        <f>SUMIFS('Livro Diario - FC'!$M$11:$M1028,'Livro Diario - FC'!$E$11:$E1028,$C$45,'Livro Diario - FC'!$D$11:$D1028,"&gt;=01/05"&amp;$C$7,'Livro Diario - FC'!$D$11:$D1028,"&lt;=31/05"&amp;$C$7)</f>
        <v>0</v>
      </c>
      <c r="Z45" s="273"/>
      <c r="AA45" s="258"/>
      <c r="AB45" s="259"/>
      <c r="AC45" s="255">
        <f>SUMIFS('Livro Diario - FC'!$K$11:$K1028,'Livro Diario - FC'!$E$11:$E1028,$C$45,'Livro Diario - FC'!$D$11:$D1028,"&gt;=01/06"&amp;$C$7,'Livro Diario - FC'!$D$11:$D1028,"&lt;=30/06"&amp;$C$7)</f>
        <v>0</v>
      </c>
      <c r="AD45" s="256">
        <f>SUMIFS('Livro Diario - FC'!$M$11:$M1028,'Livro Diario - FC'!$E$11:$E1028,$C$45,'Livro Diario - FC'!$D$11:$D1028,"&gt;=01/06"&amp;$C$7,'Livro Diario - FC'!$D$11:$D1028,"&lt;=30/06"&amp;$C$7)</f>
        <v>0</v>
      </c>
      <c r="AE45" s="273"/>
      <c r="AF45" s="258"/>
      <c r="AG45" s="255">
        <f>SUMIFS('Livro Diario - FC'!$K$11:$K1028,'Livro Diario - FC'!$E$11:$E1028,$C$45,'Livro Diario - FC'!$D$11:$D1028,"&gt;=01/07"&amp;$C$7,'Livro Diario - FC'!$D$11:$D1028,"&lt;=31/07"&amp;$C$7)</f>
        <v>0</v>
      </c>
      <c r="AH45" s="256">
        <f>SUMIFS('Livro Diario - FC'!$M$11:$M1028,'Livro Diario - FC'!$E$11:$E1028,$C$45,'Livro Diario - FC'!$D$11:$D1028,"&gt;=01/07"&amp;$C$7,'Livro Diario - FC'!$D$11:$D1028,"&lt;=31/07"&amp;$C$7)</f>
        <v>0</v>
      </c>
      <c r="AI45" s="273"/>
      <c r="AJ45" s="258"/>
      <c r="AK45" s="255">
        <f>SUMIFS('Livro Diario - FC'!$K$11:$K1028,'Livro Diario - FC'!$E$11:$E1028,$C$45,'Livro Diario - FC'!$D$11:$D1028,"&gt;=01/08"&amp;$C$7,'Livro Diario - FC'!$D$11:$D1028,"&lt;=31/08"&amp;$C$7)</f>
        <v>0</v>
      </c>
      <c r="AL45" s="256">
        <f>SUMIFS('Livro Diario - FC'!$M$11:$M1028,'Livro Diario - FC'!$E$11:$E1028,$C$45,'Livro Diario - FC'!$D$11:$D1028,"&gt;=01/08"&amp;$C$7,'Livro Diario - FC'!$D$11:$D1028,"&lt;=31/08"&amp;$C$7)</f>
        <v>0</v>
      </c>
      <c r="AM45" s="273"/>
      <c r="AN45" s="258"/>
      <c r="AO45" s="255">
        <f>SUMIFS('Livro Diario - FC'!$K$11:$K1028,'Livro Diario - FC'!$E$11:$E1028,$C$45,'Livro Diario - FC'!$D$11:$D1028,"&gt;=01/09"&amp;$C$7,'Livro Diario - FC'!$D$11:$D1028,"&lt;=30/09"&amp;$C$7)</f>
        <v>0</v>
      </c>
      <c r="AP45" s="256">
        <f>SUMIFS('Livro Diario - FC'!$M$11:$M1028,'Livro Diario - FC'!$E$11:$E1028,$C$45,'Livro Diario - FC'!$D$11:$D1028,"&gt;=01/09"&amp;$C$7,'Livro Diario - FC'!$D$11:$D1028,"&lt;=30/09"&amp;$C$7)</f>
        <v>0</v>
      </c>
      <c r="AQ45" s="273"/>
      <c r="AR45" s="258"/>
      <c r="AS45" s="255">
        <f>SUMIFS('Livro Diario - FC'!$K$11:$K1028,'Livro Diario - FC'!$E$11:$E1028,$C$45,'Livro Diario - FC'!$D$11:$D1028,"&gt;=01/10"&amp;$C$7,'Livro Diario - FC'!$D$11:$D1028,"&lt;=31/10"&amp;$C$7)</f>
        <v>0</v>
      </c>
      <c r="AT45" s="256">
        <f>SUMIFS('Livro Diario - FC'!$M$11:$M1028,'Livro Diario - FC'!$E$11:$E1028,$C$45,'Livro Diario - FC'!$D$11:$D1028,"&gt;=01/10"&amp;$C$7,'Livro Diario - FC'!$D$11:$D1028,"&lt;=31/10"&amp;$C$7)</f>
        <v>0</v>
      </c>
      <c r="AU45" s="273"/>
      <c r="AV45" s="258"/>
      <c r="AW45" s="255">
        <f>SUMIFS('Livro Diario - FC'!$K$11:$K1028,'Livro Diario - FC'!$E$11:$E1028,$C$45,'Livro Diario - FC'!$D$11:$D1028,"&gt;=01/11"&amp;$C$7,'Livro Diario - FC'!$D$11:$D1028,"&lt;=30/11"&amp;$C$7)</f>
        <v>0</v>
      </c>
      <c r="AX45" s="256">
        <f>SUMIFS('Livro Diario - FC'!$M$11:$M1028,'Livro Diario - FC'!$E$11:$E1028,$C$45,'Livro Diario - FC'!$D$11:$D1028,"&gt;=01/11"&amp;$C$7,'Livro Diario - FC'!$D$11:$D1028,"&lt;=30/11"&amp;$C$7)</f>
        <v>0</v>
      </c>
      <c r="AY45" s="273"/>
      <c r="AZ45" s="258"/>
      <c r="BA45" s="255">
        <f>SUMIFS('Livro Diario - FC'!$K$11:$K1028,'Livro Diario - FC'!$E$11:$E1028,$C$45,'Livro Diario - FC'!$D$11:$D1028,"&gt;=01/12"&amp;$C$7,'Livro Diario - FC'!$D$11:$D1028,"&lt;=31/12"&amp;$C$7)</f>
        <v>0</v>
      </c>
      <c r="BB45" s="256">
        <f>SUMIFS('Livro Diario - FC'!$M$11:$M1028,'Livro Diario - FC'!$E$11:$E1028,$C$45,'Livro Diario - FC'!$D$11:$D1028,"&gt;=01/12"&amp;$C$7,'Livro Diario - FC'!$D$11:$D1028,"&lt;=31/12"&amp;$C$7)</f>
        <v>0</v>
      </c>
      <c r="BC45" s="273"/>
      <c r="BD45" s="273"/>
      <c r="BE45" s="267">
        <f t="shared" ref="BE45:BF45" si="146">SUM(D45,I45,N45,S45,X45,AC45,AG45,AK45,AO45,AS45,AW45,BA45)</f>
        <v>40.76</v>
      </c>
      <c r="BF45" s="268">
        <f t="shared" si="146"/>
        <v>40.76</v>
      </c>
      <c r="BG45" s="269"/>
      <c r="BH45" s="192"/>
      <c r="BI45" s="270">
        <f>SUMIFS('Livro Diario - FC'!$M$11:$M1028,'Livro Diario - FC'!$E$11:$E1028,C45,'Livro Diario - FC'!$D$11:$D1028,"&gt;="&amp;$BK$8,'Livro Diario - FC'!$D$11:$D1028,"&lt;="&amp;$BK$9)</f>
        <v>0</v>
      </c>
      <c r="BJ45" s="271"/>
      <c r="BK45" s="272"/>
      <c r="BL45" s="1"/>
    </row>
    <row r="46">
      <c r="A46" s="1"/>
      <c r="B46" s="1"/>
      <c r="C46" s="338" t="str">
        <f>'Livro Diario - FC'!AE49</f>
        <v>Trigo Normal</v>
      </c>
      <c r="D46" s="255">
        <f>SUMIFS('Livro Diario - FC'!$K$11:$K1028,'Livro Diario - FC'!$E$11:$E1028,$C$46,'Livro Diario - FC'!$D$11:$D1028,"&gt;=01/01"&amp;$C$7,'Livro Diario - FC'!$D$11:$D1028,"&lt;=31/01"&amp;$C$7)</f>
        <v>3.65</v>
      </c>
      <c r="E46" s="256">
        <f>SUMIFS('Livro Diario - FC'!$M$11:$M1028,'Livro Diario - FC'!$E$11:$E1028,$C$46,'Livro Diario - FC'!$D$11:$D1028,"&gt;=01/01"&amp;$C$7,'Livro Diario - FC'!$D$11:$D1028,"&lt;=31/01"&amp;$C$7)</f>
        <v>3.65</v>
      </c>
      <c r="F46" s="273"/>
      <c r="G46" s="258"/>
      <c r="H46" s="157"/>
      <c r="I46" s="255">
        <f>SUMIFS('Livro Diario - FC'!$K$11:$K1028,'Livro Diario - FC'!$E$11:$E1028,$C$46,'Livro Diario - FC'!$D$11:$D1028,"&gt;=01/02"&amp;$C$7,'Livro Diario - FC'!$D$11:$D1028,"&lt;=29/02"&amp;$C$7)</f>
        <v>0</v>
      </c>
      <c r="J46" s="256">
        <f>SUMIFS('Livro Diario - FC'!$M$11:$M1028,'Livro Diario - FC'!$E$11:$E1028,$C$46,'Livro Diario - FC'!$D$11:$D1028,"&gt;=01/02"&amp;$C$7,'Livro Diario - FC'!$D$11:$D1028,"&lt;=29/02"&amp;$C$7)</f>
        <v>0</v>
      </c>
      <c r="K46" s="273"/>
      <c r="L46" s="258"/>
      <c r="M46" s="259"/>
      <c r="N46" s="255">
        <f>SUMIFS('Livro Diario - FC'!$K$11:$K1028,'Livro Diario - FC'!$E$11:$E1028,$C$46,'Livro Diario - FC'!$D$11:$D1028,"&gt;=01/03"&amp;$C$7,'Livro Diario - FC'!$D$11:$D1028,"&lt;=31/03"&amp;$C$7)</f>
        <v>0</v>
      </c>
      <c r="O46" s="256">
        <f>SUMIFS('Livro Diario - FC'!$M$11:$M1028,'Livro Diario - FC'!$E$11:$E1028,$C$46,'Livro Diario - FC'!$D$11:$D1028,"&gt;=01/03"&amp;$C$7,'Livro Diario - FC'!$D$11:$D1028,"&lt;=31/03"&amp;$C$7)</f>
        <v>0</v>
      </c>
      <c r="P46" s="273"/>
      <c r="Q46" s="258"/>
      <c r="R46" s="259"/>
      <c r="S46" s="255">
        <f>SUMIFS('Livro Diario - FC'!$K$11:$K1028,'Livro Diario - FC'!$E$11:$E1028,$C$46,'Livro Diario - FC'!$D$11:$D1028,"&gt;=01/04"&amp;$C$7,'Livro Diario - FC'!$D$11:$D1028,"&lt;=30/04"&amp;$C$7)</f>
        <v>0</v>
      </c>
      <c r="T46" s="256">
        <f>SUMIFS('Livro Diario - FC'!$M$11:$M1028,'Livro Diario - FC'!$E$11:$E1028,$C$46,'Livro Diario - FC'!$D$11:$D1028,"&gt;=01/04"&amp;$C$7,'Livro Diario - FC'!$D$11:$D1028,"&lt;=30/04"&amp;$C$7)</f>
        <v>0</v>
      </c>
      <c r="U46" s="273"/>
      <c r="V46" s="258"/>
      <c r="W46" s="259"/>
      <c r="X46" s="255">
        <f>SUMIFS('Livro Diario - FC'!$K$11:$K1028,'Livro Diario - FC'!$E$11:$E1028,$C$46,'Livro Diario - FC'!$D$11:$D1028,"&gt;=01/05"&amp;$C$7,'Livro Diario - FC'!$D$11:$D1028,"&lt;=31/05"&amp;$C$7)</f>
        <v>0</v>
      </c>
      <c r="Y46" s="256">
        <f>SUMIFS('Livro Diario - FC'!$M$11:$M1028,'Livro Diario - FC'!$E$11:$E1028,$C$46,'Livro Diario - FC'!$D$11:$D1028,"&gt;=01/05"&amp;$C$7,'Livro Diario - FC'!$D$11:$D1028,"&lt;=31/05"&amp;$C$7)</f>
        <v>0</v>
      </c>
      <c r="Z46" s="273"/>
      <c r="AA46" s="258"/>
      <c r="AB46" s="259"/>
      <c r="AC46" s="255">
        <f>SUMIFS('Livro Diario - FC'!$K$11:$K1028,'Livro Diario - FC'!$E$11:$E1028,$C$46,'Livro Diario - FC'!$D$11:$D1028,"&gt;=01/06"&amp;$C$7,'Livro Diario - FC'!$D$11:$D1028,"&lt;=30/06"&amp;$C$7)</f>
        <v>0</v>
      </c>
      <c r="AD46" s="256">
        <f>SUMIFS('Livro Diario - FC'!$M$11:$M1028,'Livro Diario - FC'!$E$11:$E1028,$C$46,'Livro Diario - FC'!$D$11:$D1028,"&gt;=01/06"&amp;$C$7,'Livro Diario - FC'!$D$11:$D1028,"&lt;=30/06"&amp;$C$7)</f>
        <v>0</v>
      </c>
      <c r="AE46" s="273"/>
      <c r="AF46" s="258"/>
      <c r="AG46" s="255">
        <f>SUMIFS('Livro Diario - FC'!$K$11:$K1028,'Livro Diario - FC'!$E$11:$E1028,$C$46,'Livro Diario - FC'!$D$11:$D1028,"&gt;=01/07"&amp;$C$7,'Livro Diario - FC'!$D$11:$D1028,"&lt;=31/07"&amp;$C$7)</f>
        <v>0</v>
      </c>
      <c r="AH46" s="256">
        <f>SUMIFS('Livro Diario - FC'!$M$11:$M1028,'Livro Diario - FC'!$E$11:$E1028,$C$46,'Livro Diario - FC'!$D$11:$D1028,"&gt;=01/07"&amp;$C$7,'Livro Diario - FC'!$D$11:$D1028,"&lt;=31/07"&amp;$C$7)</f>
        <v>0</v>
      </c>
      <c r="AI46" s="273"/>
      <c r="AJ46" s="258"/>
      <c r="AK46" s="255">
        <f>SUMIFS('Livro Diario - FC'!$K$11:$K1028,'Livro Diario - FC'!$E$11:$E1028,$C$46,'Livro Diario - FC'!$D$11:$D1028,"&gt;=01/08"&amp;$C$7,'Livro Diario - FC'!$D$11:$D1028,"&lt;=31/08"&amp;$C$7)</f>
        <v>0</v>
      </c>
      <c r="AL46" s="256">
        <f>SUMIFS('Livro Diario - FC'!$M$11:$M1028,'Livro Diario - FC'!$E$11:$E1028,$C$46,'Livro Diario - FC'!$D$11:$D1028,"&gt;=01/08"&amp;$C$7,'Livro Diario - FC'!$D$11:$D1028,"&lt;=31/08"&amp;$C$7)</f>
        <v>0</v>
      </c>
      <c r="AM46" s="273"/>
      <c r="AN46" s="258"/>
      <c r="AO46" s="255">
        <f>SUMIFS('Livro Diario - FC'!$K$11:$K1028,'Livro Diario - FC'!$E$11:$E1028,$C$46,'Livro Diario - FC'!$D$11:$D1028,"&gt;=01/09"&amp;$C$7,'Livro Diario - FC'!$D$11:$D1028,"&lt;=30/09"&amp;$C$7)</f>
        <v>0</v>
      </c>
      <c r="AP46" s="256">
        <f>SUMIFS('Livro Diario - FC'!$M$11:$M1028,'Livro Diario - FC'!$E$11:$E1028,$C$46,'Livro Diario - FC'!$D$11:$D1028,"&gt;=01/09"&amp;$C$7,'Livro Diario - FC'!$D$11:$D1028,"&lt;=30/09"&amp;$C$7)</f>
        <v>0</v>
      </c>
      <c r="AQ46" s="273"/>
      <c r="AR46" s="258"/>
      <c r="AS46" s="255">
        <f>SUMIFS('Livro Diario - FC'!$K$11:$K1028,'Livro Diario - FC'!$E$11:$E1028,$C$46,'Livro Diario - FC'!$D$11:$D1028,"&gt;=01/10"&amp;$C$7,'Livro Diario - FC'!$D$11:$D1028,"&lt;=31/10"&amp;$C$7)</f>
        <v>0</v>
      </c>
      <c r="AT46" s="256">
        <f>SUMIFS('Livro Diario - FC'!$M$11:$M1028,'Livro Diario - FC'!$E$11:$E1028,$C$46,'Livro Diario - FC'!$D$11:$D1028,"&gt;=01/10"&amp;$C$7,'Livro Diario - FC'!$D$11:$D1028,"&lt;=31/10"&amp;$C$7)</f>
        <v>0</v>
      </c>
      <c r="AU46" s="273"/>
      <c r="AV46" s="258"/>
      <c r="AW46" s="255">
        <f>SUMIFS('Livro Diario - FC'!$K$11:$K1028,'Livro Diario - FC'!$E$11:$E1028,$C$46,'Livro Diario - FC'!$D$11:$D1028,"&gt;=01/11"&amp;$C$7,'Livro Diario - FC'!$D$11:$D1028,"&lt;=30/11"&amp;$C$7)</f>
        <v>0</v>
      </c>
      <c r="AX46" s="256">
        <f>SUMIFS('Livro Diario - FC'!$M$11:$M1028,'Livro Diario - FC'!$E$11:$E1028,$C$46,'Livro Diario - FC'!$D$11:$D1028,"&gt;=01/11"&amp;$C$7,'Livro Diario - FC'!$D$11:$D1028,"&lt;=30/11"&amp;$C$7)</f>
        <v>0</v>
      </c>
      <c r="AY46" s="273"/>
      <c r="AZ46" s="258"/>
      <c r="BA46" s="255">
        <f>SUMIFS('Livro Diario - FC'!$K$11:$K1028,'Livro Diario - FC'!$E$11:$E1028,$C$46,'Livro Diario - FC'!$D$11:$D1028,"&gt;=01/12"&amp;$C$7,'Livro Diario - FC'!$D$11:$D1028,"&lt;=31/12"&amp;$C$7)</f>
        <v>0</v>
      </c>
      <c r="BB46" s="256">
        <f>SUMIFS('Livro Diario - FC'!$M$11:$M1028,'Livro Diario - FC'!$E$11:$E1028,$C$46,'Livro Diario - FC'!$D$11:$D1028,"&gt;=01/12"&amp;$C$7,'Livro Diario - FC'!$D$11:$D1028,"&lt;=31/12"&amp;$C$7)</f>
        <v>0</v>
      </c>
      <c r="BC46" s="273"/>
      <c r="BD46" s="273"/>
      <c r="BE46" s="267">
        <f t="shared" ref="BE46:BF46" si="147">SUM(D46,I46,N46,S46,X46,AC46,AG46,AK46,AO46,AS46,AW46,BA46)</f>
        <v>3.65</v>
      </c>
      <c r="BF46" s="268">
        <f t="shared" si="147"/>
        <v>3.65</v>
      </c>
      <c r="BG46" s="269"/>
      <c r="BH46" s="192"/>
      <c r="BI46" s="270">
        <f>SUMIFS('Livro Diario - FC'!$M$11:$M1028,'Livro Diario - FC'!$E$11:$E1028,C46,'Livro Diario - FC'!$D$11:$D1028,"&gt;="&amp;$BK$8,'Livro Diario - FC'!$D$11:$D1028,"&lt;="&amp;$BK$9)</f>
        <v>0</v>
      </c>
      <c r="BJ46" s="271"/>
      <c r="BK46" s="272"/>
      <c r="BL46" s="1"/>
    </row>
    <row r="47">
      <c r="A47" s="1"/>
      <c r="B47" s="1"/>
      <c r="C47" s="338" t="str">
        <f>'Livro Diario - FC'!AE50</f>
        <v>Farinha de Rosca</v>
      </c>
      <c r="D47" s="255">
        <f>SUMIFS('Livro Diario - FC'!$K$11:$K1028,'Livro Diario - FC'!$E$11:$E1028,$C$47,'Livro Diario - FC'!$D$11:$D1028,"&gt;=01/01"&amp;$C$7,'Livro Diario - FC'!$D$11:$D1028,"&lt;=31/01"&amp;$C$7)</f>
        <v>10</v>
      </c>
      <c r="E47" s="256">
        <f>SUMIFS('Livro Diario - FC'!$M$11:$M1028,'Livro Diario - FC'!$E$11:$E1028,$C$47,'Livro Diario - FC'!$D$11:$D1028,"&gt;=01/01"&amp;$C$7,'Livro Diario - FC'!$D$11:$D1028,"&lt;=31/01"&amp;$C$7)</f>
        <v>10</v>
      </c>
      <c r="F47" s="273"/>
      <c r="G47" s="258"/>
      <c r="H47" s="157"/>
      <c r="I47" s="255">
        <f>SUMIFS('Livro Diario - FC'!$K$11:$K1028,'Livro Diario - FC'!$E$11:$E1028,$C$47,'Livro Diario - FC'!$D$11:$D1028,"&gt;=01/02"&amp;$C$7,'Livro Diario - FC'!$D$11:$D1028,"&lt;=29/02"&amp;$C$7)</f>
        <v>0</v>
      </c>
      <c r="J47" s="256">
        <f>SUMIFS('Livro Diario - FC'!$M$11:$M1028,'Livro Diario - FC'!$E$11:$E1028,$C$47,'Livro Diario - FC'!$D$11:$D1028,"&gt;=01/02"&amp;$C$7,'Livro Diario - FC'!$D$11:$D1028,"&lt;=29/02"&amp;$C$7)</f>
        <v>0</v>
      </c>
      <c r="K47" s="273"/>
      <c r="L47" s="258"/>
      <c r="M47" s="259"/>
      <c r="N47" s="255">
        <f>SUMIFS('Livro Diario - FC'!$K$11:$K1028,'Livro Diario - FC'!$E$11:$E1028,$C$47,'Livro Diario - FC'!$D$11:$D1028,"&gt;=01/03"&amp;$C$7,'Livro Diario - FC'!$D$11:$D1028,"&lt;=31/03"&amp;$C$7)</f>
        <v>0</v>
      </c>
      <c r="O47" s="256">
        <f>SUMIFS('Livro Diario - FC'!$M$11:$M1028,'Livro Diario - FC'!$E$11:$E1028,$C$47,'Livro Diario - FC'!$D$11:$D1028,"&gt;=01/03"&amp;$C$7,'Livro Diario - FC'!$D$11:$D1028,"&lt;=31/03"&amp;$C$7)</f>
        <v>0</v>
      </c>
      <c r="P47" s="273"/>
      <c r="Q47" s="258"/>
      <c r="R47" s="259"/>
      <c r="S47" s="255">
        <f>SUMIFS('Livro Diario - FC'!$K$11:$K1028,'Livro Diario - FC'!$E$11:$E1028,$C$47,'Livro Diario - FC'!$D$11:$D1028,"&gt;=01/04"&amp;$C$7,'Livro Diario - FC'!$D$11:$D1028,"&lt;=30/04"&amp;$C$7)</f>
        <v>0</v>
      </c>
      <c r="T47" s="256">
        <f>SUMIFS('Livro Diario - FC'!$M$11:$M1028,'Livro Diario - FC'!$E$11:$E1028,$C$47,'Livro Diario - FC'!$D$11:$D1028,"&gt;=01/04"&amp;$C$7,'Livro Diario - FC'!$D$11:$D1028,"&lt;=30/04"&amp;$C$7)</f>
        <v>0</v>
      </c>
      <c r="U47" s="273"/>
      <c r="V47" s="258"/>
      <c r="W47" s="259"/>
      <c r="X47" s="255">
        <f>SUMIFS('Livro Diario - FC'!$K$11:$K1028,'Livro Diario - FC'!$E$11:$E1028,$C$47,'Livro Diario - FC'!$D$11:$D1028,"&gt;=01/05"&amp;$C$7,'Livro Diario - FC'!$D$11:$D1028,"&lt;=31/05"&amp;$C$7)</f>
        <v>0</v>
      </c>
      <c r="Y47" s="256">
        <f>SUMIFS('Livro Diario - FC'!$M$11:$M1028,'Livro Diario - FC'!$E$11:$E1028,$C$47,'Livro Diario - FC'!$D$11:$D1028,"&gt;=01/05"&amp;$C$7,'Livro Diario - FC'!$D$11:$D1028,"&lt;=31/05"&amp;$C$7)</f>
        <v>0</v>
      </c>
      <c r="Z47" s="273"/>
      <c r="AA47" s="258"/>
      <c r="AB47" s="259"/>
      <c r="AC47" s="255">
        <f>SUMIFS('Livro Diario - FC'!$K$11:$K1028,'Livro Diario - FC'!$E$11:$E1028,$C$47,'Livro Diario - FC'!$D$11:$D1028,"&gt;=01/06"&amp;$C$7,'Livro Diario - FC'!$D$11:$D1028,"&lt;=30/06"&amp;$C$7)</f>
        <v>0</v>
      </c>
      <c r="AD47" s="256">
        <f>SUMIFS('Livro Diario - FC'!$M$11:$M1028,'Livro Diario - FC'!$E$11:$E1028,$C$47,'Livro Diario - FC'!$D$11:$D1028,"&gt;=01/06"&amp;$C$7,'Livro Diario - FC'!$D$11:$D1028,"&lt;=30/06"&amp;$C$7)</f>
        <v>0</v>
      </c>
      <c r="AE47" s="273"/>
      <c r="AF47" s="258"/>
      <c r="AG47" s="255">
        <f>SUMIFS('Livro Diario - FC'!$K$11:$K1028,'Livro Diario - FC'!$E$11:$E1028,$C$47,'Livro Diario - FC'!$D$11:$D1028,"&gt;=01/07"&amp;$C$7,'Livro Diario - FC'!$D$11:$D1028,"&lt;=31/07"&amp;$C$7)</f>
        <v>0</v>
      </c>
      <c r="AH47" s="256">
        <f>SUMIFS('Livro Diario - FC'!$M$11:$M1028,'Livro Diario - FC'!$E$11:$E1028,$C$47,'Livro Diario - FC'!$D$11:$D1028,"&gt;=01/07"&amp;$C$7,'Livro Diario - FC'!$D$11:$D1028,"&lt;=31/07"&amp;$C$7)</f>
        <v>0</v>
      </c>
      <c r="AI47" s="273"/>
      <c r="AJ47" s="258"/>
      <c r="AK47" s="255">
        <f>SUMIFS('Livro Diario - FC'!$K$11:$K1028,'Livro Diario - FC'!$E$11:$E1028,$C$47,'Livro Diario - FC'!$D$11:$D1028,"&gt;=01/08"&amp;$C$7,'Livro Diario - FC'!$D$11:$D1028,"&lt;=31/08"&amp;$C$7)</f>
        <v>0</v>
      </c>
      <c r="AL47" s="256">
        <f>SUMIFS('Livro Diario - FC'!$M$11:$M1028,'Livro Diario - FC'!$E$11:$E1028,$C$47,'Livro Diario - FC'!$D$11:$D1028,"&gt;=01/08"&amp;$C$7,'Livro Diario - FC'!$D$11:$D1028,"&lt;=31/08"&amp;$C$7)</f>
        <v>0</v>
      </c>
      <c r="AM47" s="273"/>
      <c r="AN47" s="258"/>
      <c r="AO47" s="255">
        <f>SUMIFS('Livro Diario - FC'!$K$11:$K1028,'Livro Diario - FC'!$E$11:$E1028,$C$47,'Livro Diario - FC'!$D$11:$D1028,"&gt;=01/09"&amp;$C$7,'Livro Diario - FC'!$D$11:$D1028,"&lt;=30/09"&amp;$C$7)</f>
        <v>0</v>
      </c>
      <c r="AP47" s="256">
        <f>SUMIFS('Livro Diario - FC'!$M$11:$M1028,'Livro Diario - FC'!$E$11:$E1028,$C$47,'Livro Diario - FC'!$D$11:$D1028,"&gt;=01/09"&amp;$C$7,'Livro Diario - FC'!$D$11:$D1028,"&lt;=30/09"&amp;$C$7)</f>
        <v>0</v>
      </c>
      <c r="AQ47" s="273"/>
      <c r="AR47" s="258"/>
      <c r="AS47" s="255">
        <f>SUMIFS('Livro Diario - FC'!$K$11:$K1028,'Livro Diario - FC'!$E$11:$E1028,$C$47,'Livro Diario - FC'!$D$11:$D1028,"&gt;=01/10"&amp;$C$7,'Livro Diario - FC'!$D$11:$D1028,"&lt;=31/10"&amp;$C$7)</f>
        <v>0</v>
      </c>
      <c r="AT47" s="256">
        <f>SUMIFS('Livro Diario - FC'!$M$11:$M1028,'Livro Diario - FC'!$E$11:$E1028,$C$47,'Livro Diario - FC'!$D$11:$D1028,"&gt;=01/10"&amp;$C$7,'Livro Diario - FC'!$D$11:$D1028,"&lt;=31/10"&amp;$C$7)</f>
        <v>0</v>
      </c>
      <c r="AU47" s="273"/>
      <c r="AV47" s="258"/>
      <c r="AW47" s="255">
        <f>SUMIFS('Livro Diario - FC'!$K$11:$K1028,'Livro Diario - FC'!$E$11:$E1028,$C$47,'Livro Diario - FC'!$D$11:$D1028,"&gt;=01/11"&amp;$C$7,'Livro Diario - FC'!$D$11:$D1028,"&lt;=30/11"&amp;$C$7)</f>
        <v>0</v>
      </c>
      <c r="AX47" s="256">
        <f>SUMIFS('Livro Diario - FC'!$M$11:$M1028,'Livro Diario - FC'!$E$11:$E1028,$C$47,'Livro Diario - FC'!$D$11:$D1028,"&gt;=01/11"&amp;$C$7,'Livro Diario - FC'!$D$11:$D1028,"&lt;=30/11"&amp;$C$7)</f>
        <v>0</v>
      </c>
      <c r="AY47" s="273"/>
      <c r="AZ47" s="258"/>
      <c r="BA47" s="255">
        <f>SUMIFS('Livro Diario - FC'!$K$11:$K1028,'Livro Diario - FC'!$E$11:$E1028,$C$47,'Livro Diario - FC'!$D$11:$D1028,"&gt;=01/12"&amp;$C$7,'Livro Diario - FC'!$D$11:$D1028,"&lt;=31/12"&amp;$C$7)</f>
        <v>0</v>
      </c>
      <c r="BB47" s="256">
        <f>SUMIFS('Livro Diario - FC'!$M$11:$M1028,'Livro Diario - FC'!$E$11:$E1028,$C$47,'Livro Diario - FC'!$D$11:$D1028,"&gt;=01/12"&amp;$C$7,'Livro Diario - FC'!$D$11:$D1028,"&lt;=31/12"&amp;$C$7)</f>
        <v>0</v>
      </c>
      <c r="BC47" s="273"/>
      <c r="BD47" s="273"/>
      <c r="BE47" s="267">
        <f t="shared" ref="BE47:BF47" si="148">SUM(D47,I47,N47,S47,X47,AC47,AG47,AK47,AO47,AS47,AW47,BA47)</f>
        <v>10</v>
      </c>
      <c r="BF47" s="268">
        <f t="shared" si="148"/>
        <v>10</v>
      </c>
      <c r="BG47" s="269"/>
      <c r="BH47" s="192"/>
      <c r="BI47" s="270">
        <f>SUMIFS('Livro Diario - FC'!$M$11:$M1028,'Livro Diario - FC'!$E$11:$E1028,C47,'Livro Diario - FC'!$D$11:$D1028,"&gt;="&amp;$BK$8,'Livro Diario - FC'!$D$11:$D1028,"&lt;="&amp;$BK$9)</f>
        <v>0</v>
      </c>
      <c r="BJ47" s="271"/>
      <c r="BK47" s="272"/>
      <c r="BL47" s="1"/>
    </row>
    <row r="48">
      <c r="A48" s="1"/>
      <c r="B48" s="1"/>
      <c r="C48" s="338" t="str">
        <f>'Livro Diario - FC'!AE51</f>
        <v>Macarrão Lasanha</v>
      </c>
      <c r="D48" s="255">
        <f>SUMIFS('Livro Diario - FC'!$K$11:$K1028,'Livro Diario - FC'!$E$11:$E1028,$C$48,'Livro Diario - FC'!$D$11:$D1028,"&gt;=01/01"&amp;$C$7,'Livro Diario - FC'!$D$11:$D1028,"&lt;=31/01"&amp;$C$7)</f>
        <v>65.1</v>
      </c>
      <c r="E48" s="256">
        <f>SUMIFS('Livro Diario - FC'!$M$11:$M1028,'Livro Diario - FC'!$E$11:$E1028,$C$48,'Livro Diario - FC'!$D$11:$D1028,"&gt;=01/01"&amp;$C$7,'Livro Diario - FC'!$D$11:$D1028,"&lt;=31/01"&amp;$C$7)</f>
        <v>65.1</v>
      </c>
      <c r="F48" s="273"/>
      <c r="G48" s="258"/>
      <c r="H48" s="157"/>
      <c r="I48" s="255">
        <f>SUMIFS('Livro Diario - FC'!$K$11:$K1028,'Livro Diario - FC'!$E$11:$E1028,$C$48,'Livro Diario - FC'!$D$11:$D1028,"&gt;=01/02"&amp;$C$7,'Livro Diario - FC'!$D$11:$D1028,"&lt;=29/02"&amp;$C$7)</f>
        <v>0</v>
      </c>
      <c r="J48" s="256">
        <f>SUMIFS('Livro Diario - FC'!$M$11:$M1028,'Livro Diario - FC'!$E$11:$E1028,$C$48,'Livro Diario - FC'!$D$11:$D1028,"&gt;=01/02"&amp;$C$7,'Livro Diario - FC'!$D$11:$D1028,"&lt;=29/02"&amp;$C$7)</f>
        <v>0</v>
      </c>
      <c r="K48" s="273"/>
      <c r="L48" s="258"/>
      <c r="M48" s="259"/>
      <c r="N48" s="255">
        <f>SUMIFS('Livro Diario - FC'!$K$11:$K1028,'Livro Diario - FC'!$E$11:$E1028,$C$48,'Livro Diario - FC'!$D$11:$D1028,"&gt;=01/03"&amp;$C$7,'Livro Diario - FC'!$D$11:$D1028,"&lt;=31/03"&amp;$C$7)</f>
        <v>0</v>
      </c>
      <c r="O48" s="256">
        <f>SUMIFS('Livro Diario - FC'!$M$11:$M1028,'Livro Diario - FC'!$E$11:$E1028,$C$48,'Livro Diario - FC'!$D$11:$D1028,"&gt;=01/03"&amp;$C$7,'Livro Diario - FC'!$D$11:$D1028,"&lt;=31/03"&amp;$C$7)</f>
        <v>0</v>
      </c>
      <c r="P48" s="273"/>
      <c r="Q48" s="258"/>
      <c r="R48" s="259"/>
      <c r="S48" s="255">
        <f>SUMIFS('Livro Diario - FC'!$K$11:$K1028,'Livro Diario - FC'!$E$11:$E1028,$C$48,'Livro Diario - FC'!$D$11:$D1028,"&gt;=01/04"&amp;$C$7,'Livro Diario - FC'!$D$11:$D1028,"&lt;=30/04"&amp;$C$7)</f>
        <v>0</v>
      </c>
      <c r="T48" s="256">
        <f>SUMIFS('Livro Diario - FC'!$M$11:$M1028,'Livro Diario - FC'!$E$11:$E1028,$C$48,'Livro Diario - FC'!$D$11:$D1028,"&gt;=01/04"&amp;$C$7,'Livro Diario - FC'!$D$11:$D1028,"&lt;=30/04"&amp;$C$7)</f>
        <v>0</v>
      </c>
      <c r="U48" s="273"/>
      <c r="V48" s="258"/>
      <c r="W48" s="259"/>
      <c r="X48" s="255">
        <f>SUMIFS('Livro Diario - FC'!$K$11:$K1028,'Livro Diario - FC'!$E$11:$E1028,$C$48,'Livro Diario - FC'!$D$11:$D1028,"&gt;=01/05"&amp;$C$7,'Livro Diario - FC'!$D$11:$D1028,"&lt;=31/05"&amp;$C$7)</f>
        <v>0</v>
      </c>
      <c r="Y48" s="256">
        <f>SUMIFS('Livro Diario - FC'!$M$11:$M1028,'Livro Diario - FC'!$E$11:$E1028,$C$48,'Livro Diario - FC'!$D$11:$D1028,"&gt;=01/05"&amp;$C$7,'Livro Diario - FC'!$D$11:$D1028,"&lt;=31/05"&amp;$C$7)</f>
        <v>0</v>
      </c>
      <c r="Z48" s="273"/>
      <c r="AA48" s="258"/>
      <c r="AB48" s="259"/>
      <c r="AC48" s="255">
        <f>SUMIFS('Livro Diario - FC'!$K$11:$K1028,'Livro Diario - FC'!$E$11:$E1028,$C$48,'Livro Diario - FC'!$D$11:$D1028,"&gt;=01/06"&amp;$C$7,'Livro Diario - FC'!$D$11:$D1028,"&lt;=30/06"&amp;$C$7)</f>
        <v>0</v>
      </c>
      <c r="AD48" s="256">
        <f>SUMIFS('Livro Diario - FC'!$M$11:$M1028,'Livro Diario - FC'!$E$11:$E1028,$C$48,'Livro Diario - FC'!$D$11:$D1028,"&gt;=01/06"&amp;$C$7,'Livro Diario - FC'!$D$11:$D1028,"&lt;=30/06"&amp;$C$7)</f>
        <v>0</v>
      </c>
      <c r="AE48" s="273"/>
      <c r="AF48" s="258"/>
      <c r="AG48" s="255">
        <f>SUMIFS('Livro Diario - FC'!$K$11:$K1028,'Livro Diario - FC'!$E$11:$E1028,$C$48,'Livro Diario - FC'!$D$11:$D1028,"&gt;=01/07"&amp;$C$7,'Livro Diario - FC'!$D$11:$D1028,"&lt;=31/07"&amp;$C$7)</f>
        <v>0</v>
      </c>
      <c r="AH48" s="256">
        <f>SUMIFS('Livro Diario - FC'!$M$11:$M1028,'Livro Diario - FC'!$E$11:$E1028,$C$48,'Livro Diario - FC'!$D$11:$D1028,"&gt;=01/07"&amp;$C$7,'Livro Diario - FC'!$D$11:$D1028,"&lt;=31/07"&amp;$C$7)</f>
        <v>0</v>
      </c>
      <c r="AI48" s="273"/>
      <c r="AJ48" s="258"/>
      <c r="AK48" s="255">
        <f>SUMIFS('Livro Diario - FC'!$K$11:$K1028,'Livro Diario - FC'!$E$11:$E1028,$C$48,'Livro Diario - FC'!$D$11:$D1028,"&gt;=01/08"&amp;$C$7,'Livro Diario - FC'!$D$11:$D1028,"&lt;=31/08"&amp;$C$7)</f>
        <v>0</v>
      </c>
      <c r="AL48" s="256">
        <f>SUMIFS('Livro Diario - FC'!$M$11:$M1028,'Livro Diario - FC'!$E$11:$E1028,$C$48,'Livro Diario - FC'!$D$11:$D1028,"&gt;=01/08"&amp;$C$7,'Livro Diario - FC'!$D$11:$D1028,"&lt;=31/08"&amp;$C$7)</f>
        <v>0</v>
      </c>
      <c r="AM48" s="273"/>
      <c r="AN48" s="258"/>
      <c r="AO48" s="255">
        <f>SUMIFS('Livro Diario - FC'!$K$11:$K1028,'Livro Diario - FC'!$E$11:$E1028,$C$48,'Livro Diario - FC'!$D$11:$D1028,"&gt;=01/09"&amp;$C$7,'Livro Diario - FC'!$D$11:$D1028,"&lt;=30/09"&amp;$C$7)</f>
        <v>0</v>
      </c>
      <c r="AP48" s="256">
        <f>SUMIFS('Livro Diario - FC'!$M$11:$M1028,'Livro Diario - FC'!$E$11:$E1028,$C$48,'Livro Diario - FC'!$D$11:$D1028,"&gt;=01/09"&amp;$C$7,'Livro Diario - FC'!$D$11:$D1028,"&lt;=30/09"&amp;$C$7)</f>
        <v>0</v>
      </c>
      <c r="AQ48" s="273"/>
      <c r="AR48" s="258"/>
      <c r="AS48" s="255">
        <f>SUMIFS('Livro Diario - FC'!$K$11:$K1028,'Livro Diario - FC'!$E$11:$E1028,$C$48,'Livro Diario - FC'!$D$11:$D1028,"&gt;=01/10"&amp;$C$7,'Livro Diario - FC'!$D$11:$D1028,"&lt;=31/10"&amp;$C$7)</f>
        <v>0</v>
      </c>
      <c r="AT48" s="256">
        <f>SUMIFS('Livro Diario - FC'!$M$11:$M1028,'Livro Diario - FC'!$E$11:$E1028,$C$48,'Livro Diario - FC'!$D$11:$D1028,"&gt;=01/10"&amp;$C$7,'Livro Diario - FC'!$D$11:$D1028,"&lt;=31/10"&amp;$C$7)</f>
        <v>0</v>
      </c>
      <c r="AU48" s="273"/>
      <c r="AV48" s="258"/>
      <c r="AW48" s="255">
        <f>SUMIFS('Livro Diario - FC'!$K$11:$K1028,'Livro Diario - FC'!$E$11:$E1028,$C$48,'Livro Diario - FC'!$D$11:$D1028,"&gt;=01/11"&amp;$C$7,'Livro Diario - FC'!$D$11:$D1028,"&lt;=30/11"&amp;$C$7)</f>
        <v>0</v>
      </c>
      <c r="AX48" s="256">
        <f>SUMIFS('Livro Diario - FC'!$M$11:$M1028,'Livro Diario - FC'!$E$11:$E1028,$C$48,'Livro Diario - FC'!$D$11:$D1028,"&gt;=01/11"&amp;$C$7,'Livro Diario - FC'!$D$11:$D1028,"&lt;=30/11"&amp;$C$7)</f>
        <v>0</v>
      </c>
      <c r="AY48" s="273"/>
      <c r="AZ48" s="258"/>
      <c r="BA48" s="255">
        <f>SUMIFS('Livro Diario - FC'!$K$11:$K1028,'Livro Diario - FC'!$E$11:$E1028,$C$48,'Livro Diario - FC'!$D$11:$D1028,"&gt;=01/12"&amp;$C$7,'Livro Diario - FC'!$D$11:$D1028,"&lt;=31/12"&amp;$C$7)</f>
        <v>0</v>
      </c>
      <c r="BB48" s="256">
        <f>SUMIFS('Livro Diario - FC'!$M$11:$M1028,'Livro Diario - FC'!$E$11:$E1028,$C$48,'Livro Diario - FC'!$D$11:$D1028,"&gt;=01/12"&amp;$C$7,'Livro Diario - FC'!$D$11:$D1028,"&lt;=31/12"&amp;$C$7)</f>
        <v>0</v>
      </c>
      <c r="BC48" s="273"/>
      <c r="BD48" s="273"/>
      <c r="BE48" s="267">
        <f t="shared" ref="BE48:BF48" si="149">SUM(D48,I48,N48,S48,X48,AC48,AG48,AK48,AO48,AS48,AW48,BA48)</f>
        <v>65.1</v>
      </c>
      <c r="BF48" s="268">
        <f t="shared" si="149"/>
        <v>65.1</v>
      </c>
      <c r="BG48" s="269"/>
      <c r="BH48" s="192"/>
      <c r="BI48" s="270">
        <f>SUMIFS('Livro Diario - FC'!$M$11:$M1028,'Livro Diario - FC'!$E$11:$E1028,C48,'Livro Diario - FC'!$D$11:$D1028,"&gt;="&amp;$BK$8,'Livro Diario - FC'!$D$11:$D1028,"&lt;="&amp;$BK$9)</f>
        <v>0</v>
      </c>
      <c r="BJ48" s="271"/>
      <c r="BK48" s="272"/>
      <c r="BL48" s="1"/>
    </row>
    <row r="49">
      <c r="A49" s="1"/>
      <c r="B49" s="1"/>
      <c r="C49" s="338" t="str">
        <f>'Livro Diario - FC'!AE52</f>
        <v>Molho Ingles</v>
      </c>
      <c r="D49" s="255">
        <f>SUMIFS('Livro Diario - FC'!$K$11:$K1028,'Livro Diario - FC'!$E$11:$E1028,$C$49,'Livro Diario - FC'!$D$11:$D1028,"&gt;=01/01"&amp;$C$7,'Livro Diario - FC'!$D$11:$D1028,"&lt;=31/01"&amp;$C$7)</f>
        <v>8.85</v>
      </c>
      <c r="E49" s="256">
        <f>SUMIFS('Livro Diario - FC'!$M$11:$M1028,'Livro Diario - FC'!$E$11:$E1028,$C$49,'Livro Diario - FC'!$D$11:$D1028,"&gt;=01/01"&amp;$C$7,'Livro Diario - FC'!$D$11:$D1028,"&lt;=31/01"&amp;$C$7)</f>
        <v>8.85</v>
      </c>
      <c r="F49" s="273"/>
      <c r="G49" s="258"/>
      <c r="H49" s="157"/>
      <c r="I49" s="255">
        <f>SUMIFS('Livro Diario - FC'!$K$11:$K1028,'Livro Diario - FC'!$E$11:$E1028,$C$49,'Livro Diario - FC'!$D$11:$D1028,"&gt;=01/02"&amp;$C$7,'Livro Diario - FC'!$D$11:$D1028,"&lt;=29/02"&amp;$C$7)</f>
        <v>0</v>
      </c>
      <c r="J49" s="256">
        <f>SUMIFS('Livro Diario - FC'!$M$11:$M1028,'Livro Diario - FC'!$E$11:$E1028,$C$49,'Livro Diario - FC'!$D$11:$D1028,"&gt;=01/02"&amp;$C$7,'Livro Diario - FC'!$D$11:$D1028,"&lt;=29/02"&amp;$C$7)</f>
        <v>0</v>
      </c>
      <c r="K49" s="273"/>
      <c r="L49" s="258"/>
      <c r="M49" s="259"/>
      <c r="N49" s="255">
        <f>SUMIFS('Livro Diario - FC'!$K$11:$K1028,'Livro Diario - FC'!$E$11:$E1028,$C$49,'Livro Diario - FC'!$D$11:$D1028,"&gt;=01/03"&amp;$C$7,'Livro Diario - FC'!$D$11:$D1028,"&lt;=31/03"&amp;$C$7)</f>
        <v>0</v>
      </c>
      <c r="O49" s="256">
        <f>SUMIFS('Livro Diario - FC'!$M$11:$M1028,'Livro Diario - FC'!$E$11:$E1028,$C$49,'Livro Diario - FC'!$D$11:$D1028,"&gt;=01/03"&amp;$C$7,'Livro Diario - FC'!$D$11:$D1028,"&lt;=31/03"&amp;$C$7)</f>
        <v>0</v>
      </c>
      <c r="P49" s="273"/>
      <c r="Q49" s="258"/>
      <c r="R49" s="259"/>
      <c r="S49" s="255">
        <f>SUMIFS('Livro Diario - FC'!$K$11:$K1028,'Livro Diario - FC'!$E$11:$E1028,$C$49,'Livro Diario - FC'!$D$11:$D1028,"&gt;=01/04"&amp;$C$7,'Livro Diario - FC'!$D$11:$D1028,"&lt;=30/04"&amp;$C$7)</f>
        <v>0</v>
      </c>
      <c r="T49" s="256">
        <f>SUMIFS('Livro Diario - FC'!$M$11:$M1028,'Livro Diario - FC'!$E$11:$E1028,$C$49,'Livro Diario - FC'!$D$11:$D1028,"&gt;=01/04"&amp;$C$7,'Livro Diario - FC'!$D$11:$D1028,"&lt;=30/04"&amp;$C$7)</f>
        <v>0</v>
      </c>
      <c r="U49" s="273"/>
      <c r="V49" s="258"/>
      <c r="W49" s="259"/>
      <c r="X49" s="255">
        <f>SUMIFS('Livro Diario - FC'!$K$11:$K1028,'Livro Diario - FC'!$E$11:$E1028,$C$49,'Livro Diario - FC'!$D$11:$D1028,"&gt;=01/05"&amp;$C$7,'Livro Diario - FC'!$D$11:$D1028,"&lt;=31/05"&amp;$C$7)</f>
        <v>0</v>
      </c>
      <c r="Y49" s="256">
        <f>SUMIFS('Livro Diario - FC'!$M$11:$M1028,'Livro Diario - FC'!$E$11:$E1028,$C$49,'Livro Diario - FC'!$D$11:$D1028,"&gt;=01/05"&amp;$C$7,'Livro Diario - FC'!$D$11:$D1028,"&lt;=31/05"&amp;$C$7)</f>
        <v>0</v>
      </c>
      <c r="Z49" s="273"/>
      <c r="AA49" s="258"/>
      <c r="AB49" s="259"/>
      <c r="AC49" s="255">
        <f>SUMIFS('Livro Diario - FC'!$K$11:$K1028,'Livro Diario - FC'!$E$11:$E1028,$C$49,'Livro Diario - FC'!$D$11:$D1028,"&gt;=01/06"&amp;$C$7,'Livro Diario - FC'!$D$11:$D1028,"&lt;=30/06"&amp;$C$7)</f>
        <v>0</v>
      </c>
      <c r="AD49" s="256">
        <f>SUMIFS('Livro Diario - FC'!$M$11:$M1028,'Livro Diario - FC'!$E$11:$E1028,$C$49,'Livro Diario - FC'!$D$11:$D1028,"&gt;=01/06"&amp;$C$7,'Livro Diario - FC'!$D$11:$D1028,"&lt;=30/06"&amp;$C$7)</f>
        <v>0</v>
      </c>
      <c r="AE49" s="273"/>
      <c r="AF49" s="258"/>
      <c r="AG49" s="255">
        <f>SUMIFS('Livro Diario - FC'!$K$11:$K1028,'Livro Diario - FC'!$E$11:$E1028,$C$49,'Livro Diario - FC'!$D$11:$D1028,"&gt;=01/07"&amp;$C$7,'Livro Diario - FC'!$D$11:$D1028,"&lt;=31/07"&amp;$C$7)</f>
        <v>0</v>
      </c>
      <c r="AH49" s="256">
        <f>SUMIFS('Livro Diario - FC'!$M$11:$M1028,'Livro Diario - FC'!$E$11:$E1028,$C$49,'Livro Diario - FC'!$D$11:$D1028,"&gt;=01/07"&amp;$C$7,'Livro Diario - FC'!$D$11:$D1028,"&lt;=31/07"&amp;$C$7)</f>
        <v>0</v>
      </c>
      <c r="AI49" s="273"/>
      <c r="AJ49" s="258"/>
      <c r="AK49" s="255">
        <f>SUMIFS('Livro Diario - FC'!$K$11:$K1028,'Livro Diario - FC'!$E$11:$E1028,$C$49,'Livro Diario - FC'!$D$11:$D1028,"&gt;=01/08"&amp;$C$7,'Livro Diario - FC'!$D$11:$D1028,"&lt;=31/08"&amp;$C$7)</f>
        <v>0</v>
      </c>
      <c r="AL49" s="256">
        <f>SUMIFS('Livro Diario - FC'!$M$11:$M1028,'Livro Diario - FC'!$E$11:$E1028,$C$49,'Livro Diario - FC'!$D$11:$D1028,"&gt;=01/08"&amp;$C$7,'Livro Diario - FC'!$D$11:$D1028,"&lt;=31/08"&amp;$C$7)</f>
        <v>0</v>
      </c>
      <c r="AM49" s="273"/>
      <c r="AN49" s="258"/>
      <c r="AO49" s="255">
        <f>SUMIFS('Livro Diario - FC'!$K$11:$K1028,'Livro Diario - FC'!$E$11:$E1028,$C$49,'Livro Diario - FC'!$D$11:$D1028,"&gt;=01/09"&amp;$C$7,'Livro Diario - FC'!$D$11:$D1028,"&lt;=30/09"&amp;$C$7)</f>
        <v>0</v>
      </c>
      <c r="AP49" s="256">
        <f>SUMIFS('Livro Diario - FC'!$M$11:$M1028,'Livro Diario - FC'!$E$11:$E1028,$C$49,'Livro Diario - FC'!$D$11:$D1028,"&gt;=01/09"&amp;$C$7,'Livro Diario - FC'!$D$11:$D1028,"&lt;=30/09"&amp;$C$7)</f>
        <v>0</v>
      </c>
      <c r="AQ49" s="273"/>
      <c r="AR49" s="258"/>
      <c r="AS49" s="255">
        <f>SUMIFS('Livro Diario - FC'!$K$11:$K1028,'Livro Diario - FC'!$E$11:$E1028,$C$49,'Livro Diario - FC'!$D$11:$D1028,"&gt;=01/10"&amp;$C$7,'Livro Diario - FC'!$D$11:$D1028,"&lt;=31/10"&amp;$C$7)</f>
        <v>0</v>
      </c>
      <c r="AT49" s="256">
        <f>SUMIFS('Livro Diario - FC'!$M$11:$M1028,'Livro Diario - FC'!$E$11:$E1028,$C$49,'Livro Diario - FC'!$D$11:$D1028,"&gt;=01/10"&amp;$C$7,'Livro Diario - FC'!$D$11:$D1028,"&lt;=31/10"&amp;$C$7)</f>
        <v>0</v>
      </c>
      <c r="AU49" s="273"/>
      <c r="AV49" s="258"/>
      <c r="AW49" s="255">
        <f>SUMIFS('Livro Diario - FC'!$K$11:$K1028,'Livro Diario - FC'!$E$11:$E1028,$C$49,'Livro Diario - FC'!$D$11:$D1028,"&gt;=01/11"&amp;$C$7,'Livro Diario - FC'!$D$11:$D1028,"&lt;=30/11"&amp;$C$7)</f>
        <v>0</v>
      </c>
      <c r="AX49" s="256">
        <f>SUMIFS('Livro Diario - FC'!$M$11:$M1028,'Livro Diario - FC'!$E$11:$E1028,$C$49,'Livro Diario - FC'!$D$11:$D1028,"&gt;=01/11"&amp;$C$7,'Livro Diario - FC'!$D$11:$D1028,"&lt;=30/11"&amp;$C$7)</f>
        <v>0</v>
      </c>
      <c r="AY49" s="273"/>
      <c r="AZ49" s="258"/>
      <c r="BA49" s="255">
        <f>SUMIFS('Livro Diario - FC'!$K$11:$K1028,'Livro Diario - FC'!$E$11:$E1028,$C$49,'Livro Diario - FC'!$D$11:$D1028,"&gt;=01/12"&amp;$C$7,'Livro Diario - FC'!$D$11:$D1028,"&lt;=31/12"&amp;$C$7)</f>
        <v>0</v>
      </c>
      <c r="BB49" s="256">
        <f>SUMIFS('Livro Diario - FC'!$M$11:$M1028,'Livro Diario - FC'!$E$11:$E1028,$C$49,'Livro Diario - FC'!$D$11:$D1028,"&gt;=01/12"&amp;$C$7,'Livro Diario - FC'!$D$11:$D1028,"&lt;=31/12"&amp;$C$7)</f>
        <v>0</v>
      </c>
      <c r="BC49" s="273"/>
      <c r="BD49" s="273"/>
      <c r="BE49" s="267">
        <f t="shared" ref="BE49:BF49" si="150">SUM(D49,I49,N49,S49,X49,AC49,AG49,AK49,AO49,AS49,AW49,BA49)</f>
        <v>8.85</v>
      </c>
      <c r="BF49" s="268">
        <f t="shared" si="150"/>
        <v>8.85</v>
      </c>
      <c r="BG49" s="269"/>
      <c r="BH49" s="192"/>
      <c r="BI49" s="270">
        <f>SUMIFS('Livro Diario - FC'!$M$11:$M1028,'Livro Diario - FC'!$E$11:$E1028,C49,'Livro Diario - FC'!$D$11:$D1028,"&gt;="&amp;$BK$8,'Livro Diario - FC'!$D$11:$D1028,"&lt;="&amp;$BK$9)</f>
        <v>0</v>
      </c>
      <c r="BJ49" s="271"/>
      <c r="BK49" s="272"/>
      <c r="BL49" s="1"/>
    </row>
    <row r="50">
      <c r="A50" s="1"/>
      <c r="B50" s="1"/>
      <c r="C50" s="338" t="str">
        <f>'Livro Diario - FC'!AE53</f>
        <v>Sprite Lata</v>
      </c>
      <c r="D50" s="255">
        <f>SUMIFS('Livro Diario - FC'!$K$11:$K1028,'Livro Diario - FC'!$E$11:$E1028,$C$50,'Livro Diario - FC'!$D$11:$D1028,"&gt;=01/01"&amp;$C$7,'Livro Diario - FC'!$D$11:$D1028,"&lt;=31/01"&amp;$C$7)</f>
        <v>17.94</v>
      </c>
      <c r="E50" s="256">
        <f>SUMIFS('Livro Diario - FC'!$M$11:$M1028,'Livro Diario - FC'!$E$11:$E1028,$C$50,'Livro Diario - FC'!$D$11:$D1028,"&gt;=01/01"&amp;$C$7,'Livro Diario - FC'!$D$11:$D1028,"&lt;=31/01"&amp;$C$7)</f>
        <v>17.94</v>
      </c>
      <c r="F50" s="273"/>
      <c r="G50" s="258"/>
      <c r="H50" s="157"/>
      <c r="I50" s="255">
        <f>SUMIFS('Livro Diario - FC'!$K$11:$K1028,'Livro Diario - FC'!$E$11:$E1028,$C$50,'Livro Diario - FC'!$D$11:$D1028,"&gt;=01/02"&amp;$C$7,'Livro Diario - FC'!$D$11:$D1028,"&lt;=29/02"&amp;$C$7)</f>
        <v>0</v>
      </c>
      <c r="J50" s="256">
        <f>SUMIFS('Livro Diario - FC'!$M$11:$M1028,'Livro Diario - FC'!$E$11:$E1028,$C$50,'Livro Diario - FC'!$D$11:$D1028,"&gt;=01/02"&amp;$C$7,'Livro Diario - FC'!$D$11:$D1028,"&lt;=29/02"&amp;$C$7)</f>
        <v>0</v>
      </c>
      <c r="K50" s="273"/>
      <c r="L50" s="258"/>
      <c r="M50" s="259"/>
      <c r="N50" s="255">
        <f>SUMIFS('Livro Diario - FC'!$K$11:$K1028,'Livro Diario - FC'!$E$11:$E1028,$C$50,'Livro Diario - FC'!$D$11:$D1028,"&gt;=01/03"&amp;$C$7,'Livro Diario - FC'!$D$11:$D1028,"&lt;=31/03"&amp;$C$7)</f>
        <v>0</v>
      </c>
      <c r="O50" s="256">
        <f>SUMIFS('Livro Diario - FC'!$M$11:$M1028,'Livro Diario - FC'!$E$11:$E1028,$C$50,'Livro Diario - FC'!$D$11:$D1028,"&gt;=01/03"&amp;$C$7,'Livro Diario - FC'!$D$11:$D1028,"&lt;=31/03"&amp;$C$7)</f>
        <v>0</v>
      </c>
      <c r="P50" s="273"/>
      <c r="Q50" s="258"/>
      <c r="R50" s="259"/>
      <c r="S50" s="255">
        <f>SUMIFS('Livro Diario - FC'!$K$11:$K1028,'Livro Diario - FC'!$E$11:$E1028,$C$50,'Livro Diario - FC'!$D$11:$D1028,"&gt;=01/04"&amp;$C$7,'Livro Diario - FC'!$D$11:$D1028,"&lt;=30/04"&amp;$C$7)</f>
        <v>0</v>
      </c>
      <c r="T50" s="256">
        <f>SUMIFS('Livro Diario - FC'!$M$11:$M1028,'Livro Diario - FC'!$E$11:$E1028,$C$50,'Livro Diario - FC'!$D$11:$D1028,"&gt;=01/04"&amp;$C$7,'Livro Diario - FC'!$D$11:$D1028,"&lt;=30/04"&amp;$C$7)</f>
        <v>0</v>
      </c>
      <c r="U50" s="273"/>
      <c r="V50" s="258"/>
      <c r="W50" s="259"/>
      <c r="X50" s="255">
        <f>SUMIFS('Livro Diario - FC'!$K$11:$K1028,'Livro Diario - FC'!$E$11:$E1028,$C$50,'Livro Diario - FC'!$D$11:$D1028,"&gt;=01/05"&amp;$C$7,'Livro Diario - FC'!$D$11:$D1028,"&lt;=31/05"&amp;$C$7)</f>
        <v>0</v>
      </c>
      <c r="Y50" s="256">
        <f>SUMIFS('Livro Diario - FC'!$M$11:$M1028,'Livro Diario - FC'!$E$11:$E1028,$C$50,'Livro Diario - FC'!$D$11:$D1028,"&gt;=01/05"&amp;$C$7,'Livro Diario - FC'!$D$11:$D1028,"&lt;=31/05"&amp;$C$7)</f>
        <v>0</v>
      </c>
      <c r="Z50" s="273"/>
      <c r="AA50" s="258"/>
      <c r="AB50" s="259"/>
      <c r="AC50" s="255">
        <f>SUMIFS('Livro Diario - FC'!$K$11:$K1028,'Livro Diario - FC'!$E$11:$E1028,$C$50,'Livro Diario - FC'!$D$11:$D1028,"&gt;=01/06"&amp;$C$7,'Livro Diario - FC'!$D$11:$D1028,"&lt;=30/06"&amp;$C$7)</f>
        <v>0</v>
      </c>
      <c r="AD50" s="256">
        <f>SUMIFS('Livro Diario - FC'!$M$11:$M1028,'Livro Diario - FC'!$E$11:$E1028,$C$50,'Livro Diario - FC'!$D$11:$D1028,"&gt;=01/06"&amp;$C$7,'Livro Diario - FC'!$D$11:$D1028,"&lt;=30/06"&amp;$C$7)</f>
        <v>0</v>
      </c>
      <c r="AE50" s="273"/>
      <c r="AF50" s="258"/>
      <c r="AG50" s="255">
        <f>SUMIFS('Livro Diario - FC'!$K$11:$K1028,'Livro Diario - FC'!$E$11:$E1028,$C$50,'Livro Diario - FC'!$D$11:$D1028,"&gt;=01/07"&amp;$C$7,'Livro Diario - FC'!$D$11:$D1028,"&lt;=31/07"&amp;$C$7)</f>
        <v>0</v>
      </c>
      <c r="AH50" s="256">
        <f>SUMIFS('Livro Diario - FC'!$M$11:$M1028,'Livro Diario - FC'!$E$11:$E1028,$C$50,'Livro Diario - FC'!$D$11:$D1028,"&gt;=01/07"&amp;$C$7,'Livro Diario - FC'!$D$11:$D1028,"&lt;=31/07"&amp;$C$7)</f>
        <v>0</v>
      </c>
      <c r="AI50" s="273"/>
      <c r="AJ50" s="258"/>
      <c r="AK50" s="255">
        <f>SUMIFS('Livro Diario - FC'!$K$11:$K1028,'Livro Diario - FC'!$E$11:$E1028,$C$50,'Livro Diario - FC'!$D$11:$D1028,"&gt;=01/08"&amp;$C$7,'Livro Diario - FC'!$D$11:$D1028,"&lt;=31/08"&amp;$C$7)</f>
        <v>0</v>
      </c>
      <c r="AL50" s="256">
        <f>SUMIFS('Livro Diario - FC'!$M$11:$M1028,'Livro Diario - FC'!$E$11:$E1028,$C$50,'Livro Diario - FC'!$D$11:$D1028,"&gt;=01/08"&amp;$C$7,'Livro Diario - FC'!$D$11:$D1028,"&lt;=31/08"&amp;$C$7)</f>
        <v>0</v>
      </c>
      <c r="AM50" s="273"/>
      <c r="AN50" s="258"/>
      <c r="AO50" s="255">
        <f>SUMIFS('Livro Diario - FC'!$K$11:$K1028,'Livro Diario - FC'!$E$11:$E1028,$C$50,'Livro Diario - FC'!$D$11:$D1028,"&gt;=01/09"&amp;$C$7,'Livro Diario - FC'!$D$11:$D1028,"&lt;=30/09"&amp;$C$7)</f>
        <v>0</v>
      </c>
      <c r="AP50" s="256">
        <f>SUMIFS('Livro Diario - FC'!$M$11:$M1028,'Livro Diario - FC'!$E$11:$E1028,$C$50,'Livro Diario - FC'!$D$11:$D1028,"&gt;=01/09"&amp;$C$7,'Livro Diario - FC'!$D$11:$D1028,"&lt;=30/09"&amp;$C$7)</f>
        <v>0</v>
      </c>
      <c r="AQ50" s="273"/>
      <c r="AR50" s="258"/>
      <c r="AS50" s="255">
        <f>SUMIFS('Livro Diario - FC'!$K$11:$K1028,'Livro Diario - FC'!$E$11:$E1028,$C$50,'Livro Diario - FC'!$D$11:$D1028,"&gt;=01/10"&amp;$C$7,'Livro Diario - FC'!$D$11:$D1028,"&lt;=31/10"&amp;$C$7)</f>
        <v>0</v>
      </c>
      <c r="AT50" s="256">
        <f>SUMIFS('Livro Diario - FC'!$M$11:$M1028,'Livro Diario - FC'!$E$11:$E1028,$C$50,'Livro Diario - FC'!$D$11:$D1028,"&gt;=01/10"&amp;$C$7,'Livro Diario - FC'!$D$11:$D1028,"&lt;=31/10"&amp;$C$7)</f>
        <v>0</v>
      </c>
      <c r="AU50" s="273"/>
      <c r="AV50" s="258"/>
      <c r="AW50" s="255">
        <f>SUMIFS('Livro Diario - FC'!$K$11:$K1028,'Livro Diario - FC'!$E$11:$E1028,$C$50,'Livro Diario - FC'!$D$11:$D1028,"&gt;=01/11"&amp;$C$7,'Livro Diario - FC'!$D$11:$D1028,"&lt;=30/11"&amp;$C$7)</f>
        <v>0</v>
      </c>
      <c r="AX50" s="256">
        <f>SUMIFS('Livro Diario - FC'!$M$11:$M1028,'Livro Diario - FC'!$E$11:$E1028,$C$50,'Livro Diario - FC'!$D$11:$D1028,"&gt;=01/11"&amp;$C$7,'Livro Diario - FC'!$D$11:$D1028,"&lt;=30/11"&amp;$C$7)</f>
        <v>0</v>
      </c>
      <c r="AY50" s="273"/>
      <c r="AZ50" s="258"/>
      <c r="BA50" s="255">
        <f>SUMIFS('Livro Diario - FC'!$K$11:$K1028,'Livro Diario - FC'!$E$11:$E1028,$C$50,'Livro Diario - FC'!$D$11:$D1028,"&gt;=01/12"&amp;$C$7,'Livro Diario - FC'!$D$11:$D1028,"&lt;=31/12"&amp;$C$7)</f>
        <v>0</v>
      </c>
      <c r="BB50" s="256">
        <f>SUMIFS('Livro Diario - FC'!$M$11:$M1028,'Livro Diario - FC'!$E$11:$E1028,$C$50,'Livro Diario - FC'!$D$11:$D1028,"&gt;=01/12"&amp;$C$7,'Livro Diario - FC'!$D$11:$D1028,"&lt;=31/12"&amp;$C$7)</f>
        <v>0</v>
      </c>
      <c r="BC50" s="273"/>
      <c r="BD50" s="273"/>
      <c r="BE50" s="267">
        <f t="shared" ref="BE50:BF50" si="151">SUM(D50,I50,N50,S50,X50,AC50,AG50,AK50,AO50,AS50,AW50,BA50)</f>
        <v>17.94</v>
      </c>
      <c r="BF50" s="268">
        <f t="shared" si="151"/>
        <v>17.94</v>
      </c>
      <c r="BG50" s="269"/>
      <c r="BH50" s="192"/>
      <c r="BI50" s="270">
        <f>SUMIFS('Livro Diario - FC'!$M$11:$M1028,'Livro Diario - FC'!$E$11:$E1028,C50,'Livro Diario - FC'!$D$11:$D1028,"&gt;="&amp;$BK$8,'Livro Diario - FC'!$D$11:$D1028,"&lt;="&amp;$BK$9)</f>
        <v>0</v>
      </c>
      <c r="BJ50" s="271"/>
      <c r="BK50" s="272"/>
      <c r="BL50" s="1"/>
    </row>
    <row r="51">
      <c r="A51" s="1"/>
      <c r="B51" s="1"/>
      <c r="C51" s="338" t="str">
        <f>'Livro Diario - FC'!AE54</f>
        <v>Margarina</v>
      </c>
      <c r="D51" s="255">
        <f>SUMIFS('Livro Diario - FC'!$K$11:$K1028,'Livro Diario - FC'!$E$11:$E1028,$C$51,'Livro Diario - FC'!$D$11:$D1028,"&gt;=01/01"&amp;$C$7,'Livro Diario - FC'!$D$11:$D1028,"&lt;=31/01"&amp;$C$7)</f>
        <v>177.84</v>
      </c>
      <c r="E51" s="256">
        <f>SUMIFS('Livro Diario - FC'!$M$11:$M1028,'Livro Diario - FC'!$E$11:$E1028,$C$51,'Livro Diario - FC'!$D$11:$D1028,"&gt;=01/01"&amp;$C$7,'Livro Diario - FC'!$D$11:$D1028,"&lt;=31/01"&amp;$C$7)</f>
        <v>177.84</v>
      </c>
      <c r="F51" s="273"/>
      <c r="G51" s="258"/>
      <c r="H51" s="157"/>
      <c r="I51" s="255">
        <f>SUMIFS('Livro Diario - FC'!$K$11:$K1028,'Livro Diario - FC'!$E$11:$E1028,$C$51,'Livro Diario - FC'!$D$11:$D1028,"&gt;=01/02"&amp;$C$7,'Livro Diario - FC'!$D$11:$D1028,"&lt;=29/02"&amp;$C$7)</f>
        <v>0</v>
      </c>
      <c r="J51" s="256">
        <f>SUMIFS('Livro Diario - FC'!$M$11:$M1028,'Livro Diario - FC'!$E$11:$E1028,$C$51,'Livro Diario - FC'!$D$11:$D1028,"&gt;=01/02"&amp;$C$7,'Livro Diario - FC'!$D$11:$D1028,"&lt;=29/02"&amp;$C$7)</f>
        <v>0</v>
      </c>
      <c r="K51" s="273"/>
      <c r="L51" s="258"/>
      <c r="M51" s="259"/>
      <c r="N51" s="255">
        <f>SUMIFS('Livro Diario - FC'!$K$11:$K1028,'Livro Diario - FC'!$E$11:$E1028,$C$51,'Livro Diario - FC'!$D$11:$D1028,"&gt;=01/03"&amp;$C$7,'Livro Diario - FC'!$D$11:$D1028,"&lt;=31/03"&amp;$C$7)</f>
        <v>0</v>
      </c>
      <c r="O51" s="256">
        <f>SUMIFS('Livro Diario - FC'!$M$11:$M1028,'Livro Diario - FC'!$E$11:$E1028,$C$51,'Livro Diario - FC'!$D$11:$D1028,"&gt;=01/03"&amp;$C$7,'Livro Diario - FC'!$D$11:$D1028,"&lt;=31/03"&amp;$C$7)</f>
        <v>0</v>
      </c>
      <c r="P51" s="273"/>
      <c r="Q51" s="258"/>
      <c r="R51" s="259"/>
      <c r="S51" s="255">
        <f>SUMIFS('Livro Diario - FC'!$K$11:$K1028,'Livro Diario - FC'!$E$11:$E1028,$C$51,'Livro Diario - FC'!$D$11:$D1028,"&gt;=01/04"&amp;$C$7,'Livro Diario - FC'!$D$11:$D1028,"&lt;=30/04"&amp;$C$7)</f>
        <v>0</v>
      </c>
      <c r="T51" s="256">
        <f>SUMIFS('Livro Diario - FC'!$M$11:$M1028,'Livro Diario - FC'!$E$11:$E1028,$C$51,'Livro Diario - FC'!$D$11:$D1028,"&gt;=01/04"&amp;$C$7,'Livro Diario - FC'!$D$11:$D1028,"&lt;=30/04"&amp;$C$7)</f>
        <v>0</v>
      </c>
      <c r="U51" s="273"/>
      <c r="V51" s="258"/>
      <c r="W51" s="259"/>
      <c r="X51" s="255">
        <f>SUMIFS('Livro Diario - FC'!$K$11:$K1028,'Livro Diario - FC'!$E$11:$E1028,$C$51,'Livro Diario - FC'!$D$11:$D1028,"&gt;=01/05"&amp;$C$7,'Livro Diario - FC'!$D$11:$D1028,"&lt;=31/05"&amp;$C$7)</f>
        <v>0</v>
      </c>
      <c r="Y51" s="256">
        <f>SUMIFS('Livro Diario - FC'!$M$11:$M1028,'Livro Diario - FC'!$E$11:$E1028,$C$51,'Livro Diario - FC'!$D$11:$D1028,"&gt;=01/05"&amp;$C$7,'Livro Diario - FC'!$D$11:$D1028,"&lt;=31/05"&amp;$C$7)</f>
        <v>0</v>
      </c>
      <c r="Z51" s="273"/>
      <c r="AA51" s="258"/>
      <c r="AB51" s="259"/>
      <c r="AC51" s="255">
        <f>SUMIFS('Livro Diario - FC'!$K$11:$K1028,'Livro Diario - FC'!$E$11:$E1028,$C$51,'Livro Diario - FC'!$D$11:$D1028,"&gt;=01/06"&amp;$C$7,'Livro Diario - FC'!$D$11:$D1028,"&lt;=30/06"&amp;$C$7)</f>
        <v>0</v>
      </c>
      <c r="AD51" s="256">
        <f>SUMIFS('Livro Diario - FC'!$M$11:$M1028,'Livro Diario - FC'!$E$11:$E1028,$C$51,'Livro Diario - FC'!$D$11:$D1028,"&gt;=01/06"&amp;$C$7,'Livro Diario - FC'!$D$11:$D1028,"&lt;=30/06"&amp;$C$7)</f>
        <v>0</v>
      </c>
      <c r="AE51" s="273"/>
      <c r="AF51" s="258"/>
      <c r="AG51" s="255">
        <f>SUMIFS('Livro Diario - FC'!$K$11:$K1028,'Livro Diario - FC'!$E$11:$E1028,$C$51,'Livro Diario - FC'!$D$11:$D1028,"&gt;=01/07"&amp;$C$7,'Livro Diario - FC'!$D$11:$D1028,"&lt;=31/07"&amp;$C$7)</f>
        <v>0</v>
      </c>
      <c r="AH51" s="256">
        <f>SUMIFS('Livro Diario - FC'!$M$11:$M1028,'Livro Diario - FC'!$E$11:$E1028,$C$51,'Livro Diario - FC'!$D$11:$D1028,"&gt;=01/07"&amp;$C$7,'Livro Diario - FC'!$D$11:$D1028,"&lt;=31/07"&amp;$C$7)</f>
        <v>0</v>
      </c>
      <c r="AI51" s="273"/>
      <c r="AJ51" s="258"/>
      <c r="AK51" s="255">
        <f>SUMIFS('Livro Diario - FC'!$K$11:$K1028,'Livro Diario - FC'!$E$11:$E1028,$C$51,'Livro Diario - FC'!$D$11:$D1028,"&gt;=01/08"&amp;$C$7,'Livro Diario - FC'!$D$11:$D1028,"&lt;=31/08"&amp;$C$7)</f>
        <v>0</v>
      </c>
      <c r="AL51" s="256">
        <f>SUMIFS('Livro Diario - FC'!$M$11:$M1028,'Livro Diario - FC'!$E$11:$E1028,$C$51,'Livro Diario - FC'!$D$11:$D1028,"&gt;=01/08"&amp;$C$7,'Livro Diario - FC'!$D$11:$D1028,"&lt;=31/08"&amp;$C$7)</f>
        <v>0</v>
      </c>
      <c r="AM51" s="273"/>
      <c r="AN51" s="258"/>
      <c r="AO51" s="255">
        <f>SUMIFS('Livro Diario - FC'!$K$11:$K1028,'Livro Diario - FC'!$E$11:$E1028,$C$51,'Livro Diario - FC'!$D$11:$D1028,"&gt;=01/09"&amp;$C$7,'Livro Diario - FC'!$D$11:$D1028,"&lt;=30/09"&amp;$C$7)</f>
        <v>0</v>
      </c>
      <c r="AP51" s="256">
        <f>SUMIFS('Livro Diario - FC'!$M$11:$M1028,'Livro Diario - FC'!$E$11:$E1028,$C$51,'Livro Diario - FC'!$D$11:$D1028,"&gt;=01/09"&amp;$C$7,'Livro Diario - FC'!$D$11:$D1028,"&lt;=30/09"&amp;$C$7)</f>
        <v>0</v>
      </c>
      <c r="AQ51" s="273"/>
      <c r="AR51" s="258"/>
      <c r="AS51" s="255">
        <f>SUMIFS('Livro Diario - FC'!$K$11:$K1028,'Livro Diario - FC'!$E$11:$E1028,$C$51,'Livro Diario - FC'!$D$11:$D1028,"&gt;=01/10"&amp;$C$7,'Livro Diario - FC'!$D$11:$D1028,"&lt;=31/10"&amp;$C$7)</f>
        <v>0</v>
      </c>
      <c r="AT51" s="256">
        <f>SUMIFS('Livro Diario - FC'!$M$11:$M1028,'Livro Diario - FC'!$E$11:$E1028,$C$51,'Livro Diario - FC'!$D$11:$D1028,"&gt;=01/10"&amp;$C$7,'Livro Diario - FC'!$D$11:$D1028,"&lt;=31/10"&amp;$C$7)</f>
        <v>0</v>
      </c>
      <c r="AU51" s="273"/>
      <c r="AV51" s="258"/>
      <c r="AW51" s="255">
        <f>SUMIFS('Livro Diario - FC'!$K$11:$K1028,'Livro Diario - FC'!$E$11:$E1028,$C$51,'Livro Diario - FC'!$D$11:$D1028,"&gt;=01/11"&amp;$C$7,'Livro Diario - FC'!$D$11:$D1028,"&lt;=30/11"&amp;$C$7)</f>
        <v>0</v>
      </c>
      <c r="AX51" s="256">
        <f>SUMIFS('Livro Diario - FC'!$M$11:$M1028,'Livro Diario - FC'!$E$11:$E1028,$C$51,'Livro Diario - FC'!$D$11:$D1028,"&gt;=01/11"&amp;$C$7,'Livro Diario - FC'!$D$11:$D1028,"&lt;=30/11"&amp;$C$7)</f>
        <v>0</v>
      </c>
      <c r="AY51" s="273"/>
      <c r="AZ51" s="258"/>
      <c r="BA51" s="255">
        <f>SUMIFS('Livro Diario - FC'!$K$11:$K1028,'Livro Diario - FC'!$E$11:$E1028,$C$51,'Livro Diario - FC'!$D$11:$D1028,"&gt;=01/12"&amp;$C$7,'Livro Diario - FC'!$D$11:$D1028,"&lt;=31/12"&amp;$C$7)</f>
        <v>0</v>
      </c>
      <c r="BB51" s="256">
        <f>SUMIFS('Livro Diario - FC'!$M$11:$M1028,'Livro Diario - FC'!$E$11:$E1028,$C$51,'Livro Diario - FC'!$D$11:$D1028,"&gt;=01/12"&amp;$C$7,'Livro Diario - FC'!$D$11:$D1028,"&lt;=31/12"&amp;$C$7)</f>
        <v>0</v>
      </c>
      <c r="BC51" s="273"/>
      <c r="BD51" s="273"/>
      <c r="BE51" s="267">
        <f t="shared" ref="BE51:BF51" si="152">SUM(D51,I51,N51,S51,X51,AC51,AG51,AK51,AO51,AS51,AW51,BA51)</f>
        <v>177.84</v>
      </c>
      <c r="BF51" s="268">
        <f t="shared" si="152"/>
        <v>177.84</v>
      </c>
      <c r="BG51" s="269"/>
      <c r="BH51" s="192"/>
      <c r="BI51" s="270">
        <f>SUMIFS('Livro Diario - FC'!$M$11:$M1028,'Livro Diario - FC'!$E$11:$E1028,C51,'Livro Diario - FC'!$D$11:$D1028,"&gt;="&amp;$BK$8,'Livro Diario - FC'!$D$11:$D1028,"&lt;="&amp;$BK$9)</f>
        <v>0</v>
      </c>
      <c r="BJ51" s="271"/>
      <c r="BK51" s="272"/>
      <c r="BL51" s="1"/>
    </row>
    <row r="52">
      <c r="A52" s="1"/>
      <c r="B52" s="1"/>
      <c r="C52" s="340" t="str">
        <f>'Livro Diario - FC'!AE55</f>
        <v>Vinagre</v>
      </c>
      <c r="D52" s="255">
        <f>SUMIFS('Livro Diario - FC'!$K$11:$K1028,'Livro Diario - FC'!$E$11:$E1028,$C$52,'Livro Diario - FC'!$D$11:$D1028,"&gt;=01/01"&amp;$C$7,'Livro Diario - FC'!$D$11:$D1028,"&lt;=31/01"&amp;$C$7)</f>
        <v>32.25</v>
      </c>
      <c r="E52" s="256">
        <f>SUMIFS('Livro Diario - FC'!$M$11:$M1028,'Livro Diario - FC'!$E$11:$E1028,$C$52,'Livro Diario - FC'!$D$11:$D1028,"&gt;=01/01"&amp;$C$7,'Livro Diario - FC'!$D$11:$D1028,"&lt;=31/01"&amp;$C$7)</f>
        <v>32.25</v>
      </c>
      <c r="F52" s="273"/>
      <c r="G52" s="258"/>
      <c r="H52" s="157"/>
      <c r="I52" s="255">
        <f>SUMIFS('Livro Diario - FC'!$K$11:$K1028,'Livro Diario - FC'!$E$11:$E1028,$C$52,'Livro Diario - FC'!$D$11:$D1028,"&gt;=01/02"&amp;$C$7,'Livro Diario - FC'!$D$11:$D1028,"&lt;=29/02"&amp;$C$7)</f>
        <v>0</v>
      </c>
      <c r="J52" s="256">
        <f>SUMIFS('Livro Diario - FC'!$M$11:$M1028,'Livro Diario - FC'!$E$11:$E1028,$C$52,'Livro Diario - FC'!$D$11:$D1028,"&gt;=01/02"&amp;$C$7,'Livro Diario - FC'!$D$11:$D1028,"&lt;=29/02"&amp;$C$7)</f>
        <v>0</v>
      </c>
      <c r="K52" s="273"/>
      <c r="L52" s="258"/>
      <c r="M52" s="259"/>
      <c r="N52" s="255">
        <f>SUMIFS('Livro Diario - FC'!$K$11:$K1028,'Livro Diario - FC'!$E$11:$E1028,$C$52,'Livro Diario - FC'!$D$11:$D1028,"&gt;=01/03"&amp;$C$7,'Livro Diario - FC'!$D$11:$D1028,"&lt;=31/03"&amp;$C$7)</f>
        <v>0</v>
      </c>
      <c r="O52" s="256">
        <f>SUMIFS('Livro Diario - FC'!$M$11:$M1028,'Livro Diario - FC'!$E$11:$E1028,$C$52,'Livro Diario - FC'!$D$11:$D1028,"&gt;=01/03"&amp;$C$7,'Livro Diario - FC'!$D$11:$D1028,"&lt;=31/03"&amp;$C$7)</f>
        <v>0</v>
      </c>
      <c r="P52" s="273"/>
      <c r="Q52" s="258"/>
      <c r="R52" s="259"/>
      <c r="S52" s="255">
        <f>SUMIFS('Livro Diario - FC'!$K$11:$K1028,'Livro Diario - FC'!$E$11:$E1028,$C$52,'Livro Diario - FC'!$D$11:$D1028,"&gt;=01/04"&amp;$C$7,'Livro Diario - FC'!$D$11:$D1028,"&lt;=30/04"&amp;$C$7)</f>
        <v>0</v>
      </c>
      <c r="T52" s="256">
        <f>SUMIFS('Livro Diario - FC'!$M$11:$M1028,'Livro Diario - FC'!$E$11:$E1028,$C$52,'Livro Diario - FC'!$D$11:$D1028,"&gt;=01/04"&amp;$C$7,'Livro Diario - FC'!$D$11:$D1028,"&lt;=30/04"&amp;$C$7)</f>
        <v>0</v>
      </c>
      <c r="U52" s="273"/>
      <c r="V52" s="258"/>
      <c r="W52" s="259"/>
      <c r="X52" s="255">
        <f>SUMIFS('Livro Diario - FC'!$K$11:$K1028,'Livro Diario - FC'!$E$11:$E1028,$C$52,'Livro Diario - FC'!$D$11:$D1028,"&gt;=01/05"&amp;$C$7,'Livro Diario - FC'!$D$11:$D1028,"&lt;=31/05"&amp;$C$7)</f>
        <v>0</v>
      </c>
      <c r="Y52" s="256">
        <f>SUMIFS('Livro Diario - FC'!$M$11:$M1028,'Livro Diario - FC'!$E$11:$E1028,$C$52,'Livro Diario - FC'!$D$11:$D1028,"&gt;=01/05"&amp;$C$7,'Livro Diario - FC'!$D$11:$D1028,"&lt;=31/05"&amp;$C$7)</f>
        <v>0</v>
      </c>
      <c r="Z52" s="273"/>
      <c r="AA52" s="258"/>
      <c r="AB52" s="259"/>
      <c r="AC52" s="255">
        <f>SUMIFS('Livro Diario - FC'!$K$11:$K1028,'Livro Diario - FC'!$E$11:$E1028,$C$52,'Livro Diario - FC'!$D$11:$D1028,"&gt;=01/06"&amp;$C$7,'Livro Diario - FC'!$D$11:$D1028,"&lt;=30/06"&amp;$C$7)</f>
        <v>0</v>
      </c>
      <c r="AD52" s="256">
        <f>SUMIFS('Livro Diario - FC'!$M$11:$M1028,'Livro Diario - FC'!$E$11:$E1028,$C$52,'Livro Diario - FC'!$D$11:$D1028,"&gt;=01/06"&amp;$C$7,'Livro Diario - FC'!$D$11:$D1028,"&lt;=30/06"&amp;$C$7)</f>
        <v>0</v>
      </c>
      <c r="AE52" s="273"/>
      <c r="AF52" s="258"/>
      <c r="AG52" s="255">
        <f>SUMIFS('Livro Diario - FC'!$K$11:$K1028,'Livro Diario - FC'!$E$11:$E1028,$C$52,'Livro Diario - FC'!$D$11:$D1028,"&gt;=01/07"&amp;$C$7,'Livro Diario - FC'!$D$11:$D1028,"&lt;=31/07"&amp;$C$7)</f>
        <v>0</v>
      </c>
      <c r="AH52" s="256">
        <f>SUMIFS('Livro Diario - FC'!$M$11:$M1028,'Livro Diario - FC'!$E$11:$E1028,$C$52,'Livro Diario - FC'!$D$11:$D1028,"&gt;=01/07"&amp;$C$7,'Livro Diario - FC'!$D$11:$D1028,"&lt;=31/07"&amp;$C$7)</f>
        <v>0</v>
      </c>
      <c r="AI52" s="273"/>
      <c r="AJ52" s="258"/>
      <c r="AK52" s="255">
        <f>SUMIFS('Livro Diario - FC'!$K$11:$K1028,'Livro Diario - FC'!$E$11:$E1028,$C$52,'Livro Diario - FC'!$D$11:$D1028,"&gt;=01/08"&amp;$C$7,'Livro Diario - FC'!$D$11:$D1028,"&lt;=31/08"&amp;$C$7)</f>
        <v>0</v>
      </c>
      <c r="AL52" s="256">
        <f>SUMIFS('Livro Diario - FC'!$M$11:$M1028,'Livro Diario - FC'!$E$11:$E1028,$C$52,'Livro Diario - FC'!$D$11:$D1028,"&gt;=01/08"&amp;$C$7,'Livro Diario - FC'!$D$11:$D1028,"&lt;=31/08"&amp;$C$7)</f>
        <v>0</v>
      </c>
      <c r="AM52" s="273"/>
      <c r="AN52" s="258"/>
      <c r="AO52" s="255">
        <f>SUMIFS('Livro Diario - FC'!$K$11:$K1028,'Livro Diario - FC'!$E$11:$E1028,$C$52,'Livro Diario - FC'!$D$11:$D1028,"&gt;=01/09"&amp;$C$7,'Livro Diario - FC'!$D$11:$D1028,"&lt;=30/09"&amp;$C$7)</f>
        <v>0</v>
      </c>
      <c r="AP52" s="256">
        <f>SUMIFS('Livro Diario - FC'!$M$11:$M1028,'Livro Diario - FC'!$E$11:$E1028,$C$52,'Livro Diario - FC'!$D$11:$D1028,"&gt;=01/09"&amp;$C$7,'Livro Diario - FC'!$D$11:$D1028,"&lt;=30/09"&amp;$C$7)</f>
        <v>0</v>
      </c>
      <c r="AQ52" s="273"/>
      <c r="AR52" s="258"/>
      <c r="AS52" s="255">
        <f>SUMIFS('Livro Diario - FC'!$K$11:$K1028,'Livro Diario - FC'!$E$11:$E1028,$C$52,'Livro Diario - FC'!$D$11:$D1028,"&gt;=01/10"&amp;$C$7,'Livro Diario - FC'!$D$11:$D1028,"&lt;=31/10"&amp;$C$7)</f>
        <v>0</v>
      </c>
      <c r="AT52" s="256">
        <f>SUMIFS('Livro Diario - FC'!$M$11:$M1028,'Livro Diario - FC'!$E$11:$E1028,$C$52,'Livro Diario - FC'!$D$11:$D1028,"&gt;=01/10"&amp;$C$7,'Livro Diario - FC'!$D$11:$D1028,"&lt;=31/10"&amp;$C$7)</f>
        <v>0</v>
      </c>
      <c r="AU52" s="273"/>
      <c r="AV52" s="258"/>
      <c r="AW52" s="255">
        <f>SUMIFS('Livro Diario - FC'!$K$11:$K1028,'Livro Diario - FC'!$E$11:$E1028,$C$52,'Livro Diario - FC'!$D$11:$D1028,"&gt;=01/11"&amp;$C$7,'Livro Diario - FC'!$D$11:$D1028,"&lt;=30/11"&amp;$C$7)</f>
        <v>0</v>
      </c>
      <c r="AX52" s="256">
        <f>SUMIFS('Livro Diario - FC'!$M$11:$M1028,'Livro Diario - FC'!$E$11:$E1028,$C$52,'Livro Diario - FC'!$D$11:$D1028,"&gt;=01/11"&amp;$C$7,'Livro Diario - FC'!$D$11:$D1028,"&lt;=30/11"&amp;$C$7)</f>
        <v>0</v>
      </c>
      <c r="AY52" s="273"/>
      <c r="AZ52" s="258"/>
      <c r="BA52" s="255">
        <f>SUMIFS('Livro Diario - FC'!$K$11:$K1028,'Livro Diario - FC'!$E$11:$E1028,$C$52,'Livro Diario - FC'!$D$11:$D1028,"&gt;=01/12"&amp;$C$7,'Livro Diario - FC'!$D$11:$D1028,"&lt;=31/12"&amp;$C$7)</f>
        <v>0</v>
      </c>
      <c r="BB52" s="256">
        <f>SUMIFS('Livro Diario - FC'!$M$11:$M1028,'Livro Diario - FC'!$E$11:$E1028,$C$52,'Livro Diario - FC'!$D$11:$D1028,"&gt;=01/12"&amp;$C$7,'Livro Diario - FC'!$D$11:$D1028,"&lt;=31/12"&amp;$C$7)</f>
        <v>0</v>
      </c>
      <c r="BC52" s="273"/>
      <c r="BD52" s="273"/>
      <c r="BE52" s="267">
        <f t="shared" ref="BE52:BF52" si="153">SUM(D52,I52,N52,S52,X52,AC52,AG52,AK52,AO52,AS52,AW52,BA52)</f>
        <v>32.25</v>
      </c>
      <c r="BF52" s="268">
        <f t="shared" si="153"/>
        <v>32.25</v>
      </c>
      <c r="BG52" s="269"/>
      <c r="BH52" s="192"/>
      <c r="BI52" s="270">
        <f>SUMIFS('Livro Diario - FC'!$M$11:$M1028,'Livro Diario - FC'!$E$11:$E1028,C52,'Livro Diario - FC'!$D$11:$D1028,"&gt;="&amp;$BK$8,'Livro Diario - FC'!$D$11:$D1028,"&lt;="&amp;$BK$9)</f>
        <v>0</v>
      </c>
      <c r="BJ52" s="271"/>
      <c r="BK52" s="272"/>
      <c r="BL52" s="1"/>
    </row>
    <row r="53">
      <c r="A53" s="1"/>
      <c r="B53" s="1"/>
      <c r="C53" s="338" t="str">
        <f>'Livro Diario - FC'!AE56</f>
        <v>Oleo</v>
      </c>
      <c r="D53" s="255">
        <f>SUMIFS('Livro Diario - FC'!$K$11:$K1028,'Livro Diario - FC'!$E$11:$E1028,$C$53,'Livro Diario - FC'!$D$11:$D1028,"&gt;=01/01"&amp;$C$7,'Livro Diario - FC'!$D$11:$D1028,"&lt;=31/01"&amp;$C$7)</f>
        <v>601.65</v>
      </c>
      <c r="E53" s="256">
        <f>SUMIFS('Livro Diario - FC'!$M$11:$M1028,'Livro Diario - FC'!$E$11:$E1028,$C$53,'Livro Diario - FC'!$D$11:$D1028,"&gt;=01/01"&amp;$C$7,'Livro Diario - FC'!$D$11:$D1028,"&lt;=31/01"&amp;$C$7)</f>
        <v>601.65</v>
      </c>
      <c r="F53" s="273"/>
      <c r="G53" s="258"/>
      <c r="H53" s="157"/>
      <c r="I53" s="255">
        <f>SUMIFS('Livro Diario - FC'!$K$11:$K1028,'Livro Diario - FC'!$E$11:$E1028,$C$53,'Livro Diario - FC'!$D$11:$D1028,"&gt;=01/02"&amp;$C$7,'Livro Diario - FC'!$D$11:$D1028,"&lt;=29/02"&amp;$C$7)</f>
        <v>0</v>
      </c>
      <c r="J53" s="256">
        <f>SUMIFS('Livro Diario - FC'!$M$11:$M1028,'Livro Diario - FC'!$E$11:$E1028,$C$53,'Livro Diario - FC'!$D$11:$D1028,"&gt;=01/02"&amp;$C$7,'Livro Diario - FC'!$D$11:$D1028,"&lt;=29/02"&amp;$C$7)</f>
        <v>0</v>
      </c>
      <c r="K53" s="273"/>
      <c r="L53" s="258"/>
      <c r="M53" s="259"/>
      <c r="N53" s="255">
        <f>SUMIFS('Livro Diario - FC'!$K$11:$K1028,'Livro Diario - FC'!$E$11:$E1028,$C$53,'Livro Diario - FC'!$D$11:$D1028,"&gt;=01/03"&amp;$C$7,'Livro Diario - FC'!$D$11:$D1028,"&lt;=31/03"&amp;$C$7)</f>
        <v>0</v>
      </c>
      <c r="O53" s="256">
        <f>SUMIFS('Livro Diario - FC'!$M$11:$M1028,'Livro Diario - FC'!$E$11:$E1028,$C$53,'Livro Diario - FC'!$D$11:$D1028,"&gt;=01/03"&amp;$C$7,'Livro Diario - FC'!$D$11:$D1028,"&lt;=31/03"&amp;$C$7)</f>
        <v>0</v>
      </c>
      <c r="P53" s="273"/>
      <c r="Q53" s="258"/>
      <c r="R53" s="259"/>
      <c r="S53" s="255">
        <f>SUMIFS('Livro Diario - FC'!$K$11:$K1028,'Livro Diario - FC'!$E$11:$E1028,$C$53,'Livro Diario - FC'!$D$11:$D1028,"&gt;=01/04"&amp;$C$7,'Livro Diario - FC'!$D$11:$D1028,"&lt;=30/04"&amp;$C$7)</f>
        <v>0</v>
      </c>
      <c r="T53" s="256">
        <f>SUMIFS('Livro Diario - FC'!$M$11:$M1028,'Livro Diario - FC'!$E$11:$E1028,$C$53,'Livro Diario - FC'!$D$11:$D1028,"&gt;=01/04"&amp;$C$7,'Livro Diario - FC'!$D$11:$D1028,"&lt;=30/04"&amp;$C$7)</f>
        <v>0</v>
      </c>
      <c r="U53" s="273"/>
      <c r="V53" s="258"/>
      <c r="W53" s="259"/>
      <c r="X53" s="255">
        <f>SUMIFS('Livro Diario - FC'!$K$11:$K1028,'Livro Diario - FC'!$E$11:$E1028,$C$53,'Livro Diario - FC'!$D$11:$D1028,"&gt;=01/05"&amp;$C$7,'Livro Diario - FC'!$D$11:$D1028,"&lt;=31/05"&amp;$C$7)</f>
        <v>0</v>
      </c>
      <c r="Y53" s="256">
        <f>SUMIFS('Livro Diario - FC'!$M$11:$M1028,'Livro Diario - FC'!$E$11:$E1028,$C$53,'Livro Diario - FC'!$D$11:$D1028,"&gt;=01/05"&amp;$C$7,'Livro Diario - FC'!$D$11:$D1028,"&lt;=31/05"&amp;$C$7)</f>
        <v>0</v>
      </c>
      <c r="Z53" s="273"/>
      <c r="AA53" s="258"/>
      <c r="AB53" s="259"/>
      <c r="AC53" s="255">
        <f>SUMIFS('Livro Diario - FC'!$K$11:$K1028,'Livro Diario - FC'!$E$11:$E1028,$C$53,'Livro Diario - FC'!$D$11:$D1028,"&gt;=01/06"&amp;$C$7,'Livro Diario - FC'!$D$11:$D1028,"&lt;=30/06"&amp;$C$7)</f>
        <v>0</v>
      </c>
      <c r="AD53" s="256">
        <f>SUMIFS('Livro Diario - FC'!$M$11:$M1028,'Livro Diario - FC'!$E$11:$E1028,$C$53,'Livro Diario - FC'!$D$11:$D1028,"&gt;=01/06"&amp;$C$7,'Livro Diario - FC'!$D$11:$D1028,"&lt;=30/06"&amp;$C$7)</f>
        <v>0</v>
      </c>
      <c r="AE53" s="273"/>
      <c r="AF53" s="258"/>
      <c r="AG53" s="255">
        <f>SUMIFS('Livro Diario - FC'!$K$11:$K1028,'Livro Diario - FC'!$E$11:$E1028,$C$53,'Livro Diario - FC'!$D$11:$D1028,"&gt;=01/07"&amp;$C$7,'Livro Diario - FC'!$D$11:$D1028,"&lt;=31/07"&amp;$C$7)</f>
        <v>0</v>
      </c>
      <c r="AH53" s="256">
        <f>SUMIFS('Livro Diario - FC'!$M$11:$M1028,'Livro Diario - FC'!$E$11:$E1028,$C$53,'Livro Diario - FC'!$D$11:$D1028,"&gt;=01/07"&amp;$C$7,'Livro Diario - FC'!$D$11:$D1028,"&lt;=31/07"&amp;$C$7)</f>
        <v>0</v>
      </c>
      <c r="AI53" s="273"/>
      <c r="AJ53" s="258"/>
      <c r="AK53" s="255">
        <f>SUMIFS('Livro Diario - FC'!$K$11:$K1028,'Livro Diario - FC'!$E$11:$E1028,$C$53,'Livro Diario - FC'!$D$11:$D1028,"&gt;=01/08"&amp;$C$7,'Livro Diario - FC'!$D$11:$D1028,"&lt;=31/08"&amp;$C$7)</f>
        <v>0</v>
      </c>
      <c r="AL53" s="256">
        <f>SUMIFS('Livro Diario - FC'!$M$11:$M1028,'Livro Diario - FC'!$E$11:$E1028,$C$53,'Livro Diario - FC'!$D$11:$D1028,"&gt;=01/08"&amp;$C$7,'Livro Diario - FC'!$D$11:$D1028,"&lt;=31/08"&amp;$C$7)</f>
        <v>0</v>
      </c>
      <c r="AM53" s="273"/>
      <c r="AN53" s="258"/>
      <c r="AO53" s="255">
        <f>SUMIFS('Livro Diario - FC'!$K$11:$K1028,'Livro Diario - FC'!$E$11:$E1028,$C$53,'Livro Diario - FC'!$D$11:$D1028,"&gt;=01/09"&amp;$C$7,'Livro Diario - FC'!$D$11:$D1028,"&lt;=30/09"&amp;$C$7)</f>
        <v>0</v>
      </c>
      <c r="AP53" s="256">
        <f>SUMIFS('Livro Diario - FC'!$M$11:$M1028,'Livro Diario - FC'!$E$11:$E1028,$C$53,'Livro Diario - FC'!$D$11:$D1028,"&gt;=01/09"&amp;$C$7,'Livro Diario - FC'!$D$11:$D1028,"&lt;=30/09"&amp;$C$7)</f>
        <v>0</v>
      </c>
      <c r="AQ53" s="273"/>
      <c r="AR53" s="258"/>
      <c r="AS53" s="255">
        <f>SUMIFS('Livro Diario - FC'!$K$11:$K1028,'Livro Diario - FC'!$E$11:$E1028,$C$53,'Livro Diario - FC'!$D$11:$D1028,"&gt;=01/10"&amp;$C$7,'Livro Diario - FC'!$D$11:$D1028,"&lt;=31/10"&amp;$C$7)</f>
        <v>0</v>
      </c>
      <c r="AT53" s="256">
        <f>SUMIFS('Livro Diario - FC'!$M$11:$M1028,'Livro Diario - FC'!$E$11:$E1028,$C$53,'Livro Diario - FC'!$D$11:$D1028,"&gt;=01/10"&amp;$C$7,'Livro Diario - FC'!$D$11:$D1028,"&lt;=31/10"&amp;$C$7)</f>
        <v>0</v>
      </c>
      <c r="AU53" s="273"/>
      <c r="AV53" s="258"/>
      <c r="AW53" s="255">
        <f>SUMIFS('Livro Diario - FC'!$K$11:$K1028,'Livro Diario - FC'!$E$11:$E1028,$C$53,'Livro Diario - FC'!$D$11:$D1028,"&gt;=01/11"&amp;$C$7,'Livro Diario - FC'!$D$11:$D1028,"&lt;=30/11"&amp;$C$7)</f>
        <v>0</v>
      </c>
      <c r="AX53" s="256">
        <f>SUMIFS('Livro Diario - FC'!$M$11:$M1028,'Livro Diario - FC'!$E$11:$E1028,$C$53,'Livro Diario - FC'!$D$11:$D1028,"&gt;=01/11"&amp;$C$7,'Livro Diario - FC'!$D$11:$D1028,"&lt;=30/11"&amp;$C$7)</f>
        <v>0</v>
      </c>
      <c r="AY53" s="273"/>
      <c r="AZ53" s="258"/>
      <c r="BA53" s="255">
        <f>SUMIFS('Livro Diario - FC'!$K$11:$K1028,'Livro Diario - FC'!$E$11:$E1028,$C$53,'Livro Diario - FC'!$D$11:$D1028,"&gt;=01/12"&amp;$C$7,'Livro Diario - FC'!$D$11:$D1028,"&lt;=31/12"&amp;$C$7)</f>
        <v>0</v>
      </c>
      <c r="BB53" s="256">
        <f>SUMIFS('Livro Diario - FC'!$M$11:$M1028,'Livro Diario - FC'!$E$11:$E1028,$C$53,'Livro Diario - FC'!$D$11:$D1028,"&gt;=01/12"&amp;$C$7,'Livro Diario - FC'!$D$11:$D1028,"&lt;=31/12"&amp;$C$7)</f>
        <v>0</v>
      </c>
      <c r="BC53" s="273"/>
      <c r="BD53" s="273"/>
      <c r="BE53" s="267">
        <f t="shared" ref="BE53:BF53" si="154">SUM(D53,I53,N53,S53,X53,AC53,AG53,AK53,AO53,AS53,AW53,BA53)</f>
        <v>601.65</v>
      </c>
      <c r="BF53" s="268">
        <f t="shared" si="154"/>
        <v>601.65</v>
      </c>
      <c r="BG53" s="269"/>
      <c r="BH53" s="192"/>
      <c r="BI53" s="270">
        <f>SUMIFS('Livro Diario - FC'!$M$11:$M1028,'Livro Diario - FC'!$E$11:$E1028,C53,'Livro Diario - FC'!$D$11:$D1028,"&gt;="&amp;$BK$8,'Livro Diario - FC'!$D$11:$D1028,"&lt;="&amp;$BK$9)</f>
        <v>0</v>
      </c>
      <c r="BJ53" s="271"/>
      <c r="BK53" s="272"/>
      <c r="BL53" s="1"/>
    </row>
    <row r="54">
      <c r="A54" s="1"/>
      <c r="B54" s="1"/>
      <c r="C54" s="338" t="str">
        <f>'Livro Diario - FC'!AE57</f>
        <v>Fuba</v>
      </c>
      <c r="D54" s="255">
        <f>SUMIFS('Livro Diario - FC'!$K$11:$K1028,'Livro Diario - FC'!$E$11:$E1028,$C$54,'Livro Diario - FC'!$D$11:$D1028,"&gt;=01/01"&amp;$C$7,'Livro Diario - FC'!$D$11:$D1028,"&lt;=31/01"&amp;$C$7)</f>
        <v>21.8</v>
      </c>
      <c r="E54" s="256">
        <f>SUMIFS('Livro Diario - FC'!$M$11:$M1028,'Livro Diario - FC'!$E$11:$E1028,$C$54,'Livro Diario - FC'!$D$11:$D1028,"&gt;=01/01"&amp;$C$7,'Livro Diario - FC'!$D$11:$D1028,"&lt;=31/01"&amp;$C$7)</f>
        <v>21.8</v>
      </c>
      <c r="F54" s="273"/>
      <c r="G54" s="258"/>
      <c r="H54" s="157"/>
      <c r="I54" s="255">
        <f>SUMIFS('Livro Diario - FC'!$K$11:$K1028,'Livro Diario - FC'!$E$11:$E1028,$C$54,'Livro Diario - FC'!$D$11:$D1028,"&gt;=01/02"&amp;$C$7,'Livro Diario - FC'!$D$11:$D1028,"&lt;=29/02"&amp;$C$7)</f>
        <v>0</v>
      </c>
      <c r="J54" s="256">
        <f>SUMIFS('Livro Diario - FC'!$M$11:$M1028,'Livro Diario - FC'!$E$11:$E1028,$C$54,'Livro Diario - FC'!$D$11:$D1028,"&gt;=01/02"&amp;$C$7,'Livro Diario - FC'!$D$11:$D1028,"&lt;=29/02"&amp;$C$7)</f>
        <v>0</v>
      </c>
      <c r="K54" s="273"/>
      <c r="L54" s="258"/>
      <c r="M54" s="259"/>
      <c r="N54" s="255">
        <f>SUMIFS('Livro Diario - FC'!$K$11:$K1028,'Livro Diario - FC'!$E$11:$E1028,$C$54,'Livro Diario - FC'!$D$11:$D1028,"&gt;=01/03"&amp;$C$7,'Livro Diario - FC'!$D$11:$D1028,"&lt;=31/03"&amp;$C$7)</f>
        <v>0</v>
      </c>
      <c r="O54" s="256">
        <f>SUMIFS('Livro Diario - FC'!$M$11:$M1028,'Livro Diario - FC'!$E$11:$E1028,$C$54,'Livro Diario - FC'!$D$11:$D1028,"&gt;=01/03"&amp;$C$7,'Livro Diario - FC'!$D$11:$D1028,"&lt;=31/03"&amp;$C$7)</f>
        <v>0</v>
      </c>
      <c r="P54" s="273"/>
      <c r="Q54" s="258"/>
      <c r="R54" s="259"/>
      <c r="S54" s="255">
        <f>SUMIFS('Livro Diario - FC'!$K$11:$K1028,'Livro Diario - FC'!$E$11:$E1028,$C$54,'Livro Diario - FC'!$D$11:$D1028,"&gt;=01/04"&amp;$C$7,'Livro Diario - FC'!$D$11:$D1028,"&lt;=30/04"&amp;$C$7)</f>
        <v>0</v>
      </c>
      <c r="T54" s="256">
        <f>SUMIFS('Livro Diario - FC'!$M$11:$M1028,'Livro Diario - FC'!$E$11:$E1028,$C$54,'Livro Diario - FC'!$D$11:$D1028,"&gt;=01/04"&amp;$C$7,'Livro Diario - FC'!$D$11:$D1028,"&lt;=30/04"&amp;$C$7)</f>
        <v>0</v>
      </c>
      <c r="U54" s="273"/>
      <c r="V54" s="258"/>
      <c r="W54" s="259"/>
      <c r="X54" s="255">
        <f>SUMIFS('Livro Diario - FC'!$K$11:$K1028,'Livro Diario - FC'!$E$11:$E1028,$C$54,'Livro Diario - FC'!$D$11:$D1028,"&gt;=01/05"&amp;$C$7,'Livro Diario - FC'!$D$11:$D1028,"&lt;=31/05"&amp;$C$7)</f>
        <v>0</v>
      </c>
      <c r="Y54" s="256">
        <f>SUMIFS('Livro Diario - FC'!$M$11:$M1028,'Livro Diario - FC'!$E$11:$E1028,$C$54,'Livro Diario - FC'!$D$11:$D1028,"&gt;=01/05"&amp;$C$7,'Livro Diario - FC'!$D$11:$D1028,"&lt;=31/05"&amp;$C$7)</f>
        <v>0</v>
      </c>
      <c r="Z54" s="273"/>
      <c r="AA54" s="258"/>
      <c r="AB54" s="259"/>
      <c r="AC54" s="255">
        <f>SUMIFS('Livro Diario - FC'!$K$11:$K1028,'Livro Diario - FC'!$E$11:$E1028,$C$54,'Livro Diario - FC'!$D$11:$D1028,"&gt;=01/06"&amp;$C$7,'Livro Diario - FC'!$D$11:$D1028,"&lt;=30/06"&amp;$C$7)</f>
        <v>0</v>
      </c>
      <c r="AD54" s="256">
        <f>SUMIFS('Livro Diario - FC'!$M$11:$M1028,'Livro Diario - FC'!$E$11:$E1028,$C$54,'Livro Diario - FC'!$D$11:$D1028,"&gt;=01/06"&amp;$C$7,'Livro Diario - FC'!$D$11:$D1028,"&lt;=30/06"&amp;$C$7)</f>
        <v>0</v>
      </c>
      <c r="AE54" s="273"/>
      <c r="AF54" s="258"/>
      <c r="AG54" s="255">
        <f>SUMIFS('Livro Diario - FC'!$K$11:$K1028,'Livro Diario - FC'!$E$11:$E1028,$C$54,'Livro Diario - FC'!$D$11:$D1028,"&gt;=01/07"&amp;$C$7,'Livro Diario - FC'!$D$11:$D1028,"&lt;=31/07"&amp;$C$7)</f>
        <v>0</v>
      </c>
      <c r="AH54" s="256">
        <f>SUMIFS('Livro Diario - FC'!$M$11:$M1028,'Livro Diario - FC'!$E$11:$E1028,$C$54,'Livro Diario - FC'!$D$11:$D1028,"&gt;=01/07"&amp;$C$7,'Livro Diario - FC'!$D$11:$D1028,"&lt;=31/07"&amp;$C$7)</f>
        <v>0</v>
      </c>
      <c r="AI54" s="273"/>
      <c r="AJ54" s="258"/>
      <c r="AK54" s="255">
        <f>SUMIFS('Livro Diario - FC'!$K$11:$K1028,'Livro Diario - FC'!$E$11:$E1028,$C$54,'Livro Diario - FC'!$D$11:$D1028,"&gt;=01/08"&amp;$C$7,'Livro Diario - FC'!$D$11:$D1028,"&lt;=31/08"&amp;$C$7)</f>
        <v>0</v>
      </c>
      <c r="AL54" s="256">
        <f>SUMIFS('Livro Diario - FC'!$M$11:$M1028,'Livro Diario - FC'!$E$11:$E1028,$C$54,'Livro Diario - FC'!$D$11:$D1028,"&gt;=01/08"&amp;$C$7,'Livro Diario - FC'!$D$11:$D1028,"&lt;=31/08"&amp;$C$7)</f>
        <v>0</v>
      </c>
      <c r="AM54" s="273"/>
      <c r="AN54" s="258"/>
      <c r="AO54" s="255">
        <f>SUMIFS('Livro Diario - FC'!$K$11:$K1028,'Livro Diario - FC'!$E$11:$E1028,$C$54,'Livro Diario - FC'!$D$11:$D1028,"&gt;=01/09"&amp;$C$7,'Livro Diario - FC'!$D$11:$D1028,"&lt;=30/09"&amp;$C$7)</f>
        <v>0</v>
      </c>
      <c r="AP54" s="256">
        <f>SUMIFS('Livro Diario - FC'!$M$11:$M1028,'Livro Diario - FC'!$E$11:$E1028,$C$54,'Livro Diario - FC'!$D$11:$D1028,"&gt;=01/09"&amp;$C$7,'Livro Diario - FC'!$D$11:$D1028,"&lt;=30/09"&amp;$C$7)</f>
        <v>0</v>
      </c>
      <c r="AQ54" s="273"/>
      <c r="AR54" s="258"/>
      <c r="AS54" s="255">
        <f>SUMIFS('Livro Diario - FC'!$K$11:$K1028,'Livro Diario - FC'!$E$11:$E1028,$C$54,'Livro Diario - FC'!$D$11:$D1028,"&gt;=01/10"&amp;$C$7,'Livro Diario - FC'!$D$11:$D1028,"&lt;=31/10"&amp;$C$7)</f>
        <v>0</v>
      </c>
      <c r="AT54" s="256">
        <f>SUMIFS('Livro Diario - FC'!$M$11:$M1028,'Livro Diario - FC'!$E$11:$E1028,$C$54,'Livro Diario - FC'!$D$11:$D1028,"&gt;=01/10"&amp;$C$7,'Livro Diario - FC'!$D$11:$D1028,"&lt;=31/10"&amp;$C$7)</f>
        <v>0</v>
      </c>
      <c r="AU54" s="273"/>
      <c r="AV54" s="258"/>
      <c r="AW54" s="255">
        <f>SUMIFS('Livro Diario - FC'!$K$11:$K1028,'Livro Diario - FC'!$E$11:$E1028,$C$54,'Livro Diario - FC'!$D$11:$D1028,"&gt;=01/11"&amp;$C$7,'Livro Diario - FC'!$D$11:$D1028,"&lt;=30/11"&amp;$C$7)</f>
        <v>0</v>
      </c>
      <c r="AX54" s="256">
        <f>SUMIFS('Livro Diario - FC'!$M$11:$M1028,'Livro Diario - FC'!$E$11:$E1028,$C$54,'Livro Diario - FC'!$D$11:$D1028,"&gt;=01/11"&amp;$C$7,'Livro Diario - FC'!$D$11:$D1028,"&lt;=30/11"&amp;$C$7)</f>
        <v>0</v>
      </c>
      <c r="AY54" s="273"/>
      <c r="AZ54" s="258"/>
      <c r="BA54" s="255">
        <f>SUMIFS('Livro Diario - FC'!$K$11:$K1028,'Livro Diario - FC'!$E$11:$E1028,$C$54,'Livro Diario - FC'!$D$11:$D1028,"&gt;=01/12"&amp;$C$7,'Livro Diario - FC'!$D$11:$D1028,"&lt;=31/12"&amp;$C$7)</f>
        <v>0</v>
      </c>
      <c r="BB54" s="256">
        <f>SUMIFS('Livro Diario - FC'!$M$11:$M1028,'Livro Diario - FC'!$E$11:$E1028,$C$54,'Livro Diario - FC'!$D$11:$D1028,"&gt;=01/12"&amp;$C$7,'Livro Diario - FC'!$D$11:$D1028,"&lt;=31/12"&amp;$C$7)</f>
        <v>0</v>
      </c>
      <c r="BC54" s="273"/>
      <c r="BD54" s="273"/>
      <c r="BE54" s="267">
        <f t="shared" ref="BE54:BF54" si="155">SUM(D54,I54,N54,S54,X54,AC54,AG54,AK54,AO54,AS54,AW54,BA54)</f>
        <v>21.8</v>
      </c>
      <c r="BF54" s="268">
        <f t="shared" si="155"/>
        <v>21.8</v>
      </c>
      <c r="BG54" s="269"/>
      <c r="BH54" s="192"/>
      <c r="BI54" s="270">
        <f>SUMIFS('Livro Diario - FC'!$M$11:$M1028,'Livro Diario - FC'!$E$11:$E1028,C54,'Livro Diario - FC'!$D$11:$D1028,"&gt;="&amp;$BK$8,'Livro Diario - FC'!$D$11:$D1028,"&lt;="&amp;$BK$9)</f>
        <v>0</v>
      </c>
      <c r="BJ54" s="271"/>
      <c r="BK54" s="272"/>
      <c r="BL54" s="1"/>
    </row>
    <row r="55">
      <c r="A55" s="1"/>
      <c r="B55" s="1"/>
      <c r="C55" s="338" t="str">
        <f>'Livro Diario - FC'!AE58</f>
        <v>Sal Grosso</v>
      </c>
      <c r="D55" s="255">
        <f>SUMIFS('Livro Diario - FC'!$K$11:$K1028,'Livro Diario - FC'!$E$11:$E1028,$C$55,'Livro Diario - FC'!$D$11:$D1028,"&gt;=01/01"&amp;$C$7,'Livro Diario - FC'!$D$11:$D1028,"&lt;=31/01"&amp;$C$7)</f>
        <v>0</v>
      </c>
      <c r="E55" s="256">
        <f>SUMIFS('Livro Diario - FC'!$M$11:$M1028,'Livro Diario - FC'!$E$11:$E1028,$C$55,'Livro Diario - FC'!$D$11:$D1028,"&gt;=01/01"&amp;$C$7,'Livro Diario - FC'!$D$11:$D1028,"&lt;=31/01"&amp;$C$7)</f>
        <v>0</v>
      </c>
      <c r="F55" s="273"/>
      <c r="G55" s="258"/>
      <c r="H55" s="157"/>
      <c r="I55" s="255">
        <f>SUMIFS('Livro Diario - FC'!$K$11:$K1028,'Livro Diario - FC'!$E$11:$E1028,$C$55,'Livro Diario - FC'!$D$11:$D1028,"&gt;=01/02"&amp;$C$7,'Livro Diario - FC'!$D$11:$D1028,"&lt;=29/02"&amp;$C$7)</f>
        <v>0</v>
      </c>
      <c r="J55" s="256">
        <f>SUMIFS('Livro Diario - FC'!$M$11:$M1028,'Livro Diario - FC'!$E$11:$E1028,$C$55,'Livro Diario - FC'!$D$11:$D1028,"&gt;=01/02"&amp;$C$7,'Livro Diario - FC'!$D$11:$D1028,"&lt;=29/02"&amp;$C$7)</f>
        <v>0</v>
      </c>
      <c r="K55" s="273"/>
      <c r="L55" s="258"/>
      <c r="M55" s="259"/>
      <c r="N55" s="255">
        <f>SUMIFS('Livro Diario - FC'!$K$11:$K1028,'Livro Diario - FC'!$E$11:$E1028,$C$55,'Livro Diario - FC'!$D$11:$D1028,"&gt;=01/03"&amp;$C$7,'Livro Diario - FC'!$D$11:$D1028,"&lt;=31/03"&amp;$C$7)</f>
        <v>0</v>
      </c>
      <c r="O55" s="256">
        <f>SUMIFS('Livro Diario - FC'!$M$11:$M1028,'Livro Diario - FC'!$E$11:$E1028,$C$55,'Livro Diario - FC'!$D$11:$D1028,"&gt;=01/03"&amp;$C$7,'Livro Diario - FC'!$D$11:$D1028,"&lt;=31/03"&amp;$C$7)</f>
        <v>0</v>
      </c>
      <c r="P55" s="273"/>
      <c r="Q55" s="258"/>
      <c r="R55" s="259"/>
      <c r="S55" s="255">
        <f>SUMIFS('Livro Diario - FC'!$K$11:$K1028,'Livro Diario - FC'!$E$11:$E1028,$C$55,'Livro Diario - FC'!$D$11:$D1028,"&gt;=01/04"&amp;$C$7,'Livro Diario - FC'!$D$11:$D1028,"&lt;=30/04"&amp;$C$7)</f>
        <v>0</v>
      </c>
      <c r="T55" s="256">
        <f>SUMIFS('Livro Diario - FC'!$M$11:$M1028,'Livro Diario - FC'!$E$11:$E1028,$C$55,'Livro Diario - FC'!$D$11:$D1028,"&gt;=01/04"&amp;$C$7,'Livro Diario - FC'!$D$11:$D1028,"&lt;=30/04"&amp;$C$7)</f>
        <v>0</v>
      </c>
      <c r="U55" s="273"/>
      <c r="V55" s="258"/>
      <c r="W55" s="259"/>
      <c r="X55" s="255">
        <f>SUMIFS('Livro Diario - FC'!$K$11:$K1028,'Livro Diario - FC'!$E$11:$E1028,$C$55,'Livro Diario - FC'!$D$11:$D1028,"&gt;=01/05"&amp;$C$7,'Livro Diario - FC'!$D$11:$D1028,"&lt;=31/05"&amp;$C$7)</f>
        <v>0</v>
      </c>
      <c r="Y55" s="256">
        <f>SUMIFS('Livro Diario - FC'!$M$11:$M1028,'Livro Diario - FC'!$E$11:$E1028,$C$55,'Livro Diario - FC'!$D$11:$D1028,"&gt;=01/05"&amp;$C$7,'Livro Diario - FC'!$D$11:$D1028,"&lt;=31/05"&amp;$C$7)</f>
        <v>0</v>
      </c>
      <c r="Z55" s="273"/>
      <c r="AA55" s="258"/>
      <c r="AB55" s="259"/>
      <c r="AC55" s="255">
        <f>SUMIFS('Livro Diario - FC'!$K$11:$K1028,'Livro Diario - FC'!$E$11:$E1028,$C$55,'Livro Diario - FC'!$D$11:$D1028,"&gt;=01/06"&amp;$C$7,'Livro Diario - FC'!$D$11:$D1028,"&lt;=30/06"&amp;$C$7)</f>
        <v>0</v>
      </c>
      <c r="AD55" s="256">
        <f>SUMIFS('Livro Diario - FC'!$M$11:$M1028,'Livro Diario - FC'!$E$11:$E1028,$C$55,'Livro Diario - FC'!$D$11:$D1028,"&gt;=01/06"&amp;$C$7,'Livro Diario - FC'!$D$11:$D1028,"&lt;=30/06"&amp;$C$7)</f>
        <v>0</v>
      </c>
      <c r="AE55" s="273"/>
      <c r="AF55" s="258"/>
      <c r="AG55" s="255">
        <f>SUMIFS('Livro Diario - FC'!$K$11:$K1028,'Livro Diario - FC'!$E$11:$E1028,$C$55,'Livro Diario - FC'!$D$11:$D1028,"&gt;=01/07"&amp;$C$7,'Livro Diario - FC'!$D$11:$D1028,"&lt;=31/07"&amp;$C$7)</f>
        <v>0</v>
      </c>
      <c r="AH55" s="256">
        <f>SUMIFS('Livro Diario - FC'!$M$11:$M1028,'Livro Diario - FC'!$E$11:$E1028,$C$55,'Livro Diario - FC'!$D$11:$D1028,"&gt;=01/07"&amp;$C$7,'Livro Diario - FC'!$D$11:$D1028,"&lt;=31/07"&amp;$C$7)</f>
        <v>0</v>
      </c>
      <c r="AI55" s="273"/>
      <c r="AJ55" s="258"/>
      <c r="AK55" s="255">
        <f>SUMIFS('Livro Diario - FC'!$K$11:$K1028,'Livro Diario - FC'!$E$11:$E1028,$C$55,'Livro Diario - FC'!$D$11:$D1028,"&gt;=01/08"&amp;$C$7,'Livro Diario - FC'!$D$11:$D1028,"&lt;=31/08"&amp;$C$7)</f>
        <v>0</v>
      </c>
      <c r="AL55" s="256">
        <f>SUMIFS('Livro Diario - FC'!$M$11:$M1028,'Livro Diario - FC'!$E$11:$E1028,$C$55,'Livro Diario - FC'!$D$11:$D1028,"&gt;=01/08"&amp;$C$7,'Livro Diario - FC'!$D$11:$D1028,"&lt;=31/08"&amp;$C$7)</f>
        <v>0</v>
      </c>
      <c r="AM55" s="273"/>
      <c r="AN55" s="258"/>
      <c r="AO55" s="255">
        <f>SUMIFS('Livro Diario - FC'!$K$11:$K1028,'Livro Diario - FC'!$E$11:$E1028,$C$55,'Livro Diario - FC'!$D$11:$D1028,"&gt;=01/09"&amp;$C$7,'Livro Diario - FC'!$D$11:$D1028,"&lt;=30/09"&amp;$C$7)</f>
        <v>0</v>
      </c>
      <c r="AP55" s="256">
        <f>SUMIFS('Livro Diario - FC'!$M$11:$M1028,'Livro Diario - FC'!$E$11:$E1028,$C$55,'Livro Diario - FC'!$D$11:$D1028,"&gt;=01/09"&amp;$C$7,'Livro Diario - FC'!$D$11:$D1028,"&lt;=30/09"&amp;$C$7)</f>
        <v>0</v>
      </c>
      <c r="AQ55" s="273"/>
      <c r="AR55" s="258"/>
      <c r="AS55" s="255">
        <f>SUMIFS('Livro Diario - FC'!$K$11:$K1028,'Livro Diario - FC'!$E$11:$E1028,$C$55,'Livro Diario - FC'!$D$11:$D1028,"&gt;=01/10"&amp;$C$7,'Livro Diario - FC'!$D$11:$D1028,"&lt;=31/10"&amp;$C$7)</f>
        <v>0</v>
      </c>
      <c r="AT55" s="256">
        <f>SUMIFS('Livro Diario - FC'!$M$11:$M1028,'Livro Diario - FC'!$E$11:$E1028,$C$55,'Livro Diario - FC'!$D$11:$D1028,"&gt;=01/10"&amp;$C$7,'Livro Diario - FC'!$D$11:$D1028,"&lt;=31/10"&amp;$C$7)</f>
        <v>0</v>
      </c>
      <c r="AU55" s="273"/>
      <c r="AV55" s="258"/>
      <c r="AW55" s="255">
        <f>SUMIFS('Livro Diario - FC'!$K$11:$K1028,'Livro Diario - FC'!$E$11:$E1028,$C$55,'Livro Diario - FC'!$D$11:$D1028,"&gt;=01/11"&amp;$C$7,'Livro Diario - FC'!$D$11:$D1028,"&lt;=30/11"&amp;$C$7)</f>
        <v>0</v>
      </c>
      <c r="AX55" s="256">
        <f>SUMIFS('Livro Diario - FC'!$M$11:$M1028,'Livro Diario - FC'!$E$11:$E1028,$C$55,'Livro Diario - FC'!$D$11:$D1028,"&gt;=01/11"&amp;$C$7,'Livro Diario - FC'!$D$11:$D1028,"&lt;=30/11"&amp;$C$7)</f>
        <v>0</v>
      </c>
      <c r="AY55" s="273"/>
      <c r="AZ55" s="258"/>
      <c r="BA55" s="255">
        <f>SUMIFS('Livro Diario - FC'!$K$11:$K1028,'Livro Diario - FC'!$E$11:$E1028,$C$55,'Livro Diario - FC'!$D$11:$D1028,"&gt;=01/12"&amp;$C$7,'Livro Diario - FC'!$D$11:$D1028,"&lt;=31/12"&amp;$C$7)</f>
        <v>0</v>
      </c>
      <c r="BB55" s="256">
        <f>SUMIFS('Livro Diario - FC'!$M$11:$M1028,'Livro Diario - FC'!$E$11:$E1028,$C$55,'Livro Diario - FC'!$D$11:$D1028,"&gt;=01/12"&amp;$C$7,'Livro Diario - FC'!$D$11:$D1028,"&lt;=31/12"&amp;$C$7)</f>
        <v>0</v>
      </c>
      <c r="BC55" s="273"/>
      <c r="BD55" s="273"/>
      <c r="BE55" s="267">
        <f t="shared" ref="BE55:BF55" si="156">SUM(D55,I55,N55,S55,X55,AC55,AG55,AK55,AO55,AS55,AW55,BA55)</f>
        <v>0</v>
      </c>
      <c r="BF55" s="268">
        <f t="shared" si="156"/>
        <v>0</v>
      </c>
      <c r="BG55" s="269"/>
      <c r="BH55" s="192"/>
      <c r="BI55" s="270">
        <f>SUMIFS('Livro Diario - FC'!$M$11:$M1028,'Livro Diario - FC'!$E$11:$E1028,C55,'Livro Diario - FC'!$D$11:$D1028,"&gt;="&amp;$BK$8,'Livro Diario - FC'!$D$11:$D1028,"&lt;="&amp;$BK$9)</f>
        <v>0</v>
      </c>
      <c r="BJ55" s="271"/>
      <c r="BK55" s="272"/>
      <c r="BL55" s="1"/>
    </row>
    <row r="56">
      <c r="A56" s="1"/>
      <c r="B56" s="1"/>
      <c r="C56" s="338" t="str">
        <f>'Livro Diario - FC'!AE59</f>
        <v>Creme de Leite</v>
      </c>
      <c r="D56" s="255">
        <f>SUMIFS('Livro Diario - FC'!$K$11:$K1028,'Livro Diario - FC'!$E$11:$E1028,$C$56,'Livro Diario - FC'!$D$11:$D1028,"&gt;=01/01"&amp;$C$7,'Livro Diario - FC'!$D$11:$D1028,"&lt;=31/01"&amp;$C$7)</f>
        <v>116.1</v>
      </c>
      <c r="E56" s="256">
        <f>SUMIFS('Livro Diario - FC'!$M$11:$M1028,'Livro Diario - FC'!$E$11:$E1028,$C$56,'Livro Diario - FC'!$D$11:$D1028,"&gt;=01/01"&amp;$C$7,'Livro Diario - FC'!$D$11:$D1028,"&lt;=31/01"&amp;$C$7)</f>
        <v>116.1</v>
      </c>
      <c r="F56" s="273"/>
      <c r="G56" s="258"/>
      <c r="H56" s="157"/>
      <c r="I56" s="255">
        <f>SUMIFS('Livro Diario - FC'!$K$11:$K1028,'Livro Diario - FC'!$E$11:$E1028,$C$56,'Livro Diario - FC'!$D$11:$D1028,"&gt;=01/02"&amp;$C$7,'Livro Diario - FC'!$D$11:$D1028,"&lt;=29/02"&amp;$C$7)</f>
        <v>0</v>
      </c>
      <c r="J56" s="256">
        <f>SUMIFS('Livro Diario - FC'!$M$11:$M1028,'Livro Diario - FC'!$E$11:$E1028,$C$56,'Livro Diario - FC'!$D$11:$D1028,"&gt;=01/02"&amp;$C$7,'Livro Diario - FC'!$D$11:$D1028,"&lt;=29/02"&amp;$C$7)</f>
        <v>0</v>
      </c>
      <c r="K56" s="273"/>
      <c r="L56" s="258"/>
      <c r="M56" s="259"/>
      <c r="N56" s="255">
        <f>SUMIFS('Livro Diario - FC'!$K$11:$K1028,'Livro Diario - FC'!$E$11:$E1028,$C$56,'Livro Diario - FC'!$D$11:$D1028,"&gt;=01/03"&amp;$C$7,'Livro Diario - FC'!$D$11:$D1028,"&lt;=31/03"&amp;$C$7)</f>
        <v>0</v>
      </c>
      <c r="O56" s="256">
        <f>SUMIFS('Livro Diario - FC'!$M$11:$M1028,'Livro Diario - FC'!$E$11:$E1028,$C$56,'Livro Diario - FC'!$D$11:$D1028,"&gt;=01/03"&amp;$C$7,'Livro Diario - FC'!$D$11:$D1028,"&lt;=31/03"&amp;$C$7)</f>
        <v>0</v>
      </c>
      <c r="P56" s="273"/>
      <c r="Q56" s="258"/>
      <c r="R56" s="259"/>
      <c r="S56" s="255">
        <f>SUMIFS('Livro Diario - FC'!$K$11:$K1028,'Livro Diario - FC'!$E$11:$E1028,$C$56,'Livro Diario - FC'!$D$11:$D1028,"&gt;=01/04"&amp;$C$7,'Livro Diario - FC'!$D$11:$D1028,"&lt;=30/04"&amp;$C$7)</f>
        <v>0</v>
      </c>
      <c r="T56" s="256">
        <f>SUMIFS('Livro Diario - FC'!$M$11:$M1028,'Livro Diario - FC'!$E$11:$E1028,$C$56,'Livro Diario - FC'!$D$11:$D1028,"&gt;=01/04"&amp;$C$7,'Livro Diario - FC'!$D$11:$D1028,"&lt;=30/04"&amp;$C$7)</f>
        <v>0</v>
      </c>
      <c r="U56" s="273"/>
      <c r="V56" s="258"/>
      <c r="W56" s="259"/>
      <c r="X56" s="255">
        <f>SUMIFS('Livro Diario - FC'!$K$11:$K1028,'Livro Diario - FC'!$E$11:$E1028,$C$56,'Livro Diario - FC'!$D$11:$D1028,"&gt;=01/05"&amp;$C$7,'Livro Diario - FC'!$D$11:$D1028,"&lt;=31/05"&amp;$C$7)</f>
        <v>0</v>
      </c>
      <c r="Y56" s="256">
        <f>SUMIFS('Livro Diario - FC'!$M$11:$M1028,'Livro Diario - FC'!$E$11:$E1028,$C$56,'Livro Diario - FC'!$D$11:$D1028,"&gt;=01/05"&amp;$C$7,'Livro Diario - FC'!$D$11:$D1028,"&lt;=31/05"&amp;$C$7)</f>
        <v>0</v>
      </c>
      <c r="Z56" s="273"/>
      <c r="AA56" s="258"/>
      <c r="AB56" s="259"/>
      <c r="AC56" s="255">
        <f>SUMIFS('Livro Diario - FC'!$K$11:$K1028,'Livro Diario - FC'!$E$11:$E1028,$C$56,'Livro Diario - FC'!$D$11:$D1028,"&gt;=01/06"&amp;$C$7,'Livro Diario - FC'!$D$11:$D1028,"&lt;=30/06"&amp;$C$7)</f>
        <v>0</v>
      </c>
      <c r="AD56" s="256">
        <f>SUMIFS('Livro Diario - FC'!$M$11:$M1028,'Livro Diario - FC'!$E$11:$E1028,$C$56,'Livro Diario - FC'!$D$11:$D1028,"&gt;=01/06"&amp;$C$7,'Livro Diario - FC'!$D$11:$D1028,"&lt;=30/06"&amp;$C$7)</f>
        <v>0</v>
      </c>
      <c r="AE56" s="273"/>
      <c r="AF56" s="258"/>
      <c r="AG56" s="255">
        <f>SUMIFS('Livro Diario - FC'!$K$11:$K1028,'Livro Diario - FC'!$E$11:$E1028,$C$56,'Livro Diario - FC'!$D$11:$D1028,"&gt;=01/07"&amp;$C$7,'Livro Diario - FC'!$D$11:$D1028,"&lt;=31/07"&amp;$C$7)</f>
        <v>0</v>
      </c>
      <c r="AH56" s="256">
        <f>SUMIFS('Livro Diario - FC'!$M$11:$M1028,'Livro Diario - FC'!$E$11:$E1028,$C$56,'Livro Diario - FC'!$D$11:$D1028,"&gt;=01/07"&amp;$C$7,'Livro Diario - FC'!$D$11:$D1028,"&lt;=31/07"&amp;$C$7)</f>
        <v>0</v>
      </c>
      <c r="AI56" s="273"/>
      <c r="AJ56" s="258"/>
      <c r="AK56" s="255">
        <f>SUMIFS('Livro Diario - FC'!$K$11:$K1028,'Livro Diario - FC'!$E$11:$E1028,$C$56,'Livro Diario - FC'!$D$11:$D1028,"&gt;=01/08"&amp;$C$7,'Livro Diario - FC'!$D$11:$D1028,"&lt;=31/08"&amp;$C$7)</f>
        <v>0</v>
      </c>
      <c r="AL56" s="256">
        <f>SUMIFS('Livro Diario - FC'!$M$11:$M1028,'Livro Diario - FC'!$E$11:$E1028,$C$56,'Livro Diario - FC'!$D$11:$D1028,"&gt;=01/08"&amp;$C$7,'Livro Diario - FC'!$D$11:$D1028,"&lt;=31/08"&amp;$C$7)</f>
        <v>0</v>
      </c>
      <c r="AM56" s="273"/>
      <c r="AN56" s="258"/>
      <c r="AO56" s="255">
        <f>SUMIFS('Livro Diario - FC'!$K$11:$K1028,'Livro Diario - FC'!$E$11:$E1028,$C$56,'Livro Diario - FC'!$D$11:$D1028,"&gt;=01/09"&amp;$C$7,'Livro Diario - FC'!$D$11:$D1028,"&lt;=30/09"&amp;$C$7)</f>
        <v>0</v>
      </c>
      <c r="AP56" s="256">
        <f>SUMIFS('Livro Diario - FC'!$M$11:$M1028,'Livro Diario - FC'!$E$11:$E1028,$C$56,'Livro Diario - FC'!$D$11:$D1028,"&gt;=01/09"&amp;$C$7,'Livro Diario - FC'!$D$11:$D1028,"&lt;=30/09"&amp;$C$7)</f>
        <v>0</v>
      </c>
      <c r="AQ56" s="273"/>
      <c r="AR56" s="258"/>
      <c r="AS56" s="255">
        <f>SUMIFS('Livro Diario - FC'!$K$11:$K1028,'Livro Diario - FC'!$E$11:$E1028,$C$56,'Livro Diario - FC'!$D$11:$D1028,"&gt;=01/10"&amp;$C$7,'Livro Diario - FC'!$D$11:$D1028,"&lt;=31/10"&amp;$C$7)</f>
        <v>0</v>
      </c>
      <c r="AT56" s="256">
        <f>SUMIFS('Livro Diario - FC'!$M$11:$M1028,'Livro Diario - FC'!$E$11:$E1028,$C$56,'Livro Diario - FC'!$D$11:$D1028,"&gt;=01/10"&amp;$C$7,'Livro Diario - FC'!$D$11:$D1028,"&lt;=31/10"&amp;$C$7)</f>
        <v>0</v>
      </c>
      <c r="AU56" s="273"/>
      <c r="AV56" s="258"/>
      <c r="AW56" s="255">
        <f>SUMIFS('Livro Diario - FC'!$K$11:$K1028,'Livro Diario - FC'!$E$11:$E1028,$C$56,'Livro Diario - FC'!$D$11:$D1028,"&gt;=01/11"&amp;$C$7,'Livro Diario - FC'!$D$11:$D1028,"&lt;=30/11"&amp;$C$7)</f>
        <v>0</v>
      </c>
      <c r="AX56" s="256">
        <f>SUMIFS('Livro Diario - FC'!$M$11:$M1028,'Livro Diario - FC'!$E$11:$E1028,$C$56,'Livro Diario - FC'!$D$11:$D1028,"&gt;=01/11"&amp;$C$7,'Livro Diario - FC'!$D$11:$D1028,"&lt;=30/11"&amp;$C$7)</f>
        <v>0</v>
      </c>
      <c r="AY56" s="273"/>
      <c r="AZ56" s="258"/>
      <c r="BA56" s="255">
        <f>SUMIFS('Livro Diario - FC'!$K$11:$K1028,'Livro Diario - FC'!$E$11:$E1028,$C$56,'Livro Diario - FC'!$D$11:$D1028,"&gt;=01/12"&amp;$C$7,'Livro Diario - FC'!$D$11:$D1028,"&lt;=31/12"&amp;$C$7)</f>
        <v>0</v>
      </c>
      <c r="BB56" s="256">
        <f>SUMIFS('Livro Diario - FC'!$M$11:$M1028,'Livro Diario - FC'!$E$11:$E1028,$C$56,'Livro Diario - FC'!$D$11:$D1028,"&gt;=01/12"&amp;$C$7,'Livro Diario - FC'!$D$11:$D1028,"&lt;=31/12"&amp;$C$7)</f>
        <v>0</v>
      </c>
      <c r="BC56" s="273"/>
      <c r="BD56" s="273"/>
      <c r="BE56" s="267">
        <f t="shared" ref="BE56:BF56" si="157">SUM(D56,I56,N56,S56,X56,AC56,AG56,AK56,AO56,AS56,AW56,BA56)</f>
        <v>116.1</v>
      </c>
      <c r="BF56" s="268">
        <f t="shared" si="157"/>
        <v>116.1</v>
      </c>
      <c r="BG56" s="269"/>
      <c r="BH56" s="192"/>
      <c r="BI56" s="270">
        <f>SUMIFS('Livro Diario - FC'!$M$11:$M1028,'Livro Diario - FC'!$E$11:$E1028,C56,'Livro Diario - FC'!$D$11:$D1028,"&gt;="&amp;$BK$8,'Livro Diario - FC'!$D$11:$D1028,"&lt;="&amp;$BK$9)</f>
        <v>0</v>
      </c>
      <c r="BJ56" s="271"/>
      <c r="BK56" s="272"/>
      <c r="BL56" s="1"/>
    </row>
    <row r="57">
      <c r="A57" s="1"/>
      <c r="B57" s="1"/>
      <c r="C57" s="338" t="str">
        <f>'Livro Diario - FC'!AE60</f>
        <v>Café</v>
      </c>
      <c r="D57" s="255">
        <f>SUMIFS('Livro Diario - FC'!$K$11:$K1028,'Livro Diario - FC'!$E$11:$E1028,$C$57,'Livro Diario - FC'!$D$11:$D1028,"&gt;=01/01"&amp;$C$7,'Livro Diario - FC'!$D$11:$D1028,"&lt;=31/01"&amp;$C$7)</f>
        <v>111.08</v>
      </c>
      <c r="E57" s="256">
        <f>SUMIFS('Livro Diario - FC'!$M$11:$M1028,'Livro Diario - FC'!$E$11:$E1028,$C$57,'Livro Diario - FC'!$D$11:$D1028,"&gt;=01/01"&amp;$C$7,'Livro Diario - FC'!$D$11:$D1028,"&lt;=31/01"&amp;$C$7)</f>
        <v>111.08</v>
      </c>
      <c r="F57" s="273"/>
      <c r="G57" s="258"/>
      <c r="H57" s="157"/>
      <c r="I57" s="255">
        <f>SUMIFS('Livro Diario - FC'!$K$11:$K1028,'Livro Diario - FC'!$E$11:$E1028,$C$57,'Livro Diario - FC'!$D$11:$D1028,"&gt;=01/02"&amp;$C$7,'Livro Diario - FC'!$D$11:$D1028,"&lt;=29/02"&amp;$C$7)</f>
        <v>0</v>
      </c>
      <c r="J57" s="256">
        <f>SUMIFS('Livro Diario - FC'!$M$11:$M1028,'Livro Diario - FC'!$E$11:$E1028,$C$57,'Livro Diario - FC'!$D$11:$D1028,"&gt;=01/02"&amp;$C$7,'Livro Diario - FC'!$D$11:$D1028,"&lt;=29/02"&amp;$C$7)</f>
        <v>0</v>
      </c>
      <c r="K57" s="273"/>
      <c r="L57" s="258"/>
      <c r="M57" s="259"/>
      <c r="N57" s="255">
        <f>SUMIFS('Livro Diario - FC'!$K$11:$K1028,'Livro Diario - FC'!$E$11:$E1028,$C$57,'Livro Diario - FC'!$D$11:$D1028,"&gt;=01/03"&amp;$C$7,'Livro Diario - FC'!$D$11:$D1028,"&lt;=31/03"&amp;$C$7)</f>
        <v>0</v>
      </c>
      <c r="O57" s="256">
        <f>SUMIFS('Livro Diario - FC'!$M$11:$M1028,'Livro Diario - FC'!$E$11:$E1028,$C$57,'Livro Diario - FC'!$D$11:$D1028,"&gt;=01/03"&amp;$C$7,'Livro Diario - FC'!$D$11:$D1028,"&lt;=31/03"&amp;$C$7)</f>
        <v>0</v>
      </c>
      <c r="P57" s="273"/>
      <c r="Q57" s="258"/>
      <c r="R57" s="259"/>
      <c r="S57" s="255">
        <f>SUMIFS('Livro Diario - FC'!$K$11:$K1028,'Livro Diario - FC'!$E$11:$E1028,$C$57,'Livro Diario - FC'!$D$11:$D1028,"&gt;=01/04"&amp;$C$7,'Livro Diario - FC'!$D$11:$D1028,"&lt;=30/04"&amp;$C$7)</f>
        <v>0</v>
      </c>
      <c r="T57" s="256">
        <f>SUMIFS('Livro Diario - FC'!$M$11:$M1028,'Livro Diario - FC'!$E$11:$E1028,$C$57,'Livro Diario - FC'!$D$11:$D1028,"&gt;=01/04"&amp;$C$7,'Livro Diario - FC'!$D$11:$D1028,"&lt;=30/04"&amp;$C$7)</f>
        <v>0</v>
      </c>
      <c r="U57" s="273"/>
      <c r="V57" s="258"/>
      <c r="W57" s="259"/>
      <c r="X57" s="255">
        <f>SUMIFS('Livro Diario - FC'!$K$11:$K1028,'Livro Diario - FC'!$E$11:$E1028,$C$57,'Livro Diario - FC'!$D$11:$D1028,"&gt;=01/05"&amp;$C$7,'Livro Diario - FC'!$D$11:$D1028,"&lt;=31/05"&amp;$C$7)</f>
        <v>0</v>
      </c>
      <c r="Y57" s="256">
        <f>SUMIFS('Livro Diario - FC'!$M$11:$M1028,'Livro Diario - FC'!$E$11:$E1028,$C$57,'Livro Diario - FC'!$D$11:$D1028,"&gt;=01/05"&amp;$C$7,'Livro Diario - FC'!$D$11:$D1028,"&lt;=31/05"&amp;$C$7)</f>
        <v>0</v>
      </c>
      <c r="Z57" s="273"/>
      <c r="AA57" s="258"/>
      <c r="AB57" s="259"/>
      <c r="AC57" s="255">
        <f>SUMIFS('Livro Diario - FC'!$K$11:$K1028,'Livro Diario - FC'!$E$11:$E1028,$C$57,'Livro Diario - FC'!$D$11:$D1028,"&gt;=01/06"&amp;$C$7,'Livro Diario - FC'!$D$11:$D1028,"&lt;=30/06"&amp;$C$7)</f>
        <v>0</v>
      </c>
      <c r="AD57" s="256">
        <f>SUMIFS('Livro Diario - FC'!$M$11:$M1028,'Livro Diario - FC'!$E$11:$E1028,$C$57,'Livro Diario - FC'!$D$11:$D1028,"&gt;=01/06"&amp;$C$7,'Livro Diario - FC'!$D$11:$D1028,"&lt;=30/06"&amp;$C$7)</f>
        <v>0</v>
      </c>
      <c r="AE57" s="273"/>
      <c r="AF57" s="258"/>
      <c r="AG57" s="255">
        <f>SUMIFS('Livro Diario - FC'!$K$11:$K1028,'Livro Diario - FC'!$E$11:$E1028,$C$57,'Livro Diario - FC'!$D$11:$D1028,"&gt;=01/07"&amp;$C$7,'Livro Diario - FC'!$D$11:$D1028,"&lt;=31/07"&amp;$C$7)</f>
        <v>0</v>
      </c>
      <c r="AH57" s="256">
        <f>SUMIFS('Livro Diario - FC'!$M$11:$M1028,'Livro Diario - FC'!$E$11:$E1028,$C$57,'Livro Diario - FC'!$D$11:$D1028,"&gt;=01/07"&amp;$C$7,'Livro Diario - FC'!$D$11:$D1028,"&lt;=31/07"&amp;$C$7)</f>
        <v>0</v>
      </c>
      <c r="AI57" s="273"/>
      <c r="AJ57" s="258"/>
      <c r="AK57" s="255">
        <f>SUMIFS('Livro Diario - FC'!$K$11:$K1028,'Livro Diario - FC'!$E$11:$E1028,$C$57,'Livro Diario - FC'!$D$11:$D1028,"&gt;=01/08"&amp;$C$7,'Livro Diario - FC'!$D$11:$D1028,"&lt;=31/08"&amp;$C$7)</f>
        <v>0</v>
      </c>
      <c r="AL57" s="256">
        <f>SUMIFS('Livro Diario - FC'!$M$11:$M1028,'Livro Diario - FC'!$E$11:$E1028,$C$57,'Livro Diario - FC'!$D$11:$D1028,"&gt;=01/08"&amp;$C$7,'Livro Diario - FC'!$D$11:$D1028,"&lt;=31/08"&amp;$C$7)</f>
        <v>0</v>
      </c>
      <c r="AM57" s="273"/>
      <c r="AN57" s="258"/>
      <c r="AO57" s="255">
        <f>SUMIFS('Livro Diario - FC'!$K$11:$K1028,'Livro Diario - FC'!$E$11:$E1028,$C$57,'Livro Diario - FC'!$D$11:$D1028,"&gt;=01/09"&amp;$C$7,'Livro Diario - FC'!$D$11:$D1028,"&lt;=30/09"&amp;$C$7)</f>
        <v>0</v>
      </c>
      <c r="AP57" s="256">
        <f>SUMIFS('Livro Diario - FC'!$M$11:$M1028,'Livro Diario - FC'!$E$11:$E1028,$C$57,'Livro Diario - FC'!$D$11:$D1028,"&gt;=01/09"&amp;$C$7,'Livro Diario - FC'!$D$11:$D1028,"&lt;=30/09"&amp;$C$7)</f>
        <v>0</v>
      </c>
      <c r="AQ57" s="273"/>
      <c r="AR57" s="258"/>
      <c r="AS57" s="255">
        <f>SUMIFS('Livro Diario - FC'!$K$11:$K1028,'Livro Diario - FC'!$E$11:$E1028,$C$57,'Livro Diario - FC'!$D$11:$D1028,"&gt;=01/10"&amp;$C$7,'Livro Diario - FC'!$D$11:$D1028,"&lt;=31/10"&amp;$C$7)</f>
        <v>0</v>
      </c>
      <c r="AT57" s="256">
        <f>SUMIFS('Livro Diario - FC'!$M$11:$M1028,'Livro Diario - FC'!$E$11:$E1028,$C$57,'Livro Diario - FC'!$D$11:$D1028,"&gt;=01/10"&amp;$C$7,'Livro Diario - FC'!$D$11:$D1028,"&lt;=31/10"&amp;$C$7)</f>
        <v>0</v>
      </c>
      <c r="AU57" s="273"/>
      <c r="AV57" s="258"/>
      <c r="AW57" s="255">
        <f>SUMIFS('Livro Diario - FC'!$K$11:$K1028,'Livro Diario - FC'!$E$11:$E1028,$C$57,'Livro Diario - FC'!$D$11:$D1028,"&gt;=01/11"&amp;$C$7,'Livro Diario - FC'!$D$11:$D1028,"&lt;=30/11"&amp;$C$7)</f>
        <v>0</v>
      </c>
      <c r="AX57" s="256">
        <f>SUMIFS('Livro Diario - FC'!$M$11:$M1028,'Livro Diario - FC'!$E$11:$E1028,$C$57,'Livro Diario - FC'!$D$11:$D1028,"&gt;=01/11"&amp;$C$7,'Livro Diario - FC'!$D$11:$D1028,"&lt;=30/11"&amp;$C$7)</f>
        <v>0</v>
      </c>
      <c r="AY57" s="273"/>
      <c r="AZ57" s="258"/>
      <c r="BA57" s="255">
        <f>SUMIFS('Livro Diario - FC'!$K$11:$K1028,'Livro Diario - FC'!$E$11:$E1028,$C$57,'Livro Diario - FC'!$D$11:$D1028,"&gt;=01/12"&amp;$C$7,'Livro Diario - FC'!$D$11:$D1028,"&lt;=31/12"&amp;$C$7)</f>
        <v>0</v>
      </c>
      <c r="BB57" s="256">
        <f>SUMIFS('Livro Diario - FC'!$M$11:$M1028,'Livro Diario - FC'!$E$11:$E1028,$C$57,'Livro Diario - FC'!$D$11:$D1028,"&gt;=01/12"&amp;$C$7,'Livro Diario - FC'!$D$11:$D1028,"&lt;=31/12"&amp;$C$7)</f>
        <v>0</v>
      </c>
      <c r="BC57" s="273"/>
      <c r="BD57" s="273"/>
      <c r="BE57" s="267">
        <f t="shared" ref="BE57:BF57" si="158">SUM(D57,I57,N57,S57,X57,AC57,AG57,AK57,AO57,AS57,AW57,BA57)</f>
        <v>111.08</v>
      </c>
      <c r="BF57" s="268">
        <f t="shared" si="158"/>
        <v>111.08</v>
      </c>
      <c r="BG57" s="269"/>
      <c r="BH57" s="192"/>
      <c r="BI57" s="270">
        <f>SUMIFS('Livro Diario - FC'!$M$11:$M1028,'Livro Diario - FC'!$E$11:$E1028,C57,'Livro Diario - FC'!$D$11:$D1028,"&gt;="&amp;$BK$8,'Livro Diario - FC'!$D$11:$D1028,"&lt;="&amp;$BK$9)</f>
        <v>0</v>
      </c>
      <c r="BJ57" s="271"/>
      <c r="BK57" s="272"/>
      <c r="BL57" s="1"/>
    </row>
    <row r="58">
      <c r="A58" s="1"/>
      <c r="B58" s="1"/>
      <c r="C58" s="338" t="str">
        <f>'Livro Diario - FC'!AE61</f>
        <v>Queijo Ralado</v>
      </c>
      <c r="D58" s="255">
        <f>SUMIFS('Livro Diario - FC'!$K$11:$K1028,'Livro Diario - FC'!$E$11:$E1028,$C$58,'Livro Diario - FC'!$D$11:$D1028,"&gt;=01/01"&amp;$C$7,'Livro Diario - FC'!$D$11:$D1028,"&lt;=31/01"&amp;$C$7)</f>
        <v>85.67</v>
      </c>
      <c r="E58" s="256">
        <f>SUMIFS('Livro Diario - FC'!$M$11:$M1028,'Livro Diario - FC'!$E$11:$E1028,$C$58,'Livro Diario - FC'!$D$11:$D1028,"&gt;=01/01"&amp;$C$7,'Livro Diario - FC'!$D$11:$D1028,"&lt;=31/01"&amp;$C$7)</f>
        <v>85.67</v>
      </c>
      <c r="F58" s="273"/>
      <c r="G58" s="258"/>
      <c r="H58" s="157"/>
      <c r="I58" s="255">
        <f>SUMIFS('Livro Diario - FC'!$K$11:$K1028,'Livro Diario - FC'!$E$11:$E1028,$C$58,'Livro Diario - FC'!$D$11:$D1028,"&gt;=01/02"&amp;$C$7,'Livro Diario - FC'!$D$11:$D1028,"&lt;=29/02"&amp;$C$7)</f>
        <v>0</v>
      </c>
      <c r="J58" s="256">
        <f>SUMIFS('Livro Diario - FC'!$M$11:$M1028,'Livro Diario - FC'!$E$11:$E1028,$C$58,'Livro Diario - FC'!$D$11:$D1028,"&gt;=01/02"&amp;$C$7,'Livro Diario - FC'!$D$11:$D1028,"&lt;=29/02"&amp;$C$7)</f>
        <v>0</v>
      </c>
      <c r="K58" s="273"/>
      <c r="L58" s="258"/>
      <c r="M58" s="259"/>
      <c r="N58" s="255">
        <f>SUMIFS('Livro Diario - FC'!$K$11:$K1028,'Livro Diario - FC'!$E$11:$E1028,$C$58,'Livro Diario - FC'!$D$11:$D1028,"&gt;=01/03"&amp;$C$7,'Livro Diario - FC'!$D$11:$D1028,"&lt;=31/03"&amp;$C$7)</f>
        <v>0</v>
      </c>
      <c r="O58" s="256">
        <f>SUMIFS('Livro Diario - FC'!$M$11:$M1028,'Livro Diario - FC'!$E$11:$E1028,$C$58,'Livro Diario - FC'!$D$11:$D1028,"&gt;=01/03"&amp;$C$7,'Livro Diario - FC'!$D$11:$D1028,"&lt;=31/03"&amp;$C$7)</f>
        <v>0</v>
      </c>
      <c r="P58" s="273"/>
      <c r="Q58" s="258"/>
      <c r="R58" s="259"/>
      <c r="S58" s="255">
        <f>SUMIFS('Livro Diario - FC'!$K$11:$K1028,'Livro Diario - FC'!$E$11:$E1028,$C$58,'Livro Diario - FC'!$D$11:$D1028,"&gt;=01/04"&amp;$C$7,'Livro Diario - FC'!$D$11:$D1028,"&lt;=30/04"&amp;$C$7)</f>
        <v>0</v>
      </c>
      <c r="T58" s="256">
        <f>SUMIFS('Livro Diario - FC'!$M$11:$M1028,'Livro Diario - FC'!$E$11:$E1028,$C$58,'Livro Diario - FC'!$D$11:$D1028,"&gt;=01/04"&amp;$C$7,'Livro Diario - FC'!$D$11:$D1028,"&lt;=30/04"&amp;$C$7)</f>
        <v>0</v>
      </c>
      <c r="U58" s="273"/>
      <c r="V58" s="258"/>
      <c r="W58" s="259"/>
      <c r="X58" s="255">
        <f>SUMIFS('Livro Diario - FC'!$K$11:$K1028,'Livro Diario - FC'!$E$11:$E1028,$C$58,'Livro Diario - FC'!$D$11:$D1028,"&gt;=01/05"&amp;$C$7,'Livro Diario - FC'!$D$11:$D1028,"&lt;=31/05"&amp;$C$7)</f>
        <v>0</v>
      </c>
      <c r="Y58" s="256">
        <f>SUMIFS('Livro Diario - FC'!$M$11:$M1028,'Livro Diario - FC'!$E$11:$E1028,$C$58,'Livro Diario - FC'!$D$11:$D1028,"&gt;=01/05"&amp;$C$7,'Livro Diario - FC'!$D$11:$D1028,"&lt;=31/05"&amp;$C$7)</f>
        <v>0</v>
      </c>
      <c r="Z58" s="273"/>
      <c r="AA58" s="258"/>
      <c r="AB58" s="259"/>
      <c r="AC58" s="255">
        <f>SUMIFS('Livro Diario - FC'!$K$11:$K1028,'Livro Diario - FC'!$E$11:$E1028,$C$58,'Livro Diario - FC'!$D$11:$D1028,"&gt;=01/06"&amp;$C$7,'Livro Diario - FC'!$D$11:$D1028,"&lt;=30/06"&amp;$C$7)</f>
        <v>0</v>
      </c>
      <c r="AD58" s="256">
        <f>SUMIFS('Livro Diario - FC'!$M$11:$M1028,'Livro Diario - FC'!$E$11:$E1028,$C$58,'Livro Diario - FC'!$D$11:$D1028,"&gt;=01/06"&amp;$C$7,'Livro Diario - FC'!$D$11:$D1028,"&lt;=30/06"&amp;$C$7)</f>
        <v>0</v>
      </c>
      <c r="AE58" s="273"/>
      <c r="AF58" s="258"/>
      <c r="AG58" s="255">
        <f>SUMIFS('Livro Diario - FC'!$K$11:$K1028,'Livro Diario - FC'!$E$11:$E1028,$C$58,'Livro Diario - FC'!$D$11:$D1028,"&gt;=01/07"&amp;$C$7,'Livro Diario - FC'!$D$11:$D1028,"&lt;=31/07"&amp;$C$7)</f>
        <v>0</v>
      </c>
      <c r="AH58" s="256">
        <f>SUMIFS('Livro Diario - FC'!$M$11:$M1028,'Livro Diario - FC'!$E$11:$E1028,$C$58,'Livro Diario - FC'!$D$11:$D1028,"&gt;=01/07"&amp;$C$7,'Livro Diario - FC'!$D$11:$D1028,"&lt;=31/07"&amp;$C$7)</f>
        <v>0</v>
      </c>
      <c r="AI58" s="273"/>
      <c r="AJ58" s="258"/>
      <c r="AK58" s="255">
        <f>SUMIFS('Livro Diario - FC'!$K$11:$K1028,'Livro Diario - FC'!$E$11:$E1028,$C$58,'Livro Diario - FC'!$D$11:$D1028,"&gt;=01/08"&amp;$C$7,'Livro Diario - FC'!$D$11:$D1028,"&lt;=31/08"&amp;$C$7)</f>
        <v>0</v>
      </c>
      <c r="AL58" s="256">
        <f>SUMIFS('Livro Diario - FC'!$M$11:$M1028,'Livro Diario - FC'!$E$11:$E1028,$C$58,'Livro Diario - FC'!$D$11:$D1028,"&gt;=01/08"&amp;$C$7,'Livro Diario - FC'!$D$11:$D1028,"&lt;=31/08"&amp;$C$7)</f>
        <v>0</v>
      </c>
      <c r="AM58" s="273"/>
      <c r="AN58" s="258"/>
      <c r="AO58" s="255">
        <f>SUMIFS('Livro Diario - FC'!$K$11:$K1028,'Livro Diario - FC'!$E$11:$E1028,$C$58,'Livro Diario - FC'!$D$11:$D1028,"&gt;=01/09"&amp;$C$7,'Livro Diario - FC'!$D$11:$D1028,"&lt;=30/09"&amp;$C$7)</f>
        <v>0</v>
      </c>
      <c r="AP58" s="256">
        <f>SUMIFS('Livro Diario - FC'!$M$11:$M1028,'Livro Diario - FC'!$E$11:$E1028,$C$58,'Livro Diario - FC'!$D$11:$D1028,"&gt;=01/09"&amp;$C$7,'Livro Diario - FC'!$D$11:$D1028,"&lt;=30/09"&amp;$C$7)</f>
        <v>0</v>
      </c>
      <c r="AQ58" s="273"/>
      <c r="AR58" s="258"/>
      <c r="AS58" s="255">
        <f>SUMIFS('Livro Diario - FC'!$K$11:$K1028,'Livro Diario - FC'!$E$11:$E1028,$C$58,'Livro Diario - FC'!$D$11:$D1028,"&gt;=01/10"&amp;$C$7,'Livro Diario - FC'!$D$11:$D1028,"&lt;=31/10"&amp;$C$7)</f>
        <v>0</v>
      </c>
      <c r="AT58" s="256">
        <f>SUMIFS('Livro Diario - FC'!$M$11:$M1028,'Livro Diario - FC'!$E$11:$E1028,$C$58,'Livro Diario - FC'!$D$11:$D1028,"&gt;=01/10"&amp;$C$7,'Livro Diario - FC'!$D$11:$D1028,"&lt;=31/10"&amp;$C$7)</f>
        <v>0</v>
      </c>
      <c r="AU58" s="273"/>
      <c r="AV58" s="258"/>
      <c r="AW58" s="255">
        <f>SUMIFS('Livro Diario - FC'!$K$11:$K1028,'Livro Diario - FC'!$E$11:$E1028,$C$58,'Livro Diario - FC'!$D$11:$D1028,"&gt;=01/11"&amp;$C$7,'Livro Diario - FC'!$D$11:$D1028,"&lt;=30/11"&amp;$C$7)</f>
        <v>0</v>
      </c>
      <c r="AX58" s="256">
        <f>SUMIFS('Livro Diario - FC'!$M$11:$M1028,'Livro Diario - FC'!$E$11:$E1028,$C$58,'Livro Diario - FC'!$D$11:$D1028,"&gt;=01/11"&amp;$C$7,'Livro Diario - FC'!$D$11:$D1028,"&lt;=30/11"&amp;$C$7)</f>
        <v>0</v>
      </c>
      <c r="AY58" s="273"/>
      <c r="AZ58" s="258"/>
      <c r="BA58" s="255">
        <f>SUMIFS('Livro Diario - FC'!$K$11:$K1028,'Livro Diario - FC'!$E$11:$E1028,$C$58,'Livro Diario - FC'!$D$11:$D1028,"&gt;=01/12"&amp;$C$7,'Livro Diario - FC'!$D$11:$D1028,"&lt;=31/12"&amp;$C$7)</f>
        <v>0</v>
      </c>
      <c r="BB58" s="256">
        <f>SUMIFS('Livro Diario - FC'!$M$11:$M1028,'Livro Diario - FC'!$E$11:$E1028,$C$58,'Livro Diario - FC'!$D$11:$D1028,"&gt;=01/12"&amp;$C$7,'Livro Diario - FC'!$D$11:$D1028,"&lt;=31/12"&amp;$C$7)</f>
        <v>0</v>
      </c>
      <c r="BC58" s="273"/>
      <c r="BD58" s="273"/>
      <c r="BE58" s="267">
        <f t="shared" ref="BE58:BF58" si="159">SUM(D58,I58,N58,S58,X58,AC58,AG58,AK58,AO58,AS58,AW58,BA58)</f>
        <v>85.67</v>
      </c>
      <c r="BF58" s="268">
        <f t="shared" si="159"/>
        <v>85.67</v>
      </c>
      <c r="BG58" s="269"/>
      <c r="BH58" s="192"/>
      <c r="BI58" s="270">
        <f>SUMIFS('Livro Diario - FC'!$M$11:$M1028,'Livro Diario - FC'!$E$11:$E1028,C58,'Livro Diario - FC'!$D$11:$D1028,"&gt;="&amp;$BK$8,'Livro Diario - FC'!$D$11:$D1028,"&lt;="&amp;$BK$9)</f>
        <v>0</v>
      </c>
      <c r="BJ58" s="271"/>
      <c r="BK58" s="272"/>
      <c r="BL58" s="1"/>
    </row>
    <row r="59">
      <c r="A59" s="1"/>
      <c r="B59" s="1"/>
      <c r="C59" s="338" t="str">
        <f>'Livro Diario - FC'!AE62</f>
        <v>Batata Palito</v>
      </c>
      <c r="D59" s="255">
        <f>SUMIFS('Livro Diario - FC'!$K$11:$K1028,'Livro Diario - FC'!$E$11:$E1028,$C$59,'Livro Diario - FC'!$D$11:$D1028,"&gt;=01/01"&amp;$C$7,'Livro Diario - FC'!$D$11:$D1028,"&lt;=31/01"&amp;$C$7)</f>
        <v>673</v>
      </c>
      <c r="E59" s="256">
        <f>SUMIFS('Livro Diario - FC'!$M$11:$M1028,'Livro Diario - FC'!$E$11:$E1028,$C$59,'Livro Diario - FC'!$D$11:$D1028,"&gt;=01/01"&amp;$C$7,'Livro Diario - FC'!$D$11:$D1028,"&lt;=31/01"&amp;$C$7)</f>
        <v>673</v>
      </c>
      <c r="F59" s="273"/>
      <c r="G59" s="258"/>
      <c r="H59" s="157"/>
      <c r="I59" s="255">
        <f>SUMIFS('Livro Diario - FC'!$K$11:$K1028,'Livro Diario - FC'!$E$11:$E1028,$C$59,'Livro Diario - FC'!$D$11:$D1028,"&gt;=01/02"&amp;$C$7,'Livro Diario - FC'!$D$11:$D1028,"&lt;=29/02"&amp;$C$7)</f>
        <v>0</v>
      </c>
      <c r="J59" s="256">
        <f>SUMIFS('Livro Diario - FC'!$M$11:$M1028,'Livro Diario - FC'!$E$11:$E1028,$C$59,'Livro Diario - FC'!$D$11:$D1028,"&gt;=01/02"&amp;$C$7,'Livro Diario - FC'!$D$11:$D1028,"&lt;=29/02"&amp;$C$7)</f>
        <v>0</v>
      </c>
      <c r="K59" s="273"/>
      <c r="L59" s="258"/>
      <c r="M59" s="259"/>
      <c r="N59" s="255">
        <f>SUMIFS('Livro Diario - FC'!$K$11:$K1028,'Livro Diario - FC'!$E$11:$E1028,$C$59,'Livro Diario - FC'!$D$11:$D1028,"&gt;=01/03"&amp;$C$7,'Livro Diario - FC'!$D$11:$D1028,"&lt;=31/03"&amp;$C$7)</f>
        <v>0</v>
      </c>
      <c r="O59" s="256">
        <f>SUMIFS('Livro Diario - FC'!$M$11:$M1028,'Livro Diario - FC'!$E$11:$E1028,$C$59,'Livro Diario - FC'!$D$11:$D1028,"&gt;=01/03"&amp;$C$7,'Livro Diario - FC'!$D$11:$D1028,"&lt;=31/03"&amp;$C$7)</f>
        <v>0</v>
      </c>
      <c r="P59" s="273"/>
      <c r="Q59" s="258"/>
      <c r="R59" s="259"/>
      <c r="S59" s="255">
        <f>SUMIFS('Livro Diario - FC'!$K$11:$K1028,'Livro Diario - FC'!$E$11:$E1028,$C$59,'Livro Diario - FC'!$D$11:$D1028,"&gt;=01/04"&amp;$C$7,'Livro Diario - FC'!$D$11:$D1028,"&lt;=30/04"&amp;$C$7)</f>
        <v>0</v>
      </c>
      <c r="T59" s="256">
        <f>SUMIFS('Livro Diario - FC'!$M$11:$M1028,'Livro Diario - FC'!$E$11:$E1028,$C$59,'Livro Diario - FC'!$D$11:$D1028,"&gt;=01/04"&amp;$C$7,'Livro Diario - FC'!$D$11:$D1028,"&lt;=30/04"&amp;$C$7)</f>
        <v>0</v>
      </c>
      <c r="U59" s="273"/>
      <c r="V59" s="258"/>
      <c r="W59" s="259"/>
      <c r="X59" s="255">
        <f>SUMIFS('Livro Diario - FC'!$K$11:$K1028,'Livro Diario - FC'!$E$11:$E1028,$C$59,'Livro Diario - FC'!$D$11:$D1028,"&gt;=01/05"&amp;$C$7,'Livro Diario - FC'!$D$11:$D1028,"&lt;=31/05"&amp;$C$7)</f>
        <v>0</v>
      </c>
      <c r="Y59" s="256">
        <f>SUMIFS('Livro Diario - FC'!$M$11:$M1028,'Livro Diario - FC'!$E$11:$E1028,$C$59,'Livro Diario - FC'!$D$11:$D1028,"&gt;=01/05"&amp;$C$7,'Livro Diario - FC'!$D$11:$D1028,"&lt;=31/05"&amp;$C$7)</f>
        <v>0</v>
      </c>
      <c r="Z59" s="273"/>
      <c r="AA59" s="258"/>
      <c r="AB59" s="259"/>
      <c r="AC59" s="255">
        <f>SUMIFS('Livro Diario - FC'!$K$11:$K1028,'Livro Diario - FC'!$E$11:$E1028,$C$59,'Livro Diario - FC'!$D$11:$D1028,"&gt;=01/06"&amp;$C$7,'Livro Diario - FC'!$D$11:$D1028,"&lt;=30/06"&amp;$C$7)</f>
        <v>0</v>
      </c>
      <c r="AD59" s="256">
        <f>SUMIFS('Livro Diario - FC'!$M$11:$M1028,'Livro Diario - FC'!$E$11:$E1028,$C$59,'Livro Diario - FC'!$D$11:$D1028,"&gt;=01/06"&amp;$C$7,'Livro Diario - FC'!$D$11:$D1028,"&lt;=30/06"&amp;$C$7)</f>
        <v>0</v>
      </c>
      <c r="AE59" s="273"/>
      <c r="AF59" s="258"/>
      <c r="AG59" s="255">
        <f>SUMIFS('Livro Diario - FC'!$K$11:$K1028,'Livro Diario - FC'!$E$11:$E1028,$C$59,'Livro Diario - FC'!$D$11:$D1028,"&gt;=01/07"&amp;$C$7,'Livro Diario - FC'!$D$11:$D1028,"&lt;=31/07"&amp;$C$7)</f>
        <v>0</v>
      </c>
      <c r="AH59" s="256">
        <f>SUMIFS('Livro Diario - FC'!$M$11:$M1028,'Livro Diario - FC'!$E$11:$E1028,$C$59,'Livro Diario - FC'!$D$11:$D1028,"&gt;=01/07"&amp;$C$7,'Livro Diario - FC'!$D$11:$D1028,"&lt;=31/07"&amp;$C$7)</f>
        <v>0</v>
      </c>
      <c r="AI59" s="273"/>
      <c r="AJ59" s="258"/>
      <c r="AK59" s="255">
        <f>SUMIFS('Livro Diario - FC'!$K$11:$K1028,'Livro Diario - FC'!$E$11:$E1028,$C$59,'Livro Diario - FC'!$D$11:$D1028,"&gt;=01/08"&amp;$C$7,'Livro Diario - FC'!$D$11:$D1028,"&lt;=31/08"&amp;$C$7)</f>
        <v>0</v>
      </c>
      <c r="AL59" s="256">
        <f>SUMIFS('Livro Diario - FC'!$M$11:$M1028,'Livro Diario - FC'!$E$11:$E1028,$C$59,'Livro Diario - FC'!$D$11:$D1028,"&gt;=01/08"&amp;$C$7,'Livro Diario - FC'!$D$11:$D1028,"&lt;=31/08"&amp;$C$7)</f>
        <v>0</v>
      </c>
      <c r="AM59" s="273"/>
      <c r="AN59" s="258"/>
      <c r="AO59" s="255">
        <f>SUMIFS('Livro Diario - FC'!$K$11:$K1028,'Livro Diario - FC'!$E$11:$E1028,$C$59,'Livro Diario - FC'!$D$11:$D1028,"&gt;=01/09"&amp;$C$7,'Livro Diario - FC'!$D$11:$D1028,"&lt;=30/09"&amp;$C$7)</f>
        <v>0</v>
      </c>
      <c r="AP59" s="256">
        <f>SUMIFS('Livro Diario - FC'!$M$11:$M1028,'Livro Diario - FC'!$E$11:$E1028,$C$59,'Livro Diario - FC'!$D$11:$D1028,"&gt;=01/09"&amp;$C$7,'Livro Diario - FC'!$D$11:$D1028,"&lt;=30/09"&amp;$C$7)</f>
        <v>0</v>
      </c>
      <c r="AQ59" s="273"/>
      <c r="AR59" s="258"/>
      <c r="AS59" s="255">
        <f>SUMIFS('Livro Diario - FC'!$K$11:$K1028,'Livro Diario - FC'!$E$11:$E1028,$C$59,'Livro Diario - FC'!$D$11:$D1028,"&gt;=01/10"&amp;$C$7,'Livro Diario - FC'!$D$11:$D1028,"&lt;=31/10"&amp;$C$7)</f>
        <v>0</v>
      </c>
      <c r="AT59" s="256">
        <f>SUMIFS('Livro Diario - FC'!$M$11:$M1028,'Livro Diario - FC'!$E$11:$E1028,$C$59,'Livro Diario - FC'!$D$11:$D1028,"&gt;=01/10"&amp;$C$7,'Livro Diario - FC'!$D$11:$D1028,"&lt;=31/10"&amp;$C$7)</f>
        <v>0</v>
      </c>
      <c r="AU59" s="273"/>
      <c r="AV59" s="258"/>
      <c r="AW59" s="255">
        <f>SUMIFS('Livro Diario - FC'!$K$11:$K1028,'Livro Diario - FC'!$E$11:$E1028,$C$59,'Livro Diario - FC'!$D$11:$D1028,"&gt;=01/11"&amp;$C$7,'Livro Diario - FC'!$D$11:$D1028,"&lt;=30/11"&amp;$C$7)</f>
        <v>0</v>
      </c>
      <c r="AX59" s="256">
        <f>SUMIFS('Livro Diario - FC'!$M$11:$M1028,'Livro Diario - FC'!$E$11:$E1028,$C$59,'Livro Diario - FC'!$D$11:$D1028,"&gt;=01/11"&amp;$C$7,'Livro Diario - FC'!$D$11:$D1028,"&lt;=30/11"&amp;$C$7)</f>
        <v>0</v>
      </c>
      <c r="AY59" s="273"/>
      <c r="AZ59" s="258"/>
      <c r="BA59" s="255">
        <f>SUMIFS('Livro Diario - FC'!$K$11:$K1028,'Livro Diario - FC'!$E$11:$E1028,$C$59,'Livro Diario - FC'!$D$11:$D1028,"&gt;=01/12"&amp;$C$7,'Livro Diario - FC'!$D$11:$D1028,"&lt;=31/12"&amp;$C$7)</f>
        <v>0</v>
      </c>
      <c r="BB59" s="256">
        <f>SUMIFS('Livro Diario - FC'!$M$11:$M1028,'Livro Diario - FC'!$E$11:$E1028,$C$59,'Livro Diario - FC'!$D$11:$D1028,"&gt;=01/12"&amp;$C$7,'Livro Diario - FC'!$D$11:$D1028,"&lt;=31/12"&amp;$C$7)</f>
        <v>0</v>
      </c>
      <c r="BC59" s="273"/>
      <c r="BD59" s="273"/>
      <c r="BE59" s="267">
        <f t="shared" ref="BE59:BF59" si="160">SUM(D59,I59,N59,S59,X59,AC59,AG59,AK59,AO59,AS59,AW59,BA59)</f>
        <v>673</v>
      </c>
      <c r="BF59" s="268">
        <f t="shared" si="160"/>
        <v>673</v>
      </c>
      <c r="BG59" s="269"/>
      <c r="BH59" s="192"/>
      <c r="BI59" s="270">
        <f>SUMIFS('Livro Diario - FC'!$M$11:$M1028,'Livro Diario - FC'!$E$11:$E1028,C59,'Livro Diario - FC'!$D$11:$D1028,"&gt;="&amp;$BK$8,'Livro Diario - FC'!$D$11:$D1028,"&lt;="&amp;$BK$9)</f>
        <v>0</v>
      </c>
      <c r="BJ59" s="271"/>
      <c r="BK59" s="272"/>
      <c r="BL59" s="1"/>
    </row>
    <row r="60">
      <c r="A60" s="1"/>
      <c r="B60" s="1"/>
      <c r="C60" s="338" t="str">
        <f>'Livro Diario - FC'!AE63</f>
        <v>Leite Condensado</v>
      </c>
      <c r="D60" s="255">
        <f>SUMIFS('Livro Diario - FC'!$K$11:$K1028,'Livro Diario - FC'!$E$11:$E1028,$C$60,'Livro Diario - FC'!$D$11:$D1028,"&gt;=01/01"&amp;$C$7,'Livro Diario - FC'!$D$11:$D1028,"&lt;=31/01"&amp;$C$7)</f>
        <v>27.65</v>
      </c>
      <c r="E60" s="256">
        <f>SUMIFS('Livro Diario - FC'!$M$11:$M1028,'Livro Diario - FC'!$E$11:$E1028,$C$60,'Livro Diario - FC'!$D$11:$D1028,"&gt;=01/01"&amp;$C$7,'Livro Diario - FC'!$D$11:$D1028,"&lt;=31/01"&amp;$C$7)</f>
        <v>27.65</v>
      </c>
      <c r="F60" s="273"/>
      <c r="G60" s="258"/>
      <c r="H60" s="157"/>
      <c r="I60" s="255">
        <f>SUMIFS('Livro Diario - FC'!$K$11:$K1028,'Livro Diario - FC'!$E$11:$E1028,$C$60,'Livro Diario - FC'!$D$11:$D1028,"&gt;=01/02"&amp;$C$7,'Livro Diario - FC'!$D$11:$D1028,"&lt;=29/02"&amp;$C$7)</f>
        <v>0</v>
      </c>
      <c r="J60" s="256">
        <f>SUMIFS('Livro Diario - FC'!$M$11:$M1028,'Livro Diario - FC'!$E$11:$E1028,$C$60,'Livro Diario - FC'!$D$11:$D1028,"&gt;=01/02"&amp;$C$7,'Livro Diario - FC'!$D$11:$D1028,"&lt;=29/02"&amp;$C$7)</f>
        <v>0</v>
      </c>
      <c r="K60" s="273"/>
      <c r="L60" s="258"/>
      <c r="M60" s="259"/>
      <c r="N60" s="255">
        <f>SUMIFS('Livro Diario - FC'!$K$11:$K1028,'Livro Diario - FC'!$E$11:$E1028,$C$60,'Livro Diario - FC'!$D$11:$D1028,"&gt;=01/03"&amp;$C$7,'Livro Diario - FC'!$D$11:$D1028,"&lt;=31/03"&amp;$C$7)</f>
        <v>0</v>
      </c>
      <c r="O60" s="256">
        <f>SUMIFS('Livro Diario - FC'!$M$11:$M1028,'Livro Diario - FC'!$E$11:$E1028,$C$60,'Livro Diario - FC'!$D$11:$D1028,"&gt;=01/03"&amp;$C$7,'Livro Diario - FC'!$D$11:$D1028,"&lt;=31/03"&amp;$C$7)</f>
        <v>0</v>
      </c>
      <c r="P60" s="273"/>
      <c r="Q60" s="258"/>
      <c r="R60" s="259"/>
      <c r="S60" s="255">
        <f>SUMIFS('Livro Diario - FC'!$K$11:$K1028,'Livro Diario - FC'!$E$11:$E1028,$C$60,'Livro Diario - FC'!$D$11:$D1028,"&gt;=01/04"&amp;$C$7,'Livro Diario - FC'!$D$11:$D1028,"&lt;=30/04"&amp;$C$7)</f>
        <v>0</v>
      </c>
      <c r="T60" s="256">
        <f>SUMIFS('Livro Diario - FC'!$M$11:$M1028,'Livro Diario - FC'!$E$11:$E1028,$C$60,'Livro Diario - FC'!$D$11:$D1028,"&gt;=01/04"&amp;$C$7,'Livro Diario - FC'!$D$11:$D1028,"&lt;=30/04"&amp;$C$7)</f>
        <v>0</v>
      </c>
      <c r="U60" s="273"/>
      <c r="V60" s="258"/>
      <c r="W60" s="259"/>
      <c r="X60" s="255">
        <f>SUMIFS('Livro Diario - FC'!$K$11:$K1028,'Livro Diario - FC'!$E$11:$E1028,$C$60,'Livro Diario - FC'!$D$11:$D1028,"&gt;=01/05"&amp;$C$7,'Livro Diario - FC'!$D$11:$D1028,"&lt;=31/05"&amp;$C$7)</f>
        <v>0</v>
      </c>
      <c r="Y60" s="256">
        <f>SUMIFS('Livro Diario - FC'!$M$11:$M1028,'Livro Diario - FC'!$E$11:$E1028,$C$60,'Livro Diario - FC'!$D$11:$D1028,"&gt;=01/05"&amp;$C$7,'Livro Diario - FC'!$D$11:$D1028,"&lt;=31/05"&amp;$C$7)</f>
        <v>0</v>
      </c>
      <c r="Z60" s="273"/>
      <c r="AA60" s="258"/>
      <c r="AB60" s="259"/>
      <c r="AC60" s="255">
        <f>SUMIFS('Livro Diario - FC'!$K$11:$K1028,'Livro Diario - FC'!$E$11:$E1028,$C$60,'Livro Diario - FC'!$D$11:$D1028,"&gt;=01/06"&amp;$C$7,'Livro Diario - FC'!$D$11:$D1028,"&lt;=30/06"&amp;$C$7)</f>
        <v>0</v>
      </c>
      <c r="AD60" s="256">
        <f>SUMIFS('Livro Diario - FC'!$M$11:$M1028,'Livro Diario - FC'!$E$11:$E1028,$C$60,'Livro Diario - FC'!$D$11:$D1028,"&gt;=01/06"&amp;$C$7,'Livro Diario - FC'!$D$11:$D1028,"&lt;=30/06"&amp;$C$7)</f>
        <v>0</v>
      </c>
      <c r="AE60" s="273"/>
      <c r="AF60" s="258"/>
      <c r="AG60" s="255">
        <f>SUMIFS('Livro Diario - FC'!$K$11:$K1028,'Livro Diario - FC'!$E$11:$E1028,$C$60,'Livro Diario - FC'!$D$11:$D1028,"&gt;=01/07"&amp;$C$7,'Livro Diario - FC'!$D$11:$D1028,"&lt;=31/07"&amp;$C$7)</f>
        <v>0</v>
      </c>
      <c r="AH60" s="256">
        <f>SUMIFS('Livro Diario - FC'!$M$11:$M1028,'Livro Diario - FC'!$E$11:$E1028,$C$60,'Livro Diario - FC'!$D$11:$D1028,"&gt;=01/07"&amp;$C$7,'Livro Diario - FC'!$D$11:$D1028,"&lt;=31/07"&amp;$C$7)</f>
        <v>0</v>
      </c>
      <c r="AI60" s="273"/>
      <c r="AJ60" s="258"/>
      <c r="AK60" s="255">
        <f>SUMIFS('Livro Diario - FC'!$K$11:$K1028,'Livro Diario - FC'!$E$11:$E1028,$C$60,'Livro Diario - FC'!$D$11:$D1028,"&gt;=01/08"&amp;$C$7,'Livro Diario - FC'!$D$11:$D1028,"&lt;=31/08"&amp;$C$7)</f>
        <v>0</v>
      </c>
      <c r="AL60" s="256">
        <f>SUMIFS('Livro Diario - FC'!$M$11:$M1028,'Livro Diario - FC'!$E$11:$E1028,$C$60,'Livro Diario - FC'!$D$11:$D1028,"&gt;=01/08"&amp;$C$7,'Livro Diario - FC'!$D$11:$D1028,"&lt;=31/08"&amp;$C$7)</f>
        <v>0</v>
      </c>
      <c r="AM60" s="273"/>
      <c r="AN60" s="258"/>
      <c r="AO60" s="255">
        <f>SUMIFS('Livro Diario - FC'!$K$11:$K1028,'Livro Diario - FC'!$E$11:$E1028,$C$60,'Livro Diario - FC'!$D$11:$D1028,"&gt;=01/09"&amp;$C$7,'Livro Diario - FC'!$D$11:$D1028,"&lt;=30/09"&amp;$C$7)</f>
        <v>0</v>
      </c>
      <c r="AP60" s="256">
        <f>SUMIFS('Livro Diario - FC'!$M$11:$M1028,'Livro Diario - FC'!$E$11:$E1028,$C$60,'Livro Diario - FC'!$D$11:$D1028,"&gt;=01/09"&amp;$C$7,'Livro Diario - FC'!$D$11:$D1028,"&lt;=30/09"&amp;$C$7)</f>
        <v>0</v>
      </c>
      <c r="AQ60" s="273"/>
      <c r="AR60" s="258"/>
      <c r="AS60" s="255">
        <f>SUMIFS('Livro Diario - FC'!$K$11:$K1028,'Livro Diario - FC'!$E$11:$E1028,$C$60,'Livro Diario - FC'!$D$11:$D1028,"&gt;=01/10"&amp;$C$7,'Livro Diario - FC'!$D$11:$D1028,"&lt;=31/10"&amp;$C$7)</f>
        <v>0</v>
      </c>
      <c r="AT60" s="256">
        <f>SUMIFS('Livro Diario - FC'!$M$11:$M1028,'Livro Diario - FC'!$E$11:$E1028,$C$60,'Livro Diario - FC'!$D$11:$D1028,"&gt;=01/10"&amp;$C$7,'Livro Diario - FC'!$D$11:$D1028,"&lt;=31/10"&amp;$C$7)</f>
        <v>0</v>
      </c>
      <c r="AU60" s="273"/>
      <c r="AV60" s="258"/>
      <c r="AW60" s="255">
        <f>SUMIFS('Livro Diario - FC'!$K$11:$K1028,'Livro Diario - FC'!$E$11:$E1028,$C$60,'Livro Diario - FC'!$D$11:$D1028,"&gt;=01/11"&amp;$C$7,'Livro Diario - FC'!$D$11:$D1028,"&lt;=30/11"&amp;$C$7)</f>
        <v>0</v>
      </c>
      <c r="AX60" s="256">
        <f>SUMIFS('Livro Diario - FC'!$M$11:$M1028,'Livro Diario - FC'!$E$11:$E1028,$C$60,'Livro Diario - FC'!$D$11:$D1028,"&gt;=01/11"&amp;$C$7,'Livro Diario - FC'!$D$11:$D1028,"&lt;=30/11"&amp;$C$7)</f>
        <v>0</v>
      </c>
      <c r="AY60" s="273"/>
      <c r="AZ60" s="258"/>
      <c r="BA60" s="255">
        <f>SUMIFS('Livro Diario - FC'!$K$11:$K1028,'Livro Diario - FC'!$E$11:$E1028,$C$60,'Livro Diario - FC'!$D$11:$D1028,"&gt;=01/12"&amp;$C$7,'Livro Diario - FC'!$D$11:$D1028,"&lt;=31/12"&amp;$C$7)</f>
        <v>0</v>
      </c>
      <c r="BB60" s="256">
        <f>SUMIFS('Livro Diario - FC'!$M$11:$M1028,'Livro Diario - FC'!$E$11:$E1028,$C$60,'Livro Diario - FC'!$D$11:$D1028,"&gt;=01/12"&amp;$C$7,'Livro Diario - FC'!$D$11:$D1028,"&lt;=31/12"&amp;$C$7)</f>
        <v>0</v>
      </c>
      <c r="BC60" s="273"/>
      <c r="BD60" s="273"/>
      <c r="BE60" s="267">
        <f t="shared" ref="BE60:BF60" si="161">SUM(D60,I60,N60,S60,X60,AC60,AG60,AK60,AO60,AS60,AW60,BA60)</f>
        <v>27.65</v>
      </c>
      <c r="BF60" s="268">
        <f t="shared" si="161"/>
        <v>27.65</v>
      </c>
      <c r="BG60" s="269"/>
      <c r="BH60" s="192"/>
      <c r="BI60" s="270">
        <f>SUMIFS('Livro Diario - FC'!$M$11:$M1028,'Livro Diario - FC'!$E$11:$E1028,C60,'Livro Diario - FC'!$D$11:$D1028,"&gt;="&amp;$BK$8,'Livro Diario - FC'!$D$11:$D1028,"&lt;="&amp;$BK$9)</f>
        <v>0</v>
      </c>
      <c r="BJ60" s="271"/>
      <c r="BK60" s="272"/>
      <c r="BL60" s="1"/>
    </row>
    <row r="61">
      <c r="A61" s="1"/>
      <c r="B61" s="1"/>
      <c r="C61" s="338" t="str">
        <f>'Livro Diario - FC'!AE64</f>
        <v>Leite Integral</v>
      </c>
      <c r="D61" s="255">
        <f>SUMIFS('Livro Diario - FC'!$K$11:$K1028,'Livro Diario - FC'!$E$11:$E1028,$C$61,'Livro Diario - FC'!$D$11:$D1028,"&gt;=01/01"&amp;$C$7,'Livro Diario - FC'!$D$11:$D1028,"&lt;=31/01"&amp;$C$7)</f>
        <v>0</v>
      </c>
      <c r="E61" s="256">
        <f>SUMIFS('Livro Diario - FC'!$M$11:$M1028,'Livro Diario - FC'!$E$11:$E1028,$C$61,'Livro Diario - FC'!$D$11:$D1028,"&gt;=01/01"&amp;$C$7,'Livro Diario - FC'!$D$11:$D1028,"&lt;=31/01"&amp;$C$7)</f>
        <v>0</v>
      </c>
      <c r="F61" s="273"/>
      <c r="G61" s="258"/>
      <c r="H61" s="157"/>
      <c r="I61" s="255">
        <f>SUMIFS('Livro Diario - FC'!$K$11:$K1028,'Livro Diario - FC'!$E$11:$E1028,$C$61,'Livro Diario - FC'!$D$11:$D1028,"&gt;=01/02"&amp;$C$7,'Livro Diario - FC'!$D$11:$D1028,"&lt;=29/02"&amp;$C$7)</f>
        <v>0</v>
      </c>
      <c r="J61" s="256">
        <f>SUMIFS('Livro Diario - FC'!$M$11:$M1028,'Livro Diario - FC'!$E$11:$E1028,$C$61,'Livro Diario - FC'!$D$11:$D1028,"&gt;=01/02"&amp;$C$7,'Livro Diario - FC'!$D$11:$D1028,"&lt;=29/02"&amp;$C$7)</f>
        <v>0</v>
      </c>
      <c r="K61" s="273"/>
      <c r="L61" s="258"/>
      <c r="M61" s="259"/>
      <c r="N61" s="255">
        <f>SUMIFS('Livro Diario - FC'!$K$11:$K1028,'Livro Diario - FC'!$E$11:$E1028,$C$61,'Livro Diario - FC'!$D$11:$D1028,"&gt;=01/03"&amp;$C$7,'Livro Diario - FC'!$D$11:$D1028,"&lt;=31/03"&amp;$C$7)</f>
        <v>0</v>
      </c>
      <c r="O61" s="256">
        <f>SUMIFS('Livro Diario - FC'!$M$11:$M1028,'Livro Diario - FC'!$E$11:$E1028,$C$61,'Livro Diario - FC'!$D$11:$D1028,"&gt;=01/03"&amp;$C$7,'Livro Diario - FC'!$D$11:$D1028,"&lt;=31/03"&amp;$C$7)</f>
        <v>0</v>
      </c>
      <c r="P61" s="273"/>
      <c r="Q61" s="258"/>
      <c r="R61" s="259"/>
      <c r="S61" s="255">
        <f>SUMIFS('Livro Diario - FC'!$K$11:$K1028,'Livro Diario - FC'!$E$11:$E1028,$C$61,'Livro Diario - FC'!$D$11:$D1028,"&gt;=01/04"&amp;$C$7,'Livro Diario - FC'!$D$11:$D1028,"&lt;=30/04"&amp;$C$7)</f>
        <v>0</v>
      </c>
      <c r="T61" s="256">
        <f>SUMIFS('Livro Diario - FC'!$M$11:$M1028,'Livro Diario - FC'!$E$11:$E1028,$C$61,'Livro Diario - FC'!$D$11:$D1028,"&gt;=01/04"&amp;$C$7,'Livro Diario - FC'!$D$11:$D1028,"&lt;=30/04"&amp;$C$7)</f>
        <v>0</v>
      </c>
      <c r="U61" s="273"/>
      <c r="V61" s="258"/>
      <c r="W61" s="259"/>
      <c r="X61" s="255">
        <f>SUMIFS('Livro Diario - FC'!$K$11:$K1028,'Livro Diario - FC'!$E$11:$E1028,$C$61,'Livro Diario - FC'!$D$11:$D1028,"&gt;=01/05"&amp;$C$7,'Livro Diario - FC'!$D$11:$D1028,"&lt;=31/05"&amp;$C$7)</f>
        <v>0</v>
      </c>
      <c r="Y61" s="256">
        <f>SUMIFS('Livro Diario - FC'!$M$11:$M1028,'Livro Diario - FC'!$E$11:$E1028,$C$61,'Livro Diario - FC'!$D$11:$D1028,"&gt;=01/05"&amp;$C$7,'Livro Diario - FC'!$D$11:$D1028,"&lt;=31/05"&amp;$C$7)</f>
        <v>0</v>
      </c>
      <c r="Z61" s="273"/>
      <c r="AA61" s="258"/>
      <c r="AB61" s="259"/>
      <c r="AC61" s="255">
        <f>SUMIFS('Livro Diario - FC'!$K$11:$K1028,'Livro Diario - FC'!$E$11:$E1028,$C$61,'Livro Diario - FC'!$D$11:$D1028,"&gt;=01/06"&amp;$C$7,'Livro Diario - FC'!$D$11:$D1028,"&lt;=30/06"&amp;$C$7)</f>
        <v>0</v>
      </c>
      <c r="AD61" s="256">
        <f>SUMIFS('Livro Diario - FC'!$M$11:$M1028,'Livro Diario - FC'!$E$11:$E1028,$C$61,'Livro Diario - FC'!$D$11:$D1028,"&gt;=01/06"&amp;$C$7,'Livro Diario - FC'!$D$11:$D1028,"&lt;=30/06"&amp;$C$7)</f>
        <v>0</v>
      </c>
      <c r="AE61" s="273"/>
      <c r="AF61" s="258"/>
      <c r="AG61" s="255">
        <f>SUMIFS('Livro Diario - FC'!$K$11:$K1028,'Livro Diario - FC'!$E$11:$E1028,$C$61,'Livro Diario - FC'!$D$11:$D1028,"&gt;=01/07"&amp;$C$7,'Livro Diario - FC'!$D$11:$D1028,"&lt;=31/07"&amp;$C$7)</f>
        <v>0</v>
      </c>
      <c r="AH61" s="256">
        <f>SUMIFS('Livro Diario - FC'!$M$11:$M1028,'Livro Diario - FC'!$E$11:$E1028,$C$61,'Livro Diario - FC'!$D$11:$D1028,"&gt;=01/07"&amp;$C$7,'Livro Diario - FC'!$D$11:$D1028,"&lt;=31/07"&amp;$C$7)</f>
        <v>0</v>
      </c>
      <c r="AI61" s="273"/>
      <c r="AJ61" s="258"/>
      <c r="AK61" s="255">
        <f>SUMIFS('Livro Diario - FC'!$K$11:$K1028,'Livro Diario - FC'!$E$11:$E1028,$C$61,'Livro Diario - FC'!$D$11:$D1028,"&gt;=01/08"&amp;$C$7,'Livro Diario - FC'!$D$11:$D1028,"&lt;=31/08"&amp;$C$7)</f>
        <v>0</v>
      </c>
      <c r="AL61" s="256">
        <f>SUMIFS('Livro Diario - FC'!$M$11:$M1028,'Livro Diario - FC'!$E$11:$E1028,$C$61,'Livro Diario - FC'!$D$11:$D1028,"&gt;=01/08"&amp;$C$7,'Livro Diario - FC'!$D$11:$D1028,"&lt;=31/08"&amp;$C$7)</f>
        <v>0</v>
      </c>
      <c r="AM61" s="273"/>
      <c r="AN61" s="258"/>
      <c r="AO61" s="255">
        <f>SUMIFS('Livro Diario - FC'!$K$11:$K1028,'Livro Diario - FC'!$E$11:$E1028,$C$61,'Livro Diario - FC'!$D$11:$D1028,"&gt;=01/09"&amp;$C$7,'Livro Diario - FC'!$D$11:$D1028,"&lt;=30/09"&amp;$C$7)</f>
        <v>0</v>
      </c>
      <c r="AP61" s="256">
        <f>SUMIFS('Livro Diario - FC'!$M$11:$M1028,'Livro Diario - FC'!$E$11:$E1028,$C$61,'Livro Diario - FC'!$D$11:$D1028,"&gt;=01/09"&amp;$C$7,'Livro Diario - FC'!$D$11:$D1028,"&lt;=30/09"&amp;$C$7)</f>
        <v>0</v>
      </c>
      <c r="AQ61" s="273"/>
      <c r="AR61" s="258"/>
      <c r="AS61" s="255">
        <f>SUMIFS('Livro Diario - FC'!$K$11:$K1028,'Livro Diario - FC'!$E$11:$E1028,$C$61,'Livro Diario - FC'!$D$11:$D1028,"&gt;=01/10"&amp;$C$7,'Livro Diario - FC'!$D$11:$D1028,"&lt;=31/10"&amp;$C$7)</f>
        <v>0</v>
      </c>
      <c r="AT61" s="256">
        <f>SUMIFS('Livro Diario - FC'!$M$11:$M1028,'Livro Diario - FC'!$E$11:$E1028,$C$61,'Livro Diario - FC'!$D$11:$D1028,"&gt;=01/10"&amp;$C$7,'Livro Diario - FC'!$D$11:$D1028,"&lt;=31/10"&amp;$C$7)</f>
        <v>0</v>
      </c>
      <c r="AU61" s="273"/>
      <c r="AV61" s="258"/>
      <c r="AW61" s="255">
        <f>SUMIFS('Livro Diario - FC'!$K$11:$K1028,'Livro Diario - FC'!$E$11:$E1028,$C$61,'Livro Diario - FC'!$D$11:$D1028,"&gt;=01/11"&amp;$C$7,'Livro Diario - FC'!$D$11:$D1028,"&lt;=30/11"&amp;$C$7)</f>
        <v>0</v>
      </c>
      <c r="AX61" s="256">
        <f>SUMIFS('Livro Diario - FC'!$M$11:$M1028,'Livro Diario - FC'!$E$11:$E1028,$C$61,'Livro Diario - FC'!$D$11:$D1028,"&gt;=01/11"&amp;$C$7,'Livro Diario - FC'!$D$11:$D1028,"&lt;=30/11"&amp;$C$7)</f>
        <v>0</v>
      </c>
      <c r="AY61" s="273"/>
      <c r="AZ61" s="258"/>
      <c r="BA61" s="255">
        <f>SUMIFS('Livro Diario - FC'!$K$11:$K1028,'Livro Diario - FC'!$E$11:$E1028,$C$61,'Livro Diario - FC'!$D$11:$D1028,"&gt;=01/12"&amp;$C$7,'Livro Diario - FC'!$D$11:$D1028,"&lt;=31/12"&amp;$C$7)</f>
        <v>0</v>
      </c>
      <c r="BB61" s="256">
        <f>SUMIFS('Livro Diario - FC'!$M$11:$M1028,'Livro Diario - FC'!$E$11:$E1028,$C$61,'Livro Diario - FC'!$D$11:$D1028,"&gt;=01/12"&amp;$C$7,'Livro Diario - FC'!$D$11:$D1028,"&lt;=31/12"&amp;$C$7)</f>
        <v>0</v>
      </c>
      <c r="BC61" s="273"/>
      <c r="BD61" s="273"/>
      <c r="BE61" s="267">
        <f t="shared" ref="BE61:BF61" si="162">SUM(D61,I61,N61,S61,X61,AC61,AG61,AK61,AO61,AS61,AW61,BA61)</f>
        <v>0</v>
      </c>
      <c r="BF61" s="268">
        <f t="shared" si="162"/>
        <v>0</v>
      </c>
      <c r="BG61" s="269"/>
      <c r="BH61" s="192"/>
      <c r="BI61" s="270">
        <f>SUMIFS('Livro Diario - FC'!$M$11:$M1028,'Livro Diario - FC'!$E$11:$E1028,C61,'Livro Diario - FC'!$D$11:$D1028,"&gt;="&amp;$BK$8,'Livro Diario - FC'!$D$11:$D1028,"&lt;="&amp;$BK$9)</f>
        <v>0</v>
      </c>
      <c r="BJ61" s="271"/>
      <c r="BK61" s="272"/>
      <c r="BL61" s="1"/>
    </row>
    <row r="62">
      <c r="A62" s="1"/>
      <c r="B62" s="1"/>
      <c r="C62" s="338" t="str">
        <f>'Livro Diario - FC'!AE65</f>
        <v>Gelatina de Abacaxi</v>
      </c>
      <c r="D62" s="255">
        <f>SUMIFS('Livro Diario - FC'!$K$11:$K1028,'Livro Diario - FC'!$E$11:$E1028,$C$62,'Livro Diario - FC'!$D$11:$D1028,"&gt;=01/01"&amp;$C$7,'Livro Diario - FC'!$D$11:$D1028,"&lt;=31/01"&amp;$C$7)</f>
        <v>0</v>
      </c>
      <c r="E62" s="256">
        <f>SUMIFS('Livro Diario - FC'!$M$11:$M1028,'Livro Diario - FC'!$E$11:$E1028,$C$62,'Livro Diario - FC'!$D$11:$D1028,"&gt;=01/01"&amp;$C$7,'Livro Diario - FC'!$D$11:$D1028,"&lt;=31/01"&amp;$C$7)</f>
        <v>0</v>
      </c>
      <c r="F62" s="273"/>
      <c r="G62" s="258"/>
      <c r="H62" s="157"/>
      <c r="I62" s="255">
        <f>SUMIFS('Livro Diario - FC'!$K$11:$K1028,'Livro Diario - FC'!$E$11:$E1028,$C$62,'Livro Diario - FC'!$D$11:$D1028,"&gt;=01/02"&amp;$C$7,'Livro Diario - FC'!$D$11:$D1028,"&lt;=29/02"&amp;$C$7)</f>
        <v>0</v>
      </c>
      <c r="J62" s="256">
        <f>SUMIFS('Livro Diario - FC'!$M$11:$M1028,'Livro Diario - FC'!$E$11:$E1028,$C$62,'Livro Diario - FC'!$D$11:$D1028,"&gt;=01/02"&amp;$C$7,'Livro Diario - FC'!$D$11:$D1028,"&lt;=29/02"&amp;$C$7)</f>
        <v>0</v>
      </c>
      <c r="K62" s="273"/>
      <c r="L62" s="258"/>
      <c r="M62" s="259"/>
      <c r="N62" s="255">
        <f>SUMIFS('Livro Diario - FC'!$K$11:$K1028,'Livro Diario - FC'!$E$11:$E1028,$C$62,'Livro Diario - FC'!$D$11:$D1028,"&gt;=01/03"&amp;$C$7,'Livro Diario - FC'!$D$11:$D1028,"&lt;=31/03"&amp;$C$7)</f>
        <v>0</v>
      </c>
      <c r="O62" s="256">
        <f>SUMIFS('Livro Diario - FC'!$M$11:$M1028,'Livro Diario - FC'!$E$11:$E1028,$C$62,'Livro Diario - FC'!$D$11:$D1028,"&gt;=01/03"&amp;$C$7,'Livro Diario - FC'!$D$11:$D1028,"&lt;=31/03"&amp;$C$7)</f>
        <v>0</v>
      </c>
      <c r="P62" s="273"/>
      <c r="Q62" s="258"/>
      <c r="R62" s="259"/>
      <c r="S62" s="255">
        <f>SUMIFS('Livro Diario - FC'!$K$11:$K1028,'Livro Diario - FC'!$E$11:$E1028,$C$62,'Livro Diario - FC'!$D$11:$D1028,"&gt;=01/04"&amp;$C$7,'Livro Diario - FC'!$D$11:$D1028,"&lt;=30/04"&amp;$C$7)</f>
        <v>0</v>
      </c>
      <c r="T62" s="256">
        <f>SUMIFS('Livro Diario - FC'!$M$11:$M1028,'Livro Diario - FC'!$E$11:$E1028,$C$62,'Livro Diario - FC'!$D$11:$D1028,"&gt;=01/04"&amp;$C$7,'Livro Diario - FC'!$D$11:$D1028,"&lt;=30/04"&amp;$C$7)</f>
        <v>0</v>
      </c>
      <c r="U62" s="273"/>
      <c r="V62" s="258"/>
      <c r="W62" s="259"/>
      <c r="X62" s="255">
        <f>SUMIFS('Livro Diario - FC'!$K$11:$K1028,'Livro Diario - FC'!$E$11:$E1028,$C$62,'Livro Diario - FC'!$D$11:$D1028,"&gt;=01/05"&amp;$C$7,'Livro Diario - FC'!$D$11:$D1028,"&lt;=31/05"&amp;$C$7)</f>
        <v>0</v>
      </c>
      <c r="Y62" s="256">
        <f>SUMIFS('Livro Diario - FC'!$M$11:$M1028,'Livro Diario - FC'!$E$11:$E1028,$C$62,'Livro Diario - FC'!$D$11:$D1028,"&gt;=01/05"&amp;$C$7,'Livro Diario - FC'!$D$11:$D1028,"&lt;=31/05"&amp;$C$7)</f>
        <v>0</v>
      </c>
      <c r="Z62" s="273"/>
      <c r="AA62" s="258"/>
      <c r="AB62" s="259"/>
      <c r="AC62" s="255">
        <f>SUMIFS('Livro Diario - FC'!$K$11:$K1028,'Livro Diario - FC'!$E$11:$E1028,$C$62,'Livro Diario - FC'!$D$11:$D1028,"&gt;=01/06"&amp;$C$7,'Livro Diario - FC'!$D$11:$D1028,"&lt;=30/06"&amp;$C$7)</f>
        <v>0</v>
      </c>
      <c r="AD62" s="256">
        <f>SUMIFS('Livro Diario - FC'!$M$11:$M1028,'Livro Diario - FC'!$E$11:$E1028,$C$62,'Livro Diario - FC'!$D$11:$D1028,"&gt;=01/06"&amp;$C$7,'Livro Diario - FC'!$D$11:$D1028,"&lt;=30/06"&amp;$C$7)</f>
        <v>0</v>
      </c>
      <c r="AE62" s="273"/>
      <c r="AF62" s="258"/>
      <c r="AG62" s="255">
        <f>SUMIFS('Livro Diario - FC'!$K$11:$K1028,'Livro Diario - FC'!$E$11:$E1028,$C$62,'Livro Diario - FC'!$D$11:$D1028,"&gt;=01/07"&amp;$C$7,'Livro Diario - FC'!$D$11:$D1028,"&lt;=31/07"&amp;$C$7)</f>
        <v>0</v>
      </c>
      <c r="AH62" s="256">
        <f>SUMIFS('Livro Diario - FC'!$M$11:$M1028,'Livro Diario - FC'!$E$11:$E1028,$C$62,'Livro Diario - FC'!$D$11:$D1028,"&gt;=01/07"&amp;$C$7,'Livro Diario - FC'!$D$11:$D1028,"&lt;=31/07"&amp;$C$7)</f>
        <v>0</v>
      </c>
      <c r="AI62" s="273"/>
      <c r="AJ62" s="258"/>
      <c r="AK62" s="255">
        <f>SUMIFS('Livro Diario - FC'!$K$11:$K1028,'Livro Diario - FC'!$E$11:$E1028,$C$62,'Livro Diario - FC'!$D$11:$D1028,"&gt;=01/08"&amp;$C$7,'Livro Diario - FC'!$D$11:$D1028,"&lt;=31/08"&amp;$C$7)</f>
        <v>0</v>
      </c>
      <c r="AL62" s="256">
        <f>SUMIFS('Livro Diario - FC'!$M$11:$M1028,'Livro Diario - FC'!$E$11:$E1028,$C$62,'Livro Diario - FC'!$D$11:$D1028,"&gt;=01/08"&amp;$C$7,'Livro Diario - FC'!$D$11:$D1028,"&lt;=31/08"&amp;$C$7)</f>
        <v>0</v>
      </c>
      <c r="AM62" s="273"/>
      <c r="AN62" s="258"/>
      <c r="AO62" s="255">
        <f>SUMIFS('Livro Diario - FC'!$K$11:$K1028,'Livro Diario - FC'!$E$11:$E1028,$C$62,'Livro Diario - FC'!$D$11:$D1028,"&gt;=01/09"&amp;$C$7,'Livro Diario - FC'!$D$11:$D1028,"&lt;=30/09"&amp;$C$7)</f>
        <v>0</v>
      </c>
      <c r="AP62" s="256">
        <f>SUMIFS('Livro Diario - FC'!$M$11:$M1028,'Livro Diario - FC'!$E$11:$E1028,$C$62,'Livro Diario - FC'!$D$11:$D1028,"&gt;=01/09"&amp;$C$7,'Livro Diario - FC'!$D$11:$D1028,"&lt;=30/09"&amp;$C$7)</f>
        <v>0</v>
      </c>
      <c r="AQ62" s="273"/>
      <c r="AR62" s="258"/>
      <c r="AS62" s="255">
        <f>SUMIFS('Livro Diario - FC'!$K$11:$K1028,'Livro Diario - FC'!$E$11:$E1028,$C$62,'Livro Diario - FC'!$D$11:$D1028,"&gt;=01/10"&amp;$C$7,'Livro Diario - FC'!$D$11:$D1028,"&lt;=31/10"&amp;$C$7)</f>
        <v>0</v>
      </c>
      <c r="AT62" s="256">
        <f>SUMIFS('Livro Diario - FC'!$M$11:$M1028,'Livro Diario - FC'!$E$11:$E1028,$C$62,'Livro Diario - FC'!$D$11:$D1028,"&gt;=01/10"&amp;$C$7,'Livro Diario - FC'!$D$11:$D1028,"&lt;=31/10"&amp;$C$7)</f>
        <v>0</v>
      </c>
      <c r="AU62" s="273"/>
      <c r="AV62" s="258"/>
      <c r="AW62" s="255">
        <f>SUMIFS('Livro Diario - FC'!$K$11:$K1028,'Livro Diario - FC'!$E$11:$E1028,$C$62,'Livro Diario - FC'!$D$11:$D1028,"&gt;=01/11"&amp;$C$7,'Livro Diario - FC'!$D$11:$D1028,"&lt;=30/11"&amp;$C$7)</f>
        <v>0</v>
      </c>
      <c r="AX62" s="256">
        <f>SUMIFS('Livro Diario - FC'!$M$11:$M1028,'Livro Diario - FC'!$E$11:$E1028,$C$62,'Livro Diario - FC'!$D$11:$D1028,"&gt;=01/11"&amp;$C$7,'Livro Diario - FC'!$D$11:$D1028,"&lt;=30/11"&amp;$C$7)</f>
        <v>0</v>
      </c>
      <c r="AY62" s="273"/>
      <c r="AZ62" s="258"/>
      <c r="BA62" s="255">
        <f>SUMIFS('Livro Diario - FC'!$K$11:$K1028,'Livro Diario - FC'!$E$11:$E1028,$C$62,'Livro Diario - FC'!$D$11:$D1028,"&gt;=01/12"&amp;$C$7,'Livro Diario - FC'!$D$11:$D1028,"&lt;=31/12"&amp;$C$7)</f>
        <v>0</v>
      </c>
      <c r="BB62" s="256">
        <f>SUMIFS('Livro Diario - FC'!$M$11:$M1028,'Livro Diario - FC'!$E$11:$E1028,$C$62,'Livro Diario - FC'!$D$11:$D1028,"&gt;=01/12"&amp;$C$7,'Livro Diario - FC'!$D$11:$D1028,"&lt;=31/12"&amp;$C$7)</f>
        <v>0</v>
      </c>
      <c r="BC62" s="273"/>
      <c r="BD62" s="273"/>
      <c r="BE62" s="267">
        <f t="shared" ref="BE62:BF62" si="163">SUM(D62,I62,N62,S62,X62,AC62,AG62,AK62,AO62,AS62,AW62,BA62)</f>
        <v>0</v>
      </c>
      <c r="BF62" s="268">
        <f t="shared" si="163"/>
        <v>0</v>
      </c>
      <c r="BG62" s="269"/>
      <c r="BH62" s="192"/>
      <c r="BI62" s="270">
        <f>SUMIFS('Livro Diario - FC'!$M$11:$M1028,'Livro Diario - FC'!$E$11:$E1028,C62,'Livro Diario - FC'!$D$11:$D1028,"&gt;="&amp;$BK$8,'Livro Diario - FC'!$D$11:$D1028,"&lt;="&amp;$BK$9)</f>
        <v>0</v>
      </c>
      <c r="BJ62" s="271"/>
      <c r="BK62" s="272"/>
      <c r="BL62" s="1"/>
    </row>
    <row r="63">
      <c r="A63" s="1"/>
      <c r="B63" s="1"/>
      <c r="C63" s="338" t="str">
        <f>'Livro Diario - FC'!AE66</f>
        <v>Pudim Baunilha</v>
      </c>
      <c r="D63" s="255">
        <f>SUMIFS('Livro Diario - FC'!$K$11:$K1028,'Livro Diario - FC'!$E$11:$E1028,$C$63,'Livro Diario - FC'!$D$11:$D1028,"&gt;=01/01"&amp;$C$7,'Livro Diario - FC'!$D$11:$D1028,"&lt;=31/01"&amp;$C$7)</f>
        <v>0</v>
      </c>
      <c r="E63" s="256">
        <f>SUMIFS('Livro Diario - FC'!$M$11:$M1028,'Livro Diario - FC'!$E$11:$E1028,$C$63,'Livro Diario - FC'!$D$11:$D1028,"&gt;=01/01"&amp;$C$7,'Livro Diario - FC'!$D$11:$D1028,"&lt;=31/01"&amp;$C$7)</f>
        <v>0</v>
      </c>
      <c r="F63" s="273"/>
      <c r="G63" s="258"/>
      <c r="H63" s="157"/>
      <c r="I63" s="255">
        <f>SUMIFS('Livro Diario - FC'!$K$11:$K1028,'Livro Diario - FC'!$E$11:$E1028,$C$63,'Livro Diario - FC'!$D$11:$D1028,"&gt;=01/02"&amp;$C$7,'Livro Diario - FC'!$D$11:$D1028,"&lt;=29/02"&amp;$C$7)</f>
        <v>0</v>
      </c>
      <c r="J63" s="256">
        <f>SUMIFS('Livro Diario - FC'!$M$11:$M1028,'Livro Diario - FC'!$E$11:$E1028,$C$63,'Livro Diario - FC'!$D$11:$D1028,"&gt;=01/02"&amp;$C$7,'Livro Diario - FC'!$D$11:$D1028,"&lt;=29/02"&amp;$C$7)</f>
        <v>0</v>
      </c>
      <c r="K63" s="273"/>
      <c r="L63" s="258"/>
      <c r="M63" s="259"/>
      <c r="N63" s="255">
        <f>SUMIFS('Livro Diario - FC'!$K$11:$K1028,'Livro Diario - FC'!$E$11:$E1028,$C$63,'Livro Diario - FC'!$D$11:$D1028,"&gt;=01/03"&amp;$C$7,'Livro Diario - FC'!$D$11:$D1028,"&lt;=31/03"&amp;$C$7)</f>
        <v>0</v>
      </c>
      <c r="O63" s="256">
        <f>SUMIFS('Livro Diario - FC'!$M$11:$M1028,'Livro Diario - FC'!$E$11:$E1028,$C$63,'Livro Diario - FC'!$D$11:$D1028,"&gt;=01/03"&amp;$C$7,'Livro Diario - FC'!$D$11:$D1028,"&lt;=31/03"&amp;$C$7)</f>
        <v>0</v>
      </c>
      <c r="P63" s="273"/>
      <c r="Q63" s="258"/>
      <c r="R63" s="259"/>
      <c r="S63" s="255">
        <f>SUMIFS('Livro Diario - FC'!$K$11:$K1028,'Livro Diario - FC'!$E$11:$E1028,$C$63,'Livro Diario - FC'!$D$11:$D1028,"&gt;=01/04"&amp;$C$7,'Livro Diario - FC'!$D$11:$D1028,"&lt;=30/04"&amp;$C$7)</f>
        <v>0</v>
      </c>
      <c r="T63" s="256">
        <f>SUMIFS('Livro Diario - FC'!$M$11:$M1028,'Livro Diario - FC'!$E$11:$E1028,$C$63,'Livro Diario - FC'!$D$11:$D1028,"&gt;=01/04"&amp;$C$7,'Livro Diario - FC'!$D$11:$D1028,"&lt;=30/04"&amp;$C$7)</f>
        <v>0</v>
      </c>
      <c r="U63" s="273"/>
      <c r="V63" s="258"/>
      <c r="W63" s="259"/>
      <c r="X63" s="255">
        <f>SUMIFS('Livro Diario - FC'!$K$11:$K1028,'Livro Diario - FC'!$E$11:$E1028,$C$63,'Livro Diario - FC'!$D$11:$D1028,"&gt;=01/05"&amp;$C$7,'Livro Diario - FC'!$D$11:$D1028,"&lt;=31/05"&amp;$C$7)</f>
        <v>0</v>
      </c>
      <c r="Y63" s="256">
        <f>SUMIFS('Livro Diario - FC'!$M$11:$M1028,'Livro Diario - FC'!$E$11:$E1028,$C$63,'Livro Diario - FC'!$D$11:$D1028,"&gt;=01/05"&amp;$C$7,'Livro Diario - FC'!$D$11:$D1028,"&lt;=31/05"&amp;$C$7)</f>
        <v>0</v>
      </c>
      <c r="Z63" s="273"/>
      <c r="AA63" s="258"/>
      <c r="AB63" s="259"/>
      <c r="AC63" s="255">
        <f>SUMIFS('Livro Diario - FC'!$K$11:$K1028,'Livro Diario - FC'!$E$11:$E1028,$C$63,'Livro Diario - FC'!$D$11:$D1028,"&gt;=01/06"&amp;$C$7,'Livro Diario - FC'!$D$11:$D1028,"&lt;=30/06"&amp;$C$7)</f>
        <v>0</v>
      </c>
      <c r="AD63" s="256">
        <f>SUMIFS('Livro Diario - FC'!$M$11:$M1028,'Livro Diario - FC'!$E$11:$E1028,$C$63,'Livro Diario - FC'!$D$11:$D1028,"&gt;=01/06"&amp;$C$7,'Livro Diario - FC'!$D$11:$D1028,"&lt;=30/06"&amp;$C$7)</f>
        <v>0</v>
      </c>
      <c r="AE63" s="273"/>
      <c r="AF63" s="258"/>
      <c r="AG63" s="255">
        <f>SUMIFS('Livro Diario - FC'!$K$11:$K1028,'Livro Diario - FC'!$E$11:$E1028,$C$63,'Livro Diario - FC'!$D$11:$D1028,"&gt;=01/07"&amp;$C$7,'Livro Diario - FC'!$D$11:$D1028,"&lt;=31/07"&amp;$C$7)</f>
        <v>0</v>
      </c>
      <c r="AH63" s="256">
        <f>SUMIFS('Livro Diario - FC'!$M$11:$M1028,'Livro Diario - FC'!$E$11:$E1028,$C$63,'Livro Diario - FC'!$D$11:$D1028,"&gt;=01/07"&amp;$C$7,'Livro Diario - FC'!$D$11:$D1028,"&lt;=31/07"&amp;$C$7)</f>
        <v>0</v>
      </c>
      <c r="AI63" s="273"/>
      <c r="AJ63" s="258"/>
      <c r="AK63" s="255">
        <f>SUMIFS('Livro Diario - FC'!$K$11:$K1028,'Livro Diario - FC'!$E$11:$E1028,$C$63,'Livro Diario - FC'!$D$11:$D1028,"&gt;=01/08"&amp;$C$7,'Livro Diario - FC'!$D$11:$D1028,"&lt;=31/08"&amp;$C$7)</f>
        <v>0</v>
      </c>
      <c r="AL63" s="256">
        <f>SUMIFS('Livro Diario - FC'!$M$11:$M1028,'Livro Diario - FC'!$E$11:$E1028,$C$63,'Livro Diario - FC'!$D$11:$D1028,"&gt;=01/08"&amp;$C$7,'Livro Diario - FC'!$D$11:$D1028,"&lt;=31/08"&amp;$C$7)</f>
        <v>0</v>
      </c>
      <c r="AM63" s="273"/>
      <c r="AN63" s="258"/>
      <c r="AO63" s="255">
        <f>SUMIFS('Livro Diario - FC'!$K$11:$K1028,'Livro Diario - FC'!$E$11:$E1028,$C$63,'Livro Diario - FC'!$D$11:$D1028,"&gt;=01/09"&amp;$C$7,'Livro Diario - FC'!$D$11:$D1028,"&lt;=30/09"&amp;$C$7)</f>
        <v>0</v>
      </c>
      <c r="AP63" s="256">
        <f>SUMIFS('Livro Diario - FC'!$M$11:$M1028,'Livro Diario - FC'!$E$11:$E1028,$C$63,'Livro Diario - FC'!$D$11:$D1028,"&gt;=01/09"&amp;$C$7,'Livro Diario - FC'!$D$11:$D1028,"&lt;=30/09"&amp;$C$7)</f>
        <v>0</v>
      </c>
      <c r="AQ63" s="273"/>
      <c r="AR63" s="258"/>
      <c r="AS63" s="255">
        <f>SUMIFS('Livro Diario - FC'!$K$11:$K1028,'Livro Diario - FC'!$E$11:$E1028,$C$63,'Livro Diario - FC'!$D$11:$D1028,"&gt;=01/10"&amp;$C$7,'Livro Diario - FC'!$D$11:$D1028,"&lt;=31/10"&amp;$C$7)</f>
        <v>0</v>
      </c>
      <c r="AT63" s="256">
        <f>SUMIFS('Livro Diario - FC'!$M$11:$M1028,'Livro Diario - FC'!$E$11:$E1028,$C$63,'Livro Diario - FC'!$D$11:$D1028,"&gt;=01/10"&amp;$C$7,'Livro Diario - FC'!$D$11:$D1028,"&lt;=31/10"&amp;$C$7)</f>
        <v>0</v>
      </c>
      <c r="AU63" s="273"/>
      <c r="AV63" s="258"/>
      <c r="AW63" s="255">
        <f>SUMIFS('Livro Diario - FC'!$K$11:$K1028,'Livro Diario - FC'!$E$11:$E1028,$C$63,'Livro Diario - FC'!$D$11:$D1028,"&gt;=01/11"&amp;$C$7,'Livro Diario - FC'!$D$11:$D1028,"&lt;=30/11"&amp;$C$7)</f>
        <v>0</v>
      </c>
      <c r="AX63" s="256">
        <f>SUMIFS('Livro Diario - FC'!$M$11:$M1028,'Livro Diario - FC'!$E$11:$E1028,$C$63,'Livro Diario - FC'!$D$11:$D1028,"&gt;=01/11"&amp;$C$7,'Livro Diario - FC'!$D$11:$D1028,"&lt;=30/11"&amp;$C$7)</f>
        <v>0</v>
      </c>
      <c r="AY63" s="273"/>
      <c r="AZ63" s="258"/>
      <c r="BA63" s="255">
        <f>SUMIFS('Livro Diario - FC'!$K$11:$K1028,'Livro Diario - FC'!$E$11:$E1028,$C$63,'Livro Diario - FC'!$D$11:$D1028,"&gt;=01/12"&amp;$C$7,'Livro Diario - FC'!$D$11:$D1028,"&lt;=31/12"&amp;$C$7)</f>
        <v>0</v>
      </c>
      <c r="BB63" s="256">
        <f>SUMIFS('Livro Diario - FC'!$M$11:$M1028,'Livro Diario - FC'!$E$11:$E1028,$C$63,'Livro Diario - FC'!$D$11:$D1028,"&gt;=01/12"&amp;$C$7,'Livro Diario - FC'!$D$11:$D1028,"&lt;=31/12"&amp;$C$7)</f>
        <v>0</v>
      </c>
      <c r="BC63" s="273"/>
      <c r="BD63" s="273"/>
      <c r="BE63" s="267">
        <f t="shared" ref="BE63:BF63" si="164">SUM(D63,I63,N63,S63,X63,AC63,AG63,AK63,AO63,AS63,AW63,BA63)</f>
        <v>0</v>
      </c>
      <c r="BF63" s="268">
        <f t="shared" si="164"/>
        <v>0</v>
      </c>
      <c r="BG63" s="269"/>
      <c r="BH63" s="192"/>
      <c r="BI63" s="270">
        <f>SUMIFS('Livro Diario - FC'!$M$11:$M1028,'Livro Diario - FC'!$E$11:$E1028,C63,'Livro Diario - FC'!$D$11:$D1028,"&gt;="&amp;$BK$8,'Livro Diario - FC'!$D$11:$D1028,"&lt;="&amp;$BK$9)</f>
        <v>0</v>
      </c>
      <c r="BJ63" s="271"/>
      <c r="BK63" s="272"/>
      <c r="BL63" s="1"/>
    </row>
    <row r="64">
      <c r="A64" s="1"/>
      <c r="B64" s="1"/>
      <c r="C64" s="338" t="str">
        <f>'Livro Diario - FC'!AE67</f>
        <v>Pão ou Torrada</v>
      </c>
      <c r="D64" s="255">
        <f>SUMIFS('Livro Diario - FC'!$K$11:$K1028,'Livro Diario - FC'!$E$11:$E1028,$C$64,'Livro Diario - FC'!$D$11:$D1028,"&gt;=01/01"&amp;$C$7,'Livro Diario - FC'!$D$11:$D1028,"&lt;=31/01"&amp;$C$7)</f>
        <v>214.2</v>
      </c>
      <c r="E64" s="256">
        <f>SUMIFS('Livro Diario - FC'!$M$11:$M1028,'Livro Diario - FC'!$E$11:$E1028,$C$64,'Livro Diario - FC'!$D$11:$D1028,"&gt;=01/01"&amp;$C$7,'Livro Diario - FC'!$D$11:$D1028,"&lt;=31/01"&amp;$C$7)</f>
        <v>214.2</v>
      </c>
      <c r="F64" s="273"/>
      <c r="G64" s="258"/>
      <c r="H64" s="157"/>
      <c r="I64" s="255">
        <f>SUMIFS('Livro Diario - FC'!$K$11:$K1028,'Livro Diario - FC'!$E$11:$E1028,$C$64,'Livro Diario - FC'!$D$11:$D1028,"&gt;=01/02"&amp;$C$7,'Livro Diario - FC'!$D$11:$D1028,"&lt;=29/02"&amp;$C$7)</f>
        <v>0</v>
      </c>
      <c r="J64" s="256">
        <f>SUMIFS('Livro Diario - FC'!$M$11:$M1028,'Livro Diario - FC'!$E$11:$E1028,$C$64,'Livro Diario - FC'!$D$11:$D1028,"&gt;=01/02"&amp;$C$7,'Livro Diario - FC'!$D$11:$D1028,"&lt;=29/02"&amp;$C$7)</f>
        <v>0</v>
      </c>
      <c r="K64" s="273"/>
      <c r="L64" s="258"/>
      <c r="M64" s="259"/>
      <c r="N64" s="255">
        <f>SUMIFS('Livro Diario - FC'!$K$11:$K1028,'Livro Diario - FC'!$E$11:$E1028,$C$64,'Livro Diario - FC'!$D$11:$D1028,"&gt;=01/03"&amp;$C$7,'Livro Diario - FC'!$D$11:$D1028,"&lt;=31/03"&amp;$C$7)</f>
        <v>0</v>
      </c>
      <c r="O64" s="256">
        <f>SUMIFS('Livro Diario - FC'!$M$11:$M1028,'Livro Diario - FC'!$E$11:$E1028,$C$64,'Livro Diario - FC'!$D$11:$D1028,"&gt;=01/03"&amp;$C$7,'Livro Diario - FC'!$D$11:$D1028,"&lt;=31/03"&amp;$C$7)</f>
        <v>0</v>
      </c>
      <c r="P64" s="273"/>
      <c r="Q64" s="258"/>
      <c r="R64" s="259"/>
      <c r="S64" s="255">
        <f>SUMIFS('Livro Diario - FC'!$K$11:$K1028,'Livro Diario - FC'!$E$11:$E1028,$C$64,'Livro Diario - FC'!$D$11:$D1028,"&gt;=01/04"&amp;$C$7,'Livro Diario - FC'!$D$11:$D1028,"&lt;=30/04"&amp;$C$7)</f>
        <v>0</v>
      </c>
      <c r="T64" s="256">
        <f>SUMIFS('Livro Diario - FC'!$M$11:$M1028,'Livro Diario - FC'!$E$11:$E1028,$C$64,'Livro Diario - FC'!$D$11:$D1028,"&gt;=01/04"&amp;$C$7,'Livro Diario - FC'!$D$11:$D1028,"&lt;=30/04"&amp;$C$7)</f>
        <v>0</v>
      </c>
      <c r="U64" s="273"/>
      <c r="V64" s="258"/>
      <c r="W64" s="259"/>
      <c r="X64" s="255">
        <f>SUMIFS('Livro Diario - FC'!$K$11:$K1028,'Livro Diario - FC'!$E$11:$E1028,$C$64,'Livro Diario - FC'!$D$11:$D1028,"&gt;=01/05"&amp;$C$7,'Livro Diario - FC'!$D$11:$D1028,"&lt;=31/05"&amp;$C$7)</f>
        <v>0</v>
      </c>
      <c r="Y64" s="256">
        <f>SUMIFS('Livro Diario - FC'!$M$11:$M1028,'Livro Diario - FC'!$E$11:$E1028,$C$64,'Livro Diario - FC'!$D$11:$D1028,"&gt;=01/05"&amp;$C$7,'Livro Diario - FC'!$D$11:$D1028,"&lt;=31/05"&amp;$C$7)</f>
        <v>0</v>
      </c>
      <c r="Z64" s="273"/>
      <c r="AA64" s="258"/>
      <c r="AB64" s="259"/>
      <c r="AC64" s="255">
        <f>SUMIFS('Livro Diario - FC'!$K$11:$K1028,'Livro Diario - FC'!$E$11:$E1028,$C$64,'Livro Diario - FC'!$D$11:$D1028,"&gt;=01/06"&amp;$C$7,'Livro Diario - FC'!$D$11:$D1028,"&lt;=30/06"&amp;$C$7)</f>
        <v>0</v>
      </c>
      <c r="AD64" s="256">
        <f>SUMIFS('Livro Diario - FC'!$M$11:$M1028,'Livro Diario - FC'!$E$11:$E1028,$C$64,'Livro Diario - FC'!$D$11:$D1028,"&gt;=01/06"&amp;$C$7,'Livro Diario - FC'!$D$11:$D1028,"&lt;=30/06"&amp;$C$7)</f>
        <v>0</v>
      </c>
      <c r="AE64" s="273"/>
      <c r="AF64" s="258"/>
      <c r="AG64" s="255">
        <f>SUMIFS('Livro Diario - FC'!$K$11:$K1028,'Livro Diario - FC'!$E$11:$E1028,$C$64,'Livro Diario - FC'!$D$11:$D1028,"&gt;=01/07"&amp;$C$7,'Livro Diario - FC'!$D$11:$D1028,"&lt;=31/07"&amp;$C$7)</f>
        <v>0</v>
      </c>
      <c r="AH64" s="256">
        <f>SUMIFS('Livro Diario - FC'!$M$11:$M1028,'Livro Diario - FC'!$E$11:$E1028,$C$64,'Livro Diario - FC'!$D$11:$D1028,"&gt;=01/07"&amp;$C$7,'Livro Diario - FC'!$D$11:$D1028,"&lt;=31/07"&amp;$C$7)</f>
        <v>0</v>
      </c>
      <c r="AI64" s="273"/>
      <c r="AJ64" s="258"/>
      <c r="AK64" s="255">
        <f>SUMIFS('Livro Diario - FC'!$K$11:$K1028,'Livro Diario - FC'!$E$11:$E1028,$C$64,'Livro Diario - FC'!$D$11:$D1028,"&gt;=01/08"&amp;$C$7,'Livro Diario - FC'!$D$11:$D1028,"&lt;=31/08"&amp;$C$7)</f>
        <v>0</v>
      </c>
      <c r="AL64" s="256">
        <f>SUMIFS('Livro Diario - FC'!$M$11:$M1028,'Livro Diario - FC'!$E$11:$E1028,$C$64,'Livro Diario - FC'!$D$11:$D1028,"&gt;=01/08"&amp;$C$7,'Livro Diario - FC'!$D$11:$D1028,"&lt;=31/08"&amp;$C$7)</f>
        <v>0</v>
      </c>
      <c r="AM64" s="273"/>
      <c r="AN64" s="258"/>
      <c r="AO64" s="255">
        <f>SUMIFS('Livro Diario - FC'!$K$11:$K1028,'Livro Diario - FC'!$E$11:$E1028,$C$64,'Livro Diario - FC'!$D$11:$D1028,"&gt;=01/09"&amp;$C$7,'Livro Diario - FC'!$D$11:$D1028,"&lt;=30/09"&amp;$C$7)</f>
        <v>0</v>
      </c>
      <c r="AP64" s="256">
        <f>SUMIFS('Livro Diario - FC'!$M$11:$M1028,'Livro Diario - FC'!$E$11:$E1028,$C$64,'Livro Diario - FC'!$D$11:$D1028,"&gt;=01/09"&amp;$C$7,'Livro Diario - FC'!$D$11:$D1028,"&lt;=30/09"&amp;$C$7)</f>
        <v>0</v>
      </c>
      <c r="AQ64" s="273"/>
      <c r="AR64" s="258"/>
      <c r="AS64" s="255">
        <f>SUMIFS('Livro Diario - FC'!$K$11:$K1028,'Livro Diario - FC'!$E$11:$E1028,$C$64,'Livro Diario - FC'!$D$11:$D1028,"&gt;=01/10"&amp;$C$7,'Livro Diario - FC'!$D$11:$D1028,"&lt;=31/10"&amp;$C$7)</f>
        <v>0</v>
      </c>
      <c r="AT64" s="256">
        <f>SUMIFS('Livro Diario - FC'!$M$11:$M1028,'Livro Diario - FC'!$E$11:$E1028,$C$64,'Livro Diario - FC'!$D$11:$D1028,"&gt;=01/10"&amp;$C$7,'Livro Diario - FC'!$D$11:$D1028,"&lt;=31/10"&amp;$C$7)</f>
        <v>0</v>
      </c>
      <c r="AU64" s="273"/>
      <c r="AV64" s="258"/>
      <c r="AW64" s="255">
        <f>SUMIFS('Livro Diario - FC'!$K$11:$K1028,'Livro Diario - FC'!$E$11:$E1028,$C$64,'Livro Diario - FC'!$D$11:$D1028,"&gt;=01/11"&amp;$C$7,'Livro Diario - FC'!$D$11:$D1028,"&lt;=30/11"&amp;$C$7)</f>
        <v>0</v>
      </c>
      <c r="AX64" s="256">
        <f>SUMIFS('Livro Diario - FC'!$M$11:$M1028,'Livro Diario - FC'!$E$11:$E1028,$C$64,'Livro Diario - FC'!$D$11:$D1028,"&gt;=01/11"&amp;$C$7,'Livro Diario - FC'!$D$11:$D1028,"&lt;=30/11"&amp;$C$7)</f>
        <v>0</v>
      </c>
      <c r="AY64" s="273"/>
      <c r="AZ64" s="258"/>
      <c r="BA64" s="255">
        <f>SUMIFS('Livro Diario - FC'!$K$11:$K1028,'Livro Diario - FC'!$E$11:$E1028,$C$64,'Livro Diario - FC'!$D$11:$D1028,"&gt;=01/12"&amp;$C$7,'Livro Diario - FC'!$D$11:$D1028,"&lt;=31/12"&amp;$C$7)</f>
        <v>0</v>
      </c>
      <c r="BB64" s="256">
        <f>SUMIFS('Livro Diario - FC'!$M$11:$M1028,'Livro Diario - FC'!$E$11:$E1028,$C$64,'Livro Diario - FC'!$D$11:$D1028,"&gt;=01/12"&amp;$C$7,'Livro Diario - FC'!$D$11:$D1028,"&lt;=31/12"&amp;$C$7)</f>
        <v>0</v>
      </c>
      <c r="BC64" s="273"/>
      <c r="BD64" s="273"/>
      <c r="BE64" s="267">
        <f t="shared" ref="BE64:BF64" si="165">SUM(D64,I64,N64,S64,X64,AC64,AG64,AK64,AO64,AS64,AW64,BA64)</f>
        <v>214.2</v>
      </c>
      <c r="BF64" s="268">
        <f t="shared" si="165"/>
        <v>214.2</v>
      </c>
      <c r="BG64" s="269"/>
      <c r="BH64" s="192"/>
      <c r="BI64" s="270">
        <f>SUMIFS('Livro Diario - FC'!$M$11:$M1028,'Livro Diario - FC'!$E$11:$E1028,C64,'Livro Diario - FC'!$D$11:$D1028,"&gt;="&amp;$BK$8,'Livro Diario - FC'!$D$11:$D1028,"&lt;="&amp;$BK$9)</f>
        <v>0</v>
      </c>
      <c r="BJ64" s="271"/>
      <c r="BK64" s="272"/>
      <c r="BL64" s="1"/>
    </row>
    <row r="65">
      <c r="A65" s="1"/>
      <c r="B65" s="1"/>
      <c r="C65" s="338" t="str">
        <f>'Livro Diario - FC'!AE68</f>
        <v>Batata Palha</v>
      </c>
      <c r="D65" s="255">
        <f>SUMIFS('Livro Diario - FC'!$K$11:$K1028,'Livro Diario - FC'!$E$11:$E1028,$C$65,'Livro Diario - FC'!$D$11:$D1028,"&gt;=01/01"&amp;$C$7,'Livro Diario - FC'!$D$11:$D1028,"&lt;=31/01"&amp;$C$7)</f>
        <v>17.56</v>
      </c>
      <c r="E65" s="256">
        <f>SUMIFS('Livro Diario - FC'!$M$11:$M1028,'Livro Diario - FC'!$E$11:$E1028,$C$65,'Livro Diario - FC'!$D$11:$D1028,"&gt;=01/01"&amp;$C$7,'Livro Diario - FC'!$D$11:$D1028,"&lt;=31/01"&amp;$C$7)</f>
        <v>17.56</v>
      </c>
      <c r="F65" s="273"/>
      <c r="G65" s="258"/>
      <c r="H65" s="157"/>
      <c r="I65" s="255">
        <f>SUMIFS('Livro Diario - FC'!$K$11:$K1028,'Livro Diario - FC'!$E$11:$E1028,$C$65,'Livro Diario - FC'!$D$11:$D1028,"&gt;=01/02"&amp;$C$7,'Livro Diario - FC'!$D$11:$D1028,"&lt;=29/02"&amp;$C$7)</f>
        <v>0</v>
      </c>
      <c r="J65" s="256">
        <f>SUMIFS('Livro Diario - FC'!$M$11:$M1028,'Livro Diario - FC'!$E$11:$E1028,$C$65,'Livro Diario - FC'!$D$11:$D1028,"&gt;=01/02"&amp;$C$7,'Livro Diario - FC'!$D$11:$D1028,"&lt;=29/02"&amp;$C$7)</f>
        <v>0</v>
      </c>
      <c r="K65" s="273"/>
      <c r="L65" s="258"/>
      <c r="M65" s="259"/>
      <c r="N65" s="255">
        <f>SUMIFS('Livro Diario - FC'!$K$11:$K1028,'Livro Diario - FC'!$E$11:$E1028,$C$65,'Livro Diario - FC'!$D$11:$D1028,"&gt;=01/03"&amp;$C$7,'Livro Diario - FC'!$D$11:$D1028,"&lt;=31/03"&amp;$C$7)</f>
        <v>0</v>
      </c>
      <c r="O65" s="256">
        <f>SUMIFS('Livro Diario - FC'!$M$11:$M1028,'Livro Diario - FC'!$E$11:$E1028,$C$65,'Livro Diario - FC'!$D$11:$D1028,"&gt;=01/03"&amp;$C$7,'Livro Diario - FC'!$D$11:$D1028,"&lt;=31/03"&amp;$C$7)</f>
        <v>0</v>
      </c>
      <c r="P65" s="273"/>
      <c r="Q65" s="258"/>
      <c r="R65" s="259"/>
      <c r="S65" s="255">
        <f>SUMIFS('Livro Diario - FC'!$K$11:$K1028,'Livro Diario - FC'!$E$11:$E1028,$C$65,'Livro Diario - FC'!$D$11:$D1028,"&gt;=01/04"&amp;$C$7,'Livro Diario - FC'!$D$11:$D1028,"&lt;=30/04"&amp;$C$7)</f>
        <v>0</v>
      </c>
      <c r="T65" s="256">
        <f>SUMIFS('Livro Diario - FC'!$M$11:$M1028,'Livro Diario - FC'!$E$11:$E1028,$C$65,'Livro Diario - FC'!$D$11:$D1028,"&gt;=01/04"&amp;$C$7,'Livro Diario - FC'!$D$11:$D1028,"&lt;=30/04"&amp;$C$7)</f>
        <v>0</v>
      </c>
      <c r="U65" s="273"/>
      <c r="V65" s="258"/>
      <c r="W65" s="259"/>
      <c r="X65" s="255">
        <f>SUMIFS('Livro Diario - FC'!$K$11:$K1028,'Livro Diario - FC'!$E$11:$E1028,$C$65,'Livro Diario - FC'!$D$11:$D1028,"&gt;=01/05"&amp;$C$7,'Livro Diario - FC'!$D$11:$D1028,"&lt;=31/05"&amp;$C$7)</f>
        <v>0</v>
      </c>
      <c r="Y65" s="256">
        <f>SUMIFS('Livro Diario - FC'!$M$11:$M1028,'Livro Diario - FC'!$E$11:$E1028,$C$65,'Livro Diario - FC'!$D$11:$D1028,"&gt;=01/05"&amp;$C$7,'Livro Diario - FC'!$D$11:$D1028,"&lt;=31/05"&amp;$C$7)</f>
        <v>0</v>
      </c>
      <c r="Z65" s="273"/>
      <c r="AA65" s="258"/>
      <c r="AB65" s="259"/>
      <c r="AC65" s="255">
        <f>SUMIFS('Livro Diario - FC'!$K$11:$K1028,'Livro Diario - FC'!$E$11:$E1028,$C$65,'Livro Diario - FC'!$D$11:$D1028,"&gt;=01/06"&amp;$C$7,'Livro Diario - FC'!$D$11:$D1028,"&lt;=30/06"&amp;$C$7)</f>
        <v>0</v>
      </c>
      <c r="AD65" s="256">
        <f>SUMIFS('Livro Diario - FC'!$M$11:$M1028,'Livro Diario - FC'!$E$11:$E1028,$C$65,'Livro Diario - FC'!$D$11:$D1028,"&gt;=01/06"&amp;$C$7,'Livro Diario - FC'!$D$11:$D1028,"&lt;=30/06"&amp;$C$7)</f>
        <v>0</v>
      </c>
      <c r="AE65" s="273"/>
      <c r="AF65" s="258"/>
      <c r="AG65" s="255">
        <f>SUMIFS('Livro Diario - FC'!$K$11:$K1028,'Livro Diario - FC'!$E$11:$E1028,$C$65,'Livro Diario - FC'!$D$11:$D1028,"&gt;=01/07"&amp;$C$7,'Livro Diario - FC'!$D$11:$D1028,"&lt;=31/07"&amp;$C$7)</f>
        <v>0</v>
      </c>
      <c r="AH65" s="256">
        <f>SUMIFS('Livro Diario - FC'!$M$11:$M1028,'Livro Diario - FC'!$E$11:$E1028,$C$65,'Livro Diario - FC'!$D$11:$D1028,"&gt;=01/07"&amp;$C$7,'Livro Diario - FC'!$D$11:$D1028,"&lt;=31/07"&amp;$C$7)</f>
        <v>0</v>
      </c>
      <c r="AI65" s="273"/>
      <c r="AJ65" s="258"/>
      <c r="AK65" s="255">
        <f>SUMIFS('Livro Diario - FC'!$K$11:$K1028,'Livro Diario - FC'!$E$11:$E1028,$C$65,'Livro Diario - FC'!$D$11:$D1028,"&gt;=01/08"&amp;$C$7,'Livro Diario - FC'!$D$11:$D1028,"&lt;=31/08"&amp;$C$7)</f>
        <v>0</v>
      </c>
      <c r="AL65" s="256">
        <f>SUMIFS('Livro Diario - FC'!$M$11:$M1028,'Livro Diario - FC'!$E$11:$E1028,$C$65,'Livro Diario - FC'!$D$11:$D1028,"&gt;=01/08"&amp;$C$7,'Livro Diario - FC'!$D$11:$D1028,"&lt;=31/08"&amp;$C$7)</f>
        <v>0</v>
      </c>
      <c r="AM65" s="273"/>
      <c r="AN65" s="258"/>
      <c r="AO65" s="255">
        <f>SUMIFS('Livro Diario - FC'!$K$11:$K1028,'Livro Diario - FC'!$E$11:$E1028,$C$65,'Livro Diario - FC'!$D$11:$D1028,"&gt;=01/09"&amp;$C$7,'Livro Diario - FC'!$D$11:$D1028,"&lt;=30/09"&amp;$C$7)</f>
        <v>0</v>
      </c>
      <c r="AP65" s="256">
        <f>SUMIFS('Livro Diario - FC'!$M$11:$M1028,'Livro Diario - FC'!$E$11:$E1028,$C$65,'Livro Diario - FC'!$D$11:$D1028,"&gt;=01/09"&amp;$C$7,'Livro Diario - FC'!$D$11:$D1028,"&lt;=30/09"&amp;$C$7)</f>
        <v>0</v>
      </c>
      <c r="AQ65" s="273"/>
      <c r="AR65" s="258"/>
      <c r="AS65" s="255">
        <f>SUMIFS('Livro Diario - FC'!$K$11:$K1028,'Livro Diario - FC'!$E$11:$E1028,$C$65,'Livro Diario - FC'!$D$11:$D1028,"&gt;=01/10"&amp;$C$7,'Livro Diario - FC'!$D$11:$D1028,"&lt;=31/10"&amp;$C$7)</f>
        <v>0</v>
      </c>
      <c r="AT65" s="256">
        <f>SUMIFS('Livro Diario - FC'!$M$11:$M1028,'Livro Diario - FC'!$E$11:$E1028,$C$65,'Livro Diario - FC'!$D$11:$D1028,"&gt;=01/10"&amp;$C$7,'Livro Diario - FC'!$D$11:$D1028,"&lt;=31/10"&amp;$C$7)</f>
        <v>0</v>
      </c>
      <c r="AU65" s="273"/>
      <c r="AV65" s="258"/>
      <c r="AW65" s="255">
        <f>SUMIFS('Livro Diario - FC'!$K$11:$K1028,'Livro Diario - FC'!$E$11:$E1028,$C$65,'Livro Diario - FC'!$D$11:$D1028,"&gt;=01/11"&amp;$C$7,'Livro Diario - FC'!$D$11:$D1028,"&lt;=30/11"&amp;$C$7)</f>
        <v>0</v>
      </c>
      <c r="AX65" s="256">
        <f>SUMIFS('Livro Diario - FC'!$M$11:$M1028,'Livro Diario - FC'!$E$11:$E1028,$C$65,'Livro Diario - FC'!$D$11:$D1028,"&gt;=01/11"&amp;$C$7,'Livro Diario - FC'!$D$11:$D1028,"&lt;=30/11"&amp;$C$7)</f>
        <v>0</v>
      </c>
      <c r="AY65" s="273"/>
      <c r="AZ65" s="258"/>
      <c r="BA65" s="255">
        <f>SUMIFS('Livro Diario - FC'!$K$11:$K1028,'Livro Diario - FC'!$E$11:$E1028,$C$65,'Livro Diario - FC'!$D$11:$D1028,"&gt;=01/12"&amp;$C$7,'Livro Diario - FC'!$D$11:$D1028,"&lt;=31/12"&amp;$C$7)</f>
        <v>0</v>
      </c>
      <c r="BB65" s="256">
        <f>SUMIFS('Livro Diario - FC'!$M$11:$M1028,'Livro Diario - FC'!$E$11:$E1028,$C$65,'Livro Diario - FC'!$D$11:$D1028,"&gt;=01/12"&amp;$C$7,'Livro Diario - FC'!$D$11:$D1028,"&lt;=31/12"&amp;$C$7)</f>
        <v>0</v>
      </c>
      <c r="BC65" s="273"/>
      <c r="BD65" s="273"/>
      <c r="BE65" s="267">
        <f t="shared" ref="BE65:BF65" si="166">SUM(D65,I65,N65,S65,X65,AC65,AG65,AK65,AO65,AS65,AW65,BA65)</f>
        <v>17.56</v>
      </c>
      <c r="BF65" s="268">
        <f t="shared" si="166"/>
        <v>17.56</v>
      </c>
      <c r="BG65" s="269"/>
      <c r="BH65" s="192"/>
      <c r="BI65" s="270">
        <f>SUMIFS('Livro Diario - FC'!$M$11:$M1028,'Livro Diario - FC'!$E$11:$E1028,C65,'Livro Diario - FC'!$D$11:$D1028,"&gt;="&amp;$BK$8,'Livro Diario - FC'!$D$11:$D1028,"&lt;="&amp;$BK$9)</f>
        <v>0</v>
      </c>
      <c r="BJ65" s="271"/>
      <c r="BK65" s="272"/>
      <c r="BL65" s="1"/>
    </row>
    <row r="66">
      <c r="A66" s="1"/>
      <c r="B66" s="1"/>
      <c r="C66" s="338" t="str">
        <f>'Livro Diario - FC'!AE69</f>
        <v>Coca-Cola 500ml</v>
      </c>
      <c r="D66" s="255">
        <f>SUMIFS('Livro Diario - FC'!$K$11:$K1028,'Livro Diario - FC'!$E$11:$E1028,$C$66,'Livro Diario - FC'!$D$11:$D1028,"&gt;=01/01"&amp;$C$7,'Livro Diario - FC'!$D$11:$D1028,"&lt;=31/01"&amp;$C$7)</f>
        <v>25.74</v>
      </c>
      <c r="E66" s="256">
        <f>SUMIFS('Livro Diario - FC'!$M$11:$M1028,'Livro Diario - FC'!$E$11:$E1028,$C$66,'Livro Diario - FC'!$D$11:$D1028,"&gt;=01/01"&amp;$C$7,'Livro Diario - FC'!$D$11:$D1028,"&lt;=31/01"&amp;$C$7)</f>
        <v>25.74</v>
      </c>
      <c r="F66" s="273"/>
      <c r="G66" s="258"/>
      <c r="H66" s="157"/>
      <c r="I66" s="255">
        <f>SUMIFS('Livro Diario - FC'!$K$11:$K1028,'Livro Diario - FC'!$E$11:$E1028,$C$66,'Livro Diario - FC'!$D$11:$D1028,"&gt;=01/02"&amp;$C$7,'Livro Diario - FC'!$D$11:$D1028,"&lt;=29/02"&amp;$C$7)</f>
        <v>0</v>
      </c>
      <c r="J66" s="256">
        <f>SUMIFS('Livro Diario - FC'!$M$11:$M1028,'Livro Diario - FC'!$E$11:$E1028,$C$66,'Livro Diario - FC'!$D$11:$D1028,"&gt;=01/02"&amp;$C$7,'Livro Diario - FC'!$D$11:$D1028,"&lt;=29/02"&amp;$C$7)</f>
        <v>0</v>
      </c>
      <c r="K66" s="273"/>
      <c r="L66" s="258"/>
      <c r="M66" s="259"/>
      <c r="N66" s="255">
        <f>SUMIFS('Livro Diario - FC'!$K$11:$K1028,'Livro Diario - FC'!$E$11:$E1028,$C$66,'Livro Diario - FC'!$D$11:$D1028,"&gt;=01/03"&amp;$C$7,'Livro Diario - FC'!$D$11:$D1028,"&lt;=31/03"&amp;$C$7)</f>
        <v>0</v>
      </c>
      <c r="O66" s="256">
        <f>SUMIFS('Livro Diario - FC'!$M$11:$M1028,'Livro Diario - FC'!$E$11:$E1028,$C$66,'Livro Diario - FC'!$D$11:$D1028,"&gt;=01/03"&amp;$C$7,'Livro Diario - FC'!$D$11:$D1028,"&lt;=31/03"&amp;$C$7)</f>
        <v>0</v>
      </c>
      <c r="P66" s="273"/>
      <c r="Q66" s="258"/>
      <c r="R66" s="259"/>
      <c r="S66" s="255">
        <f>SUMIFS('Livro Diario - FC'!$K$11:$K1028,'Livro Diario - FC'!$E$11:$E1028,$C$66,'Livro Diario - FC'!$D$11:$D1028,"&gt;=01/04"&amp;$C$7,'Livro Diario - FC'!$D$11:$D1028,"&lt;=30/04"&amp;$C$7)</f>
        <v>0</v>
      </c>
      <c r="T66" s="256">
        <f>SUMIFS('Livro Diario - FC'!$M$11:$M1028,'Livro Diario - FC'!$E$11:$E1028,$C$66,'Livro Diario - FC'!$D$11:$D1028,"&gt;=01/04"&amp;$C$7,'Livro Diario - FC'!$D$11:$D1028,"&lt;=30/04"&amp;$C$7)</f>
        <v>0</v>
      </c>
      <c r="U66" s="273"/>
      <c r="V66" s="258"/>
      <c r="W66" s="259"/>
      <c r="X66" s="255">
        <f>SUMIFS('Livro Diario - FC'!$K$11:$K1028,'Livro Diario - FC'!$E$11:$E1028,$C$66,'Livro Diario - FC'!$D$11:$D1028,"&gt;=01/05"&amp;$C$7,'Livro Diario - FC'!$D$11:$D1028,"&lt;=31/05"&amp;$C$7)</f>
        <v>0</v>
      </c>
      <c r="Y66" s="256">
        <f>SUMIFS('Livro Diario - FC'!$M$11:$M1028,'Livro Diario - FC'!$E$11:$E1028,$C$66,'Livro Diario - FC'!$D$11:$D1028,"&gt;=01/05"&amp;$C$7,'Livro Diario - FC'!$D$11:$D1028,"&lt;=31/05"&amp;$C$7)</f>
        <v>0</v>
      </c>
      <c r="Z66" s="273"/>
      <c r="AA66" s="258"/>
      <c r="AB66" s="259"/>
      <c r="AC66" s="255">
        <f>SUMIFS('Livro Diario - FC'!$K$11:$K1028,'Livro Diario - FC'!$E$11:$E1028,$C$66,'Livro Diario - FC'!$D$11:$D1028,"&gt;=01/06"&amp;$C$7,'Livro Diario - FC'!$D$11:$D1028,"&lt;=30/06"&amp;$C$7)</f>
        <v>0</v>
      </c>
      <c r="AD66" s="256">
        <f>SUMIFS('Livro Diario - FC'!$M$11:$M1028,'Livro Diario - FC'!$E$11:$E1028,$C$66,'Livro Diario - FC'!$D$11:$D1028,"&gt;=01/06"&amp;$C$7,'Livro Diario - FC'!$D$11:$D1028,"&lt;=30/06"&amp;$C$7)</f>
        <v>0</v>
      </c>
      <c r="AE66" s="273"/>
      <c r="AF66" s="258"/>
      <c r="AG66" s="255">
        <f>SUMIFS('Livro Diario - FC'!$K$11:$K1028,'Livro Diario - FC'!$E$11:$E1028,$C$66,'Livro Diario - FC'!$D$11:$D1028,"&gt;=01/07"&amp;$C$7,'Livro Diario - FC'!$D$11:$D1028,"&lt;=31/07"&amp;$C$7)</f>
        <v>0</v>
      </c>
      <c r="AH66" s="256">
        <f>SUMIFS('Livro Diario - FC'!$M$11:$M1028,'Livro Diario - FC'!$E$11:$E1028,$C$66,'Livro Diario - FC'!$D$11:$D1028,"&gt;=01/07"&amp;$C$7,'Livro Diario - FC'!$D$11:$D1028,"&lt;=31/07"&amp;$C$7)</f>
        <v>0</v>
      </c>
      <c r="AI66" s="273"/>
      <c r="AJ66" s="258"/>
      <c r="AK66" s="255">
        <f>SUMIFS('Livro Diario - FC'!$K$11:$K1028,'Livro Diario - FC'!$E$11:$E1028,$C$66,'Livro Diario - FC'!$D$11:$D1028,"&gt;=01/08"&amp;$C$7,'Livro Diario - FC'!$D$11:$D1028,"&lt;=31/08"&amp;$C$7)</f>
        <v>0</v>
      </c>
      <c r="AL66" s="256">
        <f>SUMIFS('Livro Diario - FC'!$M$11:$M1028,'Livro Diario - FC'!$E$11:$E1028,$C$66,'Livro Diario - FC'!$D$11:$D1028,"&gt;=01/08"&amp;$C$7,'Livro Diario - FC'!$D$11:$D1028,"&lt;=31/08"&amp;$C$7)</f>
        <v>0</v>
      </c>
      <c r="AM66" s="273"/>
      <c r="AN66" s="258"/>
      <c r="AO66" s="255">
        <f>SUMIFS('Livro Diario - FC'!$K$11:$K1028,'Livro Diario - FC'!$E$11:$E1028,$C$66,'Livro Diario - FC'!$D$11:$D1028,"&gt;=01/09"&amp;$C$7,'Livro Diario - FC'!$D$11:$D1028,"&lt;=30/09"&amp;$C$7)</f>
        <v>0</v>
      </c>
      <c r="AP66" s="256">
        <f>SUMIFS('Livro Diario - FC'!$M$11:$M1028,'Livro Diario - FC'!$E$11:$E1028,$C$66,'Livro Diario - FC'!$D$11:$D1028,"&gt;=01/09"&amp;$C$7,'Livro Diario - FC'!$D$11:$D1028,"&lt;=30/09"&amp;$C$7)</f>
        <v>0</v>
      </c>
      <c r="AQ66" s="273"/>
      <c r="AR66" s="258"/>
      <c r="AS66" s="255">
        <f>SUMIFS('Livro Diario - FC'!$K$11:$K1028,'Livro Diario - FC'!$E$11:$E1028,$C$66,'Livro Diario - FC'!$D$11:$D1028,"&gt;=01/10"&amp;$C$7,'Livro Diario - FC'!$D$11:$D1028,"&lt;=31/10"&amp;$C$7)</f>
        <v>0</v>
      </c>
      <c r="AT66" s="256">
        <f>SUMIFS('Livro Diario - FC'!$M$11:$M1028,'Livro Diario - FC'!$E$11:$E1028,$C$66,'Livro Diario - FC'!$D$11:$D1028,"&gt;=01/10"&amp;$C$7,'Livro Diario - FC'!$D$11:$D1028,"&lt;=31/10"&amp;$C$7)</f>
        <v>0</v>
      </c>
      <c r="AU66" s="273"/>
      <c r="AV66" s="258"/>
      <c r="AW66" s="255">
        <f>SUMIFS('Livro Diario - FC'!$K$11:$K1028,'Livro Diario - FC'!$E$11:$E1028,$C$66,'Livro Diario - FC'!$D$11:$D1028,"&gt;=01/11"&amp;$C$7,'Livro Diario - FC'!$D$11:$D1028,"&lt;=30/11"&amp;$C$7)</f>
        <v>0</v>
      </c>
      <c r="AX66" s="256">
        <f>SUMIFS('Livro Diario - FC'!$M$11:$M1028,'Livro Diario - FC'!$E$11:$E1028,$C$66,'Livro Diario - FC'!$D$11:$D1028,"&gt;=01/11"&amp;$C$7,'Livro Diario - FC'!$D$11:$D1028,"&lt;=30/11"&amp;$C$7)</f>
        <v>0</v>
      </c>
      <c r="AY66" s="273"/>
      <c r="AZ66" s="258"/>
      <c r="BA66" s="255">
        <f>SUMIFS('Livro Diario - FC'!$K$11:$K1028,'Livro Diario - FC'!$E$11:$E1028,$C$66,'Livro Diario - FC'!$D$11:$D1028,"&gt;=01/12"&amp;$C$7,'Livro Diario - FC'!$D$11:$D1028,"&lt;=31/12"&amp;$C$7)</f>
        <v>0</v>
      </c>
      <c r="BB66" s="256">
        <f>SUMIFS('Livro Diario - FC'!$M$11:$M1028,'Livro Diario - FC'!$E$11:$E1028,$C$66,'Livro Diario - FC'!$D$11:$D1028,"&gt;=01/12"&amp;$C$7,'Livro Diario - FC'!$D$11:$D1028,"&lt;=31/12"&amp;$C$7)</f>
        <v>0</v>
      </c>
      <c r="BC66" s="273"/>
      <c r="BD66" s="273"/>
      <c r="BE66" s="267">
        <f t="shared" ref="BE66:BF66" si="167">SUM(D66,I66,N66,S66,X66,AC66,AG66,AK66,AO66,AS66,AW66,BA66)</f>
        <v>25.74</v>
      </c>
      <c r="BF66" s="268">
        <f t="shared" si="167"/>
        <v>25.74</v>
      </c>
      <c r="BG66" s="269"/>
      <c r="BH66" s="192"/>
      <c r="BI66" s="270">
        <f>SUMIFS('Livro Diario - FC'!$M$11:$M1028,'Livro Diario - FC'!$E$11:$E1028,C66,'Livro Diario - FC'!$D$11:$D1028,"&gt;="&amp;$BK$8,'Livro Diario - FC'!$D$11:$D1028,"&lt;="&amp;$BK$9)</f>
        <v>0</v>
      </c>
      <c r="BJ66" s="271"/>
      <c r="BK66" s="272"/>
      <c r="BL66" s="1"/>
    </row>
    <row r="67">
      <c r="A67" s="1"/>
      <c r="B67" s="1"/>
      <c r="C67" s="338" t="str">
        <f>'Livro Diario - FC'!AE70</f>
        <v>Cenoura</v>
      </c>
      <c r="D67" s="255">
        <f>SUMIFS('Livro Diario - FC'!$K$11:$K1028,'Livro Diario - FC'!$E$11:$E1028,$C$67,'Livro Diario - FC'!$D$11:$D1028,"&gt;=01/01"&amp;$C$7,'Livro Diario - FC'!$D$11:$D1028,"&lt;=31/01"&amp;$C$7)</f>
        <v>71.79</v>
      </c>
      <c r="E67" s="256">
        <f>SUMIFS('Livro Diario - FC'!$M$11:$M1028,'Livro Diario - FC'!$E$11:$E1028,$C$67,'Livro Diario - FC'!$D$11:$D1028,"&gt;=01/01"&amp;$C$7,'Livro Diario - FC'!$D$11:$D1028,"&lt;=31/01"&amp;$C$7)</f>
        <v>71.79</v>
      </c>
      <c r="F67" s="273"/>
      <c r="G67" s="258"/>
      <c r="H67" s="157"/>
      <c r="I67" s="255">
        <f>SUMIFS('Livro Diario - FC'!$K$11:$K1028,'Livro Diario - FC'!$E$11:$E1028,$C$67,'Livro Diario - FC'!$D$11:$D1028,"&gt;=01/02"&amp;$C$7,'Livro Diario - FC'!$D$11:$D1028,"&lt;=29/02"&amp;$C$7)</f>
        <v>0</v>
      </c>
      <c r="J67" s="256">
        <f>SUMIFS('Livro Diario - FC'!$M$11:$M1028,'Livro Diario - FC'!$E$11:$E1028,$C$67,'Livro Diario - FC'!$D$11:$D1028,"&gt;=01/02"&amp;$C$7,'Livro Diario - FC'!$D$11:$D1028,"&lt;=29/02"&amp;$C$7)</f>
        <v>0</v>
      </c>
      <c r="K67" s="273"/>
      <c r="L67" s="258"/>
      <c r="M67" s="259"/>
      <c r="N67" s="255">
        <f>SUMIFS('Livro Diario - FC'!$K$11:$K1028,'Livro Diario - FC'!$E$11:$E1028,$C$67,'Livro Diario - FC'!$D$11:$D1028,"&gt;=01/03"&amp;$C$7,'Livro Diario - FC'!$D$11:$D1028,"&lt;=31/03"&amp;$C$7)</f>
        <v>0</v>
      </c>
      <c r="O67" s="256">
        <f>SUMIFS('Livro Diario - FC'!$M$11:$M1028,'Livro Diario - FC'!$E$11:$E1028,$C$67,'Livro Diario - FC'!$D$11:$D1028,"&gt;=01/03"&amp;$C$7,'Livro Diario - FC'!$D$11:$D1028,"&lt;=31/03"&amp;$C$7)</f>
        <v>0</v>
      </c>
      <c r="P67" s="273"/>
      <c r="Q67" s="258"/>
      <c r="R67" s="259"/>
      <c r="S67" s="255">
        <f>SUMIFS('Livro Diario - FC'!$K$11:$K1028,'Livro Diario - FC'!$E$11:$E1028,$C$67,'Livro Diario - FC'!$D$11:$D1028,"&gt;=01/04"&amp;$C$7,'Livro Diario - FC'!$D$11:$D1028,"&lt;=30/04"&amp;$C$7)</f>
        <v>0</v>
      </c>
      <c r="T67" s="256">
        <f>SUMIFS('Livro Diario - FC'!$M$11:$M1028,'Livro Diario - FC'!$E$11:$E1028,$C$67,'Livro Diario - FC'!$D$11:$D1028,"&gt;=01/04"&amp;$C$7,'Livro Diario - FC'!$D$11:$D1028,"&lt;=30/04"&amp;$C$7)</f>
        <v>0</v>
      </c>
      <c r="U67" s="273"/>
      <c r="V67" s="258"/>
      <c r="W67" s="259"/>
      <c r="X67" s="255">
        <f>SUMIFS('Livro Diario - FC'!$K$11:$K1028,'Livro Diario - FC'!$E$11:$E1028,$C$67,'Livro Diario - FC'!$D$11:$D1028,"&gt;=01/05"&amp;$C$7,'Livro Diario - FC'!$D$11:$D1028,"&lt;=31/05"&amp;$C$7)</f>
        <v>0</v>
      </c>
      <c r="Y67" s="256">
        <f>SUMIFS('Livro Diario - FC'!$M$11:$M1028,'Livro Diario - FC'!$E$11:$E1028,$C$67,'Livro Diario - FC'!$D$11:$D1028,"&gt;=01/05"&amp;$C$7,'Livro Diario - FC'!$D$11:$D1028,"&lt;=31/05"&amp;$C$7)</f>
        <v>0</v>
      </c>
      <c r="Z67" s="273"/>
      <c r="AA67" s="258"/>
      <c r="AB67" s="259"/>
      <c r="AC67" s="255">
        <f>SUMIFS('Livro Diario - FC'!$K$11:$K1028,'Livro Diario - FC'!$E$11:$E1028,$C$67,'Livro Diario - FC'!$D$11:$D1028,"&gt;=01/06"&amp;$C$7,'Livro Diario - FC'!$D$11:$D1028,"&lt;=30/06"&amp;$C$7)</f>
        <v>0</v>
      </c>
      <c r="AD67" s="256">
        <f>SUMIFS('Livro Diario - FC'!$M$11:$M1028,'Livro Diario - FC'!$E$11:$E1028,$C$67,'Livro Diario - FC'!$D$11:$D1028,"&gt;=01/06"&amp;$C$7,'Livro Diario - FC'!$D$11:$D1028,"&lt;=30/06"&amp;$C$7)</f>
        <v>0</v>
      </c>
      <c r="AE67" s="273"/>
      <c r="AF67" s="258"/>
      <c r="AG67" s="255">
        <f>SUMIFS('Livro Diario - FC'!$K$11:$K1028,'Livro Diario - FC'!$E$11:$E1028,$C$67,'Livro Diario - FC'!$D$11:$D1028,"&gt;=01/07"&amp;$C$7,'Livro Diario - FC'!$D$11:$D1028,"&lt;=31/07"&amp;$C$7)</f>
        <v>0</v>
      </c>
      <c r="AH67" s="256">
        <f>SUMIFS('Livro Diario - FC'!$M$11:$M1028,'Livro Diario - FC'!$E$11:$E1028,$C$67,'Livro Diario - FC'!$D$11:$D1028,"&gt;=01/07"&amp;$C$7,'Livro Diario - FC'!$D$11:$D1028,"&lt;=31/07"&amp;$C$7)</f>
        <v>0</v>
      </c>
      <c r="AI67" s="273"/>
      <c r="AJ67" s="258"/>
      <c r="AK67" s="255">
        <f>SUMIFS('Livro Diario - FC'!$K$11:$K1028,'Livro Diario - FC'!$E$11:$E1028,$C$67,'Livro Diario - FC'!$D$11:$D1028,"&gt;=01/08"&amp;$C$7,'Livro Diario - FC'!$D$11:$D1028,"&lt;=31/08"&amp;$C$7)</f>
        <v>0</v>
      </c>
      <c r="AL67" s="256">
        <f>SUMIFS('Livro Diario - FC'!$M$11:$M1028,'Livro Diario - FC'!$E$11:$E1028,$C$67,'Livro Diario - FC'!$D$11:$D1028,"&gt;=01/08"&amp;$C$7,'Livro Diario - FC'!$D$11:$D1028,"&lt;=31/08"&amp;$C$7)</f>
        <v>0</v>
      </c>
      <c r="AM67" s="273"/>
      <c r="AN67" s="258"/>
      <c r="AO67" s="255">
        <f>SUMIFS('Livro Diario - FC'!$K$11:$K1028,'Livro Diario - FC'!$E$11:$E1028,$C$67,'Livro Diario - FC'!$D$11:$D1028,"&gt;=01/09"&amp;$C$7,'Livro Diario - FC'!$D$11:$D1028,"&lt;=30/09"&amp;$C$7)</f>
        <v>0</v>
      </c>
      <c r="AP67" s="256">
        <f>SUMIFS('Livro Diario - FC'!$M$11:$M1028,'Livro Diario - FC'!$E$11:$E1028,$C$67,'Livro Diario - FC'!$D$11:$D1028,"&gt;=01/09"&amp;$C$7,'Livro Diario - FC'!$D$11:$D1028,"&lt;=30/09"&amp;$C$7)</f>
        <v>0</v>
      </c>
      <c r="AQ67" s="273"/>
      <c r="AR67" s="258"/>
      <c r="AS67" s="255">
        <f>SUMIFS('Livro Diario - FC'!$K$11:$K1028,'Livro Diario - FC'!$E$11:$E1028,$C$67,'Livro Diario - FC'!$D$11:$D1028,"&gt;=01/10"&amp;$C$7,'Livro Diario - FC'!$D$11:$D1028,"&lt;=31/10"&amp;$C$7)</f>
        <v>0</v>
      </c>
      <c r="AT67" s="256">
        <f>SUMIFS('Livro Diario - FC'!$M$11:$M1028,'Livro Diario - FC'!$E$11:$E1028,$C$67,'Livro Diario - FC'!$D$11:$D1028,"&gt;=01/10"&amp;$C$7,'Livro Diario - FC'!$D$11:$D1028,"&lt;=31/10"&amp;$C$7)</f>
        <v>0</v>
      </c>
      <c r="AU67" s="273"/>
      <c r="AV67" s="258"/>
      <c r="AW67" s="255">
        <f>SUMIFS('Livro Diario - FC'!$K$11:$K1028,'Livro Diario - FC'!$E$11:$E1028,$C$67,'Livro Diario - FC'!$D$11:$D1028,"&gt;=01/11"&amp;$C$7,'Livro Diario - FC'!$D$11:$D1028,"&lt;=30/11"&amp;$C$7)</f>
        <v>0</v>
      </c>
      <c r="AX67" s="256">
        <f>SUMIFS('Livro Diario - FC'!$M$11:$M1028,'Livro Diario - FC'!$E$11:$E1028,$C$67,'Livro Diario - FC'!$D$11:$D1028,"&gt;=01/11"&amp;$C$7,'Livro Diario - FC'!$D$11:$D1028,"&lt;=30/11"&amp;$C$7)</f>
        <v>0</v>
      </c>
      <c r="AY67" s="273"/>
      <c r="AZ67" s="258"/>
      <c r="BA67" s="255">
        <f>SUMIFS('Livro Diario - FC'!$K$11:$K1028,'Livro Diario - FC'!$E$11:$E1028,$C$67,'Livro Diario - FC'!$D$11:$D1028,"&gt;=01/12"&amp;$C$7,'Livro Diario - FC'!$D$11:$D1028,"&lt;=31/12"&amp;$C$7)</f>
        <v>0</v>
      </c>
      <c r="BB67" s="256">
        <f>SUMIFS('Livro Diario - FC'!$M$11:$M1028,'Livro Diario - FC'!$E$11:$E1028,$C$67,'Livro Diario - FC'!$D$11:$D1028,"&gt;=01/12"&amp;$C$7,'Livro Diario - FC'!$D$11:$D1028,"&lt;=31/12"&amp;$C$7)</f>
        <v>0</v>
      </c>
      <c r="BC67" s="273"/>
      <c r="BD67" s="273"/>
      <c r="BE67" s="267">
        <f t="shared" ref="BE67:BF67" si="168">SUM(D67,I67,N67,S67,X67,AC67,AG67,AK67,AO67,AS67,AW67,BA67)</f>
        <v>71.79</v>
      </c>
      <c r="BF67" s="268">
        <f t="shared" si="168"/>
        <v>71.79</v>
      </c>
      <c r="BG67" s="269"/>
      <c r="BH67" s="192"/>
      <c r="BI67" s="270">
        <f>SUMIFS('Livro Diario - FC'!$M$11:$M1028,'Livro Diario - FC'!$E$11:$E1028,C67,'Livro Diario - FC'!$D$11:$D1028,"&gt;="&amp;$BK$8,'Livro Diario - FC'!$D$11:$D1028,"&lt;="&amp;$BK$9)</f>
        <v>0</v>
      </c>
      <c r="BJ67" s="271"/>
      <c r="BK67" s="272"/>
      <c r="BL67" s="1"/>
    </row>
    <row r="68">
      <c r="A68" s="1"/>
      <c r="B68" s="1"/>
      <c r="C68" s="338" t="str">
        <f>'Livro Diario - FC'!AE71</f>
        <v>Cebola</v>
      </c>
      <c r="D68" s="255">
        <f>SUMIFS('Livro Diario - FC'!$K$11:$K1028,'Livro Diario - FC'!$E$11:$E1028,$C$68,'Livro Diario - FC'!$D$11:$D1028,"&gt;=01/01"&amp;$C$7,'Livro Diario - FC'!$D$11:$D1028,"&lt;=31/01"&amp;$C$7)</f>
        <v>179.65</v>
      </c>
      <c r="E68" s="256">
        <f>SUMIFS('Livro Diario - FC'!$M$11:$M1028,'Livro Diario - FC'!$E$11:$E1028,$C$68,'Livro Diario - FC'!$D$11:$D1028,"&gt;=01/01"&amp;$C$7,'Livro Diario - FC'!$D$11:$D1028,"&lt;=31/01"&amp;$C$7)</f>
        <v>179.65</v>
      </c>
      <c r="F68" s="273"/>
      <c r="G68" s="258"/>
      <c r="H68" s="157"/>
      <c r="I68" s="255">
        <f>SUMIFS('Livro Diario - FC'!$K$11:$K1028,'Livro Diario - FC'!$E$11:$E1028,$C$68,'Livro Diario - FC'!$D$11:$D1028,"&gt;=01/02"&amp;$C$7,'Livro Diario - FC'!$D$11:$D1028,"&lt;=29/02"&amp;$C$7)</f>
        <v>0</v>
      </c>
      <c r="J68" s="256">
        <f>SUMIFS('Livro Diario - FC'!$M$11:$M1028,'Livro Diario - FC'!$E$11:$E1028,$C$68,'Livro Diario - FC'!$D$11:$D1028,"&gt;=01/02"&amp;$C$7,'Livro Diario - FC'!$D$11:$D1028,"&lt;=29/02"&amp;$C$7)</f>
        <v>0</v>
      </c>
      <c r="K68" s="273"/>
      <c r="L68" s="258"/>
      <c r="M68" s="259"/>
      <c r="N68" s="255">
        <f>SUMIFS('Livro Diario - FC'!$K$11:$K1028,'Livro Diario - FC'!$E$11:$E1028,$C$68,'Livro Diario - FC'!$D$11:$D1028,"&gt;=01/03"&amp;$C$7,'Livro Diario - FC'!$D$11:$D1028,"&lt;=31/03"&amp;$C$7)</f>
        <v>0</v>
      </c>
      <c r="O68" s="256">
        <f>SUMIFS('Livro Diario - FC'!$M$11:$M1028,'Livro Diario - FC'!$E$11:$E1028,$C$68,'Livro Diario - FC'!$D$11:$D1028,"&gt;=01/03"&amp;$C$7,'Livro Diario - FC'!$D$11:$D1028,"&lt;=31/03"&amp;$C$7)</f>
        <v>0</v>
      </c>
      <c r="P68" s="273"/>
      <c r="Q68" s="258"/>
      <c r="R68" s="259"/>
      <c r="S68" s="255">
        <f>SUMIFS('Livro Diario - FC'!$K$11:$K1028,'Livro Diario - FC'!$E$11:$E1028,$C$68,'Livro Diario - FC'!$D$11:$D1028,"&gt;=01/04"&amp;$C$7,'Livro Diario - FC'!$D$11:$D1028,"&lt;=30/04"&amp;$C$7)</f>
        <v>0</v>
      </c>
      <c r="T68" s="256">
        <f>SUMIFS('Livro Diario - FC'!$M$11:$M1028,'Livro Diario - FC'!$E$11:$E1028,$C$68,'Livro Diario - FC'!$D$11:$D1028,"&gt;=01/04"&amp;$C$7,'Livro Diario - FC'!$D$11:$D1028,"&lt;=30/04"&amp;$C$7)</f>
        <v>0</v>
      </c>
      <c r="U68" s="273"/>
      <c r="V68" s="258"/>
      <c r="W68" s="259"/>
      <c r="X68" s="255">
        <f>SUMIFS('Livro Diario - FC'!$K$11:$K1028,'Livro Diario - FC'!$E$11:$E1028,$C$68,'Livro Diario - FC'!$D$11:$D1028,"&gt;=01/05"&amp;$C$7,'Livro Diario - FC'!$D$11:$D1028,"&lt;=31/05"&amp;$C$7)</f>
        <v>0</v>
      </c>
      <c r="Y68" s="256">
        <f>SUMIFS('Livro Diario - FC'!$M$11:$M1028,'Livro Diario - FC'!$E$11:$E1028,$C$68,'Livro Diario - FC'!$D$11:$D1028,"&gt;=01/05"&amp;$C$7,'Livro Diario - FC'!$D$11:$D1028,"&lt;=31/05"&amp;$C$7)</f>
        <v>0</v>
      </c>
      <c r="Z68" s="273"/>
      <c r="AA68" s="258"/>
      <c r="AB68" s="259"/>
      <c r="AC68" s="255">
        <f>SUMIFS('Livro Diario - FC'!$K$11:$K1028,'Livro Diario - FC'!$E$11:$E1028,$C$68,'Livro Diario - FC'!$D$11:$D1028,"&gt;=01/06"&amp;$C$7,'Livro Diario - FC'!$D$11:$D1028,"&lt;=30/06"&amp;$C$7)</f>
        <v>0</v>
      </c>
      <c r="AD68" s="256">
        <f>SUMIFS('Livro Diario - FC'!$M$11:$M1028,'Livro Diario - FC'!$E$11:$E1028,$C$68,'Livro Diario - FC'!$D$11:$D1028,"&gt;=01/06"&amp;$C$7,'Livro Diario - FC'!$D$11:$D1028,"&lt;=30/06"&amp;$C$7)</f>
        <v>0</v>
      </c>
      <c r="AE68" s="273"/>
      <c r="AF68" s="258"/>
      <c r="AG68" s="255">
        <f>SUMIFS('Livro Diario - FC'!$K$11:$K1028,'Livro Diario - FC'!$E$11:$E1028,$C$68,'Livro Diario - FC'!$D$11:$D1028,"&gt;=01/07"&amp;$C$7,'Livro Diario - FC'!$D$11:$D1028,"&lt;=31/07"&amp;$C$7)</f>
        <v>0</v>
      </c>
      <c r="AH68" s="256">
        <f>SUMIFS('Livro Diario - FC'!$M$11:$M1028,'Livro Diario - FC'!$E$11:$E1028,$C$68,'Livro Diario - FC'!$D$11:$D1028,"&gt;=01/07"&amp;$C$7,'Livro Diario - FC'!$D$11:$D1028,"&lt;=31/07"&amp;$C$7)</f>
        <v>0</v>
      </c>
      <c r="AI68" s="273"/>
      <c r="AJ68" s="258"/>
      <c r="AK68" s="255">
        <f>SUMIFS('Livro Diario - FC'!$K$11:$K1028,'Livro Diario - FC'!$E$11:$E1028,$C$68,'Livro Diario - FC'!$D$11:$D1028,"&gt;=01/08"&amp;$C$7,'Livro Diario - FC'!$D$11:$D1028,"&lt;=31/08"&amp;$C$7)</f>
        <v>0</v>
      </c>
      <c r="AL68" s="256">
        <f>SUMIFS('Livro Diario - FC'!$M$11:$M1028,'Livro Diario - FC'!$E$11:$E1028,$C$68,'Livro Diario - FC'!$D$11:$D1028,"&gt;=01/08"&amp;$C$7,'Livro Diario - FC'!$D$11:$D1028,"&lt;=31/08"&amp;$C$7)</f>
        <v>0</v>
      </c>
      <c r="AM68" s="273"/>
      <c r="AN68" s="258"/>
      <c r="AO68" s="255">
        <f>SUMIFS('Livro Diario - FC'!$K$11:$K1028,'Livro Diario - FC'!$E$11:$E1028,$C$68,'Livro Diario - FC'!$D$11:$D1028,"&gt;=01/09"&amp;$C$7,'Livro Diario - FC'!$D$11:$D1028,"&lt;=30/09"&amp;$C$7)</f>
        <v>0</v>
      </c>
      <c r="AP68" s="256">
        <f>SUMIFS('Livro Diario - FC'!$M$11:$M1028,'Livro Diario - FC'!$E$11:$E1028,$C$68,'Livro Diario - FC'!$D$11:$D1028,"&gt;=01/09"&amp;$C$7,'Livro Diario - FC'!$D$11:$D1028,"&lt;=30/09"&amp;$C$7)</f>
        <v>0</v>
      </c>
      <c r="AQ68" s="273"/>
      <c r="AR68" s="258"/>
      <c r="AS68" s="255">
        <f>SUMIFS('Livro Diario - FC'!$K$11:$K1028,'Livro Diario - FC'!$E$11:$E1028,$C$68,'Livro Diario - FC'!$D$11:$D1028,"&gt;=01/10"&amp;$C$7,'Livro Diario - FC'!$D$11:$D1028,"&lt;=31/10"&amp;$C$7)</f>
        <v>0</v>
      </c>
      <c r="AT68" s="256">
        <f>SUMIFS('Livro Diario - FC'!$M$11:$M1028,'Livro Diario - FC'!$E$11:$E1028,$C$68,'Livro Diario - FC'!$D$11:$D1028,"&gt;=01/10"&amp;$C$7,'Livro Diario - FC'!$D$11:$D1028,"&lt;=31/10"&amp;$C$7)</f>
        <v>0</v>
      </c>
      <c r="AU68" s="273"/>
      <c r="AV68" s="258"/>
      <c r="AW68" s="255">
        <f>SUMIFS('Livro Diario - FC'!$K$11:$K1028,'Livro Diario - FC'!$E$11:$E1028,$C$68,'Livro Diario - FC'!$D$11:$D1028,"&gt;=01/11"&amp;$C$7,'Livro Diario - FC'!$D$11:$D1028,"&lt;=30/11"&amp;$C$7)</f>
        <v>0</v>
      </c>
      <c r="AX68" s="256">
        <f>SUMIFS('Livro Diario - FC'!$M$11:$M1028,'Livro Diario - FC'!$E$11:$E1028,$C$68,'Livro Diario - FC'!$D$11:$D1028,"&gt;=01/11"&amp;$C$7,'Livro Diario - FC'!$D$11:$D1028,"&lt;=30/11"&amp;$C$7)</f>
        <v>0</v>
      </c>
      <c r="AY68" s="273"/>
      <c r="AZ68" s="258"/>
      <c r="BA68" s="255">
        <f>SUMIFS('Livro Diario - FC'!$K$11:$K1028,'Livro Diario - FC'!$E$11:$E1028,$C$68,'Livro Diario - FC'!$D$11:$D1028,"&gt;=01/12"&amp;$C$7,'Livro Diario - FC'!$D$11:$D1028,"&lt;=31/12"&amp;$C$7)</f>
        <v>0</v>
      </c>
      <c r="BB68" s="256">
        <f>SUMIFS('Livro Diario - FC'!$M$11:$M1028,'Livro Diario - FC'!$E$11:$E1028,$C$68,'Livro Diario - FC'!$D$11:$D1028,"&gt;=01/12"&amp;$C$7,'Livro Diario - FC'!$D$11:$D1028,"&lt;=31/12"&amp;$C$7)</f>
        <v>0</v>
      </c>
      <c r="BC68" s="273"/>
      <c r="BD68" s="273"/>
      <c r="BE68" s="267">
        <f t="shared" ref="BE68:BF68" si="169">SUM(D68,I68,N68,S68,X68,AC68,AG68,AK68,AO68,AS68,AW68,BA68)</f>
        <v>179.65</v>
      </c>
      <c r="BF68" s="268">
        <f t="shared" si="169"/>
        <v>179.65</v>
      </c>
      <c r="BG68" s="269"/>
      <c r="BH68" s="192"/>
      <c r="BI68" s="270">
        <f>SUMIFS('Livro Diario - FC'!$M$11:$M1028,'Livro Diario - FC'!$E$11:$E1028,C68,'Livro Diario - FC'!$D$11:$D1028,"&gt;="&amp;$BK$8,'Livro Diario - FC'!$D$11:$D1028,"&lt;="&amp;$BK$9)</f>
        <v>0</v>
      </c>
      <c r="BJ68" s="271"/>
      <c r="BK68" s="272"/>
      <c r="BL68" s="1"/>
    </row>
    <row r="69">
      <c r="A69" s="1"/>
      <c r="B69" s="1"/>
      <c r="C69" s="338" t="str">
        <f>'Livro Diario - FC'!AE72</f>
        <v>Tomate</v>
      </c>
      <c r="D69" s="255">
        <f>SUMIFS('Livro Diario - FC'!$K$11:$K1028,'Livro Diario - FC'!$E$11:$E1028,$C$69,'Livro Diario - FC'!$D$11:$D1028,"&gt;=01/01"&amp;$C$7,'Livro Diario - FC'!$D$11:$D1028,"&lt;=31/01"&amp;$C$7)</f>
        <v>232.7</v>
      </c>
      <c r="E69" s="256">
        <f>SUMIFS('Livro Diario - FC'!$M$11:$M1028,'Livro Diario - FC'!$E$11:$E1028,$C$69,'Livro Diario - FC'!$D$11:$D1028,"&gt;=01/01"&amp;$C$7,'Livro Diario - FC'!$D$11:$D1028,"&lt;=31/01"&amp;$C$7)</f>
        <v>232.7</v>
      </c>
      <c r="F69" s="273"/>
      <c r="G69" s="258"/>
      <c r="H69" s="157"/>
      <c r="I69" s="255">
        <f>SUMIFS('Livro Diario - FC'!$K$11:$K1028,'Livro Diario - FC'!$E$11:$E1028,$C$69,'Livro Diario - FC'!$D$11:$D1028,"&gt;=01/02"&amp;$C$7,'Livro Diario - FC'!$D$11:$D1028,"&lt;=29/02"&amp;$C$7)</f>
        <v>0</v>
      </c>
      <c r="J69" s="256">
        <f>SUMIFS('Livro Diario - FC'!$M$11:$M1028,'Livro Diario - FC'!$E$11:$E1028,$C$69,'Livro Diario - FC'!$D$11:$D1028,"&gt;=01/02"&amp;$C$7,'Livro Diario - FC'!$D$11:$D1028,"&lt;=29/02"&amp;$C$7)</f>
        <v>0</v>
      </c>
      <c r="K69" s="273"/>
      <c r="L69" s="258"/>
      <c r="M69" s="259"/>
      <c r="N69" s="255">
        <f>SUMIFS('Livro Diario - FC'!$K$11:$K1028,'Livro Diario - FC'!$E$11:$E1028,$C$69,'Livro Diario - FC'!$D$11:$D1028,"&gt;=01/03"&amp;$C$7,'Livro Diario - FC'!$D$11:$D1028,"&lt;=31/03"&amp;$C$7)</f>
        <v>0</v>
      </c>
      <c r="O69" s="256">
        <f>SUMIFS('Livro Diario - FC'!$M$11:$M1028,'Livro Diario - FC'!$E$11:$E1028,$C$69,'Livro Diario - FC'!$D$11:$D1028,"&gt;=01/03"&amp;$C$7,'Livro Diario - FC'!$D$11:$D1028,"&lt;=31/03"&amp;$C$7)</f>
        <v>0</v>
      </c>
      <c r="P69" s="273"/>
      <c r="Q69" s="258"/>
      <c r="R69" s="259"/>
      <c r="S69" s="255">
        <f>SUMIFS('Livro Diario - FC'!$K$11:$K1028,'Livro Diario - FC'!$E$11:$E1028,$C$69,'Livro Diario - FC'!$D$11:$D1028,"&gt;=01/04"&amp;$C$7,'Livro Diario - FC'!$D$11:$D1028,"&lt;=30/04"&amp;$C$7)</f>
        <v>0</v>
      </c>
      <c r="T69" s="256">
        <f>SUMIFS('Livro Diario - FC'!$M$11:$M1028,'Livro Diario - FC'!$E$11:$E1028,$C$69,'Livro Diario - FC'!$D$11:$D1028,"&gt;=01/04"&amp;$C$7,'Livro Diario - FC'!$D$11:$D1028,"&lt;=30/04"&amp;$C$7)</f>
        <v>0</v>
      </c>
      <c r="U69" s="273"/>
      <c r="V69" s="258"/>
      <c r="W69" s="259"/>
      <c r="X69" s="255">
        <f>SUMIFS('Livro Diario - FC'!$K$11:$K1028,'Livro Diario - FC'!$E$11:$E1028,$C$69,'Livro Diario - FC'!$D$11:$D1028,"&gt;=01/05"&amp;$C$7,'Livro Diario - FC'!$D$11:$D1028,"&lt;=31/05"&amp;$C$7)</f>
        <v>0</v>
      </c>
      <c r="Y69" s="256">
        <f>SUMIFS('Livro Diario - FC'!$M$11:$M1028,'Livro Diario - FC'!$E$11:$E1028,$C$69,'Livro Diario - FC'!$D$11:$D1028,"&gt;=01/05"&amp;$C$7,'Livro Diario - FC'!$D$11:$D1028,"&lt;=31/05"&amp;$C$7)</f>
        <v>0</v>
      </c>
      <c r="Z69" s="273"/>
      <c r="AA69" s="258"/>
      <c r="AB69" s="259"/>
      <c r="AC69" s="255">
        <f>SUMIFS('Livro Diario - FC'!$K$11:$K1028,'Livro Diario - FC'!$E$11:$E1028,$C$69,'Livro Diario - FC'!$D$11:$D1028,"&gt;=01/06"&amp;$C$7,'Livro Diario - FC'!$D$11:$D1028,"&lt;=30/06"&amp;$C$7)</f>
        <v>0</v>
      </c>
      <c r="AD69" s="256">
        <f>SUMIFS('Livro Diario - FC'!$M$11:$M1028,'Livro Diario - FC'!$E$11:$E1028,$C$69,'Livro Diario - FC'!$D$11:$D1028,"&gt;=01/06"&amp;$C$7,'Livro Diario - FC'!$D$11:$D1028,"&lt;=30/06"&amp;$C$7)</f>
        <v>0</v>
      </c>
      <c r="AE69" s="273"/>
      <c r="AF69" s="258"/>
      <c r="AG69" s="255">
        <f>SUMIFS('Livro Diario - FC'!$K$11:$K1028,'Livro Diario - FC'!$E$11:$E1028,$C$69,'Livro Diario - FC'!$D$11:$D1028,"&gt;=01/07"&amp;$C$7,'Livro Diario - FC'!$D$11:$D1028,"&lt;=31/07"&amp;$C$7)</f>
        <v>0</v>
      </c>
      <c r="AH69" s="256">
        <f>SUMIFS('Livro Diario - FC'!$M$11:$M1028,'Livro Diario - FC'!$E$11:$E1028,$C$69,'Livro Diario - FC'!$D$11:$D1028,"&gt;=01/07"&amp;$C$7,'Livro Diario - FC'!$D$11:$D1028,"&lt;=31/07"&amp;$C$7)</f>
        <v>0</v>
      </c>
      <c r="AI69" s="273"/>
      <c r="AJ69" s="258"/>
      <c r="AK69" s="255">
        <f>SUMIFS('Livro Diario - FC'!$K$11:$K1028,'Livro Diario - FC'!$E$11:$E1028,$C$69,'Livro Diario - FC'!$D$11:$D1028,"&gt;=01/08"&amp;$C$7,'Livro Diario - FC'!$D$11:$D1028,"&lt;=31/08"&amp;$C$7)</f>
        <v>0</v>
      </c>
      <c r="AL69" s="256">
        <f>SUMIFS('Livro Diario - FC'!$M$11:$M1028,'Livro Diario - FC'!$E$11:$E1028,$C$69,'Livro Diario - FC'!$D$11:$D1028,"&gt;=01/08"&amp;$C$7,'Livro Diario - FC'!$D$11:$D1028,"&lt;=31/08"&amp;$C$7)</f>
        <v>0</v>
      </c>
      <c r="AM69" s="273"/>
      <c r="AN69" s="258"/>
      <c r="AO69" s="255">
        <f>SUMIFS('Livro Diario - FC'!$K$11:$K1028,'Livro Diario - FC'!$E$11:$E1028,$C$69,'Livro Diario - FC'!$D$11:$D1028,"&gt;=01/09"&amp;$C$7,'Livro Diario - FC'!$D$11:$D1028,"&lt;=30/09"&amp;$C$7)</f>
        <v>0</v>
      </c>
      <c r="AP69" s="256">
        <f>SUMIFS('Livro Diario - FC'!$M$11:$M1028,'Livro Diario - FC'!$E$11:$E1028,$C$69,'Livro Diario - FC'!$D$11:$D1028,"&gt;=01/09"&amp;$C$7,'Livro Diario - FC'!$D$11:$D1028,"&lt;=30/09"&amp;$C$7)</f>
        <v>0</v>
      </c>
      <c r="AQ69" s="273"/>
      <c r="AR69" s="258"/>
      <c r="AS69" s="255">
        <f>SUMIFS('Livro Diario - FC'!$K$11:$K1028,'Livro Diario - FC'!$E$11:$E1028,$C$69,'Livro Diario - FC'!$D$11:$D1028,"&gt;=01/10"&amp;$C$7,'Livro Diario - FC'!$D$11:$D1028,"&lt;=31/10"&amp;$C$7)</f>
        <v>0</v>
      </c>
      <c r="AT69" s="256">
        <f>SUMIFS('Livro Diario - FC'!$M$11:$M1028,'Livro Diario - FC'!$E$11:$E1028,$C$69,'Livro Diario - FC'!$D$11:$D1028,"&gt;=01/10"&amp;$C$7,'Livro Diario - FC'!$D$11:$D1028,"&lt;=31/10"&amp;$C$7)</f>
        <v>0</v>
      </c>
      <c r="AU69" s="273"/>
      <c r="AV69" s="258"/>
      <c r="AW69" s="255">
        <f>SUMIFS('Livro Diario - FC'!$K$11:$K1028,'Livro Diario - FC'!$E$11:$E1028,$C$69,'Livro Diario - FC'!$D$11:$D1028,"&gt;=01/11"&amp;$C$7,'Livro Diario - FC'!$D$11:$D1028,"&lt;=30/11"&amp;$C$7)</f>
        <v>0</v>
      </c>
      <c r="AX69" s="256">
        <f>SUMIFS('Livro Diario - FC'!$M$11:$M1028,'Livro Diario - FC'!$E$11:$E1028,$C$69,'Livro Diario - FC'!$D$11:$D1028,"&gt;=01/11"&amp;$C$7,'Livro Diario - FC'!$D$11:$D1028,"&lt;=30/11"&amp;$C$7)</f>
        <v>0</v>
      </c>
      <c r="AY69" s="273"/>
      <c r="AZ69" s="258"/>
      <c r="BA69" s="255">
        <f>SUMIFS('Livro Diario - FC'!$K$11:$K1028,'Livro Diario - FC'!$E$11:$E1028,$C$69,'Livro Diario - FC'!$D$11:$D1028,"&gt;=01/12"&amp;$C$7,'Livro Diario - FC'!$D$11:$D1028,"&lt;=31/12"&amp;$C$7)</f>
        <v>0</v>
      </c>
      <c r="BB69" s="256">
        <f>SUMIFS('Livro Diario - FC'!$M$11:$M1028,'Livro Diario - FC'!$E$11:$E1028,$C$69,'Livro Diario - FC'!$D$11:$D1028,"&gt;=01/12"&amp;$C$7,'Livro Diario - FC'!$D$11:$D1028,"&lt;=31/12"&amp;$C$7)</f>
        <v>0</v>
      </c>
      <c r="BC69" s="273"/>
      <c r="BD69" s="273"/>
      <c r="BE69" s="267">
        <f t="shared" ref="BE69:BF69" si="170">SUM(D69,I69,N69,S69,X69,AC69,AG69,AK69,AO69,AS69,AW69,BA69)</f>
        <v>232.7</v>
      </c>
      <c r="BF69" s="268">
        <f t="shared" si="170"/>
        <v>232.7</v>
      </c>
      <c r="BG69" s="269"/>
      <c r="BH69" s="192"/>
      <c r="BI69" s="270">
        <f>SUMIFS('Livro Diario - FC'!$M$11:$M1028,'Livro Diario - FC'!$E$11:$E1028,C69,'Livro Diario - FC'!$D$11:$D1028,"&gt;="&amp;$BK$8,'Livro Diario - FC'!$D$11:$D1028,"&lt;="&amp;$BK$9)</f>
        <v>0</v>
      </c>
      <c r="BJ69" s="271"/>
      <c r="BK69" s="272"/>
      <c r="BL69" s="1"/>
    </row>
    <row r="70">
      <c r="A70" s="1"/>
      <c r="B70" s="1"/>
      <c r="C70" s="338" t="str">
        <f>'Livro Diario - FC'!AE73</f>
        <v>Chuchu</v>
      </c>
      <c r="D70" s="255">
        <f>SUMIFS('Livro Diario - FC'!$K$11:$K1028,'Livro Diario - FC'!$E$11:$E1028,$C$70,'Livro Diario - FC'!$D$11:$D1028,"&gt;=01/01"&amp;$C$7,'Livro Diario - FC'!$D$11:$D1028,"&lt;=31/01"&amp;$C$7)</f>
        <v>11.52</v>
      </c>
      <c r="E70" s="256">
        <f>SUMIFS('Livro Diario - FC'!$M$11:$M1028,'Livro Diario - FC'!$E$11:$E1028,$C$70,'Livro Diario - FC'!$D$11:$D1028,"&gt;=01/01"&amp;$C$7,'Livro Diario - FC'!$D$11:$D1028,"&lt;=31/01"&amp;$C$7)</f>
        <v>11.52</v>
      </c>
      <c r="F70" s="273"/>
      <c r="G70" s="258"/>
      <c r="H70" s="157"/>
      <c r="I70" s="255">
        <f>SUMIFS('Livro Diario - FC'!$K$11:$K1028,'Livro Diario - FC'!$E$11:$E1028,$C$70,'Livro Diario - FC'!$D$11:$D1028,"&gt;=01/02"&amp;$C$7,'Livro Diario - FC'!$D$11:$D1028,"&lt;=29/02"&amp;$C$7)</f>
        <v>0</v>
      </c>
      <c r="J70" s="256">
        <f>SUMIFS('Livro Diario - FC'!$M$11:$M1028,'Livro Diario - FC'!$E$11:$E1028,$C$70,'Livro Diario - FC'!$D$11:$D1028,"&gt;=01/02"&amp;$C$7,'Livro Diario - FC'!$D$11:$D1028,"&lt;=29/02"&amp;$C$7)</f>
        <v>0</v>
      </c>
      <c r="K70" s="273"/>
      <c r="L70" s="258"/>
      <c r="M70" s="259"/>
      <c r="N70" s="255">
        <f>SUMIFS('Livro Diario - FC'!$K$11:$K1028,'Livro Diario - FC'!$E$11:$E1028,$C$70,'Livro Diario - FC'!$D$11:$D1028,"&gt;=01/03"&amp;$C$7,'Livro Diario - FC'!$D$11:$D1028,"&lt;=31/03"&amp;$C$7)</f>
        <v>0</v>
      </c>
      <c r="O70" s="256">
        <f>SUMIFS('Livro Diario - FC'!$M$11:$M1028,'Livro Diario - FC'!$E$11:$E1028,$C$70,'Livro Diario - FC'!$D$11:$D1028,"&gt;=01/03"&amp;$C$7,'Livro Diario - FC'!$D$11:$D1028,"&lt;=31/03"&amp;$C$7)</f>
        <v>0</v>
      </c>
      <c r="P70" s="273"/>
      <c r="Q70" s="258"/>
      <c r="R70" s="259"/>
      <c r="S70" s="255">
        <f>SUMIFS('Livro Diario - FC'!$K$11:$K1028,'Livro Diario - FC'!$E$11:$E1028,$C$70,'Livro Diario - FC'!$D$11:$D1028,"&gt;=01/04"&amp;$C$7,'Livro Diario - FC'!$D$11:$D1028,"&lt;=30/04"&amp;$C$7)</f>
        <v>0</v>
      </c>
      <c r="T70" s="256">
        <f>SUMIFS('Livro Diario - FC'!$M$11:$M1028,'Livro Diario - FC'!$E$11:$E1028,$C$70,'Livro Diario - FC'!$D$11:$D1028,"&gt;=01/04"&amp;$C$7,'Livro Diario - FC'!$D$11:$D1028,"&lt;=30/04"&amp;$C$7)</f>
        <v>0</v>
      </c>
      <c r="U70" s="273"/>
      <c r="V70" s="258"/>
      <c r="W70" s="259"/>
      <c r="X70" s="255">
        <f>SUMIFS('Livro Diario - FC'!$K$11:$K1028,'Livro Diario - FC'!$E$11:$E1028,$C$70,'Livro Diario - FC'!$D$11:$D1028,"&gt;=01/05"&amp;$C$7,'Livro Diario - FC'!$D$11:$D1028,"&lt;=31/05"&amp;$C$7)</f>
        <v>0</v>
      </c>
      <c r="Y70" s="256">
        <f>SUMIFS('Livro Diario - FC'!$M$11:$M1028,'Livro Diario - FC'!$E$11:$E1028,$C$70,'Livro Diario - FC'!$D$11:$D1028,"&gt;=01/05"&amp;$C$7,'Livro Diario - FC'!$D$11:$D1028,"&lt;=31/05"&amp;$C$7)</f>
        <v>0</v>
      </c>
      <c r="Z70" s="273"/>
      <c r="AA70" s="258"/>
      <c r="AB70" s="259"/>
      <c r="AC70" s="255">
        <f>SUMIFS('Livro Diario - FC'!$K$11:$K1028,'Livro Diario - FC'!$E$11:$E1028,$C$70,'Livro Diario - FC'!$D$11:$D1028,"&gt;=01/06"&amp;$C$7,'Livro Diario - FC'!$D$11:$D1028,"&lt;=30/06"&amp;$C$7)</f>
        <v>0</v>
      </c>
      <c r="AD70" s="256">
        <f>SUMIFS('Livro Diario - FC'!$M$11:$M1028,'Livro Diario - FC'!$E$11:$E1028,$C$70,'Livro Diario - FC'!$D$11:$D1028,"&gt;=01/06"&amp;$C$7,'Livro Diario - FC'!$D$11:$D1028,"&lt;=30/06"&amp;$C$7)</f>
        <v>0</v>
      </c>
      <c r="AE70" s="273"/>
      <c r="AF70" s="258"/>
      <c r="AG70" s="255">
        <f>SUMIFS('Livro Diario - FC'!$K$11:$K1028,'Livro Diario - FC'!$E$11:$E1028,$C$70,'Livro Diario - FC'!$D$11:$D1028,"&gt;=01/07"&amp;$C$7,'Livro Diario - FC'!$D$11:$D1028,"&lt;=31/07"&amp;$C$7)</f>
        <v>0</v>
      </c>
      <c r="AH70" s="256">
        <f>SUMIFS('Livro Diario - FC'!$M$11:$M1028,'Livro Diario - FC'!$E$11:$E1028,$C$70,'Livro Diario - FC'!$D$11:$D1028,"&gt;=01/07"&amp;$C$7,'Livro Diario - FC'!$D$11:$D1028,"&lt;=31/07"&amp;$C$7)</f>
        <v>0</v>
      </c>
      <c r="AI70" s="273"/>
      <c r="AJ70" s="258"/>
      <c r="AK70" s="255">
        <f>SUMIFS('Livro Diario - FC'!$K$11:$K1028,'Livro Diario - FC'!$E$11:$E1028,$C$70,'Livro Diario - FC'!$D$11:$D1028,"&gt;=01/08"&amp;$C$7,'Livro Diario - FC'!$D$11:$D1028,"&lt;=31/08"&amp;$C$7)</f>
        <v>0</v>
      </c>
      <c r="AL70" s="256">
        <f>SUMIFS('Livro Diario - FC'!$M$11:$M1028,'Livro Diario - FC'!$E$11:$E1028,$C$70,'Livro Diario - FC'!$D$11:$D1028,"&gt;=01/08"&amp;$C$7,'Livro Diario - FC'!$D$11:$D1028,"&lt;=31/08"&amp;$C$7)</f>
        <v>0</v>
      </c>
      <c r="AM70" s="273"/>
      <c r="AN70" s="258"/>
      <c r="AO70" s="255">
        <f>SUMIFS('Livro Diario - FC'!$K$11:$K1028,'Livro Diario - FC'!$E$11:$E1028,$C$70,'Livro Diario - FC'!$D$11:$D1028,"&gt;=01/09"&amp;$C$7,'Livro Diario - FC'!$D$11:$D1028,"&lt;=30/09"&amp;$C$7)</f>
        <v>0</v>
      </c>
      <c r="AP70" s="256">
        <f>SUMIFS('Livro Diario - FC'!$M$11:$M1028,'Livro Diario - FC'!$E$11:$E1028,$C$70,'Livro Diario - FC'!$D$11:$D1028,"&gt;=01/09"&amp;$C$7,'Livro Diario - FC'!$D$11:$D1028,"&lt;=30/09"&amp;$C$7)</f>
        <v>0</v>
      </c>
      <c r="AQ70" s="273"/>
      <c r="AR70" s="258"/>
      <c r="AS70" s="255">
        <f>SUMIFS('Livro Diario - FC'!$K$11:$K1028,'Livro Diario - FC'!$E$11:$E1028,$C$70,'Livro Diario - FC'!$D$11:$D1028,"&gt;=01/10"&amp;$C$7,'Livro Diario - FC'!$D$11:$D1028,"&lt;=31/10"&amp;$C$7)</f>
        <v>0</v>
      </c>
      <c r="AT70" s="256">
        <f>SUMIFS('Livro Diario - FC'!$M$11:$M1028,'Livro Diario - FC'!$E$11:$E1028,$C$70,'Livro Diario - FC'!$D$11:$D1028,"&gt;=01/10"&amp;$C$7,'Livro Diario - FC'!$D$11:$D1028,"&lt;=31/10"&amp;$C$7)</f>
        <v>0</v>
      </c>
      <c r="AU70" s="273"/>
      <c r="AV70" s="258"/>
      <c r="AW70" s="255">
        <f>SUMIFS('Livro Diario - FC'!$K$11:$K1028,'Livro Diario - FC'!$E$11:$E1028,$C$70,'Livro Diario - FC'!$D$11:$D1028,"&gt;=01/11"&amp;$C$7,'Livro Diario - FC'!$D$11:$D1028,"&lt;=30/11"&amp;$C$7)</f>
        <v>0</v>
      </c>
      <c r="AX70" s="256">
        <f>SUMIFS('Livro Diario - FC'!$M$11:$M1028,'Livro Diario - FC'!$E$11:$E1028,$C$70,'Livro Diario - FC'!$D$11:$D1028,"&gt;=01/11"&amp;$C$7,'Livro Diario - FC'!$D$11:$D1028,"&lt;=30/11"&amp;$C$7)</f>
        <v>0</v>
      </c>
      <c r="AY70" s="273"/>
      <c r="AZ70" s="258"/>
      <c r="BA70" s="255">
        <f>SUMIFS('Livro Diario - FC'!$K$11:$K1028,'Livro Diario - FC'!$E$11:$E1028,$C$70,'Livro Diario - FC'!$D$11:$D1028,"&gt;=01/12"&amp;$C$7,'Livro Diario - FC'!$D$11:$D1028,"&lt;=31/12"&amp;$C$7)</f>
        <v>0</v>
      </c>
      <c r="BB70" s="256">
        <f>SUMIFS('Livro Diario - FC'!$M$11:$M1028,'Livro Diario - FC'!$E$11:$E1028,$C$70,'Livro Diario - FC'!$D$11:$D1028,"&gt;=01/12"&amp;$C$7,'Livro Diario - FC'!$D$11:$D1028,"&lt;=31/12"&amp;$C$7)</f>
        <v>0</v>
      </c>
      <c r="BC70" s="273"/>
      <c r="BD70" s="273"/>
      <c r="BE70" s="267">
        <f t="shared" ref="BE70:BF70" si="171">SUM(D70,I70,N70,S70,X70,AC70,AG70,AK70,AO70,AS70,AW70,BA70)</f>
        <v>11.52</v>
      </c>
      <c r="BF70" s="268">
        <f t="shared" si="171"/>
        <v>11.52</v>
      </c>
      <c r="BG70" s="269"/>
      <c r="BH70" s="192"/>
      <c r="BI70" s="270">
        <f>SUMIFS('Livro Diario - FC'!$M$11:$M1028,'Livro Diario - FC'!$E$11:$E1028,C70,'Livro Diario - FC'!$D$11:$D1028,"&gt;="&amp;$BK$8,'Livro Diario - FC'!$D$11:$D1028,"&lt;="&amp;$BK$9)</f>
        <v>0</v>
      </c>
      <c r="BJ70" s="271"/>
      <c r="BK70" s="272"/>
      <c r="BL70" s="1"/>
    </row>
    <row r="71">
      <c r="A71" s="1"/>
      <c r="B71" s="1"/>
      <c r="C71" s="338" t="str">
        <f>'Livro Diario - FC'!AE74</f>
        <v>Coentro</v>
      </c>
      <c r="D71" s="255">
        <f>SUMIFS('Livro Diario - FC'!$K$11:$K1028,'Livro Diario - FC'!$E$11:$E1028,$C$71,'Livro Diario - FC'!$D$11:$D1028,"&gt;=01/01"&amp;$C$7,'Livro Diario - FC'!$D$11:$D1028,"&lt;=31/01"&amp;$C$7)</f>
        <v>116.25</v>
      </c>
      <c r="E71" s="256">
        <f>SUMIFS('Livro Diario - FC'!$M$11:$M1028,'Livro Diario - FC'!$E$11:$E1028,$C$71,'Livro Diario - FC'!$D$11:$D1028,"&gt;=01/01"&amp;$C$7,'Livro Diario - FC'!$D$11:$D1028,"&lt;=31/01"&amp;$C$7)</f>
        <v>116.25</v>
      </c>
      <c r="F71" s="273"/>
      <c r="G71" s="258"/>
      <c r="H71" s="157"/>
      <c r="I71" s="255">
        <f>SUMIFS('Livro Diario - FC'!$K$11:$K1028,'Livro Diario - FC'!$E$11:$E1028,$C$71,'Livro Diario - FC'!$D$11:$D1028,"&gt;=01/02"&amp;$C$7,'Livro Diario - FC'!$D$11:$D1028,"&lt;=29/02"&amp;$C$7)</f>
        <v>0</v>
      </c>
      <c r="J71" s="256">
        <f>SUMIFS('Livro Diario - FC'!$M$11:$M1028,'Livro Diario - FC'!$E$11:$E1028,$C$71,'Livro Diario - FC'!$D$11:$D1028,"&gt;=01/02"&amp;$C$7,'Livro Diario - FC'!$D$11:$D1028,"&lt;=29/02"&amp;$C$7)</f>
        <v>0</v>
      </c>
      <c r="K71" s="273"/>
      <c r="L71" s="258"/>
      <c r="M71" s="259"/>
      <c r="N71" s="255">
        <f>SUMIFS('Livro Diario - FC'!$K$11:$K1028,'Livro Diario - FC'!$E$11:$E1028,$C$71,'Livro Diario - FC'!$D$11:$D1028,"&gt;=01/03"&amp;$C$7,'Livro Diario - FC'!$D$11:$D1028,"&lt;=31/03"&amp;$C$7)</f>
        <v>0</v>
      </c>
      <c r="O71" s="256">
        <f>SUMIFS('Livro Diario - FC'!$M$11:$M1028,'Livro Diario - FC'!$E$11:$E1028,$C$71,'Livro Diario - FC'!$D$11:$D1028,"&gt;=01/03"&amp;$C$7,'Livro Diario - FC'!$D$11:$D1028,"&lt;=31/03"&amp;$C$7)</f>
        <v>0</v>
      </c>
      <c r="P71" s="273"/>
      <c r="Q71" s="258"/>
      <c r="R71" s="259"/>
      <c r="S71" s="255">
        <f>SUMIFS('Livro Diario - FC'!$K$11:$K1028,'Livro Diario - FC'!$E$11:$E1028,$C$71,'Livro Diario - FC'!$D$11:$D1028,"&gt;=01/04"&amp;$C$7,'Livro Diario - FC'!$D$11:$D1028,"&lt;=30/04"&amp;$C$7)</f>
        <v>0</v>
      </c>
      <c r="T71" s="256">
        <f>SUMIFS('Livro Diario - FC'!$M$11:$M1028,'Livro Diario - FC'!$E$11:$E1028,$C$71,'Livro Diario - FC'!$D$11:$D1028,"&gt;=01/04"&amp;$C$7,'Livro Diario - FC'!$D$11:$D1028,"&lt;=30/04"&amp;$C$7)</f>
        <v>0</v>
      </c>
      <c r="U71" s="273"/>
      <c r="V71" s="258"/>
      <c r="W71" s="259"/>
      <c r="X71" s="255">
        <f>SUMIFS('Livro Diario - FC'!$K$11:$K1028,'Livro Diario - FC'!$E$11:$E1028,$C$71,'Livro Diario - FC'!$D$11:$D1028,"&gt;=01/05"&amp;$C$7,'Livro Diario - FC'!$D$11:$D1028,"&lt;=31/05"&amp;$C$7)</f>
        <v>0</v>
      </c>
      <c r="Y71" s="256">
        <f>SUMIFS('Livro Diario - FC'!$M$11:$M1028,'Livro Diario - FC'!$E$11:$E1028,$C$71,'Livro Diario - FC'!$D$11:$D1028,"&gt;=01/05"&amp;$C$7,'Livro Diario - FC'!$D$11:$D1028,"&lt;=31/05"&amp;$C$7)</f>
        <v>0</v>
      </c>
      <c r="Z71" s="273"/>
      <c r="AA71" s="258"/>
      <c r="AB71" s="259"/>
      <c r="AC71" s="255">
        <f>SUMIFS('Livro Diario - FC'!$K$11:$K1028,'Livro Diario - FC'!$E$11:$E1028,$C$71,'Livro Diario - FC'!$D$11:$D1028,"&gt;=01/06"&amp;$C$7,'Livro Diario - FC'!$D$11:$D1028,"&lt;=30/06"&amp;$C$7)</f>
        <v>0</v>
      </c>
      <c r="AD71" s="256">
        <f>SUMIFS('Livro Diario - FC'!$M$11:$M1028,'Livro Diario - FC'!$E$11:$E1028,$C$71,'Livro Diario - FC'!$D$11:$D1028,"&gt;=01/06"&amp;$C$7,'Livro Diario - FC'!$D$11:$D1028,"&lt;=30/06"&amp;$C$7)</f>
        <v>0</v>
      </c>
      <c r="AE71" s="273"/>
      <c r="AF71" s="258"/>
      <c r="AG71" s="255">
        <f>SUMIFS('Livro Diario - FC'!$K$11:$K1028,'Livro Diario - FC'!$E$11:$E1028,$C$71,'Livro Diario - FC'!$D$11:$D1028,"&gt;=01/07"&amp;$C$7,'Livro Diario - FC'!$D$11:$D1028,"&lt;=31/07"&amp;$C$7)</f>
        <v>0</v>
      </c>
      <c r="AH71" s="256">
        <f>SUMIFS('Livro Diario - FC'!$M$11:$M1028,'Livro Diario - FC'!$E$11:$E1028,$C$71,'Livro Diario - FC'!$D$11:$D1028,"&gt;=01/07"&amp;$C$7,'Livro Diario - FC'!$D$11:$D1028,"&lt;=31/07"&amp;$C$7)</f>
        <v>0</v>
      </c>
      <c r="AI71" s="273"/>
      <c r="AJ71" s="258"/>
      <c r="AK71" s="255">
        <f>SUMIFS('Livro Diario - FC'!$K$11:$K1028,'Livro Diario - FC'!$E$11:$E1028,$C$71,'Livro Diario - FC'!$D$11:$D1028,"&gt;=01/08"&amp;$C$7,'Livro Diario - FC'!$D$11:$D1028,"&lt;=31/08"&amp;$C$7)</f>
        <v>0</v>
      </c>
      <c r="AL71" s="256">
        <f>SUMIFS('Livro Diario - FC'!$M$11:$M1028,'Livro Diario - FC'!$E$11:$E1028,$C$71,'Livro Diario - FC'!$D$11:$D1028,"&gt;=01/08"&amp;$C$7,'Livro Diario - FC'!$D$11:$D1028,"&lt;=31/08"&amp;$C$7)</f>
        <v>0</v>
      </c>
      <c r="AM71" s="273"/>
      <c r="AN71" s="258"/>
      <c r="AO71" s="255">
        <f>SUMIFS('Livro Diario - FC'!$K$11:$K1028,'Livro Diario - FC'!$E$11:$E1028,$C$71,'Livro Diario - FC'!$D$11:$D1028,"&gt;=01/09"&amp;$C$7,'Livro Diario - FC'!$D$11:$D1028,"&lt;=30/09"&amp;$C$7)</f>
        <v>0</v>
      </c>
      <c r="AP71" s="256">
        <f>SUMIFS('Livro Diario - FC'!$M$11:$M1028,'Livro Diario - FC'!$E$11:$E1028,$C$71,'Livro Diario - FC'!$D$11:$D1028,"&gt;=01/09"&amp;$C$7,'Livro Diario - FC'!$D$11:$D1028,"&lt;=30/09"&amp;$C$7)</f>
        <v>0</v>
      </c>
      <c r="AQ71" s="273"/>
      <c r="AR71" s="258"/>
      <c r="AS71" s="255">
        <f>SUMIFS('Livro Diario - FC'!$K$11:$K1028,'Livro Diario - FC'!$E$11:$E1028,$C$71,'Livro Diario - FC'!$D$11:$D1028,"&gt;=01/10"&amp;$C$7,'Livro Diario - FC'!$D$11:$D1028,"&lt;=31/10"&amp;$C$7)</f>
        <v>0</v>
      </c>
      <c r="AT71" s="256">
        <f>SUMIFS('Livro Diario - FC'!$M$11:$M1028,'Livro Diario - FC'!$E$11:$E1028,$C$71,'Livro Diario - FC'!$D$11:$D1028,"&gt;=01/10"&amp;$C$7,'Livro Diario - FC'!$D$11:$D1028,"&lt;=31/10"&amp;$C$7)</f>
        <v>0</v>
      </c>
      <c r="AU71" s="273"/>
      <c r="AV71" s="258"/>
      <c r="AW71" s="255">
        <f>SUMIFS('Livro Diario - FC'!$K$11:$K1028,'Livro Diario - FC'!$E$11:$E1028,$C$71,'Livro Diario - FC'!$D$11:$D1028,"&gt;=01/11"&amp;$C$7,'Livro Diario - FC'!$D$11:$D1028,"&lt;=30/11"&amp;$C$7)</f>
        <v>0</v>
      </c>
      <c r="AX71" s="256">
        <f>SUMIFS('Livro Diario - FC'!$M$11:$M1028,'Livro Diario - FC'!$E$11:$E1028,$C$71,'Livro Diario - FC'!$D$11:$D1028,"&gt;=01/11"&amp;$C$7,'Livro Diario - FC'!$D$11:$D1028,"&lt;=30/11"&amp;$C$7)</f>
        <v>0</v>
      </c>
      <c r="AY71" s="273"/>
      <c r="AZ71" s="258"/>
      <c r="BA71" s="255">
        <f>SUMIFS('Livro Diario - FC'!$K$11:$K1028,'Livro Diario - FC'!$E$11:$E1028,$C$71,'Livro Diario - FC'!$D$11:$D1028,"&gt;=01/12"&amp;$C$7,'Livro Diario - FC'!$D$11:$D1028,"&lt;=31/12"&amp;$C$7)</f>
        <v>0</v>
      </c>
      <c r="BB71" s="256">
        <f>SUMIFS('Livro Diario - FC'!$M$11:$M1028,'Livro Diario - FC'!$E$11:$E1028,$C$71,'Livro Diario - FC'!$D$11:$D1028,"&gt;=01/12"&amp;$C$7,'Livro Diario - FC'!$D$11:$D1028,"&lt;=31/12"&amp;$C$7)</f>
        <v>0</v>
      </c>
      <c r="BC71" s="273"/>
      <c r="BD71" s="273"/>
      <c r="BE71" s="267">
        <f t="shared" ref="BE71:BF71" si="172">SUM(D71,I71,N71,S71,X71,AC71,AG71,AK71,AO71,AS71,AW71,BA71)</f>
        <v>116.25</v>
      </c>
      <c r="BF71" s="268">
        <f t="shared" si="172"/>
        <v>116.25</v>
      </c>
      <c r="BG71" s="269"/>
      <c r="BH71" s="192"/>
      <c r="BI71" s="270">
        <f>SUMIFS('Livro Diario - FC'!$M$11:$M1028,'Livro Diario - FC'!$E$11:$E1028,C71,'Livro Diario - FC'!$D$11:$D1028,"&gt;="&amp;$BK$8,'Livro Diario - FC'!$D$11:$D1028,"&lt;="&amp;$BK$9)</f>
        <v>0</v>
      </c>
      <c r="BJ71" s="271"/>
      <c r="BK71" s="272"/>
      <c r="BL71" s="1"/>
    </row>
    <row r="72">
      <c r="A72" s="1"/>
      <c r="B72" s="1"/>
      <c r="C72" s="338" t="str">
        <f>'Livro Diario - FC'!AE75</f>
        <v>Batata Inglesa</v>
      </c>
      <c r="D72" s="255">
        <f>SUMIFS('Livro Diario - FC'!$K$11:$K1028,'Livro Diario - FC'!$E$11:$E1028,$C$72,'Livro Diario - FC'!$D$11:$D1028,"&gt;=01/01"&amp;$C$7,'Livro Diario - FC'!$D$11:$D1028,"&lt;=31/01"&amp;$C$7)</f>
        <v>173.43</v>
      </c>
      <c r="E72" s="256">
        <f>SUMIFS('Livro Diario - FC'!$M$11:$M1028,'Livro Diario - FC'!$E$11:$E1028,$C$72,'Livro Diario - FC'!$D$11:$D1028,"&gt;=01/01"&amp;$C$7,'Livro Diario - FC'!$D$11:$D1028,"&lt;=31/01"&amp;$C$7)</f>
        <v>173.43</v>
      </c>
      <c r="F72" s="273"/>
      <c r="G72" s="258"/>
      <c r="H72" s="157"/>
      <c r="I72" s="255">
        <f>SUMIFS('Livro Diario - FC'!$K$11:$K1028,'Livro Diario - FC'!$E$11:$E1028,$C$72,'Livro Diario - FC'!$D$11:$D1028,"&gt;=01/02"&amp;$C$7,'Livro Diario - FC'!$D$11:$D1028,"&lt;=29/02"&amp;$C$7)</f>
        <v>0</v>
      </c>
      <c r="J72" s="256">
        <f>SUMIFS('Livro Diario - FC'!$M$11:$M1028,'Livro Diario - FC'!$E$11:$E1028,$C$72,'Livro Diario - FC'!$D$11:$D1028,"&gt;=01/02"&amp;$C$7,'Livro Diario - FC'!$D$11:$D1028,"&lt;=29/02"&amp;$C$7)</f>
        <v>0</v>
      </c>
      <c r="K72" s="273"/>
      <c r="L72" s="258"/>
      <c r="M72" s="259"/>
      <c r="N72" s="255">
        <f>SUMIFS('Livro Diario - FC'!$K$11:$K1028,'Livro Diario - FC'!$E$11:$E1028,$C$72,'Livro Diario - FC'!$D$11:$D1028,"&gt;=01/03"&amp;$C$7,'Livro Diario - FC'!$D$11:$D1028,"&lt;=31/03"&amp;$C$7)</f>
        <v>0</v>
      </c>
      <c r="O72" s="256">
        <f>SUMIFS('Livro Diario - FC'!$M$11:$M1028,'Livro Diario - FC'!$E$11:$E1028,$C$72,'Livro Diario - FC'!$D$11:$D1028,"&gt;=01/03"&amp;$C$7,'Livro Diario - FC'!$D$11:$D1028,"&lt;=31/03"&amp;$C$7)</f>
        <v>0</v>
      </c>
      <c r="P72" s="273"/>
      <c r="Q72" s="258"/>
      <c r="R72" s="259"/>
      <c r="S72" s="255">
        <f>SUMIFS('Livro Diario - FC'!$K$11:$K1028,'Livro Diario - FC'!$E$11:$E1028,$C$72,'Livro Diario - FC'!$D$11:$D1028,"&gt;=01/04"&amp;$C$7,'Livro Diario - FC'!$D$11:$D1028,"&lt;=30/04"&amp;$C$7)</f>
        <v>0</v>
      </c>
      <c r="T72" s="256">
        <f>SUMIFS('Livro Diario - FC'!$M$11:$M1028,'Livro Diario - FC'!$E$11:$E1028,$C$72,'Livro Diario - FC'!$D$11:$D1028,"&gt;=01/04"&amp;$C$7,'Livro Diario - FC'!$D$11:$D1028,"&lt;=30/04"&amp;$C$7)</f>
        <v>0</v>
      </c>
      <c r="U72" s="273"/>
      <c r="V72" s="258"/>
      <c r="W72" s="259"/>
      <c r="X72" s="255">
        <f>SUMIFS('Livro Diario - FC'!$K$11:$K1028,'Livro Diario - FC'!$E$11:$E1028,$C$72,'Livro Diario - FC'!$D$11:$D1028,"&gt;=01/05"&amp;$C$7,'Livro Diario - FC'!$D$11:$D1028,"&lt;=31/05"&amp;$C$7)</f>
        <v>0</v>
      </c>
      <c r="Y72" s="256">
        <f>SUMIFS('Livro Diario - FC'!$M$11:$M1028,'Livro Diario - FC'!$E$11:$E1028,$C$72,'Livro Diario - FC'!$D$11:$D1028,"&gt;=01/05"&amp;$C$7,'Livro Diario - FC'!$D$11:$D1028,"&lt;=31/05"&amp;$C$7)</f>
        <v>0</v>
      </c>
      <c r="Z72" s="273"/>
      <c r="AA72" s="258"/>
      <c r="AB72" s="259"/>
      <c r="AC72" s="255">
        <f>SUMIFS('Livro Diario - FC'!$K$11:$K1028,'Livro Diario - FC'!$E$11:$E1028,$C$72,'Livro Diario - FC'!$D$11:$D1028,"&gt;=01/06"&amp;$C$7,'Livro Diario - FC'!$D$11:$D1028,"&lt;=30/06"&amp;$C$7)</f>
        <v>0</v>
      </c>
      <c r="AD72" s="256">
        <f>SUMIFS('Livro Diario - FC'!$M$11:$M1028,'Livro Diario - FC'!$E$11:$E1028,$C$72,'Livro Diario - FC'!$D$11:$D1028,"&gt;=01/06"&amp;$C$7,'Livro Diario - FC'!$D$11:$D1028,"&lt;=30/06"&amp;$C$7)</f>
        <v>0</v>
      </c>
      <c r="AE72" s="273"/>
      <c r="AF72" s="258"/>
      <c r="AG72" s="255">
        <f>SUMIFS('Livro Diario - FC'!$K$11:$K1028,'Livro Diario - FC'!$E$11:$E1028,$C$72,'Livro Diario - FC'!$D$11:$D1028,"&gt;=01/07"&amp;$C$7,'Livro Diario - FC'!$D$11:$D1028,"&lt;=31/07"&amp;$C$7)</f>
        <v>0</v>
      </c>
      <c r="AH72" s="256">
        <f>SUMIFS('Livro Diario - FC'!$M$11:$M1028,'Livro Diario - FC'!$E$11:$E1028,$C$72,'Livro Diario - FC'!$D$11:$D1028,"&gt;=01/07"&amp;$C$7,'Livro Diario - FC'!$D$11:$D1028,"&lt;=31/07"&amp;$C$7)</f>
        <v>0</v>
      </c>
      <c r="AI72" s="273"/>
      <c r="AJ72" s="258"/>
      <c r="AK72" s="255">
        <f>SUMIFS('Livro Diario - FC'!$K$11:$K1028,'Livro Diario - FC'!$E$11:$E1028,$C$72,'Livro Diario - FC'!$D$11:$D1028,"&gt;=01/08"&amp;$C$7,'Livro Diario - FC'!$D$11:$D1028,"&lt;=31/08"&amp;$C$7)</f>
        <v>0</v>
      </c>
      <c r="AL72" s="256">
        <f>SUMIFS('Livro Diario - FC'!$M$11:$M1028,'Livro Diario - FC'!$E$11:$E1028,$C$72,'Livro Diario - FC'!$D$11:$D1028,"&gt;=01/08"&amp;$C$7,'Livro Diario - FC'!$D$11:$D1028,"&lt;=31/08"&amp;$C$7)</f>
        <v>0</v>
      </c>
      <c r="AM72" s="273"/>
      <c r="AN72" s="258"/>
      <c r="AO72" s="255">
        <f>SUMIFS('Livro Diario - FC'!$K$11:$K1028,'Livro Diario - FC'!$E$11:$E1028,$C$72,'Livro Diario - FC'!$D$11:$D1028,"&gt;=01/09"&amp;$C$7,'Livro Diario - FC'!$D$11:$D1028,"&lt;=30/09"&amp;$C$7)</f>
        <v>0</v>
      </c>
      <c r="AP72" s="256">
        <f>SUMIFS('Livro Diario - FC'!$M$11:$M1028,'Livro Diario - FC'!$E$11:$E1028,$C$72,'Livro Diario - FC'!$D$11:$D1028,"&gt;=01/09"&amp;$C$7,'Livro Diario - FC'!$D$11:$D1028,"&lt;=30/09"&amp;$C$7)</f>
        <v>0</v>
      </c>
      <c r="AQ72" s="273"/>
      <c r="AR72" s="258"/>
      <c r="AS72" s="255">
        <f>SUMIFS('Livro Diario - FC'!$K$11:$K1028,'Livro Diario - FC'!$E$11:$E1028,$C$72,'Livro Diario - FC'!$D$11:$D1028,"&gt;=01/10"&amp;$C$7,'Livro Diario - FC'!$D$11:$D1028,"&lt;=31/10"&amp;$C$7)</f>
        <v>0</v>
      </c>
      <c r="AT72" s="256">
        <f>SUMIFS('Livro Diario - FC'!$M$11:$M1028,'Livro Diario - FC'!$E$11:$E1028,$C$72,'Livro Diario - FC'!$D$11:$D1028,"&gt;=01/10"&amp;$C$7,'Livro Diario - FC'!$D$11:$D1028,"&lt;=31/10"&amp;$C$7)</f>
        <v>0</v>
      </c>
      <c r="AU72" s="273"/>
      <c r="AV72" s="258"/>
      <c r="AW72" s="255">
        <f>SUMIFS('Livro Diario - FC'!$K$11:$K1028,'Livro Diario - FC'!$E$11:$E1028,$C$72,'Livro Diario - FC'!$D$11:$D1028,"&gt;=01/11"&amp;$C$7,'Livro Diario - FC'!$D$11:$D1028,"&lt;=30/11"&amp;$C$7)</f>
        <v>0</v>
      </c>
      <c r="AX72" s="256">
        <f>SUMIFS('Livro Diario - FC'!$M$11:$M1028,'Livro Diario - FC'!$E$11:$E1028,$C$72,'Livro Diario - FC'!$D$11:$D1028,"&gt;=01/11"&amp;$C$7,'Livro Diario - FC'!$D$11:$D1028,"&lt;=30/11"&amp;$C$7)</f>
        <v>0</v>
      </c>
      <c r="AY72" s="273"/>
      <c r="AZ72" s="258"/>
      <c r="BA72" s="255">
        <f>SUMIFS('Livro Diario - FC'!$K$11:$K1028,'Livro Diario - FC'!$E$11:$E1028,$C$72,'Livro Diario - FC'!$D$11:$D1028,"&gt;=01/12"&amp;$C$7,'Livro Diario - FC'!$D$11:$D1028,"&lt;=31/12"&amp;$C$7)</f>
        <v>0</v>
      </c>
      <c r="BB72" s="256">
        <f>SUMIFS('Livro Diario - FC'!$M$11:$M1028,'Livro Diario - FC'!$E$11:$E1028,$C$72,'Livro Diario - FC'!$D$11:$D1028,"&gt;=01/12"&amp;$C$7,'Livro Diario - FC'!$D$11:$D1028,"&lt;=31/12"&amp;$C$7)</f>
        <v>0</v>
      </c>
      <c r="BC72" s="273"/>
      <c r="BD72" s="273"/>
      <c r="BE72" s="267">
        <f t="shared" ref="BE72:BF72" si="173">SUM(D72,I72,N72,S72,X72,AC72,AG72,AK72,AO72,AS72,AW72,BA72)</f>
        <v>173.43</v>
      </c>
      <c r="BF72" s="268">
        <f t="shared" si="173"/>
        <v>173.43</v>
      </c>
      <c r="BG72" s="269"/>
      <c r="BH72" s="192"/>
      <c r="BI72" s="270">
        <f>SUMIFS('Livro Diario - FC'!$M$11:$M1028,'Livro Diario - FC'!$E$11:$E1028,C72,'Livro Diario - FC'!$D$11:$D1028,"&gt;="&amp;$BK$8,'Livro Diario - FC'!$D$11:$D1028,"&lt;="&amp;$BK$9)</f>
        <v>0</v>
      </c>
      <c r="BJ72" s="271"/>
      <c r="BK72" s="272"/>
      <c r="BL72" s="1"/>
    </row>
    <row r="73">
      <c r="A73" s="1"/>
      <c r="B73" s="1"/>
      <c r="C73" s="338" t="str">
        <f>'Livro Diario - FC'!AE76</f>
        <v>Alface</v>
      </c>
      <c r="D73" s="255">
        <f>SUMIFS('Livro Diario - FC'!$K$11:$K1028,'Livro Diario - FC'!$E$11:$E1028,$C$73,'Livro Diario - FC'!$D$11:$D1028,"&gt;=01/01"&amp;$C$7,'Livro Diario - FC'!$D$11:$D1028,"&lt;=31/01"&amp;$C$7)</f>
        <v>3.98</v>
      </c>
      <c r="E73" s="256">
        <f>SUMIFS('Livro Diario - FC'!$M$11:$M1028,'Livro Diario - FC'!$E$11:$E1028,$C$73,'Livro Diario - FC'!$D$11:$D1028,"&gt;=01/01"&amp;$C$7,'Livro Diario - FC'!$D$11:$D1028,"&lt;=31/01"&amp;$C$7)</f>
        <v>3.98</v>
      </c>
      <c r="F73" s="273"/>
      <c r="G73" s="258"/>
      <c r="H73" s="157"/>
      <c r="I73" s="255">
        <f>SUMIFS('Livro Diario - FC'!$K$11:$K1028,'Livro Diario - FC'!$E$11:$E1028,$C$73,'Livro Diario - FC'!$D$11:$D1028,"&gt;=01/02"&amp;$C$7,'Livro Diario - FC'!$D$11:$D1028,"&lt;=29/02"&amp;$C$7)</f>
        <v>0</v>
      </c>
      <c r="J73" s="256">
        <f>SUMIFS('Livro Diario - FC'!$M$11:$M1028,'Livro Diario - FC'!$E$11:$E1028,$C$73,'Livro Diario - FC'!$D$11:$D1028,"&gt;=01/02"&amp;$C$7,'Livro Diario - FC'!$D$11:$D1028,"&lt;=29/02"&amp;$C$7)</f>
        <v>0</v>
      </c>
      <c r="K73" s="273"/>
      <c r="L73" s="258"/>
      <c r="M73" s="259"/>
      <c r="N73" s="255">
        <f>SUMIFS('Livro Diario - FC'!$K$11:$K1028,'Livro Diario - FC'!$E$11:$E1028,$C$73,'Livro Diario - FC'!$D$11:$D1028,"&gt;=01/03"&amp;$C$7,'Livro Diario - FC'!$D$11:$D1028,"&lt;=31/03"&amp;$C$7)</f>
        <v>0</v>
      </c>
      <c r="O73" s="256">
        <f>SUMIFS('Livro Diario - FC'!$M$11:$M1028,'Livro Diario - FC'!$E$11:$E1028,$C$73,'Livro Diario - FC'!$D$11:$D1028,"&gt;=01/03"&amp;$C$7,'Livro Diario - FC'!$D$11:$D1028,"&lt;=31/03"&amp;$C$7)</f>
        <v>0</v>
      </c>
      <c r="P73" s="273"/>
      <c r="Q73" s="258"/>
      <c r="R73" s="259"/>
      <c r="S73" s="255">
        <f>SUMIFS('Livro Diario - FC'!$K$11:$K1028,'Livro Diario - FC'!$E$11:$E1028,$C$73,'Livro Diario - FC'!$D$11:$D1028,"&gt;=01/04"&amp;$C$7,'Livro Diario - FC'!$D$11:$D1028,"&lt;=30/04"&amp;$C$7)</f>
        <v>0</v>
      </c>
      <c r="T73" s="256">
        <f>SUMIFS('Livro Diario - FC'!$M$11:$M1028,'Livro Diario - FC'!$E$11:$E1028,$C$73,'Livro Diario - FC'!$D$11:$D1028,"&gt;=01/04"&amp;$C$7,'Livro Diario - FC'!$D$11:$D1028,"&lt;=30/04"&amp;$C$7)</f>
        <v>0</v>
      </c>
      <c r="U73" s="273"/>
      <c r="V73" s="258"/>
      <c r="W73" s="259"/>
      <c r="X73" s="255">
        <f>SUMIFS('Livro Diario - FC'!$K$11:$K1028,'Livro Diario - FC'!$E$11:$E1028,$C$73,'Livro Diario - FC'!$D$11:$D1028,"&gt;=01/05"&amp;$C$7,'Livro Diario - FC'!$D$11:$D1028,"&lt;=31/05"&amp;$C$7)</f>
        <v>0</v>
      </c>
      <c r="Y73" s="256">
        <f>SUMIFS('Livro Diario - FC'!$M$11:$M1028,'Livro Diario - FC'!$E$11:$E1028,$C$73,'Livro Diario - FC'!$D$11:$D1028,"&gt;=01/05"&amp;$C$7,'Livro Diario - FC'!$D$11:$D1028,"&lt;=31/05"&amp;$C$7)</f>
        <v>0</v>
      </c>
      <c r="Z73" s="273"/>
      <c r="AA73" s="258"/>
      <c r="AB73" s="259"/>
      <c r="AC73" s="255">
        <f>SUMIFS('Livro Diario - FC'!$K$11:$K1028,'Livro Diario - FC'!$E$11:$E1028,$C$73,'Livro Diario - FC'!$D$11:$D1028,"&gt;=01/06"&amp;$C$7,'Livro Diario - FC'!$D$11:$D1028,"&lt;=30/06"&amp;$C$7)</f>
        <v>0</v>
      </c>
      <c r="AD73" s="256">
        <f>SUMIFS('Livro Diario - FC'!$M$11:$M1028,'Livro Diario - FC'!$E$11:$E1028,$C$73,'Livro Diario - FC'!$D$11:$D1028,"&gt;=01/06"&amp;$C$7,'Livro Diario - FC'!$D$11:$D1028,"&lt;=30/06"&amp;$C$7)</f>
        <v>0</v>
      </c>
      <c r="AE73" s="273"/>
      <c r="AF73" s="258"/>
      <c r="AG73" s="255">
        <f>SUMIFS('Livro Diario - FC'!$K$11:$K1028,'Livro Diario - FC'!$E$11:$E1028,$C$73,'Livro Diario - FC'!$D$11:$D1028,"&gt;=01/07"&amp;$C$7,'Livro Diario - FC'!$D$11:$D1028,"&lt;=31/07"&amp;$C$7)</f>
        <v>0</v>
      </c>
      <c r="AH73" s="256">
        <f>SUMIFS('Livro Diario - FC'!$M$11:$M1028,'Livro Diario - FC'!$E$11:$E1028,$C$73,'Livro Diario - FC'!$D$11:$D1028,"&gt;=01/07"&amp;$C$7,'Livro Diario - FC'!$D$11:$D1028,"&lt;=31/07"&amp;$C$7)</f>
        <v>0</v>
      </c>
      <c r="AI73" s="273"/>
      <c r="AJ73" s="258"/>
      <c r="AK73" s="255">
        <f>SUMIFS('Livro Diario - FC'!$K$11:$K1028,'Livro Diario - FC'!$E$11:$E1028,$C$73,'Livro Diario - FC'!$D$11:$D1028,"&gt;=01/08"&amp;$C$7,'Livro Diario - FC'!$D$11:$D1028,"&lt;=31/08"&amp;$C$7)</f>
        <v>0</v>
      </c>
      <c r="AL73" s="256">
        <f>SUMIFS('Livro Diario - FC'!$M$11:$M1028,'Livro Diario - FC'!$E$11:$E1028,$C$73,'Livro Diario - FC'!$D$11:$D1028,"&gt;=01/08"&amp;$C$7,'Livro Diario - FC'!$D$11:$D1028,"&lt;=31/08"&amp;$C$7)</f>
        <v>0</v>
      </c>
      <c r="AM73" s="273"/>
      <c r="AN73" s="258"/>
      <c r="AO73" s="255">
        <f>SUMIFS('Livro Diario - FC'!$K$11:$K1028,'Livro Diario - FC'!$E$11:$E1028,$C$73,'Livro Diario - FC'!$D$11:$D1028,"&gt;=01/09"&amp;$C$7,'Livro Diario - FC'!$D$11:$D1028,"&lt;=30/09"&amp;$C$7)</f>
        <v>0</v>
      </c>
      <c r="AP73" s="256">
        <f>SUMIFS('Livro Diario - FC'!$M$11:$M1028,'Livro Diario - FC'!$E$11:$E1028,$C$73,'Livro Diario - FC'!$D$11:$D1028,"&gt;=01/09"&amp;$C$7,'Livro Diario - FC'!$D$11:$D1028,"&lt;=30/09"&amp;$C$7)</f>
        <v>0</v>
      </c>
      <c r="AQ73" s="273"/>
      <c r="AR73" s="258"/>
      <c r="AS73" s="255">
        <f>SUMIFS('Livro Diario - FC'!$K$11:$K1028,'Livro Diario - FC'!$E$11:$E1028,$C$73,'Livro Diario - FC'!$D$11:$D1028,"&gt;=01/10"&amp;$C$7,'Livro Diario - FC'!$D$11:$D1028,"&lt;=31/10"&amp;$C$7)</f>
        <v>0</v>
      </c>
      <c r="AT73" s="256">
        <f>SUMIFS('Livro Diario - FC'!$M$11:$M1028,'Livro Diario - FC'!$E$11:$E1028,$C$73,'Livro Diario - FC'!$D$11:$D1028,"&gt;=01/10"&amp;$C$7,'Livro Diario - FC'!$D$11:$D1028,"&lt;=31/10"&amp;$C$7)</f>
        <v>0</v>
      </c>
      <c r="AU73" s="273"/>
      <c r="AV73" s="258"/>
      <c r="AW73" s="255">
        <f>SUMIFS('Livro Diario - FC'!$K$11:$K1028,'Livro Diario - FC'!$E$11:$E1028,$C$73,'Livro Diario - FC'!$D$11:$D1028,"&gt;=01/11"&amp;$C$7,'Livro Diario - FC'!$D$11:$D1028,"&lt;=30/11"&amp;$C$7)</f>
        <v>0</v>
      </c>
      <c r="AX73" s="256">
        <f>SUMIFS('Livro Diario - FC'!$M$11:$M1028,'Livro Diario - FC'!$E$11:$E1028,$C$73,'Livro Diario - FC'!$D$11:$D1028,"&gt;=01/11"&amp;$C$7,'Livro Diario - FC'!$D$11:$D1028,"&lt;=30/11"&amp;$C$7)</f>
        <v>0</v>
      </c>
      <c r="AY73" s="273"/>
      <c r="AZ73" s="258"/>
      <c r="BA73" s="255">
        <f>SUMIFS('Livro Diario - FC'!$K$11:$K1028,'Livro Diario - FC'!$E$11:$E1028,$C$73,'Livro Diario - FC'!$D$11:$D1028,"&gt;=01/12"&amp;$C$7,'Livro Diario - FC'!$D$11:$D1028,"&lt;=31/12"&amp;$C$7)</f>
        <v>0</v>
      </c>
      <c r="BB73" s="256">
        <f>SUMIFS('Livro Diario - FC'!$M$11:$M1028,'Livro Diario - FC'!$E$11:$E1028,$C$73,'Livro Diario - FC'!$D$11:$D1028,"&gt;=01/12"&amp;$C$7,'Livro Diario - FC'!$D$11:$D1028,"&lt;=31/12"&amp;$C$7)</f>
        <v>0</v>
      </c>
      <c r="BC73" s="273"/>
      <c r="BD73" s="273"/>
      <c r="BE73" s="267">
        <f t="shared" ref="BE73:BF73" si="174">SUM(D73,I73,N73,S73,X73,AC73,AG73,AK73,AO73,AS73,AW73,BA73)</f>
        <v>3.98</v>
      </c>
      <c r="BF73" s="268">
        <f t="shared" si="174"/>
        <v>3.98</v>
      </c>
      <c r="BG73" s="269"/>
      <c r="BH73" s="192"/>
      <c r="BI73" s="270">
        <f>SUMIFS('Livro Diario - FC'!$M$11:$M1028,'Livro Diario - FC'!$E$11:$E1028,C73,'Livro Diario - FC'!$D$11:$D1028,"&gt;="&amp;$BK$8,'Livro Diario - FC'!$D$11:$D1028,"&lt;="&amp;$BK$9)</f>
        <v>0</v>
      </c>
      <c r="BJ73" s="271"/>
      <c r="BK73" s="272"/>
      <c r="BL73" s="1"/>
    </row>
    <row r="74">
      <c r="A74" s="1"/>
      <c r="B74" s="1"/>
      <c r="C74" s="338" t="str">
        <f>'Livro Diario - FC'!AE77</f>
        <v>Abobora</v>
      </c>
      <c r="D74" s="255">
        <f>SUMIFS('Livro Diario - FC'!$K$11:$K1028,'Livro Diario - FC'!$E$11:$E1028,$C$74,'Livro Diario - FC'!$D$11:$D1028,"&gt;=01/01"&amp;$C$7,'Livro Diario - FC'!$D$11:$D1028,"&lt;=31/01"&amp;$C$7)</f>
        <v>46</v>
      </c>
      <c r="E74" s="256">
        <f>SUMIFS('Livro Diario - FC'!$M$11:$M1028,'Livro Diario - FC'!$E$11:$E1028,$C$74,'Livro Diario - FC'!$D$11:$D1028,"&gt;=01/01"&amp;$C$7,'Livro Diario - FC'!$D$11:$D1028,"&lt;=31/01"&amp;$C$7)</f>
        <v>46</v>
      </c>
      <c r="F74" s="273"/>
      <c r="G74" s="258"/>
      <c r="H74" s="157"/>
      <c r="I74" s="255">
        <f>SUMIFS('Livro Diario - FC'!$K$11:$K1028,'Livro Diario - FC'!$E$11:$E1028,$C$74,'Livro Diario - FC'!$D$11:$D1028,"&gt;=01/02"&amp;$C$7,'Livro Diario - FC'!$D$11:$D1028,"&lt;=29/02"&amp;$C$7)</f>
        <v>0</v>
      </c>
      <c r="J74" s="256">
        <f>SUMIFS('Livro Diario - FC'!$M$11:$M1028,'Livro Diario - FC'!$E$11:$E1028,$C$74,'Livro Diario - FC'!$D$11:$D1028,"&gt;=01/02"&amp;$C$7,'Livro Diario - FC'!$D$11:$D1028,"&lt;=29/02"&amp;$C$7)</f>
        <v>0</v>
      </c>
      <c r="K74" s="273"/>
      <c r="L74" s="258"/>
      <c r="M74" s="259"/>
      <c r="N74" s="255">
        <f>SUMIFS('Livro Diario - FC'!$K$11:$K1028,'Livro Diario - FC'!$E$11:$E1028,$C$74,'Livro Diario - FC'!$D$11:$D1028,"&gt;=01/03"&amp;$C$7,'Livro Diario - FC'!$D$11:$D1028,"&lt;=31/03"&amp;$C$7)</f>
        <v>0</v>
      </c>
      <c r="O74" s="256">
        <f>SUMIFS('Livro Diario - FC'!$M$11:$M1028,'Livro Diario - FC'!$E$11:$E1028,$C$74,'Livro Diario - FC'!$D$11:$D1028,"&gt;=01/03"&amp;$C$7,'Livro Diario - FC'!$D$11:$D1028,"&lt;=31/03"&amp;$C$7)</f>
        <v>0</v>
      </c>
      <c r="P74" s="273"/>
      <c r="Q74" s="258"/>
      <c r="R74" s="259"/>
      <c r="S74" s="255">
        <f>SUMIFS('Livro Diario - FC'!$K$11:$K1028,'Livro Diario - FC'!$E$11:$E1028,$C$74,'Livro Diario - FC'!$D$11:$D1028,"&gt;=01/04"&amp;$C$7,'Livro Diario - FC'!$D$11:$D1028,"&lt;=30/04"&amp;$C$7)</f>
        <v>0</v>
      </c>
      <c r="T74" s="256">
        <f>SUMIFS('Livro Diario - FC'!$M$11:$M1028,'Livro Diario - FC'!$E$11:$E1028,$C$74,'Livro Diario - FC'!$D$11:$D1028,"&gt;=01/04"&amp;$C$7,'Livro Diario - FC'!$D$11:$D1028,"&lt;=30/04"&amp;$C$7)</f>
        <v>0</v>
      </c>
      <c r="U74" s="273"/>
      <c r="V74" s="258"/>
      <c r="W74" s="259"/>
      <c r="X74" s="255">
        <f>SUMIFS('Livro Diario - FC'!$K$11:$K1028,'Livro Diario - FC'!$E$11:$E1028,$C$74,'Livro Diario - FC'!$D$11:$D1028,"&gt;=01/05"&amp;$C$7,'Livro Diario - FC'!$D$11:$D1028,"&lt;=31/05"&amp;$C$7)</f>
        <v>0</v>
      </c>
      <c r="Y74" s="256">
        <f>SUMIFS('Livro Diario - FC'!$M$11:$M1028,'Livro Diario - FC'!$E$11:$E1028,$C$74,'Livro Diario - FC'!$D$11:$D1028,"&gt;=01/05"&amp;$C$7,'Livro Diario - FC'!$D$11:$D1028,"&lt;=31/05"&amp;$C$7)</f>
        <v>0</v>
      </c>
      <c r="Z74" s="273"/>
      <c r="AA74" s="258"/>
      <c r="AB74" s="259"/>
      <c r="AC74" s="255">
        <f>SUMIFS('Livro Diario - FC'!$K$11:$K1028,'Livro Diario - FC'!$E$11:$E1028,$C$74,'Livro Diario - FC'!$D$11:$D1028,"&gt;=01/06"&amp;$C$7,'Livro Diario - FC'!$D$11:$D1028,"&lt;=30/06"&amp;$C$7)</f>
        <v>0</v>
      </c>
      <c r="AD74" s="256">
        <f>SUMIFS('Livro Diario - FC'!$M$11:$M1028,'Livro Diario - FC'!$E$11:$E1028,$C$74,'Livro Diario - FC'!$D$11:$D1028,"&gt;=01/06"&amp;$C$7,'Livro Diario - FC'!$D$11:$D1028,"&lt;=30/06"&amp;$C$7)</f>
        <v>0</v>
      </c>
      <c r="AE74" s="273"/>
      <c r="AF74" s="258"/>
      <c r="AG74" s="255">
        <f>SUMIFS('Livro Diario - FC'!$K$11:$K1028,'Livro Diario - FC'!$E$11:$E1028,$C$74,'Livro Diario - FC'!$D$11:$D1028,"&gt;=01/07"&amp;$C$7,'Livro Diario - FC'!$D$11:$D1028,"&lt;=31/07"&amp;$C$7)</f>
        <v>0</v>
      </c>
      <c r="AH74" s="256">
        <f>SUMIFS('Livro Diario - FC'!$M$11:$M1028,'Livro Diario - FC'!$E$11:$E1028,$C$74,'Livro Diario - FC'!$D$11:$D1028,"&gt;=01/07"&amp;$C$7,'Livro Diario - FC'!$D$11:$D1028,"&lt;=31/07"&amp;$C$7)</f>
        <v>0</v>
      </c>
      <c r="AI74" s="273"/>
      <c r="AJ74" s="258"/>
      <c r="AK74" s="255">
        <f>SUMIFS('Livro Diario - FC'!$K$11:$K1028,'Livro Diario - FC'!$E$11:$E1028,$C$74,'Livro Diario - FC'!$D$11:$D1028,"&gt;=01/08"&amp;$C$7,'Livro Diario - FC'!$D$11:$D1028,"&lt;=31/08"&amp;$C$7)</f>
        <v>0</v>
      </c>
      <c r="AL74" s="256">
        <f>SUMIFS('Livro Diario - FC'!$M$11:$M1028,'Livro Diario - FC'!$E$11:$E1028,$C$74,'Livro Diario - FC'!$D$11:$D1028,"&gt;=01/08"&amp;$C$7,'Livro Diario - FC'!$D$11:$D1028,"&lt;=31/08"&amp;$C$7)</f>
        <v>0</v>
      </c>
      <c r="AM74" s="273"/>
      <c r="AN74" s="258"/>
      <c r="AO74" s="255">
        <f>SUMIFS('Livro Diario - FC'!$K$11:$K1028,'Livro Diario - FC'!$E$11:$E1028,$C$74,'Livro Diario - FC'!$D$11:$D1028,"&gt;=01/09"&amp;$C$7,'Livro Diario - FC'!$D$11:$D1028,"&lt;=30/09"&amp;$C$7)</f>
        <v>0</v>
      </c>
      <c r="AP74" s="256">
        <f>SUMIFS('Livro Diario - FC'!$M$11:$M1028,'Livro Diario - FC'!$E$11:$E1028,$C$74,'Livro Diario - FC'!$D$11:$D1028,"&gt;=01/09"&amp;$C$7,'Livro Diario - FC'!$D$11:$D1028,"&lt;=30/09"&amp;$C$7)</f>
        <v>0</v>
      </c>
      <c r="AQ74" s="273"/>
      <c r="AR74" s="258"/>
      <c r="AS74" s="255">
        <f>SUMIFS('Livro Diario - FC'!$K$11:$K1028,'Livro Diario - FC'!$E$11:$E1028,$C$74,'Livro Diario - FC'!$D$11:$D1028,"&gt;=01/10"&amp;$C$7,'Livro Diario - FC'!$D$11:$D1028,"&lt;=31/10"&amp;$C$7)</f>
        <v>0</v>
      </c>
      <c r="AT74" s="256">
        <f>SUMIFS('Livro Diario - FC'!$M$11:$M1028,'Livro Diario - FC'!$E$11:$E1028,$C$74,'Livro Diario - FC'!$D$11:$D1028,"&gt;=01/10"&amp;$C$7,'Livro Diario - FC'!$D$11:$D1028,"&lt;=31/10"&amp;$C$7)</f>
        <v>0</v>
      </c>
      <c r="AU74" s="273"/>
      <c r="AV74" s="258"/>
      <c r="AW74" s="255">
        <f>SUMIFS('Livro Diario - FC'!$K$11:$K1028,'Livro Diario - FC'!$E$11:$E1028,$C$74,'Livro Diario - FC'!$D$11:$D1028,"&gt;=01/11"&amp;$C$7,'Livro Diario - FC'!$D$11:$D1028,"&lt;=30/11"&amp;$C$7)</f>
        <v>0</v>
      </c>
      <c r="AX74" s="256">
        <f>SUMIFS('Livro Diario - FC'!$M$11:$M1028,'Livro Diario - FC'!$E$11:$E1028,$C$74,'Livro Diario - FC'!$D$11:$D1028,"&gt;=01/11"&amp;$C$7,'Livro Diario - FC'!$D$11:$D1028,"&lt;=30/11"&amp;$C$7)</f>
        <v>0</v>
      </c>
      <c r="AY74" s="273"/>
      <c r="AZ74" s="258"/>
      <c r="BA74" s="255">
        <f>SUMIFS('Livro Diario - FC'!$K$11:$K1028,'Livro Diario - FC'!$E$11:$E1028,$C$74,'Livro Diario - FC'!$D$11:$D1028,"&gt;=01/12"&amp;$C$7,'Livro Diario - FC'!$D$11:$D1028,"&lt;=31/12"&amp;$C$7)</f>
        <v>0</v>
      </c>
      <c r="BB74" s="256">
        <f>SUMIFS('Livro Diario - FC'!$M$11:$M1028,'Livro Diario - FC'!$E$11:$E1028,$C$74,'Livro Diario - FC'!$D$11:$D1028,"&gt;=01/12"&amp;$C$7,'Livro Diario - FC'!$D$11:$D1028,"&lt;=31/12"&amp;$C$7)</f>
        <v>0</v>
      </c>
      <c r="BC74" s="273"/>
      <c r="BD74" s="273"/>
      <c r="BE74" s="267">
        <f t="shared" ref="BE74:BF74" si="175">SUM(D74,I74,N74,S74,X74,AC74,AG74,AK74,AO74,AS74,AW74,BA74)</f>
        <v>46</v>
      </c>
      <c r="BF74" s="268">
        <f t="shared" si="175"/>
        <v>46</v>
      </c>
      <c r="BG74" s="269"/>
      <c r="BH74" s="192"/>
      <c r="BI74" s="270">
        <f>SUMIFS('Livro Diario - FC'!$M$11:$M1028,'Livro Diario - FC'!$E$11:$E1028,C74,'Livro Diario - FC'!$D$11:$D1028,"&gt;="&amp;$BK$8,'Livro Diario - FC'!$D$11:$D1028,"&lt;="&amp;$BK$9)</f>
        <v>0</v>
      </c>
      <c r="BJ74" s="271"/>
      <c r="BK74" s="272"/>
      <c r="BL74" s="1"/>
    </row>
    <row r="75">
      <c r="A75" s="1"/>
      <c r="B75" s="1"/>
      <c r="C75" s="338" t="str">
        <f>'Livro Diario - FC'!AE78</f>
        <v>Inhame</v>
      </c>
      <c r="D75" s="255">
        <f>SUMIFS('Livro Diario - FC'!$K$11:$K1028,'Livro Diario - FC'!$E$11:$E1028,$C$75,'Livro Diario - FC'!$D$11:$D1028,"&gt;=01/01"&amp;$C$7,'Livro Diario - FC'!$D$11:$D1028,"&lt;=31/01"&amp;$C$7)</f>
        <v>274.66</v>
      </c>
      <c r="E75" s="256">
        <f>SUMIFS('Livro Diario - FC'!$M$11:$M1028,'Livro Diario - FC'!$E$11:$E1028,$C$75,'Livro Diario - FC'!$D$11:$D1028,"&gt;=01/01"&amp;$C$7,'Livro Diario - FC'!$D$11:$D1028,"&lt;=31/01"&amp;$C$7)</f>
        <v>274.66</v>
      </c>
      <c r="F75" s="273"/>
      <c r="G75" s="258"/>
      <c r="H75" s="157"/>
      <c r="I75" s="255">
        <f>SUMIFS('Livro Diario - FC'!$K$11:$K1028,'Livro Diario - FC'!$E$11:$E1028,$C$75,'Livro Diario - FC'!$D$11:$D1028,"&gt;=01/02"&amp;$C$7,'Livro Diario - FC'!$D$11:$D1028,"&lt;=29/02"&amp;$C$7)</f>
        <v>0</v>
      </c>
      <c r="J75" s="256">
        <f>SUMIFS('Livro Diario - FC'!$M$11:$M1028,'Livro Diario - FC'!$E$11:$E1028,$C$75,'Livro Diario - FC'!$D$11:$D1028,"&gt;=01/02"&amp;$C$7,'Livro Diario - FC'!$D$11:$D1028,"&lt;=29/02"&amp;$C$7)</f>
        <v>0</v>
      </c>
      <c r="K75" s="273"/>
      <c r="L75" s="258"/>
      <c r="M75" s="259"/>
      <c r="N75" s="255">
        <f>SUMIFS('Livro Diario - FC'!$K$11:$K1028,'Livro Diario - FC'!$E$11:$E1028,$C$75,'Livro Diario - FC'!$D$11:$D1028,"&gt;=01/03"&amp;$C$7,'Livro Diario - FC'!$D$11:$D1028,"&lt;=31/03"&amp;$C$7)</f>
        <v>0</v>
      </c>
      <c r="O75" s="256">
        <f>SUMIFS('Livro Diario - FC'!$M$11:$M1028,'Livro Diario - FC'!$E$11:$E1028,$C$75,'Livro Diario - FC'!$D$11:$D1028,"&gt;=01/03"&amp;$C$7,'Livro Diario - FC'!$D$11:$D1028,"&lt;=31/03"&amp;$C$7)</f>
        <v>0</v>
      </c>
      <c r="P75" s="273"/>
      <c r="Q75" s="258"/>
      <c r="R75" s="259"/>
      <c r="S75" s="255">
        <f>SUMIFS('Livro Diario - FC'!$K$11:$K1028,'Livro Diario - FC'!$E$11:$E1028,$C$75,'Livro Diario - FC'!$D$11:$D1028,"&gt;=01/04"&amp;$C$7,'Livro Diario - FC'!$D$11:$D1028,"&lt;=30/04"&amp;$C$7)</f>
        <v>0</v>
      </c>
      <c r="T75" s="256">
        <f>SUMIFS('Livro Diario - FC'!$M$11:$M1028,'Livro Diario - FC'!$E$11:$E1028,$C$75,'Livro Diario - FC'!$D$11:$D1028,"&gt;=01/04"&amp;$C$7,'Livro Diario - FC'!$D$11:$D1028,"&lt;=30/04"&amp;$C$7)</f>
        <v>0</v>
      </c>
      <c r="U75" s="273"/>
      <c r="V75" s="258"/>
      <c r="W75" s="259"/>
      <c r="X75" s="255">
        <f>SUMIFS('Livro Diario - FC'!$K$11:$K1028,'Livro Diario - FC'!$E$11:$E1028,$C$75,'Livro Diario - FC'!$D$11:$D1028,"&gt;=01/05"&amp;$C$7,'Livro Diario - FC'!$D$11:$D1028,"&lt;=31/05"&amp;$C$7)</f>
        <v>0</v>
      </c>
      <c r="Y75" s="256">
        <f>SUMIFS('Livro Diario - FC'!$M$11:$M1028,'Livro Diario - FC'!$E$11:$E1028,$C$75,'Livro Diario - FC'!$D$11:$D1028,"&gt;=01/05"&amp;$C$7,'Livro Diario - FC'!$D$11:$D1028,"&lt;=31/05"&amp;$C$7)</f>
        <v>0</v>
      </c>
      <c r="Z75" s="273"/>
      <c r="AA75" s="258"/>
      <c r="AB75" s="259"/>
      <c r="AC75" s="255">
        <f>SUMIFS('Livro Diario - FC'!$K$11:$K1028,'Livro Diario - FC'!$E$11:$E1028,$C$75,'Livro Diario - FC'!$D$11:$D1028,"&gt;=01/06"&amp;$C$7,'Livro Diario - FC'!$D$11:$D1028,"&lt;=30/06"&amp;$C$7)</f>
        <v>0</v>
      </c>
      <c r="AD75" s="256">
        <f>SUMIFS('Livro Diario - FC'!$M$11:$M1028,'Livro Diario - FC'!$E$11:$E1028,$C$75,'Livro Diario - FC'!$D$11:$D1028,"&gt;=01/06"&amp;$C$7,'Livro Diario - FC'!$D$11:$D1028,"&lt;=30/06"&amp;$C$7)</f>
        <v>0</v>
      </c>
      <c r="AE75" s="273"/>
      <c r="AF75" s="258"/>
      <c r="AG75" s="255">
        <f>SUMIFS('Livro Diario - FC'!$K$11:$K1028,'Livro Diario - FC'!$E$11:$E1028,$C$75,'Livro Diario - FC'!$D$11:$D1028,"&gt;=01/07"&amp;$C$7,'Livro Diario - FC'!$D$11:$D1028,"&lt;=31/07"&amp;$C$7)</f>
        <v>0</v>
      </c>
      <c r="AH75" s="256">
        <f>SUMIFS('Livro Diario - FC'!$M$11:$M1028,'Livro Diario - FC'!$E$11:$E1028,$C$75,'Livro Diario - FC'!$D$11:$D1028,"&gt;=01/07"&amp;$C$7,'Livro Diario - FC'!$D$11:$D1028,"&lt;=31/07"&amp;$C$7)</f>
        <v>0</v>
      </c>
      <c r="AI75" s="273"/>
      <c r="AJ75" s="258"/>
      <c r="AK75" s="255">
        <f>SUMIFS('Livro Diario - FC'!$K$11:$K1028,'Livro Diario - FC'!$E$11:$E1028,$C$75,'Livro Diario - FC'!$D$11:$D1028,"&gt;=01/08"&amp;$C$7,'Livro Diario - FC'!$D$11:$D1028,"&lt;=31/08"&amp;$C$7)</f>
        <v>0</v>
      </c>
      <c r="AL75" s="256">
        <f>SUMIFS('Livro Diario - FC'!$M$11:$M1028,'Livro Diario - FC'!$E$11:$E1028,$C$75,'Livro Diario - FC'!$D$11:$D1028,"&gt;=01/08"&amp;$C$7,'Livro Diario - FC'!$D$11:$D1028,"&lt;=31/08"&amp;$C$7)</f>
        <v>0</v>
      </c>
      <c r="AM75" s="273"/>
      <c r="AN75" s="258"/>
      <c r="AO75" s="255">
        <f>SUMIFS('Livro Diario - FC'!$K$11:$K1028,'Livro Diario - FC'!$E$11:$E1028,$C$75,'Livro Diario - FC'!$D$11:$D1028,"&gt;=01/09"&amp;$C$7,'Livro Diario - FC'!$D$11:$D1028,"&lt;=30/09"&amp;$C$7)</f>
        <v>0</v>
      </c>
      <c r="AP75" s="256">
        <f>SUMIFS('Livro Diario - FC'!$M$11:$M1028,'Livro Diario - FC'!$E$11:$E1028,$C$75,'Livro Diario - FC'!$D$11:$D1028,"&gt;=01/09"&amp;$C$7,'Livro Diario - FC'!$D$11:$D1028,"&lt;=30/09"&amp;$C$7)</f>
        <v>0</v>
      </c>
      <c r="AQ75" s="273"/>
      <c r="AR75" s="258"/>
      <c r="AS75" s="255">
        <f>SUMIFS('Livro Diario - FC'!$K$11:$K1028,'Livro Diario - FC'!$E$11:$E1028,$C$75,'Livro Diario - FC'!$D$11:$D1028,"&gt;=01/10"&amp;$C$7,'Livro Diario - FC'!$D$11:$D1028,"&lt;=31/10"&amp;$C$7)</f>
        <v>0</v>
      </c>
      <c r="AT75" s="256">
        <f>SUMIFS('Livro Diario - FC'!$M$11:$M1028,'Livro Diario - FC'!$E$11:$E1028,$C$75,'Livro Diario - FC'!$D$11:$D1028,"&gt;=01/10"&amp;$C$7,'Livro Diario - FC'!$D$11:$D1028,"&lt;=31/10"&amp;$C$7)</f>
        <v>0</v>
      </c>
      <c r="AU75" s="273"/>
      <c r="AV75" s="258"/>
      <c r="AW75" s="255">
        <f>SUMIFS('Livro Diario - FC'!$K$11:$K1028,'Livro Diario - FC'!$E$11:$E1028,$C$75,'Livro Diario - FC'!$D$11:$D1028,"&gt;=01/11"&amp;$C$7,'Livro Diario - FC'!$D$11:$D1028,"&lt;=30/11"&amp;$C$7)</f>
        <v>0</v>
      </c>
      <c r="AX75" s="256">
        <f>SUMIFS('Livro Diario - FC'!$M$11:$M1028,'Livro Diario - FC'!$E$11:$E1028,$C$75,'Livro Diario - FC'!$D$11:$D1028,"&gt;=01/11"&amp;$C$7,'Livro Diario - FC'!$D$11:$D1028,"&lt;=30/11"&amp;$C$7)</f>
        <v>0</v>
      </c>
      <c r="AY75" s="273"/>
      <c r="AZ75" s="258"/>
      <c r="BA75" s="255">
        <f>SUMIFS('Livro Diario - FC'!$K$11:$K1028,'Livro Diario - FC'!$E$11:$E1028,$C$75,'Livro Diario - FC'!$D$11:$D1028,"&gt;=01/12"&amp;$C$7,'Livro Diario - FC'!$D$11:$D1028,"&lt;=31/12"&amp;$C$7)</f>
        <v>0</v>
      </c>
      <c r="BB75" s="256">
        <f>SUMIFS('Livro Diario - FC'!$M$11:$M1028,'Livro Diario - FC'!$E$11:$E1028,$C$75,'Livro Diario - FC'!$D$11:$D1028,"&gt;=01/12"&amp;$C$7,'Livro Diario - FC'!$D$11:$D1028,"&lt;=31/12"&amp;$C$7)</f>
        <v>0</v>
      </c>
      <c r="BC75" s="273"/>
      <c r="BD75" s="273"/>
      <c r="BE75" s="267">
        <f t="shared" ref="BE75:BF75" si="176">SUM(D75,I75,N75,S75,X75,AC75,AG75,AK75,AO75,AS75,AW75,BA75)</f>
        <v>274.66</v>
      </c>
      <c r="BF75" s="268">
        <f t="shared" si="176"/>
        <v>274.66</v>
      </c>
      <c r="BG75" s="269"/>
      <c r="BH75" s="192"/>
      <c r="BI75" s="270">
        <f>SUMIFS('Livro Diario - FC'!$M$11:$M1028,'Livro Diario - FC'!$E$11:$E1028,C75,'Livro Diario - FC'!$D$11:$D1028,"&gt;="&amp;$BK$8,'Livro Diario - FC'!$D$11:$D1028,"&lt;="&amp;$BK$9)</f>
        <v>0</v>
      </c>
      <c r="BJ75" s="271"/>
      <c r="BK75" s="272"/>
      <c r="BL75" s="1"/>
    </row>
    <row r="76">
      <c r="A76" s="1"/>
      <c r="B76" s="1"/>
      <c r="C76" s="338" t="str">
        <f>'Livro Diario - FC'!AE79</f>
        <v>Abacaxi</v>
      </c>
      <c r="D76" s="255">
        <f>SUMIFS('Livro Diario - FC'!$K$11:$K1028,'Livro Diario - FC'!$E$11:$E1028,$C$76,'Livro Diario - FC'!$D$11:$D1028,"&gt;=01/01"&amp;$C$7,'Livro Diario - FC'!$D$11:$D1028,"&lt;=31/01"&amp;$C$7)</f>
        <v>0</v>
      </c>
      <c r="E76" s="256">
        <f>SUMIFS('Livro Diario - FC'!$M$11:$M1028,'Livro Diario - FC'!$E$11:$E1028,$C$76,'Livro Diario - FC'!$D$11:$D1028,"&gt;=01/01"&amp;$C$7,'Livro Diario - FC'!$D$11:$D1028,"&lt;=31/01"&amp;$C$7)</f>
        <v>0</v>
      </c>
      <c r="F76" s="273"/>
      <c r="G76" s="258"/>
      <c r="H76" s="157"/>
      <c r="I76" s="255">
        <f>SUMIFS('Livro Diario - FC'!$K$11:$K1028,'Livro Diario - FC'!$E$11:$E1028,$C$76,'Livro Diario - FC'!$D$11:$D1028,"&gt;=01/02"&amp;$C$7,'Livro Diario - FC'!$D$11:$D1028,"&lt;=29/02"&amp;$C$7)</f>
        <v>0</v>
      </c>
      <c r="J76" s="256">
        <f>SUMIFS('Livro Diario - FC'!$M$11:$M1028,'Livro Diario - FC'!$E$11:$E1028,$C$76,'Livro Diario - FC'!$D$11:$D1028,"&gt;=01/02"&amp;$C$7,'Livro Diario - FC'!$D$11:$D1028,"&lt;=29/02"&amp;$C$7)</f>
        <v>0</v>
      </c>
      <c r="K76" s="273"/>
      <c r="L76" s="258"/>
      <c r="M76" s="259"/>
      <c r="N76" s="255">
        <f>SUMIFS('Livro Diario - FC'!$K$11:$K1028,'Livro Diario - FC'!$E$11:$E1028,$C$76,'Livro Diario - FC'!$D$11:$D1028,"&gt;=01/03"&amp;$C$7,'Livro Diario - FC'!$D$11:$D1028,"&lt;=31/03"&amp;$C$7)</f>
        <v>0</v>
      </c>
      <c r="O76" s="256">
        <f>SUMIFS('Livro Diario - FC'!$M$11:$M1028,'Livro Diario - FC'!$E$11:$E1028,$C$76,'Livro Diario - FC'!$D$11:$D1028,"&gt;=01/03"&amp;$C$7,'Livro Diario - FC'!$D$11:$D1028,"&lt;=31/03"&amp;$C$7)</f>
        <v>0</v>
      </c>
      <c r="P76" s="273"/>
      <c r="Q76" s="258"/>
      <c r="R76" s="259"/>
      <c r="S76" s="255">
        <f>SUMIFS('Livro Diario - FC'!$K$11:$K1028,'Livro Diario - FC'!$E$11:$E1028,$C$76,'Livro Diario - FC'!$D$11:$D1028,"&gt;=01/04"&amp;$C$7,'Livro Diario - FC'!$D$11:$D1028,"&lt;=30/04"&amp;$C$7)</f>
        <v>0</v>
      </c>
      <c r="T76" s="256">
        <f>SUMIFS('Livro Diario - FC'!$M$11:$M1028,'Livro Diario - FC'!$E$11:$E1028,$C$76,'Livro Diario - FC'!$D$11:$D1028,"&gt;=01/04"&amp;$C$7,'Livro Diario - FC'!$D$11:$D1028,"&lt;=30/04"&amp;$C$7)</f>
        <v>0</v>
      </c>
      <c r="U76" s="273"/>
      <c r="V76" s="258"/>
      <c r="W76" s="259"/>
      <c r="X76" s="255">
        <f>SUMIFS('Livro Diario - FC'!$K$11:$K1028,'Livro Diario - FC'!$E$11:$E1028,$C$76,'Livro Diario - FC'!$D$11:$D1028,"&gt;=01/05"&amp;$C$7,'Livro Diario - FC'!$D$11:$D1028,"&lt;=31/05"&amp;$C$7)</f>
        <v>0</v>
      </c>
      <c r="Y76" s="256">
        <f>SUMIFS('Livro Diario - FC'!$M$11:$M1028,'Livro Diario - FC'!$E$11:$E1028,$C$76,'Livro Diario - FC'!$D$11:$D1028,"&gt;=01/05"&amp;$C$7,'Livro Diario - FC'!$D$11:$D1028,"&lt;=31/05"&amp;$C$7)</f>
        <v>0</v>
      </c>
      <c r="Z76" s="273"/>
      <c r="AA76" s="258"/>
      <c r="AB76" s="259"/>
      <c r="AC76" s="255">
        <f>SUMIFS('Livro Diario - FC'!$K$11:$K1028,'Livro Diario - FC'!$E$11:$E1028,$C$76,'Livro Diario - FC'!$D$11:$D1028,"&gt;=01/06"&amp;$C$7,'Livro Diario - FC'!$D$11:$D1028,"&lt;=30/06"&amp;$C$7)</f>
        <v>0</v>
      </c>
      <c r="AD76" s="256">
        <f>SUMIFS('Livro Diario - FC'!$M$11:$M1028,'Livro Diario - FC'!$E$11:$E1028,$C$76,'Livro Diario - FC'!$D$11:$D1028,"&gt;=01/06"&amp;$C$7,'Livro Diario - FC'!$D$11:$D1028,"&lt;=30/06"&amp;$C$7)</f>
        <v>0</v>
      </c>
      <c r="AE76" s="273"/>
      <c r="AF76" s="258"/>
      <c r="AG76" s="255">
        <f>SUMIFS('Livro Diario - FC'!$K$11:$K1028,'Livro Diario - FC'!$E$11:$E1028,$C$76,'Livro Diario - FC'!$D$11:$D1028,"&gt;=01/07"&amp;$C$7,'Livro Diario - FC'!$D$11:$D1028,"&lt;=31/07"&amp;$C$7)</f>
        <v>0</v>
      </c>
      <c r="AH76" s="256">
        <f>SUMIFS('Livro Diario - FC'!$M$11:$M1028,'Livro Diario - FC'!$E$11:$E1028,$C$76,'Livro Diario - FC'!$D$11:$D1028,"&gt;=01/07"&amp;$C$7,'Livro Diario - FC'!$D$11:$D1028,"&lt;=31/07"&amp;$C$7)</f>
        <v>0</v>
      </c>
      <c r="AI76" s="273"/>
      <c r="AJ76" s="258"/>
      <c r="AK76" s="255">
        <f>SUMIFS('Livro Diario - FC'!$K$11:$K1028,'Livro Diario - FC'!$E$11:$E1028,$C$76,'Livro Diario - FC'!$D$11:$D1028,"&gt;=01/08"&amp;$C$7,'Livro Diario - FC'!$D$11:$D1028,"&lt;=31/08"&amp;$C$7)</f>
        <v>0</v>
      </c>
      <c r="AL76" s="256">
        <f>SUMIFS('Livro Diario - FC'!$M$11:$M1028,'Livro Diario - FC'!$E$11:$E1028,$C$76,'Livro Diario - FC'!$D$11:$D1028,"&gt;=01/08"&amp;$C$7,'Livro Diario - FC'!$D$11:$D1028,"&lt;=31/08"&amp;$C$7)</f>
        <v>0</v>
      </c>
      <c r="AM76" s="273"/>
      <c r="AN76" s="258"/>
      <c r="AO76" s="255">
        <f>SUMIFS('Livro Diario - FC'!$K$11:$K1028,'Livro Diario - FC'!$E$11:$E1028,$C$76,'Livro Diario - FC'!$D$11:$D1028,"&gt;=01/09"&amp;$C$7,'Livro Diario - FC'!$D$11:$D1028,"&lt;=30/09"&amp;$C$7)</f>
        <v>0</v>
      </c>
      <c r="AP76" s="256">
        <f>SUMIFS('Livro Diario - FC'!$M$11:$M1028,'Livro Diario - FC'!$E$11:$E1028,$C$76,'Livro Diario - FC'!$D$11:$D1028,"&gt;=01/09"&amp;$C$7,'Livro Diario - FC'!$D$11:$D1028,"&lt;=30/09"&amp;$C$7)</f>
        <v>0</v>
      </c>
      <c r="AQ76" s="273"/>
      <c r="AR76" s="258"/>
      <c r="AS76" s="255">
        <f>SUMIFS('Livro Diario - FC'!$K$11:$K1028,'Livro Diario - FC'!$E$11:$E1028,$C$76,'Livro Diario - FC'!$D$11:$D1028,"&gt;=01/10"&amp;$C$7,'Livro Diario - FC'!$D$11:$D1028,"&lt;=31/10"&amp;$C$7)</f>
        <v>0</v>
      </c>
      <c r="AT76" s="256">
        <f>SUMIFS('Livro Diario - FC'!$M$11:$M1028,'Livro Diario - FC'!$E$11:$E1028,$C$76,'Livro Diario - FC'!$D$11:$D1028,"&gt;=01/10"&amp;$C$7,'Livro Diario - FC'!$D$11:$D1028,"&lt;=31/10"&amp;$C$7)</f>
        <v>0</v>
      </c>
      <c r="AU76" s="273"/>
      <c r="AV76" s="258"/>
      <c r="AW76" s="255">
        <f>SUMIFS('Livro Diario - FC'!$K$11:$K1028,'Livro Diario - FC'!$E$11:$E1028,$C$76,'Livro Diario - FC'!$D$11:$D1028,"&gt;=01/11"&amp;$C$7,'Livro Diario - FC'!$D$11:$D1028,"&lt;=30/11"&amp;$C$7)</f>
        <v>0</v>
      </c>
      <c r="AX76" s="256">
        <f>SUMIFS('Livro Diario - FC'!$M$11:$M1028,'Livro Diario - FC'!$E$11:$E1028,$C$76,'Livro Diario - FC'!$D$11:$D1028,"&gt;=01/11"&amp;$C$7,'Livro Diario - FC'!$D$11:$D1028,"&lt;=30/11"&amp;$C$7)</f>
        <v>0</v>
      </c>
      <c r="AY76" s="273"/>
      <c r="AZ76" s="258"/>
      <c r="BA76" s="255">
        <f>SUMIFS('Livro Diario - FC'!$K$11:$K1028,'Livro Diario - FC'!$E$11:$E1028,$C$76,'Livro Diario - FC'!$D$11:$D1028,"&gt;=01/12"&amp;$C$7,'Livro Diario - FC'!$D$11:$D1028,"&lt;=31/12"&amp;$C$7)</f>
        <v>0</v>
      </c>
      <c r="BB76" s="256">
        <f>SUMIFS('Livro Diario - FC'!$M$11:$M1028,'Livro Diario - FC'!$E$11:$E1028,$C$76,'Livro Diario - FC'!$D$11:$D1028,"&gt;=01/12"&amp;$C$7,'Livro Diario - FC'!$D$11:$D1028,"&lt;=31/12"&amp;$C$7)</f>
        <v>0</v>
      </c>
      <c r="BC76" s="273"/>
      <c r="BD76" s="273"/>
      <c r="BE76" s="267">
        <f t="shared" ref="BE76:BF76" si="177">SUM(D76,I76,N76,S76,X76,AC76,AG76,AK76,AO76,AS76,AW76,BA76)</f>
        <v>0</v>
      </c>
      <c r="BF76" s="268">
        <f t="shared" si="177"/>
        <v>0</v>
      </c>
      <c r="BG76" s="269"/>
      <c r="BH76" s="192"/>
      <c r="BI76" s="270">
        <f>SUMIFS('Livro Diario - FC'!$M$11:$M1028,'Livro Diario - FC'!$E$11:$E1028,C76,'Livro Diario - FC'!$D$11:$D1028,"&gt;="&amp;$BK$8,'Livro Diario - FC'!$D$11:$D1028,"&lt;="&amp;$BK$9)</f>
        <v>0</v>
      </c>
      <c r="BJ76" s="271"/>
      <c r="BK76" s="272"/>
      <c r="BL76" s="1"/>
    </row>
    <row r="77">
      <c r="A77" s="1"/>
      <c r="B77" s="1"/>
      <c r="C77" s="338" t="str">
        <f>'Livro Diario - FC'!AE80</f>
        <v>Macaxeira</v>
      </c>
      <c r="D77" s="255">
        <f>SUMIFS('Livro Diario - FC'!$K$11:$K1028,'Livro Diario - FC'!$E$11:$E1028,$C$77,'Livro Diario - FC'!$D$11:$D1028,"&gt;=01/01"&amp;$C$7,'Livro Diario - FC'!$D$11:$D1028,"&lt;=31/01"&amp;$C$7)</f>
        <v>307.27</v>
      </c>
      <c r="E77" s="256">
        <f>SUMIFS('Livro Diario - FC'!$M$11:$M1028,'Livro Diario - FC'!$E$11:$E1028,$C$77,'Livro Diario - FC'!$D$11:$D1028,"&gt;=01/01"&amp;$C$7,'Livro Diario - FC'!$D$11:$D1028,"&lt;=31/01"&amp;$C$7)</f>
        <v>307.27</v>
      </c>
      <c r="F77" s="273"/>
      <c r="G77" s="258"/>
      <c r="H77" s="157"/>
      <c r="I77" s="255">
        <f>SUMIFS('Livro Diario - FC'!$K$11:$K1028,'Livro Diario - FC'!$E$11:$E1028,$C$77,'Livro Diario - FC'!$D$11:$D1028,"&gt;=01/02"&amp;$C$7,'Livro Diario - FC'!$D$11:$D1028,"&lt;=29/02"&amp;$C$7)</f>
        <v>0</v>
      </c>
      <c r="J77" s="256">
        <f>SUMIFS('Livro Diario - FC'!$M$11:$M1028,'Livro Diario - FC'!$E$11:$E1028,$C$77,'Livro Diario - FC'!$D$11:$D1028,"&gt;=01/02"&amp;$C$7,'Livro Diario - FC'!$D$11:$D1028,"&lt;=29/02"&amp;$C$7)</f>
        <v>0</v>
      </c>
      <c r="K77" s="273"/>
      <c r="L77" s="258"/>
      <c r="M77" s="259"/>
      <c r="N77" s="255">
        <f>SUMIFS('Livro Diario - FC'!$K$11:$K1028,'Livro Diario - FC'!$E$11:$E1028,$C$77,'Livro Diario - FC'!$D$11:$D1028,"&gt;=01/03"&amp;$C$7,'Livro Diario - FC'!$D$11:$D1028,"&lt;=31/03"&amp;$C$7)</f>
        <v>0</v>
      </c>
      <c r="O77" s="256">
        <f>SUMIFS('Livro Diario - FC'!$M$11:$M1028,'Livro Diario - FC'!$E$11:$E1028,$C$77,'Livro Diario - FC'!$D$11:$D1028,"&gt;=01/03"&amp;$C$7,'Livro Diario - FC'!$D$11:$D1028,"&lt;=31/03"&amp;$C$7)</f>
        <v>0</v>
      </c>
      <c r="P77" s="273"/>
      <c r="Q77" s="258"/>
      <c r="R77" s="259"/>
      <c r="S77" s="255">
        <f>SUMIFS('Livro Diario - FC'!$K$11:$K1028,'Livro Diario - FC'!$E$11:$E1028,$C$77,'Livro Diario - FC'!$D$11:$D1028,"&gt;=01/04"&amp;$C$7,'Livro Diario - FC'!$D$11:$D1028,"&lt;=30/04"&amp;$C$7)</f>
        <v>0</v>
      </c>
      <c r="T77" s="256">
        <f>SUMIFS('Livro Diario - FC'!$M$11:$M1028,'Livro Diario - FC'!$E$11:$E1028,$C$77,'Livro Diario - FC'!$D$11:$D1028,"&gt;=01/04"&amp;$C$7,'Livro Diario - FC'!$D$11:$D1028,"&lt;=30/04"&amp;$C$7)</f>
        <v>0</v>
      </c>
      <c r="U77" s="273"/>
      <c r="V77" s="258"/>
      <c r="W77" s="259"/>
      <c r="X77" s="255">
        <f>SUMIFS('Livro Diario - FC'!$K$11:$K1028,'Livro Diario - FC'!$E$11:$E1028,$C$77,'Livro Diario - FC'!$D$11:$D1028,"&gt;=01/05"&amp;$C$7,'Livro Diario - FC'!$D$11:$D1028,"&lt;=31/05"&amp;$C$7)</f>
        <v>0</v>
      </c>
      <c r="Y77" s="256">
        <f>SUMIFS('Livro Diario - FC'!$M$11:$M1028,'Livro Diario - FC'!$E$11:$E1028,$C$77,'Livro Diario - FC'!$D$11:$D1028,"&gt;=01/05"&amp;$C$7,'Livro Diario - FC'!$D$11:$D1028,"&lt;=31/05"&amp;$C$7)</f>
        <v>0</v>
      </c>
      <c r="Z77" s="273"/>
      <c r="AA77" s="258"/>
      <c r="AB77" s="259"/>
      <c r="AC77" s="255">
        <f>SUMIFS('Livro Diario - FC'!$K$11:$K1028,'Livro Diario - FC'!$E$11:$E1028,$C$77,'Livro Diario - FC'!$D$11:$D1028,"&gt;=01/06"&amp;$C$7,'Livro Diario - FC'!$D$11:$D1028,"&lt;=30/06"&amp;$C$7)</f>
        <v>0</v>
      </c>
      <c r="AD77" s="256">
        <f>SUMIFS('Livro Diario - FC'!$M$11:$M1028,'Livro Diario - FC'!$E$11:$E1028,$C$77,'Livro Diario - FC'!$D$11:$D1028,"&gt;=01/06"&amp;$C$7,'Livro Diario - FC'!$D$11:$D1028,"&lt;=30/06"&amp;$C$7)</f>
        <v>0</v>
      </c>
      <c r="AE77" s="273"/>
      <c r="AF77" s="258"/>
      <c r="AG77" s="255">
        <f>SUMIFS('Livro Diario - FC'!$K$11:$K1028,'Livro Diario - FC'!$E$11:$E1028,$C$77,'Livro Diario - FC'!$D$11:$D1028,"&gt;=01/07"&amp;$C$7,'Livro Diario - FC'!$D$11:$D1028,"&lt;=31/07"&amp;$C$7)</f>
        <v>0</v>
      </c>
      <c r="AH77" s="256">
        <f>SUMIFS('Livro Diario - FC'!$M$11:$M1028,'Livro Diario - FC'!$E$11:$E1028,$C$77,'Livro Diario - FC'!$D$11:$D1028,"&gt;=01/07"&amp;$C$7,'Livro Diario - FC'!$D$11:$D1028,"&lt;=31/07"&amp;$C$7)</f>
        <v>0</v>
      </c>
      <c r="AI77" s="273"/>
      <c r="AJ77" s="258"/>
      <c r="AK77" s="255">
        <f>SUMIFS('Livro Diario - FC'!$K$11:$K1028,'Livro Diario - FC'!$E$11:$E1028,$C$77,'Livro Diario - FC'!$D$11:$D1028,"&gt;=01/08"&amp;$C$7,'Livro Diario - FC'!$D$11:$D1028,"&lt;=31/08"&amp;$C$7)</f>
        <v>0</v>
      </c>
      <c r="AL77" s="256">
        <f>SUMIFS('Livro Diario - FC'!$M$11:$M1028,'Livro Diario - FC'!$E$11:$E1028,$C$77,'Livro Diario - FC'!$D$11:$D1028,"&gt;=01/08"&amp;$C$7,'Livro Diario - FC'!$D$11:$D1028,"&lt;=31/08"&amp;$C$7)</f>
        <v>0</v>
      </c>
      <c r="AM77" s="273"/>
      <c r="AN77" s="258"/>
      <c r="AO77" s="255">
        <f>SUMIFS('Livro Diario - FC'!$K$11:$K1028,'Livro Diario - FC'!$E$11:$E1028,$C$77,'Livro Diario - FC'!$D$11:$D1028,"&gt;=01/09"&amp;$C$7,'Livro Diario - FC'!$D$11:$D1028,"&lt;=30/09"&amp;$C$7)</f>
        <v>0</v>
      </c>
      <c r="AP77" s="256">
        <f>SUMIFS('Livro Diario - FC'!$M$11:$M1028,'Livro Diario - FC'!$E$11:$E1028,$C$77,'Livro Diario - FC'!$D$11:$D1028,"&gt;=01/09"&amp;$C$7,'Livro Diario - FC'!$D$11:$D1028,"&lt;=30/09"&amp;$C$7)</f>
        <v>0</v>
      </c>
      <c r="AQ77" s="273"/>
      <c r="AR77" s="258"/>
      <c r="AS77" s="255">
        <f>SUMIFS('Livro Diario - FC'!$K$11:$K1028,'Livro Diario - FC'!$E$11:$E1028,$C$77,'Livro Diario - FC'!$D$11:$D1028,"&gt;=01/10"&amp;$C$7,'Livro Diario - FC'!$D$11:$D1028,"&lt;=31/10"&amp;$C$7)</f>
        <v>0</v>
      </c>
      <c r="AT77" s="256">
        <f>SUMIFS('Livro Diario - FC'!$M$11:$M1028,'Livro Diario - FC'!$E$11:$E1028,$C$77,'Livro Diario - FC'!$D$11:$D1028,"&gt;=01/10"&amp;$C$7,'Livro Diario - FC'!$D$11:$D1028,"&lt;=31/10"&amp;$C$7)</f>
        <v>0</v>
      </c>
      <c r="AU77" s="273"/>
      <c r="AV77" s="258"/>
      <c r="AW77" s="255">
        <f>SUMIFS('Livro Diario - FC'!$K$11:$K1028,'Livro Diario - FC'!$E$11:$E1028,$C$77,'Livro Diario - FC'!$D$11:$D1028,"&gt;=01/11"&amp;$C$7,'Livro Diario - FC'!$D$11:$D1028,"&lt;=30/11"&amp;$C$7)</f>
        <v>0</v>
      </c>
      <c r="AX77" s="256">
        <f>SUMIFS('Livro Diario - FC'!$M$11:$M1028,'Livro Diario - FC'!$E$11:$E1028,$C$77,'Livro Diario - FC'!$D$11:$D1028,"&gt;=01/11"&amp;$C$7,'Livro Diario - FC'!$D$11:$D1028,"&lt;=30/11"&amp;$C$7)</f>
        <v>0</v>
      </c>
      <c r="AY77" s="273"/>
      <c r="AZ77" s="258"/>
      <c r="BA77" s="255">
        <f>SUMIFS('Livro Diario - FC'!$K$11:$K1028,'Livro Diario - FC'!$E$11:$E1028,$C$77,'Livro Diario - FC'!$D$11:$D1028,"&gt;=01/12"&amp;$C$7,'Livro Diario - FC'!$D$11:$D1028,"&lt;=31/12"&amp;$C$7)</f>
        <v>0</v>
      </c>
      <c r="BB77" s="256">
        <f>SUMIFS('Livro Diario - FC'!$M$11:$M1028,'Livro Diario - FC'!$E$11:$E1028,$C$77,'Livro Diario - FC'!$D$11:$D1028,"&gt;=01/12"&amp;$C$7,'Livro Diario - FC'!$D$11:$D1028,"&lt;=31/12"&amp;$C$7)</f>
        <v>0</v>
      </c>
      <c r="BC77" s="273"/>
      <c r="BD77" s="273"/>
      <c r="BE77" s="267">
        <f t="shared" ref="BE77:BF77" si="178">SUM(D77,I77,N77,S77,X77,AC77,AG77,AK77,AO77,AS77,AW77,BA77)</f>
        <v>307.27</v>
      </c>
      <c r="BF77" s="268">
        <f t="shared" si="178"/>
        <v>307.27</v>
      </c>
      <c r="BG77" s="269"/>
      <c r="BH77" s="192"/>
      <c r="BI77" s="270">
        <f>SUMIFS('Livro Diario - FC'!$M$11:$M1028,'Livro Diario - FC'!$E$11:$E1028,C77,'Livro Diario - FC'!$D$11:$D1028,"&gt;="&amp;$BK$8,'Livro Diario - FC'!$D$11:$D1028,"&lt;="&amp;$BK$9)</f>
        <v>0</v>
      </c>
      <c r="BJ77" s="271"/>
      <c r="BK77" s="272"/>
      <c r="BL77" s="1"/>
    </row>
    <row r="78">
      <c r="A78" s="1"/>
      <c r="B78" s="1"/>
      <c r="C78" s="338" t="str">
        <f>'Livro Diario - FC'!AE81</f>
        <v>Coco Ralado</v>
      </c>
      <c r="D78" s="255">
        <f>SUMIFS('Livro Diario - FC'!$K$11:$K1028,'Livro Diario - FC'!$E$11:$E1028,$C$78,'Livro Diario - FC'!$D$11:$D1028,"&gt;=01/01"&amp;$C$7,'Livro Diario - FC'!$D$11:$D1028,"&lt;=31/01"&amp;$C$7)</f>
        <v>10</v>
      </c>
      <c r="E78" s="256">
        <f>SUMIFS('Livro Diario - FC'!$M$11:$M1028,'Livro Diario - FC'!$E$11:$E1028,$C$78,'Livro Diario - FC'!$D$11:$D1028,"&gt;=01/01"&amp;$C$7,'Livro Diario - FC'!$D$11:$D1028,"&lt;=31/01"&amp;$C$7)</f>
        <v>10</v>
      </c>
      <c r="F78" s="273"/>
      <c r="G78" s="258"/>
      <c r="H78" s="157"/>
      <c r="I78" s="255">
        <f>SUMIFS('Livro Diario - FC'!$K$11:$K1028,'Livro Diario - FC'!$E$11:$E1028,$C$78,'Livro Diario - FC'!$D$11:$D1028,"&gt;=01/02"&amp;$C$7,'Livro Diario - FC'!$D$11:$D1028,"&lt;=29/02"&amp;$C$7)</f>
        <v>0</v>
      </c>
      <c r="J78" s="256">
        <f>SUMIFS('Livro Diario - FC'!$M$11:$M1028,'Livro Diario - FC'!$E$11:$E1028,$C$78,'Livro Diario - FC'!$D$11:$D1028,"&gt;=01/02"&amp;$C$7,'Livro Diario - FC'!$D$11:$D1028,"&lt;=29/02"&amp;$C$7)</f>
        <v>0</v>
      </c>
      <c r="K78" s="273"/>
      <c r="L78" s="258"/>
      <c r="M78" s="259"/>
      <c r="N78" s="255">
        <f>SUMIFS('Livro Diario - FC'!$K$11:$K1028,'Livro Diario - FC'!$E$11:$E1028,$C$78,'Livro Diario - FC'!$D$11:$D1028,"&gt;=01/03"&amp;$C$7,'Livro Diario - FC'!$D$11:$D1028,"&lt;=31/03"&amp;$C$7)</f>
        <v>0</v>
      </c>
      <c r="O78" s="256">
        <f>SUMIFS('Livro Diario - FC'!$M$11:$M1028,'Livro Diario - FC'!$E$11:$E1028,$C$78,'Livro Diario - FC'!$D$11:$D1028,"&gt;=01/03"&amp;$C$7,'Livro Diario - FC'!$D$11:$D1028,"&lt;=31/03"&amp;$C$7)</f>
        <v>0</v>
      </c>
      <c r="P78" s="273"/>
      <c r="Q78" s="258"/>
      <c r="R78" s="259"/>
      <c r="S78" s="255">
        <f>SUMIFS('Livro Diario - FC'!$K$11:$K1028,'Livro Diario - FC'!$E$11:$E1028,$C$78,'Livro Diario - FC'!$D$11:$D1028,"&gt;=01/04"&amp;$C$7,'Livro Diario - FC'!$D$11:$D1028,"&lt;=30/04"&amp;$C$7)</f>
        <v>0</v>
      </c>
      <c r="T78" s="256">
        <f>SUMIFS('Livro Diario - FC'!$M$11:$M1028,'Livro Diario - FC'!$E$11:$E1028,$C$78,'Livro Diario - FC'!$D$11:$D1028,"&gt;=01/04"&amp;$C$7,'Livro Diario - FC'!$D$11:$D1028,"&lt;=30/04"&amp;$C$7)</f>
        <v>0</v>
      </c>
      <c r="U78" s="273"/>
      <c r="V78" s="258"/>
      <c r="W78" s="259"/>
      <c r="X78" s="255">
        <f>SUMIFS('Livro Diario - FC'!$K$11:$K1028,'Livro Diario - FC'!$E$11:$E1028,$C$78,'Livro Diario - FC'!$D$11:$D1028,"&gt;=01/05"&amp;$C$7,'Livro Diario - FC'!$D$11:$D1028,"&lt;=31/05"&amp;$C$7)</f>
        <v>0</v>
      </c>
      <c r="Y78" s="256">
        <f>SUMIFS('Livro Diario - FC'!$M$11:$M1028,'Livro Diario - FC'!$E$11:$E1028,$C$78,'Livro Diario - FC'!$D$11:$D1028,"&gt;=01/05"&amp;$C$7,'Livro Diario - FC'!$D$11:$D1028,"&lt;=31/05"&amp;$C$7)</f>
        <v>0</v>
      </c>
      <c r="Z78" s="273"/>
      <c r="AA78" s="258"/>
      <c r="AB78" s="259"/>
      <c r="AC78" s="255">
        <f>SUMIFS('Livro Diario - FC'!$K$11:$K1028,'Livro Diario - FC'!$E$11:$E1028,$C$78,'Livro Diario - FC'!$D$11:$D1028,"&gt;=01/06"&amp;$C$7,'Livro Diario - FC'!$D$11:$D1028,"&lt;=30/06"&amp;$C$7)</f>
        <v>0</v>
      </c>
      <c r="AD78" s="256">
        <f>SUMIFS('Livro Diario - FC'!$M$11:$M1028,'Livro Diario - FC'!$E$11:$E1028,$C$78,'Livro Diario - FC'!$D$11:$D1028,"&gt;=01/06"&amp;$C$7,'Livro Diario - FC'!$D$11:$D1028,"&lt;=30/06"&amp;$C$7)</f>
        <v>0</v>
      </c>
      <c r="AE78" s="273"/>
      <c r="AF78" s="258"/>
      <c r="AG78" s="255">
        <f>SUMIFS('Livro Diario - FC'!$K$11:$K1028,'Livro Diario - FC'!$E$11:$E1028,$C$78,'Livro Diario - FC'!$D$11:$D1028,"&gt;=01/07"&amp;$C$7,'Livro Diario - FC'!$D$11:$D1028,"&lt;=31/07"&amp;$C$7)</f>
        <v>0</v>
      </c>
      <c r="AH78" s="256">
        <f>SUMIFS('Livro Diario - FC'!$M$11:$M1028,'Livro Diario - FC'!$E$11:$E1028,$C$78,'Livro Diario - FC'!$D$11:$D1028,"&gt;=01/07"&amp;$C$7,'Livro Diario - FC'!$D$11:$D1028,"&lt;=31/07"&amp;$C$7)</f>
        <v>0</v>
      </c>
      <c r="AI78" s="273"/>
      <c r="AJ78" s="258"/>
      <c r="AK78" s="255">
        <f>SUMIFS('Livro Diario - FC'!$K$11:$K1028,'Livro Diario - FC'!$E$11:$E1028,$C$78,'Livro Diario - FC'!$D$11:$D1028,"&gt;=01/08"&amp;$C$7,'Livro Diario - FC'!$D$11:$D1028,"&lt;=31/08"&amp;$C$7)</f>
        <v>0</v>
      </c>
      <c r="AL78" s="256">
        <f>SUMIFS('Livro Diario - FC'!$M$11:$M1028,'Livro Diario - FC'!$E$11:$E1028,$C$78,'Livro Diario - FC'!$D$11:$D1028,"&gt;=01/08"&amp;$C$7,'Livro Diario - FC'!$D$11:$D1028,"&lt;=31/08"&amp;$C$7)</f>
        <v>0</v>
      </c>
      <c r="AM78" s="273"/>
      <c r="AN78" s="258"/>
      <c r="AO78" s="255">
        <f>SUMIFS('Livro Diario - FC'!$K$11:$K1028,'Livro Diario - FC'!$E$11:$E1028,$C$78,'Livro Diario - FC'!$D$11:$D1028,"&gt;=01/09"&amp;$C$7,'Livro Diario - FC'!$D$11:$D1028,"&lt;=30/09"&amp;$C$7)</f>
        <v>0</v>
      </c>
      <c r="AP78" s="256">
        <f>SUMIFS('Livro Diario - FC'!$M$11:$M1028,'Livro Diario - FC'!$E$11:$E1028,$C$78,'Livro Diario - FC'!$D$11:$D1028,"&gt;=01/09"&amp;$C$7,'Livro Diario - FC'!$D$11:$D1028,"&lt;=30/09"&amp;$C$7)</f>
        <v>0</v>
      </c>
      <c r="AQ78" s="273"/>
      <c r="AR78" s="258"/>
      <c r="AS78" s="255">
        <f>SUMIFS('Livro Diario - FC'!$K$11:$K1028,'Livro Diario - FC'!$E$11:$E1028,$C$78,'Livro Diario - FC'!$D$11:$D1028,"&gt;=01/10"&amp;$C$7,'Livro Diario - FC'!$D$11:$D1028,"&lt;=31/10"&amp;$C$7)</f>
        <v>0</v>
      </c>
      <c r="AT78" s="256">
        <f>SUMIFS('Livro Diario - FC'!$M$11:$M1028,'Livro Diario - FC'!$E$11:$E1028,$C$78,'Livro Diario - FC'!$D$11:$D1028,"&gt;=01/10"&amp;$C$7,'Livro Diario - FC'!$D$11:$D1028,"&lt;=31/10"&amp;$C$7)</f>
        <v>0</v>
      </c>
      <c r="AU78" s="273"/>
      <c r="AV78" s="258"/>
      <c r="AW78" s="255">
        <f>SUMIFS('Livro Diario - FC'!$K$11:$K1028,'Livro Diario - FC'!$E$11:$E1028,$C$78,'Livro Diario - FC'!$D$11:$D1028,"&gt;=01/11"&amp;$C$7,'Livro Diario - FC'!$D$11:$D1028,"&lt;=30/11"&amp;$C$7)</f>
        <v>0</v>
      </c>
      <c r="AX78" s="256">
        <f>SUMIFS('Livro Diario - FC'!$M$11:$M1028,'Livro Diario - FC'!$E$11:$E1028,$C$78,'Livro Diario - FC'!$D$11:$D1028,"&gt;=01/11"&amp;$C$7,'Livro Diario - FC'!$D$11:$D1028,"&lt;=30/11"&amp;$C$7)</f>
        <v>0</v>
      </c>
      <c r="AY78" s="273"/>
      <c r="AZ78" s="258"/>
      <c r="BA78" s="255">
        <f>SUMIFS('Livro Diario - FC'!$K$11:$K1028,'Livro Diario - FC'!$E$11:$E1028,$C$78,'Livro Diario - FC'!$D$11:$D1028,"&gt;=01/12"&amp;$C$7,'Livro Diario - FC'!$D$11:$D1028,"&lt;=31/12"&amp;$C$7)</f>
        <v>0</v>
      </c>
      <c r="BB78" s="256">
        <f>SUMIFS('Livro Diario - FC'!$M$11:$M1028,'Livro Diario - FC'!$E$11:$E1028,$C$78,'Livro Diario - FC'!$D$11:$D1028,"&gt;=01/12"&amp;$C$7,'Livro Diario - FC'!$D$11:$D1028,"&lt;=31/12"&amp;$C$7)</f>
        <v>0</v>
      </c>
      <c r="BC78" s="273"/>
      <c r="BD78" s="273"/>
      <c r="BE78" s="267">
        <f t="shared" ref="BE78:BF78" si="179">SUM(D78,I78,N78,S78,X78,AC78,AG78,AK78,AO78,AS78,AW78,BA78)</f>
        <v>10</v>
      </c>
      <c r="BF78" s="268">
        <f t="shared" si="179"/>
        <v>10</v>
      </c>
      <c r="BG78" s="269"/>
      <c r="BH78" s="192"/>
      <c r="BI78" s="270">
        <f>SUMIFS('Livro Diario - FC'!$M$11:$M1028,'Livro Diario - FC'!$E$11:$E1028,C78,'Livro Diario - FC'!$D$11:$D1028,"&gt;="&amp;$BK$8,'Livro Diario - FC'!$D$11:$D1028,"&lt;="&amp;$BK$9)</f>
        <v>0</v>
      </c>
      <c r="BJ78" s="271"/>
      <c r="BK78" s="272"/>
      <c r="BL78" s="1"/>
    </row>
    <row r="79">
      <c r="A79" s="1"/>
      <c r="B79" s="1"/>
      <c r="C79" s="338" t="str">
        <f>'Livro Diario - FC'!AE82</f>
        <v>Limão</v>
      </c>
      <c r="D79" s="255">
        <f>SUMIFS('Livro Diario - FC'!$K$11:$K1028,'Livro Diario - FC'!$E$11:$E1028,$C$79,'Livro Diario - FC'!$D$11:$D1028,"&gt;=01/01"&amp;$C$7,'Livro Diario - FC'!$D$11:$D1028,"&lt;=31/01"&amp;$C$7)</f>
        <v>78.77</v>
      </c>
      <c r="E79" s="256">
        <f>SUMIFS('Livro Diario - FC'!$M$11:$M1028,'Livro Diario - FC'!$E$11:$E1028,$C$79,'Livro Diario - FC'!$D$11:$D1028,"&gt;=01/01"&amp;$C$7,'Livro Diario - FC'!$D$11:$D1028,"&lt;=31/01"&amp;$C$7)</f>
        <v>78.77</v>
      </c>
      <c r="F79" s="273"/>
      <c r="G79" s="258"/>
      <c r="H79" s="157"/>
      <c r="I79" s="255">
        <f>SUMIFS('Livro Diario - FC'!$K$11:$K1028,'Livro Diario - FC'!$E$11:$E1028,$C$79,'Livro Diario - FC'!$D$11:$D1028,"&gt;=01/02"&amp;$C$7,'Livro Diario - FC'!$D$11:$D1028,"&lt;=29/02"&amp;$C$7)</f>
        <v>0</v>
      </c>
      <c r="J79" s="256">
        <f>SUMIFS('Livro Diario - FC'!$M$11:$M1028,'Livro Diario - FC'!$E$11:$E1028,$C$79,'Livro Diario - FC'!$D$11:$D1028,"&gt;=01/02"&amp;$C$7,'Livro Diario - FC'!$D$11:$D1028,"&lt;=29/02"&amp;$C$7)</f>
        <v>0</v>
      </c>
      <c r="K79" s="273"/>
      <c r="L79" s="258"/>
      <c r="M79" s="259"/>
      <c r="N79" s="255">
        <f>SUMIFS('Livro Diario - FC'!$K$11:$K1028,'Livro Diario - FC'!$E$11:$E1028,$C$79,'Livro Diario - FC'!$D$11:$D1028,"&gt;=01/03"&amp;$C$7,'Livro Diario - FC'!$D$11:$D1028,"&lt;=31/03"&amp;$C$7)</f>
        <v>0</v>
      </c>
      <c r="O79" s="256">
        <f>SUMIFS('Livro Diario - FC'!$M$11:$M1028,'Livro Diario - FC'!$E$11:$E1028,$C$79,'Livro Diario - FC'!$D$11:$D1028,"&gt;=01/03"&amp;$C$7,'Livro Diario - FC'!$D$11:$D1028,"&lt;=31/03"&amp;$C$7)</f>
        <v>0</v>
      </c>
      <c r="P79" s="273"/>
      <c r="Q79" s="258"/>
      <c r="R79" s="259"/>
      <c r="S79" s="255">
        <f>SUMIFS('Livro Diario - FC'!$K$11:$K1028,'Livro Diario - FC'!$E$11:$E1028,$C$79,'Livro Diario - FC'!$D$11:$D1028,"&gt;=01/04"&amp;$C$7,'Livro Diario - FC'!$D$11:$D1028,"&lt;=30/04"&amp;$C$7)</f>
        <v>0</v>
      </c>
      <c r="T79" s="256">
        <f>SUMIFS('Livro Diario - FC'!$M$11:$M1028,'Livro Diario - FC'!$E$11:$E1028,$C$79,'Livro Diario - FC'!$D$11:$D1028,"&gt;=01/04"&amp;$C$7,'Livro Diario - FC'!$D$11:$D1028,"&lt;=30/04"&amp;$C$7)</f>
        <v>0</v>
      </c>
      <c r="U79" s="273"/>
      <c r="V79" s="258"/>
      <c r="W79" s="259"/>
      <c r="X79" s="255">
        <f>SUMIFS('Livro Diario - FC'!$K$11:$K1028,'Livro Diario - FC'!$E$11:$E1028,$C$79,'Livro Diario - FC'!$D$11:$D1028,"&gt;=01/05"&amp;$C$7,'Livro Diario - FC'!$D$11:$D1028,"&lt;=31/05"&amp;$C$7)</f>
        <v>0</v>
      </c>
      <c r="Y79" s="256">
        <f>SUMIFS('Livro Diario - FC'!$M$11:$M1028,'Livro Diario - FC'!$E$11:$E1028,$C$79,'Livro Diario - FC'!$D$11:$D1028,"&gt;=01/05"&amp;$C$7,'Livro Diario - FC'!$D$11:$D1028,"&lt;=31/05"&amp;$C$7)</f>
        <v>0</v>
      </c>
      <c r="Z79" s="273"/>
      <c r="AA79" s="258"/>
      <c r="AB79" s="259"/>
      <c r="AC79" s="255">
        <f>SUMIFS('Livro Diario - FC'!$K$11:$K1028,'Livro Diario - FC'!$E$11:$E1028,$C$79,'Livro Diario - FC'!$D$11:$D1028,"&gt;=01/06"&amp;$C$7,'Livro Diario - FC'!$D$11:$D1028,"&lt;=30/06"&amp;$C$7)</f>
        <v>0</v>
      </c>
      <c r="AD79" s="256">
        <f>SUMIFS('Livro Diario - FC'!$M$11:$M1028,'Livro Diario - FC'!$E$11:$E1028,$C$79,'Livro Diario - FC'!$D$11:$D1028,"&gt;=01/06"&amp;$C$7,'Livro Diario - FC'!$D$11:$D1028,"&lt;=30/06"&amp;$C$7)</f>
        <v>0</v>
      </c>
      <c r="AE79" s="273"/>
      <c r="AF79" s="258"/>
      <c r="AG79" s="255">
        <f>SUMIFS('Livro Diario - FC'!$K$11:$K1028,'Livro Diario - FC'!$E$11:$E1028,$C$79,'Livro Diario - FC'!$D$11:$D1028,"&gt;=01/07"&amp;$C$7,'Livro Diario - FC'!$D$11:$D1028,"&lt;=31/07"&amp;$C$7)</f>
        <v>0</v>
      </c>
      <c r="AH79" s="256">
        <f>SUMIFS('Livro Diario - FC'!$M$11:$M1028,'Livro Diario - FC'!$E$11:$E1028,$C$79,'Livro Diario - FC'!$D$11:$D1028,"&gt;=01/07"&amp;$C$7,'Livro Diario - FC'!$D$11:$D1028,"&lt;=31/07"&amp;$C$7)</f>
        <v>0</v>
      </c>
      <c r="AI79" s="273"/>
      <c r="AJ79" s="258"/>
      <c r="AK79" s="255">
        <f>SUMIFS('Livro Diario - FC'!$K$11:$K1028,'Livro Diario - FC'!$E$11:$E1028,$C$79,'Livro Diario - FC'!$D$11:$D1028,"&gt;=01/08"&amp;$C$7,'Livro Diario - FC'!$D$11:$D1028,"&lt;=31/08"&amp;$C$7)</f>
        <v>0</v>
      </c>
      <c r="AL79" s="256">
        <f>SUMIFS('Livro Diario - FC'!$M$11:$M1028,'Livro Diario - FC'!$E$11:$E1028,$C$79,'Livro Diario - FC'!$D$11:$D1028,"&gt;=01/08"&amp;$C$7,'Livro Diario - FC'!$D$11:$D1028,"&lt;=31/08"&amp;$C$7)</f>
        <v>0</v>
      </c>
      <c r="AM79" s="273"/>
      <c r="AN79" s="258"/>
      <c r="AO79" s="255">
        <f>SUMIFS('Livro Diario - FC'!$K$11:$K1028,'Livro Diario - FC'!$E$11:$E1028,$C$79,'Livro Diario - FC'!$D$11:$D1028,"&gt;=01/09"&amp;$C$7,'Livro Diario - FC'!$D$11:$D1028,"&lt;=30/09"&amp;$C$7)</f>
        <v>0</v>
      </c>
      <c r="AP79" s="256">
        <f>SUMIFS('Livro Diario - FC'!$M$11:$M1028,'Livro Diario - FC'!$E$11:$E1028,$C$79,'Livro Diario - FC'!$D$11:$D1028,"&gt;=01/09"&amp;$C$7,'Livro Diario - FC'!$D$11:$D1028,"&lt;=30/09"&amp;$C$7)</f>
        <v>0</v>
      </c>
      <c r="AQ79" s="273"/>
      <c r="AR79" s="258"/>
      <c r="AS79" s="255">
        <f>SUMIFS('Livro Diario - FC'!$K$11:$K1028,'Livro Diario - FC'!$E$11:$E1028,$C$79,'Livro Diario - FC'!$D$11:$D1028,"&gt;=01/10"&amp;$C$7,'Livro Diario - FC'!$D$11:$D1028,"&lt;=31/10"&amp;$C$7)</f>
        <v>0</v>
      </c>
      <c r="AT79" s="256">
        <f>SUMIFS('Livro Diario - FC'!$M$11:$M1028,'Livro Diario - FC'!$E$11:$E1028,$C$79,'Livro Diario - FC'!$D$11:$D1028,"&gt;=01/10"&amp;$C$7,'Livro Diario - FC'!$D$11:$D1028,"&lt;=31/10"&amp;$C$7)</f>
        <v>0</v>
      </c>
      <c r="AU79" s="273"/>
      <c r="AV79" s="258"/>
      <c r="AW79" s="255">
        <f>SUMIFS('Livro Diario - FC'!$K$11:$K1028,'Livro Diario - FC'!$E$11:$E1028,$C$79,'Livro Diario - FC'!$D$11:$D1028,"&gt;=01/11"&amp;$C$7,'Livro Diario - FC'!$D$11:$D1028,"&lt;=30/11"&amp;$C$7)</f>
        <v>0</v>
      </c>
      <c r="AX79" s="256">
        <f>SUMIFS('Livro Diario - FC'!$M$11:$M1028,'Livro Diario - FC'!$E$11:$E1028,$C$79,'Livro Diario - FC'!$D$11:$D1028,"&gt;=01/11"&amp;$C$7,'Livro Diario - FC'!$D$11:$D1028,"&lt;=30/11"&amp;$C$7)</f>
        <v>0</v>
      </c>
      <c r="AY79" s="273"/>
      <c r="AZ79" s="258"/>
      <c r="BA79" s="255">
        <f>SUMIFS('Livro Diario - FC'!$K$11:$K1028,'Livro Diario - FC'!$E$11:$E1028,$C$79,'Livro Diario - FC'!$D$11:$D1028,"&gt;=01/12"&amp;$C$7,'Livro Diario - FC'!$D$11:$D1028,"&lt;=31/12"&amp;$C$7)</f>
        <v>0</v>
      </c>
      <c r="BB79" s="256">
        <f>SUMIFS('Livro Diario - FC'!$M$11:$M1028,'Livro Diario - FC'!$E$11:$E1028,$C$79,'Livro Diario - FC'!$D$11:$D1028,"&gt;=01/12"&amp;$C$7,'Livro Diario - FC'!$D$11:$D1028,"&lt;=31/12"&amp;$C$7)</f>
        <v>0</v>
      </c>
      <c r="BC79" s="273"/>
      <c r="BD79" s="273"/>
      <c r="BE79" s="267">
        <f t="shared" ref="BE79:BF79" si="180">SUM(D79,I79,N79,S79,X79,AC79,AG79,AK79,AO79,AS79,AW79,BA79)</f>
        <v>78.77</v>
      </c>
      <c r="BF79" s="268">
        <f t="shared" si="180"/>
        <v>78.77</v>
      </c>
      <c r="BG79" s="269"/>
      <c r="BH79" s="192"/>
      <c r="BI79" s="270">
        <f>SUMIFS('Livro Diario - FC'!$M$11:$M1028,'Livro Diario - FC'!$E$11:$E1028,C79,'Livro Diario - FC'!$D$11:$D1028,"&gt;="&amp;$BK$8,'Livro Diario - FC'!$D$11:$D1028,"&lt;="&amp;$BK$9)</f>
        <v>0</v>
      </c>
      <c r="BJ79" s="271"/>
      <c r="BK79" s="272"/>
      <c r="BL79" s="1"/>
    </row>
    <row r="80">
      <c r="A80" s="1"/>
      <c r="B80" s="1"/>
      <c r="C80" s="338" t="str">
        <f>'Livro Diario - FC'!AE83</f>
        <v>Laranja</v>
      </c>
      <c r="D80" s="255">
        <f>SUMIFS('Livro Diario - FC'!$K$11:$K1028,'Livro Diario - FC'!$E$11:$E1028,$C$80,'Livro Diario - FC'!$D$11:$D1028,"&gt;=01/01"&amp;$C$7,'Livro Diario - FC'!$D$11:$D1028,"&lt;=31/01"&amp;$C$7)</f>
        <v>120</v>
      </c>
      <c r="E80" s="256">
        <f>SUMIFS('Livro Diario - FC'!$M$11:$M1028,'Livro Diario - FC'!$E$11:$E1028,$C$80,'Livro Diario - FC'!$D$11:$D1028,"&gt;=01/01"&amp;$C$7,'Livro Diario - FC'!$D$11:$D1028,"&lt;=31/01"&amp;$C$7)</f>
        <v>120</v>
      </c>
      <c r="F80" s="273"/>
      <c r="G80" s="258"/>
      <c r="H80" s="157"/>
      <c r="I80" s="255">
        <f>SUMIFS('Livro Diario - FC'!$K$11:$K1028,'Livro Diario - FC'!$E$11:$E1028,$C$80,'Livro Diario - FC'!$D$11:$D1028,"&gt;=01/02"&amp;$C$7,'Livro Diario - FC'!$D$11:$D1028,"&lt;=29/02"&amp;$C$7)</f>
        <v>0</v>
      </c>
      <c r="J80" s="256">
        <f>SUMIFS('Livro Diario - FC'!$M$11:$M1028,'Livro Diario - FC'!$E$11:$E1028,$C$80,'Livro Diario - FC'!$D$11:$D1028,"&gt;=01/02"&amp;$C$7,'Livro Diario - FC'!$D$11:$D1028,"&lt;=29/02"&amp;$C$7)</f>
        <v>0</v>
      </c>
      <c r="K80" s="273"/>
      <c r="L80" s="258"/>
      <c r="M80" s="259"/>
      <c r="N80" s="255">
        <f>SUMIFS('Livro Diario - FC'!$K$11:$K1028,'Livro Diario - FC'!$E$11:$E1028,$C$80,'Livro Diario - FC'!$D$11:$D1028,"&gt;=01/03"&amp;$C$7,'Livro Diario - FC'!$D$11:$D1028,"&lt;=31/03"&amp;$C$7)</f>
        <v>0</v>
      </c>
      <c r="O80" s="256">
        <f>SUMIFS('Livro Diario - FC'!$M$11:$M1028,'Livro Diario - FC'!$E$11:$E1028,$C$80,'Livro Diario - FC'!$D$11:$D1028,"&gt;=01/03"&amp;$C$7,'Livro Diario - FC'!$D$11:$D1028,"&lt;=31/03"&amp;$C$7)</f>
        <v>0</v>
      </c>
      <c r="P80" s="273"/>
      <c r="Q80" s="258"/>
      <c r="R80" s="259"/>
      <c r="S80" s="255">
        <f>SUMIFS('Livro Diario - FC'!$K$11:$K1028,'Livro Diario - FC'!$E$11:$E1028,$C$80,'Livro Diario - FC'!$D$11:$D1028,"&gt;=01/04"&amp;$C$7,'Livro Diario - FC'!$D$11:$D1028,"&lt;=30/04"&amp;$C$7)</f>
        <v>0</v>
      </c>
      <c r="T80" s="256">
        <f>SUMIFS('Livro Diario - FC'!$M$11:$M1028,'Livro Diario - FC'!$E$11:$E1028,$C$80,'Livro Diario - FC'!$D$11:$D1028,"&gt;=01/04"&amp;$C$7,'Livro Diario - FC'!$D$11:$D1028,"&lt;=30/04"&amp;$C$7)</f>
        <v>0</v>
      </c>
      <c r="U80" s="273"/>
      <c r="V80" s="258"/>
      <c r="W80" s="259"/>
      <c r="X80" s="255">
        <f>SUMIFS('Livro Diario - FC'!$K$11:$K1028,'Livro Diario - FC'!$E$11:$E1028,$C$80,'Livro Diario - FC'!$D$11:$D1028,"&gt;=01/05"&amp;$C$7,'Livro Diario - FC'!$D$11:$D1028,"&lt;=31/05"&amp;$C$7)</f>
        <v>0</v>
      </c>
      <c r="Y80" s="256">
        <f>SUMIFS('Livro Diario - FC'!$M$11:$M1028,'Livro Diario - FC'!$E$11:$E1028,$C$80,'Livro Diario - FC'!$D$11:$D1028,"&gt;=01/05"&amp;$C$7,'Livro Diario - FC'!$D$11:$D1028,"&lt;=31/05"&amp;$C$7)</f>
        <v>0</v>
      </c>
      <c r="Z80" s="273"/>
      <c r="AA80" s="258"/>
      <c r="AB80" s="259"/>
      <c r="AC80" s="255">
        <f>SUMIFS('Livro Diario - FC'!$K$11:$K1028,'Livro Diario - FC'!$E$11:$E1028,$C$80,'Livro Diario - FC'!$D$11:$D1028,"&gt;=01/06"&amp;$C$7,'Livro Diario - FC'!$D$11:$D1028,"&lt;=30/06"&amp;$C$7)</f>
        <v>0</v>
      </c>
      <c r="AD80" s="256">
        <f>SUMIFS('Livro Diario - FC'!$M$11:$M1028,'Livro Diario - FC'!$E$11:$E1028,$C$80,'Livro Diario - FC'!$D$11:$D1028,"&gt;=01/06"&amp;$C$7,'Livro Diario - FC'!$D$11:$D1028,"&lt;=30/06"&amp;$C$7)</f>
        <v>0</v>
      </c>
      <c r="AE80" s="273"/>
      <c r="AF80" s="258"/>
      <c r="AG80" s="255">
        <f>SUMIFS('Livro Diario - FC'!$K$11:$K1028,'Livro Diario - FC'!$E$11:$E1028,$C$80,'Livro Diario - FC'!$D$11:$D1028,"&gt;=01/07"&amp;$C$7,'Livro Diario - FC'!$D$11:$D1028,"&lt;=31/07"&amp;$C$7)</f>
        <v>0</v>
      </c>
      <c r="AH80" s="256">
        <f>SUMIFS('Livro Diario - FC'!$M$11:$M1028,'Livro Diario - FC'!$E$11:$E1028,$C$80,'Livro Diario - FC'!$D$11:$D1028,"&gt;=01/07"&amp;$C$7,'Livro Diario - FC'!$D$11:$D1028,"&lt;=31/07"&amp;$C$7)</f>
        <v>0</v>
      </c>
      <c r="AI80" s="273"/>
      <c r="AJ80" s="258"/>
      <c r="AK80" s="255">
        <f>SUMIFS('Livro Diario - FC'!$K$11:$K1028,'Livro Diario - FC'!$E$11:$E1028,$C$80,'Livro Diario - FC'!$D$11:$D1028,"&gt;=01/08"&amp;$C$7,'Livro Diario - FC'!$D$11:$D1028,"&lt;=31/08"&amp;$C$7)</f>
        <v>0</v>
      </c>
      <c r="AL80" s="256">
        <f>SUMIFS('Livro Diario - FC'!$M$11:$M1028,'Livro Diario - FC'!$E$11:$E1028,$C$80,'Livro Diario - FC'!$D$11:$D1028,"&gt;=01/08"&amp;$C$7,'Livro Diario - FC'!$D$11:$D1028,"&lt;=31/08"&amp;$C$7)</f>
        <v>0</v>
      </c>
      <c r="AM80" s="273"/>
      <c r="AN80" s="258"/>
      <c r="AO80" s="255">
        <f>SUMIFS('Livro Diario - FC'!$K$11:$K1028,'Livro Diario - FC'!$E$11:$E1028,$C$80,'Livro Diario - FC'!$D$11:$D1028,"&gt;=01/09"&amp;$C$7,'Livro Diario - FC'!$D$11:$D1028,"&lt;=30/09"&amp;$C$7)</f>
        <v>0</v>
      </c>
      <c r="AP80" s="256">
        <f>SUMIFS('Livro Diario - FC'!$M$11:$M1028,'Livro Diario - FC'!$E$11:$E1028,$C$80,'Livro Diario - FC'!$D$11:$D1028,"&gt;=01/09"&amp;$C$7,'Livro Diario - FC'!$D$11:$D1028,"&lt;=30/09"&amp;$C$7)</f>
        <v>0</v>
      </c>
      <c r="AQ80" s="273"/>
      <c r="AR80" s="258"/>
      <c r="AS80" s="255">
        <f>SUMIFS('Livro Diario - FC'!$K$11:$K1028,'Livro Diario - FC'!$E$11:$E1028,$C$80,'Livro Diario - FC'!$D$11:$D1028,"&gt;=01/10"&amp;$C$7,'Livro Diario - FC'!$D$11:$D1028,"&lt;=31/10"&amp;$C$7)</f>
        <v>0</v>
      </c>
      <c r="AT80" s="256">
        <f>SUMIFS('Livro Diario - FC'!$M$11:$M1028,'Livro Diario - FC'!$E$11:$E1028,$C$80,'Livro Diario - FC'!$D$11:$D1028,"&gt;=01/10"&amp;$C$7,'Livro Diario - FC'!$D$11:$D1028,"&lt;=31/10"&amp;$C$7)</f>
        <v>0</v>
      </c>
      <c r="AU80" s="273"/>
      <c r="AV80" s="258"/>
      <c r="AW80" s="255">
        <f>SUMIFS('Livro Diario - FC'!$K$11:$K1028,'Livro Diario - FC'!$E$11:$E1028,$C$80,'Livro Diario - FC'!$D$11:$D1028,"&gt;=01/11"&amp;$C$7,'Livro Diario - FC'!$D$11:$D1028,"&lt;=30/11"&amp;$C$7)</f>
        <v>0</v>
      </c>
      <c r="AX80" s="256">
        <f>SUMIFS('Livro Diario - FC'!$M$11:$M1028,'Livro Diario - FC'!$E$11:$E1028,$C$80,'Livro Diario - FC'!$D$11:$D1028,"&gt;=01/11"&amp;$C$7,'Livro Diario - FC'!$D$11:$D1028,"&lt;=30/11"&amp;$C$7)</f>
        <v>0</v>
      </c>
      <c r="AY80" s="273"/>
      <c r="AZ80" s="258"/>
      <c r="BA80" s="255">
        <f>SUMIFS('Livro Diario - FC'!$K$11:$K1028,'Livro Diario - FC'!$E$11:$E1028,$C$80,'Livro Diario - FC'!$D$11:$D1028,"&gt;=01/12"&amp;$C$7,'Livro Diario - FC'!$D$11:$D1028,"&lt;=31/12"&amp;$C$7)</f>
        <v>0</v>
      </c>
      <c r="BB80" s="256">
        <f>SUMIFS('Livro Diario - FC'!$M$11:$M1028,'Livro Diario - FC'!$E$11:$E1028,$C$80,'Livro Diario - FC'!$D$11:$D1028,"&gt;=01/12"&amp;$C$7,'Livro Diario - FC'!$D$11:$D1028,"&lt;=31/12"&amp;$C$7)</f>
        <v>0</v>
      </c>
      <c r="BC80" s="273"/>
      <c r="BD80" s="273"/>
      <c r="BE80" s="267">
        <f t="shared" ref="BE80:BF80" si="181">SUM(D80,I80,N80,S80,X80,AC80,AG80,AK80,AO80,AS80,AW80,BA80)</f>
        <v>120</v>
      </c>
      <c r="BF80" s="268">
        <f t="shared" si="181"/>
        <v>120</v>
      </c>
      <c r="BG80" s="269"/>
      <c r="BH80" s="192"/>
      <c r="BI80" s="270">
        <f>SUMIFS('Livro Diario - FC'!$M$11:$M1028,'Livro Diario - FC'!$E$11:$E1028,C80,'Livro Diario - FC'!$D$11:$D1028,"&gt;="&amp;$BK$8,'Livro Diario - FC'!$D$11:$D1028,"&lt;="&amp;$BK$9)</f>
        <v>0</v>
      </c>
      <c r="BJ80" s="271"/>
      <c r="BK80" s="272"/>
      <c r="BL80" s="1"/>
    </row>
    <row r="81">
      <c r="A81" s="1"/>
      <c r="B81" s="1"/>
      <c r="C81" s="338" t="str">
        <f>'Livro Diario - FC'!AE84</f>
        <v>Pimenta Cheiro</v>
      </c>
      <c r="D81" s="255">
        <f>SUMIFS('Livro Diario - FC'!$K$11:$K1028,'Livro Diario - FC'!$E$11:$E1028,$C$81,'Livro Diario - FC'!$D$11:$D1028,"&gt;=01/01"&amp;$C$7,'Livro Diario - FC'!$D$11:$D1028,"&lt;=31/01"&amp;$C$7)</f>
        <v>15</v>
      </c>
      <c r="E81" s="256">
        <f>SUMIFS('Livro Diario - FC'!$M$11:$M1028,'Livro Diario - FC'!$E$11:$E1028,$C$81,'Livro Diario - FC'!$D$11:$D1028,"&gt;=01/01"&amp;$C$7,'Livro Diario - FC'!$D$11:$D1028,"&lt;=31/01"&amp;$C$7)</f>
        <v>15</v>
      </c>
      <c r="F81" s="273"/>
      <c r="G81" s="258"/>
      <c r="H81" s="157"/>
      <c r="I81" s="255">
        <f>SUMIFS('Livro Diario - FC'!$K$11:$K1028,'Livro Diario - FC'!$E$11:$E1028,$C$81,'Livro Diario - FC'!$D$11:$D1028,"&gt;=01/02"&amp;$C$7,'Livro Diario - FC'!$D$11:$D1028,"&lt;=29/02"&amp;$C$7)</f>
        <v>0</v>
      </c>
      <c r="J81" s="256">
        <f>SUMIFS('Livro Diario - FC'!$M$11:$M1028,'Livro Diario - FC'!$E$11:$E1028,$C$81,'Livro Diario - FC'!$D$11:$D1028,"&gt;=01/02"&amp;$C$7,'Livro Diario - FC'!$D$11:$D1028,"&lt;=29/02"&amp;$C$7)</f>
        <v>0</v>
      </c>
      <c r="K81" s="273"/>
      <c r="L81" s="258"/>
      <c r="M81" s="259"/>
      <c r="N81" s="255">
        <f>SUMIFS('Livro Diario - FC'!$K$11:$K1028,'Livro Diario - FC'!$E$11:$E1028,$C$81,'Livro Diario - FC'!$D$11:$D1028,"&gt;=01/03"&amp;$C$7,'Livro Diario - FC'!$D$11:$D1028,"&lt;=31/03"&amp;$C$7)</f>
        <v>0</v>
      </c>
      <c r="O81" s="256">
        <f>SUMIFS('Livro Diario - FC'!$M$11:$M1028,'Livro Diario - FC'!$E$11:$E1028,$C$81,'Livro Diario - FC'!$D$11:$D1028,"&gt;=01/03"&amp;$C$7,'Livro Diario - FC'!$D$11:$D1028,"&lt;=31/03"&amp;$C$7)</f>
        <v>0</v>
      </c>
      <c r="P81" s="273"/>
      <c r="Q81" s="258"/>
      <c r="R81" s="259"/>
      <c r="S81" s="255">
        <f>SUMIFS('Livro Diario - FC'!$K$11:$K1028,'Livro Diario - FC'!$E$11:$E1028,$C$81,'Livro Diario - FC'!$D$11:$D1028,"&gt;=01/04"&amp;$C$7,'Livro Diario - FC'!$D$11:$D1028,"&lt;=30/04"&amp;$C$7)</f>
        <v>0</v>
      </c>
      <c r="T81" s="256">
        <f>SUMIFS('Livro Diario - FC'!$M$11:$M1028,'Livro Diario - FC'!$E$11:$E1028,$C$81,'Livro Diario - FC'!$D$11:$D1028,"&gt;=01/04"&amp;$C$7,'Livro Diario - FC'!$D$11:$D1028,"&lt;=30/04"&amp;$C$7)</f>
        <v>0</v>
      </c>
      <c r="U81" s="273"/>
      <c r="V81" s="258"/>
      <c r="W81" s="259"/>
      <c r="X81" s="255">
        <f>SUMIFS('Livro Diario - FC'!$K$11:$K1028,'Livro Diario - FC'!$E$11:$E1028,$C$81,'Livro Diario - FC'!$D$11:$D1028,"&gt;=01/05"&amp;$C$7,'Livro Diario - FC'!$D$11:$D1028,"&lt;=31/05"&amp;$C$7)</f>
        <v>0</v>
      </c>
      <c r="Y81" s="256">
        <f>SUMIFS('Livro Diario - FC'!$M$11:$M1028,'Livro Diario - FC'!$E$11:$E1028,$C$81,'Livro Diario - FC'!$D$11:$D1028,"&gt;=01/05"&amp;$C$7,'Livro Diario - FC'!$D$11:$D1028,"&lt;=31/05"&amp;$C$7)</f>
        <v>0</v>
      </c>
      <c r="Z81" s="273"/>
      <c r="AA81" s="258"/>
      <c r="AB81" s="259"/>
      <c r="AC81" s="255">
        <f>SUMIFS('Livro Diario - FC'!$K$11:$K1028,'Livro Diario - FC'!$E$11:$E1028,$C$81,'Livro Diario - FC'!$D$11:$D1028,"&gt;=01/06"&amp;$C$7,'Livro Diario - FC'!$D$11:$D1028,"&lt;=30/06"&amp;$C$7)</f>
        <v>0</v>
      </c>
      <c r="AD81" s="256">
        <f>SUMIFS('Livro Diario - FC'!$M$11:$M1028,'Livro Diario - FC'!$E$11:$E1028,$C$81,'Livro Diario - FC'!$D$11:$D1028,"&gt;=01/06"&amp;$C$7,'Livro Diario - FC'!$D$11:$D1028,"&lt;=30/06"&amp;$C$7)</f>
        <v>0</v>
      </c>
      <c r="AE81" s="273"/>
      <c r="AF81" s="258"/>
      <c r="AG81" s="255">
        <f>SUMIFS('Livro Diario - FC'!$K$11:$K1028,'Livro Diario - FC'!$E$11:$E1028,$C$81,'Livro Diario - FC'!$D$11:$D1028,"&gt;=01/07"&amp;$C$7,'Livro Diario - FC'!$D$11:$D1028,"&lt;=31/07"&amp;$C$7)</f>
        <v>0</v>
      </c>
      <c r="AH81" s="256">
        <f>SUMIFS('Livro Diario - FC'!$M$11:$M1028,'Livro Diario - FC'!$E$11:$E1028,$C$81,'Livro Diario - FC'!$D$11:$D1028,"&gt;=01/07"&amp;$C$7,'Livro Diario - FC'!$D$11:$D1028,"&lt;=31/07"&amp;$C$7)</f>
        <v>0</v>
      </c>
      <c r="AI81" s="273"/>
      <c r="AJ81" s="258"/>
      <c r="AK81" s="255">
        <f>SUMIFS('Livro Diario - FC'!$K$11:$K1028,'Livro Diario - FC'!$E$11:$E1028,$C$81,'Livro Diario - FC'!$D$11:$D1028,"&gt;=01/08"&amp;$C$7,'Livro Diario - FC'!$D$11:$D1028,"&lt;=31/08"&amp;$C$7)</f>
        <v>0</v>
      </c>
      <c r="AL81" s="256">
        <f>SUMIFS('Livro Diario - FC'!$M$11:$M1028,'Livro Diario - FC'!$E$11:$E1028,$C$81,'Livro Diario - FC'!$D$11:$D1028,"&gt;=01/08"&amp;$C$7,'Livro Diario - FC'!$D$11:$D1028,"&lt;=31/08"&amp;$C$7)</f>
        <v>0</v>
      </c>
      <c r="AM81" s="273"/>
      <c r="AN81" s="258"/>
      <c r="AO81" s="255">
        <f>SUMIFS('Livro Diario - FC'!$K$11:$K1028,'Livro Diario - FC'!$E$11:$E1028,$C$81,'Livro Diario - FC'!$D$11:$D1028,"&gt;=01/09"&amp;$C$7,'Livro Diario - FC'!$D$11:$D1028,"&lt;=30/09"&amp;$C$7)</f>
        <v>0</v>
      </c>
      <c r="AP81" s="256">
        <f>SUMIFS('Livro Diario - FC'!$M$11:$M1028,'Livro Diario - FC'!$E$11:$E1028,$C$81,'Livro Diario - FC'!$D$11:$D1028,"&gt;=01/09"&amp;$C$7,'Livro Diario - FC'!$D$11:$D1028,"&lt;=30/09"&amp;$C$7)</f>
        <v>0</v>
      </c>
      <c r="AQ81" s="273"/>
      <c r="AR81" s="258"/>
      <c r="AS81" s="255">
        <f>SUMIFS('Livro Diario - FC'!$K$11:$K1028,'Livro Diario - FC'!$E$11:$E1028,$C$81,'Livro Diario - FC'!$D$11:$D1028,"&gt;=01/10"&amp;$C$7,'Livro Diario - FC'!$D$11:$D1028,"&lt;=31/10"&amp;$C$7)</f>
        <v>0</v>
      </c>
      <c r="AT81" s="256">
        <f>SUMIFS('Livro Diario - FC'!$M$11:$M1028,'Livro Diario - FC'!$E$11:$E1028,$C$81,'Livro Diario - FC'!$D$11:$D1028,"&gt;=01/10"&amp;$C$7,'Livro Diario - FC'!$D$11:$D1028,"&lt;=31/10"&amp;$C$7)</f>
        <v>0</v>
      </c>
      <c r="AU81" s="273"/>
      <c r="AV81" s="258"/>
      <c r="AW81" s="255">
        <f>SUMIFS('Livro Diario - FC'!$K$11:$K1028,'Livro Diario - FC'!$E$11:$E1028,$C$81,'Livro Diario - FC'!$D$11:$D1028,"&gt;=01/11"&amp;$C$7,'Livro Diario - FC'!$D$11:$D1028,"&lt;=30/11"&amp;$C$7)</f>
        <v>0</v>
      </c>
      <c r="AX81" s="256">
        <f>SUMIFS('Livro Diario - FC'!$M$11:$M1028,'Livro Diario - FC'!$E$11:$E1028,$C$81,'Livro Diario - FC'!$D$11:$D1028,"&gt;=01/11"&amp;$C$7,'Livro Diario - FC'!$D$11:$D1028,"&lt;=30/11"&amp;$C$7)</f>
        <v>0</v>
      </c>
      <c r="AY81" s="273"/>
      <c r="AZ81" s="258"/>
      <c r="BA81" s="255">
        <f>SUMIFS('Livro Diario - FC'!$K$11:$K1028,'Livro Diario - FC'!$E$11:$E1028,$C$81,'Livro Diario - FC'!$D$11:$D1028,"&gt;=01/12"&amp;$C$7,'Livro Diario - FC'!$D$11:$D1028,"&lt;=31/12"&amp;$C$7)</f>
        <v>0</v>
      </c>
      <c r="BB81" s="256">
        <f>SUMIFS('Livro Diario - FC'!$M$11:$M1028,'Livro Diario - FC'!$E$11:$E1028,$C$81,'Livro Diario - FC'!$D$11:$D1028,"&gt;=01/12"&amp;$C$7,'Livro Diario - FC'!$D$11:$D1028,"&lt;=31/12"&amp;$C$7)</f>
        <v>0</v>
      </c>
      <c r="BC81" s="273"/>
      <c r="BD81" s="273"/>
      <c r="BE81" s="267">
        <f t="shared" ref="BE81:BF81" si="182">SUM(D81,I81,N81,S81,X81,AC81,AG81,AK81,AO81,AS81,AW81,BA81)</f>
        <v>15</v>
      </c>
      <c r="BF81" s="268">
        <f t="shared" si="182"/>
        <v>15</v>
      </c>
      <c r="BG81" s="269"/>
      <c r="BH81" s="192"/>
      <c r="BI81" s="270">
        <f>SUMIFS('Livro Diario - FC'!$M$11:$M1028,'Livro Diario - FC'!$E$11:$E1028,C81,'Livro Diario - FC'!$D$11:$D1028,"&gt;="&amp;$BK$8,'Livro Diario - FC'!$D$11:$D1028,"&lt;="&amp;$BK$9)</f>
        <v>0</v>
      </c>
      <c r="BJ81" s="271"/>
      <c r="BK81" s="272"/>
      <c r="BL81" s="1"/>
    </row>
    <row r="82">
      <c r="A82" s="1"/>
      <c r="B82" s="1"/>
      <c r="C82" s="338" t="str">
        <f>'Livro Diario - FC'!AE85</f>
        <v>Queijo Mussarela</v>
      </c>
      <c r="D82" s="255">
        <f>SUMIFS('Livro Diario - FC'!$K$11:$K1028,'Livro Diario - FC'!$E$11:$E1028,$C$82,'Livro Diario - FC'!$D$11:$D1028,"&gt;=01/01"&amp;$C$7,'Livro Diario - FC'!$D$11:$D1028,"&lt;=31/01"&amp;$C$7)</f>
        <v>73.96</v>
      </c>
      <c r="E82" s="256">
        <f>SUMIFS('Livro Diario - FC'!$M$11:$M1028,'Livro Diario - FC'!$E$11:$E1028,$C$82,'Livro Diario - FC'!$D$11:$D1028,"&gt;=01/01"&amp;$C$7,'Livro Diario - FC'!$D$11:$D1028,"&lt;=31/01"&amp;$C$7)</f>
        <v>73.96</v>
      </c>
      <c r="F82" s="273"/>
      <c r="G82" s="258"/>
      <c r="H82" s="157"/>
      <c r="I82" s="255">
        <f>SUMIFS('Livro Diario - FC'!$K$11:$K1028,'Livro Diario - FC'!$E$11:$E1028,$C$82,'Livro Diario - FC'!$D$11:$D1028,"&gt;=01/02"&amp;$C$7,'Livro Diario - FC'!$D$11:$D1028,"&lt;=29/02"&amp;$C$7)</f>
        <v>0</v>
      </c>
      <c r="J82" s="256">
        <f>SUMIFS('Livro Diario - FC'!$M$11:$M1028,'Livro Diario - FC'!$E$11:$E1028,$C$82,'Livro Diario - FC'!$D$11:$D1028,"&gt;=01/02"&amp;$C$7,'Livro Diario - FC'!$D$11:$D1028,"&lt;=29/02"&amp;$C$7)</f>
        <v>0</v>
      </c>
      <c r="K82" s="273"/>
      <c r="L82" s="258"/>
      <c r="M82" s="259"/>
      <c r="N82" s="255">
        <f>SUMIFS('Livro Diario - FC'!$K$11:$K1028,'Livro Diario - FC'!$E$11:$E1028,$C$82,'Livro Diario - FC'!$D$11:$D1028,"&gt;=01/03"&amp;$C$7,'Livro Diario - FC'!$D$11:$D1028,"&lt;=31/03"&amp;$C$7)</f>
        <v>0</v>
      </c>
      <c r="O82" s="256">
        <f>SUMIFS('Livro Diario - FC'!$M$11:$M1028,'Livro Diario - FC'!$E$11:$E1028,$C$82,'Livro Diario - FC'!$D$11:$D1028,"&gt;=01/03"&amp;$C$7,'Livro Diario - FC'!$D$11:$D1028,"&lt;=31/03"&amp;$C$7)</f>
        <v>0</v>
      </c>
      <c r="P82" s="273"/>
      <c r="Q82" s="258"/>
      <c r="R82" s="259"/>
      <c r="S82" s="255">
        <f>SUMIFS('Livro Diario - FC'!$K$11:$K1028,'Livro Diario - FC'!$E$11:$E1028,$C$82,'Livro Diario - FC'!$D$11:$D1028,"&gt;=01/04"&amp;$C$7,'Livro Diario - FC'!$D$11:$D1028,"&lt;=30/04"&amp;$C$7)</f>
        <v>0</v>
      </c>
      <c r="T82" s="256">
        <f>SUMIFS('Livro Diario - FC'!$M$11:$M1028,'Livro Diario - FC'!$E$11:$E1028,$C$82,'Livro Diario - FC'!$D$11:$D1028,"&gt;=01/04"&amp;$C$7,'Livro Diario - FC'!$D$11:$D1028,"&lt;=30/04"&amp;$C$7)</f>
        <v>0</v>
      </c>
      <c r="U82" s="273"/>
      <c r="V82" s="258"/>
      <c r="W82" s="259"/>
      <c r="X82" s="255">
        <f>SUMIFS('Livro Diario - FC'!$K$11:$K1028,'Livro Diario - FC'!$E$11:$E1028,$C$82,'Livro Diario - FC'!$D$11:$D1028,"&gt;=01/05"&amp;$C$7,'Livro Diario - FC'!$D$11:$D1028,"&lt;=31/05"&amp;$C$7)</f>
        <v>0</v>
      </c>
      <c r="Y82" s="256">
        <f>SUMIFS('Livro Diario - FC'!$M$11:$M1028,'Livro Diario - FC'!$E$11:$E1028,$C$82,'Livro Diario - FC'!$D$11:$D1028,"&gt;=01/05"&amp;$C$7,'Livro Diario - FC'!$D$11:$D1028,"&lt;=31/05"&amp;$C$7)</f>
        <v>0</v>
      </c>
      <c r="Z82" s="273"/>
      <c r="AA82" s="258"/>
      <c r="AB82" s="259"/>
      <c r="AC82" s="255">
        <f>SUMIFS('Livro Diario - FC'!$K$11:$K1028,'Livro Diario - FC'!$E$11:$E1028,$C$82,'Livro Diario - FC'!$D$11:$D1028,"&gt;=01/06"&amp;$C$7,'Livro Diario - FC'!$D$11:$D1028,"&lt;=30/06"&amp;$C$7)</f>
        <v>0</v>
      </c>
      <c r="AD82" s="256">
        <f>SUMIFS('Livro Diario - FC'!$M$11:$M1028,'Livro Diario - FC'!$E$11:$E1028,$C$82,'Livro Diario - FC'!$D$11:$D1028,"&gt;=01/06"&amp;$C$7,'Livro Diario - FC'!$D$11:$D1028,"&lt;=30/06"&amp;$C$7)</f>
        <v>0</v>
      </c>
      <c r="AE82" s="273"/>
      <c r="AF82" s="258"/>
      <c r="AG82" s="255">
        <f>SUMIFS('Livro Diario - FC'!$K$11:$K1028,'Livro Diario - FC'!$E$11:$E1028,$C$82,'Livro Diario - FC'!$D$11:$D1028,"&gt;=01/07"&amp;$C$7,'Livro Diario - FC'!$D$11:$D1028,"&lt;=31/07"&amp;$C$7)</f>
        <v>0</v>
      </c>
      <c r="AH82" s="256">
        <f>SUMIFS('Livro Diario - FC'!$M$11:$M1028,'Livro Diario - FC'!$E$11:$E1028,$C$82,'Livro Diario - FC'!$D$11:$D1028,"&gt;=01/07"&amp;$C$7,'Livro Diario - FC'!$D$11:$D1028,"&lt;=31/07"&amp;$C$7)</f>
        <v>0</v>
      </c>
      <c r="AI82" s="273"/>
      <c r="AJ82" s="258"/>
      <c r="AK82" s="255">
        <f>SUMIFS('Livro Diario - FC'!$K$11:$K1028,'Livro Diario - FC'!$E$11:$E1028,$C$82,'Livro Diario - FC'!$D$11:$D1028,"&gt;=01/08"&amp;$C$7,'Livro Diario - FC'!$D$11:$D1028,"&lt;=31/08"&amp;$C$7)</f>
        <v>0</v>
      </c>
      <c r="AL82" s="256">
        <f>SUMIFS('Livro Diario - FC'!$M$11:$M1028,'Livro Diario - FC'!$E$11:$E1028,$C$82,'Livro Diario - FC'!$D$11:$D1028,"&gt;=01/08"&amp;$C$7,'Livro Diario - FC'!$D$11:$D1028,"&lt;=31/08"&amp;$C$7)</f>
        <v>0</v>
      </c>
      <c r="AM82" s="273"/>
      <c r="AN82" s="258"/>
      <c r="AO82" s="255">
        <f>SUMIFS('Livro Diario - FC'!$K$11:$K1028,'Livro Diario - FC'!$E$11:$E1028,$C$82,'Livro Diario - FC'!$D$11:$D1028,"&gt;=01/09"&amp;$C$7,'Livro Diario - FC'!$D$11:$D1028,"&lt;=30/09"&amp;$C$7)</f>
        <v>0</v>
      </c>
      <c r="AP82" s="256">
        <f>SUMIFS('Livro Diario - FC'!$M$11:$M1028,'Livro Diario - FC'!$E$11:$E1028,$C$82,'Livro Diario - FC'!$D$11:$D1028,"&gt;=01/09"&amp;$C$7,'Livro Diario - FC'!$D$11:$D1028,"&lt;=30/09"&amp;$C$7)</f>
        <v>0</v>
      </c>
      <c r="AQ82" s="273"/>
      <c r="AR82" s="258"/>
      <c r="AS82" s="255">
        <f>SUMIFS('Livro Diario - FC'!$K$11:$K1028,'Livro Diario - FC'!$E$11:$E1028,$C$82,'Livro Diario - FC'!$D$11:$D1028,"&gt;=01/10"&amp;$C$7,'Livro Diario - FC'!$D$11:$D1028,"&lt;=31/10"&amp;$C$7)</f>
        <v>0</v>
      </c>
      <c r="AT82" s="256">
        <f>SUMIFS('Livro Diario - FC'!$M$11:$M1028,'Livro Diario - FC'!$E$11:$E1028,$C$82,'Livro Diario - FC'!$D$11:$D1028,"&gt;=01/10"&amp;$C$7,'Livro Diario - FC'!$D$11:$D1028,"&lt;=31/10"&amp;$C$7)</f>
        <v>0</v>
      </c>
      <c r="AU82" s="273"/>
      <c r="AV82" s="258"/>
      <c r="AW82" s="255">
        <f>SUMIFS('Livro Diario - FC'!$K$11:$K1028,'Livro Diario - FC'!$E$11:$E1028,$C$82,'Livro Diario - FC'!$D$11:$D1028,"&gt;=01/11"&amp;$C$7,'Livro Diario - FC'!$D$11:$D1028,"&lt;=30/11"&amp;$C$7)</f>
        <v>0</v>
      </c>
      <c r="AX82" s="256">
        <f>SUMIFS('Livro Diario - FC'!$M$11:$M1028,'Livro Diario - FC'!$E$11:$E1028,$C$82,'Livro Diario - FC'!$D$11:$D1028,"&gt;=01/11"&amp;$C$7,'Livro Diario - FC'!$D$11:$D1028,"&lt;=30/11"&amp;$C$7)</f>
        <v>0</v>
      </c>
      <c r="AY82" s="273"/>
      <c r="AZ82" s="258"/>
      <c r="BA82" s="255">
        <f>SUMIFS('Livro Diario - FC'!$K$11:$K1028,'Livro Diario - FC'!$E$11:$E1028,$C$82,'Livro Diario - FC'!$D$11:$D1028,"&gt;=01/12"&amp;$C$7,'Livro Diario - FC'!$D$11:$D1028,"&lt;=31/12"&amp;$C$7)</f>
        <v>0</v>
      </c>
      <c r="BB82" s="256">
        <f>SUMIFS('Livro Diario - FC'!$M$11:$M1028,'Livro Diario - FC'!$E$11:$E1028,$C$82,'Livro Diario - FC'!$D$11:$D1028,"&gt;=01/12"&amp;$C$7,'Livro Diario - FC'!$D$11:$D1028,"&lt;=31/12"&amp;$C$7)</f>
        <v>0</v>
      </c>
      <c r="BC82" s="273"/>
      <c r="BD82" s="273"/>
      <c r="BE82" s="267">
        <f t="shared" ref="BE82:BF82" si="183">SUM(D82,I82,N82,S82,X82,AC82,AG82,AK82,AO82,AS82,AW82,BA82)</f>
        <v>73.96</v>
      </c>
      <c r="BF82" s="268">
        <f t="shared" si="183"/>
        <v>73.96</v>
      </c>
      <c r="BG82" s="269"/>
      <c r="BH82" s="192"/>
      <c r="BI82" s="270">
        <f>SUMIFS('Livro Diario - FC'!$M$11:$M1028,'Livro Diario - FC'!$E$11:$E1028,C82,'Livro Diario - FC'!$D$11:$D1028,"&gt;="&amp;$BK$8,'Livro Diario - FC'!$D$11:$D1028,"&lt;="&amp;$BK$9)</f>
        <v>0</v>
      </c>
      <c r="BJ82" s="271"/>
      <c r="BK82" s="272"/>
      <c r="BL82" s="1"/>
    </row>
    <row r="83">
      <c r="A83" s="1"/>
      <c r="B83" s="1"/>
      <c r="C83" s="338" t="str">
        <f>'Livro Diario - FC'!AE86</f>
        <v>Queijo Coalho</v>
      </c>
      <c r="D83" s="255">
        <f>SUMIFS('Livro Diario - FC'!$K$11:$K1028,'Livro Diario - FC'!$E$11:$E1028,$C$83,'Livro Diario - FC'!$D$11:$D1028,"&gt;=01/01"&amp;$C$7,'Livro Diario - FC'!$D$11:$D1028,"&lt;=31/01"&amp;$C$7)</f>
        <v>161.06</v>
      </c>
      <c r="E83" s="256">
        <f>SUMIFS('Livro Diario - FC'!$M$11:$M1028,'Livro Diario - FC'!$E$11:$E1028,$C$83,'Livro Diario - FC'!$D$11:$D1028,"&gt;=01/01"&amp;$C$7,'Livro Diario - FC'!$D$11:$D1028,"&lt;=31/01"&amp;$C$7)</f>
        <v>161.06</v>
      </c>
      <c r="F83" s="273"/>
      <c r="G83" s="258"/>
      <c r="H83" s="157"/>
      <c r="I83" s="255">
        <f>SUMIFS('Livro Diario - FC'!$K$11:$K1028,'Livro Diario - FC'!$E$11:$E1028,$C$83,'Livro Diario - FC'!$D$11:$D1028,"&gt;=01/02"&amp;$C$7,'Livro Diario - FC'!$D$11:$D1028,"&lt;=29/02"&amp;$C$7)</f>
        <v>0</v>
      </c>
      <c r="J83" s="256">
        <f>SUMIFS('Livro Diario - FC'!$M$11:$M1028,'Livro Diario - FC'!$E$11:$E1028,$C$83,'Livro Diario - FC'!$D$11:$D1028,"&gt;=01/02"&amp;$C$7,'Livro Diario - FC'!$D$11:$D1028,"&lt;=29/02"&amp;$C$7)</f>
        <v>0</v>
      </c>
      <c r="K83" s="273"/>
      <c r="L83" s="258"/>
      <c r="M83" s="259"/>
      <c r="N83" s="255">
        <f>SUMIFS('Livro Diario - FC'!$K$11:$K1028,'Livro Diario - FC'!$E$11:$E1028,$C$83,'Livro Diario - FC'!$D$11:$D1028,"&gt;=01/03"&amp;$C$7,'Livro Diario - FC'!$D$11:$D1028,"&lt;=31/03"&amp;$C$7)</f>
        <v>0</v>
      </c>
      <c r="O83" s="256">
        <f>SUMIFS('Livro Diario - FC'!$M$11:$M1028,'Livro Diario - FC'!$E$11:$E1028,$C$83,'Livro Diario - FC'!$D$11:$D1028,"&gt;=01/03"&amp;$C$7,'Livro Diario - FC'!$D$11:$D1028,"&lt;=31/03"&amp;$C$7)</f>
        <v>0</v>
      </c>
      <c r="P83" s="273"/>
      <c r="Q83" s="258"/>
      <c r="R83" s="259"/>
      <c r="S83" s="255">
        <f>SUMIFS('Livro Diario - FC'!$K$11:$K1028,'Livro Diario - FC'!$E$11:$E1028,$C$83,'Livro Diario - FC'!$D$11:$D1028,"&gt;=01/04"&amp;$C$7,'Livro Diario - FC'!$D$11:$D1028,"&lt;=30/04"&amp;$C$7)</f>
        <v>0</v>
      </c>
      <c r="T83" s="256">
        <f>SUMIFS('Livro Diario - FC'!$M$11:$M1028,'Livro Diario - FC'!$E$11:$E1028,$C$83,'Livro Diario - FC'!$D$11:$D1028,"&gt;=01/04"&amp;$C$7,'Livro Diario - FC'!$D$11:$D1028,"&lt;=30/04"&amp;$C$7)</f>
        <v>0</v>
      </c>
      <c r="U83" s="273"/>
      <c r="V83" s="258"/>
      <c r="W83" s="259"/>
      <c r="X83" s="255">
        <f>SUMIFS('Livro Diario - FC'!$K$11:$K1028,'Livro Diario - FC'!$E$11:$E1028,$C$83,'Livro Diario - FC'!$D$11:$D1028,"&gt;=01/05"&amp;$C$7,'Livro Diario - FC'!$D$11:$D1028,"&lt;=31/05"&amp;$C$7)</f>
        <v>0</v>
      </c>
      <c r="Y83" s="256">
        <f>SUMIFS('Livro Diario - FC'!$M$11:$M1028,'Livro Diario - FC'!$E$11:$E1028,$C$83,'Livro Diario - FC'!$D$11:$D1028,"&gt;=01/05"&amp;$C$7,'Livro Diario - FC'!$D$11:$D1028,"&lt;=31/05"&amp;$C$7)</f>
        <v>0</v>
      </c>
      <c r="Z83" s="273"/>
      <c r="AA83" s="258"/>
      <c r="AB83" s="259"/>
      <c r="AC83" s="255">
        <f>SUMIFS('Livro Diario - FC'!$K$11:$K1028,'Livro Diario - FC'!$E$11:$E1028,$C$83,'Livro Diario - FC'!$D$11:$D1028,"&gt;=01/06"&amp;$C$7,'Livro Diario - FC'!$D$11:$D1028,"&lt;=30/06"&amp;$C$7)</f>
        <v>0</v>
      </c>
      <c r="AD83" s="256">
        <f>SUMIFS('Livro Diario - FC'!$M$11:$M1028,'Livro Diario - FC'!$E$11:$E1028,$C$83,'Livro Diario - FC'!$D$11:$D1028,"&gt;=01/06"&amp;$C$7,'Livro Diario - FC'!$D$11:$D1028,"&lt;=30/06"&amp;$C$7)</f>
        <v>0</v>
      </c>
      <c r="AE83" s="273"/>
      <c r="AF83" s="258"/>
      <c r="AG83" s="255">
        <f>SUMIFS('Livro Diario - FC'!$K$11:$K1028,'Livro Diario - FC'!$E$11:$E1028,$C$83,'Livro Diario - FC'!$D$11:$D1028,"&gt;=01/07"&amp;$C$7,'Livro Diario - FC'!$D$11:$D1028,"&lt;=31/07"&amp;$C$7)</f>
        <v>0</v>
      </c>
      <c r="AH83" s="256">
        <f>SUMIFS('Livro Diario - FC'!$M$11:$M1028,'Livro Diario - FC'!$E$11:$E1028,$C$83,'Livro Diario - FC'!$D$11:$D1028,"&gt;=01/07"&amp;$C$7,'Livro Diario - FC'!$D$11:$D1028,"&lt;=31/07"&amp;$C$7)</f>
        <v>0</v>
      </c>
      <c r="AI83" s="273"/>
      <c r="AJ83" s="258"/>
      <c r="AK83" s="255">
        <f>SUMIFS('Livro Diario - FC'!$K$11:$K1028,'Livro Diario - FC'!$E$11:$E1028,$C$83,'Livro Diario - FC'!$D$11:$D1028,"&gt;=01/08"&amp;$C$7,'Livro Diario - FC'!$D$11:$D1028,"&lt;=31/08"&amp;$C$7)</f>
        <v>0</v>
      </c>
      <c r="AL83" s="256">
        <f>SUMIFS('Livro Diario - FC'!$M$11:$M1028,'Livro Diario - FC'!$E$11:$E1028,$C$83,'Livro Diario - FC'!$D$11:$D1028,"&gt;=01/08"&amp;$C$7,'Livro Diario - FC'!$D$11:$D1028,"&lt;=31/08"&amp;$C$7)</f>
        <v>0</v>
      </c>
      <c r="AM83" s="273"/>
      <c r="AN83" s="258"/>
      <c r="AO83" s="255">
        <f>SUMIFS('Livro Diario - FC'!$K$11:$K1028,'Livro Diario - FC'!$E$11:$E1028,$C$83,'Livro Diario - FC'!$D$11:$D1028,"&gt;=01/09"&amp;$C$7,'Livro Diario - FC'!$D$11:$D1028,"&lt;=30/09"&amp;$C$7)</f>
        <v>0</v>
      </c>
      <c r="AP83" s="256">
        <f>SUMIFS('Livro Diario - FC'!$M$11:$M1028,'Livro Diario - FC'!$E$11:$E1028,$C$83,'Livro Diario - FC'!$D$11:$D1028,"&gt;=01/09"&amp;$C$7,'Livro Diario - FC'!$D$11:$D1028,"&lt;=30/09"&amp;$C$7)</f>
        <v>0</v>
      </c>
      <c r="AQ83" s="273"/>
      <c r="AR83" s="258"/>
      <c r="AS83" s="255">
        <f>SUMIFS('Livro Diario - FC'!$K$11:$K1028,'Livro Diario - FC'!$E$11:$E1028,$C$83,'Livro Diario - FC'!$D$11:$D1028,"&gt;=01/10"&amp;$C$7,'Livro Diario - FC'!$D$11:$D1028,"&lt;=31/10"&amp;$C$7)</f>
        <v>0</v>
      </c>
      <c r="AT83" s="256">
        <f>SUMIFS('Livro Diario - FC'!$M$11:$M1028,'Livro Diario - FC'!$E$11:$E1028,$C$83,'Livro Diario - FC'!$D$11:$D1028,"&gt;=01/10"&amp;$C$7,'Livro Diario - FC'!$D$11:$D1028,"&lt;=31/10"&amp;$C$7)</f>
        <v>0</v>
      </c>
      <c r="AU83" s="273"/>
      <c r="AV83" s="258"/>
      <c r="AW83" s="255">
        <f>SUMIFS('Livro Diario - FC'!$K$11:$K1028,'Livro Diario - FC'!$E$11:$E1028,$C$83,'Livro Diario - FC'!$D$11:$D1028,"&gt;=01/11"&amp;$C$7,'Livro Diario - FC'!$D$11:$D1028,"&lt;=30/11"&amp;$C$7)</f>
        <v>0</v>
      </c>
      <c r="AX83" s="256">
        <f>SUMIFS('Livro Diario - FC'!$M$11:$M1028,'Livro Diario - FC'!$E$11:$E1028,$C$83,'Livro Diario - FC'!$D$11:$D1028,"&gt;=01/11"&amp;$C$7,'Livro Diario - FC'!$D$11:$D1028,"&lt;=30/11"&amp;$C$7)</f>
        <v>0</v>
      </c>
      <c r="AY83" s="273"/>
      <c r="AZ83" s="258"/>
      <c r="BA83" s="255">
        <f>SUMIFS('Livro Diario - FC'!$K$11:$K1028,'Livro Diario - FC'!$E$11:$E1028,$C$83,'Livro Diario - FC'!$D$11:$D1028,"&gt;=01/12"&amp;$C$7,'Livro Diario - FC'!$D$11:$D1028,"&lt;=31/12"&amp;$C$7)</f>
        <v>0</v>
      </c>
      <c r="BB83" s="256">
        <f>SUMIFS('Livro Diario - FC'!$M$11:$M1028,'Livro Diario - FC'!$E$11:$E1028,$C$83,'Livro Diario - FC'!$D$11:$D1028,"&gt;=01/12"&amp;$C$7,'Livro Diario - FC'!$D$11:$D1028,"&lt;=31/12"&amp;$C$7)</f>
        <v>0</v>
      </c>
      <c r="BC83" s="273"/>
      <c r="BD83" s="273"/>
      <c r="BE83" s="267">
        <f t="shared" ref="BE83:BF83" si="184">SUM(D83,I83,N83,S83,X83,AC83,AG83,AK83,AO83,AS83,AW83,BA83)</f>
        <v>161.06</v>
      </c>
      <c r="BF83" s="268">
        <f t="shared" si="184"/>
        <v>161.06</v>
      </c>
      <c r="BG83" s="269"/>
      <c r="BH83" s="192"/>
      <c r="BI83" s="270">
        <f>SUMIFS('Livro Diario - FC'!$M$11:$M1028,'Livro Diario - FC'!$E$11:$E1028,C83,'Livro Diario - FC'!$D$11:$D1028,"&gt;="&amp;$BK$8,'Livro Diario - FC'!$D$11:$D1028,"&lt;="&amp;$BK$9)</f>
        <v>0</v>
      </c>
      <c r="BJ83" s="271"/>
      <c r="BK83" s="272"/>
      <c r="BL83" s="1"/>
    </row>
    <row r="84">
      <c r="A84" s="1"/>
      <c r="B84" s="1"/>
      <c r="C84" s="338" t="str">
        <f>'Livro Diario - FC'!AE87</f>
        <v>Milho</v>
      </c>
      <c r="D84" s="255">
        <f>SUMIFS('Livro Diario - FC'!$K$11:$K1028,'Livro Diario - FC'!$E$11:$E1028,$C$84,'Livro Diario - FC'!$D$11:$D1028,"&gt;=01/01"&amp;$C$7,'Livro Diario - FC'!$D$11:$D1028,"&lt;=31/01"&amp;$C$7)</f>
        <v>10.05</v>
      </c>
      <c r="E84" s="256">
        <f>SUMIFS('Livro Diario - FC'!$M$11:$M1028,'Livro Diario - FC'!$E$11:$E1028,$C$84,'Livro Diario - FC'!$D$11:$D1028,"&gt;=01/01"&amp;$C$7,'Livro Diario - FC'!$D$11:$D1028,"&lt;=31/01"&amp;$C$7)</f>
        <v>10.05</v>
      </c>
      <c r="F84" s="273"/>
      <c r="G84" s="258"/>
      <c r="H84" s="157"/>
      <c r="I84" s="255">
        <f>SUMIFS('Livro Diario - FC'!$K$11:$K1028,'Livro Diario - FC'!$E$11:$E1028,$C$84,'Livro Diario - FC'!$D$11:$D1028,"&gt;=01/02"&amp;$C$7,'Livro Diario - FC'!$D$11:$D1028,"&lt;=29/02"&amp;$C$7)</f>
        <v>0</v>
      </c>
      <c r="J84" s="256">
        <f>SUMIFS('Livro Diario - FC'!$M$11:$M1028,'Livro Diario - FC'!$E$11:$E1028,$C$84,'Livro Diario - FC'!$D$11:$D1028,"&gt;=01/02"&amp;$C$7,'Livro Diario - FC'!$D$11:$D1028,"&lt;=29/02"&amp;$C$7)</f>
        <v>0</v>
      </c>
      <c r="K84" s="273"/>
      <c r="L84" s="258"/>
      <c r="M84" s="259"/>
      <c r="N84" s="255">
        <f>SUMIFS('Livro Diario - FC'!$K$11:$K1028,'Livro Diario - FC'!$E$11:$E1028,$C$84,'Livro Diario - FC'!$D$11:$D1028,"&gt;=01/03"&amp;$C$7,'Livro Diario - FC'!$D$11:$D1028,"&lt;=31/03"&amp;$C$7)</f>
        <v>0</v>
      </c>
      <c r="O84" s="256">
        <f>SUMIFS('Livro Diario - FC'!$M$11:$M1028,'Livro Diario - FC'!$E$11:$E1028,$C$84,'Livro Diario - FC'!$D$11:$D1028,"&gt;=01/03"&amp;$C$7,'Livro Diario - FC'!$D$11:$D1028,"&lt;=31/03"&amp;$C$7)</f>
        <v>0</v>
      </c>
      <c r="P84" s="273"/>
      <c r="Q84" s="258"/>
      <c r="R84" s="259"/>
      <c r="S84" s="255">
        <f>SUMIFS('Livro Diario - FC'!$K$11:$K1028,'Livro Diario - FC'!$E$11:$E1028,$C$84,'Livro Diario - FC'!$D$11:$D1028,"&gt;=01/04"&amp;$C$7,'Livro Diario - FC'!$D$11:$D1028,"&lt;=30/04"&amp;$C$7)</f>
        <v>0</v>
      </c>
      <c r="T84" s="256">
        <f>SUMIFS('Livro Diario - FC'!$M$11:$M1028,'Livro Diario - FC'!$E$11:$E1028,$C$84,'Livro Diario - FC'!$D$11:$D1028,"&gt;=01/04"&amp;$C$7,'Livro Diario - FC'!$D$11:$D1028,"&lt;=30/04"&amp;$C$7)</f>
        <v>0</v>
      </c>
      <c r="U84" s="273"/>
      <c r="V84" s="258"/>
      <c r="W84" s="259"/>
      <c r="X84" s="255">
        <f>SUMIFS('Livro Diario - FC'!$K$11:$K1028,'Livro Diario - FC'!$E$11:$E1028,$C$84,'Livro Diario - FC'!$D$11:$D1028,"&gt;=01/05"&amp;$C$7,'Livro Diario - FC'!$D$11:$D1028,"&lt;=31/05"&amp;$C$7)</f>
        <v>0</v>
      </c>
      <c r="Y84" s="256">
        <f>SUMIFS('Livro Diario - FC'!$M$11:$M1028,'Livro Diario - FC'!$E$11:$E1028,$C$84,'Livro Diario - FC'!$D$11:$D1028,"&gt;=01/05"&amp;$C$7,'Livro Diario - FC'!$D$11:$D1028,"&lt;=31/05"&amp;$C$7)</f>
        <v>0</v>
      </c>
      <c r="Z84" s="273"/>
      <c r="AA84" s="258"/>
      <c r="AB84" s="259"/>
      <c r="AC84" s="255">
        <f>SUMIFS('Livro Diario - FC'!$K$11:$K1028,'Livro Diario - FC'!$E$11:$E1028,$C$84,'Livro Diario - FC'!$D$11:$D1028,"&gt;=01/06"&amp;$C$7,'Livro Diario - FC'!$D$11:$D1028,"&lt;=30/06"&amp;$C$7)</f>
        <v>0</v>
      </c>
      <c r="AD84" s="256">
        <f>SUMIFS('Livro Diario - FC'!$M$11:$M1028,'Livro Diario - FC'!$E$11:$E1028,$C$84,'Livro Diario - FC'!$D$11:$D1028,"&gt;=01/06"&amp;$C$7,'Livro Diario - FC'!$D$11:$D1028,"&lt;=30/06"&amp;$C$7)</f>
        <v>0</v>
      </c>
      <c r="AE84" s="273"/>
      <c r="AF84" s="258"/>
      <c r="AG84" s="255">
        <f>SUMIFS('Livro Diario - FC'!$K$11:$K1028,'Livro Diario - FC'!$E$11:$E1028,$C$84,'Livro Diario - FC'!$D$11:$D1028,"&gt;=01/07"&amp;$C$7,'Livro Diario - FC'!$D$11:$D1028,"&lt;=31/07"&amp;$C$7)</f>
        <v>0</v>
      </c>
      <c r="AH84" s="256">
        <f>SUMIFS('Livro Diario - FC'!$M$11:$M1028,'Livro Diario - FC'!$E$11:$E1028,$C$84,'Livro Diario - FC'!$D$11:$D1028,"&gt;=01/07"&amp;$C$7,'Livro Diario - FC'!$D$11:$D1028,"&lt;=31/07"&amp;$C$7)</f>
        <v>0</v>
      </c>
      <c r="AI84" s="273"/>
      <c r="AJ84" s="258"/>
      <c r="AK84" s="255">
        <f>SUMIFS('Livro Diario - FC'!$K$11:$K1028,'Livro Diario - FC'!$E$11:$E1028,$C$84,'Livro Diario - FC'!$D$11:$D1028,"&gt;=01/08"&amp;$C$7,'Livro Diario - FC'!$D$11:$D1028,"&lt;=31/08"&amp;$C$7)</f>
        <v>0</v>
      </c>
      <c r="AL84" s="256">
        <f>SUMIFS('Livro Diario - FC'!$M$11:$M1028,'Livro Diario - FC'!$E$11:$E1028,$C$84,'Livro Diario - FC'!$D$11:$D1028,"&gt;=01/08"&amp;$C$7,'Livro Diario - FC'!$D$11:$D1028,"&lt;=31/08"&amp;$C$7)</f>
        <v>0</v>
      </c>
      <c r="AM84" s="273"/>
      <c r="AN84" s="258"/>
      <c r="AO84" s="255">
        <f>SUMIFS('Livro Diario - FC'!$K$11:$K1028,'Livro Diario - FC'!$E$11:$E1028,$C$84,'Livro Diario - FC'!$D$11:$D1028,"&gt;=01/09"&amp;$C$7,'Livro Diario - FC'!$D$11:$D1028,"&lt;=30/09"&amp;$C$7)</f>
        <v>0</v>
      </c>
      <c r="AP84" s="256">
        <f>SUMIFS('Livro Diario - FC'!$M$11:$M1028,'Livro Diario - FC'!$E$11:$E1028,$C$84,'Livro Diario - FC'!$D$11:$D1028,"&gt;=01/09"&amp;$C$7,'Livro Diario - FC'!$D$11:$D1028,"&lt;=30/09"&amp;$C$7)</f>
        <v>0</v>
      </c>
      <c r="AQ84" s="273"/>
      <c r="AR84" s="258"/>
      <c r="AS84" s="255">
        <f>SUMIFS('Livro Diario - FC'!$K$11:$K1028,'Livro Diario - FC'!$E$11:$E1028,$C$84,'Livro Diario - FC'!$D$11:$D1028,"&gt;=01/10"&amp;$C$7,'Livro Diario - FC'!$D$11:$D1028,"&lt;=31/10"&amp;$C$7)</f>
        <v>0</v>
      </c>
      <c r="AT84" s="256">
        <f>SUMIFS('Livro Diario - FC'!$M$11:$M1028,'Livro Diario - FC'!$E$11:$E1028,$C$84,'Livro Diario - FC'!$D$11:$D1028,"&gt;=01/10"&amp;$C$7,'Livro Diario - FC'!$D$11:$D1028,"&lt;=31/10"&amp;$C$7)</f>
        <v>0</v>
      </c>
      <c r="AU84" s="273"/>
      <c r="AV84" s="258"/>
      <c r="AW84" s="255">
        <f>SUMIFS('Livro Diario - FC'!$K$11:$K1028,'Livro Diario - FC'!$E$11:$E1028,$C$84,'Livro Diario - FC'!$D$11:$D1028,"&gt;=01/11"&amp;$C$7,'Livro Diario - FC'!$D$11:$D1028,"&lt;=30/11"&amp;$C$7)</f>
        <v>0</v>
      </c>
      <c r="AX84" s="256">
        <f>SUMIFS('Livro Diario - FC'!$M$11:$M1028,'Livro Diario - FC'!$E$11:$E1028,$C$84,'Livro Diario - FC'!$D$11:$D1028,"&gt;=01/11"&amp;$C$7,'Livro Diario - FC'!$D$11:$D1028,"&lt;=30/11"&amp;$C$7)</f>
        <v>0</v>
      </c>
      <c r="AY84" s="273"/>
      <c r="AZ84" s="258"/>
      <c r="BA84" s="255">
        <f>SUMIFS('Livro Diario - FC'!$K$11:$K1028,'Livro Diario - FC'!$E$11:$E1028,$C$84,'Livro Diario - FC'!$D$11:$D1028,"&gt;=01/12"&amp;$C$7,'Livro Diario - FC'!$D$11:$D1028,"&lt;=31/12"&amp;$C$7)</f>
        <v>0</v>
      </c>
      <c r="BB84" s="256">
        <f>SUMIFS('Livro Diario - FC'!$M$11:$M1028,'Livro Diario - FC'!$E$11:$E1028,$C$84,'Livro Diario - FC'!$D$11:$D1028,"&gt;=01/12"&amp;$C$7,'Livro Diario - FC'!$D$11:$D1028,"&lt;=31/12"&amp;$C$7)</f>
        <v>0</v>
      </c>
      <c r="BC84" s="273"/>
      <c r="BD84" s="273"/>
      <c r="BE84" s="267">
        <f t="shared" ref="BE84:BF84" si="185">SUM(D84,I84,N84,S84,X84,AC84,AG84,AK84,AO84,AS84,AW84,BA84)</f>
        <v>10.05</v>
      </c>
      <c r="BF84" s="268">
        <f t="shared" si="185"/>
        <v>10.05</v>
      </c>
      <c r="BG84" s="269"/>
      <c r="BH84" s="192"/>
      <c r="BI84" s="270">
        <f>SUMIFS('Livro Diario - FC'!$M$11:$M1028,'Livro Diario - FC'!$E$11:$E1028,C84,'Livro Diario - FC'!$D$11:$D1028,"&gt;="&amp;$BK$8,'Livro Diario - FC'!$D$11:$D1028,"&lt;="&amp;$BK$9)</f>
        <v>0</v>
      </c>
      <c r="BJ84" s="271"/>
      <c r="BK84" s="272"/>
      <c r="BL84" s="1"/>
    </row>
    <row r="85">
      <c r="A85" s="1"/>
      <c r="B85" s="1"/>
      <c r="C85" s="338" t="str">
        <f>'Livro Diario - FC'!AE88</f>
        <v>Repolho</v>
      </c>
      <c r="D85" s="255">
        <f>SUMIFS('Livro Diario - FC'!$K$11:$K1028,'Livro Diario - FC'!$E$11:$E1028,$C$85,'Livro Diario - FC'!$D$11:$D1028,"&gt;=01/01"&amp;$C$7,'Livro Diario - FC'!$D$11:$D1028,"&lt;=31/01"&amp;$C$7)</f>
        <v>0</v>
      </c>
      <c r="E85" s="256">
        <f>SUMIFS('Livro Diario - FC'!$M$11:$M1028,'Livro Diario - FC'!$E$11:$E1028,$C$85,'Livro Diario - FC'!$D$11:$D1028,"&gt;=01/01"&amp;$C$7,'Livro Diario - FC'!$D$11:$D1028,"&lt;=31/01"&amp;$C$7)</f>
        <v>0</v>
      </c>
      <c r="F85" s="273"/>
      <c r="G85" s="258"/>
      <c r="H85" s="157"/>
      <c r="I85" s="255">
        <f>SUMIFS('Livro Diario - FC'!$K$11:$K1028,'Livro Diario - FC'!$E$11:$E1028,$C$85,'Livro Diario - FC'!$D$11:$D1028,"&gt;=01/02"&amp;$C$7,'Livro Diario - FC'!$D$11:$D1028,"&lt;=29/02"&amp;$C$7)</f>
        <v>0</v>
      </c>
      <c r="J85" s="256">
        <f>SUMIFS('Livro Diario - FC'!$M$11:$M1028,'Livro Diario - FC'!$E$11:$E1028,$C$85,'Livro Diario - FC'!$D$11:$D1028,"&gt;=01/02"&amp;$C$7,'Livro Diario - FC'!$D$11:$D1028,"&lt;=29/02"&amp;$C$7)</f>
        <v>0</v>
      </c>
      <c r="K85" s="273"/>
      <c r="L85" s="258"/>
      <c r="M85" s="259"/>
      <c r="N85" s="255">
        <f>SUMIFS('Livro Diario - FC'!$K$11:$K1028,'Livro Diario - FC'!$E$11:$E1028,$C$85,'Livro Diario - FC'!$D$11:$D1028,"&gt;=01/03"&amp;$C$7,'Livro Diario - FC'!$D$11:$D1028,"&lt;=31/03"&amp;$C$7)</f>
        <v>0</v>
      </c>
      <c r="O85" s="256">
        <f>SUMIFS('Livro Diario - FC'!$M$11:$M1028,'Livro Diario - FC'!$E$11:$E1028,$C$85,'Livro Diario - FC'!$D$11:$D1028,"&gt;=01/03"&amp;$C$7,'Livro Diario - FC'!$D$11:$D1028,"&lt;=31/03"&amp;$C$7)</f>
        <v>0</v>
      </c>
      <c r="P85" s="273"/>
      <c r="Q85" s="258"/>
      <c r="R85" s="259"/>
      <c r="S85" s="255">
        <f>SUMIFS('Livro Diario - FC'!$K$11:$K1028,'Livro Diario - FC'!$E$11:$E1028,$C$85,'Livro Diario - FC'!$D$11:$D1028,"&gt;=01/04"&amp;$C$7,'Livro Diario - FC'!$D$11:$D1028,"&lt;=30/04"&amp;$C$7)</f>
        <v>0</v>
      </c>
      <c r="T85" s="256">
        <f>SUMIFS('Livro Diario - FC'!$M$11:$M1028,'Livro Diario - FC'!$E$11:$E1028,$C$85,'Livro Diario - FC'!$D$11:$D1028,"&gt;=01/04"&amp;$C$7,'Livro Diario - FC'!$D$11:$D1028,"&lt;=30/04"&amp;$C$7)</f>
        <v>0</v>
      </c>
      <c r="U85" s="273"/>
      <c r="V85" s="258"/>
      <c r="W85" s="259"/>
      <c r="X85" s="255">
        <f>SUMIFS('Livro Diario - FC'!$K$11:$K1028,'Livro Diario - FC'!$E$11:$E1028,$C$85,'Livro Diario - FC'!$D$11:$D1028,"&gt;=01/05"&amp;$C$7,'Livro Diario - FC'!$D$11:$D1028,"&lt;=31/05"&amp;$C$7)</f>
        <v>0</v>
      </c>
      <c r="Y85" s="256">
        <f>SUMIFS('Livro Diario - FC'!$M$11:$M1028,'Livro Diario - FC'!$E$11:$E1028,$C$85,'Livro Diario - FC'!$D$11:$D1028,"&gt;=01/05"&amp;$C$7,'Livro Diario - FC'!$D$11:$D1028,"&lt;=31/05"&amp;$C$7)</f>
        <v>0</v>
      </c>
      <c r="Z85" s="273"/>
      <c r="AA85" s="258"/>
      <c r="AB85" s="259"/>
      <c r="AC85" s="255">
        <f>SUMIFS('Livro Diario - FC'!$K$11:$K1028,'Livro Diario - FC'!$E$11:$E1028,$C$85,'Livro Diario - FC'!$D$11:$D1028,"&gt;=01/06"&amp;$C$7,'Livro Diario - FC'!$D$11:$D1028,"&lt;=30/06"&amp;$C$7)</f>
        <v>0</v>
      </c>
      <c r="AD85" s="256">
        <f>SUMIFS('Livro Diario - FC'!$M$11:$M1028,'Livro Diario - FC'!$E$11:$E1028,$C$85,'Livro Diario - FC'!$D$11:$D1028,"&gt;=01/06"&amp;$C$7,'Livro Diario - FC'!$D$11:$D1028,"&lt;=30/06"&amp;$C$7)</f>
        <v>0</v>
      </c>
      <c r="AE85" s="273"/>
      <c r="AF85" s="258"/>
      <c r="AG85" s="255">
        <f>SUMIFS('Livro Diario - FC'!$K$11:$K1028,'Livro Diario - FC'!$E$11:$E1028,$C$85,'Livro Diario - FC'!$D$11:$D1028,"&gt;=01/07"&amp;$C$7,'Livro Diario - FC'!$D$11:$D1028,"&lt;=31/07"&amp;$C$7)</f>
        <v>0</v>
      </c>
      <c r="AH85" s="256">
        <f>SUMIFS('Livro Diario - FC'!$M$11:$M1028,'Livro Diario - FC'!$E$11:$E1028,$C$85,'Livro Diario - FC'!$D$11:$D1028,"&gt;=01/07"&amp;$C$7,'Livro Diario - FC'!$D$11:$D1028,"&lt;=31/07"&amp;$C$7)</f>
        <v>0</v>
      </c>
      <c r="AI85" s="273"/>
      <c r="AJ85" s="258"/>
      <c r="AK85" s="255">
        <f>SUMIFS('Livro Diario - FC'!$K$11:$K1028,'Livro Diario - FC'!$E$11:$E1028,$C$85,'Livro Diario - FC'!$D$11:$D1028,"&gt;=01/08"&amp;$C$7,'Livro Diario - FC'!$D$11:$D1028,"&lt;=31/08"&amp;$C$7)</f>
        <v>0</v>
      </c>
      <c r="AL85" s="256">
        <f>SUMIFS('Livro Diario - FC'!$M$11:$M1028,'Livro Diario - FC'!$E$11:$E1028,$C$85,'Livro Diario - FC'!$D$11:$D1028,"&gt;=01/08"&amp;$C$7,'Livro Diario - FC'!$D$11:$D1028,"&lt;=31/08"&amp;$C$7)</f>
        <v>0</v>
      </c>
      <c r="AM85" s="273"/>
      <c r="AN85" s="258"/>
      <c r="AO85" s="255">
        <f>SUMIFS('Livro Diario - FC'!$K$11:$K1028,'Livro Diario - FC'!$E$11:$E1028,$C$85,'Livro Diario - FC'!$D$11:$D1028,"&gt;=01/09"&amp;$C$7,'Livro Diario - FC'!$D$11:$D1028,"&lt;=30/09"&amp;$C$7)</f>
        <v>0</v>
      </c>
      <c r="AP85" s="256">
        <f>SUMIFS('Livro Diario - FC'!$M$11:$M1028,'Livro Diario - FC'!$E$11:$E1028,$C$85,'Livro Diario - FC'!$D$11:$D1028,"&gt;=01/09"&amp;$C$7,'Livro Diario - FC'!$D$11:$D1028,"&lt;=30/09"&amp;$C$7)</f>
        <v>0</v>
      </c>
      <c r="AQ85" s="273"/>
      <c r="AR85" s="258"/>
      <c r="AS85" s="255">
        <f>SUMIFS('Livro Diario - FC'!$K$11:$K1028,'Livro Diario - FC'!$E$11:$E1028,$C$85,'Livro Diario - FC'!$D$11:$D1028,"&gt;=01/10"&amp;$C$7,'Livro Diario - FC'!$D$11:$D1028,"&lt;=31/10"&amp;$C$7)</f>
        <v>0</v>
      </c>
      <c r="AT85" s="256">
        <f>SUMIFS('Livro Diario - FC'!$M$11:$M1028,'Livro Diario - FC'!$E$11:$E1028,$C$85,'Livro Diario - FC'!$D$11:$D1028,"&gt;=01/10"&amp;$C$7,'Livro Diario - FC'!$D$11:$D1028,"&lt;=31/10"&amp;$C$7)</f>
        <v>0</v>
      </c>
      <c r="AU85" s="273"/>
      <c r="AV85" s="258"/>
      <c r="AW85" s="255">
        <f>SUMIFS('Livro Diario - FC'!$K$11:$K1028,'Livro Diario - FC'!$E$11:$E1028,$C$85,'Livro Diario - FC'!$D$11:$D1028,"&gt;=01/11"&amp;$C$7,'Livro Diario - FC'!$D$11:$D1028,"&lt;=30/11"&amp;$C$7)</f>
        <v>0</v>
      </c>
      <c r="AX85" s="256">
        <f>SUMIFS('Livro Diario - FC'!$M$11:$M1028,'Livro Diario - FC'!$E$11:$E1028,$C$85,'Livro Diario - FC'!$D$11:$D1028,"&gt;=01/11"&amp;$C$7,'Livro Diario - FC'!$D$11:$D1028,"&lt;=30/11"&amp;$C$7)</f>
        <v>0</v>
      </c>
      <c r="AY85" s="273"/>
      <c r="AZ85" s="258"/>
      <c r="BA85" s="255">
        <f>SUMIFS('Livro Diario - FC'!$K$11:$K1028,'Livro Diario - FC'!$E$11:$E1028,$C$85,'Livro Diario - FC'!$D$11:$D1028,"&gt;=01/12"&amp;$C$7,'Livro Diario - FC'!$D$11:$D1028,"&lt;=31/12"&amp;$C$7)</f>
        <v>0</v>
      </c>
      <c r="BB85" s="256">
        <f>SUMIFS('Livro Diario - FC'!$M$11:$M1028,'Livro Diario - FC'!$E$11:$E1028,$C$85,'Livro Diario - FC'!$D$11:$D1028,"&gt;=01/12"&amp;$C$7,'Livro Diario - FC'!$D$11:$D1028,"&lt;=31/12"&amp;$C$7)</f>
        <v>0</v>
      </c>
      <c r="BC85" s="273"/>
      <c r="BD85" s="273"/>
      <c r="BE85" s="267">
        <f t="shared" ref="BE85:BF85" si="186">SUM(D85,I85,N85,S85,X85,AC85,AG85,AK85,AO85,AS85,AW85,BA85)</f>
        <v>0</v>
      </c>
      <c r="BF85" s="268">
        <f t="shared" si="186"/>
        <v>0</v>
      </c>
      <c r="BG85" s="269"/>
      <c r="BH85" s="192"/>
      <c r="BI85" s="270">
        <f>SUMIFS('Livro Diario - FC'!$M$11:$M1028,'Livro Diario - FC'!$E$11:$E1028,C85,'Livro Diario - FC'!$D$11:$D1028,"&gt;="&amp;$BK$8,'Livro Diario - FC'!$D$11:$D1028,"&lt;="&amp;$BK$9)</f>
        <v>0</v>
      </c>
      <c r="BJ85" s="271"/>
      <c r="BK85" s="272"/>
      <c r="BL85" s="1"/>
    </row>
    <row r="86">
      <c r="A86" s="1"/>
      <c r="B86" s="1"/>
      <c r="C86" s="338" t="str">
        <f>'Livro Diario - FC'!AE89</f>
        <v>Gelo</v>
      </c>
      <c r="D86" s="255">
        <f>SUMIFS('Livro Diario - FC'!$K$11:$K1028,'Livro Diario - FC'!$E$11:$E1028,$C$86,'Livro Diario - FC'!$D$11:$D1028,"&gt;=01/01"&amp;$C$7,'Livro Diario - FC'!$D$11:$D1028,"&lt;=31/01"&amp;$C$7)</f>
        <v>46.12</v>
      </c>
      <c r="E86" s="256">
        <f>SUMIFS('Livro Diario - FC'!$M$11:$M1028,'Livro Diario - FC'!$E$11:$E1028,$C$86,'Livro Diario - FC'!$D$11:$D1028,"&gt;=01/01"&amp;$C$7,'Livro Diario - FC'!$D$11:$D1028,"&lt;=31/01"&amp;$C$7)</f>
        <v>46.12</v>
      </c>
      <c r="F86" s="273"/>
      <c r="G86" s="258"/>
      <c r="H86" s="157"/>
      <c r="I86" s="255">
        <f>SUMIFS('Livro Diario - FC'!$K$11:$K1028,'Livro Diario - FC'!$E$11:$E1028,$C$86,'Livro Diario - FC'!$D$11:$D1028,"&gt;=01/02"&amp;$C$7,'Livro Diario - FC'!$D$11:$D1028,"&lt;=29/02"&amp;$C$7)</f>
        <v>0</v>
      </c>
      <c r="J86" s="256">
        <f>SUMIFS('Livro Diario - FC'!$M$11:$M1028,'Livro Diario - FC'!$E$11:$E1028,$C$86,'Livro Diario - FC'!$D$11:$D1028,"&gt;=01/02"&amp;$C$7,'Livro Diario - FC'!$D$11:$D1028,"&lt;=29/02"&amp;$C$7)</f>
        <v>0</v>
      </c>
      <c r="K86" s="273"/>
      <c r="L86" s="258"/>
      <c r="M86" s="259"/>
      <c r="N86" s="255">
        <f>SUMIFS('Livro Diario - FC'!$K$11:$K1028,'Livro Diario - FC'!$E$11:$E1028,$C$86,'Livro Diario - FC'!$D$11:$D1028,"&gt;=01/03"&amp;$C$7,'Livro Diario - FC'!$D$11:$D1028,"&lt;=31/03"&amp;$C$7)</f>
        <v>0</v>
      </c>
      <c r="O86" s="256">
        <f>SUMIFS('Livro Diario - FC'!$M$11:$M1028,'Livro Diario - FC'!$E$11:$E1028,$C$86,'Livro Diario - FC'!$D$11:$D1028,"&gt;=01/03"&amp;$C$7,'Livro Diario - FC'!$D$11:$D1028,"&lt;=31/03"&amp;$C$7)</f>
        <v>0</v>
      </c>
      <c r="P86" s="273"/>
      <c r="Q86" s="258"/>
      <c r="R86" s="259"/>
      <c r="S86" s="255">
        <f>SUMIFS('Livro Diario - FC'!$K$11:$K1028,'Livro Diario - FC'!$E$11:$E1028,$C$86,'Livro Diario - FC'!$D$11:$D1028,"&gt;=01/04"&amp;$C$7,'Livro Diario - FC'!$D$11:$D1028,"&lt;=30/04"&amp;$C$7)</f>
        <v>0</v>
      </c>
      <c r="T86" s="256">
        <f>SUMIFS('Livro Diario - FC'!$M$11:$M1028,'Livro Diario - FC'!$E$11:$E1028,$C$86,'Livro Diario - FC'!$D$11:$D1028,"&gt;=01/04"&amp;$C$7,'Livro Diario - FC'!$D$11:$D1028,"&lt;=30/04"&amp;$C$7)</f>
        <v>0</v>
      </c>
      <c r="U86" s="273"/>
      <c r="V86" s="258"/>
      <c r="W86" s="259"/>
      <c r="X86" s="255">
        <f>SUMIFS('Livro Diario - FC'!$K$11:$K1028,'Livro Diario - FC'!$E$11:$E1028,$C$86,'Livro Diario - FC'!$D$11:$D1028,"&gt;=01/05"&amp;$C$7,'Livro Diario - FC'!$D$11:$D1028,"&lt;=31/05"&amp;$C$7)</f>
        <v>0</v>
      </c>
      <c r="Y86" s="256">
        <f>SUMIFS('Livro Diario - FC'!$M$11:$M1028,'Livro Diario - FC'!$E$11:$E1028,$C$86,'Livro Diario - FC'!$D$11:$D1028,"&gt;=01/05"&amp;$C$7,'Livro Diario - FC'!$D$11:$D1028,"&lt;=31/05"&amp;$C$7)</f>
        <v>0</v>
      </c>
      <c r="Z86" s="273"/>
      <c r="AA86" s="258"/>
      <c r="AB86" s="259"/>
      <c r="AC86" s="255">
        <f>SUMIFS('Livro Diario - FC'!$K$11:$K1028,'Livro Diario - FC'!$E$11:$E1028,$C$86,'Livro Diario - FC'!$D$11:$D1028,"&gt;=01/06"&amp;$C$7,'Livro Diario - FC'!$D$11:$D1028,"&lt;=30/06"&amp;$C$7)</f>
        <v>0</v>
      </c>
      <c r="AD86" s="256">
        <f>SUMIFS('Livro Diario - FC'!$M$11:$M1028,'Livro Diario - FC'!$E$11:$E1028,$C$86,'Livro Diario - FC'!$D$11:$D1028,"&gt;=01/06"&amp;$C$7,'Livro Diario - FC'!$D$11:$D1028,"&lt;=30/06"&amp;$C$7)</f>
        <v>0</v>
      </c>
      <c r="AE86" s="273"/>
      <c r="AF86" s="258"/>
      <c r="AG86" s="255">
        <f>SUMIFS('Livro Diario - FC'!$K$11:$K1028,'Livro Diario - FC'!$E$11:$E1028,$C$86,'Livro Diario - FC'!$D$11:$D1028,"&gt;=01/07"&amp;$C$7,'Livro Diario - FC'!$D$11:$D1028,"&lt;=31/07"&amp;$C$7)</f>
        <v>0</v>
      </c>
      <c r="AH86" s="256">
        <f>SUMIFS('Livro Diario - FC'!$M$11:$M1028,'Livro Diario - FC'!$E$11:$E1028,$C$86,'Livro Diario - FC'!$D$11:$D1028,"&gt;=01/07"&amp;$C$7,'Livro Diario - FC'!$D$11:$D1028,"&lt;=31/07"&amp;$C$7)</f>
        <v>0</v>
      </c>
      <c r="AI86" s="273"/>
      <c r="AJ86" s="258"/>
      <c r="AK86" s="255">
        <f>SUMIFS('Livro Diario - FC'!$K$11:$K1028,'Livro Diario - FC'!$E$11:$E1028,$C$86,'Livro Diario - FC'!$D$11:$D1028,"&gt;=01/08"&amp;$C$7,'Livro Diario - FC'!$D$11:$D1028,"&lt;=31/08"&amp;$C$7)</f>
        <v>0</v>
      </c>
      <c r="AL86" s="256">
        <f>SUMIFS('Livro Diario - FC'!$M$11:$M1028,'Livro Diario - FC'!$E$11:$E1028,$C$86,'Livro Diario - FC'!$D$11:$D1028,"&gt;=01/08"&amp;$C$7,'Livro Diario - FC'!$D$11:$D1028,"&lt;=31/08"&amp;$C$7)</f>
        <v>0</v>
      </c>
      <c r="AM86" s="273"/>
      <c r="AN86" s="258"/>
      <c r="AO86" s="255">
        <f>SUMIFS('Livro Diario - FC'!$K$11:$K1028,'Livro Diario - FC'!$E$11:$E1028,$C$86,'Livro Diario - FC'!$D$11:$D1028,"&gt;=01/09"&amp;$C$7,'Livro Diario - FC'!$D$11:$D1028,"&lt;=30/09"&amp;$C$7)</f>
        <v>0</v>
      </c>
      <c r="AP86" s="256">
        <f>SUMIFS('Livro Diario - FC'!$M$11:$M1028,'Livro Diario - FC'!$E$11:$E1028,$C$86,'Livro Diario - FC'!$D$11:$D1028,"&gt;=01/09"&amp;$C$7,'Livro Diario - FC'!$D$11:$D1028,"&lt;=30/09"&amp;$C$7)</f>
        <v>0</v>
      </c>
      <c r="AQ86" s="273"/>
      <c r="AR86" s="258"/>
      <c r="AS86" s="255">
        <f>SUMIFS('Livro Diario - FC'!$K$11:$K1028,'Livro Diario - FC'!$E$11:$E1028,$C$86,'Livro Diario - FC'!$D$11:$D1028,"&gt;=01/10"&amp;$C$7,'Livro Diario - FC'!$D$11:$D1028,"&lt;=31/10"&amp;$C$7)</f>
        <v>0</v>
      </c>
      <c r="AT86" s="256">
        <f>SUMIFS('Livro Diario - FC'!$M$11:$M1028,'Livro Diario - FC'!$E$11:$E1028,$C$86,'Livro Diario - FC'!$D$11:$D1028,"&gt;=01/10"&amp;$C$7,'Livro Diario - FC'!$D$11:$D1028,"&lt;=31/10"&amp;$C$7)</f>
        <v>0</v>
      </c>
      <c r="AU86" s="273"/>
      <c r="AV86" s="258"/>
      <c r="AW86" s="255">
        <f>SUMIFS('Livro Diario - FC'!$K$11:$K1028,'Livro Diario - FC'!$E$11:$E1028,$C$86,'Livro Diario - FC'!$D$11:$D1028,"&gt;=01/11"&amp;$C$7,'Livro Diario - FC'!$D$11:$D1028,"&lt;=30/11"&amp;$C$7)</f>
        <v>0</v>
      </c>
      <c r="AX86" s="256">
        <f>SUMIFS('Livro Diario - FC'!$M$11:$M1028,'Livro Diario - FC'!$E$11:$E1028,$C$86,'Livro Diario - FC'!$D$11:$D1028,"&gt;=01/11"&amp;$C$7,'Livro Diario - FC'!$D$11:$D1028,"&lt;=30/11"&amp;$C$7)</f>
        <v>0</v>
      </c>
      <c r="AY86" s="273"/>
      <c r="AZ86" s="258"/>
      <c r="BA86" s="255">
        <f>SUMIFS('Livro Diario - FC'!$K$11:$K1028,'Livro Diario - FC'!$E$11:$E1028,$C$86,'Livro Diario - FC'!$D$11:$D1028,"&gt;=01/12"&amp;$C$7,'Livro Diario - FC'!$D$11:$D1028,"&lt;=31/12"&amp;$C$7)</f>
        <v>0</v>
      </c>
      <c r="BB86" s="256">
        <f>SUMIFS('Livro Diario - FC'!$M$11:$M1028,'Livro Diario - FC'!$E$11:$E1028,$C$86,'Livro Diario - FC'!$D$11:$D1028,"&gt;=01/12"&amp;$C$7,'Livro Diario - FC'!$D$11:$D1028,"&lt;=31/12"&amp;$C$7)</f>
        <v>0</v>
      </c>
      <c r="BC86" s="273"/>
      <c r="BD86" s="273"/>
      <c r="BE86" s="267">
        <f t="shared" ref="BE86:BF86" si="187">SUM(D86,I86,N86,S86,X86,AC86,AG86,AK86,AO86,AS86,AW86,BA86)</f>
        <v>46.12</v>
      </c>
      <c r="BF86" s="268">
        <f t="shared" si="187"/>
        <v>46.12</v>
      </c>
      <c r="BG86" s="269"/>
      <c r="BH86" s="192"/>
      <c r="BI86" s="270">
        <f>SUMIFS('Livro Diario - FC'!$M$11:$M1028,'Livro Diario - FC'!$E$11:$E1028,C86,'Livro Diario - FC'!$D$11:$D1028,"&gt;="&amp;$BK$8,'Livro Diario - FC'!$D$11:$D1028,"&lt;="&amp;$BK$9)</f>
        <v>0</v>
      </c>
      <c r="BJ86" s="271"/>
      <c r="BK86" s="272"/>
      <c r="BL86" s="1"/>
    </row>
    <row r="87">
      <c r="A87" s="1"/>
      <c r="B87" s="1"/>
      <c r="C87" s="338" t="str">
        <f>'Livro Diario - FC'!AE90</f>
        <v>Agua Mineral</v>
      </c>
      <c r="D87" s="255">
        <f>SUMIFS('Livro Diario - FC'!$K$11:$K1028,'Livro Diario - FC'!$E$11:$E1028,$C$87,'Livro Diario - FC'!$D$11:$D1028,"&gt;=01/01"&amp;$C$7,'Livro Diario - FC'!$D$11:$D1028,"&lt;=31/01"&amp;$C$7)</f>
        <v>45.36</v>
      </c>
      <c r="E87" s="256">
        <f>SUMIFS('Livro Diario - FC'!$M$11:$M1028,'Livro Diario - FC'!$E$11:$E1028,$C$87,'Livro Diario - FC'!$D$11:$D1028,"&gt;=01/01"&amp;$C$7,'Livro Diario - FC'!$D$11:$D1028,"&lt;=31/01"&amp;$C$7)</f>
        <v>45.36</v>
      </c>
      <c r="F87" s="273"/>
      <c r="G87" s="258"/>
      <c r="H87" s="157"/>
      <c r="I87" s="255">
        <f>SUMIFS('Livro Diario - FC'!$K$11:$K1028,'Livro Diario - FC'!$E$11:$E1028,$C$87,'Livro Diario - FC'!$D$11:$D1028,"&gt;=01/02"&amp;$C$7,'Livro Diario - FC'!$D$11:$D1028,"&lt;=29/02"&amp;$C$7)</f>
        <v>0</v>
      </c>
      <c r="J87" s="256">
        <f>SUMIFS('Livro Diario - FC'!$M$11:$M1028,'Livro Diario - FC'!$E$11:$E1028,$C$87,'Livro Diario - FC'!$D$11:$D1028,"&gt;=01/02"&amp;$C$7,'Livro Diario - FC'!$D$11:$D1028,"&lt;=29/02"&amp;$C$7)</f>
        <v>0</v>
      </c>
      <c r="K87" s="273"/>
      <c r="L87" s="258"/>
      <c r="M87" s="259"/>
      <c r="N87" s="255">
        <f>SUMIFS('Livro Diario - FC'!$K$11:$K1028,'Livro Diario - FC'!$E$11:$E1028,$C$87,'Livro Diario - FC'!$D$11:$D1028,"&gt;=01/03"&amp;$C$7,'Livro Diario - FC'!$D$11:$D1028,"&lt;=31/03"&amp;$C$7)</f>
        <v>0</v>
      </c>
      <c r="O87" s="256">
        <f>SUMIFS('Livro Diario - FC'!$M$11:$M1028,'Livro Diario - FC'!$E$11:$E1028,$C$87,'Livro Diario - FC'!$D$11:$D1028,"&gt;=01/03"&amp;$C$7,'Livro Diario - FC'!$D$11:$D1028,"&lt;=31/03"&amp;$C$7)</f>
        <v>0</v>
      </c>
      <c r="P87" s="273"/>
      <c r="Q87" s="258"/>
      <c r="R87" s="259"/>
      <c r="S87" s="255">
        <f>SUMIFS('Livro Diario - FC'!$K$11:$K1028,'Livro Diario - FC'!$E$11:$E1028,$C$87,'Livro Diario - FC'!$D$11:$D1028,"&gt;=01/04"&amp;$C$7,'Livro Diario - FC'!$D$11:$D1028,"&lt;=30/04"&amp;$C$7)</f>
        <v>0</v>
      </c>
      <c r="T87" s="256">
        <f>SUMIFS('Livro Diario - FC'!$M$11:$M1028,'Livro Diario - FC'!$E$11:$E1028,$C$87,'Livro Diario - FC'!$D$11:$D1028,"&gt;=01/04"&amp;$C$7,'Livro Diario - FC'!$D$11:$D1028,"&lt;=30/04"&amp;$C$7)</f>
        <v>0</v>
      </c>
      <c r="U87" s="273"/>
      <c r="V87" s="258"/>
      <c r="W87" s="259"/>
      <c r="X87" s="255">
        <f>SUMIFS('Livro Diario - FC'!$K$11:$K1028,'Livro Diario - FC'!$E$11:$E1028,$C$87,'Livro Diario - FC'!$D$11:$D1028,"&gt;=01/05"&amp;$C$7,'Livro Diario - FC'!$D$11:$D1028,"&lt;=31/05"&amp;$C$7)</f>
        <v>0</v>
      </c>
      <c r="Y87" s="256">
        <f>SUMIFS('Livro Diario - FC'!$M$11:$M1028,'Livro Diario - FC'!$E$11:$E1028,$C$87,'Livro Diario - FC'!$D$11:$D1028,"&gt;=01/05"&amp;$C$7,'Livro Diario - FC'!$D$11:$D1028,"&lt;=31/05"&amp;$C$7)</f>
        <v>0</v>
      </c>
      <c r="Z87" s="273"/>
      <c r="AA87" s="258"/>
      <c r="AB87" s="259"/>
      <c r="AC87" s="255">
        <f>SUMIFS('Livro Diario - FC'!$K$11:$K1028,'Livro Diario - FC'!$E$11:$E1028,$C$87,'Livro Diario - FC'!$D$11:$D1028,"&gt;=01/06"&amp;$C$7,'Livro Diario - FC'!$D$11:$D1028,"&lt;=30/06"&amp;$C$7)</f>
        <v>0</v>
      </c>
      <c r="AD87" s="256">
        <f>SUMIFS('Livro Diario - FC'!$M$11:$M1028,'Livro Diario - FC'!$E$11:$E1028,$C$87,'Livro Diario - FC'!$D$11:$D1028,"&gt;=01/06"&amp;$C$7,'Livro Diario - FC'!$D$11:$D1028,"&lt;=30/06"&amp;$C$7)</f>
        <v>0</v>
      </c>
      <c r="AE87" s="273"/>
      <c r="AF87" s="258"/>
      <c r="AG87" s="255">
        <f>SUMIFS('Livro Diario - FC'!$K$11:$K1028,'Livro Diario - FC'!$E$11:$E1028,$C$87,'Livro Diario - FC'!$D$11:$D1028,"&gt;=01/07"&amp;$C$7,'Livro Diario - FC'!$D$11:$D1028,"&lt;=31/07"&amp;$C$7)</f>
        <v>0</v>
      </c>
      <c r="AH87" s="256">
        <f>SUMIFS('Livro Diario - FC'!$M$11:$M1028,'Livro Diario - FC'!$E$11:$E1028,$C$87,'Livro Diario - FC'!$D$11:$D1028,"&gt;=01/07"&amp;$C$7,'Livro Diario - FC'!$D$11:$D1028,"&lt;=31/07"&amp;$C$7)</f>
        <v>0</v>
      </c>
      <c r="AI87" s="273"/>
      <c r="AJ87" s="258"/>
      <c r="AK87" s="255">
        <f>SUMIFS('Livro Diario - FC'!$K$11:$K1028,'Livro Diario - FC'!$E$11:$E1028,$C$87,'Livro Diario - FC'!$D$11:$D1028,"&gt;=01/08"&amp;$C$7,'Livro Diario - FC'!$D$11:$D1028,"&lt;=31/08"&amp;$C$7)</f>
        <v>0</v>
      </c>
      <c r="AL87" s="256">
        <f>SUMIFS('Livro Diario - FC'!$M$11:$M1028,'Livro Diario - FC'!$E$11:$E1028,$C$87,'Livro Diario - FC'!$D$11:$D1028,"&gt;=01/08"&amp;$C$7,'Livro Diario - FC'!$D$11:$D1028,"&lt;=31/08"&amp;$C$7)</f>
        <v>0</v>
      </c>
      <c r="AM87" s="273"/>
      <c r="AN87" s="258"/>
      <c r="AO87" s="255">
        <f>SUMIFS('Livro Diario - FC'!$K$11:$K1028,'Livro Diario - FC'!$E$11:$E1028,$C$87,'Livro Diario - FC'!$D$11:$D1028,"&gt;=01/09"&amp;$C$7,'Livro Diario - FC'!$D$11:$D1028,"&lt;=30/09"&amp;$C$7)</f>
        <v>0</v>
      </c>
      <c r="AP87" s="256">
        <f>SUMIFS('Livro Diario - FC'!$M$11:$M1028,'Livro Diario - FC'!$E$11:$E1028,$C$87,'Livro Diario - FC'!$D$11:$D1028,"&gt;=01/09"&amp;$C$7,'Livro Diario - FC'!$D$11:$D1028,"&lt;=30/09"&amp;$C$7)</f>
        <v>0</v>
      </c>
      <c r="AQ87" s="273"/>
      <c r="AR87" s="258"/>
      <c r="AS87" s="255">
        <f>SUMIFS('Livro Diario - FC'!$K$11:$K1028,'Livro Diario - FC'!$E$11:$E1028,$C$87,'Livro Diario - FC'!$D$11:$D1028,"&gt;=01/10"&amp;$C$7,'Livro Diario - FC'!$D$11:$D1028,"&lt;=31/10"&amp;$C$7)</f>
        <v>0</v>
      </c>
      <c r="AT87" s="256">
        <f>SUMIFS('Livro Diario - FC'!$M$11:$M1028,'Livro Diario - FC'!$E$11:$E1028,$C$87,'Livro Diario - FC'!$D$11:$D1028,"&gt;=01/10"&amp;$C$7,'Livro Diario - FC'!$D$11:$D1028,"&lt;=31/10"&amp;$C$7)</f>
        <v>0</v>
      </c>
      <c r="AU87" s="273"/>
      <c r="AV87" s="258"/>
      <c r="AW87" s="255">
        <f>SUMIFS('Livro Diario - FC'!$K$11:$K1028,'Livro Diario - FC'!$E$11:$E1028,$C$87,'Livro Diario - FC'!$D$11:$D1028,"&gt;=01/11"&amp;$C$7,'Livro Diario - FC'!$D$11:$D1028,"&lt;=30/11"&amp;$C$7)</f>
        <v>0</v>
      </c>
      <c r="AX87" s="256">
        <f>SUMIFS('Livro Diario - FC'!$M$11:$M1028,'Livro Diario - FC'!$E$11:$E1028,$C$87,'Livro Diario - FC'!$D$11:$D1028,"&gt;=01/11"&amp;$C$7,'Livro Diario - FC'!$D$11:$D1028,"&lt;=30/11"&amp;$C$7)</f>
        <v>0</v>
      </c>
      <c r="AY87" s="273"/>
      <c r="AZ87" s="258"/>
      <c r="BA87" s="255">
        <f>SUMIFS('Livro Diario - FC'!$K$11:$K1028,'Livro Diario - FC'!$E$11:$E1028,$C$87,'Livro Diario - FC'!$D$11:$D1028,"&gt;=01/12"&amp;$C$7,'Livro Diario - FC'!$D$11:$D1028,"&lt;=31/12"&amp;$C$7)</f>
        <v>0</v>
      </c>
      <c r="BB87" s="256">
        <f>SUMIFS('Livro Diario - FC'!$M$11:$M1028,'Livro Diario - FC'!$E$11:$E1028,$C$87,'Livro Diario - FC'!$D$11:$D1028,"&gt;=01/12"&amp;$C$7,'Livro Diario - FC'!$D$11:$D1028,"&lt;=31/12"&amp;$C$7)</f>
        <v>0</v>
      </c>
      <c r="BC87" s="273"/>
      <c r="BD87" s="273"/>
      <c r="BE87" s="267">
        <f t="shared" ref="BE87:BF87" si="188">SUM(D87,I87,N87,S87,X87,AC87,AG87,AK87,AO87,AS87,AW87,BA87)</f>
        <v>45.36</v>
      </c>
      <c r="BF87" s="268">
        <f t="shared" si="188"/>
        <v>45.36</v>
      </c>
      <c r="BG87" s="269"/>
      <c r="BH87" s="192"/>
      <c r="BI87" s="270">
        <f>SUMIFS('Livro Diario - FC'!$M$11:$M1028,'Livro Diario - FC'!$E$11:$E1028,C87,'Livro Diario - FC'!$D$11:$D1028,"&gt;="&amp;$BK$8,'Livro Diario - FC'!$D$11:$D1028,"&lt;="&amp;$BK$9)</f>
        <v>0</v>
      </c>
      <c r="BJ87" s="271"/>
      <c r="BK87" s="272"/>
      <c r="BL87" s="1"/>
    </row>
    <row r="88">
      <c r="A88" s="1"/>
      <c r="B88" s="1"/>
      <c r="C88" s="338" t="str">
        <f>'Livro Diario - FC'!AE91</f>
        <v>Agua Cozinha</v>
      </c>
      <c r="D88" s="255">
        <f>SUMIFS('Livro Diario - FC'!$K$11:$K1028,'Livro Diario - FC'!$E$11:$E1028,$C$88,'Livro Diario - FC'!$D$11:$D1028,"&gt;=01/01"&amp;$C$7,'Livro Diario - FC'!$D$11:$D1028,"&lt;=31/01"&amp;$C$7)</f>
        <v>0</v>
      </c>
      <c r="E88" s="256">
        <f>SUMIFS('Livro Diario - FC'!$M$11:$M1028,'Livro Diario - FC'!$E$11:$E1028,$C$88,'Livro Diario - FC'!$D$11:$D1028,"&gt;=01/01"&amp;$C$7,'Livro Diario - FC'!$D$11:$D1028,"&lt;=31/01"&amp;$C$7)</f>
        <v>0</v>
      </c>
      <c r="F88" s="273"/>
      <c r="G88" s="258"/>
      <c r="H88" s="157"/>
      <c r="I88" s="255">
        <f>SUMIFS('Livro Diario - FC'!$K$11:$K1028,'Livro Diario - FC'!$E$11:$E1028,$C$88,'Livro Diario - FC'!$D$11:$D1028,"&gt;=01/02"&amp;$C$7,'Livro Diario - FC'!$D$11:$D1028,"&lt;=29/02"&amp;$C$7)</f>
        <v>0</v>
      </c>
      <c r="J88" s="256">
        <f>SUMIFS('Livro Diario - FC'!$M$11:$M1028,'Livro Diario - FC'!$E$11:$E1028,$C$88,'Livro Diario - FC'!$D$11:$D1028,"&gt;=01/02"&amp;$C$7,'Livro Diario - FC'!$D$11:$D1028,"&lt;=29/02"&amp;$C$7)</f>
        <v>0</v>
      </c>
      <c r="K88" s="273"/>
      <c r="L88" s="258"/>
      <c r="M88" s="259"/>
      <c r="N88" s="255">
        <f>SUMIFS('Livro Diario - FC'!$K$11:$K1028,'Livro Diario - FC'!$E$11:$E1028,$C$88,'Livro Diario - FC'!$D$11:$D1028,"&gt;=01/03"&amp;$C$7,'Livro Diario - FC'!$D$11:$D1028,"&lt;=31/03"&amp;$C$7)</f>
        <v>0</v>
      </c>
      <c r="O88" s="256">
        <f>SUMIFS('Livro Diario - FC'!$M$11:$M1028,'Livro Diario - FC'!$E$11:$E1028,$C$88,'Livro Diario - FC'!$D$11:$D1028,"&gt;=01/03"&amp;$C$7,'Livro Diario - FC'!$D$11:$D1028,"&lt;=31/03"&amp;$C$7)</f>
        <v>0</v>
      </c>
      <c r="P88" s="273"/>
      <c r="Q88" s="258"/>
      <c r="R88" s="259"/>
      <c r="S88" s="255">
        <f>SUMIFS('Livro Diario - FC'!$K$11:$K1028,'Livro Diario - FC'!$E$11:$E1028,$C$88,'Livro Diario - FC'!$D$11:$D1028,"&gt;=01/04"&amp;$C$7,'Livro Diario - FC'!$D$11:$D1028,"&lt;=30/04"&amp;$C$7)</f>
        <v>0</v>
      </c>
      <c r="T88" s="256">
        <f>SUMIFS('Livro Diario - FC'!$M$11:$M1028,'Livro Diario - FC'!$E$11:$E1028,$C$88,'Livro Diario - FC'!$D$11:$D1028,"&gt;=01/04"&amp;$C$7,'Livro Diario - FC'!$D$11:$D1028,"&lt;=30/04"&amp;$C$7)</f>
        <v>0</v>
      </c>
      <c r="U88" s="273"/>
      <c r="V88" s="258"/>
      <c r="W88" s="259"/>
      <c r="X88" s="255">
        <f>SUMIFS('Livro Diario - FC'!$K$11:$K1028,'Livro Diario - FC'!$E$11:$E1028,$C$88,'Livro Diario - FC'!$D$11:$D1028,"&gt;=01/05"&amp;$C$7,'Livro Diario - FC'!$D$11:$D1028,"&lt;=31/05"&amp;$C$7)</f>
        <v>0</v>
      </c>
      <c r="Y88" s="256">
        <f>SUMIFS('Livro Diario - FC'!$M$11:$M1028,'Livro Diario - FC'!$E$11:$E1028,$C$88,'Livro Diario - FC'!$D$11:$D1028,"&gt;=01/05"&amp;$C$7,'Livro Diario - FC'!$D$11:$D1028,"&lt;=31/05"&amp;$C$7)</f>
        <v>0</v>
      </c>
      <c r="Z88" s="273"/>
      <c r="AA88" s="258"/>
      <c r="AB88" s="259"/>
      <c r="AC88" s="255">
        <f>SUMIFS('Livro Diario - FC'!$K$11:$K1028,'Livro Diario - FC'!$E$11:$E1028,$C$88,'Livro Diario - FC'!$D$11:$D1028,"&gt;=01/06"&amp;$C$7,'Livro Diario - FC'!$D$11:$D1028,"&lt;=30/06"&amp;$C$7)</f>
        <v>0</v>
      </c>
      <c r="AD88" s="256">
        <f>SUMIFS('Livro Diario - FC'!$M$11:$M1028,'Livro Diario - FC'!$E$11:$E1028,$C$88,'Livro Diario - FC'!$D$11:$D1028,"&gt;=01/06"&amp;$C$7,'Livro Diario - FC'!$D$11:$D1028,"&lt;=30/06"&amp;$C$7)</f>
        <v>0</v>
      </c>
      <c r="AE88" s="273"/>
      <c r="AF88" s="258"/>
      <c r="AG88" s="255">
        <f>SUMIFS('Livro Diario - FC'!$K$11:$K1028,'Livro Diario - FC'!$E$11:$E1028,$C$88,'Livro Diario - FC'!$D$11:$D1028,"&gt;=01/07"&amp;$C$7,'Livro Diario - FC'!$D$11:$D1028,"&lt;=31/07"&amp;$C$7)</f>
        <v>0</v>
      </c>
      <c r="AH88" s="256">
        <f>SUMIFS('Livro Diario - FC'!$M$11:$M1028,'Livro Diario - FC'!$E$11:$E1028,$C$88,'Livro Diario - FC'!$D$11:$D1028,"&gt;=01/07"&amp;$C$7,'Livro Diario - FC'!$D$11:$D1028,"&lt;=31/07"&amp;$C$7)</f>
        <v>0</v>
      </c>
      <c r="AI88" s="273"/>
      <c r="AJ88" s="258"/>
      <c r="AK88" s="255">
        <f>SUMIFS('Livro Diario - FC'!$K$11:$K1028,'Livro Diario - FC'!$E$11:$E1028,$C$88,'Livro Diario - FC'!$D$11:$D1028,"&gt;=01/08"&amp;$C$7,'Livro Diario - FC'!$D$11:$D1028,"&lt;=31/08"&amp;$C$7)</f>
        <v>0</v>
      </c>
      <c r="AL88" s="256">
        <f>SUMIFS('Livro Diario - FC'!$M$11:$M1028,'Livro Diario - FC'!$E$11:$E1028,$C$88,'Livro Diario - FC'!$D$11:$D1028,"&gt;=01/08"&amp;$C$7,'Livro Diario - FC'!$D$11:$D1028,"&lt;=31/08"&amp;$C$7)</f>
        <v>0</v>
      </c>
      <c r="AM88" s="273"/>
      <c r="AN88" s="258"/>
      <c r="AO88" s="255">
        <f>SUMIFS('Livro Diario - FC'!$K$11:$K1028,'Livro Diario - FC'!$E$11:$E1028,$C$88,'Livro Diario - FC'!$D$11:$D1028,"&gt;=01/09"&amp;$C$7,'Livro Diario - FC'!$D$11:$D1028,"&lt;=30/09"&amp;$C$7)</f>
        <v>0</v>
      </c>
      <c r="AP88" s="256">
        <f>SUMIFS('Livro Diario - FC'!$M$11:$M1028,'Livro Diario - FC'!$E$11:$E1028,$C$88,'Livro Diario - FC'!$D$11:$D1028,"&gt;=01/09"&amp;$C$7,'Livro Diario - FC'!$D$11:$D1028,"&lt;=30/09"&amp;$C$7)</f>
        <v>0</v>
      </c>
      <c r="AQ88" s="273"/>
      <c r="AR88" s="258"/>
      <c r="AS88" s="255">
        <f>SUMIFS('Livro Diario - FC'!$K$11:$K1028,'Livro Diario - FC'!$E$11:$E1028,$C$88,'Livro Diario - FC'!$D$11:$D1028,"&gt;=01/10"&amp;$C$7,'Livro Diario - FC'!$D$11:$D1028,"&lt;=31/10"&amp;$C$7)</f>
        <v>0</v>
      </c>
      <c r="AT88" s="256">
        <f>SUMIFS('Livro Diario - FC'!$M$11:$M1028,'Livro Diario - FC'!$E$11:$E1028,$C$88,'Livro Diario - FC'!$D$11:$D1028,"&gt;=01/10"&amp;$C$7,'Livro Diario - FC'!$D$11:$D1028,"&lt;=31/10"&amp;$C$7)</f>
        <v>0</v>
      </c>
      <c r="AU88" s="273"/>
      <c r="AV88" s="258"/>
      <c r="AW88" s="255">
        <f>SUMIFS('Livro Diario - FC'!$K$11:$K1028,'Livro Diario - FC'!$E$11:$E1028,$C$88,'Livro Diario - FC'!$D$11:$D1028,"&gt;=01/11"&amp;$C$7,'Livro Diario - FC'!$D$11:$D1028,"&lt;=30/11"&amp;$C$7)</f>
        <v>0</v>
      </c>
      <c r="AX88" s="256">
        <f>SUMIFS('Livro Diario - FC'!$M$11:$M1028,'Livro Diario - FC'!$E$11:$E1028,$C$88,'Livro Diario - FC'!$D$11:$D1028,"&gt;=01/11"&amp;$C$7,'Livro Diario - FC'!$D$11:$D1028,"&lt;=30/11"&amp;$C$7)</f>
        <v>0</v>
      </c>
      <c r="AY88" s="273"/>
      <c r="AZ88" s="258"/>
      <c r="BA88" s="255">
        <f>SUMIFS('Livro Diario - FC'!$K$11:$K1028,'Livro Diario - FC'!$E$11:$E1028,$C$88,'Livro Diario - FC'!$D$11:$D1028,"&gt;=01/12"&amp;$C$7,'Livro Diario - FC'!$D$11:$D1028,"&lt;=31/12"&amp;$C$7)</f>
        <v>0</v>
      </c>
      <c r="BB88" s="256">
        <f>SUMIFS('Livro Diario - FC'!$M$11:$M1028,'Livro Diario - FC'!$E$11:$E1028,$C$88,'Livro Diario - FC'!$D$11:$D1028,"&gt;=01/12"&amp;$C$7,'Livro Diario - FC'!$D$11:$D1028,"&lt;=31/12"&amp;$C$7)</f>
        <v>0</v>
      </c>
      <c r="BC88" s="273"/>
      <c r="BD88" s="273"/>
      <c r="BE88" s="267">
        <f t="shared" ref="BE88:BF88" si="189">SUM(D88,I88,N88,S88,X88,AC88,AG88,AK88,AO88,AS88,AW88,BA88)</f>
        <v>0</v>
      </c>
      <c r="BF88" s="268">
        <f t="shared" si="189"/>
        <v>0</v>
      </c>
      <c r="BG88" s="269"/>
      <c r="BH88" s="192"/>
      <c r="BI88" s="270">
        <f>SUMIFS('Livro Diario - FC'!$M$11:$M1028,'Livro Diario - FC'!$E$11:$E1028,C88,'Livro Diario - FC'!$D$11:$D1028,"&gt;="&amp;$BK$8,'Livro Diario - FC'!$D$11:$D1028,"&lt;="&amp;$BK$9)</f>
        <v>0</v>
      </c>
      <c r="BJ88" s="271"/>
      <c r="BK88" s="272"/>
      <c r="BL88" s="1"/>
    </row>
    <row r="89">
      <c r="A89" s="1"/>
      <c r="B89" s="1"/>
      <c r="C89" s="338" t="str">
        <f>'Livro Diario - FC'!AE92</f>
        <v>Bolo de Rolo</v>
      </c>
      <c r="D89" s="255">
        <f>SUMIFS('Livro Diario - FC'!$K$11:$K1028,'Livro Diario - FC'!$E$11:$E1028,$C$89,'Livro Diario - FC'!$D$11:$D1028,"&gt;=01/01"&amp;$C$7,'Livro Diario - FC'!$D$11:$D1028,"&lt;=31/01"&amp;$C$7)</f>
        <v>0</v>
      </c>
      <c r="E89" s="256">
        <f>SUMIFS('Livro Diario - FC'!$M$11:$M1028,'Livro Diario - FC'!$E$11:$E1028,$C$89,'Livro Diario - FC'!$D$11:$D1028,"&gt;=01/01"&amp;$C$7,'Livro Diario - FC'!$D$11:$D1028,"&lt;=31/01"&amp;$C$7)</f>
        <v>0</v>
      </c>
      <c r="F89" s="273"/>
      <c r="G89" s="258"/>
      <c r="H89" s="157"/>
      <c r="I89" s="255">
        <f>SUMIFS('Livro Diario - FC'!$K$11:$K1028,'Livro Diario - FC'!$E$11:$E1028,$C$89,'Livro Diario - FC'!$D$11:$D1028,"&gt;=01/02"&amp;$C$7,'Livro Diario - FC'!$D$11:$D1028,"&lt;=29/02"&amp;$C$7)</f>
        <v>0</v>
      </c>
      <c r="J89" s="256">
        <f>SUMIFS('Livro Diario - FC'!$M$11:$M1028,'Livro Diario - FC'!$E$11:$E1028,$C$89,'Livro Diario - FC'!$D$11:$D1028,"&gt;=01/02"&amp;$C$7,'Livro Diario - FC'!$D$11:$D1028,"&lt;=29/02"&amp;$C$7)</f>
        <v>0</v>
      </c>
      <c r="K89" s="273"/>
      <c r="L89" s="258"/>
      <c r="M89" s="259"/>
      <c r="N89" s="255">
        <f>SUMIFS('Livro Diario - FC'!$K$11:$K1028,'Livro Diario - FC'!$E$11:$E1028,$C$89,'Livro Diario - FC'!$D$11:$D1028,"&gt;=01/03"&amp;$C$7,'Livro Diario - FC'!$D$11:$D1028,"&lt;=31/03"&amp;$C$7)</f>
        <v>0</v>
      </c>
      <c r="O89" s="256">
        <f>SUMIFS('Livro Diario - FC'!$M$11:$M1028,'Livro Diario - FC'!$E$11:$E1028,$C$89,'Livro Diario - FC'!$D$11:$D1028,"&gt;=01/03"&amp;$C$7,'Livro Diario - FC'!$D$11:$D1028,"&lt;=31/03"&amp;$C$7)</f>
        <v>0</v>
      </c>
      <c r="P89" s="273"/>
      <c r="Q89" s="258"/>
      <c r="R89" s="259"/>
      <c r="S89" s="255">
        <f>SUMIFS('Livro Diario - FC'!$K$11:$K1028,'Livro Diario - FC'!$E$11:$E1028,$C$89,'Livro Diario - FC'!$D$11:$D1028,"&gt;=01/04"&amp;$C$7,'Livro Diario - FC'!$D$11:$D1028,"&lt;=30/04"&amp;$C$7)</f>
        <v>0</v>
      </c>
      <c r="T89" s="256">
        <f>SUMIFS('Livro Diario - FC'!$M$11:$M1028,'Livro Diario - FC'!$E$11:$E1028,$C$89,'Livro Diario - FC'!$D$11:$D1028,"&gt;=01/04"&amp;$C$7,'Livro Diario - FC'!$D$11:$D1028,"&lt;=30/04"&amp;$C$7)</f>
        <v>0</v>
      </c>
      <c r="U89" s="273"/>
      <c r="V89" s="258"/>
      <c r="W89" s="259"/>
      <c r="X89" s="255">
        <f>SUMIFS('Livro Diario - FC'!$K$11:$K1028,'Livro Diario - FC'!$E$11:$E1028,$C$89,'Livro Diario - FC'!$D$11:$D1028,"&gt;=01/05"&amp;$C$7,'Livro Diario - FC'!$D$11:$D1028,"&lt;=31/05"&amp;$C$7)</f>
        <v>0</v>
      </c>
      <c r="Y89" s="256">
        <f>SUMIFS('Livro Diario - FC'!$M$11:$M1028,'Livro Diario - FC'!$E$11:$E1028,$C$89,'Livro Diario - FC'!$D$11:$D1028,"&gt;=01/05"&amp;$C$7,'Livro Diario - FC'!$D$11:$D1028,"&lt;=31/05"&amp;$C$7)</f>
        <v>0</v>
      </c>
      <c r="Z89" s="273"/>
      <c r="AA89" s="258"/>
      <c r="AB89" s="259"/>
      <c r="AC89" s="255">
        <f>SUMIFS('Livro Diario - FC'!$K$11:$K1028,'Livro Diario - FC'!$E$11:$E1028,$C$89,'Livro Diario - FC'!$D$11:$D1028,"&gt;=01/06"&amp;$C$7,'Livro Diario - FC'!$D$11:$D1028,"&lt;=30/06"&amp;$C$7)</f>
        <v>0</v>
      </c>
      <c r="AD89" s="256">
        <f>SUMIFS('Livro Diario - FC'!$M$11:$M1028,'Livro Diario - FC'!$E$11:$E1028,$C$89,'Livro Diario - FC'!$D$11:$D1028,"&gt;=01/06"&amp;$C$7,'Livro Diario - FC'!$D$11:$D1028,"&lt;=30/06"&amp;$C$7)</f>
        <v>0</v>
      </c>
      <c r="AE89" s="273"/>
      <c r="AF89" s="258"/>
      <c r="AG89" s="255">
        <f>SUMIFS('Livro Diario - FC'!$K$11:$K1028,'Livro Diario - FC'!$E$11:$E1028,$C$89,'Livro Diario - FC'!$D$11:$D1028,"&gt;=01/07"&amp;$C$7,'Livro Diario - FC'!$D$11:$D1028,"&lt;=31/07"&amp;$C$7)</f>
        <v>0</v>
      </c>
      <c r="AH89" s="256">
        <f>SUMIFS('Livro Diario - FC'!$M$11:$M1028,'Livro Diario - FC'!$E$11:$E1028,$C$89,'Livro Diario - FC'!$D$11:$D1028,"&gt;=01/07"&amp;$C$7,'Livro Diario - FC'!$D$11:$D1028,"&lt;=31/07"&amp;$C$7)</f>
        <v>0</v>
      </c>
      <c r="AI89" s="273"/>
      <c r="AJ89" s="258"/>
      <c r="AK89" s="255">
        <f>SUMIFS('Livro Diario - FC'!$K$11:$K1028,'Livro Diario - FC'!$E$11:$E1028,$C$89,'Livro Diario - FC'!$D$11:$D1028,"&gt;=01/08"&amp;$C$7,'Livro Diario - FC'!$D$11:$D1028,"&lt;=31/08"&amp;$C$7)</f>
        <v>0</v>
      </c>
      <c r="AL89" s="256">
        <f>SUMIFS('Livro Diario - FC'!$M$11:$M1028,'Livro Diario - FC'!$E$11:$E1028,$C$89,'Livro Diario - FC'!$D$11:$D1028,"&gt;=01/08"&amp;$C$7,'Livro Diario - FC'!$D$11:$D1028,"&lt;=31/08"&amp;$C$7)</f>
        <v>0</v>
      </c>
      <c r="AM89" s="273"/>
      <c r="AN89" s="258"/>
      <c r="AO89" s="255">
        <f>SUMIFS('Livro Diario - FC'!$K$11:$K1028,'Livro Diario - FC'!$E$11:$E1028,$C$89,'Livro Diario - FC'!$D$11:$D1028,"&gt;=01/09"&amp;$C$7,'Livro Diario - FC'!$D$11:$D1028,"&lt;=30/09"&amp;$C$7)</f>
        <v>0</v>
      </c>
      <c r="AP89" s="256">
        <f>SUMIFS('Livro Diario - FC'!$M$11:$M1028,'Livro Diario - FC'!$E$11:$E1028,$C$89,'Livro Diario - FC'!$D$11:$D1028,"&gt;=01/09"&amp;$C$7,'Livro Diario - FC'!$D$11:$D1028,"&lt;=30/09"&amp;$C$7)</f>
        <v>0</v>
      </c>
      <c r="AQ89" s="273"/>
      <c r="AR89" s="258"/>
      <c r="AS89" s="255">
        <f>SUMIFS('Livro Diario - FC'!$K$11:$K1028,'Livro Diario - FC'!$E$11:$E1028,$C$89,'Livro Diario - FC'!$D$11:$D1028,"&gt;=01/10"&amp;$C$7,'Livro Diario - FC'!$D$11:$D1028,"&lt;=31/10"&amp;$C$7)</f>
        <v>0</v>
      </c>
      <c r="AT89" s="256">
        <f>SUMIFS('Livro Diario - FC'!$M$11:$M1028,'Livro Diario - FC'!$E$11:$E1028,$C$89,'Livro Diario - FC'!$D$11:$D1028,"&gt;=01/10"&amp;$C$7,'Livro Diario - FC'!$D$11:$D1028,"&lt;=31/10"&amp;$C$7)</f>
        <v>0</v>
      </c>
      <c r="AU89" s="273"/>
      <c r="AV89" s="258"/>
      <c r="AW89" s="255">
        <f>SUMIFS('Livro Diario - FC'!$K$11:$K1028,'Livro Diario - FC'!$E$11:$E1028,$C$89,'Livro Diario - FC'!$D$11:$D1028,"&gt;=01/11"&amp;$C$7,'Livro Diario - FC'!$D$11:$D1028,"&lt;=30/11"&amp;$C$7)</f>
        <v>0</v>
      </c>
      <c r="AX89" s="256">
        <f>SUMIFS('Livro Diario - FC'!$M$11:$M1028,'Livro Diario - FC'!$E$11:$E1028,$C$89,'Livro Diario - FC'!$D$11:$D1028,"&gt;=01/11"&amp;$C$7,'Livro Diario - FC'!$D$11:$D1028,"&lt;=30/11"&amp;$C$7)</f>
        <v>0</v>
      </c>
      <c r="AY89" s="273"/>
      <c r="AZ89" s="258"/>
      <c r="BA89" s="255">
        <f>SUMIFS('Livro Diario - FC'!$K$11:$K1028,'Livro Diario - FC'!$E$11:$E1028,$C$89,'Livro Diario - FC'!$D$11:$D1028,"&gt;=01/12"&amp;$C$7,'Livro Diario - FC'!$D$11:$D1028,"&lt;=31/12"&amp;$C$7)</f>
        <v>0</v>
      </c>
      <c r="BB89" s="256">
        <f>SUMIFS('Livro Diario - FC'!$M$11:$M1028,'Livro Diario - FC'!$E$11:$E1028,$C$89,'Livro Diario - FC'!$D$11:$D1028,"&gt;=01/12"&amp;$C$7,'Livro Diario - FC'!$D$11:$D1028,"&lt;=31/12"&amp;$C$7)</f>
        <v>0</v>
      </c>
      <c r="BC89" s="273"/>
      <c r="BD89" s="273"/>
      <c r="BE89" s="267">
        <f t="shared" ref="BE89:BF89" si="190">SUM(D89,I89,N89,S89,X89,AC89,AG89,AK89,AO89,AS89,AW89,BA89)</f>
        <v>0</v>
      </c>
      <c r="BF89" s="268">
        <f t="shared" si="190"/>
        <v>0</v>
      </c>
      <c r="BG89" s="269"/>
      <c r="BH89" s="192"/>
      <c r="BI89" s="270">
        <f>SUMIFS('Livro Diario - FC'!$M$11:$M1028,'Livro Diario - FC'!$E$11:$E1028,C89,'Livro Diario - FC'!$D$11:$D1028,"&gt;="&amp;$BK$8,'Livro Diario - FC'!$D$11:$D1028,"&lt;="&amp;$BK$9)</f>
        <v>0</v>
      </c>
      <c r="BJ89" s="271"/>
      <c r="BK89" s="272"/>
      <c r="BL89" s="1"/>
    </row>
    <row r="90">
      <c r="A90" s="1"/>
      <c r="B90" s="1"/>
      <c r="C90" s="338" t="str">
        <f>'Livro Diario - FC'!AE93</f>
        <v>Brownie</v>
      </c>
      <c r="D90" s="255">
        <f>SUMIFS('Livro Diario - FC'!$K$11:$K1028,'Livro Diario - FC'!$E$11:$E1028,$C$90,'Livro Diario - FC'!$D$11:$D1028,"&gt;=01/01"&amp;$C$7,'Livro Diario - FC'!$D$11:$D1028,"&lt;=31/01"&amp;$C$7)</f>
        <v>135</v>
      </c>
      <c r="E90" s="256">
        <f>SUMIFS('Livro Diario - FC'!$M$11:$M1028,'Livro Diario - FC'!$E$11:$E1028,$C$90,'Livro Diario - FC'!$D$11:$D1028,"&gt;=01/01"&amp;$C$7,'Livro Diario - FC'!$D$11:$D1028,"&lt;=31/01"&amp;$C$7)</f>
        <v>135</v>
      </c>
      <c r="F90" s="273"/>
      <c r="G90" s="258"/>
      <c r="H90" s="157"/>
      <c r="I90" s="255">
        <f>SUMIFS('Livro Diario - FC'!$K$11:$K1028,'Livro Diario - FC'!$E$11:$E1028,$C$90,'Livro Diario - FC'!$D$11:$D1028,"&gt;=01/02"&amp;$C$7,'Livro Diario - FC'!$D$11:$D1028,"&lt;=29/02"&amp;$C$7)</f>
        <v>0</v>
      </c>
      <c r="J90" s="256">
        <f>SUMIFS('Livro Diario - FC'!$M$11:$M1028,'Livro Diario - FC'!$E$11:$E1028,$C$90,'Livro Diario - FC'!$D$11:$D1028,"&gt;=01/02"&amp;$C$7,'Livro Diario - FC'!$D$11:$D1028,"&lt;=29/02"&amp;$C$7)</f>
        <v>0</v>
      </c>
      <c r="K90" s="273"/>
      <c r="L90" s="258"/>
      <c r="M90" s="259"/>
      <c r="N90" s="255">
        <f>SUMIFS('Livro Diario - FC'!$K$11:$K1028,'Livro Diario - FC'!$E$11:$E1028,$C$90,'Livro Diario - FC'!$D$11:$D1028,"&gt;=01/03"&amp;$C$7,'Livro Diario - FC'!$D$11:$D1028,"&lt;=31/03"&amp;$C$7)</f>
        <v>0</v>
      </c>
      <c r="O90" s="256">
        <f>SUMIFS('Livro Diario - FC'!$M$11:$M1028,'Livro Diario - FC'!$E$11:$E1028,$C$90,'Livro Diario - FC'!$D$11:$D1028,"&gt;=01/03"&amp;$C$7,'Livro Diario - FC'!$D$11:$D1028,"&lt;=31/03"&amp;$C$7)</f>
        <v>0</v>
      </c>
      <c r="P90" s="273"/>
      <c r="Q90" s="258"/>
      <c r="R90" s="259"/>
      <c r="S90" s="255">
        <f>SUMIFS('Livro Diario - FC'!$K$11:$K1028,'Livro Diario - FC'!$E$11:$E1028,$C$90,'Livro Diario - FC'!$D$11:$D1028,"&gt;=01/04"&amp;$C$7,'Livro Diario - FC'!$D$11:$D1028,"&lt;=30/04"&amp;$C$7)</f>
        <v>0</v>
      </c>
      <c r="T90" s="256">
        <f>SUMIFS('Livro Diario - FC'!$M$11:$M1028,'Livro Diario - FC'!$E$11:$E1028,$C$90,'Livro Diario - FC'!$D$11:$D1028,"&gt;=01/04"&amp;$C$7,'Livro Diario - FC'!$D$11:$D1028,"&lt;=30/04"&amp;$C$7)</f>
        <v>0</v>
      </c>
      <c r="U90" s="273"/>
      <c r="V90" s="258"/>
      <c r="W90" s="259"/>
      <c r="X90" s="255">
        <f>SUMIFS('Livro Diario - FC'!$K$11:$K1028,'Livro Diario - FC'!$E$11:$E1028,$C$90,'Livro Diario - FC'!$D$11:$D1028,"&gt;=01/05"&amp;$C$7,'Livro Diario - FC'!$D$11:$D1028,"&lt;=31/05"&amp;$C$7)</f>
        <v>0</v>
      </c>
      <c r="Y90" s="256">
        <f>SUMIFS('Livro Diario - FC'!$M$11:$M1028,'Livro Diario - FC'!$E$11:$E1028,$C$90,'Livro Diario - FC'!$D$11:$D1028,"&gt;=01/05"&amp;$C$7,'Livro Diario - FC'!$D$11:$D1028,"&lt;=31/05"&amp;$C$7)</f>
        <v>0</v>
      </c>
      <c r="Z90" s="273"/>
      <c r="AA90" s="258"/>
      <c r="AB90" s="259"/>
      <c r="AC90" s="255">
        <f>SUMIFS('Livro Diario - FC'!$K$11:$K1028,'Livro Diario - FC'!$E$11:$E1028,$C$90,'Livro Diario - FC'!$D$11:$D1028,"&gt;=01/06"&amp;$C$7,'Livro Diario - FC'!$D$11:$D1028,"&lt;=30/06"&amp;$C$7)</f>
        <v>0</v>
      </c>
      <c r="AD90" s="256">
        <f>SUMIFS('Livro Diario - FC'!$M$11:$M1028,'Livro Diario - FC'!$E$11:$E1028,$C$90,'Livro Diario - FC'!$D$11:$D1028,"&gt;=01/06"&amp;$C$7,'Livro Diario - FC'!$D$11:$D1028,"&lt;=30/06"&amp;$C$7)</f>
        <v>0</v>
      </c>
      <c r="AE90" s="273"/>
      <c r="AF90" s="258"/>
      <c r="AG90" s="255">
        <f>SUMIFS('Livro Diario - FC'!$K$11:$K1028,'Livro Diario - FC'!$E$11:$E1028,$C$90,'Livro Diario - FC'!$D$11:$D1028,"&gt;=01/07"&amp;$C$7,'Livro Diario - FC'!$D$11:$D1028,"&lt;=31/07"&amp;$C$7)</f>
        <v>0</v>
      </c>
      <c r="AH90" s="256">
        <f>SUMIFS('Livro Diario - FC'!$M$11:$M1028,'Livro Diario - FC'!$E$11:$E1028,$C$90,'Livro Diario - FC'!$D$11:$D1028,"&gt;=01/07"&amp;$C$7,'Livro Diario - FC'!$D$11:$D1028,"&lt;=31/07"&amp;$C$7)</f>
        <v>0</v>
      </c>
      <c r="AI90" s="273"/>
      <c r="AJ90" s="258"/>
      <c r="AK90" s="255">
        <f>SUMIFS('Livro Diario - FC'!$K$11:$K1028,'Livro Diario - FC'!$E$11:$E1028,$C$90,'Livro Diario - FC'!$D$11:$D1028,"&gt;=01/08"&amp;$C$7,'Livro Diario - FC'!$D$11:$D1028,"&lt;=31/08"&amp;$C$7)</f>
        <v>0</v>
      </c>
      <c r="AL90" s="256">
        <f>SUMIFS('Livro Diario - FC'!$M$11:$M1028,'Livro Diario - FC'!$E$11:$E1028,$C$90,'Livro Diario - FC'!$D$11:$D1028,"&gt;=01/08"&amp;$C$7,'Livro Diario - FC'!$D$11:$D1028,"&lt;=31/08"&amp;$C$7)</f>
        <v>0</v>
      </c>
      <c r="AM90" s="273"/>
      <c r="AN90" s="258"/>
      <c r="AO90" s="255">
        <f>SUMIFS('Livro Diario - FC'!$K$11:$K1028,'Livro Diario - FC'!$E$11:$E1028,$C$90,'Livro Diario - FC'!$D$11:$D1028,"&gt;=01/09"&amp;$C$7,'Livro Diario - FC'!$D$11:$D1028,"&lt;=30/09"&amp;$C$7)</f>
        <v>0</v>
      </c>
      <c r="AP90" s="256">
        <f>SUMIFS('Livro Diario - FC'!$M$11:$M1028,'Livro Diario - FC'!$E$11:$E1028,$C$90,'Livro Diario - FC'!$D$11:$D1028,"&gt;=01/09"&amp;$C$7,'Livro Diario - FC'!$D$11:$D1028,"&lt;=30/09"&amp;$C$7)</f>
        <v>0</v>
      </c>
      <c r="AQ90" s="273"/>
      <c r="AR90" s="258"/>
      <c r="AS90" s="255">
        <f>SUMIFS('Livro Diario - FC'!$K$11:$K1028,'Livro Diario - FC'!$E$11:$E1028,$C$90,'Livro Diario - FC'!$D$11:$D1028,"&gt;=01/10"&amp;$C$7,'Livro Diario - FC'!$D$11:$D1028,"&lt;=31/10"&amp;$C$7)</f>
        <v>0</v>
      </c>
      <c r="AT90" s="256">
        <f>SUMIFS('Livro Diario - FC'!$M$11:$M1028,'Livro Diario - FC'!$E$11:$E1028,$C$90,'Livro Diario - FC'!$D$11:$D1028,"&gt;=01/10"&amp;$C$7,'Livro Diario - FC'!$D$11:$D1028,"&lt;=31/10"&amp;$C$7)</f>
        <v>0</v>
      </c>
      <c r="AU90" s="273"/>
      <c r="AV90" s="258"/>
      <c r="AW90" s="255">
        <f>SUMIFS('Livro Diario - FC'!$K$11:$K1028,'Livro Diario - FC'!$E$11:$E1028,$C$90,'Livro Diario - FC'!$D$11:$D1028,"&gt;=01/11"&amp;$C$7,'Livro Diario - FC'!$D$11:$D1028,"&lt;=30/11"&amp;$C$7)</f>
        <v>0</v>
      </c>
      <c r="AX90" s="256">
        <f>SUMIFS('Livro Diario - FC'!$M$11:$M1028,'Livro Diario - FC'!$E$11:$E1028,$C$90,'Livro Diario - FC'!$D$11:$D1028,"&gt;=01/11"&amp;$C$7,'Livro Diario - FC'!$D$11:$D1028,"&lt;=30/11"&amp;$C$7)</f>
        <v>0</v>
      </c>
      <c r="AY90" s="273"/>
      <c r="AZ90" s="258"/>
      <c r="BA90" s="255">
        <f>SUMIFS('Livro Diario - FC'!$K$11:$K1028,'Livro Diario - FC'!$E$11:$E1028,$C$90,'Livro Diario - FC'!$D$11:$D1028,"&gt;=01/12"&amp;$C$7,'Livro Diario - FC'!$D$11:$D1028,"&lt;=31/12"&amp;$C$7)</f>
        <v>0</v>
      </c>
      <c r="BB90" s="256">
        <f>SUMIFS('Livro Diario - FC'!$M$11:$M1028,'Livro Diario - FC'!$E$11:$E1028,$C$90,'Livro Diario - FC'!$D$11:$D1028,"&gt;=01/12"&amp;$C$7,'Livro Diario - FC'!$D$11:$D1028,"&lt;=31/12"&amp;$C$7)</f>
        <v>0</v>
      </c>
      <c r="BC90" s="273"/>
      <c r="BD90" s="273"/>
      <c r="BE90" s="267">
        <f t="shared" ref="BE90:BF90" si="191">SUM(D90,I90,N90,S90,X90,AC90,AG90,AK90,AO90,AS90,AW90,BA90)</f>
        <v>135</v>
      </c>
      <c r="BF90" s="268">
        <f t="shared" si="191"/>
        <v>135</v>
      </c>
      <c r="BG90" s="269"/>
      <c r="BH90" s="192"/>
      <c r="BI90" s="270">
        <f>SUMIFS('Livro Diario - FC'!$M$11:$M1028,'Livro Diario - FC'!$E$11:$E1028,C90,'Livro Diario - FC'!$D$11:$D1028,"&gt;="&amp;$BK$8,'Livro Diario - FC'!$D$11:$D1028,"&lt;="&amp;$BK$9)</f>
        <v>0</v>
      </c>
      <c r="BJ90" s="271"/>
      <c r="BK90" s="272"/>
      <c r="BL90" s="1"/>
    </row>
    <row r="91">
      <c r="A91" s="1"/>
      <c r="B91" s="1"/>
      <c r="C91" s="338" t="str">
        <f>'Livro Diario - FC'!AE94</f>
        <v>Queijadinha</v>
      </c>
      <c r="D91" s="255">
        <f>SUMIFS('Livro Diario - FC'!$K$11:$K1028,'Livro Diario - FC'!$E$11:$E1028,$C$91,'Livro Diario - FC'!$D$11:$D1028,"&gt;=01/01"&amp;$C$7,'Livro Diario - FC'!$D$11:$D1028,"&lt;=31/01"&amp;$C$7)</f>
        <v>0</v>
      </c>
      <c r="E91" s="256">
        <f>SUMIFS('Livro Diario - FC'!$M$11:$M1028,'Livro Diario - FC'!$E$11:$E1028,$C$91,'Livro Diario - FC'!$D$11:$D1028,"&gt;=01/01"&amp;$C$7,'Livro Diario - FC'!$D$11:$D1028,"&lt;=31/01"&amp;$C$7)</f>
        <v>0</v>
      </c>
      <c r="F91" s="273"/>
      <c r="G91" s="258"/>
      <c r="H91" s="157"/>
      <c r="I91" s="255">
        <f>SUMIFS('Livro Diario - FC'!$K$11:$K1028,'Livro Diario - FC'!$E$11:$E1028,$C$91,'Livro Diario - FC'!$D$11:$D1028,"&gt;=01/02"&amp;$C$7,'Livro Diario - FC'!$D$11:$D1028,"&lt;=29/02"&amp;$C$7)</f>
        <v>0</v>
      </c>
      <c r="J91" s="256">
        <f>SUMIFS('Livro Diario - FC'!$M$11:$M1028,'Livro Diario - FC'!$E$11:$E1028,$C$91,'Livro Diario - FC'!$D$11:$D1028,"&gt;=01/02"&amp;$C$7,'Livro Diario - FC'!$D$11:$D1028,"&lt;=29/02"&amp;$C$7)</f>
        <v>0</v>
      </c>
      <c r="K91" s="273"/>
      <c r="L91" s="258"/>
      <c r="M91" s="259"/>
      <c r="N91" s="255">
        <f>SUMIFS('Livro Diario - FC'!$K$11:$K1028,'Livro Diario - FC'!$E$11:$E1028,$C$91,'Livro Diario - FC'!$D$11:$D1028,"&gt;=01/03"&amp;$C$7,'Livro Diario - FC'!$D$11:$D1028,"&lt;=31/03"&amp;$C$7)</f>
        <v>0</v>
      </c>
      <c r="O91" s="256">
        <f>SUMIFS('Livro Diario - FC'!$M$11:$M1028,'Livro Diario - FC'!$E$11:$E1028,$C$91,'Livro Diario - FC'!$D$11:$D1028,"&gt;=01/03"&amp;$C$7,'Livro Diario - FC'!$D$11:$D1028,"&lt;=31/03"&amp;$C$7)</f>
        <v>0</v>
      </c>
      <c r="P91" s="273"/>
      <c r="Q91" s="258"/>
      <c r="R91" s="259"/>
      <c r="S91" s="255">
        <f>SUMIFS('Livro Diario - FC'!$K$11:$K1028,'Livro Diario - FC'!$E$11:$E1028,$C$91,'Livro Diario - FC'!$D$11:$D1028,"&gt;=01/04"&amp;$C$7,'Livro Diario - FC'!$D$11:$D1028,"&lt;=30/04"&amp;$C$7)</f>
        <v>0</v>
      </c>
      <c r="T91" s="256">
        <f>SUMIFS('Livro Diario - FC'!$M$11:$M1028,'Livro Diario - FC'!$E$11:$E1028,$C$91,'Livro Diario - FC'!$D$11:$D1028,"&gt;=01/04"&amp;$C$7,'Livro Diario - FC'!$D$11:$D1028,"&lt;=30/04"&amp;$C$7)</f>
        <v>0</v>
      </c>
      <c r="U91" s="273"/>
      <c r="V91" s="258"/>
      <c r="W91" s="259"/>
      <c r="X91" s="255">
        <f>SUMIFS('Livro Diario - FC'!$K$11:$K1028,'Livro Diario - FC'!$E$11:$E1028,$C$91,'Livro Diario - FC'!$D$11:$D1028,"&gt;=01/05"&amp;$C$7,'Livro Diario - FC'!$D$11:$D1028,"&lt;=31/05"&amp;$C$7)</f>
        <v>0</v>
      </c>
      <c r="Y91" s="256">
        <f>SUMIFS('Livro Diario - FC'!$M$11:$M1028,'Livro Diario - FC'!$E$11:$E1028,$C$91,'Livro Diario - FC'!$D$11:$D1028,"&gt;=01/05"&amp;$C$7,'Livro Diario - FC'!$D$11:$D1028,"&lt;=31/05"&amp;$C$7)</f>
        <v>0</v>
      </c>
      <c r="Z91" s="273"/>
      <c r="AA91" s="258"/>
      <c r="AB91" s="259"/>
      <c r="AC91" s="255">
        <f>SUMIFS('Livro Diario - FC'!$K$11:$K1028,'Livro Diario - FC'!$E$11:$E1028,$C$91,'Livro Diario - FC'!$D$11:$D1028,"&gt;=01/06"&amp;$C$7,'Livro Diario - FC'!$D$11:$D1028,"&lt;=30/06"&amp;$C$7)</f>
        <v>0</v>
      </c>
      <c r="AD91" s="256">
        <f>SUMIFS('Livro Diario - FC'!$M$11:$M1028,'Livro Diario - FC'!$E$11:$E1028,$C$91,'Livro Diario - FC'!$D$11:$D1028,"&gt;=01/06"&amp;$C$7,'Livro Diario - FC'!$D$11:$D1028,"&lt;=30/06"&amp;$C$7)</f>
        <v>0</v>
      </c>
      <c r="AE91" s="273"/>
      <c r="AF91" s="258"/>
      <c r="AG91" s="255">
        <f>SUMIFS('Livro Diario - FC'!$K$11:$K1028,'Livro Diario - FC'!$E$11:$E1028,$C$91,'Livro Diario - FC'!$D$11:$D1028,"&gt;=01/07"&amp;$C$7,'Livro Diario - FC'!$D$11:$D1028,"&lt;=31/07"&amp;$C$7)</f>
        <v>0</v>
      </c>
      <c r="AH91" s="256">
        <f>SUMIFS('Livro Diario - FC'!$M$11:$M1028,'Livro Diario - FC'!$E$11:$E1028,$C$91,'Livro Diario - FC'!$D$11:$D1028,"&gt;=01/07"&amp;$C$7,'Livro Diario - FC'!$D$11:$D1028,"&lt;=31/07"&amp;$C$7)</f>
        <v>0</v>
      </c>
      <c r="AI91" s="273"/>
      <c r="AJ91" s="258"/>
      <c r="AK91" s="255">
        <f>SUMIFS('Livro Diario - FC'!$K$11:$K1028,'Livro Diario - FC'!$E$11:$E1028,$C$91,'Livro Diario - FC'!$D$11:$D1028,"&gt;=01/08"&amp;$C$7,'Livro Diario - FC'!$D$11:$D1028,"&lt;=31/08"&amp;$C$7)</f>
        <v>0</v>
      </c>
      <c r="AL91" s="256">
        <f>SUMIFS('Livro Diario - FC'!$M$11:$M1028,'Livro Diario - FC'!$E$11:$E1028,$C$91,'Livro Diario - FC'!$D$11:$D1028,"&gt;=01/08"&amp;$C$7,'Livro Diario - FC'!$D$11:$D1028,"&lt;=31/08"&amp;$C$7)</f>
        <v>0</v>
      </c>
      <c r="AM91" s="273"/>
      <c r="AN91" s="258"/>
      <c r="AO91" s="255">
        <f>SUMIFS('Livro Diario - FC'!$K$11:$K1028,'Livro Diario - FC'!$E$11:$E1028,$C$91,'Livro Diario - FC'!$D$11:$D1028,"&gt;=01/09"&amp;$C$7,'Livro Diario - FC'!$D$11:$D1028,"&lt;=30/09"&amp;$C$7)</f>
        <v>0</v>
      </c>
      <c r="AP91" s="256">
        <f>SUMIFS('Livro Diario - FC'!$M$11:$M1028,'Livro Diario - FC'!$E$11:$E1028,$C$91,'Livro Diario - FC'!$D$11:$D1028,"&gt;=01/09"&amp;$C$7,'Livro Diario - FC'!$D$11:$D1028,"&lt;=30/09"&amp;$C$7)</f>
        <v>0</v>
      </c>
      <c r="AQ91" s="273"/>
      <c r="AR91" s="258"/>
      <c r="AS91" s="255">
        <f>SUMIFS('Livro Diario - FC'!$K$11:$K1028,'Livro Diario - FC'!$E$11:$E1028,$C$91,'Livro Diario - FC'!$D$11:$D1028,"&gt;=01/10"&amp;$C$7,'Livro Diario - FC'!$D$11:$D1028,"&lt;=31/10"&amp;$C$7)</f>
        <v>0</v>
      </c>
      <c r="AT91" s="256">
        <f>SUMIFS('Livro Diario - FC'!$M$11:$M1028,'Livro Diario - FC'!$E$11:$E1028,$C$91,'Livro Diario - FC'!$D$11:$D1028,"&gt;=01/10"&amp;$C$7,'Livro Diario - FC'!$D$11:$D1028,"&lt;=31/10"&amp;$C$7)</f>
        <v>0</v>
      </c>
      <c r="AU91" s="273"/>
      <c r="AV91" s="258"/>
      <c r="AW91" s="255">
        <f>SUMIFS('Livro Diario - FC'!$K$11:$K1028,'Livro Diario - FC'!$E$11:$E1028,$C$91,'Livro Diario - FC'!$D$11:$D1028,"&gt;=01/11"&amp;$C$7,'Livro Diario - FC'!$D$11:$D1028,"&lt;=30/11"&amp;$C$7)</f>
        <v>0</v>
      </c>
      <c r="AX91" s="256">
        <f>SUMIFS('Livro Diario - FC'!$M$11:$M1028,'Livro Diario - FC'!$E$11:$E1028,$C$91,'Livro Diario - FC'!$D$11:$D1028,"&gt;=01/11"&amp;$C$7,'Livro Diario - FC'!$D$11:$D1028,"&lt;=30/11"&amp;$C$7)</f>
        <v>0</v>
      </c>
      <c r="AY91" s="273"/>
      <c r="AZ91" s="258"/>
      <c r="BA91" s="255">
        <f>SUMIFS('Livro Diario - FC'!$K$11:$K1028,'Livro Diario - FC'!$E$11:$E1028,$C$91,'Livro Diario - FC'!$D$11:$D1028,"&gt;=01/12"&amp;$C$7,'Livro Diario - FC'!$D$11:$D1028,"&lt;=31/12"&amp;$C$7)</f>
        <v>0</v>
      </c>
      <c r="BB91" s="256">
        <f>SUMIFS('Livro Diario - FC'!$M$11:$M1028,'Livro Diario - FC'!$E$11:$E1028,$C$91,'Livro Diario - FC'!$D$11:$D1028,"&gt;=01/12"&amp;$C$7,'Livro Diario - FC'!$D$11:$D1028,"&lt;=31/12"&amp;$C$7)</f>
        <v>0</v>
      </c>
      <c r="BC91" s="273"/>
      <c r="BD91" s="273"/>
      <c r="BE91" s="267">
        <f t="shared" ref="BE91:BF91" si="192">SUM(D91,I91,N91,S91,X91,AC91,AG91,AK91,AO91,AS91,AW91,BA91)</f>
        <v>0</v>
      </c>
      <c r="BF91" s="268">
        <f t="shared" si="192"/>
        <v>0</v>
      </c>
      <c r="BG91" s="269"/>
      <c r="BH91" s="192"/>
      <c r="BI91" s="270">
        <f>SUMIFS('Livro Diario - FC'!$M$11:$M1028,'Livro Diario - FC'!$E$11:$E1028,C91,'Livro Diario - FC'!$D$11:$D1028,"&gt;="&amp;$BK$8,'Livro Diario - FC'!$D$11:$D1028,"&lt;="&amp;$BK$9)</f>
        <v>0</v>
      </c>
      <c r="BJ91" s="271"/>
      <c r="BK91" s="272"/>
      <c r="BL91" s="1"/>
    </row>
    <row r="92">
      <c r="A92" s="1"/>
      <c r="B92" s="1"/>
      <c r="C92" s="338" t="str">
        <f>'Livro Diario - FC'!AE95</f>
        <v>Massa de Wrap</v>
      </c>
      <c r="D92" s="255">
        <f>SUMIFS('Livro Diario - FC'!$K$11:$K1028,'Livro Diario - FC'!$E$11:$E1028,$C$92,'Livro Diario - FC'!$D$11:$D1028,"&gt;=01/01"&amp;$C$7,'Livro Diario - FC'!$D$11:$D1028,"&lt;=31/01"&amp;$C$7)</f>
        <v>0</v>
      </c>
      <c r="E92" s="256">
        <f>SUMIFS('Livro Diario - FC'!$M$11:$M1028,'Livro Diario - FC'!$E$11:$E1028,$C$92,'Livro Diario - FC'!$D$11:$D1028,"&gt;=01/01"&amp;$C$7,'Livro Diario - FC'!$D$11:$D1028,"&lt;=31/01"&amp;$C$7)</f>
        <v>0</v>
      </c>
      <c r="F92" s="273"/>
      <c r="G92" s="258"/>
      <c r="H92" s="157"/>
      <c r="I92" s="255">
        <f>SUMIFS('Livro Diario - FC'!$K$11:$K1028,'Livro Diario - FC'!$E$11:$E1028,$C$92,'Livro Diario - FC'!$D$11:$D1028,"&gt;=01/02"&amp;$C$7,'Livro Diario - FC'!$D$11:$D1028,"&lt;=29/02"&amp;$C$7)</f>
        <v>0</v>
      </c>
      <c r="J92" s="256">
        <f>SUMIFS('Livro Diario - FC'!$M$11:$M1028,'Livro Diario - FC'!$E$11:$E1028,$C$92,'Livro Diario - FC'!$D$11:$D1028,"&gt;=01/02"&amp;$C$7,'Livro Diario - FC'!$D$11:$D1028,"&lt;=29/02"&amp;$C$7)</f>
        <v>0</v>
      </c>
      <c r="K92" s="273"/>
      <c r="L92" s="258"/>
      <c r="M92" s="259"/>
      <c r="N92" s="255">
        <f>SUMIFS('Livro Diario - FC'!$K$11:$K1028,'Livro Diario - FC'!$E$11:$E1028,$C$92,'Livro Diario - FC'!$D$11:$D1028,"&gt;=01/03"&amp;$C$7,'Livro Diario - FC'!$D$11:$D1028,"&lt;=31/03"&amp;$C$7)</f>
        <v>0</v>
      </c>
      <c r="O92" s="256">
        <f>SUMIFS('Livro Diario - FC'!$M$11:$M1028,'Livro Diario - FC'!$E$11:$E1028,$C$92,'Livro Diario - FC'!$D$11:$D1028,"&gt;=01/03"&amp;$C$7,'Livro Diario - FC'!$D$11:$D1028,"&lt;=31/03"&amp;$C$7)</f>
        <v>0</v>
      </c>
      <c r="P92" s="273"/>
      <c r="Q92" s="258"/>
      <c r="R92" s="259"/>
      <c r="S92" s="255">
        <f>SUMIFS('Livro Diario - FC'!$K$11:$K1028,'Livro Diario - FC'!$E$11:$E1028,$C$92,'Livro Diario - FC'!$D$11:$D1028,"&gt;=01/04"&amp;$C$7,'Livro Diario - FC'!$D$11:$D1028,"&lt;=30/04"&amp;$C$7)</f>
        <v>0</v>
      </c>
      <c r="T92" s="256">
        <f>SUMIFS('Livro Diario - FC'!$M$11:$M1028,'Livro Diario - FC'!$E$11:$E1028,$C$92,'Livro Diario - FC'!$D$11:$D1028,"&gt;=01/04"&amp;$C$7,'Livro Diario - FC'!$D$11:$D1028,"&lt;=30/04"&amp;$C$7)</f>
        <v>0</v>
      </c>
      <c r="U92" s="273"/>
      <c r="V92" s="258"/>
      <c r="W92" s="259"/>
      <c r="X92" s="255">
        <f>SUMIFS('Livro Diario - FC'!$K$11:$K1028,'Livro Diario - FC'!$E$11:$E1028,$C$92,'Livro Diario - FC'!$D$11:$D1028,"&gt;=01/05"&amp;$C$7,'Livro Diario - FC'!$D$11:$D1028,"&lt;=31/05"&amp;$C$7)</f>
        <v>0</v>
      </c>
      <c r="Y92" s="256">
        <f>SUMIFS('Livro Diario - FC'!$M$11:$M1028,'Livro Diario - FC'!$E$11:$E1028,$C$92,'Livro Diario - FC'!$D$11:$D1028,"&gt;=01/05"&amp;$C$7,'Livro Diario - FC'!$D$11:$D1028,"&lt;=31/05"&amp;$C$7)</f>
        <v>0</v>
      </c>
      <c r="Z92" s="273"/>
      <c r="AA92" s="258"/>
      <c r="AB92" s="259"/>
      <c r="AC92" s="255">
        <f>SUMIFS('Livro Diario - FC'!$K$11:$K1028,'Livro Diario - FC'!$E$11:$E1028,$C$92,'Livro Diario - FC'!$D$11:$D1028,"&gt;=01/06"&amp;$C$7,'Livro Diario - FC'!$D$11:$D1028,"&lt;=30/06"&amp;$C$7)</f>
        <v>0</v>
      </c>
      <c r="AD92" s="256">
        <f>SUMIFS('Livro Diario - FC'!$M$11:$M1028,'Livro Diario - FC'!$E$11:$E1028,$C$92,'Livro Diario - FC'!$D$11:$D1028,"&gt;=01/06"&amp;$C$7,'Livro Diario - FC'!$D$11:$D1028,"&lt;=30/06"&amp;$C$7)</f>
        <v>0</v>
      </c>
      <c r="AE92" s="273"/>
      <c r="AF92" s="258"/>
      <c r="AG92" s="255">
        <f>SUMIFS('Livro Diario - FC'!$K$11:$K1028,'Livro Diario - FC'!$E$11:$E1028,$C$92,'Livro Diario - FC'!$D$11:$D1028,"&gt;=01/07"&amp;$C$7,'Livro Diario - FC'!$D$11:$D1028,"&lt;=31/07"&amp;$C$7)</f>
        <v>0</v>
      </c>
      <c r="AH92" s="256">
        <f>SUMIFS('Livro Diario - FC'!$M$11:$M1028,'Livro Diario - FC'!$E$11:$E1028,$C$92,'Livro Diario - FC'!$D$11:$D1028,"&gt;=01/07"&amp;$C$7,'Livro Diario - FC'!$D$11:$D1028,"&lt;=31/07"&amp;$C$7)</f>
        <v>0</v>
      </c>
      <c r="AI92" s="273"/>
      <c r="AJ92" s="258"/>
      <c r="AK92" s="255">
        <f>SUMIFS('Livro Diario - FC'!$K$11:$K1028,'Livro Diario - FC'!$E$11:$E1028,$C$92,'Livro Diario - FC'!$D$11:$D1028,"&gt;=01/08"&amp;$C$7,'Livro Diario - FC'!$D$11:$D1028,"&lt;=31/08"&amp;$C$7)</f>
        <v>0</v>
      </c>
      <c r="AL92" s="256">
        <f>SUMIFS('Livro Diario - FC'!$M$11:$M1028,'Livro Diario - FC'!$E$11:$E1028,$C$92,'Livro Diario - FC'!$D$11:$D1028,"&gt;=01/08"&amp;$C$7,'Livro Diario - FC'!$D$11:$D1028,"&lt;=31/08"&amp;$C$7)</f>
        <v>0</v>
      </c>
      <c r="AM92" s="273"/>
      <c r="AN92" s="258"/>
      <c r="AO92" s="255">
        <f>SUMIFS('Livro Diario - FC'!$K$11:$K1028,'Livro Diario - FC'!$E$11:$E1028,$C$92,'Livro Diario - FC'!$D$11:$D1028,"&gt;=01/09"&amp;$C$7,'Livro Diario - FC'!$D$11:$D1028,"&lt;=30/09"&amp;$C$7)</f>
        <v>0</v>
      </c>
      <c r="AP92" s="256">
        <f>SUMIFS('Livro Diario - FC'!$M$11:$M1028,'Livro Diario - FC'!$E$11:$E1028,$C$92,'Livro Diario - FC'!$D$11:$D1028,"&gt;=01/09"&amp;$C$7,'Livro Diario - FC'!$D$11:$D1028,"&lt;=30/09"&amp;$C$7)</f>
        <v>0</v>
      </c>
      <c r="AQ92" s="273"/>
      <c r="AR92" s="258"/>
      <c r="AS92" s="255">
        <f>SUMIFS('Livro Diario - FC'!$K$11:$K1028,'Livro Diario - FC'!$E$11:$E1028,$C$92,'Livro Diario - FC'!$D$11:$D1028,"&gt;=01/10"&amp;$C$7,'Livro Diario - FC'!$D$11:$D1028,"&lt;=31/10"&amp;$C$7)</f>
        <v>0</v>
      </c>
      <c r="AT92" s="256">
        <f>SUMIFS('Livro Diario - FC'!$M$11:$M1028,'Livro Diario - FC'!$E$11:$E1028,$C$92,'Livro Diario - FC'!$D$11:$D1028,"&gt;=01/10"&amp;$C$7,'Livro Diario - FC'!$D$11:$D1028,"&lt;=31/10"&amp;$C$7)</f>
        <v>0</v>
      </c>
      <c r="AU92" s="273"/>
      <c r="AV92" s="258"/>
      <c r="AW92" s="255">
        <f>SUMIFS('Livro Diario - FC'!$K$11:$K1028,'Livro Diario - FC'!$E$11:$E1028,$C$92,'Livro Diario - FC'!$D$11:$D1028,"&gt;=01/11"&amp;$C$7,'Livro Diario - FC'!$D$11:$D1028,"&lt;=30/11"&amp;$C$7)</f>
        <v>0</v>
      </c>
      <c r="AX92" s="256">
        <f>SUMIFS('Livro Diario - FC'!$M$11:$M1028,'Livro Diario - FC'!$E$11:$E1028,$C$92,'Livro Diario - FC'!$D$11:$D1028,"&gt;=01/11"&amp;$C$7,'Livro Diario - FC'!$D$11:$D1028,"&lt;=30/11"&amp;$C$7)</f>
        <v>0</v>
      </c>
      <c r="AY92" s="273"/>
      <c r="AZ92" s="258"/>
      <c r="BA92" s="255">
        <f>SUMIFS('Livro Diario - FC'!$K$11:$K1028,'Livro Diario - FC'!$E$11:$E1028,$C$92,'Livro Diario - FC'!$D$11:$D1028,"&gt;=01/12"&amp;$C$7,'Livro Diario - FC'!$D$11:$D1028,"&lt;=31/12"&amp;$C$7)</f>
        <v>0</v>
      </c>
      <c r="BB92" s="256">
        <f>SUMIFS('Livro Diario - FC'!$M$11:$M1028,'Livro Diario - FC'!$E$11:$E1028,$C$92,'Livro Diario - FC'!$D$11:$D1028,"&gt;=01/12"&amp;$C$7,'Livro Diario - FC'!$D$11:$D1028,"&lt;=31/12"&amp;$C$7)</f>
        <v>0</v>
      </c>
      <c r="BC92" s="273"/>
      <c r="BD92" s="273"/>
      <c r="BE92" s="267">
        <f t="shared" ref="BE92:BF92" si="193">SUM(D92,I92,N92,S92,X92,AC92,AG92,AK92,AO92,AS92,AW92,BA92)</f>
        <v>0</v>
      </c>
      <c r="BF92" s="268">
        <f t="shared" si="193"/>
        <v>0</v>
      </c>
      <c r="BG92" s="269"/>
      <c r="BH92" s="192"/>
      <c r="BI92" s="270">
        <f>SUMIFS('Livro Diario - FC'!$M$11:$M1028,'Livro Diario - FC'!$E$11:$E1028,C92,'Livro Diario - FC'!$D$11:$D1028,"&gt;="&amp;$BK$8,'Livro Diario - FC'!$D$11:$D1028,"&lt;="&amp;$BK$9)</f>
        <v>0</v>
      </c>
      <c r="BJ92" s="271"/>
      <c r="BK92" s="272"/>
      <c r="BL92" s="1"/>
    </row>
    <row r="93">
      <c r="A93" s="1"/>
      <c r="B93" s="1"/>
      <c r="C93" s="338" t="str">
        <f>'Livro Diario - FC'!AE96</f>
        <v>Bolo de Noiva</v>
      </c>
      <c r="D93" s="255">
        <f>SUMIFS('Livro Diario - FC'!$K$11:$K1028,'Livro Diario - FC'!$E$11:$E1028,$C$93,'Livro Diario - FC'!$D$11:$D1028,"&gt;=01/01"&amp;$C$7,'Livro Diario - FC'!$D$11:$D1028,"&lt;=31/01"&amp;$C$7)</f>
        <v>70</v>
      </c>
      <c r="E93" s="256">
        <f>SUMIFS('Livro Diario - FC'!$M$11:$M1028,'Livro Diario - FC'!$E$11:$E1028,$C$93,'Livro Diario - FC'!$D$11:$D1028,"&gt;=01/01"&amp;$C$7,'Livro Diario - FC'!$D$11:$D1028,"&lt;=31/01"&amp;$C$7)</f>
        <v>70</v>
      </c>
      <c r="F93" s="273"/>
      <c r="G93" s="258"/>
      <c r="H93" s="157"/>
      <c r="I93" s="255">
        <f>SUMIFS('Livro Diario - FC'!$K$11:$K1028,'Livro Diario - FC'!$E$11:$E1028,$C$93,'Livro Diario - FC'!$D$11:$D1028,"&gt;=01/02"&amp;$C$7,'Livro Diario - FC'!$D$11:$D1028,"&lt;=29/02"&amp;$C$7)</f>
        <v>0</v>
      </c>
      <c r="J93" s="256">
        <f>SUMIFS('Livro Diario - FC'!$M$11:$M1028,'Livro Diario - FC'!$E$11:$E1028,$C$93,'Livro Diario - FC'!$D$11:$D1028,"&gt;=01/02"&amp;$C$7,'Livro Diario - FC'!$D$11:$D1028,"&lt;=29/02"&amp;$C$7)</f>
        <v>0</v>
      </c>
      <c r="K93" s="273"/>
      <c r="L93" s="258"/>
      <c r="M93" s="259"/>
      <c r="N93" s="255">
        <f>SUMIFS('Livro Diario - FC'!$K$11:$K1028,'Livro Diario - FC'!$E$11:$E1028,$C$93,'Livro Diario - FC'!$D$11:$D1028,"&gt;=01/03"&amp;$C$7,'Livro Diario - FC'!$D$11:$D1028,"&lt;=31/03"&amp;$C$7)</f>
        <v>0</v>
      </c>
      <c r="O93" s="256">
        <f>SUMIFS('Livro Diario - FC'!$M$11:$M1028,'Livro Diario - FC'!$E$11:$E1028,$C$93,'Livro Diario - FC'!$D$11:$D1028,"&gt;=01/03"&amp;$C$7,'Livro Diario - FC'!$D$11:$D1028,"&lt;=31/03"&amp;$C$7)</f>
        <v>0</v>
      </c>
      <c r="P93" s="273"/>
      <c r="Q93" s="258"/>
      <c r="R93" s="259"/>
      <c r="S93" s="255">
        <f>SUMIFS('Livro Diario - FC'!$K$11:$K1028,'Livro Diario - FC'!$E$11:$E1028,$C$93,'Livro Diario - FC'!$D$11:$D1028,"&gt;=01/04"&amp;$C$7,'Livro Diario - FC'!$D$11:$D1028,"&lt;=30/04"&amp;$C$7)</f>
        <v>0</v>
      </c>
      <c r="T93" s="256">
        <f>SUMIFS('Livro Diario - FC'!$M$11:$M1028,'Livro Diario - FC'!$E$11:$E1028,$C$93,'Livro Diario - FC'!$D$11:$D1028,"&gt;=01/04"&amp;$C$7,'Livro Diario - FC'!$D$11:$D1028,"&lt;=30/04"&amp;$C$7)</f>
        <v>0</v>
      </c>
      <c r="U93" s="273"/>
      <c r="V93" s="258"/>
      <c r="W93" s="259"/>
      <c r="X93" s="255">
        <f>SUMIFS('Livro Diario - FC'!$K$11:$K1028,'Livro Diario - FC'!$E$11:$E1028,$C$93,'Livro Diario - FC'!$D$11:$D1028,"&gt;=01/05"&amp;$C$7,'Livro Diario - FC'!$D$11:$D1028,"&lt;=31/05"&amp;$C$7)</f>
        <v>0</v>
      </c>
      <c r="Y93" s="256">
        <f>SUMIFS('Livro Diario - FC'!$M$11:$M1028,'Livro Diario - FC'!$E$11:$E1028,$C$93,'Livro Diario - FC'!$D$11:$D1028,"&gt;=01/05"&amp;$C$7,'Livro Diario - FC'!$D$11:$D1028,"&lt;=31/05"&amp;$C$7)</f>
        <v>0</v>
      </c>
      <c r="Z93" s="273"/>
      <c r="AA93" s="258"/>
      <c r="AB93" s="259"/>
      <c r="AC93" s="255">
        <f>SUMIFS('Livro Diario - FC'!$K$11:$K1028,'Livro Diario - FC'!$E$11:$E1028,$C$93,'Livro Diario - FC'!$D$11:$D1028,"&gt;=01/06"&amp;$C$7,'Livro Diario - FC'!$D$11:$D1028,"&lt;=30/06"&amp;$C$7)</f>
        <v>0</v>
      </c>
      <c r="AD93" s="256">
        <f>SUMIFS('Livro Diario - FC'!$M$11:$M1028,'Livro Diario - FC'!$E$11:$E1028,$C$93,'Livro Diario - FC'!$D$11:$D1028,"&gt;=01/06"&amp;$C$7,'Livro Diario - FC'!$D$11:$D1028,"&lt;=30/06"&amp;$C$7)</f>
        <v>0</v>
      </c>
      <c r="AE93" s="273"/>
      <c r="AF93" s="258"/>
      <c r="AG93" s="255">
        <f>SUMIFS('Livro Diario - FC'!$K$11:$K1028,'Livro Diario - FC'!$E$11:$E1028,$C$93,'Livro Diario - FC'!$D$11:$D1028,"&gt;=01/07"&amp;$C$7,'Livro Diario - FC'!$D$11:$D1028,"&lt;=31/07"&amp;$C$7)</f>
        <v>0</v>
      </c>
      <c r="AH93" s="256">
        <f>SUMIFS('Livro Diario - FC'!$M$11:$M1028,'Livro Diario - FC'!$E$11:$E1028,$C$93,'Livro Diario - FC'!$D$11:$D1028,"&gt;=01/07"&amp;$C$7,'Livro Diario - FC'!$D$11:$D1028,"&lt;=31/07"&amp;$C$7)</f>
        <v>0</v>
      </c>
      <c r="AI93" s="273"/>
      <c r="AJ93" s="258"/>
      <c r="AK93" s="255">
        <f>SUMIFS('Livro Diario - FC'!$K$11:$K1028,'Livro Diario - FC'!$E$11:$E1028,$C$93,'Livro Diario - FC'!$D$11:$D1028,"&gt;=01/08"&amp;$C$7,'Livro Diario - FC'!$D$11:$D1028,"&lt;=31/08"&amp;$C$7)</f>
        <v>0</v>
      </c>
      <c r="AL93" s="256">
        <f>SUMIFS('Livro Diario - FC'!$M$11:$M1028,'Livro Diario - FC'!$E$11:$E1028,$C$93,'Livro Diario - FC'!$D$11:$D1028,"&gt;=01/08"&amp;$C$7,'Livro Diario - FC'!$D$11:$D1028,"&lt;=31/08"&amp;$C$7)</f>
        <v>0</v>
      </c>
      <c r="AM93" s="273"/>
      <c r="AN93" s="258"/>
      <c r="AO93" s="255">
        <f>SUMIFS('Livro Diario - FC'!$K$11:$K1028,'Livro Diario - FC'!$E$11:$E1028,$C$93,'Livro Diario - FC'!$D$11:$D1028,"&gt;=01/09"&amp;$C$7,'Livro Diario - FC'!$D$11:$D1028,"&lt;=30/09"&amp;$C$7)</f>
        <v>0</v>
      </c>
      <c r="AP93" s="256">
        <f>SUMIFS('Livro Diario - FC'!$M$11:$M1028,'Livro Diario - FC'!$E$11:$E1028,$C$93,'Livro Diario - FC'!$D$11:$D1028,"&gt;=01/09"&amp;$C$7,'Livro Diario - FC'!$D$11:$D1028,"&lt;=30/09"&amp;$C$7)</f>
        <v>0</v>
      </c>
      <c r="AQ93" s="273"/>
      <c r="AR93" s="258"/>
      <c r="AS93" s="255">
        <f>SUMIFS('Livro Diario - FC'!$K$11:$K1028,'Livro Diario - FC'!$E$11:$E1028,$C$93,'Livro Diario - FC'!$D$11:$D1028,"&gt;=01/10"&amp;$C$7,'Livro Diario - FC'!$D$11:$D1028,"&lt;=31/10"&amp;$C$7)</f>
        <v>0</v>
      </c>
      <c r="AT93" s="256">
        <f>SUMIFS('Livro Diario - FC'!$M$11:$M1028,'Livro Diario - FC'!$E$11:$E1028,$C$93,'Livro Diario - FC'!$D$11:$D1028,"&gt;=01/10"&amp;$C$7,'Livro Diario - FC'!$D$11:$D1028,"&lt;=31/10"&amp;$C$7)</f>
        <v>0</v>
      </c>
      <c r="AU93" s="273"/>
      <c r="AV93" s="258"/>
      <c r="AW93" s="255">
        <f>SUMIFS('Livro Diario - FC'!$K$11:$K1028,'Livro Diario - FC'!$E$11:$E1028,$C$93,'Livro Diario - FC'!$D$11:$D1028,"&gt;=01/11"&amp;$C$7,'Livro Diario - FC'!$D$11:$D1028,"&lt;=30/11"&amp;$C$7)</f>
        <v>0</v>
      </c>
      <c r="AX93" s="256">
        <f>SUMIFS('Livro Diario - FC'!$M$11:$M1028,'Livro Diario - FC'!$E$11:$E1028,$C$93,'Livro Diario - FC'!$D$11:$D1028,"&gt;=01/11"&amp;$C$7,'Livro Diario - FC'!$D$11:$D1028,"&lt;=30/11"&amp;$C$7)</f>
        <v>0</v>
      </c>
      <c r="AY93" s="273"/>
      <c r="AZ93" s="258"/>
      <c r="BA93" s="255">
        <f>SUMIFS('Livro Diario - FC'!$K$11:$K1028,'Livro Diario - FC'!$E$11:$E1028,$C$93,'Livro Diario - FC'!$D$11:$D1028,"&gt;=01/12"&amp;$C$7,'Livro Diario - FC'!$D$11:$D1028,"&lt;=31/12"&amp;$C$7)</f>
        <v>0</v>
      </c>
      <c r="BB93" s="256">
        <f>SUMIFS('Livro Diario - FC'!$M$11:$M1028,'Livro Diario - FC'!$E$11:$E1028,$C$93,'Livro Diario - FC'!$D$11:$D1028,"&gt;=01/12"&amp;$C$7,'Livro Diario - FC'!$D$11:$D1028,"&lt;=31/12"&amp;$C$7)</f>
        <v>0</v>
      </c>
      <c r="BC93" s="273"/>
      <c r="BD93" s="273"/>
      <c r="BE93" s="267">
        <f t="shared" ref="BE93:BF93" si="194">SUM(D93,I93,N93,S93,X93,AC93,AG93,AK93,AO93,AS93,AW93,BA93)</f>
        <v>70</v>
      </c>
      <c r="BF93" s="268">
        <f t="shared" si="194"/>
        <v>70</v>
      </c>
      <c r="BG93" s="269"/>
      <c r="BH93" s="192"/>
      <c r="BI93" s="270">
        <f>SUMIFS('Livro Diario - FC'!$M$11:$M1028,'Livro Diario - FC'!$E$11:$E1028,C93,'Livro Diario - FC'!$D$11:$D1028,"&gt;="&amp;$BK$8,'Livro Diario - FC'!$D$11:$D1028,"&lt;="&amp;$BK$9)</f>
        <v>0</v>
      </c>
      <c r="BJ93" s="271"/>
      <c r="BK93" s="272"/>
      <c r="BL93" s="1"/>
    </row>
    <row r="94">
      <c r="A94" s="1"/>
      <c r="B94" s="1"/>
      <c r="C94" s="338" t="str">
        <f>'Livro Diario - FC'!AE97</f>
        <v>Torta Chocolate</v>
      </c>
      <c r="D94" s="255">
        <f>SUMIFS('Livro Diario - FC'!$K$11:$K1028,'Livro Diario - FC'!$E$11:$E1028,$C$94,'Livro Diario - FC'!$D$11:$D1028,"&gt;=01/01"&amp;$C$7,'Livro Diario - FC'!$D$11:$D1028,"&lt;=31/01"&amp;$C$7)</f>
        <v>200.88</v>
      </c>
      <c r="E94" s="256">
        <f>SUMIFS('Livro Diario - FC'!$M$11:$M1028,'Livro Diario - FC'!$E$11:$E1028,$C$94,'Livro Diario - FC'!$D$11:$D1028,"&gt;=01/01"&amp;$C$7,'Livro Diario - FC'!$D$11:$D1028,"&lt;=31/01"&amp;$C$7)</f>
        <v>200.88</v>
      </c>
      <c r="F94" s="273"/>
      <c r="G94" s="258"/>
      <c r="H94" s="157"/>
      <c r="I94" s="255">
        <f>SUMIFS('Livro Diario - FC'!$K$11:$K1028,'Livro Diario - FC'!$E$11:$E1028,$C$94,'Livro Diario - FC'!$D$11:$D1028,"&gt;=01/02"&amp;$C$7,'Livro Diario - FC'!$D$11:$D1028,"&lt;=29/02"&amp;$C$7)</f>
        <v>0</v>
      </c>
      <c r="J94" s="256">
        <f>SUMIFS('Livro Diario - FC'!$M$11:$M1028,'Livro Diario - FC'!$E$11:$E1028,$C$94,'Livro Diario - FC'!$D$11:$D1028,"&gt;=01/02"&amp;$C$7,'Livro Diario - FC'!$D$11:$D1028,"&lt;=29/02"&amp;$C$7)</f>
        <v>0</v>
      </c>
      <c r="K94" s="273"/>
      <c r="L94" s="258"/>
      <c r="M94" s="259"/>
      <c r="N94" s="255">
        <f>SUMIFS('Livro Diario - FC'!$K$11:$K1028,'Livro Diario - FC'!$E$11:$E1028,$C$94,'Livro Diario - FC'!$D$11:$D1028,"&gt;=01/03"&amp;$C$7,'Livro Diario - FC'!$D$11:$D1028,"&lt;=31/03"&amp;$C$7)</f>
        <v>0</v>
      </c>
      <c r="O94" s="256">
        <f>SUMIFS('Livro Diario - FC'!$M$11:$M1028,'Livro Diario - FC'!$E$11:$E1028,$C$94,'Livro Diario - FC'!$D$11:$D1028,"&gt;=01/03"&amp;$C$7,'Livro Diario - FC'!$D$11:$D1028,"&lt;=31/03"&amp;$C$7)</f>
        <v>0</v>
      </c>
      <c r="P94" s="273"/>
      <c r="Q94" s="258"/>
      <c r="R94" s="259"/>
      <c r="S94" s="255">
        <f>SUMIFS('Livro Diario - FC'!$K$11:$K1028,'Livro Diario - FC'!$E$11:$E1028,$C$94,'Livro Diario - FC'!$D$11:$D1028,"&gt;=01/04"&amp;$C$7,'Livro Diario - FC'!$D$11:$D1028,"&lt;=30/04"&amp;$C$7)</f>
        <v>0</v>
      </c>
      <c r="T94" s="256">
        <f>SUMIFS('Livro Diario - FC'!$M$11:$M1028,'Livro Diario - FC'!$E$11:$E1028,$C$94,'Livro Diario - FC'!$D$11:$D1028,"&gt;=01/04"&amp;$C$7,'Livro Diario - FC'!$D$11:$D1028,"&lt;=30/04"&amp;$C$7)</f>
        <v>0</v>
      </c>
      <c r="U94" s="273"/>
      <c r="V94" s="258"/>
      <c r="W94" s="259"/>
      <c r="X94" s="255">
        <f>SUMIFS('Livro Diario - FC'!$K$11:$K1028,'Livro Diario - FC'!$E$11:$E1028,$C$94,'Livro Diario - FC'!$D$11:$D1028,"&gt;=01/05"&amp;$C$7,'Livro Diario - FC'!$D$11:$D1028,"&lt;=31/05"&amp;$C$7)</f>
        <v>0</v>
      </c>
      <c r="Y94" s="256">
        <f>SUMIFS('Livro Diario - FC'!$M$11:$M1028,'Livro Diario - FC'!$E$11:$E1028,$C$94,'Livro Diario - FC'!$D$11:$D1028,"&gt;=01/05"&amp;$C$7,'Livro Diario - FC'!$D$11:$D1028,"&lt;=31/05"&amp;$C$7)</f>
        <v>0</v>
      </c>
      <c r="Z94" s="273"/>
      <c r="AA94" s="258"/>
      <c r="AB94" s="259"/>
      <c r="AC94" s="255">
        <f>SUMIFS('Livro Diario - FC'!$K$11:$K1028,'Livro Diario - FC'!$E$11:$E1028,$C$94,'Livro Diario - FC'!$D$11:$D1028,"&gt;=01/06"&amp;$C$7,'Livro Diario - FC'!$D$11:$D1028,"&lt;=30/06"&amp;$C$7)</f>
        <v>0</v>
      </c>
      <c r="AD94" s="256">
        <f>SUMIFS('Livro Diario - FC'!$M$11:$M1028,'Livro Diario - FC'!$E$11:$E1028,$C$94,'Livro Diario - FC'!$D$11:$D1028,"&gt;=01/06"&amp;$C$7,'Livro Diario - FC'!$D$11:$D1028,"&lt;=30/06"&amp;$C$7)</f>
        <v>0</v>
      </c>
      <c r="AE94" s="273"/>
      <c r="AF94" s="258"/>
      <c r="AG94" s="255">
        <f>SUMIFS('Livro Diario - FC'!$K$11:$K1028,'Livro Diario - FC'!$E$11:$E1028,$C$94,'Livro Diario - FC'!$D$11:$D1028,"&gt;=01/07"&amp;$C$7,'Livro Diario - FC'!$D$11:$D1028,"&lt;=31/07"&amp;$C$7)</f>
        <v>0</v>
      </c>
      <c r="AH94" s="256">
        <f>SUMIFS('Livro Diario - FC'!$M$11:$M1028,'Livro Diario - FC'!$E$11:$E1028,$C$94,'Livro Diario - FC'!$D$11:$D1028,"&gt;=01/07"&amp;$C$7,'Livro Diario - FC'!$D$11:$D1028,"&lt;=31/07"&amp;$C$7)</f>
        <v>0</v>
      </c>
      <c r="AI94" s="273"/>
      <c r="AJ94" s="258"/>
      <c r="AK94" s="255">
        <f>SUMIFS('Livro Diario - FC'!$K$11:$K1028,'Livro Diario - FC'!$E$11:$E1028,$C$94,'Livro Diario - FC'!$D$11:$D1028,"&gt;=01/08"&amp;$C$7,'Livro Diario - FC'!$D$11:$D1028,"&lt;=31/08"&amp;$C$7)</f>
        <v>0</v>
      </c>
      <c r="AL94" s="256">
        <f>SUMIFS('Livro Diario - FC'!$M$11:$M1028,'Livro Diario - FC'!$E$11:$E1028,$C$94,'Livro Diario - FC'!$D$11:$D1028,"&gt;=01/08"&amp;$C$7,'Livro Diario - FC'!$D$11:$D1028,"&lt;=31/08"&amp;$C$7)</f>
        <v>0</v>
      </c>
      <c r="AM94" s="273"/>
      <c r="AN94" s="258"/>
      <c r="AO94" s="255">
        <f>SUMIFS('Livro Diario - FC'!$K$11:$K1028,'Livro Diario - FC'!$E$11:$E1028,$C$94,'Livro Diario - FC'!$D$11:$D1028,"&gt;=01/09"&amp;$C$7,'Livro Diario - FC'!$D$11:$D1028,"&lt;=30/09"&amp;$C$7)</f>
        <v>0</v>
      </c>
      <c r="AP94" s="256">
        <f>SUMIFS('Livro Diario - FC'!$M$11:$M1028,'Livro Diario - FC'!$E$11:$E1028,$C$94,'Livro Diario - FC'!$D$11:$D1028,"&gt;=01/09"&amp;$C$7,'Livro Diario - FC'!$D$11:$D1028,"&lt;=30/09"&amp;$C$7)</f>
        <v>0</v>
      </c>
      <c r="AQ94" s="273"/>
      <c r="AR94" s="258"/>
      <c r="AS94" s="255">
        <f>SUMIFS('Livro Diario - FC'!$K$11:$K1028,'Livro Diario - FC'!$E$11:$E1028,$C$94,'Livro Diario - FC'!$D$11:$D1028,"&gt;=01/10"&amp;$C$7,'Livro Diario - FC'!$D$11:$D1028,"&lt;=31/10"&amp;$C$7)</f>
        <v>0</v>
      </c>
      <c r="AT94" s="256">
        <f>SUMIFS('Livro Diario - FC'!$M$11:$M1028,'Livro Diario - FC'!$E$11:$E1028,$C$94,'Livro Diario - FC'!$D$11:$D1028,"&gt;=01/10"&amp;$C$7,'Livro Diario - FC'!$D$11:$D1028,"&lt;=31/10"&amp;$C$7)</f>
        <v>0</v>
      </c>
      <c r="AU94" s="273"/>
      <c r="AV94" s="258"/>
      <c r="AW94" s="255">
        <f>SUMIFS('Livro Diario - FC'!$K$11:$K1028,'Livro Diario - FC'!$E$11:$E1028,$C$94,'Livro Diario - FC'!$D$11:$D1028,"&gt;=01/11"&amp;$C$7,'Livro Diario - FC'!$D$11:$D1028,"&lt;=30/11"&amp;$C$7)</f>
        <v>0</v>
      </c>
      <c r="AX94" s="256">
        <f>SUMIFS('Livro Diario - FC'!$M$11:$M1028,'Livro Diario - FC'!$E$11:$E1028,$C$94,'Livro Diario - FC'!$D$11:$D1028,"&gt;=01/11"&amp;$C$7,'Livro Diario - FC'!$D$11:$D1028,"&lt;=30/11"&amp;$C$7)</f>
        <v>0</v>
      </c>
      <c r="AY94" s="273"/>
      <c r="AZ94" s="258"/>
      <c r="BA94" s="255">
        <f>SUMIFS('Livro Diario - FC'!$K$11:$K1028,'Livro Diario - FC'!$E$11:$E1028,$C$94,'Livro Diario - FC'!$D$11:$D1028,"&gt;=01/12"&amp;$C$7,'Livro Diario - FC'!$D$11:$D1028,"&lt;=31/12"&amp;$C$7)</f>
        <v>0</v>
      </c>
      <c r="BB94" s="256">
        <f>SUMIFS('Livro Diario - FC'!$M$11:$M1028,'Livro Diario - FC'!$E$11:$E1028,$C$94,'Livro Diario - FC'!$D$11:$D1028,"&gt;=01/12"&amp;$C$7,'Livro Diario - FC'!$D$11:$D1028,"&lt;=31/12"&amp;$C$7)</f>
        <v>0</v>
      </c>
      <c r="BC94" s="273"/>
      <c r="BD94" s="273"/>
      <c r="BE94" s="267">
        <f t="shared" ref="BE94:BF94" si="195">SUM(D94,I94,N94,S94,X94,AC94,AG94,AK94,AO94,AS94,AW94,BA94)</f>
        <v>200.88</v>
      </c>
      <c r="BF94" s="268">
        <f t="shared" si="195"/>
        <v>200.88</v>
      </c>
      <c r="BG94" s="269"/>
      <c r="BH94" s="192"/>
      <c r="BI94" s="270">
        <f>SUMIFS('Livro Diario - FC'!$M$11:$M1028,'Livro Diario - FC'!$E$11:$E1028,C94,'Livro Diario - FC'!$D$11:$D1028,"&gt;="&amp;$BK$8,'Livro Diario - FC'!$D$11:$D1028,"&lt;="&amp;$BK$9)</f>
        <v>0</v>
      </c>
      <c r="BJ94" s="271"/>
      <c r="BK94" s="272"/>
      <c r="BL94" s="1"/>
    </row>
    <row r="95">
      <c r="A95" s="1"/>
      <c r="B95" s="1"/>
      <c r="C95" s="338" t="str">
        <f>'Livro Diario - FC'!AE98</f>
        <v>Salgados</v>
      </c>
      <c r="D95" s="255">
        <f>SUMIFS('Livro Diario - FC'!$K$11:$K1028,'Livro Diario - FC'!$E$11:$E1028,$C$95,'Livro Diario - FC'!$D$11:$D1028,"&gt;=01/01"&amp;$C$7,'Livro Diario - FC'!$D$11:$D1028,"&lt;=31/01"&amp;$C$7)</f>
        <v>0</v>
      </c>
      <c r="E95" s="256">
        <f>SUMIFS('Livro Diario - FC'!$M$11:$M1028,'Livro Diario - FC'!$E$11:$E1028,$C$95,'Livro Diario - FC'!$D$11:$D1028,"&gt;=01/01"&amp;$C$7,'Livro Diario - FC'!$D$11:$D1028,"&lt;=31/01"&amp;$C$7)</f>
        <v>0</v>
      </c>
      <c r="F95" s="273"/>
      <c r="G95" s="258"/>
      <c r="H95" s="157"/>
      <c r="I95" s="255">
        <f>SUMIFS('Livro Diario - FC'!$K$11:$K1028,'Livro Diario - FC'!$E$11:$E1028,$C$95,'Livro Diario - FC'!$D$11:$D1028,"&gt;=01/02"&amp;$C$7,'Livro Diario - FC'!$D$11:$D1028,"&lt;=29/02"&amp;$C$7)</f>
        <v>0</v>
      </c>
      <c r="J95" s="256">
        <f>SUMIFS('Livro Diario - FC'!$M$11:$M1028,'Livro Diario - FC'!$E$11:$E1028,$C$95,'Livro Diario - FC'!$D$11:$D1028,"&gt;=01/02"&amp;$C$7,'Livro Diario - FC'!$D$11:$D1028,"&lt;=29/02"&amp;$C$7)</f>
        <v>0</v>
      </c>
      <c r="K95" s="273"/>
      <c r="L95" s="258"/>
      <c r="M95" s="259"/>
      <c r="N95" s="255">
        <f>SUMIFS('Livro Diario - FC'!$K$11:$K1028,'Livro Diario - FC'!$E$11:$E1028,$C$95,'Livro Diario - FC'!$D$11:$D1028,"&gt;=01/03"&amp;$C$7,'Livro Diario - FC'!$D$11:$D1028,"&lt;=31/03"&amp;$C$7)</f>
        <v>0</v>
      </c>
      <c r="O95" s="256">
        <f>SUMIFS('Livro Diario - FC'!$M$11:$M1028,'Livro Diario - FC'!$E$11:$E1028,$C$95,'Livro Diario - FC'!$D$11:$D1028,"&gt;=01/03"&amp;$C$7,'Livro Diario - FC'!$D$11:$D1028,"&lt;=31/03"&amp;$C$7)</f>
        <v>0</v>
      </c>
      <c r="P95" s="273"/>
      <c r="Q95" s="258"/>
      <c r="R95" s="259"/>
      <c r="S95" s="255">
        <f>SUMIFS('Livro Diario - FC'!$K$11:$K1028,'Livro Diario - FC'!$E$11:$E1028,$C$95,'Livro Diario - FC'!$D$11:$D1028,"&gt;=01/04"&amp;$C$7,'Livro Diario - FC'!$D$11:$D1028,"&lt;=30/04"&amp;$C$7)</f>
        <v>0</v>
      </c>
      <c r="T95" s="256">
        <f>SUMIFS('Livro Diario - FC'!$M$11:$M1028,'Livro Diario - FC'!$E$11:$E1028,$C$95,'Livro Diario - FC'!$D$11:$D1028,"&gt;=01/04"&amp;$C$7,'Livro Diario - FC'!$D$11:$D1028,"&lt;=30/04"&amp;$C$7)</f>
        <v>0</v>
      </c>
      <c r="U95" s="273"/>
      <c r="V95" s="258"/>
      <c r="W95" s="259"/>
      <c r="X95" s="255">
        <f>SUMIFS('Livro Diario - FC'!$K$11:$K1028,'Livro Diario - FC'!$E$11:$E1028,$C$95,'Livro Diario - FC'!$D$11:$D1028,"&gt;=01/05"&amp;$C$7,'Livro Diario - FC'!$D$11:$D1028,"&lt;=31/05"&amp;$C$7)</f>
        <v>0</v>
      </c>
      <c r="Y95" s="256">
        <f>SUMIFS('Livro Diario - FC'!$M$11:$M1028,'Livro Diario - FC'!$E$11:$E1028,$C$95,'Livro Diario - FC'!$D$11:$D1028,"&gt;=01/05"&amp;$C$7,'Livro Diario - FC'!$D$11:$D1028,"&lt;=31/05"&amp;$C$7)</f>
        <v>0</v>
      </c>
      <c r="Z95" s="273"/>
      <c r="AA95" s="258"/>
      <c r="AB95" s="259"/>
      <c r="AC95" s="255">
        <f>SUMIFS('Livro Diario - FC'!$K$11:$K1028,'Livro Diario - FC'!$E$11:$E1028,$C$95,'Livro Diario - FC'!$D$11:$D1028,"&gt;=01/06"&amp;$C$7,'Livro Diario - FC'!$D$11:$D1028,"&lt;=30/06"&amp;$C$7)</f>
        <v>0</v>
      </c>
      <c r="AD95" s="256">
        <f>SUMIFS('Livro Diario - FC'!$M$11:$M1028,'Livro Diario - FC'!$E$11:$E1028,$C$95,'Livro Diario - FC'!$D$11:$D1028,"&gt;=01/06"&amp;$C$7,'Livro Diario - FC'!$D$11:$D1028,"&lt;=30/06"&amp;$C$7)</f>
        <v>0</v>
      </c>
      <c r="AE95" s="273"/>
      <c r="AF95" s="258"/>
      <c r="AG95" s="255">
        <f>SUMIFS('Livro Diario - FC'!$K$11:$K1028,'Livro Diario - FC'!$E$11:$E1028,$C$95,'Livro Diario - FC'!$D$11:$D1028,"&gt;=01/07"&amp;$C$7,'Livro Diario - FC'!$D$11:$D1028,"&lt;=31/07"&amp;$C$7)</f>
        <v>0</v>
      </c>
      <c r="AH95" s="256">
        <f>SUMIFS('Livro Diario - FC'!$M$11:$M1028,'Livro Diario - FC'!$E$11:$E1028,$C$95,'Livro Diario - FC'!$D$11:$D1028,"&gt;=01/07"&amp;$C$7,'Livro Diario - FC'!$D$11:$D1028,"&lt;=31/07"&amp;$C$7)</f>
        <v>0</v>
      </c>
      <c r="AI95" s="273"/>
      <c r="AJ95" s="258"/>
      <c r="AK95" s="255">
        <f>SUMIFS('Livro Diario - FC'!$K$11:$K1028,'Livro Diario - FC'!$E$11:$E1028,$C$95,'Livro Diario - FC'!$D$11:$D1028,"&gt;=01/08"&amp;$C$7,'Livro Diario - FC'!$D$11:$D1028,"&lt;=31/08"&amp;$C$7)</f>
        <v>0</v>
      </c>
      <c r="AL95" s="256">
        <f>SUMIFS('Livro Diario - FC'!$M$11:$M1028,'Livro Diario - FC'!$E$11:$E1028,$C$95,'Livro Diario - FC'!$D$11:$D1028,"&gt;=01/08"&amp;$C$7,'Livro Diario - FC'!$D$11:$D1028,"&lt;=31/08"&amp;$C$7)</f>
        <v>0</v>
      </c>
      <c r="AM95" s="273"/>
      <c r="AN95" s="258"/>
      <c r="AO95" s="255">
        <f>SUMIFS('Livro Diario - FC'!$K$11:$K1028,'Livro Diario - FC'!$E$11:$E1028,$C$95,'Livro Diario - FC'!$D$11:$D1028,"&gt;=01/09"&amp;$C$7,'Livro Diario - FC'!$D$11:$D1028,"&lt;=30/09"&amp;$C$7)</f>
        <v>0</v>
      </c>
      <c r="AP95" s="256">
        <f>SUMIFS('Livro Diario - FC'!$M$11:$M1028,'Livro Diario - FC'!$E$11:$E1028,$C$95,'Livro Diario - FC'!$D$11:$D1028,"&gt;=01/09"&amp;$C$7,'Livro Diario - FC'!$D$11:$D1028,"&lt;=30/09"&amp;$C$7)</f>
        <v>0</v>
      </c>
      <c r="AQ95" s="273"/>
      <c r="AR95" s="258"/>
      <c r="AS95" s="255">
        <f>SUMIFS('Livro Diario - FC'!$K$11:$K1028,'Livro Diario - FC'!$E$11:$E1028,$C$95,'Livro Diario - FC'!$D$11:$D1028,"&gt;=01/10"&amp;$C$7,'Livro Diario - FC'!$D$11:$D1028,"&lt;=31/10"&amp;$C$7)</f>
        <v>0</v>
      </c>
      <c r="AT95" s="256">
        <f>SUMIFS('Livro Diario - FC'!$M$11:$M1028,'Livro Diario - FC'!$E$11:$E1028,$C$95,'Livro Diario - FC'!$D$11:$D1028,"&gt;=01/10"&amp;$C$7,'Livro Diario - FC'!$D$11:$D1028,"&lt;=31/10"&amp;$C$7)</f>
        <v>0</v>
      </c>
      <c r="AU95" s="273"/>
      <c r="AV95" s="258"/>
      <c r="AW95" s="255">
        <f>SUMIFS('Livro Diario - FC'!$K$11:$K1028,'Livro Diario - FC'!$E$11:$E1028,$C$95,'Livro Diario - FC'!$D$11:$D1028,"&gt;=01/11"&amp;$C$7,'Livro Diario - FC'!$D$11:$D1028,"&lt;=30/11"&amp;$C$7)</f>
        <v>0</v>
      </c>
      <c r="AX95" s="256">
        <f>SUMIFS('Livro Diario - FC'!$M$11:$M1028,'Livro Diario - FC'!$E$11:$E1028,$C$95,'Livro Diario - FC'!$D$11:$D1028,"&gt;=01/11"&amp;$C$7,'Livro Diario - FC'!$D$11:$D1028,"&lt;=30/11"&amp;$C$7)</f>
        <v>0</v>
      </c>
      <c r="AY95" s="273"/>
      <c r="AZ95" s="258"/>
      <c r="BA95" s="255">
        <f>SUMIFS('Livro Diario - FC'!$K$11:$K1028,'Livro Diario - FC'!$E$11:$E1028,$C$95,'Livro Diario - FC'!$D$11:$D1028,"&gt;=01/12"&amp;$C$7,'Livro Diario - FC'!$D$11:$D1028,"&lt;=31/12"&amp;$C$7)</f>
        <v>0</v>
      </c>
      <c r="BB95" s="256">
        <f>SUMIFS('Livro Diario - FC'!$M$11:$M1028,'Livro Diario - FC'!$E$11:$E1028,$C$95,'Livro Diario - FC'!$D$11:$D1028,"&gt;=01/12"&amp;$C$7,'Livro Diario - FC'!$D$11:$D1028,"&lt;=31/12"&amp;$C$7)</f>
        <v>0</v>
      </c>
      <c r="BC95" s="273"/>
      <c r="BD95" s="273"/>
      <c r="BE95" s="267">
        <f t="shared" ref="BE95:BF95" si="196">SUM(D95,I95,N95,S95,X95,AC95,AG95,AK95,AO95,AS95,AW95,BA95)</f>
        <v>0</v>
      </c>
      <c r="BF95" s="268">
        <f t="shared" si="196"/>
        <v>0</v>
      </c>
      <c r="BG95" s="269"/>
      <c r="BH95" s="192"/>
      <c r="BI95" s="270">
        <f>SUMIFS('Livro Diario - FC'!$M$11:$M1028,'Livro Diario - FC'!$E$11:$E1028,C95,'Livro Diario - FC'!$D$11:$D1028,"&gt;="&amp;$BK$8,'Livro Diario - FC'!$D$11:$D1028,"&lt;="&amp;$BK$9)</f>
        <v>0</v>
      </c>
      <c r="BJ95" s="271"/>
      <c r="BK95" s="272"/>
      <c r="BL95" s="1"/>
    </row>
    <row r="96">
      <c r="A96" s="1"/>
      <c r="B96" s="1"/>
      <c r="C96" s="338" t="str">
        <f>'Livro Diario - FC'!AE99</f>
        <v>Cocada</v>
      </c>
      <c r="D96" s="255">
        <f>SUMIFS('Livro Diario - FC'!$K$11:$K1028,'Livro Diario - FC'!$E$11:$E1028,$C$96,'Livro Diario - FC'!$D$11:$D1028,"&gt;=01/01"&amp;$C$7,'Livro Diario - FC'!$D$11:$D1028,"&lt;=31/01"&amp;$C$7)</f>
        <v>98</v>
      </c>
      <c r="E96" s="256">
        <f>SUMIFS('Livro Diario - FC'!$M$11:$M1028,'Livro Diario - FC'!$E$11:$E1028,$C$96,'Livro Diario - FC'!$D$11:$D1028,"&gt;=01/01"&amp;$C$7,'Livro Diario - FC'!$D$11:$D1028,"&lt;=31/01"&amp;$C$7)</f>
        <v>98</v>
      </c>
      <c r="F96" s="273"/>
      <c r="G96" s="258"/>
      <c r="H96" s="157"/>
      <c r="I96" s="255">
        <f>SUMIFS('Livro Diario - FC'!$K$11:$K1028,'Livro Diario - FC'!$E$11:$E1028,$C$96,'Livro Diario - FC'!$D$11:$D1028,"&gt;=01/02"&amp;$C$7,'Livro Diario - FC'!$D$11:$D1028,"&lt;=29/02"&amp;$C$7)</f>
        <v>0</v>
      </c>
      <c r="J96" s="256">
        <f>SUMIFS('Livro Diario - FC'!$M$11:$M1028,'Livro Diario - FC'!$E$11:$E1028,$C$96,'Livro Diario - FC'!$D$11:$D1028,"&gt;=01/02"&amp;$C$7,'Livro Diario - FC'!$D$11:$D1028,"&lt;=29/02"&amp;$C$7)</f>
        <v>0</v>
      </c>
      <c r="K96" s="273"/>
      <c r="L96" s="258"/>
      <c r="M96" s="259"/>
      <c r="N96" s="255">
        <f>SUMIFS('Livro Diario - FC'!$K$11:$K1028,'Livro Diario - FC'!$E$11:$E1028,$C$96,'Livro Diario - FC'!$D$11:$D1028,"&gt;=01/03"&amp;$C$7,'Livro Diario - FC'!$D$11:$D1028,"&lt;=31/03"&amp;$C$7)</f>
        <v>0</v>
      </c>
      <c r="O96" s="256">
        <f>SUMIFS('Livro Diario - FC'!$M$11:$M1028,'Livro Diario - FC'!$E$11:$E1028,$C$96,'Livro Diario - FC'!$D$11:$D1028,"&gt;=01/03"&amp;$C$7,'Livro Diario - FC'!$D$11:$D1028,"&lt;=31/03"&amp;$C$7)</f>
        <v>0</v>
      </c>
      <c r="P96" s="273"/>
      <c r="Q96" s="258"/>
      <c r="R96" s="259"/>
      <c r="S96" s="255">
        <f>SUMIFS('Livro Diario - FC'!$K$11:$K1028,'Livro Diario - FC'!$E$11:$E1028,$C$96,'Livro Diario - FC'!$D$11:$D1028,"&gt;=01/04"&amp;$C$7,'Livro Diario - FC'!$D$11:$D1028,"&lt;=30/04"&amp;$C$7)</f>
        <v>0</v>
      </c>
      <c r="T96" s="256">
        <f>SUMIFS('Livro Diario - FC'!$M$11:$M1028,'Livro Diario - FC'!$E$11:$E1028,$C$96,'Livro Diario - FC'!$D$11:$D1028,"&gt;=01/04"&amp;$C$7,'Livro Diario - FC'!$D$11:$D1028,"&lt;=30/04"&amp;$C$7)</f>
        <v>0</v>
      </c>
      <c r="U96" s="273"/>
      <c r="V96" s="258"/>
      <c r="W96" s="259"/>
      <c r="X96" s="255">
        <f>SUMIFS('Livro Diario - FC'!$K$11:$K1028,'Livro Diario - FC'!$E$11:$E1028,$C$96,'Livro Diario - FC'!$D$11:$D1028,"&gt;=01/05"&amp;$C$7,'Livro Diario - FC'!$D$11:$D1028,"&lt;=31/05"&amp;$C$7)</f>
        <v>0</v>
      </c>
      <c r="Y96" s="256">
        <f>SUMIFS('Livro Diario - FC'!$M$11:$M1028,'Livro Diario - FC'!$E$11:$E1028,$C$96,'Livro Diario - FC'!$D$11:$D1028,"&gt;=01/05"&amp;$C$7,'Livro Diario - FC'!$D$11:$D1028,"&lt;=31/05"&amp;$C$7)</f>
        <v>0</v>
      </c>
      <c r="Z96" s="273"/>
      <c r="AA96" s="258"/>
      <c r="AB96" s="259"/>
      <c r="AC96" s="255">
        <f>SUMIFS('Livro Diario - FC'!$K$11:$K1028,'Livro Diario - FC'!$E$11:$E1028,$C$96,'Livro Diario - FC'!$D$11:$D1028,"&gt;=01/06"&amp;$C$7,'Livro Diario - FC'!$D$11:$D1028,"&lt;=30/06"&amp;$C$7)</f>
        <v>0</v>
      </c>
      <c r="AD96" s="256">
        <f>SUMIFS('Livro Diario - FC'!$M$11:$M1028,'Livro Diario - FC'!$E$11:$E1028,$C$96,'Livro Diario - FC'!$D$11:$D1028,"&gt;=01/06"&amp;$C$7,'Livro Diario - FC'!$D$11:$D1028,"&lt;=30/06"&amp;$C$7)</f>
        <v>0</v>
      </c>
      <c r="AE96" s="273"/>
      <c r="AF96" s="258"/>
      <c r="AG96" s="255">
        <f>SUMIFS('Livro Diario - FC'!$K$11:$K1028,'Livro Diario - FC'!$E$11:$E1028,$C$96,'Livro Diario - FC'!$D$11:$D1028,"&gt;=01/07"&amp;$C$7,'Livro Diario - FC'!$D$11:$D1028,"&lt;=31/07"&amp;$C$7)</f>
        <v>0</v>
      </c>
      <c r="AH96" s="256">
        <f>SUMIFS('Livro Diario - FC'!$M$11:$M1028,'Livro Diario - FC'!$E$11:$E1028,$C$96,'Livro Diario - FC'!$D$11:$D1028,"&gt;=01/07"&amp;$C$7,'Livro Diario - FC'!$D$11:$D1028,"&lt;=31/07"&amp;$C$7)</f>
        <v>0</v>
      </c>
      <c r="AI96" s="273"/>
      <c r="AJ96" s="258"/>
      <c r="AK96" s="255">
        <f>SUMIFS('Livro Diario - FC'!$K$11:$K1028,'Livro Diario - FC'!$E$11:$E1028,$C$96,'Livro Diario - FC'!$D$11:$D1028,"&gt;=01/08"&amp;$C$7,'Livro Diario - FC'!$D$11:$D1028,"&lt;=31/08"&amp;$C$7)</f>
        <v>0</v>
      </c>
      <c r="AL96" s="256">
        <f>SUMIFS('Livro Diario - FC'!$M$11:$M1028,'Livro Diario - FC'!$E$11:$E1028,$C$96,'Livro Diario - FC'!$D$11:$D1028,"&gt;=01/08"&amp;$C$7,'Livro Diario - FC'!$D$11:$D1028,"&lt;=31/08"&amp;$C$7)</f>
        <v>0</v>
      </c>
      <c r="AM96" s="273"/>
      <c r="AN96" s="258"/>
      <c r="AO96" s="255">
        <f>SUMIFS('Livro Diario - FC'!$K$11:$K1028,'Livro Diario - FC'!$E$11:$E1028,$C$96,'Livro Diario - FC'!$D$11:$D1028,"&gt;=01/09"&amp;$C$7,'Livro Diario - FC'!$D$11:$D1028,"&lt;=30/09"&amp;$C$7)</f>
        <v>0</v>
      </c>
      <c r="AP96" s="256">
        <f>SUMIFS('Livro Diario - FC'!$M$11:$M1028,'Livro Diario - FC'!$E$11:$E1028,$C$96,'Livro Diario - FC'!$D$11:$D1028,"&gt;=01/09"&amp;$C$7,'Livro Diario - FC'!$D$11:$D1028,"&lt;=30/09"&amp;$C$7)</f>
        <v>0</v>
      </c>
      <c r="AQ96" s="273"/>
      <c r="AR96" s="258"/>
      <c r="AS96" s="255">
        <f>SUMIFS('Livro Diario - FC'!$K$11:$K1028,'Livro Diario - FC'!$E$11:$E1028,$C$96,'Livro Diario - FC'!$D$11:$D1028,"&gt;=01/10"&amp;$C$7,'Livro Diario - FC'!$D$11:$D1028,"&lt;=31/10"&amp;$C$7)</f>
        <v>0</v>
      </c>
      <c r="AT96" s="256">
        <f>SUMIFS('Livro Diario - FC'!$M$11:$M1028,'Livro Diario - FC'!$E$11:$E1028,$C$96,'Livro Diario - FC'!$D$11:$D1028,"&gt;=01/10"&amp;$C$7,'Livro Diario - FC'!$D$11:$D1028,"&lt;=31/10"&amp;$C$7)</f>
        <v>0</v>
      </c>
      <c r="AU96" s="273"/>
      <c r="AV96" s="258"/>
      <c r="AW96" s="255">
        <f>SUMIFS('Livro Diario - FC'!$K$11:$K1028,'Livro Diario - FC'!$E$11:$E1028,$C$96,'Livro Diario - FC'!$D$11:$D1028,"&gt;=01/11"&amp;$C$7,'Livro Diario - FC'!$D$11:$D1028,"&lt;=30/11"&amp;$C$7)</f>
        <v>0</v>
      </c>
      <c r="AX96" s="256">
        <f>SUMIFS('Livro Diario - FC'!$M$11:$M1028,'Livro Diario - FC'!$E$11:$E1028,$C$96,'Livro Diario - FC'!$D$11:$D1028,"&gt;=01/11"&amp;$C$7,'Livro Diario - FC'!$D$11:$D1028,"&lt;=30/11"&amp;$C$7)</f>
        <v>0</v>
      </c>
      <c r="AY96" s="273"/>
      <c r="AZ96" s="258"/>
      <c r="BA96" s="255">
        <f>SUMIFS('Livro Diario - FC'!$K$11:$K1028,'Livro Diario - FC'!$E$11:$E1028,$C$96,'Livro Diario - FC'!$D$11:$D1028,"&gt;=01/12"&amp;$C$7,'Livro Diario - FC'!$D$11:$D1028,"&lt;=31/12"&amp;$C$7)</f>
        <v>0</v>
      </c>
      <c r="BB96" s="256">
        <f>SUMIFS('Livro Diario - FC'!$M$11:$M1028,'Livro Diario - FC'!$E$11:$E1028,$C$96,'Livro Diario - FC'!$D$11:$D1028,"&gt;=01/12"&amp;$C$7,'Livro Diario - FC'!$D$11:$D1028,"&lt;=31/12"&amp;$C$7)</f>
        <v>0</v>
      </c>
      <c r="BC96" s="273"/>
      <c r="BD96" s="273"/>
      <c r="BE96" s="267">
        <f t="shared" ref="BE96:BF96" si="197">SUM(D96,I96,N96,S96,X96,AC96,AG96,AK96,AO96,AS96,AW96,BA96)</f>
        <v>98</v>
      </c>
      <c r="BF96" s="268">
        <f t="shared" si="197"/>
        <v>98</v>
      </c>
      <c r="BG96" s="269"/>
      <c r="BH96" s="192"/>
      <c r="BI96" s="270">
        <f>SUMIFS('Livro Diario - FC'!$M$11:$M1028,'Livro Diario - FC'!$E$11:$E1028,C96,'Livro Diario - FC'!$D$11:$D1028,"&gt;="&amp;$BK$8,'Livro Diario - FC'!$D$11:$D1028,"&lt;="&amp;$BK$9)</f>
        <v>0</v>
      </c>
      <c r="BJ96" s="271"/>
      <c r="BK96" s="272"/>
      <c r="BL96" s="1"/>
    </row>
    <row r="97">
      <c r="A97" s="1"/>
      <c r="B97" s="1"/>
      <c r="C97" s="338" t="str">
        <f>'Livro Diario - FC'!AE100</f>
        <v>Empadinha Doce</v>
      </c>
      <c r="D97" s="255">
        <f>SUMIFS('Livro Diario - FC'!$K$11:$K1028,'Livro Diario - FC'!$E$11:$E1028,$C$97,'Livro Diario - FC'!$D$11:$D1028,"&gt;=01/01"&amp;$C$7,'Livro Diario - FC'!$D$11:$D1028,"&lt;=31/01"&amp;$C$7)</f>
        <v>0</v>
      </c>
      <c r="E97" s="256">
        <f>SUMIFS('Livro Diario - FC'!$M$11:$M1028,'Livro Diario - FC'!$E$11:$E1028,$C$97,'Livro Diario - FC'!$D$11:$D1028,"&gt;=01/01"&amp;$C$7,'Livro Diario - FC'!$D$11:$D1028,"&lt;=31/01"&amp;$C$7)</f>
        <v>0</v>
      </c>
      <c r="F97" s="273"/>
      <c r="G97" s="258"/>
      <c r="H97" s="157"/>
      <c r="I97" s="255">
        <f>SUMIFS('Livro Diario - FC'!$K$11:$K1028,'Livro Diario - FC'!$E$11:$E1028,$C$97,'Livro Diario - FC'!$D$11:$D1028,"&gt;=01/02"&amp;$C$7,'Livro Diario - FC'!$D$11:$D1028,"&lt;=29/02"&amp;$C$7)</f>
        <v>0</v>
      </c>
      <c r="J97" s="256">
        <f>SUMIFS('Livro Diario - FC'!$M$11:$M1028,'Livro Diario - FC'!$E$11:$E1028,$C$97,'Livro Diario - FC'!$D$11:$D1028,"&gt;=01/02"&amp;$C$7,'Livro Diario - FC'!$D$11:$D1028,"&lt;=29/02"&amp;$C$7)</f>
        <v>0</v>
      </c>
      <c r="K97" s="273"/>
      <c r="L97" s="258"/>
      <c r="M97" s="259"/>
      <c r="N97" s="255">
        <f>SUMIFS('Livro Diario - FC'!$K$11:$K1028,'Livro Diario - FC'!$E$11:$E1028,$C$97,'Livro Diario - FC'!$D$11:$D1028,"&gt;=01/03"&amp;$C$7,'Livro Diario - FC'!$D$11:$D1028,"&lt;=31/03"&amp;$C$7)</f>
        <v>0</v>
      </c>
      <c r="O97" s="256">
        <f>SUMIFS('Livro Diario - FC'!$M$11:$M1028,'Livro Diario - FC'!$E$11:$E1028,$C$97,'Livro Diario - FC'!$D$11:$D1028,"&gt;=01/03"&amp;$C$7,'Livro Diario - FC'!$D$11:$D1028,"&lt;=31/03"&amp;$C$7)</f>
        <v>0</v>
      </c>
      <c r="P97" s="273"/>
      <c r="Q97" s="258"/>
      <c r="R97" s="259"/>
      <c r="S97" s="255">
        <f>SUMIFS('Livro Diario - FC'!$K$11:$K1028,'Livro Diario - FC'!$E$11:$E1028,$C$97,'Livro Diario - FC'!$D$11:$D1028,"&gt;=01/04"&amp;$C$7,'Livro Diario - FC'!$D$11:$D1028,"&lt;=30/04"&amp;$C$7)</f>
        <v>0</v>
      </c>
      <c r="T97" s="256">
        <f>SUMIFS('Livro Diario - FC'!$M$11:$M1028,'Livro Diario - FC'!$E$11:$E1028,$C$97,'Livro Diario - FC'!$D$11:$D1028,"&gt;=01/04"&amp;$C$7,'Livro Diario - FC'!$D$11:$D1028,"&lt;=30/04"&amp;$C$7)</f>
        <v>0</v>
      </c>
      <c r="U97" s="273"/>
      <c r="V97" s="258"/>
      <c r="W97" s="259"/>
      <c r="X97" s="255">
        <f>SUMIFS('Livro Diario - FC'!$K$11:$K1028,'Livro Diario - FC'!$E$11:$E1028,$C$97,'Livro Diario - FC'!$D$11:$D1028,"&gt;=01/05"&amp;$C$7,'Livro Diario - FC'!$D$11:$D1028,"&lt;=31/05"&amp;$C$7)</f>
        <v>0</v>
      </c>
      <c r="Y97" s="256">
        <f>SUMIFS('Livro Diario - FC'!$M$11:$M1028,'Livro Diario - FC'!$E$11:$E1028,$C$97,'Livro Diario - FC'!$D$11:$D1028,"&gt;=01/05"&amp;$C$7,'Livro Diario - FC'!$D$11:$D1028,"&lt;=31/05"&amp;$C$7)</f>
        <v>0</v>
      </c>
      <c r="Z97" s="273"/>
      <c r="AA97" s="258"/>
      <c r="AB97" s="259"/>
      <c r="AC97" s="255">
        <f>SUMIFS('Livro Diario - FC'!$K$11:$K1028,'Livro Diario - FC'!$E$11:$E1028,$C$97,'Livro Diario - FC'!$D$11:$D1028,"&gt;=01/06"&amp;$C$7,'Livro Diario - FC'!$D$11:$D1028,"&lt;=30/06"&amp;$C$7)</f>
        <v>0</v>
      </c>
      <c r="AD97" s="256">
        <f>SUMIFS('Livro Diario - FC'!$M$11:$M1028,'Livro Diario - FC'!$E$11:$E1028,$C$97,'Livro Diario - FC'!$D$11:$D1028,"&gt;=01/06"&amp;$C$7,'Livro Diario - FC'!$D$11:$D1028,"&lt;=30/06"&amp;$C$7)</f>
        <v>0</v>
      </c>
      <c r="AE97" s="273"/>
      <c r="AF97" s="258"/>
      <c r="AG97" s="255">
        <f>SUMIFS('Livro Diario - FC'!$K$11:$K1028,'Livro Diario - FC'!$E$11:$E1028,$C$97,'Livro Diario - FC'!$D$11:$D1028,"&gt;=01/07"&amp;$C$7,'Livro Diario - FC'!$D$11:$D1028,"&lt;=31/07"&amp;$C$7)</f>
        <v>0</v>
      </c>
      <c r="AH97" s="256">
        <f>SUMIFS('Livro Diario - FC'!$M$11:$M1028,'Livro Diario - FC'!$E$11:$E1028,$C$97,'Livro Diario - FC'!$D$11:$D1028,"&gt;=01/07"&amp;$C$7,'Livro Diario - FC'!$D$11:$D1028,"&lt;=31/07"&amp;$C$7)</f>
        <v>0</v>
      </c>
      <c r="AI97" s="273"/>
      <c r="AJ97" s="258"/>
      <c r="AK97" s="255">
        <f>SUMIFS('Livro Diario - FC'!$K$11:$K1028,'Livro Diario - FC'!$E$11:$E1028,$C$97,'Livro Diario - FC'!$D$11:$D1028,"&gt;=01/08"&amp;$C$7,'Livro Diario - FC'!$D$11:$D1028,"&lt;=31/08"&amp;$C$7)</f>
        <v>0</v>
      </c>
      <c r="AL97" s="256">
        <f>SUMIFS('Livro Diario - FC'!$M$11:$M1028,'Livro Diario - FC'!$E$11:$E1028,$C$97,'Livro Diario - FC'!$D$11:$D1028,"&gt;=01/08"&amp;$C$7,'Livro Diario - FC'!$D$11:$D1028,"&lt;=31/08"&amp;$C$7)</f>
        <v>0</v>
      </c>
      <c r="AM97" s="273"/>
      <c r="AN97" s="258"/>
      <c r="AO97" s="255">
        <f>SUMIFS('Livro Diario - FC'!$K$11:$K1028,'Livro Diario - FC'!$E$11:$E1028,$C$97,'Livro Diario - FC'!$D$11:$D1028,"&gt;=01/09"&amp;$C$7,'Livro Diario - FC'!$D$11:$D1028,"&lt;=30/09"&amp;$C$7)</f>
        <v>0</v>
      </c>
      <c r="AP97" s="256">
        <f>SUMIFS('Livro Diario - FC'!$M$11:$M1028,'Livro Diario - FC'!$E$11:$E1028,$C$97,'Livro Diario - FC'!$D$11:$D1028,"&gt;=01/09"&amp;$C$7,'Livro Diario - FC'!$D$11:$D1028,"&lt;=30/09"&amp;$C$7)</f>
        <v>0</v>
      </c>
      <c r="AQ97" s="273"/>
      <c r="AR97" s="258"/>
      <c r="AS97" s="255">
        <f>SUMIFS('Livro Diario - FC'!$K$11:$K1028,'Livro Diario - FC'!$E$11:$E1028,$C$97,'Livro Diario - FC'!$D$11:$D1028,"&gt;=01/10"&amp;$C$7,'Livro Diario - FC'!$D$11:$D1028,"&lt;=31/10"&amp;$C$7)</f>
        <v>0</v>
      </c>
      <c r="AT97" s="256">
        <f>SUMIFS('Livro Diario - FC'!$M$11:$M1028,'Livro Diario - FC'!$E$11:$E1028,$C$97,'Livro Diario - FC'!$D$11:$D1028,"&gt;=01/10"&amp;$C$7,'Livro Diario - FC'!$D$11:$D1028,"&lt;=31/10"&amp;$C$7)</f>
        <v>0</v>
      </c>
      <c r="AU97" s="273"/>
      <c r="AV97" s="258"/>
      <c r="AW97" s="255">
        <f>SUMIFS('Livro Diario - FC'!$K$11:$K1028,'Livro Diario - FC'!$E$11:$E1028,$C$97,'Livro Diario - FC'!$D$11:$D1028,"&gt;=01/11"&amp;$C$7,'Livro Diario - FC'!$D$11:$D1028,"&lt;=30/11"&amp;$C$7)</f>
        <v>0</v>
      </c>
      <c r="AX97" s="256">
        <f>SUMIFS('Livro Diario - FC'!$M$11:$M1028,'Livro Diario - FC'!$E$11:$E1028,$C$97,'Livro Diario - FC'!$D$11:$D1028,"&gt;=01/11"&amp;$C$7,'Livro Diario - FC'!$D$11:$D1028,"&lt;=30/11"&amp;$C$7)</f>
        <v>0</v>
      </c>
      <c r="AY97" s="273"/>
      <c r="AZ97" s="258"/>
      <c r="BA97" s="255">
        <f>SUMIFS('Livro Diario - FC'!$K$11:$K1028,'Livro Diario - FC'!$E$11:$E1028,$C$97,'Livro Diario - FC'!$D$11:$D1028,"&gt;=01/12"&amp;$C$7,'Livro Diario - FC'!$D$11:$D1028,"&lt;=31/12"&amp;$C$7)</f>
        <v>0</v>
      </c>
      <c r="BB97" s="256">
        <f>SUMIFS('Livro Diario - FC'!$M$11:$M1028,'Livro Diario - FC'!$E$11:$E1028,$C$97,'Livro Diario - FC'!$D$11:$D1028,"&gt;=01/12"&amp;$C$7,'Livro Diario - FC'!$D$11:$D1028,"&lt;=31/12"&amp;$C$7)</f>
        <v>0</v>
      </c>
      <c r="BC97" s="273"/>
      <c r="BD97" s="273"/>
      <c r="BE97" s="267">
        <f t="shared" ref="BE97:BF97" si="198">SUM(D97,I97,N97,S97,X97,AC97,AG97,AK97,AO97,AS97,AW97,BA97)</f>
        <v>0</v>
      </c>
      <c r="BF97" s="268">
        <f t="shared" si="198"/>
        <v>0</v>
      </c>
      <c r="BG97" s="269"/>
      <c r="BH97" s="192"/>
      <c r="BI97" s="270">
        <f>SUMIFS('Livro Diario - FC'!$M$11:$M1028,'Livro Diario - FC'!$E$11:$E1028,C97,'Livro Diario - FC'!$D$11:$D1028,"&gt;="&amp;$BK$8,'Livro Diario - FC'!$D$11:$D1028,"&lt;="&amp;$BK$9)</f>
        <v>0</v>
      </c>
      <c r="BJ97" s="271"/>
      <c r="BK97" s="272"/>
      <c r="BL97" s="1"/>
    </row>
    <row r="98">
      <c r="A98" s="1"/>
      <c r="B98" s="1"/>
      <c r="C98" s="338" t="str">
        <f>'Livro Diario - FC'!AE101</f>
        <v>Ketchup Sache</v>
      </c>
      <c r="D98" s="255">
        <f>SUMIFS('Livro Diario - FC'!$K$11:$K1028,'Livro Diario - FC'!$E$11:$E1028,$C$98,'Livro Diario - FC'!$D$11:$D1028,"&gt;=01/01"&amp;$C$7,'Livro Diario - FC'!$D$11:$D1028,"&lt;=31/01"&amp;$C$7)</f>
        <v>0</v>
      </c>
      <c r="E98" s="256">
        <f>SUMIFS('Livro Diario - FC'!$M$11:$M1028,'Livro Diario - FC'!$E$11:$E1028,$C$98,'Livro Diario - FC'!$D$11:$D1028,"&gt;=01/01"&amp;$C$7,'Livro Diario - FC'!$D$11:$D1028,"&lt;=31/01"&amp;$C$7)</f>
        <v>0</v>
      </c>
      <c r="F98" s="273"/>
      <c r="G98" s="258"/>
      <c r="H98" s="157"/>
      <c r="I98" s="255">
        <f>SUMIFS('Livro Diario - FC'!$K$11:$K1028,'Livro Diario - FC'!$E$11:$E1028,$C$98,'Livro Diario - FC'!$D$11:$D1028,"&gt;=01/02"&amp;$C$7,'Livro Diario - FC'!$D$11:$D1028,"&lt;=29/02"&amp;$C$7)</f>
        <v>0</v>
      </c>
      <c r="J98" s="256">
        <f>SUMIFS('Livro Diario - FC'!$M$11:$M1028,'Livro Diario - FC'!$E$11:$E1028,$C$98,'Livro Diario - FC'!$D$11:$D1028,"&gt;=01/02"&amp;$C$7,'Livro Diario - FC'!$D$11:$D1028,"&lt;=29/02"&amp;$C$7)</f>
        <v>0</v>
      </c>
      <c r="K98" s="273"/>
      <c r="L98" s="258"/>
      <c r="M98" s="259"/>
      <c r="N98" s="255">
        <f>SUMIFS('Livro Diario - FC'!$K$11:$K1028,'Livro Diario - FC'!$E$11:$E1028,$C$98,'Livro Diario - FC'!$D$11:$D1028,"&gt;=01/03"&amp;$C$7,'Livro Diario - FC'!$D$11:$D1028,"&lt;=31/03"&amp;$C$7)</f>
        <v>0</v>
      </c>
      <c r="O98" s="256">
        <f>SUMIFS('Livro Diario - FC'!$M$11:$M1028,'Livro Diario - FC'!$E$11:$E1028,$C$98,'Livro Diario - FC'!$D$11:$D1028,"&gt;=01/03"&amp;$C$7,'Livro Diario - FC'!$D$11:$D1028,"&lt;=31/03"&amp;$C$7)</f>
        <v>0</v>
      </c>
      <c r="P98" s="273"/>
      <c r="Q98" s="258"/>
      <c r="R98" s="259"/>
      <c r="S98" s="255">
        <f>SUMIFS('Livro Diario - FC'!$K$11:$K1028,'Livro Diario - FC'!$E$11:$E1028,$C$98,'Livro Diario - FC'!$D$11:$D1028,"&gt;=01/04"&amp;$C$7,'Livro Diario - FC'!$D$11:$D1028,"&lt;=30/04"&amp;$C$7)</f>
        <v>0</v>
      </c>
      <c r="T98" s="256">
        <f>SUMIFS('Livro Diario - FC'!$M$11:$M1028,'Livro Diario - FC'!$E$11:$E1028,$C$98,'Livro Diario - FC'!$D$11:$D1028,"&gt;=01/04"&amp;$C$7,'Livro Diario - FC'!$D$11:$D1028,"&lt;=30/04"&amp;$C$7)</f>
        <v>0</v>
      </c>
      <c r="U98" s="273"/>
      <c r="V98" s="258"/>
      <c r="W98" s="259"/>
      <c r="X98" s="255">
        <f>SUMIFS('Livro Diario - FC'!$K$11:$K1028,'Livro Diario - FC'!$E$11:$E1028,$C$98,'Livro Diario - FC'!$D$11:$D1028,"&gt;=01/05"&amp;$C$7,'Livro Diario - FC'!$D$11:$D1028,"&lt;=31/05"&amp;$C$7)</f>
        <v>0</v>
      </c>
      <c r="Y98" s="256">
        <f>SUMIFS('Livro Diario - FC'!$M$11:$M1028,'Livro Diario - FC'!$E$11:$E1028,$C$98,'Livro Diario - FC'!$D$11:$D1028,"&gt;=01/05"&amp;$C$7,'Livro Diario - FC'!$D$11:$D1028,"&lt;=31/05"&amp;$C$7)</f>
        <v>0</v>
      </c>
      <c r="Z98" s="273"/>
      <c r="AA98" s="258"/>
      <c r="AB98" s="259"/>
      <c r="AC98" s="255">
        <f>SUMIFS('Livro Diario - FC'!$K$11:$K1028,'Livro Diario - FC'!$E$11:$E1028,$C$98,'Livro Diario - FC'!$D$11:$D1028,"&gt;=01/06"&amp;$C$7,'Livro Diario - FC'!$D$11:$D1028,"&lt;=30/06"&amp;$C$7)</f>
        <v>0</v>
      </c>
      <c r="AD98" s="256">
        <f>SUMIFS('Livro Diario - FC'!$M$11:$M1028,'Livro Diario - FC'!$E$11:$E1028,$C$98,'Livro Diario - FC'!$D$11:$D1028,"&gt;=01/06"&amp;$C$7,'Livro Diario - FC'!$D$11:$D1028,"&lt;=30/06"&amp;$C$7)</f>
        <v>0</v>
      </c>
      <c r="AE98" s="273"/>
      <c r="AF98" s="258"/>
      <c r="AG98" s="255">
        <f>SUMIFS('Livro Diario - FC'!$K$11:$K1028,'Livro Diario - FC'!$E$11:$E1028,$C$98,'Livro Diario - FC'!$D$11:$D1028,"&gt;=01/07"&amp;$C$7,'Livro Diario - FC'!$D$11:$D1028,"&lt;=31/07"&amp;$C$7)</f>
        <v>0</v>
      </c>
      <c r="AH98" s="256">
        <f>SUMIFS('Livro Diario - FC'!$M$11:$M1028,'Livro Diario - FC'!$E$11:$E1028,$C$98,'Livro Diario - FC'!$D$11:$D1028,"&gt;=01/07"&amp;$C$7,'Livro Diario - FC'!$D$11:$D1028,"&lt;=31/07"&amp;$C$7)</f>
        <v>0</v>
      </c>
      <c r="AI98" s="273"/>
      <c r="AJ98" s="258"/>
      <c r="AK98" s="255">
        <f>SUMIFS('Livro Diario - FC'!$K$11:$K1028,'Livro Diario - FC'!$E$11:$E1028,$C$98,'Livro Diario - FC'!$D$11:$D1028,"&gt;=01/08"&amp;$C$7,'Livro Diario - FC'!$D$11:$D1028,"&lt;=31/08"&amp;$C$7)</f>
        <v>0</v>
      </c>
      <c r="AL98" s="256">
        <f>SUMIFS('Livro Diario - FC'!$M$11:$M1028,'Livro Diario - FC'!$E$11:$E1028,$C$98,'Livro Diario - FC'!$D$11:$D1028,"&gt;=01/08"&amp;$C$7,'Livro Diario - FC'!$D$11:$D1028,"&lt;=31/08"&amp;$C$7)</f>
        <v>0</v>
      </c>
      <c r="AM98" s="273"/>
      <c r="AN98" s="258"/>
      <c r="AO98" s="255">
        <f>SUMIFS('Livro Diario - FC'!$K$11:$K1028,'Livro Diario - FC'!$E$11:$E1028,$C$98,'Livro Diario - FC'!$D$11:$D1028,"&gt;=01/09"&amp;$C$7,'Livro Diario - FC'!$D$11:$D1028,"&lt;=30/09"&amp;$C$7)</f>
        <v>0</v>
      </c>
      <c r="AP98" s="256">
        <f>SUMIFS('Livro Diario - FC'!$M$11:$M1028,'Livro Diario - FC'!$E$11:$E1028,$C$98,'Livro Diario - FC'!$D$11:$D1028,"&gt;=01/09"&amp;$C$7,'Livro Diario - FC'!$D$11:$D1028,"&lt;=30/09"&amp;$C$7)</f>
        <v>0</v>
      </c>
      <c r="AQ98" s="273"/>
      <c r="AR98" s="258"/>
      <c r="AS98" s="255">
        <f>SUMIFS('Livro Diario - FC'!$K$11:$K1028,'Livro Diario - FC'!$E$11:$E1028,$C$98,'Livro Diario - FC'!$D$11:$D1028,"&gt;=01/10"&amp;$C$7,'Livro Diario - FC'!$D$11:$D1028,"&lt;=31/10"&amp;$C$7)</f>
        <v>0</v>
      </c>
      <c r="AT98" s="256">
        <f>SUMIFS('Livro Diario - FC'!$M$11:$M1028,'Livro Diario - FC'!$E$11:$E1028,$C$98,'Livro Diario - FC'!$D$11:$D1028,"&gt;=01/10"&amp;$C$7,'Livro Diario - FC'!$D$11:$D1028,"&lt;=31/10"&amp;$C$7)</f>
        <v>0</v>
      </c>
      <c r="AU98" s="273"/>
      <c r="AV98" s="258"/>
      <c r="AW98" s="255">
        <f>SUMIFS('Livro Diario - FC'!$K$11:$K1028,'Livro Diario - FC'!$E$11:$E1028,$C$98,'Livro Diario - FC'!$D$11:$D1028,"&gt;=01/11"&amp;$C$7,'Livro Diario - FC'!$D$11:$D1028,"&lt;=30/11"&amp;$C$7)</f>
        <v>0</v>
      </c>
      <c r="AX98" s="256">
        <f>SUMIFS('Livro Diario - FC'!$M$11:$M1028,'Livro Diario - FC'!$E$11:$E1028,$C$98,'Livro Diario - FC'!$D$11:$D1028,"&gt;=01/11"&amp;$C$7,'Livro Diario - FC'!$D$11:$D1028,"&lt;=30/11"&amp;$C$7)</f>
        <v>0</v>
      </c>
      <c r="AY98" s="273"/>
      <c r="AZ98" s="258"/>
      <c r="BA98" s="255">
        <f>SUMIFS('Livro Diario - FC'!$K$11:$K1028,'Livro Diario - FC'!$E$11:$E1028,$C$98,'Livro Diario - FC'!$D$11:$D1028,"&gt;=01/12"&amp;$C$7,'Livro Diario - FC'!$D$11:$D1028,"&lt;=31/12"&amp;$C$7)</f>
        <v>0</v>
      </c>
      <c r="BB98" s="256">
        <f>SUMIFS('Livro Diario - FC'!$M$11:$M1028,'Livro Diario - FC'!$E$11:$E1028,$C$98,'Livro Diario - FC'!$D$11:$D1028,"&gt;=01/12"&amp;$C$7,'Livro Diario - FC'!$D$11:$D1028,"&lt;=31/12"&amp;$C$7)</f>
        <v>0</v>
      </c>
      <c r="BC98" s="273"/>
      <c r="BD98" s="273"/>
      <c r="BE98" s="267">
        <f t="shared" ref="BE98:BF98" si="199">SUM(D98,I98,N98,S98,X98,AC98,AG98,AK98,AO98,AS98,AW98,BA98)</f>
        <v>0</v>
      </c>
      <c r="BF98" s="268">
        <f t="shared" si="199"/>
        <v>0</v>
      </c>
      <c r="BG98" s="269"/>
      <c r="BH98" s="192"/>
      <c r="BI98" s="270">
        <f>SUMIFS('Livro Diario - FC'!$M$11:$M1028,'Livro Diario - FC'!$E$11:$E1028,C98,'Livro Diario - FC'!$D$11:$D1028,"&gt;="&amp;$BK$8,'Livro Diario - FC'!$D$11:$D1028,"&lt;="&amp;$BK$9)</f>
        <v>0</v>
      </c>
      <c r="BJ98" s="271"/>
      <c r="BK98" s="272"/>
      <c r="BL98" s="1"/>
    </row>
    <row r="99">
      <c r="A99" s="1"/>
      <c r="B99" s="1"/>
      <c r="C99" s="338" t="str">
        <f>'Livro Diario - FC'!AE102</f>
        <v>Maionese</v>
      </c>
      <c r="D99" s="255">
        <f>SUMIFS('Livro Diario - FC'!$K$11:$K1028,'Livro Diario - FC'!$E$11:$E1028,$C$99,'Livro Diario - FC'!$D$11:$D1028,"&gt;=01/01"&amp;$C$7,'Livro Diario - FC'!$D$11:$D1028,"&lt;=31/01"&amp;$C$7)</f>
        <v>5.37</v>
      </c>
      <c r="E99" s="256">
        <f>SUMIFS('Livro Diario - FC'!$M$11:$M1028,'Livro Diario - FC'!$E$11:$E1028,$C$99,'Livro Diario - FC'!$D$11:$D1028,"&gt;=01/01"&amp;$C$7,'Livro Diario - FC'!$D$11:$D1028,"&lt;=31/01"&amp;$C$7)</f>
        <v>5.37</v>
      </c>
      <c r="F99" s="273"/>
      <c r="G99" s="258"/>
      <c r="H99" s="157"/>
      <c r="I99" s="255">
        <f>SUMIFS('Livro Diario - FC'!$K$11:$K1028,'Livro Diario - FC'!$E$11:$E1028,$C$99,'Livro Diario - FC'!$D$11:$D1028,"&gt;=01/02"&amp;$C$7,'Livro Diario - FC'!$D$11:$D1028,"&lt;=29/02"&amp;$C$7)</f>
        <v>0</v>
      </c>
      <c r="J99" s="256">
        <f>SUMIFS('Livro Diario - FC'!$M$11:$M1028,'Livro Diario - FC'!$E$11:$E1028,$C$99,'Livro Diario - FC'!$D$11:$D1028,"&gt;=01/02"&amp;$C$7,'Livro Diario - FC'!$D$11:$D1028,"&lt;=29/02"&amp;$C$7)</f>
        <v>0</v>
      </c>
      <c r="K99" s="273"/>
      <c r="L99" s="258"/>
      <c r="M99" s="259"/>
      <c r="N99" s="255">
        <f>SUMIFS('Livro Diario - FC'!$K$11:$K1028,'Livro Diario - FC'!$E$11:$E1028,$C$99,'Livro Diario - FC'!$D$11:$D1028,"&gt;=01/03"&amp;$C$7,'Livro Diario - FC'!$D$11:$D1028,"&lt;=31/03"&amp;$C$7)</f>
        <v>0</v>
      </c>
      <c r="O99" s="256">
        <f>SUMIFS('Livro Diario - FC'!$M$11:$M1028,'Livro Diario - FC'!$E$11:$E1028,$C$99,'Livro Diario - FC'!$D$11:$D1028,"&gt;=01/03"&amp;$C$7,'Livro Diario - FC'!$D$11:$D1028,"&lt;=31/03"&amp;$C$7)</f>
        <v>0</v>
      </c>
      <c r="P99" s="273"/>
      <c r="Q99" s="258"/>
      <c r="R99" s="259"/>
      <c r="S99" s="255">
        <f>SUMIFS('Livro Diario - FC'!$K$11:$K1028,'Livro Diario - FC'!$E$11:$E1028,$C$99,'Livro Diario - FC'!$D$11:$D1028,"&gt;=01/04"&amp;$C$7,'Livro Diario - FC'!$D$11:$D1028,"&lt;=30/04"&amp;$C$7)</f>
        <v>0</v>
      </c>
      <c r="T99" s="256">
        <f>SUMIFS('Livro Diario - FC'!$M$11:$M1028,'Livro Diario - FC'!$E$11:$E1028,$C$99,'Livro Diario - FC'!$D$11:$D1028,"&gt;=01/04"&amp;$C$7,'Livro Diario - FC'!$D$11:$D1028,"&lt;=30/04"&amp;$C$7)</f>
        <v>0</v>
      </c>
      <c r="U99" s="273"/>
      <c r="V99" s="258"/>
      <c r="W99" s="259"/>
      <c r="X99" s="255">
        <f>SUMIFS('Livro Diario - FC'!$K$11:$K1028,'Livro Diario - FC'!$E$11:$E1028,$C$99,'Livro Diario - FC'!$D$11:$D1028,"&gt;=01/05"&amp;$C$7,'Livro Diario - FC'!$D$11:$D1028,"&lt;=31/05"&amp;$C$7)</f>
        <v>0</v>
      </c>
      <c r="Y99" s="256">
        <f>SUMIFS('Livro Diario - FC'!$M$11:$M1028,'Livro Diario - FC'!$E$11:$E1028,$C$99,'Livro Diario - FC'!$D$11:$D1028,"&gt;=01/05"&amp;$C$7,'Livro Diario - FC'!$D$11:$D1028,"&lt;=31/05"&amp;$C$7)</f>
        <v>0</v>
      </c>
      <c r="Z99" s="273"/>
      <c r="AA99" s="258"/>
      <c r="AB99" s="259"/>
      <c r="AC99" s="255">
        <f>SUMIFS('Livro Diario - FC'!$K$11:$K1028,'Livro Diario - FC'!$E$11:$E1028,$C$99,'Livro Diario - FC'!$D$11:$D1028,"&gt;=01/06"&amp;$C$7,'Livro Diario - FC'!$D$11:$D1028,"&lt;=30/06"&amp;$C$7)</f>
        <v>0</v>
      </c>
      <c r="AD99" s="256">
        <f>SUMIFS('Livro Diario - FC'!$M$11:$M1028,'Livro Diario - FC'!$E$11:$E1028,$C$99,'Livro Diario - FC'!$D$11:$D1028,"&gt;=01/06"&amp;$C$7,'Livro Diario - FC'!$D$11:$D1028,"&lt;=30/06"&amp;$C$7)</f>
        <v>0</v>
      </c>
      <c r="AE99" s="273"/>
      <c r="AF99" s="258"/>
      <c r="AG99" s="255">
        <f>SUMIFS('Livro Diario - FC'!$K$11:$K1028,'Livro Diario - FC'!$E$11:$E1028,$C$99,'Livro Diario - FC'!$D$11:$D1028,"&gt;=01/07"&amp;$C$7,'Livro Diario - FC'!$D$11:$D1028,"&lt;=31/07"&amp;$C$7)</f>
        <v>0</v>
      </c>
      <c r="AH99" s="256">
        <f>SUMIFS('Livro Diario - FC'!$M$11:$M1028,'Livro Diario - FC'!$E$11:$E1028,$C$99,'Livro Diario - FC'!$D$11:$D1028,"&gt;=01/07"&amp;$C$7,'Livro Diario - FC'!$D$11:$D1028,"&lt;=31/07"&amp;$C$7)</f>
        <v>0</v>
      </c>
      <c r="AI99" s="273"/>
      <c r="AJ99" s="258"/>
      <c r="AK99" s="255">
        <f>SUMIFS('Livro Diario - FC'!$K$11:$K1028,'Livro Diario - FC'!$E$11:$E1028,$C$99,'Livro Diario - FC'!$D$11:$D1028,"&gt;=01/08"&amp;$C$7,'Livro Diario - FC'!$D$11:$D1028,"&lt;=31/08"&amp;$C$7)</f>
        <v>0</v>
      </c>
      <c r="AL99" s="256">
        <f>SUMIFS('Livro Diario - FC'!$M$11:$M1028,'Livro Diario - FC'!$E$11:$E1028,$C$99,'Livro Diario - FC'!$D$11:$D1028,"&gt;=01/08"&amp;$C$7,'Livro Diario - FC'!$D$11:$D1028,"&lt;=31/08"&amp;$C$7)</f>
        <v>0</v>
      </c>
      <c r="AM99" s="273"/>
      <c r="AN99" s="258"/>
      <c r="AO99" s="255">
        <f>SUMIFS('Livro Diario - FC'!$K$11:$K1028,'Livro Diario - FC'!$E$11:$E1028,$C$99,'Livro Diario - FC'!$D$11:$D1028,"&gt;=01/09"&amp;$C$7,'Livro Diario - FC'!$D$11:$D1028,"&lt;=30/09"&amp;$C$7)</f>
        <v>0</v>
      </c>
      <c r="AP99" s="256">
        <f>SUMIFS('Livro Diario - FC'!$M$11:$M1028,'Livro Diario - FC'!$E$11:$E1028,$C$99,'Livro Diario - FC'!$D$11:$D1028,"&gt;=01/09"&amp;$C$7,'Livro Diario - FC'!$D$11:$D1028,"&lt;=30/09"&amp;$C$7)</f>
        <v>0</v>
      </c>
      <c r="AQ99" s="273"/>
      <c r="AR99" s="258"/>
      <c r="AS99" s="255">
        <f>SUMIFS('Livro Diario - FC'!$K$11:$K1028,'Livro Diario - FC'!$E$11:$E1028,$C$99,'Livro Diario - FC'!$D$11:$D1028,"&gt;=01/10"&amp;$C$7,'Livro Diario - FC'!$D$11:$D1028,"&lt;=31/10"&amp;$C$7)</f>
        <v>0</v>
      </c>
      <c r="AT99" s="256">
        <f>SUMIFS('Livro Diario - FC'!$M$11:$M1028,'Livro Diario - FC'!$E$11:$E1028,$C$99,'Livro Diario - FC'!$D$11:$D1028,"&gt;=01/10"&amp;$C$7,'Livro Diario - FC'!$D$11:$D1028,"&lt;=31/10"&amp;$C$7)</f>
        <v>0</v>
      </c>
      <c r="AU99" s="273"/>
      <c r="AV99" s="258"/>
      <c r="AW99" s="255">
        <f>SUMIFS('Livro Diario - FC'!$K$11:$K1028,'Livro Diario - FC'!$E$11:$E1028,$C$99,'Livro Diario - FC'!$D$11:$D1028,"&gt;=01/11"&amp;$C$7,'Livro Diario - FC'!$D$11:$D1028,"&lt;=30/11"&amp;$C$7)</f>
        <v>0</v>
      </c>
      <c r="AX99" s="256">
        <f>SUMIFS('Livro Diario - FC'!$M$11:$M1028,'Livro Diario - FC'!$E$11:$E1028,$C$99,'Livro Diario - FC'!$D$11:$D1028,"&gt;=01/11"&amp;$C$7,'Livro Diario - FC'!$D$11:$D1028,"&lt;=30/11"&amp;$C$7)</f>
        <v>0</v>
      </c>
      <c r="AY99" s="273"/>
      <c r="AZ99" s="258"/>
      <c r="BA99" s="255">
        <f>SUMIFS('Livro Diario - FC'!$K$11:$K1028,'Livro Diario - FC'!$E$11:$E1028,$C$99,'Livro Diario - FC'!$D$11:$D1028,"&gt;=01/12"&amp;$C$7,'Livro Diario - FC'!$D$11:$D1028,"&lt;=31/12"&amp;$C$7)</f>
        <v>0</v>
      </c>
      <c r="BB99" s="256">
        <f>SUMIFS('Livro Diario - FC'!$M$11:$M1028,'Livro Diario - FC'!$E$11:$E1028,$C$99,'Livro Diario - FC'!$D$11:$D1028,"&gt;=01/12"&amp;$C$7,'Livro Diario - FC'!$D$11:$D1028,"&lt;=31/12"&amp;$C$7)</f>
        <v>0</v>
      </c>
      <c r="BC99" s="273"/>
      <c r="BD99" s="273"/>
      <c r="BE99" s="267">
        <f t="shared" ref="BE99:BF99" si="200">SUM(D99,I99,N99,S99,X99,AC99,AG99,AK99,AO99,AS99,AW99,BA99)</f>
        <v>5.37</v>
      </c>
      <c r="BF99" s="268">
        <f t="shared" si="200"/>
        <v>5.37</v>
      </c>
      <c r="BG99" s="269"/>
      <c r="BH99" s="192"/>
      <c r="BI99" s="270">
        <f>SUMIFS('Livro Diario - FC'!$M$11:$M1028,'Livro Diario - FC'!$E$11:$E1028,C99,'Livro Diario - FC'!$D$11:$D1028,"&gt;="&amp;$BK$8,'Livro Diario - FC'!$D$11:$D1028,"&lt;="&amp;$BK$9)</f>
        <v>0</v>
      </c>
      <c r="BJ99" s="271"/>
      <c r="BK99" s="272"/>
      <c r="BL99" s="1"/>
    </row>
    <row r="100">
      <c r="A100" s="1"/>
      <c r="B100" s="1"/>
      <c r="C100" s="338" t="str">
        <f>'Livro Diario - FC'!AE103</f>
        <v>Ketchup</v>
      </c>
      <c r="D100" s="255">
        <f>SUMIFS('Livro Diario - FC'!$K$11:$K1028,'Livro Diario - FC'!$E$11:$E1028,$C$100,'Livro Diario - FC'!$D$11:$D1028,"&gt;=01/01"&amp;$C$7,'Livro Diario - FC'!$D$11:$D1028,"&lt;=31/01"&amp;$C$7)</f>
        <v>6.87</v>
      </c>
      <c r="E100" s="256">
        <f>SUMIFS('Livro Diario - FC'!$M$11:$M1028,'Livro Diario - FC'!$E$11:$E1028,$C$100,'Livro Diario - FC'!$D$11:$D1028,"&gt;=01/01"&amp;$C$7,'Livro Diario - FC'!$D$11:$D1028,"&lt;=31/01"&amp;$C$7)</f>
        <v>6.87</v>
      </c>
      <c r="F100" s="273"/>
      <c r="G100" s="258"/>
      <c r="H100" s="157"/>
      <c r="I100" s="255">
        <f>SUMIFS('Livro Diario - FC'!$K$11:$K1028,'Livro Diario - FC'!$E$11:$E1028,$C$100,'Livro Diario - FC'!$D$11:$D1028,"&gt;=01/02"&amp;$C$7,'Livro Diario - FC'!$D$11:$D1028,"&lt;=29/02"&amp;$C$7)</f>
        <v>0</v>
      </c>
      <c r="J100" s="256">
        <f>SUMIFS('Livro Diario - FC'!$M$11:$M1028,'Livro Diario - FC'!$E$11:$E1028,$C$100,'Livro Diario - FC'!$D$11:$D1028,"&gt;=01/02"&amp;$C$7,'Livro Diario - FC'!$D$11:$D1028,"&lt;=29/02"&amp;$C$7)</f>
        <v>0</v>
      </c>
      <c r="K100" s="273"/>
      <c r="L100" s="258"/>
      <c r="M100" s="259"/>
      <c r="N100" s="255">
        <f>SUMIFS('Livro Diario - FC'!$K$11:$K1028,'Livro Diario - FC'!$E$11:$E1028,$C$100,'Livro Diario - FC'!$D$11:$D1028,"&gt;=01/03"&amp;$C$7,'Livro Diario - FC'!$D$11:$D1028,"&lt;=31/03"&amp;$C$7)</f>
        <v>0</v>
      </c>
      <c r="O100" s="256">
        <f>SUMIFS('Livro Diario - FC'!$M$11:$M1028,'Livro Diario - FC'!$E$11:$E1028,$C$100,'Livro Diario - FC'!$D$11:$D1028,"&gt;=01/03"&amp;$C$7,'Livro Diario - FC'!$D$11:$D1028,"&lt;=31/03"&amp;$C$7)</f>
        <v>0</v>
      </c>
      <c r="P100" s="273"/>
      <c r="Q100" s="258"/>
      <c r="R100" s="259"/>
      <c r="S100" s="255">
        <f>SUMIFS('Livro Diario - FC'!$K$11:$K1028,'Livro Diario - FC'!$E$11:$E1028,$C$100,'Livro Diario - FC'!$D$11:$D1028,"&gt;=01/04"&amp;$C$7,'Livro Diario - FC'!$D$11:$D1028,"&lt;=30/04"&amp;$C$7)</f>
        <v>0</v>
      </c>
      <c r="T100" s="256">
        <f>SUMIFS('Livro Diario - FC'!$M$11:$M1028,'Livro Diario - FC'!$E$11:$E1028,$C$100,'Livro Diario - FC'!$D$11:$D1028,"&gt;=01/04"&amp;$C$7,'Livro Diario - FC'!$D$11:$D1028,"&lt;=30/04"&amp;$C$7)</f>
        <v>0</v>
      </c>
      <c r="U100" s="273"/>
      <c r="V100" s="258"/>
      <c r="W100" s="259"/>
      <c r="X100" s="255">
        <f>SUMIFS('Livro Diario - FC'!$K$11:$K1028,'Livro Diario - FC'!$E$11:$E1028,$C$100,'Livro Diario - FC'!$D$11:$D1028,"&gt;=01/05"&amp;$C$7,'Livro Diario - FC'!$D$11:$D1028,"&lt;=31/05"&amp;$C$7)</f>
        <v>0</v>
      </c>
      <c r="Y100" s="256">
        <f>SUMIFS('Livro Diario - FC'!$M$11:$M1028,'Livro Diario - FC'!$E$11:$E1028,$C$100,'Livro Diario - FC'!$D$11:$D1028,"&gt;=01/05"&amp;$C$7,'Livro Diario - FC'!$D$11:$D1028,"&lt;=31/05"&amp;$C$7)</f>
        <v>0</v>
      </c>
      <c r="Z100" s="273"/>
      <c r="AA100" s="258"/>
      <c r="AB100" s="259"/>
      <c r="AC100" s="255">
        <f>SUMIFS('Livro Diario - FC'!$K$11:$K1028,'Livro Diario - FC'!$E$11:$E1028,$C$100,'Livro Diario - FC'!$D$11:$D1028,"&gt;=01/06"&amp;$C$7,'Livro Diario - FC'!$D$11:$D1028,"&lt;=30/06"&amp;$C$7)</f>
        <v>0</v>
      </c>
      <c r="AD100" s="256">
        <f>SUMIFS('Livro Diario - FC'!$M$11:$M1028,'Livro Diario - FC'!$E$11:$E1028,$C$100,'Livro Diario - FC'!$D$11:$D1028,"&gt;=01/06"&amp;$C$7,'Livro Diario - FC'!$D$11:$D1028,"&lt;=30/06"&amp;$C$7)</f>
        <v>0</v>
      </c>
      <c r="AE100" s="273"/>
      <c r="AF100" s="258"/>
      <c r="AG100" s="255">
        <f>SUMIFS('Livro Diario - FC'!$K$11:$K1028,'Livro Diario - FC'!$E$11:$E1028,$C$100,'Livro Diario - FC'!$D$11:$D1028,"&gt;=01/07"&amp;$C$7,'Livro Diario - FC'!$D$11:$D1028,"&lt;=31/07"&amp;$C$7)</f>
        <v>0</v>
      </c>
      <c r="AH100" s="256">
        <f>SUMIFS('Livro Diario - FC'!$M$11:$M1028,'Livro Diario - FC'!$E$11:$E1028,$C$100,'Livro Diario - FC'!$D$11:$D1028,"&gt;=01/07"&amp;$C$7,'Livro Diario - FC'!$D$11:$D1028,"&lt;=31/07"&amp;$C$7)</f>
        <v>0</v>
      </c>
      <c r="AI100" s="273"/>
      <c r="AJ100" s="258"/>
      <c r="AK100" s="255">
        <f>SUMIFS('Livro Diario - FC'!$K$11:$K1028,'Livro Diario - FC'!$E$11:$E1028,$C$100,'Livro Diario - FC'!$D$11:$D1028,"&gt;=01/08"&amp;$C$7,'Livro Diario - FC'!$D$11:$D1028,"&lt;=31/08"&amp;$C$7)</f>
        <v>0</v>
      </c>
      <c r="AL100" s="256">
        <f>SUMIFS('Livro Diario - FC'!$M$11:$M1028,'Livro Diario - FC'!$E$11:$E1028,$C$100,'Livro Diario - FC'!$D$11:$D1028,"&gt;=01/08"&amp;$C$7,'Livro Diario - FC'!$D$11:$D1028,"&lt;=31/08"&amp;$C$7)</f>
        <v>0</v>
      </c>
      <c r="AM100" s="273"/>
      <c r="AN100" s="258"/>
      <c r="AO100" s="255">
        <f>SUMIFS('Livro Diario - FC'!$K$11:$K1028,'Livro Diario - FC'!$E$11:$E1028,$C$100,'Livro Diario - FC'!$D$11:$D1028,"&gt;=01/09"&amp;$C$7,'Livro Diario - FC'!$D$11:$D1028,"&lt;=30/09"&amp;$C$7)</f>
        <v>0</v>
      </c>
      <c r="AP100" s="256">
        <f>SUMIFS('Livro Diario - FC'!$M$11:$M1028,'Livro Diario - FC'!$E$11:$E1028,$C$100,'Livro Diario - FC'!$D$11:$D1028,"&gt;=01/09"&amp;$C$7,'Livro Diario - FC'!$D$11:$D1028,"&lt;=30/09"&amp;$C$7)</f>
        <v>0</v>
      </c>
      <c r="AQ100" s="273"/>
      <c r="AR100" s="258"/>
      <c r="AS100" s="255">
        <f>SUMIFS('Livro Diario - FC'!$K$11:$K1028,'Livro Diario - FC'!$E$11:$E1028,$C$100,'Livro Diario - FC'!$D$11:$D1028,"&gt;=01/10"&amp;$C$7,'Livro Diario - FC'!$D$11:$D1028,"&lt;=31/10"&amp;$C$7)</f>
        <v>0</v>
      </c>
      <c r="AT100" s="256">
        <f>SUMIFS('Livro Diario - FC'!$M$11:$M1028,'Livro Diario - FC'!$E$11:$E1028,$C$100,'Livro Diario - FC'!$D$11:$D1028,"&gt;=01/10"&amp;$C$7,'Livro Diario - FC'!$D$11:$D1028,"&lt;=31/10"&amp;$C$7)</f>
        <v>0</v>
      </c>
      <c r="AU100" s="273"/>
      <c r="AV100" s="258"/>
      <c r="AW100" s="255">
        <f>SUMIFS('Livro Diario - FC'!$K$11:$K1028,'Livro Diario - FC'!$E$11:$E1028,$C$100,'Livro Diario - FC'!$D$11:$D1028,"&gt;=01/11"&amp;$C$7,'Livro Diario - FC'!$D$11:$D1028,"&lt;=30/11"&amp;$C$7)</f>
        <v>0</v>
      </c>
      <c r="AX100" s="256">
        <f>SUMIFS('Livro Diario - FC'!$M$11:$M1028,'Livro Diario - FC'!$E$11:$E1028,$C$100,'Livro Diario - FC'!$D$11:$D1028,"&gt;=01/11"&amp;$C$7,'Livro Diario - FC'!$D$11:$D1028,"&lt;=30/11"&amp;$C$7)</f>
        <v>0</v>
      </c>
      <c r="AY100" s="273"/>
      <c r="AZ100" s="258"/>
      <c r="BA100" s="255">
        <f>SUMIFS('Livro Diario - FC'!$K$11:$K1028,'Livro Diario - FC'!$E$11:$E1028,$C$100,'Livro Diario - FC'!$D$11:$D1028,"&gt;=01/12"&amp;$C$7,'Livro Diario - FC'!$D$11:$D1028,"&lt;=31/12"&amp;$C$7)</f>
        <v>0</v>
      </c>
      <c r="BB100" s="256">
        <f>SUMIFS('Livro Diario - FC'!$M$11:$M1028,'Livro Diario - FC'!$E$11:$E1028,$C$100,'Livro Diario - FC'!$D$11:$D1028,"&gt;=01/12"&amp;$C$7,'Livro Diario - FC'!$D$11:$D1028,"&lt;=31/12"&amp;$C$7)</f>
        <v>0</v>
      </c>
      <c r="BC100" s="273"/>
      <c r="BD100" s="273"/>
      <c r="BE100" s="267">
        <f t="shared" ref="BE100:BF100" si="201">SUM(D100,I100,N100,S100,X100,AC100,AG100,AK100,AO100,AS100,AW100,BA100)</f>
        <v>6.87</v>
      </c>
      <c r="BF100" s="268">
        <f t="shared" si="201"/>
        <v>6.87</v>
      </c>
      <c r="BG100" s="269"/>
      <c r="BH100" s="192"/>
      <c r="BI100" s="270">
        <f>SUMIFS('Livro Diario - FC'!$M$11:$M1028,'Livro Diario - FC'!$E$11:$E1028,C100,'Livro Diario - FC'!$D$11:$D1028,"&gt;="&amp;$BK$8,'Livro Diario - FC'!$D$11:$D1028,"&lt;="&amp;$BK$9)</f>
        <v>0</v>
      </c>
      <c r="BJ100" s="271"/>
      <c r="BK100" s="272"/>
      <c r="BL100" s="1"/>
    </row>
    <row r="101">
      <c r="A101" s="1"/>
      <c r="B101" s="1"/>
      <c r="C101" s="338" t="str">
        <f>'Livro Diario - FC'!AE104</f>
        <v>Requeijão</v>
      </c>
      <c r="D101" s="255">
        <f>SUMIFS('Livro Diario - FC'!$K$11:$K1028,'Livro Diario - FC'!$E$11:$E1028,$C$101,'Livro Diario - FC'!$D$11:$D1028,"&gt;=01/01"&amp;$C$7,'Livro Diario - FC'!$D$11:$D1028,"&lt;=31/01"&amp;$C$7)</f>
        <v>0</v>
      </c>
      <c r="E101" s="256">
        <f>SUMIFS('Livro Diario - FC'!$M$11:$M1028,'Livro Diario - FC'!$E$11:$E1028,$C$101,'Livro Diario - FC'!$D$11:$D1028,"&gt;=01/01"&amp;$C$7,'Livro Diario - FC'!$D$11:$D1028,"&lt;=31/01"&amp;$C$7)</f>
        <v>0</v>
      </c>
      <c r="F101" s="273"/>
      <c r="G101" s="258"/>
      <c r="H101" s="157"/>
      <c r="I101" s="255">
        <f>SUMIFS('Livro Diario - FC'!$K$11:$K1028,'Livro Diario - FC'!$E$11:$E1028,$C$101,'Livro Diario - FC'!$D$11:$D1028,"&gt;=01/02"&amp;$C$7,'Livro Diario - FC'!$D$11:$D1028,"&lt;=29/02"&amp;$C$7)</f>
        <v>0</v>
      </c>
      <c r="J101" s="256">
        <f>SUMIFS('Livro Diario - FC'!$M$11:$M1028,'Livro Diario - FC'!$E$11:$E1028,$C$101,'Livro Diario - FC'!$D$11:$D1028,"&gt;=01/02"&amp;$C$7,'Livro Diario - FC'!$D$11:$D1028,"&lt;=29/02"&amp;$C$7)</f>
        <v>0</v>
      </c>
      <c r="K101" s="273"/>
      <c r="L101" s="258"/>
      <c r="M101" s="259"/>
      <c r="N101" s="255">
        <f>SUMIFS('Livro Diario - FC'!$K$11:$K1028,'Livro Diario - FC'!$E$11:$E1028,$C$101,'Livro Diario - FC'!$D$11:$D1028,"&gt;=01/03"&amp;$C$7,'Livro Diario - FC'!$D$11:$D1028,"&lt;=31/03"&amp;$C$7)</f>
        <v>0</v>
      </c>
      <c r="O101" s="256">
        <f>SUMIFS('Livro Diario - FC'!$M$11:$M1028,'Livro Diario - FC'!$E$11:$E1028,$C$101,'Livro Diario - FC'!$D$11:$D1028,"&gt;=01/03"&amp;$C$7,'Livro Diario - FC'!$D$11:$D1028,"&lt;=31/03"&amp;$C$7)</f>
        <v>0</v>
      </c>
      <c r="P101" s="273"/>
      <c r="Q101" s="258"/>
      <c r="R101" s="259"/>
      <c r="S101" s="255">
        <f>SUMIFS('Livro Diario - FC'!$K$11:$K1028,'Livro Diario - FC'!$E$11:$E1028,$C$101,'Livro Diario - FC'!$D$11:$D1028,"&gt;=01/04"&amp;$C$7,'Livro Diario - FC'!$D$11:$D1028,"&lt;=30/04"&amp;$C$7)</f>
        <v>0</v>
      </c>
      <c r="T101" s="256">
        <f>SUMIFS('Livro Diario - FC'!$M$11:$M1028,'Livro Diario - FC'!$E$11:$E1028,$C$101,'Livro Diario - FC'!$D$11:$D1028,"&gt;=01/04"&amp;$C$7,'Livro Diario - FC'!$D$11:$D1028,"&lt;=30/04"&amp;$C$7)</f>
        <v>0</v>
      </c>
      <c r="U101" s="273"/>
      <c r="V101" s="258"/>
      <c r="W101" s="259"/>
      <c r="X101" s="255">
        <f>SUMIFS('Livro Diario - FC'!$K$11:$K1028,'Livro Diario - FC'!$E$11:$E1028,$C$101,'Livro Diario - FC'!$D$11:$D1028,"&gt;=01/05"&amp;$C$7,'Livro Diario - FC'!$D$11:$D1028,"&lt;=31/05"&amp;$C$7)</f>
        <v>0</v>
      </c>
      <c r="Y101" s="256">
        <f>SUMIFS('Livro Diario - FC'!$M$11:$M1028,'Livro Diario - FC'!$E$11:$E1028,$C$101,'Livro Diario - FC'!$D$11:$D1028,"&gt;=01/05"&amp;$C$7,'Livro Diario - FC'!$D$11:$D1028,"&lt;=31/05"&amp;$C$7)</f>
        <v>0</v>
      </c>
      <c r="Z101" s="273"/>
      <c r="AA101" s="258"/>
      <c r="AB101" s="259"/>
      <c r="AC101" s="255">
        <f>SUMIFS('Livro Diario - FC'!$K$11:$K1028,'Livro Diario - FC'!$E$11:$E1028,$C$101,'Livro Diario - FC'!$D$11:$D1028,"&gt;=01/06"&amp;$C$7,'Livro Diario - FC'!$D$11:$D1028,"&lt;=30/06"&amp;$C$7)</f>
        <v>0</v>
      </c>
      <c r="AD101" s="256">
        <f>SUMIFS('Livro Diario - FC'!$M$11:$M1028,'Livro Diario - FC'!$E$11:$E1028,$C$101,'Livro Diario - FC'!$D$11:$D1028,"&gt;=01/06"&amp;$C$7,'Livro Diario - FC'!$D$11:$D1028,"&lt;=30/06"&amp;$C$7)</f>
        <v>0</v>
      </c>
      <c r="AE101" s="273"/>
      <c r="AF101" s="258"/>
      <c r="AG101" s="255">
        <f>SUMIFS('Livro Diario - FC'!$K$11:$K1028,'Livro Diario - FC'!$E$11:$E1028,$C$101,'Livro Diario - FC'!$D$11:$D1028,"&gt;=01/07"&amp;$C$7,'Livro Diario - FC'!$D$11:$D1028,"&lt;=31/07"&amp;$C$7)</f>
        <v>0</v>
      </c>
      <c r="AH101" s="256">
        <f>SUMIFS('Livro Diario - FC'!$M$11:$M1028,'Livro Diario - FC'!$E$11:$E1028,$C$101,'Livro Diario - FC'!$D$11:$D1028,"&gt;=01/07"&amp;$C$7,'Livro Diario - FC'!$D$11:$D1028,"&lt;=31/07"&amp;$C$7)</f>
        <v>0</v>
      </c>
      <c r="AI101" s="273"/>
      <c r="AJ101" s="258"/>
      <c r="AK101" s="255">
        <f>SUMIFS('Livro Diario - FC'!$K$11:$K1028,'Livro Diario - FC'!$E$11:$E1028,$C$101,'Livro Diario - FC'!$D$11:$D1028,"&gt;=01/08"&amp;$C$7,'Livro Diario - FC'!$D$11:$D1028,"&lt;=31/08"&amp;$C$7)</f>
        <v>0</v>
      </c>
      <c r="AL101" s="256">
        <f>SUMIFS('Livro Diario - FC'!$M$11:$M1028,'Livro Diario - FC'!$E$11:$E1028,$C$101,'Livro Diario - FC'!$D$11:$D1028,"&gt;=01/08"&amp;$C$7,'Livro Diario - FC'!$D$11:$D1028,"&lt;=31/08"&amp;$C$7)</f>
        <v>0</v>
      </c>
      <c r="AM101" s="273"/>
      <c r="AN101" s="258"/>
      <c r="AO101" s="255">
        <f>SUMIFS('Livro Diario - FC'!$K$11:$K1028,'Livro Diario - FC'!$E$11:$E1028,$C$101,'Livro Diario - FC'!$D$11:$D1028,"&gt;=01/09"&amp;$C$7,'Livro Diario - FC'!$D$11:$D1028,"&lt;=30/09"&amp;$C$7)</f>
        <v>0</v>
      </c>
      <c r="AP101" s="256">
        <f>SUMIFS('Livro Diario - FC'!$M$11:$M1028,'Livro Diario - FC'!$E$11:$E1028,$C$101,'Livro Diario - FC'!$D$11:$D1028,"&gt;=01/09"&amp;$C$7,'Livro Diario - FC'!$D$11:$D1028,"&lt;=30/09"&amp;$C$7)</f>
        <v>0</v>
      </c>
      <c r="AQ101" s="273"/>
      <c r="AR101" s="258"/>
      <c r="AS101" s="255">
        <f>SUMIFS('Livro Diario - FC'!$K$11:$K1028,'Livro Diario - FC'!$E$11:$E1028,$C$101,'Livro Diario - FC'!$D$11:$D1028,"&gt;=01/10"&amp;$C$7,'Livro Diario - FC'!$D$11:$D1028,"&lt;=31/10"&amp;$C$7)</f>
        <v>0</v>
      </c>
      <c r="AT101" s="256">
        <f>SUMIFS('Livro Diario - FC'!$M$11:$M1028,'Livro Diario - FC'!$E$11:$E1028,$C$101,'Livro Diario - FC'!$D$11:$D1028,"&gt;=01/10"&amp;$C$7,'Livro Diario - FC'!$D$11:$D1028,"&lt;=31/10"&amp;$C$7)</f>
        <v>0</v>
      </c>
      <c r="AU101" s="273"/>
      <c r="AV101" s="258"/>
      <c r="AW101" s="255">
        <f>SUMIFS('Livro Diario - FC'!$K$11:$K1028,'Livro Diario - FC'!$E$11:$E1028,$C$101,'Livro Diario - FC'!$D$11:$D1028,"&gt;=01/11"&amp;$C$7,'Livro Diario - FC'!$D$11:$D1028,"&lt;=30/11"&amp;$C$7)</f>
        <v>0</v>
      </c>
      <c r="AX101" s="256">
        <f>SUMIFS('Livro Diario - FC'!$M$11:$M1028,'Livro Diario - FC'!$E$11:$E1028,$C$101,'Livro Diario - FC'!$D$11:$D1028,"&gt;=01/11"&amp;$C$7,'Livro Diario - FC'!$D$11:$D1028,"&lt;=30/11"&amp;$C$7)</f>
        <v>0</v>
      </c>
      <c r="AY101" s="273"/>
      <c r="AZ101" s="258"/>
      <c r="BA101" s="255">
        <f>SUMIFS('Livro Diario - FC'!$K$11:$K1028,'Livro Diario - FC'!$E$11:$E1028,$C$101,'Livro Diario - FC'!$D$11:$D1028,"&gt;=01/12"&amp;$C$7,'Livro Diario - FC'!$D$11:$D1028,"&lt;=31/12"&amp;$C$7)</f>
        <v>0</v>
      </c>
      <c r="BB101" s="256">
        <f>SUMIFS('Livro Diario - FC'!$M$11:$M1028,'Livro Diario - FC'!$E$11:$E1028,$C$101,'Livro Diario - FC'!$D$11:$D1028,"&gt;=01/12"&amp;$C$7,'Livro Diario - FC'!$D$11:$D1028,"&lt;=31/12"&amp;$C$7)</f>
        <v>0</v>
      </c>
      <c r="BC101" s="273"/>
      <c r="BD101" s="273"/>
      <c r="BE101" s="267">
        <f t="shared" ref="BE101:BF101" si="202">SUM(D101,I101,N101,S101,X101,AC101,AG101,AK101,AO101,AS101,AW101,BA101)</f>
        <v>0</v>
      </c>
      <c r="BF101" s="268">
        <f t="shared" si="202"/>
        <v>0</v>
      </c>
      <c r="BG101" s="269"/>
      <c r="BH101" s="192"/>
      <c r="BI101" s="270">
        <f>SUMIFS('Livro Diario - FC'!$M$11:$M1028,'Livro Diario - FC'!$E$11:$E1028,C101,'Livro Diario - FC'!$D$11:$D1028,"&gt;="&amp;$BK$8,'Livro Diario - FC'!$D$11:$D1028,"&lt;="&amp;$BK$9)</f>
        <v>0</v>
      </c>
      <c r="BJ101" s="271"/>
      <c r="BK101" s="272"/>
      <c r="BL101" s="1"/>
    </row>
    <row r="102">
      <c r="A102" s="1"/>
      <c r="B102" s="1"/>
      <c r="C102" s="338" t="str">
        <f>'Livro Diario - FC'!AE105</f>
        <v>Barbecue</v>
      </c>
      <c r="D102" s="255">
        <f>SUMIFS('Livro Diario - FC'!$K$11:$K1028,'Livro Diario - FC'!$E$11:$E1028,$C$102,'Livro Diario - FC'!$D$11:$D1028,"&gt;=01/01"&amp;$C$7,'Livro Diario - FC'!$D$11:$D1028,"&lt;=31/01"&amp;$C$7)</f>
        <v>0</v>
      </c>
      <c r="E102" s="256">
        <f>SUMIFS('Livro Diario - FC'!$M$11:$M1028,'Livro Diario - FC'!$E$11:$E1028,$C$102,'Livro Diario - FC'!$D$11:$D1028,"&gt;=01/01"&amp;$C$7,'Livro Diario - FC'!$D$11:$D1028,"&lt;=31/01"&amp;$C$7)</f>
        <v>0</v>
      </c>
      <c r="F102" s="273"/>
      <c r="G102" s="258"/>
      <c r="H102" s="157"/>
      <c r="I102" s="255">
        <f>SUMIFS('Livro Diario - FC'!$K$11:$K1028,'Livro Diario - FC'!$E$11:$E1028,$C$102,'Livro Diario - FC'!$D$11:$D1028,"&gt;=01/02"&amp;$C$7,'Livro Diario - FC'!$D$11:$D1028,"&lt;=29/02"&amp;$C$7)</f>
        <v>0</v>
      </c>
      <c r="J102" s="256">
        <f>SUMIFS('Livro Diario - FC'!$M$11:$M1028,'Livro Diario - FC'!$E$11:$E1028,$C$102,'Livro Diario - FC'!$D$11:$D1028,"&gt;=01/02"&amp;$C$7,'Livro Diario - FC'!$D$11:$D1028,"&lt;=29/02"&amp;$C$7)</f>
        <v>0</v>
      </c>
      <c r="K102" s="273"/>
      <c r="L102" s="258"/>
      <c r="M102" s="259"/>
      <c r="N102" s="255">
        <f>SUMIFS('Livro Diario - FC'!$K$11:$K1028,'Livro Diario - FC'!$E$11:$E1028,$C$102,'Livro Diario - FC'!$D$11:$D1028,"&gt;=01/03"&amp;$C$7,'Livro Diario - FC'!$D$11:$D1028,"&lt;=31/03"&amp;$C$7)</f>
        <v>0</v>
      </c>
      <c r="O102" s="256">
        <f>SUMIFS('Livro Diario - FC'!$M$11:$M1028,'Livro Diario - FC'!$E$11:$E1028,$C$102,'Livro Diario - FC'!$D$11:$D1028,"&gt;=01/03"&amp;$C$7,'Livro Diario - FC'!$D$11:$D1028,"&lt;=31/03"&amp;$C$7)</f>
        <v>0</v>
      </c>
      <c r="P102" s="273"/>
      <c r="Q102" s="258"/>
      <c r="R102" s="259"/>
      <c r="S102" s="255">
        <f>SUMIFS('Livro Diario - FC'!$K$11:$K1028,'Livro Diario - FC'!$E$11:$E1028,$C$102,'Livro Diario - FC'!$D$11:$D1028,"&gt;=01/04"&amp;$C$7,'Livro Diario - FC'!$D$11:$D1028,"&lt;=30/04"&amp;$C$7)</f>
        <v>0</v>
      </c>
      <c r="T102" s="256">
        <f>SUMIFS('Livro Diario - FC'!$M$11:$M1028,'Livro Diario - FC'!$E$11:$E1028,$C$102,'Livro Diario - FC'!$D$11:$D1028,"&gt;=01/04"&amp;$C$7,'Livro Diario - FC'!$D$11:$D1028,"&lt;=30/04"&amp;$C$7)</f>
        <v>0</v>
      </c>
      <c r="U102" s="273"/>
      <c r="V102" s="258"/>
      <c r="W102" s="259"/>
      <c r="X102" s="255">
        <f>SUMIFS('Livro Diario - FC'!$K$11:$K1028,'Livro Diario - FC'!$E$11:$E1028,$C$102,'Livro Diario - FC'!$D$11:$D1028,"&gt;=01/05"&amp;$C$7,'Livro Diario - FC'!$D$11:$D1028,"&lt;=31/05"&amp;$C$7)</f>
        <v>0</v>
      </c>
      <c r="Y102" s="256">
        <f>SUMIFS('Livro Diario - FC'!$M$11:$M1028,'Livro Diario - FC'!$E$11:$E1028,$C$102,'Livro Diario - FC'!$D$11:$D1028,"&gt;=01/05"&amp;$C$7,'Livro Diario - FC'!$D$11:$D1028,"&lt;=31/05"&amp;$C$7)</f>
        <v>0</v>
      </c>
      <c r="Z102" s="273"/>
      <c r="AA102" s="258"/>
      <c r="AB102" s="259"/>
      <c r="AC102" s="255">
        <f>SUMIFS('Livro Diario - FC'!$K$11:$K1028,'Livro Diario - FC'!$E$11:$E1028,$C$102,'Livro Diario - FC'!$D$11:$D1028,"&gt;=01/06"&amp;$C$7,'Livro Diario - FC'!$D$11:$D1028,"&lt;=30/06"&amp;$C$7)</f>
        <v>0</v>
      </c>
      <c r="AD102" s="256">
        <f>SUMIFS('Livro Diario - FC'!$M$11:$M1028,'Livro Diario - FC'!$E$11:$E1028,$C$102,'Livro Diario - FC'!$D$11:$D1028,"&gt;=01/06"&amp;$C$7,'Livro Diario - FC'!$D$11:$D1028,"&lt;=30/06"&amp;$C$7)</f>
        <v>0</v>
      </c>
      <c r="AE102" s="273"/>
      <c r="AF102" s="258"/>
      <c r="AG102" s="255">
        <f>SUMIFS('Livro Diario - FC'!$K$11:$K1028,'Livro Diario - FC'!$E$11:$E1028,$C$102,'Livro Diario - FC'!$D$11:$D1028,"&gt;=01/07"&amp;$C$7,'Livro Diario - FC'!$D$11:$D1028,"&lt;=31/07"&amp;$C$7)</f>
        <v>0</v>
      </c>
      <c r="AH102" s="256">
        <f>SUMIFS('Livro Diario - FC'!$M$11:$M1028,'Livro Diario - FC'!$E$11:$E1028,$C$102,'Livro Diario - FC'!$D$11:$D1028,"&gt;=01/07"&amp;$C$7,'Livro Diario - FC'!$D$11:$D1028,"&lt;=31/07"&amp;$C$7)</f>
        <v>0</v>
      </c>
      <c r="AI102" s="273"/>
      <c r="AJ102" s="258"/>
      <c r="AK102" s="255">
        <f>SUMIFS('Livro Diario - FC'!$K$11:$K1028,'Livro Diario - FC'!$E$11:$E1028,$C$102,'Livro Diario - FC'!$D$11:$D1028,"&gt;=01/08"&amp;$C$7,'Livro Diario - FC'!$D$11:$D1028,"&lt;=31/08"&amp;$C$7)</f>
        <v>0</v>
      </c>
      <c r="AL102" s="256">
        <f>SUMIFS('Livro Diario - FC'!$M$11:$M1028,'Livro Diario - FC'!$E$11:$E1028,$C$102,'Livro Diario - FC'!$D$11:$D1028,"&gt;=01/08"&amp;$C$7,'Livro Diario - FC'!$D$11:$D1028,"&lt;=31/08"&amp;$C$7)</f>
        <v>0</v>
      </c>
      <c r="AM102" s="273"/>
      <c r="AN102" s="258"/>
      <c r="AO102" s="255">
        <f>SUMIFS('Livro Diario - FC'!$K$11:$K1028,'Livro Diario - FC'!$E$11:$E1028,$C$102,'Livro Diario - FC'!$D$11:$D1028,"&gt;=01/09"&amp;$C$7,'Livro Diario - FC'!$D$11:$D1028,"&lt;=30/09"&amp;$C$7)</f>
        <v>0</v>
      </c>
      <c r="AP102" s="256">
        <f>SUMIFS('Livro Diario - FC'!$M$11:$M1028,'Livro Diario - FC'!$E$11:$E1028,$C$102,'Livro Diario - FC'!$D$11:$D1028,"&gt;=01/09"&amp;$C$7,'Livro Diario - FC'!$D$11:$D1028,"&lt;=30/09"&amp;$C$7)</f>
        <v>0</v>
      </c>
      <c r="AQ102" s="273"/>
      <c r="AR102" s="258"/>
      <c r="AS102" s="255">
        <f>SUMIFS('Livro Diario - FC'!$K$11:$K1028,'Livro Diario - FC'!$E$11:$E1028,$C$102,'Livro Diario - FC'!$D$11:$D1028,"&gt;=01/10"&amp;$C$7,'Livro Diario - FC'!$D$11:$D1028,"&lt;=31/10"&amp;$C$7)</f>
        <v>0</v>
      </c>
      <c r="AT102" s="256">
        <f>SUMIFS('Livro Diario - FC'!$M$11:$M1028,'Livro Diario - FC'!$E$11:$E1028,$C$102,'Livro Diario - FC'!$D$11:$D1028,"&gt;=01/10"&amp;$C$7,'Livro Diario - FC'!$D$11:$D1028,"&lt;=31/10"&amp;$C$7)</f>
        <v>0</v>
      </c>
      <c r="AU102" s="273"/>
      <c r="AV102" s="258"/>
      <c r="AW102" s="255">
        <f>SUMIFS('Livro Diario - FC'!$K$11:$K1028,'Livro Diario - FC'!$E$11:$E1028,$C$102,'Livro Diario - FC'!$D$11:$D1028,"&gt;=01/11"&amp;$C$7,'Livro Diario - FC'!$D$11:$D1028,"&lt;=30/11"&amp;$C$7)</f>
        <v>0</v>
      </c>
      <c r="AX102" s="256">
        <f>SUMIFS('Livro Diario - FC'!$M$11:$M1028,'Livro Diario - FC'!$E$11:$E1028,$C$102,'Livro Diario - FC'!$D$11:$D1028,"&gt;=01/11"&amp;$C$7,'Livro Diario - FC'!$D$11:$D1028,"&lt;=30/11"&amp;$C$7)</f>
        <v>0</v>
      </c>
      <c r="AY102" s="273"/>
      <c r="AZ102" s="258"/>
      <c r="BA102" s="255">
        <f>SUMIFS('Livro Diario - FC'!$K$11:$K1028,'Livro Diario - FC'!$E$11:$E1028,$C$102,'Livro Diario - FC'!$D$11:$D1028,"&gt;=01/12"&amp;$C$7,'Livro Diario - FC'!$D$11:$D1028,"&lt;=31/12"&amp;$C$7)</f>
        <v>0</v>
      </c>
      <c r="BB102" s="256">
        <f>SUMIFS('Livro Diario - FC'!$M$11:$M1028,'Livro Diario - FC'!$E$11:$E1028,$C$102,'Livro Diario - FC'!$D$11:$D1028,"&gt;=01/12"&amp;$C$7,'Livro Diario - FC'!$D$11:$D1028,"&lt;=31/12"&amp;$C$7)</f>
        <v>0</v>
      </c>
      <c r="BC102" s="273"/>
      <c r="BD102" s="273"/>
      <c r="BE102" s="267">
        <f t="shared" ref="BE102:BF102" si="203">SUM(D102,I102,N102,S102,X102,AC102,AG102,AK102,AO102,AS102,AW102,BA102)</f>
        <v>0</v>
      </c>
      <c r="BF102" s="268">
        <f t="shared" si="203"/>
        <v>0</v>
      </c>
      <c r="BG102" s="269"/>
      <c r="BH102" s="192"/>
      <c r="BI102" s="270">
        <f>SUMIFS('Livro Diario - FC'!$M$11:$M1028,'Livro Diario - FC'!$E$11:$E1028,C102,'Livro Diario - FC'!$D$11:$D1028,"&gt;="&amp;$BK$8,'Livro Diario - FC'!$D$11:$D1028,"&lt;="&amp;$BK$9)</f>
        <v>0</v>
      </c>
      <c r="BJ102" s="271"/>
      <c r="BK102" s="272"/>
      <c r="BL102" s="1"/>
    </row>
    <row r="103">
      <c r="A103" s="1"/>
      <c r="B103" s="1"/>
      <c r="C103" s="338" t="str">
        <f>'Livro Diario - FC'!AE106</f>
        <v>Mel</v>
      </c>
      <c r="D103" s="255">
        <f>SUMIFS('Livro Diario - FC'!$K$11:$K1028,'Livro Diario - FC'!$E$11:$E1028,$C$103,'Livro Diario - FC'!$D$11:$D1028,"&gt;=01/01"&amp;$C$7,'Livro Diario - FC'!$D$11:$D1028,"&lt;=31/01"&amp;$C$7)</f>
        <v>0</v>
      </c>
      <c r="E103" s="256">
        <f>SUMIFS('Livro Diario - FC'!$M$11:$M1028,'Livro Diario - FC'!$E$11:$E1028,$C$103,'Livro Diario - FC'!$D$11:$D1028,"&gt;=01/01"&amp;$C$7,'Livro Diario - FC'!$D$11:$D1028,"&lt;=31/01"&amp;$C$7)</f>
        <v>0</v>
      </c>
      <c r="F103" s="273"/>
      <c r="G103" s="258"/>
      <c r="H103" s="157"/>
      <c r="I103" s="255">
        <f>SUMIFS('Livro Diario - FC'!$K$11:$K1028,'Livro Diario - FC'!$E$11:$E1028,$C$103,'Livro Diario - FC'!$D$11:$D1028,"&gt;=01/02"&amp;$C$7,'Livro Diario - FC'!$D$11:$D1028,"&lt;=29/02"&amp;$C$7)</f>
        <v>0</v>
      </c>
      <c r="J103" s="256">
        <f>SUMIFS('Livro Diario - FC'!$M$11:$M1028,'Livro Diario - FC'!$E$11:$E1028,$C$103,'Livro Diario - FC'!$D$11:$D1028,"&gt;=01/02"&amp;$C$7,'Livro Diario - FC'!$D$11:$D1028,"&lt;=29/02"&amp;$C$7)</f>
        <v>0</v>
      </c>
      <c r="K103" s="273"/>
      <c r="L103" s="258"/>
      <c r="M103" s="259"/>
      <c r="N103" s="255">
        <f>SUMIFS('Livro Diario - FC'!$K$11:$K1028,'Livro Diario - FC'!$E$11:$E1028,$C$103,'Livro Diario - FC'!$D$11:$D1028,"&gt;=01/03"&amp;$C$7,'Livro Diario - FC'!$D$11:$D1028,"&lt;=31/03"&amp;$C$7)</f>
        <v>0</v>
      </c>
      <c r="O103" s="256">
        <f>SUMIFS('Livro Diario - FC'!$M$11:$M1028,'Livro Diario - FC'!$E$11:$E1028,$C$103,'Livro Diario - FC'!$D$11:$D1028,"&gt;=01/03"&amp;$C$7,'Livro Diario - FC'!$D$11:$D1028,"&lt;=31/03"&amp;$C$7)</f>
        <v>0</v>
      </c>
      <c r="P103" s="273"/>
      <c r="Q103" s="258"/>
      <c r="R103" s="259"/>
      <c r="S103" s="255">
        <f>SUMIFS('Livro Diario - FC'!$K$11:$K1028,'Livro Diario - FC'!$E$11:$E1028,$C$103,'Livro Diario - FC'!$D$11:$D1028,"&gt;=01/04"&amp;$C$7,'Livro Diario - FC'!$D$11:$D1028,"&lt;=30/04"&amp;$C$7)</f>
        <v>0</v>
      </c>
      <c r="T103" s="256">
        <f>SUMIFS('Livro Diario - FC'!$M$11:$M1028,'Livro Diario - FC'!$E$11:$E1028,$C$103,'Livro Diario - FC'!$D$11:$D1028,"&gt;=01/04"&amp;$C$7,'Livro Diario - FC'!$D$11:$D1028,"&lt;=30/04"&amp;$C$7)</f>
        <v>0</v>
      </c>
      <c r="U103" s="273"/>
      <c r="V103" s="258"/>
      <c r="W103" s="259"/>
      <c r="X103" s="255">
        <f>SUMIFS('Livro Diario - FC'!$K$11:$K1028,'Livro Diario - FC'!$E$11:$E1028,$C$103,'Livro Diario - FC'!$D$11:$D1028,"&gt;=01/05"&amp;$C$7,'Livro Diario - FC'!$D$11:$D1028,"&lt;=31/05"&amp;$C$7)</f>
        <v>0</v>
      </c>
      <c r="Y103" s="256">
        <f>SUMIFS('Livro Diario - FC'!$M$11:$M1028,'Livro Diario - FC'!$E$11:$E1028,$C$103,'Livro Diario - FC'!$D$11:$D1028,"&gt;=01/05"&amp;$C$7,'Livro Diario - FC'!$D$11:$D1028,"&lt;=31/05"&amp;$C$7)</f>
        <v>0</v>
      </c>
      <c r="Z103" s="273"/>
      <c r="AA103" s="258"/>
      <c r="AB103" s="259"/>
      <c r="AC103" s="255">
        <f>SUMIFS('Livro Diario - FC'!$K$11:$K1028,'Livro Diario - FC'!$E$11:$E1028,$C$103,'Livro Diario - FC'!$D$11:$D1028,"&gt;=01/06"&amp;$C$7,'Livro Diario - FC'!$D$11:$D1028,"&lt;=30/06"&amp;$C$7)</f>
        <v>0</v>
      </c>
      <c r="AD103" s="256">
        <f>SUMIFS('Livro Diario - FC'!$M$11:$M1028,'Livro Diario - FC'!$E$11:$E1028,$C$103,'Livro Diario - FC'!$D$11:$D1028,"&gt;=01/06"&amp;$C$7,'Livro Diario - FC'!$D$11:$D1028,"&lt;=30/06"&amp;$C$7)</f>
        <v>0</v>
      </c>
      <c r="AE103" s="273"/>
      <c r="AF103" s="258"/>
      <c r="AG103" s="255">
        <f>SUMIFS('Livro Diario - FC'!$K$11:$K1028,'Livro Diario - FC'!$E$11:$E1028,$C$103,'Livro Diario - FC'!$D$11:$D1028,"&gt;=01/07"&amp;$C$7,'Livro Diario - FC'!$D$11:$D1028,"&lt;=31/07"&amp;$C$7)</f>
        <v>0</v>
      </c>
      <c r="AH103" s="256">
        <f>SUMIFS('Livro Diario - FC'!$M$11:$M1028,'Livro Diario - FC'!$E$11:$E1028,$C$103,'Livro Diario - FC'!$D$11:$D1028,"&gt;=01/07"&amp;$C$7,'Livro Diario - FC'!$D$11:$D1028,"&lt;=31/07"&amp;$C$7)</f>
        <v>0</v>
      </c>
      <c r="AI103" s="273"/>
      <c r="AJ103" s="258"/>
      <c r="AK103" s="255">
        <f>SUMIFS('Livro Diario - FC'!$K$11:$K1028,'Livro Diario - FC'!$E$11:$E1028,$C$103,'Livro Diario - FC'!$D$11:$D1028,"&gt;=01/08"&amp;$C$7,'Livro Diario - FC'!$D$11:$D1028,"&lt;=31/08"&amp;$C$7)</f>
        <v>0</v>
      </c>
      <c r="AL103" s="256">
        <f>SUMIFS('Livro Diario - FC'!$M$11:$M1028,'Livro Diario - FC'!$E$11:$E1028,$C$103,'Livro Diario - FC'!$D$11:$D1028,"&gt;=01/08"&amp;$C$7,'Livro Diario - FC'!$D$11:$D1028,"&lt;=31/08"&amp;$C$7)</f>
        <v>0</v>
      </c>
      <c r="AM103" s="273"/>
      <c r="AN103" s="258"/>
      <c r="AO103" s="255">
        <f>SUMIFS('Livro Diario - FC'!$K$11:$K1028,'Livro Diario - FC'!$E$11:$E1028,$C$103,'Livro Diario - FC'!$D$11:$D1028,"&gt;=01/09"&amp;$C$7,'Livro Diario - FC'!$D$11:$D1028,"&lt;=30/09"&amp;$C$7)</f>
        <v>0</v>
      </c>
      <c r="AP103" s="256">
        <f>SUMIFS('Livro Diario - FC'!$M$11:$M1028,'Livro Diario - FC'!$E$11:$E1028,$C$103,'Livro Diario - FC'!$D$11:$D1028,"&gt;=01/09"&amp;$C$7,'Livro Diario - FC'!$D$11:$D1028,"&lt;=30/09"&amp;$C$7)</f>
        <v>0</v>
      </c>
      <c r="AQ103" s="273"/>
      <c r="AR103" s="258"/>
      <c r="AS103" s="255">
        <f>SUMIFS('Livro Diario - FC'!$K$11:$K1028,'Livro Diario - FC'!$E$11:$E1028,$C$103,'Livro Diario - FC'!$D$11:$D1028,"&gt;=01/10"&amp;$C$7,'Livro Diario - FC'!$D$11:$D1028,"&lt;=31/10"&amp;$C$7)</f>
        <v>0</v>
      </c>
      <c r="AT103" s="256">
        <f>SUMIFS('Livro Diario - FC'!$M$11:$M1028,'Livro Diario - FC'!$E$11:$E1028,$C$103,'Livro Diario - FC'!$D$11:$D1028,"&gt;=01/10"&amp;$C$7,'Livro Diario - FC'!$D$11:$D1028,"&lt;=31/10"&amp;$C$7)</f>
        <v>0</v>
      </c>
      <c r="AU103" s="273"/>
      <c r="AV103" s="258"/>
      <c r="AW103" s="255">
        <f>SUMIFS('Livro Diario - FC'!$K$11:$K1028,'Livro Diario - FC'!$E$11:$E1028,$C$103,'Livro Diario - FC'!$D$11:$D1028,"&gt;=01/11"&amp;$C$7,'Livro Diario - FC'!$D$11:$D1028,"&lt;=30/11"&amp;$C$7)</f>
        <v>0</v>
      </c>
      <c r="AX103" s="256">
        <f>SUMIFS('Livro Diario - FC'!$M$11:$M1028,'Livro Diario - FC'!$E$11:$E1028,$C$103,'Livro Diario - FC'!$D$11:$D1028,"&gt;=01/11"&amp;$C$7,'Livro Diario - FC'!$D$11:$D1028,"&lt;=30/11"&amp;$C$7)</f>
        <v>0</v>
      </c>
      <c r="AY103" s="273"/>
      <c r="AZ103" s="258"/>
      <c r="BA103" s="255">
        <f>SUMIFS('Livro Diario - FC'!$K$11:$K1028,'Livro Diario - FC'!$E$11:$E1028,$C$103,'Livro Diario - FC'!$D$11:$D1028,"&gt;=01/12"&amp;$C$7,'Livro Diario - FC'!$D$11:$D1028,"&lt;=31/12"&amp;$C$7)</f>
        <v>0</v>
      </c>
      <c r="BB103" s="256">
        <f>SUMIFS('Livro Diario - FC'!$M$11:$M1028,'Livro Diario - FC'!$E$11:$E1028,$C$103,'Livro Diario - FC'!$D$11:$D1028,"&gt;=01/12"&amp;$C$7,'Livro Diario - FC'!$D$11:$D1028,"&lt;=31/12"&amp;$C$7)</f>
        <v>0</v>
      </c>
      <c r="BC103" s="273"/>
      <c r="BD103" s="273"/>
      <c r="BE103" s="267">
        <f t="shared" ref="BE103:BF103" si="204">SUM(D103,I103,N103,S103,X103,AC103,AG103,AK103,AO103,AS103,AW103,BA103)</f>
        <v>0</v>
      </c>
      <c r="BF103" s="268">
        <f t="shared" si="204"/>
        <v>0</v>
      </c>
      <c r="BG103" s="269"/>
      <c r="BH103" s="192"/>
      <c r="BI103" s="270">
        <f>SUMIFS('Livro Diario - FC'!$M$11:$M1028,'Livro Diario - FC'!$E$11:$E1028,C103,'Livro Diario - FC'!$D$11:$D1028,"&gt;="&amp;$BK$8,'Livro Diario - FC'!$D$11:$D1028,"&lt;="&amp;$BK$9)</f>
        <v>0</v>
      </c>
      <c r="BJ103" s="271"/>
      <c r="BK103" s="272"/>
      <c r="BL103" s="1"/>
    </row>
    <row r="104">
      <c r="A104" s="1"/>
      <c r="B104" s="1"/>
      <c r="C104" s="338" t="str">
        <f>'Livro Diario - FC'!AE107</f>
        <v>Molho Shoyo</v>
      </c>
      <c r="D104" s="255">
        <f>SUMIFS('Livro Diario - FC'!$K$11:$K1028,'Livro Diario - FC'!$E$11:$E1028,$C$104,'Livro Diario - FC'!$D$11:$D1028,"&gt;=01/01"&amp;$C$7,'Livro Diario - FC'!$D$11:$D1028,"&lt;=31/01"&amp;$C$7)</f>
        <v>0</v>
      </c>
      <c r="E104" s="256">
        <f>SUMIFS('Livro Diario - FC'!$M$11:$M1028,'Livro Diario - FC'!$E$11:$E1028,$C$104,'Livro Diario - FC'!$D$11:$D1028,"&gt;=01/01"&amp;$C$7,'Livro Diario - FC'!$D$11:$D1028,"&lt;=31/01"&amp;$C$7)</f>
        <v>0</v>
      </c>
      <c r="F104" s="273"/>
      <c r="G104" s="258"/>
      <c r="H104" s="157"/>
      <c r="I104" s="255">
        <f>SUMIFS('Livro Diario - FC'!$K$11:$K1028,'Livro Diario - FC'!$E$11:$E1028,$C$104,'Livro Diario - FC'!$D$11:$D1028,"&gt;=01/02"&amp;$C$7,'Livro Diario - FC'!$D$11:$D1028,"&lt;=29/02"&amp;$C$7)</f>
        <v>0</v>
      </c>
      <c r="J104" s="256">
        <f>SUMIFS('Livro Diario - FC'!$M$11:$M1028,'Livro Diario - FC'!$E$11:$E1028,$C$104,'Livro Diario - FC'!$D$11:$D1028,"&gt;=01/02"&amp;$C$7,'Livro Diario - FC'!$D$11:$D1028,"&lt;=29/02"&amp;$C$7)</f>
        <v>0</v>
      </c>
      <c r="K104" s="273"/>
      <c r="L104" s="258"/>
      <c r="M104" s="259"/>
      <c r="N104" s="255">
        <f>SUMIFS('Livro Diario - FC'!$K$11:$K1028,'Livro Diario - FC'!$E$11:$E1028,$C$104,'Livro Diario - FC'!$D$11:$D1028,"&gt;=01/03"&amp;$C$7,'Livro Diario - FC'!$D$11:$D1028,"&lt;=31/03"&amp;$C$7)</f>
        <v>0</v>
      </c>
      <c r="O104" s="256">
        <f>SUMIFS('Livro Diario - FC'!$M$11:$M1028,'Livro Diario - FC'!$E$11:$E1028,$C$104,'Livro Diario - FC'!$D$11:$D1028,"&gt;=01/03"&amp;$C$7,'Livro Diario - FC'!$D$11:$D1028,"&lt;=31/03"&amp;$C$7)</f>
        <v>0</v>
      </c>
      <c r="P104" s="273"/>
      <c r="Q104" s="258"/>
      <c r="R104" s="259"/>
      <c r="S104" s="255">
        <f>SUMIFS('Livro Diario - FC'!$K$11:$K1028,'Livro Diario - FC'!$E$11:$E1028,$C$104,'Livro Diario - FC'!$D$11:$D1028,"&gt;=01/04"&amp;$C$7,'Livro Diario - FC'!$D$11:$D1028,"&lt;=30/04"&amp;$C$7)</f>
        <v>0</v>
      </c>
      <c r="T104" s="256">
        <f>SUMIFS('Livro Diario - FC'!$M$11:$M1028,'Livro Diario - FC'!$E$11:$E1028,$C$104,'Livro Diario - FC'!$D$11:$D1028,"&gt;=01/04"&amp;$C$7,'Livro Diario - FC'!$D$11:$D1028,"&lt;=30/04"&amp;$C$7)</f>
        <v>0</v>
      </c>
      <c r="U104" s="273"/>
      <c r="V104" s="258"/>
      <c r="W104" s="259"/>
      <c r="X104" s="255">
        <f>SUMIFS('Livro Diario - FC'!$K$11:$K1028,'Livro Diario - FC'!$E$11:$E1028,$C$104,'Livro Diario - FC'!$D$11:$D1028,"&gt;=01/05"&amp;$C$7,'Livro Diario - FC'!$D$11:$D1028,"&lt;=31/05"&amp;$C$7)</f>
        <v>0</v>
      </c>
      <c r="Y104" s="256">
        <f>SUMIFS('Livro Diario - FC'!$M$11:$M1028,'Livro Diario - FC'!$E$11:$E1028,$C$104,'Livro Diario - FC'!$D$11:$D1028,"&gt;=01/05"&amp;$C$7,'Livro Diario - FC'!$D$11:$D1028,"&lt;=31/05"&amp;$C$7)</f>
        <v>0</v>
      </c>
      <c r="Z104" s="273"/>
      <c r="AA104" s="258"/>
      <c r="AB104" s="259"/>
      <c r="AC104" s="255">
        <f>SUMIFS('Livro Diario - FC'!$K$11:$K1028,'Livro Diario - FC'!$E$11:$E1028,$C$104,'Livro Diario - FC'!$D$11:$D1028,"&gt;=01/06"&amp;$C$7,'Livro Diario - FC'!$D$11:$D1028,"&lt;=30/06"&amp;$C$7)</f>
        <v>0</v>
      </c>
      <c r="AD104" s="256">
        <f>SUMIFS('Livro Diario - FC'!$M$11:$M1028,'Livro Diario - FC'!$E$11:$E1028,$C$104,'Livro Diario - FC'!$D$11:$D1028,"&gt;=01/06"&amp;$C$7,'Livro Diario - FC'!$D$11:$D1028,"&lt;=30/06"&amp;$C$7)</f>
        <v>0</v>
      </c>
      <c r="AE104" s="273"/>
      <c r="AF104" s="258"/>
      <c r="AG104" s="255">
        <f>SUMIFS('Livro Diario - FC'!$K$11:$K1028,'Livro Diario - FC'!$E$11:$E1028,$C$104,'Livro Diario - FC'!$D$11:$D1028,"&gt;=01/07"&amp;$C$7,'Livro Diario - FC'!$D$11:$D1028,"&lt;=31/07"&amp;$C$7)</f>
        <v>0</v>
      </c>
      <c r="AH104" s="256">
        <f>SUMIFS('Livro Diario - FC'!$M$11:$M1028,'Livro Diario - FC'!$E$11:$E1028,$C$104,'Livro Diario - FC'!$D$11:$D1028,"&gt;=01/07"&amp;$C$7,'Livro Diario - FC'!$D$11:$D1028,"&lt;=31/07"&amp;$C$7)</f>
        <v>0</v>
      </c>
      <c r="AI104" s="273"/>
      <c r="AJ104" s="258"/>
      <c r="AK104" s="255">
        <f>SUMIFS('Livro Diario - FC'!$K$11:$K1028,'Livro Diario - FC'!$E$11:$E1028,$C$104,'Livro Diario - FC'!$D$11:$D1028,"&gt;=01/08"&amp;$C$7,'Livro Diario - FC'!$D$11:$D1028,"&lt;=31/08"&amp;$C$7)</f>
        <v>0</v>
      </c>
      <c r="AL104" s="256">
        <f>SUMIFS('Livro Diario - FC'!$M$11:$M1028,'Livro Diario - FC'!$E$11:$E1028,$C$104,'Livro Diario - FC'!$D$11:$D1028,"&gt;=01/08"&amp;$C$7,'Livro Diario - FC'!$D$11:$D1028,"&lt;=31/08"&amp;$C$7)</f>
        <v>0</v>
      </c>
      <c r="AM104" s="273"/>
      <c r="AN104" s="258"/>
      <c r="AO104" s="255">
        <f>SUMIFS('Livro Diario - FC'!$K$11:$K1028,'Livro Diario - FC'!$E$11:$E1028,$C$104,'Livro Diario - FC'!$D$11:$D1028,"&gt;=01/09"&amp;$C$7,'Livro Diario - FC'!$D$11:$D1028,"&lt;=30/09"&amp;$C$7)</f>
        <v>0</v>
      </c>
      <c r="AP104" s="256">
        <f>SUMIFS('Livro Diario - FC'!$M$11:$M1028,'Livro Diario - FC'!$E$11:$E1028,$C$104,'Livro Diario - FC'!$D$11:$D1028,"&gt;=01/09"&amp;$C$7,'Livro Diario - FC'!$D$11:$D1028,"&lt;=30/09"&amp;$C$7)</f>
        <v>0</v>
      </c>
      <c r="AQ104" s="273"/>
      <c r="AR104" s="258"/>
      <c r="AS104" s="255">
        <f>SUMIFS('Livro Diario - FC'!$K$11:$K1028,'Livro Diario - FC'!$E$11:$E1028,$C$104,'Livro Diario - FC'!$D$11:$D1028,"&gt;=01/10"&amp;$C$7,'Livro Diario - FC'!$D$11:$D1028,"&lt;=31/10"&amp;$C$7)</f>
        <v>0</v>
      </c>
      <c r="AT104" s="256">
        <f>SUMIFS('Livro Diario - FC'!$M$11:$M1028,'Livro Diario - FC'!$E$11:$E1028,$C$104,'Livro Diario - FC'!$D$11:$D1028,"&gt;=01/10"&amp;$C$7,'Livro Diario - FC'!$D$11:$D1028,"&lt;=31/10"&amp;$C$7)</f>
        <v>0</v>
      </c>
      <c r="AU104" s="273"/>
      <c r="AV104" s="258"/>
      <c r="AW104" s="255">
        <f>SUMIFS('Livro Diario - FC'!$K$11:$K1028,'Livro Diario - FC'!$E$11:$E1028,$C$104,'Livro Diario - FC'!$D$11:$D1028,"&gt;=01/11"&amp;$C$7,'Livro Diario - FC'!$D$11:$D1028,"&lt;=30/11"&amp;$C$7)</f>
        <v>0</v>
      </c>
      <c r="AX104" s="256">
        <f>SUMIFS('Livro Diario - FC'!$M$11:$M1028,'Livro Diario - FC'!$E$11:$E1028,$C$104,'Livro Diario - FC'!$D$11:$D1028,"&gt;=01/11"&amp;$C$7,'Livro Diario - FC'!$D$11:$D1028,"&lt;=30/11"&amp;$C$7)</f>
        <v>0</v>
      </c>
      <c r="AY104" s="273"/>
      <c r="AZ104" s="258"/>
      <c r="BA104" s="255">
        <f>SUMIFS('Livro Diario - FC'!$K$11:$K1028,'Livro Diario - FC'!$E$11:$E1028,$C$104,'Livro Diario - FC'!$D$11:$D1028,"&gt;=01/12"&amp;$C$7,'Livro Diario - FC'!$D$11:$D1028,"&lt;=31/12"&amp;$C$7)</f>
        <v>0</v>
      </c>
      <c r="BB104" s="256">
        <f>SUMIFS('Livro Diario - FC'!$M$11:$M1028,'Livro Diario - FC'!$E$11:$E1028,$C$104,'Livro Diario - FC'!$D$11:$D1028,"&gt;=01/12"&amp;$C$7,'Livro Diario - FC'!$D$11:$D1028,"&lt;=31/12"&amp;$C$7)</f>
        <v>0</v>
      </c>
      <c r="BC104" s="273"/>
      <c r="BD104" s="273"/>
      <c r="BE104" s="267">
        <f t="shared" ref="BE104:BF104" si="205">SUM(D104,I104,N104,S104,X104,AC104,AG104,AK104,AO104,AS104,AW104,BA104)</f>
        <v>0</v>
      </c>
      <c r="BF104" s="268">
        <f t="shared" si="205"/>
        <v>0</v>
      </c>
      <c r="BG104" s="269"/>
      <c r="BH104" s="192"/>
      <c r="BI104" s="270">
        <f>SUMIFS('Livro Diario - FC'!$M$11:$M1028,'Livro Diario - FC'!$E$11:$E1028,C104,'Livro Diario - FC'!$D$11:$D1028,"&gt;="&amp;$BK$8,'Livro Diario - FC'!$D$11:$D1028,"&lt;="&amp;$BK$9)</f>
        <v>0</v>
      </c>
      <c r="BJ104" s="271"/>
      <c r="BK104" s="272"/>
      <c r="BL104" s="1"/>
    </row>
    <row r="105">
      <c r="A105" s="1"/>
      <c r="B105" s="1"/>
      <c r="C105" s="338" t="str">
        <f>'Livro Diario - FC'!AE108</f>
        <v>Azeite</v>
      </c>
      <c r="D105" s="255">
        <f>SUMIFS('Livro Diario - FC'!$K$11:$K1028,'Livro Diario - FC'!$E$11:$E1028,$C$105,'Livro Diario - FC'!$D$11:$D1028,"&gt;=01/01"&amp;$C$7,'Livro Diario - FC'!$D$11:$D1028,"&lt;=31/01"&amp;$C$7)</f>
        <v>59.29</v>
      </c>
      <c r="E105" s="256">
        <f>SUMIFS('Livro Diario - FC'!$M$11:$M1028,'Livro Diario - FC'!$E$11:$E1028,$C$105,'Livro Diario - FC'!$D$11:$D1028,"&gt;=01/01"&amp;$C$7,'Livro Diario - FC'!$D$11:$D1028,"&lt;=31/01"&amp;$C$7)</f>
        <v>59.29</v>
      </c>
      <c r="F105" s="273"/>
      <c r="G105" s="258"/>
      <c r="H105" s="157"/>
      <c r="I105" s="255">
        <f>SUMIFS('Livro Diario - FC'!$K$11:$K1028,'Livro Diario - FC'!$E$11:$E1028,$C$105,'Livro Diario - FC'!$D$11:$D1028,"&gt;=01/02"&amp;$C$7,'Livro Diario - FC'!$D$11:$D1028,"&lt;=29/02"&amp;$C$7)</f>
        <v>0</v>
      </c>
      <c r="J105" s="256">
        <f>SUMIFS('Livro Diario - FC'!$M$11:$M1028,'Livro Diario - FC'!$E$11:$E1028,$C$105,'Livro Diario - FC'!$D$11:$D1028,"&gt;=01/02"&amp;$C$7,'Livro Diario - FC'!$D$11:$D1028,"&lt;=29/02"&amp;$C$7)</f>
        <v>0</v>
      </c>
      <c r="K105" s="273"/>
      <c r="L105" s="258"/>
      <c r="M105" s="259"/>
      <c r="N105" s="255">
        <f>SUMIFS('Livro Diario - FC'!$K$11:$K1028,'Livro Diario - FC'!$E$11:$E1028,$C$105,'Livro Diario - FC'!$D$11:$D1028,"&gt;=01/03"&amp;$C$7,'Livro Diario - FC'!$D$11:$D1028,"&lt;=31/03"&amp;$C$7)</f>
        <v>0</v>
      </c>
      <c r="O105" s="256">
        <f>SUMIFS('Livro Diario - FC'!$M$11:$M1028,'Livro Diario - FC'!$E$11:$E1028,$C$105,'Livro Diario - FC'!$D$11:$D1028,"&gt;=01/03"&amp;$C$7,'Livro Diario - FC'!$D$11:$D1028,"&lt;=31/03"&amp;$C$7)</f>
        <v>0</v>
      </c>
      <c r="P105" s="273"/>
      <c r="Q105" s="258"/>
      <c r="R105" s="259"/>
      <c r="S105" s="255">
        <f>SUMIFS('Livro Diario - FC'!$K$11:$K1028,'Livro Diario - FC'!$E$11:$E1028,$C$105,'Livro Diario - FC'!$D$11:$D1028,"&gt;=01/04"&amp;$C$7,'Livro Diario - FC'!$D$11:$D1028,"&lt;=30/04"&amp;$C$7)</f>
        <v>0</v>
      </c>
      <c r="T105" s="256">
        <f>SUMIFS('Livro Diario - FC'!$M$11:$M1028,'Livro Diario - FC'!$E$11:$E1028,$C$105,'Livro Diario - FC'!$D$11:$D1028,"&gt;=01/04"&amp;$C$7,'Livro Diario - FC'!$D$11:$D1028,"&lt;=30/04"&amp;$C$7)</f>
        <v>0</v>
      </c>
      <c r="U105" s="273"/>
      <c r="V105" s="258"/>
      <c r="W105" s="259"/>
      <c r="X105" s="255">
        <f>SUMIFS('Livro Diario - FC'!$K$11:$K1028,'Livro Diario - FC'!$E$11:$E1028,$C$105,'Livro Diario - FC'!$D$11:$D1028,"&gt;=01/05"&amp;$C$7,'Livro Diario - FC'!$D$11:$D1028,"&lt;=31/05"&amp;$C$7)</f>
        <v>0</v>
      </c>
      <c r="Y105" s="256">
        <f>SUMIFS('Livro Diario - FC'!$M$11:$M1028,'Livro Diario - FC'!$E$11:$E1028,$C$105,'Livro Diario - FC'!$D$11:$D1028,"&gt;=01/05"&amp;$C$7,'Livro Diario - FC'!$D$11:$D1028,"&lt;=31/05"&amp;$C$7)</f>
        <v>0</v>
      </c>
      <c r="Z105" s="273"/>
      <c r="AA105" s="258"/>
      <c r="AB105" s="259"/>
      <c r="AC105" s="255">
        <f>SUMIFS('Livro Diario - FC'!$K$11:$K1028,'Livro Diario - FC'!$E$11:$E1028,$C$105,'Livro Diario - FC'!$D$11:$D1028,"&gt;=01/06"&amp;$C$7,'Livro Diario - FC'!$D$11:$D1028,"&lt;=30/06"&amp;$C$7)</f>
        <v>0</v>
      </c>
      <c r="AD105" s="256">
        <f>SUMIFS('Livro Diario - FC'!$M$11:$M1028,'Livro Diario - FC'!$E$11:$E1028,$C$105,'Livro Diario - FC'!$D$11:$D1028,"&gt;=01/06"&amp;$C$7,'Livro Diario - FC'!$D$11:$D1028,"&lt;=30/06"&amp;$C$7)</f>
        <v>0</v>
      </c>
      <c r="AE105" s="273"/>
      <c r="AF105" s="258"/>
      <c r="AG105" s="255">
        <f>SUMIFS('Livro Diario - FC'!$K$11:$K1028,'Livro Diario - FC'!$E$11:$E1028,$C$105,'Livro Diario - FC'!$D$11:$D1028,"&gt;=01/07"&amp;$C$7,'Livro Diario - FC'!$D$11:$D1028,"&lt;=31/07"&amp;$C$7)</f>
        <v>0</v>
      </c>
      <c r="AH105" s="256">
        <f>SUMIFS('Livro Diario - FC'!$M$11:$M1028,'Livro Diario - FC'!$E$11:$E1028,$C$105,'Livro Diario - FC'!$D$11:$D1028,"&gt;=01/07"&amp;$C$7,'Livro Diario - FC'!$D$11:$D1028,"&lt;=31/07"&amp;$C$7)</f>
        <v>0</v>
      </c>
      <c r="AI105" s="273"/>
      <c r="AJ105" s="258"/>
      <c r="AK105" s="255">
        <f>SUMIFS('Livro Diario - FC'!$K$11:$K1028,'Livro Diario - FC'!$E$11:$E1028,$C$105,'Livro Diario - FC'!$D$11:$D1028,"&gt;=01/08"&amp;$C$7,'Livro Diario - FC'!$D$11:$D1028,"&lt;=31/08"&amp;$C$7)</f>
        <v>0</v>
      </c>
      <c r="AL105" s="256">
        <f>SUMIFS('Livro Diario - FC'!$M$11:$M1028,'Livro Diario - FC'!$E$11:$E1028,$C$105,'Livro Diario - FC'!$D$11:$D1028,"&gt;=01/08"&amp;$C$7,'Livro Diario - FC'!$D$11:$D1028,"&lt;=31/08"&amp;$C$7)</f>
        <v>0</v>
      </c>
      <c r="AM105" s="273"/>
      <c r="AN105" s="258"/>
      <c r="AO105" s="255">
        <f>SUMIFS('Livro Diario - FC'!$K$11:$K1028,'Livro Diario - FC'!$E$11:$E1028,$C$105,'Livro Diario - FC'!$D$11:$D1028,"&gt;=01/09"&amp;$C$7,'Livro Diario - FC'!$D$11:$D1028,"&lt;=30/09"&amp;$C$7)</f>
        <v>0</v>
      </c>
      <c r="AP105" s="256">
        <f>SUMIFS('Livro Diario - FC'!$M$11:$M1028,'Livro Diario - FC'!$E$11:$E1028,$C$105,'Livro Diario - FC'!$D$11:$D1028,"&gt;=01/09"&amp;$C$7,'Livro Diario - FC'!$D$11:$D1028,"&lt;=30/09"&amp;$C$7)</f>
        <v>0</v>
      </c>
      <c r="AQ105" s="273"/>
      <c r="AR105" s="258"/>
      <c r="AS105" s="255">
        <f>SUMIFS('Livro Diario - FC'!$K$11:$K1028,'Livro Diario - FC'!$E$11:$E1028,$C$105,'Livro Diario - FC'!$D$11:$D1028,"&gt;=01/10"&amp;$C$7,'Livro Diario - FC'!$D$11:$D1028,"&lt;=31/10"&amp;$C$7)</f>
        <v>0</v>
      </c>
      <c r="AT105" s="256">
        <f>SUMIFS('Livro Diario - FC'!$M$11:$M1028,'Livro Diario - FC'!$E$11:$E1028,$C$105,'Livro Diario - FC'!$D$11:$D1028,"&gt;=01/10"&amp;$C$7,'Livro Diario - FC'!$D$11:$D1028,"&lt;=31/10"&amp;$C$7)</f>
        <v>0</v>
      </c>
      <c r="AU105" s="273"/>
      <c r="AV105" s="258"/>
      <c r="AW105" s="255">
        <f>SUMIFS('Livro Diario - FC'!$K$11:$K1028,'Livro Diario - FC'!$E$11:$E1028,$C$105,'Livro Diario - FC'!$D$11:$D1028,"&gt;=01/11"&amp;$C$7,'Livro Diario - FC'!$D$11:$D1028,"&lt;=30/11"&amp;$C$7)</f>
        <v>0</v>
      </c>
      <c r="AX105" s="256">
        <f>SUMIFS('Livro Diario - FC'!$M$11:$M1028,'Livro Diario - FC'!$E$11:$E1028,$C$105,'Livro Diario - FC'!$D$11:$D1028,"&gt;=01/11"&amp;$C$7,'Livro Diario - FC'!$D$11:$D1028,"&lt;=30/11"&amp;$C$7)</f>
        <v>0</v>
      </c>
      <c r="AY105" s="273"/>
      <c r="AZ105" s="258"/>
      <c r="BA105" s="255">
        <f>SUMIFS('Livro Diario - FC'!$K$11:$K1028,'Livro Diario - FC'!$E$11:$E1028,$C$105,'Livro Diario - FC'!$D$11:$D1028,"&gt;=01/12"&amp;$C$7,'Livro Diario - FC'!$D$11:$D1028,"&lt;=31/12"&amp;$C$7)</f>
        <v>0</v>
      </c>
      <c r="BB105" s="256">
        <f>SUMIFS('Livro Diario - FC'!$M$11:$M1028,'Livro Diario - FC'!$E$11:$E1028,$C$105,'Livro Diario - FC'!$D$11:$D1028,"&gt;=01/12"&amp;$C$7,'Livro Diario - FC'!$D$11:$D1028,"&lt;=31/12"&amp;$C$7)</f>
        <v>0</v>
      </c>
      <c r="BC105" s="273"/>
      <c r="BD105" s="273"/>
      <c r="BE105" s="267">
        <f t="shared" ref="BE105:BF105" si="206">SUM(D105,I105,N105,S105,X105,AC105,AG105,AK105,AO105,AS105,AW105,BA105)</f>
        <v>59.29</v>
      </c>
      <c r="BF105" s="268">
        <f t="shared" si="206"/>
        <v>59.29</v>
      </c>
      <c r="BG105" s="269"/>
      <c r="BH105" s="192"/>
      <c r="BI105" s="270">
        <f>SUMIFS('Livro Diario - FC'!$M$11:$M1028,'Livro Diario - FC'!$E$11:$E1028,C105,'Livro Diario - FC'!$D$11:$D1028,"&gt;="&amp;$BK$8,'Livro Diario - FC'!$D$11:$D1028,"&lt;="&amp;$BK$9)</f>
        <v>0</v>
      </c>
      <c r="BJ105" s="271"/>
      <c r="BK105" s="272"/>
      <c r="BL105" s="1"/>
    </row>
    <row r="106">
      <c r="A106" s="1"/>
      <c r="B106" s="1"/>
      <c r="C106" s="338" t="str">
        <f>'Livro Diario - FC'!AE109</f>
        <v>Molho Pimenta</v>
      </c>
      <c r="D106" s="255">
        <f>SUMIFS('Livro Diario - FC'!$K$11:$K1028,'Livro Diario - FC'!$E$11:$E1028,$C$106,'Livro Diario - FC'!$D$11:$D1028,"&gt;=01/01"&amp;$C$7,'Livro Diario - FC'!$D$11:$D1028,"&lt;=31/01"&amp;$C$7)</f>
        <v>0</v>
      </c>
      <c r="E106" s="256">
        <f>SUMIFS('Livro Diario - FC'!$M$11:$M1028,'Livro Diario - FC'!$E$11:$E1028,$C$106,'Livro Diario - FC'!$D$11:$D1028,"&gt;=01/01"&amp;$C$7,'Livro Diario - FC'!$D$11:$D1028,"&lt;=31/01"&amp;$C$7)</f>
        <v>0</v>
      </c>
      <c r="F106" s="273"/>
      <c r="G106" s="258"/>
      <c r="H106" s="157"/>
      <c r="I106" s="255">
        <f>SUMIFS('Livro Diario - FC'!$K$11:$K1028,'Livro Diario - FC'!$E$11:$E1028,$C$106,'Livro Diario - FC'!$D$11:$D1028,"&gt;=01/02"&amp;$C$7,'Livro Diario - FC'!$D$11:$D1028,"&lt;=29/02"&amp;$C$7)</f>
        <v>0</v>
      </c>
      <c r="J106" s="256">
        <f>SUMIFS('Livro Diario - FC'!$M$11:$M1028,'Livro Diario - FC'!$E$11:$E1028,$C$106,'Livro Diario - FC'!$D$11:$D1028,"&gt;=01/02"&amp;$C$7,'Livro Diario - FC'!$D$11:$D1028,"&lt;=29/02"&amp;$C$7)</f>
        <v>0</v>
      </c>
      <c r="K106" s="273"/>
      <c r="L106" s="258"/>
      <c r="M106" s="259"/>
      <c r="N106" s="255">
        <f>SUMIFS('Livro Diario - FC'!$K$11:$K1028,'Livro Diario - FC'!$E$11:$E1028,$C$106,'Livro Diario - FC'!$D$11:$D1028,"&gt;=01/03"&amp;$C$7,'Livro Diario - FC'!$D$11:$D1028,"&lt;=31/03"&amp;$C$7)</f>
        <v>0</v>
      </c>
      <c r="O106" s="256">
        <f>SUMIFS('Livro Diario - FC'!$M$11:$M1028,'Livro Diario - FC'!$E$11:$E1028,$C$106,'Livro Diario - FC'!$D$11:$D1028,"&gt;=01/03"&amp;$C$7,'Livro Diario - FC'!$D$11:$D1028,"&lt;=31/03"&amp;$C$7)</f>
        <v>0</v>
      </c>
      <c r="P106" s="273"/>
      <c r="Q106" s="258"/>
      <c r="R106" s="259"/>
      <c r="S106" s="255">
        <f>SUMIFS('Livro Diario - FC'!$K$11:$K1028,'Livro Diario - FC'!$E$11:$E1028,$C$106,'Livro Diario - FC'!$D$11:$D1028,"&gt;=01/04"&amp;$C$7,'Livro Diario - FC'!$D$11:$D1028,"&lt;=30/04"&amp;$C$7)</f>
        <v>0</v>
      </c>
      <c r="T106" s="256">
        <f>SUMIFS('Livro Diario - FC'!$M$11:$M1028,'Livro Diario - FC'!$E$11:$E1028,$C$106,'Livro Diario - FC'!$D$11:$D1028,"&gt;=01/04"&amp;$C$7,'Livro Diario - FC'!$D$11:$D1028,"&lt;=30/04"&amp;$C$7)</f>
        <v>0</v>
      </c>
      <c r="U106" s="273"/>
      <c r="V106" s="258"/>
      <c r="W106" s="259"/>
      <c r="X106" s="255">
        <f>SUMIFS('Livro Diario - FC'!$K$11:$K1028,'Livro Diario - FC'!$E$11:$E1028,$C$106,'Livro Diario - FC'!$D$11:$D1028,"&gt;=01/05"&amp;$C$7,'Livro Diario - FC'!$D$11:$D1028,"&lt;=31/05"&amp;$C$7)</f>
        <v>0</v>
      </c>
      <c r="Y106" s="256">
        <f>SUMIFS('Livro Diario - FC'!$M$11:$M1028,'Livro Diario - FC'!$E$11:$E1028,$C$106,'Livro Diario - FC'!$D$11:$D1028,"&gt;=01/05"&amp;$C$7,'Livro Diario - FC'!$D$11:$D1028,"&lt;=31/05"&amp;$C$7)</f>
        <v>0</v>
      </c>
      <c r="Z106" s="273"/>
      <c r="AA106" s="258"/>
      <c r="AB106" s="259"/>
      <c r="AC106" s="255">
        <f>SUMIFS('Livro Diario - FC'!$K$11:$K1028,'Livro Diario - FC'!$E$11:$E1028,$C$106,'Livro Diario - FC'!$D$11:$D1028,"&gt;=01/06"&amp;$C$7,'Livro Diario - FC'!$D$11:$D1028,"&lt;=30/06"&amp;$C$7)</f>
        <v>0</v>
      </c>
      <c r="AD106" s="256">
        <f>SUMIFS('Livro Diario - FC'!$M$11:$M1028,'Livro Diario - FC'!$E$11:$E1028,$C$106,'Livro Diario - FC'!$D$11:$D1028,"&gt;=01/06"&amp;$C$7,'Livro Diario - FC'!$D$11:$D1028,"&lt;=30/06"&amp;$C$7)</f>
        <v>0</v>
      </c>
      <c r="AE106" s="273"/>
      <c r="AF106" s="258"/>
      <c r="AG106" s="255">
        <f>SUMIFS('Livro Diario - FC'!$K$11:$K1028,'Livro Diario - FC'!$E$11:$E1028,$C$106,'Livro Diario - FC'!$D$11:$D1028,"&gt;=01/07"&amp;$C$7,'Livro Diario - FC'!$D$11:$D1028,"&lt;=31/07"&amp;$C$7)</f>
        <v>0</v>
      </c>
      <c r="AH106" s="256">
        <f>SUMIFS('Livro Diario - FC'!$M$11:$M1028,'Livro Diario - FC'!$E$11:$E1028,$C$106,'Livro Diario - FC'!$D$11:$D1028,"&gt;=01/07"&amp;$C$7,'Livro Diario - FC'!$D$11:$D1028,"&lt;=31/07"&amp;$C$7)</f>
        <v>0</v>
      </c>
      <c r="AI106" s="273"/>
      <c r="AJ106" s="258"/>
      <c r="AK106" s="255">
        <f>SUMIFS('Livro Diario - FC'!$K$11:$K1028,'Livro Diario - FC'!$E$11:$E1028,$C$106,'Livro Diario - FC'!$D$11:$D1028,"&gt;=01/08"&amp;$C$7,'Livro Diario - FC'!$D$11:$D1028,"&lt;=31/08"&amp;$C$7)</f>
        <v>0</v>
      </c>
      <c r="AL106" s="256">
        <f>SUMIFS('Livro Diario - FC'!$M$11:$M1028,'Livro Diario - FC'!$E$11:$E1028,$C$106,'Livro Diario - FC'!$D$11:$D1028,"&gt;=01/08"&amp;$C$7,'Livro Diario - FC'!$D$11:$D1028,"&lt;=31/08"&amp;$C$7)</f>
        <v>0</v>
      </c>
      <c r="AM106" s="273"/>
      <c r="AN106" s="258"/>
      <c r="AO106" s="255">
        <f>SUMIFS('Livro Diario - FC'!$K$11:$K1028,'Livro Diario - FC'!$E$11:$E1028,$C$106,'Livro Diario - FC'!$D$11:$D1028,"&gt;=01/09"&amp;$C$7,'Livro Diario - FC'!$D$11:$D1028,"&lt;=30/09"&amp;$C$7)</f>
        <v>0</v>
      </c>
      <c r="AP106" s="256">
        <f>SUMIFS('Livro Diario - FC'!$M$11:$M1028,'Livro Diario - FC'!$E$11:$E1028,$C$106,'Livro Diario - FC'!$D$11:$D1028,"&gt;=01/09"&amp;$C$7,'Livro Diario - FC'!$D$11:$D1028,"&lt;=30/09"&amp;$C$7)</f>
        <v>0</v>
      </c>
      <c r="AQ106" s="273"/>
      <c r="AR106" s="258"/>
      <c r="AS106" s="255">
        <f>SUMIFS('Livro Diario - FC'!$K$11:$K1028,'Livro Diario - FC'!$E$11:$E1028,$C$106,'Livro Diario - FC'!$D$11:$D1028,"&gt;=01/10"&amp;$C$7,'Livro Diario - FC'!$D$11:$D1028,"&lt;=31/10"&amp;$C$7)</f>
        <v>0</v>
      </c>
      <c r="AT106" s="256">
        <f>SUMIFS('Livro Diario - FC'!$M$11:$M1028,'Livro Diario - FC'!$E$11:$E1028,$C$106,'Livro Diario - FC'!$D$11:$D1028,"&gt;=01/10"&amp;$C$7,'Livro Diario - FC'!$D$11:$D1028,"&lt;=31/10"&amp;$C$7)</f>
        <v>0</v>
      </c>
      <c r="AU106" s="273"/>
      <c r="AV106" s="258"/>
      <c r="AW106" s="255">
        <f>SUMIFS('Livro Diario - FC'!$K$11:$K1028,'Livro Diario - FC'!$E$11:$E1028,$C$106,'Livro Diario - FC'!$D$11:$D1028,"&gt;=01/11"&amp;$C$7,'Livro Diario - FC'!$D$11:$D1028,"&lt;=30/11"&amp;$C$7)</f>
        <v>0</v>
      </c>
      <c r="AX106" s="256">
        <f>SUMIFS('Livro Diario - FC'!$M$11:$M1028,'Livro Diario - FC'!$E$11:$E1028,$C$106,'Livro Diario - FC'!$D$11:$D1028,"&gt;=01/11"&amp;$C$7,'Livro Diario - FC'!$D$11:$D1028,"&lt;=30/11"&amp;$C$7)</f>
        <v>0</v>
      </c>
      <c r="AY106" s="273"/>
      <c r="AZ106" s="258"/>
      <c r="BA106" s="255">
        <f>SUMIFS('Livro Diario - FC'!$K$11:$K1028,'Livro Diario - FC'!$E$11:$E1028,$C$106,'Livro Diario - FC'!$D$11:$D1028,"&gt;=01/12"&amp;$C$7,'Livro Diario - FC'!$D$11:$D1028,"&lt;=31/12"&amp;$C$7)</f>
        <v>0</v>
      </c>
      <c r="BB106" s="256">
        <f>SUMIFS('Livro Diario - FC'!$M$11:$M1028,'Livro Diario - FC'!$E$11:$E1028,$C$106,'Livro Diario - FC'!$D$11:$D1028,"&gt;=01/12"&amp;$C$7,'Livro Diario - FC'!$D$11:$D1028,"&lt;=31/12"&amp;$C$7)</f>
        <v>0</v>
      </c>
      <c r="BC106" s="273"/>
      <c r="BD106" s="273"/>
      <c r="BE106" s="267">
        <f t="shared" ref="BE106:BF106" si="207">SUM(D106,I106,N106,S106,X106,AC106,AG106,AK106,AO106,AS106,AW106,BA106)</f>
        <v>0</v>
      </c>
      <c r="BF106" s="268">
        <f t="shared" si="207"/>
        <v>0</v>
      </c>
      <c r="BG106" s="269"/>
      <c r="BH106" s="192"/>
      <c r="BI106" s="270">
        <f>SUMIFS('Livro Diario - FC'!$M$11:$M1028,'Livro Diario - FC'!$E$11:$E1028,C106,'Livro Diario - FC'!$D$11:$D1028,"&gt;="&amp;$BK$8,'Livro Diario - FC'!$D$11:$D1028,"&lt;="&amp;$BK$9)</f>
        <v>0</v>
      </c>
      <c r="BJ106" s="271"/>
      <c r="BK106" s="272"/>
      <c r="BL106" s="1"/>
    </row>
    <row r="107">
      <c r="A107" s="1"/>
      <c r="B107" s="1"/>
      <c r="C107" s="338" t="str">
        <f>'Livro Diario - FC'!AE110</f>
        <v>Mostarda</v>
      </c>
      <c r="D107" s="255">
        <f>SUMIFS('Livro Diario - FC'!$K$11:$K1028,'Livro Diario - FC'!$E$11:$E1028,$C$107,'Livro Diario - FC'!$D$11:$D1028,"&gt;=01/01"&amp;$C$7,'Livro Diario - FC'!$D$11:$D1028,"&lt;=31/01"&amp;$C$7)</f>
        <v>14.25</v>
      </c>
      <c r="E107" s="256">
        <f>SUMIFS('Livro Diario - FC'!$M$11:$M1028,'Livro Diario - FC'!$E$11:$E1028,$C$107,'Livro Diario - FC'!$D$11:$D1028,"&gt;=01/01"&amp;$C$7,'Livro Diario - FC'!$D$11:$D1028,"&lt;=31/01"&amp;$C$7)</f>
        <v>14.25</v>
      </c>
      <c r="F107" s="273"/>
      <c r="G107" s="258"/>
      <c r="H107" s="157"/>
      <c r="I107" s="255">
        <f>SUMIFS('Livro Diario - FC'!$K$11:$K1028,'Livro Diario - FC'!$E$11:$E1028,$C$107,'Livro Diario - FC'!$D$11:$D1028,"&gt;=01/02"&amp;$C$7,'Livro Diario - FC'!$D$11:$D1028,"&lt;=29/02"&amp;$C$7)</f>
        <v>0</v>
      </c>
      <c r="J107" s="256">
        <f>SUMIFS('Livro Diario - FC'!$M$11:$M1028,'Livro Diario - FC'!$E$11:$E1028,$C$107,'Livro Diario - FC'!$D$11:$D1028,"&gt;=01/02"&amp;$C$7,'Livro Diario - FC'!$D$11:$D1028,"&lt;=29/02"&amp;$C$7)</f>
        <v>0</v>
      </c>
      <c r="K107" s="273"/>
      <c r="L107" s="258"/>
      <c r="M107" s="259"/>
      <c r="N107" s="255">
        <f>SUMIFS('Livro Diario - FC'!$K$11:$K1028,'Livro Diario - FC'!$E$11:$E1028,$C$107,'Livro Diario - FC'!$D$11:$D1028,"&gt;=01/03"&amp;$C$7,'Livro Diario - FC'!$D$11:$D1028,"&lt;=31/03"&amp;$C$7)</f>
        <v>0</v>
      </c>
      <c r="O107" s="256">
        <f>SUMIFS('Livro Diario - FC'!$M$11:$M1028,'Livro Diario - FC'!$E$11:$E1028,$C$107,'Livro Diario - FC'!$D$11:$D1028,"&gt;=01/03"&amp;$C$7,'Livro Diario - FC'!$D$11:$D1028,"&lt;=31/03"&amp;$C$7)</f>
        <v>0</v>
      </c>
      <c r="P107" s="273"/>
      <c r="Q107" s="258"/>
      <c r="R107" s="259"/>
      <c r="S107" s="255">
        <f>SUMIFS('Livro Diario - FC'!$K$11:$K1028,'Livro Diario - FC'!$E$11:$E1028,$C$107,'Livro Diario - FC'!$D$11:$D1028,"&gt;=01/04"&amp;$C$7,'Livro Diario - FC'!$D$11:$D1028,"&lt;=30/04"&amp;$C$7)</f>
        <v>0</v>
      </c>
      <c r="T107" s="256">
        <f>SUMIFS('Livro Diario - FC'!$M$11:$M1028,'Livro Diario - FC'!$E$11:$E1028,$C$107,'Livro Diario - FC'!$D$11:$D1028,"&gt;=01/04"&amp;$C$7,'Livro Diario - FC'!$D$11:$D1028,"&lt;=30/04"&amp;$C$7)</f>
        <v>0</v>
      </c>
      <c r="U107" s="273"/>
      <c r="V107" s="258"/>
      <c r="W107" s="259"/>
      <c r="X107" s="255">
        <f>SUMIFS('Livro Diario - FC'!$K$11:$K1028,'Livro Diario - FC'!$E$11:$E1028,$C$107,'Livro Diario - FC'!$D$11:$D1028,"&gt;=01/05"&amp;$C$7,'Livro Diario - FC'!$D$11:$D1028,"&lt;=31/05"&amp;$C$7)</f>
        <v>0</v>
      </c>
      <c r="Y107" s="256">
        <f>SUMIFS('Livro Diario - FC'!$M$11:$M1028,'Livro Diario - FC'!$E$11:$E1028,$C$107,'Livro Diario - FC'!$D$11:$D1028,"&gt;=01/05"&amp;$C$7,'Livro Diario - FC'!$D$11:$D1028,"&lt;=31/05"&amp;$C$7)</f>
        <v>0</v>
      </c>
      <c r="Z107" s="273"/>
      <c r="AA107" s="258"/>
      <c r="AB107" s="259"/>
      <c r="AC107" s="255">
        <f>SUMIFS('Livro Diario - FC'!$K$11:$K1028,'Livro Diario - FC'!$E$11:$E1028,$C$107,'Livro Diario - FC'!$D$11:$D1028,"&gt;=01/06"&amp;$C$7,'Livro Diario - FC'!$D$11:$D1028,"&lt;=30/06"&amp;$C$7)</f>
        <v>0</v>
      </c>
      <c r="AD107" s="256">
        <f>SUMIFS('Livro Diario - FC'!$M$11:$M1028,'Livro Diario - FC'!$E$11:$E1028,$C$107,'Livro Diario - FC'!$D$11:$D1028,"&gt;=01/06"&amp;$C$7,'Livro Diario - FC'!$D$11:$D1028,"&lt;=30/06"&amp;$C$7)</f>
        <v>0</v>
      </c>
      <c r="AE107" s="273"/>
      <c r="AF107" s="258"/>
      <c r="AG107" s="255">
        <f>SUMIFS('Livro Diario - FC'!$K$11:$K1028,'Livro Diario - FC'!$E$11:$E1028,$C$107,'Livro Diario - FC'!$D$11:$D1028,"&gt;=01/07"&amp;$C$7,'Livro Diario - FC'!$D$11:$D1028,"&lt;=31/07"&amp;$C$7)</f>
        <v>0</v>
      </c>
      <c r="AH107" s="256">
        <f>SUMIFS('Livro Diario - FC'!$M$11:$M1028,'Livro Diario - FC'!$E$11:$E1028,$C$107,'Livro Diario - FC'!$D$11:$D1028,"&gt;=01/07"&amp;$C$7,'Livro Diario - FC'!$D$11:$D1028,"&lt;=31/07"&amp;$C$7)</f>
        <v>0</v>
      </c>
      <c r="AI107" s="273"/>
      <c r="AJ107" s="258"/>
      <c r="AK107" s="255">
        <f>SUMIFS('Livro Diario - FC'!$K$11:$K1028,'Livro Diario - FC'!$E$11:$E1028,$C$107,'Livro Diario - FC'!$D$11:$D1028,"&gt;=01/08"&amp;$C$7,'Livro Diario - FC'!$D$11:$D1028,"&lt;=31/08"&amp;$C$7)</f>
        <v>0</v>
      </c>
      <c r="AL107" s="256">
        <f>SUMIFS('Livro Diario - FC'!$M$11:$M1028,'Livro Diario - FC'!$E$11:$E1028,$C$107,'Livro Diario - FC'!$D$11:$D1028,"&gt;=01/08"&amp;$C$7,'Livro Diario - FC'!$D$11:$D1028,"&lt;=31/08"&amp;$C$7)</f>
        <v>0</v>
      </c>
      <c r="AM107" s="273"/>
      <c r="AN107" s="258"/>
      <c r="AO107" s="255">
        <f>SUMIFS('Livro Diario - FC'!$K$11:$K1028,'Livro Diario - FC'!$E$11:$E1028,$C$107,'Livro Diario - FC'!$D$11:$D1028,"&gt;=01/09"&amp;$C$7,'Livro Diario - FC'!$D$11:$D1028,"&lt;=30/09"&amp;$C$7)</f>
        <v>0</v>
      </c>
      <c r="AP107" s="256">
        <f>SUMIFS('Livro Diario - FC'!$M$11:$M1028,'Livro Diario - FC'!$E$11:$E1028,$C$107,'Livro Diario - FC'!$D$11:$D1028,"&gt;=01/09"&amp;$C$7,'Livro Diario - FC'!$D$11:$D1028,"&lt;=30/09"&amp;$C$7)</f>
        <v>0</v>
      </c>
      <c r="AQ107" s="273"/>
      <c r="AR107" s="258"/>
      <c r="AS107" s="255">
        <f>SUMIFS('Livro Diario - FC'!$K$11:$K1028,'Livro Diario - FC'!$E$11:$E1028,$C$107,'Livro Diario - FC'!$D$11:$D1028,"&gt;=01/10"&amp;$C$7,'Livro Diario - FC'!$D$11:$D1028,"&lt;=31/10"&amp;$C$7)</f>
        <v>0</v>
      </c>
      <c r="AT107" s="256">
        <f>SUMIFS('Livro Diario - FC'!$M$11:$M1028,'Livro Diario - FC'!$E$11:$E1028,$C$107,'Livro Diario - FC'!$D$11:$D1028,"&gt;=01/10"&amp;$C$7,'Livro Diario - FC'!$D$11:$D1028,"&lt;=31/10"&amp;$C$7)</f>
        <v>0</v>
      </c>
      <c r="AU107" s="273"/>
      <c r="AV107" s="258"/>
      <c r="AW107" s="255">
        <f>SUMIFS('Livro Diario - FC'!$K$11:$K1028,'Livro Diario - FC'!$E$11:$E1028,$C$107,'Livro Diario - FC'!$D$11:$D1028,"&gt;=01/11"&amp;$C$7,'Livro Diario - FC'!$D$11:$D1028,"&lt;=30/11"&amp;$C$7)</f>
        <v>0</v>
      </c>
      <c r="AX107" s="256">
        <f>SUMIFS('Livro Diario - FC'!$M$11:$M1028,'Livro Diario - FC'!$E$11:$E1028,$C$107,'Livro Diario - FC'!$D$11:$D1028,"&gt;=01/11"&amp;$C$7,'Livro Diario - FC'!$D$11:$D1028,"&lt;=30/11"&amp;$C$7)</f>
        <v>0</v>
      </c>
      <c r="AY107" s="273"/>
      <c r="AZ107" s="258"/>
      <c r="BA107" s="255">
        <f>SUMIFS('Livro Diario - FC'!$K$11:$K1028,'Livro Diario - FC'!$E$11:$E1028,$C$107,'Livro Diario - FC'!$D$11:$D1028,"&gt;=01/12"&amp;$C$7,'Livro Diario - FC'!$D$11:$D1028,"&lt;=31/12"&amp;$C$7)</f>
        <v>0</v>
      </c>
      <c r="BB107" s="256">
        <f>SUMIFS('Livro Diario - FC'!$M$11:$M1028,'Livro Diario - FC'!$E$11:$E1028,$C$107,'Livro Diario - FC'!$D$11:$D1028,"&gt;=01/12"&amp;$C$7,'Livro Diario - FC'!$D$11:$D1028,"&lt;=31/12"&amp;$C$7)</f>
        <v>0</v>
      </c>
      <c r="BC107" s="273"/>
      <c r="BD107" s="273"/>
      <c r="BE107" s="267">
        <f t="shared" ref="BE107:BF107" si="208">SUM(D107,I107,N107,S107,X107,AC107,AG107,AK107,AO107,AS107,AW107,BA107)</f>
        <v>14.25</v>
      </c>
      <c r="BF107" s="268">
        <f t="shared" si="208"/>
        <v>14.25</v>
      </c>
      <c r="BG107" s="269"/>
      <c r="BH107" s="192"/>
      <c r="BI107" s="270">
        <f>SUMIFS('Livro Diario - FC'!$M$11:$M1028,'Livro Diario - FC'!$E$11:$E1028,C107,'Livro Diario - FC'!$D$11:$D1028,"&gt;="&amp;$BK$8,'Livro Diario - FC'!$D$11:$D1028,"&lt;="&amp;$BK$9)</f>
        <v>0</v>
      </c>
      <c r="BJ107" s="271"/>
      <c r="BK107" s="272"/>
      <c r="BL107" s="1"/>
    </row>
    <row r="108">
      <c r="A108" s="1"/>
      <c r="B108" s="1"/>
      <c r="C108" s="338" t="str">
        <f>'Livro Diario - FC'!AE111</f>
        <v>Manteiga de Garrafa</v>
      </c>
      <c r="D108" s="255">
        <f>SUMIFS('Livro Diario - FC'!$K$11:$K1028,'Livro Diario - FC'!$E$11:$E1028,$C$108,'Livro Diario - FC'!$D$11:$D1028,"&gt;=01/01"&amp;$C$7,'Livro Diario - FC'!$D$11:$D1028,"&lt;=31/01"&amp;$C$7)</f>
        <v>0</v>
      </c>
      <c r="E108" s="256">
        <f>SUMIFS('Livro Diario - FC'!$M$11:$M1028,'Livro Diario - FC'!$E$11:$E1028,$C$108,'Livro Diario - FC'!$D$11:$D1028,"&gt;=01/01"&amp;$C$7,'Livro Diario - FC'!$D$11:$D1028,"&lt;=31/01"&amp;$C$7)</f>
        <v>0</v>
      </c>
      <c r="F108" s="273"/>
      <c r="G108" s="258"/>
      <c r="H108" s="157"/>
      <c r="I108" s="255">
        <f>SUMIFS('Livro Diario - FC'!$K$11:$K1028,'Livro Diario - FC'!$E$11:$E1028,$C$108,'Livro Diario - FC'!$D$11:$D1028,"&gt;=01/02"&amp;$C$7,'Livro Diario - FC'!$D$11:$D1028,"&lt;=29/02"&amp;$C$7)</f>
        <v>0</v>
      </c>
      <c r="J108" s="256">
        <f>SUMIFS('Livro Diario - FC'!$M$11:$M1028,'Livro Diario - FC'!$E$11:$E1028,$C$108,'Livro Diario - FC'!$D$11:$D1028,"&gt;=01/02"&amp;$C$7,'Livro Diario - FC'!$D$11:$D1028,"&lt;=29/02"&amp;$C$7)</f>
        <v>0</v>
      </c>
      <c r="K108" s="273"/>
      <c r="L108" s="258"/>
      <c r="M108" s="259"/>
      <c r="N108" s="255">
        <f>SUMIFS('Livro Diario - FC'!$K$11:$K1028,'Livro Diario - FC'!$E$11:$E1028,$C$108,'Livro Diario - FC'!$D$11:$D1028,"&gt;=01/03"&amp;$C$7,'Livro Diario - FC'!$D$11:$D1028,"&lt;=31/03"&amp;$C$7)</f>
        <v>0</v>
      </c>
      <c r="O108" s="256">
        <f>SUMIFS('Livro Diario - FC'!$M$11:$M1028,'Livro Diario - FC'!$E$11:$E1028,$C$108,'Livro Diario - FC'!$D$11:$D1028,"&gt;=01/03"&amp;$C$7,'Livro Diario - FC'!$D$11:$D1028,"&lt;=31/03"&amp;$C$7)</f>
        <v>0</v>
      </c>
      <c r="P108" s="273"/>
      <c r="Q108" s="258"/>
      <c r="R108" s="259"/>
      <c r="S108" s="255">
        <f>SUMIFS('Livro Diario - FC'!$K$11:$K1028,'Livro Diario - FC'!$E$11:$E1028,$C$108,'Livro Diario - FC'!$D$11:$D1028,"&gt;=01/04"&amp;$C$7,'Livro Diario - FC'!$D$11:$D1028,"&lt;=30/04"&amp;$C$7)</f>
        <v>0</v>
      </c>
      <c r="T108" s="256">
        <f>SUMIFS('Livro Diario - FC'!$M$11:$M1028,'Livro Diario - FC'!$E$11:$E1028,$C$108,'Livro Diario - FC'!$D$11:$D1028,"&gt;=01/04"&amp;$C$7,'Livro Diario - FC'!$D$11:$D1028,"&lt;=30/04"&amp;$C$7)</f>
        <v>0</v>
      </c>
      <c r="U108" s="273"/>
      <c r="V108" s="258"/>
      <c r="W108" s="259"/>
      <c r="X108" s="255">
        <f>SUMIFS('Livro Diario - FC'!$K$11:$K1028,'Livro Diario - FC'!$E$11:$E1028,$C$108,'Livro Diario - FC'!$D$11:$D1028,"&gt;=01/05"&amp;$C$7,'Livro Diario - FC'!$D$11:$D1028,"&lt;=31/05"&amp;$C$7)</f>
        <v>0</v>
      </c>
      <c r="Y108" s="256">
        <f>SUMIFS('Livro Diario - FC'!$M$11:$M1028,'Livro Diario - FC'!$E$11:$E1028,$C$108,'Livro Diario - FC'!$D$11:$D1028,"&gt;=01/05"&amp;$C$7,'Livro Diario - FC'!$D$11:$D1028,"&lt;=31/05"&amp;$C$7)</f>
        <v>0</v>
      </c>
      <c r="Z108" s="273"/>
      <c r="AA108" s="258"/>
      <c r="AB108" s="259"/>
      <c r="AC108" s="255">
        <f>SUMIFS('Livro Diario - FC'!$K$11:$K1028,'Livro Diario - FC'!$E$11:$E1028,$C$108,'Livro Diario - FC'!$D$11:$D1028,"&gt;=01/06"&amp;$C$7,'Livro Diario - FC'!$D$11:$D1028,"&lt;=30/06"&amp;$C$7)</f>
        <v>0</v>
      </c>
      <c r="AD108" s="256">
        <f>SUMIFS('Livro Diario - FC'!$M$11:$M1028,'Livro Diario - FC'!$E$11:$E1028,$C$108,'Livro Diario - FC'!$D$11:$D1028,"&gt;=01/06"&amp;$C$7,'Livro Diario - FC'!$D$11:$D1028,"&lt;=30/06"&amp;$C$7)</f>
        <v>0</v>
      </c>
      <c r="AE108" s="273"/>
      <c r="AF108" s="258"/>
      <c r="AG108" s="255">
        <f>SUMIFS('Livro Diario - FC'!$K$11:$K1028,'Livro Diario - FC'!$E$11:$E1028,$C$108,'Livro Diario - FC'!$D$11:$D1028,"&gt;=01/07"&amp;$C$7,'Livro Diario - FC'!$D$11:$D1028,"&lt;=31/07"&amp;$C$7)</f>
        <v>0</v>
      </c>
      <c r="AH108" s="256">
        <f>SUMIFS('Livro Diario - FC'!$M$11:$M1028,'Livro Diario - FC'!$E$11:$E1028,$C$108,'Livro Diario - FC'!$D$11:$D1028,"&gt;=01/07"&amp;$C$7,'Livro Diario - FC'!$D$11:$D1028,"&lt;=31/07"&amp;$C$7)</f>
        <v>0</v>
      </c>
      <c r="AI108" s="273"/>
      <c r="AJ108" s="258"/>
      <c r="AK108" s="255">
        <f>SUMIFS('Livro Diario - FC'!$K$11:$K1028,'Livro Diario - FC'!$E$11:$E1028,$C$108,'Livro Diario - FC'!$D$11:$D1028,"&gt;=01/08"&amp;$C$7,'Livro Diario - FC'!$D$11:$D1028,"&lt;=31/08"&amp;$C$7)</f>
        <v>0</v>
      </c>
      <c r="AL108" s="256">
        <f>SUMIFS('Livro Diario - FC'!$M$11:$M1028,'Livro Diario - FC'!$E$11:$E1028,$C$108,'Livro Diario - FC'!$D$11:$D1028,"&gt;=01/08"&amp;$C$7,'Livro Diario - FC'!$D$11:$D1028,"&lt;=31/08"&amp;$C$7)</f>
        <v>0</v>
      </c>
      <c r="AM108" s="273"/>
      <c r="AN108" s="258"/>
      <c r="AO108" s="255">
        <f>SUMIFS('Livro Diario - FC'!$K$11:$K1028,'Livro Diario - FC'!$E$11:$E1028,$C$108,'Livro Diario - FC'!$D$11:$D1028,"&gt;=01/09"&amp;$C$7,'Livro Diario - FC'!$D$11:$D1028,"&lt;=30/09"&amp;$C$7)</f>
        <v>0</v>
      </c>
      <c r="AP108" s="256">
        <f>SUMIFS('Livro Diario - FC'!$M$11:$M1028,'Livro Diario - FC'!$E$11:$E1028,$C$108,'Livro Diario - FC'!$D$11:$D1028,"&gt;=01/09"&amp;$C$7,'Livro Diario - FC'!$D$11:$D1028,"&lt;=30/09"&amp;$C$7)</f>
        <v>0</v>
      </c>
      <c r="AQ108" s="273"/>
      <c r="AR108" s="258"/>
      <c r="AS108" s="255">
        <f>SUMIFS('Livro Diario - FC'!$K$11:$K1028,'Livro Diario - FC'!$E$11:$E1028,$C$108,'Livro Diario - FC'!$D$11:$D1028,"&gt;=01/10"&amp;$C$7,'Livro Diario - FC'!$D$11:$D1028,"&lt;=31/10"&amp;$C$7)</f>
        <v>0</v>
      </c>
      <c r="AT108" s="256">
        <f>SUMIFS('Livro Diario - FC'!$M$11:$M1028,'Livro Diario - FC'!$E$11:$E1028,$C$108,'Livro Diario - FC'!$D$11:$D1028,"&gt;=01/10"&amp;$C$7,'Livro Diario - FC'!$D$11:$D1028,"&lt;=31/10"&amp;$C$7)</f>
        <v>0</v>
      </c>
      <c r="AU108" s="273"/>
      <c r="AV108" s="258"/>
      <c r="AW108" s="255">
        <f>SUMIFS('Livro Diario - FC'!$K$11:$K1028,'Livro Diario - FC'!$E$11:$E1028,$C$108,'Livro Diario - FC'!$D$11:$D1028,"&gt;=01/11"&amp;$C$7,'Livro Diario - FC'!$D$11:$D1028,"&lt;=30/11"&amp;$C$7)</f>
        <v>0</v>
      </c>
      <c r="AX108" s="256">
        <f>SUMIFS('Livro Diario - FC'!$M$11:$M1028,'Livro Diario - FC'!$E$11:$E1028,$C$108,'Livro Diario - FC'!$D$11:$D1028,"&gt;=01/11"&amp;$C$7,'Livro Diario - FC'!$D$11:$D1028,"&lt;=30/11"&amp;$C$7)</f>
        <v>0</v>
      </c>
      <c r="AY108" s="273"/>
      <c r="AZ108" s="258"/>
      <c r="BA108" s="255">
        <f>SUMIFS('Livro Diario - FC'!$K$11:$K1028,'Livro Diario - FC'!$E$11:$E1028,$C$108,'Livro Diario - FC'!$D$11:$D1028,"&gt;=01/12"&amp;$C$7,'Livro Diario - FC'!$D$11:$D1028,"&lt;=31/12"&amp;$C$7)</f>
        <v>0</v>
      </c>
      <c r="BB108" s="256">
        <f>SUMIFS('Livro Diario - FC'!$M$11:$M1028,'Livro Diario - FC'!$E$11:$E1028,$C$108,'Livro Diario - FC'!$D$11:$D1028,"&gt;=01/12"&amp;$C$7,'Livro Diario - FC'!$D$11:$D1028,"&lt;=31/12"&amp;$C$7)</f>
        <v>0</v>
      </c>
      <c r="BC108" s="273"/>
      <c r="BD108" s="273"/>
      <c r="BE108" s="267">
        <f t="shared" ref="BE108:BF108" si="209">SUM(D108,I108,N108,S108,X108,AC108,AG108,AK108,AO108,AS108,AW108,BA108)</f>
        <v>0</v>
      </c>
      <c r="BF108" s="268">
        <f t="shared" si="209"/>
        <v>0</v>
      </c>
      <c r="BG108" s="269"/>
      <c r="BH108" s="192"/>
      <c r="BI108" s="270">
        <f>SUMIFS('Livro Diario - FC'!$M$11:$M1028,'Livro Diario - FC'!$E$11:$E1028,C108,'Livro Diario - FC'!$D$11:$D1028,"&gt;="&amp;$BK$8,'Livro Diario - FC'!$D$11:$D1028,"&lt;="&amp;$BK$9)</f>
        <v>0</v>
      </c>
      <c r="BJ108" s="271"/>
      <c r="BK108" s="272"/>
      <c r="BL108" s="1"/>
    </row>
    <row r="109">
      <c r="A109" s="1"/>
      <c r="B109" s="1"/>
      <c r="C109" s="338" t="str">
        <f>'Livro Diario - FC'!AE112</f>
        <v>Azeite de Dende</v>
      </c>
      <c r="D109" s="255">
        <f>SUMIFS('Livro Diario - FC'!$K$11:$K1028,'Livro Diario - FC'!$E$11:$E1028,$C$109,'Livro Diario - FC'!$D$11:$D1028,"&gt;=01/01"&amp;$C$7,'Livro Diario - FC'!$D$11:$D1028,"&lt;=31/01"&amp;$C$7)</f>
        <v>0</v>
      </c>
      <c r="E109" s="256">
        <f>SUMIFS('Livro Diario - FC'!$M$11:$M1028,'Livro Diario - FC'!$E$11:$E1028,$C$109,'Livro Diario - FC'!$D$11:$D1028,"&gt;=01/01"&amp;$C$7,'Livro Diario - FC'!$D$11:$D1028,"&lt;=31/01"&amp;$C$7)</f>
        <v>0</v>
      </c>
      <c r="F109" s="273"/>
      <c r="G109" s="258"/>
      <c r="H109" s="157"/>
      <c r="I109" s="255">
        <f>SUMIFS('Livro Diario - FC'!$K$11:$K1028,'Livro Diario - FC'!$E$11:$E1028,$C$109,'Livro Diario - FC'!$D$11:$D1028,"&gt;=01/02"&amp;$C$7,'Livro Diario - FC'!$D$11:$D1028,"&lt;=29/02"&amp;$C$7)</f>
        <v>0</v>
      </c>
      <c r="J109" s="256">
        <f>SUMIFS('Livro Diario - FC'!$M$11:$M1028,'Livro Diario - FC'!$E$11:$E1028,$C$109,'Livro Diario - FC'!$D$11:$D1028,"&gt;=01/02"&amp;$C$7,'Livro Diario - FC'!$D$11:$D1028,"&lt;=29/02"&amp;$C$7)</f>
        <v>0</v>
      </c>
      <c r="K109" s="273"/>
      <c r="L109" s="258"/>
      <c r="M109" s="259"/>
      <c r="N109" s="255">
        <f>SUMIFS('Livro Diario - FC'!$K$11:$K1028,'Livro Diario - FC'!$E$11:$E1028,$C$109,'Livro Diario - FC'!$D$11:$D1028,"&gt;=01/03"&amp;$C$7,'Livro Diario - FC'!$D$11:$D1028,"&lt;=31/03"&amp;$C$7)</f>
        <v>0</v>
      </c>
      <c r="O109" s="256">
        <f>SUMIFS('Livro Diario - FC'!$M$11:$M1028,'Livro Diario - FC'!$E$11:$E1028,$C$109,'Livro Diario - FC'!$D$11:$D1028,"&gt;=01/03"&amp;$C$7,'Livro Diario - FC'!$D$11:$D1028,"&lt;=31/03"&amp;$C$7)</f>
        <v>0</v>
      </c>
      <c r="P109" s="273"/>
      <c r="Q109" s="258"/>
      <c r="R109" s="259"/>
      <c r="S109" s="255">
        <f>SUMIFS('Livro Diario - FC'!$K$11:$K1028,'Livro Diario - FC'!$E$11:$E1028,$C$109,'Livro Diario - FC'!$D$11:$D1028,"&gt;=01/04"&amp;$C$7,'Livro Diario - FC'!$D$11:$D1028,"&lt;=30/04"&amp;$C$7)</f>
        <v>0</v>
      </c>
      <c r="T109" s="256">
        <f>SUMIFS('Livro Diario - FC'!$M$11:$M1028,'Livro Diario - FC'!$E$11:$E1028,$C$109,'Livro Diario - FC'!$D$11:$D1028,"&gt;=01/04"&amp;$C$7,'Livro Diario - FC'!$D$11:$D1028,"&lt;=30/04"&amp;$C$7)</f>
        <v>0</v>
      </c>
      <c r="U109" s="273"/>
      <c r="V109" s="258"/>
      <c r="W109" s="259"/>
      <c r="X109" s="255">
        <f>SUMIFS('Livro Diario - FC'!$K$11:$K1028,'Livro Diario - FC'!$E$11:$E1028,$C$109,'Livro Diario - FC'!$D$11:$D1028,"&gt;=01/05"&amp;$C$7,'Livro Diario - FC'!$D$11:$D1028,"&lt;=31/05"&amp;$C$7)</f>
        <v>0</v>
      </c>
      <c r="Y109" s="256">
        <f>SUMIFS('Livro Diario - FC'!$M$11:$M1028,'Livro Diario - FC'!$E$11:$E1028,$C$109,'Livro Diario - FC'!$D$11:$D1028,"&gt;=01/05"&amp;$C$7,'Livro Diario - FC'!$D$11:$D1028,"&lt;=31/05"&amp;$C$7)</f>
        <v>0</v>
      </c>
      <c r="Z109" s="273"/>
      <c r="AA109" s="258"/>
      <c r="AB109" s="259"/>
      <c r="AC109" s="255">
        <f>SUMIFS('Livro Diario - FC'!$K$11:$K1028,'Livro Diario - FC'!$E$11:$E1028,$C$109,'Livro Diario - FC'!$D$11:$D1028,"&gt;=01/06"&amp;$C$7,'Livro Diario - FC'!$D$11:$D1028,"&lt;=30/06"&amp;$C$7)</f>
        <v>0</v>
      </c>
      <c r="AD109" s="256">
        <f>SUMIFS('Livro Diario - FC'!$M$11:$M1028,'Livro Diario - FC'!$E$11:$E1028,$C$109,'Livro Diario - FC'!$D$11:$D1028,"&gt;=01/06"&amp;$C$7,'Livro Diario - FC'!$D$11:$D1028,"&lt;=30/06"&amp;$C$7)</f>
        <v>0</v>
      </c>
      <c r="AE109" s="273"/>
      <c r="AF109" s="258"/>
      <c r="AG109" s="255">
        <f>SUMIFS('Livro Diario - FC'!$K$11:$K1028,'Livro Diario - FC'!$E$11:$E1028,$C$109,'Livro Diario - FC'!$D$11:$D1028,"&gt;=01/07"&amp;$C$7,'Livro Diario - FC'!$D$11:$D1028,"&lt;=31/07"&amp;$C$7)</f>
        <v>0</v>
      </c>
      <c r="AH109" s="256">
        <f>SUMIFS('Livro Diario - FC'!$M$11:$M1028,'Livro Diario - FC'!$E$11:$E1028,$C$109,'Livro Diario - FC'!$D$11:$D1028,"&gt;=01/07"&amp;$C$7,'Livro Diario - FC'!$D$11:$D1028,"&lt;=31/07"&amp;$C$7)</f>
        <v>0</v>
      </c>
      <c r="AI109" s="273"/>
      <c r="AJ109" s="258"/>
      <c r="AK109" s="255">
        <f>SUMIFS('Livro Diario - FC'!$K$11:$K1028,'Livro Diario - FC'!$E$11:$E1028,$C$109,'Livro Diario - FC'!$D$11:$D1028,"&gt;=01/08"&amp;$C$7,'Livro Diario - FC'!$D$11:$D1028,"&lt;=31/08"&amp;$C$7)</f>
        <v>0</v>
      </c>
      <c r="AL109" s="256">
        <f>SUMIFS('Livro Diario - FC'!$M$11:$M1028,'Livro Diario - FC'!$E$11:$E1028,$C$109,'Livro Diario - FC'!$D$11:$D1028,"&gt;=01/08"&amp;$C$7,'Livro Diario - FC'!$D$11:$D1028,"&lt;=31/08"&amp;$C$7)</f>
        <v>0</v>
      </c>
      <c r="AM109" s="273"/>
      <c r="AN109" s="258"/>
      <c r="AO109" s="255">
        <f>SUMIFS('Livro Diario - FC'!$K$11:$K1028,'Livro Diario - FC'!$E$11:$E1028,$C$109,'Livro Diario - FC'!$D$11:$D1028,"&gt;=01/09"&amp;$C$7,'Livro Diario - FC'!$D$11:$D1028,"&lt;=30/09"&amp;$C$7)</f>
        <v>0</v>
      </c>
      <c r="AP109" s="256">
        <f>SUMIFS('Livro Diario - FC'!$M$11:$M1028,'Livro Diario - FC'!$E$11:$E1028,$C$109,'Livro Diario - FC'!$D$11:$D1028,"&gt;=01/09"&amp;$C$7,'Livro Diario - FC'!$D$11:$D1028,"&lt;=30/09"&amp;$C$7)</f>
        <v>0</v>
      </c>
      <c r="AQ109" s="273"/>
      <c r="AR109" s="258"/>
      <c r="AS109" s="255">
        <f>SUMIFS('Livro Diario - FC'!$K$11:$K1028,'Livro Diario - FC'!$E$11:$E1028,$C$109,'Livro Diario - FC'!$D$11:$D1028,"&gt;=01/10"&amp;$C$7,'Livro Diario - FC'!$D$11:$D1028,"&lt;=31/10"&amp;$C$7)</f>
        <v>0</v>
      </c>
      <c r="AT109" s="256">
        <f>SUMIFS('Livro Diario - FC'!$M$11:$M1028,'Livro Diario - FC'!$E$11:$E1028,$C$109,'Livro Diario - FC'!$D$11:$D1028,"&gt;=01/10"&amp;$C$7,'Livro Diario - FC'!$D$11:$D1028,"&lt;=31/10"&amp;$C$7)</f>
        <v>0</v>
      </c>
      <c r="AU109" s="273"/>
      <c r="AV109" s="258"/>
      <c r="AW109" s="255">
        <f>SUMIFS('Livro Diario - FC'!$K$11:$K1028,'Livro Diario - FC'!$E$11:$E1028,$C$109,'Livro Diario - FC'!$D$11:$D1028,"&gt;=01/11"&amp;$C$7,'Livro Diario - FC'!$D$11:$D1028,"&lt;=30/11"&amp;$C$7)</f>
        <v>0</v>
      </c>
      <c r="AX109" s="256">
        <f>SUMIFS('Livro Diario - FC'!$M$11:$M1028,'Livro Diario - FC'!$E$11:$E1028,$C$109,'Livro Diario - FC'!$D$11:$D1028,"&gt;=01/11"&amp;$C$7,'Livro Diario - FC'!$D$11:$D1028,"&lt;=30/11"&amp;$C$7)</f>
        <v>0</v>
      </c>
      <c r="AY109" s="273"/>
      <c r="AZ109" s="258"/>
      <c r="BA109" s="255">
        <f>SUMIFS('Livro Diario - FC'!$K$11:$K1028,'Livro Diario - FC'!$E$11:$E1028,$C$109,'Livro Diario - FC'!$D$11:$D1028,"&gt;=01/12"&amp;$C$7,'Livro Diario - FC'!$D$11:$D1028,"&lt;=31/12"&amp;$C$7)</f>
        <v>0</v>
      </c>
      <c r="BB109" s="256">
        <f>SUMIFS('Livro Diario - FC'!$M$11:$M1028,'Livro Diario - FC'!$E$11:$E1028,$C$109,'Livro Diario - FC'!$D$11:$D1028,"&gt;=01/12"&amp;$C$7,'Livro Diario - FC'!$D$11:$D1028,"&lt;=31/12"&amp;$C$7)</f>
        <v>0</v>
      </c>
      <c r="BC109" s="273"/>
      <c r="BD109" s="273"/>
      <c r="BE109" s="267">
        <f t="shared" ref="BE109:BF109" si="210">SUM(D109,I109,N109,S109,X109,AC109,AG109,AK109,AO109,AS109,AW109,BA109)</f>
        <v>0</v>
      </c>
      <c r="BF109" s="268">
        <f t="shared" si="210"/>
        <v>0</v>
      </c>
      <c r="BG109" s="269"/>
      <c r="BH109" s="192"/>
      <c r="BI109" s="270">
        <f>SUMIFS('Livro Diario - FC'!$M$11:$M1028,'Livro Diario - FC'!$E$11:$E1028,C109,'Livro Diario - FC'!$D$11:$D1028,"&gt;="&amp;$BK$8,'Livro Diario - FC'!$D$11:$D1028,"&lt;="&amp;$BK$9)</f>
        <v>0</v>
      </c>
      <c r="BJ109" s="271"/>
      <c r="BK109" s="272"/>
      <c r="BL109" s="1"/>
    </row>
    <row r="110">
      <c r="A110" s="1"/>
      <c r="B110" s="1"/>
      <c r="C110" s="338" t="str">
        <f>'Livro Diario - FC'!AE113</f>
        <v>Molho de Tomate (Pronto)</v>
      </c>
      <c r="D110" s="255">
        <f>SUMIFS('Livro Diario - FC'!$K$11:$K1028,'Livro Diario - FC'!$E$11:$E1028,$C$110,'Livro Diario - FC'!$D$11:$D1028,"&gt;=01/01"&amp;$C$7,'Livro Diario - FC'!$D$11:$D1028,"&lt;=31/01"&amp;$C$7)</f>
        <v>60.04</v>
      </c>
      <c r="E110" s="256">
        <f>SUMIFS('Livro Diario - FC'!$M$11:$M1028,'Livro Diario - FC'!$E$11:$E1028,$C$110,'Livro Diario - FC'!$D$11:$D1028,"&gt;=01/01"&amp;$C$7,'Livro Diario - FC'!$D$11:$D1028,"&lt;=31/01"&amp;$C$7)</f>
        <v>60.04</v>
      </c>
      <c r="F110" s="273"/>
      <c r="G110" s="258"/>
      <c r="H110" s="157"/>
      <c r="I110" s="255">
        <f>SUMIFS('Livro Diario - FC'!$K$11:$K1028,'Livro Diario - FC'!$E$11:$E1028,$C$110,'Livro Diario - FC'!$D$11:$D1028,"&gt;=01/02"&amp;$C$7,'Livro Diario - FC'!$D$11:$D1028,"&lt;=29/02"&amp;$C$7)</f>
        <v>0</v>
      </c>
      <c r="J110" s="256">
        <f>SUMIFS('Livro Diario - FC'!$M$11:$M1028,'Livro Diario - FC'!$E$11:$E1028,$C$110,'Livro Diario - FC'!$D$11:$D1028,"&gt;=01/02"&amp;$C$7,'Livro Diario - FC'!$D$11:$D1028,"&lt;=29/02"&amp;$C$7)</f>
        <v>0</v>
      </c>
      <c r="K110" s="273"/>
      <c r="L110" s="258"/>
      <c r="M110" s="259"/>
      <c r="N110" s="255">
        <f>SUMIFS('Livro Diario - FC'!$K$11:$K1028,'Livro Diario - FC'!$E$11:$E1028,$C$110,'Livro Diario - FC'!$D$11:$D1028,"&gt;=01/03"&amp;$C$7,'Livro Diario - FC'!$D$11:$D1028,"&lt;=31/03"&amp;$C$7)</f>
        <v>0</v>
      </c>
      <c r="O110" s="256">
        <f>SUMIFS('Livro Diario - FC'!$M$11:$M1028,'Livro Diario - FC'!$E$11:$E1028,$C$110,'Livro Diario - FC'!$D$11:$D1028,"&gt;=01/03"&amp;$C$7,'Livro Diario - FC'!$D$11:$D1028,"&lt;=31/03"&amp;$C$7)</f>
        <v>0</v>
      </c>
      <c r="P110" s="273"/>
      <c r="Q110" s="258"/>
      <c r="R110" s="259"/>
      <c r="S110" s="255">
        <f>SUMIFS('Livro Diario - FC'!$K$11:$K1028,'Livro Diario - FC'!$E$11:$E1028,$C$110,'Livro Diario - FC'!$D$11:$D1028,"&gt;=01/04"&amp;$C$7,'Livro Diario - FC'!$D$11:$D1028,"&lt;=30/04"&amp;$C$7)</f>
        <v>0</v>
      </c>
      <c r="T110" s="256">
        <f>SUMIFS('Livro Diario - FC'!$M$11:$M1028,'Livro Diario - FC'!$E$11:$E1028,$C$110,'Livro Diario - FC'!$D$11:$D1028,"&gt;=01/04"&amp;$C$7,'Livro Diario - FC'!$D$11:$D1028,"&lt;=30/04"&amp;$C$7)</f>
        <v>0</v>
      </c>
      <c r="U110" s="273"/>
      <c r="V110" s="258"/>
      <c r="W110" s="259"/>
      <c r="X110" s="255">
        <f>SUMIFS('Livro Diario - FC'!$K$11:$K1028,'Livro Diario - FC'!$E$11:$E1028,$C$110,'Livro Diario - FC'!$D$11:$D1028,"&gt;=01/05"&amp;$C$7,'Livro Diario - FC'!$D$11:$D1028,"&lt;=31/05"&amp;$C$7)</f>
        <v>0</v>
      </c>
      <c r="Y110" s="256">
        <f>SUMIFS('Livro Diario - FC'!$M$11:$M1028,'Livro Diario - FC'!$E$11:$E1028,$C$110,'Livro Diario - FC'!$D$11:$D1028,"&gt;=01/05"&amp;$C$7,'Livro Diario - FC'!$D$11:$D1028,"&lt;=31/05"&amp;$C$7)</f>
        <v>0</v>
      </c>
      <c r="Z110" s="273"/>
      <c r="AA110" s="258"/>
      <c r="AB110" s="259"/>
      <c r="AC110" s="255">
        <f>SUMIFS('Livro Diario - FC'!$K$11:$K1028,'Livro Diario - FC'!$E$11:$E1028,$C$110,'Livro Diario - FC'!$D$11:$D1028,"&gt;=01/06"&amp;$C$7,'Livro Diario - FC'!$D$11:$D1028,"&lt;=30/06"&amp;$C$7)</f>
        <v>0</v>
      </c>
      <c r="AD110" s="256">
        <f>SUMIFS('Livro Diario - FC'!$M$11:$M1028,'Livro Diario - FC'!$E$11:$E1028,$C$110,'Livro Diario - FC'!$D$11:$D1028,"&gt;=01/06"&amp;$C$7,'Livro Diario - FC'!$D$11:$D1028,"&lt;=30/06"&amp;$C$7)</f>
        <v>0</v>
      </c>
      <c r="AE110" s="273"/>
      <c r="AF110" s="258"/>
      <c r="AG110" s="255">
        <f>SUMIFS('Livro Diario - FC'!$K$11:$K1028,'Livro Diario - FC'!$E$11:$E1028,$C$110,'Livro Diario - FC'!$D$11:$D1028,"&gt;=01/07"&amp;$C$7,'Livro Diario - FC'!$D$11:$D1028,"&lt;=31/07"&amp;$C$7)</f>
        <v>0</v>
      </c>
      <c r="AH110" s="256">
        <f>SUMIFS('Livro Diario - FC'!$M$11:$M1028,'Livro Diario - FC'!$E$11:$E1028,$C$110,'Livro Diario - FC'!$D$11:$D1028,"&gt;=01/07"&amp;$C$7,'Livro Diario - FC'!$D$11:$D1028,"&lt;=31/07"&amp;$C$7)</f>
        <v>0</v>
      </c>
      <c r="AI110" s="273"/>
      <c r="AJ110" s="258"/>
      <c r="AK110" s="255">
        <f>SUMIFS('Livro Diario - FC'!$K$11:$K1028,'Livro Diario - FC'!$E$11:$E1028,$C$110,'Livro Diario - FC'!$D$11:$D1028,"&gt;=01/08"&amp;$C$7,'Livro Diario - FC'!$D$11:$D1028,"&lt;=31/08"&amp;$C$7)</f>
        <v>0</v>
      </c>
      <c r="AL110" s="256">
        <f>SUMIFS('Livro Diario - FC'!$M$11:$M1028,'Livro Diario - FC'!$E$11:$E1028,$C$110,'Livro Diario - FC'!$D$11:$D1028,"&gt;=01/08"&amp;$C$7,'Livro Diario - FC'!$D$11:$D1028,"&lt;=31/08"&amp;$C$7)</f>
        <v>0</v>
      </c>
      <c r="AM110" s="273"/>
      <c r="AN110" s="258"/>
      <c r="AO110" s="255">
        <f>SUMIFS('Livro Diario - FC'!$K$11:$K1028,'Livro Diario - FC'!$E$11:$E1028,$C$110,'Livro Diario - FC'!$D$11:$D1028,"&gt;=01/09"&amp;$C$7,'Livro Diario - FC'!$D$11:$D1028,"&lt;=30/09"&amp;$C$7)</f>
        <v>0</v>
      </c>
      <c r="AP110" s="256">
        <f>SUMIFS('Livro Diario - FC'!$M$11:$M1028,'Livro Diario - FC'!$E$11:$E1028,$C$110,'Livro Diario - FC'!$D$11:$D1028,"&gt;=01/09"&amp;$C$7,'Livro Diario - FC'!$D$11:$D1028,"&lt;=30/09"&amp;$C$7)</f>
        <v>0</v>
      </c>
      <c r="AQ110" s="273"/>
      <c r="AR110" s="258"/>
      <c r="AS110" s="255">
        <f>SUMIFS('Livro Diario - FC'!$K$11:$K1028,'Livro Diario - FC'!$E$11:$E1028,$C$110,'Livro Diario - FC'!$D$11:$D1028,"&gt;=01/10"&amp;$C$7,'Livro Diario - FC'!$D$11:$D1028,"&lt;=31/10"&amp;$C$7)</f>
        <v>0</v>
      </c>
      <c r="AT110" s="256">
        <f>SUMIFS('Livro Diario - FC'!$M$11:$M1028,'Livro Diario - FC'!$E$11:$E1028,$C$110,'Livro Diario - FC'!$D$11:$D1028,"&gt;=01/10"&amp;$C$7,'Livro Diario - FC'!$D$11:$D1028,"&lt;=31/10"&amp;$C$7)</f>
        <v>0</v>
      </c>
      <c r="AU110" s="273"/>
      <c r="AV110" s="258"/>
      <c r="AW110" s="255">
        <f>SUMIFS('Livro Diario - FC'!$K$11:$K1028,'Livro Diario - FC'!$E$11:$E1028,$C$110,'Livro Diario - FC'!$D$11:$D1028,"&gt;=01/11"&amp;$C$7,'Livro Diario - FC'!$D$11:$D1028,"&lt;=30/11"&amp;$C$7)</f>
        <v>0</v>
      </c>
      <c r="AX110" s="256">
        <f>SUMIFS('Livro Diario - FC'!$M$11:$M1028,'Livro Diario - FC'!$E$11:$E1028,$C$110,'Livro Diario - FC'!$D$11:$D1028,"&gt;=01/11"&amp;$C$7,'Livro Diario - FC'!$D$11:$D1028,"&lt;=30/11"&amp;$C$7)</f>
        <v>0</v>
      </c>
      <c r="AY110" s="273"/>
      <c r="AZ110" s="258"/>
      <c r="BA110" s="255">
        <f>SUMIFS('Livro Diario - FC'!$K$11:$K1028,'Livro Diario - FC'!$E$11:$E1028,$C$110,'Livro Diario - FC'!$D$11:$D1028,"&gt;=01/12"&amp;$C$7,'Livro Diario - FC'!$D$11:$D1028,"&lt;=31/12"&amp;$C$7)</f>
        <v>0</v>
      </c>
      <c r="BB110" s="256">
        <f>SUMIFS('Livro Diario - FC'!$M$11:$M1028,'Livro Diario - FC'!$E$11:$E1028,$C$110,'Livro Diario - FC'!$D$11:$D1028,"&gt;=01/12"&amp;$C$7,'Livro Diario - FC'!$D$11:$D1028,"&lt;=31/12"&amp;$C$7)</f>
        <v>0</v>
      </c>
      <c r="BC110" s="273"/>
      <c r="BD110" s="273"/>
      <c r="BE110" s="267">
        <f t="shared" ref="BE110:BF110" si="211">SUM(D110,I110,N110,S110,X110,AC110,AG110,AK110,AO110,AS110,AW110,BA110)</f>
        <v>60.04</v>
      </c>
      <c r="BF110" s="268">
        <f t="shared" si="211"/>
        <v>60.04</v>
      </c>
      <c r="BG110" s="269"/>
      <c r="BH110" s="192"/>
      <c r="BI110" s="270">
        <f>SUMIFS('Livro Diario - FC'!$M$11:$M1028,'Livro Diario - FC'!$E$11:$E1028,C110,'Livro Diario - FC'!$D$11:$D1028,"&gt;="&amp;$BK$8,'Livro Diario - FC'!$D$11:$D1028,"&lt;="&amp;$BK$9)</f>
        <v>0</v>
      </c>
      <c r="BJ110" s="271"/>
      <c r="BK110" s="272"/>
      <c r="BL110" s="1"/>
    </row>
    <row r="111">
      <c r="A111" s="1"/>
      <c r="B111" s="1"/>
      <c r="C111" s="338" t="str">
        <f>'Livro Diario - FC'!AE114</f>
        <v>Coca-Cola Lata</v>
      </c>
      <c r="D111" s="255">
        <f>SUMIFS('Livro Diario - FC'!$K$11:$K1028,'Livro Diario - FC'!$E$11:$E1028,$C$111,'Livro Diario - FC'!$D$11:$D1028,"&gt;=01/01"&amp;$C$7,'Livro Diario - FC'!$D$11:$D1028,"&lt;=31/01"&amp;$C$7)</f>
        <v>37.84</v>
      </c>
      <c r="E111" s="256">
        <f>SUMIFS('Livro Diario - FC'!$M$11:$M1028,'Livro Diario - FC'!$E$11:$E1028,$C$111,'Livro Diario - FC'!$D$11:$D1028,"&gt;=01/01"&amp;$C$7,'Livro Diario - FC'!$D$11:$D1028,"&lt;=31/01"&amp;$C$7)</f>
        <v>37.84</v>
      </c>
      <c r="F111" s="273"/>
      <c r="G111" s="258"/>
      <c r="H111" s="157"/>
      <c r="I111" s="255">
        <f>SUMIFS('Livro Diario - FC'!$K$11:$K1028,'Livro Diario - FC'!$E$11:$E1028,$C$111,'Livro Diario - FC'!$D$11:$D1028,"&gt;=01/02"&amp;$C$7,'Livro Diario - FC'!$D$11:$D1028,"&lt;=29/02"&amp;$C$7)</f>
        <v>0</v>
      </c>
      <c r="J111" s="256">
        <f>SUMIFS('Livro Diario - FC'!$M$11:$M1028,'Livro Diario - FC'!$E$11:$E1028,$C$111,'Livro Diario - FC'!$D$11:$D1028,"&gt;=01/02"&amp;$C$7,'Livro Diario - FC'!$D$11:$D1028,"&lt;=29/02"&amp;$C$7)</f>
        <v>0</v>
      </c>
      <c r="K111" s="273"/>
      <c r="L111" s="258"/>
      <c r="M111" s="259"/>
      <c r="N111" s="255">
        <f>SUMIFS('Livro Diario - FC'!$K$11:$K1028,'Livro Diario - FC'!$E$11:$E1028,$C$111,'Livro Diario - FC'!$D$11:$D1028,"&gt;=01/03"&amp;$C$7,'Livro Diario - FC'!$D$11:$D1028,"&lt;=31/03"&amp;$C$7)</f>
        <v>0</v>
      </c>
      <c r="O111" s="256">
        <f>SUMIFS('Livro Diario - FC'!$M$11:$M1028,'Livro Diario - FC'!$E$11:$E1028,$C$111,'Livro Diario - FC'!$D$11:$D1028,"&gt;=01/03"&amp;$C$7,'Livro Diario - FC'!$D$11:$D1028,"&lt;=31/03"&amp;$C$7)</f>
        <v>0</v>
      </c>
      <c r="P111" s="273"/>
      <c r="Q111" s="258"/>
      <c r="R111" s="259"/>
      <c r="S111" s="255">
        <f>SUMIFS('Livro Diario - FC'!$K$11:$K1028,'Livro Diario - FC'!$E$11:$E1028,$C$111,'Livro Diario - FC'!$D$11:$D1028,"&gt;=01/04"&amp;$C$7,'Livro Diario - FC'!$D$11:$D1028,"&lt;=30/04"&amp;$C$7)</f>
        <v>0</v>
      </c>
      <c r="T111" s="256">
        <f>SUMIFS('Livro Diario - FC'!$M$11:$M1028,'Livro Diario - FC'!$E$11:$E1028,$C$111,'Livro Diario - FC'!$D$11:$D1028,"&gt;=01/04"&amp;$C$7,'Livro Diario - FC'!$D$11:$D1028,"&lt;=30/04"&amp;$C$7)</f>
        <v>0</v>
      </c>
      <c r="U111" s="273"/>
      <c r="V111" s="258"/>
      <c r="W111" s="259"/>
      <c r="X111" s="255">
        <f>SUMIFS('Livro Diario - FC'!$K$11:$K1028,'Livro Diario - FC'!$E$11:$E1028,$C$111,'Livro Diario - FC'!$D$11:$D1028,"&gt;=01/05"&amp;$C$7,'Livro Diario - FC'!$D$11:$D1028,"&lt;=31/05"&amp;$C$7)</f>
        <v>0</v>
      </c>
      <c r="Y111" s="256">
        <f>SUMIFS('Livro Diario - FC'!$M$11:$M1028,'Livro Diario - FC'!$E$11:$E1028,$C$111,'Livro Diario - FC'!$D$11:$D1028,"&gt;=01/05"&amp;$C$7,'Livro Diario - FC'!$D$11:$D1028,"&lt;=31/05"&amp;$C$7)</f>
        <v>0</v>
      </c>
      <c r="Z111" s="273"/>
      <c r="AA111" s="258"/>
      <c r="AB111" s="259"/>
      <c r="AC111" s="255">
        <f>SUMIFS('Livro Diario - FC'!$K$11:$K1028,'Livro Diario - FC'!$E$11:$E1028,$C$111,'Livro Diario - FC'!$D$11:$D1028,"&gt;=01/06"&amp;$C$7,'Livro Diario - FC'!$D$11:$D1028,"&lt;=30/06"&amp;$C$7)</f>
        <v>0</v>
      </c>
      <c r="AD111" s="256">
        <f>SUMIFS('Livro Diario - FC'!$M$11:$M1028,'Livro Diario - FC'!$E$11:$E1028,$C$111,'Livro Diario - FC'!$D$11:$D1028,"&gt;=01/06"&amp;$C$7,'Livro Diario - FC'!$D$11:$D1028,"&lt;=30/06"&amp;$C$7)</f>
        <v>0</v>
      </c>
      <c r="AE111" s="273"/>
      <c r="AF111" s="258"/>
      <c r="AG111" s="255">
        <f>SUMIFS('Livro Diario - FC'!$K$11:$K1028,'Livro Diario - FC'!$E$11:$E1028,$C$111,'Livro Diario - FC'!$D$11:$D1028,"&gt;=01/07"&amp;$C$7,'Livro Diario - FC'!$D$11:$D1028,"&lt;=31/07"&amp;$C$7)</f>
        <v>0</v>
      </c>
      <c r="AH111" s="256">
        <f>SUMIFS('Livro Diario - FC'!$M$11:$M1028,'Livro Diario - FC'!$E$11:$E1028,$C$111,'Livro Diario - FC'!$D$11:$D1028,"&gt;=01/07"&amp;$C$7,'Livro Diario - FC'!$D$11:$D1028,"&lt;=31/07"&amp;$C$7)</f>
        <v>0</v>
      </c>
      <c r="AI111" s="273"/>
      <c r="AJ111" s="258"/>
      <c r="AK111" s="255">
        <f>SUMIFS('Livro Diario - FC'!$K$11:$K1028,'Livro Diario - FC'!$E$11:$E1028,$C$111,'Livro Diario - FC'!$D$11:$D1028,"&gt;=01/08"&amp;$C$7,'Livro Diario - FC'!$D$11:$D1028,"&lt;=31/08"&amp;$C$7)</f>
        <v>0</v>
      </c>
      <c r="AL111" s="256">
        <f>SUMIFS('Livro Diario - FC'!$M$11:$M1028,'Livro Diario - FC'!$E$11:$E1028,$C$111,'Livro Diario - FC'!$D$11:$D1028,"&gt;=01/08"&amp;$C$7,'Livro Diario - FC'!$D$11:$D1028,"&lt;=31/08"&amp;$C$7)</f>
        <v>0</v>
      </c>
      <c r="AM111" s="273"/>
      <c r="AN111" s="258"/>
      <c r="AO111" s="255">
        <f>SUMIFS('Livro Diario - FC'!$K$11:$K1028,'Livro Diario - FC'!$E$11:$E1028,$C$111,'Livro Diario - FC'!$D$11:$D1028,"&gt;=01/09"&amp;$C$7,'Livro Diario - FC'!$D$11:$D1028,"&lt;=30/09"&amp;$C$7)</f>
        <v>0</v>
      </c>
      <c r="AP111" s="256">
        <f>SUMIFS('Livro Diario - FC'!$M$11:$M1028,'Livro Diario - FC'!$E$11:$E1028,$C$111,'Livro Diario - FC'!$D$11:$D1028,"&gt;=01/09"&amp;$C$7,'Livro Diario - FC'!$D$11:$D1028,"&lt;=30/09"&amp;$C$7)</f>
        <v>0</v>
      </c>
      <c r="AQ111" s="273"/>
      <c r="AR111" s="258"/>
      <c r="AS111" s="255">
        <f>SUMIFS('Livro Diario - FC'!$K$11:$K1028,'Livro Diario - FC'!$E$11:$E1028,$C$111,'Livro Diario - FC'!$D$11:$D1028,"&gt;=01/10"&amp;$C$7,'Livro Diario - FC'!$D$11:$D1028,"&lt;=31/10"&amp;$C$7)</f>
        <v>0</v>
      </c>
      <c r="AT111" s="256">
        <f>SUMIFS('Livro Diario - FC'!$M$11:$M1028,'Livro Diario - FC'!$E$11:$E1028,$C$111,'Livro Diario - FC'!$D$11:$D1028,"&gt;=01/10"&amp;$C$7,'Livro Diario - FC'!$D$11:$D1028,"&lt;=31/10"&amp;$C$7)</f>
        <v>0</v>
      </c>
      <c r="AU111" s="273"/>
      <c r="AV111" s="258"/>
      <c r="AW111" s="255">
        <f>SUMIFS('Livro Diario - FC'!$K$11:$K1028,'Livro Diario - FC'!$E$11:$E1028,$C$111,'Livro Diario - FC'!$D$11:$D1028,"&gt;=01/11"&amp;$C$7,'Livro Diario - FC'!$D$11:$D1028,"&lt;=30/11"&amp;$C$7)</f>
        <v>0</v>
      </c>
      <c r="AX111" s="256">
        <f>SUMIFS('Livro Diario - FC'!$M$11:$M1028,'Livro Diario - FC'!$E$11:$E1028,$C$111,'Livro Diario - FC'!$D$11:$D1028,"&gt;=01/11"&amp;$C$7,'Livro Diario - FC'!$D$11:$D1028,"&lt;=30/11"&amp;$C$7)</f>
        <v>0</v>
      </c>
      <c r="AY111" s="273"/>
      <c r="AZ111" s="258"/>
      <c r="BA111" s="255">
        <f>SUMIFS('Livro Diario - FC'!$K$11:$K1028,'Livro Diario - FC'!$E$11:$E1028,$C$111,'Livro Diario - FC'!$D$11:$D1028,"&gt;=01/12"&amp;$C$7,'Livro Diario - FC'!$D$11:$D1028,"&lt;=31/12"&amp;$C$7)</f>
        <v>0</v>
      </c>
      <c r="BB111" s="256">
        <f>SUMIFS('Livro Diario - FC'!$M$11:$M1028,'Livro Diario - FC'!$E$11:$E1028,$C$111,'Livro Diario - FC'!$D$11:$D1028,"&gt;=01/12"&amp;$C$7,'Livro Diario - FC'!$D$11:$D1028,"&lt;=31/12"&amp;$C$7)</f>
        <v>0</v>
      </c>
      <c r="BC111" s="273"/>
      <c r="BD111" s="273"/>
      <c r="BE111" s="267">
        <f t="shared" ref="BE111:BF111" si="212">SUM(D111,I111,N111,S111,X111,AC111,AG111,AK111,AO111,AS111,AW111,BA111)</f>
        <v>37.84</v>
      </c>
      <c r="BF111" s="268">
        <f t="shared" si="212"/>
        <v>37.84</v>
      </c>
      <c r="BG111" s="269"/>
      <c r="BH111" s="192"/>
      <c r="BI111" s="270">
        <f>SUMIFS('Livro Diario - FC'!$M$11:$M1028,'Livro Diario - FC'!$E$11:$E1028,C111,'Livro Diario - FC'!$D$11:$D1028,"&gt;="&amp;$BK$8,'Livro Diario - FC'!$D$11:$D1028,"&lt;="&amp;$BK$9)</f>
        <v>0</v>
      </c>
      <c r="BJ111" s="271"/>
      <c r="BK111" s="272"/>
      <c r="BL111" s="1"/>
    </row>
    <row r="112">
      <c r="A112" s="1"/>
      <c r="B112" s="1"/>
      <c r="C112" s="338" t="str">
        <f>'Livro Diario - FC'!AE115</f>
        <v>Kinor Frango</v>
      </c>
      <c r="D112" s="255">
        <f>SUMIFS('Livro Diario - FC'!$K$11:$K1028,'Livro Diario - FC'!$E$11:$E1028,$C$112,'Livro Diario - FC'!$D$11:$D1028,"&gt;=01/01"&amp;$C$7,'Livro Diario - FC'!$D$11:$D1028,"&lt;=31/01"&amp;$C$7)</f>
        <v>5.39</v>
      </c>
      <c r="E112" s="256">
        <f>SUMIFS('Livro Diario - FC'!$M$11:$M1028,'Livro Diario - FC'!$E$11:$E1028,$C$112,'Livro Diario - FC'!$D$11:$D1028,"&gt;=01/01"&amp;$C$7,'Livro Diario - FC'!$D$11:$D1028,"&lt;=31/01"&amp;$C$7)</f>
        <v>5.39</v>
      </c>
      <c r="F112" s="273"/>
      <c r="G112" s="258"/>
      <c r="H112" s="157"/>
      <c r="I112" s="255">
        <f>SUMIFS('Livro Diario - FC'!$K$11:$K1028,'Livro Diario - FC'!$E$11:$E1028,$C$112,'Livro Diario - FC'!$D$11:$D1028,"&gt;=01/02"&amp;$C$7,'Livro Diario - FC'!$D$11:$D1028,"&lt;=29/02"&amp;$C$7)</f>
        <v>0</v>
      </c>
      <c r="J112" s="256">
        <f>SUMIFS('Livro Diario - FC'!$M$11:$M1028,'Livro Diario - FC'!$E$11:$E1028,$C$112,'Livro Diario - FC'!$D$11:$D1028,"&gt;=01/02"&amp;$C$7,'Livro Diario - FC'!$D$11:$D1028,"&lt;=29/02"&amp;$C$7)</f>
        <v>0</v>
      </c>
      <c r="K112" s="273"/>
      <c r="L112" s="258"/>
      <c r="M112" s="259"/>
      <c r="N112" s="255">
        <f>SUMIFS('Livro Diario - FC'!$K$11:$K1028,'Livro Diario - FC'!$E$11:$E1028,$C$112,'Livro Diario - FC'!$D$11:$D1028,"&gt;=01/03"&amp;$C$7,'Livro Diario - FC'!$D$11:$D1028,"&lt;=31/03"&amp;$C$7)</f>
        <v>0</v>
      </c>
      <c r="O112" s="256">
        <f>SUMIFS('Livro Diario - FC'!$M$11:$M1028,'Livro Diario - FC'!$E$11:$E1028,$C$112,'Livro Diario - FC'!$D$11:$D1028,"&gt;=01/03"&amp;$C$7,'Livro Diario - FC'!$D$11:$D1028,"&lt;=31/03"&amp;$C$7)</f>
        <v>0</v>
      </c>
      <c r="P112" s="273"/>
      <c r="Q112" s="258"/>
      <c r="R112" s="259"/>
      <c r="S112" s="255">
        <f>SUMIFS('Livro Diario - FC'!$K$11:$K1028,'Livro Diario - FC'!$E$11:$E1028,$C$112,'Livro Diario - FC'!$D$11:$D1028,"&gt;=01/04"&amp;$C$7,'Livro Diario - FC'!$D$11:$D1028,"&lt;=30/04"&amp;$C$7)</f>
        <v>0</v>
      </c>
      <c r="T112" s="256">
        <f>SUMIFS('Livro Diario - FC'!$M$11:$M1028,'Livro Diario - FC'!$E$11:$E1028,$C$112,'Livro Diario - FC'!$D$11:$D1028,"&gt;=01/04"&amp;$C$7,'Livro Diario - FC'!$D$11:$D1028,"&lt;=30/04"&amp;$C$7)</f>
        <v>0</v>
      </c>
      <c r="U112" s="273"/>
      <c r="V112" s="258"/>
      <c r="W112" s="259"/>
      <c r="X112" s="255">
        <f>SUMIFS('Livro Diario - FC'!$K$11:$K1028,'Livro Diario - FC'!$E$11:$E1028,$C$112,'Livro Diario - FC'!$D$11:$D1028,"&gt;=01/05"&amp;$C$7,'Livro Diario - FC'!$D$11:$D1028,"&lt;=31/05"&amp;$C$7)</f>
        <v>0</v>
      </c>
      <c r="Y112" s="256">
        <f>SUMIFS('Livro Diario - FC'!$M$11:$M1028,'Livro Diario - FC'!$E$11:$E1028,$C$112,'Livro Diario - FC'!$D$11:$D1028,"&gt;=01/05"&amp;$C$7,'Livro Diario - FC'!$D$11:$D1028,"&lt;=31/05"&amp;$C$7)</f>
        <v>0</v>
      </c>
      <c r="Z112" s="273"/>
      <c r="AA112" s="258"/>
      <c r="AB112" s="259"/>
      <c r="AC112" s="255">
        <f>SUMIFS('Livro Diario - FC'!$K$11:$K1028,'Livro Diario - FC'!$E$11:$E1028,$C$112,'Livro Diario - FC'!$D$11:$D1028,"&gt;=01/06"&amp;$C$7,'Livro Diario - FC'!$D$11:$D1028,"&lt;=30/06"&amp;$C$7)</f>
        <v>0</v>
      </c>
      <c r="AD112" s="256">
        <f>SUMIFS('Livro Diario - FC'!$M$11:$M1028,'Livro Diario - FC'!$E$11:$E1028,$C$112,'Livro Diario - FC'!$D$11:$D1028,"&gt;=01/06"&amp;$C$7,'Livro Diario - FC'!$D$11:$D1028,"&lt;=30/06"&amp;$C$7)</f>
        <v>0</v>
      </c>
      <c r="AE112" s="273"/>
      <c r="AF112" s="258"/>
      <c r="AG112" s="255">
        <f>SUMIFS('Livro Diario - FC'!$K$11:$K1028,'Livro Diario - FC'!$E$11:$E1028,$C$112,'Livro Diario - FC'!$D$11:$D1028,"&gt;=01/07"&amp;$C$7,'Livro Diario - FC'!$D$11:$D1028,"&lt;=31/07"&amp;$C$7)</f>
        <v>0</v>
      </c>
      <c r="AH112" s="256">
        <f>SUMIFS('Livro Diario - FC'!$M$11:$M1028,'Livro Diario - FC'!$E$11:$E1028,$C$112,'Livro Diario - FC'!$D$11:$D1028,"&gt;=01/07"&amp;$C$7,'Livro Diario - FC'!$D$11:$D1028,"&lt;=31/07"&amp;$C$7)</f>
        <v>0</v>
      </c>
      <c r="AI112" s="273"/>
      <c r="AJ112" s="258"/>
      <c r="AK112" s="255">
        <f>SUMIFS('Livro Diario - FC'!$K$11:$K1028,'Livro Diario - FC'!$E$11:$E1028,$C$112,'Livro Diario - FC'!$D$11:$D1028,"&gt;=01/08"&amp;$C$7,'Livro Diario - FC'!$D$11:$D1028,"&lt;=31/08"&amp;$C$7)</f>
        <v>0</v>
      </c>
      <c r="AL112" s="256">
        <f>SUMIFS('Livro Diario - FC'!$M$11:$M1028,'Livro Diario - FC'!$E$11:$E1028,$C$112,'Livro Diario - FC'!$D$11:$D1028,"&gt;=01/08"&amp;$C$7,'Livro Diario - FC'!$D$11:$D1028,"&lt;=31/08"&amp;$C$7)</f>
        <v>0</v>
      </c>
      <c r="AM112" s="273"/>
      <c r="AN112" s="258"/>
      <c r="AO112" s="255">
        <f>SUMIFS('Livro Diario - FC'!$K$11:$K1028,'Livro Diario - FC'!$E$11:$E1028,$C$112,'Livro Diario - FC'!$D$11:$D1028,"&gt;=01/09"&amp;$C$7,'Livro Diario - FC'!$D$11:$D1028,"&lt;=30/09"&amp;$C$7)</f>
        <v>0</v>
      </c>
      <c r="AP112" s="256">
        <f>SUMIFS('Livro Diario - FC'!$M$11:$M1028,'Livro Diario - FC'!$E$11:$E1028,$C$112,'Livro Diario - FC'!$D$11:$D1028,"&gt;=01/09"&amp;$C$7,'Livro Diario - FC'!$D$11:$D1028,"&lt;=30/09"&amp;$C$7)</f>
        <v>0</v>
      </c>
      <c r="AQ112" s="273"/>
      <c r="AR112" s="258"/>
      <c r="AS112" s="255">
        <f>SUMIFS('Livro Diario - FC'!$K$11:$K1028,'Livro Diario - FC'!$E$11:$E1028,$C$112,'Livro Diario - FC'!$D$11:$D1028,"&gt;=01/10"&amp;$C$7,'Livro Diario - FC'!$D$11:$D1028,"&lt;=31/10"&amp;$C$7)</f>
        <v>0</v>
      </c>
      <c r="AT112" s="256">
        <f>SUMIFS('Livro Diario - FC'!$M$11:$M1028,'Livro Diario - FC'!$E$11:$E1028,$C$112,'Livro Diario - FC'!$D$11:$D1028,"&gt;=01/10"&amp;$C$7,'Livro Diario - FC'!$D$11:$D1028,"&lt;=31/10"&amp;$C$7)</f>
        <v>0</v>
      </c>
      <c r="AU112" s="273"/>
      <c r="AV112" s="258"/>
      <c r="AW112" s="255">
        <f>SUMIFS('Livro Diario - FC'!$K$11:$K1028,'Livro Diario - FC'!$E$11:$E1028,$C$112,'Livro Diario - FC'!$D$11:$D1028,"&gt;=01/11"&amp;$C$7,'Livro Diario - FC'!$D$11:$D1028,"&lt;=30/11"&amp;$C$7)</f>
        <v>0</v>
      </c>
      <c r="AX112" s="256">
        <f>SUMIFS('Livro Diario - FC'!$M$11:$M1028,'Livro Diario - FC'!$E$11:$E1028,$C$112,'Livro Diario - FC'!$D$11:$D1028,"&gt;=01/11"&amp;$C$7,'Livro Diario - FC'!$D$11:$D1028,"&lt;=30/11"&amp;$C$7)</f>
        <v>0</v>
      </c>
      <c r="AY112" s="273"/>
      <c r="AZ112" s="258"/>
      <c r="BA112" s="255">
        <f>SUMIFS('Livro Diario - FC'!$K$11:$K1028,'Livro Diario - FC'!$E$11:$E1028,$C$112,'Livro Diario - FC'!$D$11:$D1028,"&gt;=01/12"&amp;$C$7,'Livro Diario - FC'!$D$11:$D1028,"&lt;=31/12"&amp;$C$7)</f>
        <v>0</v>
      </c>
      <c r="BB112" s="256">
        <f>SUMIFS('Livro Diario - FC'!$M$11:$M1028,'Livro Diario - FC'!$E$11:$E1028,$C$112,'Livro Diario - FC'!$D$11:$D1028,"&gt;=01/12"&amp;$C$7,'Livro Diario - FC'!$D$11:$D1028,"&lt;=31/12"&amp;$C$7)</f>
        <v>0</v>
      </c>
      <c r="BC112" s="273"/>
      <c r="BD112" s="273"/>
      <c r="BE112" s="267">
        <f t="shared" ref="BE112:BF112" si="213">SUM(D112,I112,N112,S112,X112,AC112,AG112,AK112,AO112,AS112,AW112,BA112)</f>
        <v>5.39</v>
      </c>
      <c r="BF112" s="268">
        <f t="shared" si="213"/>
        <v>5.39</v>
      </c>
      <c r="BG112" s="269"/>
      <c r="BH112" s="192"/>
      <c r="BI112" s="270">
        <f>SUMIFS('Livro Diario - FC'!$M$11:$M1028,'Livro Diario - FC'!$E$11:$E1028,C112,'Livro Diario - FC'!$D$11:$D1028,"&gt;="&amp;$BK$8,'Livro Diario - FC'!$D$11:$D1028,"&lt;="&amp;$BK$9)</f>
        <v>0</v>
      </c>
      <c r="BJ112" s="271"/>
      <c r="BK112" s="272"/>
      <c r="BL112" s="1"/>
    </row>
    <row r="113">
      <c r="A113" s="1"/>
      <c r="B113" s="1"/>
      <c r="C113" s="338" t="str">
        <f>'Livro Diario - FC'!AE116</f>
        <v>Kinor de Carne</v>
      </c>
      <c r="D113" s="255">
        <f>SUMIFS('Livro Diario - FC'!$K$11:$K1028,'Livro Diario - FC'!$E$11:$E1028,$C$113,'Livro Diario - FC'!$D$11:$D1028,"&gt;=01/01"&amp;$C$7,'Livro Diario - FC'!$D$11:$D1028,"&lt;=31/01"&amp;$C$7)</f>
        <v>10.78</v>
      </c>
      <c r="E113" s="256">
        <f>SUMIFS('Livro Diario - FC'!$M$11:$M1028,'Livro Diario - FC'!$E$11:$E1028,$C$113,'Livro Diario - FC'!$D$11:$D1028,"&gt;=01/01"&amp;$C$7,'Livro Diario - FC'!$D$11:$D1028,"&lt;=31/01"&amp;$C$7)</f>
        <v>10.78</v>
      </c>
      <c r="F113" s="273"/>
      <c r="G113" s="258"/>
      <c r="H113" s="157"/>
      <c r="I113" s="255">
        <f>SUMIFS('Livro Diario - FC'!$K$11:$K1028,'Livro Diario - FC'!$E$11:$E1028,$C$113,'Livro Diario - FC'!$D$11:$D1028,"&gt;=01/02"&amp;$C$7,'Livro Diario - FC'!$D$11:$D1028,"&lt;=29/02"&amp;$C$7)</f>
        <v>0</v>
      </c>
      <c r="J113" s="256">
        <f>SUMIFS('Livro Diario - FC'!$M$11:$M1028,'Livro Diario - FC'!$E$11:$E1028,$C$113,'Livro Diario - FC'!$D$11:$D1028,"&gt;=01/02"&amp;$C$7,'Livro Diario - FC'!$D$11:$D1028,"&lt;=29/02"&amp;$C$7)</f>
        <v>0</v>
      </c>
      <c r="K113" s="273"/>
      <c r="L113" s="258"/>
      <c r="M113" s="259"/>
      <c r="N113" s="255">
        <f>SUMIFS('Livro Diario - FC'!$K$11:$K1028,'Livro Diario - FC'!$E$11:$E1028,$C$113,'Livro Diario - FC'!$D$11:$D1028,"&gt;=01/03"&amp;$C$7,'Livro Diario - FC'!$D$11:$D1028,"&lt;=31/03"&amp;$C$7)</f>
        <v>0</v>
      </c>
      <c r="O113" s="256">
        <f>SUMIFS('Livro Diario - FC'!$M$11:$M1028,'Livro Diario - FC'!$E$11:$E1028,$C$113,'Livro Diario - FC'!$D$11:$D1028,"&gt;=01/03"&amp;$C$7,'Livro Diario - FC'!$D$11:$D1028,"&lt;=31/03"&amp;$C$7)</f>
        <v>0</v>
      </c>
      <c r="P113" s="273"/>
      <c r="Q113" s="258"/>
      <c r="R113" s="259"/>
      <c r="S113" s="255">
        <f>SUMIFS('Livro Diario - FC'!$K$11:$K1028,'Livro Diario - FC'!$E$11:$E1028,$C$113,'Livro Diario - FC'!$D$11:$D1028,"&gt;=01/04"&amp;$C$7,'Livro Diario - FC'!$D$11:$D1028,"&lt;=30/04"&amp;$C$7)</f>
        <v>0</v>
      </c>
      <c r="T113" s="256">
        <f>SUMIFS('Livro Diario - FC'!$M$11:$M1028,'Livro Diario - FC'!$E$11:$E1028,$C$113,'Livro Diario - FC'!$D$11:$D1028,"&gt;=01/04"&amp;$C$7,'Livro Diario - FC'!$D$11:$D1028,"&lt;=30/04"&amp;$C$7)</f>
        <v>0</v>
      </c>
      <c r="U113" s="273"/>
      <c r="V113" s="258"/>
      <c r="W113" s="259"/>
      <c r="X113" s="255">
        <f>SUMIFS('Livro Diario - FC'!$K$11:$K1028,'Livro Diario - FC'!$E$11:$E1028,$C$113,'Livro Diario - FC'!$D$11:$D1028,"&gt;=01/05"&amp;$C$7,'Livro Diario - FC'!$D$11:$D1028,"&lt;=31/05"&amp;$C$7)</f>
        <v>0</v>
      </c>
      <c r="Y113" s="256">
        <f>SUMIFS('Livro Diario - FC'!$M$11:$M1028,'Livro Diario - FC'!$E$11:$E1028,$C$113,'Livro Diario - FC'!$D$11:$D1028,"&gt;=01/05"&amp;$C$7,'Livro Diario - FC'!$D$11:$D1028,"&lt;=31/05"&amp;$C$7)</f>
        <v>0</v>
      </c>
      <c r="Z113" s="273"/>
      <c r="AA113" s="258"/>
      <c r="AB113" s="259"/>
      <c r="AC113" s="255">
        <f>SUMIFS('Livro Diario - FC'!$K$11:$K1028,'Livro Diario - FC'!$E$11:$E1028,$C$113,'Livro Diario - FC'!$D$11:$D1028,"&gt;=01/06"&amp;$C$7,'Livro Diario - FC'!$D$11:$D1028,"&lt;=30/06"&amp;$C$7)</f>
        <v>0</v>
      </c>
      <c r="AD113" s="256">
        <f>SUMIFS('Livro Diario - FC'!$M$11:$M1028,'Livro Diario - FC'!$E$11:$E1028,$C$113,'Livro Diario - FC'!$D$11:$D1028,"&gt;=01/06"&amp;$C$7,'Livro Diario - FC'!$D$11:$D1028,"&lt;=30/06"&amp;$C$7)</f>
        <v>0</v>
      </c>
      <c r="AE113" s="273"/>
      <c r="AF113" s="258"/>
      <c r="AG113" s="255">
        <f>SUMIFS('Livro Diario - FC'!$K$11:$K1028,'Livro Diario - FC'!$E$11:$E1028,$C$113,'Livro Diario - FC'!$D$11:$D1028,"&gt;=01/07"&amp;$C$7,'Livro Diario - FC'!$D$11:$D1028,"&lt;=31/07"&amp;$C$7)</f>
        <v>0</v>
      </c>
      <c r="AH113" s="256">
        <f>SUMIFS('Livro Diario - FC'!$M$11:$M1028,'Livro Diario - FC'!$E$11:$E1028,$C$113,'Livro Diario - FC'!$D$11:$D1028,"&gt;=01/07"&amp;$C$7,'Livro Diario - FC'!$D$11:$D1028,"&lt;=31/07"&amp;$C$7)</f>
        <v>0</v>
      </c>
      <c r="AI113" s="273"/>
      <c r="AJ113" s="258"/>
      <c r="AK113" s="255">
        <f>SUMIFS('Livro Diario - FC'!$K$11:$K1028,'Livro Diario - FC'!$E$11:$E1028,$C$113,'Livro Diario - FC'!$D$11:$D1028,"&gt;=01/08"&amp;$C$7,'Livro Diario - FC'!$D$11:$D1028,"&lt;=31/08"&amp;$C$7)</f>
        <v>0</v>
      </c>
      <c r="AL113" s="256">
        <f>SUMIFS('Livro Diario - FC'!$M$11:$M1028,'Livro Diario - FC'!$E$11:$E1028,$C$113,'Livro Diario - FC'!$D$11:$D1028,"&gt;=01/08"&amp;$C$7,'Livro Diario - FC'!$D$11:$D1028,"&lt;=31/08"&amp;$C$7)</f>
        <v>0</v>
      </c>
      <c r="AM113" s="273"/>
      <c r="AN113" s="258"/>
      <c r="AO113" s="255">
        <f>SUMIFS('Livro Diario - FC'!$K$11:$K1028,'Livro Diario - FC'!$E$11:$E1028,$C$113,'Livro Diario - FC'!$D$11:$D1028,"&gt;=01/09"&amp;$C$7,'Livro Diario - FC'!$D$11:$D1028,"&lt;=30/09"&amp;$C$7)</f>
        <v>0</v>
      </c>
      <c r="AP113" s="256">
        <f>SUMIFS('Livro Diario - FC'!$M$11:$M1028,'Livro Diario - FC'!$E$11:$E1028,$C$113,'Livro Diario - FC'!$D$11:$D1028,"&gt;=01/09"&amp;$C$7,'Livro Diario - FC'!$D$11:$D1028,"&lt;=30/09"&amp;$C$7)</f>
        <v>0</v>
      </c>
      <c r="AQ113" s="273"/>
      <c r="AR113" s="258"/>
      <c r="AS113" s="255">
        <f>SUMIFS('Livro Diario - FC'!$K$11:$K1028,'Livro Diario - FC'!$E$11:$E1028,$C$113,'Livro Diario - FC'!$D$11:$D1028,"&gt;=01/10"&amp;$C$7,'Livro Diario - FC'!$D$11:$D1028,"&lt;=31/10"&amp;$C$7)</f>
        <v>0</v>
      </c>
      <c r="AT113" s="256">
        <f>SUMIFS('Livro Diario - FC'!$M$11:$M1028,'Livro Diario - FC'!$E$11:$E1028,$C$113,'Livro Diario - FC'!$D$11:$D1028,"&gt;=01/10"&amp;$C$7,'Livro Diario - FC'!$D$11:$D1028,"&lt;=31/10"&amp;$C$7)</f>
        <v>0</v>
      </c>
      <c r="AU113" s="273"/>
      <c r="AV113" s="258"/>
      <c r="AW113" s="255">
        <f>SUMIFS('Livro Diario - FC'!$K$11:$K1028,'Livro Diario - FC'!$E$11:$E1028,$C$113,'Livro Diario - FC'!$D$11:$D1028,"&gt;=01/11"&amp;$C$7,'Livro Diario - FC'!$D$11:$D1028,"&lt;=30/11"&amp;$C$7)</f>
        <v>0</v>
      </c>
      <c r="AX113" s="256">
        <f>SUMIFS('Livro Diario - FC'!$M$11:$M1028,'Livro Diario - FC'!$E$11:$E1028,$C$113,'Livro Diario - FC'!$D$11:$D1028,"&gt;=01/11"&amp;$C$7,'Livro Diario - FC'!$D$11:$D1028,"&lt;=30/11"&amp;$C$7)</f>
        <v>0</v>
      </c>
      <c r="AY113" s="273"/>
      <c r="AZ113" s="258"/>
      <c r="BA113" s="255">
        <f>SUMIFS('Livro Diario - FC'!$K$11:$K1028,'Livro Diario - FC'!$E$11:$E1028,$C$113,'Livro Diario - FC'!$D$11:$D1028,"&gt;=01/12"&amp;$C$7,'Livro Diario - FC'!$D$11:$D1028,"&lt;=31/12"&amp;$C$7)</f>
        <v>0</v>
      </c>
      <c r="BB113" s="256">
        <f>SUMIFS('Livro Diario - FC'!$M$11:$M1028,'Livro Diario - FC'!$E$11:$E1028,$C$113,'Livro Diario - FC'!$D$11:$D1028,"&gt;=01/12"&amp;$C$7,'Livro Diario - FC'!$D$11:$D1028,"&lt;=31/12"&amp;$C$7)</f>
        <v>0</v>
      </c>
      <c r="BC113" s="273"/>
      <c r="BD113" s="273"/>
      <c r="BE113" s="267">
        <f t="shared" ref="BE113:BF113" si="214">SUM(D113,I113,N113,S113,X113,AC113,AG113,AK113,AO113,AS113,AW113,BA113)</f>
        <v>10.78</v>
      </c>
      <c r="BF113" s="268">
        <f t="shared" si="214"/>
        <v>10.78</v>
      </c>
      <c r="BG113" s="269"/>
      <c r="BH113" s="192"/>
      <c r="BI113" s="270">
        <f>SUMIFS('Livro Diario - FC'!$M$11:$M1028,'Livro Diario - FC'!$E$11:$E1028,C113,'Livro Diario - FC'!$D$11:$D1028,"&gt;="&amp;$BK$8,'Livro Diario - FC'!$D$11:$D1028,"&lt;="&amp;$BK$9)</f>
        <v>0</v>
      </c>
      <c r="BJ113" s="271"/>
      <c r="BK113" s="272"/>
      <c r="BL113" s="1"/>
    </row>
    <row r="114">
      <c r="A114" s="1"/>
      <c r="B114" s="1"/>
      <c r="C114" s="338" t="str">
        <f>'Livro Diario - FC'!AE117</f>
        <v>Molho Alho</v>
      </c>
      <c r="D114" s="255">
        <f>SUMIFS('Livro Diario - FC'!$K$11:$K1028,'Livro Diario - FC'!$E$11:$E1028,$C$114,'Livro Diario - FC'!$D$11:$D1028,"&gt;=01/01"&amp;$C$7,'Livro Diario - FC'!$D$11:$D1028,"&lt;=31/01"&amp;$C$7)</f>
        <v>8.85</v>
      </c>
      <c r="E114" s="256">
        <f>SUMIFS('Livro Diario - FC'!$M$11:$M1028,'Livro Diario - FC'!$E$11:$E1028,$C$114,'Livro Diario - FC'!$D$11:$D1028,"&gt;=01/01"&amp;$C$7,'Livro Diario - FC'!$D$11:$D1028,"&lt;=31/01"&amp;$C$7)</f>
        <v>8.85</v>
      </c>
      <c r="F114" s="273"/>
      <c r="G114" s="258"/>
      <c r="H114" s="157"/>
      <c r="I114" s="255">
        <f>SUMIFS('Livro Diario - FC'!$K$11:$K1028,'Livro Diario - FC'!$E$11:$E1028,$C$114,'Livro Diario - FC'!$D$11:$D1028,"&gt;=01/02"&amp;$C$7,'Livro Diario - FC'!$D$11:$D1028,"&lt;=29/02"&amp;$C$7)</f>
        <v>0</v>
      </c>
      <c r="J114" s="256">
        <f>SUMIFS('Livro Diario - FC'!$M$11:$M1028,'Livro Diario - FC'!$E$11:$E1028,$C$114,'Livro Diario - FC'!$D$11:$D1028,"&gt;=01/02"&amp;$C$7,'Livro Diario - FC'!$D$11:$D1028,"&lt;=29/02"&amp;$C$7)</f>
        <v>0</v>
      </c>
      <c r="K114" s="273"/>
      <c r="L114" s="258"/>
      <c r="M114" s="259"/>
      <c r="N114" s="255">
        <f>SUMIFS('Livro Diario - FC'!$K$11:$K1028,'Livro Diario - FC'!$E$11:$E1028,$C$114,'Livro Diario - FC'!$D$11:$D1028,"&gt;=01/03"&amp;$C$7,'Livro Diario - FC'!$D$11:$D1028,"&lt;=31/03"&amp;$C$7)</f>
        <v>0</v>
      </c>
      <c r="O114" s="256">
        <f>SUMIFS('Livro Diario - FC'!$M$11:$M1028,'Livro Diario - FC'!$E$11:$E1028,$C$114,'Livro Diario - FC'!$D$11:$D1028,"&gt;=01/03"&amp;$C$7,'Livro Diario - FC'!$D$11:$D1028,"&lt;=31/03"&amp;$C$7)</f>
        <v>0</v>
      </c>
      <c r="P114" s="273"/>
      <c r="Q114" s="258"/>
      <c r="R114" s="259"/>
      <c r="S114" s="255">
        <f>SUMIFS('Livro Diario - FC'!$K$11:$K1028,'Livro Diario - FC'!$E$11:$E1028,$C$114,'Livro Diario - FC'!$D$11:$D1028,"&gt;=01/04"&amp;$C$7,'Livro Diario - FC'!$D$11:$D1028,"&lt;=30/04"&amp;$C$7)</f>
        <v>0</v>
      </c>
      <c r="T114" s="256">
        <f>SUMIFS('Livro Diario - FC'!$M$11:$M1028,'Livro Diario - FC'!$E$11:$E1028,$C$114,'Livro Diario - FC'!$D$11:$D1028,"&gt;=01/04"&amp;$C$7,'Livro Diario - FC'!$D$11:$D1028,"&lt;=30/04"&amp;$C$7)</f>
        <v>0</v>
      </c>
      <c r="U114" s="273"/>
      <c r="V114" s="258"/>
      <c r="W114" s="259"/>
      <c r="X114" s="255">
        <f>SUMIFS('Livro Diario - FC'!$K$11:$K1028,'Livro Diario - FC'!$E$11:$E1028,$C$114,'Livro Diario - FC'!$D$11:$D1028,"&gt;=01/05"&amp;$C$7,'Livro Diario - FC'!$D$11:$D1028,"&lt;=31/05"&amp;$C$7)</f>
        <v>0</v>
      </c>
      <c r="Y114" s="256">
        <f>SUMIFS('Livro Diario - FC'!$M$11:$M1028,'Livro Diario - FC'!$E$11:$E1028,$C$114,'Livro Diario - FC'!$D$11:$D1028,"&gt;=01/05"&amp;$C$7,'Livro Diario - FC'!$D$11:$D1028,"&lt;=31/05"&amp;$C$7)</f>
        <v>0</v>
      </c>
      <c r="Z114" s="273"/>
      <c r="AA114" s="258"/>
      <c r="AB114" s="259"/>
      <c r="AC114" s="255">
        <f>SUMIFS('Livro Diario - FC'!$K$11:$K1028,'Livro Diario - FC'!$E$11:$E1028,$C$114,'Livro Diario - FC'!$D$11:$D1028,"&gt;=01/06"&amp;$C$7,'Livro Diario - FC'!$D$11:$D1028,"&lt;=30/06"&amp;$C$7)</f>
        <v>0</v>
      </c>
      <c r="AD114" s="256">
        <f>SUMIFS('Livro Diario - FC'!$M$11:$M1028,'Livro Diario - FC'!$E$11:$E1028,$C$114,'Livro Diario - FC'!$D$11:$D1028,"&gt;=01/06"&amp;$C$7,'Livro Diario - FC'!$D$11:$D1028,"&lt;=30/06"&amp;$C$7)</f>
        <v>0</v>
      </c>
      <c r="AE114" s="273"/>
      <c r="AF114" s="258"/>
      <c r="AG114" s="255">
        <f>SUMIFS('Livro Diario - FC'!$K$11:$K1028,'Livro Diario - FC'!$E$11:$E1028,$C$114,'Livro Diario - FC'!$D$11:$D1028,"&gt;=01/07"&amp;$C$7,'Livro Diario - FC'!$D$11:$D1028,"&lt;=31/07"&amp;$C$7)</f>
        <v>0</v>
      </c>
      <c r="AH114" s="256">
        <f>SUMIFS('Livro Diario - FC'!$M$11:$M1028,'Livro Diario - FC'!$E$11:$E1028,$C$114,'Livro Diario - FC'!$D$11:$D1028,"&gt;=01/07"&amp;$C$7,'Livro Diario - FC'!$D$11:$D1028,"&lt;=31/07"&amp;$C$7)</f>
        <v>0</v>
      </c>
      <c r="AI114" s="273"/>
      <c r="AJ114" s="258"/>
      <c r="AK114" s="255">
        <f>SUMIFS('Livro Diario - FC'!$K$11:$K1028,'Livro Diario - FC'!$E$11:$E1028,$C$114,'Livro Diario - FC'!$D$11:$D1028,"&gt;=01/08"&amp;$C$7,'Livro Diario - FC'!$D$11:$D1028,"&lt;=31/08"&amp;$C$7)</f>
        <v>0</v>
      </c>
      <c r="AL114" s="256">
        <f>SUMIFS('Livro Diario - FC'!$M$11:$M1028,'Livro Diario - FC'!$E$11:$E1028,$C$114,'Livro Diario - FC'!$D$11:$D1028,"&gt;=01/08"&amp;$C$7,'Livro Diario - FC'!$D$11:$D1028,"&lt;=31/08"&amp;$C$7)</f>
        <v>0</v>
      </c>
      <c r="AM114" s="273"/>
      <c r="AN114" s="258"/>
      <c r="AO114" s="255">
        <f>SUMIFS('Livro Diario - FC'!$K$11:$K1028,'Livro Diario - FC'!$E$11:$E1028,$C$114,'Livro Diario - FC'!$D$11:$D1028,"&gt;=01/09"&amp;$C$7,'Livro Diario - FC'!$D$11:$D1028,"&lt;=30/09"&amp;$C$7)</f>
        <v>0</v>
      </c>
      <c r="AP114" s="256">
        <f>SUMIFS('Livro Diario - FC'!$M$11:$M1028,'Livro Diario - FC'!$E$11:$E1028,$C$114,'Livro Diario - FC'!$D$11:$D1028,"&gt;=01/09"&amp;$C$7,'Livro Diario - FC'!$D$11:$D1028,"&lt;=30/09"&amp;$C$7)</f>
        <v>0</v>
      </c>
      <c r="AQ114" s="273"/>
      <c r="AR114" s="258"/>
      <c r="AS114" s="255">
        <f>SUMIFS('Livro Diario - FC'!$K$11:$K1028,'Livro Diario - FC'!$E$11:$E1028,$C$114,'Livro Diario - FC'!$D$11:$D1028,"&gt;=01/10"&amp;$C$7,'Livro Diario - FC'!$D$11:$D1028,"&lt;=31/10"&amp;$C$7)</f>
        <v>0</v>
      </c>
      <c r="AT114" s="256">
        <f>SUMIFS('Livro Diario - FC'!$M$11:$M1028,'Livro Diario - FC'!$E$11:$E1028,$C$114,'Livro Diario - FC'!$D$11:$D1028,"&gt;=01/10"&amp;$C$7,'Livro Diario - FC'!$D$11:$D1028,"&lt;=31/10"&amp;$C$7)</f>
        <v>0</v>
      </c>
      <c r="AU114" s="273"/>
      <c r="AV114" s="258"/>
      <c r="AW114" s="255">
        <f>SUMIFS('Livro Diario - FC'!$K$11:$K1028,'Livro Diario - FC'!$E$11:$E1028,$C$114,'Livro Diario - FC'!$D$11:$D1028,"&gt;=01/11"&amp;$C$7,'Livro Diario - FC'!$D$11:$D1028,"&lt;=30/11"&amp;$C$7)</f>
        <v>0</v>
      </c>
      <c r="AX114" s="256">
        <f>SUMIFS('Livro Diario - FC'!$M$11:$M1028,'Livro Diario - FC'!$E$11:$E1028,$C$114,'Livro Diario - FC'!$D$11:$D1028,"&gt;=01/11"&amp;$C$7,'Livro Diario - FC'!$D$11:$D1028,"&lt;=30/11"&amp;$C$7)</f>
        <v>0</v>
      </c>
      <c r="AY114" s="273"/>
      <c r="AZ114" s="258"/>
      <c r="BA114" s="255">
        <f>SUMIFS('Livro Diario - FC'!$K$11:$K1028,'Livro Diario - FC'!$E$11:$E1028,$C$114,'Livro Diario - FC'!$D$11:$D1028,"&gt;=01/12"&amp;$C$7,'Livro Diario - FC'!$D$11:$D1028,"&lt;=31/12"&amp;$C$7)</f>
        <v>0</v>
      </c>
      <c r="BB114" s="256">
        <f>SUMIFS('Livro Diario - FC'!$M$11:$M1028,'Livro Diario - FC'!$E$11:$E1028,$C$114,'Livro Diario - FC'!$D$11:$D1028,"&gt;=01/12"&amp;$C$7,'Livro Diario - FC'!$D$11:$D1028,"&lt;=31/12"&amp;$C$7)</f>
        <v>0</v>
      </c>
      <c r="BC114" s="273"/>
      <c r="BD114" s="273"/>
      <c r="BE114" s="267">
        <f t="shared" ref="BE114:BF114" si="215">SUM(D114,I114,N114,S114,X114,AC114,AG114,AK114,AO114,AS114,AW114,BA114)</f>
        <v>8.85</v>
      </c>
      <c r="BF114" s="268">
        <f t="shared" si="215"/>
        <v>8.85</v>
      </c>
      <c r="BG114" s="269"/>
      <c r="BH114" s="192"/>
      <c r="BI114" s="270">
        <f>SUMIFS('Livro Diario - FC'!$M$11:$M1028,'Livro Diario - FC'!$E$11:$E1028,C114,'Livro Diario - FC'!$D$11:$D1028,"&gt;="&amp;$BK$8,'Livro Diario - FC'!$D$11:$D1028,"&lt;="&amp;$BK$9)</f>
        <v>0</v>
      </c>
      <c r="BJ114" s="271"/>
      <c r="BK114" s="272"/>
      <c r="BL114" s="1"/>
    </row>
    <row r="115">
      <c r="A115" s="1"/>
      <c r="B115" s="1"/>
      <c r="C115" s="338" t="str">
        <f>'Livro Diario - FC'!AE118</f>
        <v>Colorau</v>
      </c>
      <c r="D115" s="255">
        <f>SUMIFS('Livro Diario - FC'!$K$11:$K1028,'Livro Diario - FC'!$E$11:$E1028,$C$115,'Livro Diario - FC'!$D$11:$D1028,"&gt;=01/01"&amp;$C$7,'Livro Diario - FC'!$D$11:$D1028,"&lt;=31/01"&amp;$C$7)</f>
        <v>31.5</v>
      </c>
      <c r="E115" s="256">
        <f>SUMIFS('Livro Diario - FC'!$M$11:$M1028,'Livro Diario - FC'!$E$11:$E1028,$C$115,'Livro Diario - FC'!$D$11:$D1028,"&gt;=01/01"&amp;$C$7,'Livro Diario - FC'!$D$11:$D1028,"&lt;=31/01"&amp;$C$7)</f>
        <v>31.5</v>
      </c>
      <c r="F115" s="273"/>
      <c r="G115" s="258"/>
      <c r="H115" s="157"/>
      <c r="I115" s="255">
        <f>SUMIFS('Livro Diario - FC'!$K$11:$K1028,'Livro Diario - FC'!$E$11:$E1028,$C$115,'Livro Diario - FC'!$D$11:$D1028,"&gt;=01/02"&amp;$C$7,'Livro Diario - FC'!$D$11:$D1028,"&lt;=29/02"&amp;$C$7)</f>
        <v>0</v>
      </c>
      <c r="J115" s="256">
        <f>SUMIFS('Livro Diario - FC'!$M$11:$M1028,'Livro Diario - FC'!$E$11:$E1028,$C$115,'Livro Diario - FC'!$D$11:$D1028,"&gt;=01/02"&amp;$C$7,'Livro Diario - FC'!$D$11:$D1028,"&lt;=29/02"&amp;$C$7)</f>
        <v>0</v>
      </c>
      <c r="K115" s="273"/>
      <c r="L115" s="258"/>
      <c r="M115" s="259"/>
      <c r="N115" s="255">
        <f>SUMIFS('Livro Diario - FC'!$K$11:$K1028,'Livro Diario - FC'!$E$11:$E1028,$C$115,'Livro Diario - FC'!$D$11:$D1028,"&gt;=01/03"&amp;$C$7,'Livro Diario - FC'!$D$11:$D1028,"&lt;=31/03"&amp;$C$7)</f>
        <v>0</v>
      </c>
      <c r="O115" s="256">
        <f>SUMIFS('Livro Diario - FC'!$M$11:$M1028,'Livro Diario - FC'!$E$11:$E1028,$C$115,'Livro Diario - FC'!$D$11:$D1028,"&gt;=01/03"&amp;$C$7,'Livro Diario - FC'!$D$11:$D1028,"&lt;=31/03"&amp;$C$7)</f>
        <v>0</v>
      </c>
      <c r="P115" s="273"/>
      <c r="Q115" s="258"/>
      <c r="R115" s="259"/>
      <c r="S115" s="255">
        <f>SUMIFS('Livro Diario - FC'!$K$11:$K1028,'Livro Diario - FC'!$E$11:$E1028,$C$115,'Livro Diario - FC'!$D$11:$D1028,"&gt;=01/04"&amp;$C$7,'Livro Diario - FC'!$D$11:$D1028,"&lt;=30/04"&amp;$C$7)</f>
        <v>0</v>
      </c>
      <c r="T115" s="256">
        <f>SUMIFS('Livro Diario - FC'!$M$11:$M1028,'Livro Diario - FC'!$E$11:$E1028,$C$115,'Livro Diario - FC'!$D$11:$D1028,"&gt;=01/04"&amp;$C$7,'Livro Diario - FC'!$D$11:$D1028,"&lt;=30/04"&amp;$C$7)</f>
        <v>0</v>
      </c>
      <c r="U115" s="273"/>
      <c r="V115" s="258"/>
      <c r="W115" s="259"/>
      <c r="X115" s="255">
        <f>SUMIFS('Livro Diario - FC'!$K$11:$K1028,'Livro Diario - FC'!$E$11:$E1028,$C$115,'Livro Diario - FC'!$D$11:$D1028,"&gt;=01/05"&amp;$C$7,'Livro Diario - FC'!$D$11:$D1028,"&lt;=31/05"&amp;$C$7)</f>
        <v>0</v>
      </c>
      <c r="Y115" s="256">
        <f>SUMIFS('Livro Diario - FC'!$M$11:$M1028,'Livro Diario - FC'!$E$11:$E1028,$C$115,'Livro Diario - FC'!$D$11:$D1028,"&gt;=01/05"&amp;$C$7,'Livro Diario - FC'!$D$11:$D1028,"&lt;=31/05"&amp;$C$7)</f>
        <v>0</v>
      </c>
      <c r="Z115" s="273"/>
      <c r="AA115" s="258"/>
      <c r="AB115" s="259"/>
      <c r="AC115" s="255">
        <f>SUMIFS('Livro Diario - FC'!$K$11:$K1028,'Livro Diario - FC'!$E$11:$E1028,$C$115,'Livro Diario - FC'!$D$11:$D1028,"&gt;=01/06"&amp;$C$7,'Livro Diario - FC'!$D$11:$D1028,"&lt;=30/06"&amp;$C$7)</f>
        <v>0</v>
      </c>
      <c r="AD115" s="256">
        <f>SUMIFS('Livro Diario - FC'!$M$11:$M1028,'Livro Diario - FC'!$E$11:$E1028,$C$115,'Livro Diario - FC'!$D$11:$D1028,"&gt;=01/06"&amp;$C$7,'Livro Diario - FC'!$D$11:$D1028,"&lt;=30/06"&amp;$C$7)</f>
        <v>0</v>
      </c>
      <c r="AE115" s="273"/>
      <c r="AF115" s="258"/>
      <c r="AG115" s="255">
        <f>SUMIFS('Livro Diario - FC'!$K$11:$K1028,'Livro Diario - FC'!$E$11:$E1028,$C$115,'Livro Diario - FC'!$D$11:$D1028,"&gt;=01/07"&amp;$C$7,'Livro Diario - FC'!$D$11:$D1028,"&lt;=31/07"&amp;$C$7)</f>
        <v>0</v>
      </c>
      <c r="AH115" s="256">
        <f>SUMIFS('Livro Diario - FC'!$M$11:$M1028,'Livro Diario - FC'!$E$11:$E1028,$C$115,'Livro Diario - FC'!$D$11:$D1028,"&gt;=01/07"&amp;$C$7,'Livro Diario - FC'!$D$11:$D1028,"&lt;=31/07"&amp;$C$7)</f>
        <v>0</v>
      </c>
      <c r="AI115" s="273"/>
      <c r="AJ115" s="258"/>
      <c r="AK115" s="255">
        <f>SUMIFS('Livro Diario - FC'!$K$11:$K1028,'Livro Diario - FC'!$E$11:$E1028,$C$115,'Livro Diario - FC'!$D$11:$D1028,"&gt;=01/08"&amp;$C$7,'Livro Diario - FC'!$D$11:$D1028,"&lt;=31/08"&amp;$C$7)</f>
        <v>0</v>
      </c>
      <c r="AL115" s="256">
        <f>SUMIFS('Livro Diario - FC'!$M$11:$M1028,'Livro Diario - FC'!$E$11:$E1028,$C$115,'Livro Diario - FC'!$D$11:$D1028,"&gt;=01/08"&amp;$C$7,'Livro Diario - FC'!$D$11:$D1028,"&lt;=31/08"&amp;$C$7)</f>
        <v>0</v>
      </c>
      <c r="AM115" s="273"/>
      <c r="AN115" s="258"/>
      <c r="AO115" s="255">
        <f>SUMIFS('Livro Diario - FC'!$K$11:$K1028,'Livro Diario - FC'!$E$11:$E1028,$C$115,'Livro Diario - FC'!$D$11:$D1028,"&gt;=01/09"&amp;$C$7,'Livro Diario - FC'!$D$11:$D1028,"&lt;=30/09"&amp;$C$7)</f>
        <v>0</v>
      </c>
      <c r="AP115" s="256">
        <f>SUMIFS('Livro Diario - FC'!$M$11:$M1028,'Livro Diario - FC'!$E$11:$E1028,$C$115,'Livro Diario - FC'!$D$11:$D1028,"&gt;=01/09"&amp;$C$7,'Livro Diario - FC'!$D$11:$D1028,"&lt;=30/09"&amp;$C$7)</f>
        <v>0</v>
      </c>
      <c r="AQ115" s="273"/>
      <c r="AR115" s="258"/>
      <c r="AS115" s="255">
        <f>SUMIFS('Livro Diario - FC'!$K$11:$K1028,'Livro Diario - FC'!$E$11:$E1028,$C$115,'Livro Diario - FC'!$D$11:$D1028,"&gt;=01/10"&amp;$C$7,'Livro Diario - FC'!$D$11:$D1028,"&lt;=31/10"&amp;$C$7)</f>
        <v>0</v>
      </c>
      <c r="AT115" s="256">
        <f>SUMIFS('Livro Diario - FC'!$M$11:$M1028,'Livro Diario - FC'!$E$11:$E1028,$C$115,'Livro Diario - FC'!$D$11:$D1028,"&gt;=01/10"&amp;$C$7,'Livro Diario - FC'!$D$11:$D1028,"&lt;=31/10"&amp;$C$7)</f>
        <v>0</v>
      </c>
      <c r="AU115" s="273"/>
      <c r="AV115" s="258"/>
      <c r="AW115" s="255">
        <f>SUMIFS('Livro Diario - FC'!$K$11:$K1028,'Livro Diario - FC'!$E$11:$E1028,$C$115,'Livro Diario - FC'!$D$11:$D1028,"&gt;=01/11"&amp;$C$7,'Livro Diario - FC'!$D$11:$D1028,"&lt;=30/11"&amp;$C$7)</f>
        <v>0</v>
      </c>
      <c r="AX115" s="256">
        <f>SUMIFS('Livro Diario - FC'!$M$11:$M1028,'Livro Diario - FC'!$E$11:$E1028,$C$115,'Livro Diario - FC'!$D$11:$D1028,"&gt;=01/11"&amp;$C$7,'Livro Diario - FC'!$D$11:$D1028,"&lt;=30/11"&amp;$C$7)</f>
        <v>0</v>
      </c>
      <c r="AY115" s="273"/>
      <c r="AZ115" s="258"/>
      <c r="BA115" s="255">
        <f>SUMIFS('Livro Diario - FC'!$K$11:$K1028,'Livro Diario - FC'!$E$11:$E1028,$C$115,'Livro Diario - FC'!$D$11:$D1028,"&gt;=01/12"&amp;$C$7,'Livro Diario - FC'!$D$11:$D1028,"&lt;=31/12"&amp;$C$7)</f>
        <v>0</v>
      </c>
      <c r="BB115" s="256">
        <f>SUMIFS('Livro Diario - FC'!$M$11:$M1028,'Livro Diario - FC'!$E$11:$E1028,$C$115,'Livro Diario - FC'!$D$11:$D1028,"&gt;=01/12"&amp;$C$7,'Livro Diario - FC'!$D$11:$D1028,"&lt;=31/12"&amp;$C$7)</f>
        <v>0</v>
      </c>
      <c r="BC115" s="273"/>
      <c r="BD115" s="273"/>
      <c r="BE115" s="267">
        <f t="shared" ref="BE115:BF115" si="216">SUM(D115,I115,N115,S115,X115,AC115,AG115,AK115,AO115,AS115,AW115,BA115)</f>
        <v>31.5</v>
      </c>
      <c r="BF115" s="268">
        <f t="shared" si="216"/>
        <v>31.5</v>
      </c>
      <c r="BG115" s="269"/>
      <c r="BH115" s="192"/>
      <c r="BI115" s="270">
        <f>SUMIFS('Livro Diario - FC'!$M$11:$M1028,'Livro Diario - FC'!$E$11:$E1028,C115,'Livro Diario - FC'!$D$11:$D1028,"&gt;="&amp;$BK$8,'Livro Diario - FC'!$D$11:$D1028,"&lt;="&amp;$BK$9)</f>
        <v>0</v>
      </c>
      <c r="BJ115" s="271"/>
      <c r="BK115" s="272"/>
      <c r="BL115" s="1"/>
    </row>
    <row r="116">
      <c r="A116" s="1"/>
      <c r="B116" s="1"/>
      <c r="C116" s="338" t="str">
        <f>'Livro Diario - FC'!AE119</f>
        <v>Base Carne</v>
      </c>
      <c r="D116" s="255">
        <f>SUMIFS('Livro Diario - FC'!$K$11:$K1028,'Livro Diario - FC'!$E$11:$E1028,$C$116,'Livro Diario - FC'!$D$11:$D1028,"&gt;=01/01"&amp;$C$7,'Livro Diario - FC'!$D$11:$D1028,"&lt;=31/01"&amp;$C$7)</f>
        <v>16</v>
      </c>
      <c r="E116" s="256">
        <f>SUMIFS('Livro Diario - FC'!$M$11:$M1028,'Livro Diario - FC'!$E$11:$E1028,$C$116,'Livro Diario - FC'!$D$11:$D1028,"&gt;=01/01"&amp;$C$7,'Livro Diario - FC'!$D$11:$D1028,"&lt;=31/01"&amp;$C$7)</f>
        <v>16</v>
      </c>
      <c r="F116" s="273"/>
      <c r="G116" s="258"/>
      <c r="H116" s="157"/>
      <c r="I116" s="255">
        <f>SUMIFS('Livro Diario - FC'!$K$11:$K1028,'Livro Diario - FC'!$E$11:$E1028,$C$116,'Livro Diario - FC'!$D$11:$D1028,"&gt;=01/02"&amp;$C$7,'Livro Diario - FC'!$D$11:$D1028,"&lt;=29/02"&amp;$C$7)</f>
        <v>0</v>
      </c>
      <c r="J116" s="256">
        <f>SUMIFS('Livro Diario - FC'!$M$11:$M1028,'Livro Diario - FC'!$E$11:$E1028,$C$116,'Livro Diario - FC'!$D$11:$D1028,"&gt;=01/02"&amp;$C$7,'Livro Diario - FC'!$D$11:$D1028,"&lt;=29/02"&amp;$C$7)</f>
        <v>0</v>
      </c>
      <c r="K116" s="273"/>
      <c r="L116" s="258"/>
      <c r="M116" s="259"/>
      <c r="N116" s="255">
        <f>SUMIFS('Livro Diario - FC'!$K$11:$K1028,'Livro Diario - FC'!$E$11:$E1028,$C$116,'Livro Diario - FC'!$D$11:$D1028,"&gt;=01/03"&amp;$C$7,'Livro Diario - FC'!$D$11:$D1028,"&lt;=31/03"&amp;$C$7)</f>
        <v>0</v>
      </c>
      <c r="O116" s="256">
        <f>SUMIFS('Livro Diario - FC'!$M$11:$M1028,'Livro Diario - FC'!$E$11:$E1028,$C$116,'Livro Diario - FC'!$D$11:$D1028,"&gt;=01/03"&amp;$C$7,'Livro Diario - FC'!$D$11:$D1028,"&lt;=31/03"&amp;$C$7)</f>
        <v>0</v>
      </c>
      <c r="P116" s="273"/>
      <c r="Q116" s="258"/>
      <c r="R116" s="259"/>
      <c r="S116" s="255">
        <f>SUMIFS('Livro Diario - FC'!$K$11:$K1028,'Livro Diario - FC'!$E$11:$E1028,$C$116,'Livro Diario - FC'!$D$11:$D1028,"&gt;=01/04"&amp;$C$7,'Livro Diario - FC'!$D$11:$D1028,"&lt;=30/04"&amp;$C$7)</f>
        <v>0</v>
      </c>
      <c r="T116" s="256">
        <f>SUMIFS('Livro Diario - FC'!$M$11:$M1028,'Livro Diario - FC'!$E$11:$E1028,$C$116,'Livro Diario - FC'!$D$11:$D1028,"&gt;=01/04"&amp;$C$7,'Livro Diario - FC'!$D$11:$D1028,"&lt;=30/04"&amp;$C$7)</f>
        <v>0</v>
      </c>
      <c r="U116" s="273"/>
      <c r="V116" s="258"/>
      <c r="W116" s="259"/>
      <c r="X116" s="255">
        <f>SUMIFS('Livro Diario - FC'!$K$11:$K1028,'Livro Diario - FC'!$E$11:$E1028,$C$116,'Livro Diario - FC'!$D$11:$D1028,"&gt;=01/05"&amp;$C$7,'Livro Diario - FC'!$D$11:$D1028,"&lt;=31/05"&amp;$C$7)</f>
        <v>0</v>
      </c>
      <c r="Y116" s="256">
        <f>SUMIFS('Livro Diario - FC'!$M$11:$M1028,'Livro Diario - FC'!$E$11:$E1028,$C$116,'Livro Diario - FC'!$D$11:$D1028,"&gt;=01/05"&amp;$C$7,'Livro Diario - FC'!$D$11:$D1028,"&lt;=31/05"&amp;$C$7)</f>
        <v>0</v>
      </c>
      <c r="Z116" s="273"/>
      <c r="AA116" s="258"/>
      <c r="AB116" s="259"/>
      <c r="AC116" s="255">
        <f>SUMIFS('Livro Diario - FC'!$K$11:$K1028,'Livro Diario - FC'!$E$11:$E1028,$C$116,'Livro Diario - FC'!$D$11:$D1028,"&gt;=01/06"&amp;$C$7,'Livro Diario - FC'!$D$11:$D1028,"&lt;=30/06"&amp;$C$7)</f>
        <v>0</v>
      </c>
      <c r="AD116" s="256">
        <f>SUMIFS('Livro Diario - FC'!$M$11:$M1028,'Livro Diario - FC'!$E$11:$E1028,$C$116,'Livro Diario - FC'!$D$11:$D1028,"&gt;=01/06"&amp;$C$7,'Livro Diario - FC'!$D$11:$D1028,"&lt;=30/06"&amp;$C$7)</f>
        <v>0</v>
      </c>
      <c r="AE116" s="273"/>
      <c r="AF116" s="258"/>
      <c r="AG116" s="255">
        <f>SUMIFS('Livro Diario - FC'!$K$11:$K1028,'Livro Diario - FC'!$E$11:$E1028,$C$116,'Livro Diario - FC'!$D$11:$D1028,"&gt;=01/07"&amp;$C$7,'Livro Diario - FC'!$D$11:$D1028,"&lt;=31/07"&amp;$C$7)</f>
        <v>0</v>
      </c>
      <c r="AH116" s="256">
        <f>SUMIFS('Livro Diario - FC'!$M$11:$M1028,'Livro Diario - FC'!$E$11:$E1028,$C$116,'Livro Diario - FC'!$D$11:$D1028,"&gt;=01/07"&amp;$C$7,'Livro Diario - FC'!$D$11:$D1028,"&lt;=31/07"&amp;$C$7)</f>
        <v>0</v>
      </c>
      <c r="AI116" s="273"/>
      <c r="AJ116" s="258"/>
      <c r="AK116" s="255">
        <f>SUMIFS('Livro Diario - FC'!$K$11:$K1028,'Livro Diario - FC'!$E$11:$E1028,$C$116,'Livro Diario - FC'!$D$11:$D1028,"&gt;=01/08"&amp;$C$7,'Livro Diario - FC'!$D$11:$D1028,"&lt;=31/08"&amp;$C$7)</f>
        <v>0</v>
      </c>
      <c r="AL116" s="256">
        <f>SUMIFS('Livro Diario - FC'!$M$11:$M1028,'Livro Diario - FC'!$E$11:$E1028,$C$116,'Livro Diario - FC'!$D$11:$D1028,"&gt;=01/08"&amp;$C$7,'Livro Diario - FC'!$D$11:$D1028,"&lt;=31/08"&amp;$C$7)</f>
        <v>0</v>
      </c>
      <c r="AM116" s="273"/>
      <c r="AN116" s="258"/>
      <c r="AO116" s="255">
        <f>SUMIFS('Livro Diario - FC'!$K$11:$K1028,'Livro Diario - FC'!$E$11:$E1028,$C$116,'Livro Diario - FC'!$D$11:$D1028,"&gt;=01/09"&amp;$C$7,'Livro Diario - FC'!$D$11:$D1028,"&lt;=30/09"&amp;$C$7)</f>
        <v>0</v>
      </c>
      <c r="AP116" s="256">
        <f>SUMIFS('Livro Diario - FC'!$M$11:$M1028,'Livro Diario - FC'!$E$11:$E1028,$C$116,'Livro Diario - FC'!$D$11:$D1028,"&gt;=01/09"&amp;$C$7,'Livro Diario - FC'!$D$11:$D1028,"&lt;=30/09"&amp;$C$7)</f>
        <v>0</v>
      </c>
      <c r="AQ116" s="273"/>
      <c r="AR116" s="258"/>
      <c r="AS116" s="255">
        <f>SUMIFS('Livro Diario - FC'!$K$11:$K1028,'Livro Diario - FC'!$E$11:$E1028,$C$116,'Livro Diario - FC'!$D$11:$D1028,"&gt;=01/10"&amp;$C$7,'Livro Diario - FC'!$D$11:$D1028,"&lt;=31/10"&amp;$C$7)</f>
        <v>0</v>
      </c>
      <c r="AT116" s="256">
        <f>SUMIFS('Livro Diario - FC'!$M$11:$M1028,'Livro Diario - FC'!$E$11:$E1028,$C$116,'Livro Diario - FC'!$D$11:$D1028,"&gt;=01/10"&amp;$C$7,'Livro Diario - FC'!$D$11:$D1028,"&lt;=31/10"&amp;$C$7)</f>
        <v>0</v>
      </c>
      <c r="AU116" s="273"/>
      <c r="AV116" s="258"/>
      <c r="AW116" s="255">
        <f>SUMIFS('Livro Diario - FC'!$K$11:$K1028,'Livro Diario - FC'!$E$11:$E1028,$C$116,'Livro Diario - FC'!$D$11:$D1028,"&gt;=01/11"&amp;$C$7,'Livro Diario - FC'!$D$11:$D1028,"&lt;=30/11"&amp;$C$7)</f>
        <v>0</v>
      </c>
      <c r="AX116" s="256">
        <f>SUMIFS('Livro Diario - FC'!$M$11:$M1028,'Livro Diario - FC'!$E$11:$E1028,$C$116,'Livro Diario - FC'!$D$11:$D1028,"&gt;=01/11"&amp;$C$7,'Livro Diario - FC'!$D$11:$D1028,"&lt;=30/11"&amp;$C$7)</f>
        <v>0</v>
      </c>
      <c r="AY116" s="273"/>
      <c r="AZ116" s="258"/>
      <c r="BA116" s="255">
        <f>SUMIFS('Livro Diario - FC'!$K$11:$K1028,'Livro Diario - FC'!$E$11:$E1028,$C$116,'Livro Diario - FC'!$D$11:$D1028,"&gt;=01/12"&amp;$C$7,'Livro Diario - FC'!$D$11:$D1028,"&lt;=31/12"&amp;$C$7)</f>
        <v>0</v>
      </c>
      <c r="BB116" s="256">
        <f>SUMIFS('Livro Diario - FC'!$M$11:$M1028,'Livro Diario - FC'!$E$11:$E1028,$C$116,'Livro Diario - FC'!$D$11:$D1028,"&gt;=01/12"&amp;$C$7,'Livro Diario - FC'!$D$11:$D1028,"&lt;=31/12"&amp;$C$7)</f>
        <v>0</v>
      </c>
      <c r="BC116" s="273"/>
      <c r="BD116" s="273"/>
      <c r="BE116" s="267">
        <f t="shared" ref="BE116:BF116" si="217">SUM(D116,I116,N116,S116,X116,AC116,AG116,AK116,AO116,AS116,AW116,BA116)</f>
        <v>16</v>
      </c>
      <c r="BF116" s="268">
        <f t="shared" si="217"/>
        <v>16</v>
      </c>
      <c r="BG116" s="269"/>
      <c r="BH116" s="192"/>
      <c r="BI116" s="270">
        <f>SUMIFS('Livro Diario - FC'!$M$11:$M1028,'Livro Diario - FC'!$E$11:$E1028,C116,'Livro Diario - FC'!$D$11:$D1028,"&gt;="&amp;$BK$8,'Livro Diario - FC'!$D$11:$D1028,"&lt;="&amp;$BK$9)</f>
        <v>0</v>
      </c>
      <c r="BJ116" s="271"/>
      <c r="BK116" s="272"/>
      <c r="BL116" s="1"/>
    </row>
    <row r="117">
      <c r="A117" s="1"/>
      <c r="B117" s="1"/>
      <c r="C117" s="338" t="str">
        <f>'Livro Diario - FC'!AE120</f>
        <v>Base Galinha</v>
      </c>
      <c r="D117" s="255">
        <f>SUMIFS('Livro Diario - FC'!$K$11:$K1028,'Livro Diario - FC'!$E$11:$E1028,$C$117,'Livro Diario - FC'!$D$11:$D1028,"&gt;=01/01"&amp;$C$7,'Livro Diario - FC'!$D$11:$D1028,"&lt;=31/01"&amp;$C$7)</f>
        <v>16</v>
      </c>
      <c r="E117" s="256">
        <f>SUMIFS('Livro Diario - FC'!$M$11:$M1028,'Livro Diario - FC'!$E$11:$E1028,$C$117,'Livro Diario - FC'!$D$11:$D1028,"&gt;=01/01"&amp;$C$7,'Livro Diario - FC'!$D$11:$D1028,"&lt;=31/01"&amp;$C$7)</f>
        <v>16</v>
      </c>
      <c r="F117" s="273"/>
      <c r="G117" s="258"/>
      <c r="H117" s="157"/>
      <c r="I117" s="255">
        <f>SUMIFS('Livro Diario - FC'!$K$11:$K1028,'Livro Diario - FC'!$E$11:$E1028,$C$117,'Livro Diario - FC'!$D$11:$D1028,"&gt;=01/02"&amp;$C$7,'Livro Diario - FC'!$D$11:$D1028,"&lt;=29/02"&amp;$C$7)</f>
        <v>0</v>
      </c>
      <c r="J117" s="256">
        <f>SUMIFS('Livro Diario - FC'!$M$11:$M1028,'Livro Diario - FC'!$E$11:$E1028,$C$117,'Livro Diario - FC'!$D$11:$D1028,"&gt;=01/02"&amp;$C$7,'Livro Diario - FC'!$D$11:$D1028,"&lt;=29/02"&amp;$C$7)</f>
        <v>0</v>
      </c>
      <c r="K117" s="273"/>
      <c r="L117" s="258"/>
      <c r="M117" s="259"/>
      <c r="N117" s="255">
        <f>SUMIFS('Livro Diario - FC'!$K$11:$K1028,'Livro Diario - FC'!$E$11:$E1028,$C$117,'Livro Diario - FC'!$D$11:$D1028,"&gt;=01/03"&amp;$C$7,'Livro Diario - FC'!$D$11:$D1028,"&lt;=31/03"&amp;$C$7)</f>
        <v>0</v>
      </c>
      <c r="O117" s="256">
        <f>SUMIFS('Livro Diario - FC'!$M$11:$M1028,'Livro Diario - FC'!$E$11:$E1028,$C$117,'Livro Diario - FC'!$D$11:$D1028,"&gt;=01/03"&amp;$C$7,'Livro Diario - FC'!$D$11:$D1028,"&lt;=31/03"&amp;$C$7)</f>
        <v>0</v>
      </c>
      <c r="P117" s="273"/>
      <c r="Q117" s="258"/>
      <c r="R117" s="259"/>
      <c r="S117" s="255">
        <f>SUMIFS('Livro Diario - FC'!$K$11:$K1028,'Livro Diario - FC'!$E$11:$E1028,$C$117,'Livro Diario - FC'!$D$11:$D1028,"&gt;=01/04"&amp;$C$7,'Livro Diario - FC'!$D$11:$D1028,"&lt;=30/04"&amp;$C$7)</f>
        <v>0</v>
      </c>
      <c r="T117" s="256">
        <f>SUMIFS('Livro Diario - FC'!$M$11:$M1028,'Livro Diario - FC'!$E$11:$E1028,$C$117,'Livro Diario - FC'!$D$11:$D1028,"&gt;=01/04"&amp;$C$7,'Livro Diario - FC'!$D$11:$D1028,"&lt;=30/04"&amp;$C$7)</f>
        <v>0</v>
      </c>
      <c r="U117" s="273"/>
      <c r="V117" s="258"/>
      <c r="W117" s="259"/>
      <c r="X117" s="255">
        <f>SUMIFS('Livro Diario - FC'!$K$11:$K1028,'Livro Diario - FC'!$E$11:$E1028,$C$117,'Livro Diario - FC'!$D$11:$D1028,"&gt;=01/05"&amp;$C$7,'Livro Diario - FC'!$D$11:$D1028,"&lt;=31/05"&amp;$C$7)</f>
        <v>0</v>
      </c>
      <c r="Y117" s="256">
        <f>SUMIFS('Livro Diario - FC'!$M$11:$M1028,'Livro Diario - FC'!$E$11:$E1028,$C$117,'Livro Diario - FC'!$D$11:$D1028,"&gt;=01/05"&amp;$C$7,'Livro Diario - FC'!$D$11:$D1028,"&lt;=31/05"&amp;$C$7)</f>
        <v>0</v>
      </c>
      <c r="Z117" s="273"/>
      <c r="AA117" s="258"/>
      <c r="AB117" s="259"/>
      <c r="AC117" s="255">
        <f>SUMIFS('Livro Diario - FC'!$K$11:$K1028,'Livro Diario - FC'!$E$11:$E1028,$C$117,'Livro Diario - FC'!$D$11:$D1028,"&gt;=01/06"&amp;$C$7,'Livro Diario - FC'!$D$11:$D1028,"&lt;=30/06"&amp;$C$7)</f>
        <v>0</v>
      </c>
      <c r="AD117" s="256">
        <f>SUMIFS('Livro Diario - FC'!$M$11:$M1028,'Livro Diario - FC'!$E$11:$E1028,$C$117,'Livro Diario - FC'!$D$11:$D1028,"&gt;=01/06"&amp;$C$7,'Livro Diario - FC'!$D$11:$D1028,"&lt;=30/06"&amp;$C$7)</f>
        <v>0</v>
      </c>
      <c r="AE117" s="273"/>
      <c r="AF117" s="258"/>
      <c r="AG117" s="255">
        <f>SUMIFS('Livro Diario - FC'!$K$11:$K1028,'Livro Diario - FC'!$E$11:$E1028,$C$117,'Livro Diario - FC'!$D$11:$D1028,"&gt;=01/07"&amp;$C$7,'Livro Diario - FC'!$D$11:$D1028,"&lt;=31/07"&amp;$C$7)</f>
        <v>0</v>
      </c>
      <c r="AH117" s="256">
        <f>SUMIFS('Livro Diario - FC'!$M$11:$M1028,'Livro Diario - FC'!$E$11:$E1028,$C$117,'Livro Diario - FC'!$D$11:$D1028,"&gt;=01/07"&amp;$C$7,'Livro Diario - FC'!$D$11:$D1028,"&lt;=31/07"&amp;$C$7)</f>
        <v>0</v>
      </c>
      <c r="AI117" s="273"/>
      <c r="AJ117" s="258"/>
      <c r="AK117" s="255">
        <f>SUMIFS('Livro Diario - FC'!$K$11:$K1028,'Livro Diario - FC'!$E$11:$E1028,$C$117,'Livro Diario - FC'!$D$11:$D1028,"&gt;=01/08"&amp;$C$7,'Livro Diario - FC'!$D$11:$D1028,"&lt;=31/08"&amp;$C$7)</f>
        <v>0</v>
      </c>
      <c r="AL117" s="256">
        <f>SUMIFS('Livro Diario - FC'!$M$11:$M1028,'Livro Diario - FC'!$E$11:$E1028,$C$117,'Livro Diario - FC'!$D$11:$D1028,"&gt;=01/08"&amp;$C$7,'Livro Diario - FC'!$D$11:$D1028,"&lt;=31/08"&amp;$C$7)</f>
        <v>0</v>
      </c>
      <c r="AM117" s="273"/>
      <c r="AN117" s="258"/>
      <c r="AO117" s="255">
        <f>SUMIFS('Livro Diario - FC'!$K$11:$K1028,'Livro Diario - FC'!$E$11:$E1028,$C$117,'Livro Diario - FC'!$D$11:$D1028,"&gt;=01/09"&amp;$C$7,'Livro Diario - FC'!$D$11:$D1028,"&lt;=30/09"&amp;$C$7)</f>
        <v>0</v>
      </c>
      <c r="AP117" s="256">
        <f>SUMIFS('Livro Diario - FC'!$M$11:$M1028,'Livro Diario - FC'!$E$11:$E1028,$C$117,'Livro Diario - FC'!$D$11:$D1028,"&gt;=01/09"&amp;$C$7,'Livro Diario - FC'!$D$11:$D1028,"&lt;=30/09"&amp;$C$7)</f>
        <v>0</v>
      </c>
      <c r="AQ117" s="273"/>
      <c r="AR117" s="258"/>
      <c r="AS117" s="255">
        <f>SUMIFS('Livro Diario - FC'!$K$11:$K1028,'Livro Diario - FC'!$E$11:$E1028,$C$117,'Livro Diario - FC'!$D$11:$D1028,"&gt;=01/10"&amp;$C$7,'Livro Diario - FC'!$D$11:$D1028,"&lt;=31/10"&amp;$C$7)</f>
        <v>0</v>
      </c>
      <c r="AT117" s="256">
        <f>SUMIFS('Livro Diario - FC'!$M$11:$M1028,'Livro Diario - FC'!$E$11:$E1028,$C$117,'Livro Diario - FC'!$D$11:$D1028,"&gt;=01/10"&amp;$C$7,'Livro Diario - FC'!$D$11:$D1028,"&lt;=31/10"&amp;$C$7)</f>
        <v>0</v>
      </c>
      <c r="AU117" s="273"/>
      <c r="AV117" s="258"/>
      <c r="AW117" s="255">
        <f>SUMIFS('Livro Diario - FC'!$K$11:$K1028,'Livro Diario - FC'!$E$11:$E1028,$C$117,'Livro Diario - FC'!$D$11:$D1028,"&gt;=01/11"&amp;$C$7,'Livro Diario - FC'!$D$11:$D1028,"&lt;=30/11"&amp;$C$7)</f>
        <v>0</v>
      </c>
      <c r="AX117" s="256">
        <f>SUMIFS('Livro Diario - FC'!$M$11:$M1028,'Livro Diario - FC'!$E$11:$E1028,$C$117,'Livro Diario - FC'!$D$11:$D1028,"&gt;=01/11"&amp;$C$7,'Livro Diario - FC'!$D$11:$D1028,"&lt;=30/11"&amp;$C$7)</f>
        <v>0</v>
      </c>
      <c r="AY117" s="273"/>
      <c r="AZ117" s="258"/>
      <c r="BA117" s="255">
        <f>SUMIFS('Livro Diario - FC'!$K$11:$K1028,'Livro Diario - FC'!$E$11:$E1028,$C$117,'Livro Diario - FC'!$D$11:$D1028,"&gt;=01/12"&amp;$C$7,'Livro Diario - FC'!$D$11:$D1028,"&lt;=31/12"&amp;$C$7)</f>
        <v>0</v>
      </c>
      <c r="BB117" s="256">
        <f>SUMIFS('Livro Diario - FC'!$M$11:$M1028,'Livro Diario - FC'!$E$11:$E1028,$C$117,'Livro Diario - FC'!$D$11:$D1028,"&gt;=01/12"&amp;$C$7,'Livro Diario - FC'!$D$11:$D1028,"&lt;=31/12"&amp;$C$7)</f>
        <v>0</v>
      </c>
      <c r="BC117" s="273"/>
      <c r="BD117" s="273"/>
      <c r="BE117" s="267">
        <f t="shared" ref="BE117:BF117" si="218">SUM(D117,I117,N117,S117,X117,AC117,AG117,AK117,AO117,AS117,AW117,BA117)</f>
        <v>16</v>
      </c>
      <c r="BF117" s="268">
        <f t="shared" si="218"/>
        <v>16</v>
      </c>
      <c r="BG117" s="269"/>
      <c r="BH117" s="192"/>
      <c r="BI117" s="270">
        <f>SUMIFS('Livro Diario - FC'!$M$11:$M1028,'Livro Diario - FC'!$E$11:$E1028,C117,'Livro Diario - FC'!$D$11:$D1028,"&gt;="&amp;$BK$8,'Livro Diario - FC'!$D$11:$D1028,"&lt;="&amp;$BK$9)</f>
        <v>0</v>
      </c>
      <c r="BJ117" s="271"/>
      <c r="BK117" s="272"/>
      <c r="BL117" s="1"/>
    </row>
    <row r="118">
      <c r="A118" s="1"/>
      <c r="B118" s="1"/>
      <c r="C118" s="338" t="str">
        <f>'Livro Diario - FC'!AE121</f>
        <v>Alho Triturado</v>
      </c>
      <c r="D118" s="255">
        <f>SUMIFS('Livro Diario - FC'!$K$11:$K1028,'Livro Diario - FC'!$E$11:$E1028,$C$118,'Livro Diario - FC'!$D$11:$D1028,"&gt;=01/01"&amp;$C$7,'Livro Diario - FC'!$D$11:$D1028,"&lt;=31/01"&amp;$C$7)</f>
        <v>90.36</v>
      </c>
      <c r="E118" s="256">
        <f>SUMIFS('Livro Diario - FC'!$M$11:$M1028,'Livro Diario - FC'!$E$11:$E1028,$C$118,'Livro Diario - FC'!$D$11:$D1028,"&gt;=01/01"&amp;$C$7,'Livro Diario - FC'!$D$11:$D1028,"&lt;=31/01"&amp;$C$7)</f>
        <v>90.36</v>
      </c>
      <c r="F118" s="273"/>
      <c r="G118" s="258"/>
      <c r="H118" s="157"/>
      <c r="I118" s="255">
        <f>SUMIFS('Livro Diario - FC'!$K$11:$K1028,'Livro Diario - FC'!$E$11:$E1028,$C$118,'Livro Diario - FC'!$D$11:$D1028,"&gt;=01/02"&amp;$C$7,'Livro Diario - FC'!$D$11:$D1028,"&lt;=29/02"&amp;$C$7)</f>
        <v>0</v>
      </c>
      <c r="J118" s="256">
        <f>SUMIFS('Livro Diario - FC'!$M$11:$M1028,'Livro Diario - FC'!$E$11:$E1028,$C$118,'Livro Diario - FC'!$D$11:$D1028,"&gt;=01/02"&amp;$C$7,'Livro Diario - FC'!$D$11:$D1028,"&lt;=29/02"&amp;$C$7)</f>
        <v>0</v>
      </c>
      <c r="K118" s="273"/>
      <c r="L118" s="258"/>
      <c r="M118" s="259"/>
      <c r="N118" s="255">
        <f>SUMIFS('Livro Diario - FC'!$K$11:$K1028,'Livro Diario - FC'!$E$11:$E1028,$C$118,'Livro Diario - FC'!$D$11:$D1028,"&gt;=01/03"&amp;$C$7,'Livro Diario - FC'!$D$11:$D1028,"&lt;=31/03"&amp;$C$7)</f>
        <v>0</v>
      </c>
      <c r="O118" s="256">
        <f>SUMIFS('Livro Diario - FC'!$M$11:$M1028,'Livro Diario - FC'!$E$11:$E1028,$C$118,'Livro Diario - FC'!$D$11:$D1028,"&gt;=01/03"&amp;$C$7,'Livro Diario - FC'!$D$11:$D1028,"&lt;=31/03"&amp;$C$7)</f>
        <v>0</v>
      </c>
      <c r="P118" s="273"/>
      <c r="Q118" s="258"/>
      <c r="R118" s="259"/>
      <c r="S118" s="255">
        <f>SUMIFS('Livro Diario - FC'!$K$11:$K1028,'Livro Diario - FC'!$E$11:$E1028,$C$118,'Livro Diario - FC'!$D$11:$D1028,"&gt;=01/04"&amp;$C$7,'Livro Diario - FC'!$D$11:$D1028,"&lt;=30/04"&amp;$C$7)</f>
        <v>0</v>
      </c>
      <c r="T118" s="256">
        <f>SUMIFS('Livro Diario - FC'!$M$11:$M1028,'Livro Diario - FC'!$E$11:$E1028,$C$118,'Livro Diario - FC'!$D$11:$D1028,"&gt;=01/04"&amp;$C$7,'Livro Diario - FC'!$D$11:$D1028,"&lt;=30/04"&amp;$C$7)</f>
        <v>0</v>
      </c>
      <c r="U118" s="273"/>
      <c r="V118" s="258"/>
      <c r="W118" s="259"/>
      <c r="X118" s="255">
        <f>SUMIFS('Livro Diario - FC'!$K$11:$K1028,'Livro Diario - FC'!$E$11:$E1028,$C$118,'Livro Diario - FC'!$D$11:$D1028,"&gt;=01/05"&amp;$C$7,'Livro Diario - FC'!$D$11:$D1028,"&lt;=31/05"&amp;$C$7)</f>
        <v>0</v>
      </c>
      <c r="Y118" s="256">
        <f>SUMIFS('Livro Diario - FC'!$M$11:$M1028,'Livro Diario - FC'!$E$11:$E1028,$C$118,'Livro Diario - FC'!$D$11:$D1028,"&gt;=01/05"&amp;$C$7,'Livro Diario - FC'!$D$11:$D1028,"&lt;=31/05"&amp;$C$7)</f>
        <v>0</v>
      </c>
      <c r="Z118" s="273"/>
      <c r="AA118" s="258"/>
      <c r="AB118" s="259"/>
      <c r="AC118" s="255">
        <f>SUMIFS('Livro Diario - FC'!$K$11:$K1028,'Livro Diario - FC'!$E$11:$E1028,$C$118,'Livro Diario - FC'!$D$11:$D1028,"&gt;=01/06"&amp;$C$7,'Livro Diario - FC'!$D$11:$D1028,"&lt;=30/06"&amp;$C$7)</f>
        <v>0</v>
      </c>
      <c r="AD118" s="256">
        <f>SUMIFS('Livro Diario - FC'!$M$11:$M1028,'Livro Diario - FC'!$E$11:$E1028,$C$118,'Livro Diario - FC'!$D$11:$D1028,"&gt;=01/06"&amp;$C$7,'Livro Diario - FC'!$D$11:$D1028,"&lt;=30/06"&amp;$C$7)</f>
        <v>0</v>
      </c>
      <c r="AE118" s="273"/>
      <c r="AF118" s="258"/>
      <c r="AG118" s="255">
        <f>SUMIFS('Livro Diario - FC'!$K$11:$K1028,'Livro Diario - FC'!$E$11:$E1028,$C$118,'Livro Diario - FC'!$D$11:$D1028,"&gt;=01/07"&amp;$C$7,'Livro Diario - FC'!$D$11:$D1028,"&lt;=31/07"&amp;$C$7)</f>
        <v>0</v>
      </c>
      <c r="AH118" s="256">
        <f>SUMIFS('Livro Diario - FC'!$M$11:$M1028,'Livro Diario - FC'!$E$11:$E1028,$C$118,'Livro Diario - FC'!$D$11:$D1028,"&gt;=01/07"&amp;$C$7,'Livro Diario - FC'!$D$11:$D1028,"&lt;=31/07"&amp;$C$7)</f>
        <v>0</v>
      </c>
      <c r="AI118" s="273"/>
      <c r="AJ118" s="258"/>
      <c r="AK118" s="255">
        <f>SUMIFS('Livro Diario - FC'!$K$11:$K1028,'Livro Diario - FC'!$E$11:$E1028,$C$118,'Livro Diario - FC'!$D$11:$D1028,"&gt;=01/08"&amp;$C$7,'Livro Diario - FC'!$D$11:$D1028,"&lt;=31/08"&amp;$C$7)</f>
        <v>0</v>
      </c>
      <c r="AL118" s="256">
        <f>SUMIFS('Livro Diario - FC'!$M$11:$M1028,'Livro Diario - FC'!$E$11:$E1028,$C$118,'Livro Diario - FC'!$D$11:$D1028,"&gt;=01/08"&amp;$C$7,'Livro Diario - FC'!$D$11:$D1028,"&lt;=31/08"&amp;$C$7)</f>
        <v>0</v>
      </c>
      <c r="AM118" s="273"/>
      <c r="AN118" s="258"/>
      <c r="AO118" s="255">
        <f>SUMIFS('Livro Diario - FC'!$K$11:$K1028,'Livro Diario - FC'!$E$11:$E1028,$C$118,'Livro Diario - FC'!$D$11:$D1028,"&gt;=01/09"&amp;$C$7,'Livro Diario - FC'!$D$11:$D1028,"&lt;=30/09"&amp;$C$7)</f>
        <v>0</v>
      </c>
      <c r="AP118" s="256">
        <f>SUMIFS('Livro Diario - FC'!$M$11:$M1028,'Livro Diario - FC'!$E$11:$E1028,$C$118,'Livro Diario - FC'!$D$11:$D1028,"&gt;=01/09"&amp;$C$7,'Livro Diario - FC'!$D$11:$D1028,"&lt;=30/09"&amp;$C$7)</f>
        <v>0</v>
      </c>
      <c r="AQ118" s="273"/>
      <c r="AR118" s="258"/>
      <c r="AS118" s="255">
        <f>SUMIFS('Livro Diario - FC'!$K$11:$K1028,'Livro Diario - FC'!$E$11:$E1028,$C$118,'Livro Diario - FC'!$D$11:$D1028,"&gt;=01/10"&amp;$C$7,'Livro Diario - FC'!$D$11:$D1028,"&lt;=31/10"&amp;$C$7)</f>
        <v>0</v>
      </c>
      <c r="AT118" s="256">
        <f>SUMIFS('Livro Diario - FC'!$M$11:$M1028,'Livro Diario - FC'!$E$11:$E1028,$C$118,'Livro Diario - FC'!$D$11:$D1028,"&gt;=01/10"&amp;$C$7,'Livro Diario - FC'!$D$11:$D1028,"&lt;=31/10"&amp;$C$7)</f>
        <v>0</v>
      </c>
      <c r="AU118" s="273"/>
      <c r="AV118" s="258"/>
      <c r="AW118" s="255">
        <f>SUMIFS('Livro Diario - FC'!$K$11:$K1028,'Livro Diario - FC'!$E$11:$E1028,$C$118,'Livro Diario - FC'!$D$11:$D1028,"&gt;=01/11"&amp;$C$7,'Livro Diario - FC'!$D$11:$D1028,"&lt;=30/11"&amp;$C$7)</f>
        <v>0</v>
      </c>
      <c r="AX118" s="256">
        <f>SUMIFS('Livro Diario - FC'!$M$11:$M1028,'Livro Diario - FC'!$E$11:$E1028,$C$118,'Livro Diario - FC'!$D$11:$D1028,"&gt;=01/11"&amp;$C$7,'Livro Diario - FC'!$D$11:$D1028,"&lt;=30/11"&amp;$C$7)</f>
        <v>0</v>
      </c>
      <c r="AY118" s="273"/>
      <c r="AZ118" s="258"/>
      <c r="BA118" s="255">
        <f>SUMIFS('Livro Diario - FC'!$K$11:$K1028,'Livro Diario - FC'!$E$11:$E1028,$C$118,'Livro Diario - FC'!$D$11:$D1028,"&gt;=01/12"&amp;$C$7,'Livro Diario - FC'!$D$11:$D1028,"&lt;=31/12"&amp;$C$7)</f>
        <v>0</v>
      </c>
      <c r="BB118" s="256">
        <f>SUMIFS('Livro Diario - FC'!$M$11:$M1028,'Livro Diario - FC'!$E$11:$E1028,$C$118,'Livro Diario - FC'!$D$11:$D1028,"&gt;=01/12"&amp;$C$7,'Livro Diario - FC'!$D$11:$D1028,"&lt;=31/12"&amp;$C$7)</f>
        <v>0</v>
      </c>
      <c r="BC118" s="273"/>
      <c r="BD118" s="273"/>
      <c r="BE118" s="267">
        <f t="shared" ref="BE118:BF118" si="219">SUM(D118,I118,N118,S118,X118,AC118,AG118,AK118,AO118,AS118,AW118,BA118)</f>
        <v>90.36</v>
      </c>
      <c r="BF118" s="268">
        <f t="shared" si="219"/>
        <v>90.36</v>
      </c>
      <c r="BG118" s="269"/>
      <c r="BH118" s="192"/>
      <c r="BI118" s="270">
        <f>SUMIFS('Livro Diario - FC'!$M$11:$M1028,'Livro Diario - FC'!$E$11:$E1028,C118,'Livro Diario - FC'!$D$11:$D1028,"&gt;="&amp;$BK$8,'Livro Diario - FC'!$D$11:$D1028,"&lt;="&amp;$BK$9)</f>
        <v>0</v>
      </c>
      <c r="BJ118" s="271"/>
      <c r="BK118" s="272"/>
      <c r="BL118" s="1"/>
    </row>
    <row r="119">
      <c r="A119" s="1"/>
      <c r="B119" s="1"/>
      <c r="C119" s="338" t="str">
        <f>'Livro Diario - FC'!AE122</f>
        <v>Oregano</v>
      </c>
      <c r="D119" s="255">
        <f>SUMIFS('Livro Diario - FC'!$K$11:$K1028,'Livro Diario - FC'!$E$11:$E1028,$C$119,'Livro Diario - FC'!$D$11:$D1028,"&gt;=01/01"&amp;$C$7,'Livro Diario - FC'!$D$11:$D1028,"&lt;=31/01"&amp;$C$7)</f>
        <v>0</v>
      </c>
      <c r="E119" s="256">
        <f>SUMIFS('Livro Diario - FC'!$M$11:$M1028,'Livro Diario - FC'!$E$11:$E1028,$C$119,'Livro Diario - FC'!$D$11:$D1028,"&gt;=01/01"&amp;$C$7,'Livro Diario - FC'!$D$11:$D1028,"&lt;=31/01"&amp;$C$7)</f>
        <v>0</v>
      </c>
      <c r="F119" s="273"/>
      <c r="G119" s="258"/>
      <c r="H119" s="157"/>
      <c r="I119" s="255">
        <f>SUMIFS('Livro Diario - FC'!$K$11:$K1028,'Livro Diario - FC'!$E$11:$E1028,$C$119,'Livro Diario - FC'!$D$11:$D1028,"&gt;=01/02"&amp;$C$7,'Livro Diario - FC'!$D$11:$D1028,"&lt;=29/02"&amp;$C$7)</f>
        <v>0</v>
      </c>
      <c r="J119" s="256">
        <f>SUMIFS('Livro Diario - FC'!$M$11:$M1028,'Livro Diario - FC'!$E$11:$E1028,$C$119,'Livro Diario - FC'!$D$11:$D1028,"&gt;=01/02"&amp;$C$7,'Livro Diario - FC'!$D$11:$D1028,"&lt;=29/02"&amp;$C$7)</f>
        <v>0</v>
      </c>
      <c r="K119" s="273"/>
      <c r="L119" s="258"/>
      <c r="M119" s="259"/>
      <c r="N119" s="255">
        <f>SUMIFS('Livro Diario - FC'!$K$11:$K1028,'Livro Diario - FC'!$E$11:$E1028,$C$119,'Livro Diario - FC'!$D$11:$D1028,"&gt;=01/03"&amp;$C$7,'Livro Diario - FC'!$D$11:$D1028,"&lt;=31/03"&amp;$C$7)</f>
        <v>0</v>
      </c>
      <c r="O119" s="256">
        <f>SUMIFS('Livro Diario - FC'!$M$11:$M1028,'Livro Diario - FC'!$E$11:$E1028,$C$119,'Livro Diario - FC'!$D$11:$D1028,"&gt;=01/03"&amp;$C$7,'Livro Diario - FC'!$D$11:$D1028,"&lt;=31/03"&amp;$C$7)</f>
        <v>0</v>
      </c>
      <c r="P119" s="273"/>
      <c r="Q119" s="258"/>
      <c r="R119" s="259"/>
      <c r="S119" s="255">
        <f>SUMIFS('Livro Diario - FC'!$K$11:$K1028,'Livro Diario - FC'!$E$11:$E1028,$C$119,'Livro Diario - FC'!$D$11:$D1028,"&gt;=01/04"&amp;$C$7,'Livro Diario - FC'!$D$11:$D1028,"&lt;=30/04"&amp;$C$7)</f>
        <v>0</v>
      </c>
      <c r="T119" s="256">
        <f>SUMIFS('Livro Diario - FC'!$M$11:$M1028,'Livro Diario - FC'!$E$11:$E1028,$C$119,'Livro Diario - FC'!$D$11:$D1028,"&gt;=01/04"&amp;$C$7,'Livro Diario - FC'!$D$11:$D1028,"&lt;=30/04"&amp;$C$7)</f>
        <v>0</v>
      </c>
      <c r="U119" s="273"/>
      <c r="V119" s="258"/>
      <c r="W119" s="259"/>
      <c r="X119" s="255">
        <f>SUMIFS('Livro Diario - FC'!$K$11:$K1028,'Livro Diario - FC'!$E$11:$E1028,$C$119,'Livro Diario - FC'!$D$11:$D1028,"&gt;=01/05"&amp;$C$7,'Livro Diario - FC'!$D$11:$D1028,"&lt;=31/05"&amp;$C$7)</f>
        <v>0</v>
      </c>
      <c r="Y119" s="256">
        <f>SUMIFS('Livro Diario - FC'!$M$11:$M1028,'Livro Diario - FC'!$E$11:$E1028,$C$119,'Livro Diario - FC'!$D$11:$D1028,"&gt;=01/05"&amp;$C$7,'Livro Diario - FC'!$D$11:$D1028,"&lt;=31/05"&amp;$C$7)</f>
        <v>0</v>
      </c>
      <c r="Z119" s="273"/>
      <c r="AA119" s="258"/>
      <c r="AB119" s="259"/>
      <c r="AC119" s="255">
        <f>SUMIFS('Livro Diario - FC'!$K$11:$K1028,'Livro Diario - FC'!$E$11:$E1028,$C$119,'Livro Diario - FC'!$D$11:$D1028,"&gt;=01/06"&amp;$C$7,'Livro Diario - FC'!$D$11:$D1028,"&lt;=30/06"&amp;$C$7)</f>
        <v>0</v>
      </c>
      <c r="AD119" s="256">
        <f>SUMIFS('Livro Diario - FC'!$M$11:$M1028,'Livro Diario - FC'!$E$11:$E1028,$C$119,'Livro Diario - FC'!$D$11:$D1028,"&gt;=01/06"&amp;$C$7,'Livro Diario - FC'!$D$11:$D1028,"&lt;=30/06"&amp;$C$7)</f>
        <v>0</v>
      </c>
      <c r="AE119" s="273"/>
      <c r="AF119" s="258"/>
      <c r="AG119" s="255">
        <f>SUMIFS('Livro Diario - FC'!$K$11:$K1028,'Livro Diario - FC'!$E$11:$E1028,$C$119,'Livro Diario - FC'!$D$11:$D1028,"&gt;=01/07"&amp;$C$7,'Livro Diario - FC'!$D$11:$D1028,"&lt;=31/07"&amp;$C$7)</f>
        <v>0</v>
      </c>
      <c r="AH119" s="256">
        <f>SUMIFS('Livro Diario - FC'!$M$11:$M1028,'Livro Diario - FC'!$E$11:$E1028,$C$119,'Livro Diario - FC'!$D$11:$D1028,"&gt;=01/07"&amp;$C$7,'Livro Diario - FC'!$D$11:$D1028,"&lt;=31/07"&amp;$C$7)</f>
        <v>0</v>
      </c>
      <c r="AI119" s="273"/>
      <c r="AJ119" s="258"/>
      <c r="AK119" s="255">
        <f>SUMIFS('Livro Diario - FC'!$K$11:$K1028,'Livro Diario - FC'!$E$11:$E1028,$C$119,'Livro Diario - FC'!$D$11:$D1028,"&gt;=01/08"&amp;$C$7,'Livro Diario - FC'!$D$11:$D1028,"&lt;=31/08"&amp;$C$7)</f>
        <v>0</v>
      </c>
      <c r="AL119" s="256">
        <f>SUMIFS('Livro Diario - FC'!$M$11:$M1028,'Livro Diario - FC'!$E$11:$E1028,$C$119,'Livro Diario - FC'!$D$11:$D1028,"&gt;=01/08"&amp;$C$7,'Livro Diario - FC'!$D$11:$D1028,"&lt;=31/08"&amp;$C$7)</f>
        <v>0</v>
      </c>
      <c r="AM119" s="273"/>
      <c r="AN119" s="258"/>
      <c r="AO119" s="255">
        <f>SUMIFS('Livro Diario - FC'!$K$11:$K1028,'Livro Diario - FC'!$E$11:$E1028,$C$119,'Livro Diario - FC'!$D$11:$D1028,"&gt;=01/09"&amp;$C$7,'Livro Diario - FC'!$D$11:$D1028,"&lt;=30/09"&amp;$C$7)</f>
        <v>0</v>
      </c>
      <c r="AP119" s="256">
        <f>SUMIFS('Livro Diario - FC'!$M$11:$M1028,'Livro Diario - FC'!$E$11:$E1028,$C$119,'Livro Diario - FC'!$D$11:$D1028,"&gt;=01/09"&amp;$C$7,'Livro Diario - FC'!$D$11:$D1028,"&lt;=30/09"&amp;$C$7)</f>
        <v>0</v>
      </c>
      <c r="AQ119" s="273"/>
      <c r="AR119" s="258"/>
      <c r="AS119" s="255">
        <f>SUMIFS('Livro Diario - FC'!$K$11:$K1028,'Livro Diario - FC'!$E$11:$E1028,$C$119,'Livro Diario - FC'!$D$11:$D1028,"&gt;=01/10"&amp;$C$7,'Livro Diario - FC'!$D$11:$D1028,"&lt;=31/10"&amp;$C$7)</f>
        <v>0</v>
      </c>
      <c r="AT119" s="256">
        <f>SUMIFS('Livro Diario - FC'!$M$11:$M1028,'Livro Diario - FC'!$E$11:$E1028,$C$119,'Livro Diario - FC'!$D$11:$D1028,"&gt;=01/10"&amp;$C$7,'Livro Diario - FC'!$D$11:$D1028,"&lt;=31/10"&amp;$C$7)</f>
        <v>0</v>
      </c>
      <c r="AU119" s="273"/>
      <c r="AV119" s="258"/>
      <c r="AW119" s="255">
        <f>SUMIFS('Livro Diario - FC'!$K$11:$K1028,'Livro Diario - FC'!$E$11:$E1028,$C$119,'Livro Diario - FC'!$D$11:$D1028,"&gt;=01/11"&amp;$C$7,'Livro Diario - FC'!$D$11:$D1028,"&lt;=30/11"&amp;$C$7)</f>
        <v>0</v>
      </c>
      <c r="AX119" s="256">
        <f>SUMIFS('Livro Diario - FC'!$M$11:$M1028,'Livro Diario - FC'!$E$11:$E1028,$C$119,'Livro Diario - FC'!$D$11:$D1028,"&gt;=01/11"&amp;$C$7,'Livro Diario - FC'!$D$11:$D1028,"&lt;=30/11"&amp;$C$7)</f>
        <v>0</v>
      </c>
      <c r="AY119" s="273"/>
      <c r="AZ119" s="258"/>
      <c r="BA119" s="255">
        <f>SUMIFS('Livro Diario - FC'!$K$11:$K1028,'Livro Diario - FC'!$E$11:$E1028,$C$119,'Livro Diario - FC'!$D$11:$D1028,"&gt;=01/12"&amp;$C$7,'Livro Diario - FC'!$D$11:$D1028,"&lt;=31/12"&amp;$C$7)</f>
        <v>0</v>
      </c>
      <c r="BB119" s="256">
        <f>SUMIFS('Livro Diario - FC'!$M$11:$M1028,'Livro Diario - FC'!$E$11:$E1028,$C$119,'Livro Diario - FC'!$D$11:$D1028,"&gt;=01/12"&amp;$C$7,'Livro Diario - FC'!$D$11:$D1028,"&lt;=31/12"&amp;$C$7)</f>
        <v>0</v>
      </c>
      <c r="BC119" s="273"/>
      <c r="BD119" s="273"/>
      <c r="BE119" s="267">
        <f t="shared" ref="BE119:BF119" si="220">SUM(D119,I119,N119,S119,X119,AC119,AG119,AK119,AO119,AS119,AW119,BA119)</f>
        <v>0</v>
      </c>
      <c r="BF119" s="268">
        <f t="shared" si="220"/>
        <v>0</v>
      </c>
      <c r="BG119" s="269"/>
      <c r="BH119" s="192"/>
      <c r="BI119" s="270">
        <f>SUMIFS('Livro Diario - FC'!$M$11:$M1028,'Livro Diario - FC'!$E$11:$E1028,C119,'Livro Diario - FC'!$D$11:$D1028,"&gt;="&amp;$BK$8,'Livro Diario - FC'!$D$11:$D1028,"&lt;="&amp;$BK$9)</f>
        <v>0</v>
      </c>
      <c r="BJ119" s="271"/>
      <c r="BK119" s="272"/>
      <c r="BL119" s="1"/>
    </row>
    <row r="120">
      <c r="A120" s="1"/>
      <c r="B120" s="1"/>
      <c r="C120" s="338" t="str">
        <f>'Livro Diario - FC'!AE123</f>
        <v>Sazon camarão</v>
      </c>
      <c r="D120" s="255">
        <f>SUMIFS('Livro Diario - FC'!$K$11:$K1028,'Livro Diario - FC'!$E$11:$E1028,$C$120,'Livro Diario - FC'!$D$11:$D1028,"&gt;=01/01"&amp;$C$7,'Livro Diario - FC'!$D$11:$D1028,"&lt;=31/01"&amp;$C$7)</f>
        <v>2.8</v>
      </c>
      <c r="E120" s="256">
        <f>SUMIFS('Livro Diario - FC'!$M$11:$M1028,'Livro Diario - FC'!$E$11:$E1028,$C$120,'Livro Diario - FC'!$D$11:$D1028,"&gt;=01/01"&amp;$C$7,'Livro Diario - FC'!$D$11:$D1028,"&lt;=31/01"&amp;$C$7)</f>
        <v>2.8</v>
      </c>
      <c r="F120" s="273"/>
      <c r="G120" s="258"/>
      <c r="H120" s="157"/>
      <c r="I120" s="255">
        <f>SUMIFS('Livro Diario - FC'!$K$11:$K1028,'Livro Diario - FC'!$E$11:$E1028,$C$120,'Livro Diario - FC'!$D$11:$D1028,"&gt;=01/02"&amp;$C$7,'Livro Diario - FC'!$D$11:$D1028,"&lt;=29/02"&amp;$C$7)</f>
        <v>0</v>
      </c>
      <c r="J120" s="256">
        <f>SUMIFS('Livro Diario - FC'!$M$11:$M1028,'Livro Diario - FC'!$E$11:$E1028,$C$120,'Livro Diario - FC'!$D$11:$D1028,"&gt;=01/02"&amp;$C$7,'Livro Diario - FC'!$D$11:$D1028,"&lt;=29/02"&amp;$C$7)</f>
        <v>0</v>
      </c>
      <c r="K120" s="273"/>
      <c r="L120" s="258"/>
      <c r="M120" s="259"/>
      <c r="N120" s="255">
        <f>SUMIFS('Livro Diario - FC'!$K$11:$K1028,'Livro Diario - FC'!$E$11:$E1028,$C$120,'Livro Diario - FC'!$D$11:$D1028,"&gt;=01/03"&amp;$C$7,'Livro Diario - FC'!$D$11:$D1028,"&lt;=31/03"&amp;$C$7)</f>
        <v>0</v>
      </c>
      <c r="O120" s="256">
        <f>SUMIFS('Livro Diario - FC'!$M$11:$M1028,'Livro Diario - FC'!$E$11:$E1028,$C$120,'Livro Diario - FC'!$D$11:$D1028,"&gt;=01/03"&amp;$C$7,'Livro Diario - FC'!$D$11:$D1028,"&lt;=31/03"&amp;$C$7)</f>
        <v>0</v>
      </c>
      <c r="P120" s="273"/>
      <c r="Q120" s="258"/>
      <c r="R120" s="259"/>
      <c r="S120" s="255">
        <f>SUMIFS('Livro Diario - FC'!$K$11:$K1028,'Livro Diario - FC'!$E$11:$E1028,$C$120,'Livro Diario - FC'!$D$11:$D1028,"&gt;=01/04"&amp;$C$7,'Livro Diario - FC'!$D$11:$D1028,"&lt;=30/04"&amp;$C$7)</f>
        <v>0</v>
      </c>
      <c r="T120" s="256">
        <f>SUMIFS('Livro Diario - FC'!$M$11:$M1028,'Livro Diario - FC'!$E$11:$E1028,$C$120,'Livro Diario - FC'!$D$11:$D1028,"&gt;=01/04"&amp;$C$7,'Livro Diario - FC'!$D$11:$D1028,"&lt;=30/04"&amp;$C$7)</f>
        <v>0</v>
      </c>
      <c r="U120" s="273"/>
      <c r="V120" s="258"/>
      <c r="W120" s="259"/>
      <c r="X120" s="255">
        <f>SUMIFS('Livro Diario - FC'!$K$11:$K1028,'Livro Diario - FC'!$E$11:$E1028,$C$120,'Livro Diario - FC'!$D$11:$D1028,"&gt;=01/05"&amp;$C$7,'Livro Diario - FC'!$D$11:$D1028,"&lt;=31/05"&amp;$C$7)</f>
        <v>0</v>
      </c>
      <c r="Y120" s="256">
        <f>SUMIFS('Livro Diario - FC'!$M$11:$M1028,'Livro Diario - FC'!$E$11:$E1028,$C$120,'Livro Diario - FC'!$D$11:$D1028,"&gt;=01/05"&amp;$C$7,'Livro Diario - FC'!$D$11:$D1028,"&lt;=31/05"&amp;$C$7)</f>
        <v>0</v>
      </c>
      <c r="Z120" s="273"/>
      <c r="AA120" s="258"/>
      <c r="AB120" s="259"/>
      <c r="AC120" s="255">
        <f>SUMIFS('Livro Diario - FC'!$K$11:$K1028,'Livro Diario - FC'!$E$11:$E1028,$C$120,'Livro Diario - FC'!$D$11:$D1028,"&gt;=01/06"&amp;$C$7,'Livro Diario - FC'!$D$11:$D1028,"&lt;=30/06"&amp;$C$7)</f>
        <v>0</v>
      </c>
      <c r="AD120" s="256">
        <f>SUMIFS('Livro Diario - FC'!$M$11:$M1028,'Livro Diario - FC'!$E$11:$E1028,$C$120,'Livro Diario - FC'!$D$11:$D1028,"&gt;=01/06"&amp;$C$7,'Livro Diario - FC'!$D$11:$D1028,"&lt;=30/06"&amp;$C$7)</f>
        <v>0</v>
      </c>
      <c r="AE120" s="273"/>
      <c r="AF120" s="258"/>
      <c r="AG120" s="255">
        <f>SUMIFS('Livro Diario - FC'!$K$11:$K1028,'Livro Diario - FC'!$E$11:$E1028,$C$120,'Livro Diario - FC'!$D$11:$D1028,"&gt;=01/07"&amp;$C$7,'Livro Diario - FC'!$D$11:$D1028,"&lt;=31/07"&amp;$C$7)</f>
        <v>0</v>
      </c>
      <c r="AH120" s="256">
        <f>SUMIFS('Livro Diario - FC'!$M$11:$M1028,'Livro Diario - FC'!$E$11:$E1028,$C$120,'Livro Diario - FC'!$D$11:$D1028,"&gt;=01/07"&amp;$C$7,'Livro Diario - FC'!$D$11:$D1028,"&lt;=31/07"&amp;$C$7)</f>
        <v>0</v>
      </c>
      <c r="AI120" s="273"/>
      <c r="AJ120" s="258"/>
      <c r="AK120" s="255">
        <f>SUMIFS('Livro Diario - FC'!$K$11:$K1028,'Livro Diario - FC'!$E$11:$E1028,$C$120,'Livro Diario - FC'!$D$11:$D1028,"&gt;=01/08"&amp;$C$7,'Livro Diario - FC'!$D$11:$D1028,"&lt;=31/08"&amp;$C$7)</f>
        <v>0</v>
      </c>
      <c r="AL120" s="256">
        <f>SUMIFS('Livro Diario - FC'!$M$11:$M1028,'Livro Diario - FC'!$E$11:$E1028,$C$120,'Livro Diario - FC'!$D$11:$D1028,"&gt;=01/08"&amp;$C$7,'Livro Diario - FC'!$D$11:$D1028,"&lt;=31/08"&amp;$C$7)</f>
        <v>0</v>
      </c>
      <c r="AM120" s="273"/>
      <c r="AN120" s="258"/>
      <c r="AO120" s="255">
        <f>SUMIFS('Livro Diario - FC'!$K$11:$K1028,'Livro Diario - FC'!$E$11:$E1028,$C$120,'Livro Diario - FC'!$D$11:$D1028,"&gt;=01/09"&amp;$C$7,'Livro Diario - FC'!$D$11:$D1028,"&lt;=30/09"&amp;$C$7)</f>
        <v>0</v>
      </c>
      <c r="AP120" s="256">
        <f>SUMIFS('Livro Diario - FC'!$M$11:$M1028,'Livro Diario - FC'!$E$11:$E1028,$C$120,'Livro Diario - FC'!$D$11:$D1028,"&gt;=01/09"&amp;$C$7,'Livro Diario - FC'!$D$11:$D1028,"&lt;=30/09"&amp;$C$7)</f>
        <v>0</v>
      </c>
      <c r="AQ120" s="273"/>
      <c r="AR120" s="258"/>
      <c r="AS120" s="255">
        <f>SUMIFS('Livro Diario - FC'!$K$11:$K1028,'Livro Diario - FC'!$E$11:$E1028,$C$120,'Livro Diario - FC'!$D$11:$D1028,"&gt;=01/10"&amp;$C$7,'Livro Diario - FC'!$D$11:$D1028,"&lt;=31/10"&amp;$C$7)</f>
        <v>0</v>
      </c>
      <c r="AT120" s="256">
        <f>SUMIFS('Livro Diario - FC'!$M$11:$M1028,'Livro Diario - FC'!$E$11:$E1028,$C$120,'Livro Diario - FC'!$D$11:$D1028,"&gt;=01/10"&amp;$C$7,'Livro Diario - FC'!$D$11:$D1028,"&lt;=31/10"&amp;$C$7)</f>
        <v>0</v>
      </c>
      <c r="AU120" s="273"/>
      <c r="AV120" s="258"/>
      <c r="AW120" s="255">
        <f>SUMIFS('Livro Diario - FC'!$K$11:$K1028,'Livro Diario - FC'!$E$11:$E1028,$C$120,'Livro Diario - FC'!$D$11:$D1028,"&gt;=01/11"&amp;$C$7,'Livro Diario - FC'!$D$11:$D1028,"&lt;=30/11"&amp;$C$7)</f>
        <v>0</v>
      </c>
      <c r="AX120" s="256">
        <f>SUMIFS('Livro Diario - FC'!$M$11:$M1028,'Livro Diario - FC'!$E$11:$E1028,$C$120,'Livro Diario - FC'!$D$11:$D1028,"&gt;=01/11"&amp;$C$7,'Livro Diario - FC'!$D$11:$D1028,"&lt;=30/11"&amp;$C$7)</f>
        <v>0</v>
      </c>
      <c r="AY120" s="273"/>
      <c r="AZ120" s="258"/>
      <c r="BA120" s="255">
        <f>SUMIFS('Livro Diario - FC'!$K$11:$K1028,'Livro Diario - FC'!$E$11:$E1028,$C$120,'Livro Diario - FC'!$D$11:$D1028,"&gt;=01/12"&amp;$C$7,'Livro Diario - FC'!$D$11:$D1028,"&lt;=31/12"&amp;$C$7)</f>
        <v>0</v>
      </c>
      <c r="BB120" s="256">
        <f>SUMIFS('Livro Diario - FC'!$M$11:$M1028,'Livro Diario - FC'!$E$11:$E1028,$C$120,'Livro Diario - FC'!$D$11:$D1028,"&gt;=01/12"&amp;$C$7,'Livro Diario - FC'!$D$11:$D1028,"&lt;=31/12"&amp;$C$7)</f>
        <v>0</v>
      </c>
      <c r="BC120" s="273"/>
      <c r="BD120" s="273"/>
      <c r="BE120" s="341">
        <f t="shared" ref="BE120:BF120" si="221">SUM(D120,I120,N120,S120,X120,AC120,AG120,AK120,AO120,AS120,AW120,BA120)</f>
        <v>2.8</v>
      </c>
      <c r="BF120" s="342">
        <f t="shared" si="221"/>
        <v>2.8</v>
      </c>
      <c r="BG120" s="343"/>
      <c r="BH120" s="344"/>
      <c r="BI120" s="270">
        <f>SUMIFS('Livro Diario - FC'!$M$11:$M1028,'Livro Diario - FC'!$E$11:$E1028,C120,'Livro Diario - FC'!$D$11:$D1028,"&gt;="&amp;$BK$8,'Livro Diario - FC'!$D$11:$D1028,"&lt;="&amp;$BK$9)</f>
        <v>0</v>
      </c>
      <c r="BJ120" s="271"/>
      <c r="BK120" s="345"/>
      <c r="BL120" s="146"/>
    </row>
    <row r="121">
      <c r="A121" s="1"/>
      <c r="B121" s="40"/>
      <c r="C121" s="338" t="str">
        <f>'Livro Diario - FC'!AE124</f>
        <v>Sal Parrilha</v>
      </c>
      <c r="D121" s="255">
        <f>SUMIFS('Livro Diario - FC'!$K$11:$K1028,'Livro Diario - FC'!$E$11:$E1028,$C$120,'Livro Diario - FC'!$D$11:$D1028,"&gt;=01/01"&amp;$C$7,'Livro Diario - FC'!$D$11:$D1028,"&lt;=31/01"&amp;$C$7)</f>
        <v>2.8</v>
      </c>
      <c r="E121" s="256">
        <f>SUMIFS('Livro Diario - FC'!$M$11:$M1028,'Livro Diario - FC'!$E$11:$E1028,$C$120,'Livro Diario - FC'!$D$11:$D1028,"&gt;=01/01"&amp;$C$7,'Livro Diario - FC'!$D$11:$D1028,"&lt;=31/01"&amp;$C$7)</f>
        <v>2.8</v>
      </c>
      <c r="F121" s="273"/>
      <c r="G121" s="258"/>
      <c r="H121" s="157"/>
      <c r="I121" s="255">
        <f>SUMIFS('Livro Diario - FC'!$K$11:$K1028,'Livro Diario - FC'!$E$11:$E1028,$C$120,'Livro Diario - FC'!$D$11:$D1028,"&gt;=01/02"&amp;$C$7,'Livro Diario - FC'!$D$11:$D1028,"&lt;=29/02"&amp;$C$7)</f>
        <v>0</v>
      </c>
      <c r="J121" s="256">
        <f>SUMIFS('Livro Diario - FC'!$M$11:$M1028,'Livro Diario - FC'!$E$11:$E1028,$C$120,'Livro Diario - FC'!$D$11:$D1028,"&gt;=01/02"&amp;$C$7,'Livro Diario - FC'!$D$11:$D1028,"&lt;=29/02"&amp;$C$7)</f>
        <v>0</v>
      </c>
      <c r="K121" s="273"/>
      <c r="L121" s="258"/>
      <c r="M121" s="259"/>
      <c r="N121" s="255">
        <f>SUMIFS('Livro Diario - FC'!$K$11:$K1028,'Livro Diario - FC'!$E$11:$E1028,$C$120,'Livro Diario - FC'!$D$11:$D1028,"&gt;=01/03"&amp;$C$7,'Livro Diario - FC'!$D$11:$D1028,"&lt;=31/03"&amp;$C$7)</f>
        <v>0</v>
      </c>
      <c r="O121" s="256">
        <f>SUMIFS('Livro Diario - FC'!$M$11:$M1028,'Livro Diario - FC'!$E$11:$E1028,$C$120,'Livro Diario - FC'!$D$11:$D1028,"&gt;=01/03"&amp;$C$7,'Livro Diario - FC'!$D$11:$D1028,"&lt;=31/03"&amp;$C$7)</f>
        <v>0</v>
      </c>
      <c r="P121" s="273"/>
      <c r="Q121" s="258"/>
      <c r="R121" s="259"/>
      <c r="S121" s="255">
        <f>SUMIFS('Livro Diario - FC'!$K$11:$K1028,'Livro Diario - FC'!$E$11:$E1028,$C$120,'Livro Diario - FC'!$D$11:$D1028,"&gt;=01/04"&amp;$C$7,'Livro Diario - FC'!$D$11:$D1028,"&lt;=30/04"&amp;$C$7)</f>
        <v>0</v>
      </c>
      <c r="T121" s="256">
        <f>SUMIFS('Livro Diario - FC'!$M$11:$M1028,'Livro Diario - FC'!$E$11:$E1028,$C$120,'Livro Diario - FC'!$D$11:$D1028,"&gt;=01/04"&amp;$C$7,'Livro Diario - FC'!$D$11:$D1028,"&lt;=30/04"&amp;$C$7)</f>
        <v>0</v>
      </c>
      <c r="U121" s="273"/>
      <c r="V121" s="258"/>
      <c r="W121" s="259"/>
      <c r="X121" s="255">
        <f>SUMIFS('Livro Diario - FC'!$K$11:$K1028,'Livro Diario - FC'!$E$11:$E1028,$C$120,'Livro Diario - FC'!$D$11:$D1028,"&gt;=01/05"&amp;$C$7,'Livro Diario - FC'!$D$11:$D1028,"&lt;=31/05"&amp;$C$7)</f>
        <v>0</v>
      </c>
      <c r="Y121" s="256">
        <f>SUMIFS('Livro Diario - FC'!$M$11:$M1028,'Livro Diario - FC'!$E$11:$E1028,$C$120,'Livro Diario - FC'!$D$11:$D1028,"&gt;=01/05"&amp;$C$7,'Livro Diario - FC'!$D$11:$D1028,"&lt;=31/05"&amp;$C$7)</f>
        <v>0</v>
      </c>
      <c r="Z121" s="273"/>
      <c r="AA121" s="258"/>
      <c r="AB121" s="259"/>
      <c r="AC121" s="255">
        <f>SUMIFS('Livro Diario - FC'!$K$11:$K1028,'Livro Diario - FC'!$E$11:$E1028,$C$120,'Livro Diario - FC'!$D$11:$D1028,"&gt;=01/06"&amp;$C$7,'Livro Diario - FC'!$D$11:$D1028,"&lt;=30/06"&amp;$C$7)</f>
        <v>0</v>
      </c>
      <c r="AD121" s="256">
        <f>SUMIFS('Livro Diario - FC'!$M$11:$M1028,'Livro Diario - FC'!$E$11:$E1028,$C$120,'Livro Diario - FC'!$D$11:$D1028,"&gt;=01/06"&amp;$C$7,'Livro Diario - FC'!$D$11:$D1028,"&lt;=30/06"&amp;$C$7)</f>
        <v>0</v>
      </c>
      <c r="AE121" s="273"/>
      <c r="AF121" s="258"/>
      <c r="AG121" s="255">
        <f>SUMIFS('Livro Diario - FC'!$K$11:$K1028,'Livro Diario - FC'!$E$11:$E1028,$C$120,'Livro Diario - FC'!$D$11:$D1028,"&gt;=01/07"&amp;$C$7,'Livro Diario - FC'!$D$11:$D1028,"&lt;=31/07"&amp;$C$7)</f>
        <v>0</v>
      </c>
      <c r="AH121" s="256">
        <f>SUMIFS('Livro Diario - FC'!$M$11:$M1028,'Livro Diario - FC'!$E$11:$E1028,$C$120,'Livro Diario - FC'!$D$11:$D1028,"&gt;=01/07"&amp;$C$7,'Livro Diario - FC'!$D$11:$D1028,"&lt;=31/07"&amp;$C$7)</f>
        <v>0</v>
      </c>
      <c r="AI121" s="273"/>
      <c r="AJ121" s="258"/>
      <c r="AK121" s="255">
        <f>SUMIFS('Livro Diario - FC'!$K$11:$K1028,'Livro Diario - FC'!$E$11:$E1028,$C$120,'Livro Diario - FC'!$D$11:$D1028,"&gt;=01/08"&amp;$C$7,'Livro Diario - FC'!$D$11:$D1028,"&lt;=31/08"&amp;$C$7)</f>
        <v>0</v>
      </c>
      <c r="AL121" s="256">
        <f>SUMIFS('Livro Diario - FC'!$M$11:$M1028,'Livro Diario - FC'!$E$11:$E1028,$C$120,'Livro Diario - FC'!$D$11:$D1028,"&gt;=01/08"&amp;$C$7,'Livro Diario - FC'!$D$11:$D1028,"&lt;=31/08"&amp;$C$7)</f>
        <v>0</v>
      </c>
      <c r="AM121" s="273"/>
      <c r="AN121" s="258"/>
      <c r="AO121" s="255">
        <f>SUMIFS('Livro Diario - FC'!$K$11:$K1028,'Livro Diario - FC'!$E$11:$E1028,$C$120,'Livro Diario - FC'!$D$11:$D1028,"&gt;=01/09"&amp;$C$7,'Livro Diario - FC'!$D$11:$D1028,"&lt;=30/09"&amp;$C$7)</f>
        <v>0</v>
      </c>
      <c r="AP121" s="256">
        <f>SUMIFS('Livro Diario - FC'!$M$11:$M1028,'Livro Diario - FC'!$E$11:$E1028,$C$120,'Livro Diario - FC'!$D$11:$D1028,"&gt;=01/09"&amp;$C$7,'Livro Diario - FC'!$D$11:$D1028,"&lt;=30/09"&amp;$C$7)</f>
        <v>0</v>
      </c>
      <c r="AQ121" s="273"/>
      <c r="AR121" s="258"/>
      <c r="AS121" s="255">
        <f>SUMIFS('Livro Diario - FC'!$K$11:$K1028,'Livro Diario - FC'!$E$11:$E1028,$C$120,'Livro Diario - FC'!$D$11:$D1028,"&gt;=01/10"&amp;$C$7,'Livro Diario - FC'!$D$11:$D1028,"&lt;=31/10"&amp;$C$7)</f>
        <v>0</v>
      </c>
      <c r="AT121" s="256">
        <f>SUMIFS('Livro Diario - FC'!$M$11:$M1028,'Livro Diario - FC'!$E$11:$E1028,$C$120,'Livro Diario - FC'!$D$11:$D1028,"&gt;=01/10"&amp;$C$7,'Livro Diario - FC'!$D$11:$D1028,"&lt;=31/10"&amp;$C$7)</f>
        <v>0</v>
      </c>
      <c r="AU121" s="273"/>
      <c r="AV121" s="258"/>
      <c r="AW121" s="255">
        <f>SUMIFS('Livro Diario - FC'!$K$11:$K1028,'Livro Diario - FC'!$E$11:$E1028,$C$120,'Livro Diario - FC'!$D$11:$D1028,"&gt;=01/11"&amp;$C$7,'Livro Diario - FC'!$D$11:$D1028,"&lt;=30/11"&amp;$C$7)</f>
        <v>0</v>
      </c>
      <c r="AX121" s="256">
        <f>SUMIFS('Livro Diario - FC'!$M$11:$M1028,'Livro Diario - FC'!$E$11:$E1028,$C$120,'Livro Diario - FC'!$D$11:$D1028,"&gt;=01/11"&amp;$C$7,'Livro Diario - FC'!$D$11:$D1028,"&lt;=30/11"&amp;$C$7)</f>
        <v>0</v>
      </c>
      <c r="AY121" s="273"/>
      <c r="AZ121" s="258"/>
      <c r="BA121" s="255">
        <f>SUMIFS('Livro Diario - FC'!$K$11:$K1028,'Livro Diario - FC'!$E$11:$E1028,$C$120,'Livro Diario - FC'!$D$11:$D1028,"&gt;=01/12"&amp;$C$7,'Livro Diario - FC'!$D$11:$D1028,"&lt;=31/12"&amp;$C$7)</f>
        <v>0</v>
      </c>
      <c r="BB121" s="256">
        <f>SUMIFS('Livro Diario - FC'!$M$11:$M1028,'Livro Diario - FC'!$E$11:$E1028,$C$120,'Livro Diario - FC'!$D$11:$D1028,"&gt;=01/12"&amp;$C$7,'Livro Diario - FC'!$D$11:$D1028,"&lt;=31/12"&amp;$C$7)</f>
        <v>0</v>
      </c>
      <c r="BC121" s="273"/>
      <c r="BD121" s="273"/>
      <c r="BE121" s="341">
        <f t="shared" ref="BE121:BF121" si="222">SUM(D121,I121,N121,S121,X121,AC121,AG121,AK121,AO121,AS121,AW121,BA121)</f>
        <v>2.8</v>
      </c>
      <c r="BF121" s="342">
        <f t="shared" si="222"/>
        <v>2.8</v>
      </c>
      <c r="BG121" s="343"/>
      <c r="BH121" s="344"/>
      <c r="BI121" s="270">
        <f>SUMIFS('Livro Diario - FC'!$M$11:$M1028,'Livro Diario - FC'!$E$11:$E1028,C121,'Livro Diario - FC'!$D$11:$D1028,"&gt;="&amp;$BK$8,'Livro Diario - FC'!$D$11:$D1028,"&lt;="&amp;$BK$9)</f>
        <v>0</v>
      </c>
      <c r="BJ121" s="271"/>
      <c r="BK121" s="345"/>
      <c r="BL121" s="146"/>
    </row>
    <row r="122">
      <c r="A122" s="1"/>
      <c r="B122" s="40"/>
      <c r="C122" s="338" t="str">
        <f>'Livro Diario - FC'!AE125</f>
        <v>Docinhos</v>
      </c>
      <c r="D122" s="255">
        <f>SUMIFS('Livro Diario - FC'!$K$11:$K1028,'Livro Diario - FC'!$E$11:$E1028,$C$120,'Livro Diario - FC'!$D$11:$D1028,"&gt;=01/01"&amp;$C$7,'Livro Diario - FC'!$D$11:$D1028,"&lt;=31/01"&amp;$C$7)</f>
        <v>2.8</v>
      </c>
      <c r="E122" s="256">
        <f>SUMIFS('Livro Diario - FC'!$M$11:$M1028,'Livro Diario - FC'!$E$11:$E1028,$C$120,'Livro Diario - FC'!$D$11:$D1028,"&gt;=01/01"&amp;$C$7,'Livro Diario - FC'!$D$11:$D1028,"&lt;=31/01"&amp;$C$7)</f>
        <v>2.8</v>
      </c>
      <c r="F122" s="273"/>
      <c r="G122" s="258"/>
      <c r="H122" s="157"/>
      <c r="I122" s="255">
        <f>SUMIFS('Livro Diario - FC'!$K$11:$K1028,'Livro Diario - FC'!$E$11:$E1028,$C$120,'Livro Diario - FC'!$D$11:$D1028,"&gt;=01/02"&amp;$C$7,'Livro Diario - FC'!$D$11:$D1028,"&lt;=29/02"&amp;$C$7)</f>
        <v>0</v>
      </c>
      <c r="J122" s="256">
        <f>SUMIFS('Livro Diario - FC'!$M$11:$M1028,'Livro Diario - FC'!$E$11:$E1028,$C$120,'Livro Diario - FC'!$D$11:$D1028,"&gt;=01/02"&amp;$C$7,'Livro Diario - FC'!$D$11:$D1028,"&lt;=29/02"&amp;$C$7)</f>
        <v>0</v>
      </c>
      <c r="K122" s="273"/>
      <c r="L122" s="258"/>
      <c r="M122" s="259"/>
      <c r="N122" s="255">
        <f>SUMIFS('Livro Diario - FC'!$K$11:$K1028,'Livro Diario - FC'!$E$11:$E1028,$C$120,'Livro Diario - FC'!$D$11:$D1028,"&gt;=01/03"&amp;$C$7,'Livro Diario - FC'!$D$11:$D1028,"&lt;=31/03"&amp;$C$7)</f>
        <v>0</v>
      </c>
      <c r="O122" s="256">
        <f>SUMIFS('Livro Diario - FC'!$M$11:$M1028,'Livro Diario - FC'!$E$11:$E1028,$C$120,'Livro Diario - FC'!$D$11:$D1028,"&gt;=01/03"&amp;$C$7,'Livro Diario - FC'!$D$11:$D1028,"&lt;=31/03"&amp;$C$7)</f>
        <v>0</v>
      </c>
      <c r="P122" s="273"/>
      <c r="Q122" s="258"/>
      <c r="R122" s="259"/>
      <c r="S122" s="255">
        <f>SUMIFS('Livro Diario - FC'!$K$11:$K1028,'Livro Diario - FC'!$E$11:$E1028,$C$120,'Livro Diario - FC'!$D$11:$D1028,"&gt;=01/04"&amp;$C$7,'Livro Diario - FC'!$D$11:$D1028,"&lt;=30/04"&amp;$C$7)</f>
        <v>0</v>
      </c>
      <c r="T122" s="256">
        <f>SUMIFS('Livro Diario - FC'!$M$11:$M1028,'Livro Diario - FC'!$E$11:$E1028,$C$120,'Livro Diario - FC'!$D$11:$D1028,"&gt;=01/04"&amp;$C$7,'Livro Diario - FC'!$D$11:$D1028,"&lt;=30/04"&amp;$C$7)</f>
        <v>0</v>
      </c>
      <c r="U122" s="273"/>
      <c r="V122" s="258"/>
      <c r="W122" s="259"/>
      <c r="X122" s="255">
        <f>SUMIFS('Livro Diario - FC'!$K$11:$K1028,'Livro Diario - FC'!$E$11:$E1028,$C$120,'Livro Diario - FC'!$D$11:$D1028,"&gt;=01/05"&amp;$C$7,'Livro Diario - FC'!$D$11:$D1028,"&lt;=31/05"&amp;$C$7)</f>
        <v>0</v>
      </c>
      <c r="Y122" s="256">
        <f>SUMIFS('Livro Diario - FC'!$M$11:$M1028,'Livro Diario - FC'!$E$11:$E1028,$C$120,'Livro Diario - FC'!$D$11:$D1028,"&gt;=01/05"&amp;$C$7,'Livro Diario - FC'!$D$11:$D1028,"&lt;=31/05"&amp;$C$7)</f>
        <v>0</v>
      </c>
      <c r="Z122" s="273"/>
      <c r="AA122" s="258"/>
      <c r="AB122" s="259"/>
      <c r="AC122" s="255">
        <f>SUMIFS('Livro Diario - FC'!$K$11:$K1028,'Livro Diario - FC'!$E$11:$E1028,$C$120,'Livro Diario - FC'!$D$11:$D1028,"&gt;=01/06"&amp;$C$7,'Livro Diario - FC'!$D$11:$D1028,"&lt;=30/06"&amp;$C$7)</f>
        <v>0</v>
      </c>
      <c r="AD122" s="256">
        <f>SUMIFS('Livro Diario - FC'!$M$11:$M1028,'Livro Diario - FC'!$E$11:$E1028,$C$120,'Livro Diario - FC'!$D$11:$D1028,"&gt;=01/06"&amp;$C$7,'Livro Diario - FC'!$D$11:$D1028,"&lt;=30/06"&amp;$C$7)</f>
        <v>0</v>
      </c>
      <c r="AE122" s="273"/>
      <c r="AF122" s="258"/>
      <c r="AG122" s="255">
        <f>SUMIFS('Livro Diario - FC'!$K$11:$K1028,'Livro Diario - FC'!$E$11:$E1028,$C$120,'Livro Diario - FC'!$D$11:$D1028,"&gt;=01/07"&amp;$C$7,'Livro Diario - FC'!$D$11:$D1028,"&lt;=31/07"&amp;$C$7)</f>
        <v>0</v>
      </c>
      <c r="AH122" s="256">
        <f>SUMIFS('Livro Diario - FC'!$M$11:$M1028,'Livro Diario - FC'!$E$11:$E1028,$C$120,'Livro Diario - FC'!$D$11:$D1028,"&gt;=01/07"&amp;$C$7,'Livro Diario - FC'!$D$11:$D1028,"&lt;=31/07"&amp;$C$7)</f>
        <v>0</v>
      </c>
      <c r="AI122" s="273"/>
      <c r="AJ122" s="258"/>
      <c r="AK122" s="255">
        <f>SUMIFS('Livro Diario - FC'!$K$11:$K1028,'Livro Diario - FC'!$E$11:$E1028,$C$120,'Livro Diario - FC'!$D$11:$D1028,"&gt;=01/08"&amp;$C$7,'Livro Diario - FC'!$D$11:$D1028,"&lt;=31/08"&amp;$C$7)</f>
        <v>0</v>
      </c>
      <c r="AL122" s="256">
        <f>SUMIFS('Livro Diario - FC'!$M$11:$M1028,'Livro Diario - FC'!$E$11:$E1028,$C$120,'Livro Diario - FC'!$D$11:$D1028,"&gt;=01/08"&amp;$C$7,'Livro Diario - FC'!$D$11:$D1028,"&lt;=31/08"&amp;$C$7)</f>
        <v>0</v>
      </c>
      <c r="AM122" s="273"/>
      <c r="AN122" s="258"/>
      <c r="AO122" s="255">
        <f>SUMIFS('Livro Diario - FC'!$K$11:$K1028,'Livro Diario - FC'!$E$11:$E1028,$C$120,'Livro Diario - FC'!$D$11:$D1028,"&gt;=01/09"&amp;$C$7,'Livro Diario - FC'!$D$11:$D1028,"&lt;=30/09"&amp;$C$7)</f>
        <v>0</v>
      </c>
      <c r="AP122" s="256">
        <f>SUMIFS('Livro Diario - FC'!$M$11:$M1028,'Livro Diario - FC'!$E$11:$E1028,$C$120,'Livro Diario - FC'!$D$11:$D1028,"&gt;=01/09"&amp;$C$7,'Livro Diario - FC'!$D$11:$D1028,"&lt;=30/09"&amp;$C$7)</f>
        <v>0</v>
      </c>
      <c r="AQ122" s="273"/>
      <c r="AR122" s="258"/>
      <c r="AS122" s="255">
        <f>SUMIFS('Livro Diario - FC'!$K$11:$K1028,'Livro Diario - FC'!$E$11:$E1028,$C$120,'Livro Diario - FC'!$D$11:$D1028,"&gt;=01/10"&amp;$C$7,'Livro Diario - FC'!$D$11:$D1028,"&lt;=31/10"&amp;$C$7)</f>
        <v>0</v>
      </c>
      <c r="AT122" s="256">
        <f>SUMIFS('Livro Diario - FC'!$M$11:$M1028,'Livro Diario - FC'!$E$11:$E1028,$C$120,'Livro Diario - FC'!$D$11:$D1028,"&gt;=01/10"&amp;$C$7,'Livro Diario - FC'!$D$11:$D1028,"&lt;=31/10"&amp;$C$7)</f>
        <v>0</v>
      </c>
      <c r="AU122" s="273"/>
      <c r="AV122" s="258"/>
      <c r="AW122" s="255">
        <f>SUMIFS('Livro Diario - FC'!$K$11:$K1028,'Livro Diario - FC'!$E$11:$E1028,$C$120,'Livro Diario - FC'!$D$11:$D1028,"&gt;=01/11"&amp;$C$7,'Livro Diario - FC'!$D$11:$D1028,"&lt;=30/11"&amp;$C$7)</f>
        <v>0</v>
      </c>
      <c r="AX122" s="256">
        <f>SUMIFS('Livro Diario - FC'!$M$11:$M1028,'Livro Diario - FC'!$E$11:$E1028,$C$120,'Livro Diario - FC'!$D$11:$D1028,"&gt;=01/11"&amp;$C$7,'Livro Diario - FC'!$D$11:$D1028,"&lt;=30/11"&amp;$C$7)</f>
        <v>0</v>
      </c>
      <c r="AY122" s="273"/>
      <c r="AZ122" s="258"/>
      <c r="BA122" s="255">
        <f>SUMIFS('Livro Diario - FC'!$K$11:$K1028,'Livro Diario - FC'!$E$11:$E1028,$C$120,'Livro Diario - FC'!$D$11:$D1028,"&gt;=01/12"&amp;$C$7,'Livro Diario - FC'!$D$11:$D1028,"&lt;=31/12"&amp;$C$7)</f>
        <v>0</v>
      </c>
      <c r="BB122" s="256">
        <f>SUMIFS('Livro Diario - FC'!$M$11:$M1028,'Livro Diario - FC'!$E$11:$E1028,$C$120,'Livro Diario - FC'!$D$11:$D1028,"&gt;=01/12"&amp;$C$7,'Livro Diario - FC'!$D$11:$D1028,"&lt;=31/12"&amp;$C$7)</f>
        <v>0</v>
      </c>
      <c r="BC122" s="273"/>
      <c r="BD122" s="273"/>
      <c r="BE122" s="341">
        <f t="shared" ref="BE122:BF122" si="223">SUM(D122,I122,N122,S122,X122,AC122,AG122,AK122,AO122,AS122,AW122,BA122)</f>
        <v>2.8</v>
      </c>
      <c r="BF122" s="342">
        <f t="shared" si="223"/>
        <v>2.8</v>
      </c>
      <c r="BG122" s="343"/>
      <c r="BH122" s="344"/>
      <c r="BI122" s="270">
        <f>SUMIFS('Livro Diario - FC'!$M$11:$M1028,'Livro Diario - FC'!$E$11:$E1028,C122,'Livro Diario - FC'!$D$11:$D1028,"&gt;="&amp;$BK$8,'Livro Diario - FC'!$D$11:$D1028,"&lt;="&amp;$BK$9)</f>
        <v>0</v>
      </c>
      <c r="BJ122" s="271"/>
      <c r="BK122" s="345"/>
      <c r="BL122" s="146"/>
    </row>
    <row r="123">
      <c r="A123" s="1"/>
      <c r="B123" s="40"/>
      <c r="C123" s="338" t="str">
        <f>'Livro Diario - FC'!AE132</f>
        <v>Limoneto</v>
      </c>
      <c r="D123" s="255">
        <f>SUMIFS('Livro Diario - FC'!$K$11:$K1028,'Livro Diario - FC'!$E$11:$E1028,$C$120,'Livro Diario - FC'!$D$11:$D1028,"&gt;=01/01"&amp;$C$7,'Livro Diario - FC'!$D$11:$D1028,"&lt;=31/01"&amp;$C$7)</f>
        <v>2.8</v>
      </c>
      <c r="E123" s="256">
        <f>SUMIFS('Livro Diario - FC'!$M$11:$M1028,'Livro Diario - FC'!$E$11:$E1028,$C$120,'Livro Diario - FC'!$D$11:$D1028,"&gt;=01/01"&amp;$C$7,'Livro Diario - FC'!$D$11:$D1028,"&lt;=31/01"&amp;$C$7)</f>
        <v>2.8</v>
      </c>
      <c r="F123" s="273"/>
      <c r="G123" s="258"/>
      <c r="H123" s="157"/>
      <c r="I123" s="255">
        <f>SUMIFS('Livro Diario - FC'!$K$11:$K1028,'Livro Diario - FC'!$E$11:$E1028,$C$120,'Livro Diario - FC'!$D$11:$D1028,"&gt;=01/02"&amp;$C$7,'Livro Diario - FC'!$D$11:$D1028,"&lt;=29/02"&amp;$C$7)</f>
        <v>0</v>
      </c>
      <c r="J123" s="256">
        <f>SUMIFS('Livro Diario - FC'!$M$11:$M1028,'Livro Diario - FC'!$E$11:$E1028,$C$120,'Livro Diario - FC'!$D$11:$D1028,"&gt;=01/02"&amp;$C$7,'Livro Diario - FC'!$D$11:$D1028,"&lt;=29/02"&amp;$C$7)</f>
        <v>0</v>
      </c>
      <c r="K123" s="273"/>
      <c r="L123" s="258"/>
      <c r="M123" s="259"/>
      <c r="N123" s="255">
        <f>SUMIFS('Livro Diario - FC'!$K$11:$K1028,'Livro Diario - FC'!$E$11:$E1028,$C$120,'Livro Diario - FC'!$D$11:$D1028,"&gt;=01/03"&amp;$C$7,'Livro Diario - FC'!$D$11:$D1028,"&lt;=31/03"&amp;$C$7)</f>
        <v>0</v>
      </c>
      <c r="O123" s="256">
        <f>SUMIFS('Livro Diario - FC'!$M$11:$M1028,'Livro Diario - FC'!$E$11:$E1028,$C$120,'Livro Diario - FC'!$D$11:$D1028,"&gt;=01/03"&amp;$C$7,'Livro Diario - FC'!$D$11:$D1028,"&lt;=31/03"&amp;$C$7)</f>
        <v>0</v>
      </c>
      <c r="P123" s="273"/>
      <c r="Q123" s="258"/>
      <c r="R123" s="259"/>
      <c r="S123" s="255">
        <f>SUMIFS('Livro Diario - FC'!$K$11:$K1028,'Livro Diario - FC'!$E$11:$E1028,$C$120,'Livro Diario - FC'!$D$11:$D1028,"&gt;=01/04"&amp;$C$7,'Livro Diario - FC'!$D$11:$D1028,"&lt;=30/04"&amp;$C$7)</f>
        <v>0</v>
      </c>
      <c r="T123" s="256">
        <f>SUMIFS('Livro Diario - FC'!$M$11:$M1028,'Livro Diario - FC'!$E$11:$E1028,$C$120,'Livro Diario - FC'!$D$11:$D1028,"&gt;=01/04"&amp;$C$7,'Livro Diario - FC'!$D$11:$D1028,"&lt;=30/04"&amp;$C$7)</f>
        <v>0</v>
      </c>
      <c r="U123" s="273"/>
      <c r="V123" s="258"/>
      <c r="W123" s="259"/>
      <c r="X123" s="255">
        <f>SUMIFS('Livro Diario - FC'!$K$11:$K1028,'Livro Diario - FC'!$E$11:$E1028,$C$120,'Livro Diario - FC'!$D$11:$D1028,"&gt;=01/05"&amp;$C$7,'Livro Diario - FC'!$D$11:$D1028,"&lt;=31/05"&amp;$C$7)</f>
        <v>0</v>
      </c>
      <c r="Y123" s="256">
        <f>SUMIFS('Livro Diario - FC'!$M$11:$M1028,'Livro Diario - FC'!$E$11:$E1028,$C$120,'Livro Diario - FC'!$D$11:$D1028,"&gt;=01/05"&amp;$C$7,'Livro Diario - FC'!$D$11:$D1028,"&lt;=31/05"&amp;$C$7)</f>
        <v>0</v>
      </c>
      <c r="Z123" s="273"/>
      <c r="AA123" s="258"/>
      <c r="AB123" s="259"/>
      <c r="AC123" s="255">
        <f>SUMIFS('Livro Diario - FC'!$K$11:$K1028,'Livro Diario - FC'!$E$11:$E1028,$C$120,'Livro Diario - FC'!$D$11:$D1028,"&gt;=01/06"&amp;$C$7,'Livro Diario - FC'!$D$11:$D1028,"&lt;=30/06"&amp;$C$7)</f>
        <v>0</v>
      </c>
      <c r="AD123" s="256">
        <f>SUMIFS('Livro Diario - FC'!$M$11:$M1028,'Livro Diario - FC'!$E$11:$E1028,$C$120,'Livro Diario - FC'!$D$11:$D1028,"&gt;=01/06"&amp;$C$7,'Livro Diario - FC'!$D$11:$D1028,"&lt;=30/06"&amp;$C$7)</f>
        <v>0</v>
      </c>
      <c r="AE123" s="273"/>
      <c r="AF123" s="258"/>
      <c r="AG123" s="255">
        <f>SUMIFS('Livro Diario - FC'!$K$11:$K1028,'Livro Diario - FC'!$E$11:$E1028,$C$120,'Livro Diario - FC'!$D$11:$D1028,"&gt;=01/07"&amp;$C$7,'Livro Diario - FC'!$D$11:$D1028,"&lt;=31/07"&amp;$C$7)</f>
        <v>0</v>
      </c>
      <c r="AH123" s="256">
        <f>SUMIFS('Livro Diario - FC'!$M$11:$M1028,'Livro Diario - FC'!$E$11:$E1028,$C$120,'Livro Diario - FC'!$D$11:$D1028,"&gt;=01/07"&amp;$C$7,'Livro Diario - FC'!$D$11:$D1028,"&lt;=31/07"&amp;$C$7)</f>
        <v>0</v>
      </c>
      <c r="AI123" s="273"/>
      <c r="AJ123" s="258"/>
      <c r="AK123" s="255">
        <f>SUMIFS('Livro Diario - FC'!$K$11:$K1028,'Livro Diario - FC'!$E$11:$E1028,$C$120,'Livro Diario - FC'!$D$11:$D1028,"&gt;=01/08"&amp;$C$7,'Livro Diario - FC'!$D$11:$D1028,"&lt;=31/08"&amp;$C$7)</f>
        <v>0</v>
      </c>
      <c r="AL123" s="256">
        <f>SUMIFS('Livro Diario - FC'!$M$11:$M1028,'Livro Diario - FC'!$E$11:$E1028,$C$120,'Livro Diario - FC'!$D$11:$D1028,"&gt;=01/08"&amp;$C$7,'Livro Diario - FC'!$D$11:$D1028,"&lt;=31/08"&amp;$C$7)</f>
        <v>0</v>
      </c>
      <c r="AM123" s="273"/>
      <c r="AN123" s="258"/>
      <c r="AO123" s="255">
        <f>SUMIFS('Livro Diario - FC'!$K$11:$K1028,'Livro Diario - FC'!$E$11:$E1028,$C$120,'Livro Diario - FC'!$D$11:$D1028,"&gt;=01/09"&amp;$C$7,'Livro Diario - FC'!$D$11:$D1028,"&lt;=30/09"&amp;$C$7)</f>
        <v>0</v>
      </c>
      <c r="AP123" s="256">
        <f>SUMIFS('Livro Diario - FC'!$M$11:$M1028,'Livro Diario - FC'!$E$11:$E1028,$C$120,'Livro Diario - FC'!$D$11:$D1028,"&gt;=01/09"&amp;$C$7,'Livro Diario - FC'!$D$11:$D1028,"&lt;=30/09"&amp;$C$7)</f>
        <v>0</v>
      </c>
      <c r="AQ123" s="273"/>
      <c r="AR123" s="258"/>
      <c r="AS123" s="255">
        <f>SUMIFS('Livro Diario - FC'!$K$11:$K1028,'Livro Diario - FC'!$E$11:$E1028,$C$120,'Livro Diario - FC'!$D$11:$D1028,"&gt;=01/10"&amp;$C$7,'Livro Diario - FC'!$D$11:$D1028,"&lt;=31/10"&amp;$C$7)</f>
        <v>0</v>
      </c>
      <c r="AT123" s="256">
        <f>SUMIFS('Livro Diario - FC'!$M$11:$M1028,'Livro Diario - FC'!$E$11:$E1028,$C$120,'Livro Diario - FC'!$D$11:$D1028,"&gt;=01/10"&amp;$C$7,'Livro Diario - FC'!$D$11:$D1028,"&lt;=31/10"&amp;$C$7)</f>
        <v>0</v>
      </c>
      <c r="AU123" s="273"/>
      <c r="AV123" s="258"/>
      <c r="AW123" s="255">
        <f>SUMIFS('Livro Diario - FC'!$K$11:$K1028,'Livro Diario - FC'!$E$11:$E1028,$C$120,'Livro Diario - FC'!$D$11:$D1028,"&gt;=01/11"&amp;$C$7,'Livro Diario - FC'!$D$11:$D1028,"&lt;=30/11"&amp;$C$7)</f>
        <v>0</v>
      </c>
      <c r="AX123" s="256">
        <f>SUMIFS('Livro Diario - FC'!$M$11:$M1028,'Livro Diario - FC'!$E$11:$E1028,$C$120,'Livro Diario - FC'!$D$11:$D1028,"&gt;=01/11"&amp;$C$7,'Livro Diario - FC'!$D$11:$D1028,"&lt;=30/11"&amp;$C$7)</f>
        <v>0</v>
      </c>
      <c r="AY123" s="273"/>
      <c r="AZ123" s="258"/>
      <c r="BA123" s="255">
        <f>SUMIFS('Livro Diario - FC'!$K$11:$K1028,'Livro Diario - FC'!$E$11:$E1028,$C$120,'Livro Diario - FC'!$D$11:$D1028,"&gt;=01/12"&amp;$C$7,'Livro Diario - FC'!$D$11:$D1028,"&lt;=31/12"&amp;$C$7)</f>
        <v>0</v>
      </c>
      <c r="BB123" s="256">
        <f>SUMIFS('Livro Diario - FC'!$M$11:$M1028,'Livro Diario - FC'!$E$11:$E1028,$C$120,'Livro Diario - FC'!$D$11:$D1028,"&gt;=01/12"&amp;$C$7,'Livro Diario - FC'!$D$11:$D1028,"&lt;=31/12"&amp;$C$7)</f>
        <v>0</v>
      </c>
      <c r="BC123" s="273"/>
      <c r="BD123" s="273"/>
      <c r="BE123" s="341">
        <f t="shared" ref="BE123:BF123" si="224">SUM(D123,I123,N123,S123,X123,AC123,AG123,AK123,AO123,AS123,AW123,BA123)</f>
        <v>2.8</v>
      </c>
      <c r="BF123" s="342">
        <f t="shared" si="224"/>
        <v>2.8</v>
      </c>
      <c r="BG123" s="343"/>
      <c r="BH123" s="344"/>
      <c r="BI123" s="270">
        <f>SUMIFS('Livro Diario - FC'!$M$11:$M1028,'Livro Diario - FC'!$E$11:$E1028,C123,'Livro Diario - FC'!$D$11:$D1028,"&gt;="&amp;$BK$8,'Livro Diario - FC'!$D$11:$D1028,"&lt;="&amp;$BK$9)</f>
        <v>0</v>
      </c>
      <c r="BJ123" s="271"/>
      <c r="BK123" s="345"/>
      <c r="BL123" s="146"/>
    </row>
    <row r="124">
      <c r="A124" s="1"/>
      <c r="B124" s="40"/>
      <c r="C124" s="338" t="str">
        <f>'Livro Diario - FC'!AE133</f>
        <v>H2o</v>
      </c>
      <c r="D124" s="255">
        <f>SUMIFS('Livro Diario - FC'!$K$11:$K1028,'Livro Diario - FC'!$E$11:$E1028,$C$120,'Livro Diario - FC'!$D$11:$D1028,"&gt;=01/01"&amp;$C$7,'Livro Diario - FC'!$D$11:$D1028,"&lt;=31/01"&amp;$C$7)</f>
        <v>2.8</v>
      </c>
      <c r="E124" s="256">
        <f>SUMIFS('Livro Diario - FC'!$M$11:$M1028,'Livro Diario - FC'!$E$11:$E1028,$C$120,'Livro Diario - FC'!$D$11:$D1028,"&gt;=01/01"&amp;$C$7,'Livro Diario - FC'!$D$11:$D1028,"&lt;=31/01"&amp;$C$7)</f>
        <v>2.8</v>
      </c>
      <c r="F124" s="273"/>
      <c r="G124" s="258"/>
      <c r="H124" s="157"/>
      <c r="I124" s="255">
        <f>SUMIFS('Livro Diario - FC'!$K$11:$K1028,'Livro Diario - FC'!$E$11:$E1028,$C$120,'Livro Diario - FC'!$D$11:$D1028,"&gt;=01/02"&amp;$C$7,'Livro Diario - FC'!$D$11:$D1028,"&lt;=29/02"&amp;$C$7)</f>
        <v>0</v>
      </c>
      <c r="J124" s="256">
        <f>SUMIFS('Livro Diario - FC'!$M$11:$M1028,'Livro Diario - FC'!$E$11:$E1028,$C$120,'Livro Diario - FC'!$D$11:$D1028,"&gt;=01/02"&amp;$C$7,'Livro Diario - FC'!$D$11:$D1028,"&lt;=29/02"&amp;$C$7)</f>
        <v>0</v>
      </c>
      <c r="K124" s="273"/>
      <c r="L124" s="258"/>
      <c r="M124" s="259"/>
      <c r="N124" s="255">
        <f>SUMIFS('Livro Diario - FC'!$K$11:$K1028,'Livro Diario - FC'!$E$11:$E1028,$C$120,'Livro Diario - FC'!$D$11:$D1028,"&gt;=01/03"&amp;$C$7,'Livro Diario - FC'!$D$11:$D1028,"&lt;=31/03"&amp;$C$7)</f>
        <v>0</v>
      </c>
      <c r="O124" s="256">
        <f>SUMIFS('Livro Diario - FC'!$M$11:$M1028,'Livro Diario - FC'!$E$11:$E1028,$C$120,'Livro Diario - FC'!$D$11:$D1028,"&gt;=01/03"&amp;$C$7,'Livro Diario - FC'!$D$11:$D1028,"&lt;=31/03"&amp;$C$7)</f>
        <v>0</v>
      </c>
      <c r="P124" s="273"/>
      <c r="Q124" s="258"/>
      <c r="R124" s="259"/>
      <c r="S124" s="255">
        <f>SUMIFS('Livro Diario - FC'!$K$11:$K1028,'Livro Diario - FC'!$E$11:$E1028,$C$120,'Livro Diario - FC'!$D$11:$D1028,"&gt;=01/04"&amp;$C$7,'Livro Diario - FC'!$D$11:$D1028,"&lt;=30/04"&amp;$C$7)</f>
        <v>0</v>
      </c>
      <c r="T124" s="256">
        <f>SUMIFS('Livro Diario - FC'!$M$11:$M1028,'Livro Diario - FC'!$E$11:$E1028,$C$120,'Livro Diario - FC'!$D$11:$D1028,"&gt;=01/04"&amp;$C$7,'Livro Diario - FC'!$D$11:$D1028,"&lt;=30/04"&amp;$C$7)</f>
        <v>0</v>
      </c>
      <c r="U124" s="273"/>
      <c r="V124" s="258"/>
      <c r="W124" s="259"/>
      <c r="X124" s="255">
        <f>SUMIFS('Livro Diario - FC'!$K$11:$K1028,'Livro Diario - FC'!$E$11:$E1028,$C$120,'Livro Diario - FC'!$D$11:$D1028,"&gt;=01/05"&amp;$C$7,'Livro Diario - FC'!$D$11:$D1028,"&lt;=31/05"&amp;$C$7)</f>
        <v>0</v>
      </c>
      <c r="Y124" s="256">
        <f>SUMIFS('Livro Diario - FC'!$M$11:$M1028,'Livro Diario - FC'!$E$11:$E1028,$C$120,'Livro Diario - FC'!$D$11:$D1028,"&gt;=01/05"&amp;$C$7,'Livro Diario - FC'!$D$11:$D1028,"&lt;=31/05"&amp;$C$7)</f>
        <v>0</v>
      </c>
      <c r="Z124" s="273"/>
      <c r="AA124" s="258"/>
      <c r="AB124" s="259"/>
      <c r="AC124" s="255">
        <f>SUMIFS('Livro Diario - FC'!$K$11:$K1028,'Livro Diario - FC'!$E$11:$E1028,$C$120,'Livro Diario - FC'!$D$11:$D1028,"&gt;=01/06"&amp;$C$7,'Livro Diario - FC'!$D$11:$D1028,"&lt;=30/06"&amp;$C$7)</f>
        <v>0</v>
      </c>
      <c r="AD124" s="256">
        <f>SUMIFS('Livro Diario - FC'!$M$11:$M1028,'Livro Diario - FC'!$E$11:$E1028,$C$120,'Livro Diario - FC'!$D$11:$D1028,"&gt;=01/06"&amp;$C$7,'Livro Diario - FC'!$D$11:$D1028,"&lt;=30/06"&amp;$C$7)</f>
        <v>0</v>
      </c>
      <c r="AE124" s="273"/>
      <c r="AF124" s="258"/>
      <c r="AG124" s="255">
        <f>SUMIFS('Livro Diario - FC'!$K$11:$K1028,'Livro Diario - FC'!$E$11:$E1028,$C$120,'Livro Diario - FC'!$D$11:$D1028,"&gt;=01/07"&amp;$C$7,'Livro Diario - FC'!$D$11:$D1028,"&lt;=31/07"&amp;$C$7)</f>
        <v>0</v>
      </c>
      <c r="AH124" s="256">
        <f>SUMIFS('Livro Diario - FC'!$M$11:$M1028,'Livro Diario - FC'!$E$11:$E1028,$C$120,'Livro Diario - FC'!$D$11:$D1028,"&gt;=01/07"&amp;$C$7,'Livro Diario - FC'!$D$11:$D1028,"&lt;=31/07"&amp;$C$7)</f>
        <v>0</v>
      </c>
      <c r="AI124" s="273"/>
      <c r="AJ124" s="258"/>
      <c r="AK124" s="255">
        <f>SUMIFS('Livro Diario - FC'!$K$11:$K1028,'Livro Diario - FC'!$E$11:$E1028,$C$120,'Livro Diario - FC'!$D$11:$D1028,"&gt;=01/08"&amp;$C$7,'Livro Diario - FC'!$D$11:$D1028,"&lt;=31/08"&amp;$C$7)</f>
        <v>0</v>
      </c>
      <c r="AL124" s="256">
        <f>SUMIFS('Livro Diario - FC'!$M$11:$M1028,'Livro Diario - FC'!$E$11:$E1028,$C$120,'Livro Diario - FC'!$D$11:$D1028,"&gt;=01/08"&amp;$C$7,'Livro Diario - FC'!$D$11:$D1028,"&lt;=31/08"&amp;$C$7)</f>
        <v>0</v>
      </c>
      <c r="AM124" s="273"/>
      <c r="AN124" s="258"/>
      <c r="AO124" s="255">
        <f>SUMIFS('Livro Diario - FC'!$K$11:$K1028,'Livro Diario - FC'!$E$11:$E1028,$C$120,'Livro Diario - FC'!$D$11:$D1028,"&gt;=01/09"&amp;$C$7,'Livro Diario - FC'!$D$11:$D1028,"&lt;=30/09"&amp;$C$7)</f>
        <v>0</v>
      </c>
      <c r="AP124" s="256">
        <f>SUMIFS('Livro Diario - FC'!$M$11:$M1028,'Livro Diario - FC'!$E$11:$E1028,$C$120,'Livro Diario - FC'!$D$11:$D1028,"&gt;=01/09"&amp;$C$7,'Livro Diario - FC'!$D$11:$D1028,"&lt;=30/09"&amp;$C$7)</f>
        <v>0</v>
      </c>
      <c r="AQ124" s="273"/>
      <c r="AR124" s="258"/>
      <c r="AS124" s="255">
        <f>SUMIFS('Livro Diario - FC'!$K$11:$K1028,'Livro Diario - FC'!$E$11:$E1028,$C$120,'Livro Diario - FC'!$D$11:$D1028,"&gt;=01/10"&amp;$C$7,'Livro Diario - FC'!$D$11:$D1028,"&lt;=31/10"&amp;$C$7)</f>
        <v>0</v>
      </c>
      <c r="AT124" s="256">
        <f>SUMIFS('Livro Diario - FC'!$M$11:$M1028,'Livro Diario - FC'!$E$11:$E1028,$C$120,'Livro Diario - FC'!$D$11:$D1028,"&gt;=01/10"&amp;$C$7,'Livro Diario - FC'!$D$11:$D1028,"&lt;=31/10"&amp;$C$7)</f>
        <v>0</v>
      </c>
      <c r="AU124" s="273"/>
      <c r="AV124" s="258"/>
      <c r="AW124" s="255">
        <f>SUMIFS('Livro Diario - FC'!$K$11:$K1028,'Livro Diario - FC'!$E$11:$E1028,$C$120,'Livro Diario - FC'!$D$11:$D1028,"&gt;=01/11"&amp;$C$7,'Livro Diario - FC'!$D$11:$D1028,"&lt;=30/11"&amp;$C$7)</f>
        <v>0</v>
      </c>
      <c r="AX124" s="256">
        <f>SUMIFS('Livro Diario - FC'!$M$11:$M1028,'Livro Diario - FC'!$E$11:$E1028,$C$120,'Livro Diario - FC'!$D$11:$D1028,"&gt;=01/11"&amp;$C$7,'Livro Diario - FC'!$D$11:$D1028,"&lt;=30/11"&amp;$C$7)</f>
        <v>0</v>
      </c>
      <c r="AY124" s="273"/>
      <c r="AZ124" s="258"/>
      <c r="BA124" s="255">
        <f>SUMIFS('Livro Diario - FC'!$K$11:$K1028,'Livro Diario - FC'!$E$11:$E1028,$C$120,'Livro Diario - FC'!$D$11:$D1028,"&gt;=01/12"&amp;$C$7,'Livro Diario - FC'!$D$11:$D1028,"&lt;=31/12"&amp;$C$7)</f>
        <v>0</v>
      </c>
      <c r="BB124" s="256">
        <f>SUMIFS('Livro Diario - FC'!$M$11:$M1028,'Livro Diario - FC'!$E$11:$E1028,$C$120,'Livro Diario - FC'!$D$11:$D1028,"&gt;=01/12"&amp;$C$7,'Livro Diario - FC'!$D$11:$D1028,"&lt;=31/12"&amp;$C$7)</f>
        <v>0</v>
      </c>
      <c r="BC124" s="273"/>
      <c r="BD124" s="273"/>
      <c r="BE124" s="341">
        <f t="shared" ref="BE124:BF124" si="225">SUM(D124,I124,N124,S124,X124,AC124,AG124,AK124,AO124,AS124,AW124,BA124)</f>
        <v>2.8</v>
      </c>
      <c r="BF124" s="342">
        <f t="shared" si="225"/>
        <v>2.8</v>
      </c>
      <c r="BG124" s="343"/>
      <c r="BH124" s="344"/>
      <c r="BI124" s="270">
        <f>SUMIFS('Livro Diario - FC'!$M$11:$M1028,'Livro Diario - FC'!$E$11:$E1028,C124,'Livro Diario - FC'!$D$11:$D1028,"&gt;="&amp;$BK$8,'Livro Diario - FC'!$D$11:$D1028,"&lt;="&amp;$BK$9)</f>
        <v>0</v>
      </c>
      <c r="BJ124" s="271"/>
      <c r="BK124" s="345"/>
      <c r="BL124" s="146"/>
    </row>
    <row r="125">
      <c r="A125" s="1"/>
      <c r="B125" s="40"/>
      <c r="C125" s="338" t="str">
        <f>'Livro Diario - FC'!AE134</f>
        <v>h2o Limao</v>
      </c>
      <c r="D125" s="255">
        <f>SUMIFS('Livro Diario - FC'!$K$11:$K1028,'Livro Diario - FC'!$E$11:$E1028,$C$120,'Livro Diario - FC'!$D$11:$D1028,"&gt;=01/01"&amp;$C$7,'Livro Diario - FC'!$D$11:$D1028,"&lt;=31/01"&amp;$C$7)</f>
        <v>2.8</v>
      </c>
      <c r="E125" s="256">
        <f>SUMIFS('Livro Diario - FC'!$M$11:$M1028,'Livro Diario - FC'!$E$11:$E1028,$C$120,'Livro Diario - FC'!$D$11:$D1028,"&gt;=01/01"&amp;$C$7,'Livro Diario - FC'!$D$11:$D1028,"&lt;=31/01"&amp;$C$7)</f>
        <v>2.8</v>
      </c>
      <c r="F125" s="273"/>
      <c r="G125" s="258"/>
      <c r="H125" s="157"/>
      <c r="I125" s="255">
        <f>SUMIFS('Livro Diario - FC'!$K$11:$K1028,'Livro Diario - FC'!$E$11:$E1028,$C$120,'Livro Diario - FC'!$D$11:$D1028,"&gt;=01/02"&amp;$C$7,'Livro Diario - FC'!$D$11:$D1028,"&lt;=29/02"&amp;$C$7)</f>
        <v>0</v>
      </c>
      <c r="J125" s="256">
        <f>SUMIFS('Livro Diario - FC'!$M$11:$M1028,'Livro Diario - FC'!$E$11:$E1028,$C$120,'Livro Diario - FC'!$D$11:$D1028,"&gt;=01/02"&amp;$C$7,'Livro Diario - FC'!$D$11:$D1028,"&lt;=29/02"&amp;$C$7)</f>
        <v>0</v>
      </c>
      <c r="K125" s="273"/>
      <c r="L125" s="258"/>
      <c r="M125" s="259"/>
      <c r="N125" s="255">
        <f>SUMIFS('Livro Diario - FC'!$K$11:$K1028,'Livro Diario - FC'!$E$11:$E1028,$C$120,'Livro Diario - FC'!$D$11:$D1028,"&gt;=01/03"&amp;$C$7,'Livro Diario - FC'!$D$11:$D1028,"&lt;=31/03"&amp;$C$7)</f>
        <v>0</v>
      </c>
      <c r="O125" s="256">
        <f>SUMIFS('Livro Diario - FC'!$M$11:$M1028,'Livro Diario - FC'!$E$11:$E1028,$C$120,'Livro Diario - FC'!$D$11:$D1028,"&gt;=01/03"&amp;$C$7,'Livro Diario - FC'!$D$11:$D1028,"&lt;=31/03"&amp;$C$7)</f>
        <v>0</v>
      </c>
      <c r="P125" s="273"/>
      <c r="Q125" s="258"/>
      <c r="R125" s="259"/>
      <c r="S125" s="255">
        <f>SUMIFS('Livro Diario - FC'!$K$11:$K1028,'Livro Diario - FC'!$E$11:$E1028,$C$120,'Livro Diario - FC'!$D$11:$D1028,"&gt;=01/04"&amp;$C$7,'Livro Diario - FC'!$D$11:$D1028,"&lt;=30/04"&amp;$C$7)</f>
        <v>0</v>
      </c>
      <c r="T125" s="256">
        <f>SUMIFS('Livro Diario - FC'!$M$11:$M1028,'Livro Diario - FC'!$E$11:$E1028,$C$120,'Livro Diario - FC'!$D$11:$D1028,"&gt;=01/04"&amp;$C$7,'Livro Diario - FC'!$D$11:$D1028,"&lt;=30/04"&amp;$C$7)</f>
        <v>0</v>
      </c>
      <c r="U125" s="273"/>
      <c r="V125" s="258"/>
      <c r="W125" s="259"/>
      <c r="X125" s="255">
        <f>SUMIFS('Livro Diario - FC'!$K$11:$K1028,'Livro Diario - FC'!$E$11:$E1028,$C$120,'Livro Diario - FC'!$D$11:$D1028,"&gt;=01/05"&amp;$C$7,'Livro Diario - FC'!$D$11:$D1028,"&lt;=31/05"&amp;$C$7)</f>
        <v>0</v>
      </c>
      <c r="Y125" s="256">
        <f>SUMIFS('Livro Diario - FC'!$M$11:$M1028,'Livro Diario - FC'!$E$11:$E1028,$C$120,'Livro Diario - FC'!$D$11:$D1028,"&gt;=01/05"&amp;$C$7,'Livro Diario - FC'!$D$11:$D1028,"&lt;=31/05"&amp;$C$7)</f>
        <v>0</v>
      </c>
      <c r="Z125" s="273"/>
      <c r="AA125" s="258"/>
      <c r="AB125" s="259"/>
      <c r="AC125" s="255">
        <f>SUMIFS('Livro Diario - FC'!$K$11:$K1028,'Livro Diario - FC'!$E$11:$E1028,$C$120,'Livro Diario - FC'!$D$11:$D1028,"&gt;=01/06"&amp;$C$7,'Livro Diario - FC'!$D$11:$D1028,"&lt;=30/06"&amp;$C$7)</f>
        <v>0</v>
      </c>
      <c r="AD125" s="256">
        <f>SUMIFS('Livro Diario - FC'!$M$11:$M1028,'Livro Diario - FC'!$E$11:$E1028,$C$120,'Livro Diario - FC'!$D$11:$D1028,"&gt;=01/06"&amp;$C$7,'Livro Diario - FC'!$D$11:$D1028,"&lt;=30/06"&amp;$C$7)</f>
        <v>0</v>
      </c>
      <c r="AE125" s="273"/>
      <c r="AF125" s="258"/>
      <c r="AG125" s="255">
        <f>SUMIFS('Livro Diario - FC'!$K$11:$K1028,'Livro Diario - FC'!$E$11:$E1028,$C$120,'Livro Diario - FC'!$D$11:$D1028,"&gt;=01/07"&amp;$C$7,'Livro Diario - FC'!$D$11:$D1028,"&lt;=31/07"&amp;$C$7)</f>
        <v>0</v>
      </c>
      <c r="AH125" s="256">
        <f>SUMIFS('Livro Diario - FC'!$M$11:$M1028,'Livro Diario - FC'!$E$11:$E1028,$C$120,'Livro Diario - FC'!$D$11:$D1028,"&gt;=01/07"&amp;$C$7,'Livro Diario - FC'!$D$11:$D1028,"&lt;=31/07"&amp;$C$7)</f>
        <v>0</v>
      </c>
      <c r="AI125" s="273"/>
      <c r="AJ125" s="258"/>
      <c r="AK125" s="255">
        <f>SUMIFS('Livro Diario - FC'!$K$11:$K1028,'Livro Diario - FC'!$E$11:$E1028,$C$120,'Livro Diario - FC'!$D$11:$D1028,"&gt;=01/08"&amp;$C$7,'Livro Diario - FC'!$D$11:$D1028,"&lt;=31/08"&amp;$C$7)</f>
        <v>0</v>
      </c>
      <c r="AL125" s="256">
        <f>SUMIFS('Livro Diario - FC'!$M$11:$M1028,'Livro Diario - FC'!$E$11:$E1028,$C$120,'Livro Diario - FC'!$D$11:$D1028,"&gt;=01/08"&amp;$C$7,'Livro Diario - FC'!$D$11:$D1028,"&lt;=31/08"&amp;$C$7)</f>
        <v>0</v>
      </c>
      <c r="AM125" s="273"/>
      <c r="AN125" s="258"/>
      <c r="AO125" s="255">
        <f>SUMIFS('Livro Diario - FC'!$K$11:$K1028,'Livro Diario - FC'!$E$11:$E1028,$C$120,'Livro Diario - FC'!$D$11:$D1028,"&gt;=01/09"&amp;$C$7,'Livro Diario - FC'!$D$11:$D1028,"&lt;=30/09"&amp;$C$7)</f>
        <v>0</v>
      </c>
      <c r="AP125" s="256">
        <f>SUMIFS('Livro Diario - FC'!$M$11:$M1028,'Livro Diario - FC'!$E$11:$E1028,$C$120,'Livro Diario - FC'!$D$11:$D1028,"&gt;=01/09"&amp;$C$7,'Livro Diario - FC'!$D$11:$D1028,"&lt;=30/09"&amp;$C$7)</f>
        <v>0</v>
      </c>
      <c r="AQ125" s="273"/>
      <c r="AR125" s="258"/>
      <c r="AS125" s="255">
        <f>SUMIFS('Livro Diario - FC'!$K$11:$K1028,'Livro Diario - FC'!$E$11:$E1028,$C$120,'Livro Diario - FC'!$D$11:$D1028,"&gt;=01/10"&amp;$C$7,'Livro Diario - FC'!$D$11:$D1028,"&lt;=31/10"&amp;$C$7)</f>
        <v>0</v>
      </c>
      <c r="AT125" s="256">
        <f>SUMIFS('Livro Diario - FC'!$M$11:$M1028,'Livro Diario - FC'!$E$11:$E1028,$C$120,'Livro Diario - FC'!$D$11:$D1028,"&gt;=01/10"&amp;$C$7,'Livro Diario - FC'!$D$11:$D1028,"&lt;=31/10"&amp;$C$7)</f>
        <v>0</v>
      </c>
      <c r="AU125" s="273"/>
      <c r="AV125" s="258"/>
      <c r="AW125" s="255">
        <f>SUMIFS('Livro Diario - FC'!$K$11:$K1028,'Livro Diario - FC'!$E$11:$E1028,$C$120,'Livro Diario - FC'!$D$11:$D1028,"&gt;=01/11"&amp;$C$7,'Livro Diario - FC'!$D$11:$D1028,"&lt;=30/11"&amp;$C$7)</f>
        <v>0</v>
      </c>
      <c r="AX125" s="256">
        <f>SUMIFS('Livro Diario - FC'!$M$11:$M1028,'Livro Diario - FC'!$E$11:$E1028,$C$120,'Livro Diario - FC'!$D$11:$D1028,"&gt;=01/11"&amp;$C$7,'Livro Diario - FC'!$D$11:$D1028,"&lt;=30/11"&amp;$C$7)</f>
        <v>0</v>
      </c>
      <c r="AY125" s="273"/>
      <c r="AZ125" s="258"/>
      <c r="BA125" s="255">
        <f>SUMIFS('Livro Diario - FC'!$K$11:$K1028,'Livro Diario - FC'!$E$11:$E1028,$C$120,'Livro Diario - FC'!$D$11:$D1028,"&gt;=01/12"&amp;$C$7,'Livro Diario - FC'!$D$11:$D1028,"&lt;=31/12"&amp;$C$7)</f>
        <v>0</v>
      </c>
      <c r="BB125" s="256">
        <f>SUMIFS('Livro Diario - FC'!$M$11:$M1028,'Livro Diario - FC'!$E$11:$E1028,$C$120,'Livro Diario - FC'!$D$11:$D1028,"&gt;=01/12"&amp;$C$7,'Livro Diario - FC'!$D$11:$D1028,"&lt;=31/12"&amp;$C$7)</f>
        <v>0</v>
      </c>
      <c r="BC125" s="273"/>
      <c r="BD125" s="273"/>
      <c r="BE125" s="341">
        <f t="shared" ref="BE125:BF125" si="226">SUM(D125,I125,N125,S125,X125,AC125,AG125,AK125,AO125,AS125,AW125,BA125)</f>
        <v>2.8</v>
      </c>
      <c r="BF125" s="342">
        <f t="shared" si="226"/>
        <v>2.8</v>
      </c>
      <c r="BG125" s="343"/>
      <c r="BH125" s="344"/>
      <c r="BI125" s="270">
        <f>SUMIFS('Livro Diario - FC'!$M$11:$M1028,'Livro Diario - FC'!$E$11:$E1028,C125,'Livro Diario - FC'!$D$11:$D1028,"&gt;="&amp;$BK$8,'Livro Diario - FC'!$D$11:$D1028,"&lt;="&amp;$BK$9)</f>
        <v>0</v>
      </c>
      <c r="BJ125" s="271"/>
      <c r="BK125" s="345"/>
      <c r="BL125" s="146"/>
    </row>
    <row r="126">
      <c r="A126" s="1"/>
      <c r="B126" s="40"/>
      <c r="C126" s="338" t="str">
        <f>'Livro Diario - FC'!AE135</f>
        <v>Antartica 1 Litro</v>
      </c>
      <c r="D126" s="255">
        <f>SUMIFS('Livro Diario - FC'!$K$11:$K1028,'Livro Diario - FC'!$E$11:$E1028,$C$120,'Livro Diario - FC'!$D$11:$D1028,"&gt;=01/01"&amp;$C$7,'Livro Diario - FC'!$D$11:$D1028,"&lt;=31/01"&amp;$C$7)</f>
        <v>2.8</v>
      </c>
      <c r="E126" s="256">
        <f>SUMIFS('Livro Diario - FC'!$M$11:$M1028,'Livro Diario - FC'!$E$11:$E1028,$C$120,'Livro Diario - FC'!$D$11:$D1028,"&gt;=01/01"&amp;$C$7,'Livro Diario - FC'!$D$11:$D1028,"&lt;=31/01"&amp;$C$7)</f>
        <v>2.8</v>
      </c>
      <c r="F126" s="273"/>
      <c r="G126" s="258"/>
      <c r="H126" s="157"/>
      <c r="I126" s="255">
        <f>SUMIFS('Livro Diario - FC'!$K$11:$K1028,'Livro Diario - FC'!$E$11:$E1028,$C$120,'Livro Diario - FC'!$D$11:$D1028,"&gt;=01/02"&amp;$C$7,'Livro Diario - FC'!$D$11:$D1028,"&lt;=29/02"&amp;$C$7)</f>
        <v>0</v>
      </c>
      <c r="J126" s="256">
        <f>SUMIFS('Livro Diario - FC'!$M$11:$M1028,'Livro Diario - FC'!$E$11:$E1028,$C$120,'Livro Diario - FC'!$D$11:$D1028,"&gt;=01/02"&amp;$C$7,'Livro Diario - FC'!$D$11:$D1028,"&lt;=29/02"&amp;$C$7)</f>
        <v>0</v>
      </c>
      <c r="K126" s="273"/>
      <c r="L126" s="258"/>
      <c r="M126" s="259"/>
      <c r="N126" s="255">
        <f>SUMIFS('Livro Diario - FC'!$K$11:$K1028,'Livro Diario - FC'!$E$11:$E1028,$C$120,'Livro Diario - FC'!$D$11:$D1028,"&gt;=01/03"&amp;$C$7,'Livro Diario - FC'!$D$11:$D1028,"&lt;=31/03"&amp;$C$7)</f>
        <v>0</v>
      </c>
      <c r="O126" s="256">
        <f>SUMIFS('Livro Diario - FC'!$M$11:$M1028,'Livro Diario - FC'!$E$11:$E1028,$C$120,'Livro Diario - FC'!$D$11:$D1028,"&gt;=01/03"&amp;$C$7,'Livro Diario - FC'!$D$11:$D1028,"&lt;=31/03"&amp;$C$7)</f>
        <v>0</v>
      </c>
      <c r="P126" s="273"/>
      <c r="Q126" s="258"/>
      <c r="R126" s="259"/>
      <c r="S126" s="255">
        <f>SUMIFS('Livro Diario - FC'!$K$11:$K1028,'Livro Diario - FC'!$E$11:$E1028,$C$120,'Livro Diario - FC'!$D$11:$D1028,"&gt;=01/04"&amp;$C$7,'Livro Diario - FC'!$D$11:$D1028,"&lt;=30/04"&amp;$C$7)</f>
        <v>0</v>
      </c>
      <c r="T126" s="256">
        <f>SUMIFS('Livro Diario - FC'!$M$11:$M1028,'Livro Diario - FC'!$E$11:$E1028,$C$120,'Livro Diario - FC'!$D$11:$D1028,"&gt;=01/04"&amp;$C$7,'Livro Diario - FC'!$D$11:$D1028,"&lt;=30/04"&amp;$C$7)</f>
        <v>0</v>
      </c>
      <c r="U126" s="273"/>
      <c r="V126" s="258"/>
      <c r="W126" s="259"/>
      <c r="X126" s="255">
        <f>SUMIFS('Livro Diario - FC'!$K$11:$K1028,'Livro Diario - FC'!$E$11:$E1028,$C$120,'Livro Diario - FC'!$D$11:$D1028,"&gt;=01/05"&amp;$C$7,'Livro Diario - FC'!$D$11:$D1028,"&lt;=31/05"&amp;$C$7)</f>
        <v>0</v>
      </c>
      <c r="Y126" s="256">
        <f>SUMIFS('Livro Diario - FC'!$M$11:$M1028,'Livro Diario - FC'!$E$11:$E1028,$C$120,'Livro Diario - FC'!$D$11:$D1028,"&gt;=01/05"&amp;$C$7,'Livro Diario - FC'!$D$11:$D1028,"&lt;=31/05"&amp;$C$7)</f>
        <v>0</v>
      </c>
      <c r="Z126" s="273"/>
      <c r="AA126" s="258"/>
      <c r="AB126" s="259"/>
      <c r="AC126" s="255">
        <f>SUMIFS('Livro Diario - FC'!$K$11:$K1028,'Livro Diario - FC'!$E$11:$E1028,$C$120,'Livro Diario - FC'!$D$11:$D1028,"&gt;=01/06"&amp;$C$7,'Livro Diario - FC'!$D$11:$D1028,"&lt;=30/06"&amp;$C$7)</f>
        <v>0</v>
      </c>
      <c r="AD126" s="256">
        <f>SUMIFS('Livro Diario - FC'!$M$11:$M1028,'Livro Diario - FC'!$E$11:$E1028,$C$120,'Livro Diario - FC'!$D$11:$D1028,"&gt;=01/06"&amp;$C$7,'Livro Diario - FC'!$D$11:$D1028,"&lt;=30/06"&amp;$C$7)</f>
        <v>0</v>
      </c>
      <c r="AE126" s="273"/>
      <c r="AF126" s="258"/>
      <c r="AG126" s="255">
        <f>SUMIFS('Livro Diario - FC'!$K$11:$K1028,'Livro Diario - FC'!$E$11:$E1028,$C$120,'Livro Diario - FC'!$D$11:$D1028,"&gt;=01/07"&amp;$C$7,'Livro Diario - FC'!$D$11:$D1028,"&lt;=31/07"&amp;$C$7)</f>
        <v>0</v>
      </c>
      <c r="AH126" s="256">
        <f>SUMIFS('Livro Diario - FC'!$M$11:$M1028,'Livro Diario - FC'!$E$11:$E1028,$C$120,'Livro Diario - FC'!$D$11:$D1028,"&gt;=01/07"&amp;$C$7,'Livro Diario - FC'!$D$11:$D1028,"&lt;=31/07"&amp;$C$7)</f>
        <v>0</v>
      </c>
      <c r="AI126" s="273"/>
      <c r="AJ126" s="258"/>
      <c r="AK126" s="255">
        <f>SUMIFS('Livro Diario - FC'!$K$11:$K1028,'Livro Diario - FC'!$E$11:$E1028,$C$120,'Livro Diario - FC'!$D$11:$D1028,"&gt;=01/08"&amp;$C$7,'Livro Diario - FC'!$D$11:$D1028,"&lt;=31/08"&amp;$C$7)</f>
        <v>0</v>
      </c>
      <c r="AL126" s="256">
        <f>SUMIFS('Livro Diario - FC'!$M$11:$M1028,'Livro Diario - FC'!$E$11:$E1028,$C$120,'Livro Diario - FC'!$D$11:$D1028,"&gt;=01/08"&amp;$C$7,'Livro Diario - FC'!$D$11:$D1028,"&lt;=31/08"&amp;$C$7)</f>
        <v>0</v>
      </c>
      <c r="AM126" s="273"/>
      <c r="AN126" s="258"/>
      <c r="AO126" s="255">
        <f>SUMIFS('Livro Diario - FC'!$K$11:$K1028,'Livro Diario - FC'!$E$11:$E1028,$C$120,'Livro Diario - FC'!$D$11:$D1028,"&gt;=01/09"&amp;$C$7,'Livro Diario - FC'!$D$11:$D1028,"&lt;=30/09"&amp;$C$7)</f>
        <v>0</v>
      </c>
      <c r="AP126" s="256">
        <f>SUMIFS('Livro Diario - FC'!$M$11:$M1028,'Livro Diario - FC'!$E$11:$E1028,$C$120,'Livro Diario - FC'!$D$11:$D1028,"&gt;=01/09"&amp;$C$7,'Livro Diario - FC'!$D$11:$D1028,"&lt;=30/09"&amp;$C$7)</f>
        <v>0</v>
      </c>
      <c r="AQ126" s="273"/>
      <c r="AR126" s="258"/>
      <c r="AS126" s="255">
        <f>SUMIFS('Livro Diario - FC'!$K$11:$K1028,'Livro Diario - FC'!$E$11:$E1028,$C$120,'Livro Diario - FC'!$D$11:$D1028,"&gt;=01/10"&amp;$C$7,'Livro Diario - FC'!$D$11:$D1028,"&lt;=31/10"&amp;$C$7)</f>
        <v>0</v>
      </c>
      <c r="AT126" s="256">
        <f>SUMIFS('Livro Diario - FC'!$M$11:$M1028,'Livro Diario - FC'!$E$11:$E1028,$C$120,'Livro Diario - FC'!$D$11:$D1028,"&gt;=01/10"&amp;$C$7,'Livro Diario - FC'!$D$11:$D1028,"&lt;=31/10"&amp;$C$7)</f>
        <v>0</v>
      </c>
      <c r="AU126" s="273"/>
      <c r="AV126" s="258"/>
      <c r="AW126" s="255">
        <f>SUMIFS('Livro Diario - FC'!$K$11:$K1028,'Livro Diario - FC'!$E$11:$E1028,$C$120,'Livro Diario - FC'!$D$11:$D1028,"&gt;=01/11"&amp;$C$7,'Livro Diario - FC'!$D$11:$D1028,"&lt;=30/11"&amp;$C$7)</f>
        <v>0</v>
      </c>
      <c r="AX126" s="256">
        <f>SUMIFS('Livro Diario - FC'!$M$11:$M1028,'Livro Diario - FC'!$E$11:$E1028,$C$120,'Livro Diario - FC'!$D$11:$D1028,"&gt;=01/11"&amp;$C$7,'Livro Diario - FC'!$D$11:$D1028,"&lt;=30/11"&amp;$C$7)</f>
        <v>0</v>
      </c>
      <c r="AY126" s="273"/>
      <c r="AZ126" s="258"/>
      <c r="BA126" s="255">
        <f>SUMIFS('Livro Diario - FC'!$K$11:$K1028,'Livro Diario - FC'!$E$11:$E1028,$C$120,'Livro Diario - FC'!$D$11:$D1028,"&gt;=01/12"&amp;$C$7,'Livro Diario - FC'!$D$11:$D1028,"&lt;=31/12"&amp;$C$7)</f>
        <v>0</v>
      </c>
      <c r="BB126" s="256">
        <f>SUMIFS('Livro Diario - FC'!$M$11:$M1028,'Livro Diario - FC'!$E$11:$E1028,$C$120,'Livro Diario - FC'!$D$11:$D1028,"&gt;=01/12"&amp;$C$7,'Livro Diario - FC'!$D$11:$D1028,"&lt;=31/12"&amp;$C$7)</f>
        <v>0</v>
      </c>
      <c r="BC126" s="273"/>
      <c r="BD126" s="273"/>
      <c r="BE126" s="341">
        <f t="shared" ref="BE126:BF126" si="227">SUM(D126,I126,N126,S126,X126,AC126,AG126,AK126,AO126,AS126,AW126,BA126)</f>
        <v>2.8</v>
      </c>
      <c r="BF126" s="342">
        <f t="shared" si="227"/>
        <v>2.8</v>
      </c>
      <c r="BG126" s="343"/>
      <c r="BH126" s="344"/>
      <c r="BI126" s="270">
        <f>SUMIFS('Livro Diario - FC'!$M$11:$M1028,'Livro Diario - FC'!$E$11:$E1028,C126,'Livro Diario - FC'!$D$11:$D1028,"&gt;="&amp;$BK$8,'Livro Diario - FC'!$D$11:$D1028,"&lt;="&amp;$BK$9)</f>
        <v>0</v>
      </c>
      <c r="BJ126" s="271"/>
      <c r="BK126" s="345"/>
      <c r="BL126" s="146"/>
    </row>
    <row r="127">
      <c r="A127" s="1"/>
      <c r="B127" s="40"/>
      <c r="C127" s="338" t="str">
        <f>'Livro Diario - FC'!AE136</f>
        <v>Antartica lata</v>
      </c>
      <c r="D127" s="255">
        <f>SUMIFS('Livro Diario - FC'!$K$11:$K1028,'Livro Diario - FC'!$E$11:$E1028,$C$120,'Livro Diario - FC'!$D$11:$D1028,"&gt;=01/01"&amp;$C$7,'Livro Diario - FC'!$D$11:$D1028,"&lt;=31/01"&amp;$C$7)</f>
        <v>2.8</v>
      </c>
      <c r="E127" s="256">
        <f>SUMIFS('Livro Diario - FC'!$M$11:$M1028,'Livro Diario - FC'!$E$11:$E1028,$C$120,'Livro Diario - FC'!$D$11:$D1028,"&gt;=01/01"&amp;$C$7,'Livro Diario - FC'!$D$11:$D1028,"&lt;=31/01"&amp;$C$7)</f>
        <v>2.8</v>
      </c>
      <c r="F127" s="273"/>
      <c r="G127" s="258"/>
      <c r="H127" s="157"/>
      <c r="I127" s="255">
        <f>SUMIFS('Livro Diario - FC'!$K$11:$K1028,'Livro Diario - FC'!$E$11:$E1028,$C$120,'Livro Diario - FC'!$D$11:$D1028,"&gt;=01/02"&amp;$C$7,'Livro Diario - FC'!$D$11:$D1028,"&lt;=29/02"&amp;$C$7)</f>
        <v>0</v>
      </c>
      <c r="J127" s="256">
        <f>SUMIFS('Livro Diario - FC'!$M$11:$M1028,'Livro Diario - FC'!$E$11:$E1028,$C$120,'Livro Diario - FC'!$D$11:$D1028,"&gt;=01/02"&amp;$C$7,'Livro Diario - FC'!$D$11:$D1028,"&lt;=29/02"&amp;$C$7)</f>
        <v>0</v>
      </c>
      <c r="K127" s="273"/>
      <c r="L127" s="258"/>
      <c r="M127" s="259"/>
      <c r="N127" s="255">
        <f>SUMIFS('Livro Diario - FC'!$K$11:$K1028,'Livro Diario - FC'!$E$11:$E1028,$C$120,'Livro Diario - FC'!$D$11:$D1028,"&gt;=01/03"&amp;$C$7,'Livro Diario - FC'!$D$11:$D1028,"&lt;=31/03"&amp;$C$7)</f>
        <v>0</v>
      </c>
      <c r="O127" s="256">
        <f>SUMIFS('Livro Diario - FC'!$M$11:$M1028,'Livro Diario - FC'!$E$11:$E1028,$C$120,'Livro Diario - FC'!$D$11:$D1028,"&gt;=01/03"&amp;$C$7,'Livro Diario - FC'!$D$11:$D1028,"&lt;=31/03"&amp;$C$7)</f>
        <v>0</v>
      </c>
      <c r="P127" s="273"/>
      <c r="Q127" s="258"/>
      <c r="R127" s="259"/>
      <c r="S127" s="255">
        <f>SUMIFS('Livro Diario - FC'!$K$11:$K1028,'Livro Diario - FC'!$E$11:$E1028,$C$120,'Livro Diario - FC'!$D$11:$D1028,"&gt;=01/04"&amp;$C$7,'Livro Diario - FC'!$D$11:$D1028,"&lt;=30/04"&amp;$C$7)</f>
        <v>0</v>
      </c>
      <c r="T127" s="256">
        <f>SUMIFS('Livro Diario - FC'!$M$11:$M1028,'Livro Diario - FC'!$E$11:$E1028,$C$120,'Livro Diario - FC'!$D$11:$D1028,"&gt;=01/04"&amp;$C$7,'Livro Diario - FC'!$D$11:$D1028,"&lt;=30/04"&amp;$C$7)</f>
        <v>0</v>
      </c>
      <c r="U127" s="273"/>
      <c r="V127" s="258"/>
      <c r="W127" s="259"/>
      <c r="X127" s="255">
        <f>SUMIFS('Livro Diario - FC'!$K$11:$K1028,'Livro Diario - FC'!$E$11:$E1028,$C$120,'Livro Diario - FC'!$D$11:$D1028,"&gt;=01/05"&amp;$C$7,'Livro Diario - FC'!$D$11:$D1028,"&lt;=31/05"&amp;$C$7)</f>
        <v>0</v>
      </c>
      <c r="Y127" s="256">
        <f>SUMIFS('Livro Diario - FC'!$M$11:$M1028,'Livro Diario - FC'!$E$11:$E1028,$C$120,'Livro Diario - FC'!$D$11:$D1028,"&gt;=01/05"&amp;$C$7,'Livro Diario - FC'!$D$11:$D1028,"&lt;=31/05"&amp;$C$7)</f>
        <v>0</v>
      </c>
      <c r="Z127" s="273"/>
      <c r="AA127" s="258"/>
      <c r="AB127" s="259"/>
      <c r="AC127" s="255">
        <f>SUMIFS('Livro Diario - FC'!$K$11:$K1028,'Livro Diario - FC'!$E$11:$E1028,$C$120,'Livro Diario - FC'!$D$11:$D1028,"&gt;=01/06"&amp;$C$7,'Livro Diario - FC'!$D$11:$D1028,"&lt;=30/06"&amp;$C$7)</f>
        <v>0</v>
      </c>
      <c r="AD127" s="256">
        <f>SUMIFS('Livro Diario - FC'!$M$11:$M1028,'Livro Diario - FC'!$E$11:$E1028,$C$120,'Livro Diario - FC'!$D$11:$D1028,"&gt;=01/06"&amp;$C$7,'Livro Diario - FC'!$D$11:$D1028,"&lt;=30/06"&amp;$C$7)</f>
        <v>0</v>
      </c>
      <c r="AE127" s="273"/>
      <c r="AF127" s="258"/>
      <c r="AG127" s="255">
        <f>SUMIFS('Livro Diario - FC'!$K$11:$K1028,'Livro Diario - FC'!$E$11:$E1028,$C$120,'Livro Diario - FC'!$D$11:$D1028,"&gt;=01/07"&amp;$C$7,'Livro Diario - FC'!$D$11:$D1028,"&lt;=31/07"&amp;$C$7)</f>
        <v>0</v>
      </c>
      <c r="AH127" s="256">
        <f>SUMIFS('Livro Diario - FC'!$M$11:$M1028,'Livro Diario - FC'!$E$11:$E1028,$C$120,'Livro Diario - FC'!$D$11:$D1028,"&gt;=01/07"&amp;$C$7,'Livro Diario - FC'!$D$11:$D1028,"&lt;=31/07"&amp;$C$7)</f>
        <v>0</v>
      </c>
      <c r="AI127" s="273"/>
      <c r="AJ127" s="258"/>
      <c r="AK127" s="255">
        <f>SUMIFS('Livro Diario - FC'!$K$11:$K1028,'Livro Diario - FC'!$E$11:$E1028,$C$120,'Livro Diario - FC'!$D$11:$D1028,"&gt;=01/08"&amp;$C$7,'Livro Diario - FC'!$D$11:$D1028,"&lt;=31/08"&amp;$C$7)</f>
        <v>0</v>
      </c>
      <c r="AL127" s="256">
        <f>SUMIFS('Livro Diario - FC'!$M$11:$M1028,'Livro Diario - FC'!$E$11:$E1028,$C$120,'Livro Diario - FC'!$D$11:$D1028,"&gt;=01/08"&amp;$C$7,'Livro Diario - FC'!$D$11:$D1028,"&lt;=31/08"&amp;$C$7)</f>
        <v>0</v>
      </c>
      <c r="AM127" s="273"/>
      <c r="AN127" s="258"/>
      <c r="AO127" s="255">
        <f>SUMIFS('Livro Diario - FC'!$K$11:$K1028,'Livro Diario - FC'!$E$11:$E1028,$C$120,'Livro Diario - FC'!$D$11:$D1028,"&gt;=01/09"&amp;$C$7,'Livro Diario - FC'!$D$11:$D1028,"&lt;=30/09"&amp;$C$7)</f>
        <v>0</v>
      </c>
      <c r="AP127" s="256">
        <f>SUMIFS('Livro Diario - FC'!$M$11:$M1028,'Livro Diario - FC'!$E$11:$E1028,$C$120,'Livro Diario - FC'!$D$11:$D1028,"&gt;=01/09"&amp;$C$7,'Livro Diario - FC'!$D$11:$D1028,"&lt;=30/09"&amp;$C$7)</f>
        <v>0</v>
      </c>
      <c r="AQ127" s="273"/>
      <c r="AR127" s="258"/>
      <c r="AS127" s="255">
        <f>SUMIFS('Livro Diario - FC'!$K$11:$K1028,'Livro Diario - FC'!$E$11:$E1028,$C$120,'Livro Diario - FC'!$D$11:$D1028,"&gt;=01/10"&amp;$C$7,'Livro Diario - FC'!$D$11:$D1028,"&lt;=31/10"&amp;$C$7)</f>
        <v>0</v>
      </c>
      <c r="AT127" s="256">
        <f>SUMIFS('Livro Diario - FC'!$M$11:$M1028,'Livro Diario - FC'!$E$11:$E1028,$C$120,'Livro Diario - FC'!$D$11:$D1028,"&gt;=01/10"&amp;$C$7,'Livro Diario - FC'!$D$11:$D1028,"&lt;=31/10"&amp;$C$7)</f>
        <v>0</v>
      </c>
      <c r="AU127" s="273"/>
      <c r="AV127" s="258"/>
      <c r="AW127" s="255">
        <f>SUMIFS('Livro Diario - FC'!$K$11:$K1028,'Livro Diario - FC'!$E$11:$E1028,$C$120,'Livro Diario - FC'!$D$11:$D1028,"&gt;=01/11"&amp;$C$7,'Livro Diario - FC'!$D$11:$D1028,"&lt;=30/11"&amp;$C$7)</f>
        <v>0</v>
      </c>
      <c r="AX127" s="256">
        <f>SUMIFS('Livro Diario - FC'!$M$11:$M1028,'Livro Diario - FC'!$E$11:$E1028,$C$120,'Livro Diario - FC'!$D$11:$D1028,"&gt;=01/11"&amp;$C$7,'Livro Diario - FC'!$D$11:$D1028,"&lt;=30/11"&amp;$C$7)</f>
        <v>0</v>
      </c>
      <c r="AY127" s="273"/>
      <c r="AZ127" s="258"/>
      <c r="BA127" s="255">
        <f>SUMIFS('Livro Diario - FC'!$K$11:$K1028,'Livro Diario - FC'!$E$11:$E1028,$C$120,'Livro Diario - FC'!$D$11:$D1028,"&gt;=01/12"&amp;$C$7,'Livro Diario - FC'!$D$11:$D1028,"&lt;=31/12"&amp;$C$7)</f>
        <v>0</v>
      </c>
      <c r="BB127" s="256">
        <f>SUMIFS('Livro Diario - FC'!$M$11:$M1028,'Livro Diario - FC'!$E$11:$E1028,$C$120,'Livro Diario - FC'!$D$11:$D1028,"&gt;=01/12"&amp;$C$7,'Livro Diario - FC'!$D$11:$D1028,"&lt;=31/12"&amp;$C$7)</f>
        <v>0</v>
      </c>
      <c r="BC127" s="273"/>
      <c r="BD127" s="273"/>
      <c r="BE127" s="341">
        <f t="shared" ref="BE127:BF127" si="228">SUM(D127,I127,N127,S127,X127,AC127,AG127,AK127,AO127,AS127,AW127,BA127)</f>
        <v>2.8</v>
      </c>
      <c r="BF127" s="342">
        <f t="shared" si="228"/>
        <v>2.8</v>
      </c>
      <c r="BG127" s="343"/>
      <c r="BH127" s="344"/>
      <c r="BI127" s="270">
        <f>SUMIFS('Livro Diario - FC'!$M$11:$M1028,'Livro Diario - FC'!$E$11:$E1028,C127,'Livro Diario - FC'!$D$11:$D1028,"&gt;="&amp;$BK$8,'Livro Diario - FC'!$D$11:$D1028,"&lt;="&amp;$BK$9)</f>
        <v>0</v>
      </c>
      <c r="BJ127" s="271"/>
      <c r="BK127" s="345"/>
      <c r="BL127" s="146"/>
    </row>
    <row r="128">
      <c r="A128" s="1"/>
      <c r="B128" s="40"/>
      <c r="C128" s="338" t="str">
        <f>'Livro Diario - FC'!AE137</f>
        <v>Schweppes</v>
      </c>
      <c r="D128" s="255">
        <f>SUMIFS('Livro Diario - FC'!$K$11:$K1028,'Livro Diario - FC'!$E$11:$E1028,$C$120,'Livro Diario - FC'!$D$11:$D1028,"&gt;=01/01"&amp;$C$7,'Livro Diario - FC'!$D$11:$D1028,"&lt;=31/01"&amp;$C$7)</f>
        <v>2.8</v>
      </c>
      <c r="E128" s="256">
        <f>SUMIFS('Livro Diario - FC'!$M$11:$M1028,'Livro Diario - FC'!$E$11:$E1028,$C$120,'Livro Diario - FC'!$D$11:$D1028,"&gt;=01/01"&amp;$C$7,'Livro Diario - FC'!$D$11:$D1028,"&lt;=31/01"&amp;$C$7)</f>
        <v>2.8</v>
      </c>
      <c r="F128" s="273"/>
      <c r="G128" s="258"/>
      <c r="H128" s="157"/>
      <c r="I128" s="255">
        <f>SUMIFS('Livro Diario - FC'!$K$11:$K1028,'Livro Diario - FC'!$E$11:$E1028,$C$120,'Livro Diario - FC'!$D$11:$D1028,"&gt;=01/02"&amp;$C$7,'Livro Diario - FC'!$D$11:$D1028,"&lt;=29/02"&amp;$C$7)</f>
        <v>0</v>
      </c>
      <c r="J128" s="256">
        <f>SUMIFS('Livro Diario - FC'!$M$11:$M1028,'Livro Diario - FC'!$E$11:$E1028,$C$120,'Livro Diario - FC'!$D$11:$D1028,"&gt;=01/02"&amp;$C$7,'Livro Diario - FC'!$D$11:$D1028,"&lt;=29/02"&amp;$C$7)</f>
        <v>0</v>
      </c>
      <c r="K128" s="273"/>
      <c r="L128" s="258"/>
      <c r="M128" s="259"/>
      <c r="N128" s="255">
        <f>SUMIFS('Livro Diario - FC'!$K$11:$K1028,'Livro Diario - FC'!$E$11:$E1028,$C$120,'Livro Diario - FC'!$D$11:$D1028,"&gt;=01/03"&amp;$C$7,'Livro Diario - FC'!$D$11:$D1028,"&lt;=31/03"&amp;$C$7)</f>
        <v>0</v>
      </c>
      <c r="O128" s="256">
        <f>SUMIFS('Livro Diario - FC'!$M$11:$M1028,'Livro Diario - FC'!$E$11:$E1028,$C$120,'Livro Diario - FC'!$D$11:$D1028,"&gt;=01/03"&amp;$C$7,'Livro Diario - FC'!$D$11:$D1028,"&lt;=31/03"&amp;$C$7)</f>
        <v>0</v>
      </c>
      <c r="P128" s="273"/>
      <c r="Q128" s="258"/>
      <c r="R128" s="259"/>
      <c r="S128" s="255">
        <f>SUMIFS('Livro Diario - FC'!$K$11:$K1028,'Livro Diario - FC'!$E$11:$E1028,$C$120,'Livro Diario - FC'!$D$11:$D1028,"&gt;=01/04"&amp;$C$7,'Livro Diario - FC'!$D$11:$D1028,"&lt;=30/04"&amp;$C$7)</f>
        <v>0</v>
      </c>
      <c r="T128" s="256">
        <f>SUMIFS('Livro Diario - FC'!$M$11:$M1028,'Livro Diario - FC'!$E$11:$E1028,$C$120,'Livro Diario - FC'!$D$11:$D1028,"&gt;=01/04"&amp;$C$7,'Livro Diario - FC'!$D$11:$D1028,"&lt;=30/04"&amp;$C$7)</f>
        <v>0</v>
      </c>
      <c r="U128" s="273"/>
      <c r="V128" s="258"/>
      <c r="W128" s="259"/>
      <c r="X128" s="255">
        <f>SUMIFS('Livro Diario - FC'!$K$11:$K1028,'Livro Diario - FC'!$E$11:$E1028,$C$120,'Livro Diario - FC'!$D$11:$D1028,"&gt;=01/05"&amp;$C$7,'Livro Diario - FC'!$D$11:$D1028,"&lt;=31/05"&amp;$C$7)</f>
        <v>0</v>
      </c>
      <c r="Y128" s="256">
        <f>SUMIFS('Livro Diario - FC'!$M$11:$M1028,'Livro Diario - FC'!$E$11:$E1028,$C$120,'Livro Diario - FC'!$D$11:$D1028,"&gt;=01/05"&amp;$C$7,'Livro Diario - FC'!$D$11:$D1028,"&lt;=31/05"&amp;$C$7)</f>
        <v>0</v>
      </c>
      <c r="Z128" s="273"/>
      <c r="AA128" s="258"/>
      <c r="AB128" s="259"/>
      <c r="AC128" s="255">
        <f>SUMIFS('Livro Diario - FC'!$K$11:$K1028,'Livro Diario - FC'!$E$11:$E1028,$C$120,'Livro Diario - FC'!$D$11:$D1028,"&gt;=01/06"&amp;$C$7,'Livro Diario - FC'!$D$11:$D1028,"&lt;=30/06"&amp;$C$7)</f>
        <v>0</v>
      </c>
      <c r="AD128" s="256">
        <f>SUMIFS('Livro Diario - FC'!$M$11:$M1028,'Livro Diario - FC'!$E$11:$E1028,$C$120,'Livro Diario - FC'!$D$11:$D1028,"&gt;=01/06"&amp;$C$7,'Livro Diario - FC'!$D$11:$D1028,"&lt;=30/06"&amp;$C$7)</f>
        <v>0</v>
      </c>
      <c r="AE128" s="273"/>
      <c r="AF128" s="258"/>
      <c r="AG128" s="255">
        <f>SUMIFS('Livro Diario - FC'!$K$11:$K1028,'Livro Diario - FC'!$E$11:$E1028,$C$120,'Livro Diario - FC'!$D$11:$D1028,"&gt;=01/07"&amp;$C$7,'Livro Diario - FC'!$D$11:$D1028,"&lt;=31/07"&amp;$C$7)</f>
        <v>0</v>
      </c>
      <c r="AH128" s="256">
        <f>SUMIFS('Livro Diario - FC'!$M$11:$M1028,'Livro Diario - FC'!$E$11:$E1028,$C$120,'Livro Diario - FC'!$D$11:$D1028,"&gt;=01/07"&amp;$C$7,'Livro Diario - FC'!$D$11:$D1028,"&lt;=31/07"&amp;$C$7)</f>
        <v>0</v>
      </c>
      <c r="AI128" s="273"/>
      <c r="AJ128" s="258"/>
      <c r="AK128" s="255">
        <f>SUMIFS('Livro Diario - FC'!$K$11:$K1028,'Livro Diario - FC'!$E$11:$E1028,$C$120,'Livro Diario - FC'!$D$11:$D1028,"&gt;=01/08"&amp;$C$7,'Livro Diario - FC'!$D$11:$D1028,"&lt;=31/08"&amp;$C$7)</f>
        <v>0</v>
      </c>
      <c r="AL128" s="256">
        <f>SUMIFS('Livro Diario - FC'!$M$11:$M1028,'Livro Diario - FC'!$E$11:$E1028,$C$120,'Livro Diario - FC'!$D$11:$D1028,"&gt;=01/08"&amp;$C$7,'Livro Diario - FC'!$D$11:$D1028,"&lt;=31/08"&amp;$C$7)</f>
        <v>0</v>
      </c>
      <c r="AM128" s="273"/>
      <c r="AN128" s="258"/>
      <c r="AO128" s="255">
        <f>SUMIFS('Livro Diario - FC'!$K$11:$K1028,'Livro Diario - FC'!$E$11:$E1028,$C$120,'Livro Diario - FC'!$D$11:$D1028,"&gt;=01/09"&amp;$C$7,'Livro Diario - FC'!$D$11:$D1028,"&lt;=30/09"&amp;$C$7)</f>
        <v>0</v>
      </c>
      <c r="AP128" s="256">
        <f>SUMIFS('Livro Diario - FC'!$M$11:$M1028,'Livro Diario - FC'!$E$11:$E1028,$C$120,'Livro Diario - FC'!$D$11:$D1028,"&gt;=01/09"&amp;$C$7,'Livro Diario - FC'!$D$11:$D1028,"&lt;=30/09"&amp;$C$7)</f>
        <v>0</v>
      </c>
      <c r="AQ128" s="273"/>
      <c r="AR128" s="258"/>
      <c r="AS128" s="255">
        <f>SUMIFS('Livro Diario - FC'!$K$11:$K1028,'Livro Diario - FC'!$E$11:$E1028,$C$120,'Livro Diario - FC'!$D$11:$D1028,"&gt;=01/10"&amp;$C$7,'Livro Diario - FC'!$D$11:$D1028,"&lt;=31/10"&amp;$C$7)</f>
        <v>0</v>
      </c>
      <c r="AT128" s="256">
        <f>SUMIFS('Livro Diario - FC'!$M$11:$M1028,'Livro Diario - FC'!$E$11:$E1028,$C$120,'Livro Diario - FC'!$D$11:$D1028,"&gt;=01/10"&amp;$C$7,'Livro Diario - FC'!$D$11:$D1028,"&lt;=31/10"&amp;$C$7)</f>
        <v>0</v>
      </c>
      <c r="AU128" s="273"/>
      <c r="AV128" s="258"/>
      <c r="AW128" s="255">
        <f>SUMIFS('Livro Diario - FC'!$K$11:$K1028,'Livro Diario - FC'!$E$11:$E1028,$C$120,'Livro Diario - FC'!$D$11:$D1028,"&gt;=01/11"&amp;$C$7,'Livro Diario - FC'!$D$11:$D1028,"&lt;=30/11"&amp;$C$7)</f>
        <v>0</v>
      </c>
      <c r="AX128" s="256">
        <f>SUMIFS('Livro Diario - FC'!$M$11:$M1028,'Livro Diario - FC'!$E$11:$E1028,$C$120,'Livro Diario - FC'!$D$11:$D1028,"&gt;=01/11"&amp;$C$7,'Livro Diario - FC'!$D$11:$D1028,"&lt;=30/11"&amp;$C$7)</f>
        <v>0</v>
      </c>
      <c r="AY128" s="273"/>
      <c r="AZ128" s="258"/>
      <c r="BA128" s="255">
        <f>SUMIFS('Livro Diario - FC'!$K$11:$K1028,'Livro Diario - FC'!$E$11:$E1028,$C$120,'Livro Diario - FC'!$D$11:$D1028,"&gt;=01/12"&amp;$C$7,'Livro Diario - FC'!$D$11:$D1028,"&lt;=31/12"&amp;$C$7)</f>
        <v>0</v>
      </c>
      <c r="BB128" s="256">
        <f>SUMIFS('Livro Diario - FC'!$M$11:$M1028,'Livro Diario - FC'!$E$11:$E1028,$C$120,'Livro Diario - FC'!$D$11:$D1028,"&gt;=01/12"&amp;$C$7,'Livro Diario - FC'!$D$11:$D1028,"&lt;=31/12"&amp;$C$7)</f>
        <v>0</v>
      </c>
      <c r="BC128" s="273"/>
      <c r="BD128" s="273"/>
      <c r="BE128" s="341">
        <f t="shared" ref="BE128:BF128" si="229">SUM(D128,I128,N128,S128,X128,AC128,AG128,AK128,AO128,AS128,AW128,BA128)</f>
        <v>2.8</v>
      </c>
      <c r="BF128" s="342">
        <f t="shared" si="229"/>
        <v>2.8</v>
      </c>
      <c r="BG128" s="343"/>
      <c r="BH128" s="344"/>
      <c r="BI128" s="270">
        <f>SUMIFS('Livro Diario - FC'!$M$11:$M1028,'Livro Diario - FC'!$E$11:$E1028,C128,'Livro Diario - FC'!$D$11:$D1028,"&gt;="&amp;$BK$8,'Livro Diario - FC'!$D$11:$D1028,"&lt;="&amp;$BK$9)</f>
        <v>0</v>
      </c>
      <c r="BJ128" s="271"/>
      <c r="BK128" s="345"/>
      <c r="BL128" s="146"/>
    </row>
    <row r="129">
      <c r="A129" s="1"/>
      <c r="B129" s="40"/>
      <c r="C129" s="338" t="str">
        <f>'Livro Diario - FC'!AE138</f>
        <v>Fanta Lata</v>
      </c>
      <c r="D129" s="255">
        <f>SUMIFS('Livro Diario - FC'!$K$11:$K1028,'Livro Diario - FC'!$E$11:$E1028,$C$120,'Livro Diario - FC'!$D$11:$D1028,"&gt;=01/01"&amp;$C$7,'Livro Diario - FC'!$D$11:$D1028,"&lt;=31/01"&amp;$C$7)</f>
        <v>2.8</v>
      </c>
      <c r="E129" s="256">
        <f>SUMIFS('Livro Diario - FC'!$M$11:$M1028,'Livro Diario - FC'!$E$11:$E1028,$C$120,'Livro Diario - FC'!$D$11:$D1028,"&gt;=01/01"&amp;$C$7,'Livro Diario - FC'!$D$11:$D1028,"&lt;=31/01"&amp;$C$7)</f>
        <v>2.8</v>
      </c>
      <c r="F129" s="273"/>
      <c r="G129" s="258"/>
      <c r="H129" s="157"/>
      <c r="I129" s="255">
        <f>SUMIFS('Livro Diario - FC'!$K$11:$K1028,'Livro Diario - FC'!$E$11:$E1028,$C$120,'Livro Diario - FC'!$D$11:$D1028,"&gt;=01/02"&amp;$C$7,'Livro Diario - FC'!$D$11:$D1028,"&lt;=29/02"&amp;$C$7)</f>
        <v>0</v>
      </c>
      <c r="J129" s="256">
        <f>SUMIFS('Livro Diario - FC'!$M$11:$M1028,'Livro Diario - FC'!$E$11:$E1028,$C$120,'Livro Diario - FC'!$D$11:$D1028,"&gt;=01/02"&amp;$C$7,'Livro Diario - FC'!$D$11:$D1028,"&lt;=29/02"&amp;$C$7)</f>
        <v>0</v>
      </c>
      <c r="K129" s="273"/>
      <c r="L129" s="258"/>
      <c r="M129" s="259"/>
      <c r="N129" s="255">
        <f>SUMIFS('Livro Diario - FC'!$K$11:$K1028,'Livro Diario - FC'!$E$11:$E1028,$C$120,'Livro Diario - FC'!$D$11:$D1028,"&gt;=01/03"&amp;$C$7,'Livro Diario - FC'!$D$11:$D1028,"&lt;=31/03"&amp;$C$7)</f>
        <v>0</v>
      </c>
      <c r="O129" s="256">
        <f>SUMIFS('Livro Diario - FC'!$M$11:$M1028,'Livro Diario - FC'!$E$11:$E1028,$C$120,'Livro Diario - FC'!$D$11:$D1028,"&gt;=01/03"&amp;$C$7,'Livro Diario - FC'!$D$11:$D1028,"&lt;=31/03"&amp;$C$7)</f>
        <v>0</v>
      </c>
      <c r="P129" s="273"/>
      <c r="Q129" s="258"/>
      <c r="R129" s="259"/>
      <c r="S129" s="255">
        <f>SUMIFS('Livro Diario - FC'!$K$11:$K1028,'Livro Diario - FC'!$E$11:$E1028,$C$120,'Livro Diario - FC'!$D$11:$D1028,"&gt;=01/04"&amp;$C$7,'Livro Diario - FC'!$D$11:$D1028,"&lt;=30/04"&amp;$C$7)</f>
        <v>0</v>
      </c>
      <c r="T129" s="256">
        <f>SUMIFS('Livro Diario - FC'!$M$11:$M1028,'Livro Diario - FC'!$E$11:$E1028,$C$120,'Livro Diario - FC'!$D$11:$D1028,"&gt;=01/04"&amp;$C$7,'Livro Diario - FC'!$D$11:$D1028,"&lt;=30/04"&amp;$C$7)</f>
        <v>0</v>
      </c>
      <c r="U129" s="273"/>
      <c r="V129" s="258"/>
      <c r="W129" s="259"/>
      <c r="X129" s="255">
        <f>SUMIFS('Livro Diario - FC'!$K$11:$K1028,'Livro Diario - FC'!$E$11:$E1028,$C$120,'Livro Diario - FC'!$D$11:$D1028,"&gt;=01/05"&amp;$C$7,'Livro Diario - FC'!$D$11:$D1028,"&lt;=31/05"&amp;$C$7)</f>
        <v>0</v>
      </c>
      <c r="Y129" s="256">
        <f>SUMIFS('Livro Diario - FC'!$M$11:$M1028,'Livro Diario - FC'!$E$11:$E1028,$C$120,'Livro Diario - FC'!$D$11:$D1028,"&gt;=01/05"&amp;$C$7,'Livro Diario - FC'!$D$11:$D1028,"&lt;=31/05"&amp;$C$7)</f>
        <v>0</v>
      </c>
      <c r="Z129" s="273"/>
      <c r="AA129" s="258"/>
      <c r="AB129" s="259"/>
      <c r="AC129" s="255">
        <f>SUMIFS('Livro Diario - FC'!$K$11:$K1028,'Livro Diario - FC'!$E$11:$E1028,$C$120,'Livro Diario - FC'!$D$11:$D1028,"&gt;=01/06"&amp;$C$7,'Livro Diario - FC'!$D$11:$D1028,"&lt;=30/06"&amp;$C$7)</f>
        <v>0</v>
      </c>
      <c r="AD129" s="256">
        <f>SUMIFS('Livro Diario - FC'!$M$11:$M1028,'Livro Diario - FC'!$E$11:$E1028,$C$120,'Livro Diario - FC'!$D$11:$D1028,"&gt;=01/06"&amp;$C$7,'Livro Diario - FC'!$D$11:$D1028,"&lt;=30/06"&amp;$C$7)</f>
        <v>0</v>
      </c>
      <c r="AE129" s="273"/>
      <c r="AF129" s="258"/>
      <c r="AG129" s="255">
        <f>SUMIFS('Livro Diario - FC'!$K$11:$K1028,'Livro Diario - FC'!$E$11:$E1028,$C$120,'Livro Diario - FC'!$D$11:$D1028,"&gt;=01/07"&amp;$C$7,'Livro Diario - FC'!$D$11:$D1028,"&lt;=31/07"&amp;$C$7)</f>
        <v>0</v>
      </c>
      <c r="AH129" s="256">
        <f>SUMIFS('Livro Diario - FC'!$M$11:$M1028,'Livro Diario - FC'!$E$11:$E1028,$C$120,'Livro Diario - FC'!$D$11:$D1028,"&gt;=01/07"&amp;$C$7,'Livro Diario - FC'!$D$11:$D1028,"&lt;=31/07"&amp;$C$7)</f>
        <v>0</v>
      </c>
      <c r="AI129" s="273"/>
      <c r="AJ129" s="258"/>
      <c r="AK129" s="255">
        <f>SUMIFS('Livro Diario - FC'!$K$11:$K1028,'Livro Diario - FC'!$E$11:$E1028,$C$120,'Livro Diario - FC'!$D$11:$D1028,"&gt;=01/08"&amp;$C$7,'Livro Diario - FC'!$D$11:$D1028,"&lt;=31/08"&amp;$C$7)</f>
        <v>0</v>
      </c>
      <c r="AL129" s="256">
        <f>SUMIFS('Livro Diario - FC'!$M$11:$M1028,'Livro Diario - FC'!$E$11:$E1028,$C$120,'Livro Diario - FC'!$D$11:$D1028,"&gt;=01/08"&amp;$C$7,'Livro Diario - FC'!$D$11:$D1028,"&lt;=31/08"&amp;$C$7)</f>
        <v>0</v>
      </c>
      <c r="AM129" s="273"/>
      <c r="AN129" s="258"/>
      <c r="AO129" s="255">
        <f>SUMIFS('Livro Diario - FC'!$K$11:$K1028,'Livro Diario - FC'!$E$11:$E1028,$C$120,'Livro Diario - FC'!$D$11:$D1028,"&gt;=01/09"&amp;$C$7,'Livro Diario - FC'!$D$11:$D1028,"&lt;=30/09"&amp;$C$7)</f>
        <v>0</v>
      </c>
      <c r="AP129" s="256">
        <f>SUMIFS('Livro Diario - FC'!$M$11:$M1028,'Livro Diario - FC'!$E$11:$E1028,$C$120,'Livro Diario - FC'!$D$11:$D1028,"&gt;=01/09"&amp;$C$7,'Livro Diario - FC'!$D$11:$D1028,"&lt;=30/09"&amp;$C$7)</f>
        <v>0</v>
      </c>
      <c r="AQ129" s="273"/>
      <c r="AR129" s="258"/>
      <c r="AS129" s="255">
        <f>SUMIFS('Livro Diario - FC'!$K$11:$K1028,'Livro Diario - FC'!$E$11:$E1028,$C$120,'Livro Diario - FC'!$D$11:$D1028,"&gt;=01/10"&amp;$C$7,'Livro Diario - FC'!$D$11:$D1028,"&lt;=31/10"&amp;$C$7)</f>
        <v>0</v>
      </c>
      <c r="AT129" s="256">
        <f>SUMIFS('Livro Diario - FC'!$M$11:$M1028,'Livro Diario - FC'!$E$11:$E1028,$C$120,'Livro Diario - FC'!$D$11:$D1028,"&gt;=01/10"&amp;$C$7,'Livro Diario - FC'!$D$11:$D1028,"&lt;=31/10"&amp;$C$7)</f>
        <v>0</v>
      </c>
      <c r="AU129" s="273"/>
      <c r="AV129" s="258"/>
      <c r="AW129" s="255">
        <f>SUMIFS('Livro Diario - FC'!$K$11:$K1028,'Livro Diario - FC'!$E$11:$E1028,$C$120,'Livro Diario - FC'!$D$11:$D1028,"&gt;=01/11"&amp;$C$7,'Livro Diario - FC'!$D$11:$D1028,"&lt;=30/11"&amp;$C$7)</f>
        <v>0</v>
      </c>
      <c r="AX129" s="256">
        <f>SUMIFS('Livro Diario - FC'!$M$11:$M1028,'Livro Diario - FC'!$E$11:$E1028,$C$120,'Livro Diario - FC'!$D$11:$D1028,"&gt;=01/11"&amp;$C$7,'Livro Diario - FC'!$D$11:$D1028,"&lt;=30/11"&amp;$C$7)</f>
        <v>0</v>
      </c>
      <c r="AY129" s="273"/>
      <c r="AZ129" s="258"/>
      <c r="BA129" s="255">
        <f>SUMIFS('Livro Diario - FC'!$K$11:$K1028,'Livro Diario - FC'!$E$11:$E1028,$C$120,'Livro Diario - FC'!$D$11:$D1028,"&gt;=01/12"&amp;$C$7,'Livro Diario - FC'!$D$11:$D1028,"&lt;=31/12"&amp;$C$7)</f>
        <v>0</v>
      </c>
      <c r="BB129" s="256">
        <f>SUMIFS('Livro Diario - FC'!$M$11:$M1028,'Livro Diario - FC'!$E$11:$E1028,$C$120,'Livro Diario - FC'!$D$11:$D1028,"&gt;=01/12"&amp;$C$7,'Livro Diario - FC'!$D$11:$D1028,"&lt;=31/12"&amp;$C$7)</f>
        <v>0</v>
      </c>
      <c r="BC129" s="273"/>
      <c r="BD129" s="273"/>
      <c r="BE129" s="341">
        <f t="shared" ref="BE129:BF129" si="230">SUM(D129,I129,N129,S129,X129,AC129,AG129,AK129,AO129,AS129,AW129,BA129)</f>
        <v>2.8</v>
      </c>
      <c r="BF129" s="342">
        <f t="shared" si="230"/>
        <v>2.8</v>
      </c>
      <c r="BG129" s="343"/>
      <c r="BH129" s="344"/>
      <c r="BI129" s="270">
        <f>SUMIFS('Livro Diario - FC'!$M$11:$M1028,'Livro Diario - FC'!$E$11:$E1028,C129,'Livro Diario - FC'!$D$11:$D1028,"&gt;="&amp;$BK$8,'Livro Diario - FC'!$D$11:$D1028,"&lt;="&amp;$BK$9)</f>
        <v>0</v>
      </c>
      <c r="BJ129" s="271"/>
      <c r="BK129" s="345"/>
      <c r="BL129" s="146"/>
    </row>
    <row r="130">
      <c r="A130" s="1"/>
      <c r="B130" s="40"/>
      <c r="C130" s="338" t="str">
        <f>'Livro Diario - FC'!AE139</f>
        <v>Agua com Gás</v>
      </c>
      <c r="D130" s="255">
        <f>SUMIFS('Livro Diario - FC'!$K$11:$K1028,'Livro Diario - FC'!$E$11:$E1028,$C$120,'Livro Diario - FC'!$D$11:$D1028,"&gt;=01/01"&amp;$C$7,'Livro Diario - FC'!$D$11:$D1028,"&lt;=31/01"&amp;$C$7)</f>
        <v>2.8</v>
      </c>
      <c r="E130" s="256">
        <f>SUMIFS('Livro Diario - FC'!$M$11:$M1028,'Livro Diario - FC'!$E$11:$E1028,$C$120,'Livro Diario - FC'!$D$11:$D1028,"&gt;=01/01"&amp;$C$7,'Livro Diario - FC'!$D$11:$D1028,"&lt;=31/01"&amp;$C$7)</f>
        <v>2.8</v>
      </c>
      <c r="F130" s="273"/>
      <c r="G130" s="258"/>
      <c r="H130" s="157"/>
      <c r="I130" s="255">
        <f>SUMIFS('Livro Diario - FC'!$K$11:$K1028,'Livro Diario - FC'!$E$11:$E1028,$C$120,'Livro Diario - FC'!$D$11:$D1028,"&gt;=01/02"&amp;$C$7,'Livro Diario - FC'!$D$11:$D1028,"&lt;=29/02"&amp;$C$7)</f>
        <v>0</v>
      </c>
      <c r="J130" s="256">
        <f>SUMIFS('Livro Diario - FC'!$M$11:$M1028,'Livro Diario - FC'!$E$11:$E1028,$C$120,'Livro Diario - FC'!$D$11:$D1028,"&gt;=01/02"&amp;$C$7,'Livro Diario - FC'!$D$11:$D1028,"&lt;=29/02"&amp;$C$7)</f>
        <v>0</v>
      </c>
      <c r="K130" s="273"/>
      <c r="L130" s="258"/>
      <c r="M130" s="259"/>
      <c r="N130" s="255">
        <f>SUMIFS('Livro Diario - FC'!$K$11:$K1028,'Livro Diario - FC'!$E$11:$E1028,$C$120,'Livro Diario - FC'!$D$11:$D1028,"&gt;=01/03"&amp;$C$7,'Livro Diario - FC'!$D$11:$D1028,"&lt;=31/03"&amp;$C$7)</f>
        <v>0</v>
      </c>
      <c r="O130" s="256">
        <f>SUMIFS('Livro Diario - FC'!$M$11:$M1028,'Livro Diario - FC'!$E$11:$E1028,$C$120,'Livro Diario - FC'!$D$11:$D1028,"&gt;=01/03"&amp;$C$7,'Livro Diario - FC'!$D$11:$D1028,"&lt;=31/03"&amp;$C$7)</f>
        <v>0</v>
      </c>
      <c r="P130" s="273"/>
      <c r="Q130" s="258"/>
      <c r="R130" s="259"/>
      <c r="S130" s="255">
        <f>SUMIFS('Livro Diario - FC'!$K$11:$K1028,'Livro Diario - FC'!$E$11:$E1028,$C$120,'Livro Diario - FC'!$D$11:$D1028,"&gt;=01/04"&amp;$C$7,'Livro Diario - FC'!$D$11:$D1028,"&lt;=30/04"&amp;$C$7)</f>
        <v>0</v>
      </c>
      <c r="T130" s="256">
        <f>SUMIFS('Livro Diario - FC'!$M$11:$M1028,'Livro Diario - FC'!$E$11:$E1028,$C$120,'Livro Diario - FC'!$D$11:$D1028,"&gt;=01/04"&amp;$C$7,'Livro Diario - FC'!$D$11:$D1028,"&lt;=30/04"&amp;$C$7)</f>
        <v>0</v>
      </c>
      <c r="U130" s="273"/>
      <c r="V130" s="258"/>
      <c r="W130" s="259"/>
      <c r="X130" s="255">
        <f>SUMIFS('Livro Diario - FC'!$K$11:$K1028,'Livro Diario - FC'!$E$11:$E1028,$C$120,'Livro Diario - FC'!$D$11:$D1028,"&gt;=01/05"&amp;$C$7,'Livro Diario - FC'!$D$11:$D1028,"&lt;=31/05"&amp;$C$7)</f>
        <v>0</v>
      </c>
      <c r="Y130" s="256">
        <f>SUMIFS('Livro Diario - FC'!$M$11:$M1028,'Livro Diario - FC'!$E$11:$E1028,$C$120,'Livro Diario - FC'!$D$11:$D1028,"&gt;=01/05"&amp;$C$7,'Livro Diario - FC'!$D$11:$D1028,"&lt;=31/05"&amp;$C$7)</f>
        <v>0</v>
      </c>
      <c r="Z130" s="273"/>
      <c r="AA130" s="258"/>
      <c r="AB130" s="259"/>
      <c r="AC130" s="255">
        <f>SUMIFS('Livro Diario - FC'!$K$11:$K1028,'Livro Diario - FC'!$E$11:$E1028,$C$120,'Livro Diario - FC'!$D$11:$D1028,"&gt;=01/06"&amp;$C$7,'Livro Diario - FC'!$D$11:$D1028,"&lt;=30/06"&amp;$C$7)</f>
        <v>0</v>
      </c>
      <c r="AD130" s="256">
        <f>SUMIFS('Livro Diario - FC'!$M$11:$M1028,'Livro Diario - FC'!$E$11:$E1028,$C$120,'Livro Diario - FC'!$D$11:$D1028,"&gt;=01/06"&amp;$C$7,'Livro Diario - FC'!$D$11:$D1028,"&lt;=30/06"&amp;$C$7)</f>
        <v>0</v>
      </c>
      <c r="AE130" s="273"/>
      <c r="AF130" s="258"/>
      <c r="AG130" s="255">
        <f>SUMIFS('Livro Diario - FC'!$K$11:$K1028,'Livro Diario - FC'!$E$11:$E1028,$C$120,'Livro Diario - FC'!$D$11:$D1028,"&gt;=01/07"&amp;$C$7,'Livro Diario - FC'!$D$11:$D1028,"&lt;=31/07"&amp;$C$7)</f>
        <v>0</v>
      </c>
      <c r="AH130" s="256">
        <f>SUMIFS('Livro Diario - FC'!$M$11:$M1028,'Livro Diario - FC'!$E$11:$E1028,$C$120,'Livro Diario - FC'!$D$11:$D1028,"&gt;=01/07"&amp;$C$7,'Livro Diario - FC'!$D$11:$D1028,"&lt;=31/07"&amp;$C$7)</f>
        <v>0</v>
      </c>
      <c r="AI130" s="273"/>
      <c r="AJ130" s="258"/>
      <c r="AK130" s="255">
        <f>SUMIFS('Livro Diario - FC'!$K$11:$K1028,'Livro Diario - FC'!$E$11:$E1028,$C$120,'Livro Diario - FC'!$D$11:$D1028,"&gt;=01/08"&amp;$C$7,'Livro Diario - FC'!$D$11:$D1028,"&lt;=31/08"&amp;$C$7)</f>
        <v>0</v>
      </c>
      <c r="AL130" s="256">
        <f>SUMIFS('Livro Diario - FC'!$M$11:$M1028,'Livro Diario - FC'!$E$11:$E1028,$C$120,'Livro Diario - FC'!$D$11:$D1028,"&gt;=01/08"&amp;$C$7,'Livro Diario - FC'!$D$11:$D1028,"&lt;=31/08"&amp;$C$7)</f>
        <v>0</v>
      </c>
      <c r="AM130" s="273"/>
      <c r="AN130" s="258"/>
      <c r="AO130" s="255">
        <f>SUMIFS('Livro Diario - FC'!$K$11:$K1028,'Livro Diario - FC'!$E$11:$E1028,$C$120,'Livro Diario - FC'!$D$11:$D1028,"&gt;=01/09"&amp;$C$7,'Livro Diario - FC'!$D$11:$D1028,"&lt;=30/09"&amp;$C$7)</f>
        <v>0</v>
      </c>
      <c r="AP130" s="256">
        <f>SUMIFS('Livro Diario - FC'!$M$11:$M1028,'Livro Diario - FC'!$E$11:$E1028,$C$120,'Livro Diario - FC'!$D$11:$D1028,"&gt;=01/09"&amp;$C$7,'Livro Diario - FC'!$D$11:$D1028,"&lt;=30/09"&amp;$C$7)</f>
        <v>0</v>
      </c>
      <c r="AQ130" s="273"/>
      <c r="AR130" s="258"/>
      <c r="AS130" s="255">
        <f>SUMIFS('Livro Diario - FC'!$K$11:$K1028,'Livro Diario - FC'!$E$11:$E1028,$C$120,'Livro Diario - FC'!$D$11:$D1028,"&gt;=01/10"&amp;$C$7,'Livro Diario - FC'!$D$11:$D1028,"&lt;=31/10"&amp;$C$7)</f>
        <v>0</v>
      </c>
      <c r="AT130" s="256">
        <f>SUMIFS('Livro Diario - FC'!$M$11:$M1028,'Livro Diario - FC'!$E$11:$E1028,$C$120,'Livro Diario - FC'!$D$11:$D1028,"&gt;=01/10"&amp;$C$7,'Livro Diario - FC'!$D$11:$D1028,"&lt;=31/10"&amp;$C$7)</f>
        <v>0</v>
      </c>
      <c r="AU130" s="273"/>
      <c r="AV130" s="258"/>
      <c r="AW130" s="255">
        <f>SUMIFS('Livro Diario - FC'!$K$11:$K1028,'Livro Diario - FC'!$E$11:$E1028,$C$120,'Livro Diario - FC'!$D$11:$D1028,"&gt;=01/11"&amp;$C$7,'Livro Diario - FC'!$D$11:$D1028,"&lt;=30/11"&amp;$C$7)</f>
        <v>0</v>
      </c>
      <c r="AX130" s="256">
        <f>SUMIFS('Livro Diario - FC'!$M$11:$M1028,'Livro Diario - FC'!$E$11:$E1028,$C$120,'Livro Diario - FC'!$D$11:$D1028,"&gt;=01/11"&amp;$C$7,'Livro Diario - FC'!$D$11:$D1028,"&lt;=30/11"&amp;$C$7)</f>
        <v>0</v>
      </c>
      <c r="AY130" s="273"/>
      <c r="AZ130" s="258"/>
      <c r="BA130" s="255">
        <f>SUMIFS('Livro Diario - FC'!$K$11:$K1028,'Livro Diario - FC'!$E$11:$E1028,$C$120,'Livro Diario - FC'!$D$11:$D1028,"&gt;=01/12"&amp;$C$7,'Livro Diario - FC'!$D$11:$D1028,"&lt;=31/12"&amp;$C$7)</f>
        <v>0</v>
      </c>
      <c r="BB130" s="256">
        <f>SUMIFS('Livro Diario - FC'!$M$11:$M1028,'Livro Diario - FC'!$E$11:$E1028,$C$120,'Livro Diario - FC'!$D$11:$D1028,"&gt;=01/12"&amp;$C$7,'Livro Diario - FC'!$D$11:$D1028,"&lt;=31/12"&amp;$C$7)</f>
        <v>0</v>
      </c>
      <c r="BC130" s="273"/>
      <c r="BD130" s="273"/>
      <c r="BE130" s="341">
        <f t="shared" ref="BE130:BF130" si="231">SUM(D130,I130,N130,S130,X130,AC130,AG130,AK130,AO130,AS130,AW130,BA130)</f>
        <v>2.8</v>
      </c>
      <c r="BF130" s="342">
        <f t="shared" si="231"/>
        <v>2.8</v>
      </c>
      <c r="BG130" s="343"/>
      <c r="BH130" s="344"/>
      <c r="BI130" s="270">
        <f>SUMIFS('Livro Diario - FC'!$M$11:$M1028,'Livro Diario - FC'!$E$11:$E1028,C130,'Livro Diario - FC'!$D$11:$D1028,"&gt;="&amp;$BK$8,'Livro Diario - FC'!$D$11:$D1028,"&lt;="&amp;$BK$9)</f>
        <v>0</v>
      </c>
      <c r="BJ130" s="271"/>
      <c r="BK130" s="345"/>
      <c r="BL130" s="146"/>
    </row>
    <row r="131">
      <c r="A131" s="1"/>
      <c r="B131" s="40"/>
      <c r="C131" s="338" t="str">
        <f>'Livro Diario - FC'!AE140</f>
        <v/>
      </c>
      <c r="D131" s="255">
        <f>SUMIFS('Livro Diario - FC'!$K$11:$K1028,'Livro Diario - FC'!$E$11:$E1028,$C$120,'Livro Diario - FC'!$D$11:$D1028,"&gt;=01/01"&amp;$C$7,'Livro Diario - FC'!$D$11:$D1028,"&lt;=31/01"&amp;$C$7)</f>
        <v>2.8</v>
      </c>
      <c r="E131" s="256">
        <f>SUMIFS('Livro Diario - FC'!$M$11:$M1028,'Livro Diario - FC'!$E$11:$E1028,$C$120,'Livro Diario - FC'!$D$11:$D1028,"&gt;=01/01"&amp;$C$7,'Livro Diario - FC'!$D$11:$D1028,"&lt;=31/01"&amp;$C$7)</f>
        <v>2.8</v>
      </c>
      <c r="F131" s="273"/>
      <c r="G131" s="258"/>
      <c r="H131" s="157"/>
      <c r="I131" s="255">
        <f>SUMIFS('Livro Diario - FC'!$K$11:$K1028,'Livro Diario - FC'!$E$11:$E1028,$C$120,'Livro Diario - FC'!$D$11:$D1028,"&gt;=01/02"&amp;$C$7,'Livro Diario - FC'!$D$11:$D1028,"&lt;=29/02"&amp;$C$7)</f>
        <v>0</v>
      </c>
      <c r="J131" s="256">
        <f>SUMIFS('Livro Diario - FC'!$M$11:$M1028,'Livro Diario - FC'!$E$11:$E1028,$C$120,'Livro Diario - FC'!$D$11:$D1028,"&gt;=01/02"&amp;$C$7,'Livro Diario - FC'!$D$11:$D1028,"&lt;=29/02"&amp;$C$7)</f>
        <v>0</v>
      </c>
      <c r="K131" s="273"/>
      <c r="L131" s="258"/>
      <c r="M131" s="259"/>
      <c r="N131" s="255">
        <f>SUMIFS('Livro Diario - FC'!$K$11:$K1028,'Livro Diario - FC'!$E$11:$E1028,$C$120,'Livro Diario - FC'!$D$11:$D1028,"&gt;=01/03"&amp;$C$7,'Livro Diario - FC'!$D$11:$D1028,"&lt;=31/03"&amp;$C$7)</f>
        <v>0</v>
      </c>
      <c r="O131" s="256">
        <f>SUMIFS('Livro Diario - FC'!$M$11:$M1028,'Livro Diario - FC'!$E$11:$E1028,$C$120,'Livro Diario - FC'!$D$11:$D1028,"&gt;=01/03"&amp;$C$7,'Livro Diario - FC'!$D$11:$D1028,"&lt;=31/03"&amp;$C$7)</f>
        <v>0</v>
      </c>
      <c r="P131" s="273"/>
      <c r="Q131" s="258"/>
      <c r="R131" s="259"/>
      <c r="S131" s="255">
        <f>SUMIFS('Livro Diario - FC'!$K$11:$K1028,'Livro Diario - FC'!$E$11:$E1028,$C$120,'Livro Diario - FC'!$D$11:$D1028,"&gt;=01/04"&amp;$C$7,'Livro Diario - FC'!$D$11:$D1028,"&lt;=30/04"&amp;$C$7)</f>
        <v>0</v>
      </c>
      <c r="T131" s="256">
        <f>SUMIFS('Livro Diario - FC'!$M$11:$M1028,'Livro Diario - FC'!$E$11:$E1028,$C$120,'Livro Diario - FC'!$D$11:$D1028,"&gt;=01/04"&amp;$C$7,'Livro Diario - FC'!$D$11:$D1028,"&lt;=30/04"&amp;$C$7)</f>
        <v>0</v>
      </c>
      <c r="U131" s="273"/>
      <c r="V131" s="258"/>
      <c r="W131" s="259"/>
      <c r="X131" s="255">
        <f>SUMIFS('Livro Diario - FC'!$K$11:$K1028,'Livro Diario - FC'!$E$11:$E1028,$C$120,'Livro Diario - FC'!$D$11:$D1028,"&gt;=01/05"&amp;$C$7,'Livro Diario - FC'!$D$11:$D1028,"&lt;=31/05"&amp;$C$7)</f>
        <v>0</v>
      </c>
      <c r="Y131" s="256">
        <f>SUMIFS('Livro Diario - FC'!$M$11:$M1028,'Livro Diario - FC'!$E$11:$E1028,$C$120,'Livro Diario - FC'!$D$11:$D1028,"&gt;=01/05"&amp;$C$7,'Livro Diario - FC'!$D$11:$D1028,"&lt;=31/05"&amp;$C$7)</f>
        <v>0</v>
      </c>
      <c r="Z131" s="273"/>
      <c r="AA131" s="258"/>
      <c r="AB131" s="259"/>
      <c r="AC131" s="255">
        <f>SUMIFS('Livro Diario - FC'!$K$11:$K1028,'Livro Diario - FC'!$E$11:$E1028,$C$120,'Livro Diario - FC'!$D$11:$D1028,"&gt;=01/06"&amp;$C$7,'Livro Diario - FC'!$D$11:$D1028,"&lt;=30/06"&amp;$C$7)</f>
        <v>0</v>
      </c>
      <c r="AD131" s="256">
        <f>SUMIFS('Livro Diario - FC'!$M$11:$M1028,'Livro Diario - FC'!$E$11:$E1028,$C$120,'Livro Diario - FC'!$D$11:$D1028,"&gt;=01/06"&amp;$C$7,'Livro Diario - FC'!$D$11:$D1028,"&lt;=30/06"&amp;$C$7)</f>
        <v>0</v>
      </c>
      <c r="AE131" s="273"/>
      <c r="AF131" s="258"/>
      <c r="AG131" s="255">
        <f>SUMIFS('Livro Diario - FC'!$K$11:$K1028,'Livro Diario - FC'!$E$11:$E1028,$C$120,'Livro Diario - FC'!$D$11:$D1028,"&gt;=01/07"&amp;$C$7,'Livro Diario - FC'!$D$11:$D1028,"&lt;=31/07"&amp;$C$7)</f>
        <v>0</v>
      </c>
      <c r="AH131" s="256">
        <f>SUMIFS('Livro Diario - FC'!$M$11:$M1028,'Livro Diario - FC'!$E$11:$E1028,$C$120,'Livro Diario - FC'!$D$11:$D1028,"&gt;=01/07"&amp;$C$7,'Livro Diario - FC'!$D$11:$D1028,"&lt;=31/07"&amp;$C$7)</f>
        <v>0</v>
      </c>
      <c r="AI131" s="273"/>
      <c r="AJ131" s="258"/>
      <c r="AK131" s="255">
        <f>SUMIFS('Livro Diario - FC'!$K$11:$K1028,'Livro Diario - FC'!$E$11:$E1028,$C$120,'Livro Diario - FC'!$D$11:$D1028,"&gt;=01/08"&amp;$C$7,'Livro Diario - FC'!$D$11:$D1028,"&lt;=31/08"&amp;$C$7)</f>
        <v>0</v>
      </c>
      <c r="AL131" s="256">
        <f>SUMIFS('Livro Diario - FC'!$M$11:$M1028,'Livro Diario - FC'!$E$11:$E1028,$C$120,'Livro Diario - FC'!$D$11:$D1028,"&gt;=01/08"&amp;$C$7,'Livro Diario - FC'!$D$11:$D1028,"&lt;=31/08"&amp;$C$7)</f>
        <v>0</v>
      </c>
      <c r="AM131" s="273"/>
      <c r="AN131" s="258"/>
      <c r="AO131" s="255">
        <f>SUMIFS('Livro Diario - FC'!$K$11:$K1028,'Livro Diario - FC'!$E$11:$E1028,$C$120,'Livro Diario - FC'!$D$11:$D1028,"&gt;=01/09"&amp;$C$7,'Livro Diario - FC'!$D$11:$D1028,"&lt;=30/09"&amp;$C$7)</f>
        <v>0</v>
      </c>
      <c r="AP131" s="256">
        <f>SUMIFS('Livro Diario - FC'!$M$11:$M1028,'Livro Diario - FC'!$E$11:$E1028,$C$120,'Livro Diario - FC'!$D$11:$D1028,"&gt;=01/09"&amp;$C$7,'Livro Diario - FC'!$D$11:$D1028,"&lt;=30/09"&amp;$C$7)</f>
        <v>0</v>
      </c>
      <c r="AQ131" s="273"/>
      <c r="AR131" s="258"/>
      <c r="AS131" s="255">
        <f>SUMIFS('Livro Diario - FC'!$K$11:$K1028,'Livro Diario - FC'!$E$11:$E1028,$C$120,'Livro Diario - FC'!$D$11:$D1028,"&gt;=01/10"&amp;$C$7,'Livro Diario - FC'!$D$11:$D1028,"&lt;=31/10"&amp;$C$7)</f>
        <v>0</v>
      </c>
      <c r="AT131" s="256">
        <f>SUMIFS('Livro Diario - FC'!$M$11:$M1028,'Livro Diario - FC'!$E$11:$E1028,$C$120,'Livro Diario - FC'!$D$11:$D1028,"&gt;=01/10"&amp;$C$7,'Livro Diario - FC'!$D$11:$D1028,"&lt;=31/10"&amp;$C$7)</f>
        <v>0</v>
      </c>
      <c r="AU131" s="273"/>
      <c r="AV131" s="258"/>
      <c r="AW131" s="255">
        <f>SUMIFS('Livro Diario - FC'!$K$11:$K1028,'Livro Diario - FC'!$E$11:$E1028,$C$120,'Livro Diario - FC'!$D$11:$D1028,"&gt;=01/11"&amp;$C$7,'Livro Diario - FC'!$D$11:$D1028,"&lt;=30/11"&amp;$C$7)</f>
        <v>0</v>
      </c>
      <c r="AX131" s="256">
        <f>SUMIFS('Livro Diario - FC'!$M$11:$M1028,'Livro Diario - FC'!$E$11:$E1028,$C$120,'Livro Diario - FC'!$D$11:$D1028,"&gt;=01/11"&amp;$C$7,'Livro Diario - FC'!$D$11:$D1028,"&lt;=30/11"&amp;$C$7)</f>
        <v>0</v>
      </c>
      <c r="AY131" s="273"/>
      <c r="AZ131" s="258"/>
      <c r="BA131" s="255">
        <f>SUMIFS('Livro Diario - FC'!$K$11:$K1028,'Livro Diario - FC'!$E$11:$E1028,$C$120,'Livro Diario - FC'!$D$11:$D1028,"&gt;=01/12"&amp;$C$7,'Livro Diario - FC'!$D$11:$D1028,"&lt;=31/12"&amp;$C$7)</f>
        <v>0</v>
      </c>
      <c r="BB131" s="256">
        <f>SUMIFS('Livro Diario - FC'!$M$11:$M1028,'Livro Diario - FC'!$E$11:$E1028,$C$120,'Livro Diario - FC'!$D$11:$D1028,"&gt;=01/12"&amp;$C$7,'Livro Diario - FC'!$D$11:$D1028,"&lt;=31/12"&amp;$C$7)</f>
        <v>0</v>
      </c>
      <c r="BC131" s="273"/>
      <c r="BD131" s="273"/>
      <c r="BE131" s="341">
        <f t="shared" ref="BE131:BF131" si="232">SUM(D131,I131,N131,S131,X131,AC131,AG131,AK131,AO131,AS131,AW131,BA131)</f>
        <v>2.8</v>
      </c>
      <c r="BF131" s="342">
        <f t="shared" si="232"/>
        <v>2.8</v>
      </c>
      <c r="BG131" s="343"/>
      <c r="BH131" s="344"/>
      <c r="BI131" s="270">
        <f>SUMIFS('Livro Diario - FC'!$M$11:$M1028,'Livro Diario - FC'!$E$11:$E1028,C131,'Livro Diario - FC'!$D$11:$D1028,"&gt;="&amp;$BK$8,'Livro Diario - FC'!$D$11:$D1028,"&lt;="&amp;$BK$9)</f>
        <v>0</v>
      </c>
      <c r="BJ131" s="271"/>
      <c r="BK131" s="345"/>
      <c r="BL131" s="146"/>
    </row>
    <row r="132">
      <c r="A132" s="1"/>
      <c r="B132" s="40"/>
      <c r="C132" s="338" t="str">
        <f>'Livro Diario - FC'!AE141</f>
        <v/>
      </c>
      <c r="D132" s="255">
        <f>SUMIFS('Livro Diario - FC'!$K$11:$K1028,'Livro Diario - FC'!$E$11:$E1028,$C$120,'Livro Diario - FC'!$D$11:$D1028,"&gt;=01/01"&amp;$C$7,'Livro Diario - FC'!$D$11:$D1028,"&lt;=31/01"&amp;$C$7)</f>
        <v>2.8</v>
      </c>
      <c r="E132" s="256">
        <f>SUMIFS('Livro Diario - FC'!$M$11:$M1028,'Livro Diario - FC'!$E$11:$E1028,$C$120,'Livro Diario - FC'!$D$11:$D1028,"&gt;=01/01"&amp;$C$7,'Livro Diario - FC'!$D$11:$D1028,"&lt;=31/01"&amp;$C$7)</f>
        <v>2.8</v>
      </c>
      <c r="F132" s="273"/>
      <c r="G132" s="258"/>
      <c r="H132" s="157"/>
      <c r="I132" s="255">
        <f>SUMIFS('Livro Diario - FC'!$K$11:$K1028,'Livro Diario - FC'!$E$11:$E1028,$C$120,'Livro Diario - FC'!$D$11:$D1028,"&gt;=01/02"&amp;$C$7,'Livro Diario - FC'!$D$11:$D1028,"&lt;=29/02"&amp;$C$7)</f>
        <v>0</v>
      </c>
      <c r="J132" s="256">
        <f>SUMIFS('Livro Diario - FC'!$M$11:$M1028,'Livro Diario - FC'!$E$11:$E1028,$C$120,'Livro Diario - FC'!$D$11:$D1028,"&gt;=01/02"&amp;$C$7,'Livro Diario - FC'!$D$11:$D1028,"&lt;=29/02"&amp;$C$7)</f>
        <v>0</v>
      </c>
      <c r="K132" s="273"/>
      <c r="L132" s="258"/>
      <c r="M132" s="259"/>
      <c r="N132" s="255">
        <f>SUMIFS('Livro Diario - FC'!$K$11:$K1028,'Livro Diario - FC'!$E$11:$E1028,$C$120,'Livro Diario - FC'!$D$11:$D1028,"&gt;=01/03"&amp;$C$7,'Livro Diario - FC'!$D$11:$D1028,"&lt;=31/03"&amp;$C$7)</f>
        <v>0</v>
      </c>
      <c r="O132" s="256">
        <f>SUMIFS('Livro Diario - FC'!$M$11:$M1028,'Livro Diario - FC'!$E$11:$E1028,$C$120,'Livro Diario - FC'!$D$11:$D1028,"&gt;=01/03"&amp;$C$7,'Livro Diario - FC'!$D$11:$D1028,"&lt;=31/03"&amp;$C$7)</f>
        <v>0</v>
      </c>
      <c r="P132" s="273"/>
      <c r="Q132" s="258"/>
      <c r="R132" s="259"/>
      <c r="S132" s="255">
        <f>SUMIFS('Livro Diario - FC'!$K$11:$K1028,'Livro Diario - FC'!$E$11:$E1028,$C$120,'Livro Diario - FC'!$D$11:$D1028,"&gt;=01/04"&amp;$C$7,'Livro Diario - FC'!$D$11:$D1028,"&lt;=30/04"&amp;$C$7)</f>
        <v>0</v>
      </c>
      <c r="T132" s="256">
        <f>SUMIFS('Livro Diario - FC'!$M$11:$M1028,'Livro Diario - FC'!$E$11:$E1028,$C$120,'Livro Diario - FC'!$D$11:$D1028,"&gt;=01/04"&amp;$C$7,'Livro Diario - FC'!$D$11:$D1028,"&lt;=30/04"&amp;$C$7)</f>
        <v>0</v>
      </c>
      <c r="U132" s="273"/>
      <c r="V132" s="258"/>
      <c r="W132" s="259"/>
      <c r="X132" s="255">
        <f>SUMIFS('Livro Diario - FC'!$K$11:$K1028,'Livro Diario - FC'!$E$11:$E1028,$C$120,'Livro Diario - FC'!$D$11:$D1028,"&gt;=01/05"&amp;$C$7,'Livro Diario - FC'!$D$11:$D1028,"&lt;=31/05"&amp;$C$7)</f>
        <v>0</v>
      </c>
      <c r="Y132" s="256">
        <f>SUMIFS('Livro Diario - FC'!$M$11:$M1028,'Livro Diario - FC'!$E$11:$E1028,$C$120,'Livro Diario - FC'!$D$11:$D1028,"&gt;=01/05"&amp;$C$7,'Livro Diario - FC'!$D$11:$D1028,"&lt;=31/05"&amp;$C$7)</f>
        <v>0</v>
      </c>
      <c r="Z132" s="273"/>
      <c r="AA132" s="258"/>
      <c r="AB132" s="259"/>
      <c r="AC132" s="255">
        <f>SUMIFS('Livro Diario - FC'!$K$11:$K1028,'Livro Diario - FC'!$E$11:$E1028,$C$120,'Livro Diario - FC'!$D$11:$D1028,"&gt;=01/06"&amp;$C$7,'Livro Diario - FC'!$D$11:$D1028,"&lt;=30/06"&amp;$C$7)</f>
        <v>0</v>
      </c>
      <c r="AD132" s="256">
        <f>SUMIFS('Livro Diario - FC'!$M$11:$M1028,'Livro Diario - FC'!$E$11:$E1028,$C$120,'Livro Diario - FC'!$D$11:$D1028,"&gt;=01/06"&amp;$C$7,'Livro Diario - FC'!$D$11:$D1028,"&lt;=30/06"&amp;$C$7)</f>
        <v>0</v>
      </c>
      <c r="AE132" s="273"/>
      <c r="AF132" s="258"/>
      <c r="AG132" s="255">
        <f>SUMIFS('Livro Diario - FC'!$K$11:$K1028,'Livro Diario - FC'!$E$11:$E1028,$C$120,'Livro Diario - FC'!$D$11:$D1028,"&gt;=01/07"&amp;$C$7,'Livro Diario - FC'!$D$11:$D1028,"&lt;=31/07"&amp;$C$7)</f>
        <v>0</v>
      </c>
      <c r="AH132" s="256">
        <f>SUMIFS('Livro Diario - FC'!$M$11:$M1028,'Livro Diario - FC'!$E$11:$E1028,$C$120,'Livro Diario - FC'!$D$11:$D1028,"&gt;=01/07"&amp;$C$7,'Livro Diario - FC'!$D$11:$D1028,"&lt;=31/07"&amp;$C$7)</f>
        <v>0</v>
      </c>
      <c r="AI132" s="273"/>
      <c r="AJ132" s="258"/>
      <c r="AK132" s="255">
        <f>SUMIFS('Livro Diario - FC'!$K$11:$K1028,'Livro Diario - FC'!$E$11:$E1028,$C$120,'Livro Diario - FC'!$D$11:$D1028,"&gt;=01/08"&amp;$C$7,'Livro Diario - FC'!$D$11:$D1028,"&lt;=31/08"&amp;$C$7)</f>
        <v>0</v>
      </c>
      <c r="AL132" s="256">
        <f>SUMIFS('Livro Diario - FC'!$M$11:$M1028,'Livro Diario - FC'!$E$11:$E1028,$C$120,'Livro Diario - FC'!$D$11:$D1028,"&gt;=01/08"&amp;$C$7,'Livro Diario - FC'!$D$11:$D1028,"&lt;=31/08"&amp;$C$7)</f>
        <v>0</v>
      </c>
      <c r="AM132" s="273"/>
      <c r="AN132" s="258"/>
      <c r="AO132" s="255">
        <f>SUMIFS('Livro Diario - FC'!$K$11:$K1028,'Livro Diario - FC'!$E$11:$E1028,$C$120,'Livro Diario - FC'!$D$11:$D1028,"&gt;=01/09"&amp;$C$7,'Livro Diario - FC'!$D$11:$D1028,"&lt;=30/09"&amp;$C$7)</f>
        <v>0</v>
      </c>
      <c r="AP132" s="256">
        <f>SUMIFS('Livro Diario - FC'!$M$11:$M1028,'Livro Diario - FC'!$E$11:$E1028,$C$120,'Livro Diario - FC'!$D$11:$D1028,"&gt;=01/09"&amp;$C$7,'Livro Diario - FC'!$D$11:$D1028,"&lt;=30/09"&amp;$C$7)</f>
        <v>0</v>
      </c>
      <c r="AQ132" s="273"/>
      <c r="AR132" s="258"/>
      <c r="AS132" s="255">
        <f>SUMIFS('Livro Diario - FC'!$K$11:$K1028,'Livro Diario - FC'!$E$11:$E1028,$C$120,'Livro Diario - FC'!$D$11:$D1028,"&gt;=01/10"&amp;$C$7,'Livro Diario - FC'!$D$11:$D1028,"&lt;=31/10"&amp;$C$7)</f>
        <v>0</v>
      </c>
      <c r="AT132" s="256">
        <f>SUMIFS('Livro Diario - FC'!$M$11:$M1028,'Livro Diario - FC'!$E$11:$E1028,$C$120,'Livro Diario - FC'!$D$11:$D1028,"&gt;=01/10"&amp;$C$7,'Livro Diario - FC'!$D$11:$D1028,"&lt;=31/10"&amp;$C$7)</f>
        <v>0</v>
      </c>
      <c r="AU132" s="273"/>
      <c r="AV132" s="258"/>
      <c r="AW132" s="255">
        <f>SUMIFS('Livro Diario - FC'!$K$11:$K1028,'Livro Diario - FC'!$E$11:$E1028,$C$120,'Livro Diario - FC'!$D$11:$D1028,"&gt;=01/11"&amp;$C$7,'Livro Diario - FC'!$D$11:$D1028,"&lt;=30/11"&amp;$C$7)</f>
        <v>0</v>
      </c>
      <c r="AX132" s="256">
        <f>SUMIFS('Livro Diario - FC'!$M$11:$M1028,'Livro Diario - FC'!$E$11:$E1028,$C$120,'Livro Diario - FC'!$D$11:$D1028,"&gt;=01/11"&amp;$C$7,'Livro Diario - FC'!$D$11:$D1028,"&lt;=30/11"&amp;$C$7)</f>
        <v>0</v>
      </c>
      <c r="AY132" s="273"/>
      <c r="AZ132" s="258"/>
      <c r="BA132" s="255">
        <f>SUMIFS('Livro Diario - FC'!$K$11:$K1028,'Livro Diario - FC'!$E$11:$E1028,$C$120,'Livro Diario - FC'!$D$11:$D1028,"&gt;=01/12"&amp;$C$7,'Livro Diario - FC'!$D$11:$D1028,"&lt;=31/12"&amp;$C$7)</f>
        <v>0</v>
      </c>
      <c r="BB132" s="256">
        <f>SUMIFS('Livro Diario - FC'!$M$11:$M1028,'Livro Diario - FC'!$E$11:$E1028,$C$120,'Livro Diario - FC'!$D$11:$D1028,"&gt;=01/12"&amp;$C$7,'Livro Diario - FC'!$D$11:$D1028,"&lt;=31/12"&amp;$C$7)</f>
        <v>0</v>
      </c>
      <c r="BC132" s="273"/>
      <c r="BD132" s="273"/>
      <c r="BE132" s="341">
        <f t="shared" ref="BE132:BF132" si="233">SUM(D132,I132,N132,S132,X132,AC132,AG132,AK132,AO132,AS132,AW132,BA132)</f>
        <v>2.8</v>
      </c>
      <c r="BF132" s="342">
        <f t="shared" si="233"/>
        <v>2.8</v>
      </c>
      <c r="BG132" s="343"/>
      <c r="BH132" s="344"/>
      <c r="BI132" s="270">
        <f>SUMIFS('Livro Diario - FC'!$M$11:$M1028,'Livro Diario - FC'!$E$11:$E1028,C132,'Livro Diario - FC'!$D$11:$D1028,"&gt;="&amp;$BK$8,'Livro Diario - FC'!$D$11:$D1028,"&lt;="&amp;$BK$9)</f>
        <v>0</v>
      </c>
      <c r="BJ132" s="271"/>
      <c r="BK132" s="345"/>
      <c r="BL132" s="146"/>
    </row>
    <row r="133">
      <c r="A133" s="1"/>
      <c r="B133" s="40"/>
      <c r="C133" s="322" t="s">
        <v>291</v>
      </c>
      <c r="D133" s="323">
        <f>SUMIFS('Livro Diario - FC'!$J$11:$J1028,'Livro Diario - FC'!$E$11:$E1028,$C$133,'Livro Diario - FC'!$D$11:$D1028,"&gt;=01/01"&amp;$C$7,'Livro Diario - FC'!$D$11:$D1028,"&lt;=31/01"&amp;$C$7)+SUM(D134:D148)</f>
        <v>0</v>
      </c>
      <c r="E133" s="324">
        <f>SUMIFS('Livro Diario - FC'!$L$11:$L1028,'Livro Diario - FC'!$E$11:$E1028,$C$133,'Livro Diario - FC'!$D$11:$D1028,"&gt;=01/01"&amp;$C$7,'Livro Diario - FC'!$D$11:$D1028,"&lt;=31/01"&amp;$C$7)+SUM(E134:E148)</f>
        <v>0</v>
      </c>
      <c r="F133" s="325">
        <f>IF(E$11=0,"",E133/E$11)</f>
        <v>0</v>
      </c>
      <c r="G133" s="326"/>
      <c r="H133" s="327"/>
      <c r="I133" s="323">
        <f>SUMIFS('Livro Diario - FC'!$J$11:$J1028,'Livro Diario - FC'!$E$11:$E1028,$C$133,'Livro Diario - FC'!$D$11:$D1028,"&gt;=01/02"&amp;$C$7,'Livro Diario - FC'!$D$11:$D1028,"&lt;=29/02"&amp;$C$7)+SUM(I134:I148)</f>
        <v>0</v>
      </c>
      <c r="J133" s="324">
        <f>SUMIFS('Livro Diario - FC'!$L$11:$L1028,'Livro Diario - FC'!$E$11:$E1028,$C$133,'Livro Diario - FC'!$D$11:$D1028,"&gt;=01/02"&amp;$C$7,'Livro Diario - FC'!$D$11:$D1028,"&lt;=29/02"&amp;$C$7)+SUM(J134:J148)</f>
        <v>0</v>
      </c>
      <c r="K133" s="325" t="str">
        <f>IF(J$11=0,"",J133/J$11)</f>
        <v/>
      </c>
      <c r="L133" s="326"/>
      <c r="M133" s="328"/>
      <c r="N133" s="323">
        <f>SUMIFS('Livro Diario - FC'!$J$11:$J1028,'Livro Diario - FC'!$E$11:$E1028,$C$133,'Livro Diario - FC'!$D$11:$D1028,"&gt;=01/03"&amp;$C$7,'Livro Diario - FC'!$D$11:$D1028,"&lt;=31/03"&amp;$C$7)+SUM(N134:N148)</f>
        <v>0</v>
      </c>
      <c r="O133" s="324">
        <f>SUMIFS('Livro Diario - FC'!$L$11:$L1028,'Livro Diario - FC'!$E$11:$E1028,$C$133,'Livro Diario - FC'!$D$11:$D1028,"&gt;=01/03"&amp;$C$7,'Livro Diario - FC'!$D$11:$D1028,"&lt;=31/03"&amp;$C$7)+SUM(O134:O148)</f>
        <v>0</v>
      </c>
      <c r="P133" s="325" t="str">
        <f>IF(O$11=0,"",O133/O$11)</f>
        <v/>
      </c>
      <c r="Q133" s="326"/>
      <c r="R133" s="328"/>
      <c r="S133" s="323">
        <f>SUMIFS('Livro Diario - FC'!$J$11:$J1028,'Livro Diario - FC'!$E$11:$E1028,$C$133,'Livro Diario - FC'!$D$11:$D1028,"&gt;=01/04"&amp;$C$7,'Livro Diario - FC'!$D$11:$D1028,"&lt;=30/04"&amp;$C$7)+SUM(S134:S148)</f>
        <v>0</v>
      </c>
      <c r="T133" s="324">
        <f>SUMIFS('Livro Diario - FC'!$L$11:$L1028,'Livro Diario - FC'!$E$11:$E1028,$C$133,'Livro Diario - FC'!$D$11:$D1028,"&gt;=01/04"&amp;$C$7,'Livro Diario - FC'!$D$11:$D1028,"&lt;=30/04"&amp;$C$7)+SUM(T134:T148)</f>
        <v>0</v>
      </c>
      <c r="U133" s="325" t="str">
        <f>IF(T$11=0,"",T133/T$11)</f>
        <v/>
      </c>
      <c r="V133" s="326"/>
      <c r="W133" s="328"/>
      <c r="X133" s="323">
        <f>SUMIFS('Livro Diario - FC'!$J$11:$J1028,'Livro Diario - FC'!$E$11:$E1028,$C$133,'Livro Diario - FC'!$D$11:$D1028,"&gt;=01/05"&amp;$C$7,'Livro Diario - FC'!$D$11:$D1028,"&lt;=31/05"&amp;$C$7)+SUM(X134:X148)</f>
        <v>0</v>
      </c>
      <c r="Y133" s="324">
        <f>SUMIFS('Livro Diario - FC'!$L$11:$L1028,'Livro Diario - FC'!$E$11:$E1028,$C$133,'Livro Diario - FC'!$D$11:$D1028,"&gt;=01/05"&amp;$C$7,'Livro Diario - FC'!$D$11:$D1028,"&lt;=31/05"&amp;$C$7)+SUM(Y134:Y148)</f>
        <v>0</v>
      </c>
      <c r="Z133" s="325" t="str">
        <f>IF(Y$11=0,"",Y133/Y$11)</f>
        <v/>
      </c>
      <c r="AA133" s="326"/>
      <c r="AB133" s="328"/>
      <c r="AC133" s="323">
        <f>SUMIFS('Livro Diario - FC'!$J$11:$J1028,'Livro Diario - FC'!$E$11:$E1028,$C$133,'Livro Diario - FC'!$D$11:$D1028,"&gt;=01/06"&amp;$C$7,'Livro Diario - FC'!$D$11:$D1028,"&lt;=30/06"&amp;$C$7)+SUM(AC134:AC148)</f>
        <v>0</v>
      </c>
      <c r="AD133" s="324">
        <f>SUMIFS('Livro Diario - FC'!$L$11:$L1028,'Livro Diario - FC'!$E$11:$E1028,$C$133,'Livro Diario - FC'!$D$11:$D1028,"&gt;=01/06"&amp;$C$7,'Livro Diario - FC'!$D$11:$D1028,"&lt;=30/06"&amp;$C$7)+SUM(AD134:AD148)</f>
        <v>0</v>
      </c>
      <c r="AE133" s="325" t="str">
        <f>IF(AD$11=0,"",AD133/AD$11)</f>
        <v/>
      </c>
      <c r="AF133" s="326"/>
      <c r="AG133" s="323">
        <f>SUMIFS('Livro Diario - FC'!$J$11:$J1028,'Livro Diario - FC'!$E$11:$E1028,$C$133,'Livro Diario - FC'!$D$11:$D1028,"&gt;=01/07"&amp;$C$7,'Livro Diario - FC'!$D$11:$D1028,"&lt;=31/07"&amp;$C$7)+SUM(AG134:AG148)</f>
        <v>0</v>
      </c>
      <c r="AH133" s="324">
        <f>SUMIFS('Livro Diario - FC'!$L$11:$L1028,'Livro Diario - FC'!$E$11:$E1028,$C$133,'Livro Diario - FC'!$D$11:$D1028,"&gt;=01/07"&amp;$C$7,'Livro Diario - FC'!$D$11:$D1028,"&lt;=31/07"&amp;$C$7)+SUM(AH134:AH148)</f>
        <v>0</v>
      </c>
      <c r="AI133" s="325" t="str">
        <f>IF(AH$11=0,"",AH133/AH$11)</f>
        <v/>
      </c>
      <c r="AJ133" s="326"/>
      <c r="AK133" s="323">
        <f>SUMIFS('Livro Diario - FC'!$J$11:$J1028,'Livro Diario - FC'!$E$11:$E1028,$C$133,'Livro Diario - FC'!$D$11:$D1028,"&gt;=01/08"&amp;$C$7,'Livro Diario - FC'!$D$11:$D1028,"&lt;=31/08"&amp;$C$7)+SUM(AK134:AK148)</f>
        <v>0</v>
      </c>
      <c r="AL133" s="324">
        <f>SUMIFS('Livro Diario - FC'!$L$11:$L1028,'Livro Diario - FC'!$E$11:$E1028,$C$133,'Livro Diario - FC'!$D$11:$D1028,"&gt;=01/08"&amp;$C$7,'Livro Diario - FC'!$D$11:$D1028,"&lt;=31/08"&amp;$C$7)+SUM(AL134:AL148)</f>
        <v>0</v>
      </c>
      <c r="AM133" s="325" t="str">
        <f>IF(AL$11=0,"",AL133/AL$11)</f>
        <v/>
      </c>
      <c r="AN133" s="326"/>
      <c r="AO133" s="323">
        <f>SUMIFS('Livro Diario - FC'!$J$11:$J1028,'Livro Diario - FC'!$E$11:$E1028,$C$133,'Livro Diario - FC'!$D$11:$D1028,"&gt;=01/09"&amp;$C$7,'Livro Diario - FC'!$D$11:$D1028,"&lt;=30/09"&amp;$C$7)+SUM(AO134:AO148)</f>
        <v>0</v>
      </c>
      <c r="AP133" s="324">
        <f>SUMIFS('Livro Diario - FC'!$L$11:$L1028,'Livro Diario - FC'!$E$11:$E1028,$C$133,'Livro Diario - FC'!$D$11:$D1028,"&gt;=01/09"&amp;$C$7,'Livro Diario - FC'!$D$11:$D1028,"&lt;=30/09"&amp;$C$7)+SUM(AP134:AP148)</f>
        <v>0</v>
      </c>
      <c r="AQ133" s="325" t="str">
        <f>IF(AP$11=0,"",AP133/AP$11)</f>
        <v/>
      </c>
      <c r="AR133" s="326"/>
      <c r="AS133" s="323">
        <f>SUMIFS('Livro Diario - FC'!$J$11:$J1028,'Livro Diario - FC'!$E$11:$E1028,$C$133,'Livro Diario - FC'!$D$11:$D1028,"&gt;=01/10"&amp;$C$7,'Livro Diario - FC'!$D$11:$D1028,"&lt;=31/10"&amp;$C$7)+SUM(AS134:AS148)</f>
        <v>0</v>
      </c>
      <c r="AT133" s="324">
        <f>SUMIFS('Livro Diario - FC'!$L$11:$L1028,'Livro Diario - FC'!$E$11:$E1028,$C$133,'Livro Diario - FC'!$D$11:$D1028,"&gt;=01/10"&amp;$C$7,'Livro Diario - FC'!$D$11:$D1028,"&lt;=31/10"&amp;$C$7)+SUM(AT134:AT148)</f>
        <v>0</v>
      </c>
      <c r="AU133" s="325" t="str">
        <f>IF(AT$11=0,"",AT133/AT$11)</f>
        <v/>
      </c>
      <c r="AV133" s="326"/>
      <c r="AW133" s="323">
        <f>SUMIFS('Livro Diario - FC'!$J$11:$J1028,'Livro Diario - FC'!$E$11:$E1028,$C$133,'Livro Diario - FC'!$D$11:$D1028,"&gt;=01/11"&amp;$C$7,'Livro Diario - FC'!$D$11:$D1028,"&lt;=30/11"&amp;$C$7)+SUM(AW134:AW148)</f>
        <v>0</v>
      </c>
      <c r="AX133" s="324">
        <f>SUMIFS('Livro Diario - FC'!$L$11:$L1028,'Livro Diario - FC'!$E$11:$E1028,$C$133,'Livro Diario - FC'!$D$11:$D1028,"&gt;=01/11"&amp;$C$7,'Livro Diario - FC'!$D$11:$D1028,"&lt;=30/11"&amp;$C$7)+SUM(AX134:AX148)</f>
        <v>0</v>
      </c>
      <c r="AY133" s="325" t="str">
        <f>IF(AX$11=0,"",AX133/AX$11)</f>
        <v/>
      </c>
      <c r="AZ133" s="326"/>
      <c r="BA133" s="323">
        <f>SUMIFS('Livro Diario - FC'!$J$11:$J1028,'Livro Diario - FC'!$E$11:$E1028,$C$133,'Livro Diario - FC'!$D$11:$D1028,"&gt;=01/12"&amp;$C$7,'Livro Diario - FC'!$D$11:$D1028,"&lt;=31/12"&amp;$C$7)+SUM(BA134:BA148)</f>
        <v>0</v>
      </c>
      <c r="BB133" s="324">
        <f>SUMIFS('Livro Diario - FC'!$L$11:$L1028,'Livro Diario - FC'!$E$11:$E1028,$C$133,'Livro Diario - FC'!$D$11:$D1028,"&gt;=01/12"&amp;$C$7,'Livro Diario - FC'!$D$11:$D1028,"&lt;=31/12"&amp;$C$7)+SUM(BB134:BB148)</f>
        <v>0</v>
      </c>
      <c r="BC133" s="325" t="str">
        <f>IF(BB$11=0,"",BB133/BB$11)</f>
        <v/>
      </c>
      <c r="BD133" s="329"/>
      <c r="BE133" s="330">
        <f t="shared" ref="BE133:BF133" si="234">SUM(D133,I133,N133,S133,X133,AC133,AG133,AK133,AO133,AS133,AW133,BA133)</f>
        <v>0</v>
      </c>
      <c r="BF133" s="331">
        <f t="shared" si="234"/>
        <v>0</v>
      </c>
      <c r="BG133" s="332"/>
      <c r="BH133" s="333"/>
      <c r="BI133" s="334">
        <f>SUMIFS('Livro Diario - FC'!$M$11:$M1028,'Livro Diario - FC'!$E$11:$E1028,C133,'Livro Diario - FC'!$D$11:$D1028,"&gt;="&amp;$BK$8,'Livro Diario - FC'!$D$11:$D1028,"&lt;="&amp;$BK$9)+SUM(BI134:BI148)</f>
        <v>0</v>
      </c>
      <c r="BJ133" s="335"/>
      <c r="BK133" s="336"/>
      <c r="BL133" s="337"/>
    </row>
    <row r="134">
      <c r="A134" s="1"/>
      <c r="B134" s="1"/>
      <c r="C134" s="338" t="str">
        <f>'Livro Diario - FC'!AE143</f>
        <v>Polpas de Frutas</v>
      </c>
      <c r="D134" s="255">
        <f>SUMIFS('Livro Diario - FC'!$K$11:$K1028,'Livro Diario - FC'!$E$11:$E1028,$C$134,'Livro Diario - FC'!$D$11:$D1028,"&gt;=01/01"&amp;$C$7,'Livro Diario - FC'!$D$11:$D1028,"&lt;=31/01"&amp;$C$7)</f>
        <v>0</v>
      </c>
      <c r="E134" s="256">
        <f>SUMIFS('Livro Diario - FC'!$M$11:$M1028,'Livro Diario - FC'!$E$11:$E1028,$C$134,'Livro Diario - FC'!$D$11:$D1028,"&gt;=01/01"&amp;$C$7,'Livro Diario - FC'!$D$11:$D1028,"&lt;=31/01"&amp;$C$7)</f>
        <v>0</v>
      </c>
      <c r="F134" s="273"/>
      <c r="G134" s="258"/>
      <c r="H134" s="157"/>
      <c r="I134" s="255">
        <f>SUMIFS('Livro Diario - FC'!$K$11:$K1028,'Livro Diario - FC'!$E$11:$E1028,$C$134,'Livro Diario - FC'!$D$11:$D1028,"&gt;=01/02"&amp;$C$7,'Livro Diario - FC'!$D$11:$D1028,"&lt;=29/02"&amp;$C$7)</f>
        <v>0</v>
      </c>
      <c r="J134" s="256">
        <f>SUMIFS('Livro Diario - FC'!$M$11:$M1028,'Livro Diario - FC'!$E$11:$E1028,$C$134,'Livro Diario - FC'!$D$11:$D1028,"&gt;=01/02"&amp;$C$7,'Livro Diario - FC'!$D$11:$D1028,"&lt;=29/02"&amp;$C$7)</f>
        <v>0</v>
      </c>
      <c r="K134" s="273"/>
      <c r="L134" s="258"/>
      <c r="M134" s="259"/>
      <c r="N134" s="255">
        <f>SUMIFS('Livro Diario - FC'!$K$11:$K1028,'Livro Diario - FC'!$E$11:$E1028,$C$134,'Livro Diario - FC'!$D$11:$D1028,"&gt;=01/03"&amp;$C$7,'Livro Diario - FC'!$D$11:$D1028,"&lt;=31/03"&amp;$C$7)</f>
        <v>0</v>
      </c>
      <c r="O134" s="256">
        <f>SUMIFS('Livro Diario - FC'!$M$11:$M1028,'Livro Diario - FC'!$E$11:$E1028,$C$134,'Livro Diario - FC'!$D$11:$D1028,"&gt;=01/03"&amp;$C$7,'Livro Diario - FC'!$D$11:$D1028,"&lt;=31/03"&amp;$C$7)</f>
        <v>0</v>
      </c>
      <c r="P134" s="273"/>
      <c r="Q134" s="258"/>
      <c r="R134" s="259"/>
      <c r="S134" s="255">
        <f>SUMIFS('Livro Diario - FC'!$K$11:$K1028,'Livro Diario - FC'!$E$11:$E1028,$C$134,'Livro Diario - FC'!$D$11:$D1028,"&gt;=01/04"&amp;$C$7,'Livro Diario - FC'!$D$11:$D1028,"&lt;=30/04"&amp;$C$7)</f>
        <v>0</v>
      </c>
      <c r="T134" s="256">
        <f>SUMIFS('Livro Diario - FC'!$M$11:$M1028,'Livro Diario - FC'!$E$11:$E1028,$C$134,'Livro Diario - FC'!$D$11:$D1028,"&gt;=01/04"&amp;$C$7,'Livro Diario - FC'!$D$11:$D1028,"&lt;=30/04"&amp;$C$7)</f>
        <v>0</v>
      </c>
      <c r="U134" s="273"/>
      <c r="V134" s="258"/>
      <c r="W134" s="259"/>
      <c r="X134" s="255">
        <f>SUMIFS('Livro Diario - FC'!$K$11:$K1028,'Livro Diario - FC'!$E$11:$E1028,$C$134,'Livro Diario - FC'!$D$11:$D1028,"&gt;=01/05"&amp;$C$7,'Livro Diario - FC'!$D$11:$D1028,"&lt;=31/05"&amp;$C$7)</f>
        <v>0</v>
      </c>
      <c r="Y134" s="256">
        <f>SUMIFS('Livro Diario - FC'!$M$11:$M1028,'Livro Diario - FC'!$E$11:$E1028,$C$134,'Livro Diario - FC'!$D$11:$D1028,"&gt;=01/05"&amp;$C$7,'Livro Diario - FC'!$D$11:$D1028,"&lt;=31/05"&amp;$C$7)</f>
        <v>0</v>
      </c>
      <c r="Z134" s="273"/>
      <c r="AA134" s="258"/>
      <c r="AB134" s="259"/>
      <c r="AC134" s="255">
        <f>SUMIFS('Livro Diario - FC'!$K$11:$K1028,'Livro Diario - FC'!$E$11:$E1028,$C$134,'Livro Diario - FC'!$D$11:$D1028,"&gt;=01/06"&amp;$C$7,'Livro Diario - FC'!$D$11:$D1028,"&lt;=30/06"&amp;$C$7)</f>
        <v>0</v>
      </c>
      <c r="AD134" s="256">
        <f>SUMIFS('Livro Diario - FC'!$M$11:$M1028,'Livro Diario - FC'!$E$11:$E1028,$C$134,'Livro Diario - FC'!$D$11:$D1028,"&gt;=01/06"&amp;$C$7,'Livro Diario - FC'!$D$11:$D1028,"&lt;=30/06"&amp;$C$7)</f>
        <v>0</v>
      </c>
      <c r="AE134" s="273"/>
      <c r="AF134" s="258"/>
      <c r="AG134" s="255">
        <f>SUMIFS('Livro Diario - FC'!$K$11:$K1028,'Livro Diario - FC'!$E$11:$E1028,$C$134,'Livro Diario - FC'!$D$11:$D1028,"&gt;=01/07"&amp;$C$7,'Livro Diario - FC'!$D$11:$D1028,"&lt;=31/07"&amp;$C$7)</f>
        <v>0</v>
      </c>
      <c r="AH134" s="256">
        <f>SUMIFS('Livro Diario - FC'!$M$11:$M1028,'Livro Diario - FC'!$E$11:$E1028,$C$134,'Livro Diario - FC'!$D$11:$D1028,"&gt;=01/07"&amp;$C$7,'Livro Diario - FC'!$D$11:$D1028,"&lt;=31/07"&amp;$C$7)</f>
        <v>0</v>
      </c>
      <c r="AI134" s="273"/>
      <c r="AJ134" s="258"/>
      <c r="AK134" s="255">
        <f>SUMIFS('Livro Diario - FC'!$K$11:$K1028,'Livro Diario - FC'!$E$11:$E1028,$C$134,'Livro Diario - FC'!$D$11:$D1028,"&gt;=01/08"&amp;$C$7,'Livro Diario - FC'!$D$11:$D1028,"&lt;=31/08"&amp;$C$7)</f>
        <v>0</v>
      </c>
      <c r="AL134" s="256">
        <f>SUMIFS('Livro Diario - FC'!$M$11:$M1028,'Livro Diario - FC'!$E$11:$E1028,$C$134,'Livro Diario - FC'!$D$11:$D1028,"&gt;=01/08"&amp;$C$7,'Livro Diario - FC'!$D$11:$D1028,"&lt;=31/08"&amp;$C$7)</f>
        <v>0</v>
      </c>
      <c r="AM134" s="273"/>
      <c r="AN134" s="258"/>
      <c r="AO134" s="255">
        <f>SUMIFS('Livro Diario - FC'!$K$11:$K1028,'Livro Diario - FC'!$E$11:$E1028,$C$134,'Livro Diario - FC'!$D$11:$D1028,"&gt;=01/09"&amp;$C$7,'Livro Diario - FC'!$D$11:$D1028,"&lt;=30/09"&amp;$C$7)</f>
        <v>0</v>
      </c>
      <c r="AP134" s="256">
        <f>SUMIFS('Livro Diario - FC'!$M$11:$M1028,'Livro Diario - FC'!$E$11:$E1028,$C$134,'Livro Diario - FC'!$D$11:$D1028,"&gt;=01/09"&amp;$C$7,'Livro Diario - FC'!$D$11:$D1028,"&lt;=30/09"&amp;$C$7)</f>
        <v>0</v>
      </c>
      <c r="AQ134" s="273"/>
      <c r="AR134" s="258"/>
      <c r="AS134" s="255">
        <f>SUMIFS('Livro Diario - FC'!$K$11:$K1028,'Livro Diario - FC'!$E$11:$E1028,$C$134,'Livro Diario - FC'!$D$11:$D1028,"&gt;=01/10"&amp;$C$7,'Livro Diario - FC'!$D$11:$D1028,"&lt;=31/10"&amp;$C$7)</f>
        <v>0</v>
      </c>
      <c r="AT134" s="256">
        <f>SUMIFS('Livro Diario - FC'!$M$11:$M1028,'Livro Diario - FC'!$E$11:$E1028,$C$134,'Livro Diario - FC'!$D$11:$D1028,"&gt;=01/10"&amp;$C$7,'Livro Diario - FC'!$D$11:$D1028,"&lt;=31/10"&amp;$C$7)</f>
        <v>0</v>
      </c>
      <c r="AU134" s="273"/>
      <c r="AV134" s="258"/>
      <c r="AW134" s="255">
        <f>SUMIFS('Livro Diario - FC'!$K$11:$K1028,'Livro Diario - FC'!$E$11:$E1028,$C$134,'Livro Diario - FC'!$D$11:$D1028,"&gt;=01/11"&amp;$C$7,'Livro Diario - FC'!$D$11:$D1028,"&lt;=30/11"&amp;$C$7)</f>
        <v>0</v>
      </c>
      <c r="AX134" s="256">
        <f>SUMIFS('Livro Diario - FC'!$M$11:$M1028,'Livro Diario - FC'!$E$11:$E1028,$C$134,'Livro Diario - FC'!$D$11:$D1028,"&gt;=01/11"&amp;$C$7,'Livro Diario - FC'!$D$11:$D1028,"&lt;=30/11"&amp;$C$7)</f>
        <v>0</v>
      </c>
      <c r="AY134" s="273"/>
      <c r="AZ134" s="258"/>
      <c r="BA134" s="255">
        <f>SUMIFS('Livro Diario - FC'!$K$11:$K1028,'Livro Diario - FC'!$E$11:$E1028,$C$134,'Livro Diario - FC'!$D$11:$D1028,"&gt;=01/12"&amp;$C$7,'Livro Diario - FC'!$D$11:$D1028,"&lt;=31/12"&amp;$C$7)</f>
        <v>0</v>
      </c>
      <c r="BB134" s="256">
        <f>SUMIFS('Livro Diario - FC'!$M$11:$M1028,'Livro Diario - FC'!$E$11:$E1028,$C$134,'Livro Diario - FC'!$D$11:$D1028,"&gt;=01/12"&amp;$C$7,'Livro Diario - FC'!$D$11:$D1028,"&lt;=31/12"&amp;$C$7)</f>
        <v>0</v>
      </c>
      <c r="BC134" s="273"/>
      <c r="BD134" s="273"/>
      <c r="BE134" s="260">
        <f t="shared" ref="BE134:BF134" si="235">SUM(D134,I134,N134,S134,X134,AC134,AG134,AK134,AO134,AS134,AW134,BA134)</f>
        <v>0</v>
      </c>
      <c r="BF134" s="261">
        <f t="shared" si="235"/>
        <v>0</v>
      </c>
      <c r="BG134" s="262"/>
      <c r="BH134" s="302"/>
      <c r="BI134" s="303">
        <f>SUMIFS('Livro Diario - FC'!$M$11:$M1028,'Livro Diario - FC'!$E$11:$E1028,C134,'Livro Diario - FC'!$D$11:$D1028,"&gt;="&amp;$BK$8,'Livro Diario - FC'!$D$11:$D1028,"&lt;="&amp;$BK$9)</f>
        <v>0</v>
      </c>
      <c r="BJ134" s="271"/>
      <c r="BK134" s="304"/>
      <c r="BL134" s="339"/>
    </row>
    <row r="135">
      <c r="A135" s="1"/>
      <c r="B135" s="1"/>
      <c r="C135" s="338" t="str">
        <f>'Livro Diario - FC'!AE144</f>
        <v>Polpa acerola</v>
      </c>
      <c r="D135" s="255">
        <f>SUMIFS('Livro Diario - FC'!$K$11:$K1028,'Livro Diario - FC'!$E$11:$E1028,$C$135,'Livro Diario - FC'!$D$11:$D1028,"&gt;=01/01"&amp;$C$7,'Livro Diario - FC'!$D$11:$D1028,"&lt;=31/01"&amp;$C$7)</f>
        <v>0</v>
      </c>
      <c r="E135" s="256">
        <f>SUMIFS('Livro Diario - FC'!$M$11:$M1028,'Livro Diario - FC'!$E$11:$E1028,$C$135,'Livro Diario - FC'!$D$11:$D1028,"&gt;=01/01"&amp;$C$7,'Livro Diario - FC'!$D$11:$D1028,"&lt;=31/01"&amp;$C$7)</f>
        <v>0</v>
      </c>
      <c r="F135" s="273"/>
      <c r="G135" s="258"/>
      <c r="H135" s="157"/>
      <c r="I135" s="255">
        <f>SUMIFS('Livro Diario - FC'!$K$11:$K1028,'Livro Diario - FC'!$E$11:$E1028,$C$135,'Livro Diario - FC'!$D$11:$D1028,"&gt;=01/02"&amp;$C$7,'Livro Diario - FC'!$D$11:$D1028,"&lt;=29/02"&amp;$C$7)</f>
        <v>0</v>
      </c>
      <c r="J135" s="256">
        <f>SUMIFS('Livro Diario - FC'!$M$11:$M1028,'Livro Diario - FC'!$E$11:$E1028,$C$135,'Livro Diario - FC'!$D$11:$D1028,"&gt;=01/02"&amp;$C$7,'Livro Diario - FC'!$D$11:$D1028,"&lt;=29/02"&amp;$C$7)</f>
        <v>0</v>
      </c>
      <c r="K135" s="273"/>
      <c r="L135" s="258"/>
      <c r="M135" s="259"/>
      <c r="N135" s="255">
        <f>SUMIFS('Livro Diario - FC'!$K$11:$K1028,'Livro Diario - FC'!$E$11:$E1028,$C$135,'Livro Diario - FC'!$D$11:$D1028,"&gt;=01/03"&amp;$C$7,'Livro Diario - FC'!$D$11:$D1028,"&lt;=31/03"&amp;$C$7)</f>
        <v>0</v>
      </c>
      <c r="O135" s="256">
        <f>SUMIFS('Livro Diario - FC'!$M$11:$M1028,'Livro Diario - FC'!$E$11:$E1028,$C$135,'Livro Diario - FC'!$D$11:$D1028,"&gt;=01/03"&amp;$C$7,'Livro Diario - FC'!$D$11:$D1028,"&lt;=31/03"&amp;$C$7)</f>
        <v>0</v>
      </c>
      <c r="P135" s="273"/>
      <c r="Q135" s="258"/>
      <c r="R135" s="259"/>
      <c r="S135" s="255">
        <f>SUMIFS('Livro Diario - FC'!$K$11:$K1028,'Livro Diario - FC'!$E$11:$E1028,$C$135,'Livro Diario - FC'!$D$11:$D1028,"&gt;=01/04"&amp;$C$7,'Livro Diario - FC'!$D$11:$D1028,"&lt;=30/04"&amp;$C$7)</f>
        <v>0</v>
      </c>
      <c r="T135" s="256">
        <f>SUMIFS('Livro Diario - FC'!$M$11:$M1028,'Livro Diario - FC'!$E$11:$E1028,$C$135,'Livro Diario - FC'!$D$11:$D1028,"&gt;=01/04"&amp;$C$7,'Livro Diario - FC'!$D$11:$D1028,"&lt;=30/04"&amp;$C$7)</f>
        <v>0</v>
      </c>
      <c r="U135" s="273"/>
      <c r="V135" s="258"/>
      <c r="W135" s="259"/>
      <c r="X135" s="255">
        <f>SUMIFS('Livro Diario - FC'!$K$11:$K1028,'Livro Diario - FC'!$E$11:$E1028,$C$135,'Livro Diario - FC'!$D$11:$D1028,"&gt;=01/05"&amp;$C$7,'Livro Diario - FC'!$D$11:$D1028,"&lt;=31/05"&amp;$C$7)</f>
        <v>0</v>
      </c>
      <c r="Y135" s="256">
        <f>SUMIFS('Livro Diario - FC'!$M$11:$M1028,'Livro Diario - FC'!$E$11:$E1028,$C$135,'Livro Diario - FC'!$D$11:$D1028,"&gt;=01/05"&amp;$C$7,'Livro Diario - FC'!$D$11:$D1028,"&lt;=31/05"&amp;$C$7)</f>
        <v>0</v>
      </c>
      <c r="Z135" s="273"/>
      <c r="AA135" s="258"/>
      <c r="AB135" s="259"/>
      <c r="AC135" s="255">
        <f>SUMIFS('Livro Diario - FC'!$K$11:$K1028,'Livro Diario - FC'!$E$11:$E1028,$C$135,'Livro Diario - FC'!$D$11:$D1028,"&gt;=01/06"&amp;$C$7,'Livro Diario - FC'!$D$11:$D1028,"&lt;=30/06"&amp;$C$7)</f>
        <v>0</v>
      </c>
      <c r="AD135" s="256">
        <f>SUMIFS('Livro Diario - FC'!$M$11:$M1028,'Livro Diario - FC'!$E$11:$E1028,$C$135,'Livro Diario - FC'!$D$11:$D1028,"&gt;=01/06"&amp;$C$7,'Livro Diario - FC'!$D$11:$D1028,"&lt;=30/06"&amp;$C$7)</f>
        <v>0</v>
      </c>
      <c r="AE135" s="273"/>
      <c r="AF135" s="258"/>
      <c r="AG135" s="255">
        <f>SUMIFS('Livro Diario - FC'!$K$11:$K1028,'Livro Diario - FC'!$E$11:$E1028,$C$135,'Livro Diario - FC'!$D$11:$D1028,"&gt;=01/07"&amp;$C$7,'Livro Diario - FC'!$D$11:$D1028,"&lt;=31/07"&amp;$C$7)</f>
        <v>0</v>
      </c>
      <c r="AH135" s="256">
        <f>SUMIFS('Livro Diario - FC'!$M$11:$M1028,'Livro Diario - FC'!$E$11:$E1028,$C$135,'Livro Diario - FC'!$D$11:$D1028,"&gt;=01/07"&amp;$C$7,'Livro Diario - FC'!$D$11:$D1028,"&lt;=31/07"&amp;$C$7)</f>
        <v>0</v>
      </c>
      <c r="AI135" s="273"/>
      <c r="AJ135" s="258"/>
      <c r="AK135" s="255">
        <f>SUMIFS('Livro Diario - FC'!$K$11:$K1028,'Livro Diario - FC'!$E$11:$E1028,$C$135,'Livro Diario - FC'!$D$11:$D1028,"&gt;=01/08"&amp;$C$7,'Livro Diario - FC'!$D$11:$D1028,"&lt;=31/08"&amp;$C$7)</f>
        <v>0</v>
      </c>
      <c r="AL135" s="256">
        <f>SUMIFS('Livro Diario - FC'!$M$11:$M1028,'Livro Diario - FC'!$E$11:$E1028,$C$135,'Livro Diario - FC'!$D$11:$D1028,"&gt;=01/08"&amp;$C$7,'Livro Diario - FC'!$D$11:$D1028,"&lt;=31/08"&amp;$C$7)</f>
        <v>0</v>
      </c>
      <c r="AM135" s="273"/>
      <c r="AN135" s="258"/>
      <c r="AO135" s="255">
        <f>SUMIFS('Livro Diario - FC'!$K$11:$K1028,'Livro Diario - FC'!$E$11:$E1028,$C$135,'Livro Diario - FC'!$D$11:$D1028,"&gt;=01/09"&amp;$C$7,'Livro Diario - FC'!$D$11:$D1028,"&lt;=30/09"&amp;$C$7)</f>
        <v>0</v>
      </c>
      <c r="AP135" s="256">
        <f>SUMIFS('Livro Diario - FC'!$M$11:$M1028,'Livro Diario - FC'!$E$11:$E1028,$C$135,'Livro Diario - FC'!$D$11:$D1028,"&gt;=01/09"&amp;$C$7,'Livro Diario - FC'!$D$11:$D1028,"&lt;=30/09"&amp;$C$7)</f>
        <v>0</v>
      </c>
      <c r="AQ135" s="273"/>
      <c r="AR135" s="258"/>
      <c r="AS135" s="255">
        <f>SUMIFS('Livro Diario - FC'!$K$11:$K1028,'Livro Diario - FC'!$E$11:$E1028,$C$135,'Livro Diario - FC'!$D$11:$D1028,"&gt;=01/10"&amp;$C$7,'Livro Diario - FC'!$D$11:$D1028,"&lt;=31/10"&amp;$C$7)</f>
        <v>0</v>
      </c>
      <c r="AT135" s="256">
        <f>SUMIFS('Livro Diario - FC'!$M$11:$M1028,'Livro Diario - FC'!$E$11:$E1028,$C$135,'Livro Diario - FC'!$D$11:$D1028,"&gt;=01/10"&amp;$C$7,'Livro Diario - FC'!$D$11:$D1028,"&lt;=31/10"&amp;$C$7)</f>
        <v>0</v>
      </c>
      <c r="AU135" s="273"/>
      <c r="AV135" s="258"/>
      <c r="AW135" s="255">
        <f>SUMIFS('Livro Diario - FC'!$K$11:$K1028,'Livro Diario - FC'!$E$11:$E1028,$C$135,'Livro Diario - FC'!$D$11:$D1028,"&gt;=01/11"&amp;$C$7,'Livro Diario - FC'!$D$11:$D1028,"&lt;=30/11"&amp;$C$7)</f>
        <v>0</v>
      </c>
      <c r="AX135" s="256">
        <f>SUMIFS('Livro Diario - FC'!$M$11:$M1028,'Livro Diario - FC'!$E$11:$E1028,$C$135,'Livro Diario - FC'!$D$11:$D1028,"&gt;=01/11"&amp;$C$7,'Livro Diario - FC'!$D$11:$D1028,"&lt;=30/11"&amp;$C$7)</f>
        <v>0</v>
      </c>
      <c r="AY135" s="273"/>
      <c r="AZ135" s="258"/>
      <c r="BA135" s="255">
        <f>SUMIFS('Livro Diario - FC'!$K$11:$K1028,'Livro Diario - FC'!$E$11:$E1028,$C$135,'Livro Diario - FC'!$D$11:$D1028,"&gt;=01/12"&amp;$C$7,'Livro Diario - FC'!$D$11:$D1028,"&lt;=31/12"&amp;$C$7)</f>
        <v>0</v>
      </c>
      <c r="BB135" s="256">
        <f>SUMIFS('Livro Diario - FC'!$M$11:$M1028,'Livro Diario - FC'!$E$11:$E1028,$C$135,'Livro Diario - FC'!$D$11:$D1028,"&gt;=01/12"&amp;$C$7,'Livro Diario - FC'!$D$11:$D1028,"&lt;=31/12"&amp;$C$7)</f>
        <v>0</v>
      </c>
      <c r="BC135" s="273"/>
      <c r="BD135" s="273"/>
      <c r="BE135" s="267">
        <f t="shared" ref="BE135:BF135" si="236">SUM(D135,I135,N135,S135,X135,AC135,AG135,AK135,AO135,AS135,AW135,BA135)</f>
        <v>0</v>
      </c>
      <c r="BF135" s="268">
        <f t="shared" si="236"/>
        <v>0</v>
      </c>
      <c r="BG135" s="269"/>
      <c r="BH135" s="192"/>
      <c r="BI135" s="270">
        <f>SUMIFS('Livro Diario - FC'!$M$11:$M1028,'Livro Diario - FC'!$E$11:$E1028,C135,'Livro Diario - FC'!$D$11:$D1028,"&gt;="&amp;$BK$8,'Livro Diario - FC'!$D$11:$D1028,"&lt;="&amp;$BK$9)</f>
        <v>0</v>
      </c>
      <c r="BJ135" s="271"/>
      <c r="BK135" s="272"/>
      <c r="BL135" s="1"/>
    </row>
    <row r="136">
      <c r="A136" s="1"/>
      <c r="B136" s="1"/>
      <c r="C136" s="338" t="str">
        <f>'Livro Diario - FC'!AE145</f>
        <v>Polpa cajá</v>
      </c>
      <c r="D136" s="255">
        <f>SUMIFS('Livro Diario - FC'!$K$11:$K1028,'Livro Diario - FC'!$E$11:$E1028,$C$136,'Livro Diario - FC'!$D$11:$D1028,"&gt;=01/01"&amp;$C$7,'Livro Diario - FC'!$D$11:$D1028,"&lt;=31/01"&amp;$C$7)</f>
        <v>0</v>
      </c>
      <c r="E136" s="256">
        <f>SUMIFS('Livro Diario - FC'!$M$11:$M1028,'Livro Diario - FC'!$E$11:$E1028,$C$136,'Livro Diario - FC'!$D$11:$D1028,"&gt;=01/01"&amp;$C$7,'Livro Diario - FC'!$D$11:$D1028,"&lt;=31/01"&amp;$C$7)</f>
        <v>0</v>
      </c>
      <c r="F136" s="273"/>
      <c r="G136" s="258"/>
      <c r="H136" s="157"/>
      <c r="I136" s="255">
        <f>SUMIFS('Livro Diario - FC'!$K$11:$K1028,'Livro Diario - FC'!$E$11:$E1028,$C$136,'Livro Diario - FC'!$D$11:$D1028,"&gt;=01/02"&amp;$C$7,'Livro Diario - FC'!$D$11:$D1028,"&lt;=29/02"&amp;$C$7)</f>
        <v>0</v>
      </c>
      <c r="J136" s="256">
        <f>SUMIFS('Livro Diario - FC'!$M$11:$M1028,'Livro Diario - FC'!$E$11:$E1028,$C$136,'Livro Diario - FC'!$D$11:$D1028,"&gt;=01/02"&amp;$C$7,'Livro Diario - FC'!$D$11:$D1028,"&lt;=29/02"&amp;$C$7)</f>
        <v>0</v>
      </c>
      <c r="K136" s="273"/>
      <c r="L136" s="258"/>
      <c r="M136" s="259"/>
      <c r="N136" s="255">
        <f>SUMIFS('Livro Diario - FC'!$K$11:$K1028,'Livro Diario - FC'!$E$11:$E1028,$C$136,'Livro Diario - FC'!$D$11:$D1028,"&gt;=01/03"&amp;$C$7,'Livro Diario - FC'!$D$11:$D1028,"&lt;=31/03"&amp;$C$7)</f>
        <v>0</v>
      </c>
      <c r="O136" s="256">
        <f>SUMIFS('Livro Diario - FC'!$M$11:$M1028,'Livro Diario - FC'!$E$11:$E1028,$C$136,'Livro Diario - FC'!$D$11:$D1028,"&gt;=01/03"&amp;$C$7,'Livro Diario - FC'!$D$11:$D1028,"&lt;=31/03"&amp;$C$7)</f>
        <v>0</v>
      </c>
      <c r="P136" s="273"/>
      <c r="Q136" s="258"/>
      <c r="R136" s="259"/>
      <c r="S136" s="255">
        <f>SUMIFS('Livro Diario - FC'!$K$11:$K1028,'Livro Diario - FC'!$E$11:$E1028,$C$136,'Livro Diario - FC'!$D$11:$D1028,"&gt;=01/04"&amp;$C$7,'Livro Diario - FC'!$D$11:$D1028,"&lt;=30/04"&amp;$C$7)</f>
        <v>0</v>
      </c>
      <c r="T136" s="256">
        <f>SUMIFS('Livro Diario - FC'!$M$11:$M1028,'Livro Diario - FC'!$E$11:$E1028,$C$136,'Livro Diario - FC'!$D$11:$D1028,"&gt;=01/04"&amp;$C$7,'Livro Diario - FC'!$D$11:$D1028,"&lt;=30/04"&amp;$C$7)</f>
        <v>0</v>
      </c>
      <c r="U136" s="273"/>
      <c r="V136" s="258"/>
      <c r="W136" s="259"/>
      <c r="X136" s="255">
        <f>SUMIFS('Livro Diario - FC'!$K$11:$K1028,'Livro Diario - FC'!$E$11:$E1028,$C$136,'Livro Diario - FC'!$D$11:$D1028,"&gt;=01/05"&amp;$C$7,'Livro Diario - FC'!$D$11:$D1028,"&lt;=31/05"&amp;$C$7)</f>
        <v>0</v>
      </c>
      <c r="Y136" s="256">
        <f>SUMIFS('Livro Diario - FC'!$M$11:$M1028,'Livro Diario - FC'!$E$11:$E1028,$C$136,'Livro Diario - FC'!$D$11:$D1028,"&gt;=01/05"&amp;$C$7,'Livro Diario - FC'!$D$11:$D1028,"&lt;=31/05"&amp;$C$7)</f>
        <v>0</v>
      </c>
      <c r="Z136" s="273"/>
      <c r="AA136" s="258"/>
      <c r="AB136" s="259"/>
      <c r="AC136" s="255">
        <f>SUMIFS('Livro Diario - FC'!$K$11:$K1028,'Livro Diario - FC'!$E$11:$E1028,$C$136,'Livro Diario - FC'!$D$11:$D1028,"&gt;=01/06"&amp;$C$7,'Livro Diario - FC'!$D$11:$D1028,"&lt;=30/06"&amp;$C$7)</f>
        <v>0</v>
      </c>
      <c r="AD136" s="256">
        <f>SUMIFS('Livro Diario - FC'!$M$11:$M1028,'Livro Diario - FC'!$E$11:$E1028,$C$136,'Livro Diario - FC'!$D$11:$D1028,"&gt;=01/06"&amp;$C$7,'Livro Diario - FC'!$D$11:$D1028,"&lt;=30/06"&amp;$C$7)</f>
        <v>0</v>
      </c>
      <c r="AE136" s="273"/>
      <c r="AF136" s="258"/>
      <c r="AG136" s="255">
        <f>SUMIFS('Livro Diario - FC'!$K$11:$K1028,'Livro Diario - FC'!$E$11:$E1028,$C$136,'Livro Diario - FC'!$D$11:$D1028,"&gt;=01/07"&amp;$C$7,'Livro Diario - FC'!$D$11:$D1028,"&lt;=31/07"&amp;$C$7)</f>
        <v>0</v>
      </c>
      <c r="AH136" s="256">
        <f>SUMIFS('Livro Diario - FC'!$M$11:$M1028,'Livro Diario - FC'!$E$11:$E1028,$C$136,'Livro Diario - FC'!$D$11:$D1028,"&gt;=01/07"&amp;$C$7,'Livro Diario - FC'!$D$11:$D1028,"&lt;=31/07"&amp;$C$7)</f>
        <v>0</v>
      </c>
      <c r="AI136" s="273"/>
      <c r="AJ136" s="258"/>
      <c r="AK136" s="255">
        <f>SUMIFS('Livro Diario - FC'!$K$11:$K1028,'Livro Diario - FC'!$E$11:$E1028,$C$136,'Livro Diario - FC'!$D$11:$D1028,"&gt;=01/08"&amp;$C$7,'Livro Diario - FC'!$D$11:$D1028,"&lt;=31/08"&amp;$C$7)</f>
        <v>0</v>
      </c>
      <c r="AL136" s="256">
        <f>SUMIFS('Livro Diario - FC'!$M$11:$M1028,'Livro Diario - FC'!$E$11:$E1028,$C$136,'Livro Diario - FC'!$D$11:$D1028,"&gt;=01/08"&amp;$C$7,'Livro Diario - FC'!$D$11:$D1028,"&lt;=31/08"&amp;$C$7)</f>
        <v>0</v>
      </c>
      <c r="AM136" s="273"/>
      <c r="AN136" s="258"/>
      <c r="AO136" s="255">
        <f>SUMIFS('Livro Diario - FC'!$K$11:$K1028,'Livro Diario - FC'!$E$11:$E1028,$C$136,'Livro Diario - FC'!$D$11:$D1028,"&gt;=01/09"&amp;$C$7,'Livro Diario - FC'!$D$11:$D1028,"&lt;=30/09"&amp;$C$7)</f>
        <v>0</v>
      </c>
      <c r="AP136" s="256">
        <f>SUMIFS('Livro Diario - FC'!$M$11:$M1028,'Livro Diario - FC'!$E$11:$E1028,$C$136,'Livro Diario - FC'!$D$11:$D1028,"&gt;=01/09"&amp;$C$7,'Livro Diario - FC'!$D$11:$D1028,"&lt;=30/09"&amp;$C$7)</f>
        <v>0</v>
      </c>
      <c r="AQ136" s="273"/>
      <c r="AR136" s="258"/>
      <c r="AS136" s="255">
        <f>SUMIFS('Livro Diario - FC'!$K$11:$K1028,'Livro Diario - FC'!$E$11:$E1028,$C$136,'Livro Diario - FC'!$D$11:$D1028,"&gt;=01/10"&amp;$C$7,'Livro Diario - FC'!$D$11:$D1028,"&lt;=31/10"&amp;$C$7)</f>
        <v>0</v>
      </c>
      <c r="AT136" s="256">
        <f>SUMIFS('Livro Diario - FC'!$M$11:$M1028,'Livro Diario - FC'!$E$11:$E1028,$C$136,'Livro Diario - FC'!$D$11:$D1028,"&gt;=01/10"&amp;$C$7,'Livro Diario - FC'!$D$11:$D1028,"&lt;=31/10"&amp;$C$7)</f>
        <v>0</v>
      </c>
      <c r="AU136" s="273"/>
      <c r="AV136" s="258"/>
      <c r="AW136" s="255">
        <f>SUMIFS('Livro Diario - FC'!$K$11:$K1028,'Livro Diario - FC'!$E$11:$E1028,$C$136,'Livro Diario - FC'!$D$11:$D1028,"&gt;=01/11"&amp;$C$7,'Livro Diario - FC'!$D$11:$D1028,"&lt;=30/11"&amp;$C$7)</f>
        <v>0</v>
      </c>
      <c r="AX136" s="256">
        <f>SUMIFS('Livro Diario - FC'!$M$11:$M1028,'Livro Diario - FC'!$E$11:$E1028,$C$136,'Livro Diario - FC'!$D$11:$D1028,"&gt;=01/11"&amp;$C$7,'Livro Diario - FC'!$D$11:$D1028,"&lt;=30/11"&amp;$C$7)</f>
        <v>0</v>
      </c>
      <c r="AY136" s="273"/>
      <c r="AZ136" s="258"/>
      <c r="BA136" s="255">
        <f>SUMIFS('Livro Diario - FC'!$K$11:$K1028,'Livro Diario - FC'!$E$11:$E1028,$C$136,'Livro Diario - FC'!$D$11:$D1028,"&gt;=01/12"&amp;$C$7,'Livro Diario - FC'!$D$11:$D1028,"&lt;=31/12"&amp;$C$7)</f>
        <v>0</v>
      </c>
      <c r="BB136" s="256">
        <f>SUMIFS('Livro Diario - FC'!$M$11:$M1028,'Livro Diario - FC'!$E$11:$E1028,$C$136,'Livro Diario - FC'!$D$11:$D1028,"&gt;=01/12"&amp;$C$7,'Livro Diario - FC'!$D$11:$D1028,"&lt;=31/12"&amp;$C$7)</f>
        <v>0</v>
      </c>
      <c r="BC136" s="273"/>
      <c r="BD136" s="273"/>
      <c r="BE136" s="267">
        <f t="shared" ref="BE136:BF136" si="237">SUM(D136,I136,N136,S136,X136,AC136,AG136,AK136,AO136,AS136,AW136,BA136)</f>
        <v>0</v>
      </c>
      <c r="BF136" s="268">
        <f t="shared" si="237"/>
        <v>0</v>
      </c>
      <c r="BG136" s="269"/>
      <c r="BH136" s="192"/>
      <c r="BI136" s="270">
        <f>SUMIFS('Livro Diario - FC'!$M$11:$M1028,'Livro Diario - FC'!$E$11:$E1028,C136,'Livro Diario - FC'!$D$11:$D1028,"&gt;="&amp;$BK$8,'Livro Diario - FC'!$D$11:$D1028,"&lt;="&amp;$BK$9)</f>
        <v>0</v>
      </c>
      <c r="BJ136" s="271"/>
      <c r="BK136" s="272"/>
      <c r="BL136" s="1"/>
    </row>
    <row r="137">
      <c r="A137" s="1"/>
      <c r="B137" s="1"/>
      <c r="C137" s="338" t="str">
        <f>'Livro Diario - FC'!AE146</f>
        <v>Polpa Mangaba</v>
      </c>
      <c r="D137" s="255">
        <f>SUMIFS('Livro Diario - FC'!$K$11:$K1028,'Livro Diario - FC'!$E$11:$E1028,$C$137,'Livro Diario - FC'!$D$11:$D1028,"&gt;=01/01"&amp;$C$7,'Livro Diario - FC'!$D$11:$D1028,"&lt;=31/01"&amp;$C$7)</f>
        <v>0</v>
      </c>
      <c r="E137" s="256">
        <f>SUMIFS('Livro Diario - FC'!$M$11:$M1028,'Livro Diario - FC'!$E$11:$E1028,$C$137,'Livro Diario - FC'!$D$11:$D1028,"&gt;=01/01"&amp;$C$7,'Livro Diario - FC'!$D$11:$D1028,"&lt;=31/01"&amp;$C$7)</f>
        <v>0</v>
      </c>
      <c r="F137" s="273"/>
      <c r="G137" s="258"/>
      <c r="H137" s="157"/>
      <c r="I137" s="255">
        <f>SUMIFS('Livro Diario - FC'!$K$11:$K1028,'Livro Diario - FC'!$E$11:$E1028,$C$137,'Livro Diario - FC'!$D$11:$D1028,"&gt;=01/02"&amp;$C$7,'Livro Diario - FC'!$D$11:$D1028,"&lt;=29/02"&amp;$C$7)</f>
        <v>0</v>
      </c>
      <c r="J137" s="256">
        <f>SUMIFS('Livro Diario - FC'!$M$11:$M1028,'Livro Diario - FC'!$E$11:$E1028,$C$137,'Livro Diario - FC'!$D$11:$D1028,"&gt;=01/02"&amp;$C$7,'Livro Diario - FC'!$D$11:$D1028,"&lt;=29/02"&amp;$C$7)</f>
        <v>0</v>
      </c>
      <c r="K137" s="273"/>
      <c r="L137" s="258"/>
      <c r="M137" s="259"/>
      <c r="N137" s="255">
        <f>SUMIFS('Livro Diario - FC'!$K$11:$K1028,'Livro Diario - FC'!$E$11:$E1028,$C$137,'Livro Diario - FC'!$D$11:$D1028,"&gt;=01/03"&amp;$C$7,'Livro Diario - FC'!$D$11:$D1028,"&lt;=31/03"&amp;$C$7)</f>
        <v>0</v>
      </c>
      <c r="O137" s="256">
        <f>SUMIFS('Livro Diario - FC'!$M$11:$M1028,'Livro Diario - FC'!$E$11:$E1028,$C$137,'Livro Diario - FC'!$D$11:$D1028,"&gt;=01/03"&amp;$C$7,'Livro Diario - FC'!$D$11:$D1028,"&lt;=31/03"&amp;$C$7)</f>
        <v>0</v>
      </c>
      <c r="P137" s="273"/>
      <c r="Q137" s="258"/>
      <c r="R137" s="259"/>
      <c r="S137" s="255">
        <f>SUMIFS('Livro Diario - FC'!$K$11:$K1028,'Livro Diario - FC'!$E$11:$E1028,$C$137,'Livro Diario - FC'!$D$11:$D1028,"&gt;=01/04"&amp;$C$7,'Livro Diario - FC'!$D$11:$D1028,"&lt;=30/04"&amp;$C$7)</f>
        <v>0</v>
      </c>
      <c r="T137" s="256">
        <f>SUMIFS('Livro Diario - FC'!$M$11:$M1028,'Livro Diario - FC'!$E$11:$E1028,$C$137,'Livro Diario - FC'!$D$11:$D1028,"&gt;=01/04"&amp;$C$7,'Livro Diario - FC'!$D$11:$D1028,"&lt;=30/04"&amp;$C$7)</f>
        <v>0</v>
      </c>
      <c r="U137" s="273"/>
      <c r="V137" s="258"/>
      <c r="W137" s="259"/>
      <c r="X137" s="255">
        <f>SUMIFS('Livro Diario - FC'!$K$11:$K1028,'Livro Diario - FC'!$E$11:$E1028,$C$137,'Livro Diario - FC'!$D$11:$D1028,"&gt;=01/05"&amp;$C$7,'Livro Diario - FC'!$D$11:$D1028,"&lt;=31/05"&amp;$C$7)</f>
        <v>0</v>
      </c>
      <c r="Y137" s="256">
        <f>SUMIFS('Livro Diario - FC'!$M$11:$M1028,'Livro Diario - FC'!$E$11:$E1028,$C$137,'Livro Diario - FC'!$D$11:$D1028,"&gt;=01/05"&amp;$C$7,'Livro Diario - FC'!$D$11:$D1028,"&lt;=31/05"&amp;$C$7)</f>
        <v>0</v>
      </c>
      <c r="Z137" s="273"/>
      <c r="AA137" s="258"/>
      <c r="AB137" s="259"/>
      <c r="AC137" s="255">
        <f>SUMIFS('Livro Diario - FC'!$K$11:$K1028,'Livro Diario - FC'!$E$11:$E1028,$C$137,'Livro Diario - FC'!$D$11:$D1028,"&gt;=01/06"&amp;$C$7,'Livro Diario - FC'!$D$11:$D1028,"&lt;=30/06"&amp;$C$7)</f>
        <v>0</v>
      </c>
      <c r="AD137" s="256">
        <f>SUMIFS('Livro Diario - FC'!$M$11:$M1028,'Livro Diario - FC'!$E$11:$E1028,$C$137,'Livro Diario - FC'!$D$11:$D1028,"&gt;=01/06"&amp;$C$7,'Livro Diario - FC'!$D$11:$D1028,"&lt;=30/06"&amp;$C$7)</f>
        <v>0</v>
      </c>
      <c r="AE137" s="273"/>
      <c r="AF137" s="258"/>
      <c r="AG137" s="255">
        <f>SUMIFS('Livro Diario - FC'!$K$11:$K1028,'Livro Diario - FC'!$E$11:$E1028,$C$137,'Livro Diario - FC'!$D$11:$D1028,"&gt;=01/07"&amp;$C$7,'Livro Diario - FC'!$D$11:$D1028,"&lt;=31/07"&amp;$C$7)</f>
        <v>0</v>
      </c>
      <c r="AH137" s="256">
        <f>SUMIFS('Livro Diario - FC'!$M$11:$M1028,'Livro Diario - FC'!$E$11:$E1028,$C$137,'Livro Diario - FC'!$D$11:$D1028,"&gt;=01/07"&amp;$C$7,'Livro Diario - FC'!$D$11:$D1028,"&lt;=31/07"&amp;$C$7)</f>
        <v>0</v>
      </c>
      <c r="AI137" s="273"/>
      <c r="AJ137" s="258"/>
      <c r="AK137" s="255">
        <f>SUMIFS('Livro Diario - FC'!$K$11:$K1028,'Livro Diario - FC'!$E$11:$E1028,$C$137,'Livro Diario - FC'!$D$11:$D1028,"&gt;=01/08"&amp;$C$7,'Livro Diario - FC'!$D$11:$D1028,"&lt;=31/08"&amp;$C$7)</f>
        <v>0</v>
      </c>
      <c r="AL137" s="256">
        <f>SUMIFS('Livro Diario - FC'!$M$11:$M1028,'Livro Diario - FC'!$E$11:$E1028,$C$137,'Livro Diario - FC'!$D$11:$D1028,"&gt;=01/08"&amp;$C$7,'Livro Diario - FC'!$D$11:$D1028,"&lt;=31/08"&amp;$C$7)</f>
        <v>0</v>
      </c>
      <c r="AM137" s="273"/>
      <c r="AN137" s="258"/>
      <c r="AO137" s="255">
        <f>SUMIFS('Livro Diario - FC'!$K$11:$K1028,'Livro Diario - FC'!$E$11:$E1028,$C$137,'Livro Diario - FC'!$D$11:$D1028,"&gt;=01/09"&amp;$C$7,'Livro Diario - FC'!$D$11:$D1028,"&lt;=30/09"&amp;$C$7)</f>
        <v>0</v>
      </c>
      <c r="AP137" s="256">
        <f>SUMIFS('Livro Diario - FC'!$M$11:$M1028,'Livro Diario - FC'!$E$11:$E1028,$C$137,'Livro Diario - FC'!$D$11:$D1028,"&gt;=01/09"&amp;$C$7,'Livro Diario - FC'!$D$11:$D1028,"&lt;=30/09"&amp;$C$7)</f>
        <v>0</v>
      </c>
      <c r="AQ137" s="273"/>
      <c r="AR137" s="258"/>
      <c r="AS137" s="255">
        <f>SUMIFS('Livro Diario - FC'!$K$11:$K1028,'Livro Diario - FC'!$E$11:$E1028,$C$137,'Livro Diario - FC'!$D$11:$D1028,"&gt;=01/10"&amp;$C$7,'Livro Diario - FC'!$D$11:$D1028,"&lt;=31/10"&amp;$C$7)</f>
        <v>0</v>
      </c>
      <c r="AT137" s="256">
        <f>SUMIFS('Livro Diario - FC'!$M$11:$M1028,'Livro Diario - FC'!$E$11:$E1028,$C$137,'Livro Diario - FC'!$D$11:$D1028,"&gt;=01/10"&amp;$C$7,'Livro Diario - FC'!$D$11:$D1028,"&lt;=31/10"&amp;$C$7)</f>
        <v>0</v>
      </c>
      <c r="AU137" s="273"/>
      <c r="AV137" s="258"/>
      <c r="AW137" s="255">
        <f>SUMIFS('Livro Diario - FC'!$K$11:$K1028,'Livro Diario - FC'!$E$11:$E1028,$C$137,'Livro Diario - FC'!$D$11:$D1028,"&gt;=01/11"&amp;$C$7,'Livro Diario - FC'!$D$11:$D1028,"&lt;=30/11"&amp;$C$7)</f>
        <v>0</v>
      </c>
      <c r="AX137" s="256">
        <f>SUMIFS('Livro Diario - FC'!$M$11:$M1028,'Livro Diario - FC'!$E$11:$E1028,$C$137,'Livro Diario - FC'!$D$11:$D1028,"&gt;=01/11"&amp;$C$7,'Livro Diario - FC'!$D$11:$D1028,"&lt;=30/11"&amp;$C$7)</f>
        <v>0</v>
      </c>
      <c r="AY137" s="273"/>
      <c r="AZ137" s="258"/>
      <c r="BA137" s="255">
        <f>SUMIFS('Livro Diario - FC'!$K$11:$K1028,'Livro Diario - FC'!$E$11:$E1028,$C$137,'Livro Diario - FC'!$D$11:$D1028,"&gt;=01/12"&amp;$C$7,'Livro Diario - FC'!$D$11:$D1028,"&lt;=31/12"&amp;$C$7)</f>
        <v>0</v>
      </c>
      <c r="BB137" s="256">
        <f>SUMIFS('Livro Diario - FC'!$M$11:$M1028,'Livro Diario - FC'!$E$11:$E1028,$C$137,'Livro Diario - FC'!$D$11:$D1028,"&gt;=01/12"&amp;$C$7,'Livro Diario - FC'!$D$11:$D1028,"&lt;=31/12"&amp;$C$7)</f>
        <v>0</v>
      </c>
      <c r="BC137" s="273"/>
      <c r="BD137" s="273"/>
      <c r="BE137" s="267">
        <f t="shared" ref="BE137:BF137" si="238">SUM(D137,I137,N137,S137,X137,AC137,AG137,AK137,AO137,AS137,AW137,BA137)</f>
        <v>0</v>
      </c>
      <c r="BF137" s="268">
        <f t="shared" si="238"/>
        <v>0</v>
      </c>
      <c r="BG137" s="269"/>
      <c r="BH137" s="192"/>
      <c r="BI137" s="270">
        <f>SUMIFS('Livro Diario - FC'!$M$11:$M1028,'Livro Diario - FC'!$E$11:$E1028,C137,'Livro Diario - FC'!$D$11:$D1028,"&gt;="&amp;$BK$8,'Livro Diario - FC'!$D$11:$D1028,"&lt;="&amp;$BK$9)</f>
        <v>0</v>
      </c>
      <c r="BJ137" s="271"/>
      <c r="BK137" s="272"/>
      <c r="BL137" s="1"/>
    </row>
    <row r="138">
      <c r="A138" s="1"/>
      <c r="B138" s="1"/>
      <c r="C138" s="338" t="str">
        <f>'Livro Diario - FC'!AE147</f>
        <v>Polpa Abacaxi Hortela</v>
      </c>
      <c r="D138" s="255">
        <f>SUMIFS('Livro Diario - FC'!$K$11:$K1028,'Livro Diario - FC'!$E$11:$E1028,$C$138,'Livro Diario - FC'!$D$11:$D1028,"&gt;=01/01"&amp;$C$7,'Livro Diario - FC'!$D$11:$D1028,"&lt;=31/01"&amp;$C$7)</f>
        <v>0</v>
      </c>
      <c r="E138" s="256">
        <f>SUMIFS('Livro Diario - FC'!$M$11:$M1028,'Livro Diario - FC'!$E$11:$E1028,$C$138,'Livro Diario - FC'!$D$11:$D1028,"&gt;=01/01"&amp;$C$7,'Livro Diario - FC'!$D$11:$D1028,"&lt;=31/01"&amp;$C$7)</f>
        <v>0</v>
      </c>
      <c r="F138" s="273"/>
      <c r="G138" s="258"/>
      <c r="H138" s="157"/>
      <c r="I138" s="255">
        <f>SUMIFS('Livro Diario - FC'!$K$11:$K1028,'Livro Diario - FC'!$E$11:$E1028,$C$138,'Livro Diario - FC'!$D$11:$D1028,"&gt;=01/02"&amp;$C$7,'Livro Diario - FC'!$D$11:$D1028,"&lt;=29/02"&amp;$C$7)</f>
        <v>0</v>
      </c>
      <c r="J138" s="256">
        <f>SUMIFS('Livro Diario - FC'!$M$11:$M1028,'Livro Diario - FC'!$E$11:$E1028,$C$138,'Livro Diario - FC'!$D$11:$D1028,"&gt;=01/02"&amp;$C$7,'Livro Diario - FC'!$D$11:$D1028,"&lt;=29/02"&amp;$C$7)</f>
        <v>0</v>
      </c>
      <c r="K138" s="273"/>
      <c r="L138" s="258"/>
      <c r="M138" s="259"/>
      <c r="N138" s="255">
        <f>SUMIFS('Livro Diario - FC'!$K$11:$K1028,'Livro Diario - FC'!$E$11:$E1028,$C$138,'Livro Diario - FC'!$D$11:$D1028,"&gt;=01/03"&amp;$C$7,'Livro Diario - FC'!$D$11:$D1028,"&lt;=31/03"&amp;$C$7)</f>
        <v>0</v>
      </c>
      <c r="O138" s="256">
        <f>SUMIFS('Livro Diario - FC'!$M$11:$M1028,'Livro Diario - FC'!$E$11:$E1028,$C$138,'Livro Diario - FC'!$D$11:$D1028,"&gt;=01/03"&amp;$C$7,'Livro Diario - FC'!$D$11:$D1028,"&lt;=31/03"&amp;$C$7)</f>
        <v>0</v>
      </c>
      <c r="P138" s="273"/>
      <c r="Q138" s="258"/>
      <c r="R138" s="259"/>
      <c r="S138" s="255">
        <f>SUMIFS('Livro Diario - FC'!$K$11:$K1028,'Livro Diario - FC'!$E$11:$E1028,$C$138,'Livro Diario - FC'!$D$11:$D1028,"&gt;=01/04"&amp;$C$7,'Livro Diario - FC'!$D$11:$D1028,"&lt;=30/04"&amp;$C$7)</f>
        <v>0</v>
      </c>
      <c r="T138" s="256">
        <f>SUMIFS('Livro Diario - FC'!$M$11:$M1028,'Livro Diario - FC'!$E$11:$E1028,$C$138,'Livro Diario - FC'!$D$11:$D1028,"&gt;=01/04"&amp;$C$7,'Livro Diario - FC'!$D$11:$D1028,"&lt;=30/04"&amp;$C$7)</f>
        <v>0</v>
      </c>
      <c r="U138" s="273"/>
      <c r="V138" s="258"/>
      <c r="W138" s="259"/>
      <c r="X138" s="255">
        <f>SUMIFS('Livro Diario - FC'!$K$11:$K1028,'Livro Diario - FC'!$E$11:$E1028,$C$138,'Livro Diario - FC'!$D$11:$D1028,"&gt;=01/05"&amp;$C$7,'Livro Diario - FC'!$D$11:$D1028,"&lt;=31/05"&amp;$C$7)</f>
        <v>0</v>
      </c>
      <c r="Y138" s="256">
        <f>SUMIFS('Livro Diario - FC'!$M$11:$M1028,'Livro Diario - FC'!$E$11:$E1028,$C$138,'Livro Diario - FC'!$D$11:$D1028,"&gt;=01/05"&amp;$C$7,'Livro Diario - FC'!$D$11:$D1028,"&lt;=31/05"&amp;$C$7)</f>
        <v>0</v>
      </c>
      <c r="Z138" s="273"/>
      <c r="AA138" s="258"/>
      <c r="AB138" s="259"/>
      <c r="AC138" s="255">
        <f>SUMIFS('Livro Diario - FC'!$K$11:$K1028,'Livro Diario - FC'!$E$11:$E1028,$C$138,'Livro Diario - FC'!$D$11:$D1028,"&gt;=01/06"&amp;$C$7,'Livro Diario - FC'!$D$11:$D1028,"&lt;=30/06"&amp;$C$7)</f>
        <v>0</v>
      </c>
      <c r="AD138" s="256">
        <f>SUMIFS('Livro Diario - FC'!$M$11:$M1028,'Livro Diario - FC'!$E$11:$E1028,$C$138,'Livro Diario - FC'!$D$11:$D1028,"&gt;=01/06"&amp;$C$7,'Livro Diario - FC'!$D$11:$D1028,"&lt;=30/06"&amp;$C$7)</f>
        <v>0</v>
      </c>
      <c r="AE138" s="273"/>
      <c r="AF138" s="258"/>
      <c r="AG138" s="255">
        <f>SUMIFS('Livro Diario - FC'!$K$11:$K1028,'Livro Diario - FC'!$E$11:$E1028,$C$138,'Livro Diario - FC'!$D$11:$D1028,"&gt;=01/07"&amp;$C$7,'Livro Diario - FC'!$D$11:$D1028,"&lt;=31/07"&amp;$C$7)</f>
        <v>0</v>
      </c>
      <c r="AH138" s="256">
        <f>SUMIFS('Livro Diario - FC'!$M$11:$M1028,'Livro Diario - FC'!$E$11:$E1028,$C$138,'Livro Diario - FC'!$D$11:$D1028,"&gt;=01/07"&amp;$C$7,'Livro Diario - FC'!$D$11:$D1028,"&lt;=31/07"&amp;$C$7)</f>
        <v>0</v>
      </c>
      <c r="AI138" s="273"/>
      <c r="AJ138" s="258"/>
      <c r="AK138" s="255">
        <f>SUMIFS('Livro Diario - FC'!$K$11:$K1028,'Livro Diario - FC'!$E$11:$E1028,$C$138,'Livro Diario - FC'!$D$11:$D1028,"&gt;=01/08"&amp;$C$7,'Livro Diario - FC'!$D$11:$D1028,"&lt;=31/08"&amp;$C$7)</f>
        <v>0</v>
      </c>
      <c r="AL138" s="256">
        <f>SUMIFS('Livro Diario - FC'!$M$11:$M1028,'Livro Diario - FC'!$E$11:$E1028,$C$138,'Livro Diario - FC'!$D$11:$D1028,"&gt;=01/08"&amp;$C$7,'Livro Diario - FC'!$D$11:$D1028,"&lt;=31/08"&amp;$C$7)</f>
        <v>0</v>
      </c>
      <c r="AM138" s="273"/>
      <c r="AN138" s="258"/>
      <c r="AO138" s="255">
        <f>SUMIFS('Livro Diario - FC'!$K$11:$K1028,'Livro Diario - FC'!$E$11:$E1028,$C$138,'Livro Diario - FC'!$D$11:$D1028,"&gt;=01/09"&amp;$C$7,'Livro Diario - FC'!$D$11:$D1028,"&lt;=30/09"&amp;$C$7)</f>
        <v>0</v>
      </c>
      <c r="AP138" s="256">
        <f>SUMIFS('Livro Diario - FC'!$M$11:$M1028,'Livro Diario - FC'!$E$11:$E1028,$C$138,'Livro Diario - FC'!$D$11:$D1028,"&gt;=01/09"&amp;$C$7,'Livro Diario - FC'!$D$11:$D1028,"&lt;=30/09"&amp;$C$7)</f>
        <v>0</v>
      </c>
      <c r="AQ138" s="273"/>
      <c r="AR138" s="258"/>
      <c r="AS138" s="255">
        <f>SUMIFS('Livro Diario - FC'!$K$11:$K1028,'Livro Diario - FC'!$E$11:$E1028,$C$138,'Livro Diario - FC'!$D$11:$D1028,"&gt;=01/10"&amp;$C$7,'Livro Diario - FC'!$D$11:$D1028,"&lt;=31/10"&amp;$C$7)</f>
        <v>0</v>
      </c>
      <c r="AT138" s="256">
        <f>SUMIFS('Livro Diario - FC'!$M$11:$M1028,'Livro Diario - FC'!$E$11:$E1028,$C$138,'Livro Diario - FC'!$D$11:$D1028,"&gt;=01/10"&amp;$C$7,'Livro Diario - FC'!$D$11:$D1028,"&lt;=31/10"&amp;$C$7)</f>
        <v>0</v>
      </c>
      <c r="AU138" s="273"/>
      <c r="AV138" s="258"/>
      <c r="AW138" s="255">
        <f>SUMIFS('Livro Diario - FC'!$K$11:$K1028,'Livro Diario - FC'!$E$11:$E1028,$C$138,'Livro Diario - FC'!$D$11:$D1028,"&gt;=01/11"&amp;$C$7,'Livro Diario - FC'!$D$11:$D1028,"&lt;=30/11"&amp;$C$7)</f>
        <v>0</v>
      </c>
      <c r="AX138" s="256">
        <f>SUMIFS('Livro Diario - FC'!$M$11:$M1028,'Livro Diario - FC'!$E$11:$E1028,$C$138,'Livro Diario - FC'!$D$11:$D1028,"&gt;=01/11"&amp;$C$7,'Livro Diario - FC'!$D$11:$D1028,"&lt;=30/11"&amp;$C$7)</f>
        <v>0</v>
      </c>
      <c r="AY138" s="273"/>
      <c r="AZ138" s="258"/>
      <c r="BA138" s="255">
        <f>SUMIFS('Livro Diario - FC'!$K$11:$K1028,'Livro Diario - FC'!$E$11:$E1028,$C$138,'Livro Diario - FC'!$D$11:$D1028,"&gt;=01/12"&amp;$C$7,'Livro Diario - FC'!$D$11:$D1028,"&lt;=31/12"&amp;$C$7)</f>
        <v>0</v>
      </c>
      <c r="BB138" s="256">
        <f>SUMIFS('Livro Diario - FC'!$M$11:$M1028,'Livro Diario - FC'!$E$11:$E1028,$C$138,'Livro Diario - FC'!$D$11:$D1028,"&gt;=01/12"&amp;$C$7,'Livro Diario - FC'!$D$11:$D1028,"&lt;=31/12"&amp;$C$7)</f>
        <v>0</v>
      </c>
      <c r="BC138" s="273"/>
      <c r="BD138" s="273"/>
      <c r="BE138" s="267">
        <f t="shared" ref="BE138:BF138" si="239">SUM(D138,I138,N138,S138,X138,AC138,AG138,AK138,AO138,AS138,AW138,BA138)</f>
        <v>0</v>
      </c>
      <c r="BF138" s="268">
        <f t="shared" si="239"/>
        <v>0</v>
      </c>
      <c r="BG138" s="269"/>
      <c r="BH138" s="192"/>
      <c r="BI138" s="270">
        <f>SUMIFS('Livro Diario - FC'!$M$11:$M1028,'Livro Diario - FC'!$E$11:$E1028,C138,'Livro Diario - FC'!$D$11:$D1028,"&gt;="&amp;$BK$8,'Livro Diario - FC'!$D$11:$D1028,"&lt;="&amp;$BK$9)</f>
        <v>0</v>
      </c>
      <c r="BJ138" s="271"/>
      <c r="BK138" s="272"/>
      <c r="BL138" s="1"/>
    </row>
    <row r="139">
      <c r="A139" s="1"/>
      <c r="B139" s="1"/>
      <c r="C139" s="338" t="str">
        <f>'Livro Diario - FC'!AE148</f>
        <v>Polpa Caju</v>
      </c>
      <c r="D139" s="255">
        <f>SUMIFS('Livro Diario - FC'!$K$11:$K1028,'Livro Diario - FC'!$E$11:$E1028,$C$139,'Livro Diario - FC'!$D$11:$D1028,"&gt;=01/01"&amp;$C$7,'Livro Diario - FC'!$D$11:$D1028,"&lt;=31/01"&amp;$C$7)</f>
        <v>0</v>
      </c>
      <c r="E139" s="256">
        <f>SUMIFS('Livro Diario - FC'!$M$11:$M1028,'Livro Diario - FC'!$E$11:$E1028,$C$139,'Livro Diario - FC'!$D$11:$D1028,"&gt;=01/01"&amp;$C$7,'Livro Diario - FC'!$D$11:$D1028,"&lt;=31/01"&amp;$C$7)</f>
        <v>0</v>
      </c>
      <c r="F139" s="273"/>
      <c r="G139" s="258"/>
      <c r="H139" s="157"/>
      <c r="I139" s="255">
        <f>SUMIFS('Livro Diario - FC'!$K$11:$K1028,'Livro Diario - FC'!$E$11:$E1028,$C$139,'Livro Diario - FC'!$D$11:$D1028,"&gt;=01/02"&amp;$C$7,'Livro Diario - FC'!$D$11:$D1028,"&lt;=29/02"&amp;$C$7)</f>
        <v>0</v>
      </c>
      <c r="J139" s="256">
        <f>SUMIFS('Livro Diario - FC'!$M$11:$M1028,'Livro Diario - FC'!$E$11:$E1028,$C$139,'Livro Diario - FC'!$D$11:$D1028,"&gt;=01/02"&amp;$C$7,'Livro Diario - FC'!$D$11:$D1028,"&lt;=29/02"&amp;$C$7)</f>
        <v>0</v>
      </c>
      <c r="K139" s="273"/>
      <c r="L139" s="258"/>
      <c r="M139" s="259"/>
      <c r="N139" s="255">
        <f>SUMIFS('Livro Diario - FC'!$K$11:$K1028,'Livro Diario - FC'!$E$11:$E1028,$C$139,'Livro Diario - FC'!$D$11:$D1028,"&gt;=01/03"&amp;$C$7,'Livro Diario - FC'!$D$11:$D1028,"&lt;=31/03"&amp;$C$7)</f>
        <v>0</v>
      </c>
      <c r="O139" s="256">
        <f>SUMIFS('Livro Diario - FC'!$M$11:$M1028,'Livro Diario - FC'!$E$11:$E1028,$C$139,'Livro Diario - FC'!$D$11:$D1028,"&gt;=01/03"&amp;$C$7,'Livro Diario - FC'!$D$11:$D1028,"&lt;=31/03"&amp;$C$7)</f>
        <v>0</v>
      </c>
      <c r="P139" s="273"/>
      <c r="Q139" s="258"/>
      <c r="R139" s="259"/>
      <c r="S139" s="255">
        <f>SUMIFS('Livro Diario - FC'!$K$11:$K1028,'Livro Diario - FC'!$E$11:$E1028,$C$139,'Livro Diario - FC'!$D$11:$D1028,"&gt;=01/04"&amp;$C$7,'Livro Diario - FC'!$D$11:$D1028,"&lt;=30/04"&amp;$C$7)</f>
        <v>0</v>
      </c>
      <c r="T139" s="256">
        <f>SUMIFS('Livro Diario - FC'!$M$11:$M1028,'Livro Diario - FC'!$E$11:$E1028,$C$139,'Livro Diario - FC'!$D$11:$D1028,"&gt;=01/04"&amp;$C$7,'Livro Diario - FC'!$D$11:$D1028,"&lt;=30/04"&amp;$C$7)</f>
        <v>0</v>
      </c>
      <c r="U139" s="273"/>
      <c r="V139" s="258"/>
      <c r="W139" s="259"/>
      <c r="X139" s="255">
        <f>SUMIFS('Livro Diario - FC'!$K$11:$K1028,'Livro Diario - FC'!$E$11:$E1028,$C$139,'Livro Diario - FC'!$D$11:$D1028,"&gt;=01/05"&amp;$C$7,'Livro Diario - FC'!$D$11:$D1028,"&lt;=31/05"&amp;$C$7)</f>
        <v>0</v>
      </c>
      <c r="Y139" s="256">
        <f>SUMIFS('Livro Diario - FC'!$M$11:$M1028,'Livro Diario - FC'!$E$11:$E1028,$C$139,'Livro Diario - FC'!$D$11:$D1028,"&gt;=01/05"&amp;$C$7,'Livro Diario - FC'!$D$11:$D1028,"&lt;=31/05"&amp;$C$7)</f>
        <v>0</v>
      </c>
      <c r="Z139" s="273"/>
      <c r="AA139" s="258"/>
      <c r="AB139" s="259"/>
      <c r="AC139" s="255">
        <f>SUMIFS('Livro Diario - FC'!$K$11:$K1028,'Livro Diario - FC'!$E$11:$E1028,$C$139,'Livro Diario - FC'!$D$11:$D1028,"&gt;=01/06"&amp;$C$7,'Livro Diario - FC'!$D$11:$D1028,"&lt;=30/06"&amp;$C$7)</f>
        <v>0</v>
      </c>
      <c r="AD139" s="256">
        <f>SUMIFS('Livro Diario - FC'!$M$11:$M1028,'Livro Diario - FC'!$E$11:$E1028,$C$139,'Livro Diario - FC'!$D$11:$D1028,"&gt;=01/06"&amp;$C$7,'Livro Diario - FC'!$D$11:$D1028,"&lt;=30/06"&amp;$C$7)</f>
        <v>0</v>
      </c>
      <c r="AE139" s="273"/>
      <c r="AF139" s="258"/>
      <c r="AG139" s="255">
        <f>SUMIFS('Livro Diario - FC'!$K$11:$K1028,'Livro Diario - FC'!$E$11:$E1028,$C$139,'Livro Diario - FC'!$D$11:$D1028,"&gt;=01/07"&amp;$C$7,'Livro Diario - FC'!$D$11:$D1028,"&lt;=31/07"&amp;$C$7)</f>
        <v>0</v>
      </c>
      <c r="AH139" s="256">
        <f>SUMIFS('Livro Diario - FC'!$M$11:$M1028,'Livro Diario - FC'!$E$11:$E1028,$C$139,'Livro Diario - FC'!$D$11:$D1028,"&gt;=01/07"&amp;$C$7,'Livro Diario - FC'!$D$11:$D1028,"&lt;=31/07"&amp;$C$7)</f>
        <v>0</v>
      </c>
      <c r="AI139" s="273"/>
      <c r="AJ139" s="258"/>
      <c r="AK139" s="255">
        <f>SUMIFS('Livro Diario - FC'!$K$11:$K1028,'Livro Diario - FC'!$E$11:$E1028,$C$139,'Livro Diario - FC'!$D$11:$D1028,"&gt;=01/08"&amp;$C$7,'Livro Diario - FC'!$D$11:$D1028,"&lt;=31/08"&amp;$C$7)</f>
        <v>0</v>
      </c>
      <c r="AL139" s="256">
        <f>SUMIFS('Livro Diario - FC'!$M$11:$M1028,'Livro Diario - FC'!$E$11:$E1028,$C$139,'Livro Diario - FC'!$D$11:$D1028,"&gt;=01/08"&amp;$C$7,'Livro Diario - FC'!$D$11:$D1028,"&lt;=31/08"&amp;$C$7)</f>
        <v>0</v>
      </c>
      <c r="AM139" s="273"/>
      <c r="AN139" s="258"/>
      <c r="AO139" s="255">
        <f>SUMIFS('Livro Diario - FC'!$K$11:$K1028,'Livro Diario - FC'!$E$11:$E1028,$C$139,'Livro Diario - FC'!$D$11:$D1028,"&gt;=01/09"&amp;$C$7,'Livro Diario - FC'!$D$11:$D1028,"&lt;=30/09"&amp;$C$7)</f>
        <v>0</v>
      </c>
      <c r="AP139" s="256">
        <f>SUMIFS('Livro Diario - FC'!$M$11:$M1028,'Livro Diario - FC'!$E$11:$E1028,$C$139,'Livro Diario - FC'!$D$11:$D1028,"&gt;=01/09"&amp;$C$7,'Livro Diario - FC'!$D$11:$D1028,"&lt;=30/09"&amp;$C$7)</f>
        <v>0</v>
      </c>
      <c r="AQ139" s="273"/>
      <c r="AR139" s="258"/>
      <c r="AS139" s="255">
        <f>SUMIFS('Livro Diario - FC'!$K$11:$K1028,'Livro Diario - FC'!$E$11:$E1028,$C$139,'Livro Diario - FC'!$D$11:$D1028,"&gt;=01/10"&amp;$C$7,'Livro Diario - FC'!$D$11:$D1028,"&lt;=31/10"&amp;$C$7)</f>
        <v>0</v>
      </c>
      <c r="AT139" s="256">
        <f>SUMIFS('Livro Diario - FC'!$M$11:$M1028,'Livro Diario - FC'!$E$11:$E1028,$C$139,'Livro Diario - FC'!$D$11:$D1028,"&gt;=01/10"&amp;$C$7,'Livro Diario - FC'!$D$11:$D1028,"&lt;=31/10"&amp;$C$7)</f>
        <v>0</v>
      </c>
      <c r="AU139" s="273"/>
      <c r="AV139" s="258"/>
      <c r="AW139" s="255">
        <f>SUMIFS('Livro Diario - FC'!$K$11:$K1028,'Livro Diario - FC'!$E$11:$E1028,$C$139,'Livro Diario - FC'!$D$11:$D1028,"&gt;=01/11"&amp;$C$7,'Livro Diario - FC'!$D$11:$D1028,"&lt;=30/11"&amp;$C$7)</f>
        <v>0</v>
      </c>
      <c r="AX139" s="256">
        <f>SUMIFS('Livro Diario - FC'!$M$11:$M1028,'Livro Diario - FC'!$E$11:$E1028,$C$139,'Livro Diario - FC'!$D$11:$D1028,"&gt;=01/11"&amp;$C$7,'Livro Diario - FC'!$D$11:$D1028,"&lt;=30/11"&amp;$C$7)</f>
        <v>0</v>
      </c>
      <c r="AY139" s="273"/>
      <c r="AZ139" s="258"/>
      <c r="BA139" s="255">
        <f>SUMIFS('Livro Diario - FC'!$K$11:$K1028,'Livro Diario - FC'!$E$11:$E1028,$C$139,'Livro Diario - FC'!$D$11:$D1028,"&gt;=01/12"&amp;$C$7,'Livro Diario - FC'!$D$11:$D1028,"&lt;=31/12"&amp;$C$7)</f>
        <v>0</v>
      </c>
      <c r="BB139" s="256">
        <f>SUMIFS('Livro Diario - FC'!$M$11:$M1028,'Livro Diario - FC'!$E$11:$E1028,$C$139,'Livro Diario - FC'!$D$11:$D1028,"&gt;=01/12"&amp;$C$7,'Livro Diario - FC'!$D$11:$D1028,"&lt;=31/12"&amp;$C$7)</f>
        <v>0</v>
      </c>
      <c r="BC139" s="273"/>
      <c r="BD139" s="273"/>
      <c r="BE139" s="267">
        <f t="shared" ref="BE139:BF139" si="240">SUM(D139,I139,N139,S139,X139,AC139,AG139,AK139,AO139,AS139,AW139,BA139)</f>
        <v>0</v>
      </c>
      <c r="BF139" s="268">
        <f t="shared" si="240"/>
        <v>0</v>
      </c>
      <c r="BG139" s="269"/>
      <c r="BH139" s="192"/>
      <c r="BI139" s="270">
        <f>SUMIFS('Livro Diario - FC'!$M$11:$M1028,'Livro Diario - FC'!$E$11:$E1028,C139,'Livro Diario - FC'!$D$11:$D1028,"&gt;="&amp;$BK$8,'Livro Diario - FC'!$D$11:$D1028,"&lt;="&amp;$BK$9)</f>
        <v>0</v>
      </c>
      <c r="BJ139" s="271"/>
      <c r="BK139" s="272"/>
      <c r="BL139" s="1"/>
    </row>
    <row r="140">
      <c r="A140" s="1"/>
      <c r="B140" s="1"/>
      <c r="C140" s="338" t="str">
        <f>'Livro Diario - FC'!AE149</f>
        <v>Polpa Abacaxi</v>
      </c>
      <c r="D140" s="255">
        <f>SUMIFS('Livro Diario - FC'!$K$11:$K1028,'Livro Diario - FC'!$E$11:$E1028,$C$140,'Livro Diario - FC'!$D$11:$D1028,"&gt;=01/01"&amp;$C$7,'Livro Diario - FC'!$D$11:$D1028,"&lt;=31/01"&amp;$C$7)</f>
        <v>0</v>
      </c>
      <c r="E140" s="256">
        <f>SUMIFS('Livro Diario - FC'!$M$11:$M1028,'Livro Diario - FC'!$E$11:$E1028,$C$140,'Livro Diario - FC'!$D$11:$D1028,"&gt;=01/01"&amp;$C$7,'Livro Diario - FC'!$D$11:$D1028,"&lt;=31/01"&amp;$C$7)</f>
        <v>0</v>
      </c>
      <c r="F140" s="273"/>
      <c r="G140" s="258"/>
      <c r="H140" s="157"/>
      <c r="I140" s="255">
        <f>SUMIFS('Livro Diario - FC'!$K$11:$K1028,'Livro Diario - FC'!$E$11:$E1028,$C$140,'Livro Diario - FC'!$D$11:$D1028,"&gt;=01/02"&amp;$C$7,'Livro Diario - FC'!$D$11:$D1028,"&lt;=29/02"&amp;$C$7)</f>
        <v>0</v>
      </c>
      <c r="J140" s="256">
        <f>SUMIFS('Livro Diario - FC'!$M$11:$M1028,'Livro Diario - FC'!$E$11:$E1028,$C$140,'Livro Diario - FC'!$D$11:$D1028,"&gt;=01/02"&amp;$C$7,'Livro Diario - FC'!$D$11:$D1028,"&lt;=29/02"&amp;$C$7)</f>
        <v>0</v>
      </c>
      <c r="K140" s="273"/>
      <c r="L140" s="258"/>
      <c r="M140" s="259"/>
      <c r="N140" s="255">
        <f>SUMIFS('Livro Diario - FC'!$K$11:$K1028,'Livro Diario - FC'!$E$11:$E1028,$C$140,'Livro Diario - FC'!$D$11:$D1028,"&gt;=01/03"&amp;$C$7,'Livro Diario - FC'!$D$11:$D1028,"&lt;=31/03"&amp;$C$7)</f>
        <v>0</v>
      </c>
      <c r="O140" s="256">
        <f>SUMIFS('Livro Diario - FC'!$M$11:$M1028,'Livro Diario - FC'!$E$11:$E1028,$C$140,'Livro Diario - FC'!$D$11:$D1028,"&gt;=01/03"&amp;$C$7,'Livro Diario - FC'!$D$11:$D1028,"&lt;=31/03"&amp;$C$7)</f>
        <v>0</v>
      </c>
      <c r="P140" s="273"/>
      <c r="Q140" s="258"/>
      <c r="R140" s="259"/>
      <c r="S140" s="255">
        <f>SUMIFS('Livro Diario - FC'!$K$11:$K1028,'Livro Diario - FC'!$E$11:$E1028,$C$140,'Livro Diario - FC'!$D$11:$D1028,"&gt;=01/04"&amp;$C$7,'Livro Diario - FC'!$D$11:$D1028,"&lt;=30/04"&amp;$C$7)</f>
        <v>0</v>
      </c>
      <c r="T140" s="256">
        <f>SUMIFS('Livro Diario - FC'!$M$11:$M1028,'Livro Diario - FC'!$E$11:$E1028,$C$140,'Livro Diario - FC'!$D$11:$D1028,"&gt;=01/04"&amp;$C$7,'Livro Diario - FC'!$D$11:$D1028,"&lt;=30/04"&amp;$C$7)</f>
        <v>0</v>
      </c>
      <c r="U140" s="273"/>
      <c r="V140" s="258"/>
      <c r="W140" s="259"/>
      <c r="X140" s="255">
        <f>SUMIFS('Livro Diario - FC'!$K$11:$K1028,'Livro Diario - FC'!$E$11:$E1028,$C$140,'Livro Diario - FC'!$D$11:$D1028,"&gt;=01/05"&amp;$C$7,'Livro Diario - FC'!$D$11:$D1028,"&lt;=31/05"&amp;$C$7)</f>
        <v>0</v>
      </c>
      <c r="Y140" s="256">
        <f>SUMIFS('Livro Diario - FC'!$M$11:$M1028,'Livro Diario - FC'!$E$11:$E1028,$C$140,'Livro Diario - FC'!$D$11:$D1028,"&gt;=01/05"&amp;$C$7,'Livro Diario - FC'!$D$11:$D1028,"&lt;=31/05"&amp;$C$7)</f>
        <v>0</v>
      </c>
      <c r="Z140" s="273"/>
      <c r="AA140" s="258"/>
      <c r="AB140" s="259"/>
      <c r="AC140" s="255">
        <f>SUMIFS('Livro Diario - FC'!$K$11:$K1028,'Livro Diario - FC'!$E$11:$E1028,$C$140,'Livro Diario - FC'!$D$11:$D1028,"&gt;=01/06"&amp;$C$7,'Livro Diario - FC'!$D$11:$D1028,"&lt;=30/06"&amp;$C$7)</f>
        <v>0</v>
      </c>
      <c r="AD140" s="256">
        <f>SUMIFS('Livro Diario - FC'!$M$11:$M1028,'Livro Diario - FC'!$E$11:$E1028,$C$140,'Livro Diario - FC'!$D$11:$D1028,"&gt;=01/06"&amp;$C$7,'Livro Diario - FC'!$D$11:$D1028,"&lt;=30/06"&amp;$C$7)</f>
        <v>0</v>
      </c>
      <c r="AE140" s="273"/>
      <c r="AF140" s="258"/>
      <c r="AG140" s="255">
        <f>SUMIFS('Livro Diario - FC'!$K$11:$K1028,'Livro Diario - FC'!$E$11:$E1028,$C$140,'Livro Diario - FC'!$D$11:$D1028,"&gt;=01/07"&amp;$C$7,'Livro Diario - FC'!$D$11:$D1028,"&lt;=31/07"&amp;$C$7)</f>
        <v>0</v>
      </c>
      <c r="AH140" s="256">
        <f>SUMIFS('Livro Diario - FC'!$M$11:$M1028,'Livro Diario - FC'!$E$11:$E1028,$C$140,'Livro Diario - FC'!$D$11:$D1028,"&gt;=01/07"&amp;$C$7,'Livro Diario - FC'!$D$11:$D1028,"&lt;=31/07"&amp;$C$7)</f>
        <v>0</v>
      </c>
      <c r="AI140" s="273"/>
      <c r="AJ140" s="258"/>
      <c r="AK140" s="255">
        <f>SUMIFS('Livro Diario - FC'!$K$11:$K1028,'Livro Diario - FC'!$E$11:$E1028,$C$140,'Livro Diario - FC'!$D$11:$D1028,"&gt;=01/08"&amp;$C$7,'Livro Diario - FC'!$D$11:$D1028,"&lt;=31/08"&amp;$C$7)</f>
        <v>0</v>
      </c>
      <c r="AL140" s="256">
        <f>SUMIFS('Livro Diario - FC'!$M$11:$M1028,'Livro Diario - FC'!$E$11:$E1028,$C$140,'Livro Diario - FC'!$D$11:$D1028,"&gt;=01/08"&amp;$C$7,'Livro Diario - FC'!$D$11:$D1028,"&lt;=31/08"&amp;$C$7)</f>
        <v>0</v>
      </c>
      <c r="AM140" s="273"/>
      <c r="AN140" s="258"/>
      <c r="AO140" s="255">
        <f>SUMIFS('Livro Diario - FC'!$K$11:$K1028,'Livro Diario - FC'!$E$11:$E1028,$C$140,'Livro Diario - FC'!$D$11:$D1028,"&gt;=01/09"&amp;$C$7,'Livro Diario - FC'!$D$11:$D1028,"&lt;=30/09"&amp;$C$7)</f>
        <v>0</v>
      </c>
      <c r="AP140" s="256">
        <f>SUMIFS('Livro Diario - FC'!$M$11:$M1028,'Livro Diario - FC'!$E$11:$E1028,$C$140,'Livro Diario - FC'!$D$11:$D1028,"&gt;=01/09"&amp;$C$7,'Livro Diario - FC'!$D$11:$D1028,"&lt;=30/09"&amp;$C$7)</f>
        <v>0</v>
      </c>
      <c r="AQ140" s="273"/>
      <c r="AR140" s="258"/>
      <c r="AS140" s="255">
        <f>SUMIFS('Livro Diario - FC'!$K$11:$K1028,'Livro Diario - FC'!$E$11:$E1028,$C$140,'Livro Diario - FC'!$D$11:$D1028,"&gt;=01/10"&amp;$C$7,'Livro Diario - FC'!$D$11:$D1028,"&lt;=31/10"&amp;$C$7)</f>
        <v>0</v>
      </c>
      <c r="AT140" s="256">
        <f>SUMIFS('Livro Diario - FC'!$M$11:$M1028,'Livro Diario - FC'!$E$11:$E1028,$C$140,'Livro Diario - FC'!$D$11:$D1028,"&gt;=01/10"&amp;$C$7,'Livro Diario - FC'!$D$11:$D1028,"&lt;=31/10"&amp;$C$7)</f>
        <v>0</v>
      </c>
      <c r="AU140" s="273"/>
      <c r="AV140" s="258"/>
      <c r="AW140" s="255">
        <f>SUMIFS('Livro Diario - FC'!$K$11:$K1028,'Livro Diario - FC'!$E$11:$E1028,$C$140,'Livro Diario - FC'!$D$11:$D1028,"&gt;=01/11"&amp;$C$7,'Livro Diario - FC'!$D$11:$D1028,"&lt;=30/11"&amp;$C$7)</f>
        <v>0</v>
      </c>
      <c r="AX140" s="256">
        <f>SUMIFS('Livro Diario - FC'!$M$11:$M1028,'Livro Diario - FC'!$E$11:$E1028,$C$140,'Livro Diario - FC'!$D$11:$D1028,"&gt;=01/11"&amp;$C$7,'Livro Diario - FC'!$D$11:$D1028,"&lt;=30/11"&amp;$C$7)</f>
        <v>0</v>
      </c>
      <c r="AY140" s="273"/>
      <c r="AZ140" s="258"/>
      <c r="BA140" s="255">
        <f>SUMIFS('Livro Diario - FC'!$K$11:$K1028,'Livro Diario - FC'!$E$11:$E1028,$C$140,'Livro Diario - FC'!$D$11:$D1028,"&gt;=01/12"&amp;$C$7,'Livro Diario - FC'!$D$11:$D1028,"&lt;=31/12"&amp;$C$7)</f>
        <v>0</v>
      </c>
      <c r="BB140" s="256">
        <f>SUMIFS('Livro Diario - FC'!$M$11:$M1028,'Livro Diario - FC'!$E$11:$E1028,$C$140,'Livro Diario - FC'!$D$11:$D1028,"&gt;=01/12"&amp;$C$7,'Livro Diario - FC'!$D$11:$D1028,"&lt;=31/12"&amp;$C$7)</f>
        <v>0</v>
      </c>
      <c r="BC140" s="273"/>
      <c r="BD140" s="273"/>
      <c r="BE140" s="267">
        <f t="shared" ref="BE140:BF140" si="241">SUM(D140,I140,N140,S140,X140,AC140,AG140,AK140,AO140,AS140,AW140,BA140)</f>
        <v>0</v>
      </c>
      <c r="BF140" s="268">
        <f t="shared" si="241"/>
        <v>0</v>
      </c>
      <c r="BG140" s="269"/>
      <c r="BH140" s="192"/>
      <c r="BI140" s="270">
        <f>SUMIFS('Livro Diario - FC'!$M$11:$M1028,'Livro Diario - FC'!$E$11:$E1028,C140,'Livro Diario - FC'!$D$11:$D1028,"&gt;="&amp;$BK$8,'Livro Diario - FC'!$D$11:$D1028,"&lt;="&amp;$BK$9)</f>
        <v>0</v>
      </c>
      <c r="BJ140" s="271"/>
      <c r="BK140" s="272"/>
      <c r="BL140" s="1"/>
    </row>
    <row r="141">
      <c r="A141" s="1"/>
      <c r="B141" s="1"/>
      <c r="C141" s="338" t="str">
        <f>'Livro Diario - FC'!AE150</f>
        <v>Polpa Graviola</v>
      </c>
      <c r="D141" s="255">
        <f>SUMIFS('Livro Diario - FC'!$K$11:$K1028,'Livro Diario - FC'!$E$11:$E1028,$C$141,'Livro Diario - FC'!$D$11:$D1028,"&gt;=01/01"&amp;$C$7,'Livro Diario - FC'!$D$11:$D1028,"&lt;=31/01"&amp;$C$7)</f>
        <v>0</v>
      </c>
      <c r="E141" s="256">
        <f>SUMIFS('Livro Diario - FC'!$M$11:$M1028,'Livro Diario - FC'!$E$11:$E1028,$C$141,'Livro Diario - FC'!$D$11:$D1028,"&gt;=01/01"&amp;$C$7,'Livro Diario - FC'!$D$11:$D1028,"&lt;=31/01"&amp;$C$7)</f>
        <v>0</v>
      </c>
      <c r="F141" s="273"/>
      <c r="G141" s="258"/>
      <c r="H141" s="157"/>
      <c r="I141" s="255">
        <f>SUMIFS('Livro Diario - FC'!$K$11:$K1028,'Livro Diario - FC'!$E$11:$E1028,$C$141,'Livro Diario - FC'!$D$11:$D1028,"&gt;=01/02"&amp;$C$7,'Livro Diario - FC'!$D$11:$D1028,"&lt;=29/02"&amp;$C$7)</f>
        <v>0</v>
      </c>
      <c r="J141" s="256">
        <f>SUMIFS('Livro Diario - FC'!$M$11:$M1028,'Livro Diario - FC'!$E$11:$E1028,$C$141,'Livro Diario - FC'!$D$11:$D1028,"&gt;=01/02"&amp;$C$7,'Livro Diario - FC'!$D$11:$D1028,"&lt;=29/02"&amp;$C$7)</f>
        <v>0</v>
      </c>
      <c r="K141" s="273"/>
      <c r="L141" s="258"/>
      <c r="M141" s="259"/>
      <c r="N141" s="255">
        <f>SUMIFS('Livro Diario - FC'!$K$11:$K1028,'Livro Diario - FC'!$E$11:$E1028,$C$141,'Livro Diario - FC'!$D$11:$D1028,"&gt;=01/03"&amp;$C$7,'Livro Diario - FC'!$D$11:$D1028,"&lt;=31/03"&amp;$C$7)</f>
        <v>0</v>
      </c>
      <c r="O141" s="256">
        <f>SUMIFS('Livro Diario - FC'!$M$11:$M1028,'Livro Diario - FC'!$E$11:$E1028,$C$141,'Livro Diario - FC'!$D$11:$D1028,"&gt;=01/03"&amp;$C$7,'Livro Diario - FC'!$D$11:$D1028,"&lt;=31/03"&amp;$C$7)</f>
        <v>0</v>
      </c>
      <c r="P141" s="273"/>
      <c r="Q141" s="258"/>
      <c r="R141" s="259"/>
      <c r="S141" s="255">
        <f>SUMIFS('Livro Diario - FC'!$K$11:$K1028,'Livro Diario - FC'!$E$11:$E1028,$C$141,'Livro Diario - FC'!$D$11:$D1028,"&gt;=01/04"&amp;$C$7,'Livro Diario - FC'!$D$11:$D1028,"&lt;=30/04"&amp;$C$7)</f>
        <v>0</v>
      </c>
      <c r="T141" s="256">
        <f>SUMIFS('Livro Diario - FC'!$M$11:$M1028,'Livro Diario - FC'!$E$11:$E1028,$C$141,'Livro Diario - FC'!$D$11:$D1028,"&gt;=01/04"&amp;$C$7,'Livro Diario - FC'!$D$11:$D1028,"&lt;=30/04"&amp;$C$7)</f>
        <v>0</v>
      </c>
      <c r="U141" s="273"/>
      <c r="V141" s="258"/>
      <c r="W141" s="259"/>
      <c r="X141" s="255">
        <f>SUMIFS('Livro Diario - FC'!$K$11:$K1028,'Livro Diario - FC'!$E$11:$E1028,$C$141,'Livro Diario - FC'!$D$11:$D1028,"&gt;=01/05"&amp;$C$7,'Livro Diario - FC'!$D$11:$D1028,"&lt;=31/05"&amp;$C$7)</f>
        <v>0</v>
      </c>
      <c r="Y141" s="256">
        <f>SUMIFS('Livro Diario - FC'!$M$11:$M1028,'Livro Diario - FC'!$E$11:$E1028,$C$141,'Livro Diario - FC'!$D$11:$D1028,"&gt;=01/05"&amp;$C$7,'Livro Diario - FC'!$D$11:$D1028,"&lt;=31/05"&amp;$C$7)</f>
        <v>0</v>
      </c>
      <c r="Z141" s="273"/>
      <c r="AA141" s="258"/>
      <c r="AB141" s="259"/>
      <c r="AC141" s="255">
        <f>SUMIFS('Livro Diario - FC'!$K$11:$K1028,'Livro Diario - FC'!$E$11:$E1028,$C$141,'Livro Diario - FC'!$D$11:$D1028,"&gt;=01/06"&amp;$C$7,'Livro Diario - FC'!$D$11:$D1028,"&lt;=30/06"&amp;$C$7)</f>
        <v>0</v>
      </c>
      <c r="AD141" s="256">
        <f>SUMIFS('Livro Diario - FC'!$M$11:$M1028,'Livro Diario - FC'!$E$11:$E1028,$C$141,'Livro Diario - FC'!$D$11:$D1028,"&gt;=01/06"&amp;$C$7,'Livro Diario - FC'!$D$11:$D1028,"&lt;=30/06"&amp;$C$7)</f>
        <v>0</v>
      </c>
      <c r="AE141" s="273"/>
      <c r="AF141" s="258"/>
      <c r="AG141" s="255">
        <f>SUMIFS('Livro Diario - FC'!$K$11:$K1028,'Livro Diario - FC'!$E$11:$E1028,$C$141,'Livro Diario - FC'!$D$11:$D1028,"&gt;=01/07"&amp;$C$7,'Livro Diario - FC'!$D$11:$D1028,"&lt;=31/07"&amp;$C$7)</f>
        <v>0</v>
      </c>
      <c r="AH141" s="256">
        <f>SUMIFS('Livro Diario - FC'!$M$11:$M1028,'Livro Diario - FC'!$E$11:$E1028,$C$141,'Livro Diario - FC'!$D$11:$D1028,"&gt;=01/07"&amp;$C$7,'Livro Diario - FC'!$D$11:$D1028,"&lt;=31/07"&amp;$C$7)</f>
        <v>0</v>
      </c>
      <c r="AI141" s="273"/>
      <c r="AJ141" s="258"/>
      <c r="AK141" s="255">
        <f>SUMIFS('Livro Diario - FC'!$K$11:$K1028,'Livro Diario - FC'!$E$11:$E1028,$C$141,'Livro Diario - FC'!$D$11:$D1028,"&gt;=01/08"&amp;$C$7,'Livro Diario - FC'!$D$11:$D1028,"&lt;=31/08"&amp;$C$7)</f>
        <v>0</v>
      </c>
      <c r="AL141" s="256">
        <f>SUMIFS('Livro Diario - FC'!$M$11:$M1028,'Livro Diario - FC'!$E$11:$E1028,$C$141,'Livro Diario - FC'!$D$11:$D1028,"&gt;=01/08"&amp;$C$7,'Livro Diario - FC'!$D$11:$D1028,"&lt;=31/08"&amp;$C$7)</f>
        <v>0</v>
      </c>
      <c r="AM141" s="273"/>
      <c r="AN141" s="258"/>
      <c r="AO141" s="255">
        <f>SUMIFS('Livro Diario - FC'!$K$11:$K1028,'Livro Diario - FC'!$E$11:$E1028,$C$141,'Livro Diario - FC'!$D$11:$D1028,"&gt;=01/09"&amp;$C$7,'Livro Diario - FC'!$D$11:$D1028,"&lt;=30/09"&amp;$C$7)</f>
        <v>0</v>
      </c>
      <c r="AP141" s="256">
        <f>SUMIFS('Livro Diario - FC'!$M$11:$M1028,'Livro Diario - FC'!$E$11:$E1028,$C$141,'Livro Diario - FC'!$D$11:$D1028,"&gt;=01/09"&amp;$C$7,'Livro Diario - FC'!$D$11:$D1028,"&lt;=30/09"&amp;$C$7)</f>
        <v>0</v>
      </c>
      <c r="AQ141" s="273"/>
      <c r="AR141" s="258"/>
      <c r="AS141" s="255">
        <f>SUMIFS('Livro Diario - FC'!$K$11:$K1028,'Livro Diario - FC'!$E$11:$E1028,$C$141,'Livro Diario - FC'!$D$11:$D1028,"&gt;=01/10"&amp;$C$7,'Livro Diario - FC'!$D$11:$D1028,"&lt;=31/10"&amp;$C$7)</f>
        <v>0</v>
      </c>
      <c r="AT141" s="256">
        <f>SUMIFS('Livro Diario - FC'!$M$11:$M1028,'Livro Diario - FC'!$E$11:$E1028,$C$141,'Livro Diario - FC'!$D$11:$D1028,"&gt;=01/10"&amp;$C$7,'Livro Diario - FC'!$D$11:$D1028,"&lt;=31/10"&amp;$C$7)</f>
        <v>0</v>
      </c>
      <c r="AU141" s="273"/>
      <c r="AV141" s="258"/>
      <c r="AW141" s="255">
        <f>SUMIFS('Livro Diario - FC'!$K$11:$K1028,'Livro Diario - FC'!$E$11:$E1028,$C$141,'Livro Diario - FC'!$D$11:$D1028,"&gt;=01/11"&amp;$C$7,'Livro Diario - FC'!$D$11:$D1028,"&lt;=30/11"&amp;$C$7)</f>
        <v>0</v>
      </c>
      <c r="AX141" s="256">
        <f>SUMIFS('Livro Diario - FC'!$M$11:$M1028,'Livro Diario - FC'!$E$11:$E1028,$C$141,'Livro Diario - FC'!$D$11:$D1028,"&gt;=01/11"&amp;$C$7,'Livro Diario - FC'!$D$11:$D1028,"&lt;=30/11"&amp;$C$7)</f>
        <v>0</v>
      </c>
      <c r="AY141" s="273"/>
      <c r="AZ141" s="258"/>
      <c r="BA141" s="255">
        <f>SUMIFS('Livro Diario - FC'!$K$11:$K1028,'Livro Diario - FC'!$E$11:$E1028,$C$141,'Livro Diario - FC'!$D$11:$D1028,"&gt;=01/12"&amp;$C$7,'Livro Diario - FC'!$D$11:$D1028,"&lt;=31/12"&amp;$C$7)</f>
        <v>0</v>
      </c>
      <c r="BB141" s="256">
        <f>SUMIFS('Livro Diario - FC'!$M$11:$M1028,'Livro Diario - FC'!$E$11:$E1028,$C$141,'Livro Diario - FC'!$D$11:$D1028,"&gt;=01/12"&amp;$C$7,'Livro Diario - FC'!$D$11:$D1028,"&lt;=31/12"&amp;$C$7)</f>
        <v>0</v>
      </c>
      <c r="BC141" s="273"/>
      <c r="BD141" s="273"/>
      <c r="BE141" s="267">
        <f t="shared" ref="BE141:BF141" si="242">SUM(D141,I141,N141,S141,X141,AC141,AG141,AK141,AO141,AS141,AW141,BA141)</f>
        <v>0</v>
      </c>
      <c r="BF141" s="268">
        <f t="shared" si="242"/>
        <v>0</v>
      </c>
      <c r="BG141" s="269"/>
      <c r="BH141" s="192"/>
      <c r="BI141" s="270">
        <f>SUMIFS('Livro Diario - FC'!$M$11:$M1028,'Livro Diario - FC'!$E$11:$E1028,C141,'Livro Diario - FC'!$D$11:$D1028,"&gt;="&amp;$BK$8,'Livro Diario - FC'!$D$11:$D1028,"&lt;="&amp;$BK$9)</f>
        <v>0</v>
      </c>
      <c r="BJ141" s="271"/>
      <c r="BK141" s="272"/>
      <c r="BL141" s="1"/>
    </row>
    <row r="142">
      <c r="A142" s="1"/>
      <c r="B142" s="1"/>
      <c r="C142" s="338" t="str">
        <f>'Livro Diario - FC'!AE151</f>
        <v>Polpa maracujá</v>
      </c>
      <c r="D142" s="255">
        <f>SUMIFS('Livro Diario - FC'!$K$11:$K1028,'Livro Diario - FC'!$E$11:$E1028,$C$142,'Livro Diario - FC'!$D$11:$D1028,"&gt;=01/01"&amp;$C$7,'Livro Diario - FC'!$D$11:$D1028,"&lt;=31/01"&amp;$C$7)</f>
        <v>0</v>
      </c>
      <c r="E142" s="256">
        <f>SUMIFS('Livro Diario - FC'!$M$11:$M1028,'Livro Diario - FC'!$E$11:$E1028,$C$142,'Livro Diario - FC'!$D$11:$D1028,"&gt;=01/01"&amp;$C$7,'Livro Diario - FC'!$D$11:$D1028,"&lt;=31/01"&amp;$C$7)</f>
        <v>0</v>
      </c>
      <c r="F142" s="273"/>
      <c r="G142" s="258"/>
      <c r="H142" s="157"/>
      <c r="I142" s="255">
        <f>SUMIFS('Livro Diario - FC'!$K$11:$K1028,'Livro Diario - FC'!$E$11:$E1028,$C$142,'Livro Diario - FC'!$D$11:$D1028,"&gt;=01/02"&amp;$C$7,'Livro Diario - FC'!$D$11:$D1028,"&lt;=29/02"&amp;$C$7)</f>
        <v>0</v>
      </c>
      <c r="J142" s="256">
        <f>SUMIFS('Livro Diario - FC'!$M$11:$M1028,'Livro Diario - FC'!$E$11:$E1028,$C$142,'Livro Diario - FC'!$D$11:$D1028,"&gt;=01/02"&amp;$C$7,'Livro Diario - FC'!$D$11:$D1028,"&lt;=29/02"&amp;$C$7)</f>
        <v>0</v>
      </c>
      <c r="K142" s="273"/>
      <c r="L142" s="258"/>
      <c r="M142" s="259"/>
      <c r="N142" s="255">
        <f>SUMIFS('Livro Diario - FC'!$K$11:$K1028,'Livro Diario - FC'!$E$11:$E1028,$C$142,'Livro Diario - FC'!$D$11:$D1028,"&gt;=01/03"&amp;$C$7,'Livro Diario - FC'!$D$11:$D1028,"&lt;=31/03"&amp;$C$7)</f>
        <v>0</v>
      </c>
      <c r="O142" s="256">
        <f>SUMIFS('Livro Diario - FC'!$M$11:$M1028,'Livro Diario - FC'!$E$11:$E1028,$C$142,'Livro Diario - FC'!$D$11:$D1028,"&gt;=01/03"&amp;$C$7,'Livro Diario - FC'!$D$11:$D1028,"&lt;=31/03"&amp;$C$7)</f>
        <v>0</v>
      </c>
      <c r="P142" s="273"/>
      <c r="Q142" s="258"/>
      <c r="R142" s="259"/>
      <c r="S142" s="255">
        <f>SUMIFS('Livro Diario - FC'!$K$11:$K1028,'Livro Diario - FC'!$E$11:$E1028,$C$142,'Livro Diario - FC'!$D$11:$D1028,"&gt;=01/04"&amp;$C$7,'Livro Diario - FC'!$D$11:$D1028,"&lt;=30/04"&amp;$C$7)</f>
        <v>0</v>
      </c>
      <c r="T142" s="256">
        <f>SUMIFS('Livro Diario - FC'!$M$11:$M1028,'Livro Diario - FC'!$E$11:$E1028,$C$142,'Livro Diario - FC'!$D$11:$D1028,"&gt;=01/04"&amp;$C$7,'Livro Diario - FC'!$D$11:$D1028,"&lt;=30/04"&amp;$C$7)</f>
        <v>0</v>
      </c>
      <c r="U142" s="273"/>
      <c r="V142" s="258"/>
      <c r="W142" s="259"/>
      <c r="X142" s="255">
        <f>SUMIFS('Livro Diario - FC'!$K$11:$K1028,'Livro Diario - FC'!$E$11:$E1028,$C$142,'Livro Diario - FC'!$D$11:$D1028,"&gt;=01/05"&amp;$C$7,'Livro Diario - FC'!$D$11:$D1028,"&lt;=31/05"&amp;$C$7)</f>
        <v>0</v>
      </c>
      <c r="Y142" s="256">
        <f>SUMIFS('Livro Diario - FC'!$M$11:$M1028,'Livro Diario - FC'!$E$11:$E1028,$C$142,'Livro Diario - FC'!$D$11:$D1028,"&gt;=01/05"&amp;$C$7,'Livro Diario - FC'!$D$11:$D1028,"&lt;=31/05"&amp;$C$7)</f>
        <v>0</v>
      </c>
      <c r="Z142" s="273"/>
      <c r="AA142" s="258"/>
      <c r="AB142" s="259"/>
      <c r="AC142" s="255">
        <f>SUMIFS('Livro Diario - FC'!$K$11:$K1028,'Livro Diario - FC'!$E$11:$E1028,$C$142,'Livro Diario - FC'!$D$11:$D1028,"&gt;=01/06"&amp;$C$7,'Livro Diario - FC'!$D$11:$D1028,"&lt;=30/06"&amp;$C$7)</f>
        <v>0</v>
      </c>
      <c r="AD142" s="256">
        <f>SUMIFS('Livro Diario - FC'!$M$11:$M1028,'Livro Diario - FC'!$E$11:$E1028,$C$142,'Livro Diario - FC'!$D$11:$D1028,"&gt;=01/06"&amp;$C$7,'Livro Diario - FC'!$D$11:$D1028,"&lt;=30/06"&amp;$C$7)</f>
        <v>0</v>
      </c>
      <c r="AE142" s="273"/>
      <c r="AF142" s="258"/>
      <c r="AG142" s="255">
        <f>SUMIFS('Livro Diario - FC'!$K$11:$K1028,'Livro Diario - FC'!$E$11:$E1028,$C$142,'Livro Diario - FC'!$D$11:$D1028,"&gt;=01/07"&amp;$C$7,'Livro Diario - FC'!$D$11:$D1028,"&lt;=31/07"&amp;$C$7)</f>
        <v>0</v>
      </c>
      <c r="AH142" s="256">
        <f>SUMIFS('Livro Diario - FC'!$M$11:$M1028,'Livro Diario - FC'!$E$11:$E1028,$C$142,'Livro Diario - FC'!$D$11:$D1028,"&gt;=01/07"&amp;$C$7,'Livro Diario - FC'!$D$11:$D1028,"&lt;=31/07"&amp;$C$7)</f>
        <v>0</v>
      </c>
      <c r="AI142" s="273"/>
      <c r="AJ142" s="258"/>
      <c r="AK142" s="255">
        <f>SUMIFS('Livro Diario - FC'!$K$11:$K1028,'Livro Diario - FC'!$E$11:$E1028,$C$142,'Livro Diario - FC'!$D$11:$D1028,"&gt;=01/08"&amp;$C$7,'Livro Diario - FC'!$D$11:$D1028,"&lt;=31/08"&amp;$C$7)</f>
        <v>0</v>
      </c>
      <c r="AL142" s="256">
        <f>SUMIFS('Livro Diario - FC'!$M$11:$M1028,'Livro Diario - FC'!$E$11:$E1028,$C$142,'Livro Diario - FC'!$D$11:$D1028,"&gt;=01/08"&amp;$C$7,'Livro Diario - FC'!$D$11:$D1028,"&lt;=31/08"&amp;$C$7)</f>
        <v>0</v>
      </c>
      <c r="AM142" s="273"/>
      <c r="AN142" s="258"/>
      <c r="AO142" s="255">
        <f>SUMIFS('Livro Diario - FC'!$K$11:$K1028,'Livro Diario - FC'!$E$11:$E1028,$C$142,'Livro Diario - FC'!$D$11:$D1028,"&gt;=01/09"&amp;$C$7,'Livro Diario - FC'!$D$11:$D1028,"&lt;=30/09"&amp;$C$7)</f>
        <v>0</v>
      </c>
      <c r="AP142" s="256">
        <f>SUMIFS('Livro Diario - FC'!$M$11:$M1028,'Livro Diario - FC'!$E$11:$E1028,$C$142,'Livro Diario - FC'!$D$11:$D1028,"&gt;=01/09"&amp;$C$7,'Livro Diario - FC'!$D$11:$D1028,"&lt;=30/09"&amp;$C$7)</f>
        <v>0</v>
      </c>
      <c r="AQ142" s="273"/>
      <c r="AR142" s="258"/>
      <c r="AS142" s="255">
        <f>SUMIFS('Livro Diario - FC'!$K$11:$K1028,'Livro Diario - FC'!$E$11:$E1028,$C$142,'Livro Diario - FC'!$D$11:$D1028,"&gt;=01/10"&amp;$C$7,'Livro Diario - FC'!$D$11:$D1028,"&lt;=31/10"&amp;$C$7)</f>
        <v>0</v>
      </c>
      <c r="AT142" s="256">
        <f>SUMIFS('Livro Diario - FC'!$M$11:$M1028,'Livro Diario - FC'!$E$11:$E1028,$C$142,'Livro Diario - FC'!$D$11:$D1028,"&gt;=01/10"&amp;$C$7,'Livro Diario - FC'!$D$11:$D1028,"&lt;=31/10"&amp;$C$7)</f>
        <v>0</v>
      </c>
      <c r="AU142" s="273"/>
      <c r="AV142" s="258"/>
      <c r="AW142" s="255">
        <f>SUMIFS('Livro Diario - FC'!$K$11:$K1028,'Livro Diario - FC'!$E$11:$E1028,$C$142,'Livro Diario - FC'!$D$11:$D1028,"&gt;=01/11"&amp;$C$7,'Livro Diario - FC'!$D$11:$D1028,"&lt;=30/11"&amp;$C$7)</f>
        <v>0</v>
      </c>
      <c r="AX142" s="256">
        <f>SUMIFS('Livro Diario - FC'!$M$11:$M1028,'Livro Diario - FC'!$E$11:$E1028,$C$142,'Livro Diario - FC'!$D$11:$D1028,"&gt;=01/11"&amp;$C$7,'Livro Diario - FC'!$D$11:$D1028,"&lt;=30/11"&amp;$C$7)</f>
        <v>0</v>
      </c>
      <c r="AY142" s="273"/>
      <c r="AZ142" s="258"/>
      <c r="BA142" s="255">
        <f>SUMIFS('Livro Diario - FC'!$K$11:$K1028,'Livro Diario - FC'!$E$11:$E1028,$C$142,'Livro Diario - FC'!$D$11:$D1028,"&gt;=01/12"&amp;$C$7,'Livro Diario - FC'!$D$11:$D1028,"&lt;=31/12"&amp;$C$7)</f>
        <v>0</v>
      </c>
      <c r="BB142" s="256">
        <f>SUMIFS('Livro Diario - FC'!$M$11:$M1028,'Livro Diario - FC'!$E$11:$E1028,$C$142,'Livro Diario - FC'!$D$11:$D1028,"&gt;=01/12"&amp;$C$7,'Livro Diario - FC'!$D$11:$D1028,"&lt;=31/12"&amp;$C$7)</f>
        <v>0</v>
      </c>
      <c r="BC142" s="273"/>
      <c r="BD142" s="273"/>
      <c r="BE142" s="267">
        <f t="shared" ref="BE142:BF142" si="243">SUM(D142,I142,N142,S142,X142,AC142,AG142,AK142,AO142,AS142,AW142,BA142)</f>
        <v>0</v>
      </c>
      <c r="BF142" s="268">
        <f t="shared" si="243"/>
        <v>0</v>
      </c>
      <c r="BG142" s="269"/>
      <c r="BH142" s="192"/>
      <c r="BI142" s="270">
        <f>SUMIFS('Livro Diario - FC'!$M$11:$M1028,'Livro Diario - FC'!$E$11:$E1028,C142,'Livro Diario - FC'!$D$11:$D1028,"&gt;="&amp;$BK$8,'Livro Diario - FC'!$D$11:$D1028,"&lt;="&amp;$BK$9)</f>
        <v>0</v>
      </c>
      <c r="BJ142" s="271"/>
      <c r="BK142" s="272"/>
      <c r="BL142" s="1"/>
    </row>
    <row r="143">
      <c r="A143" s="1"/>
      <c r="B143" s="1"/>
      <c r="C143" s="338" t="str">
        <f>'Livro Diario - FC'!AE152</f>
        <v>Polpa Pitanga</v>
      </c>
      <c r="D143" s="255">
        <f>SUMIFS('Livro Diario - FC'!$K$11:$K1028,'Livro Diario - FC'!$E$11:$E1028,$C$143,'Livro Diario - FC'!$D$11:$D1028,"&gt;=01/01"&amp;$C$7,'Livro Diario - FC'!$D$11:$D1028,"&lt;=31/01"&amp;$C$7)</f>
        <v>0</v>
      </c>
      <c r="E143" s="256">
        <f>SUMIFS('Livro Diario - FC'!$M$11:$M1028,'Livro Diario - FC'!$E$11:$E1028,$C$143,'Livro Diario - FC'!$D$11:$D1028,"&gt;=01/01"&amp;$C$7,'Livro Diario - FC'!$D$11:$D1028,"&lt;=31/01"&amp;$C$7)</f>
        <v>0</v>
      </c>
      <c r="F143" s="273"/>
      <c r="G143" s="258"/>
      <c r="H143" s="157"/>
      <c r="I143" s="255">
        <f>SUMIFS('Livro Diario - FC'!$K$11:$K1028,'Livro Diario - FC'!$E$11:$E1028,$C$143,'Livro Diario - FC'!$D$11:$D1028,"&gt;=01/02"&amp;$C$7,'Livro Diario - FC'!$D$11:$D1028,"&lt;=29/02"&amp;$C$7)</f>
        <v>0</v>
      </c>
      <c r="J143" s="256">
        <f>SUMIFS('Livro Diario - FC'!$M$11:$M1028,'Livro Diario - FC'!$E$11:$E1028,$C$143,'Livro Diario - FC'!$D$11:$D1028,"&gt;=01/02"&amp;$C$7,'Livro Diario - FC'!$D$11:$D1028,"&lt;=29/02"&amp;$C$7)</f>
        <v>0</v>
      </c>
      <c r="K143" s="273"/>
      <c r="L143" s="258"/>
      <c r="M143" s="259"/>
      <c r="N143" s="255">
        <f>SUMIFS('Livro Diario - FC'!$K$11:$K1028,'Livro Diario - FC'!$E$11:$E1028,$C$143,'Livro Diario - FC'!$D$11:$D1028,"&gt;=01/03"&amp;$C$7,'Livro Diario - FC'!$D$11:$D1028,"&lt;=31/03"&amp;$C$7)</f>
        <v>0</v>
      </c>
      <c r="O143" s="256">
        <f>SUMIFS('Livro Diario - FC'!$M$11:$M1028,'Livro Diario - FC'!$E$11:$E1028,$C$143,'Livro Diario - FC'!$D$11:$D1028,"&gt;=01/03"&amp;$C$7,'Livro Diario - FC'!$D$11:$D1028,"&lt;=31/03"&amp;$C$7)</f>
        <v>0</v>
      </c>
      <c r="P143" s="273"/>
      <c r="Q143" s="258"/>
      <c r="R143" s="259"/>
      <c r="S143" s="255">
        <f>SUMIFS('Livro Diario - FC'!$K$11:$K1028,'Livro Diario - FC'!$E$11:$E1028,$C$143,'Livro Diario - FC'!$D$11:$D1028,"&gt;=01/04"&amp;$C$7,'Livro Diario - FC'!$D$11:$D1028,"&lt;=30/04"&amp;$C$7)</f>
        <v>0</v>
      </c>
      <c r="T143" s="256">
        <f>SUMIFS('Livro Diario - FC'!$M$11:$M1028,'Livro Diario - FC'!$E$11:$E1028,$C$143,'Livro Diario - FC'!$D$11:$D1028,"&gt;=01/04"&amp;$C$7,'Livro Diario - FC'!$D$11:$D1028,"&lt;=30/04"&amp;$C$7)</f>
        <v>0</v>
      </c>
      <c r="U143" s="273"/>
      <c r="V143" s="258"/>
      <c r="W143" s="259"/>
      <c r="X143" s="255">
        <f>SUMIFS('Livro Diario - FC'!$K$11:$K1028,'Livro Diario - FC'!$E$11:$E1028,$C$143,'Livro Diario - FC'!$D$11:$D1028,"&gt;=01/05"&amp;$C$7,'Livro Diario - FC'!$D$11:$D1028,"&lt;=31/05"&amp;$C$7)</f>
        <v>0</v>
      </c>
      <c r="Y143" s="256">
        <f>SUMIFS('Livro Diario - FC'!$M$11:$M1028,'Livro Diario - FC'!$E$11:$E1028,$C$143,'Livro Diario - FC'!$D$11:$D1028,"&gt;=01/05"&amp;$C$7,'Livro Diario - FC'!$D$11:$D1028,"&lt;=31/05"&amp;$C$7)</f>
        <v>0</v>
      </c>
      <c r="Z143" s="273"/>
      <c r="AA143" s="258"/>
      <c r="AB143" s="259"/>
      <c r="AC143" s="255">
        <f>SUMIFS('Livro Diario - FC'!$K$11:$K1028,'Livro Diario - FC'!$E$11:$E1028,$C$143,'Livro Diario - FC'!$D$11:$D1028,"&gt;=01/06"&amp;$C$7,'Livro Diario - FC'!$D$11:$D1028,"&lt;=30/06"&amp;$C$7)</f>
        <v>0</v>
      </c>
      <c r="AD143" s="256">
        <f>SUMIFS('Livro Diario - FC'!$M$11:$M1028,'Livro Diario - FC'!$E$11:$E1028,$C$143,'Livro Diario - FC'!$D$11:$D1028,"&gt;=01/06"&amp;$C$7,'Livro Diario - FC'!$D$11:$D1028,"&lt;=30/06"&amp;$C$7)</f>
        <v>0</v>
      </c>
      <c r="AE143" s="273"/>
      <c r="AF143" s="258"/>
      <c r="AG143" s="255">
        <f>SUMIFS('Livro Diario - FC'!$K$11:$K1028,'Livro Diario - FC'!$E$11:$E1028,$C$143,'Livro Diario - FC'!$D$11:$D1028,"&gt;=01/07"&amp;$C$7,'Livro Diario - FC'!$D$11:$D1028,"&lt;=31/07"&amp;$C$7)</f>
        <v>0</v>
      </c>
      <c r="AH143" s="256">
        <f>SUMIFS('Livro Diario - FC'!$M$11:$M1028,'Livro Diario - FC'!$E$11:$E1028,$C$143,'Livro Diario - FC'!$D$11:$D1028,"&gt;=01/07"&amp;$C$7,'Livro Diario - FC'!$D$11:$D1028,"&lt;=31/07"&amp;$C$7)</f>
        <v>0</v>
      </c>
      <c r="AI143" s="273"/>
      <c r="AJ143" s="258"/>
      <c r="AK143" s="255">
        <f>SUMIFS('Livro Diario - FC'!$K$11:$K1028,'Livro Diario - FC'!$E$11:$E1028,$C$143,'Livro Diario - FC'!$D$11:$D1028,"&gt;=01/08"&amp;$C$7,'Livro Diario - FC'!$D$11:$D1028,"&lt;=31/08"&amp;$C$7)</f>
        <v>0</v>
      </c>
      <c r="AL143" s="256">
        <f>SUMIFS('Livro Diario - FC'!$M$11:$M1028,'Livro Diario - FC'!$E$11:$E1028,$C$143,'Livro Diario - FC'!$D$11:$D1028,"&gt;=01/08"&amp;$C$7,'Livro Diario - FC'!$D$11:$D1028,"&lt;=31/08"&amp;$C$7)</f>
        <v>0</v>
      </c>
      <c r="AM143" s="273"/>
      <c r="AN143" s="258"/>
      <c r="AO143" s="255">
        <f>SUMIFS('Livro Diario - FC'!$K$11:$K1028,'Livro Diario - FC'!$E$11:$E1028,$C$143,'Livro Diario - FC'!$D$11:$D1028,"&gt;=01/09"&amp;$C$7,'Livro Diario - FC'!$D$11:$D1028,"&lt;=30/09"&amp;$C$7)</f>
        <v>0</v>
      </c>
      <c r="AP143" s="256">
        <f>SUMIFS('Livro Diario - FC'!$M$11:$M1028,'Livro Diario - FC'!$E$11:$E1028,$C$143,'Livro Diario - FC'!$D$11:$D1028,"&gt;=01/09"&amp;$C$7,'Livro Diario - FC'!$D$11:$D1028,"&lt;=30/09"&amp;$C$7)</f>
        <v>0</v>
      </c>
      <c r="AQ143" s="273"/>
      <c r="AR143" s="258"/>
      <c r="AS143" s="255">
        <f>SUMIFS('Livro Diario - FC'!$K$11:$K1028,'Livro Diario - FC'!$E$11:$E1028,$C$143,'Livro Diario - FC'!$D$11:$D1028,"&gt;=01/10"&amp;$C$7,'Livro Diario - FC'!$D$11:$D1028,"&lt;=31/10"&amp;$C$7)</f>
        <v>0</v>
      </c>
      <c r="AT143" s="256">
        <f>SUMIFS('Livro Diario - FC'!$M$11:$M1028,'Livro Diario - FC'!$E$11:$E1028,$C$143,'Livro Diario - FC'!$D$11:$D1028,"&gt;=01/10"&amp;$C$7,'Livro Diario - FC'!$D$11:$D1028,"&lt;=31/10"&amp;$C$7)</f>
        <v>0</v>
      </c>
      <c r="AU143" s="273"/>
      <c r="AV143" s="258"/>
      <c r="AW143" s="255">
        <f>SUMIFS('Livro Diario - FC'!$K$11:$K1028,'Livro Diario - FC'!$E$11:$E1028,$C$143,'Livro Diario - FC'!$D$11:$D1028,"&gt;=01/11"&amp;$C$7,'Livro Diario - FC'!$D$11:$D1028,"&lt;=30/11"&amp;$C$7)</f>
        <v>0</v>
      </c>
      <c r="AX143" s="256">
        <f>SUMIFS('Livro Diario - FC'!$M$11:$M1028,'Livro Diario - FC'!$E$11:$E1028,$C$143,'Livro Diario - FC'!$D$11:$D1028,"&gt;=01/11"&amp;$C$7,'Livro Diario - FC'!$D$11:$D1028,"&lt;=30/11"&amp;$C$7)</f>
        <v>0</v>
      </c>
      <c r="AY143" s="273"/>
      <c r="AZ143" s="258"/>
      <c r="BA143" s="255">
        <f>SUMIFS('Livro Diario - FC'!$K$11:$K1028,'Livro Diario - FC'!$E$11:$E1028,$C$143,'Livro Diario - FC'!$D$11:$D1028,"&gt;=01/12"&amp;$C$7,'Livro Diario - FC'!$D$11:$D1028,"&lt;=31/12"&amp;$C$7)</f>
        <v>0</v>
      </c>
      <c r="BB143" s="256">
        <f>SUMIFS('Livro Diario - FC'!$M$11:$M1028,'Livro Diario - FC'!$E$11:$E1028,$C$143,'Livro Diario - FC'!$D$11:$D1028,"&gt;=01/12"&amp;$C$7,'Livro Diario - FC'!$D$11:$D1028,"&lt;=31/12"&amp;$C$7)</f>
        <v>0</v>
      </c>
      <c r="BC143" s="273"/>
      <c r="BD143" s="273"/>
      <c r="BE143" s="267">
        <f t="shared" ref="BE143:BF143" si="244">SUM(D143,I143,N143,S143,X143,AC143,AG143,AK143,AO143,AS143,AW143,BA143)</f>
        <v>0</v>
      </c>
      <c r="BF143" s="268">
        <f t="shared" si="244"/>
        <v>0</v>
      </c>
      <c r="BG143" s="269"/>
      <c r="BH143" s="192"/>
      <c r="BI143" s="270">
        <f>SUMIFS('Livro Diario - FC'!$M$11:$M1028,'Livro Diario - FC'!$E$11:$E1028,C143,'Livro Diario - FC'!$D$11:$D1028,"&gt;="&amp;$BK$8,'Livro Diario - FC'!$D$11:$D1028,"&lt;="&amp;$BK$9)</f>
        <v>0</v>
      </c>
      <c r="BJ143" s="271"/>
      <c r="BK143" s="272"/>
      <c r="BL143" s="1"/>
    </row>
    <row r="144">
      <c r="A144" s="1"/>
      <c r="B144" s="1"/>
      <c r="C144" s="338" t="str">
        <f>'Livro Diario - FC'!AE153</f>
        <v>Polpa Uva</v>
      </c>
      <c r="D144" s="255">
        <f>SUMIFS('Livro Diario - FC'!$K$11:$K1028,'Livro Diario - FC'!$E$11:$E1028,$C$144,'Livro Diario - FC'!$D$11:$D1028,"&gt;=01/01"&amp;$C$7,'Livro Diario - FC'!$D$11:$D1028,"&lt;=31/01"&amp;$C$7)</f>
        <v>0</v>
      </c>
      <c r="E144" s="256">
        <f>SUMIFS('Livro Diario - FC'!$M$11:$M1028,'Livro Diario - FC'!$E$11:$E1028,$C$144,'Livro Diario - FC'!$D$11:$D1028,"&gt;=01/01"&amp;$C$7,'Livro Diario - FC'!$D$11:$D1028,"&lt;=31/01"&amp;$C$7)</f>
        <v>0</v>
      </c>
      <c r="F144" s="273"/>
      <c r="G144" s="258"/>
      <c r="H144" s="157"/>
      <c r="I144" s="255">
        <f>SUMIFS('Livro Diario - FC'!$K$11:$K1028,'Livro Diario - FC'!$E$11:$E1028,$C$144,'Livro Diario - FC'!$D$11:$D1028,"&gt;=01/02"&amp;$C$7,'Livro Diario - FC'!$D$11:$D1028,"&lt;=29/02"&amp;$C$7)</f>
        <v>0</v>
      </c>
      <c r="J144" s="256">
        <f>SUMIFS('Livro Diario - FC'!$M$11:$M1028,'Livro Diario - FC'!$E$11:$E1028,$C$144,'Livro Diario - FC'!$D$11:$D1028,"&gt;=01/02"&amp;$C$7,'Livro Diario - FC'!$D$11:$D1028,"&lt;=29/02"&amp;$C$7)</f>
        <v>0</v>
      </c>
      <c r="K144" s="273"/>
      <c r="L144" s="258"/>
      <c r="M144" s="259"/>
      <c r="N144" s="255">
        <f>SUMIFS('Livro Diario - FC'!$K$11:$K1028,'Livro Diario - FC'!$E$11:$E1028,$C$144,'Livro Diario - FC'!$D$11:$D1028,"&gt;=01/03"&amp;$C$7,'Livro Diario - FC'!$D$11:$D1028,"&lt;=31/03"&amp;$C$7)</f>
        <v>0</v>
      </c>
      <c r="O144" s="256">
        <f>SUMIFS('Livro Diario - FC'!$M$11:$M1028,'Livro Diario - FC'!$E$11:$E1028,$C$144,'Livro Diario - FC'!$D$11:$D1028,"&gt;=01/03"&amp;$C$7,'Livro Diario - FC'!$D$11:$D1028,"&lt;=31/03"&amp;$C$7)</f>
        <v>0</v>
      </c>
      <c r="P144" s="273"/>
      <c r="Q144" s="258"/>
      <c r="R144" s="259"/>
      <c r="S144" s="255">
        <f>SUMIFS('Livro Diario - FC'!$K$11:$K1028,'Livro Diario - FC'!$E$11:$E1028,$C$144,'Livro Diario - FC'!$D$11:$D1028,"&gt;=01/04"&amp;$C$7,'Livro Diario - FC'!$D$11:$D1028,"&lt;=30/04"&amp;$C$7)</f>
        <v>0</v>
      </c>
      <c r="T144" s="256">
        <f>SUMIFS('Livro Diario - FC'!$M$11:$M1028,'Livro Diario - FC'!$E$11:$E1028,$C$144,'Livro Diario - FC'!$D$11:$D1028,"&gt;=01/04"&amp;$C$7,'Livro Diario - FC'!$D$11:$D1028,"&lt;=30/04"&amp;$C$7)</f>
        <v>0</v>
      </c>
      <c r="U144" s="273"/>
      <c r="V144" s="258"/>
      <c r="W144" s="259"/>
      <c r="X144" s="255">
        <f>SUMIFS('Livro Diario - FC'!$K$11:$K1028,'Livro Diario - FC'!$E$11:$E1028,$C$144,'Livro Diario - FC'!$D$11:$D1028,"&gt;=01/05"&amp;$C$7,'Livro Diario - FC'!$D$11:$D1028,"&lt;=31/05"&amp;$C$7)</f>
        <v>0</v>
      </c>
      <c r="Y144" s="256">
        <f>SUMIFS('Livro Diario - FC'!$M$11:$M1028,'Livro Diario - FC'!$E$11:$E1028,$C$144,'Livro Diario - FC'!$D$11:$D1028,"&gt;=01/05"&amp;$C$7,'Livro Diario - FC'!$D$11:$D1028,"&lt;=31/05"&amp;$C$7)</f>
        <v>0</v>
      </c>
      <c r="Z144" s="273"/>
      <c r="AA144" s="258"/>
      <c r="AB144" s="259"/>
      <c r="AC144" s="255">
        <f>SUMIFS('Livro Diario - FC'!$K$11:$K1028,'Livro Diario - FC'!$E$11:$E1028,$C$144,'Livro Diario - FC'!$D$11:$D1028,"&gt;=01/06"&amp;$C$7,'Livro Diario - FC'!$D$11:$D1028,"&lt;=30/06"&amp;$C$7)</f>
        <v>0</v>
      </c>
      <c r="AD144" s="256">
        <f>SUMIFS('Livro Diario - FC'!$M$11:$M1028,'Livro Diario - FC'!$E$11:$E1028,$C$144,'Livro Diario - FC'!$D$11:$D1028,"&gt;=01/06"&amp;$C$7,'Livro Diario - FC'!$D$11:$D1028,"&lt;=30/06"&amp;$C$7)</f>
        <v>0</v>
      </c>
      <c r="AE144" s="273"/>
      <c r="AF144" s="258"/>
      <c r="AG144" s="255">
        <f>SUMIFS('Livro Diario - FC'!$K$11:$K1028,'Livro Diario - FC'!$E$11:$E1028,$C$144,'Livro Diario - FC'!$D$11:$D1028,"&gt;=01/07"&amp;$C$7,'Livro Diario - FC'!$D$11:$D1028,"&lt;=31/07"&amp;$C$7)</f>
        <v>0</v>
      </c>
      <c r="AH144" s="256">
        <f>SUMIFS('Livro Diario - FC'!$M$11:$M1028,'Livro Diario - FC'!$E$11:$E1028,$C$144,'Livro Diario - FC'!$D$11:$D1028,"&gt;=01/07"&amp;$C$7,'Livro Diario - FC'!$D$11:$D1028,"&lt;=31/07"&amp;$C$7)</f>
        <v>0</v>
      </c>
      <c r="AI144" s="273"/>
      <c r="AJ144" s="258"/>
      <c r="AK144" s="255">
        <f>SUMIFS('Livro Diario - FC'!$K$11:$K1028,'Livro Diario - FC'!$E$11:$E1028,$C$144,'Livro Diario - FC'!$D$11:$D1028,"&gt;=01/08"&amp;$C$7,'Livro Diario - FC'!$D$11:$D1028,"&lt;=31/08"&amp;$C$7)</f>
        <v>0</v>
      </c>
      <c r="AL144" s="256">
        <f>SUMIFS('Livro Diario - FC'!$M$11:$M1028,'Livro Diario - FC'!$E$11:$E1028,$C$144,'Livro Diario - FC'!$D$11:$D1028,"&gt;=01/08"&amp;$C$7,'Livro Diario - FC'!$D$11:$D1028,"&lt;=31/08"&amp;$C$7)</f>
        <v>0</v>
      </c>
      <c r="AM144" s="273"/>
      <c r="AN144" s="258"/>
      <c r="AO144" s="255">
        <f>SUMIFS('Livro Diario - FC'!$K$11:$K1028,'Livro Diario - FC'!$E$11:$E1028,$C$144,'Livro Diario - FC'!$D$11:$D1028,"&gt;=01/09"&amp;$C$7,'Livro Diario - FC'!$D$11:$D1028,"&lt;=30/09"&amp;$C$7)</f>
        <v>0</v>
      </c>
      <c r="AP144" s="256">
        <f>SUMIFS('Livro Diario - FC'!$M$11:$M1028,'Livro Diario - FC'!$E$11:$E1028,$C$144,'Livro Diario - FC'!$D$11:$D1028,"&gt;=01/09"&amp;$C$7,'Livro Diario - FC'!$D$11:$D1028,"&lt;=30/09"&amp;$C$7)</f>
        <v>0</v>
      </c>
      <c r="AQ144" s="273"/>
      <c r="AR144" s="258"/>
      <c r="AS144" s="255">
        <f>SUMIFS('Livro Diario - FC'!$K$11:$K1028,'Livro Diario - FC'!$E$11:$E1028,$C$144,'Livro Diario - FC'!$D$11:$D1028,"&gt;=01/10"&amp;$C$7,'Livro Diario - FC'!$D$11:$D1028,"&lt;=31/10"&amp;$C$7)</f>
        <v>0</v>
      </c>
      <c r="AT144" s="256">
        <f>SUMIFS('Livro Diario - FC'!$M$11:$M1028,'Livro Diario - FC'!$E$11:$E1028,$C$144,'Livro Diario - FC'!$D$11:$D1028,"&gt;=01/10"&amp;$C$7,'Livro Diario - FC'!$D$11:$D1028,"&lt;=31/10"&amp;$C$7)</f>
        <v>0</v>
      </c>
      <c r="AU144" s="273"/>
      <c r="AV144" s="258"/>
      <c r="AW144" s="255">
        <f>SUMIFS('Livro Diario - FC'!$K$11:$K1028,'Livro Diario - FC'!$E$11:$E1028,$C$144,'Livro Diario - FC'!$D$11:$D1028,"&gt;=01/11"&amp;$C$7,'Livro Diario - FC'!$D$11:$D1028,"&lt;=30/11"&amp;$C$7)</f>
        <v>0</v>
      </c>
      <c r="AX144" s="256">
        <f>SUMIFS('Livro Diario - FC'!$M$11:$M1028,'Livro Diario - FC'!$E$11:$E1028,$C$144,'Livro Diario - FC'!$D$11:$D1028,"&gt;=01/11"&amp;$C$7,'Livro Diario - FC'!$D$11:$D1028,"&lt;=30/11"&amp;$C$7)</f>
        <v>0</v>
      </c>
      <c r="AY144" s="273"/>
      <c r="AZ144" s="258"/>
      <c r="BA144" s="255">
        <f>SUMIFS('Livro Diario - FC'!$K$11:$K1028,'Livro Diario - FC'!$E$11:$E1028,$C$144,'Livro Diario - FC'!$D$11:$D1028,"&gt;=01/12"&amp;$C$7,'Livro Diario - FC'!$D$11:$D1028,"&lt;=31/12"&amp;$C$7)</f>
        <v>0</v>
      </c>
      <c r="BB144" s="256">
        <f>SUMIFS('Livro Diario - FC'!$M$11:$M1028,'Livro Diario - FC'!$E$11:$E1028,$C$144,'Livro Diario - FC'!$D$11:$D1028,"&gt;=01/12"&amp;$C$7,'Livro Diario - FC'!$D$11:$D1028,"&lt;=31/12"&amp;$C$7)</f>
        <v>0</v>
      </c>
      <c r="BC144" s="273"/>
      <c r="BD144" s="273"/>
      <c r="BE144" s="267">
        <f t="shared" ref="BE144:BF144" si="245">SUM(D144,I144,N144,S144,X144,AC144,AG144,AK144,AO144,AS144,AW144,BA144)</f>
        <v>0</v>
      </c>
      <c r="BF144" s="268">
        <f t="shared" si="245"/>
        <v>0</v>
      </c>
      <c r="BG144" s="269"/>
      <c r="BH144" s="192"/>
      <c r="BI144" s="270">
        <f>SUMIFS('Livro Diario - FC'!$M$11:$M1028,'Livro Diario - FC'!$E$11:$E1028,C144,'Livro Diario - FC'!$D$11:$D1028,"&gt;="&amp;$BK$8,'Livro Diario - FC'!$D$11:$D1028,"&lt;="&amp;$BK$9)</f>
        <v>0</v>
      </c>
      <c r="BJ144" s="271"/>
      <c r="BK144" s="272"/>
      <c r="BL144" s="1"/>
    </row>
    <row r="145">
      <c r="A145" s="1"/>
      <c r="B145" s="1"/>
      <c r="C145" s="338" t="str">
        <f>'Livro Diario - FC'!AE154</f>
        <v>Polpa Morango</v>
      </c>
      <c r="D145" s="255">
        <f>SUMIFS('Livro Diario - FC'!$K$11:$K1028,'Livro Diario - FC'!$E$11:$E1028,$C$145,'Livro Diario - FC'!$D$11:$D1028,"&gt;=01/01"&amp;$C$7,'Livro Diario - FC'!$D$11:$D1028,"&lt;=31/01"&amp;$C$7)</f>
        <v>0</v>
      </c>
      <c r="E145" s="256">
        <f>SUMIFS('Livro Diario - FC'!$M$11:$M1028,'Livro Diario - FC'!$E$11:$E1028,$C$145,'Livro Diario - FC'!$D$11:$D1028,"&gt;=01/01"&amp;$C$7,'Livro Diario - FC'!$D$11:$D1028,"&lt;=31/01"&amp;$C$7)</f>
        <v>0</v>
      </c>
      <c r="F145" s="273"/>
      <c r="G145" s="258"/>
      <c r="H145" s="157"/>
      <c r="I145" s="255">
        <f>SUMIFS('Livro Diario - FC'!$K$11:$K1028,'Livro Diario - FC'!$E$11:$E1028,$C$145,'Livro Diario - FC'!$D$11:$D1028,"&gt;=01/02"&amp;$C$7,'Livro Diario - FC'!$D$11:$D1028,"&lt;=29/02"&amp;$C$7)</f>
        <v>0</v>
      </c>
      <c r="J145" s="256">
        <f>SUMIFS('Livro Diario - FC'!$M$11:$M1028,'Livro Diario - FC'!$E$11:$E1028,$C$145,'Livro Diario - FC'!$D$11:$D1028,"&gt;=01/02"&amp;$C$7,'Livro Diario - FC'!$D$11:$D1028,"&lt;=29/02"&amp;$C$7)</f>
        <v>0</v>
      </c>
      <c r="K145" s="273"/>
      <c r="L145" s="258"/>
      <c r="M145" s="259"/>
      <c r="N145" s="255">
        <f>SUMIFS('Livro Diario - FC'!$K$11:$K1028,'Livro Diario - FC'!$E$11:$E1028,$C$145,'Livro Diario - FC'!$D$11:$D1028,"&gt;=01/03"&amp;$C$7,'Livro Diario - FC'!$D$11:$D1028,"&lt;=31/03"&amp;$C$7)</f>
        <v>0</v>
      </c>
      <c r="O145" s="256">
        <f>SUMIFS('Livro Diario - FC'!$M$11:$M1028,'Livro Diario - FC'!$E$11:$E1028,$C$145,'Livro Diario - FC'!$D$11:$D1028,"&gt;=01/03"&amp;$C$7,'Livro Diario - FC'!$D$11:$D1028,"&lt;=31/03"&amp;$C$7)</f>
        <v>0</v>
      </c>
      <c r="P145" s="273"/>
      <c r="Q145" s="258"/>
      <c r="R145" s="259"/>
      <c r="S145" s="255">
        <f>SUMIFS('Livro Diario - FC'!$K$11:$K1028,'Livro Diario - FC'!$E$11:$E1028,$C$145,'Livro Diario - FC'!$D$11:$D1028,"&gt;=01/04"&amp;$C$7,'Livro Diario - FC'!$D$11:$D1028,"&lt;=30/04"&amp;$C$7)</f>
        <v>0</v>
      </c>
      <c r="T145" s="256">
        <f>SUMIFS('Livro Diario - FC'!$M$11:$M1028,'Livro Diario - FC'!$E$11:$E1028,$C$145,'Livro Diario - FC'!$D$11:$D1028,"&gt;=01/04"&amp;$C$7,'Livro Diario - FC'!$D$11:$D1028,"&lt;=30/04"&amp;$C$7)</f>
        <v>0</v>
      </c>
      <c r="U145" s="273"/>
      <c r="V145" s="258"/>
      <c r="W145" s="259"/>
      <c r="X145" s="255">
        <f>SUMIFS('Livro Diario - FC'!$K$11:$K1028,'Livro Diario - FC'!$E$11:$E1028,$C$145,'Livro Diario - FC'!$D$11:$D1028,"&gt;=01/05"&amp;$C$7,'Livro Diario - FC'!$D$11:$D1028,"&lt;=31/05"&amp;$C$7)</f>
        <v>0</v>
      </c>
      <c r="Y145" s="256">
        <f>SUMIFS('Livro Diario - FC'!$M$11:$M1028,'Livro Diario - FC'!$E$11:$E1028,$C$145,'Livro Diario - FC'!$D$11:$D1028,"&gt;=01/05"&amp;$C$7,'Livro Diario - FC'!$D$11:$D1028,"&lt;=31/05"&amp;$C$7)</f>
        <v>0</v>
      </c>
      <c r="Z145" s="273"/>
      <c r="AA145" s="258"/>
      <c r="AB145" s="259"/>
      <c r="AC145" s="255">
        <f>SUMIFS('Livro Diario - FC'!$K$11:$K1028,'Livro Diario - FC'!$E$11:$E1028,$C$145,'Livro Diario - FC'!$D$11:$D1028,"&gt;=01/06"&amp;$C$7,'Livro Diario - FC'!$D$11:$D1028,"&lt;=30/06"&amp;$C$7)</f>
        <v>0</v>
      </c>
      <c r="AD145" s="256">
        <f>SUMIFS('Livro Diario - FC'!$M$11:$M1028,'Livro Diario - FC'!$E$11:$E1028,$C$145,'Livro Diario - FC'!$D$11:$D1028,"&gt;=01/06"&amp;$C$7,'Livro Diario - FC'!$D$11:$D1028,"&lt;=30/06"&amp;$C$7)</f>
        <v>0</v>
      </c>
      <c r="AE145" s="273"/>
      <c r="AF145" s="258"/>
      <c r="AG145" s="255">
        <f>SUMIFS('Livro Diario - FC'!$K$11:$K1028,'Livro Diario - FC'!$E$11:$E1028,$C$145,'Livro Diario - FC'!$D$11:$D1028,"&gt;=01/07"&amp;$C$7,'Livro Diario - FC'!$D$11:$D1028,"&lt;=31/07"&amp;$C$7)</f>
        <v>0</v>
      </c>
      <c r="AH145" s="256">
        <f>SUMIFS('Livro Diario - FC'!$M$11:$M1028,'Livro Diario - FC'!$E$11:$E1028,$C$145,'Livro Diario - FC'!$D$11:$D1028,"&gt;=01/07"&amp;$C$7,'Livro Diario - FC'!$D$11:$D1028,"&lt;=31/07"&amp;$C$7)</f>
        <v>0</v>
      </c>
      <c r="AI145" s="273"/>
      <c r="AJ145" s="258"/>
      <c r="AK145" s="255">
        <f>SUMIFS('Livro Diario - FC'!$K$11:$K1028,'Livro Diario - FC'!$E$11:$E1028,$C$145,'Livro Diario - FC'!$D$11:$D1028,"&gt;=01/08"&amp;$C$7,'Livro Diario - FC'!$D$11:$D1028,"&lt;=31/08"&amp;$C$7)</f>
        <v>0</v>
      </c>
      <c r="AL145" s="256">
        <f>SUMIFS('Livro Diario - FC'!$M$11:$M1028,'Livro Diario - FC'!$E$11:$E1028,$C$145,'Livro Diario - FC'!$D$11:$D1028,"&gt;=01/08"&amp;$C$7,'Livro Diario - FC'!$D$11:$D1028,"&lt;=31/08"&amp;$C$7)</f>
        <v>0</v>
      </c>
      <c r="AM145" s="273"/>
      <c r="AN145" s="258"/>
      <c r="AO145" s="255">
        <f>SUMIFS('Livro Diario - FC'!$K$11:$K1028,'Livro Diario - FC'!$E$11:$E1028,$C$145,'Livro Diario - FC'!$D$11:$D1028,"&gt;=01/09"&amp;$C$7,'Livro Diario - FC'!$D$11:$D1028,"&lt;=30/09"&amp;$C$7)</f>
        <v>0</v>
      </c>
      <c r="AP145" s="256">
        <f>SUMIFS('Livro Diario - FC'!$M$11:$M1028,'Livro Diario - FC'!$E$11:$E1028,$C$145,'Livro Diario - FC'!$D$11:$D1028,"&gt;=01/09"&amp;$C$7,'Livro Diario - FC'!$D$11:$D1028,"&lt;=30/09"&amp;$C$7)</f>
        <v>0</v>
      </c>
      <c r="AQ145" s="273"/>
      <c r="AR145" s="258"/>
      <c r="AS145" s="255">
        <f>SUMIFS('Livro Diario - FC'!$K$11:$K1028,'Livro Diario - FC'!$E$11:$E1028,$C$145,'Livro Diario - FC'!$D$11:$D1028,"&gt;=01/10"&amp;$C$7,'Livro Diario - FC'!$D$11:$D1028,"&lt;=31/10"&amp;$C$7)</f>
        <v>0</v>
      </c>
      <c r="AT145" s="256">
        <f>SUMIFS('Livro Diario - FC'!$M$11:$M1028,'Livro Diario - FC'!$E$11:$E1028,$C$145,'Livro Diario - FC'!$D$11:$D1028,"&gt;=01/10"&amp;$C$7,'Livro Diario - FC'!$D$11:$D1028,"&lt;=31/10"&amp;$C$7)</f>
        <v>0</v>
      </c>
      <c r="AU145" s="273"/>
      <c r="AV145" s="258"/>
      <c r="AW145" s="255">
        <f>SUMIFS('Livro Diario - FC'!$K$11:$K1028,'Livro Diario - FC'!$E$11:$E1028,$C$145,'Livro Diario - FC'!$D$11:$D1028,"&gt;=01/11"&amp;$C$7,'Livro Diario - FC'!$D$11:$D1028,"&lt;=30/11"&amp;$C$7)</f>
        <v>0</v>
      </c>
      <c r="AX145" s="256">
        <f>SUMIFS('Livro Diario - FC'!$M$11:$M1028,'Livro Diario - FC'!$E$11:$E1028,$C$145,'Livro Diario - FC'!$D$11:$D1028,"&gt;=01/11"&amp;$C$7,'Livro Diario - FC'!$D$11:$D1028,"&lt;=30/11"&amp;$C$7)</f>
        <v>0</v>
      </c>
      <c r="AY145" s="273"/>
      <c r="AZ145" s="258"/>
      <c r="BA145" s="255">
        <f>SUMIFS('Livro Diario - FC'!$K$11:$K1028,'Livro Diario - FC'!$E$11:$E1028,$C$145,'Livro Diario - FC'!$D$11:$D1028,"&gt;=01/12"&amp;$C$7,'Livro Diario - FC'!$D$11:$D1028,"&lt;=31/12"&amp;$C$7)</f>
        <v>0</v>
      </c>
      <c r="BB145" s="256">
        <f>SUMIFS('Livro Diario - FC'!$M$11:$M1028,'Livro Diario - FC'!$E$11:$E1028,$C$145,'Livro Diario - FC'!$D$11:$D1028,"&gt;=01/12"&amp;$C$7,'Livro Diario - FC'!$D$11:$D1028,"&lt;=31/12"&amp;$C$7)</f>
        <v>0</v>
      </c>
      <c r="BC145" s="273"/>
      <c r="BD145" s="273"/>
      <c r="BE145" s="267">
        <f t="shared" ref="BE145:BF145" si="246">SUM(D145,I145,N145,S145,X145,AC145,AG145,AK145,AO145,AS145,AW145,BA145)</f>
        <v>0</v>
      </c>
      <c r="BF145" s="268">
        <f t="shared" si="246"/>
        <v>0</v>
      </c>
      <c r="BG145" s="269"/>
      <c r="BH145" s="192"/>
      <c r="BI145" s="270">
        <f>SUMIFS('Livro Diario - FC'!$M$11:$M1028,'Livro Diario - FC'!$E$11:$E1028,C145,'Livro Diario - FC'!$D$11:$D1028,"&gt;="&amp;$BK$8,'Livro Diario - FC'!$D$11:$D1028,"&lt;="&amp;$BK$9)</f>
        <v>0</v>
      </c>
      <c r="BJ145" s="271"/>
      <c r="BK145" s="272"/>
      <c r="BL145" s="1"/>
    </row>
    <row r="146">
      <c r="A146" s="1"/>
      <c r="B146" s="1"/>
      <c r="C146" s="338" t="str">
        <f>'Livro Diario - FC'!AE155</f>
        <v/>
      </c>
      <c r="D146" s="255">
        <f>SUMIFS('Livro Diario - FC'!$K$11:$K1028,'Livro Diario - FC'!$E$11:$E1028,$C$146,'Livro Diario - FC'!$D$11:$D1028,"&gt;=01/01"&amp;$C$7,'Livro Diario - FC'!$D$11:$D1028,"&lt;=31/01"&amp;$C$7)</f>
        <v>0</v>
      </c>
      <c r="E146" s="256">
        <f>SUMIFS('Livro Diario - FC'!$M$11:$M1028,'Livro Diario - FC'!$E$11:$E1028,$C$146,'Livro Diario - FC'!$D$11:$D1028,"&gt;=01/01"&amp;$C$7,'Livro Diario - FC'!$D$11:$D1028,"&lt;=31/01"&amp;$C$7)</f>
        <v>0</v>
      </c>
      <c r="F146" s="273"/>
      <c r="G146" s="258"/>
      <c r="H146" s="157"/>
      <c r="I146" s="255">
        <f>SUMIFS('Livro Diario - FC'!$K$11:$K1028,'Livro Diario - FC'!$E$11:$E1028,$C$146,'Livro Diario - FC'!$D$11:$D1028,"&gt;=01/02"&amp;$C$7,'Livro Diario - FC'!$D$11:$D1028,"&lt;=29/02"&amp;$C$7)</f>
        <v>0</v>
      </c>
      <c r="J146" s="256">
        <f>SUMIFS('Livro Diario - FC'!$M$11:$M1028,'Livro Diario - FC'!$E$11:$E1028,$C$146,'Livro Diario - FC'!$D$11:$D1028,"&gt;=01/02"&amp;$C$7,'Livro Diario - FC'!$D$11:$D1028,"&lt;=29/02"&amp;$C$7)</f>
        <v>0</v>
      </c>
      <c r="K146" s="273"/>
      <c r="L146" s="258"/>
      <c r="M146" s="259"/>
      <c r="N146" s="255">
        <f>SUMIFS('Livro Diario - FC'!$K$11:$K1028,'Livro Diario - FC'!$E$11:$E1028,$C$146,'Livro Diario - FC'!$D$11:$D1028,"&gt;=01/03"&amp;$C$7,'Livro Diario - FC'!$D$11:$D1028,"&lt;=31/03"&amp;$C$7)</f>
        <v>0</v>
      </c>
      <c r="O146" s="256">
        <f>SUMIFS('Livro Diario - FC'!$M$11:$M1028,'Livro Diario - FC'!$E$11:$E1028,$C$146,'Livro Diario - FC'!$D$11:$D1028,"&gt;=01/03"&amp;$C$7,'Livro Diario - FC'!$D$11:$D1028,"&lt;=31/03"&amp;$C$7)</f>
        <v>0</v>
      </c>
      <c r="P146" s="273"/>
      <c r="Q146" s="258"/>
      <c r="R146" s="259"/>
      <c r="S146" s="255">
        <f>SUMIFS('Livro Diario - FC'!$K$11:$K1028,'Livro Diario - FC'!$E$11:$E1028,$C$146,'Livro Diario - FC'!$D$11:$D1028,"&gt;=01/04"&amp;$C$7,'Livro Diario - FC'!$D$11:$D1028,"&lt;=30/04"&amp;$C$7)</f>
        <v>0</v>
      </c>
      <c r="T146" s="256">
        <f>SUMIFS('Livro Diario - FC'!$M$11:$M1028,'Livro Diario - FC'!$E$11:$E1028,$C$146,'Livro Diario - FC'!$D$11:$D1028,"&gt;=01/04"&amp;$C$7,'Livro Diario - FC'!$D$11:$D1028,"&lt;=30/04"&amp;$C$7)</f>
        <v>0</v>
      </c>
      <c r="U146" s="273"/>
      <c r="V146" s="258"/>
      <c r="W146" s="259"/>
      <c r="X146" s="255">
        <f>SUMIFS('Livro Diario - FC'!$K$11:$K1028,'Livro Diario - FC'!$E$11:$E1028,$C$146,'Livro Diario - FC'!$D$11:$D1028,"&gt;=01/05"&amp;$C$7,'Livro Diario - FC'!$D$11:$D1028,"&lt;=31/05"&amp;$C$7)</f>
        <v>0</v>
      </c>
      <c r="Y146" s="256">
        <f>SUMIFS('Livro Diario - FC'!$M$11:$M1028,'Livro Diario - FC'!$E$11:$E1028,$C$146,'Livro Diario - FC'!$D$11:$D1028,"&gt;=01/05"&amp;$C$7,'Livro Diario - FC'!$D$11:$D1028,"&lt;=31/05"&amp;$C$7)</f>
        <v>0</v>
      </c>
      <c r="Z146" s="273"/>
      <c r="AA146" s="258"/>
      <c r="AB146" s="259"/>
      <c r="AC146" s="255">
        <f>SUMIFS('Livro Diario - FC'!$K$11:$K1028,'Livro Diario - FC'!$E$11:$E1028,$C$146,'Livro Diario - FC'!$D$11:$D1028,"&gt;=01/06"&amp;$C$7,'Livro Diario - FC'!$D$11:$D1028,"&lt;=30/06"&amp;$C$7)</f>
        <v>0</v>
      </c>
      <c r="AD146" s="256">
        <f>SUMIFS('Livro Diario - FC'!$M$11:$M1028,'Livro Diario - FC'!$E$11:$E1028,$C$146,'Livro Diario - FC'!$D$11:$D1028,"&gt;=01/06"&amp;$C$7,'Livro Diario - FC'!$D$11:$D1028,"&lt;=30/06"&amp;$C$7)</f>
        <v>0</v>
      </c>
      <c r="AE146" s="273"/>
      <c r="AF146" s="258"/>
      <c r="AG146" s="255">
        <f>SUMIFS('Livro Diario - FC'!$K$11:$K1028,'Livro Diario - FC'!$E$11:$E1028,$C$146,'Livro Diario - FC'!$D$11:$D1028,"&gt;=01/07"&amp;$C$7,'Livro Diario - FC'!$D$11:$D1028,"&lt;=31/07"&amp;$C$7)</f>
        <v>0</v>
      </c>
      <c r="AH146" s="256">
        <f>SUMIFS('Livro Diario - FC'!$M$11:$M1028,'Livro Diario - FC'!$E$11:$E1028,$C$146,'Livro Diario - FC'!$D$11:$D1028,"&gt;=01/07"&amp;$C$7,'Livro Diario - FC'!$D$11:$D1028,"&lt;=31/07"&amp;$C$7)</f>
        <v>0</v>
      </c>
      <c r="AI146" s="273"/>
      <c r="AJ146" s="258"/>
      <c r="AK146" s="255">
        <f>SUMIFS('Livro Diario - FC'!$K$11:$K1028,'Livro Diario - FC'!$E$11:$E1028,$C$146,'Livro Diario - FC'!$D$11:$D1028,"&gt;=01/08"&amp;$C$7,'Livro Diario - FC'!$D$11:$D1028,"&lt;=31/08"&amp;$C$7)</f>
        <v>0</v>
      </c>
      <c r="AL146" s="256">
        <f>SUMIFS('Livro Diario - FC'!$M$11:$M1028,'Livro Diario - FC'!$E$11:$E1028,$C$146,'Livro Diario - FC'!$D$11:$D1028,"&gt;=01/08"&amp;$C$7,'Livro Diario - FC'!$D$11:$D1028,"&lt;=31/08"&amp;$C$7)</f>
        <v>0</v>
      </c>
      <c r="AM146" s="273"/>
      <c r="AN146" s="258"/>
      <c r="AO146" s="255">
        <f>SUMIFS('Livro Diario - FC'!$K$11:$K1028,'Livro Diario - FC'!$E$11:$E1028,$C$146,'Livro Diario - FC'!$D$11:$D1028,"&gt;=01/09"&amp;$C$7,'Livro Diario - FC'!$D$11:$D1028,"&lt;=30/09"&amp;$C$7)</f>
        <v>0</v>
      </c>
      <c r="AP146" s="256">
        <f>SUMIFS('Livro Diario - FC'!$M$11:$M1028,'Livro Diario - FC'!$E$11:$E1028,$C$146,'Livro Diario - FC'!$D$11:$D1028,"&gt;=01/09"&amp;$C$7,'Livro Diario - FC'!$D$11:$D1028,"&lt;=30/09"&amp;$C$7)</f>
        <v>0</v>
      </c>
      <c r="AQ146" s="273"/>
      <c r="AR146" s="258"/>
      <c r="AS146" s="255">
        <f>SUMIFS('Livro Diario - FC'!$K$11:$K1028,'Livro Diario - FC'!$E$11:$E1028,$C$146,'Livro Diario - FC'!$D$11:$D1028,"&gt;=01/10"&amp;$C$7,'Livro Diario - FC'!$D$11:$D1028,"&lt;=31/10"&amp;$C$7)</f>
        <v>0</v>
      </c>
      <c r="AT146" s="256">
        <f>SUMIFS('Livro Diario - FC'!$M$11:$M1028,'Livro Diario - FC'!$E$11:$E1028,$C$146,'Livro Diario - FC'!$D$11:$D1028,"&gt;=01/10"&amp;$C$7,'Livro Diario - FC'!$D$11:$D1028,"&lt;=31/10"&amp;$C$7)</f>
        <v>0</v>
      </c>
      <c r="AU146" s="273"/>
      <c r="AV146" s="258"/>
      <c r="AW146" s="255">
        <f>SUMIFS('Livro Diario - FC'!$K$11:$K1028,'Livro Diario - FC'!$E$11:$E1028,$C$146,'Livro Diario - FC'!$D$11:$D1028,"&gt;=01/11"&amp;$C$7,'Livro Diario - FC'!$D$11:$D1028,"&lt;=30/11"&amp;$C$7)</f>
        <v>0</v>
      </c>
      <c r="AX146" s="256">
        <f>SUMIFS('Livro Diario - FC'!$M$11:$M1028,'Livro Diario - FC'!$E$11:$E1028,$C$146,'Livro Diario - FC'!$D$11:$D1028,"&gt;=01/11"&amp;$C$7,'Livro Diario - FC'!$D$11:$D1028,"&lt;=30/11"&amp;$C$7)</f>
        <v>0</v>
      </c>
      <c r="AY146" s="273"/>
      <c r="AZ146" s="258"/>
      <c r="BA146" s="255">
        <f>SUMIFS('Livro Diario - FC'!$K$11:$K1028,'Livro Diario - FC'!$E$11:$E1028,$C$146,'Livro Diario - FC'!$D$11:$D1028,"&gt;=01/12"&amp;$C$7,'Livro Diario - FC'!$D$11:$D1028,"&lt;=31/12"&amp;$C$7)</f>
        <v>0</v>
      </c>
      <c r="BB146" s="256">
        <f>SUMIFS('Livro Diario - FC'!$M$11:$M1028,'Livro Diario - FC'!$E$11:$E1028,$C$146,'Livro Diario - FC'!$D$11:$D1028,"&gt;=01/12"&amp;$C$7,'Livro Diario - FC'!$D$11:$D1028,"&lt;=31/12"&amp;$C$7)</f>
        <v>0</v>
      </c>
      <c r="BC146" s="273"/>
      <c r="BD146" s="273"/>
      <c r="BE146" s="267">
        <f t="shared" ref="BE146:BF146" si="247">SUM(D146,I146,N146,S146,X146,AC146,AG146,AK146,AO146,AS146,AW146,BA146)</f>
        <v>0</v>
      </c>
      <c r="BF146" s="268">
        <f t="shared" si="247"/>
        <v>0</v>
      </c>
      <c r="BG146" s="269"/>
      <c r="BH146" s="192"/>
      <c r="BI146" s="270">
        <f>SUMIFS('Livro Diario - FC'!$M$11:$M1028,'Livro Diario - FC'!$E$11:$E1028,C146,'Livro Diario - FC'!$D$11:$D1028,"&gt;="&amp;$BK$8,'Livro Diario - FC'!$D$11:$D1028,"&lt;="&amp;$BK$9)</f>
        <v>0</v>
      </c>
      <c r="BJ146" s="271"/>
      <c r="BK146" s="272"/>
      <c r="BL146" s="1"/>
    </row>
    <row r="147">
      <c r="A147" s="1"/>
      <c r="B147" s="1"/>
      <c r="C147" s="338" t="str">
        <f>'Livro Diario - FC'!AE156</f>
        <v/>
      </c>
      <c r="D147" s="255">
        <f>SUMIFS('Livro Diario - FC'!$K$11:$K1028,'Livro Diario - FC'!$E$11:$E1028,$C$147,'Livro Diario - FC'!$D$11:$D1028,"&gt;=01/01"&amp;$C$7,'Livro Diario - FC'!$D$11:$D1028,"&lt;=31/01"&amp;$C$7)</f>
        <v>0</v>
      </c>
      <c r="E147" s="256">
        <f>SUMIFS('Livro Diario - FC'!$M$11:$M1028,'Livro Diario - FC'!$E$11:$E1028,$C$147,'Livro Diario - FC'!$D$11:$D1028,"&gt;=01/01"&amp;$C$7,'Livro Diario - FC'!$D$11:$D1028,"&lt;=31/01"&amp;$C$7)</f>
        <v>0</v>
      </c>
      <c r="F147" s="273"/>
      <c r="G147" s="258"/>
      <c r="H147" s="157"/>
      <c r="I147" s="255">
        <f>SUMIFS('Livro Diario - FC'!$K$11:$K1028,'Livro Diario - FC'!$E$11:$E1028,$C$147,'Livro Diario - FC'!$D$11:$D1028,"&gt;=01/02"&amp;$C$7,'Livro Diario - FC'!$D$11:$D1028,"&lt;=29/02"&amp;$C$7)</f>
        <v>0</v>
      </c>
      <c r="J147" s="256">
        <f>SUMIFS('Livro Diario - FC'!$M$11:$M1028,'Livro Diario - FC'!$E$11:$E1028,$C$147,'Livro Diario - FC'!$D$11:$D1028,"&gt;=01/02"&amp;$C$7,'Livro Diario - FC'!$D$11:$D1028,"&lt;=29/02"&amp;$C$7)</f>
        <v>0</v>
      </c>
      <c r="K147" s="273"/>
      <c r="L147" s="258"/>
      <c r="M147" s="259"/>
      <c r="N147" s="255">
        <f>SUMIFS('Livro Diario - FC'!$K$11:$K1028,'Livro Diario - FC'!$E$11:$E1028,$C$147,'Livro Diario - FC'!$D$11:$D1028,"&gt;=01/03"&amp;$C$7,'Livro Diario - FC'!$D$11:$D1028,"&lt;=31/03"&amp;$C$7)</f>
        <v>0</v>
      </c>
      <c r="O147" s="256">
        <f>SUMIFS('Livro Diario - FC'!$M$11:$M1028,'Livro Diario - FC'!$E$11:$E1028,$C$147,'Livro Diario - FC'!$D$11:$D1028,"&gt;=01/03"&amp;$C$7,'Livro Diario - FC'!$D$11:$D1028,"&lt;=31/03"&amp;$C$7)</f>
        <v>0</v>
      </c>
      <c r="P147" s="273"/>
      <c r="Q147" s="258"/>
      <c r="R147" s="259"/>
      <c r="S147" s="255">
        <f>SUMIFS('Livro Diario - FC'!$K$11:$K1028,'Livro Diario - FC'!$E$11:$E1028,$C$147,'Livro Diario - FC'!$D$11:$D1028,"&gt;=01/04"&amp;$C$7,'Livro Diario - FC'!$D$11:$D1028,"&lt;=30/04"&amp;$C$7)</f>
        <v>0</v>
      </c>
      <c r="T147" s="256">
        <f>SUMIFS('Livro Diario - FC'!$M$11:$M1028,'Livro Diario - FC'!$E$11:$E1028,$C$147,'Livro Diario - FC'!$D$11:$D1028,"&gt;=01/04"&amp;$C$7,'Livro Diario - FC'!$D$11:$D1028,"&lt;=30/04"&amp;$C$7)</f>
        <v>0</v>
      </c>
      <c r="U147" s="273"/>
      <c r="V147" s="258"/>
      <c r="W147" s="259"/>
      <c r="X147" s="255">
        <f>SUMIFS('Livro Diario - FC'!$K$11:$K1028,'Livro Diario - FC'!$E$11:$E1028,$C$147,'Livro Diario - FC'!$D$11:$D1028,"&gt;=01/05"&amp;$C$7,'Livro Diario - FC'!$D$11:$D1028,"&lt;=31/05"&amp;$C$7)</f>
        <v>0</v>
      </c>
      <c r="Y147" s="256">
        <f>SUMIFS('Livro Diario - FC'!$M$11:$M1028,'Livro Diario - FC'!$E$11:$E1028,$C$147,'Livro Diario - FC'!$D$11:$D1028,"&gt;=01/05"&amp;$C$7,'Livro Diario - FC'!$D$11:$D1028,"&lt;=31/05"&amp;$C$7)</f>
        <v>0</v>
      </c>
      <c r="Z147" s="273"/>
      <c r="AA147" s="258"/>
      <c r="AB147" s="259"/>
      <c r="AC147" s="255">
        <f>SUMIFS('Livro Diario - FC'!$K$11:$K1028,'Livro Diario - FC'!$E$11:$E1028,$C$147,'Livro Diario - FC'!$D$11:$D1028,"&gt;=01/06"&amp;$C$7,'Livro Diario - FC'!$D$11:$D1028,"&lt;=30/06"&amp;$C$7)</f>
        <v>0</v>
      </c>
      <c r="AD147" s="256">
        <f>SUMIFS('Livro Diario - FC'!$M$11:$M1028,'Livro Diario - FC'!$E$11:$E1028,$C$147,'Livro Diario - FC'!$D$11:$D1028,"&gt;=01/06"&amp;$C$7,'Livro Diario - FC'!$D$11:$D1028,"&lt;=30/06"&amp;$C$7)</f>
        <v>0</v>
      </c>
      <c r="AE147" s="273"/>
      <c r="AF147" s="258"/>
      <c r="AG147" s="255">
        <f>SUMIFS('Livro Diario - FC'!$K$11:$K1028,'Livro Diario - FC'!$E$11:$E1028,$C$147,'Livro Diario - FC'!$D$11:$D1028,"&gt;=01/07"&amp;$C$7,'Livro Diario - FC'!$D$11:$D1028,"&lt;=31/07"&amp;$C$7)</f>
        <v>0</v>
      </c>
      <c r="AH147" s="256">
        <f>SUMIFS('Livro Diario - FC'!$M$11:$M1028,'Livro Diario - FC'!$E$11:$E1028,$C$147,'Livro Diario - FC'!$D$11:$D1028,"&gt;=01/07"&amp;$C$7,'Livro Diario - FC'!$D$11:$D1028,"&lt;=31/07"&amp;$C$7)</f>
        <v>0</v>
      </c>
      <c r="AI147" s="273"/>
      <c r="AJ147" s="258"/>
      <c r="AK147" s="255">
        <f>SUMIFS('Livro Diario - FC'!$K$11:$K1028,'Livro Diario - FC'!$E$11:$E1028,$C$147,'Livro Diario - FC'!$D$11:$D1028,"&gt;=01/08"&amp;$C$7,'Livro Diario - FC'!$D$11:$D1028,"&lt;=31/08"&amp;$C$7)</f>
        <v>0</v>
      </c>
      <c r="AL147" s="256">
        <f>SUMIFS('Livro Diario - FC'!$M$11:$M1028,'Livro Diario - FC'!$E$11:$E1028,$C$147,'Livro Diario - FC'!$D$11:$D1028,"&gt;=01/08"&amp;$C$7,'Livro Diario - FC'!$D$11:$D1028,"&lt;=31/08"&amp;$C$7)</f>
        <v>0</v>
      </c>
      <c r="AM147" s="273"/>
      <c r="AN147" s="258"/>
      <c r="AO147" s="255">
        <f>SUMIFS('Livro Diario - FC'!$K$11:$K1028,'Livro Diario - FC'!$E$11:$E1028,$C$147,'Livro Diario - FC'!$D$11:$D1028,"&gt;=01/09"&amp;$C$7,'Livro Diario - FC'!$D$11:$D1028,"&lt;=30/09"&amp;$C$7)</f>
        <v>0</v>
      </c>
      <c r="AP147" s="256">
        <f>SUMIFS('Livro Diario - FC'!$M$11:$M1028,'Livro Diario - FC'!$E$11:$E1028,$C$147,'Livro Diario - FC'!$D$11:$D1028,"&gt;=01/09"&amp;$C$7,'Livro Diario - FC'!$D$11:$D1028,"&lt;=30/09"&amp;$C$7)</f>
        <v>0</v>
      </c>
      <c r="AQ147" s="273"/>
      <c r="AR147" s="258"/>
      <c r="AS147" s="255">
        <f>SUMIFS('Livro Diario - FC'!$K$11:$K1028,'Livro Diario - FC'!$E$11:$E1028,$C$147,'Livro Diario - FC'!$D$11:$D1028,"&gt;=01/10"&amp;$C$7,'Livro Diario - FC'!$D$11:$D1028,"&lt;=31/10"&amp;$C$7)</f>
        <v>0</v>
      </c>
      <c r="AT147" s="256">
        <f>SUMIFS('Livro Diario - FC'!$M$11:$M1028,'Livro Diario - FC'!$E$11:$E1028,$C$147,'Livro Diario - FC'!$D$11:$D1028,"&gt;=01/10"&amp;$C$7,'Livro Diario - FC'!$D$11:$D1028,"&lt;=31/10"&amp;$C$7)</f>
        <v>0</v>
      </c>
      <c r="AU147" s="273"/>
      <c r="AV147" s="258"/>
      <c r="AW147" s="255">
        <f>SUMIFS('Livro Diario - FC'!$K$11:$K1028,'Livro Diario - FC'!$E$11:$E1028,$C$147,'Livro Diario - FC'!$D$11:$D1028,"&gt;=01/11"&amp;$C$7,'Livro Diario - FC'!$D$11:$D1028,"&lt;=30/11"&amp;$C$7)</f>
        <v>0</v>
      </c>
      <c r="AX147" s="256">
        <f>SUMIFS('Livro Diario - FC'!$M$11:$M1028,'Livro Diario - FC'!$E$11:$E1028,$C$147,'Livro Diario - FC'!$D$11:$D1028,"&gt;=01/11"&amp;$C$7,'Livro Diario - FC'!$D$11:$D1028,"&lt;=30/11"&amp;$C$7)</f>
        <v>0</v>
      </c>
      <c r="AY147" s="273"/>
      <c r="AZ147" s="258"/>
      <c r="BA147" s="255">
        <f>SUMIFS('Livro Diario - FC'!$K$11:$K1028,'Livro Diario - FC'!$E$11:$E1028,$C$147,'Livro Diario - FC'!$D$11:$D1028,"&gt;=01/12"&amp;$C$7,'Livro Diario - FC'!$D$11:$D1028,"&lt;=31/12"&amp;$C$7)</f>
        <v>0</v>
      </c>
      <c r="BB147" s="256">
        <f>SUMIFS('Livro Diario - FC'!$M$11:$M1028,'Livro Diario - FC'!$E$11:$E1028,$C$147,'Livro Diario - FC'!$D$11:$D1028,"&gt;=01/12"&amp;$C$7,'Livro Diario - FC'!$D$11:$D1028,"&lt;=31/12"&amp;$C$7)</f>
        <v>0</v>
      </c>
      <c r="BC147" s="273"/>
      <c r="BD147" s="273"/>
      <c r="BE147" s="267">
        <f t="shared" ref="BE147:BF147" si="248">SUM(D147,I147,N147,S147,X147,AC147,AG147,AK147,AO147,AS147,AW147,BA147)</f>
        <v>0</v>
      </c>
      <c r="BF147" s="268">
        <f t="shared" si="248"/>
        <v>0</v>
      </c>
      <c r="BG147" s="269"/>
      <c r="BH147" s="192"/>
      <c r="BI147" s="270">
        <f>SUMIFS('Livro Diario - FC'!$M$11:$M1028,'Livro Diario - FC'!$E$11:$E1028,C147,'Livro Diario - FC'!$D$11:$D1028,"&gt;="&amp;$BK$8,'Livro Diario - FC'!$D$11:$D1028,"&lt;="&amp;$BK$9)</f>
        <v>0</v>
      </c>
      <c r="BJ147" s="271"/>
      <c r="BK147" s="272"/>
      <c r="BL147" s="1"/>
    </row>
    <row r="148">
      <c r="A148" s="1"/>
      <c r="B148" s="1"/>
      <c r="C148" s="338" t="str">
        <f>'Livro Diario - FC'!AE157</f>
        <v/>
      </c>
      <c r="D148" s="255">
        <f>SUMIFS('Livro Diario - FC'!$K$11:$K1028,'Livro Diario - FC'!$E$11:$E1028,$C$148,'Livro Diario - FC'!$D$11:$D1028,"&gt;=01/01"&amp;$C$7,'Livro Diario - FC'!$D$11:$D1028,"&lt;=31/01"&amp;$C$7)</f>
        <v>0</v>
      </c>
      <c r="E148" s="256">
        <f>SUMIFS('Livro Diario - FC'!$M$11:$M1028,'Livro Diario - FC'!$E$11:$E1028,$C$148,'Livro Diario - FC'!$D$11:$D1028,"&gt;=01/01"&amp;$C$7,'Livro Diario - FC'!$D$11:$D1028,"&lt;=31/01"&amp;$C$7)</f>
        <v>0</v>
      </c>
      <c r="F148" s="273"/>
      <c r="G148" s="258"/>
      <c r="H148" s="157"/>
      <c r="I148" s="255">
        <f>SUMIFS('Livro Diario - FC'!$K$11:$K1028,'Livro Diario - FC'!$E$11:$E1028,$C$148,'Livro Diario - FC'!$D$11:$D1028,"&gt;=01/02"&amp;$C$7,'Livro Diario - FC'!$D$11:$D1028,"&lt;=29/02"&amp;$C$7)</f>
        <v>0</v>
      </c>
      <c r="J148" s="256">
        <f>SUMIFS('Livro Diario - FC'!$M$11:$M1028,'Livro Diario - FC'!$E$11:$E1028,$C$148,'Livro Diario - FC'!$D$11:$D1028,"&gt;=01/02"&amp;$C$7,'Livro Diario - FC'!$D$11:$D1028,"&lt;=29/02"&amp;$C$7)</f>
        <v>0</v>
      </c>
      <c r="K148" s="273"/>
      <c r="L148" s="258"/>
      <c r="M148" s="259"/>
      <c r="N148" s="255">
        <f>SUMIFS('Livro Diario - FC'!$K$11:$K1028,'Livro Diario - FC'!$E$11:$E1028,$C$148,'Livro Diario - FC'!$D$11:$D1028,"&gt;=01/03"&amp;$C$7,'Livro Diario - FC'!$D$11:$D1028,"&lt;=31/03"&amp;$C$7)</f>
        <v>0</v>
      </c>
      <c r="O148" s="256">
        <f>SUMIFS('Livro Diario - FC'!$M$11:$M1028,'Livro Diario - FC'!$E$11:$E1028,$C$148,'Livro Diario - FC'!$D$11:$D1028,"&gt;=01/03"&amp;$C$7,'Livro Diario - FC'!$D$11:$D1028,"&lt;=31/03"&amp;$C$7)</f>
        <v>0</v>
      </c>
      <c r="P148" s="273"/>
      <c r="Q148" s="258"/>
      <c r="R148" s="259"/>
      <c r="S148" s="255">
        <f>SUMIFS('Livro Diario - FC'!$K$11:$K1028,'Livro Diario - FC'!$E$11:$E1028,$C$148,'Livro Diario - FC'!$D$11:$D1028,"&gt;=01/04"&amp;$C$7,'Livro Diario - FC'!$D$11:$D1028,"&lt;=30/04"&amp;$C$7)</f>
        <v>0</v>
      </c>
      <c r="T148" s="256">
        <f>SUMIFS('Livro Diario - FC'!$M$11:$M1028,'Livro Diario - FC'!$E$11:$E1028,$C$148,'Livro Diario - FC'!$D$11:$D1028,"&gt;=01/04"&amp;$C$7,'Livro Diario - FC'!$D$11:$D1028,"&lt;=30/04"&amp;$C$7)</f>
        <v>0</v>
      </c>
      <c r="U148" s="273"/>
      <c r="V148" s="258"/>
      <c r="W148" s="259"/>
      <c r="X148" s="255">
        <f>SUMIFS('Livro Diario - FC'!$K$11:$K1028,'Livro Diario - FC'!$E$11:$E1028,$C$148,'Livro Diario - FC'!$D$11:$D1028,"&gt;=01/05"&amp;$C$7,'Livro Diario - FC'!$D$11:$D1028,"&lt;=31/05"&amp;$C$7)</f>
        <v>0</v>
      </c>
      <c r="Y148" s="256">
        <f>SUMIFS('Livro Diario - FC'!$M$11:$M1028,'Livro Diario - FC'!$E$11:$E1028,$C$148,'Livro Diario - FC'!$D$11:$D1028,"&gt;=01/05"&amp;$C$7,'Livro Diario - FC'!$D$11:$D1028,"&lt;=31/05"&amp;$C$7)</f>
        <v>0</v>
      </c>
      <c r="Z148" s="273"/>
      <c r="AA148" s="258"/>
      <c r="AB148" s="259"/>
      <c r="AC148" s="255">
        <f>SUMIFS('Livro Diario - FC'!$K$11:$K1028,'Livro Diario - FC'!$E$11:$E1028,$C$148,'Livro Diario - FC'!$D$11:$D1028,"&gt;=01/06"&amp;$C$7,'Livro Diario - FC'!$D$11:$D1028,"&lt;=30/06"&amp;$C$7)</f>
        <v>0</v>
      </c>
      <c r="AD148" s="256">
        <f>SUMIFS('Livro Diario - FC'!$M$11:$M1028,'Livro Diario - FC'!$E$11:$E1028,$C$148,'Livro Diario - FC'!$D$11:$D1028,"&gt;=01/06"&amp;$C$7,'Livro Diario - FC'!$D$11:$D1028,"&lt;=30/06"&amp;$C$7)</f>
        <v>0</v>
      </c>
      <c r="AE148" s="273"/>
      <c r="AF148" s="258"/>
      <c r="AG148" s="255">
        <f>SUMIFS('Livro Diario - FC'!$K$11:$K1028,'Livro Diario - FC'!$E$11:$E1028,$C$148,'Livro Diario - FC'!$D$11:$D1028,"&gt;=01/07"&amp;$C$7,'Livro Diario - FC'!$D$11:$D1028,"&lt;=31/07"&amp;$C$7)</f>
        <v>0</v>
      </c>
      <c r="AH148" s="256">
        <f>SUMIFS('Livro Diario - FC'!$M$11:$M1028,'Livro Diario - FC'!$E$11:$E1028,$C$148,'Livro Diario - FC'!$D$11:$D1028,"&gt;=01/07"&amp;$C$7,'Livro Diario - FC'!$D$11:$D1028,"&lt;=31/07"&amp;$C$7)</f>
        <v>0</v>
      </c>
      <c r="AI148" s="273"/>
      <c r="AJ148" s="258"/>
      <c r="AK148" s="255">
        <f>SUMIFS('Livro Diario - FC'!$K$11:$K1028,'Livro Diario - FC'!$E$11:$E1028,$C$148,'Livro Diario - FC'!$D$11:$D1028,"&gt;=01/08"&amp;$C$7,'Livro Diario - FC'!$D$11:$D1028,"&lt;=31/08"&amp;$C$7)</f>
        <v>0</v>
      </c>
      <c r="AL148" s="256">
        <f>SUMIFS('Livro Diario - FC'!$M$11:$M1028,'Livro Diario - FC'!$E$11:$E1028,$C$148,'Livro Diario - FC'!$D$11:$D1028,"&gt;=01/08"&amp;$C$7,'Livro Diario - FC'!$D$11:$D1028,"&lt;=31/08"&amp;$C$7)</f>
        <v>0</v>
      </c>
      <c r="AM148" s="273"/>
      <c r="AN148" s="258"/>
      <c r="AO148" s="255">
        <f>SUMIFS('Livro Diario - FC'!$K$11:$K1028,'Livro Diario - FC'!$E$11:$E1028,$C$148,'Livro Diario - FC'!$D$11:$D1028,"&gt;=01/09"&amp;$C$7,'Livro Diario - FC'!$D$11:$D1028,"&lt;=30/09"&amp;$C$7)</f>
        <v>0</v>
      </c>
      <c r="AP148" s="256">
        <f>SUMIFS('Livro Diario - FC'!$M$11:$M1028,'Livro Diario - FC'!$E$11:$E1028,$C$148,'Livro Diario - FC'!$D$11:$D1028,"&gt;=01/09"&amp;$C$7,'Livro Diario - FC'!$D$11:$D1028,"&lt;=30/09"&amp;$C$7)</f>
        <v>0</v>
      </c>
      <c r="AQ148" s="273"/>
      <c r="AR148" s="258"/>
      <c r="AS148" s="255">
        <f>SUMIFS('Livro Diario - FC'!$K$11:$K1028,'Livro Diario - FC'!$E$11:$E1028,$C$148,'Livro Diario - FC'!$D$11:$D1028,"&gt;=01/10"&amp;$C$7,'Livro Diario - FC'!$D$11:$D1028,"&lt;=31/10"&amp;$C$7)</f>
        <v>0</v>
      </c>
      <c r="AT148" s="256">
        <f>SUMIFS('Livro Diario - FC'!$M$11:$M1028,'Livro Diario - FC'!$E$11:$E1028,$C$148,'Livro Diario - FC'!$D$11:$D1028,"&gt;=01/10"&amp;$C$7,'Livro Diario - FC'!$D$11:$D1028,"&lt;=31/10"&amp;$C$7)</f>
        <v>0</v>
      </c>
      <c r="AU148" s="273"/>
      <c r="AV148" s="258"/>
      <c r="AW148" s="255">
        <f>SUMIFS('Livro Diario - FC'!$K$11:$K1028,'Livro Diario - FC'!$E$11:$E1028,$C$148,'Livro Diario - FC'!$D$11:$D1028,"&gt;=01/11"&amp;$C$7,'Livro Diario - FC'!$D$11:$D1028,"&lt;=30/11"&amp;$C$7)</f>
        <v>0</v>
      </c>
      <c r="AX148" s="256">
        <f>SUMIFS('Livro Diario - FC'!$M$11:$M1028,'Livro Diario - FC'!$E$11:$E1028,$C$148,'Livro Diario - FC'!$D$11:$D1028,"&gt;=01/11"&amp;$C$7,'Livro Diario - FC'!$D$11:$D1028,"&lt;=30/11"&amp;$C$7)</f>
        <v>0</v>
      </c>
      <c r="AY148" s="273"/>
      <c r="AZ148" s="258"/>
      <c r="BA148" s="255">
        <f>SUMIFS('Livro Diario - FC'!$K$11:$K1028,'Livro Diario - FC'!$E$11:$E1028,$C$148,'Livro Diario - FC'!$D$11:$D1028,"&gt;=01/12"&amp;$C$7,'Livro Diario - FC'!$D$11:$D1028,"&lt;=31/12"&amp;$C$7)</f>
        <v>0</v>
      </c>
      <c r="BB148" s="256">
        <f>SUMIFS('Livro Diario - FC'!$M$11:$M1028,'Livro Diario - FC'!$E$11:$E1028,$C$148,'Livro Diario - FC'!$D$11:$D1028,"&gt;=01/12"&amp;$C$7,'Livro Diario - FC'!$D$11:$D1028,"&lt;=31/12"&amp;$C$7)</f>
        <v>0</v>
      </c>
      <c r="BC148" s="273"/>
      <c r="BD148" s="273"/>
      <c r="BE148" s="341">
        <f t="shared" ref="BE148:BF148" si="249">SUM(D148,I148,N148,S148,X148,AC148,AG148,AK148,AO148,AS148,AW148,BA148)</f>
        <v>0</v>
      </c>
      <c r="BF148" s="342">
        <f t="shared" si="249"/>
        <v>0</v>
      </c>
      <c r="BG148" s="343"/>
      <c r="BH148" s="344"/>
      <c r="BI148" s="270">
        <f>SUMIFS('Livro Diario - FC'!$M$11:$M1028,'Livro Diario - FC'!$E$11:$E1028,C148,'Livro Diario - FC'!$D$11:$D1028,"&gt;="&amp;$BK$8,'Livro Diario - FC'!$D$11:$D1028,"&lt;="&amp;$BK$9)</f>
        <v>0</v>
      </c>
      <c r="BJ148" s="271"/>
      <c r="BK148" s="345"/>
      <c r="BL148" s="146"/>
    </row>
    <row r="149">
      <c r="A149" s="1"/>
      <c r="B149" s="40"/>
      <c r="C149" s="322" t="s">
        <v>311</v>
      </c>
      <c r="D149" s="323">
        <f>SUMIFS('Livro Diario - FC'!$J$11:$J1028,'Livro Diario - FC'!$E$11:$E1028,$C$149,'Livro Diario - FC'!$D$11:$D1028,"&gt;=01/01"&amp;$C$7,'Livro Diario - FC'!$D$11:$D1028,"&lt;=31/01"&amp;$C$7)+SUM(D150:D185)</f>
        <v>3827.49</v>
      </c>
      <c r="E149" s="324">
        <f>SUMIFS('Livro Diario - FC'!$L$11:$L1028,'Livro Diario - FC'!$E$11:$E1028,$C$149,'Livro Diario - FC'!$D$11:$D1028,"&gt;=01/01"&amp;$C$7,'Livro Diario - FC'!$D$11:$D1028,"&lt;=31/01"&amp;$C$7)+SUM(E150:E185)</f>
        <v>3827.49</v>
      </c>
      <c r="F149" s="325">
        <f>IF(E$11=0,"",E149/E$11)</f>
        <v>0.493634007</v>
      </c>
      <c r="G149" s="326"/>
      <c r="H149" s="327"/>
      <c r="I149" s="323">
        <f>SUMIFS('Livro Diario - FC'!$J$11:$J1028,'Livro Diario - FC'!$E$11:$E1028,$C$149,'Livro Diario - FC'!$D$11:$D1028,"&gt;=01/02"&amp;$C$7,'Livro Diario - FC'!$D$11:$D1028,"&lt;=29/02"&amp;$C$7)+SUM(I150:I185)</f>
        <v>0</v>
      </c>
      <c r="J149" s="324">
        <f>SUMIFS('Livro Diario - FC'!$L$11:$L1028,'Livro Diario - FC'!$E$11:$E1028,$C$149,'Livro Diario - FC'!$D$11:$D1028,"&gt;=01/02"&amp;$C$7,'Livro Diario - FC'!$D$11:$D1028,"&lt;=29/02"&amp;$C$7)+SUM(J150:J185)</f>
        <v>0</v>
      </c>
      <c r="K149" s="325" t="str">
        <f>IF(J$11=0,"",J149/J$11)</f>
        <v/>
      </c>
      <c r="L149" s="326"/>
      <c r="M149" s="328"/>
      <c r="N149" s="323">
        <f>SUMIFS('Livro Diario - FC'!$J$11:$J1028,'Livro Diario - FC'!$E$11:$E1028,$C$149,'Livro Diario - FC'!$D$11:$D1028,"&gt;=01/03"&amp;$C$7,'Livro Diario - FC'!$D$11:$D1028,"&lt;=31/03"&amp;$C$7)+SUM(N150:N185)</f>
        <v>0</v>
      </c>
      <c r="O149" s="324">
        <f>SUMIFS('Livro Diario - FC'!$L$11:$L1028,'Livro Diario - FC'!$E$11:$E1028,$C$149,'Livro Diario - FC'!$D$11:$D1028,"&gt;=01/03"&amp;$C$7,'Livro Diario - FC'!$D$11:$D1028,"&lt;=31/03"&amp;$C$7)+SUM(O150:O185)</f>
        <v>0</v>
      </c>
      <c r="P149" s="325" t="str">
        <f>IF(O$11=0,"",O149/O$11)</f>
        <v/>
      </c>
      <c r="Q149" s="326"/>
      <c r="R149" s="328"/>
      <c r="S149" s="323">
        <f>SUMIFS('Livro Diario - FC'!$J$11:$J1028,'Livro Diario - FC'!$E$11:$E1028,$C$149,'Livro Diario - FC'!$D$11:$D1028,"&gt;=01/04"&amp;$C$7,'Livro Diario - FC'!$D$11:$D1028,"&lt;=30/04"&amp;$C$7)+SUM(S150:S185)</f>
        <v>0</v>
      </c>
      <c r="T149" s="324">
        <f>SUMIFS('Livro Diario - FC'!$L$11:$L1028,'Livro Diario - FC'!$E$11:$E1028,$C$149,'Livro Diario - FC'!$D$11:$D1028,"&gt;=01/04"&amp;$C$7,'Livro Diario - FC'!$D$11:$D1028,"&lt;=30/04"&amp;$C$7)+SUM(T150:T185)</f>
        <v>0</v>
      </c>
      <c r="U149" s="325" t="str">
        <f>IF(T$11=0,"",T149/T$11)</f>
        <v/>
      </c>
      <c r="V149" s="326"/>
      <c r="W149" s="328"/>
      <c r="X149" s="323">
        <f>SUMIFS('Livro Diario - FC'!$J$11:$J1028,'Livro Diario - FC'!$E$11:$E1028,$C$149,'Livro Diario - FC'!$D$11:$D1028,"&gt;=01/05"&amp;$C$7,'Livro Diario - FC'!$D$11:$D1028,"&lt;=31/05"&amp;$C$7)+SUM(X150:X185)</f>
        <v>0</v>
      </c>
      <c r="Y149" s="324">
        <f>SUMIFS('Livro Diario - FC'!$L$11:$L1028,'Livro Diario - FC'!$E$11:$E1028,$C$149,'Livro Diario - FC'!$D$11:$D1028,"&gt;=01/05"&amp;$C$7,'Livro Diario - FC'!$D$11:$D1028,"&lt;=31/05"&amp;$C$7)+SUM(Y150:Y185)</f>
        <v>0</v>
      </c>
      <c r="Z149" s="325" t="str">
        <f>IF(Y$11=0,"",Y149/Y$11)</f>
        <v/>
      </c>
      <c r="AA149" s="326"/>
      <c r="AB149" s="328"/>
      <c r="AC149" s="323">
        <f>SUMIFS('Livro Diario - FC'!$J$11:$J1028,'Livro Diario - FC'!$E$11:$E1028,$C$149,'Livro Diario - FC'!$D$11:$D1028,"&gt;=01/06"&amp;$C$7,'Livro Diario - FC'!$D$11:$D1028,"&lt;=30/06"&amp;$C$7)+SUM(AC150:AC185)</f>
        <v>0</v>
      </c>
      <c r="AD149" s="324">
        <f>SUMIFS('Livro Diario - FC'!$L$11:$L1028,'Livro Diario - FC'!$E$11:$E1028,$C$149,'Livro Diario - FC'!$D$11:$D1028,"&gt;=01/06"&amp;$C$7,'Livro Diario - FC'!$D$11:$D1028,"&lt;=30/06"&amp;$C$7)+SUM(AD150:AD185)</f>
        <v>0</v>
      </c>
      <c r="AE149" s="325" t="str">
        <f>IF(AD$11=0,"",AD149/AD$11)</f>
        <v/>
      </c>
      <c r="AF149" s="326"/>
      <c r="AG149" s="323">
        <f>SUMIFS('Livro Diario - FC'!$J$11:$J1028,'Livro Diario - FC'!$E$11:$E1028,$C$149,'Livro Diario - FC'!$D$11:$D1028,"&gt;=01/07"&amp;$C$7,'Livro Diario - FC'!$D$11:$D1028,"&lt;=31/07"&amp;$C$7)+SUM(AG150:AG185)</f>
        <v>0</v>
      </c>
      <c r="AH149" s="324">
        <f>SUMIFS('Livro Diario - FC'!$L$11:$L1028,'Livro Diario - FC'!$E$11:$E1028,$C$149,'Livro Diario - FC'!$D$11:$D1028,"&gt;=01/07"&amp;$C$7,'Livro Diario - FC'!$D$11:$D1028,"&lt;=31/07"&amp;$C$7)+SUM(AH150:AH185)</f>
        <v>0</v>
      </c>
      <c r="AI149" s="325" t="str">
        <f>IF(AH$11=0,"",AH149/AH$11)</f>
        <v/>
      </c>
      <c r="AJ149" s="326"/>
      <c r="AK149" s="323">
        <f>SUMIFS('Livro Diario - FC'!$J$11:$J1028,'Livro Diario - FC'!$E$11:$E1028,$C$149,'Livro Diario - FC'!$D$11:$D1028,"&gt;=01/08"&amp;$C$7,'Livro Diario - FC'!$D$11:$D1028,"&lt;=31/08"&amp;$C$7)+SUM(AK150:AK185)</f>
        <v>0</v>
      </c>
      <c r="AL149" s="324">
        <f>SUMIFS('Livro Diario - FC'!$L$11:$L1028,'Livro Diario - FC'!$E$11:$E1028,$C$149,'Livro Diario - FC'!$D$11:$D1028,"&gt;=01/08"&amp;$C$7,'Livro Diario - FC'!$D$11:$D1028,"&lt;=31/08"&amp;$C$7)+SUM(AL150:AL185)</f>
        <v>0</v>
      </c>
      <c r="AM149" s="325" t="str">
        <f>IF(AL$11=0,"",AL149/AL$11)</f>
        <v/>
      </c>
      <c r="AN149" s="326"/>
      <c r="AO149" s="323">
        <f>SUMIFS('Livro Diario - FC'!$J$11:$J1028,'Livro Diario - FC'!$E$11:$E1028,$C$149,'Livro Diario - FC'!$D$11:$D1028,"&gt;=01/09"&amp;$C$7,'Livro Diario - FC'!$D$11:$D1028,"&lt;=30/09"&amp;$C$7)+SUM(AO150:AO185)</f>
        <v>0</v>
      </c>
      <c r="AP149" s="324">
        <f>SUMIFS('Livro Diario - FC'!$L$11:$L1028,'Livro Diario - FC'!$E$11:$E1028,$C$149,'Livro Diario - FC'!$D$11:$D1028,"&gt;=01/09"&amp;$C$7,'Livro Diario - FC'!$D$11:$D1028,"&lt;=30/09"&amp;$C$7)+SUM(AP150:AP185)</f>
        <v>0</v>
      </c>
      <c r="AQ149" s="325" t="str">
        <f>IF(AP$11=0,"",AP149/AP$11)</f>
        <v/>
      </c>
      <c r="AR149" s="326"/>
      <c r="AS149" s="323">
        <f>SUMIFS('Livro Diario - FC'!$J$11:$J1028,'Livro Diario - FC'!$E$11:$E1028,$C$149,'Livro Diario - FC'!$D$11:$D1028,"&gt;=01/10"&amp;$C$7,'Livro Diario - FC'!$D$11:$D1028,"&lt;=31/10"&amp;$C$7)+SUM(AS150:AS185)</f>
        <v>0</v>
      </c>
      <c r="AT149" s="324">
        <f>SUMIFS('Livro Diario - FC'!$L$11:$L1028,'Livro Diario - FC'!$E$11:$E1028,$C$149,'Livro Diario - FC'!$D$11:$D1028,"&gt;=01/10"&amp;$C$7,'Livro Diario - FC'!$D$11:$D1028,"&lt;=31/10"&amp;$C$7)+SUM(AT150:AT185)</f>
        <v>0</v>
      </c>
      <c r="AU149" s="325" t="str">
        <f>IF(AT$11=0,"",AT149/AT$11)</f>
        <v/>
      </c>
      <c r="AV149" s="326"/>
      <c r="AW149" s="323">
        <f>SUMIFS('Livro Diario - FC'!$J$11:$J1028,'Livro Diario - FC'!$E$11:$E1028,$C$149,'Livro Diario - FC'!$D$11:$D1028,"&gt;=01/11"&amp;$C$7,'Livro Diario - FC'!$D$11:$D1028,"&lt;=30/11"&amp;$C$7)+SUM(AW150:AW185)</f>
        <v>0</v>
      </c>
      <c r="AX149" s="324">
        <f>SUMIFS('Livro Diario - FC'!$L$11:$L1028,'Livro Diario - FC'!$E$11:$E1028,$C$149,'Livro Diario - FC'!$D$11:$D1028,"&gt;=01/11"&amp;$C$7,'Livro Diario - FC'!$D$11:$D1028,"&lt;=30/11"&amp;$C$7)+SUM(AX150:AX185)</f>
        <v>0</v>
      </c>
      <c r="AY149" s="325" t="str">
        <f>IF(AX$11=0,"",AX149/AX$11)</f>
        <v/>
      </c>
      <c r="AZ149" s="326"/>
      <c r="BA149" s="323">
        <f>SUMIFS('Livro Diario - FC'!$J$11:$J1028,'Livro Diario - FC'!$E$11:$E1028,$C$149,'Livro Diario - FC'!$D$11:$D1028,"&gt;=01/12"&amp;$C$7,'Livro Diario - FC'!$D$11:$D1028,"&lt;=31/12"&amp;$C$7)+SUM(BA150:BA185)</f>
        <v>0</v>
      </c>
      <c r="BB149" s="324">
        <f>SUMIFS('Livro Diario - FC'!$L$11:$L1028,'Livro Diario - FC'!$E$11:$E1028,$C$149,'Livro Diario - FC'!$D$11:$D1028,"&gt;=01/12"&amp;$C$7,'Livro Diario - FC'!$D$11:$D1028,"&lt;=31/12"&amp;$C$7)+SUM(BB150:BB185)</f>
        <v>0</v>
      </c>
      <c r="BC149" s="325" t="str">
        <f>IF(BB$11=0,"",BB149/BB$11)</f>
        <v/>
      </c>
      <c r="BD149" s="329"/>
      <c r="BE149" s="330">
        <f t="shared" ref="BE149:BF149" si="250">SUM(D149,I149,N149,S149,X149,AC149,AG149,AK149,AO149,AS149,AW149,BA149)</f>
        <v>3827.49</v>
      </c>
      <c r="BF149" s="331">
        <f t="shared" si="250"/>
        <v>3827.49</v>
      </c>
      <c r="BG149" s="332"/>
      <c r="BH149" s="333"/>
      <c r="BI149" s="334">
        <f>SUMIFS('Livro Diario - FC'!$M$11:$M1028,'Livro Diario - FC'!$E$11:$E1028,C149,'Livro Diario - FC'!$D$11:$D1028,"&gt;="&amp;$BK$8,'Livro Diario - FC'!$D$11:$D1028,"&lt;="&amp;$BK$9)+SUM(BI150:BI185)</f>
        <v>0</v>
      </c>
      <c r="BJ149" s="335"/>
      <c r="BK149" s="336"/>
      <c r="BL149" s="337"/>
    </row>
    <row r="150">
      <c r="A150" s="1"/>
      <c r="B150" s="1"/>
      <c r="C150" s="338" t="str">
        <f>'Livro Diario - FC'!AE159</f>
        <v>Bacon</v>
      </c>
      <c r="D150" s="255">
        <f>SUMIFS('Livro Diario - FC'!$K$11:$K1028,'Livro Diario - FC'!$E$11:$E1028,$C$150,'Livro Diario - FC'!$D$11:$D1028,"&gt;=01/01"&amp;$C$7,'Livro Diario - FC'!$D$11:$D1028,"&lt;=31/01"&amp;$C$7)</f>
        <v>0</v>
      </c>
      <c r="E150" s="256">
        <f>SUMIFS('Livro Diario - FC'!$M$11:$M1028,'Livro Diario - FC'!$E$11:$E1028,$C$150,'Livro Diario - FC'!$D$11:$D1028,"&gt;=01/01"&amp;$C$7,'Livro Diario - FC'!$D$11:$D1028,"&lt;=31/01"&amp;$C$7)</f>
        <v>0</v>
      </c>
      <c r="F150" s="273"/>
      <c r="G150" s="258"/>
      <c r="H150" s="157"/>
      <c r="I150" s="255">
        <f>SUMIFS('Livro Diario - FC'!$K$11:$K1028,'Livro Diario - FC'!$E$11:$E1028,$C$150,'Livro Diario - FC'!$D$11:$D1028,"&gt;=01/02"&amp;$C$7,'Livro Diario - FC'!$D$11:$D1028,"&lt;=29/02"&amp;$C$7)</f>
        <v>0</v>
      </c>
      <c r="J150" s="256">
        <f>SUMIFS('Livro Diario - FC'!$M$11:$M1028,'Livro Diario - FC'!$E$11:$E1028,$C$150,'Livro Diario - FC'!$D$11:$D1028,"&gt;=01/02"&amp;$C$7,'Livro Diario - FC'!$D$11:$D1028,"&lt;=29/02"&amp;$C$7)</f>
        <v>0</v>
      </c>
      <c r="K150" s="273"/>
      <c r="L150" s="258"/>
      <c r="M150" s="259"/>
      <c r="N150" s="255">
        <f>SUMIFS('Livro Diario - FC'!$K$11:$K1028,'Livro Diario - FC'!$E$11:$E1028,$C$150,'Livro Diario - FC'!$D$11:$D1028,"&gt;=01/03"&amp;$C$7,'Livro Diario - FC'!$D$11:$D1028,"&lt;=31/03"&amp;$C$7)</f>
        <v>0</v>
      </c>
      <c r="O150" s="256">
        <f>SUMIFS('Livro Diario - FC'!$M$11:$M1028,'Livro Diario - FC'!$E$11:$E1028,$C$150,'Livro Diario - FC'!$D$11:$D1028,"&gt;=01/03"&amp;$C$7,'Livro Diario - FC'!$D$11:$D1028,"&lt;=31/03"&amp;$C$7)</f>
        <v>0</v>
      </c>
      <c r="P150" s="273"/>
      <c r="Q150" s="258"/>
      <c r="R150" s="259"/>
      <c r="S150" s="255">
        <f>SUMIFS('Livro Diario - FC'!$K$11:$K1028,'Livro Diario - FC'!$E$11:$E1028,$C$150,'Livro Diario - FC'!$D$11:$D1028,"&gt;=01/04"&amp;$C$7,'Livro Diario - FC'!$D$11:$D1028,"&lt;=30/04"&amp;$C$7)</f>
        <v>0</v>
      </c>
      <c r="T150" s="256">
        <f>SUMIFS('Livro Diario - FC'!$M$11:$M1028,'Livro Diario - FC'!$E$11:$E1028,$C$150,'Livro Diario - FC'!$D$11:$D1028,"&gt;=01/04"&amp;$C$7,'Livro Diario - FC'!$D$11:$D1028,"&lt;=30/04"&amp;$C$7)</f>
        <v>0</v>
      </c>
      <c r="U150" s="273"/>
      <c r="V150" s="258"/>
      <c r="W150" s="259"/>
      <c r="X150" s="255">
        <f>SUMIFS('Livro Diario - FC'!$K$11:$K1028,'Livro Diario - FC'!$E$11:$E1028,$C$150,'Livro Diario - FC'!$D$11:$D1028,"&gt;=01/05"&amp;$C$7,'Livro Diario - FC'!$D$11:$D1028,"&lt;=31/05"&amp;$C$7)</f>
        <v>0</v>
      </c>
      <c r="Y150" s="256">
        <f>SUMIFS('Livro Diario - FC'!$M$11:$M1028,'Livro Diario - FC'!$E$11:$E1028,$C$150,'Livro Diario - FC'!$D$11:$D1028,"&gt;=01/05"&amp;$C$7,'Livro Diario - FC'!$D$11:$D1028,"&lt;=31/05"&amp;$C$7)</f>
        <v>0</v>
      </c>
      <c r="Z150" s="273"/>
      <c r="AA150" s="258"/>
      <c r="AB150" s="259"/>
      <c r="AC150" s="255">
        <f>SUMIFS('Livro Diario - FC'!$K$11:$K1028,'Livro Diario - FC'!$E$11:$E1028,$C$150,'Livro Diario - FC'!$D$11:$D1028,"&gt;=01/06"&amp;$C$7,'Livro Diario - FC'!$D$11:$D1028,"&lt;=30/06"&amp;$C$7)</f>
        <v>0</v>
      </c>
      <c r="AD150" s="256">
        <f>SUMIFS('Livro Diario - FC'!$M$11:$M1028,'Livro Diario - FC'!$E$11:$E1028,$C$150,'Livro Diario - FC'!$D$11:$D1028,"&gt;=01/06"&amp;$C$7,'Livro Diario - FC'!$D$11:$D1028,"&lt;=30/06"&amp;$C$7)</f>
        <v>0</v>
      </c>
      <c r="AE150" s="273"/>
      <c r="AF150" s="258"/>
      <c r="AG150" s="255">
        <f>SUMIFS('Livro Diario - FC'!$K$11:$K1028,'Livro Diario - FC'!$E$11:$E1028,$C$150,'Livro Diario - FC'!$D$11:$D1028,"&gt;=01/07"&amp;$C$7,'Livro Diario - FC'!$D$11:$D1028,"&lt;=31/07"&amp;$C$7)</f>
        <v>0</v>
      </c>
      <c r="AH150" s="256">
        <f>SUMIFS('Livro Diario - FC'!$M$11:$M1028,'Livro Diario - FC'!$E$11:$E1028,$C$150,'Livro Diario - FC'!$D$11:$D1028,"&gt;=01/07"&amp;$C$7,'Livro Diario - FC'!$D$11:$D1028,"&lt;=31/07"&amp;$C$7)</f>
        <v>0</v>
      </c>
      <c r="AI150" s="273"/>
      <c r="AJ150" s="258"/>
      <c r="AK150" s="255">
        <f>SUMIFS('Livro Diario - FC'!$K$11:$K1028,'Livro Diario - FC'!$E$11:$E1028,$C$150,'Livro Diario - FC'!$D$11:$D1028,"&gt;=01/08"&amp;$C$7,'Livro Diario - FC'!$D$11:$D1028,"&lt;=31/08"&amp;$C$7)</f>
        <v>0</v>
      </c>
      <c r="AL150" s="256">
        <f>SUMIFS('Livro Diario - FC'!$M$11:$M1028,'Livro Diario - FC'!$E$11:$E1028,$C$150,'Livro Diario - FC'!$D$11:$D1028,"&gt;=01/08"&amp;$C$7,'Livro Diario - FC'!$D$11:$D1028,"&lt;=31/08"&amp;$C$7)</f>
        <v>0</v>
      </c>
      <c r="AM150" s="273"/>
      <c r="AN150" s="258"/>
      <c r="AO150" s="255">
        <f>SUMIFS('Livro Diario - FC'!$K$11:$K1028,'Livro Diario - FC'!$E$11:$E1028,$C$150,'Livro Diario - FC'!$D$11:$D1028,"&gt;=01/09"&amp;$C$7,'Livro Diario - FC'!$D$11:$D1028,"&lt;=30/09"&amp;$C$7)</f>
        <v>0</v>
      </c>
      <c r="AP150" s="256">
        <f>SUMIFS('Livro Diario - FC'!$M$11:$M1028,'Livro Diario - FC'!$E$11:$E1028,$C$150,'Livro Diario - FC'!$D$11:$D1028,"&gt;=01/09"&amp;$C$7,'Livro Diario - FC'!$D$11:$D1028,"&lt;=30/09"&amp;$C$7)</f>
        <v>0</v>
      </c>
      <c r="AQ150" s="273"/>
      <c r="AR150" s="258"/>
      <c r="AS150" s="255">
        <f>SUMIFS('Livro Diario - FC'!$K$11:$K1028,'Livro Diario - FC'!$E$11:$E1028,$C$150,'Livro Diario - FC'!$D$11:$D1028,"&gt;=01/10"&amp;$C$7,'Livro Diario - FC'!$D$11:$D1028,"&lt;=31/10"&amp;$C$7)</f>
        <v>0</v>
      </c>
      <c r="AT150" s="256">
        <f>SUMIFS('Livro Diario - FC'!$M$11:$M1028,'Livro Diario - FC'!$E$11:$E1028,$C$150,'Livro Diario - FC'!$D$11:$D1028,"&gt;=01/10"&amp;$C$7,'Livro Diario - FC'!$D$11:$D1028,"&lt;=31/10"&amp;$C$7)</f>
        <v>0</v>
      </c>
      <c r="AU150" s="273"/>
      <c r="AV150" s="258"/>
      <c r="AW150" s="255">
        <f>SUMIFS('Livro Diario - FC'!$K$11:$K1028,'Livro Diario - FC'!$E$11:$E1028,$C$150,'Livro Diario - FC'!$D$11:$D1028,"&gt;=01/11"&amp;$C$7,'Livro Diario - FC'!$D$11:$D1028,"&lt;=30/11"&amp;$C$7)</f>
        <v>0</v>
      </c>
      <c r="AX150" s="256">
        <f>SUMIFS('Livro Diario - FC'!$M$11:$M1028,'Livro Diario - FC'!$E$11:$E1028,$C$150,'Livro Diario - FC'!$D$11:$D1028,"&gt;=01/11"&amp;$C$7,'Livro Diario - FC'!$D$11:$D1028,"&lt;=30/11"&amp;$C$7)</f>
        <v>0</v>
      </c>
      <c r="AY150" s="273"/>
      <c r="AZ150" s="258"/>
      <c r="BA150" s="255">
        <f>SUMIFS('Livro Diario - FC'!$K$11:$K1028,'Livro Diario - FC'!$E$11:$E1028,$C$150,'Livro Diario - FC'!$D$11:$D1028,"&gt;=01/12"&amp;$C$7,'Livro Diario - FC'!$D$11:$D1028,"&lt;=31/12"&amp;$C$7)</f>
        <v>0</v>
      </c>
      <c r="BB150" s="256">
        <f>SUMIFS('Livro Diario - FC'!$M$11:$M1028,'Livro Diario - FC'!$E$11:$E1028,$C$150,'Livro Diario - FC'!$D$11:$D1028,"&gt;=01/12"&amp;$C$7,'Livro Diario - FC'!$D$11:$D1028,"&lt;=31/12"&amp;$C$7)</f>
        <v>0</v>
      </c>
      <c r="BC150" s="273"/>
      <c r="BD150" s="273"/>
      <c r="BE150" s="260">
        <f t="shared" ref="BE150:BF150" si="251">SUM(D150,I150,N150,S150,X150,AC150,AG150,AK150,AO150,AS150,AW150,BA150)</f>
        <v>0</v>
      </c>
      <c r="BF150" s="261">
        <f t="shared" si="251"/>
        <v>0</v>
      </c>
      <c r="BG150" s="262"/>
      <c r="BH150" s="302"/>
      <c r="BI150" s="303">
        <f>SUMIFS('Livro Diario - FC'!$M$11:$M1028,'Livro Diario - FC'!$E$11:$E1028,C150,'Livro Diario - FC'!$D$11:$D1028,"&gt;="&amp;$BK$8,'Livro Diario - FC'!$D$11:$D1028,"&lt;="&amp;$BK$9)</f>
        <v>0</v>
      </c>
      <c r="BJ150" s="271"/>
      <c r="BK150" s="304"/>
      <c r="BL150" s="339"/>
    </row>
    <row r="151">
      <c r="A151" s="1"/>
      <c r="B151" s="1"/>
      <c r="C151" s="338" t="str">
        <f>'Livro Diario - FC'!AE160</f>
        <v>Ovos de Galinha</v>
      </c>
      <c r="D151" s="255">
        <f>SUMIFS('Livro Diario - FC'!$K$11:$K1028,'Livro Diario - FC'!$E$11:$E1028,$C$151,'Livro Diario - FC'!$D$11:$D1028,"&gt;=01/01"&amp;$C$7,'Livro Diario - FC'!$D$11:$D1028,"&lt;=31/01"&amp;$C$7)</f>
        <v>30</v>
      </c>
      <c r="E151" s="256">
        <f>SUMIFS('Livro Diario - FC'!$M$11:$M1028,'Livro Diario - FC'!$E$11:$E1028,$C$151,'Livro Diario - FC'!$D$11:$D1028,"&gt;=01/01"&amp;$C$7,'Livro Diario - FC'!$D$11:$D1028,"&lt;=31/01"&amp;$C$7)</f>
        <v>30</v>
      </c>
      <c r="F151" s="273"/>
      <c r="G151" s="258"/>
      <c r="H151" s="157"/>
      <c r="I151" s="255">
        <f>SUMIFS('Livro Diario - FC'!$K$11:$K1028,'Livro Diario - FC'!$E$11:$E1028,$C$151,'Livro Diario - FC'!$D$11:$D1028,"&gt;=01/02"&amp;$C$7,'Livro Diario - FC'!$D$11:$D1028,"&lt;=29/02"&amp;$C$7)</f>
        <v>0</v>
      </c>
      <c r="J151" s="256">
        <f>SUMIFS('Livro Diario - FC'!$M$11:$M1028,'Livro Diario - FC'!$E$11:$E1028,$C$151,'Livro Diario - FC'!$D$11:$D1028,"&gt;=01/02"&amp;$C$7,'Livro Diario - FC'!$D$11:$D1028,"&lt;=29/02"&amp;$C$7)</f>
        <v>0</v>
      </c>
      <c r="K151" s="273"/>
      <c r="L151" s="258"/>
      <c r="M151" s="259"/>
      <c r="N151" s="255">
        <f>SUMIFS('Livro Diario - FC'!$K$11:$K1028,'Livro Diario - FC'!$E$11:$E1028,$C$151,'Livro Diario - FC'!$D$11:$D1028,"&gt;=01/03"&amp;$C$7,'Livro Diario - FC'!$D$11:$D1028,"&lt;=31/03"&amp;$C$7)</f>
        <v>0</v>
      </c>
      <c r="O151" s="256">
        <f>SUMIFS('Livro Diario - FC'!$M$11:$M1028,'Livro Diario - FC'!$E$11:$E1028,$C$151,'Livro Diario - FC'!$D$11:$D1028,"&gt;=01/03"&amp;$C$7,'Livro Diario - FC'!$D$11:$D1028,"&lt;=31/03"&amp;$C$7)</f>
        <v>0</v>
      </c>
      <c r="P151" s="273"/>
      <c r="Q151" s="258"/>
      <c r="R151" s="259"/>
      <c r="S151" s="255">
        <f>SUMIFS('Livro Diario - FC'!$K$11:$K1028,'Livro Diario - FC'!$E$11:$E1028,$C$151,'Livro Diario - FC'!$D$11:$D1028,"&gt;=01/04"&amp;$C$7,'Livro Diario - FC'!$D$11:$D1028,"&lt;=30/04"&amp;$C$7)</f>
        <v>0</v>
      </c>
      <c r="T151" s="256">
        <f>SUMIFS('Livro Diario - FC'!$M$11:$M1028,'Livro Diario - FC'!$E$11:$E1028,$C$151,'Livro Diario - FC'!$D$11:$D1028,"&gt;=01/04"&amp;$C$7,'Livro Diario - FC'!$D$11:$D1028,"&lt;=30/04"&amp;$C$7)</f>
        <v>0</v>
      </c>
      <c r="U151" s="273"/>
      <c r="V151" s="258"/>
      <c r="W151" s="259"/>
      <c r="X151" s="255">
        <f>SUMIFS('Livro Diario - FC'!$K$11:$K1028,'Livro Diario - FC'!$E$11:$E1028,$C$151,'Livro Diario - FC'!$D$11:$D1028,"&gt;=01/05"&amp;$C$7,'Livro Diario - FC'!$D$11:$D1028,"&lt;=31/05"&amp;$C$7)</f>
        <v>0</v>
      </c>
      <c r="Y151" s="256">
        <f>SUMIFS('Livro Diario - FC'!$M$11:$M1028,'Livro Diario - FC'!$E$11:$E1028,$C$151,'Livro Diario - FC'!$D$11:$D1028,"&gt;=01/05"&amp;$C$7,'Livro Diario - FC'!$D$11:$D1028,"&lt;=31/05"&amp;$C$7)</f>
        <v>0</v>
      </c>
      <c r="Z151" s="273"/>
      <c r="AA151" s="258"/>
      <c r="AB151" s="259"/>
      <c r="AC151" s="255">
        <f>SUMIFS('Livro Diario - FC'!$K$11:$K1028,'Livro Diario - FC'!$E$11:$E1028,$C$151,'Livro Diario - FC'!$D$11:$D1028,"&gt;=01/06"&amp;$C$7,'Livro Diario - FC'!$D$11:$D1028,"&lt;=30/06"&amp;$C$7)</f>
        <v>0</v>
      </c>
      <c r="AD151" s="256">
        <f>SUMIFS('Livro Diario - FC'!$M$11:$M1028,'Livro Diario - FC'!$E$11:$E1028,$C$151,'Livro Diario - FC'!$D$11:$D1028,"&gt;=01/06"&amp;$C$7,'Livro Diario - FC'!$D$11:$D1028,"&lt;=30/06"&amp;$C$7)</f>
        <v>0</v>
      </c>
      <c r="AE151" s="273"/>
      <c r="AF151" s="258"/>
      <c r="AG151" s="255">
        <f>SUMIFS('Livro Diario - FC'!$K$11:$K1028,'Livro Diario - FC'!$E$11:$E1028,$C$151,'Livro Diario - FC'!$D$11:$D1028,"&gt;=01/07"&amp;$C$7,'Livro Diario - FC'!$D$11:$D1028,"&lt;=31/07"&amp;$C$7)</f>
        <v>0</v>
      </c>
      <c r="AH151" s="256">
        <f>SUMIFS('Livro Diario - FC'!$M$11:$M1028,'Livro Diario - FC'!$E$11:$E1028,$C$151,'Livro Diario - FC'!$D$11:$D1028,"&gt;=01/07"&amp;$C$7,'Livro Diario - FC'!$D$11:$D1028,"&lt;=31/07"&amp;$C$7)</f>
        <v>0</v>
      </c>
      <c r="AI151" s="273"/>
      <c r="AJ151" s="258"/>
      <c r="AK151" s="255">
        <f>SUMIFS('Livro Diario - FC'!$K$11:$K1028,'Livro Diario - FC'!$E$11:$E1028,$C$151,'Livro Diario - FC'!$D$11:$D1028,"&gt;=01/08"&amp;$C$7,'Livro Diario - FC'!$D$11:$D1028,"&lt;=31/08"&amp;$C$7)</f>
        <v>0</v>
      </c>
      <c r="AL151" s="256">
        <f>SUMIFS('Livro Diario - FC'!$M$11:$M1028,'Livro Diario - FC'!$E$11:$E1028,$C$151,'Livro Diario - FC'!$D$11:$D1028,"&gt;=01/08"&amp;$C$7,'Livro Diario - FC'!$D$11:$D1028,"&lt;=31/08"&amp;$C$7)</f>
        <v>0</v>
      </c>
      <c r="AM151" s="273"/>
      <c r="AN151" s="258"/>
      <c r="AO151" s="255">
        <f>SUMIFS('Livro Diario - FC'!$K$11:$K1028,'Livro Diario - FC'!$E$11:$E1028,$C$151,'Livro Diario - FC'!$D$11:$D1028,"&gt;=01/09"&amp;$C$7,'Livro Diario - FC'!$D$11:$D1028,"&lt;=30/09"&amp;$C$7)</f>
        <v>0</v>
      </c>
      <c r="AP151" s="256">
        <f>SUMIFS('Livro Diario - FC'!$M$11:$M1028,'Livro Diario - FC'!$E$11:$E1028,$C$151,'Livro Diario - FC'!$D$11:$D1028,"&gt;=01/09"&amp;$C$7,'Livro Diario - FC'!$D$11:$D1028,"&lt;=30/09"&amp;$C$7)</f>
        <v>0</v>
      </c>
      <c r="AQ151" s="273"/>
      <c r="AR151" s="258"/>
      <c r="AS151" s="255">
        <f>SUMIFS('Livro Diario - FC'!$K$11:$K1028,'Livro Diario - FC'!$E$11:$E1028,$C$151,'Livro Diario - FC'!$D$11:$D1028,"&gt;=01/10"&amp;$C$7,'Livro Diario - FC'!$D$11:$D1028,"&lt;=31/10"&amp;$C$7)</f>
        <v>0</v>
      </c>
      <c r="AT151" s="256">
        <f>SUMIFS('Livro Diario - FC'!$M$11:$M1028,'Livro Diario - FC'!$E$11:$E1028,$C$151,'Livro Diario - FC'!$D$11:$D1028,"&gt;=01/10"&amp;$C$7,'Livro Diario - FC'!$D$11:$D1028,"&lt;=31/10"&amp;$C$7)</f>
        <v>0</v>
      </c>
      <c r="AU151" s="273"/>
      <c r="AV151" s="258"/>
      <c r="AW151" s="255">
        <f>SUMIFS('Livro Diario - FC'!$K$11:$K1028,'Livro Diario - FC'!$E$11:$E1028,$C$151,'Livro Diario - FC'!$D$11:$D1028,"&gt;=01/11"&amp;$C$7,'Livro Diario - FC'!$D$11:$D1028,"&lt;=30/11"&amp;$C$7)</f>
        <v>0</v>
      </c>
      <c r="AX151" s="256">
        <f>SUMIFS('Livro Diario - FC'!$M$11:$M1028,'Livro Diario - FC'!$E$11:$E1028,$C$151,'Livro Diario - FC'!$D$11:$D1028,"&gt;=01/11"&amp;$C$7,'Livro Diario - FC'!$D$11:$D1028,"&lt;=30/11"&amp;$C$7)</f>
        <v>0</v>
      </c>
      <c r="AY151" s="273"/>
      <c r="AZ151" s="258"/>
      <c r="BA151" s="255">
        <f>SUMIFS('Livro Diario - FC'!$K$11:$K1028,'Livro Diario - FC'!$E$11:$E1028,$C$151,'Livro Diario - FC'!$D$11:$D1028,"&gt;=01/12"&amp;$C$7,'Livro Diario - FC'!$D$11:$D1028,"&lt;=31/12"&amp;$C$7)</f>
        <v>0</v>
      </c>
      <c r="BB151" s="256">
        <f>SUMIFS('Livro Diario - FC'!$M$11:$M1028,'Livro Diario - FC'!$E$11:$E1028,$C$151,'Livro Diario - FC'!$D$11:$D1028,"&gt;=01/12"&amp;$C$7,'Livro Diario - FC'!$D$11:$D1028,"&lt;=31/12"&amp;$C$7)</f>
        <v>0</v>
      </c>
      <c r="BC151" s="273"/>
      <c r="BD151" s="273"/>
      <c r="BE151" s="267">
        <f t="shared" ref="BE151:BF151" si="252">SUM(D151,I151,N151,S151,X151,AC151,AG151,AK151,AO151,AS151,AW151,BA151)</f>
        <v>30</v>
      </c>
      <c r="BF151" s="268">
        <f t="shared" si="252"/>
        <v>30</v>
      </c>
      <c r="BG151" s="269"/>
      <c r="BH151" s="192"/>
      <c r="BI151" s="270">
        <f>SUMIFS('Livro Diario - FC'!$M$11:$M1028,'Livro Diario - FC'!$E$11:$E1028,C151,'Livro Diario - FC'!$D$11:$D1028,"&gt;="&amp;$BK$8,'Livro Diario - FC'!$D$11:$D1028,"&lt;="&amp;$BK$9)</f>
        <v>0</v>
      </c>
      <c r="BJ151" s="271"/>
      <c r="BK151" s="272"/>
      <c r="BL151" s="1"/>
    </row>
    <row r="152">
      <c r="A152" s="1"/>
      <c r="B152" s="1"/>
      <c r="C152" s="338" t="str">
        <f>'Livro Diario - FC'!AE161</f>
        <v>Fraudinha</v>
      </c>
      <c r="D152" s="255">
        <f>SUMIFS('Livro Diario - FC'!$K$11:$K1028,'Livro Diario - FC'!$E$11:$E1028,$C$152,'Livro Diario - FC'!$D$11:$D1028,"&gt;=01/01"&amp;$C$7,'Livro Diario - FC'!$D$11:$D1028,"&lt;=31/01"&amp;$C$7)</f>
        <v>0</v>
      </c>
      <c r="E152" s="256">
        <f>SUMIFS('Livro Diario - FC'!$M$11:$M1028,'Livro Diario - FC'!$E$11:$E1028,$C$152,'Livro Diario - FC'!$D$11:$D1028,"&gt;=01/01"&amp;$C$7,'Livro Diario - FC'!$D$11:$D1028,"&lt;=31/01"&amp;$C$7)</f>
        <v>0</v>
      </c>
      <c r="F152" s="273"/>
      <c r="G152" s="258"/>
      <c r="H152" s="157"/>
      <c r="I152" s="255">
        <f>SUMIFS('Livro Diario - FC'!$K$11:$K1028,'Livro Diario - FC'!$E$11:$E1028,$C$152,'Livro Diario - FC'!$D$11:$D1028,"&gt;=01/02"&amp;$C$7,'Livro Diario - FC'!$D$11:$D1028,"&lt;=29/02"&amp;$C$7)</f>
        <v>0</v>
      </c>
      <c r="J152" s="256">
        <f>SUMIFS('Livro Diario - FC'!$M$11:$M1028,'Livro Diario - FC'!$E$11:$E1028,$C$152,'Livro Diario - FC'!$D$11:$D1028,"&gt;=01/02"&amp;$C$7,'Livro Diario - FC'!$D$11:$D1028,"&lt;=29/02"&amp;$C$7)</f>
        <v>0</v>
      </c>
      <c r="K152" s="273"/>
      <c r="L152" s="258"/>
      <c r="M152" s="259"/>
      <c r="N152" s="255">
        <f>SUMIFS('Livro Diario - FC'!$K$11:$K1028,'Livro Diario - FC'!$E$11:$E1028,$C$152,'Livro Diario - FC'!$D$11:$D1028,"&gt;=01/03"&amp;$C$7,'Livro Diario - FC'!$D$11:$D1028,"&lt;=31/03"&amp;$C$7)</f>
        <v>0</v>
      </c>
      <c r="O152" s="256">
        <f>SUMIFS('Livro Diario - FC'!$M$11:$M1028,'Livro Diario - FC'!$E$11:$E1028,$C$152,'Livro Diario - FC'!$D$11:$D1028,"&gt;=01/03"&amp;$C$7,'Livro Diario - FC'!$D$11:$D1028,"&lt;=31/03"&amp;$C$7)</f>
        <v>0</v>
      </c>
      <c r="P152" s="273"/>
      <c r="Q152" s="258"/>
      <c r="R152" s="259"/>
      <c r="S152" s="255">
        <f>SUMIFS('Livro Diario - FC'!$K$11:$K1028,'Livro Diario - FC'!$E$11:$E1028,$C$152,'Livro Diario - FC'!$D$11:$D1028,"&gt;=01/04"&amp;$C$7,'Livro Diario - FC'!$D$11:$D1028,"&lt;=30/04"&amp;$C$7)</f>
        <v>0</v>
      </c>
      <c r="T152" s="256">
        <f>SUMIFS('Livro Diario - FC'!$M$11:$M1028,'Livro Diario - FC'!$E$11:$E1028,$C$152,'Livro Diario - FC'!$D$11:$D1028,"&gt;=01/04"&amp;$C$7,'Livro Diario - FC'!$D$11:$D1028,"&lt;=30/04"&amp;$C$7)</f>
        <v>0</v>
      </c>
      <c r="U152" s="273"/>
      <c r="V152" s="258"/>
      <c r="W152" s="259"/>
      <c r="X152" s="255">
        <f>SUMIFS('Livro Diario - FC'!$K$11:$K1028,'Livro Diario - FC'!$E$11:$E1028,$C$152,'Livro Diario - FC'!$D$11:$D1028,"&gt;=01/05"&amp;$C$7,'Livro Diario - FC'!$D$11:$D1028,"&lt;=31/05"&amp;$C$7)</f>
        <v>0</v>
      </c>
      <c r="Y152" s="256">
        <f>SUMIFS('Livro Diario - FC'!$M$11:$M1028,'Livro Diario - FC'!$E$11:$E1028,$C$152,'Livro Diario - FC'!$D$11:$D1028,"&gt;=01/05"&amp;$C$7,'Livro Diario - FC'!$D$11:$D1028,"&lt;=31/05"&amp;$C$7)</f>
        <v>0</v>
      </c>
      <c r="Z152" s="273"/>
      <c r="AA152" s="258"/>
      <c r="AB152" s="259"/>
      <c r="AC152" s="255">
        <f>SUMIFS('Livro Diario - FC'!$K$11:$K1028,'Livro Diario - FC'!$E$11:$E1028,$C$152,'Livro Diario - FC'!$D$11:$D1028,"&gt;=01/06"&amp;$C$7,'Livro Diario - FC'!$D$11:$D1028,"&lt;=30/06"&amp;$C$7)</f>
        <v>0</v>
      </c>
      <c r="AD152" s="256">
        <f>SUMIFS('Livro Diario - FC'!$M$11:$M1028,'Livro Diario - FC'!$E$11:$E1028,$C$152,'Livro Diario - FC'!$D$11:$D1028,"&gt;=01/06"&amp;$C$7,'Livro Diario - FC'!$D$11:$D1028,"&lt;=30/06"&amp;$C$7)</f>
        <v>0</v>
      </c>
      <c r="AE152" s="273"/>
      <c r="AF152" s="258"/>
      <c r="AG152" s="255">
        <f>SUMIFS('Livro Diario - FC'!$K$11:$K1028,'Livro Diario - FC'!$E$11:$E1028,$C$152,'Livro Diario - FC'!$D$11:$D1028,"&gt;=01/07"&amp;$C$7,'Livro Diario - FC'!$D$11:$D1028,"&lt;=31/07"&amp;$C$7)</f>
        <v>0</v>
      </c>
      <c r="AH152" s="256">
        <f>SUMIFS('Livro Diario - FC'!$M$11:$M1028,'Livro Diario - FC'!$E$11:$E1028,$C$152,'Livro Diario - FC'!$D$11:$D1028,"&gt;=01/07"&amp;$C$7,'Livro Diario - FC'!$D$11:$D1028,"&lt;=31/07"&amp;$C$7)</f>
        <v>0</v>
      </c>
      <c r="AI152" s="273"/>
      <c r="AJ152" s="258"/>
      <c r="AK152" s="255">
        <f>SUMIFS('Livro Diario - FC'!$K$11:$K1028,'Livro Diario - FC'!$E$11:$E1028,$C$152,'Livro Diario - FC'!$D$11:$D1028,"&gt;=01/08"&amp;$C$7,'Livro Diario - FC'!$D$11:$D1028,"&lt;=31/08"&amp;$C$7)</f>
        <v>0</v>
      </c>
      <c r="AL152" s="256">
        <f>SUMIFS('Livro Diario - FC'!$M$11:$M1028,'Livro Diario - FC'!$E$11:$E1028,$C$152,'Livro Diario - FC'!$D$11:$D1028,"&gt;=01/08"&amp;$C$7,'Livro Diario - FC'!$D$11:$D1028,"&lt;=31/08"&amp;$C$7)</f>
        <v>0</v>
      </c>
      <c r="AM152" s="273"/>
      <c r="AN152" s="258"/>
      <c r="AO152" s="255">
        <f>SUMIFS('Livro Diario - FC'!$K$11:$K1028,'Livro Diario - FC'!$E$11:$E1028,$C$152,'Livro Diario - FC'!$D$11:$D1028,"&gt;=01/09"&amp;$C$7,'Livro Diario - FC'!$D$11:$D1028,"&lt;=30/09"&amp;$C$7)</f>
        <v>0</v>
      </c>
      <c r="AP152" s="256">
        <f>SUMIFS('Livro Diario - FC'!$M$11:$M1028,'Livro Diario - FC'!$E$11:$E1028,$C$152,'Livro Diario - FC'!$D$11:$D1028,"&gt;=01/09"&amp;$C$7,'Livro Diario - FC'!$D$11:$D1028,"&lt;=30/09"&amp;$C$7)</f>
        <v>0</v>
      </c>
      <c r="AQ152" s="273"/>
      <c r="AR152" s="258"/>
      <c r="AS152" s="255">
        <f>SUMIFS('Livro Diario - FC'!$K$11:$K1028,'Livro Diario - FC'!$E$11:$E1028,$C$152,'Livro Diario - FC'!$D$11:$D1028,"&gt;=01/10"&amp;$C$7,'Livro Diario - FC'!$D$11:$D1028,"&lt;=31/10"&amp;$C$7)</f>
        <v>0</v>
      </c>
      <c r="AT152" s="256">
        <f>SUMIFS('Livro Diario - FC'!$M$11:$M1028,'Livro Diario - FC'!$E$11:$E1028,$C$152,'Livro Diario - FC'!$D$11:$D1028,"&gt;=01/10"&amp;$C$7,'Livro Diario - FC'!$D$11:$D1028,"&lt;=31/10"&amp;$C$7)</f>
        <v>0</v>
      </c>
      <c r="AU152" s="273"/>
      <c r="AV152" s="258"/>
      <c r="AW152" s="255">
        <f>SUMIFS('Livro Diario - FC'!$K$11:$K1028,'Livro Diario - FC'!$E$11:$E1028,$C$152,'Livro Diario - FC'!$D$11:$D1028,"&gt;=01/11"&amp;$C$7,'Livro Diario - FC'!$D$11:$D1028,"&lt;=30/11"&amp;$C$7)</f>
        <v>0</v>
      </c>
      <c r="AX152" s="256">
        <f>SUMIFS('Livro Diario - FC'!$M$11:$M1028,'Livro Diario - FC'!$E$11:$E1028,$C$152,'Livro Diario - FC'!$D$11:$D1028,"&gt;=01/11"&amp;$C$7,'Livro Diario - FC'!$D$11:$D1028,"&lt;=30/11"&amp;$C$7)</f>
        <v>0</v>
      </c>
      <c r="AY152" s="273"/>
      <c r="AZ152" s="258"/>
      <c r="BA152" s="255">
        <f>SUMIFS('Livro Diario - FC'!$K$11:$K1028,'Livro Diario - FC'!$E$11:$E1028,$C$152,'Livro Diario - FC'!$D$11:$D1028,"&gt;=01/12"&amp;$C$7,'Livro Diario - FC'!$D$11:$D1028,"&lt;=31/12"&amp;$C$7)</f>
        <v>0</v>
      </c>
      <c r="BB152" s="256">
        <f>SUMIFS('Livro Diario - FC'!$M$11:$M1028,'Livro Diario - FC'!$E$11:$E1028,$C$152,'Livro Diario - FC'!$D$11:$D1028,"&gt;=01/12"&amp;$C$7,'Livro Diario - FC'!$D$11:$D1028,"&lt;=31/12"&amp;$C$7)</f>
        <v>0</v>
      </c>
      <c r="BC152" s="273"/>
      <c r="BD152" s="273"/>
      <c r="BE152" s="267">
        <f t="shared" ref="BE152:BF152" si="253">SUM(D152,I152,N152,S152,X152,AC152,AG152,AK152,AO152,AS152,AW152,BA152)</f>
        <v>0</v>
      </c>
      <c r="BF152" s="268">
        <f t="shared" si="253"/>
        <v>0</v>
      </c>
      <c r="BG152" s="269"/>
      <c r="BH152" s="192"/>
      <c r="BI152" s="270">
        <f>SUMIFS('Livro Diario - FC'!$M$11:$M1028,'Livro Diario - FC'!$E$11:$E1028,C152,'Livro Diario - FC'!$D$11:$D1028,"&gt;="&amp;$BK$8,'Livro Diario - FC'!$D$11:$D1028,"&lt;="&amp;$BK$9)</f>
        <v>0</v>
      </c>
      <c r="BJ152" s="271"/>
      <c r="BK152" s="272"/>
      <c r="BL152" s="1"/>
    </row>
    <row r="153">
      <c r="A153" s="1"/>
      <c r="B153" s="1"/>
      <c r="C153" s="338" t="str">
        <f>'Livro Diario - FC'!AE162</f>
        <v>Figado Bovino</v>
      </c>
      <c r="D153" s="255">
        <f>SUMIFS('Livro Diario - FC'!$K$11:$K1028,'Livro Diario - FC'!$E$11:$E1028,$C$153,'Livro Diario - FC'!$D$11:$D1028,"&gt;=01/01"&amp;$C$7,'Livro Diario - FC'!$D$11:$D1028,"&lt;=31/01"&amp;$C$7)</f>
        <v>65.68</v>
      </c>
      <c r="E153" s="256">
        <f>SUMIFS('Livro Diario - FC'!$M$11:$M1028,'Livro Diario - FC'!$E$11:$E1028,$C$153,'Livro Diario - FC'!$D$11:$D1028,"&gt;=01/01"&amp;$C$7,'Livro Diario - FC'!$D$11:$D1028,"&lt;=31/01"&amp;$C$7)</f>
        <v>65.68</v>
      </c>
      <c r="F153" s="273"/>
      <c r="G153" s="258"/>
      <c r="H153" s="157"/>
      <c r="I153" s="255">
        <f>SUMIFS('Livro Diario - FC'!$K$11:$K1028,'Livro Diario - FC'!$E$11:$E1028,$C$153,'Livro Diario - FC'!$D$11:$D1028,"&gt;=01/02"&amp;$C$7,'Livro Diario - FC'!$D$11:$D1028,"&lt;=29/02"&amp;$C$7)</f>
        <v>0</v>
      </c>
      <c r="J153" s="256">
        <f>SUMIFS('Livro Diario - FC'!$M$11:$M1028,'Livro Diario - FC'!$E$11:$E1028,$C$153,'Livro Diario - FC'!$D$11:$D1028,"&gt;=01/02"&amp;$C$7,'Livro Diario - FC'!$D$11:$D1028,"&lt;=29/02"&amp;$C$7)</f>
        <v>0</v>
      </c>
      <c r="K153" s="273"/>
      <c r="L153" s="258"/>
      <c r="M153" s="259"/>
      <c r="N153" s="255">
        <f>SUMIFS('Livro Diario - FC'!$K$11:$K1028,'Livro Diario - FC'!$E$11:$E1028,$C$153,'Livro Diario - FC'!$D$11:$D1028,"&gt;=01/03"&amp;$C$7,'Livro Diario - FC'!$D$11:$D1028,"&lt;=31/03"&amp;$C$7)</f>
        <v>0</v>
      </c>
      <c r="O153" s="256">
        <f>SUMIFS('Livro Diario - FC'!$M$11:$M1028,'Livro Diario - FC'!$E$11:$E1028,$C$153,'Livro Diario - FC'!$D$11:$D1028,"&gt;=01/03"&amp;$C$7,'Livro Diario - FC'!$D$11:$D1028,"&lt;=31/03"&amp;$C$7)</f>
        <v>0</v>
      </c>
      <c r="P153" s="273"/>
      <c r="Q153" s="258"/>
      <c r="R153" s="259"/>
      <c r="S153" s="255">
        <f>SUMIFS('Livro Diario - FC'!$K$11:$K1028,'Livro Diario - FC'!$E$11:$E1028,$C$153,'Livro Diario - FC'!$D$11:$D1028,"&gt;=01/04"&amp;$C$7,'Livro Diario - FC'!$D$11:$D1028,"&lt;=30/04"&amp;$C$7)</f>
        <v>0</v>
      </c>
      <c r="T153" s="256">
        <f>SUMIFS('Livro Diario - FC'!$M$11:$M1028,'Livro Diario - FC'!$E$11:$E1028,$C$153,'Livro Diario - FC'!$D$11:$D1028,"&gt;=01/04"&amp;$C$7,'Livro Diario - FC'!$D$11:$D1028,"&lt;=30/04"&amp;$C$7)</f>
        <v>0</v>
      </c>
      <c r="U153" s="273"/>
      <c r="V153" s="258"/>
      <c r="W153" s="259"/>
      <c r="X153" s="255">
        <f>SUMIFS('Livro Diario - FC'!$K$11:$K1028,'Livro Diario - FC'!$E$11:$E1028,$C$153,'Livro Diario - FC'!$D$11:$D1028,"&gt;=01/05"&amp;$C$7,'Livro Diario - FC'!$D$11:$D1028,"&lt;=31/05"&amp;$C$7)</f>
        <v>0</v>
      </c>
      <c r="Y153" s="256">
        <f>SUMIFS('Livro Diario - FC'!$M$11:$M1028,'Livro Diario - FC'!$E$11:$E1028,$C$153,'Livro Diario - FC'!$D$11:$D1028,"&gt;=01/05"&amp;$C$7,'Livro Diario - FC'!$D$11:$D1028,"&lt;=31/05"&amp;$C$7)</f>
        <v>0</v>
      </c>
      <c r="Z153" s="273"/>
      <c r="AA153" s="258"/>
      <c r="AB153" s="259"/>
      <c r="AC153" s="255">
        <f>SUMIFS('Livro Diario - FC'!$K$11:$K1028,'Livro Diario - FC'!$E$11:$E1028,$C$153,'Livro Diario - FC'!$D$11:$D1028,"&gt;=01/06"&amp;$C$7,'Livro Diario - FC'!$D$11:$D1028,"&lt;=30/06"&amp;$C$7)</f>
        <v>0</v>
      </c>
      <c r="AD153" s="256">
        <f>SUMIFS('Livro Diario - FC'!$M$11:$M1028,'Livro Diario - FC'!$E$11:$E1028,$C$153,'Livro Diario - FC'!$D$11:$D1028,"&gt;=01/06"&amp;$C$7,'Livro Diario - FC'!$D$11:$D1028,"&lt;=30/06"&amp;$C$7)</f>
        <v>0</v>
      </c>
      <c r="AE153" s="273"/>
      <c r="AF153" s="258"/>
      <c r="AG153" s="255">
        <f>SUMIFS('Livro Diario - FC'!$K$11:$K1028,'Livro Diario - FC'!$E$11:$E1028,$C$153,'Livro Diario - FC'!$D$11:$D1028,"&gt;=01/07"&amp;$C$7,'Livro Diario - FC'!$D$11:$D1028,"&lt;=31/07"&amp;$C$7)</f>
        <v>0</v>
      </c>
      <c r="AH153" s="256">
        <f>SUMIFS('Livro Diario - FC'!$M$11:$M1028,'Livro Diario - FC'!$E$11:$E1028,$C$153,'Livro Diario - FC'!$D$11:$D1028,"&gt;=01/07"&amp;$C$7,'Livro Diario - FC'!$D$11:$D1028,"&lt;=31/07"&amp;$C$7)</f>
        <v>0</v>
      </c>
      <c r="AI153" s="273"/>
      <c r="AJ153" s="258"/>
      <c r="AK153" s="255">
        <f>SUMIFS('Livro Diario - FC'!$K$11:$K1028,'Livro Diario - FC'!$E$11:$E1028,$C$153,'Livro Diario - FC'!$D$11:$D1028,"&gt;=01/08"&amp;$C$7,'Livro Diario - FC'!$D$11:$D1028,"&lt;=31/08"&amp;$C$7)</f>
        <v>0</v>
      </c>
      <c r="AL153" s="256">
        <f>SUMIFS('Livro Diario - FC'!$M$11:$M1028,'Livro Diario - FC'!$E$11:$E1028,$C$153,'Livro Diario - FC'!$D$11:$D1028,"&gt;=01/08"&amp;$C$7,'Livro Diario - FC'!$D$11:$D1028,"&lt;=31/08"&amp;$C$7)</f>
        <v>0</v>
      </c>
      <c r="AM153" s="273"/>
      <c r="AN153" s="258"/>
      <c r="AO153" s="255">
        <f>SUMIFS('Livro Diario - FC'!$K$11:$K1028,'Livro Diario - FC'!$E$11:$E1028,$C$153,'Livro Diario - FC'!$D$11:$D1028,"&gt;=01/09"&amp;$C$7,'Livro Diario - FC'!$D$11:$D1028,"&lt;=30/09"&amp;$C$7)</f>
        <v>0</v>
      </c>
      <c r="AP153" s="256">
        <f>SUMIFS('Livro Diario - FC'!$M$11:$M1028,'Livro Diario - FC'!$E$11:$E1028,$C$153,'Livro Diario - FC'!$D$11:$D1028,"&gt;=01/09"&amp;$C$7,'Livro Diario - FC'!$D$11:$D1028,"&lt;=30/09"&amp;$C$7)</f>
        <v>0</v>
      </c>
      <c r="AQ153" s="273"/>
      <c r="AR153" s="258"/>
      <c r="AS153" s="255">
        <f>SUMIFS('Livro Diario - FC'!$K$11:$K1028,'Livro Diario - FC'!$E$11:$E1028,$C$153,'Livro Diario - FC'!$D$11:$D1028,"&gt;=01/10"&amp;$C$7,'Livro Diario - FC'!$D$11:$D1028,"&lt;=31/10"&amp;$C$7)</f>
        <v>0</v>
      </c>
      <c r="AT153" s="256">
        <f>SUMIFS('Livro Diario - FC'!$M$11:$M1028,'Livro Diario - FC'!$E$11:$E1028,$C$153,'Livro Diario - FC'!$D$11:$D1028,"&gt;=01/10"&amp;$C$7,'Livro Diario - FC'!$D$11:$D1028,"&lt;=31/10"&amp;$C$7)</f>
        <v>0</v>
      </c>
      <c r="AU153" s="273"/>
      <c r="AV153" s="258"/>
      <c r="AW153" s="255">
        <f>SUMIFS('Livro Diario - FC'!$K$11:$K1028,'Livro Diario - FC'!$E$11:$E1028,$C$153,'Livro Diario - FC'!$D$11:$D1028,"&gt;=01/11"&amp;$C$7,'Livro Diario - FC'!$D$11:$D1028,"&lt;=30/11"&amp;$C$7)</f>
        <v>0</v>
      </c>
      <c r="AX153" s="256">
        <f>SUMIFS('Livro Diario - FC'!$M$11:$M1028,'Livro Diario - FC'!$E$11:$E1028,$C$153,'Livro Diario - FC'!$D$11:$D1028,"&gt;=01/11"&amp;$C$7,'Livro Diario - FC'!$D$11:$D1028,"&lt;=30/11"&amp;$C$7)</f>
        <v>0</v>
      </c>
      <c r="AY153" s="273"/>
      <c r="AZ153" s="258"/>
      <c r="BA153" s="255">
        <f>SUMIFS('Livro Diario - FC'!$K$11:$K1028,'Livro Diario - FC'!$E$11:$E1028,$C$153,'Livro Diario - FC'!$D$11:$D1028,"&gt;=01/12"&amp;$C$7,'Livro Diario - FC'!$D$11:$D1028,"&lt;=31/12"&amp;$C$7)</f>
        <v>0</v>
      </c>
      <c r="BB153" s="256">
        <f>SUMIFS('Livro Diario - FC'!$M$11:$M1028,'Livro Diario - FC'!$E$11:$E1028,$C$153,'Livro Diario - FC'!$D$11:$D1028,"&gt;=01/12"&amp;$C$7,'Livro Diario - FC'!$D$11:$D1028,"&lt;=31/12"&amp;$C$7)</f>
        <v>0</v>
      </c>
      <c r="BC153" s="273"/>
      <c r="BD153" s="273"/>
      <c r="BE153" s="267">
        <f t="shared" ref="BE153:BF153" si="254">SUM(D153,I153,N153,S153,X153,AC153,AG153,AK153,AO153,AS153,AW153,BA153)</f>
        <v>65.68</v>
      </c>
      <c r="BF153" s="268">
        <f t="shared" si="254"/>
        <v>65.68</v>
      </c>
      <c r="BG153" s="269"/>
      <c r="BH153" s="192"/>
      <c r="BI153" s="270">
        <f>SUMIFS('Livro Diario - FC'!$M$11:$M1028,'Livro Diario - FC'!$E$11:$E1028,C153,'Livro Diario - FC'!$D$11:$D1028,"&gt;="&amp;$BK$8,'Livro Diario - FC'!$D$11:$D1028,"&lt;="&amp;$BK$9)</f>
        <v>0</v>
      </c>
      <c r="BJ153" s="271"/>
      <c r="BK153" s="272"/>
      <c r="BL153" s="1"/>
    </row>
    <row r="154">
      <c r="A154" s="1"/>
      <c r="B154" s="1"/>
      <c r="C154" s="338" t="str">
        <f>'Livro Diario - FC'!AE163</f>
        <v>Rabo Porco</v>
      </c>
      <c r="D154" s="255">
        <f>SUMIFS('Livro Diario - FC'!$K$11:$K1028,'Livro Diario - FC'!$E$11:$E1028,$C$154,'Livro Diario - FC'!$D$11:$D1028,"&gt;=01/01"&amp;$C$7,'Livro Diario - FC'!$D$11:$D1028,"&lt;=31/01"&amp;$C$7)</f>
        <v>0</v>
      </c>
      <c r="E154" s="256">
        <f>SUMIFS('Livro Diario - FC'!$M$11:$M1028,'Livro Diario - FC'!$E$11:$E1028,$C$154,'Livro Diario - FC'!$D$11:$D1028,"&gt;=01/01"&amp;$C$7,'Livro Diario - FC'!$D$11:$D1028,"&lt;=31/01"&amp;$C$7)</f>
        <v>0</v>
      </c>
      <c r="F154" s="273"/>
      <c r="G154" s="258"/>
      <c r="H154" s="157"/>
      <c r="I154" s="255">
        <f>SUMIFS('Livro Diario - FC'!$K$11:$K1028,'Livro Diario - FC'!$E$11:$E1028,$C$154,'Livro Diario - FC'!$D$11:$D1028,"&gt;=01/02"&amp;$C$7,'Livro Diario - FC'!$D$11:$D1028,"&lt;=29/02"&amp;$C$7)</f>
        <v>0</v>
      </c>
      <c r="J154" s="256">
        <f>SUMIFS('Livro Diario - FC'!$M$11:$M1028,'Livro Diario - FC'!$E$11:$E1028,$C$154,'Livro Diario - FC'!$D$11:$D1028,"&gt;=01/02"&amp;$C$7,'Livro Diario - FC'!$D$11:$D1028,"&lt;=29/02"&amp;$C$7)</f>
        <v>0</v>
      </c>
      <c r="K154" s="273"/>
      <c r="L154" s="258"/>
      <c r="M154" s="259"/>
      <c r="N154" s="255">
        <f>SUMIFS('Livro Diario - FC'!$K$11:$K1028,'Livro Diario - FC'!$E$11:$E1028,$C$154,'Livro Diario - FC'!$D$11:$D1028,"&gt;=01/03"&amp;$C$7,'Livro Diario - FC'!$D$11:$D1028,"&lt;=31/03"&amp;$C$7)</f>
        <v>0</v>
      </c>
      <c r="O154" s="256">
        <f>SUMIFS('Livro Diario - FC'!$M$11:$M1028,'Livro Diario - FC'!$E$11:$E1028,$C$154,'Livro Diario - FC'!$D$11:$D1028,"&gt;=01/03"&amp;$C$7,'Livro Diario - FC'!$D$11:$D1028,"&lt;=31/03"&amp;$C$7)</f>
        <v>0</v>
      </c>
      <c r="P154" s="273"/>
      <c r="Q154" s="258"/>
      <c r="R154" s="259"/>
      <c r="S154" s="255">
        <f>SUMIFS('Livro Diario - FC'!$K$11:$K1028,'Livro Diario - FC'!$E$11:$E1028,$C$154,'Livro Diario - FC'!$D$11:$D1028,"&gt;=01/04"&amp;$C$7,'Livro Diario - FC'!$D$11:$D1028,"&lt;=30/04"&amp;$C$7)</f>
        <v>0</v>
      </c>
      <c r="T154" s="256">
        <f>SUMIFS('Livro Diario - FC'!$M$11:$M1028,'Livro Diario - FC'!$E$11:$E1028,$C$154,'Livro Diario - FC'!$D$11:$D1028,"&gt;=01/04"&amp;$C$7,'Livro Diario - FC'!$D$11:$D1028,"&lt;=30/04"&amp;$C$7)</f>
        <v>0</v>
      </c>
      <c r="U154" s="273"/>
      <c r="V154" s="258"/>
      <c r="W154" s="259"/>
      <c r="X154" s="255">
        <f>SUMIFS('Livro Diario - FC'!$K$11:$K1028,'Livro Diario - FC'!$E$11:$E1028,$C$154,'Livro Diario - FC'!$D$11:$D1028,"&gt;=01/05"&amp;$C$7,'Livro Diario - FC'!$D$11:$D1028,"&lt;=31/05"&amp;$C$7)</f>
        <v>0</v>
      </c>
      <c r="Y154" s="256">
        <f>SUMIFS('Livro Diario - FC'!$M$11:$M1028,'Livro Diario - FC'!$E$11:$E1028,$C$154,'Livro Diario - FC'!$D$11:$D1028,"&gt;=01/05"&amp;$C$7,'Livro Diario - FC'!$D$11:$D1028,"&lt;=31/05"&amp;$C$7)</f>
        <v>0</v>
      </c>
      <c r="Z154" s="273"/>
      <c r="AA154" s="258"/>
      <c r="AB154" s="259"/>
      <c r="AC154" s="255">
        <f>SUMIFS('Livro Diario - FC'!$K$11:$K1028,'Livro Diario - FC'!$E$11:$E1028,$C$154,'Livro Diario - FC'!$D$11:$D1028,"&gt;=01/06"&amp;$C$7,'Livro Diario - FC'!$D$11:$D1028,"&lt;=30/06"&amp;$C$7)</f>
        <v>0</v>
      </c>
      <c r="AD154" s="256">
        <f>SUMIFS('Livro Diario - FC'!$M$11:$M1028,'Livro Diario - FC'!$E$11:$E1028,$C$154,'Livro Diario - FC'!$D$11:$D1028,"&gt;=01/06"&amp;$C$7,'Livro Diario - FC'!$D$11:$D1028,"&lt;=30/06"&amp;$C$7)</f>
        <v>0</v>
      </c>
      <c r="AE154" s="273"/>
      <c r="AF154" s="258"/>
      <c r="AG154" s="255">
        <f>SUMIFS('Livro Diario - FC'!$K$11:$K1028,'Livro Diario - FC'!$E$11:$E1028,$C$154,'Livro Diario - FC'!$D$11:$D1028,"&gt;=01/07"&amp;$C$7,'Livro Diario - FC'!$D$11:$D1028,"&lt;=31/07"&amp;$C$7)</f>
        <v>0</v>
      </c>
      <c r="AH154" s="256">
        <f>SUMIFS('Livro Diario - FC'!$M$11:$M1028,'Livro Diario - FC'!$E$11:$E1028,$C$154,'Livro Diario - FC'!$D$11:$D1028,"&gt;=01/07"&amp;$C$7,'Livro Diario - FC'!$D$11:$D1028,"&lt;=31/07"&amp;$C$7)</f>
        <v>0</v>
      </c>
      <c r="AI154" s="273"/>
      <c r="AJ154" s="258"/>
      <c r="AK154" s="255">
        <f>SUMIFS('Livro Diario - FC'!$K$11:$K1028,'Livro Diario - FC'!$E$11:$E1028,$C$154,'Livro Diario - FC'!$D$11:$D1028,"&gt;=01/08"&amp;$C$7,'Livro Diario - FC'!$D$11:$D1028,"&lt;=31/08"&amp;$C$7)</f>
        <v>0</v>
      </c>
      <c r="AL154" s="256">
        <f>SUMIFS('Livro Diario - FC'!$M$11:$M1028,'Livro Diario - FC'!$E$11:$E1028,$C$154,'Livro Diario - FC'!$D$11:$D1028,"&gt;=01/08"&amp;$C$7,'Livro Diario - FC'!$D$11:$D1028,"&lt;=31/08"&amp;$C$7)</f>
        <v>0</v>
      </c>
      <c r="AM154" s="273"/>
      <c r="AN154" s="258"/>
      <c r="AO154" s="255">
        <f>SUMIFS('Livro Diario - FC'!$K$11:$K1028,'Livro Diario - FC'!$E$11:$E1028,$C$154,'Livro Diario - FC'!$D$11:$D1028,"&gt;=01/09"&amp;$C$7,'Livro Diario - FC'!$D$11:$D1028,"&lt;=30/09"&amp;$C$7)</f>
        <v>0</v>
      </c>
      <c r="AP154" s="256">
        <f>SUMIFS('Livro Diario - FC'!$M$11:$M1028,'Livro Diario - FC'!$E$11:$E1028,$C$154,'Livro Diario - FC'!$D$11:$D1028,"&gt;=01/09"&amp;$C$7,'Livro Diario - FC'!$D$11:$D1028,"&lt;=30/09"&amp;$C$7)</f>
        <v>0</v>
      </c>
      <c r="AQ154" s="273"/>
      <c r="AR154" s="258"/>
      <c r="AS154" s="255">
        <f>SUMIFS('Livro Diario - FC'!$K$11:$K1028,'Livro Diario - FC'!$E$11:$E1028,$C$154,'Livro Diario - FC'!$D$11:$D1028,"&gt;=01/10"&amp;$C$7,'Livro Diario - FC'!$D$11:$D1028,"&lt;=31/10"&amp;$C$7)</f>
        <v>0</v>
      </c>
      <c r="AT154" s="256">
        <f>SUMIFS('Livro Diario - FC'!$M$11:$M1028,'Livro Diario - FC'!$E$11:$E1028,$C$154,'Livro Diario - FC'!$D$11:$D1028,"&gt;=01/10"&amp;$C$7,'Livro Diario - FC'!$D$11:$D1028,"&lt;=31/10"&amp;$C$7)</f>
        <v>0</v>
      </c>
      <c r="AU154" s="273"/>
      <c r="AV154" s="258"/>
      <c r="AW154" s="255">
        <f>SUMIFS('Livro Diario - FC'!$K$11:$K1028,'Livro Diario - FC'!$E$11:$E1028,$C$154,'Livro Diario - FC'!$D$11:$D1028,"&gt;=01/11"&amp;$C$7,'Livro Diario - FC'!$D$11:$D1028,"&lt;=30/11"&amp;$C$7)</f>
        <v>0</v>
      </c>
      <c r="AX154" s="256">
        <f>SUMIFS('Livro Diario - FC'!$M$11:$M1028,'Livro Diario - FC'!$E$11:$E1028,$C$154,'Livro Diario - FC'!$D$11:$D1028,"&gt;=01/11"&amp;$C$7,'Livro Diario - FC'!$D$11:$D1028,"&lt;=30/11"&amp;$C$7)</f>
        <v>0</v>
      </c>
      <c r="AY154" s="273"/>
      <c r="AZ154" s="258"/>
      <c r="BA154" s="255">
        <f>SUMIFS('Livro Diario - FC'!$K$11:$K1028,'Livro Diario - FC'!$E$11:$E1028,$C$154,'Livro Diario - FC'!$D$11:$D1028,"&gt;=01/12"&amp;$C$7,'Livro Diario - FC'!$D$11:$D1028,"&lt;=31/12"&amp;$C$7)</f>
        <v>0</v>
      </c>
      <c r="BB154" s="256">
        <f>SUMIFS('Livro Diario - FC'!$M$11:$M1028,'Livro Diario - FC'!$E$11:$E1028,$C$154,'Livro Diario - FC'!$D$11:$D1028,"&gt;=01/12"&amp;$C$7,'Livro Diario - FC'!$D$11:$D1028,"&lt;=31/12"&amp;$C$7)</f>
        <v>0</v>
      </c>
      <c r="BC154" s="273"/>
      <c r="BD154" s="273"/>
      <c r="BE154" s="267">
        <f t="shared" ref="BE154:BF154" si="255">SUM(D154,I154,N154,S154,X154,AC154,AG154,AK154,AO154,AS154,AW154,BA154)</f>
        <v>0</v>
      </c>
      <c r="BF154" s="268">
        <f t="shared" si="255"/>
        <v>0</v>
      </c>
      <c r="BG154" s="269"/>
      <c r="BH154" s="192"/>
      <c r="BI154" s="270">
        <f>SUMIFS('Livro Diario - FC'!$M$11:$M1028,'Livro Diario - FC'!$E$11:$E1028,C154,'Livro Diario - FC'!$D$11:$D1028,"&gt;="&amp;$BK$8,'Livro Diario - FC'!$D$11:$D1028,"&lt;="&amp;$BK$9)</f>
        <v>0</v>
      </c>
      <c r="BJ154" s="271"/>
      <c r="BK154" s="272"/>
      <c r="BL154" s="1"/>
    </row>
    <row r="155">
      <c r="A155" s="1"/>
      <c r="B155" s="1"/>
      <c r="C155" s="338" t="str">
        <f>'Livro Diario - FC'!AE164</f>
        <v>Pe Porco</v>
      </c>
      <c r="D155" s="255">
        <f>SUMIFS('Livro Diario - FC'!$K$11:$K1028,'Livro Diario - FC'!$E$11:$E1028,$C$155,'Livro Diario - FC'!$D$11:$D1028,"&gt;=01/01"&amp;$C$7,'Livro Diario - FC'!$D$11:$D1028,"&lt;=31/01"&amp;$C$7)</f>
        <v>0</v>
      </c>
      <c r="E155" s="256">
        <f>SUMIFS('Livro Diario - FC'!$M$11:$M1028,'Livro Diario - FC'!$E$11:$E1028,$C$155,'Livro Diario - FC'!$D$11:$D1028,"&gt;=01/01"&amp;$C$7,'Livro Diario - FC'!$D$11:$D1028,"&lt;=31/01"&amp;$C$7)</f>
        <v>0</v>
      </c>
      <c r="F155" s="273"/>
      <c r="G155" s="258"/>
      <c r="H155" s="157"/>
      <c r="I155" s="255">
        <f>SUMIFS('Livro Diario - FC'!$K$11:$K1028,'Livro Diario - FC'!$E$11:$E1028,$C$155,'Livro Diario - FC'!$D$11:$D1028,"&gt;=01/02"&amp;$C$7,'Livro Diario - FC'!$D$11:$D1028,"&lt;=29/02"&amp;$C$7)</f>
        <v>0</v>
      </c>
      <c r="J155" s="256">
        <f>SUMIFS('Livro Diario - FC'!$M$11:$M1028,'Livro Diario - FC'!$E$11:$E1028,$C$155,'Livro Diario - FC'!$D$11:$D1028,"&gt;=01/02"&amp;$C$7,'Livro Diario - FC'!$D$11:$D1028,"&lt;=29/02"&amp;$C$7)</f>
        <v>0</v>
      </c>
      <c r="K155" s="273"/>
      <c r="L155" s="258"/>
      <c r="M155" s="259"/>
      <c r="N155" s="255">
        <f>SUMIFS('Livro Diario - FC'!$K$11:$K1028,'Livro Diario - FC'!$E$11:$E1028,$C$155,'Livro Diario - FC'!$D$11:$D1028,"&gt;=01/03"&amp;$C$7,'Livro Diario - FC'!$D$11:$D1028,"&lt;=31/03"&amp;$C$7)</f>
        <v>0</v>
      </c>
      <c r="O155" s="256">
        <f>SUMIFS('Livro Diario - FC'!$M$11:$M1028,'Livro Diario - FC'!$E$11:$E1028,$C$155,'Livro Diario - FC'!$D$11:$D1028,"&gt;=01/03"&amp;$C$7,'Livro Diario - FC'!$D$11:$D1028,"&lt;=31/03"&amp;$C$7)</f>
        <v>0</v>
      </c>
      <c r="P155" s="273"/>
      <c r="Q155" s="258"/>
      <c r="R155" s="259"/>
      <c r="S155" s="255">
        <f>SUMIFS('Livro Diario - FC'!$K$11:$K1028,'Livro Diario - FC'!$E$11:$E1028,$C$155,'Livro Diario - FC'!$D$11:$D1028,"&gt;=01/04"&amp;$C$7,'Livro Diario - FC'!$D$11:$D1028,"&lt;=30/04"&amp;$C$7)</f>
        <v>0</v>
      </c>
      <c r="T155" s="256">
        <f>SUMIFS('Livro Diario - FC'!$M$11:$M1028,'Livro Diario - FC'!$E$11:$E1028,$C$155,'Livro Diario - FC'!$D$11:$D1028,"&gt;=01/04"&amp;$C$7,'Livro Diario - FC'!$D$11:$D1028,"&lt;=30/04"&amp;$C$7)</f>
        <v>0</v>
      </c>
      <c r="U155" s="273"/>
      <c r="V155" s="258"/>
      <c r="W155" s="259"/>
      <c r="X155" s="255">
        <f>SUMIFS('Livro Diario - FC'!$K$11:$K1028,'Livro Diario - FC'!$E$11:$E1028,$C$155,'Livro Diario - FC'!$D$11:$D1028,"&gt;=01/05"&amp;$C$7,'Livro Diario - FC'!$D$11:$D1028,"&lt;=31/05"&amp;$C$7)</f>
        <v>0</v>
      </c>
      <c r="Y155" s="256">
        <f>SUMIFS('Livro Diario - FC'!$M$11:$M1028,'Livro Diario - FC'!$E$11:$E1028,$C$155,'Livro Diario - FC'!$D$11:$D1028,"&gt;=01/05"&amp;$C$7,'Livro Diario - FC'!$D$11:$D1028,"&lt;=31/05"&amp;$C$7)</f>
        <v>0</v>
      </c>
      <c r="Z155" s="273"/>
      <c r="AA155" s="258"/>
      <c r="AB155" s="259"/>
      <c r="AC155" s="255">
        <f>SUMIFS('Livro Diario - FC'!$K$11:$K1028,'Livro Diario - FC'!$E$11:$E1028,$C$155,'Livro Diario - FC'!$D$11:$D1028,"&gt;=01/06"&amp;$C$7,'Livro Diario - FC'!$D$11:$D1028,"&lt;=30/06"&amp;$C$7)</f>
        <v>0</v>
      </c>
      <c r="AD155" s="256">
        <f>SUMIFS('Livro Diario - FC'!$M$11:$M1028,'Livro Diario - FC'!$E$11:$E1028,$C$155,'Livro Diario - FC'!$D$11:$D1028,"&gt;=01/06"&amp;$C$7,'Livro Diario - FC'!$D$11:$D1028,"&lt;=30/06"&amp;$C$7)</f>
        <v>0</v>
      </c>
      <c r="AE155" s="273"/>
      <c r="AF155" s="258"/>
      <c r="AG155" s="255">
        <f>SUMIFS('Livro Diario - FC'!$K$11:$K1028,'Livro Diario - FC'!$E$11:$E1028,$C$155,'Livro Diario - FC'!$D$11:$D1028,"&gt;=01/07"&amp;$C$7,'Livro Diario - FC'!$D$11:$D1028,"&lt;=31/07"&amp;$C$7)</f>
        <v>0</v>
      </c>
      <c r="AH155" s="256">
        <f>SUMIFS('Livro Diario - FC'!$M$11:$M1028,'Livro Diario - FC'!$E$11:$E1028,$C$155,'Livro Diario - FC'!$D$11:$D1028,"&gt;=01/07"&amp;$C$7,'Livro Diario - FC'!$D$11:$D1028,"&lt;=31/07"&amp;$C$7)</f>
        <v>0</v>
      </c>
      <c r="AI155" s="273"/>
      <c r="AJ155" s="258"/>
      <c r="AK155" s="255">
        <f>SUMIFS('Livro Diario - FC'!$K$11:$K1028,'Livro Diario - FC'!$E$11:$E1028,$C$155,'Livro Diario - FC'!$D$11:$D1028,"&gt;=01/08"&amp;$C$7,'Livro Diario - FC'!$D$11:$D1028,"&lt;=31/08"&amp;$C$7)</f>
        <v>0</v>
      </c>
      <c r="AL155" s="256">
        <f>SUMIFS('Livro Diario - FC'!$M$11:$M1028,'Livro Diario - FC'!$E$11:$E1028,$C$155,'Livro Diario - FC'!$D$11:$D1028,"&gt;=01/08"&amp;$C$7,'Livro Diario - FC'!$D$11:$D1028,"&lt;=31/08"&amp;$C$7)</f>
        <v>0</v>
      </c>
      <c r="AM155" s="273"/>
      <c r="AN155" s="258"/>
      <c r="AO155" s="255">
        <f>SUMIFS('Livro Diario - FC'!$K$11:$K1028,'Livro Diario - FC'!$E$11:$E1028,$C$155,'Livro Diario - FC'!$D$11:$D1028,"&gt;=01/09"&amp;$C$7,'Livro Diario - FC'!$D$11:$D1028,"&lt;=30/09"&amp;$C$7)</f>
        <v>0</v>
      </c>
      <c r="AP155" s="256">
        <f>SUMIFS('Livro Diario - FC'!$M$11:$M1028,'Livro Diario - FC'!$E$11:$E1028,$C$155,'Livro Diario - FC'!$D$11:$D1028,"&gt;=01/09"&amp;$C$7,'Livro Diario - FC'!$D$11:$D1028,"&lt;=30/09"&amp;$C$7)</f>
        <v>0</v>
      </c>
      <c r="AQ155" s="273"/>
      <c r="AR155" s="258"/>
      <c r="AS155" s="255">
        <f>SUMIFS('Livro Diario - FC'!$K$11:$K1028,'Livro Diario - FC'!$E$11:$E1028,$C$155,'Livro Diario - FC'!$D$11:$D1028,"&gt;=01/10"&amp;$C$7,'Livro Diario - FC'!$D$11:$D1028,"&lt;=31/10"&amp;$C$7)</f>
        <v>0</v>
      </c>
      <c r="AT155" s="256">
        <f>SUMIFS('Livro Diario - FC'!$M$11:$M1028,'Livro Diario - FC'!$E$11:$E1028,$C$155,'Livro Diario - FC'!$D$11:$D1028,"&gt;=01/10"&amp;$C$7,'Livro Diario - FC'!$D$11:$D1028,"&lt;=31/10"&amp;$C$7)</f>
        <v>0</v>
      </c>
      <c r="AU155" s="273"/>
      <c r="AV155" s="258"/>
      <c r="AW155" s="255">
        <f>SUMIFS('Livro Diario - FC'!$K$11:$K1028,'Livro Diario - FC'!$E$11:$E1028,$C$155,'Livro Diario - FC'!$D$11:$D1028,"&gt;=01/11"&amp;$C$7,'Livro Diario - FC'!$D$11:$D1028,"&lt;=30/11"&amp;$C$7)</f>
        <v>0</v>
      </c>
      <c r="AX155" s="256">
        <f>SUMIFS('Livro Diario - FC'!$M$11:$M1028,'Livro Diario - FC'!$E$11:$E1028,$C$155,'Livro Diario - FC'!$D$11:$D1028,"&gt;=01/11"&amp;$C$7,'Livro Diario - FC'!$D$11:$D1028,"&lt;=30/11"&amp;$C$7)</f>
        <v>0</v>
      </c>
      <c r="AY155" s="273"/>
      <c r="AZ155" s="258"/>
      <c r="BA155" s="255">
        <f>SUMIFS('Livro Diario - FC'!$K$11:$K1028,'Livro Diario - FC'!$E$11:$E1028,$C$155,'Livro Diario - FC'!$D$11:$D1028,"&gt;=01/12"&amp;$C$7,'Livro Diario - FC'!$D$11:$D1028,"&lt;=31/12"&amp;$C$7)</f>
        <v>0</v>
      </c>
      <c r="BB155" s="256">
        <f>SUMIFS('Livro Diario - FC'!$M$11:$M1028,'Livro Diario - FC'!$E$11:$E1028,$C$155,'Livro Diario - FC'!$D$11:$D1028,"&gt;=01/12"&amp;$C$7,'Livro Diario - FC'!$D$11:$D1028,"&lt;=31/12"&amp;$C$7)</f>
        <v>0</v>
      </c>
      <c r="BC155" s="273"/>
      <c r="BD155" s="273"/>
      <c r="BE155" s="267">
        <f t="shared" ref="BE155:BF155" si="256">SUM(D155,I155,N155,S155,X155,AC155,AG155,AK155,AO155,AS155,AW155,BA155)</f>
        <v>0</v>
      </c>
      <c r="BF155" s="268">
        <f t="shared" si="256"/>
        <v>0</v>
      </c>
      <c r="BG155" s="269"/>
      <c r="BH155" s="192"/>
      <c r="BI155" s="270">
        <f>SUMIFS('Livro Diario - FC'!$M$11:$M1028,'Livro Diario - FC'!$E$11:$E1028,C155,'Livro Diario - FC'!$D$11:$D1028,"&gt;="&amp;$BK$8,'Livro Diario - FC'!$D$11:$D1028,"&lt;="&amp;$BK$9)</f>
        <v>0</v>
      </c>
      <c r="BJ155" s="271"/>
      <c r="BK155" s="272"/>
      <c r="BL155" s="1"/>
    </row>
    <row r="156">
      <c r="A156" s="1"/>
      <c r="B156" s="1"/>
      <c r="C156" s="338" t="str">
        <f>'Livro Diario - FC'!AE165</f>
        <v>Orelha Porco</v>
      </c>
      <c r="D156" s="255">
        <f>SUMIFS('Livro Diario - FC'!$K$11:$K1028,'Livro Diario - FC'!$E$11:$E1028,$C$156,'Livro Diario - FC'!$D$11:$D1028,"&gt;=01/01"&amp;$C$7,'Livro Diario - FC'!$D$11:$D1028,"&lt;=31/01"&amp;$C$7)</f>
        <v>0</v>
      </c>
      <c r="E156" s="256">
        <f>SUMIFS('Livro Diario - FC'!$M$11:$M1028,'Livro Diario - FC'!$E$11:$E1028,$C$156,'Livro Diario - FC'!$D$11:$D1028,"&gt;=01/01"&amp;$C$7,'Livro Diario - FC'!$D$11:$D1028,"&lt;=31/01"&amp;$C$7)</f>
        <v>0</v>
      </c>
      <c r="F156" s="273"/>
      <c r="G156" s="258"/>
      <c r="H156" s="157"/>
      <c r="I156" s="255">
        <f>SUMIFS('Livro Diario - FC'!$K$11:$K1028,'Livro Diario - FC'!$E$11:$E1028,$C$156,'Livro Diario - FC'!$D$11:$D1028,"&gt;=01/02"&amp;$C$7,'Livro Diario - FC'!$D$11:$D1028,"&lt;=29/02"&amp;$C$7)</f>
        <v>0</v>
      </c>
      <c r="J156" s="256">
        <f>SUMIFS('Livro Diario - FC'!$M$11:$M1028,'Livro Diario - FC'!$E$11:$E1028,$C$156,'Livro Diario - FC'!$D$11:$D1028,"&gt;=01/02"&amp;$C$7,'Livro Diario - FC'!$D$11:$D1028,"&lt;=29/02"&amp;$C$7)</f>
        <v>0</v>
      </c>
      <c r="K156" s="273"/>
      <c r="L156" s="258"/>
      <c r="M156" s="259"/>
      <c r="N156" s="255">
        <f>SUMIFS('Livro Diario - FC'!$K$11:$K1028,'Livro Diario - FC'!$E$11:$E1028,$C$156,'Livro Diario - FC'!$D$11:$D1028,"&gt;=01/03"&amp;$C$7,'Livro Diario - FC'!$D$11:$D1028,"&lt;=31/03"&amp;$C$7)</f>
        <v>0</v>
      </c>
      <c r="O156" s="256">
        <f>SUMIFS('Livro Diario - FC'!$M$11:$M1028,'Livro Diario - FC'!$E$11:$E1028,$C$156,'Livro Diario - FC'!$D$11:$D1028,"&gt;=01/03"&amp;$C$7,'Livro Diario - FC'!$D$11:$D1028,"&lt;=31/03"&amp;$C$7)</f>
        <v>0</v>
      </c>
      <c r="P156" s="273"/>
      <c r="Q156" s="258"/>
      <c r="R156" s="259"/>
      <c r="S156" s="255">
        <f>SUMIFS('Livro Diario - FC'!$K$11:$K1028,'Livro Diario - FC'!$E$11:$E1028,$C$156,'Livro Diario - FC'!$D$11:$D1028,"&gt;=01/04"&amp;$C$7,'Livro Diario - FC'!$D$11:$D1028,"&lt;=30/04"&amp;$C$7)</f>
        <v>0</v>
      </c>
      <c r="T156" s="256">
        <f>SUMIFS('Livro Diario - FC'!$M$11:$M1028,'Livro Diario - FC'!$E$11:$E1028,$C$156,'Livro Diario - FC'!$D$11:$D1028,"&gt;=01/04"&amp;$C$7,'Livro Diario - FC'!$D$11:$D1028,"&lt;=30/04"&amp;$C$7)</f>
        <v>0</v>
      </c>
      <c r="U156" s="273"/>
      <c r="V156" s="258"/>
      <c r="W156" s="259"/>
      <c r="X156" s="255">
        <f>SUMIFS('Livro Diario - FC'!$K$11:$K1028,'Livro Diario - FC'!$E$11:$E1028,$C$156,'Livro Diario - FC'!$D$11:$D1028,"&gt;=01/05"&amp;$C$7,'Livro Diario - FC'!$D$11:$D1028,"&lt;=31/05"&amp;$C$7)</f>
        <v>0</v>
      </c>
      <c r="Y156" s="256">
        <f>SUMIFS('Livro Diario - FC'!$M$11:$M1028,'Livro Diario - FC'!$E$11:$E1028,$C$156,'Livro Diario - FC'!$D$11:$D1028,"&gt;=01/05"&amp;$C$7,'Livro Diario - FC'!$D$11:$D1028,"&lt;=31/05"&amp;$C$7)</f>
        <v>0</v>
      </c>
      <c r="Z156" s="273"/>
      <c r="AA156" s="258"/>
      <c r="AB156" s="259"/>
      <c r="AC156" s="255">
        <f>SUMIFS('Livro Diario - FC'!$K$11:$K1028,'Livro Diario - FC'!$E$11:$E1028,$C$156,'Livro Diario - FC'!$D$11:$D1028,"&gt;=01/06"&amp;$C$7,'Livro Diario - FC'!$D$11:$D1028,"&lt;=30/06"&amp;$C$7)</f>
        <v>0</v>
      </c>
      <c r="AD156" s="256">
        <f>SUMIFS('Livro Diario - FC'!$M$11:$M1028,'Livro Diario - FC'!$E$11:$E1028,$C$156,'Livro Diario - FC'!$D$11:$D1028,"&gt;=01/06"&amp;$C$7,'Livro Diario - FC'!$D$11:$D1028,"&lt;=30/06"&amp;$C$7)</f>
        <v>0</v>
      </c>
      <c r="AE156" s="273"/>
      <c r="AF156" s="258"/>
      <c r="AG156" s="255">
        <f>SUMIFS('Livro Diario - FC'!$K$11:$K1028,'Livro Diario - FC'!$E$11:$E1028,$C$156,'Livro Diario - FC'!$D$11:$D1028,"&gt;=01/07"&amp;$C$7,'Livro Diario - FC'!$D$11:$D1028,"&lt;=31/07"&amp;$C$7)</f>
        <v>0</v>
      </c>
      <c r="AH156" s="256">
        <f>SUMIFS('Livro Diario - FC'!$M$11:$M1028,'Livro Diario - FC'!$E$11:$E1028,$C$156,'Livro Diario - FC'!$D$11:$D1028,"&gt;=01/07"&amp;$C$7,'Livro Diario - FC'!$D$11:$D1028,"&lt;=31/07"&amp;$C$7)</f>
        <v>0</v>
      </c>
      <c r="AI156" s="273"/>
      <c r="AJ156" s="258"/>
      <c r="AK156" s="255">
        <f>SUMIFS('Livro Diario - FC'!$K$11:$K1028,'Livro Diario - FC'!$E$11:$E1028,$C$156,'Livro Diario - FC'!$D$11:$D1028,"&gt;=01/08"&amp;$C$7,'Livro Diario - FC'!$D$11:$D1028,"&lt;=31/08"&amp;$C$7)</f>
        <v>0</v>
      </c>
      <c r="AL156" s="256">
        <f>SUMIFS('Livro Diario - FC'!$M$11:$M1028,'Livro Diario - FC'!$E$11:$E1028,$C$156,'Livro Diario - FC'!$D$11:$D1028,"&gt;=01/08"&amp;$C$7,'Livro Diario - FC'!$D$11:$D1028,"&lt;=31/08"&amp;$C$7)</f>
        <v>0</v>
      </c>
      <c r="AM156" s="273"/>
      <c r="AN156" s="258"/>
      <c r="AO156" s="255">
        <f>SUMIFS('Livro Diario - FC'!$K$11:$K1028,'Livro Diario - FC'!$E$11:$E1028,$C$156,'Livro Diario - FC'!$D$11:$D1028,"&gt;=01/09"&amp;$C$7,'Livro Diario - FC'!$D$11:$D1028,"&lt;=30/09"&amp;$C$7)</f>
        <v>0</v>
      </c>
      <c r="AP156" s="256">
        <f>SUMIFS('Livro Diario - FC'!$M$11:$M1028,'Livro Diario - FC'!$E$11:$E1028,$C$156,'Livro Diario - FC'!$D$11:$D1028,"&gt;=01/09"&amp;$C$7,'Livro Diario - FC'!$D$11:$D1028,"&lt;=30/09"&amp;$C$7)</f>
        <v>0</v>
      </c>
      <c r="AQ156" s="273"/>
      <c r="AR156" s="258"/>
      <c r="AS156" s="255">
        <f>SUMIFS('Livro Diario - FC'!$K$11:$K1028,'Livro Diario - FC'!$E$11:$E1028,$C$156,'Livro Diario - FC'!$D$11:$D1028,"&gt;=01/10"&amp;$C$7,'Livro Diario - FC'!$D$11:$D1028,"&lt;=31/10"&amp;$C$7)</f>
        <v>0</v>
      </c>
      <c r="AT156" s="256">
        <f>SUMIFS('Livro Diario - FC'!$M$11:$M1028,'Livro Diario - FC'!$E$11:$E1028,$C$156,'Livro Diario - FC'!$D$11:$D1028,"&gt;=01/10"&amp;$C$7,'Livro Diario - FC'!$D$11:$D1028,"&lt;=31/10"&amp;$C$7)</f>
        <v>0</v>
      </c>
      <c r="AU156" s="273"/>
      <c r="AV156" s="258"/>
      <c r="AW156" s="255">
        <f>SUMIFS('Livro Diario - FC'!$K$11:$K1028,'Livro Diario - FC'!$E$11:$E1028,$C$156,'Livro Diario - FC'!$D$11:$D1028,"&gt;=01/11"&amp;$C$7,'Livro Diario - FC'!$D$11:$D1028,"&lt;=30/11"&amp;$C$7)</f>
        <v>0</v>
      </c>
      <c r="AX156" s="256">
        <f>SUMIFS('Livro Diario - FC'!$M$11:$M1028,'Livro Diario - FC'!$E$11:$E1028,$C$156,'Livro Diario - FC'!$D$11:$D1028,"&gt;=01/11"&amp;$C$7,'Livro Diario - FC'!$D$11:$D1028,"&lt;=30/11"&amp;$C$7)</f>
        <v>0</v>
      </c>
      <c r="AY156" s="273"/>
      <c r="AZ156" s="258"/>
      <c r="BA156" s="255">
        <f>SUMIFS('Livro Diario - FC'!$K$11:$K1028,'Livro Diario - FC'!$E$11:$E1028,$C$156,'Livro Diario - FC'!$D$11:$D1028,"&gt;=01/12"&amp;$C$7,'Livro Diario - FC'!$D$11:$D1028,"&lt;=31/12"&amp;$C$7)</f>
        <v>0</v>
      </c>
      <c r="BB156" s="256">
        <f>SUMIFS('Livro Diario - FC'!$M$11:$M1028,'Livro Diario - FC'!$E$11:$E1028,$C$156,'Livro Diario - FC'!$D$11:$D1028,"&gt;=01/12"&amp;$C$7,'Livro Diario - FC'!$D$11:$D1028,"&lt;=31/12"&amp;$C$7)</f>
        <v>0</v>
      </c>
      <c r="BC156" s="273"/>
      <c r="BD156" s="273"/>
      <c r="BE156" s="267">
        <f t="shared" ref="BE156:BF156" si="257">SUM(D156,I156,N156,S156,X156,AC156,AG156,AK156,AO156,AS156,AW156,BA156)</f>
        <v>0</v>
      </c>
      <c r="BF156" s="268">
        <f t="shared" si="257"/>
        <v>0</v>
      </c>
      <c r="BG156" s="269"/>
      <c r="BH156" s="192"/>
      <c r="BI156" s="270">
        <f>SUMIFS('Livro Diario - FC'!$M$11:$M1028,'Livro Diario - FC'!$E$11:$E1028,C156,'Livro Diario - FC'!$D$11:$D1028,"&gt;="&amp;$BK$8,'Livro Diario - FC'!$D$11:$D1028,"&lt;="&amp;$BK$9)</f>
        <v>0</v>
      </c>
      <c r="BJ156" s="271"/>
      <c r="BK156" s="272"/>
      <c r="BL156" s="1"/>
    </row>
    <row r="157">
      <c r="A157" s="1"/>
      <c r="B157" s="1"/>
      <c r="C157" s="338" t="str">
        <f>'Livro Diario - FC'!AE166</f>
        <v>Sobrecoxa Temperada</v>
      </c>
      <c r="D157" s="255">
        <f>SUMIFS('Livro Diario - FC'!$K$11:$K1028,'Livro Diario - FC'!$E$11:$E1028,$C$157,'Livro Diario - FC'!$D$11:$D1028,"&gt;=01/01"&amp;$C$7,'Livro Diario - FC'!$D$11:$D1028,"&lt;=31/01"&amp;$C$7)</f>
        <v>137.48</v>
      </c>
      <c r="E157" s="256">
        <f>SUMIFS('Livro Diario - FC'!$M$11:$M1028,'Livro Diario - FC'!$E$11:$E1028,$C$157,'Livro Diario - FC'!$D$11:$D1028,"&gt;=01/01"&amp;$C$7,'Livro Diario - FC'!$D$11:$D1028,"&lt;=31/01"&amp;$C$7)</f>
        <v>137.48</v>
      </c>
      <c r="F157" s="273"/>
      <c r="G157" s="258"/>
      <c r="H157" s="157"/>
      <c r="I157" s="255">
        <f>SUMIFS('Livro Diario - FC'!$K$11:$K1028,'Livro Diario - FC'!$E$11:$E1028,$C$157,'Livro Diario - FC'!$D$11:$D1028,"&gt;=01/02"&amp;$C$7,'Livro Diario - FC'!$D$11:$D1028,"&lt;=29/02"&amp;$C$7)</f>
        <v>0</v>
      </c>
      <c r="J157" s="256">
        <f>SUMIFS('Livro Diario - FC'!$M$11:$M1028,'Livro Diario - FC'!$E$11:$E1028,$C$157,'Livro Diario - FC'!$D$11:$D1028,"&gt;=01/02"&amp;$C$7,'Livro Diario - FC'!$D$11:$D1028,"&lt;=29/02"&amp;$C$7)</f>
        <v>0</v>
      </c>
      <c r="K157" s="273"/>
      <c r="L157" s="258"/>
      <c r="M157" s="259"/>
      <c r="N157" s="255">
        <f>SUMIFS('Livro Diario - FC'!$K$11:$K1028,'Livro Diario - FC'!$E$11:$E1028,$C$157,'Livro Diario - FC'!$D$11:$D1028,"&gt;=01/03"&amp;$C$7,'Livro Diario - FC'!$D$11:$D1028,"&lt;=31/03"&amp;$C$7)</f>
        <v>0</v>
      </c>
      <c r="O157" s="256">
        <f>SUMIFS('Livro Diario - FC'!$M$11:$M1028,'Livro Diario - FC'!$E$11:$E1028,$C$157,'Livro Diario - FC'!$D$11:$D1028,"&gt;=01/03"&amp;$C$7,'Livro Diario - FC'!$D$11:$D1028,"&lt;=31/03"&amp;$C$7)</f>
        <v>0</v>
      </c>
      <c r="P157" s="273"/>
      <c r="Q157" s="258"/>
      <c r="R157" s="259"/>
      <c r="S157" s="255">
        <f>SUMIFS('Livro Diario - FC'!$K$11:$K1028,'Livro Diario - FC'!$E$11:$E1028,$C$157,'Livro Diario - FC'!$D$11:$D1028,"&gt;=01/04"&amp;$C$7,'Livro Diario - FC'!$D$11:$D1028,"&lt;=30/04"&amp;$C$7)</f>
        <v>0</v>
      </c>
      <c r="T157" s="256">
        <f>SUMIFS('Livro Diario - FC'!$M$11:$M1028,'Livro Diario - FC'!$E$11:$E1028,$C$157,'Livro Diario - FC'!$D$11:$D1028,"&gt;=01/04"&amp;$C$7,'Livro Diario - FC'!$D$11:$D1028,"&lt;=30/04"&amp;$C$7)</f>
        <v>0</v>
      </c>
      <c r="U157" s="273"/>
      <c r="V157" s="258"/>
      <c r="W157" s="259"/>
      <c r="X157" s="255">
        <f>SUMIFS('Livro Diario - FC'!$K$11:$K1028,'Livro Diario - FC'!$E$11:$E1028,$C$157,'Livro Diario - FC'!$D$11:$D1028,"&gt;=01/05"&amp;$C$7,'Livro Diario - FC'!$D$11:$D1028,"&lt;=31/05"&amp;$C$7)</f>
        <v>0</v>
      </c>
      <c r="Y157" s="256">
        <f>SUMIFS('Livro Diario - FC'!$M$11:$M1028,'Livro Diario - FC'!$E$11:$E1028,$C$157,'Livro Diario - FC'!$D$11:$D1028,"&gt;=01/05"&amp;$C$7,'Livro Diario - FC'!$D$11:$D1028,"&lt;=31/05"&amp;$C$7)</f>
        <v>0</v>
      </c>
      <c r="Z157" s="273"/>
      <c r="AA157" s="258"/>
      <c r="AB157" s="259"/>
      <c r="AC157" s="255">
        <f>SUMIFS('Livro Diario - FC'!$K$11:$K1028,'Livro Diario - FC'!$E$11:$E1028,$C$157,'Livro Diario - FC'!$D$11:$D1028,"&gt;=01/06"&amp;$C$7,'Livro Diario - FC'!$D$11:$D1028,"&lt;=30/06"&amp;$C$7)</f>
        <v>0</v>
      </c>
      <c r="AD157" s="256">
        <f>SUMIFS('Livro Diario - FC'!$M$11:$M1028,'Livro Diario - FC'!$E$11:$E1028,$C$157,'Livro Diario - FC'!$D$11:$D1028,"&gt;=01/06"&amp;$C$7,'Livro Diario - FC'!$D$11:$D1028,"&lt;=30/06"&amp;$C$7)</f>
        <v>0</v>
      </c>
      <c r="AE157" s="273"/>
      <c r="AF157" s="258"/>
      <c r="AG157" s="255">
        <f>SUMIFS('Livro Diario - FC'!$K$11:$K1028,'Livro Diario - FC'!$E$11:$E1028,$C$157,'Livro Diario - FC'!$D$11:$D1028,"&gt;=01/07"&amp;$C$7,'Livro Diario - FC'!$D$11:$D1028,"&lt;=31/07"&amp;$C$7)</f>
        <v>0</v>
      </c>
      <c r="AH157" s="256">
        <f>SUMIFS('Livro Diario - FC'!$M$11:$M1028,'Livro Diario - FC'!$E$11:$E1028,$C$157,'Livro Diario - FC'!$D$11:$D1028,"&gt;=01/07"&amp;$C$7,'Livro Diario - FC'!$D$11:$D1028,"&lt;=31/07"&amp;$C$7)</f>
        <v>0</v>
      </c>
      <c r="AI157" s="273"/>
      <c r="AJ157" s="258"/>
      <c r="AK157" s="255">
        <f>SUMIFS('Livro Diario - FC'!$K$11:$K1028,'Livro Diario - FC'!$E$11:$E1028,$C$157,'Livro Diario - FC'!$D$11:$D1028,"&gt;=01/08"&amp;$C$7,'Livro Diario - FC'!$D$11:$D1028,"&lt;=31/08"&amp;$C$7)</f>
        <v>0</v>
      </c>
      <c r="AL157" s="256">
        <f>SUMIFS('Livro Diario - FC'!$M$11:$M1028,'Livro Diario - FC'!$E$11:$E1028,$C$157,'Livro Diario - FC'!$D$11:$D1028,"&gt;=01/08"&amp;$C$7,'Livro Diario - FC'!$D$11:$D1028,"&lt;=31/08"&amp;$C$7)</f>
        <v>0</v>
      </c>
      <c r="AM157" s="273"/>
      <c r="AN157" s="258"/>
      <c r="AO157" s="255">
        <f>SUMIFS('Livro Diario - FC'!$K$11:$K1028,'Livro Diario - FC'!$E$11:$E1028,$C$157,'Livro Diario - FC'!$D$11:$D1028,"&gt;=01/09"&amp;$C$7,'Livro Diario - FC'!$D$11:$D1028,"&lt;=30/09"&amp;$C$7)</f>
        <v>0</v>
      </c>
      <c r="AP157" s="256">
        <f>SUMIFS('Livro Diario - FC'!$M$11:$M1028,'Livro Diario - FC'!$E$11:$E1028,$C$157,'Livro Diario - FC'!$D$11:$D1028,"&gt;=01/09"&amp;$C$7,'Livro Diario - FC'!$D$11:$D1028,"&lt;=30/09"&amp;$C$7)</f>
        <v>0</v>
      </c>
      <c r="AQ157" s="273"/>
      <c r="AR157" s="258"/>
      <c r="AS157" s="255">
        <f>SUMIFS('Livro Diario - FC'!$K$11:$K1028,'Livro Diario - FC'!$E$11:$E1028,$C$157,'Livro Diario - FC'!$D$11:$D1028,"&gt;=01/10"&amp;$C$7,'Livro Diario - FC'!$D$11:$D1028,"&lt;=31/10"&amp;$C$7)</f>
        <v>0</v>
      </c>
      <c r="AT157" s="256">
        <f>SUMIFS('Livro Diario - FC'!$M$11:$M1028,'Livro Diario - FC'!$E$11:$E1028,$C$157,'Livro Diario - FC'!$D$11:$D1028,"&gt;=01/10"&amp;$C$7,'Livro Diario - FC'!$D$11:$D1028,"&lt;=31/10"&amp;$C$7)</f>
        <v>0</v>
      </c>
      <c r="AU157" s="273"/>
      <c r="AV157" s="258"/>
      <c r="AW157" s="255">
        <f>SUMIFS('Livro Diario - FC'!$K$11:$K1028,'Livro Diario - FC'!$E$11:$E1028,$C$157,'Livro Diario - FC'!$D$11:$D1028,"&gt;=01/11"&amp;$C$7,'Livro Diario - FC'!$D$11:$D1028,"&lt;=30/11"&amp;$C$7)</f>
        <v>0</v>
      </c>
      <c r="AX157" s="256">
        <f>SUMIFS('Livro Diario - FC'!$M$11:$M1028,'Livro Diario - FC'!$E$11:$E1028,$C$157,'Livro Diario - FC'!$D$11:$D1028,"&gt;=01/11"&amp;$C$7,'Livro Diario - FC'!$D$11:$D1028,"&lt;=30/11"&amp;$C$7)</f>
        <v>0</v>
      </c>
      <c r="AY157" s="273"/>
      <c r="AZ157" s="258"/>
      <c r="BA157" s="255">
        <f>SUMIFS('Livro Diario - FC'!$K$11:$K1028,'Livro Diario - FC'!$E$11:$E1028,$C$157,'Livro Diario - FC'!$D$11:$D1028,"&gt;=01/12"&amp;$C$7,'Livro Diario - FC'!$D$11:$D1028,"&lt;=31/12"&amp;$C$7)</f>
        <v>0</v>
      </c>
      <c r="BB157" s="256">
        <f>SUMIFS('Livro Diario - FC'!$M$11:$M1028,'Livro Diario - FC'!$E$11:$E1028,$C$157,'Livro Diario - FC'!$D$11:$D1028,"&gt;=01/12"&amp;$C$7,'Livro Diario - FC'!$D$11:$D1028,"&lt;=31/12"&amp;$C$7)</f>
        <v>0</v>
      </c>
      <c r="BC157" s="273"/>
      <c r="BD157" s="273"/>
      <c r="BE157" s="267">
        <f t="shared" ref="BE157:BF157" si="258">SUM(D157,I157,N157,S157,X157,AC157,AG157,AK157,AO157,AS157,AW157,BA157)</f>
        <v>137.48</v>
      </c>
      <c r="BF157" s="268">
        <f t="shared" si="258"/>
        <v>137.48</v>
      </c>
      <c r="BG157" s="269"/>
      <c r="BH157" s="192"/>
      <c r="BI157" s="270">
        <f>SUMIFS('Livro Diario - FC'!$M$11:$M1028,'Livro Diario - FC'!$E$11:$E1028,C157,'Livro Diario - FC'!$D$11:$D1028,"&gt;="&amp;$BK$8,'Livro Diario - FC'!$D$11:$D1028,"&lt;="&amp;$BK$9)</f>
        <v>0</v>
      </c>
      <c r="BJ157" s="271"/>
      <c r="BK157" s="272"/>
      <c r="BL157" s="1"/>
    </row>
    <row r="158">
      <c r="A158" s="1"/>
      <c r="B158" s="1"/>
      <c r="C158" s="338" t="str">
        <f>'Livro Diario - FC'!AE167</f>
        <v>Bisteca</v>
      </c>
      <c r="D158" s="255">
        <f>SUMIFS('Livro Diario - FC'!$K$11:$K1028,'Livro Diario - FC'!$E$11:$E1028,$C$158,'Livro Diario - FC'!$D$11:$D1028,"&gt;=01/01"&amp;$C$7,'Livro Diario - FC'!$D$11:$D1028,"&lt;=31/01"&amp;$C$7)</f>
        <v>0</v>
      </c>
      <c r="E158" s="256">
        <f>SUMIFS('Livro Diario - FC'!$M$11:$M1028,'Livro Diario - FC'!$E$11:$E1028,$C$158,'Livro Diario - FC'!$D$11:$D1028,"&gt;=01/01"&amp;$C$7,'Livro Diario - FC'!$D$11:$D1028,"&lt;=31/01"&amp;$C$7)</f>
        <v>0</v>
      </c>
      <c r="F158" s="273"/>
      <c r="G158" s="258"/>
      <c r="H158" s="157"/>
      <c r="I158" s="255">
        <f>SUMIFS('Livro Diario - FC'!$K$11:$K1028,'Livro Diario - FC'!$E$11:$E1028,$C$158,'Livro Diario - FC'!$D$11:$D1028,"&gt;=01/02"&amp;$C$7,'Livro Diario - FC'!$D$11:$D1028,"&lt;=29/02"&amp;$C$7)</f>
        <v>0</v>
      </c>
      <c r="J158" s="256">
        <f>SUMIFS('Livro Diario - FC'!$M$11:$M1028,'Livro Diario - FC'!$E$11:$E1028,$C$158,'Livro Diario - FC'!$D$11:$D1028,"&gt;=01/02"&amp;$C$7,'Livro Diario - FC'!$D$11:$D1028,"&lt;=29/02"&amp;$C$7)</f>
        <v>0</v>
      </c>
      <c r="K158" s="273"/>
      <c r="L158" s="258"/>
      <c r="M158" s="259"/>
      <c r="N158" s="255">
        <f>SUMIFS('Livro Diario - FC'!$K$11:$K1028,'Livro Diario - FC'!$E$11:$E1028,$C$158,'Livro Diario - FC'!$D$11:$D1028,"&gt;=01/03"&amp;$C$7,'Livro Diario - FC'!$D$11:$D1028,"&lt;=31/03"&amp;$C$7)</f>
        <v>0</v>
      </c>
      <c r="O158" s="256">
        <f>SUMIFS('Livro Diario - FC'!$M$11:$M1028,'Livro Diario - FC'!$E$11:$E1028,$C$158,'Livro Diario - FC'!$D$11:$D1028,"&gt;=01/03"&amp;$C$7,'Livro Diario - FC'!$D$11:$D1028,"&lt;=31/03"&amp;$C$7)</f>
        <v>0</v>
      </c>
      <c r="P158" s="273"/>
      <c r="Q158" s="258"/>
      <c r="R158" s="259"/>
      <c r="S158" s="255">
        <f>SUMIFS('Livro Diario - FC'!$K$11:$K1028,'Livro Diario - FC'!$E$11:$E1028,$C$158,'Livro Diario - FC'!$D$11:$D1028,"&gt;=01/04"&amp;$C$7,'Livro Diario - FC'!$D$11:$D1028,"&lt;=30/04"&amp;$C$7)</f>
        <v>0</v>
      </c>
      <c r="T158" s="256">
        <f>SUMIFS('Livro Diario - FC'!$M$11:$M1028,'Livro Diario - FC'!$E$11:$E1028,$C$158,'Livro Diario - FC'!$D$11:$D1028,"&gt;=01/04"&amp;$C$7,'Livro Diario - FC'!$D$11:$D1028,"&lt;=30/04"&amp;$C$7)</f>
        <v>0</v>
      </c>
      <c r="U158" s="273"/>
      <c r="V158" s="258"/>
      <c r="W158" s="259"/>
      <c r="X158" s="255">
        <f>SUMIFS('Livro Diario - FC'!$K$11:$K1028,'Livro Diario - FC'!$E$11:$E1028,$C$158,'Livro Diario - FC'!$D$11:$D1028,"&gt;=01/05"&amp;$C$7,'Livro Diario - FC'!$D$11:$D1028,"&lt;=31/05"&amp;$C$7)</f>
        <v>0</v>
      </c>
      <c r="Y158" s="256">
        <f>SUMIFS('Livro Diario - FC'!$M$11:$M1028,'Livro Diario - FC'!$E$11:$E1028,$C$158,'Livro Diario - FC'!$D$11:$D1028,"&gt;=01/05"&amp;$C$7,'Livro Diario - FC'!$D$11:$D1028,"&lt;=31/05"&amp;$C$7)</f>
        <v>0</v>
      </c>
      <c r="Z158" s="273"/>
      <c r="AA158" s="258"/>
      <c r="AB158" s="259"/>
      <c r="AC158" s="255">
        <f>SUMIFS('Livro Diario - FC'!$K$11:$K1028,'Livro Diario - FC'!$E$11:$E1028,$C$158,'Livro Diario - FC'!$D$11:$D1028,"&gt;=01/06"&amp;$C$7,'Livro Diario - FC'!$D$11:$D1028,"&lt;=30/06"&amp;$C$7)</f>
        <v>0</v>
      </c>
      <c r="AD158" s="256">
        <f>SUMIFS('Livro Diario - FC'!$M$11:$M1028,'Livro Diario - FC'!$E$11:$E1028,$C$158,'Livro Diario - FC'!$D$11:$D1028,"&gt;=01/06"&amp;$C$7,'Livro Diario - FC'!$D$11:$D1028,"&lt;=30/06"&amp;$C$7)</f>
        <v>0</v>
      </c>
      <c r="AE158" s="273"/>
      <c r="AF158" s="258"/>
      <c r="AG158" s="255">
        <f>SUMIFS('Livro Diario - FC'!$K$11:$K1028,'Livro Diario - FC'!$E$11:$E1028,$C$158,'Livro Diario - FC'!$D$11:$D1028,"&gt;=01/07"&amp;$C$7,'Livro Diario - FC'!$D$11:$D1028,"&lt;=31/07"&amp;$C$7)</f>
        <v>0</v>
      </c>
      <c r="AH158" s="256">
        <f>SUMIFS('Livro Diario - FC'!$M$11:$M1028,'Livro Diario - FC'!$E$11:$E1028,$C$158,'Livro Diario - FC'!$D$11:$D1028,"&gt;=01/07"&amp;$C$7,'Livro Diario - FC'!$D$11:$D1028,"&lt;=31/07"&amp;$C$7)</f>
        <v>0</v>
      </c>
      <c r="AI158" s="273"/>
      <c r="AJ158" s="258"/>
      <c r="AK158" s="255">
        <f>SUMIFS('Livro Diario - FC'!$K$11:$K1028,'Livro Diario - FC'!$E$11:$E1028,$C$158,'Livro Diario - FC'!$D$11:$D1028,"&gt;=01/08"&amp;$C$7,'Livro Diario - FC'!$D$11:$D1028,"&lt;=31/08"&amp;$C$7)</f>
        <v>0</v>
      </c>
      <c r="AL158" s="256">
        <f>SUMIFS('Livro Diario - FC'!$M$11:$M1028,'Livro Diario - FC'!$E$11:$E1028,$C$158,'Livro Diario - FC'!$D$11:$D1028,"&gt;=01/08"&amp;$C$7,'Livro Diario - FC'!$D$11:$D1028,"&lt;=31/08"&amp;$C$7)</f>
        <v>0</v>
      </c>
      <c r="AM158" s="273"/>
      <c r="AN158" s="258"/>
      <c r="AO158" s="255">
        <f>SUMIFS('Livro Diario - FC'!$K$11:$K1028,'Livro Diario - FC'!$E$11:$E1028,$C$158,'Livro Diario - FC'!$D$11:$D1028,"&gt;=01/09"&amp;$C$7,'Livro Diario - FC'!$D$11:$D1028,"&lt;=30/09"&amp;$C$7)</f>
        <v>0</v>
      </c>
      <c r="AP158" s="256">
        <f>SUMIFS('Livro Diario - FC'!$M$11:$M1028,'Livro Diario - FC'!$E$11:$E1028,$C$158,'Livro Diario - FC'!$D$11:$D1028,"&gt;=01/09"&amp;$C$7,'Livro Diario - FC'!$D$11:$D1028,"&lt;=30/09"&amp;$C$7)</f>
        <v>0</v>
      </c>
      <c r="AQ158" s="273"/>
      <c r="AR158" s="258"/>
      <c r="AS158" s="255">
        <f>SUMIFS('Livro Diario - FC'!$K$11:$K1028,'Livro Diario - FC'!$E$11:$E1028,$C$158,'Livro Diario - FC'!$D$11:$D1028,"&gt;=01/10"&amp;$C$7,'Livro Diario - FC'!$D$11:$D1028,"&lt;=31/10"&amp;$C$7)</f>
        <v>0</v>
      </c>
      <c r="AT158" s="256">
        <f>SUMIFS('Livro Diario - FC'!$M$11:$M1028,'Livro Diario - FC'!$E$11:$E1028,$C$158,'Livro Diario - FC'!$D$11:$D1028,"&gt;=01/10"&amp;$C$7,'Livro Diario - FC'!$D$11:$D1028,"&lt;=31/10"&amp;$C$7)</f>
        <v>0</v>
      </c>
      <c r="AU158" s="273"/>
      <c r="AV158" s="258"/>
      <c r="AW158" s="255">
        <f>SUMIFS('Livro Diario - FC'!$K$11:$K1028,'Livro Diario - FC'!$E$11:$E1028,$C$158,'Livro Diario - FC'!$D$11:$D1028,"&gt;=01/11"&amp;$C$7,'Livro Diario - FC'!$D$11:$D1028,"&lt;=30/11"&amp;$C$7)</f>
        <v>0</v>
      </c>
      <c r="AX158" s="256">
        <f>SUMIFS('Livro Diario - FC'!$M$11:$M1028,'Livro Diario - FC'!$E$11:$E1028,$C$158,'Livro Diario - FC'!$D$11:$D1028,"&gt;=01/11"&amp;$C$7,'Livro Diario - FC'!$D$11:$D1028,"&lt;=30/11"&amp;$C$7)</f>
        <v>0</v>
      </c>
      <c r="AY158" s="273"/>
      <c r="AZ158" s="258"/>
      <c r="BA158" s="255">
        <f>SUMIFS('Livro Diario - FC'!$K$11:$K1028,'Livro Diario - FC'!$E$11:$E1028,$C$158,'Livro Diario - FC'!$D$11:$D1028,"&gt;=01/12"&amp;$C$7,'Livro Diario - FC'!$D$11:$D1028,"&lt;=31/12"&amp;$C$7)</f>
        <v>0</v>
      </c>
      <c r="BB158" s="256">
        <f>SUMIFS('Livro Diario - FC'!$M$11:$M1028,'Livro Diario - FC'!$E$11:$E1028,$C$158,'Livro Diario - FC'!$D$11:$D1028,"&gt;=01/12"&amp;$C$7,'Livro Diario - FC'!$D$11:$D1028,"&lt;=31/12"&amp;$C$7)</f>
        <v>0</v>
      </c>
      <c r="BC158" s="273"/>
      <c r="BD158" s="273"/>
      <c r="BE158" s="267">
        <f t="shared" ref="BE158:BF158" si="259">SUM(D158,I158,N158,S158,X158,AC158,AG158,AK158,AO158,AS158,AW158,BA158)</f>
        <v>0</v>
      </c>
      <c r="BF158" s="268">
        <f t="shared" si="259"/>
        <v>0</v>
      </c>
      <c r="BG158" s="269"/>
      <c r="BH158" s="192"/>
      <c r="BI158" s="270">
        <f>SUMIFS('Livro Diario - FC'!$M$11:$M1028,'Livro Diario - FC'!$E$11:$E1028,C158,'Livro Diario - FC'!$D$11:$D1028,"&gt;="&amp;$BK$8,'Livro Diario - FC'!$D$11:$D1028,"&lt;="&amp;$BK$9)</f>
        <v>0</v>
      </c>
      <c r="BJ158" s="271"/>
      <c r="BK158" s="272"/>
      <c r="BL158" s="1"/>
    </row>
    <row r="159">
      <c r="A159" s="1"/>
      <c r="B159" s="1"/>
      <c r="C159" s="338" t="str">
        <f>'Livro Diario - FC'!AE168</f>
        <v>Charque Desfiada</v>
      </c>
      <c r="D159" s="255">
        <f>SUMIFS('Livro Diario - FC'!$K$11:$K1028,'Livro Diario - FC'!$E$11:$E1028,$C$159,'Livro Diario - FC'!$D$11:$D1028,"&gt;=01/01"&amp;$C$7,'Livro Diario - FC'!$D$11:$D1028,"&lt;=31/01"&amp;$C$7)</f>
        <v>0</v>
      </c>
      <c r="E159" s="256">
        <f>SUMIFS('Livro Diario - FC'!$M$11:$M1028,'Livro Diario - FC'!$E$11:$E1028,$C$159,'Livro Diario - FC'!$D$11:$D1028,"&gt;=01/01"&amp;$C$7,'Livro Diario - FC'!$D$11:$D1028,"&lt;=31/01"&amp;$C$7)</f>
        <v>0</v>
      </c>
      <c r="F159" s="273"/>
      <c r="G159" s="258"/>
      <c r="H159" s="157"/>
      <c r="I159" s="255">
        <f>SUMIFS('Livro Diario - FC'!$K$11:$K1028,'Livro Diario - FC'!$E$11:$E1028,$C$159,'Livro Diario - FC'!$D$11:$D1028,"&gt;=01/02"&amp;$C$7,'Livro Diario - FC'!$D$11:$D1028,"&lt;=29/02"&amp;$C$7)</f>
        <v>0</v>
      </c>
      <c r="J159" s="256">
        <f>SUMIFS('Livro Diario - FC'!$M$11:$M1028,'Livro Diario - FC'!$E$11:$E1028,$C$159,'Livro Diario - FC'!$D$11:$D1028,"&gt;=01/02"&amp;$C$7,'Livro Diario - FC'!$D$11:$D1028,"&lt;=29/02"&amp;$C$7)</f>
        <v>0</v>
      </c>
      <c r="K159" s="273"/>
      <c r="L159" s="258"/>
      <c r="M159" s="259"/>
      <c r="N159" s="255">
        <f>SUMIFS('Livro Diario - FC'!$K$11:$K1028,'Livro Diario - FC'!$E$11:$E1028,$C$159,'Livro Diario - FC'!$D$11:$D1028,"&gt;=01/03"&amp;$C$7,'Livro Diario - FC'!$D$11:$D1028,"&lt;=31/03"&amp;$C$7)</f>
        <v>0</v>
      </c>
      <c r="O159" s="256">
        <f>SUMIFS('Livro Diario - FC'!$M$11:$M1028,'Livro Diario - FC'!$E$11:$E1028,$C$159,'Livro Diario - FC'!$D$11:$D1028,"&gt;=01/03"&amp;$C$7,'Livro Diario - FC'!$D$11:$D1028,"&lt;=31/03"&amp;$C$7)</f>
        <v>0</v>
      </c>
      <c r="P159" s="273"/>
      <c r="Q159" s="258"/>
      <c r="R159" s="259"/>
      <c r="S159" s="255">
        <f>SUMIFS('Livro Diario - FC'!$K$11:$K1028,'Livro Diario - FC'!$E$11:$E1028,$C$159,'Livro Diario - FC'!$D$11:$D1028,"&gt;=01/04"&amp;$C$7,'Livro Diario - FC'!$D$11:$D1028,"&lt;=30/04"&amp;$C$7)</f>
        <v>0</v>
      </c>
      <c r="T159" s="256">
        <f>SUMIFS('Livro Diario - FC'!$M$11:$M1028,'Livro Diario - FC'!$E$11:$E1028,$C$159,'Livro Diario - FC'!$D$11:$D1028,"&gt;=01/04"&amp;$C$7,'Livro Diario - FC'!$D$11:$D1028,"&lt;=30/04"&amp;$C$7)</f>
        <v>0</v>
      </c>
      <c r="U159" s="273"/>
      <c r="V159" s="258"/>
      <c r="W159" s="259"/>
      <c r="X159" s="255">
        <f>SUMIFS('Livro Diario - FC'!$K$11:$K1028,'Livro Diario - FC'!$E$11:$E1028,$C$159,'Livro Diario - FC'!$D$11:$D1028,"&gt;=01/05"&amp;$C$7,'Livro Diario - FC'!$D$11:$D1028,"&lt;=31/05"&amp;$C$7)</f>
        <v>0</v>
      </c>
      <c r="Y159" s="256">
        <f>SUMIFS('Livro Diario - FC'!$M$11:$M1028,'Livro Diario - FC'!$E$11:$E1028,$C$159,'Livro Diario - FC'!$D$11:$D1028,"&gt;=01/05"&amp;$C$7,'Livro Diario - FC'!$D$11:$D1028,"&lt;=31/05"&amp;$C$7)</f>
        <v>0</v>
      </c>
      <c r="Z159" s="273"/>
      <c r="AA159" s="258"/>
      <c r="AB159" s="259"/>
      <c r="AC159" s="255">
        <f>SUMIFS('Livro Diario - FC'!$K$11:$K1028,'Livro Diario - FC'!$E$11:$E1028,$C$159,'Livro Diario - FC'!$D$11:$D1028,"&gt;=01/06"&amp;$C$7,'Livro Diario - FC'!$D$11:$D1028,"&lt;=30/06"&amp;$C$7)</f>
        <v>0</v>
      </c>
      <c r="AD159" s="256">
        <f>SUMIFS('Livro Diario - FC'!$M$11:$M1028,'Livro Diario - FC'!$E$11:$E1028,$C$159,'Livro Diario - FC'!$D$11:$D1028,"&gt;=01/06"&amp;$C$7,'Livro Diario - FC'!$D$11:$D1028,"&lt;=30/06"&amp;$C$7)</f>
        <v>0</v>
      </c>
      <c r="AE159" s="273"/>
      <c r="AF159" s="258"/>
      <c r="AG159" s="255">
        <f>SUMIFS('Livro Diario - FC'!$K$11:$K1028,'Livro Diario - FC'!$E$11:$E1028,$C$159,'Livro Diario - FC'!$D$11:$D1028,"&gt;=01/07"&amp;$C$7,'Livro Diario - FC'!$D$11:$D1028,"&lt;=31/07"&amp;$C$7)</f>
        <v>0</v>
      </c>
      <c r="AH159" s="256">
        <f>SUMIFS('Livro Diario - FC'!$M$11:$M1028,'Livro Diario - FC'!$E$11:$E1028,$C$159,'Livro Diario - FC'!$D$11:$D1028,"&gt;=01/07"&amp;$C$7,'Livro Diario - FC'!$D$11:$D1028,"&lt;=31/07"&amp;$C$7)</f>
        <v>0</v>
      </c>
      <c r="AI159" s="273"/>
      <c r="AJ159" s="258"/>
      <c r="AK159" s="255">
        <f>SUMIFS('Livro Diario - FC'!$K$11:$K1028,'Livro Diario - FC'!$E$11:$E1028,$C$159,'Livro Diario - FC'!$D$11:$D1028,"&gt;=01/08"&amp;$C$7,'Livro Diario - FC'!$D$11:$D1028,"&lt;=31/08"&amp;$C$7)</f>
        <v>0</v>
      </c>
      <c r="AL159" s="256">
        <f>SUMIFS('Livro Diario - FC'!$M$11:$M1028,'Livro Diario - FC'!$E$11:$E1028,$C$159,'Livro Diario - FC'!$D$11:$D1028,"&gt;=01/08"&amp;$C$7,'Livro Diario - FC'!$D$11:$D1028,"&lt;=31/08"&amp;$C$7)</f>
        <v>0</v>
      </c>
      <c r="AM159" s="273"/>
      <c r="AN159" s="258"/>
      <c r="AO159" s="255">
        <f>SUMIFS('Livro Diario - FC'!$K$11:$K1028,'Livro Diario - FC'!$E$11:$E1028,$C$159,'Livro Diario - FC'!$D$11:$D1028,"&gt;=01/09"&amp;$C$7,'Livro Diario - FC'!$D$11:$D1028,"&lt;=30/09"&amp;$C$7)</f>
        <v>0</v>
      </c>
      <c r="AP159" s="256">
        <f>SUMIFS('Livro Diario - FC'!$M$11:$M1028,'Livro Diario - FC'!$E$11:$E1028,$C$159,'Livro Diario - FC'!$D$11:$D1028,"&gt;=01/09"&amp;$C$7,'Livro Diario - FC'!$D$11:$D1028,"&lt;=30/09"&amp;$C$7)</f>
        <v>0</v>
      </c>
      <c r="AQ159" s="273"/>
      <c r="AR159" s="258"/>
      <c r="AS159" s="255">
        <f>SUMIFS('Livro Diario - FC'!$K$11:$K1028,'Livro Diario - FC'!$E$11:$E1028,$C$159,'Livro Diario - FC'!$D$11:$D1028,"&gt;=01/10"&amp;$C$7,'Livro Diario - FC'!$D$11:$D1028,"&lt;=31/10"&amp;$C$7)</f>
        <v>0</v>
      </c>
      <c r="AT159" s="256">
        <f>SUMIFS('Livro Diario - FC'!$M$11:$M1028,'Livro Diario - FC'!$E$11:$E1028,$C$159,'Livro Diario - FC'!$D$11:$D1028,"&gt;=01/10"&amp;$C$7,'Livro Diario - FC'!$D$11:$D1028,"&lt;=31/10"&amp;$C$7)</f>
        <v>0</v>
      </c>
      <c r="AU159" s="273"/>
      <c r="AV159" s="258"/>
      <c r="AW159" s="255">
        <f>SUMIFS('Livro Diario - FC'!$K$11:$K1028,'Livro Diario - FC'!$E$11:$E1028,$C$159,'Livro Diario - FC'!$D$11:$D1028,"&gt;=01/11"&amp;$C$7,'Livro Diario - FC'!$D$11:$D1028,"&lt;=30/11"&amp;$C$7)</f>
        <v>0</v>
      </c>
      <c r="AX159" s="256">
        <f>SUMIFS('Livro Diario - FC'!$M$11:$M1028,'Livro Diario - FC'!$E$11:$E1028,$C$159,'Livro Diario - FC'!$D$11:$D1028,"&gt;=01/11"&amp;$C$7,'Livro Diario - FC'!$D$11:$D1028,"&lt;=30/11"&amp;$C$7)</f>
        <v>0</v>
      </c>
      <c r="AY159" s="273"/>
      <c r="AZ159" s="258"/>
      <c r="BA159" s="255">
        <f>SUMIFS('Livro Diario - FC'!$K$11:$K1028,'Livro Diario - FC'!$E$11:$E1028,$C$159,'Livro Diario - FC'!$D$11:$D1028,"&gt;=01/12"&amp;$C$7,'Livro Diario - FC'!$D$11:$D1028,"&lt;=31/12"&amp;$C$7)</f>
        <v>0</v>
      </c>
      <c r="BB159" s="256">
        <f>SUMIFS('Livro Diario - FC'!$M$11:$M1028,'Livro Diario - FC'!$E$11:$E1028,$C$159,'Livro Diario - FC'!$D$11:$D1028,"&gt;=01/12"&amp;$C$7,'Livro Diario - FC'!$D$11:$D1028,"&lt;=31/12"&amp;$C$7)</f>
        <v>0</v>
      </c>
      <c r="BC159" s="273"/>
      <c r="BD159" s="273"/>
      <c r="BE159" s="267">
        <f t="shared" ref="BE159:BF159" si="260">SUM(D159,I159,N159,S159,X159,AC159,AG159,AK159,AO159,AS159,AW159,BA159)</f>
        <v>0</v>
      </c>
      <c r="BF159" s="268">
        <f t="shared" si="260"/>
        <v>0</v>
      </c>
      <c r="BG159" s="269"/>
      <c r="BH159" s="192"/>
      <c r="BI159" s="270">
        <f>SUMIFS('Livro Diario - FC'!$M$11:$M1028,'Livro Diario - FC'!$E$11:$E1028,C159,'Livro Diario - FC'!$D$11:$D1028,"&gt;="&amp;$BK$8,'Livro Diario - FC'!$D$11:$D1028,"&lt;="&amp;$BK$9)</f>
        <v>0</v>
      </c>
      <c r="BJ159" s="271"/>
      <c r="BK159" s="272"/>
      <c r="BL159" s="1"/>
    </row>
    <row r="160">
      <c r="A160" s="1"/>
      <c r="B160" s="1"/>
      <c r="C160" s="338" t="str">
        <f>'Livro Diario - FC'!AE169</f>
        <v>Calabresa</v>
      </c>
      <c r="D160" s="255">
        <f>SUMIFS('Livro Diario - FC'!$K$11:$K1028,'Livro Diario - FC'!$E$11:$E1028,$C$160,'Livro Diario - FC'!$D$11:$D1028,"&gt;=01/01"&amp;$C$7,'Livro Diario - FC'!$D$11:$D1028,"&lt;=31/01"&amp;$C$7)</f>
        <v>46.49</v>
      </c>
      <c r="E160" s="256">
        <f>SUMIFS('Livro Diario - FC'!$M$11:$M1028,'Livro Diario - FC'!$E$11:$E1028,$C$160,'Livro Diario - FC'!$D$11:$D1028,"&gt;=01/01"&amp;$C$7,'Livro Diario - FC'!$D$11:$D1028,"&lt;=31/01"&amp;$C$7)</f>
        <v>46.49</v>
      </c>
      <c r="F160" s="273"/>
      <c r="G160" s="258"/>
      <c r="H160" s="157"/>
      <c r="I160" s="255">
        <f>SUMIFS('Livro Diario - FC'!$K$11:$K1028,'Livro Diario - FC'!$E$11:$E1028,$C$160,'Livro Diario - FC'!$D$11:$D1028,"&gt;=01/02"&amp;$C$7,'Livro Diario - FC'!$D$11:$D1028,"&lt;=29/02"&amp;$C$7)</f>
        <v>0</v>
      </c>
      <c r="J160" s="256">
        <f>SUMIFS('Livro Diario - FC'!$M$11:$M1028,'Livro Diario - FC'!$E$11:$E1028,$C$160,'Livro Diario - FC'!$D$11:$D1028,"&gt;=01/02"&amp;$C$7,'Livro Diario - FC'!$D$11:$D1028,"&lt;=29/02"&amp;$C$7)</f>
        <v>0</v>
      </c>
      <c r="K160" s="273"/>
      <c r="L160" s="258"/>
      <c r="M160" s="259"/>
      <c r="N160" s="255">
        <f>SUMIFS('Livro Diario - FC'!$K$11:$K1028,'Livro Diario - FC'!$E$11:$E1028,$C$160,'Livro Diario - FC'!$D$11:$D1028,"&gt;=01/03"&amp;$C$7,'Livro Diario - FC'!$D$11:$D1028,"&lt;=31/03"&amp;$C$7)</f>
        <v>0</v>
      </c>
      <c r="O160" s="256">
        <f>SUMIFS('Livro Diario - FC'!$M$11:$M1028,'Livro Diario - FC'!$E$11:$E1028,$C$160,'Livro Diario - FC'!$D$11:$D1028,"&gt;=01/03"&amp;$C$7,'Livro Diario - FC'!$D$11:$D1028,"&lt;=31/03"&amp;$C$7)</f>
        <v>0</v>
      </c>
      <c r="P160" s="273"/>
      <c r="Q160" s="258"/>
      <c r="R160" s="259"/>
      <c r="S160" s="255">
        <f>SUMIFS('Livro Diario - FC'!$K$11:$K1028,'Livro Diario - FC'!$E$11:$E1028,$C$160,'Livro Diario - FC'!$D$11:$D1028,"&gt;=01/04"&amp;$C$7,'Livro Diario - FC'!$D$11:$D1028,"&lt;=30/04"&amp;$C$7)</f>
        <v>0</v>
      </c>
      <c r="T160" s="256">
        <f>SUMIFS('Livro Diario - FC'!$M$11:$M1028,'Livro Diario - FC'!$E$11:$E1028,$C$160,'Livro Diario - FC'!$D$11:$D1028,"&gt;=01/04"&amp;$C$7,'Livro Diario - FC'!$D$11:$D1028,"&lt;=30/04"&amp;$C$7)</f>
        <v>0</v>
      </c>
      <c r="U160" s="273"/>
      <c r="V160" s="258"/>
      <c r="W160" s="259"/>
      <c r="X160" s="255">
        <f>SUMIFS('Livro Diario - FC'!$K$11:$K1028,'Livro Diario - FC'!$E$11:$E1028,$C$160,'Livro Diario - FC'!$D$11:$D1028,"&gt;=01/05"&amp;$C$7,'Livro Diario - FC'!$D$11:$D1028,"&lt;=31/05"&amp;$C$7)</f>
        <v>0</v>
      </c>
      <c r="Y160" s="256">
        <f>SUMIFS('Livro Diario - FC'!$M$11:$M1028,'Livro Diario - FC'!$E$11:$E1028,$C$160,'Livro Diario - FC'!$D$11:$D1028,"&gt;=01/05"&amp;$C$7,'Livro Diario - FC'!$D$11:$D1028,"&lt;=31/05"&amp;$C$7)</f>
        <v>0</v>
      </c>
      <c r="Z160" s="273"/>
      <c r="AA160" s="258"/>
      <c r="AB160" s="259"/>
      <c r="AC160" s="255">
        <f>SUMIFS('Livro Diario - FC'!$K$11:$K1028,'Livro Diario - FC'!$E$11:$E1028,$C$160,'Livro Diario - FC'!$D$11:$D1028,"&gt;=01/06"&amp;$C$7,'Livro Diario - FC'!$D$11:$D1028,"&lt;=30/06"&amp;$C$7)</f>
        <v>0</v>
      </c>
      <c r="AD160" s="256">
        <f>SUMIFS('Livro Diario - FC'!$M$11:$M1028,'Livro Diario - FC'!$E$11:$E1028,$C$160,'Livro Diario - FC'!$D$11:$D1028,"&gt;=01/06"&amp;$C$7,'Livro Diario - FC'!$D$11:$D1028,"&lt;=30/06"&amp;$C$7)</f>
        <v>0</v>
      </c>
      <c r="AE160" s="273"/>
      <c r="AF160" s="258"/>
      <c r="AG160" s="255">
        <f>SUMIFS('Livro Diario - FC'!$K$11:$K1028,'Livro Diario - FC'!$E$11:$E1028,$C$160,'Livro Diario - FC'!$D$11:$D1028,"&gt;=01/07"&amp;$C$7,'Livro Diario - FC'!$D$11:$D1028,"&lt;=31/07"&amp;$C$7)</f>
        <v>0</v>
      </c>
      <c r="AH160" s="256">
        <f>SUMIFS('Livro Diario - FC'!$M$11:$M1028,'Livro Diario - FC'!$E$11:$E1028,$C$160,'Livro Diario - FC'!$D$11:$D1028,"&gt;=01/07"&amp;$C$7,'Livro Diario - FC'!$D$11:$D1028,"&lt;=31/07"&amp;$C$7)</f>
        <v>0</v>
      </c>
      <c r="AI160" s="273"/>
      <c r="AJ160" s="258"/>
      <c r="AK160" s="255">
        <f>SUMIFS('Livro Diario - FC'!$K$11:$K1028,'Livro Diario - FC'!$E$11:$E1028,$C$160,'Livro Diario - FC'!$D$11:$D1028,"&gt;=01/08"&amp;$C$7,'Livro Diario - FC'!$D$11:$D1028,"&lt;=31/08"&amp;$C$7)</f>
        <v>0</v>
      </c>
      <c r="AL160" s="256">
        <f>SUMIFS('Livro Diario - FC'!$M$11:$M1028,'Livro Diario - FC'!$E$11:$E1028,$C$160,'Livro Diario - FC'!$D$11:$D1028,"&gt;=01/08"&amp;$C$7,'Livro Diario - FC'!$D$11:$D1028,"&lt;=31/08"&amp;$C$7)</f>
        <v>0</v>
      </c>
      <c r="AM160" s="273"/>
      <c r="AN160" s="258"/>
      <c r="AO160" s="255">
        <f>SUMIFS('Livro Diario - FC'!$K$11:$K1028,'Livro Diario - FC'!$E$11:$E1028,$C$160,'Livro Diario - FC'!$D$11:$D1028,"&gt;=01/09"&amp;$C$7,'Livro Diario - FC'!$D$11:$D1028,"&lt;=30/09"&amp;$C$7)</f>
        <v>0</v>
      </c>
      <c r="AP160" s="256">
        <f>SUMIFS('Livro Diario - FC'!$M$11:$M1028,'Livro Diario - FC'!$E$11:$E1028,$C$160,'Livro Diario - FC'!$D$11:$D1028,"&gt;=01/09"&amp;$C$7,'Livro Diario - FC'!$D$11:$D1028,"&lt;=30/09"&amp;$C$7)</f>
        <v>0</v>
      </c>
      <c r="AQ160" s="273"/>
      <c r="AR160" s="258"/>
      <c r="AS160" s="255">
        <f>SUMIFS('Livro Diario - FC'!$K$11:$K1028,'Livro Diario - FC'!$E$11:$E1028,$C$160,'Livro Diario - FC'!$D$11:$D1028,"&gt;=01/10"&amp;$C$7,'Livro Diario - FC'!$D$11:$D1028,"&lt;=31/10"&amp;$C$7)</f>
        <v>0</v>
      </c>
      <c r="AT160" s="256">
        <f>SUMIFS('Livro Diario - FC'!$M$11:$M1028,'Livro Diario - FC'!$E$11:$E1028,$C$160,'Livro Diario - FC'!$D$11:$D1028,"&gt;=01/10"&amp;$C$7,'Livro Diario - FC'!$D$11:$D1028,"&lt;=31/10"&amp;$C$7)</f>
        <v>0</v>
      </c>
      <c r="AU160" s="273"/>
      <c r="AV160" s="258"/>
      <c r="AW160" s="255">
        <f>SUMIFS('Livro Diario - FC'!$K$11:$K1028,'Livro Diario - FC'!$E$11:$E1028,$C$160,'Livro Diario - FC'!$D$11:$D1028,"&gt;=01/11"&amp;$C$7,'Livro Diario - FC'!$D$11:$D1028,"&lt;=30/11"&amp;$C$7)</f>
        <v>0</v>
      </c>
      <c r="AX160" s="256">
        <f>SUMIFS('Livro Diario - FC'!$M$11:$M1028,'Livro Diario - FC'!$E$11:$E1028,$C$160,'Livro Diario - FC'!$D$11:$D1028,"&gt;=01/11"&amp;$C$7,'Livro Diario - FC'!$D$11:$D1028,"&lt;=30/11"&amp;$C$7)</f>
        <v>0</v>
      </c>
      <c r="AY160" s="273"/>
      <c r="AZ160" s="258"/>
      <c r="BA160" s="255">
        <f>SUMIFS('Livro Diario - FC'!$K$11:$K1028,'Livro Diario - FC'!$E$11:$E1028,$C$160,'Livro Diario - FC'!$D$11:$D1028,"&gt;=01/12"&amp;$C$7,'Livro Diario - FC'!$D$11:$D1028,"&lt;=31/12"&amp;$C$7)</f>
        <v>0</v>
      </c>
      <c r="BB160" s="256">
        <f>SUMIFS('Livro Diario - FC'!$M$11:$M1028,'Livro Diario - FC'!$E$11:$E1028,$C$160,'Livro Diario - FC'!$D$11:$D1028,"&gt;=01/12"&amp;$C$7,'Livro Diario - FC'!$D$11:$D1028,"&lt;=31/12"&amp;$C$7)</f>
        <v>0</v>
      </c>
      <c r="BC160" s="273"/>
      <c r="BD160" s="273"/>
      <c r="BE160" s="267">
        <f t="shared" ref="BE160:BF160" si="261">SUM(D160,I160,N160,S160,X160,AC160,AG160,AK160,AO160,AS160,AW160,BA160)</f>
        <v>46.49</v>
      </c>
      <c r="BF160" s="268">
        <f t="shared" si="261"/>
        <v>46.49</v>
      </c>
      <c r="BG160" s="269"/>
      <c r="BH160" s="192"/>
      <c r="BI160" s="270">
        <f>SUMIFS('Livro Diario - FC'!$M$11:$M1028,'Livro Diario - FC'!$E$11:$E1028,C160,'Livro Diario - FC'!$D$11:$D1028,"&gt;="&amp;$BK$8,'Livro Diario - FC'!$D$11:$D1028,"&lt;="&amp;$BK$9)</f>
        <v>0</v>
      </c>
      <c r="BJ160" s="271"/>
      <c r="BK160" s="272"/>
      <c r="BL160" s="1"/>
    </row>
    <row r="161">
      <c r="A161" s="1"/>
      <c r="B161" s="1"/>
      <c r="C161" s="338" t="str">
        <f>'Livro Diario - FC'!AE170</f>
        <v>Marisco</v>
      </c>
      <c r="D161" s="255">
        <f>SUMIFS('Livro Diario - FC'!$K$11:$K1028,'Livro Diario - FC'!$E$11:$E1028,$C$161,'Livro Diario - FC'!$D$11:$D1028,"&gt;=01/01"&amp;$C$7,'Livro Diario - FC'!$D$11:$D1028,"&lt;=31/01"&amp;$C$7)</f>
        <v>0</v>
      </c>
      <c r="E161" s="256">
        <f>SUMIFS('Livro Diario - FC'!$M$11:$M1028,'Livro Diario - FC'!$E$11:$E1028,$C$161,'Livro Diario - FC'!$D$11:$D1028,"&gt;=01/01"&amp;$C$7,'Livro Diario - FC'!$D$11:$D1028,"&lt;=31/01"&amp;$C$7)</f>
        <v>0</v>
      </c>
      <c r="F161" s="273"/>
      <c r="G161" s="258"/>
      <c r="H161" s="157"/>
      <c r="I161" s="255">
        <f>SUMIFS('Livro Diario - FC'!$K$11:$K1028,'Livro Diario - FC'!$E$11:$E1028,$C$161,'Livro Diario - FC'!$D$11:$D1028,"&gt;=01/02"&amp;$C$7,'Livro Diario - FC'!$D$11:$D1028,"&lt;=29/02"&amp;$C$7)</f>
        <v>0</v>
      </c>
      <c r="J161" s="256">
        <f>SUMIFS('Livro Diario - FC'!$M$11:$M1028,'Livro Diario - FC'!$E$11:$E1028,$C$161,'Livro Diario - FC'!$D$11:$D1028,"&gt;=01/02"&amp;$C$7,'Livro Diario - FC'!$D$11:$D1028,"&lt;=29/02"&amp;$C$7)</f>
        <v>0</v>
      </c>
      <c r="K161" s="273"/>
      <c r="L161" s="258"/>
      <c r="M161" s="259"/>
      <c r="N161" s="255">
        <f>SUMIFS('Livro Diario - FC'!$K$11:$K1028,'Livro Diario - FC'!$E$11:$E1028,$C$161,'Livro Diario - FC'!$D$11:$D1028,"&gt;=01/03"&amp;$C$7,'Livro Diario - FC'!$D$11:$D1028,"&lt;=31/03"&amp;$C$7)</f>
        <v>0</v>
      </c>
      <c r="O161" s="256">
        <f>SUMIFS('Livro Diario - FC'!$M$11:$M1028,'Livro Diario - FC'!$E$11:$E1028,$C$161,'Livro Diario - FC'!$D$11:$D1028,"&gt;=01/03"&amp;$C$7,'Livro Diario - FC'!$D$11:$D1028,"&lt;=31/03"&amp;$C$7)</f>
        <v>0</v>
      </c>
      <c r="P161" s="273"/>
      <c r="Q161" s="258"/>
      <c r="R161" s="259"/>
      <c r="S161" s="255">
        <f>SUMIFS('Livro Diario - FC'!$K$11:$K1028,'Livro Diario - FC'!$E$11:$E1028,$C$161,'Livro Diario - FC'!$D$11:$D1028,"&gt;=01/04"&amp;$C$7,'Livro Diario - FC'!$D$11:$D1028,"&lt;=30/04"&amp;$C$7)</f>
        <v>0</v>
      </c>
      <c r="T161" s="256">
        <f>SUMIFS('Livro Diario - FC'!$M$11:$M1028,'Livro Diario - FC'!$E$11:$E1028,$C$161,'Livro Diario - FC'!$D$11:$D1028,"&gt;=01/04"&amp;$C$7,'Livro Diario - FC'!$D$11:$D1028,"&lt;=30/04"&amp;$C$7)</f>
        <v>0</v>
      </c>
      <c r="U161" s="273"/>
      <c r="V161" s="258"/>
      <c r="W161" s="259"/>
      <c r="X161" s="255">
        <f>SUMIFS('Livro Diario - FC'!$K$11:$K1028,'Livro Diario - FC'!$E$11:$E1028,$C$161,'Livro Diario - FC'!$D$11:$D1028,"&gt;=01/05"&amp;$C$7,'Livro Diario - FC'!$D$11:$D1028,"&lt;=31/05"&amp;$C$7)</f>
        <v>0</v>
      </c>
      <c r="Y161" s="256">
        <f>SUMIFS('Livro Diario - FC'!$M$11:$M1028,'Livro Diario - FC'!$E$11:$E1028,$C$161,'Livro Diario - FC'!$D$11:$D1028,"&gt;=01/05"&amp;$C$7,'Livro Diario - FC'!$D$11:$D1028,"&lt;=31/05"&amp;$C$7)</f>
        <v>0</v>
      </c>
      <c r="Z161" s="273"/>
      <c r="AA161" s="258"/>
      <c r="AB161" s="259"/>
      <c r="AC161" s="255">
        <f>SUMIFS('Livro Diario - FC'!$K$11:$K1028,'Livro Diario - FC'!$E$11:$E1028,$C$161,'Livro Diario - FC'!$D$11:$D1028,"&gt;=01/06"&amp;$C$7,'Livro Diario - FC'!$D$11:$D1028,"&lt;=30/06"&amp;$C$7)</f>
        <v>0</v>
      </c>
      <c r="AD161" s="256">
        <f>SUMIFS('Livro Diario - FC'!$M$11:$M1028,'Livro Diario - FC'!$E$11:$E1028,$C$161,'Livro Diario - FC'!$D$11:$D1028,"&gt;=01/06"&amp;$C$7,'Livro Diario - FC'!$D$11:$D1028,"&lt;=30/06"&amp;$C$7)</f>
        <v>0</v>
      </c>
      <c r="AE161" s="273"/>
      <c r="AF161" s="258"/>
      <c r="AG161" s="255">
        <f>SUMIFS('Livro Diario - FC'!$K$11:$K1028,'Livro Diario - FC'!$E$11:$E1028,$C$161,'Livro Diario - FC'!$D$11:$D1028,"&gt;=01/07"&amp;$C$7,'Livro Diario - FC'!$D$11:$D1028,"&lt;=31/07"&amp;$C$7)</f>
        <v>0</v>
      </c>
      <c r="AH161" s="256">
        <f>SUMIFS('Livro Diario - FC'!$M$11:$M1028,'Livro Diario - FC'!$E$11:$E1028,$C$161,'Livro Diario - FC'!$D$11:$D1028,"&gt;=01/07"&amp;$C$7,'Livro Diario - FC'!$D$11:$D1028,"&lt;=31/07"&amp;$C$7)</f>
        <v>0</v>
      </c>
      <c r="AI161" s="273"/>
      <c r="AJ161" s="258"/>
      <c r="AK161" s="255">
        <f>SUMIFS('Livro Diario - FC'!$K$11:$K1028,'Livro Diario - FC'!$E$11:$E1028,$C$161,'Livro Diario - FC'!$D$11:$D1028,"&gt;=01/08"&amp;$C$7,'Livro Diario - FC'!$D$11:$D1028,"&lt;=31/08"&amp;$C$7)</f>
        <v>0</v>
      </c>
      <c r="AL161" s="256">
        <f>SUMIFS('Livro Diario - FC'!$M$11:$M1028,'Livro Diario - FC'!$E$11:$E1028,$C$161,'Livro Diario - FC'!$D$11:$D1028,"&gt;=01/08"&amp;$C$7,'Livro Diario - FC'!$D$11:$D1028,"&lt;=31/08"&amp;$C$7)</f>
        <v>0</v>
      </c>
      <c r="AM161" s="273"/>
      <c r="AN161" s="258"/>
      <c r="AO161" s="255">
        <f>SUMIFS('Livro Diario - FC'!$K$11:$K1028,'Livro Diario - FC'!$E$11:$E1028,$C$161,'Livro Diario - FC'!$D$11:$D1028,"&gt;=01/09"&amp;$C$7,'Livro Diario - FC'!$D$11:$D1028,"&lt;=30/09"&amp;$C$7)</f>
        <v>0</v>
      </c>
      <c r="AP161" s="256">
        <f>SUMIFS('Livro Diario - FC'!$M$11:$M1028,'Livro Diario - FC'!$E$11:$E1028,$C$161,'Livro Diario - FC'!$D$11:$D1028,"&gt;=01/09"&amp;$C$7,'Livro Diario - FC'!$D$11:$D1028,"&lt;=30/09"&amp;$C$7)</f>
        <v>0</v>
      </c>
      <c r="AQ161" s="273"/>
      <c r="AR161" s="258"/>
      <c r="AS161" s="255">
        <f>SUMIFS('Livro Diario - FC'!$K$11:$K1028,'Livro Diario - FC'!$E$11:$E1028,$C$161,'Livro Diario - FC'!$D$11:$D1028,"&gt;=01/10"&amp;$C$7,'Livro Diario - FC'!$D$11:$D1028,"&lt;=31/10"&amp;$C$7)</f>
        <v>0</v>
      </c>
      <c r="AT161" s="256">
        <f>SUMIFS('Livro Diario - FC'!$M$11:$M1028,'Livro Diario - FC'!$E$11:$E1028,$C$161,'Livro Diario - FC'!$D$11:$D1028,"&gt;=01/10"&amp;$C$7,'Livro Diario - FC'!$D$11:$D1028,"&lt;=31/10"&amp;$C$7)</f>
        <v>0</v>
      </c>
      <c r="AU161" s="273"/>
      <c r="AV161" s="258"/>
      <c r="AW161" s="255">
        <f>SUMIFS('Livro Diario - FC'!$K$11:$K1028,'Livro Diario - FC'!$E$11:$E1028,$C$161,'Livro Diario - FC'!$D$11:$D1028,"&gt;=01/11"&amp;$C$7,'Livro Diario - FC'!$D$11:$D1028,"&lt;=30/11"&amp;$C$7)</f>
        <v>0</v>
      </c>
      <c r="AX161" s="256">
        <f>SUMIFS('Livro Diario - FC'!$M$11:$M1028,'Livro Diario - FC'!$E$11:$E1028,$C$161,'Livro Diario - FC'!$D$11:$D1028,"&gt;=01/11"&amp;$C$7,'Livro Diario - FC'!$D$11:$D1028,"&lt;=30/11"&amp;$C$7)</f>
        <v>0</v>
      </c>
      <c r="AY161" s="273"/>
      <c r="AZ161" s="258"/>
      <c r="BA161" s="255">
        <f>SUMIFS('Livro Diario - FC'!$K$11:$K1028,'Livro Diario - FC'!$E$11:$E1028,$C$161,'Livro Diario - FC'!$D$11:$D1028,"&gt;=01/12"&amp;$C$7,'Livro Diario - FC'!$D$11:$D1028,"&lt;=31/12"&amp;$C$7)</f>
        <v>0</v>
      </c>
      <c r="BB161" s="256">
        <f>SUMIFS('Livro Diario - FC'!$M$11:$M1028,'Livro Diario - FC'!$E$11:$E1028,$C$161,'Livro Diario - FC'!$D$11:$D1028,"&gt;=01/12"&amp;$C$7,'Livro Diario - FC'!$D$11:$D1028,"&lt;=31/12"&amp;$C$7)</f>
        <v>0</v>
      </c>
      <c r="BC161" s="273"/>
      <c r="BD161" s="273"/>
      <c r="BE161" s="267">
        <f t="shared" ref="BE161:BF161" si="262">SUM(D161,I161,N161,S161,X161,AC161,AG161,AK161,AO161,AS161,AW161,BA161)</f>
        <v>0</v>
      </c>
      <c r="BF161" s="268">
        <f t="shared" si="262"/>
        <v>0</v>
      </c>
      <c r="BG161" s="269"/>
      <c r="BH161" s="192"/>
      <c r="BI161" s="270">
        <f>SUMIFS('Livro Diario - FC'!$M$11:$M1028,'Livro Diario - FC'!$E$11:$E1028,C161,'Livro Diario - FC'!$D$11:$D1028,"&gt;="&amp;$BK$8,'Livro Diario - FC'!$D$11:$D1028,"&lt;="&amp;$BK$9)</f>
        <v>0</v>
      </c>
      <c r="BJ161" s="271"/>
      <c r="BK161" s="272"/>
      <c r="BL161" s="1"/>
    </row>
    <row r="162">
      <c r="A162" s="1"/>
      <c r="B162" s="1"/>
      <c r="C162" s="338" t="str">
        <f>'Livro Diario - FC'!AE171</f>
        <v>Sururu</v>
      </c>
      <c r="D162" s="255">
        <f>SUMIFS('Livro Diario - FC'!$K$11:$K1028,'Livro Diario - FC'!$E$11:$E1028,$C$162,'Livro Diario - FC'!$D$11:$D1028,"&gt;=01/01"&amp;$C$7,'Livro Diario - FC'!$D$11:$D1028,"&lt;=31/01"&amp;$C$7)</f>
        <v>0</v>
      </c>
      <c r="E162" s="256">
        <f>SUMIFS('Livro Diario - FC'!$M$11:$M1028,'Livro Diario - FC'!$E$11:$E1028,$C$162,'Livro Diario - FC'!$D$11:$D1028,"&gt;=01/01"&amp;$C$7,'Livro Diario - FC'!$D$11:$D1028,"&lt;=31/01"&amp;$C$7)</f>
        <v>0</v>
      </c>
      <c r="F162" s="273"/>
      <c r="G162" s="258"/>
      <c r="H162" s="157"/>
      <c r="I162" s="255">
        <f>SUMIFS('Livro Diario - FC'!$K$11:$K1028,'Livro Diario - FC'!$E$11:$E1028,$C$162,'Livro Diario - FC'!$D$11:$D1028,"&gt;=01/02"&amp;$C$7,'Livro Diario - FC'!$D$11:$D1028,"&lt;=29/02"&amp;$C$7)</f>
        <v>0</v>
      </c>
      <c r="J162" s="256">
        <f>SUMIFS('Livro Diario - FC'!$M$11:$M1028,'Livro Diario - FC'!$E$11:$E1028,$C$162,'Livro Diario - FC'!$D$11:$D1028,"&gt;=01/02"&amp;$C$7,'Livro Diario - FC'!$D$11:$D1028,"&lt;=29/02"&amp;$C$7)</f>
        <v>0</v>
      </c>
      <c r="K162" s="273"/>
      <c r="L162" s="258"/>
      <c r="M162" s="259"/>
      <c r="N162" s="255">
        <f>SUMIFS('Livro Diario - FC'!$K$11:$K1028,'Livro Diario - FC'!$E$11:$E1028,$C$162,'Livro Diario - FC'!$D$11:$D1028,"&gt;=01/03"&amp;$C$7,'Livro Diario - FC'!$D$11:$D1028,"&lt;=31/03"&amp;$C$7)</f>
        <v>0</v>
      </c>
      <c r="O162" s="256">
        <f>SUMIFS('Livro Diario - FC'!$M$11:$M1028,'Livro Diario - FC'!$E$11:$E1028,$C$162,'Livro Diario - FC'!$D$11:$D1028,"&gt;=01/03"&amp;$C$7,'Livro Diario - FC'!$D$11:$D1028,"&lt;=31/03"&amp;$C$7)</f>
        <v>0</v>
      </c>
      <c r="P162" s="273"/>
      <c r="Q162" s="258"/>
      <c r="R162" s="259"/>
      <c r="S162" s="255">
        <f>SUMIFS('Livro Diario - FC'!$K$11:$K1028,'Livro Diario - FC'!$E$11:$E1028,$C$162,'Livro Diario - FC'!$D$11:$D1028,"&gt;=01/04"&amp;$C$7,'Livro Diario - FC'!$D$11:$D1028,"&lt;=30/04"&amp;$C$7)</f>
        <v>0</v>
      </c>
      <c r="T162" s="256">
        <f>SUMIFS('Livro Diario - FC'!$M$11:$M1028,'Livro Diario - FC'!$E$11:$E1028,$C$162,'Livro Diario - FC'!$D$11:$D1028,"&gt;=01/04"&amp;$C$7,'Livro Diario - FC'!$D$11:$D1028,"&lt;=30/04"&amp;$C$7)</f>
        <v>0</v>
      </c>
      <c r="U162" s="273"/>
      <c r="V162" s="258"/>
      <c r="W162" s="259"/>
      <c r="X162" s="255">
        <f>SUMIFS('Livro Diario - FC'!$K$11:$K1028,'Livro Diario - FC'!$E$11:$E1028,$C$162,'Livro Diario - FC'!$D$11:$D1028,"&gt;=01/05"&amp;$C$7,'Livro Diario - FC'!$D$11:$D1028,"&lt;=31/05"&amp;$C$7)</f>
        <v>0</v>
      </c>
      <c r="Y162" s="256">
        <f>SUMIFS('Livro Diario - FC'!$M$11:$M1028,'Livro Diario - FC'!$E$11:$E1028,$C$162,'Livro Diario - FC'!$D$11:$D1028,"&gt;=01/05"&amp;$C$7,'Livro Diario - FC'!$D$11:$D1028,"&lt;=31/05"&amp;$C$7)</f>
        <v>0</v>
      </c>
      <c r="Z162" s="273"/>
      <c r="AA162" s="258"/>
      <c r="AB162" s="259"/>
      <c r="AC162" s="255">
        <f>SUMIFS('Livro Diario - FC'!$K$11:$K1028,'Livro Diario - FC'!$E$11:$E1028,$C$162,'Livro Diario - FC'!$D$11:$D1028,"&gt;=01/06"&amp;$C$7,'Livro Diario - FC'!$D$11:$D1028,"&lt;=30/06"&amp;$C$7)</f>
        <v>0</v>
      </c>
      <c r="AD162" s="256">
        <f>SUMIFS('Livro Diario - FC'!$M$11:$M1028,'Livro Diario - FC'!$E$11:$E1028,$C$162,'Livro Diario - FC'!$D$11:$D1028,"&gt;=01/06"&amp;$C$7,'Livro Diario - FC'!$D$11:$D1028,"&lt;=30/06"&amp;$C$7)</f>
        <v>0</v>
      </c>
      <c r="AE162" s="273"/>
      <c r="AF162" s="258"/>
      <c r="AG162" s="255">
        <f>SUMIFS('Livro Diario - FC'!$K$11:$K1028,'Livro Diario - FC'!$E$11:$E1028,$C$162,'Livro Diario - FC'!$D$11:$D1028,"&gt;=01/07"&amp;$C$7,'Livro Diario - FC'!$D$11:$D1028,"&lt;=31/07"&amp;$C$7)</f>
        <v>0</v>
      </c>
      <c r="AH162" s="256">
        <f>SUMIFS('Livro Diario - FC'!$M$11:$M1028,'Livro Diario - FC'!$E$11:$E1028,$C$162,'Livro Diario - FC'!$D$11:$D1028,"&gt;=01/07"&amp;$C$7,'Livro Diario - FC'!$D$11:$D1028,"&lt;=31/07"&amp;$C$7)</f>
        <v>0</v>
      </c>
      <c r="AI162" s="273"/>
      <c r="AJ162" s="258"/>
      <c r="AK162" s="255">
        <f>SUMIFS('Livro Diario - FC'!$K$11:$K1028,'Livro Diario - FC'!$E$11:$E1028,$C$162,'Livro Diario - FC'!$D$11:$D1028,"&gt;=01/08"&amp;$C$7,'Livro Diario - FC'!$D$11:$D1028,"&lt;=31/08"&amp;$C$7)</f>
        <v>0</v>
      </c>
      <c r="AL162" s="256">
        <f>SUMIFS('Livro Diario - FC'!$M$11:$M1028,'Livro Diario - FC'!$E$11:$E1028,$C$162,'Livro Diario - FC'!$D$11:$D1028,"&gt;=01/08"&amp;$C$7,'Livro Diario - FC'!$D$11:$D1028,"&lt;=31/08"&amp;$C$7)</f>
        <v>0</v>
      </c>
      <c r="AM162" s="273"/>
      <c r="AN162" s="258"/>
      <c r="AO162" s="255">
        <f>SUMIFS('Livro Diario - FC'!$K$11:$K1028,'Livro Diario - FC'!$E$11:$E1028,$C$162,'Livro Diario - FC'!$D$11:$D1028,"&gt;=01/09"&amp;$C$7,'Livro Diario - FC'!$D$11:$D1028,"&lt;=30/09"&amp;$C$7)</f>
        <v>0</v>
      </c>
      <c r="AP162" s="256">
        <f>SUMIFS('Livro Diario - FC'!$M$11:$M1028,'Livro Diario - FC'!$E$11:$E1028,$C$162,'Livro Diario - FC'!$D$11:$D1028,"&gt;=01/09"&amp;$C$7,'Livro Diario - FC'!$D$11:$D1028,"&lt;=30/09"&amp;$C$7)</f>
        <v>0</v>
      </c>
      <c r="AQ162" s="273"/>
      <c r="AR162" s="258"/>
      <c r="AS162" s="255">
        <f>SUMIFS('Livro Diario - FC'!$K$11:$K1028,'Livro Diario - FC'!$E$11:$E1028,$C$162,'Livro Diario - FC'!$D$11:$D1028,"&gt;=01/10"&amp;$C$7,'Livro Diario - FC'!$D$11:$D1028,"&lt;=31/10"&amp;$C$7)</f>
        <v>0</v>
      </c>
      <c r="AT162" s="256">
        <f>SUMIFS('Livro Diario - FC'!$M$11:$M1028,'Livro Diario - FC'!$E$11:$E1028,$C$162,'Livro Diario - FC'!$D$11:$D1028,"&gt;=01/10"&amp;$C$7,'Livro Diario - FC'!$D$11:$D1028,"&lt;=31/10"&amp;$C$7)</f>
        <v>0</v>
      </c>
      <c r="AU162" s="273"/>
      <c r="AV162" s="258"/>
      <c r="AW162" s="255">
        <f>SUMIFS('Livro Diario - FC'!$K$11:$K1028,'Livro Diario - FC'!$E$11:$E1028,$C$162,'Livro Diario - FC'!$D$11:$D1028,"&gt;=01/11"&amp;$C$7,'Livro Diario - FC'!$D$11:$D1028,"&lt;=30/11"&amp;$C$7)</f>
        <v>0</v>
      </c>
      <c r="AX162" s="256">
        <f>SUMIFS('Livro Diario - FC'!$M$11:$M1028,'Livro Diario - FC'!$E$11:$E1028,$C$162,'Livro Diario - FC'!$D$11:$D1028,"&gt;=01/11"&amp;$C$7,'Livro Diario - FC'!$D$11:$D1028,"&lt;=30/11"&amp;$C$7)</f>
        <v>0</v>
      </c>
      <c r="AY162" s="273"/>
      <c r="AZ162" s="258"/>
      <c r="BA162" s="255">
        <f>SUMIFS('Livro Diario - FC'!$K$11:$K1028,'Livro Diario - FC'!$E$11:$E1028,$C$162,'Livro Diario - FC'!$D$11:$D1028,"&gt;=01/12"&amp;$C$7,'Livro Diario - FC'!$D$11:$D1028,"&lt;=31/12"&amp;$C$7)</f>
        <v>0</v>
      </c>
      <c r="BB162" s="256">
        <f>SUMIFS('Livro Diario - FC'!$M$11:$M1028,'Livro Diario - FC'!$E$11:$E1028,$C$162,'Livro Diario - FC'!$D$11:$D1028,"&gt;=01/12"&amp;$C$7,'Livro Diario - FC'!$D$11:$D1028,"&lt;=31/12"&amp;$C$7)</f>
        <v>0</v>
      </c>
      <c r="BC162" s="273"/>
      <c r="BD162" s="273"/>
      <c r="BE162" s="267">
        <f t="shared" ref="BE162:BF162" si="263">SUM(D162,I162,N162,S162,X162,AC162,AG162,AK162,AO162,AS162,AW162,BA162)</f>
        <v>0</v>
      </c>
      <c r="BF162" s="268">
        <f t="shared" si="263"/>
        <v>0</v>
      </c>
      <c r="BG162" s="269"/>
      <c r="BH162" s="192"/>
      <c r="BI162" s="270">
        <f>SUMIFS('Livro Diario - FC'!$M$11:$M1028,'Livro Diario - FC'!$E$11:$E1028,C162,'Livro Diario - FC'!$D$11:$D1028,"&gt;="&amp;$BK$8,'Livro Diario - FC'!$D$11:$D1028,"&lt;="&amp;$BK$9)</f>
        <v>0</v>
      </c>
      <c r="BJ162" s="271"/>
      <c r="BK162" s="272"/>
      <c r="BL162" s="1"/>
    </row>
    <row r="163">
      <c r="A163" s="1"/>
      <c r="B163" s="1"/>
      <c r="C163" s="338" t="str">
        <f>'Livro Diario - FC'!AE172</f>
        <v>Peixe Corvina</v>
      </c>
      <c r="D163" s="255">
        <f>SUMIFS('Livro Diario - FC'!$K$11:$K1028,'Livro Diario - FC'!$E$11:$E1028,$C$163,'Livro Diario - FC'!$D$11:$D1028,"&gt;=01/01"&amp;$C$7,'Livro Diario - FC'!$D$11:$D1028,"&lt;=31/01"&amp;$C$7)</f>
        <v>100</v>
      </c>
      <c r="E163" s="256">
        <f>SUMIFS('Livro Diario - FC'!$M$11:$M1028,'Livro Diario - FC'!$E$11:$E1028,$C$163,'Livro Diario - FC'!$D$11:$D1028,"&gt;=01/01"&amp;$C$7,'Livro Diario - FC'!$D$11:$D1028,"&lt;=31/01"&amp;$C$7)</f>
        <v>100</v>
      </c>
      <c r="F163" s="273"/>
      <c r="G163" s="258"/>
      <c r="H163" s="157"/>
      <c r="I163" s="255">
        <f>SUMIFS('Livro Diario - FC'!$K$11:$K1028,'Livro Diario - FC'!$E$11:$E1028,$C$163,'Livro Diario - FC'!$D$11:$D1028,"&gt;=01/02"&amp;$C$7,'Livro Diario - FC'!$D$11:$D1028,"&lt;=29/02"&amp;$C$7)</f>
        <v>0</v>
      </c>
      <c r="J163" s="256">
        <f>SUMIFS('Livro Diario - FC'!$M$11:$M1028,'Livro Diario - FC'!$E$11:$E1028,$C$163,'Livro Diario - FC'!$D$11:$D1028,"&gt;=01/02"&amp;$C$7,'Livro Diario - FC'!$D$11:$D1028,"&lt;=29/02"&amp;$C$7)</f>
        <v>0</v>
      </c>
      <c r="K163" s="273"/>
      <c r="L163" s="258"/>
      <c r="M163" s="259"/>
      <c r="N163" s="255">
        <f>SUMIFS('Livro Diario - FC'!$K$11:$K1028,'Livro Diario - FC'!$E$11:$E1028,$C$163,'Livro Diario - FC'!$D$11:$D1028,"&gt;=01/03"&amp;$C$7,'Livro Diario - FC'!$D$11:$D1028,"&lt;=31/03"&amp;$C$7)</f>
        <v>0</v>
      </c>
      <c r="O163" s="256">
        <f>SUMIFS('Livro Diario - FC'!$M$11:$M1028,'Livro Diario - FC'!$E$11:$E1028,$C$163,'Livro Diario - FC'!$D$11:$D1028,"&gt;=01/03"&amp;$C$7,'Livro Diario - FC'!$D$11:$D1028,"&lt;=31/03"&amp;$C$7)</f>
        <v>0</v>
      </c>
      <c r="P163" s="273"/>
      <c r="Q163" s="258"/>
      <c r="R163" s="259"/>
      <c r="S163" s="255">
        <f>SUMIFS('Livro Diario - FC'!$K$11:$K1028,'Livro Diario - FC'!$E$11:$E1028,$C$163,'Livro Diario - FC'!$D$11:$D1028,"&gt;=01/04"&amp;$C$7,'Livro Diario - FC'!$D$11:$D1028,"&lt;=30/04"&amp;$C$7)</f>
        <v>0</v>
      </c>
      <c r="T163" s="256">
        <f>SUMIFS('Livro Diario - FC'!$M$11:$M1028,'Livro Diario - FC'!$E$11:$E1028,$C$163,'Livro Diario - FC'!$D$11:$D1028,"&gt;=01/04"&amp;$C$7,'Livro Diario - FC'!$D$11:$D1028,"&lt;=30/04"&amp;$C$7)</f>
        <v>0</v>
      </c>
      <c r="U163" s="273"/>
      <c r="V163" s="258"/>
      <c r="W163" s="259"/>
      <c r="X163" s="255">
        <f>SUMIFS('Livro Diario - FC'!$K$11:$K1028,'Livro Diario - FC'!$E$11:$E1028,$C$163,'Livro Diario - FC'!$D$11:$D1028,"&gt;=01/05"&amp;$C$7,'Livro Diario - FC'!$D$11:$D1028,"&lt;=31/05"&amp;$C$7)</f>
        <v>0</v>
      </c>
      <c r="Y163" s="256">
        <f>SUMIFS('Livro Diario - FC'!$M$11:$M1028,'Livro Diario - FC'!$E$11:$E1028,$C$163,'Livro Diario - FC'!$D$11:$D1028,"&gt;=01/05"&amp;$C$7,'Livro Diario - FC'!$D$11:$D1028,"&lt;=31/05"&amp;$C$7)</f>
        <v>0</v>
      </c>
      <c r="Z163" s="273"/>
      <c r="AA163" s="258"/>
      <c r="AB163" s="259"/>
      <c r="AC163" s="255">
        <f>SUMIFS('Livro Diario - FC'!$K$11:$K1028,'Livro Diario - FC'!$E$11:$E1028,$C$163,'Livro Diario - FC'!$D$11:$D1028,"&gt;=01/06"&amp;$C$7,'Livro Diario - FC'!$D$11:$D1028,"&lt;=30/06"&amp;$C$7)</f>
        <v>0</v>
      </c>
      <c r="AD163" s="256">
        <f>SUMIFS('Livro Diario - FC'!$M$11:$M1028,'Livro Diario - FC'!$E$11:$E1028,$C$163,'Livro Diario - FC'!$D$11:$D1028,"&gt;=01/06"&amp;$C$7,'Livro Diario - FC'!$D$11:$D1028,"&lt;=30/06"&amp;$C$7)</f>
        <v>0</v>
      </c>
      <c r="AE163" s="273"/>
      <c r="AF163" s="258"/>
      <c r="AG163" s="255">
        <f>SUMIFS('Livro Diario - FC'!$K$11:$K1028,'Livro Diario - FC'!$E$11:$E1028,$C$163,'Livro Diario - FC'!$D$11:$D1028,"&gt;=01/07"&amp;$C$7,'Livro Diario - FC'!$D$11:$D1028,"&lt;=31/07"&amp;$C$7)</f>
        <v>0</v>
      </c>
      <c r="AH163" s="256">
        <f>SUMIFS('Livro Diario - FC'!$M$11:$M1028,'Livro Diario - FC'!$E$11:$E1028,$C$163,'Livro Diario - FC'!$D$11:$D1028,"&gt;=01/07"&amp;$C$7,'Livro Diario - FC'!$D$11:$D1028,"&lt;=31/07"&amp;$C$7)</f>
        <v>0</v>
      </c>
      <c r="AI163" s="273"/>
      <c r="AJ163" s="258"/>
      <c r="AK163" s="255">
        <f>SUMIFS('Livro Diario - FC'!$K$11:$K1028,'Livro Diario - FC'!$E$11:$E1028,$C$163,'Livro Diario - FC'!$D$11:$D1028,"&gt;=01/08"&amp;$C$7,'Livro Diario - FC'!$D$11:$D1028,"&lt;=31/08"&amp;$C$7)</f>
        <v>0</v>
      </c>
      <c r="AL163" s="256">
        <f>SUMIFS('Livro Diario - FC'!$M$11:$M1028,'Livro Diario - FC'!$E$11:$E1028,$C$163,'Livro Diario - FC'!$D$11:$D1028,"&gt;=01/08"&amp;$C$7,'Livro Diario - FC'!$D$11:$D1028,"&lt;=31/08"&amp;$C$7)</f>
        <v>0</v>
      </c>
      <c r="AM163" s="273"/>
      <c r="AN163" s="258"/>
      <c r="AO163" s="255">
        <f>SUMIFS('Livro Diario - FC'!$K$11:$K1028,'Livro Diario - FC'!$E$11:$E1028,$C$163,'Livro Diario - FC'!$D$11:$D1028,"&gt;=01/09"&amp;$C$7,'Livro Diario - FC'!$D$11:$D1028,"&lt;=30/09"&amp;$C$7)</f>
        <v>0</v>
      </c>
      <c r="AP163" s="256">
        <f>SUMIFS('Livro Diario - FC'!$M$11:$M1028,'Livro Diario - FC'!$E$11:$E1028,$C$163,'Livro Diario - FC'!$D$11:$D1028,"&gt;=01/09"&amp;$C$7,'Livro Diario - FC'!$D$11:$D1028,"&lt;=30/09"&amp;$C$7)</f>
        <v>0</v>
      </c>
      <c r="AQ163" s="273"/>
      <c r="AR163" s="258"/>
      <c r="AS163" s="255">
        <f>SUMIFS('Livro Diario - FC'!$K$11:$K1028,'Livro Diario - FC'!$E$11:$E1028,$C$163,'Livro Diario - FC'!$D$11:$D1028,"&gt;=01/10"&amp;$C$7,'Livro Diario - FC'!$D$11:$D1028,"&lt;=31/10"&amp;$C$7)</f>
        <v>0</v>
      </c>
      <c r="AT163" s="256">
        <f>SUMIFS('Livro Diario - FC'!$M$11:$M1028,'Livro Diario - FC'!$E$11:$E1028,$C$163,'Livro Diario - FC'!$D$11:$D1028,"&gt;=01/10"&amp;$C$7,'Livro Diario - FC'!$D$11:$D1028,"&lt;=31/10"&amp;$C$7)</f>
        <v>0</v>
      </c>
      <c r="AU163" s="273"/>
      <c r="AV163" s="258"/>
      <c r="AW163" s="255">
        <f>SUMIFS('Livro Diario - FC'!$K$11:$K1028,'Livro Diario - FC'!$E$11:$E1028,$C$163,'Livro Diario - FC'!$D$11:$D1028,"&gt;=01/11"&amp;$C$7,'Livro Diario - FC'!$D$11:$D1028,"&lt;=30/11"&amp;$C$7)</f>
        <v>0</v>
      </c>
      <c r="AX163" s="256">
        <f>SUMIFS('Livro Diario - FC'!$M$11:$M1028,'Livro Diario - FC'!$E$11:$E1028,$C$163,'Livro Diario - FC'!$D$11:$D1028,"&gt;=01/11"&amp;$C$7,'Livro Diario - FC'!$D$11:$D1028,"&lt;=30/11"&amp;$C$7)</f>
        <v>0</v>
      </c>
      <c r="AY163" s="273"/>
      <c r="AZ163" s="258"/>
      <c r="BA163" s="255">
        <f>SUMIFS('Livro Diario - FC'!$K$11:$K1028,'Livro Diario - FC'!$E$11:$E1028,$C$163,'Livro Diario - FC'!$D$11:$D1028,"&gt;=01/12"&amp;$C$7,'Livro Diario - FC'!$D$11:$D1028,"&lt;=31/12"&amp;$C$7)</f>
        <v>0</v>
      </c>
      <c r="BB163" s="256">
        <f>SUMIFS('Livro Diario - FC'!$M$11:$M1028,'Livro Diario - FC'!$E$11:$E1028,$C$163,'Livro Diario - FC'!$D$11:$D1028,"&gt;=01/12"&amp;$C$7,'Livro Diario - FC'!$D$11:$D1028,"&lt;=31/12"&amp;$C$7)</f>
        <v>0</v>
      </c>
      <c r="BC163" s="273"/>
      <c r="BD163" s="273"/>
      <c r="BE163" s="267">
        <f t="shared" ref="BE163:BF163" si="264">SUM(D163,I163,N163,S163,X163,AC163,AG163,AK163,AO163,AS163,AW163,BA163)</f>
        <v>100</v>
      </c>
      <c r="BF163" s="268">
        <f t="shared" si="264"/>
        <v>100</v>
      </c>
      <c r="BG163" s="269"/>
      <c r="BH163" s="192"/>
      <c r="BI163" s="270">
        <f>SUMIFS('Livro Diario - FC'!$M$11:$M1028,'Livro Diario - FC'!$E$11:$E1028,C163,'Livro Diario - FC'!$D$11:$D1028,"&gt;="&amp;$BK$8,'Livro Diario - FC'!$D$11:$D1028,"&lt;="&amp;$BK$9)</f>
        <v>0</v>
      </c>
      <c r="BJ163" s="271"/>
      <c r="BK163" s="272"/>
      <c r="BL163" s="1"/>
    </row>
    <row r="164">
      <c r="A164" s="1"/>
      <c r="B164" s="1"/>
      <c r="C164" s="338" t="str">
        <f>'Livro Diario - FC'!AE173</f>
        <v>Camarão sem Casca</v>
      </c>
      <c r="D164" s="255">
        <f>SUMIFS('Livro Diario - FC'!$K$11:$K1028,'Livro Diario - FC'!$E$11:$E1028,$C$164,'Livro Diario - FC'!$D$11:$D1028,"&gt;=01/01"&amp;$C$7,'Livro Diario - FC'!$D$11:$D1028,"&lt;=31/01"&amp;$C$7)</f>
        <v>69.99</v>
      </c>
      <c r="E164" s="256">
        <f>SUMIFS('Livro Diario - FC'!$M$11:$M1028,'Livro Diario - FC'!$E$11:$E1028,$C$164,'Livro Diario - FC'!$D$11:$D1028,"&gt;=01/01"&amp;$C$7,'Livro Diario - FC'!$D$11:$D1028,"&lt;=31/01"&amp;$C$7)</f>
        <v>69.99</v>
      </c>
      <c r="F164" s="273"/>
      <c r="G164" s="258"/>
      <c r="H164" s="157"/>
      <c r="I164" s="255">
        <f>SUMIFS('Livro Diario - FC'!$K$11:$K1028,'Livro Diario - FC'!$E$11:$E1028,$C$164,'Livro Diario - FC'!$D$11:$D1028,"&gt;=01/02"&amp;$C$7,'Livro Diario - FC'!$D$11:$D1028,"&lt;=29/02"&amp;$C$7)</f>
        <v>0</v>
      </c>
      <c r="J164" s="256">
        <f>SUMIFS('Livro Diario - FC'!$M$11:$M1028,'Livro Diario - FC'!$E$11:$E1028,$C$164,'Livro Diario - FC'!$D$11:$D1028,"&gt;=01/02"&amp;$C$7,'Livro Diario - FC'!$D$11:$D1028,"&lt;=29/02"&amp;$C$7)</f>
        <v>0</v>
      </c>
      <c r="K164" s="273"/>
      <c r="L164" s="258"/>
      <c r="M164" s="259"/>
      <c r="N164" s="255">
        <f>SUMIFS('Livro Diario - FC'!$K$11:$K1028,'Livro Diario - FC'!$E$11:$E1028,$C$164,'Livro Diario - FC'!$D$11:$D1028,"&gt;=01/03"&amp;$C$7,'Livro Diario - FC'!$D$11:$D1028,"&lt;=31/03"&amp;$C$7)</f>
        <v>0</v>
      </c>
      <c r="O164" s="256">
        <f>SUMIFS('Livro Diario - FC'!$M$11:$M1028,'Livro Diario - FC'!$E$11:$E1028,$C$164,'Livro Diario - FC'!$D$11:$D1028,"&gt;=01/03"&amp;$C$7,'Livro Diario - FC'!$D$11:$D1028,"&lt;=31/03"&amp;$C$7)</f>
        <v>0</v>
      </c>
      <c r="P164" s="273"/>
      <c r="Q164" s="258"/>
      <c r="R164" s="259"/>
      <c r="S164" s="255">
        <f>SUMIFS('Livro Diario - FC'!$K$11:$K1028,'Livro Diario - FC'!$E$11:$E1028,$C$164,'Livro Diario - FC'!$D$11:$D1028,"&gt;=01/04"&amp;$C$7,'Livro Diario - FC'!$D$11:$D1028,"&lt;=30/04"&amp;$C$7)</f>
        <v>0</v>
      </c>
      <c r="T164" s="256">
        <f>SUMIFS('Livro Diario - FC'!$M$11:$M1028,'Livro Diario - FC'!$E$11:$E1028,$C$164,'Livro Diario - FC'!$D$11:$D1028,"&gt;=01/04"&amp;$C$7,'Livro Diario - FC'!$D$11:$D1028,"&lt;=30/04"&amp;$C$7)</f>
        <v>0</v>
      </c>
      <c r="U164" s="273"/>
      <c r="V164" s="258"/>
      <c r="W164" s="259"/>
      <c r="X164" s="255">
        <f>SUMIFS('Livro Diario - FC'!$K$11:$K1028,'Livro Diario - FC'!$E$11:$E1028,$C$164,'Livro Diario - FC'!$D$11:$D1028,"&gt;=01/05"&amp;$C$7,'Livro Diario - FC'!$D$11:$D1028,"&lt;=31/05"&amp;$C$7)</f>
        <v>0</v>
      </c>
      <c r="Y164" s="256">
        <f>SUMIFS('Livro Diario - FC'!$M$11:$M1028,'Livro Diario - FC'!$E$11:$E1028,$C$164,'Livro Diario - FC'!$D$11:$D1028,"&gt;=01/05"&amp;$C$7,'Livro Diario - FC'!$D$11:$D1028,"&lt;=31/05"&amp;$C$7)</f>
        <v>0</v>
      </c>
      <c r="Z164" s="273"/>
      <c r="AA164" s="258"/>
      <c r="AB164" s="259"/>
      <c r="AC164" s="255">
        <f>SUMIFS('Livro Diario - FC'!$K$11:$K1028,'Livro Diario - FC'!$E$11:$E1028,$C$164,'Livro Diario - FC'!$D$11:$D1028,"&gt;=01/06"&amp;$C$7,'Livro Diario - FC'!$D$11:$D1028,"&lt;=30/06"&amp;$C$7)</f>
        <v>0</v>
      </c>
      <c r="AD164" s="256">
        <f>SUMIFS('Livro Diario - FC'!$M$11:$M1028,'Livro Diario - FC'!$E$11:$E1028,$C$164,'Livro Diario - FC'!$D$11:$D1028,"&gt;=01/06"&amp;$C$7,'Livro Diario - FC'!$D$11:$D1028,"&lt;=30/06"&amp;$C$7)</f>
        <v>0</v>
      </c>
      <c r="AE164" s="273"/>
      <c r="AF164" s="258"/>
      <c r="AG164" s="255">
        <f>SUMIFS('Livro Diario - FC'!$K$11:$K1028,'Livro Diario - FC'!$E$11:$E1028,$C$164,'Livro Diario - FC'!$D$11:$D1028,"&gt;=01/07"&amp;$C$7,'Livro Diario - FC'!$D$11:$D1028,"&lt;=31/07"&amp;$C$7)</f>
        <v>0</v>
      </c>
      <c r="AH164" s="256">
        <f>SUMIFS('Livro Diario - FC'!$M$11:$M1028,'Livro Diario - FC'!$E$11:$E1028,$C$164,'Livro Diario - FC'!$D$11:$D1028,"&gt;=01/07"&amp;$C$7,'Livro Diario - FC'!$D$11:$D1028,"&lt;=31/07"&amp;$C$7)</f>
        <v>0</v>
      </c>
      <c r="AI164" s="273"/>
      <c r="AJ164" s="258"/>
      <c r="AK164" s="255">
        <f>SUMIFS('Livro Diario - FC'!$K$11:$K1028,'Livro Diario - FC'!$E$11:$E1028,$C$164,'Livro Diario - FC'!$D$11:$D1028,"&gt;=01/08"&amp;$C$7,'Livro Diario - FC'!$D$11:$D1028,"&lt;=31/08"&amp;$C$7)</f>
        <v>0</v>
      </c>
      <c r="AL164" s="256">
        <f>SUMIFS('Livro Diario - FC'!$M$11:$M1028,'Livro Diario - FC'!$E$11:$E1028,$C$164,'Livro Diario - FC'!$D$11:$D1028,"&gt;=01/08"&amp;$C$7,'Livro Diario - FC'!$D$11:$D1028,"&lt;=31/08"&amp;$C$7)</f>
        <v>0</v>
      </c>
      <c r="AM164" s="273"/>
      <c r="AN164" s="258"/>
      <c r="AO164" s="255">
        <f>SUMIFS('Livro Diario - FC'!$K$11:$K1028,'Livro Diario - FC'!$E$11:$E1028,$C$164,'Livro Diario - FC'!$D$11:$D1028,"&gt;=01/09"&amp;$C$7,'Livro Diario - FC'!$D$11:$D1028,"&lt;=30/09"&amp;$C$7)</f>
        <v>0</v>
      </c>
      <c r="AP164" s="256">
        <f>SUMIFS('Livro Diario - FC'!$M$11:$M1028,'Livro Diario - FC'!$E$11:$E1028,$C$164,'Livro Diario - FC'!$D$11:$D1028,"&gt;=01/09"&amp;$C$7,'Livro Diario - FC'!$D$11:$D1028,"&lt;=30/09"&amp;$C$7)</f>
        <v>0</v>
      </c>
      <c r="AQ164" s="273"/>
      <c r="AR164" s="258"/>
      <c r="AS164" s="255">
        <f>SUMIFS('Livro Diario - FC'!$K$11:$K1028,'Livro Diario - FC'!$E$11:$E1028,$C$164,'Livro Diario - FC'!$D$11:$D1028,"&gt;=01/10"&amp;$C$7,'Livro Diario - FC'!$D$11:$D1028,"&lt;=31/10"&amp;$C$7)</f>
        <v>0</v>
      </c>
      <c r="AT164" s="256">
        <f>SUMIFS('Livro Diario - FC'!$M$11:$M1028,'Livro Diario - FC'!$E$11:$E1028,$C$164,'Livro Diario - FC'!$D$11:$D1028,"&gt;=01/10"&amp;$C$7,'Livro Diario - FC'!$D$11:$D1028,"&lt;=31/10"&amp;$C$7)</f>
        <v>0</v>
      </c>
      <c r="AU164" s="273"/>
      <c r="AV164" s="258"/>
      <c r="AW164" s="255">
        <f>SUMIFS('Livro Diario - FC'!$K$11:$K1028,'Livro Diario - FC'!$E$11:$E1028,$C$164,'Livro Diario - FC'!$D$11:$D1028,"&gt;=01/11"&amp;$C$7,'Livro Diario - FC'!$D$11:$D1028,"&lt;=30/11"&amp;$C$7)</f>
        <v>0</v>
      </c>
      <c r="AX164" s="256">
        <f>SUMIFS('Livro Diario - FC'!$M$11:$M1028,'Livro Diario - FC'!$E$11:$E1028,$C$164,'Livro Diario - FC'!$D$11:$D1028,"&gt;=01/11"&amp;$C$7,'Livro Diario - FC'!$D$11:$D1028,"&lt;=30/11"&amp;$C$7)</f>
        <v>0</v>
      </c>
      <c r="AY164" s="273"/>
      <c r="AZ164" s="258"/>
      <c r="BA164" s="255">
        <f>SUMIFS('Livro Diario - FC'!$K$11:$K1028,'Livro Diario - FC'!$E$11:$E1028,$C$164,'Livro Diario - FC'!$D$11:$D1028,"&gt;=01/12"&amp;$C$7,'Livro Diario - FC'!$D$11:$D1028,"&lt;=31/12"&amp;$C$7)</f>
        <v>0</v>
      </c>
      <c r="BB164" s="256">
        <f>SUMIFS('Livro Diario - FC'!$M$11:$M1028,'Livro Diario - FC'!$E$11:$E1028,$C$164,'Livro Diario - FC'!$D$11:$D1028,"&gt;=01/12"&amp;$C$7,'Livro Diario - FC'!$D$11:$D1028,"&lt;=31/12"&amp;$C$7)</f>
        <v>0</v>
      </c>
      <c r="BC164" s="273"/>
      <c r="BD164" s="273"/>
      <c r="BE164" s="267">
        <f t="shared" ref="BE164:BF164" si="265">SUM(D164,I164,N164,S164,X164,AC164,AG164,AK164,AO164,AS164,AW164,BA164)</f>
        <v>69.99</v>
      </c>
      <c r="BF164" s="268">
        <f t="shared" si="265"/>
        <v>69.99</v>
      </c>
      <c r="BG164" s="269"/>
      <c r="BH164" s="192"/>
      <c r="BI164" s="270">
        <f>SUMIFS('Livro Diario - FC'!$M$11:$M1028,'Livro Diario - FC'!$E$11:$E1028,C164,'Livro Diario - FC'!$D$11:$D1028,"&gt;="&amp;$BK$8,'Livro Diario - FC'!$D$11:$D1028,"&lt;="&amp;$BK$9)</f>
        <v>0</v>
      </c>
      <c r="BJ164" s="271"/>
      <c r="BK164" s="272"/>
      <c r="BL164" s="1"/>
    </row>
    <row r="165">
      <c r="A165" s="1"/>
      <c r="B165" s="1"/>
      <c r="C165" s="338" t="str">
        <f>'Livro Diario - FC'!AE174</f>
        <v>Carne Costela Desfiada</v>
      </c>
      <c r="D165" s="255">
        <f>SUMIFS('Livro Diario - FC'!$K$11:$K1028,'Livro Diario - FC'!$E$11:$E1028,$C$165,'Livro Diario - FC'!$D$11:$D1028,"&gt;=01/01"&amp;$C$7,'Livro Diario - FC'!$D$11:$D1028,"&lt;=31/01"&amp;$C$7)</f>
        <v>0</v>
      </c>
      <c r="E165" s="256">
        <f>SUMIFS('Livro Diario - FC'!$M$11:$M1028,'Livro Diario - FC'!$E$11:$E1028,$C$165,'Livro Diario - FC'!$D$11:$D1028,"&gt;=01/01"&amp;$C$7,'Livro Diario - FC'!$D$11:$D1028,"&lt;=31/01"&amp;$C$7)</f>
        <v>0</v>
      </c>
      <c r="F165" s="273"/>
      <c r="G165" s="258"/>
      <c r="H165" s="157"/>
      <c r="I165" s="255">
        <f>SUMIFS('Livro Diario - FC'!$K$11:$K1028,'Livro Diario - FC'!$E$11:$E1028,$C$165,'Livro Diario - FC'!$D$11:$D1028,"&gt;=01/02"&amp;$C$7,'Livro Diario - FC'!$D$11:$D1028,"&lt;=29/02"&amp;$C$7)</f>
        <v>0</v>
      </c>
      <c r="J165" s="256">
        <f>SUMIFS('Livro Diario - FC'!$M$11:$M1028,'Livro Diario - FC'!$E$11:$E1028,$C$165,'Livro Diario - FC'!$D$11:$D1028,"&gt;=01/02"&amp;$C$7,'Livro Diario - FC'!$D$11:$D1028,"&lt;=29/02"&amp;$C$7)</f>
        <v>0</v>
      </c>
      <c r="K165" s="273"/>
      <c r="L165" s="258"/>
      <c r="M165" s="259"/>
      <c r="N165" s="255">
        <f>SUMIFS('Livro Diario - FC'!$K$11:$K1028,'Livro Diario - FC'!$E$11:$E1028,$C$165,'Livro Diario - FC'!$D$11:$D1028,"&gt;=01/03"&amp;$C$7,'Livro Diario - FC'!$D$11:$D1028,"&lt;=31/03"&amp;$C$7)</f>
        <v>0</v>
      </c>
      <c r="O165" s="256">
        <f>SUMIFS('Livro Diario - FC'!$M$11:$M1028,'Livro Diario - FC'!$E$11:$E1028,$C$165,'Livro Diario - FC'!$D$11:$D1028,"&gt;=01/03"&amp;$C$7,'Livro Diario - FC'!$D$11:$D1028,"&lt;=31/03"&amp;$C$7)</f>
        <v>0</v>
      </c>
      <c r="P165" s="273"/>
      <c r="Q165" s="258"/>
      <c r="R165" s="259"/>
      <c r="S165" s="255">
        <f>SUMIFS('Livro Diario - FC'!$K$11:$K1028,'Livro Diario - FC'!$E$11:$E1028,$C$165,'Livro Diario - FC'!$D$11:$D1028,"&gt;=01/04"&amp;$C$7,'Livro Diario - FC'!$D$11:$D1028,"&lt;=30/04"&amp;$C$7)</f>
        <v>0</v>
      </c>
      <c r="T165" s="256">
        <f>SUMIFS('Livro Diario - FC'!$M$11:$M1028,'Livro Diario - FC'!$E$11:$E1028,$C$165,'Livro Diario - FC'!$D$11:$D1028,"&gt;=01/04"&amp;$C$7,'Livro Diario - FC'!$D$11:$D1028,"&lt;=30/04"&amp;$C$7)</f>
        <v>0</v>
      </c>
      <c r="U165" s="273"/>
      <c r="V165" s="258"/>
      <c r="W165" s="259"/>
      <c r="X165" s="255">
        <f>SUMIFS('Livro Diario - FC'!$K$11:$K1028,'Livro Diario - FC'!$E$11:$E1028,$C$165,'Livro Diario - FC'!$D$11:$D1028,"&gt;=01/05"&amp;$C$7,'Livro Diario - FC'!$D$11:$D1028,"&lt;=31/05"&amp;$C$7)</f>
        <v>0</v>
      </c>
      <c r="Y165" s="256">
        <f>SUMIFS('Livro Diario - FC'!$M$11:$M1028,'Livro Diario - FC'!$E$11:$E1028,$C$165,'Livro Diario - FC'!$D$11:$D1028,"&gt;=01/05"&amp;$C$7,'Livro Diario - FC'!$D$11:$D1028,"&lt;=31/05"&amp;$C$7)</f>
        <v>0</v>
      </c>
      <c r="Z165" s="273"/>
      <c r="AA165" s="258"/>
      <c r="AB165" s="259"/>
      <c r="AC165" s="255">
        <f>SUMIFS('Livro Diario - FC'!$K$11:$K1028,'Livro Diario - FC'!$E$11:$E1028,$C$165,'Livro Diario - FC'!$D$11:$D1028,"&gt;=01/06"&amp;$C$7,'Livro Diario - FC'!$D$11:$D1028,"&lt;=30/06"&amp;$C$7)</f>
        <v>0</v>
      </c>
      <c r="AD165" s="256">
        <f>SUMIFS('Livro Diario - FC'!$M$11:$M1028,'Livro Diario - FC'!$E$11:$E1028,$C$165,'Livro Diario - FC'!$D$11:$D1028,"&gt;=01/06"&amp;$C$7,'Livro Diario - FC'!$D$11:$D1028,"&lt;=30/06"&amp;$C$7)</f>
        <v>0</v>
      </c>
      <c r="AE165" s="273"/>
      <c r="AF165" s="258"/>
      <c r="AG165" s="255">
        <f>SUMIFS('Livro Diario - FC'!$K$11:$K1028,'Livro Diario - FC'!$E$11:$E1028,$C$165,'Livro Diario - FC'!$D$11:$D1028,"&gt;=01/07"&amp;$C$7,'Livro Diario - FC'!$D$11:$D1028,"&lt;=31/07"&amp;$C$7)</f>
        <v>0</v>
      </c>
      <c r="AH165" s="256">
        <f>SUMIFS('Livro Diario - FC'!$M$11:$M1028,'Livro Diario - FC'!$E$11:$E1028,$C$165,'Livro Diario - FC'!$D$11:$D1028,"&gt;=01/07"&amp;$C$7,'Livro Diario - FC'!$D$11:$D1028,"&lt;=31/07"&amp;$C$7)</f>
        <v>0</v>
      </c>
      <c r="AI165" s="273"/>
      <c r="AJ165" s="258"/>
      <c r="AK165" s="255">
        <f>SUMIFS('Livro Diario - FC'!$K$11:$K1028,'Livro Diario - FC'!$E$11:$E1028,$C$165,'Livro Diario - FC'!$D$11:$D1028,"&gt;=01/08"&amp;$C$7,'Livro Diario - FC'!$D$11:$D1028,"&lt;=31/08"&amp;$C$7)</f>
        <v>0</v>
      </c>
      <c r="AL165" s="256">
        <f>SUMIFS('Livro Diario - FC'!$M$11:$M1028,'Livro Diario - FC'!$E$11:$E1028,$C$165,'Livro Diario - FC'!$D$11:$D1028,"&gt;=01/08"&amp;$C$7,'Livro Diario - FC'!$D$11:$D1028,"&lt;=31/08"&amp;$C$7)</f>
        <v>0</v>
      </c>
      <c r="AM165" s="273"/>
      <c r="AN165" s="258"/>
      <c r="AO165" s="255">
        <f>SUMIFS('Livro Diario - FC'!$K$11:$K1028,'Livro Diario - FC'!$E$11:$E1028,$C$165,'Livro Diario - FC'!$D$11:$D1028,"&gt;=01/09"&amp;$C$7,'Livro Diario - FC'!$D$11:$D1028,"&lt;=30/09"&amp;$C$7)</f>
        <v>0</v>
      </c>
      <c r="AP165" s="256">
        <f>SUMIFS('Livro Diario - FC'!$M$11:$M1028,'Livro Diario - FC'!$E$11:$E1028,$C$165,'Livro Diario - FC'!$D$11:$D1028,"&gt;=01/09"&amp;$C$7,'Livro Diario - FC'!$D$11:$D1028,"&lt;=30/09"&amp;$C$7)</f>
        <v>0</v>
      </c>
      <c r="AQ165" s="273"/>
      <c r="AR165" s="258"/>
      <c r="AS165" s="255">
        <f>SUMIFS('Livro Diario - FC'!$K$11:$K1028,'Livro Diario - FC'!$E$11:$E1028,$C$165,'Livro Diario - FC'!$D$11:$D1028,"&gt;=01/10"&amp;$C$7,'Livro Diario - FC'!$D$11:$D1028,"&lt;=31/10"&amp;$C$7)</f>
        <v>0</v>
      </c>
      <c r="AT165" s="256">
        <f>SUMIFS('Livro Diario - FC'!$M$11:$M1028,'Livro Diario - FC'!$E$11:$E1028,$C$165,'Livro Diario - FC'!$D$11:$D1028,"&gt;=01/10"&amp;$C$7,'Livro Diario - FC'!$D$11:$D1028,"&lt;=31/10"&amp;$C$7)</f>
        <v>0</v>
      </c>
      <c r="AU165" s="273"/>
      <c r="AV165" s="258"/>
      <c r="AW165" s="255">
        <f>SUMIFS('Livro Diario - FC'!$K$11:$K1028,'Livro Diario - FC'!$E$11:$E1028,$C$165,'Livro Diario - FC'!$D$11:$D1028,"&gt;=01/11"&amp;$C$7,'Livro Diario - FC'!$D$11:$D1028,"&lt;=30/11"&amp;$C$7)</f>
        <v>0</v>
      </c>
      <c r="AX165" s="256">
        <f>SUMIFS('Livro Diario - FC'!$M$11:$M1028,'Livro Diario - FC'!$E$11:$E1028,$C$165,'Livro Diario - FC'!$D$11:$D1028,"&gt;=01/11"&amp;$C$7,'Livro Diario - FC'!$D$11:$D1028,"&lt;=30/11"&amp;$C$7)</f>
        <v>0</v>
      </c>
      <c r="AY165" s="273"/>
      <c r="AZ165" s="258"/>
      <c r="BA165" s="255">
        <f>SUMIFS('Livro Diario - FC'!$K$11:$K1028,'Livro Diario - FC'!$E$11:$E1028,$C$165,'Livro Diario - FC'!$D$11:$D1028,"&gt;=01/12"&amp;$C$7,'Livro Diario - FC'!$D$11:$D1028,"&lt;=31/12"&amp;$C$7)</f>
        <v>0</v>
      </c>
      <c r="BB165" s="256">
        <f>SUMIFS('Livro Diario - FC'!$M$11:$M1028,'Livro Diario - FC'!$E$11:$E1028,$C$165,'Livro Diario - FC'!$D$11:$D1028,"&gt;=01/12"&amp;$C$7,'Livro Diario - FC'!$D$11:$D1028,"&lt;=31/12"&amp;$C$7)</f>
        <v>0</v>
      </c>
      <c r="BC165" s="273"/>
      <c r="BD165" s="273"/>
      <c r="BE165" s="267">
        <f t="shared" ref="BE165:BF165" si="266">SUM(D165,I165,N165,S165,X165,AC165,AG165,AK165,AO165,AS165,AW165,BA165)</f>
        <v>0</v>
      </c>
      <c r="BF165" s="268">
        <f t="shared" si="266"/>
        <v>0</v>
      </c>
      <c r="BG165" s="269"/>
      <c r="BH165" s="192"/>
      <c r="BI165" s="270">
        <f>SUMIFS('Livro Diario - FC'!$M$11:$M1028,'Livro Diario - FC'!$E$11:$E1028,C165,'Livro Diario - FC'!$D$11:$D1028,"&gt;="&amp;$BK$8,'Livro Diario - FC'!$D$11:$D1028,"&lt;="&amp;$BK$9)</f>
        <v>0</v>
      </c>
      <c r="BJ165" s="271"/>
      <c r="BK165" s="272"/>
      <c r="BL165" s="1"/>
    </row>
    <row r="166">
      <c r="A166" s="1"/>
      <c r="B166" s="1"/>
      <c r="C166" s="338" t="str">
        <f>'Livro Diario - FC'!AE175</f>
        <v>Toscana Frango</v>
      </c>
      <c r="D166" s="255">
        <f>SUMIFS('Livro Diario - FC'!$K$11:$K1028,'Livro Diario - FC'!$E$11:$E1028,$C$166,'Livro Diario - FC'!$D$11:$D1028,"&gt;=01/01"&amp;$C$7,'Livro Diario - FC'!$D$11:$D1028,"&lt;=31/01"&amp;$C$7)</f>
        <v>257.76</v>
      </c>
      <c r="E166" s="256">
        <f>SUMIFS('Livro Diario - FC'!$M$11:$M1028,'Livro Diario - FC'!$E$11:$E1028,$C$166,'Livro Diario - FC'!$D$11:$D1028,"&gt;=01/01"&amp;$C$7,'Livro Diario - FC'!$D$11:$D1028,"&lt;=31/01"&amp;$C$7)</f>
        <v>257.76</v>
      </c>
      <c r="F166" s="273"/>
      <c r="G166" s="258"/>
      <c r="H166" s="157"/>
      <c r="I166" s="255">
        <f>SUMIFS('Livro Diario - FC'!$K$11:$K1028,'Livro Diario - FC'!$E$11:$E1028,$C$166,'Livro Diario - FC'!$D$11:$D1028,"&gt;=01/02"&amp;$C$7,'Livro Diario - FC'!$D$11:$D1028,"&lt;=29/02"&amp;$C$7)</f>
        <v>0</v>
      </c>
      <c r="J166" s="256">
        <f>SUMIFS('Livro Diario - FC'!$M$11:$M1028,'Livro Diario - FC'!$E$11:$E1028,$C$166,'Livro Diario - FC'!$D$11:$D1028,"&gt;=01/02"&amp;$C$7,'Livro Diario - FC'!$D$11:$D1028,"&lt;=29/02"&amp;$C$7)</f>
        <v>0</v>
      </c>
      <c r="K166" s="273"/>
      <c r="L166" s="258"/>
      <c r="M166" s="259"/>
      <c r="N166" s="255">
        <f>SUMIFS('Livro Diario - FC'!$K$11:$K1028,'Livro Diario - FC'!$E$11:$E1028,$C$166,'Livro Diario - FC'!$D$11:$D1028,"&gt;=01/03"&amp;$C$7,'Livro Diario - FC'!$D$11:$D1028,"&lt;=31/03"&amp;$C$7)</f>
        <v>0</v>
      </c>
      <c r="O166" s="256">
        <f>SUMIFS('Livro Diario - FC'!$M$11:$M1028,'Livro Diario - FC'!$E$11:$E1028,$C$166,'Livro Diario - FC'!$D$11:$D1028,"&gt;=01/03"&amp;$C$7,'Livro Diario - FC'!$D$11:$D1028,"&lt;=31/03"&amp;$C$7)</f>
        <v>0</v>
      </c>
      <c r="P166" s="273"/>
      <c r="Q166" s="258"/>
      <c r="R166" s="259"/>
      <c r="S166" s="255">
        <f>SUMIFS('Livro Diario - FC'!$K$11:$K1028,'Livro Diario - FC'!$E$11:$E1028,$C$166,'Livro Diario - FC'!$D$11:$D1028,"&gt;=01/04"&amp;$C$7,'Livro Diario - FC'!$D$11:$D1028,"&lt;=30/04"&amp;$C$7)</f>
        <v>0</v>
      </c>
      <c r="T166" s="256">
        <f>SUMIFS('Livro Diario - FC'!$M$11:$M1028,'Livro Diario - FC'!$E$11:$E1028,$C$166,'Livro Diario - FC'!$D$11:$D1028,"&gt;=01/04"&amp;$C$7,'Livro Diario - FC'!$D$11:$D1028,"&lt;=30/04"&amp;$C$7)</f>
        <v>0</v>
      </c>
      <c r="U166" s="273"/>
      <c r="V166" s="258"/>
      <c r="W166" s="259"/>
      <c r="X166" s="255">
        <f>SUMIFS('Livro Diario - FC'!$K$11:$K1028,'Livro Diario - FC'!$E$11:$E1028,$C$166,'Livro Diario - FC'!$D$11:$D1028,"&gt;=01/05"&amp;$C$7,'Livro Diario - FC'!$D$11:$D1028,"&lt;=31/05"&amp;$C$7)</f>
        <v>0</v>
      </c>
      <c r="Y166" s="256">
        <f>SUMIFS('Livro Diario - FC'!$M$11:$M1028,'Livro Diario - FC'!$E$11:$E1028,$C$166,'Livro Diario - FC'!$D$11:$D1028,"&gt;=01/05"&amp;$C$7,'Livro Diario - FC'!$D$11:$D1028,"&lt;=31/05"&amp;$C$7)</f>
        <v>0</v>
      </c>
      <c r="Z166" s="273"/>
      <c r="AA166" s="258"/>
      <c r="AB166" s="259"/>
      <c r="AC166" s="255">
        <f>SUMIFS('Livro Diario - FC'!$K$11:$K1028,'Livro Diario - FC'!$E$11:$E1028,$C$166,'Livro Diario - FC'!$D$11:$D1028,"&gt;=01/06"&amp;$C$7,'Livro Diario - FC'!$D$11:$D1028,"&lt;=30/06"&amp;$C$7)</f>
        <v>0</v>
      </c>
      <c r="AD166" s="256">
        <f>SUMIFS('Livro Diario - FC'!$M$11:$M1028,'Livro Diario - FC'!$E$11:$E1028,$C$166,'Livro Diario - FC'!$D$11:$D1028,"&gt;=01/06"&amp;$C$7,'Livro Diario - FC'!$D$11:$D1028,"&lt;=30/06"&amp;$C$7)</f>
        <v>0</v>
      </c>
      <c r="AE166" s="273"/>
      <c r="AF166" s="258"/>
      <c r="AG166" s="255">
        <f>SUMIFS('Livro Diario - FC'!$K$11:$K1028,'Livro Diario - FC'!$E$11:$E1028,$C$166,'Livro Diario - FC'!$D$11:$D1028,"&gt;=01/07"&amp;$C$7,'Livro Diario - FC'!$D$11:$D1028,"&lt;=31/07"&amp;$C$7)</f>
        <v>0</v>
      </c>
      <c r="AH166" s="256">
        <f>SUMIFS('Livro Diario - FC'!$M$11:$M1028,'Livro Diario - FC'!$E$11:$E1028,$C$166,'Livro Diario - FC'!$D$11:$D1028,"&gt;=01/07"&amp;$C$7,'Livro Diario - FC'!$D$11:$D1028,"&lt;=31/07"&amp;$C$7)</f>
        <v>0</v>
      </c>
      <c r="AI166" s="273"/>
      <c r="AJ166" s="258"/>
      <c r="AK166" s="255">
        <f>SUMIFS('Livro Diario - FC'!$K$11:$K1028,'Livro Diario - FC'!$E$11:$E1028,$C$166,'Livro Diario - FC'!$D$11:$D1028,"&gt;=01/08"&amp;$C$7,'Livro Diario - FC'!$D$11:$D1028,"&lt;=31/08"&amp;$C$7)</f>
        <v>0</v>
      </c>
      <c r="AL166" s="256">
        <f>SUMIFS('Livro Diario - FC'!$M$11:$M1028,'Livro Diario - FC'!$E$11:$E1028,$C$166,'Livro Diario - FC'!$D$11:$D1028,"&gt;=01/08"&amp;$C$7,'Livro Diario - FC'!$D$11:$D1028,"&lt;=31/08"&amp;$C$7)</f>
        <v>0</v>
      </c>
      <c r="AM166" s="273"/>
      <c r="AN166" s="258"/>
      <c r="AO166" s="255">
        <f>SUMIFS('Livro Diario - FC'!$K$11:$K1028,'Livro Diario - FC'!$E$11:$E1028,$C$166,'Livro Diario - FC'!$D$11:$D1028,"&gt;=01/09"&amp;$C$7,'Livro Diario - FC'!$D$11:$D1028,"&lt;=30/09"&amp;$C$7)</f>
        <v>0</v>
      </c>
      <c r="AP166" s="256">
        <f>SUMIFS('Livro Diario - FC'!$M$11:$M1028,'Livro Diario - FC'!$E$11:$E1028,$C$166,'Livro Diario - FC'!$D$11:$D1028,"&gt;=01/09"&amp;$C$7,'Livro Diario - FC'!$D$11:$D1028,"&lt;=30/09"&amp;$C$7)</f>
        <v>0</v>
      </c>
      <c r="AQ166" s="273"/>
      <c r="AR166" s="258"/>
      <c r="AS166" s="255">
        <f>SUMIFS('Livro Diario - FC'!$K$11:$K1028,'Livro Diario - FC'!$E$11:$E1028,$C$166,'Livro Diario - FC'!$D$11:$D1028,"&gt;=01/10"&amp;$C$7,'Livro Diario - FC'!$D$11:$D1028,"&lt;=31/10"&amp;$C$7)</f>
        <v>0</v>
      </c>
      <c r="AT166" s="256">
        <f>SUMIFS('Livro Diario - FC'!$M$11:$M1028,'Livro Diario - FC'!$E$11:$E1028,$C$166,'Livro Diario - FC'!$D$11:$D1028,"&gt;=01/10"&amp;$C$7,'Livro Diario - FC'!$D$11:$D1028,"&lt;=31/10"&amp;$C$7)</f>
        <v>0</v>
      </c>
      <c r="AU166" s="273"/>
      <c r="AV166" s="258"/>
      <c r="AW166" s="255">
        <f>SUMIFS('Livro Diario - FC'!$K$11:$K1028,'Livro Diario - FC'!$E$11:$E1028,$C$166,'Livro Diario - FC'!$D$11:$D1028,"&gt;=01/11"&amp;$C$7,'Livro Diario - FC'!$D$11:$D1028,"&lt;=30/11"&amp;$C$7)</f>
        <v>0</v>
      </c>
      <c r="AX166" s="256">
        <f>SUMIFS('Livro Diario - FC'!$M$11:$M1028,'Livro Diario - FC'!$E$11:$E1028,$C$166,'Livro Diario - FC'!$D$11:$D1028,"&gt;=01/11"&amp;$C$7,'Livro Diario - FC'!$D$11:$D1028,"&lt;=30/11"&amp;$C$7)</f>
        <v>0</v>
      </c>
      <c r="AY166" s="273"/>
      <c r="AZ166" s="258"/>
      <c r="BA166" s="255">
        <f>SUMIFS('Livro Diario - FC'!$K$11:$K1028,'Livro Diario - FC'!$E$11:$E1028,$C$166,'Livro Diario - FC'!$D$11:$D1028,"&gt;=01/12"&amp;$C$7,'Livro Diario - FC'!$D$11:$D1028,"&lt;=31/12"&amp;$C$7)</f>
        <v>0</v>
      </c>
      <c r="BB166" s="256">
        <f>SUMIFS('Livro Diario - FC'!$M$11:$M1028,'Livro Diario - FC'!$E$11:$E1028,$C$166,'Livro Diario - FC'!$D$11:$D1028,"&gt;=01/12"&amp;$C$7,'Livro Diario - FC'!$D$11:$D1028,"&lt;=31/12"&amp;$C$7)</f>
        <v>0</v>
      </c>
      <c r="BC166" s="273"/>
      <c r="BD166" s="273"/>
      <c r="BE166" s="267">
        <f t="shared" ref="BE166:BF166" si="267">SUM(D166,I166,N166,S166,X166,AC166,AG166,AK166,AO166,AS166,AW166,BA166)</f>
        <v>257.76</v>
      </c>
      <c r="BF166" s="268">
        <f t="shared" si="267"/>
        <v>257.76</v>
      </c>
      <c r="BG166" s="269"/>
      <c r="BH166" s="192"/>
      <c r="BI166" s="270">
        <f>SUMIFS('Livro Diario - FC'!$M$11:$M1028,'Livro Diario - FC'!$E$11:$E1028,C166,'Livro Diario - FC'!$D$11:$D1028,"&gt;="&amp;$BK$8,'Livro Diario - FC'!$D$11:$D1028,"&lt;="&amp;$BK$9)</f>
        <v>0</v>
      </c>
      <c r="BJ166" s="271"/>
      <c r="BK166" s="272"/>
      <c r="BL166" s="1"/>
    </row>
    <row r="167">
      <c r="A167" s="1"/>
      <c r="B167" s="1"/>
      <c r="C167" s="338" t="str">
        <f>'Livro Diario - FC'!AE176</f>
        <v>Coxão Mole (Bife)</v>
      </c>
      <c r="D167" s="255">
        <f>SUMIFS('Livro Diario - FC'!$K$11:$K1028,'Livro Diario - FC'!$E$11:$E1028,$C$167,'Livro Diario - FC'!$D$11:$D1028,"&gt;=01/01"&amp;$C$7,'Livro Diario - FC'!$D$11:$D1028,"&lt;=31/01"&amp;$C$7)</f>
        <v>455.24</v>
      </c>
      <c r="E167" s="256">
        <f>SUMIFS('Livro Diario - FC'!$M$11:$M1028,'Livro Diario - FC'!$E$11:$E1028,$C$167,'Livro Diario - FC'!$D$11:$D1028,"&gt;=01/01"&amp;$C$7,'Livro Diario - FC'!$D$11:$D1028,"&lt;=31/01"&amp;$C$7)</f>
        <v>455.24</v>
      </c>
      <c r="F167" s="273"/>
      <c r="G167" s="258"/>
      <c r="H167" s="157"/>
      <c r="I167" s="255">
        <f>SUMIFS('Livro Diario - FC'!$K$11:$K1028,'Livro Diario - FC'!$E$11:$E1028,$C$167,'Livro Diario - FC'!$D$11:$D1028,"&gt;=01/02"&amp;$C$7,'Livro Diario - FC'!$D$11:$D1028,"&lt;=29/02"&amp;$C$7)</f>
        <v>0</v>
      </c>
      <c r="J167" s="256">
        <f>SUMIFS('Livro Diario - FC'!$M$11:$M1028,'Livro Diario - FC'!$E$11:$E1028,$C$167,'Livro Diario - FC'!$D$11:$D1028,"&gt;=01/02"&amp;$C$7,'Livro Diario - FC'!$D$11:$D1028,"&lt;=29/02"&amp;$C$7)</f>
        <v>0</v>
      </c>
      <c r="K167" s="273"/>
      <c r="L167" s="258"/>
      <c r="M167" s="259"/>
      <c r="N167" s="255">
        <f>SUMIFS('Livro Diario - FC'!$K$11:$K1028,'Livro Diario - FC'!$E$11:$E1028,$C$167,'Livro Diario - FC'!$D$11:$D1028,"&gt;=01/03"&amp;$C$7,'Livro Diario - FC'!$D$11:$D1028,"&lt;=31/03"&amp;$C$7)</f>
        <v>0</v>
      </c>
      <c r="O167" s="256">
        <f>SUMIFS('Livro Diario - FC'!$M$11:$M1028,'Livro Diario - FC'!$E$11:$E1028,$C$167,'Livro Diario - FC'!$D$11:$D1028,"&gt;=01/03"&amp;$C$7,'Livro Diario - FC'!$D$11:$D1028,"&lt;=31/03"&amp;$C$7)</f>
        <v>0</v>
      </c>
      <c r="P167" s="273"/>
      <c r="Q167" s="258"/>
      <c r="R167" s="259"/>
      <c r="S167" s="255">
        <f>SUMIFS('Livro Diario - FC'!$K$11:$K1028,'Livro Diario - FC'!$E$11:$E1028,$C$167,'Livro Diario - FC'!$D$11:$D1028,"&gt;=01/04"&amp;$C$7,'Livro Diario - FC'!$D$11:$D1028,"&lt;=30/04"&amp;$C$7)</f>
        <v>0</v>
      </c>
      <c r="T167" s="256">
        <f>SUMIFS('Livro Diario - FC'!$M$11:$M1028,'Livro Diario - FC'!$E$11:$E1028,$C$167,'Livro Diario - FC'!$D$11:$D1028,"&gt;=01/04"&amp;$C$7,'Livro Diario - FC'!$D$11:$D1028,"&lt;=30/04"&amp;$C$7)</f>
        <v>0</v>
      </c>
      <c r="U167" s="273"/>
      <c r="V167" s="258"/>
      <c r="W167" s="259"/>
      <c r="X167" s="255">
        <f>SUMIFS('Livro Diario - FC'!$K$11:$K1028,'Livro Diario - FC'!$E$11:$E1028,$C$167,'Livro Diario - FC'!$D$11:$D1028,"&gt;=01/05"&amp;$C$7,'Livro Diario - FC'!$D$11:$D1028,"&lt;=31/05"&amp;$C$7)</f>
        <v>0</v>
      </c>
      <c r="Y167" s="256">
        <f>SUMIFS('Livro Diario - FC'!$M$11:$M1028,'Livro Diario - FC'!$E$11:$E1028,$C$167,'Livro Diario - FC'!$D$11:$D1028,"&gt;=01/05"&amp;$C$7,'Livro Diario - FC'!$D$11:$D1028,"&lt;=31/05"&amp;$C$7)</f>
        <v>0</v>
      </c>
      <c r="Z167" s="273"/>
      <c r="AA167" s="258"/>
      <c r="AB167" s="259"/>
      <c r="AC167" s="255">
        <f>SUMIFS('Livro Diario - FC'!$K$11:$K1028,'Livro Diario - FC'!$E$11:$E1028,$C$167,'Livro Diario - FC'!$D$11:$D1028,"&gt;=01/06"&amp;$C$7,'Livro Diario - FC'!$D$11:$D1028,"&lt;=30/06"&amp;$C$7)</f>
        <v>0</v>
      </c>
      <c r="AD167" s="256">
        <f>SUMIFS('Livro Diario - FC'!$M$11:$M1028,'Livro Diario - FC'!$E$11:$E1028,$C$167,'Livro Diario - FC'!$D$11:$D1028,"&gt;=01/06"&amp;$C$7,'Livro Diario - FC'!$D$11:$D1028,"&lt;=30/06"&amp;$C$7)</f>
        <v>0</v>
      </c>
      <c r="AE167" s="273"/>
      <c r="AF167" s="258"/>
      <c r="AG167" s="255">
        <f>SUMIFS('Livro Diario - FC'!$K$11:$K1028,'Livro Diario - FC'!$E$11:$E1028,$C$167,'Livro Diario - FC'!$D$11:$D1028,"&gt;=01/07"&amp;$C$7,'Livro Diario - FC'!$D$11:$D1028,"&lt;=31/07"&amp;$C$7)</f>
        <v>0</v>
      </c>
      <c r="AH167" s="256">
        <f>SUMIFS('Livro Diario - FC'!$M$11:$M1028,'Livro Diario - FC'!$E$11:$E1028,$C$167,'Livro Diario - FC'!$D$11:$D1028,"&gt;=01/07"&amp;$C$7,'Livro Diario - FC'!$D$11:$D1028,"&lt;=31/07"&amp;$C$7)</f>
        <v>0</v>
      </c>
      <c r="AI167" s="273"/>
      <c r="AJ167" s="258"/>
      <c r="AK167" s="255">
        <f>SUMIFS('Livro Diario - FC'!$K$11:$K1028,'Livro Diario - FC'!$E$11:$E1028,$C$167,'Livro Diario - FC'!$D$11:$D1028,"&gt;=01/08"&amp;$C$7,'Livro Diario - FC'!$D$11:$D1028,"&lt;=31/08"&amp;$C$7)</f>
        <v>0</v>
      </c>
      <c r="AL167" s="256">
        <f>SUMIFS('Livro Diario - FC'!$M$11:$M1028,'Livro Diario - FC'!$E$11:$E1028,$C$167,'Livro Diario - FC'!$D$11:$D1028,"&gt;=01/08"&amp;$C$7,'Livro Diario - FC'!$D$11:$D1028,"&lt;=31/08"&amp;$C$7)</f>
        <v>0</v>
      </c>
      <c r="AM167" s="273"/>
      <c r="AN167" s="258"/>
      <c r="AO167" s="255">
        <f>SUMIFS('Livro Diario - FC'!$K$11:$K1028,'Livro Diario - FC'!$E$11:$E1028,$C$167,'Livro Diario - FC'!$D$11:$D1028,"&gt;=01/09"&amp;$C$7,'Livro Diario - FC'!$D$11:$D1028,"&lt;=30/09"&amp;$C$7)</f>
        <v>0</v>
      </c>
      <c r="AP167" s="256">
        <f>SUMIFS('Livro Diario - FC'!$M$11:$M1028,'Livro Diario - FC'!$E$11:$E1028,$C$167,'Livro Diario - FC'!$D$11:$D1028,"&gt;=01/09"&amp;$C$7,'Livro Diario - FC'!$D$11:$D1028,"&lt;=30/09"&amp;$C$7)</f>
        <v>0</v>
      </c>
      <c r="AQ167" s="273"/>
      <c r="AR167" s="258"/>
      <c r="AS167" s="255">
        <f>SUMIFS('Livro Diario - FC'!$K$11:$K1028,'Livro Diario - FC'!$E$11:$E1028,$C$167,'Livro Diario - FC'!$D$11:$D1028,"&gt;=01/10"&amp;$C$7,'Livro Diario - FC'!$D$11:$D1028,"&lt;=31/10"&amp;$C$7)</f>
        <v>0</v>
      </c>
      <c r="AT167" s="256">
        <f>SUMIFS('Livro Diario - FC'!$M$11:$M1028,'Livro Diario - FC'!$E$11:$E1028,$C$167,'Livro Diario - FC'!$D$11:$D1028,"&gt;=01/10"&amp;$C$7,'Livro Diario - FC'!$D$11:$D1028,"&lt;=31/10"&amp;$C$7)</f>
        <v>0</v>
      </c>
      <c r="AU167" s="273"/>
      <c r="AV167" s="258"/>
      <c r="AW167" s="255">
        <f>SUMIFS('Livro Diario - FC'!$K$11:$K1028,'Livro Diario - FC'!$E$11:$E1028,$C$167,'Livro Diario - FC'!$D$11:$D1028,"&gt;=01/11"&amp;$C$7,'Livro Diario - FC'!$D$11:$D1028,"&lt;=30/11"&amp;$C$7)</f>
        <v>0</v>
      </c>
      <c r="AX167" s="256">
        <f>SUMIFS('Livro Diario - FC'!$M$11:$M1028,'Livro Diario - FC'!$E$11:$E1028,$C$167,'Livro Diario - FC'!$D$11:$D1028,"&gt;=01/11"&amp;$C$7,'Livro Diario - FC'!$D$11:$D1028,"&lt;=30/11"&amp;$C$7)</f>
        <v>0</v>
      </c>
      <c r="AY167" s="273"/>
      <c r="AZ167" s="258"/>
      <c r="BA167" s="255">
        <f>SUMIFS('Livro Diario - FC'!$K$11:$K1028,'Livro Diario - FC'!$E$11:$E1028,$C$167,'Livro Diario - FC'!$D$11:$D1028,"&gt;=01/12"&amp;$C$7,'Livro Diario - FC'!$D$11:$D1028,"&lt;=31/12"&amp;$C$7)</f>
        <v>0</v>
      </c>
      <c r="BB167" s="256">
        <f>SUMIFS('Livro Diario - FC'!$M$11:$M1028,'Livro Diario - FC'!$E$11:$E1028,$C$167,'Livro Diario - FC'!$D$11:$D1028,"&gt;=01/12"&amp;$C$7,'Livro Diario - FC'!$D$11:$D1028,"&lt;=31/12"&amp;$C$7)</f>
        <v>0</v>
      </c>
      <c r="BC167" s="273"/>
      <c r="BD167" s="273"/>
      <c r="BE167" s="267">
        <f t="shared" ref="BE167:BF167" si="268">SUM(D167,I167,N167,S167,X167,AC167,AG167,AK167,AO167,AS167,AW167,BA167)</f>
        <v>455.24</v>
      </c>
      <c r="BF167" s="268">
        <f t="shared" si="268"/>
        <v>455.24</v>
      </c>
      <c r="BG167" s="269"/>
      <c r="BH167" s="192"/>
      <c r="BI167" s="270">
        <f>SUMIFS('Livro Diario - FC'!$M$11:$M1028,'Livro Diario - FC'!$E$11:$E1028,C167,'Livro Diario - FC'!$D$11:$D1028,"&gt;="&amp;$BK$8,'Livro Diario - FC'!$D$11:$D1028,"&lt;="&amp;$BK$9)</f>
        <v>0</v>
      </c>
      <c r="BJ167" s="271"/>
      <c r="BK167" s="272"/>
      <c r="BL167" s="1"/>
    </row>
    <row r="168">
      <c r="A168" s="1"/>
      <c r="B168" s="1"/>
      <c r="C168" s="338" t="str">
        <f>'Livro Diario - FC'!AE177</f>
        <v>Carne para Guisada (picadão)</v>
      </c>
      <c r="D168" s="255">
        <f>SUMIFS('Livro Diario - FC'!$K$11:$K1028,'Livro Diario - FC'!$E$11:$E1028,$C$168,'Livro Diario - FC'!$D$11:$D1028,"&gt;=01/01"&amp;$C$7,'Livro Diario - FC'!$D$11:$D1028,"&lt;=31/01"&amp;$C$7)</f>
        <v>838.28</v>
      </c>
      <c r="E168" s="256">
        <f>SUMIFS('Livro Diario - FC'!$M$11:$M1028,'Livro Diario - FC'!$E$11:$E1028,$C$168,'Livro Diario - FC'!$D$11:$D1028,"&gt;=01/01"&amp;$C$7,'Livro Diario - FC'!$D$11:$D1028,"&lt;=31/01"&amp;$C$7)</f>
        <v>838.28</v>
      </c>
      <c r="F168" s="273"/>
      <c r="G168" s="258"/>
      <c r="H168" s="157"/>
      <c r="I168" s="255">
        <f>SUMIFS('Livro Diario - FC'!$K$11:$K1028,'Livro Diario - FC'!$E$11:$E1028,$C$168,'Livro Diario - FC'!$D$11:$D1028,"&gt;=01/02"&amp;$C$7,'Livro Diario - FC'!$D$11:$D1028,"&lt;=29/02"&amp;$C$7)</f>
        <v>0</v>
      </c>
      <c r="J168" s="256">
        <f>SUMIFS('Livro Diario - FC'!$M$11:$M1028,'Livro Diario - FC'!$E$11:$E1028,$C$168,'Livro Diario - FC'!$D$11:$D1028,"&gt;=01/02"&amp;$C$7,'Livro Diario - FC'!$D$11:$D1028,"&lt;=29/02"&amp;$C$7)</f>
        <v>0</v>
      </c>
      <c r="K168" s="273"/>
      <c r="L168" s="258"/>
      <c r="M168" s="259"/>
      <c r="N168" s="255">
        <f>SUMIFS('Livro Diario - FC'!$K$11:$K1028,'Livro Diario - FC'!$E$11:$E1028,$C$168,'Livro Diario - FC'!$D$11:$D1028,"&gt;=01/03"&amp;$C$7,'Livro Diario - FC'!$D$11:$D1028,"&lt;=31/03"&amp;$C$7)</f>
        <v>0</v>
      </c>
      <c r="O168" s="256">
        <f>SUMIFS('Livro Diario - FC'!$M$11:$M1028,'Livro Diario - FC'!$E$11:$E1028,$C$168,'Livro Diario - FC'!$D$11:$D1028,"&gt;=01/03"&amp;$C$7,'Livro Diario - FC'!$D$11:$D1028,"&lt;=31/03"&amp;$C$7)</f>
        <v>0</v>
      </c>
      <c r="P168" s="273"/>
      <c r="Q168" s="258"/>
      <c r="R168" s="259"/>
      <c r="S168" s="255">
        <f>SUMIFS('Livro Diario - FC'!$K$11:$K1028,'Livro Diario - FC'!$E$11:$E1028,$C$168,'Livro Diario - FC'!$D$11:$D1028,"&gt;=01/04"&amp;$C$7,'Livro Diario - FC'!$D$11:$D1028,"&lt;=30/04"&amp;$C$7)</f>
        <v>0</v>
      </c>
      <c r="T168" s="256">
        <f>SUMIFS('Livro Diario - FC'!$M$11:$M1028,'Livro Diario - FC'!$E$11:$E1028,$C$168,'Livro Diario - FC'!$D$11:$D1028,"&gt;=01/04"&amp;$C$7,'Livro Diario - FC'!$D$11:$D1028,"&lt;=30/04"&amp;$C$7)</f>
        <v>0</v>
      </c>
      <c r="U168" s="273"/>
      <c r="V168" s="258"/>
      <c r="W168" s="259"/>
      <c r="X168" s="255">
        <f>SUMIFS('Livro Diario - FC'!$K$11:$K1028,'Livro Diario - FC'!$E$11:$E1028,$C$168,'Livro Diario - FC'!$D$11:$D1028,"&gt;=01/05"&amp;$C$7,'Livro Diario - FC'!$D$11:$D1028,"&lt;=31/05"&amp;$C$7)</f>
        <v>0</v>
      </c>
      <c r="Y168" s="256">
        <f>SUMIFS('Livro Diario - FC'!$M$11:$M1028,'Livro Diario - FC'!$E$11:$E1028,$C$168,'Livro Diario - FC'!$D$11:$D1028,"&gt;=01/05"&amp;$C$7,'Livro Diario - FC'!$D$11:$D1028,"&lt;=31/05"&amp;$C$7)</f>
        <v>0</v>
      </c>
      <c r="Z168" s="273"/>
      <c r="AA168" s="258"/>
      <c r="AB168" s="259"/>
      <c r="AC168" s="255">
        <f>SUMIFS('Livro Diario - FC'!$K$11:$K1028,'Livro Diario - FC'!$E$11:$E1028,$C$168,'Livro Diario - FC'!$D$11:$D1028,"&gt;=01/06"&amp;$C$7,'Livro Diario - FC'!$D$11:$D1028,"&lt;=30/06"&amp;$C$7)</f>
        <v>0</v>
      </c>
      <c r="AD168" s="256">
        <f>SUMIFS('Livro Diario - FC'!$M$11:$M1028,'Livro Diario - FC'!$E$11:$E1028,$C$168,'Livro Diario - FC'!$D$11:$D1028,"&gt;=01/06"&amp;$C$7,'Livro Diario - FC'!$D$11:$D1028,"&lt;=30/06"&amp;$C$7)</f>
        <v>0</v>
      </c>
      <c r="AE168" s="273"/>
      <c r="AF168" s="258"/>
      <c r="AG168" s="255">
        <f>SUMIFS('Livro Diario - FC'!$K$11:$K1028,'Livro Diario - FC'!$E$11:$E1028,$C$168,'Livro Diario - FC'!$D$11:$D1028,"&gt;=01/07"&amp;$C$7,'Livro Diario - FC'!$D$11:$D1028,"&lt;=31/07"&amp;$C$7)</f>
        <v>0</v>
      </c>
      <c r="AH168" s="256">
        <f>SUMIFS('Livro Diario - FC'!$M$11:$M1028,'Livro Diario - FC'!$E$11:$E1028,$C$168,'Livro Diario - FC'!$D$11:$D1028,"&gt;=01/07"&amp;$C$7,'Livro Diario - FC'!$D$11:$D1028,"&lt;=31/07"&amp;$C$7)</f>
        <v>0</v>
      </c>
      <c r="AI168" s="273"/>
      <c r="AJ168" s="258"/>
      <c r="AK168" s="255">
        <f>SUMIFS('Livro Diario - FC'!$K$11:$K1028,'Livro Diario - FC'!$E$11:$E1028,$C$168,'Livro Diario - FC'!$D$11:$D1028,"&gt;=01/08"&amp;$C$7,'Livro Diario - FC'!$D$11:$D1028,"&lt;=31/08"&amp;$C$7)</f>
        <v>0</v>
      </c>
      <c r="AL168" s="256">
        <f>SUMIFS('Livro Diario - FC'!$M$11:$M1028,'Livro Diario - FC'!$E$11:$E1028,$C$168,'Livro Diario - FC'!$D$11:$D1028,"&gt;=01/08"&amp;$C$7,'Livro Diario - FC'!$D$11:$D1028,"&lt;=31/08"&amp;$C$7)</f>
        <v>0</v>
      </c>
      <c r="AM168" s="273"/>
      <c r="AN168" s="258"/>
      <c r="AO168" s="255">
        <f>SUMIFS('Livro Diario - FC'!$K$11:$K1028,'Livro Diario - FC'!$E$11:$E1028,$C$168,'Livro Diario - FC'!$D$11:$D1028,"&gt;=01/09"&amp;$C$7,'Livro Diario - FC'!$D$11:$D1028,"&lt;=30/09"&amp;$C$7)</f>
        <v>0</v>
      </c>
      <c r="AP168" s="256">
        <f>SUMIFS('Livro Diario - FC'!$M$11:$M1028,'Livro Diario - FC'!$E$11:$E1028,$C$168,'Livro Diario - FC'!$D$11:$D1028,"&gt;=01/09"&amp;$C$7,'Livro Diario - FC'!$D$11:$D1028,"&lt;=30/09"&amp;$C$7)</f>
        <v>0</v>
      </c>
      <c r="AQ168" s="273"/>
      <c r="AR168" s="258"/>
      <c r="AS168" s="255">
        <f>SUMIFS('Livro Diario - FC'!$K$11:$K1028,'Livro Diario - FC'!$E$11:$E1028,$C$168,'Livro Diario - FC'!$D$11:$D1028,"&gt;=01/10"&amp;$C$7,'Livro Diario - FC'!$D$11:$D1028,"&lt;=31/10"&amp;$C$7)</f>
        <v>0</v>
      </c>
      <c r="AT168" s="256">
        <f>SUMIFS('Livro Diario - FC'!$M$11:$M1028,'Livro Diario - FC'!$E$11:$E1028,$C$168,'Livro Diario - FC'!$D$11:$D1028,"&gt;=01/10"&amp;$C$7,'Livro Diario - FC'!$D$11:$D1028,"&lt;=31/10"&amp;$C$7)</f>
        <v>0</v>
      </c>
      <c r="AU168" s="273"/>
      <c r="AV168" s="258"/>
      <c r="AW168" s="255">
        <f>SUMIFS('Livro Diario - FC'!$K$11:$K1028,'Livro Diario - FC'!$E$11:$E1028,$C$168,'Livro Diario - FC'!$D$11:$D1028,"&gt;=01/11"&amp;$C$7,'Livro Diario - FC'!$D$11:$D1028,"&lt;=30/11"&amp;$C$7)</f>
        <v>0</v>
      </c>
      <c r="AX168" s="256">
        <f>SUMIFS('Livro Diario - FC'!$M$11:$M1028,'Livro Diario - FC'!$E$11:$E1028,$C$168,'Livro Diario - FC'!$D$11:$D1028,"&gt;=01/11"&amp;$C$7,'Livro Diario - FC'!$D$11:$D1028,"&lt;=30/11"&amp;$C$7)</f>
        <v>0</v>
      </c>
      <c r="AY168" s="273"/>
      <c r="AZ168" s="258"/>
      <c r="BA168" s="255">
        <f>SUMIFS('Livro Diario - FC'!$K$11:$K1028,'Livro Diario - FC'!$E$11:$E1028,$C$168,'Livro Diario - FC'!$D$11:$D1028,"&gt;=01/12"&amp;$C$7,'Livro Diario - FC'!$D$11:$D1028,"&lt;=31/12"&amp;$C$7)</f>
        <v>0</v>
      </c>
      <c r="BB168" s="256">
        <f>SUMIFS('Livro Diario - FC'!$M$11:$M1028,'Livro Diario - FC'!$E$11:$E1028,$C$168,'Livro Diario - FC'!$D$11:$D1028,"&gt;=01/12"&amp;$C$7,'Livro Diario - FC'!$D$11:$D1028,"&lt;=31/12"&amp;$C$7)</f>
        <v>0</v>
      </c>
      <c r="BC168" s="273"/>
      <c r="BD168" s="273"/>
      <c r="BE168" s="267">
        <f t="shared" ref="BE168:BF168" si="269">SUM(D168,I168,N168,S168,X168,AC168,AG168,AK168,AO168,AS168,AW168,BA168)</f>
        <v>838.28</v>
      </c>
      <c r="BF168" s="268">
        <f t="shared" si="269"/>
        <v>838.28</v>
      </c>
      <c r="BG168" s="269"/>
      <c r="BH168" s="192"/>
      <c r="BI168" s="270">
        <f>SUMIFS('Livro Diario - FC'!$M$11:$M1028,'Livro Diario - FC'!$E$11:$E1028,C168,'Livro Diario - FC'!$D$11:$D1028,"&gt;="&amp;$BK$8,'Livro Diario - FC'!$D$11:$D1028,"&lt;="&amp;$BK$9)</f>
        <v>0</v>
      </c>
      <c r="BJ168" s="271"/>
      <c r="BK168" s="272"/>
      <c r="BL168" s="1"/>
    </row>
    <row r="169">
      <c r="A169" s="1"/>
      <c r="B169" s="1"/>
      <c r="C169" s="338" t="str">
        <f>'Livro Diario - FC'!AE178</f>
        <v>Costela de Charque</v>
      </c>
      <c r="D169" s="255">
        <f>SUMIFS('Livro Diario - FC'!$K$11:$K1028,'Livro Diario - FC'!$E$11:$E1028,$C$169,'Livro Diario - FC'!$D$11:$D1028,"&gt;=01/01"&amp;$C$7,'Livro Diario - FC'!$D$11:$D1028,"&lt;=31/01"&amp;$C$7)</f>
        <v>67.99</v>
      </c>
      <c r="E169" s="256">
        <f>SUMIFS('Livro Diario - FC'!$M$11:$M1028,'Livro Diario - FC'!$E$11:$E1028,$C$169,'Livro Diario - FC'!$D$11:$D1028,"&gt;=01/01"&amp;$C$7,'Livro Diario - FC'!$D$11:$D1028,"&lt;=31/01"&amp;$C$7)</f>
        <v>67.99</v>
      </c>
      <c r="F169" s="273"/>
      <c r="G169" s="258"/>
      <c r="H169" s="157"/>
      <c r="I169" s="255">
        <f>SUMIFS('Livro Diario - FC'!$K$11:$K1028,'Livro Diario - FC'!$E$11:$E1028,$C$169,'Livro Diario - FC'!$D$11:$D1028,"&gt;=01/02"&amp;$C$7,'Livro Diario - FC'!$D$11:$D1028,"&lt;=29/02"&amp;$C$7)</f>
        <v>0</v>
      </c>
      <c r="J169" s="256">
        <f>SUMIFS('Livro Diario - FC'!$M$11:$M1028,'Livro Diario - FC'!$E$11:$E1028,$C$169,'Livro Diario - FC'!$D$11:$D1028,"&gt;=01/02"&amp;$C$7,'Livro Diario - FC'!$D$11:$D1028,"&lt;=29/02"&amp;$C$7)</f>
        <v>0</v>
      </c>
      <c r="K169" s="273"/>
      <c r="L169" s="258"/>
      <c r="M169" s="259"/>
      <c r="N169" s="255">
        <f>SUMIFS('Livro Diario - FC'!$K$11:$K1028,'Livro Diario - FC'!$E$11:$E1028,$C$169,'Livro Diario - FC'!$D$11:$D1028,"&gt;=01/03"&amp;$C$7,'Livro Diario - FC'!$D$11:$D1028,"&lt;=31/03"&amp;$C$7)</f>
        <v>0</v>
      </c>
      <c r="O169" s="256">
        <f>SUMIFS('Livro Diario - FC'!$M$11:$M1028,'Livro Diario - FC'!$E$11:$E1028,$C$169,'Livro Diario - FC'!$D$11:$D1028,"&gt;=01/03"&amp;$C$7,'Livro Diario - FC'!$D$11:$D1028,"&lt;=31/03"&amp;$C$7)</f>
        <v>0</v>
      </c>
      <c r="P169" s="273"/>
      <c r="Q169" s="258"/>
      <c r="R169" s="259"/>
      <c r="S169" s="255">
        <f>SUMIFS('Livro Diario - FC'!$K$11:$K1028,'Livro Diario - FC'!$E$11:$E1028,$C$169,'Livro Diario - FC'!$D$11:$D1028,"&gt;=01/04"&amp;$C$7,'Livro Diario - FC'!$D$11:$D1028,"&lt;=30/04"&amp;$C$7)</f>
        <v>0</v>
      </c>
      <c r="T169" s="256">
        <f>SUMIFS('Livro Diario - FC'!$M$11:$M1028,'Livro Diario - FC'!$E$11:$E1028,$C$169,'Livro Diario - FC'!$D$11:$D1028,"&gt;=01/04"&amp;$C$7,'Livro Diario - FC'!$D$11:$D1028,"&lt;=30/04"&amp;$C$7)</f>
        <v>0</v>
      </c>
      <c r="U169" s="273"/>
      <c r="V169" s="258"/>
      <c r="W169" s="259"/>
      <c r="X169" s="255">
        <f>SUMIFS('Livro Diario - FC'!$K$11:$K1028,'Livro Diario - FC'!$E$11:$E1028,$C$169,'Livro Diario - FC'!$D$11:$D1028,"&gt;=01/05"&amp;$C$7,'Livro Diario - FC'!$D$11:$D1028,"&lt;=31/05"&amp;$C$7)</f>
        <v>0</v>
      </c>
      <c r="Y169" s="256">
        <f>SUMIFS('Livro Diario - FC'!$M$11:$M1028,'Livro Diario - FC'!$E$11:$E1028,$C$169,'Livro Diario - FC'!$D$11:$D1028,"&gt;=01/05"&amp;$C$7,'Livro Diario - FC'!$D$11:$D1028,"&lt;=31/05"&amp;$C$7)</f>
        <v>0</v>
      </c>
      <c r="Z169" s="273"/>
      <c r="AA169" s="258"/>
      <c r="AB169" s="259"/>
      <c r="AC169" s="255">
        <f>SUMIFS('Livro Diario - FC'!$K$11:$K1028,'Livro Diario - FC'!$E$11:$E1028,$C$169,'Livro Diario - FC'!$D$11:$D1028,"&gt;=01/06"&amp;$C$7,'Livro Diario - FC'!$D$11:$D1028,"&lt;=30/06"&amp;$C$7)</f>
        <v>0</v>
      </c>
      <c r="AD169" s="256">
        <f>SUMIFS('Livro Diario - FC'!$M$11:$M1028,'Livro Diario - FC'!$E$11:$E1028,$C$169,'Livro Diario - FC'!$D$11:$D1028,"&gt;=01/06"&amp;$C$7,'Livro Diario - FC'!$D$11:$D1028,"&lt;=30/06"&amp;$C$7)</f>
        <v>0</v>
      </c>
      <c r="AE169" s="273"/>
      <c r="AF169" s="258"/>
      <c r="AG169" s="255">
        <f>SUMIFS('Livro Diario - FC'!$K$11:$K1028,'Livro Diario - FC'!$E$11:$E1028,$C$169,'Livro Diario - FC'!$D$11:$D1028,"&gt;=01/07"&amp;$C$7,'Livro Diario - FC'!$D$11:$D1028,"&lt;=31/07"&amp;$C$7)</f>
        <v>0</v>
      </c>
      <c r="AH169" s="256">
        <f>SUMIFS('Livro Diario - FC'!$M$11:$M1028,'Livro Diario - FC'!$E$11:$E1028,$C$169,'Livro Diario - FC'!$D$11:$D1028,"&gt;=01/07"&amp;$C$7,'Livro Diario - FC'!$D$11:$D1028,"&lt;=31/07"&amp;$C$7)</f>
        <v>0</v>
      </c>
      <c r="AI169" s="273"/>
      <c r="AJ169" s="258"/>
      <c r="AK169" s="255">
        <f>SUMIFS('Livro Diario - FC'!$K$11:$K1028,'Livro Diario - FC'!$E$11:$E1028,$C$169,'Livro Diario - FC'!$D$11:$D1028,"&gt;=01/08"&amp;$C$7,'Livro Diario - FC'!$D$11:$D1028,"&lt;=31/08"&amp;$C$7)</f>
        <v>0</v>
      </c>
      <c r="AL169" s="256">
        <f>SUMIFS('Livro Diario - FC'!$M$11:$M1028,'Livro Diario - FC'!$E$11:$E1028,$C$169,'Livro Diario - FC'!$D$11:$D1028,"&gt;=01/08"&amp;$C$7,'Livro Diario - FC'!$D$11:$D1028,"&lt;=31/08"&amp;$C$7)</f>
        <v>0</v>
      </c>
      <c r="AM169" s="273"/>
      <c r="AN169" s="258"/>
      <c r="AO169" s="255">
        <f>SUMIFS('Livro Diario - FC'!$K$11:$K1028,'Livro Diario - FC'!$E$11:$E1028,$C$169,'Livro Diario - FC'!$D$11:$D1028,"&gt;=01/09"&amp;$C$7,'Livro Diario - FC'!$D$11:$D1028,"&lt;=30/09"&amp;$C$7)</f>
        <v>0</v>
      </c>
      <c r="AP169" s="256">
        <f>SUMIFS('Livro Diario - FC'!$M$11:$M1028,'Livro Diario - FC'!$E$11:$E1028,$C$169,'Livro Diario - FC'!$D$11:$D1028,"&gt;=01/09"&amp;$C$7,'Livro Diario - FC'!$D$11:$D1028,"&lt;=30/09"&amp;$C$7)</f>
        <v>0</v>
      </c>
      <c r="AQ169" s="273"/>
      <c r="AR169" s="258"/>
      <c r="AS169" s="255">
        <f>SUMIFS('Livro Diario - FC'!$K$11:$K1028,'Livro Diario - FC'!$E$11:$E1028,$C$169,'Livro Diario - FC'!$D$11:$D1028,"&gt;=01/10"&amp;$C$7,'Livro Diario - FC'!$D$11:$D1028,"&lt;=31/10"&amp;$C$7)</f>
        <v>0</v>
      </c>
      <c r="AT169" s="256">
        <f>SUMIFS('Livro Diario - FC'!$M$11:$M1028,'Livro Diario - FC'!$E$11:$E1028,$C$169,'Livro Diario - FC'!$D$11:$D1028,"&gt;=01/10"&amp;$C$7,'Livro Diario - FC'!$D$11:$D1028,"&lt;=31/10"&amp;$C$7)</f>
        <v>0</v>
      </c>
      <c r="AU169" s="273"/>
      <c r="AV169" s="258"/>
      <c r="AW169" s="255">
        <f>SUMIFS('Livro Diario - FC'!$K$11:$K1028,'Livro Diario - FC'!$E$11:$E1028,$C$169,'Livro Diario - FC'!$D$11:$D1028,"&gt;=01/11"&amp;$C$7,'Livro Diario - FC'!$D$11:$D1028,"&lt;=30/11"&amp;$C$7)</f>
        <v>0</v>
      </c>
      <c r="AX169" s="256">
        <f>SUMIFS('Livro Diario - FC'!$M$11:$M1028,'Livro Diario - FC'!$E$11:$E1028,$C$169,'Livro Diario - FC'!$D$11:$D1028,"&gt;=01/11"&amp;$C$7,'Livro Diario - FC'!$D$11:$D1028,"&lt;=30/11"&amp;$C$7)</f>
        <v>0</v>
      </c>
      <c r="AY169" s="273"/>
      <c r="AZ169" s="258"/>
      <c r="BA169" s="255">
        <f>SUMIFS('Livro Diario - FC'!$K$11:$K1028,'Livro Diario - FC'!$E$11:$E1028,$C$169,'Livro Diario - FC'!$D$11:$D1028,"&gt;=01/12"&amp;$C$7,'Livro Diario - FC'!$D$11:$D1028,"&lt;=31/12"&amp;$C$7)</f>
        <v>0</v>
      </c>
      <c r="BB169" s="256">
        <f>SUMIFS('Livro Diario - FC'!$M$11:$M1028,'Livro Diario - FC'!$E$11:$E1028,$C$169,'Livro Diario - FC'!$D$11:$D1028,"&gt;=01/12"&amp;$C$7,'Livro Diario - FC'!$D$11:$D1028,"&lt;=31/12"&amp;$C$7)</f>
        <v>0</v>
      </c>
      <c r="BC169" s="273"/>
      <c r="BD169" s="273"/>
      <c r="BE169" s="267">
        <f t="shared" ref="BE169:BF169" si="270">SUM(D169,I169,N169,S169,X169,AC169,AG169,AK169,AO169,AS169,AW169,BA169)</f>
        <v>67.99</v>
      </c>
      <c r="BF169" s="268">
        <f t="shared" si="270"/>
        <v>67.99</v>
      </c>
      <c r="BG169" s="269"/>
      <c r="BH169" s="192"/>
      <c r="BI169" s="270">
        <f>SUMIFS('Livro Diario - FC'!$M$11:$M1028,'Livro Diario - FC'!$E$11:$E1028,C169,'Livro Diario - FC'!$D$11:$D1028,"&gt;="&amp;$BK$8,'Livro Diario - FC'!$D$11:$D1028,"&lt;="&amp;$BK$9)</f>
        <v>0</v>
      </c>
      <c r="BJ169" s="271"/>
      <c r="BK169" s="272"/>
      <c r="BL169" s="1"/>
    </row>
    <row r="170">
      <c r="A170" s="1"/>
      <c r="B170" s="1"/>
      <c r="C170" s="338" t="str">
        <f>'Livro Diario - FC'!AE179</f>
        <v>Galinha (Peito)</v>
      </c>
      <c r="D170" s="255">
        <f>SUMIFS('Livro Diario - FC'!$K$11:$K1028,'Livro Diario - FC'!$E$11:$E1028,$C$170,'Livro Diario - FC'!$D$11:$D1028,"&gt;=01/01"&amp;$C$7,'Livro Diario - FC'!$D$11:$D1028,"&lt;=31/01"&amp;$C$7)</f>
        <v>416.21</v>
      </c>
      <c r="E170" s="256">
        <f>SUMIFS('Livro Diario - FC'!$M$11:$M1028,'Livro Diario - FC'!$E$11:$E1028,$C$170,'Livro Diario - FC'!$D$11:$D1028,"&gt;=01/01"&amp;$C$7,'Livro Diario - FC'!$D$11:$D1028,"&lt;=31/01"&amp;$C$7)</f>
        <v>416.21</v>
      </c>
      <c r="F170" s="273"/>
      <c r="G170" s="258"/>
      <c r="H170" s="157"/>
      <c r="I170" s="255">
        <f>SUMIFS('Livro Diario - FC'!$K$11:$K1028,'Livro Diario - FC'!$E$11:$E1028,$C$170,'Livro Diario - FC'!$D$11:$D1028,"&gt;=01/02"&amp;$C$7,'Livro Diario - FC'!$D$11:$D1028,"&lt;=29/02"&amp;$C$7)</f>
        <v>0</v>
      </c>
      <c r="J170" s="256">
        <f>SUMIFS('Livro Diario - FC'!$M$11:$M1028,'Livro Diario - FC'!$E$11:$E1028,$C$170,'Livro Diario - FC'!$D$11:$D1028,"&gt;=01/02"&amp;$C$7,'Livro Diario - FC'!$D$11:$D1028,"&lt;=29/02"&amp;$C$7)</f>
        <v>0</v>
      </c>
      <c r="K170" s="273"/>
      <c r="L170" s="258"/>
      <c r="M170" s="259"/>
      <c r="N170" s="255">
        <f>SUMIFS('Livro Diario - FC'!$K$11:$K1028,'Livro Diario - FC'!$E$11:$E1028,$C$170,'Livro Diario - FC'!$D$11:$D1028,"&gt;=01/03"&amp;$C$7,'Livro Diario - FC'!$D$11:$D1028,"&lt;=31/03"&amp;$C$7)</f>
        <v>0</v>
      </c>
      <c r="O170" s="256">
        <f>SUMIFS('Livro Diario - FC'!$M$11:$M1028,'Livro Diario - FC'!$E$11:$E1028,$C$170,'Livro Diario - FC'!$D$11:$D1028,"&gt;=01/03"&amp;$C$7,'Livro Diario - FC'!$D$11:$D1028,"&lt;=31/03"&amp;$C$7)</f>
        <v>0</v>
      </c>
      <c r="P170" s="273"/>
      <c r="Q170" s="258"/>
      <c r="R170" s="259"/>
      <c r="S170" s="255">
        <f>SUMIFS('Livro Diario - FC'!$K$11:$K1028,'Livro Diario - FC'!$E$11:$E1028,$C$170,'Livro Diario - FC'!$D$11:$D1028,"&gt;=01/04"&amp;$C$7,'Livro Diario - FC'!$D$11:$D1028,"&lt;=30/04"&amp;$C$7)</f>
        <v>0</v>
      </c>
      <c r="T170" s="256">
        <f>SUMIFS('Livro Diario - FC'!$M$11:$M1028,'Livro Diario - FC'!$E$11:$E1028,$C$170,'Livro Diario - FC'!$D$11:$D1028,"&gt;=01/04"&amp;$C$7,'Livro Diario - FC'!$D$11:$D1028,"&lt;=30/04"&amp;$C$7)</f>
        <v>0</v>
      </c>
      <c r="U170" s="273"/>
      <c r="V170" s="258"/>
      <c r="W170" s="259"/>
      <c r="X170" s="255">
        <f>SUMIFS('Livro Diario - FC'!$K$11:$K1028,'Livro Diario - FC'!$E$11:$E1028,$C$170,'Livro Diario - FC'!$D$11:$D1028,"&gt;=01/05"&amp;$C$7,'Livro Diario - FC'!$D$11:$D1028,"&lt;=31/05"&amp;$C$7)</f>
        <v>0</v>
      </c>
      <c r="Y170" s="256">
        <f>SUMIFS('Livro Diario - FC'!$M$11:$M1028,'Livro Diario - FC'!$E$11:$E1028,$C$170,'Livro Diario - FC'!$D$11:$D1028,"&gt;=01/05"&amp;$C$7,'Livro Diario - FC'!$D$11:$D1028,"&lt;=31/05"&amp;$C$7)</f>
        <v>0</v>
      </c>
      <c r="Z170" s="273"/>
      <c r="AA170" s="258"/>
      <c r="AB170" s="259"/>
      <c r="AC170" s="255">
        <f>SUMIFS('Livro Diario - FC'!$K$11:$K1028,'Livro Diario - FC'!$E$11:$E1028,$C$170,'Livro Diario - FC'!$D$11:$D1028,"&gt;=01/06"&amp;$C$7,'Livro Diario - FC'!$D$11:$D1028,"&lt;=30/06"&amp;$C$7)</f>
        <v>0</v>
      </c>
      <c r="AD170" s="256">
        <f>SUMIFS('Livro Diario - FC'!$M$11:$M1028,'Livro Diario - FC'!$E$11:$E1028,$C$170,'Livro Diario - FC'!$D$11:$D1028,"&gt;=01/06"&amp;$C$7,'Livro Diario - FC'!$D$11:$D1028,"&lt;=30/06"&amp;$C$7)</f>
        <v>0</v>
      </c>
      <c r="AE170" s="273"/>
      <c r="AF170" s="258"/>
      <c r="AG170" s="255">
        <f>SUMIFS('Livro Diario - FC'!$K$11:$K1028,'Livro Diario - FC'!$E$11:$E1028,$C$170,'Livro Diario - FC'!$D$11:$D1028,"&gt;=01/07"&amp;$C$7,'Livro Diario - FC'!$D$11:$D1028,"&lt;=31/07"&amp;$C$7)</f>
        <v>0</v>
      </c>
      <c r="AH170" s="256">
        <f>SUMIFS('Livro Diario - FC'!$M$11:$M1028,'Livro Diario - FC'!$E$11:$E1028,$C$170,'Livro Diario - FC'!$D$11:$D1028,"&gt;=01/07"&amp;$C$7,'Livro Diario - FC'!$D$11:$D1028,"&lt;=31/07"&amp;$C$7)</f>
        <v>0</v>
      </c>
      <c r="AI170" s="273"/>
      <c r="AJ170" s="258"/>
      <c r="AK170" s="255">
        <f>SUMIFS('Livro Diario - FC'!$K$11:$K1028,'Livro Diario - FC'!$E$11:$E1028,$C$170,'Livro Diario - FC'!$D$11:$D1028,"&gt;=01/08"&amp;$C$7,'Livro Diario - FC'!$D$11:$D1028,"&lt;=31/08"&amp;$C$7)</f>
        <v>0</v>
      </c>
      <c r="AL170" s="256">
        <f>SUMIFS('Livro Diario - FC'!$M$11:$M1028,'Livro Diario - FC'!$E$11:$E1028,$C$170,'Livro Diario - FC'!$D$11:$D1028,"&gt;=01/08"&amp;$C$7,'Livro Diario - FC'!$D$11:$D1028,"&lt;=31/08"&amp;$C$7)</f>
        <v>0</v>
      </c>
      <c r="AM170" s="273"/>
      <c r="AN170" s="258"/>
      <c r="AO170" s="255">
        <f>SUMIFS('Livro Diario - FC'!$K$11:$K1028,'Livro Diario - FC'!$E$11:$E1028,$C$170,'Livro Diario - FC'!$D$11:$D1028,"&gt;=01/09"&amp;$C$7,'Livro Diario - FC'!$D$11:$D1028,"&lt;=30/09"&amp;$C$7)</f>
        <v>0</v>
      </c>
      <c r="AP170" s="256">
        <f>SUMIFS('Livro Diario - FC'!$M$11:$M1028,'Livro Diario - FC'!$E$11:$E1028,$C$170,'Livro Diario - FC'!$D$11:$D1028,"&gt;=01/09"&amp;$C$7,'Livro Diario - FC'!$D$11:$D1028,"&lt;=30/09"&amp;$C$7)</f>
        <v>0</v>
      </c>
      <c r="AQ170" s="273"/>
      <c r="AR170" s="258"/>
      <c r="AS170" s="255">
        <f>SUMIFS('Livro Diario - FC'!$K$11:$K1028,'Livro Diario - FC'!$E$11:$E1028,$C$170,'Livro Diario - FC'!$D$11:$D1028,"&gt;=01/10"&amp;$C$7,'Livro Diario - FC'!$D$11:$D1028,"&lt;=31/10"&amp;$C$7)</f>
        <v>0</v>
      </c>
      <c r="AT170" s="256">
        <f>SUMIFS('Livro Diario - FC'!$M$11:$M1028,'Livro Diario - FC'!$E$11:$E1028,$C$170,'Livro Diario - FC'!$D$11:$D1028,"&gt;=01/10"&amp;$C$7,'Livro Diario - FC'!$D$11:$D1028,"&lt;=31/10"&amp;$C$7)</f>
        <v>0</v>
      </c>
      <c r="AU170" s="273"/>
      <c r="AV170" s="258"/>
      <c r="AW170" s="255">
        <f>SUMIFS('Livro Diario - FC'!$K$11:$K1028,'Livro Diario - FC'!$E$11:$E1028,$C$170,'Livro Diario - FC'!$D$11:$D1028,"&gt;=01/11"&amp;$C$7,'Livro Diario - FC'!$D$11:$D1028,"&lt;=30/11"&amp;$C$7)</f>
        <v>0</v>
      </c>
      <c r="AX170" s="256">
        <f>SUMIFS('Livro Diario - FC'!$M$11:$M1028,'Livro Diario - FC'!$E$11:$E1028,$C$170,'Livro Diario - FC'!$D$11:$D1028,"&gt;=01/11"&amp;$C$7,'Livro Diario - FC'!$D$11:$D1028,"&lt;=30/11"&amp;$C$7)</f>
        <v>0</v>
      </c>
      <c r="AY170" s="273"/>
      <c r="AZ170" s="258"/>
      <c r="BA170" s="255">
        <f>SUMIFS('Livro Diario - FC'!$K$11:$K1028,'Livro Diario - FC'!$E$11:$E1028,$C$170,'Livro Diario - FC'!$D$11:$D1028,"&gt;=01/12"&amp;$C$7,'Livro Diario - FC'!$D$11:$D1028,"&lt;=31/12"&amp;$C$7)</f>
        <v>0</v>
      </c>
      <c r="BB170" s="256">
        <f>SUMIFS('Livro Diario - FC'!$M$11:$M1028,'Livro Diario - FC'!$E$11:$E1028,$C$170,'Livro Diario - FC'!$D$11:$D1028,"&gt;=01/12"&amp;$C$7,'Livro Diario - FC'!$D$11:$D1028,"&lt;=31/12"&amp;$C$7)</f>
        <v>0</v>
      </c>
      <c r="BC170" s="273"/>
      <c r="BD170" s="273"/>
      <c r="BE170" s="267">
        <f t="shared" ref="BE170:BF170" si="271">SUM(D170,I170,N170,S170,X170,AC170,AG170,AK170,AO170,AS170,AW170,BA170)</f>
        <v>416.21</v>
      </c>
      <c r="BF170" s="268">
        <f t="shared" si="271"/>
        <v>416.21</v>
      </c>
      <c r="BG170" s="269"/>
      <c r="BH170" s="192"/>
      <c r="BI170" s="270">
        <f>SUMIFS('Livro Diario - FC'!$M$11:$M1028,'Livro Diario - FC'!$E$11:$E1028,C170,'Livro Diario - FC'!$D$11:$D1028,"&gt;="&amp;$BK$8,'Livro Diario - FC'!$D$11:$D1028,"&lt;="&amp;$BK$9)</f>
        <v>0</v>
      </c>
      <c r="BJ170" s="271"/>
      <c r="BK170" s="272"/>
      <c r="BL170" s="1"/>
    </row>
    <row r="171">
      <c r="A171" s="1"/>
      <c r="B171" s="1"/>
      <c r="C171" s="338" t="str">
        <f>'Livro Diario - FC'!AE180</f>
        <v>Galinha (Coxa/sobrecoxa)</v>
      </c>
      <c r="D171" s="255">
        <f>SUMIFS('Livro Diario - FC'!$K$11:$K1028,'Livro Diario - FC'!$E$11:$E1028,$C$171,'Livro Diario - FC'!$D$11:$D1028,"&gt;=01/01"&amp;$C$7,'Livro Diario - FC'!$D$11:$D1028,"&lt;=31/01"&amp;$C$7)</f>
        <v>191.47</v>
      </c>
      <c r="E171" s="256">
        <f>SUMIFS('Livro Diario - FC'!$M$11:$M1028,'Livro Diario - FC'!$E$11:$E1028,$C$171,'Livro Diario - FC'!$D$11:$D1028,"&gt;=01/01"&amp;$C$7,'Livro Diario - FC'!$D$11:$D1028,"&lt;=31/01"&amp;$C$7)</f>
        <v>191.47</v>
      </c>
      <c r="F171" s="273"/>
      <c r="G171" s="258"/>
      <c r="H171" s="157"/>
      <c r="I171" s="255">
        <f>SUMIFS('Livro Diario - FC'!$K$11:$K1028,'Livro Diario - FC'!$E$11:$E1028,$C$171,'Livro Diario - FC'!$D$11:$D1028,"&gt;=01/02"&amp;$C$7,'Livro Diario - FC'!$D$11:$D1028,"&lt;=29/02"&amp;$C$7)</f>
        <v>0</v>
      </c>
      <c r="J171" s="256">
        <f>SUMIFS('Livro Diario - FC'!$M$11:$M1028,'Livro Diario - FC'!$E$11:$E1028,$C$171,'Livro Diario - FC'!$D$11:$D1028,"&gt;=01/02"&amp;$C$7,'Livro Diario - FC'!$D$11:$D1028,"&lt;=29/02"&amp;$C$7)</f>
        <v>0</v>
      </c>
      <c r="K171" s="273"/>
      <c r="L171" s="258"/>
      <c r="M171" s="259"/>
      <c r="N171" s="255">
        <f>SUMIFS('Livro Diario - FC'!$K$11:$K1028,'Livro Diario - FC'!$E$11:$E1028,$C$171,'Livro Diario - FC'!$D$11:$D1028,"&gt;=01/03"&amp;$C$7,'Livro Diario - FC'!$D$11:$D1028,"&lt;=31/03"&amp;$C$7)</f>
        <v>0</v>
      </c>
      <c r="O171" s="256">
        <f>SUMIFS('Livro Diario - FC'!$M$11:$M1028,'Livro Diario - FC'!$E$11:$E1028,$C$171,'Livro Diario - FC'!$D$11:$D1028,"&gt;=01/03"&amp;$C$7,'Livro Diario - FC'!$D$11:$D1028,"&lt;=31/03"&amp;$C$7)</f>
        <v>0</v>
      </c>
      <c r="P171" s="273"/>
      <c r="Q171" s="258"/>
      <c r="R171" s="259"/>
      <c r="S171" s="255">
        <f>SUMIFS('Livro Diario - FC'!$K$11:$K1028,'Livro Diario - FC'!$E$11:$E1028,$C$171,'Livro Diario - FC'!$D$11:$D1028,"&gt;=01/04"&amp;$C$7,'Livro Diario - FC'!$D$11:$D1028,"&lt;=30/04"&amp;$C$7)</f>
        <v>0</v>
      </c>
      <c r="T171" s="256">
        <f>SUMIFS('Livro Diario - FC'!$M$11:$M1028,'Livro Diario - FC'!$E$11:$E1028,$C$171,'Livro Diario - FC'!$D$11:$D1028,"&gt;=01/04"&amp;$C$7,'Livro Diario - FC'!$D$11:$D1028,"&lt;=30/04"&amp;$C$7)</f>
        <v>0</v>
      </c>
      <c r="U171" s="273"/>
      <c r="V171" s="258"/>
      <c r="W171" s="259"/>
      <c r="X171" s="255">
        <f>SUMIFS('Livro Diario - FC'!$K$11:$K1028,'Livro Diario - FC'!$E$11:$E1028,$C$171,'Livro Diario - FC'!$D$11:$D1028,"&gt;=01/05"&amp;$C$7,'Livro Diario - FC'!$D$11:$D1028,"&lt;=31/05"&amp;$C$7)</f>
        <v>0</v>
      </c>
      <c r="Y171" s="256">
        <f>SUMIFS('Livro Diario - FC'!$M$11:$M1028,'Livro Diario - FC'!$E$11:$E1028,$C$171,'Livro Diario - FC'!$D$11:$D1028,"&gt;=01/05"&amp;$C$7,'Livro Diario - FC'!$D$11:$D1028,"&lt;=31/05"&amp;$C$7)</f>
        <v>0</v>
      </c>
      <c r="Z171" s="273"/>
      <c r="AA171" s="258"/>
      <c r="AB171" s="259"/>
      <c r="AC171" s="255">
        <f>SUMIFS('Livro Diario - FC'!$K$11:$K1028,'Livro Diario - FC'!$E$11:$E1028,$C$171,'Livro Diario - FC'!$D$11:$D1028,"&gt;=01/06"&amp;$C$7,'Livro Diario - FC'!$D$11:$D1028,"&lt;=30/06"&amp;$C$7)</f>
        <v>0</v>
      </c>
      <c r="AD171" s="256">
        <f>SUMIFS('Livro Diario - FC'!$M$11:$M1028,'Livro Diario - FC'!$E$11:$E1028,$C$171,'Livro Diario - FC'!$D$11:$D1028,"&gt;=01/06"&amp;$C$7,'Livro Diario - FC'!$D$11:$D1028,"&lt;=30/06"&amp;$C$7)</f>
        <v>0</v>
      </c>
      <c r="AE171" s="273"/>
      <c r="AF171" s="258"/>
      <c r="AG171" s="255">
        <f>SUMIFS('Livro Diario - FC'!$K$11:$K1028,'Livro Diario - FC'!$E$11:$E1028,$C$171,'Livro Diario - FC'!$D$11:$D1028,"&gt;=01/07"&amp;$C$7,'Livro Diario - FC'!$D$11:$D1028,"&lt;=31/07"&amp;$C$7)</f>
        <v>0</v>
      </c>
      <c r="AH171" s="256">
        <f>SUMIFS('Livro Diario - FC'!$M$11:$M1028,'Livro Diario - FC'!$E$11:$E1028,$C$171,'Livro Diario - FC'!$D$11:$D1028,"&gt;=01/07"&amp;$C$7,'Livro Diario - FC'!$D$11:$D1028,"&lt;=31/07"&amp;$C$7)</f>
        <v>0</v>
      </c>
      <c r="AI171" s="273"/>
      <c r="AJ171" s="258"/>
      <c r="AK171" s="255">
        <f>SUMIFS('Livro Diario - FC'!$K$11:$K1028,'Livro Diario - FC'!$E$11:$E1028,$C$171,'Livro Diario - FC'!$D$11:$D1028,"&gt;=01/08"&amp;$C$7,'Livro Diario - FC'!$D$11:$D1028,"&lt;=31/08"&amp;$C$7)</f>
        <v>0</v>
      </c>
      <c r="AL171" s="256">
        <f>SUMIFS('Livro Diario - FC'!$M$11:$M1028,'Livro Diario - FC'!$E$11:$E1028,$C$171,'Livro Diario - FC'!$D$11:$D1028,"&gt;=01/08"&amp;$C$7,'Livro Diario - FC'!$D$11:$D1028,"&lt;=31/08"&amp;$C$7)</f>
        <v>0</v>
      </c>
      <c r="AM171" s="273"/>
      <c r="AN171" s="258"/>
      <c r="AO171" s="255">
        <f>SUMIFS('Livro Diario - FC'!$K$11:$K1028,'Livro Diario - FC'!$E$11:$E1028,$C$171,'Livro Diario - FC'!$D$11:$D1028,"&gt;=01/09"&amp;$C$7,'Livro Diario - FC'!$D$11:$D1028,"&lt;=30/09"&amp;$C$7)</f>
        <v>0</v>
      </c>
      <c r="AP171" s="256">
        <f>SUMIFS('Livro Diario - FC'!$M$11:$M1028,'Livro Diario - FC'!$E$11:$E1028,$C$171,'Livro Diario - FC'!$D$11:$D1028,"&gt;=01/09"&amp;$C$7,'Livro Diario - FC'!$D$11:$D1028,"&lt;=30/09"&amp;$C$7)</f>
        <v>0</v>
      </c>
      <c r="AQ171" s="273"/>
      <c r="AR171" s="258"/>
      <c r="AS171" s="255">
        <f>SUMIFS('Livro Diario - FC'!$K$11:$K1028,'Livro Diario - FC'!$E$11:$E1028,$C$171,'Livro Diario - FC'!$D$11:$D1028,"&gt;=01/10"&amp;$C$7,'Livro Diario - FC'!$D$11:$D1028,"&lt;=31/10"&amp;$C$7)</f>
        <v>0</v>
      </c>
      <c r="AT171" s="256">
        <f>SUMIFS('Livro Diario - FC'!$M$11:$M1028,'Livro Diario - FC'!$E$11:$E1028,$C$171,'Livro Diario - FC'!$D$11:$D1028,"&gt;=01/10"&amp;$C$7,'Livro Diario - FC'!$D$11:$D1028,"&lt;=31/10"&amp;$C$7)</f>
        <v>0</v>
      </c>
      <c r="AU171" s="273"/>
      <c r="AV171" s="258"/>
      <c r="AW171" s="255">
        <f>SUMIFS('Livro Diario - FC'!$K$11:$K1028,'Livro Diario - FC'!$E$11:$E1028,$C$171,'Livro Diario - FC'!$D$11:$D1028,"&gt;=01/11"&amp;$C$7,'Livro Diario - FC'!$D$11:$D1028,"&lt;=30/11"&amp;$C$7)</f>
        <v>0</v>
      </c>
      <c r="AX171" s="256">
        <f>SUMIFS('Livro Diario - FC'!$M$11:$M1028,'Livro Diario - FC'!$E$11:$E1028,$C$171,'Livro Diario - FC'!$D$11:$D1028,"&gt;=01/11"&amp;$C$7,'Livro Diario - FC'!$D$11:$D1028,"&lt;=30/11"&amp;$C$7)</f>
        <v>0</v>
      </c>
      <c r="AY171" s="273"/>
      <c r="AZ171" s="258"/>
      <c r="BA171" s="255">
        <f>SUMIFS('Livro Diario - FC'!$K$11:$K1028,'Livro Diario - FC'!$E$11:$E1028,$C$171,'Livro Diario - FC'!$D$11:$D1028,"&gt;=01/12"&amp;$C$7,'Livro Diario - FC'!$D$11:$D1028,"&lt;=31/12"&amp;$C$7)</f>
        <v>0</v>
      </c>
      <c r="BB171" s="256">
        <f>SUMIFS('Livro Diario - FC'!$M$11:$M1028,'Livro Diario - FC'!$E$11:$E1028,$C$171,'Livro Diario - FC'!$D$11:$D1028,"&gt;=01/12"&amp;$C$7,'Livro Diario - FC'!$D$11:$D1028,"&lt;=31/12"&amp;$C$7)</f>
        <v>0</v>
      </c>
      <c r="BC171" s="273"/>
      <c r="BD171" s="273"/>
      <c r="BE171" s="267">
        <f t="shared" ref="BE171:BF171" si="272">SUM(D171,I171,N171,S171,X171,AC171,AG171,AK171,AO171,AS171,AW171,BA171)</f>
        <v>191.47</v>
      </c>
      <c r="BF171" s="268">
        <f t="shared" si="272"/>
        <v>191.47</v>
      </c>
      <c r="BG171" s="269"/>
      <c r="BH171" s="192"/>
      <c r="BI171" s="270">
        <f>SUMIFS('Livro Diario - FC'!$M$11:$M1028,'Livro Diario - FC'!$E$11:$E1028,C171,'Livro Diario - FC'!$D$11:$D1028,"&gt;="&amp;$BK$8,'Livro Diario - FC'!$D$11:$D1028,"&lt;="&amp;$BK$9)</f>
        <v>0</v>
      </c>
      <c r="BJ171" s="271"/>
      <c r="BK171" s="272"/>
      <c r="BL171" s="1"/>
    </row>
    <row r="172">
      <c r="A172" s="1"/>
      <c r="B172" s="1"/>
      <c r="C172" s="338" t="str">
        <f>'Livro Diario - FC'!AE181</f>
        <v>Coxão Mole (Sol)</v>
      </c>
      <c r="D172" s="255">
        <f>SUMIFS('Livro Diario - FC'!$K$11:$K1028,'Livro Diario - FC'!$E$11:$E1028,$C$172,'Livro Diario - FC'!$D$11:$D1028,"&gt;=01/01"&amp;$C$7,'Livro Diario - FC'!$D$11:$D1028,"&lt;=31/01"&amp;$C$7)</f>
        <v>292.66</v>
      </c>
      <c r="E172" s="256">
        <f>SUMIFS('Livro Diario - FC'!$M$11:$M1028,'Livro Diario - FC'!$E$11:$E1028,$C$172,'Livro Diario - FC'!$D$11:$D1028,"&gt;=01/01"&amp;$C$7,'Livro Diario - FC'!$D$11:$D1028,"&lt;=31/01"&amp;$C$7)</f>
        <v>292.66</v>
      </c>
      <c r="F172" s="273"/>
      <c r="G172" s="258"/>
      <c r="H172" s="157"/>
      <c r="I172" s="255">
        <f>SUMIFS('Livro Diario - FC'!$K$11:$K1028,'Livro Diario - FC'!$E$11:$E1028,$C$172,'Livro Diario - FC'!$D$11:$D1028,"&gt;=01/02"&amp;$C$7,'Livro Diario - FC'!$D$11:$D1028,"&lt;=29/02"&amp;$C$7)</f>
        <v>0</v>
      </c>
      <c r="J172" s="256">
        <f>SUMIFS('Livro Diario - FC'!$M$11:$M1028,'Livro Diario - FC'!$E$11:$E1028,$C$172,'Livro Diario - FC'!$D$11:$D1028,"&gt;=01/02"&amp;$C$7,'Livro Diario - FC'!$D$11:$D1028,"&lt;=29/02"&amp;$C$7)</f>
        <v>0</v>
      </c>
      <c r="K172" s="273"/>
      <c r="L172" s="258"/>
      <c r="M172" s="259"/>
      <c r="N172" s="255">
        <f>SUMIFS('Livro Diario - FC'!$K$11:$K1028,'Livro Diario - FC'!$E$11:$E1028,$C$172,'Livro Diario - FC'!$D$11:$D1028,"&gt;=01/03"&amp;$C$7,'Livro Diario - FC'!$D$11:$D1028,"&lt;=31/03"&amp;$C$7)</f>
        <v>0</v>
      </c>
      <c r="O172" s="256">
        <f>SUMIFS('Livro Diario - FC'!$M$11:$M1028,'Livro Diario - FC'!$E$11:$E1028,$C$172,'Livro Diario - FC'!$D$11:$D1028,"&gt;=01/03"&amp;$C$7,'Livro Diario - FC'!$D$11:$D1028,"&lt;=31/03"&amp;$C$7)</f>
        <v>0</v>
      </c>
      <c r="P172" s="273"/>
      <c r="Q172" s="258"/>
      <c r="R172" s="259"/>
      <c r="S172" s="255">
        <f>SUMIFS('Livro Diario - FC'!$K$11:$K1028,'Livro Diario - FC'!$E$11:$E1028,$C$172,'Livro Diario - FC'!$D$11:$D1028,"&gt;=01/04"&amp;$C$7,'Livro Diario - FC'!$D$11:$D1028,"&lt;=30/04"&amp;$C$7)</f>
        <v>0</v>
      </c>
      <c r="T172" s="256">
        <f>SUMIFS('Livro Diario - FC'!$M$11:$M1028,'Livro Diario - FC'!$E$11:$E1028,$C$172,'Livro Diario - FC'!$D$11:$D1028,"&gt;=01/04"&amp;$C$7,'Livro Diario - FC'!$D$11:$D1028,"&lt;=30/04"&amp;$C$7)</f>
        <v>0</v>
      </c>
      <c r="U172" s="273"/>
      <c r="V172" s="258"/>
      <c r="W172" s="259"/>
      <c r="X172" s="255">
        <f>SUMIFS('Livro Diario - FC'!$K$11:$K1028,'Livro Diario - FC'!$E$11:$E1028,$C$172,'Livro Diario - FC'!$D$11:$D1028,"&gt;=01/05"&amp;$C$7,'Livro Diario - FC'!$D$11:$D1028,"&lt;=31/05"&amp;$C$7)</f>
        <v>0</v>
      </c>
      <c r="Y172" s="256">
        <f>SUMIFS('Livro Diario - FC'!$M$11:$M1028,'Livro Diario - FC'!$E$11:$E1028,$C$172,'Livro Diario - FC'!$D$11:$D1028,"&gt;=01/05"&amp;$C$7,'Livro Diario - FC'!$D$11:$D1028,"&lt;=31/05"&amp;$C$7)</f>
        <v>0</v>
      </c>
      <c r="Z172" s="273"/>
      <c r="AA172" s="258"/>
      <c r="AB172" s="259"/>
      <c r="AC172" s="255">
        <f>SUMIFS('Livro Diario - FC'!$K$11:$K1028,'Livro Diario - FC'!$E$11:$E1028,$C$172,'Livro Diario - FC'!$D$11:$D1028,"&gt;=01/06"&amp;$C$7,'Livro Diario - FC'!$D$11:$D1028,"&lt;=30/06"&amp;$C$7)</f>
        <v>0</v>
      </c>
      <c r="AD172" s="256">
        <f>SUMIFS('Livro Diario - FC'!$M$11:$M1028,'Livro Diario - FC'!$E$11:$E1028,$C$172,'Livro Diario - FC'!$D$11:$D1028,"&gt;=01/06"&amp;$C$7,'Livro Diario - FC'!$D$11:$D1028,"&lt;=30/06"&amp;$C$7)</f>
        <v>0</v>
      </c>
      <c r="AE172" s="273"/>
      <c r="AF172" s="258"/>
      <c r="AG172" s="255">
        <f>SUMIFS('Livro Diario - FC'!$K$11:$K1028,'Livro Diario - FC'!$E$11:$E1028,$C$172,'Livro Diario - FC'!$D$11:$D1028,"&gt;=01/07"&amp;$C$7,'Livro Diario - FC'!$D$11:$D1028,"&lt;=31/07"&amp;$C$7)</f>
        <v>0</v>
      </c>
      <c r="AH172" s="256">
        <f>SUMIFS('Livro Diario - FC'!$M$11:$M1028,'Livro Diario - FC'!$E$11:$E1028,$C$172,'Livro Diario - FC'!$D$11:$D1028,"&gt;=01/07"&amp;$C$7,'Livro Diario - FC'!$D$11:$D1028,"&lt;=31/07"&amp;$C$7)</f>
        <v>0</v>
      </c>
      <c r="AI172" s="273"/>
      <c r="AJ172" s="258"/>
      <c r="AK172" s="255">
        <f>SUMIFS('Livro Diario - FC'!$K$11:$K1028,'Livro Diario - FC'!$E$11:$E1028,$C$172,'Livro Diario - FC'!$D$11:$D1028,"&gt;=01/08"&amp;$C$7,'Livro Diario - FC'!$D$11:$D1028,"&lt;=31/08"&amp;$C$7)</f>
        <v>0</v>
      </c>
      <c r="AL172" s="256">
        <f>SUMIFS('Livro Diario - FC'!$M$11:$M1028,'Livro Diario - FC'!$E$11:$E1028,$C$172,'Livro Diario - FC'!$D$11:$D1028,"&gt;=01/08"&amp;$C$7,'Livro Diario - FC'!$D$11:$D1028,"&lt;=31/08"&amp;$C$7)</f>
        <v>0</v>
      </c>
      <c r="AM172" s="273"/>
      <c r="AN172" s="258"/>
      <c r="AO172" s="255">
        <f>SUMIFS('Livro Diario - FC'!$K$11:$K1028,'Livro Diario - FC'!$E$11:$E1028,$C$172,'Livro Diario - FC'!$D$11:$D1028,"&gt;=01/09"&amp;$C$7,'Livro Diario - FC'!$D$11:$D1028,"&lt;=30/09"&amp;$C$7)</f>
        <v>0</v>
      </c>
      <c r="AP172" s="256">
        <f>SUMIFS('Livro Diario - FC'!$M$11:$M1028,'Livro Diario - FC'!$E$11:$E1028,$C$172,'Livro Diario - FC'!$D$11:$D1028,"&gt;=01/09"&amp;$C$7,'Livro Diario - FC'!$D$11:$D1028,"&lt;=30/09"&amp;$C$7)</f>
        <v>0</v>
      </c>
      <c r="AQ172" s="273"/>
      <c r="AR172" s="258"/>
      <c r="AS172" s="255">
        <f>SUMIFS('Livro Diario - FC'!$K$11:$K1028,'Livro Diario - FC'!$E$11:$E1028,$C$172,'Livro Diario - FC'!$D$11:$D1028,"&gt;=01/10"&amp;$C$7,'Livro Diario - FC'!$D$11:$D1028,"&lt;=31/10"&amp;$C$7)</f>
        <v>0</v>
      </c>
      <c r="AT172" s="256">
        <f>SUMIFS('Livro Diario - FC'!$M$11:$M1028,'Livro Diario - FC'!$E$11:$E1028,$C$172,'Livro Diario - FC'!$D$11:$D1028,"&gt;=01/10"&amp;$C$7,'Livro Diario - FC'!$D$11:$D1028,"&lt;=31/10"&amp;$C$7)</f>
        <v>0</v>
      </c>
      <c r="AU172" s="273"/>
      <c r="AV172" s="258"/>
      <c r="AW172" s="255">
        <f>SUMIFS('Livro Diario - FC'!$K$11:$K1028,'Livro Diario - FC'!$E$11:$E1028,$C$172,'Livro Diario - FC'!$D$11:$D1028,"&gt;=01/11"&amp;$C$7,'Livro Diario - FC'!$D$11:$D1028,"&lt;=30/11"&amp;$C$7)</f>
        <v>0</v>
      </c>
      <c r="AX172" s="256">
        <f>SUMIFS('Livro Diario - FC'!$M$11:$M1028,'Livro Diario - FC'!$E$11:$E1028,$C$172,'Livro Diario - FC'!$D$11:$D1028,"&gt;=01/11"&amp;$C$7,'Livro Diario - FC'!$D$11:$D1028,"&lt;=30/11"&amp;$C$7)</f>
        <v>0</v>
      </c>
      <c r="AY172" s="273"/>
      <c r="AZ172" s="258"/>
      <c r="BA172" s="255">
        <f>SUMIFS('Livro Diario - FC'!$K$11:$K1028,'Livro Diario - FC'!$E$11:$E1028,$C$172,'Livro Diario - FC'!$D$11:$D1028,"&gt;=01/12"&amp;$C$7,'Livro Diario - FC'!$D$11:$D1028,"&lt;=31/12"&amp;$C$7)</f>
        <v>0</v>
      </c>
      <c r="BB172" s="256">
        <f>SUMIFS('Livro Diario - FC'!$M$11:$M1028,'Livro Diario - FC'!$E$11:$E1028,$C$172,'Livro Diario - FC'!$D$11:$D1028,"&gt;=01/12"&amp;$C$7,'Livro Diario - FC'!$D$11:$D1028,"&lt;=31/12"&amp;$C$7)</f>
        <v>0</v>
      </c>
      <c r="BC172" s="273"/>
      <c r="BD172" s="273"/>
      <c r="BE172" s="267">
        <f t="shared" ref="BE172:BF172" si="273">SUM(D172,I172,N172,S172,X172,AC172,AG172,AK172,AO172,AS172,AW172,BA172)</f>
        <v>292.66</v>
      </c>
      <c r="BF172" s="268">
        <f t="shared" si="273"/>
        <v>292.66</v>
      </c>
      <c r="BG172" s="269"/>
      <c r="BH172" s="192"/>
      <c r="BI172" s="270">
        <f>SUMIFS('Livro Diario - FC'!$M$11:$M1028,'Livro Diario - FC'!$E$11:$E1028,C172,'Livro Diario - FC'!$D$11:$D1028,"&gt;="&amp;$BK$8,'Livro Diario - FC'!$D$11:$D1028,"&lt;="&amp;$BK$9)</f>
        <v>0</v>
      </c>
      <c r="BJ172" s="271"/>
      <c r="BK172" s="272"/>
      <c r="BL172" s="1"/>
    </row>
    <row r="173">
      <c r="A173" s="1"/>
      <c r="B173" s="1"/>
      <c r="C173" s="338" t="str">
        <f>'Livro Diario - FC'!AE182</f>
        <v>Charque</v>
      </c>
      <c r="D173" s="255">
        <f>SUMIFS('Livro Diario - FC'!$K$11:$K1028,'Livro Diario - FC'!$E$11:$E1028,$C$173,'Livro Diario - FC'!$D$11:$D1028,"&gt;=01/01"&amp;$C$7,'Livro Diario - FC'!$D$11:$D1028,"&lt;=31/01"&amp;$C$7)</f>
        <v>409.12</v>
      </c>
      <c r="E173" s="256">
        <f>SUMIFS('Livro Diario - FC'!$M$11:$M1028,'Livro Diario - FC'!$E$11:$E1028,$C$173,'Livro Diario - FC'!$D$11:$D1028,"&gt;=01/01"&amp;$C$7,'Livro Diario - FC'!$D$11:$D1028,"&lt;=31/01"&amp;$C$7)</f>
        <v>409.12</v>
      </c>
      <c r="F173" s="273"/>
      <c r="G173" s="258"/>
      <c r="H173" s="157"/>
      <c r="I173" s="255">
        <f>SUMIFS('Livro Diario - FC'!$K$11:$K1028,'Livro Diario - FC'!$E$11:$E1028,$C$173,'Livro Diario - FC'!$D$11:$D1028,"&gt;=01/02"&amp;$C$7,'Livro Diario - FC'!$D$11:$D1028,"&lt;=29/02"&amp;$C$7)</f>
        <v>0</v>
      </c>
      <c r="J173" s="256">
        <f>SUMIFS('Livro Diario - FC'!$M$11:$M1028,'Livro Diario - FC'!$E$11:$E1028,$C$173,'Livro Diario - FC'!$D$11:$D1028,"&gt;=01/02"&amp;$C$7,'Livro Diario - FC'!$D$11:$D1028,"&lt;=29/02"&amp;$C$7)</f>
        <v>0</v>
      </c>
      <c r="K173" s="273"/>
      <c r="L173" s="258"/>
      <c r="M173" s="259"/>
      <c r="N173" s="255">
        <f>SUMIFS('Livro Diario - FC'!$K$11:$K1028,'Livro Diario - FC'!$E$11:$E1028,$C$173,'Livro Diario - FC'!$D$11:$D1028,"&gt;=01/03"&amp;$C$7,'Livro Diario - FC'!$D$11:$D1028,"&lt;=31/03"&amp;$C$7)</f>
        <v>0</v>
      </c>
      <c r="O173" s="256">
        <f>SUMIFS('Livro Diario - FC'!$M$11:$M1028,'Livro Diario - FC'!$E$11:$E1028,$C$173,'Livro Diario - FC'!$D$11:$D1028,"&gt;=01/03"&amp;$C$7,'Livro Diario - FC'!$D$11:$D1028,"&lt;=31/03"&amp;$C$7)</f>
        <v>0</v>
      </c>
      <c r="P173" s="273"/>
      <c r="Q173" s="258"/>
      <c r="R173" s="259"/>
      <c r="S173" s="255">
        <f>SUMIFS('Livro Diario - FC'!$K$11:$K1028,'Livro Diario - FC'!$E$11:$E1028,$C$173,'Livro Diario - FC'!$D$11:$D1028,"&gt;=01/04"&amp;$C$7,'Livro Diario - FC'!$D$11:$D1028,"&lt;=30/04"&amp;$C$7)</f>
        <v>0</v>
      </c>
      <c r="T173" s="256">
        <f>SUMIFS('Livro Diario - FC'!$M$11:$M1028,'Livro Diario - FC'!$E$11:$E1028,$C$173,'Livro Diario - FC'!$D$11:$D1028,"&gt;=01/04"&amp;$C$7,'Livro Diario - FC'!$D$11:$D1028,"&lt;=30/04"&amp;$C$7)</f>
        <v>0</v>
      </c>
      <c r="U173" s="273"/>
      <c r="V173" s="258"/>
      <c r="W173" s="259"/>
      <c r="X173" s="255">
        <f>SUMIFS('Livro Diario - FC'!$K$11:$K1028,'Livro Diario - FC'!$E$11:$E1028,$C$173,'Livro Diario - FC'!$D$11:$D1028,"&gt;=01/05"&amp;$C$7,'Livro Diario - FC'!$D$11:$D1028,"&lt;=31/05"&amp;$C$7)</f>
        <v>0</v>
      </c>
      <c r="Y173" s="256">
        <f>SUMIFS('Livro Diario - FC'!$M$11:$M1028,'Livro Diario - FC'!$E$11:$E1028,$C$173,'Livro Diario - FC'!$D$11:$D1028,"&gt;=01/05"&amp;$C$7,'Livro Diario - FC'!$D$11:$D1028,"&lt;=31/05"&amp;$C$7)</f>
        <v>0</v>
      </c>
      <c r="Z173" s="273"/>
      <c r="AA173" s="258"/>
      <c r="AB173" s="259"/>
      <c r="AC173" s="255">
        <f>SUMIFS('Livro Diario - FC'!$K$11:$K1028,'Livro Diario - FC'!$E$11:$E1028,$C$173,'Livro Diario - FC'!$D$11:$D1028,"&gt;=01/06"&amp;$C$7,'Livro Diario - FC'!$D$11:$D1028,"&lt;=30/06"&amp;$C$7)</f>
        <v>0</v>
      </c>
      <c r="AD173" s="256">
        <f>SUMIFS('Livro Diario - FC'!$M$11:$M1028,'Livro Diario - FC'!$E$11:$E1028,$C$173,'Livro Diario - FC'!$D$11:$D1028,"&gt;=01/06"&amp;$C$7,'Livro Diario - FC'!$D$11:$D1028,"&lt;=30/06"&amp;$C$7)</f>
        <v>0</v>
      </c>
      <c r="AE173" s="273"/>
      <c r="AF173" s="258"/>
      <c r="AG173" s="255">
        <f>SUMIFS('Livro Diario - FC'!$K$11:$K1028,'Livro Diario - FC'!$E$11:$E1028,$C$173,'Livro Diario - FC'!$D$11:$D1028,"&gt;=01/07"&amp;$C$7,'Livro Diario - FC'!$D$11:$D1028,"&lt;=31/07"&amp;$C$7)</f>
        <v>0</v>
      </c>
      <c r="AH173" s="256">
        <f>SUMIFS('Livro Diario - FC'!$M$11:$M1028,'Livro Diario - FC'!$E$11:$E1028,$C$173,'Livro Diario - FC'!$D$11:$D1028,"&gt;=01/07"&amp;$C$7,'Livro Diario - FC'!$D$11:$D1028,"&lt;=31/07"&amp;$C$7)</f>
        <v>0</v>
      </c>
      <c r="AI173" s="273"/>
      <c r="AJ173" s="258"/>
      <c r="AK173" s="255">
        <f>SUMIFS('Livro Diario - FC'!$K$11:$K1028,'Livro Diario - FC'!$E$11:$E1028,$C$173,'Livro Diario - FC'!$D$11:$D1028,"&gt;=01/08"&amp;$C$7,'Livro Diario - FC'!$D$11:$D1028,"&lt;=31/08"&amp;$C$7)</f>
        <v>0</v>
      </c>
      <c r="AL173" s="256">
        <f>SUMIFS('Livro Diario - FC'!$M$11:$M1028,'Livro Diario - FC'!$E$11:$E1028,$C$173,'Livro Diario - FC'!$D$11:$D1028,"&gt;=01/08"&amp;$C$7,'Livro Diario - FC'!$D$11:$D1028,"&lt;=31/08"&amp;$C$7)</f>
        <v>0</v>
      </c>
      <c r="AM173" s="273"/>
      <c r="AN173" s="258"/>
      <c r="AO173" s="255">
        <f>SUMIFS('Livro Diario - FC'!$K$11:$K1028,'Livro Diario - FC'!$E$11:$E1028,$C$173,'Livro Diario - FC'!$D$11:$D1028,"&gt;=01/09"&amp;$C$7,'Livro Diario - FC'!$D$11:$D1028,"&lt;=30/09"&amp;$C$7)</f>
        <v>0</v>
      </c>
      <c r="AP173" s="256">
        <f>SUMIFS('Livro Diario - FC'!$M$11:$M1028,'Livro Diario - FC'!$E$11:$E1028,$C$173,'Livro Diario - FC'!$D$11:$D1028,"&gt;=01/09"&amp;$C$7,'Livro Diario - FC'!$D$11:$D1028,"&lt;=30/09"&amp;$C$7)</f>
        <v>0</v>
      </c>
      <c r="AQ173" s="273"/>
      <c r="AR173" s="258"/>
      <c r="AS173" s="255">
        <f>SUMIFS('Livro Diario - FC'!$K$11:$K1028,'Livro Diario - FC'!$E$11:$E1028,$C$173,'Livro Diario - FC'!$D$11:$D1028,"&gt;=01/10"&amp;$C$7,'Livro Diario - FC'!$D$11:$D1028,"&lt;=31/10"&amp;$C$7)</f>
        <v>0</v>
      </c>
      <c r="AT173" s="256">
        <f>SUMIFS('Livro Diario - FC'!$M$11:$M1028,'Livro Diario - FC'!$E$11:$E1028,$C$173,'Livro Diario - FC'!$D$11:$D1028,"&gt;=01/10"&amp;$C$7,'Livro Diario - FC'!$D$11:$D1028,"&lt;=31/10"&amp;$C$7)</f>
        <v>0</v>
      </c>
      <c r="AU173" s="273"/>
      <c r="AV173" s="258"/>
      <c r="AW173" s="255">
        <f>SUMIFS('Livro Diario - FC'!$K$11:$K1028,'Livro Diario - FC'!$E$11:$E1028,$C$173,'Livro Diario - FC'!$D$11:$D1028,"&gt;=01/11"&amp;$C$7,'Livro Diario - FC'!$D$11:$D1028,"&lt;=30/11"&amp;$C$7)</f>
        <v>0</v>
      </c>
      <c r="AX173" s="256">
        <f>SUMIFS('Livro Diario - FC'!$M$11:$M1028,'Livro Diario - FC'!$E$11:$E1028,$C$173,'Livro Diario - FC'!$D$11:$D1028,"&gt;=01/11"&amp;$C$7,'Livro Diario - FC'!$D$11:$D1028,"&lt;=30/11"&amp;$C$7)</f>
        <v>0</v>
      </c>
      <c r="AY173" s="273"/>
      <c r="AZ173" s="258"/>
      <c r="BA173" s="255">
        <f>SUMIFS('Livro Diario - FC'!$K$11:$K1028,'Livro Diario - FC'!$E$11:$E1028,$C$173,'Livro Diario - FC'!$D$11:$D1028,"&gt;=01/12"&amp;$C$7,'Livro Diario - FC'!$D$11:$D1028,"&lt;=31/12"&amp;$C$7)</f>
        <v>0</v>
      </c>
      <c r="BB173" s="256">
        <f>SUMIFS('Livro Diario - FC'!$M$11:$M1028,'Livro Diario - FC'!$E$11:$E1028,$C$173,'Livro Diario - FC'!$D$11:$D1028,"&gt;=01/12"&amp;$C$7,'Livro Diario - FC'!$D$11:$D1028,"&lt;=31/12"&amp;$C$7)</f>
        <v>0</v>
      </c>
      <c r="BC173" s="273"/>
      <c r="BD173" s="273"/>
      <c r="BE173" s="267">
        <f t="shared" ref="BE173:BF173" si="274">SUM(D173,I173,N173,S173,X173,AC173,AG173,AK173,AO173,AS173,AW173,BA173)</f>
        <v>409.12</v>
      </c>
      <c r="BF173" s="268">
        <f t="shared" si="274"/>
        <v>409.12</v>
      </c>
      <c r="BG173" s="269"/>
      <c r="BH173" s="192"/>
      <c r="BI173" s="270">
        <f>SUMIFS('Livro Diario - FC'!$M$11:$M1028,'Livro Diario - FC'!$E$11:$E1028,C173,'Livro Diario - FC'!$D$11:$D1028,"&gt;="&amp;$BK$8,'Livro Diario - FC'!$D$11:$D1028,"&lt;="&amp;$BK$9)</f>
        <v>0</v>
      </c>
      <c r="BJ173" s="271"/>
      <c r="BK173" s="272"/>
      <c r="BL173" s="1"/>
    </row>
    <row r="174">
      <c r="A174" s="1"/>
      <c r="B174" s="1"/>
      <c r="C174" s="338" t="str">
        <f>'Livro Diario - FC'!AE183</f>
        <v>Carne Cupim</v>
      </c>
      <c r="D174" s="255">
        <f>SUMIFS('Livro Diario - FC'!$K$11:$K1028,'Livro Diario - FC'!$E$11:$E1028,$C$174,'Livro Diario - FC'!$D$11:$D1028,"&gt;=01/01"&amp;$C$7,'Livro Diario - FC'!$D$11:$D1028,"&lt;=31/01"&amp;$C$7)</f>
        <v>0</v>
      </c>
      <c r="E174" s="256">
        <f>SUMIFS('Livro Diario - FC'!$M$11:$M1028,'Livro Diario - FC'!$E$11:$E1028,$C$174,'Livro Diario - FC'!$D$11:$D1028,"&gt;=01/01"&amp;$C$7,'Livro Diario - FC'!$D$11:$D1028,"&lt;=31/01"&amp;$C$7)</f>
        <v>0</v>
      </c>
      <c r="F174" s="273"/>
      <c r="G174" s="258"/>
      <c r="H174" s="157"/>
      <c r="I174" s="255">
        <f>SUMIFS('Livro Diario - FC'!$K$11:$K1028,'Livro Diario - FC'!$E$11:$E1028,$C$174,'Livro Diario - FC'!$D$11:$D1028,"&gt;=01/02"&amp;$C$7,'Livro Diario - FC'!$D$11:$D1028,"&lt;=29/02"&amp;$C$7)</f>
        <v>0</v>
      </c>
      <c r="J174" s="256">
        <f>SUMIFS('Livro Diario - FC'!$M$11:$M1028,'Livro Diario - FC'!$E$11:$E1028,$C$174,'Livro Diario - FC'!$D$11:$D1028,"&gt;=01/02"&amp;$C$7,'Livro Diario - FC'!$D$11:$D1028,"&lt;=29/02"&amp;$C$7)</f>
        <v>0</v>
      </c>
      <c r="K174" s="273"/>
      <c r="L174" s="258"/>
      <c r="M174" s="259"/>
      <c r="N174" s="255">
        <f>SUMIFS('Livro Diario - FC'!$K$11:$K1028,'Livro Diario - FC'!$E$11:$E1028,$C$174,'Livro Diario - FC'!$D$11:$D1028,"&gt;=01/03"&amp;$C$7,'Livro Diario - FC'!$D$11:$D1028,"&lt;=31/03"&amp;$C$7)</f>
        <v>0</v>
      </c>
      <c r="O174" s="256">
        <f>SUMIFS('Livro Diario - FC'!$M$11:$M1028,'Livro Diario - FC'!$E$11:$E1028,$C$174,'Livro Diario - FC'!$D$11:$D1028,"&gt;=01/03"&amp;$C$7,'Livro Diario - FC'!$D$11:$D1028,"&lt;=31/03"&amp;$C$7)</f>
        <v>0</v>
      </c>
      <c r="P174" s="273"/>
      <c r="Q174" s="258"/>
      <c r="R174" s="259"/>
      <c r="S174" s="255">
        <f>SUMIFS('Livro Diario - FC'!$K$11:$K1028,'Livro Diario - FC'!$E$11:$E1028,$C$174,'Livro Diario - FC'!$D$11:$D1028,"&gt;=01/04"&amp;$C$7,'Livro Diario - FC'!$D$11:$D1028,"&lt;=30/04"&amp;$C$7)</f>
        <v>0</v>
      </c>
      <c r="T174" s="256">
        <f>SUMIFS('Livro Diario - FC'!$M$11:$M1028,'Livro Diario - FC'!$E$11:$E1028,$C$174,'Livro Diario - FC'!$D$11:$D1028,"&gt;=01/04"&amp;$C$7,'Livro Diario - FC'!$D$11:$D1028,"&lt;=30/04"&amp;$C$7)</f>
        <v>0</v>
      </c>
      <c r="U174" s="273"/>
      <c r="V174" s="258"/>
      <c r="W174" s="259"/>
      <c r="X174" s="255">
        <f>SUMIFS('Livro Diario - FC'!$K$11:$K1028,'Livro Diario - FC'!$E$11:$E1028,$C$174,'Livro Diario - FC'!$D$11:$D1028,"&gt;=01/05"&amp;$C$7,'Livro Diario - FC'!$D$11:$D1028,"&lt;=31/05"&amp;$C$7)</f>
        <v>0</v>
      </c>
      <c r="Y174" s="256">
        <f>SUMIFS('Livro Diario - FC'!$M$11:$M1028,'Livro Diario - FC'!$E$11:$E1028,$C$174,'Livro Diario - FC'!$D$11:$D1028,"&gt;=01/05"&amp;$C$7,'Livro Diario - FC'!$D$11:$D1028,"&lt;=31/05"&amp;$C$7)</f>
        <v>0</v>
      </c>
      <c r="Z174" s="273"/>
      <c r="AA174" s="258"/>
      <c r="AB174" s="259"/>
      <c r="AC174" s="255">
        <f>SUMIFS('Livro Diario - FC'!$K$11:$K1028,'Livro Diario - FC'!$E$11:$E1028,$C$174,'Livro Diario - FC'!$D$11:$D1028,"&gt;=01/06"&amp;$C$7,'Livro Diario - FC'!$D$11:$D1028,"&lt;=30/06"&amp;$C$7)</f>
        <v>0</v>
      </c>
      <c r="AD174" s="256">
        <f>SUMIFS('Livro Diario - FC'!$M$11:$M1028,'Livro Diario - FC'!$E$11:$E1028,$C$174,'Livro Diario - FC'!$D$11:$D1028,"&gt;=01/06"&amp;$C$7,'Livro Diario - FC'!$D$11:$D1028,"&lt;=30/06"&amp;$C$7)</f>
        <v>0</v>
      </c>
      <c r="AE174" s="273"/>
      <c r="AF174" s="258"/>
      <c r="AG174" s="255">
        <f>SUMIFS('Livro Diario - FC'!$K$11:$K1028,'Livro Diario - FC'!$E$11:$E1028,$C$174,'Livro Diario - FC'!$D$11:$D1028,"&gt;=01/07"&amp;$C$7,'Livro Diario - FC'!$D$11:$D1028,"&lt;=31/07"&amp;$C$7)</f>
        <v>0</v>
      </c>
      <c r="AH174" s="256">
        <f>SUMIFS('Livro Diario - FC'!$M$11:$M1028,'Livro Diario - FC'!$E$11:$E1028,$C$174,'Livro Diario - FC'!$D$11:$D1028,"&gt;=01/07"&amp;$C$7,'Livro Diario - FC'!$D$11:$D1028,"&lt;=31/07"&amp;$C$7)</f>
        <v>0</v>
      </c>
      <c r="AI174" s="273"/>
      <c r="AJ174" s="258"/>
      <c r="AK174" s="255">
        <f>SUMIFS('Livro Diario - FC'!$K$11:$K1028,'Livro Diario - FC'!$E$11:$E1028,$C$174,'Livro Diario - FC'!$D$11:$D1028,"&gt;=01/08"&amp;$C$7,'Livro Diario - FC'!$D$11:$D1028,"&lt;=31/08"&amp;$C$7)</f>
        <v>0</v>
      </c>
      <c r="AL174" s="256">
        <f>SUMIFS('Livro Diario - FC'!$M$11:$M1028,'Livro Diario - FC'!$E$11:$E1028,$C$174,'Livro Diario - FC'!$D$11:$D1028,"&gt;=01/08"&amp;$C$7,'Livro Diario - FC'!$D$11:$D1028,"&lt;=31/08"&amp;$C$7)</f>
        <v>0</v>
      </c>
      <c r="AM174" s="273"/>
      <c r="AN174" s="258"/>
      <c r="AO174" s="255">
        <f>SUMIFS('Livro Diario - FC'!$K$11:$K1028,'Livro Diario - FC'!$E$11:$E1028,$C$174,'Livro Diario - FC'!$D$11:$D1028,"&gt;=01/09"&amp;$C$7,'Livro Diario - FC'!$D$11:$D1028,"&lt;=30/09"&amp;$C$7)</f>
        <v>0</v>
      </c>
      <c r="AP174" s="256">
        <f>SUMIFS('Livro Diario - FC'!$M$11:$M1028,'Livro Diario - FC'!$E$11:$E1028,$C$174,'Livro Diario - FC'!$D$11:$D1028,"&gt;=01/09"&amp;$C$7,'Livro Diario - FC'!$D$11:$D1028,"&lt;=30/09"&amp;$C$7)</f>
        <v>0</v>
      </c>
      <c r="AQ174" s="273"/>
      <c r="AR174" s="258"/>
      <c r="AS174" s="255">
        <f>SUMIFS('Livro Diario - FC'!$K$11:$K1028,'Livro Diario - FC'!$E$11:$E1028,$C$174,'Livro Diario - FC'!$D$11:$D1028,"&gt;=01/10"&amp;$C$7,'Livro Diario - FC'!$D$11:$D1028,"&lt;=31/10"&amp;$C$7)</f>
        <v>0</v>
      </c>
      <c r="AT174" s="256">
        <f>SUMIFS('Livro Diario - FC'!$M$11:$M1028,'Livro Diario - FC'!$E$11:$E1028,$C$174,'Livro Diario - FC'!$D$11:$D1028,"&gt;=01/10"&amp;$C$7,'Livro Diario - FC'!$D$11:$D1028,"&lt;=31/10"&amp;$C$7)</f>
        <v>0</v>
      </c>
      <c r="AU174" s="273"/>
      <c r="AV174" s="258"/>
      <c r="AW174" s="255">
        <f>SUMIFS('Livro Diario - FC'!$K$11:$K1028,'Livro Diario - FC'!$E$11:$E1028,$C$174,'Livro Diario - FC'!$D$11:$D1028,"&gt;=01/11"&amp;$C$7,'Livro Diario - FC'!$D$11:$D1028,"&lt;=30/11"&amp;$C$7)</f>
        <v>0</v>
      </c>
      <c r="AX174" s="256">
        <f>SUMIFS('Livro Diario - FC'!$M$11:$M1028,'Livro Diario - FC'!$E$11:$E1028,$C$174,'Livro Diario - FC'!$D$11:$D1028,"&gt;=01/11"&amp;$C$7,'Livro Diario - FC'!$D$11:$D1028,"&lt;=30/11"&amp;$C$7)</f>
        <v>0</v>
      </c>
      <c r="AY174" s="273"/>
      <c r="AZ174" s="258"/>
      <c r="BA174" s="255">
        <f>SUMIFS('Livro Diario - FC'!$K$11:$K1028,'Livro Diario - FC'!$E$11:$E1028,$C$174,'Livro Diario - FC'!$D$11:$D1028,"&gt;=01/12"&amp;$C$7,'Livro Diario - FC'!$D$11:$D1028,"&lt;=31/12"&amp;$C$7)</f>
        <v>0</v>
      </c>
      <c r="BB174" s="256">
        <f>SUMIFS('Livro Diario - FC'!$M$11:$M1028,'Livro Diario - FC'!$E$11:$E1028,$C$174,'Livro Diario - FC'!$D$11:$D1028,"&gt;=01/12"&amp;$C$7,'Livro Diario - FC'!$D$11:$D1028,"&lt;=31/12"&amp;$C$7)</f>
        <v>0</v>
      </c>
      <c r="BC174" s="273"/>
      <c r="BD174" s="273"/>
      <c r="BE174" s="267">
        <f t="shared" ref="BE174:BF174" si="275">SUM(D174,I174,N174,S174,X174,AC174,AG174,AK174,AO174,AS174,AW174,BA174)</f>
        <v>0</v>
      </c>
      <c r="BF174" s="268">
        <f t="shared" si="275"/>
        <v>0</v>
      </c>
      <c r="BG174" s="269"/>
      <c r="BH174" s="192"/>
      <c r="BI174" s="270">
        <f>SUMIFS('Livro Diario - FC'!$M$11:$M1028,'Livro Diario - FC'!$E$11:$E1028,C174,'Livro Diario - FC'!$D$11:$D1028,"&gt;="&amp;$BK$8,'Livro Diario - FC'!$D$11:$D1028,"&lt;="&amp;$BK$9)</f>
        <v>0</v>
      </c>
      <c r="BJ174" s="271"/>
      <c r="BK174" s="272"/>
      <c r="BL174" s="1"/>
    </row>
    <row r="175">
      <c r="A175" s="1"/>
      <c r="B175" s="1"/>
      <c r="C175" s="338" t="str">
        <f>'Livro Diario - FC'!AE184</f>
        <v>Mão de Vaca</v>
      </c>
      <c r="D175" s="255">
        <f>SUMIFS('Livro Diario - FC'!$K$11:$K1028,'Livro Diario - FC'!$E$11:$E1028,$C$175,'Livro Diario - FC'!$D$11:$D1028,"&gt;=01/01"&amp;$C$7,'Livro Diario - FC'!$D$11:$D1028,"&lt;=31/01"&amp;$C$7)</f>
        <v>70</v>
      </c>
      <c r="E175" s="256">
        <f>SUMIFS('Livro Diario - FC'!$M$11:$M1028,'Livro Diario - FC'!$E$11:$E1028,$C$175,'Livro Diario - FC'!$D$11:$D1028,"&gt;=01/01"&amp;$C$7,'Livro Diario - FC'!$D$11:$D1028,"&lt;=31/01"&amp;$C$7)</f>
        <v>70</v>
      </c>
      <c r="F175" s="273"/>
      <c r="G175" s="258"/>
      <c r="H175" s="157"/>
      <c r="I175" s="255">
        <f>SUMIFS('Livro Diario - FC'!$K$11:$K1028,'Livro Diario - FC'!$E$11:$E1028,$C$175,'Livro Diario - FC'!$D$11:$D1028,"&gt;=01/02"&amp;$C$7,'Livro Diario - FC'!$D$11:$D1028,"&lt;=29/02"&amp;$C$7)</f>
        <v>0</v>
      </c>
      <c r="J175" s="256">
        <f>SUMIFS('Livro Diario - FC'!$M$11:$M1028,'Livro Diario - FC'!$E$11:$E1028,$C$175,'Livro Diario - FC'!$D$11:$D1028,"&gt;=01/02"&amp;$C$7,'Livro Diario - FC'!$D$11:$D1028,"&lt;=29/02"&amp;$C$7)</f>
        <v>0</v>
      </c>
      <c r="K175" s="273"/>
      <c r="L175" s="258"/>
      <c r="M175" s="259"/>
      <c r="N175" s="255">
        <f>SUMIFS('Livro Diario - FC'!$K$11:$K1028,'Livro Diario - FC'!$E$11:$E1028,$C$175,'Livro Diario - FC'!$D$11:$D1028,"&gt;=01/03"&amp;$C$7,'Livro Diario - FC'!$D$11:$D1028,"&lt;=31/03"&amp;$C$7)</f>
        <v>0</v>
      </c>
      <c r="O175" s="256">
        <f>SUMIFS('Livro Diario - FC'!$M$11:$M1028,'Livro Diario - FC'!$E$11:$E1028,$C$175,'Livro Diario - FC'!$D$11:$D1028,"&gt;=01/03"&amp;$C$7,'Livro Diario - FC'!$D$11:$D1028,"&lt;=31/03"&amp;$C$7)</f>
        <v>0</v>
      </c>
      <c r="P175" s="273"/>
      <c r="Q175" s="258"/>
      <c r="R175" s="259"/>
      <c r="S175" s="255">
        <f>SUMIFS('Livro Diario - FC'!$K$11:$K1028,'Livro Diario - FC'!$E$11:$E1028,$C$175,'Livro Diario - FC'!$D$11:$D1028,"&gt;=01/04"&amp;$C$7,'Livro Diario - FC'!$D$11:$D1028,"&lt;=30/04"&amp;$C$7)</f>
        <v>0</v>
      </c>
      <c r="T175" s="256">
        <f>SUMIFS('Livro Diario - FC'!$M$11:$M1028,'Livro Diario - FC'!$E$11:$E1028,$C$175,'Livro Diario - FC'!$D$11:$D1028,"&gt;=01/04"&amp;$C$7,'Livro Diario - FC'!$D$11:$D1028,"&lt;=30/04"&amp;$C$7)</f>
        <v>0</v>
      </c>
      <c r="U175" s="273"/>
      <c r="V175" s="258"/>
      <c r="W175" s="259"/>
      <c r="X175" s="255">
        <f>SUMIFS('Livro Diario - FC'!$K$11:$K1028,'Livro Diario - FC'!$E$11:$E1028,$C$175,'Livro Diario - FC'!$D$11:$D1028,"&gt;=01/05"&amp;$C$7,'Livro Diario - FC'!$D$11:$D1028,"&lt;=31/05"&amp;$C$7)</f>
        <v>0</v>
      </c>
      <c r="Y175" s="256">
        <f>SUMIFS('Livro Diario - FC'!$M$11:$M1028,'Livro Diario - FC'!$E$11:$E1028,$C$175,'Livro Diario - FC'!$D$11:$D1028,"&gt;=01/05"&amp;$C$7,'Livro Diario - FC'!$D$11:$D1028,"&lt;=31/05"&amp;$C$7)</f>
        <v>0</v>
      </c>
      <c r="Z175" s="273"/>
      <c r="AA175" s="258"/>
      <c r="AB175" s="259"/>
      <c r="AC175" s="255">
        <f>SUMIFS('Livro Diario - FC'!$K$11:$K1028,'Livro Diario - FC'!$E$11:$E1028,$C$175,'Livro Diario - FC'!$D$11:$D1028,"&gt;=01/06"&amp;$C$7,'Livro Diario - FC'!$D$11:$D1028,"&lt;=30/06"&amp;$C$7)</f>
        <v>0</v>
      </c>
      <c r="AD175" s="256">
        <f>SUMIFS('Livro Diario - FC'!$M$11:$M1028,'Livro Diario - FC'!$E$11:$E1028,$C$175,'Livro Diario - FC'!$D$11:$D1028,"&gt;=01/06"&amp;$C$7,'Livro Diario - FC'!$D$11:$D1028,"&lt;=30/06"&amp;$C$7)</f>
        <v>0</v>
      </c>
      <c r="AE175" s="273"/>
      <c r="AF175" s="258"/>
      <c r="AG175" s="255">
        <f>SUMIFS('Livro Diario - FC'!$K$11:$K1028,'Livro Diario - FC'!$E$11:$E1028,$C$175,'Livro Diario - FC'!$D$11:$D1028,"&gt;=01/07"&amp;$C$7,'Livro Diario - FC'!$D$11:$D1028,"&lt;=31/07"&amp;$C$7)</f>
        <v>0</v>
      </c>
      <c r="AH175" s="256">
        <f>SUMIFS('Livro Diario - FC'!$M$11:$M1028,'Livro Diario - FC'!$E$11:$E1028,$C$175,'Livro Diario - FC'!$D$11:$D1028,"&gt;=01/07"&amp;$C$7,'Livro Diario - FC'!$D$11:$D1028,"&lt;=31/07"&amp;$C$7)</f>
        <v>0</v>
      </c>
      <c r="AI175" s="273"/>
      <c r="AJ175" s="258"/>
      <c r="AK175" s="255">
        <f>SUMIFS('Livro Diario - FC'!$K$11:$K1028,'Livro Diario - FC'!$E$11:$E1028,$C$175,'Livro Diario - FC'!$D$11:$D1028,"&gt;=01/08"&amp;$C$7,'Livro Diario - FC'!$D$11:$D1028,"&lt;=31/08"&amp;$C$7)</f>
        <v>0</v>
      </c>
      <c r="AL175" s="256">
        <f>SUMIFS('Livro Diario - FC'!$M$11:$M1028,'Livro Diario - FC'!$E$11:$E1028,$C$175,'Livro Diario - FC'!$D$11:$D1028,"&gt;=01/08"&amp;$C$7,'Livro Diario - FC'!$D$11:$D1028,"&lt;=31/08"&amp;$C$7)</f>
        <v>0</v>
      </c>
      <c r="AM175" s="273"/>
      <c r="AN175" s="258"/>
      <c r="AO175" s="255">
        <f>SUMIFS('Livro Diario - FC'!$K$11:$K1028,'Livro Diario - FC'!$E$11:$E1028,$C$175,'Livro Diario - FC'!$D$11:$D1028,"&gt;=01/09"&amp;$C$7,'Livro Diario - FC'!$D$11:$D1028,"&lt;=30/09"&amp;$C$7)</f>
        <v>0</v>
      </c>
      <c r="AP175" s="256">
        <f>SUMIFS('Livro Diario - FC'!$M$11:$M1028,'Livro Diario - FC'!$E$11:$E1028,$C$175,'Livro Diario - FC'!$D$11:$D1028,"&gt;=01/09"&amp;$C$7,'Livro Diario - FC'!$D$11:$D1028,"&lt;=30/09"&amp;$C$7)</f>
        <v>0</v>
      </c>
      <c r="AQ175" s="273"/>
      <c r="AR175" s="258"/>
      <c r="AS175" s="255">
        <f>SUMIFS('Livro Diario - FC'!$K$11:$K1028,'Livro Diario - FC'!$E$11:$E1028,$C$175,'Livro Diario - FC'!$D$11:$D1028,"&gt;=01/10"&amp;$C$7,'Livro Diario - FC'!$D$11:$D1028,"&lt;=31/10"&amp;$C$7)</f>
        <v>0</v>
      </c>
      <c r="AT175" s="256">
        <f>SUMIFS('Livro Diario - FC'!$M$11:$M1028,'Livro Diario - FC'!$E$11:$E1028,$C$175,'Livro Diario - FC'!$D$11:$D1028,"&gt;=01/10"&amp;$C$7,'Livro Diario - FC'!$D$11:$D1028,"&lt;=31/10"&amp;$C$7)</f>
        <v>0</v>
      </c>
      <c r="AU175" s="273"/>
      <c r="AV175" s="258"/>
      <c r="AW175" s="255">
        <f>SUMIFS('Livro Diario - FC'!$K$11:$K1028,'Livro Diario - FC'!$E$11:$E1028,$C$175,'Livro Diario - FC'!$D$11:$D1028,"&gt;=01/11"&amp;$C$7,'Livro Diario - FC'!$D$11:$D1028,"&lt;=30/11"&amp;$C$7)</f>
        <v>0</v>
      </c>
      <c r="AX175" s="256">
        <f>SUMIFS('Livro Diario - FC'!$M$11:$M1028,'Livro Diario - FC'!$E$11:$E1028,$C$175,'Livro Diario - FC'!$D$11:$D1028,"&gt;=01/11"&amp;$C$7,'Livro Diario - FC'!$D$11:$D1028,"&lt;=30/11"&amp;$C$7)</f>
        <v>0</v>
      </c>
      <c r="AY175" s="273"/>
      <c r="AZ175" s="258"/>
      <c r="BA175" s="255">
        <f>SUMIFS('Livro Diario - FC'!$K$11:$K1028,'Livro Diario - FC'!$E$11:$E1028,$C$175,'Livro Diario - FC'!$D$11:$D1028,"&gt;=01/12"&amp;$C$7,'Livro Diario - FC'!$D$11:$D1028,"&lt;=31/12"&amp;$C$7)</f>
        <v>0</v>
      </c>
      <c r="BB175" s="256">
        <f>SUMIFS('Livro Diario - FC'!$M$11:$M1028,'Livro Diario - FC'!$E$11:$E1028,$C$175,'Livro Diario - FC'!$D$11:$D1028,"&gt;=01/12"&amp;$C$7,'Livro Diario - FC'!$D$11:$D1028,"&lt;=31/12"&amp;$C$7)</f>
        <v>0</v>
      </c>
      <c r="BC175" s="273"/>
      <c r="BD175" s="273"/>
      <c r="BE175" s="267">
        <f t="shared" ref="BE175:BF175" si="276">SUM(D175,I175,N175,S175,X175,AC175,AG175,AK175,AO175,AS175,AW175,BA175)</f>
        <v>70</v>
      </c>
      <c r="BF175" s="268">
        <f t="shared" si="276"/>
        <v>70</v>
      </c>
      <c r="BG175" s="269"/>
      <c r="BH175" s="192"/>
      <c r="BI175" s="270">
        <f>SUMIFS('Livro Diario - FC'!$M$11:$M1028,'Livro Diario - FC'!$E$11:$E1028,C175,'Livro Diario - FC'!$D$11:$D1028,"&gt;="&amp;$BK$8,'Livro Diario - FC'!$D$11:$D1028,"&lt;="&amp;$BK$9)</f>
        <v>0</v>
      </c>
      <c r="BJ175" s="271"/>
      <c r="BK175" s="272"/>
      <c r="BL175" s="1"/>
    </row>
    <row r="176">
      <c r="A176" s="1"/>
      <c r="B176" s="1"/>
      <c r="C176" s="338" t="str">
        <f>'Livro Diario - FC'!AE185</f>
        <v>Presunto</v>
      </c>
      <c r="D176" s="255">
        <f>SUMIFS('Livro Diario - FC'!$K$11:$K1028,'Livro Diario - FC'!$E$11:$E1028,$C$176,'Livro Diario - FC'!$D$11:$D1028,"&gt;=01/01"&amp;$C$7,'Livro Diario - FC'!$D$11:$D1028,"&lt;=31/01"&amp;$C$7)</f>
        <v>0</v>
      </c>
      <c r="E176" s="256">
        <f>SUMIFS('Livro Diario - FC'!$M$11:$M1028,'Livro Diario - FC'!$E$11:$E1028,$C$176,'Livro Diario - FC'!$D$11:$D1028,"&gt;=01/01"&amp;$C$7,'Livro Diario - FC'!$D$11:$D1028,"&lt;=31/01"&amp;$C$7)</f>
        <v>0</v>
      </c>
      <c r="F176" s="273"/>
      <c r="G176" s="258"/>
      <c r="H176" s="157"/>
      <c r="I176" s="255">
        <f>SUMIFS('Livro Diario - FC'!$K$11:$K1028,'Livro Diario - FC'!$E$11:$E1028,$C$176,'Livro Diario - FC'!$D$11:$D1028,"&gt;=01/02"&amp;$C$7,'Livro Diario - FC'!$D$11:$D1028,"&lt;=29/02"&amp;$C$7)</f>
        <v>0</v>
      </c>
      <c r="J176" s="256">
        <f>SUMIFS('Livro Diario - FC'!$M$11:$M1028,'Livro Diario - FC'!$E$11:$E1028,$C$176,'Livro Diario - FC'!$D$11:$D1028,"&gt;=01/02"&amp;$C$7,'Livro Diario - FC'!$D$11:$D1028,"&lt;=29/02"&amp;$C$7)</f>
        <v>0</v>
      </c>
      <c r="K176" s="273"/>
      <c r="L176" s="258"/>
      <c r="M176" s="259"/>
      <c r="N176" s="255">
        <f>SUMIFS('Livro Diario - FC'!$K$11:$K1028,'Livro Diario - FC'!$E$11:$E1028,$C$176,'Livro Diario - FC'!$D$11:$D1028,"&gt;=01/03"&amp;$C$7,'Livro Diario - FC'!$D$11:$D1028,"&lt;=31/03"&amp;$C$7)</f>
        <v>0</v>
      </c>
      <c r="O176" s="256">
        <f>SUMIFS('Livro Diario - FC'!$M$11:$M1028,'Livro Diario - FC'!$E$11:$E1028,$C$176,'Livro Diario - FC'!$D$11:$D1028,"&gt;=01/03"&amp;$C$7,'Livro Diario - FC'!$D$11:$D1028,"&lt;=31/03"&amp;$C$7)</f>
        <v>0</v>
      </c>
      <c r="P176" s="273"/>
      <c r="Q176" s="258"/>
      <c r="R176" s="259"/>
      <c r="S176" s="255">
        <f>SUMIFS('Livro Diario - FC'!$K$11:$K1028,'Livro Diario - FC'!$E$11:$E1028,$C$176,'Livro Diario - FC'!$D$11:$D1028,"&gt;=01/04"&amp;$C$7,'Livro Diario - FC'!$D$11:$D1028,"&lt;=30/04"&amp;$C$7)</f>
        <v>0</v>
      </c>
      <c r="T176" s="256">
        <f>SUMIFS('Livro Diario - FC'!$M$11:$M1028,'Livro Diario - FC'!$E$11:$E1028,$C$176,'Livro Diario - FC'!$D$11:$D1028,"&gt;=01/04"&amp;$C$7,'Livro Diario - FC'!$D$11:$D1028,"&lt;=30/04"&amp;$C$7)</f>
        <v>0</v>
      </c>
      <c r="U176" s="273"/>
      <c r="V176" s="258"/>
      <c r="W176" s="259"/>
      <c r="X176" s="255">
        <f>SUMIFS('Livro Diario - FC'!$K$11:$K1028,'Livro Diario - FC'!$E$11:$E1028,$C$176,'Livro Diario - FC'!$D$11:$D1028,"&gt;=01/05"&amp;$C$7,'Livro Diario - FC'!$D$11:$D1028,"&lt;=31/05"&amp;$C$7)</f>
        <v>0</v>
      </c>
      <c r="Y176" s="256">
        <f>SUMIFS('Livro Diario - FC'!$M$11:$M1028,'Livro Diario - FC'!$E$11:$E1028,$C$176,'Livro Diario - FC'!$D$11:$D1028,"&gt;=01/05"&amp;$C$7,'Livro Diario - FC'!$D$11:$D1028,"&lt;=31/05"&amp;$C$7)</f>
        <v>0</v>
      </c>
      <c r="Z176" s="273"/>
      <c r="AA176" s="258"/>
      <c r="AB176" s="259"/>
      <c r="AC176" s="255">
        <f>SUMIFS('Livro Diario - FC'!$K$11:$K1028,'Livro Diario - FC'!$E$11:$E1028,$C$176,'Livro Diario - FC'!$D$11:$D1028,"&gt;=01/06"&amp;$C$7,'Livro Diario - FC'!$D$11:$D1028,"&lt;=30/06"&amp;$C$7)</f>
        <v>0</v>
      </c>
      <c r="AD176" s="256">
        <f>SUMIFS('Livro Diario - FC'!$M$11:$M1028,'Livro Diario - FC'!$E$11:$E1028,$C$176,'Livro Diario - FC'!$D$11:$D1028,"&gt;=01/06"&amp;$C$7,'Livro Diario - FC'!$D$11:$D1028,"&lt;=30/06"&amp;$C$7)</f>
        <v>0</v>
      </c>
      <c r="AE176" s="273"/>
      <c r="AF176" s="258"/>
      <c r="AG176" s="255">
        <f>SUMIFS('Livro Diario - FC'!$K$11:$K1028,'Livro Diario - FC'!$E$11:$E1028,$C$176,'Livro Diario - FC'!$D$11:$D1028,"&gt;=01/07"&amp;$C$7,'Livro Diario - FC'!$D$11:$D1028,"&lt;=31/07"&amp;$C$7)</f>
        <v>0</v>
      </c>
      <c r="AH176" s="256">
        <f>SUMIFS('Livro Diario - FC'!$M$11:$M1028,'Livro Diario - FC'!$E$11:$E1028,$C$176,'Livro Diario - FC'!$D$11:$D1028,"&gt;=01/07"&amp;$C$7,'Livro Diario - FC'!$D$11:$D1028,"&lt;=31/07"&amp;$C$7)</f>
        <v>0</v>
      </c>
      <c r="AI176" s="273"/>
      <c r="AJ176" s="258"/>
      <c r="AK176" s="255">
        <f>SUMIFS('Livro Diario - FC'!$K$11:$K1028,'Livro Diario - FC'!$E$11:$E1028,$C$176,'Livro Diario - FC'!$D$11:$D1028,"&gt;=01/08"&amp;$C$7,'Livro Diario - FC'!$D$11:$D1028,"&lt;=31/08"&amp;$C$7)</f>
        <v>0</v>
      </c>
      <c r="AL176" s="256">
        <f>SUMIFS('Livro Diario - FC'!$M$11:$M1028,'Livro Diario - FC'!$E$11:$E1028,$C$176,'Livro Diario - FC'!$D$11:$D1028,"&gt;=01/08"&amp;$C$7,'Livro Diario - FC'!$D$11:$D1028,"&lt;=31/08"&amp;$C$7)</f>
        <v>0</v>
      </c>
      <c r="AM176" s="273"/>
      <c r="AN176" s="258"/>
      <c r="AO176" s="255">
        <f>SUMIFS('Livro Diario - FC'!$K$11:$K1028,'Livro Diario - FC'!$E$11:$E1028,$C$176,'Livro Diario - FC'!$D$11:$D1028,"&gt;=01/09"&amp;$C$7,'Livro Diario - FC'!$D$11:$D1028,"&lt;=30/09"&amp;$C$7)</f>
        <v>0</v>
      </c>
      <c r="AP176" s="256">
        <f>SUMIFS('Livro Diario - FC'!$M$11:$M1028,'Livro Diario - FC'!$E$11:$E1028,$C$176,'Livro Diario - FC'!$D$11:$D1028,"&gt;=01/09"&amp;$C$7,'Livro Diario - FC'!$D$11:$D1028,"&lt;=30/09"&amp;$C$7)</f>
        <v>0</v>
      </c>
      <c r="AQ176" s="273"/>
      <c r="AR176" s="258"/>
      <c r="AS176" s="255">
        <f>SUMIFS('Livro Diario - FC'!$K$11:$K1028,'Livro Diario - FC'!$E$11:$E1028,$C$176,'Livro Diario - FC'!$D$11:$D1028,"&gt;=01/10"&amp;$C$7,'Livro Diario - FC'!$D$11:$D1028,"&lt;=31/10"&amp;$C$7)</f>
        <v>0</v>
      </c>
      <c r="AT176" s="256">
        <f>SUMIFS('Livro Diario - FC'!$M$11:$M1028,'Livro Diario - FC'!$E$11:$E1028,$C$176,'Livro Diario - FC'!$D$11:$D1028,"&gt;=01/10"&amp;$C$7,'Livro Diario - FC'!$D$11:$D1028,"&lt;=31/10"&amp;$C$7)</f>
        <v>0</v>
      </c>
      <c r="AU176" s="273"/>
      <c r="AV176" s="258"/>
      <c r="AW176" s="255">
        <f>SUMIFS('Livro Diario - FC'!$K$11:$K1028,'Livro Diario - FC'!$E$11:$E1028,$C$176,'Livro Diario - FC'!$D$11:$D1028,"&gt;=01/11"&amp;$C$7,'Livro Diario - FC'!$D$11:$D1028,"&lt;=30/11"&amp;$C$7)</f>
        <v>0</v>
      </c>
      <c r="AX176" s="256">
        <f>SUMIFS('Livro Diario - FC'!$M$11:$M1028,'Livro Diario - FC'!$E$11:$E1028,$C$176,'Livro Diario - FC'!$D$11:$D1028,"&gt;=01/11"&amp;$C$7,'Livro Diario - FC'!$D$11:$D1028,"&lt;=30/11"&amp;$C$7)</f>
        <v>0</v>
      </c>
      <c r="AY176" s="273"/>
      <c r="AZ176" s="258"/>
      <c r="BA176" s="255">
        <f>SUMIFS('Livro Diario - FC'!$K$11:$K1028,'Livro Diario - FC'!$E$11:$E1028,$C$176,'Livro Diario - FC'!$D$11:$D1028,"&gt;=01/12"&amp;$C$7,'Livro Diario - FC'!$D$11:$D1028,"&lt;=31/12"&amp;$C$7)</f>
        <v>0</v>
      </c>
      <c r="BB176" s="256">
        <f>SUMIFS('Livro Diario - FC'!$M$11:$M1028,'Livro Diario - FC'!$E$11:$E1028,$C$176,'Livro Diario - FC'!$D$11:$D1028,"&gt;=01/12"&amp;$C$7,'Livro Diario - FC'!$D$11:$D1028,"&lt;=31/12"&amp;$C$7)</f>
        <v>0</v>
      </c>
      <c r="BC176" s="273"/>
      <c r="BD176" s="273"/>
      <c r="BE176" s="267">
        <f t="shared" ref="BE176:BF176" si="277">SUM(D176,I176,N176,S176,X176,AC176,AG176,AK176,AO176,AS176,AW176,BA176)</f>
        <v>0</v>
      </c>
      <c r="BF176" s="268">
        <f t="shared" si="277"/>
        <v>0</v>
      </c>
      <c r="BG176" s="269"/>
      <c r="BH176" s="192"/>
      <c r="BI176" s="270">
        <f>SUMIFS('Livro Diario - FC'!$M$11:$M1028,'Livro Diario - FC'!$E$11:$E1028,C176,'Livro Diario - FC'!$D$11:$D1028,"&gt;="&amp;$BK$8,'Livro Diario - FC'!$D$11:$D1028,"&lt;="&amp;$BK$9)</f>
        <v>0</v>
      </c>
      <c r="BJ176" s="271"/>
      <c r="BK176" s="272"/>
      <c r="BL176" s="1"/>
    </row>
    <row r="177">
      <c r="A177" s="1"/>
      <c r="B177" s="1"/>
      <c r="C177" s="338" t="str">
        <f>'Livro Diario - FC'!AE186</f>
        <v>Carne Moida</v>
      </c>
      <c r="D177" s="255">
        <f>SUMIFS('Livro Diario - FC'!$K$11:$K1028,'Livro Diario - FC'!$E$11:$E1028,$C$177,'Livro Diario - FC'!$D$11:$D1028,"&gt;=01/01"&amp;$C$7,'Livro Diario - FC'!$D$11:$D1028,"&lt;=31/01"&amp;$C$7)</f>
        <v>20.36</v>
      </c>
      <c r="E177" s="256">
        <f>SUMIFS('Livro Diario - FC'!$M$11:$M1028,'Livro Diario - FC'!$E$11:$E1028,$C$177,'Livro Diario - FC'!$D$11:$D1028,"&gt;=01/01"&amp;$C$7,'Livro Diario - FC'!$D$11:$D1028,"&lt;=31/01"&amp;$C$7)</f>
        <v>20.36</v>
      </c>
      <c r="F177" s="273"/>
      <c r="G177" s="258"/>
      <c r="H177" s="157"/>
      <c r="I177" s="255">
        <f>SUMIFS('Livro Diario - FC'!$K$11:$K1028,'Livro Diario - FC'!$E$11:$E1028,$C$177,'Livro Diario - FC'!$D$11:$D1028,"&gt;=01/02"&amp;$C$7,'Livro Diario - FC'!$D$11:$D1028,"&lt;=29/02"&amp;$C$7)</f>
        <v>0</v>
      </c>
      <c r="J177" s="256">
        <f>SUMIFS('Livro Diario - FC'!$M$11:$M1028,'Livro Diario - FC'!$E$11:$E1028,$C$177,'Livro Diario - FC'!$D$11:$D1028,"&gt;=01/02"&amp;$C$7,'Livro Diario - FC'!$D$11:$D1028,"&lt;=29/02"&amp;$C$7)</f>
        <v>0</v>
      </c>
      <c r="K177" s="273"/>
      <c r="L177" s="258"/>
      <c r="M177" s="259"/>
      <c r="N177" s="255">
        <f>SUMIFS('Livro Diario - FC'!$K$11:$K1028,'Livro Diario - FC'!$E$11:$E1028,$C$177,'Livro Diario - FC'!$D$11:$D1028,"&gt;=01/03"&amp;$C$7,'Livro Diario - FC'!$D$11:$D1028,"&lt;=31/03"&amp;$C$7)</f>
        <v>0</v>
      </c>
      <c r="O177" s="256">
        <f>SUMIFS('Livro Diario - FC'!$M$11:$M1028,'Livro Diario - FC'!$E$11:$E1028,$C$177,'Livro Diario - FC'!$D$11:$D1028,"&gt;=01/03"&amp;$C$7,'Livro Diario - FC'!$D$11:$D1028,"&lt;=31/03"&amp;$C$7)</f>
        <v>0</v>
      </c>
      <c r="P177" s="273"/>
      <c r="Q177" s="258"/>
      <c r="R177" s="259"/>
      <c r="S177" s="255">
        <f>SUMIFS('Livro Diario - FC'!$K$11:$K1028,'Livro Diario - FC'!$E$11:$E1028,$C$177,'Livro Diario - FC'!$D$11:$D1028,"&gt;=01/04"&amp;$C$7,'Livro Diario - FC'!$D$11:$D1028,"&lt;=30/04"&amp;$C$7)</f>
        <v>0</v>
      </c>
      <c r="T177" s="256">
        <f>SUMIFS('Livro Diario - FC'!$M$11:$M1028,'Livro Diario - FC'!$E$11:$E1028,$C$177,'Livro Diario - FC'!$D$11:$D1028,"&gt;=01/04"&amp;$C$7,'Livro Diario - FC'!$D$11:$D1028,"&lt;=30/04"&amp;$C$7)</f>
        <v>0</v>
      </c>
      <c r="U177" s="273"/>
      <c r="V177" s="258"/>
      <c r="W177" s="259"/>
      <c r="X177" s="255">
        <f>SUMIFS('Livro Diario - FC'!$K$11:$K1028,'Livro Diario - FC'!$E$11:$E1028,$C$177,'Livro Diario - FC'!$D$11:$D1028,"&gt;=01/05"&amp;$C$7,'Livro Diario - FC'!$D$11:$D1028,"&lt;=31/05"&amp;$C$7)</f>
        <v>0</v>
      </c>
      <c r="Y177" s="256">
        <f>SUMIFS('Livro Diario - FC'!$M$11:$M1028,'Livro Diario - FC'!$E$11:$E1028,$C$177,'Livro Diario - FC'!$D$11:$D1028,"&gt;=01/05"&amp;$C$7,'Livro Diario - FC'!$D$11:$D1028,"&lt;=31/05"&amp;$C$7)</f>
        <v>0</v>
      </c>
      <c r="Z177" s="273"/>
      <c r="AA177" s="258"/>
      <c r="AB177" s="259"/>
      <c r="AC177" s="255">
        <f>SUMIFS('Livro Diario - FC'!$K$11:$K1028,'Livro Diario - FC'!$E$11:$E1028,$C$177,'Livro Diario - FC'!$D$11:$D1028,"&gt;=01/06"&amp;$C$7,'Livro Diario - FC'!$D$11:$D1028,"&lt;=30/06"&amp;$C$7)</f>
        <v>0</v>
      </c>
      <c r="AD177" s="256">
        <f>SUMIFS('Livro Diario - FC'!$M$11:$M1028,'Livro Diario - FC'!$E$11:$E1028,$C$177,'Livro Diario - FC'!$D$11:$D1028,"&gt;=01/06"&amp;$C$7,'Livro Diario - FC'!$D$11:$D1028,"&lt;=30/06"&amp;$C$7)</f>
        <v>0</v>
      </c>
      <c r="AE177" s="273"/>
      <c r="AF177" s="258"/>
      <c r="AG177" s="255">
        <f>SUMIFS('Livro Diario - FC'!$K$11:$K1028,'Livro Diario - FC'!$E$11:$E1028,$C$177,'Livro Diario - FC'!$D$11:$D1028,"&gt;=01/07"&amp;$C$7,'Livro Diario - FC'!$D$11:$D1028,"&lt;=31/07"&amp;$C$7)</f>
        <v>0</v>
      </c>
      <c r="AH177" s="256">
        <f>SUMIFS('Livro Diario - FC'!$M$11:$M1028,'Livro Diario - FC'!$E$11:$E1028,$C$177,'Livro Diario - FC'!$D$11:$D1028,"&gt;=01/07"&amp;$C$7,'Livro Diario - FC'!$D$11:$D1028,"&lt;=31/07"&amp;$C$7)</f>
        <v>0</v>
      </c>
      <c r="AI177" s="273"/>
      <c r="AJ177" s="258"/>
      <c r="AK177" s="255">
        <f>SUMIFS('Livro Diario - FC'!$K$11:$K1028,'Livro Diario - FC'!$E$11:$E1028,$C$177,'Livro Diario - FC'!$D$11:$D1028,"&gt;=01/08"&amp;$C$7,'Livro Diario - FC'!$D$11:$D1028,"&lt;=31/08"&amp;$C$7)</f>
        <v>0</v>
      </c>
      <c r="AL177" s="256">
        <f>SUMIFS('Livro Diario - FC'!$M$11:$M1028,'Livro Diario - FC'!$E$11:$E1028,$C$177,'Livro Diario - FC'!$D$11:$D1028,"&gt;=01/08"&amp;$C$7,'Livro Diario - FC'!$D$11:$D1028,"&lt;=31/08"&amp;$C$7)</f>
        <v>0</v>
      </c>
      <c r="AM177" s="273"/>
      <c r="AN177" s="258"/>
      <c r="AO177" s="255">
        <f>SUMIFS('Livro Diario - FC'!$K$11:$K1028,'Livro Diario - FC'!$E$11:$E1028,$C$177,'Livro Diario - FC'!$D$11:$D1028,"&gt;=01/09"&amp;$C$7,'Livro Diario - FC'!$D$11:$D1028,"&lt;=30/09"&amp;$C$7)</f>
        <v>0</v>
      </c>
      <c r="AP177" s="256">
        <f>SUMIFS('Livro Diario - FC'!$M$11:$M1028,'Livro Diario - FC'!$E$11:$E1028,$C$177,'Livro Diario - FC'!$D$11:$D1028,"&gt;=01/09"&amp;$C$7,'Livro Diario - FC'!$D$11:$D1028,"&lt;=30/09"&amp;$C$7)</f>
        <v>0</v>
      </c>
      <c r="AQ177" s="273"/>
      <c r="AR177" s="258"/>
      <c r="AS177" s="255">
        <f>SUMIFS('Livro Diario - FC'!$K$11:$K1028,'Livro Diario - FC'!$E$11:$E1028,$C$177,'Livro Diario - FC'!$D$11:$D1028,"&gt;=01/10"&amp;$C$7,'Livro Diario - FC'!$D$11:$D1028,"&lt;=31/10"&amp;$C$7)</f>
        <v>0</v>
      </c>
      <c r="AT177" s="256">
        <f>SUMIFS('Livro Diario - FC'!$M$11:$M1028,'Livro Diario - FC'!$E$11:$E1028,$C$177,'Livro Diario - FC'!$D$11:$D1028,"&gt;=01/10"&amp;$C$7,'Livro Diario - FC'!$D$11:$D1028,"&lt;=31/10"&amp;$C$7)</f>
        <v>0</v>
      </c>
      <c r="AU177" s="273"/>
      <c r="AV177" s="258"/>
      <c r="AW177" s="255">
        <f>SUMIFS('Livro Diario - FC'!$K$11:$K1028,'Livro Diario - FC'!$E$11:$E1028,$C$177,'Livro Diario - FC'!$D$11:$D1028,"&gt;=01/11"&amp;$C$7,'Livro Diario - FC'!$D$11:$D1028,"&lt;=30/11"&amp;$C$7)</f>
        <v>0</v>
      </c>
      <c r="AX177" s="256">
        <f>SUMIFS('Livro Diario - FC'!$M$11:$M1028,'Livro Diario - FC'!$E$11:$E1028,$C$177,'Livro Diario - FC'!$D$11:$D1028,"&gt;=01/11"&amp;$C$7,'Livro Diario - FC'!$D$11:$D1028,"&lt;=30/11"&amp;$C$7)</f>
        <v>0</v>
      </c>
      <c r="AY177" s="273"/>
      <c r="AZ177" s="258"/>
      <c r="BA177" s="255">
        <f>SUMIFS('Livro Diario - FC'!$K$11:$K1028,'Livro Diario - FC'!$E$11:$E1028,$C$177,'Livro Diario - FC'!$D$11:$D1028,"&gt;=01/12"&amp;$C$7,'Livro Diario - FC'!$D$11:$D1028,"&lt;=31/12"&amp;$C$7)</f>
        <v>0</v>
      </c>
      <c r="BB177" s="256">
        <f>SUMIFS('Livro Diario - FC'!$M$11:$M1028,'Livro Diario - FC'!$E$11:$E1028,$C$177,'Livro Diario - FC'!$D$11:$D1028,"&gt;=01/12"&amp;$C$7,'Livro Diario - FC'!$D$11:$D1028,"&lt;=31/12"&amp;$C$7)</f>
        <v>0</v>
      </c>
      <c r="BC177" s="273"/>
      <c r="BD177" s="273"/>
      <c r="BE177" s="267">
        <f t="shared" ref="BE177:BF177" si="278">SUM(D177,I177,N177,S177,X177,AC177,AG177,AK177,AO177,AS177,AW177,BA177)</f>
        <v>20.36</v>
      </c>
      <c r="BF177" s="268">
        <f t="shared" si="278"/>
        <v>20.36</v>
      </c>
      <c r="BG177" s="269"/>
      <c r="BH177" s="192"/>
      <c r="BI177" s="270">
        <f>SUMIFS('Livro Diario - FC'!$M$11:$M1028,'Livro Diario - FC'!$E$11:$E1028,C177,'Livro Diario - FC'!$D$11:$D1028,"&gt;="&amp;$BK$8,'Livro Diario - FC'!$D$11:$D1028,"&lt;="&amp;$BK$9)</f>
        <v>0</v>
      </c>
      <c r="BJ177" s="271"/>
      <c r="BK177" s="272"/>
      <c r="BL177" s="1"/>
    </row>
    <row r="178">
      <c r="A178" s="1"/>
      <c r="B178" s="1"/>
      <c r="C178" s="338" t="str">
        <f>'Livro Diario - FC'!AE187</f>
        <v>Coxa/Sobrecoxa Temperada</v>
      </c>
      <c r="D178" s="255">
        <f>SUMIFS('Livro Diario - FC'!$K$11:$K1028,'Livro Diario - FC'!$E$11:$E1028,$C$178,'Livro Diario - FC'!$D$11:$D1028,"&gt;=01/01"&amp;$C$7,'Livro Diario - FC'!$D$11:$D1028,"&lt;=31/01"&amp;$C$7)</f>
        <v>0</v>
      </c>
      <c r="E178" s="256">
        <f>SUMIFS('Livro Diario - FC'!$M$11:$M1028,'Livro Diario - FC'!$E$11:$E1028,$C$178,'Livro Diario - FC'!$D$11:$D1028,"&gt;=01/01"&amp;$C$7,'Livro Diario - FC'!$D$11:$D1028,"&lt;=31/01"&amp;$C$7)</f>
        <v>0</v>
      </c>
      <c r="F178" s="273"/>
      <c r="G178" s="258"/>
      <c r="H178" s="157"/>
      <c r="I178" s="255">
        <f>SUMIFS('Livro Diario - FC'!$K$11:$K1028,'Livro Diario - FC'!$E$11:$E1028,$C$178,'Livro Diario - FC'!$D$11:$D1028,"&gt;=01/02"&amp;$C$7,'Livro Diario - FC'!$D$11:$D1028,"&lt;=29/02"&amp;$C$7)</f>
        <v>0</v>
      </c>
      <c r="J178" s="256">
        <f>SUMIFS('Livro Diario - FC'!$M$11:$M1028,'Livro Diario - FC'!$E$11:$E1028,$C$178,'Livro Diario - FC'!$D$11:$D1028,"&gt;=01/02"&amp;$C$7,'Livro Diario - FC'!$D$11:$D1028,"&lt;=29/02"&amp;$C$7)</f>
        <v>0</v>
      </c>
      <c r="K178" s="273"/>
      <c r="L178" s="258"/>
      <c r="M178" s="259"/>
      <c r="N178" s="255">
        <f>SUMIFS('Livro Diario - FC'!$K$11:$K1028,'Livro Diario - FC'!$E$11:$E1028,$C$178,'Livro Diario - FC'!$D$11:$D1028,"&gt;=01/03"&amp;$C$7,'Livro Diario - FC'!$D$11:$D1028,"&lt;=31/03"&amp;$C$7)</f>
        <v>0</v>
      </c>
      <c r="O178" s="256">
        <f>SUMIFS('Livro Diario - FC'!$M$11:$M1028,'Livro Diario - FC'!$E$11:$E1028,$C$178,'Livro Diario - FC'!$D$11:$D1028,"&gt;=01/03"&amp;$C$7,'Livro Diario - FC'!$D$11:$D1028,"&lt;=31/03"&amp;$C$7)</f>
        <v>0</v>
      </c>
      <c r="P178" s="273"/>
      <c r="Q178" s="258"/>
      <c r="R178" s="259"/>
      <c r="S178" s="255">
        <f>SUMIFS('Livro Diario - FC'!$K$11:$K1028,'Livro Diario - FC'!$E$11:$E1028,$C$178,'Livro Diario - FC'!$D$11:$D1028,"&gt;=01/04"&amp;$C$7,'Livro Diario - FC'!$D$11:$D1028,"&lt;=30/04"&amp;$C$7)</f>
        <v>0</v>
      </c>
      <c r="T178" s="256">
        <f>SUMIFS('Livro Diario - FC'!$M$11:$M1028,'Livro Diario - FC'!$E$11:$E1028,$C$178,'Livro Diario - FC'!$D$11:$D1028,"&gt;=01/04"&amp;$C$7,'Livro Diario - FC'!$D$11:$D1028,"&lt;=30/04"&amp;$C$7)</f>
        <v>0</v>
      </c>
      <c r="U178" s="273"/>
      <c r="V178" s="258"/>
      <c r="W178" s="259"/>
      <c r="X178" s="255">
        <f>SUMIFS('Livro Diario - FC'!$K$11:$K1028,'Livro Diario - FC'!$E$11:$E1028,$C$178,'Livro Diario - FC'!$D$11:$D1028,"&gt;=01/05"&amp;$C$7,'Livro Diario - FC'!$D$11:$D1028,"&lt;=31/05"&amp;$C$7)</f>
        <v>0</v>
      </c>
      <c r="Y178" s="256">
        <f>SUMIFS('Livro Diario - FC'!$M$11:$M1028,'Livro Diario - FC'!$E$11:$E1028,$C$178,'Livro Diario - FC'!$D$11:$D1028,"&gt;=01/05"&amp;$C$7,'Livro Diario - FC'!$D$11:$D1028,"&lt;=31/05"&amp;$C$7)</f>
        <v>0</v>
      </c>
      <c r="Z178" s="273"/>
      <c r="AA178" s="258"/>
      <c r="AB178" s="259"/>
      <c r="AC178" s="255">
        <f>SUMIFS('Livro Diario - FC'!$K$11:$K1028,'Livro Diario - FC'!$E$11:$E1028,$C$178,'Livro Diario - FC'!$D$11:$D1028,"&gt;=01/06"&amp;$C$7,'Livro Diario - FC'!$D$11:$D1028,"&lt;=30/06"&amp;$C$7)</f>
        <v>0</v>
      </c>
      <c r="AD178" s="256">
        <f>SUMIFS('Livro Diario - FC'!$M$11:$M1028,'Livro Diario - FC'!$E$11:$E1028,$C$178,'Livro Diario - FC'!$D$11:$D1028,"&gt;=01/06"&amp;$C$7,'Livro Diario - FC'!$D$11:$D1028,"&lt;=30/06"&amp;$C$7)</f>
        <v>0</v>
      </c>
      <c r="AE178" s="273"/>
      <c r="AF178" s="258"/>
      <c r="AG178" s="255">
        <f>SUMIFS('Livro Diario - FC'!$K$11:$K1028,'Livro Diario - FC'!$E$11:$E1028,$C$178,'Livro Diario - FC'!$D$11:$D1028,"&gt;=01/07"&amp;$C$7,'Livro Diario - FC'!$D$11:$D1028,"&lt;=31/07"&amp;$C$7)</f>
        <v>0</v>
      </c>
      <c r="AH178" s="256">
        <f>SUMIFS('Livro Diario - FC'!$M$11:$M1028,'Livro Diario - FC'!$E$11:$E1028,$C$178,'Livro Diario - FC'!$D$11:$D1028,"&gt;=01/07"&amp;$C$7,'Livro Diario - FC'!$D$11:$D1028,"&lt;=31/07"&amp;$C$7)</f>
        <v>0</v>
      </c>
      <c r="AI178" s="273"/>
      <c r="AJ178" s="258"/>
      <c r="AK178" s="255">
        <f>SUMIFS('Livro Diario - FC'!$K$11:$K1028,'Livro Diario - FC'!$E$11:$E1028,$C$178,'Livro Diario - FC'!$D$11:$D1028,"&gt;=01/08"&amp;$C$7,'Livro Diario - FC'!$D$11:$D1028,"&lt;=31/08"&amp;$C$7)</f>
        <v>0</v>
      </c>
      <c r="AL178" s="256">
        <f>SUMIFS('Livro Diario - FC'!$M$11:$M1028,'Livro Diario - FC'!$E$11:$E1028,$C$178,'Livro Diario - FC'!$D$11:$D1028,"&gt;=01/08"&amp;$C$7,'Livro Diario - FC'!$D$11:$D1028,"&lt;=31/08"&amp;$C$7)</f>
        <v>0</v>
      </c>
      <c r="AM178" s="273"/>
      <c r="AN178" s="258"/>
      <c r="AO178" s="255">
        <f>SUMIFS('Livro Diario - FC'!$K$11:$K1028,'Livro Diario - FC'!$E$11:$E1028,$C$178,'Livro Diario - FC'!$D$11:$D1028,"&gt;=01/09"&amp;$C$7,'Livro Diario - FC'!$D$11:$D1028,"&lt;=30/09"&amp;$C$7)</f>
        <v>0</v>
      </c>
      <c r="AP178" s="256">
        <f>SUMIFS('Livro Diario - FC'!$M$11:$M1028,'Livro Diario - FC'!$E$11:$E1028,$C$178,'Livro Diario - FC'!$D$11:$D1028,"&gt;=01/09"&amp;$C$7,'Livro Diario - FC'!$D$11:$D1028,"&lt;=30/09"&amp;$C$7)</f>
        <v>0</v>
      </c>
      <c r="AQ178" s="273"/>
      <c r="AR178" s="258"/>
      <c r="AS178" s="255">
        <f>SUMIFS('Livro Diario - FC'!$K$11:$K1028,'Livro Diario - FC'!$E$11:$E1028,$C$178,'Livro Diario - FC'!$D$11:$D1028,"&gt;=01/10"&amp;$C$7,'Livro Diario - FC'!$D$11:$D1028,"&lt;=31/10"&amp;$C$7)</f>
        <v>0</v>
      </c>
      <c r="AT178" s="256">
        <f>SUMIFS('Livro Diario - FC'!$M$11:$M1028,'Livro Diario - FC'!$E$11:$E1028,$C$178,'Livro Diario - FC'!$D$11:$D1028,"&gt;=01/10"&amp;$C$7,'Livro Diario - FC'!$D$11:$D1028,"&lt;=31/10"&amp;$C$7)</f>
        <v>0</v>
      </c>
      <c r="AU178" s="273"/>
      <c r="AV178" s="258"/>
      <c r="AW178" s="255">
        <f>SUMIFS('Livro Diario - FC'!$K$11:$K1028,'Livro Diario - FC'!$E$11:$E1028,$C$178,'Livro Diario - FC'!$D$11:$D1028,"&gt;=01/11"&amp;$C$7,'Livro Diario - FC'!$D$11:$D1028,"&lt;=30/11"&amp;$C$7)</f>
        <v>0</v>
      </c>
      <c r="AX178" s="256">
        <f>SUMIFS('Livro Diario - FC'!$M$11:$M1028,'Livro Diario - FC'!$E$11:$E1028,$C$178,'Livro Diario - FC'!$D$11:$D1028,"&gt;=01/11"&amp;$C$7,'Livro Diario - FC'!$D$11:$D1028,"&lt;=30/11"&amp;$C$7)</f>
        <v>0</v>
      </c>
      <c r="AY178" s="273"/>
      <c r="AZ178" s="258"/>
      <c r="BA178" s="255">
        <f>SUMIFS('Livro Diario - FC'!$K$11:$K1028,'Livro Diario - FC'!$E$11:$E1028,$C$178,'Livro Diario - FC'!$D$11:$D1028,"&gt;=01/12"&amp;$C$7,'Livro Diario - FC'!$D$11:$D1028,"&lt;=31/12"&amp;$C$7)</f>
        <v>0</v>
      </c>
      <c r="BB178" s="256">
        <f>SUMIFS('Livro Diario - FC'!$M$11:$M1028,'Livro Diario - FC'!$E$11:$E1028,$C$178,'Livro Diario - FC'!$D$11:$D1028,"&gt;=01/12"&amp;$C$7,'Livro Diario - FC'!$D$11:$D1028,"&lt;=31/12"&amp;$C$7)</f>
        <v>0</v>
      </c>
      <c r="BC178" s="273"/>
      <c r="BD178" s="273"/>
      <c r="BE178" s="267">
        <f t="shared" ref="BE178:BF178" si="279">SUM(D178,I178,N178,S178,X178,AC178,AG178,AK178,AO178,AS178,AW178,BA178)</f>
        <v>0</v>
      </c>
      <c r="BF178" s="268">
        <f t="shared" si="279"/>
        <v>0</v>
      </c>
      <c r="BG178" s="269"/>
      <c r="BH178" s="192"/>
      <c r="BI178" s="270">
        <f>SUMIFS('Livro Diario - FC'!$M$11:$M1028,'Livro Diario - FC'!$E$11:$E1028,C178,'Livro Diario - FC'!$D$11:$D1028,"&gt;="&amp;$BK$8,'Livro Diario - FC'!$D$11:$D1028,"&lt;="&amp;$BK$9)</f>
        <v>0</v>
      </c>
      <c r="BJ178" s="271"/>
      <c r="BK178" s="272"/>
      <c r="BL178" s="1"/>
    </row>
    <row r="179">
      <c r="A179" s="209"/>
      <c r="B179" s="209"/>
      <c r="C179" s="338" t="str">
        <f>'Livro Diario - FC'!AE188</f>
        <v>Frango Desfiado</v>
      </c>
      <c r="D179" s="255">
        <f>SUMIFS('Livro Diario - FC'!$K$11:$K1028,'Livro Diario - FC'!$E$11:$E1028,$C$179,'Livro Diario - FC'!$D$11:$D1028,"&gt;=01/01"&amp;$C$7,'Livro Diario - FC'!$D$11:$D1028,"&lt;=31/01"&amp;$C$7)</f>
        <v>0</v>
      </c>
      <c r="E179" s="256">
        <f>SUMIFS('Livro Diario - FC'!$M$11:$M1028,'Livro Diario - FC'!$E$11:$E1028,$C$179,'Livro Diario - FC'!$D$11:$D1028,"&gt;=01/01"&amp;$C$7,'Livro Diario - FC'!$D$11:$D1028,"&lt;=31/01"&amp;$C$7)</f>
        <v>0</v>
      </c>
      <c r="F179" s="273"/>
      <c r="G179" s="258"/>
      <c r="H179" s="157"/>
      <c r="I179" s="255">
        <f>SUMIFS('Livro Diario - FC'!$K$11:$K1028,'Livro Diario - FC'!$E$11:$E1028,$C$179,'Livro Diario - FC'!$D$11:$D1028,"&gt;=01/02"&amp;$C$7,'Livro Diario - FC'!$D$11:$D1028,"&lt;=29/02"&amp;$C$7)</f>
        <v>0</v>
      </c>
      <c r="J179" s="256">
        <f>SUMIFS('Livro Diario - FC'!$M$11:$M1028,'Livro Diario - FC'!$E$11:$E1028,$C$179,'Livro Diario - FC'!$D$11:$D1028,"&gt;=01/02"&amp;$C$7,'Livro Diario - FC'!$D$11:$D1028,"&lt;=29/02"&amp;$C$7)</f>
        <v>0</v>
      </c>
      <c r="K179" s="273"/>
      <c r="L179" s="258"/>
      <c r="M179" s="259"/>
      <c r="N179" s="255">
        <f>SUMIFS('Livro Diario - FC'!$K$11:$K1028,'Livro Diario - FC'!$E$11:$E1028,$C$179,'Livro Diario - FC'!$D$11:$D1028,"&gt;=01/03"&amp;$C$7,'Livro Diario - FC'!$D$11:$D1028,"&lt;=31/03"&amp;$C$7)</f>
        <v>0</v>
      </c>
      <c r="O179" s="256">
        <f>SUMIFS('Livro Diario - FC'!$M$11:$M1028,'Livro Diario - FC'!$E$11:$E1028,$C$179,'Livro Diario - FC'!$D$11:$D1028,"&gt;=01/03"&amp;$C$7,'Livro Diario - FC'!$D$11:$D1028,"&lt;=31/03"&amp;$C$7)</f>
        <v>0</v>
      </c>
      <c r="P179" s="273"/>
      <c r="Q179" s="258"/>
      <c r="R179" s="259"/>
      <c r="S179" s="255">
        <f>SUMIFS('Livro Diario - FC'!$K$11:$K1028,'Livro Diario - FC'!$E$11:$E1028,$C$179,'Livro Diario - FC'!$D$11:$D1028,"&gt;=01/04"&amp;$C$7,'Livro Diario - FC'!$D$11:$D1028,"&lt;=30/04"&amp;$C$7)</f>
        <v>0</v>
      </c>
      <c r="T179" s="256">
        <f>SUMIFS('Livro Diario - FC'!$M$11:$M1028,'Livro Diario - FC'!$E$11:$E1028,$C$179,'Livro Diario - FC'!$D$11:$D1028,"&gt;=01/04"&amp;$C$7,'Livro Diario - FC'!$D$11:$D1028,"&lt;=30/04"&amp;$C$7)</f>
        <v>0</v>
      </c>
      <c r="U179" s="273"/>
      <c r="V179" s="258"/>
      <c r="W179" s="259"/>
      <c r="X179" s="255">
        <f>SUMIFS('Livro Diario - FC'!$K$11:$K1028,'Livro Diario - FC'!$E$11:$E1028,$C$179,'Livro Diario - FC'!$D$11:$D1028,"&gt;=01/05"&amp;$C$7,'Livro Diario - FC'!$D$11:$D1028,"&lt;=31/05"&amp;$C$7)</f>
        <v>0</v>
      </c>
      <c r="Y179" s="256">
        <f>SUMIFS('Livro Diario - FC'!$M$11:$M1028,'Livro Diario - FC'!$E$11:$E1028,$C$179,'Livro Diario - FC'!$D$11:$D1028,"&gt;=01/05"&amp;$C$7,'Livro Diario - FC'!$D$11:$D1028,"&lt;=31/05"&amp;$C$7)</f>
        <v>0</v>
      </c>
      <c r="Z179" s="273"/>
      <c r="AA179" s="258"/>
      <c r="AB179" s="259"/>
      <c r="AC179" s="255">
        <f>SUMIFS('Livro Diario - FC'!$K$11:$K1028,'Livro Diario - FC'!$E$11:$E1028,$C$179,'Livro Diario - FC'!$D$11:$D1028,"&gt;=01/06"&amp;$C$7,'Livro Diario - FC'!$D$11:$D1028,"&lt;=30/06"&amp;$C$7)</f>
        <v>0</v>
      </c>
      <c r="AD179" s="256">
        <f>SUMIFS('Livro Diario - FC'!$M$11:$M1028,'Livro Diario - FC'!$E$11:$E1028,$C$179,'Livro Diario - FC'!$D$11:$D1028,"&gt;=01/06"&amp;$C$7,'Livro Diario - FC'!$D$11:$D1028,"&lt;=30/06"&amp;$C$7)</f>
        <v>0</v>
      </c>
      <c r="AE179" s="273"/>
      <c r="AF179" s="258"/>
      <c r="AG179" s="255">
        <f>SUMIFS('Livro Diario - FC'!$K$11:$K1028,'Livro Diario - FC'!$E$11:$E1028,$C$179,'Livro Diario - FC'!$D$11:$D1028,"&gt;=01/07"&amp;$C$7,'Livro Diario - FC'!$D$11:$D1028,"&lt;=31/07"&amp;$C$7)</f>
        <v>0</v>
      </c>
      <c r="AH179" s="256">
        <f>SUMIFS('Livro Diario - FC'!$M$11:$M1028,'Livro Diario - FC'!$E$11:$E1028,$C$179,'Livro Diario - FC'!$D$11:$D1028,"&gt;=01/07"&amp;$C$7,'Livro Diario - FC'!$D$11:$D1028,"&lt;=31/07"&amp;$C$7)</f>
        <v>0</v>
      </c>
      <c r="AI179" s="273"/>
      <c r="AJ179" s="258"/>
      <c r="AK179" s="255">
        <f>SUMIFS('Livro Diario - FC'!$K$11:$K1028,'Livro Diario - FC'!$E$11:$E1028,$C$179,'Livro Diario - FC'!$D$11:$D1028,"&gt;=01/08"&amp;$C$7,'Livro Diario - FC'!$D$11:$D1028,"&lt;=31/08"&amp;$C$7)</f>
        <v>0</v>
      </c>
      <c r="AL179" s="256">
        <f>SUMIFS('Livro Diario - FC'!$M$11:$M1028,'Livro Diario - FC'!$E$11:$E1028,$C$179,'Livro Diario - FC'!$D$11:$D1028,"&gt;=01/08"&amp;$C$7,'Livro Diario - FC'!$D$11:$D1028,"&lt;=31/08"&amp;$C$7)</f>
        <v>0</v>
      </c>
      <c r="AM179" s="273"/>
      <c r="AN179" s="258"/>
      <c r="AO179" s="255">
        <f>SUMIFS('Livro Diario - FC'!$K$11:$K1028,'Livro Diario - FC'!$E$11:$E1028,$C$179,'Livro Diario - FC'!$D$11:$D1028,"&gt;=01/09"&amp;$C$7,'Livro Diario - FC'!$D$11:$D1028,"&lt;=30/09"&amp;$C$7)</f>
        <v>0</v>
      </c>
      <c r="AP179" s="256">
        <f>SUMIFS('Livro Diario - FC'!$M$11:$M1028,'Livro Diario - FC'!$E$11:$E1028,$C$179,'Livro Diario - FC'!$D$11:$D1028,"&gt;=01/09"&amp;$C$7,'Livro Diario - FC'!$D$11:$D1028,"&lt;=30/09"&amp;$C$7)</f>
        <v>0</v>
      </c>
      <c r="AQ179" s="273"/>
      <c r="AR179" s="258"/>
      <c r="AS179" s="255">
        <f>SUMIFS('Livro Diario - FC'!$K$11:$K1028,'Livro Diario - FC'!$E$11:$E1028,$C$179,'Livro Diario - FC'!$D$11:$D1028,"&gt;=01/10"&amp;$C$7,'Livro Diario - FC'!$D$11:$D1028,"&lt;=31/10"&amp;$C$7)</f>
        <v>0</v>
      </c>
      <c r="AT179" s="256">
        <f>SUMIFS('Livro Diario - FC'!$M$11:$M1028,'Livro Diario - FC'!$E$11:$E1028,$C$179,'Livro Diario - FC'!$D$11:$D1028,"&gt;=01/10"&amp;$C$7,'Livro Diario - FC'!$D$11:$D1028,"&lt;=31/10"&amp;$C$7)</f>
        <v>0</v>
      </c>
      <c r="AU179" s="273"/>
      <c r="AV179" s="258"/>
      <c r="AW179" s="255">
        <f>SUMIFS('Livro Diario - FC'!$K$11:$K1028,'Livro Diario - FC'!$E$11:$E1028,$C$179,'Livro Diario - FC'!$D$11:$D1028,"&gt;=01/11"&amp;$C$7,'Livro Diario - FC'!$D$11:$D1028,"&lt;=30/11"&amp;$C$7)</f>
        <v>0</v>
      </c>
      <c r="AX179" s="256">
        <f>SUMIFS('Livro Diario - FC'!$M$11:$M1028,'Livro Diario - FC'!$E$11:$E1028,$C$179,'Livro Diario - FC'!$D$11:$D1028,"&gt;=01/11"&amp;$C$7,'Livro Diario - FC'!$D$11:$D1028,"&lt;=30/11"&amp;$C$7)</f>
        <v>0</v>
      </c>
      <c r="AY179" s="273"/>
      <c r="AZ179" s="258"/>
      <c r="BA179" s="255">
        <f>SUMIFS('Livro Diario - FC'!$K$11:$K1028,'Livro Diario - FC'!$E$11:$E1028,$C$179,'Livro Diario - FC'!$D$11:$D1028,"&gt;=01/12"&amp;$C$7,'Livro Diario - FC'!$D$11:$D1028,"&lt;=31/12"&amp;$C$7)</f>
        <v>0</v>
      </c>
      <c r="BB179" s="256">
        <f>SUMIFS('Livro Diario - FC'!$M$11:$M1028,'Livro Diario - FC'!$E$11:$E1028,$C$179,'Livro Diario - FC'!$D$11:$D1028,"&gt;=01/12"&amp;$C$7,'Livro Diario - FC'!$D$11:$D1028,"&lt;=31/12"&amp;$C$7)</f>
        <v>0</v>
      </c>
      <c r="BC179" s="273"/>
      <c r="BD179" s="273"/>
      <c r="BE179" s="267">
        <f t="shared" ref="BE179:BF179" si="280">SUM(D179,I179,N179,S179,X179,AC179,AG179,AK179,AO179,AS179,AW179,BA179)</f>
        <v>0</v>
      </c>
      <c r="BF179" s="268">
        <f t="shared" si="280"/>
        <v>0</v>
      </c>
      <c r="BG179" s="269"/>
      <c r="BH179" s="192"/>
      <c r="BI179" s="270">
        <f>SUMIFS('Livro Diario - FC'!$M$11:$M1028,'Livro Diario - FC'!$E$11:$E1028,C179,'Livro Diario - FC'!$D$11:$D1028,"&gt;="&amp;$BK$8,'Livro Diario - FC'!$D$11:$D1028,"&lt;="&amp;$BK$9)</f>
        <v>0</v>
      </c>
      <c r="BJ179" s="271"/>
      <c r="BK179" s="272"/>
      <c r="BL179" s="1"/>
    </row>
    <row r="180">
      <c r="A180" s="209"/>
      <c r="B180" s="209"/>
      <c r="C180" s="338" t="str">
        <f>'Livro Diario - FC'!AE189</f>
        <v>Coxa Temperada</v>
      </c>
      <c r="D180" s="255">
        <f>SUMIFS('Livro Diario - FC'!$K$11:$K1028,'Livro Diario - FC'!$E$11:$E1028,$C$180,'Livro Diario - FC'!$D$11:$D1028,"&gt;=01/01"&amp;$C$7,'Livro Diario - FC'!$D$11:$D1028,"&lt;=31/01"&amp;$C$7)</f>
        <v>0</v>
      </c>
      <c r="E180" s="256">
        <f>SUMIFS('Livro Diario - FC'!$M$11:$M1028,'Livro Diario - FC'!$E$11:$E1028,$C$180,'Livro Diario - FC'!$D$11:$D1028,"&gt;=01/01"&amp;$C$7,'Livro Diario - FC'!$D$11:$D1028,"&lt;=31/01"&amp;$C$7)</f>
        <v>0</v>
      </c>
      <c r="F180" s="273"/>
      <c r="G180" s="258"/>
      <c r="H180" s="157"/>
      <c r="I180" s="255">
        <f>SUMIFS('Livro Diario - FC'!$K$11:$K1028,'Livro Diario - FC'!$E$11:$E1028,$C$180,'Livro Diario - FC'!$D$11:$D1028,"&gt;=01/02"&amp;$C$7,'Livro Diario - FC'!$D$11:$D1028,"&lt;=29/02"&amp;$C$7)</f>
        <v>0</v>
      </c>
      <c r="J180" s="256">
        <f>SUMIFS('Livro Diario - FC'!$M$11:$M1028,'Livro Diario - FC'!$E$11:$E1028,$C$180,'Livro Diario - FC'!$D$11:$D1028,"&gt;=01/02"&amp;$C$7,'Livro Diario - FC'!$D$11:$D1028,"&lt;=29/02"&amp;$C$7)</f>
        <v>0</v>
      </c>
      <c r="K180" s="273"/>
      <c r="L180" s="258"/>
      <c r="M180" s="259"/>
      <c r="N180" s="255">
        <f>SUMIFS('Livro Diario - FC'!$K$11:$K1028,'Livro Diario - FC'!$E$11:$E1028,$C$180,'Livro Diario - FC'!$D$11:$D1028,"&gt;=01/03"&amp;$C$7,'Livro Diario - FC'!$D$11:$D1028,"&lt;=31/03"&amp;$C$7)</f>
        <v>0</v>
      </c>
      <c r="O180" s="256">
        <f>SUMIFS('Livro Diario - FC'!$M$11:$M1028,'Livro Diario - FC'!$E$11:$E1028,$C$180,'Livro Diario - FC'!$D$11:$D1028,"&gt;=01/03"&amp;$C$7,'Livro Diario - FC'!$D$11:$D1028,"&lt;=31/03"&amp;$C$7)</f>
        <v>0</v>
      </c>
      <c r="P180" s="273"/>
      <c r="Q180" s="258"/>
      <c r="R180" s="259"/>
      <c r="S180" s="255">
        <f>SUMIFS('Livro Diario - FC'!$K$11:$K1028,'Livro Diario - FC'!$E$11:$E1028,$C$180,'Livro Diario - FC'!$D$11:$D1028,"&gt;=01/04"&amp;$C$7,'Livro Diario - FC'!$D$11:$D1028,"&lt;=30/04"&amp;$C$7)</f>
        <v>0</v>
      </c>
      <c r="T180" s="256">
        <f>SUMIFS('Livro Diario - FC'!$M$11:$M1028,'Livro Diario - FC'!$E$11:$E1028,$C$180,'Livro Diario - FC'!$D$11:$D1028,"&gt;=01/04"&amp;$C$7,'Livro Diario - FC'!$D$11:$D1028,"&lt;=30/04"&amp;$C$7)</f>
        <v>0</v>
      </c>
      <c r="U180" s="273"/>
      <c r="V180" s="258"/>
      <c r="W180" s="259"/>
      <c r="X180" s="255">
        <f>SUMIFS('Livro Diario - FC'!$K$11:$K1028,'Livro Diario - FC'!$E$11:$E1028,$C$180,'Livro Diario - FC'!$D$11:$D1028,"&gt;=01/05"&amp;$C$7,'Livro Diario - FC'!$D$11:$D1028,"&lt;=31/05"&amp;$C$7)</f>
        <v>0</v>
      </c>
      <c r="Y180" s="256">
        <f>SUMIFS('Livro Diario - FC'!$M$11:$M1028,'Livro Diario - FC'!$E$11:$E1028,$C$180,'Livro Diario - FC'!$D$11:$D1028,"&gt;=01/05"&amp;$C$7,'Livro Diario - FC'!$D$11:$D1028,"&lt;=31/05"&amp;$C$7)</f>
        <v>0</v>
      </c>
      <c r="Z180" s="273"/>
      <c r="AA180" s="258"/>
      <c r="AB180" s="259"/>
      <c r="AC180" s="255">
        <f>SUMIFS('Livro Diario - FC'!$K$11:$K1028,'Livro Diario - FC'!$E$11:$E1028,$C$180,'Livro Diario - FC'!$D$11:$D1028,"&gt;=01/06"&amp;$C$7,'Livro Diario - FC'!$D$11:$D1028,"&lt;=30/06"&amp;$C$7)</f>
        <v>0</v>
      </c>
      <c r="AD180" s="256">
        <f>SUMIFS('Livro Diario - FC'!$M$11:$M1028,'Livro Diario - FC'!$E$11:$E1028,$C$180,'Livro Diario - FC'!$D$11:$D1028,"&gt;=01/06"&amp;$C$7,'Livro Diario - FC'!$D$11:$D1028,"&lt;=30/06"&amp;$C$7)</f>
        <v>0</v>
      </c>
      <c r="AE180" s="273"/>
      <c r="AF180" s="258"/>
      <c r="AG180" s="255">
        <f>SUMIFS('Livro Diario - FC'!$K$11:$K1028,'Livro Diario - FC'!$E$11:$E1028,$C$180,'Livro Diario - FC'!$D$11:$D1028,"&gt;=01/07"&amp;$C$7,'Livro Diario - FC'!$D$11:$D1028,"&lt;=31/07"&amp;$C$7)</f>
        <v>0</v>
      </c>
      <c r="AH180" s="256">
        <f>SUMIFS('Livro Diario - FC'!$M$11:$M1028,'Livro Diario - FC'!$E$11:$E1028,$C$180,'Livro Diario - FC'!$D$11:$D1028,"&gt;=01/07"&amp;$C$7,'Livro Diario - FC'!$D$11:$D1028,"&lt;=31/07"&amp;$C$7)</f>
        <v>0</v>
      </c>
      <c r="AI180" s="273"/>
      <c r="AJ180" s="258"/>
      <c r="AK180" s="255">
        <f>SUMIFS('Livro Diario - FC'!$K$11:$K1028,'Livro Diario - FC'!$E$11:$E1028,$C$180,'Livro Diario - FC'!$D$11:$D1028,"&gt;=01/08"&amp;$C$7,'Livro Diario - FC'!$D$11:$D1028,"&lt;=31/08"&amp;$C$7)</f>
        <v>0</v>
      </c>
      <c r="AL180" s="256">
        <f>SUMIFS('Livro Diario - FC'!$M$11:$M1028,'Livro Diario - FC'!$E$11:$E1028,$C$180,'Livro Diario - FC'!$D$11:$D1028,"&gt;=01/08"&amp;$C$7,'Livro Diario - FC'!$D$11:$D1028,"&lt;=31/08"&amp;$C$7)</f>
        <v>0</v>
      </c>
      <c r="AM180" s="273"/>
      <c r="AN180" s="258"/>
      <c r="AO180" s="255">
        <f>SUMIFS('Livro Diario - FC'!$K$11:$K1028,'Livro Diario - FC'!$E$11:$E1028,$C$180,'Livro Diario - FC'!$D$11:$D1028,"&gt;=01/09"&amp;$C$7,'Livro Diario - FC'!$D$11:$D1028,"&lt;=30/09"&amp;$C$7)</f>
        <v>0</v>
      </c>
      <c r="AP180" s="256">
        <f>SUMIFS('Livro Diario - FC'!$M$11:$M1028,'Livro Diario - FC'!$E$11:$E1028,$C$180,'Livro Diario - FC'!$D$11:$D1028,"&gt;=01/09"&amp;$C$7,'Livro Diario - FC'!$D$11:$D1028,"&lt;=30/09"&amp;$C$7)</f>
        <v>0</v>
      </c>
      <c r="AQ180" s="273"/>
      <c r="AR180" s="258"/>
      <c r="AS180" s="255">
        <f>SUMIFS('Livro Diario - FC'!$K$11:$K1028,'Livro Diario - FC'!$E$11:$E1028,$C$180,'Livro Diario - FC'!$D$11:$D1028,"&gt;=01/10"&amp;$C$7,'Livro Diario - FC'!$D$11:$D1028,"&lt;=31/10"&amp;$C$7)</f>
        <v>0</v>
      </c>
      <c r="AT180" s="256">
        <f>SUMIFS('Livro Diario - FC'!$M$11:$M1028,'Livro Diario - FC'!$E$11:$E1028,$C$180,'Livro Diario - FC'!$D$11:$D1028,"&gt;=01/10"&amp;$C$7,'Livro Diario - FC'!$D$11:$D1028,"&lt;=31/10"&amp;$C$7)</f>
        <v>0</v>
      </c>
      <c r="AU180" s="273"/>
      <c r="AV180" s="258"/>
      <c r="AW180" s="255">
        <f>SUMIFS('Livro Diario - FC'!$K$11:$K1028,'Livro Diario - FC'!$E$11:$E1028,$C$180,'Livro Diario - FC'!$D$11:$D1028,"&gt;=01/11"&amp;$C$7,'Livro Diario - FC'!$D$11:$D1028,"&lt;=30/11"&amp;$C$7)</f>
        <v>0</v>
      </c>
      <c r="AX180" s="256">
        <f>SUMIFS('Livro Diario - FC'!$M$11:$M1028,'Livro Diario - FC'!$E$11:$E1028,$C$180,'Livro Diario - FC'!$D$11:$D1028,"&gt;=01/11"&amp;$C$7,'Livro Diario - FC'!$D$11:$D1028,"&lt;=30/11"&amp;$C$7)</f>
        <v>0</v>
      </c>
      <c r="AY180" s="273"/>
      <c r="AZ180" s="258"/>
      <c r="BA180" s="255">
        <f>SUMIFS('Livro Diario - FC'!$K$11:$K1028,'Livro Diario - FC'!$E$11:$E1028,$C$180,'Livro Diario - FC'!$D$11:$D1028,"&gt;=01/12"&amp;$C$7,'Livro Diario - FC'!$D$11:$D1028,"&lt;=31/12"&amp;$C$7)</f>
        <v>0</v>
      </c>
      <c r="BB180" s="256">
        <f>SUMIFS('Livro Diario - FC'!$M$11:$M1028,'Livro Diario - FC'!$E$11:$E1028,$C$180,'Livro Diario - FC'!$D$11:$D1028,"&gt;=01/12"&amp;$C$7,'Livro Diario - FC'!$D$11:$D1028,"&lt;=31/12"&amp;$C$7)</f>
        <v>0</v>
      </c>
      <c r="BC180" s="273"/>
      <c r="BD180" s="273"/>
      <c r="BE180" s="267">
        <f t="shared" ref="BE180:BF180" si="281">SUM(D180,I180,N180,S180,X180,AC180,AG180,AK180,AO180,AS180,AW180,BA180)</f>
        <v>0</v>
      </c>
      <c r="BF180" s="268">
        <f t="shared" si="281"/>
        <v>0</v>
      </c>
      <c r="BG180" s="269"/>
      <c r="BH180" s="192"/>
      <c r="BI180" s="270">
        <f>SUMIFS('Livro Diario - FC'!$M$11:$M1028,'Livro Diario - FC'!$E$11:$E1028,C180,'Livro Diario - FC'!$D$11:$D1028,"&gt;="&amp;$BK$8,'Livro Diario - FC'!$D$11:$D1028,"&lt;="&amp;$BK$9)</f>
        <v>0</v>
      </c>
      <c r="BJ180" s="271"/>
      <c r="BK180" s="272"/>
      <c r="BL180" s="1"/>
    </row>
    <row r="181">
      <c r="A181" s="1"/>
      <c r="B181" s="1"/>
      <c r="C181" s="338" t="str">
        <f>'Livro Diario - FC'!AE190</f>
        <v>Maminha</v>
      </c>
      <c r="D181" s="255">
        <f>SUMIFS('Livro Diario - FC'!$K$11:$K1028,'Livro Diario - FC'!$E$11:$E1028,$C$181,'Livro Diario - FC'!$D$11:$D1028,"&gt;=01/01"&amp;$C$7,'Livro Diario - FC'!$D$11:$D1028,"&lt;=31/01"&amp;$C$7)</f>
        <v>300.43</v>
      </c>
      <c r="E181" s="256">
        <f>SUMIFS('Livro Diario - FC'!$M$11:$M1028,'Livro Diario - FC'!$E$11:$E1028,$C$181,'Livro Diario - FC'!$D$11:$D1028,"&gt;=01/01"&amp;$C$7,'Livro Diario - FC'!$D$11:$D1028,"&lt;=31/01"&amp;$C$7)</f>
        <v>300.43</v>
      </c>
      <c r="F181" s="273"/>
      <c r="G181" s="258"/>
      <c r="H181" s="157"/>
      <c r="I181" s="255">
        <f>SUMIFS('Livro Diario - FC'!$K$11:$K1028,'Livro Diario - FC'!$E$11:$E1028,$C$181,'Livro Diario - FC'!$D$11:$D1028,"&gt;=01/02"&amp;$C$7,'Livro Diario - FC'!$D$11:$D1028,"&lt;=29/02"&amp;$C$7)</f>
        <v>0</v>
      </c>
      <c r="J181" s="256">
        <f>SUMIFS('Livro Diario - FC'!$M$11:$M1028,'Livro Diario - FC'!$E$11:$E1028,$C$181,'Livro Diario - FC'!$D$11:$D1028,"&gt;=01/02"&amp;$C$7,'Livro Diario - FC'!$D$11:$D1028,"&lt;=29/02"&amp;$C$7)</f>
        <v>0</v>
      </c>
      <c r="K181" s="273"/>
      <c r="L181" s="258"/>
      <c r="M181" s="259"/>
      <c r="N181" s="255">
        <f>SUMIFS('Livro Diario - FC'!$K$11:$K1028,'Livro Diario - FC'!$E$11:$E1028,$C$181,'Livro Diario - FC'!$D$11:$D1028,"&gt;=01/03"&amp;$C$7,'Livro Diario - FC'!$D$11:$D1028,"&lt;=31/03"&amp;$C$7)</f>
        <v>0</v>
      </c>
      <c r="O181" s="256">
        <f>SUMIFS('Livro Diario - FC'!$M$11:$M1028,'Livro Diario - FC'!$E$11:$E1028,$C$181,'Livro Diario - FC'!$D$11:$D1028,"&gt;=01/03"&amp;$C$7,'Livro Diario - FC'!$D$11:$D1028,"&lt;=31/03"&amp;$C$7)</f>
        <v>0</v>
      </c>
      <c r="P181" s="273"/>
      <c r="Q181" s="258"/>
      <c r="R181" s="259"/>
      <c r="S181" s="255">
        <f>SUMIFS('Livro Diario - FC'!$K$11:$K1028,'Livro Diario - FC'!$E$11:$E1028,$C$181,'Livro Diario - FC'!$D$11:$D1028,"&gt;=01/04"&amp;$C$7,'Livro Diario - FC'!$D$11:$D1028,"&lt;=30/04"&amp;$C$7)</f>
        <v>0</v>
      </c>
      <c r="T181" s="256">
        <f>SUMIFS('Livro Diario - FC'!$M$11:$M1028,'Livro Diario - FC'!$E$11:$E1028,$C$181,'Livro Diario - FC'!$D$11:$D1028,"&gt;=01/04"&amp;$C$7,'Livro Diario - FC'!$D$11:$D1028,"&lt;=30/04"&amp;$C$7)</f>
        <v>0</v>
      </c>
      <c r="U181" s="273"/>
      <c r="V181" s="258"/>
      <c r="W181" s="259"/>
      <c r="X181" s="255">
        <f>SUMIFS('Livro Diario - FC'!$K$11:$K1028,'Livro Diario - FC'!$E$11:$E1028,$C$181,'Livro Diario - FC'!$D$11:$D1028,"&gt;=01/05"&amp;$C$7,'Livro Diario - FC'!$D$11:$D1028,"&lt;=31/05"&amp;$C$7)</f>
        <v>0</v>
      </c>
      <c r="Y181" s="256">
        <f>SUMIFS('Livro Diario - FC'!$M$11:$M1028,'Livro Diario - FC'!$E$11:$E1028,$C$181,'Livro Diario - FC'!$D$11:$D1028,"&gt;=01/05"&amp;$C$7,'Livro Diario - FC'!$D$11:$D1028,"&lt;=31/05"&amp;$C$7)</f>
        <v>0</v>
      </c>
      <c r="Z181" s="273"/>
      <c r="AA181" s="258"/>
      <c r="AB181" s="259"/>
      <c r="AC181" s="255">
        <f>SUMIFS('Livro Diario - FC'!$K$11:$K1028,'Livro Diario - FC'!$E$11:$E1028,$C$181,'Livro Diario - FC'!$D$11:$D1028,"&gt;=01/06"&amp;$C$7,'Livro Diario - FC'!$D$11:$D1028,"&lt;=30/06"&amp;$C$7)</f>
        <v>0</v>
      </c>
      <c r="AD181" s="256">
        <f>SUMIFS('Livro Diario - FC'!$M$11:$M1028,'Livro Diario - FC'!$E$11:$E1028,$C$181,'Livro Diario - FC'!$D$11:$D1028,"&gt;=01/06"&amp;$C$7,'Livro Diario - FC'!$D$11:$D1028,"&lt;=30/06"&amp;$C$7)</f>
        <v>0</v>
      </c>
      <c r="AE181" s="273"/>
      <c r="AF181" s="258"/>
      <c r="AG181" s="255">
        <f>SUMIFS('Livro Diario - FC'!$K$11:$K1028,'Livro Diario - FC'!$E$11:$E1028,$C$181,'Livro Diario - FC'!$D$11:$D1028,"&gt;=01/07"&amp;$C$7,'Livro Diario - FC'!$D$11:$D1028,"&lt;=31/07"&amp;$C$7)</f>
        <v>0</v>
      </c>
      <c r="AH181" s="256">
        <f>SUMIFS('Livro Diario - FC'!$M$11:$M1028,'Livro Diario - FC'!$E$11:$E1028,$C$181,'Livro Diario - FC'!$D$11:$D1028,"&gt;=01/07"&amp;$C$7,'Livro Diario - FC'!$D$11:$D1028,"&lt;=31/07"&amp;$C$7)</f>
        <v>0</v>
      </c>
      <c r="AI181" s="273"/>
      <c r="AJ181" s="258"/>
      <c r="AK181" s="255">
        <f>SUMIFS('Livro Diario - FC'!$K$11:$K1028,'Livro Diario - FC'!$E$11:$E1028,$C$181,'Livro Diario - FC'!$D$11:$D1028,"&gt;=01/08"&amp;$C$7,'Livro Diario - FC'!$D$11:$D1028,"&lt;=31/08"&amp;$C$7)</f>
        <v>0</v>
      </c>
      <c r="AL181" s="256">
        <f>SUMIFS('Livro Diario - FC'!$M$11:$M1028,'Livro Diario - FC'!$E$11:$E1028,$C$181,'Livro Diario - FC'!$D$11:$D1028,"&gt;=01/08"&amp;$C$7,'Livro Diario - FC'!$D$11:$D1028,"&lt;=31/08"&amp;$C$7)</f>
        <v>0</v>
      </c>
      <c r="AM181" s="273"/>
      <c r="AN181" s="258"/>
      <c r="AO181" s="255">
        <f>SUMIFS('Livro Diario - FC'!$K$11:$K1028,'Livro Diario - FC'!$E$11:$E1028,$C$181,'Livro Diario - FC'!$D$11:$D1028,"&gt;=01/09"&amp;$C$7,'Livro Diario - FC'!$D$11:$D1028,"&lt;=30/09"&amp;$C$7)</f>
        <v>0</v>
      </c>
      <c r="AP181" s="256">
        <f>SUMIFS('Livro Diario - FC'!$M$11:$M1028,'Livro Diario - FC'!$E$11:$E1028,$C$181,'Livro Diario - FC'!$D$11:$D1028,"&gt;=01/09"&amp;$C$7,'Livro Diario - FC'!$D$11:$D1028,"&lt;=30/09"&amp;$C$7)</f>
        <v>0</v>
      </c>
      <c r="AQ181" s="273"/>
      <c r="AR181" s="258"/>
      <c r="AS181" s="255">
        <f>SUMIFS('Livro Diario - FC'!$K$11:$K1028,'Livro Diario - FC'!$E$11:$E1028,$C$181,'Livro Diario - FC'!$D$11:$D1028,"&gt;=01/10"&amp;$C$7,'Livro Diario - FC'!$D$11:$D1028,"&lt;=31/10"&amp;$C$7)</f>
        <v>0</v>
      </c>
      <c r="AT181" s="256">
        <f>SUMIFS('Livro Diario - FC'!$M$11:$M1028,'Livro Diario - FC'!$E$11:$E1028,$C$181,'Livro Diario - FC'!$D$11:$D1028,"&gt;=01/10"&amp;$C$7,'Livro Diario - FC'!$D$11:$D1028,"&lt;=31/10"&amp;$C$7)</f>
        <v>0</v>
      </c>
      <c r="AU181" s="273"/>
      <c r="AV181" s="258"/>
      <c r="AW181" s="255">
        <f>SUMIFS('Livro Diario - FC'!$K$11:$K1028,'Livro Diario - FC'!$E$11:$E1028,$C$181,'Livro Diario - FC'!$D$11:$D1028,"&gt;=01/11"&amp;$C$7,'Livro Diario - FC'!$D$11:$D1028,"&lt;=30/11"&amp;$C$7)</f>
        <v>0</v>
      </c>
      <c r="AX181" s="256">
        <f>SUMIFS('Livro Diario - FC'!$M$11:$M1028,'Livro Diario - FC'!$E$11:$E1028,$C$181,'Livro Diario - FC'!$D$11:$D1028,"&gt;=01/11"&amp;$C$7,'Livro Diario - FC'!$D$11:$D1028,"&lt;=30/11"&amp;$C$7)</f>
        <v>0</v>
      </c>
      <c r="AY181" s="273"/>
      <c r="AZ181" s="258"/>
      <c r="BA181" s="255">
        <f>SUMIFS('Livro Diario - FC'!$K$11:$K1028,'Livro Diario - FC'!$E$11:$E1028,$C$181,'Livro Diario - FC'!$D$11:$D1028,"&gt;=01/12"&amp;$C$7,'Livro Diario - FC'!$D$11:$D1028,"&lt;=31/12"&amp;$C$7)</f>
        <v>0</v>
      </c>
      <c r="BB181" s="256">
        <f>SUMIFS('Livro Diario - FC'!$M$11:$M1028,'Livro Diario - FC'!$E$11:$E1028,$C$181,'Livro Diario - FC'!$D$11:$D1028,"&gt;=01/12"&amp;$C$7,'Livro Diario - FC'!$D$11:$D1028,"&lt;=31/12"&amp;$C$7)</f>
        <v>0</v>
      </c>
      <c r="BC181" s="273"/>
      <c r="BD181" s="273"/>
      <c r="BE181" s="267">
        <f t="shared" ref="BE181:BF181" si="282">SUM(D181,I181,N181,S181,X181,AC181,AG181,AK181,AO181,AS181,AW181,BA181)</f>
        <v>300.43</v>
      </c>
      <c r="BF181" s="268">
        <f t="shared" si="282"/>
        <v>300.43</v>
      </c>
      <c r="BG181" s="269"/>
      <c r="BH181" s="192"/>
      <c r="BI181" s="270">
        <f>SUMIFS('Livro Diario - FC'!$M$11:$M1028,'Livro Diario - FC'!$E$11:$E1028,C181,'Livro Diario - FC'!$D$11:$D1028,"&gt;="&amp;$BK$8,'Livro Diario - FC'!$D$11:$D1028,"&lt;="&amp;$BK$9)</f>
        <v>0</v>
      </c>
      <c r="BJ181" s="271"/>
      <c r="BK181" s="272"/>
      <c r="BL181" s="1"/>
    </row>
    <row r="182">
      <c r="A182" s="1"/>
      <c r="B182" s="1"/>
      <c r="C182" s="338" t="str">
        <f>'Livro Diario - FC'!AE191</f>
        <v>Picanha</v>
      </c>
      <c r="D182" s="255">
        <f>SUMIFS('Livro Diario - FC'!$K$11:$K1028,'Livro Diario - FC'!$E$11:$E1028,$C$182,'Livro Diario - FC'!$D$11:$D1028,"&gt;=01/01"&amp;$C$7,'Livro Diario - FC'!$D$11:$D1028,"&lt;=31/01"&amp;$C$7)</f>
        <v>58.33</v>
      </c>
      <c r="E182" s="256">
        <f>SUMIFS('Livro Diario - FC'!$M$11:$M1028,'Livro Diario - FC'!$E$11:$E1028,$C$182,'Livro Diario - FC'!$D$11:$D1028,"&gt;=01/01"&amp;$C$7,'Livro Diario - FC'!$D$11:$D1028,"&lt;=31/01"&amp;$C$7)</f>
        <v>58.33</v>
      </c>
      <c r="F182" s="273"/>
      <c r="G182" s="258"/>
      <c r="H182" s="157"/>
      <c r="I182" s="255">
        <f>SUMIFS('Livro Diario - FC'!$K$11:$K1028,'Livro Diario - FC'!$E$11:$E1028,$C$182,'Livro Diario - FC'!$D$11:$D1028,"&gt;=01/02"&amp;$C$7,'Livro Diario - FC'!$D$11:$D1028,"&lt;=29/02"&amp;$C$7)</f>
        <v>0</v>
      </c>
      <c r="J182" s="256">
        <f>SUMIFS('Livro Diario - FC'!$M$11:$M1028,'Livro Diario - FC'!$E$11:$E1028,$C$182,'Livro Diario - FC'!$D$11:$D1028,"&gt;=01/02"&amp;$C$7,'Livro Diario - FC'!$D$11:$D1028,"&lt;=29/02"&amp;$C$7)</f>
        <v>0</v>
      </c>
      <c r="K182" s="273"/>
      <c r="L182" s="258"/>
      <c r="M182" s="259"/>
      <c r="N182" s="255">
        <f>SUMIFS('Livro Diario - FC'!$K$11:$K1028,'Livro Diario - FC'!$E$11:$E1028,$C$182,'Livro Diario - FC'!$D$11:$D1028,"&gt;=01/03"&amp;$C$7,'Livro Diario - FC'!$D$11:$D1028,"&lt;=31/03"&amp;$C$7)</f>
        <v>0</v>
      </c>
      <c r="O182" s="256">
        <f>SUMIFS('Livro Diario - FC'!$M$11:$M1028,'Livro Diario - FC'!$E$11:$E1028,$C$182,'Livro Diario - FC'!$D$11:$D1028,"&gt;=01/03"&amp;$C$7,'Livro Diario - FC'!$D$11:$D1028,"&lt;=31/03"&amp;$C$7)</f>
        <v>0</v>
      </c>
      <c r="P182" s="273"/>
      <c r="Q182" s="258"/>
      <c r="R182" s="259"/>
      <c r="S182" s="255">
        <f>SUMIFS('Livro Diario - FC'!$K$11:$K1028,'Livro Diario - FC'!$E$11:$E1028,$C$182,'Livro Diario - FC'!$D$11:$D1028,"&gt;=01/04"&amp;$C$7,'Livro Diario - FC'!$D$11:$D1028,"&lt;=30/04"&amp;$C$7)</f>
        <v>0</v>
      </c>
      <c r="T182" s="256">
        <f>SUMIFS('Livro Diario - FC'!$M$11:$M1028,'Livro Diario - FC'!$E$11:$E1028,$C$182,'Livro Diario - FC'!$D$11:$D1028,"&gt;=01/04"&amp;$C$7,'Livro Diario - FC'!$D$11:$D1028,"&lt;=30/04"&amp;$C$7)</f>
        <v>0</v>
      </c>
      <c r="U182" s="273"/>
      <c r="V182" s="258"/>
      <c r="W182" s="259"/>
      <c r="X182" s="255">
        <f>SUMIFS('Livro Diario - FC'!$K$11:$K1028,'Livro Diario - FC'!$E$11:$E1028,$C$182,'Livro Diario - FC'!$D$11:$D1028,"&gt;=01/05"&amp;$C$7,'Livro Diario - FC'!$D$11:$D1028,"&lt;=31/05"&amp;$C$7)</f>
        <v>0</v>
      </c>
      <c r="Y182" s="256">
        <f>SUMIFS('Livro Diario - FC'!$M$11:$M1028,'Livro Diario - FC'!$E$11:$E1028,$C$182,'Livro Diario - FC'!$D$11:$D1028,"&gt;=01/05"&amp;$C$7,'Livro Diario - FC'!$D$11:$D1028,"&lt;=31/05"&amp;$C$7)</f>
        <v>0</v>
      </c>
      <c r="Z182" s="273"/>
      <c r="AA182" s="258"/>
      <c r="AB182" s="259"/>
      <c r="AC182" s="255">
        <f>SUMIFS('Livro Diario - FC'!$K$11:$K1028,'Livro Diario - FC'!$E$11:$E1028,$C$182,'Livro Diario - FC'!$D$11:$D1028,"&gt;=01/06"&amp;$C$7,'Livro Diario - FC'!$D$11:$D1028,"&lt;=30/06"&amp;$C$7)</f>
        <v>0</v>
      </c>
      <c r="AD182" s="256">
        <f>SUMIFS('Livro Diario - FC'!$M$11:$M1028,'Livro Diario - FC'!$E$11:$E1028,$C$182,'Livro Diario - FC'!$D$11:$D1028,"&gt;=01/06"&amp;$C$7,'Livro Diario - FC'!$D$11:$D1028,"&lt;=30/06"&amp;$C$7)</f>
        <v>0</v>
      </c>
      <c r="AE182" s="273"/>
      <c r="AF182" s="258"/>
      <c r="AG182" s="255">
        <f>SUMIFS('Livro Diario - FC'!$K$11:$K1028,'Livro Diario - FC'!$E$11:$E1028,$C$182,'Livro Diario - FC'!$D$11:$D1028,"&gt;=01/07"&amp;$C$7,'Livro Diario - FC'!$D$11:$D1028,"&lt;=31/07"&amp;$C$7)</f>
        <v>0</v>
      </c>
      <c r="AH182" s="256">
        <f>SUMIFS('Livro Diario - FC'!$M$11:$M1028,'Livro Diario - FC'!$E$11:$E1028,$C$182,'Livro Diario - FC'!$D$11:$D1028,"&gt;=01/07"&amp;$C$7,'Livro Diario - FC'!$D$11:$D1028,"&lt;=31/07"&amp;$C$7)</f>
        <v>0</v>
      </c>
      <c r="AI182" s="273"/>
      <c r="AJ182" s="258"/>
      <c r="AK182" s="255">
        <f>SUMIFS('Livro Diario - FC'!$K$11:$K1028,'Livro Diario - FC'!$E$11:$E1028,$C$182,'Livro Diario - FC'!$D$11:$D1028,"&gt;=01/08"&amp;$C$7,'Livro Diario - FC'!$D$11:$D1028,"&lt;=31/08"&amp;$C$7)</f>
        <v>0</v>
      </c>
      <c r="AL182" s="256">
        <f>SUMIFS('Livro Diario - FC'!$M$11:$M1028,'Livro Diario - FC'!$E$11:$E1028,$C$182,'Livro Diario - FC'!$D$11:$D1028,"&gt;=01/08"&amp;$C$7,'Livro Diario - FC'!$D$11:$D1028,"&lt;=31/08"&amp;$C$7)</f>
        <v>0</v>
      </c>
      <c r="AM182" s="273"/>
      <c r="AN182" s="258"/>
      <c r="AO182" s="255">
        <f>SUMIFS('Livro Diario - FC'!$K$11:$K1028,'Livro Diario - FC'!$E$11:$E1028,$C$182,'Livro Diario - FC'!$D$11:$D1028,"&gt;=01/09"&amp;$C$7,'Livro Diario - FC'!$D$11:$D1028,"&lt;=30/09"&amp;$C$7)</f>
        <v>0</v>
      </c>
      <c r="AP182" s="256">
        <f>SUMIFS('Livro Diario - FC'!$M$11:$M1028,'Livro Diario - FC'!$E$11:$E1028,$C$182,'Livro Diario - FC'!$D$11:$D1028,"&gt;=01/09"&amp;$C$7,'Livro Diario - FC'!$D$11:$D1028,"&lt;=30/09"&amp;$C$7)</f>
        <v>0</v>
      </c>
      <c r="AQ182" s="273"/>
      <c r="AR182" s="258"/>
      <c r="AS182" s="255">
        <f>SUMIFS('Livro Diario - FC'!$K$11:$K1028,'Livro Diario - FC'!$E$11:$E1028,$C$182,'Livro Diario - FC'!$D$11:$D1028,"&gt;=01/10"&amp;$C$7,'Livro Diario - FC'!$D$11:$D1028,"&lt;=31/10"&amp;$C$7)</f>
        <v>0</v>
      </c>
      <c r="AT182" s="256">
        <f>SUMIFS('Livro Diario - FC'!$M$11:$M1028,'Livro Diario - FC'!$E$11:$E1028,$C$182,'Livro Diario - FC'!$D$11:$D1028,"&gt;=01/10"&amp;$C$7,'Livro Diario - FC'!$D$11:$D1028,"&lt;=31/10"&amp;$C$7)</f>
        <v>0</v>
      </c>
      <c r="AU182" s="273"/>
      <c r="AV182" s="258"/>
      <c r="AW182" s="255">
        <f>SUMIFS('Livro Diario - FC'!$K$11:$K1028,'Livro Diario - FC'!$E$11:$E1028,$C$182,'Livro Diario - FC'!$D$11:$D1028,"&gt;=01/11"&amp;$C$7,'Livro Diario - FC'!$D$11:$D1028,"&lt;=30/11"&amp;$C$7)</f>
        <v>0</v>
      </c>
      <c r="AX182" s="256">
        <f>SUMIFS('Livro Diario - FC'!$M$11:$M1028,'Livro Diario - FC'!$E$11:$E1028,$C$182,'Livro Diario - FC'!$D$11:$D1028,"&gt;=01/11"&amp;$C$7,'Livro Diario - FC'!$D$11:$D1028,"&lt;=30/11"&amp;$C$7)</f>
        <v>0</v>
      </c>
      <c r="AY182" s="273"/>
      <c r="AZ182" s="258"/>
      <c r="BA182" s="255">
        <f>SUMIFS('Livro Diario - FC'!$K$11:$K1028,'Livro Diario - FC'!$E$11:$E1028,$C$182,'Livro Diario - FC'!$D$11:$D1028,"&gt;=01/12"&amp;$C$7,'Livro Diario - FC'!$D$11:$D1028,"&lt;=31/12"&amp;$C$7)</f>
        <v>0</v>
      </c>
      <c r="BB182" s="256">
        <f>SUMIFS('Livro Diario - FC'!$M$11:$M1028,'Livro Diario - FC'!$E$11:$E1028,$C$182,'Livro Diario - FC'!$D$11:$D1028,"&gt;=01/12"&amp;$C$7,'Livro Diario - FC'!$D$11:$D1028,"&lt;=31/12"&amp;$C$7)</f>
        <v>0</v>
      </c>
      <c r="BC182" s="273"/>
      <c r="BD182" s="273"/>
      <c r="BE182" s="267">
        <f t="shared" ref="BE182:BF182" si="283">SUM(D182,I182,N182,S182,X182,AC182,AG182,AK182,AO182,AS182,AW182,BA182)</f>
        <v>58.33</v>
      </c>
      <c r="BF182" s="268">
        <f t="shared" si="283"/>
        <v>58.33</v>
      </c>
      <c r="BG182" s="269"/>
      <c r="BH182" s="192"/>
      <c r="BI182" s="270">
        <f>SUMIFS('Livro Diario - FC'!$M$11:$M1028,'Livro Diario - FC'!$E$11:$E1028,C182,'Livro Diario - FC'!$D$11:$D1028,"&gt;="&amp;$BK$8,'Livro Diario - FC'!$D$11:$D1028,"&lt;="&amp;$BK$9)</f>
        <v>0</v>
      </c>
      <c r="BJ182" s="271"/>
      <c r="BK182" s="272"/>
      <c r="BL182" s="1"/>
    </row>
    <row r="183">
      <c r="A183" s="1"/>
      <c r="B183" s="1"/>
      <c r="C183" s="338" t="str">
        <f>'Livro Diario - FC'!AE192</f>
        <v>File Mignon</v>
      </c>
      <c r="D183" s="255">
        <f>SUMIFS('Livro Diario - FC'!$K$11:$K1028,'Livro Diario - FC'!$E$11:$E1028,$C$183,'Livro Diario - FC'!$D$11:$D1028,"&gt;=01/01"&amp;$C$7,'Livro Diario - FC'!$D$11:$D1028,"&lt;=31/01"&amp;$C$7)</f>
        <v>0</v>
      </c>
      <c r="E183" s="256">
        <f>SUMIFS('Livro Diario - FC'!$M$11:$M1028,'Livro Diario - FC'!$E$11:$E1028,$C$183,'Livro Diario - FC'!$D$11:$D1028,"&gt;=01/01"&amp;$C$7,'Livro Diario - FC'!$D$11:$D1028,"&lt;=31/01"&amp;$C$7)</f>
        <v>0</v>
      </c>
      <c r="F183" s="273"/>
      <c r="G183" s="258"/>
      <c r="H183" s="157"/>
      <c r="I183" s="255">
        <f>SUMIFS('Livro Diario - FC'!$K$11:$K1028,'Livro Diario - FC'!$E$11:$E1028,$C$183,'Livro Diario - FC'!$D$11:$D1028,"&gt;=01/02"&amp;$C$7,'Livro Diario - FC'!$D$11:$D1028,"&lt;=29/02"&amp;$C$7)</f>
        <v>0</v>
      </c>
      <c r="J183" s="256">
        <f>SUMIFS('Livro Diario - FC'!$M$11:$M1028,'Livro Diario - FC'!$E$11:$E1028,$C$183,'Livro Diario - FC'!$D$11:$D1028,"&gt;=01/02"&amp;$C$7,'Livro Diario - FC'!$D$11:$D1028,"&lt;=29/02"&amp;$C$7)</f>
        <v>0</v>
      </c>
      <c r="K183" s="273"/>
      <c r="L183" s="258"/>
      <c r="M183" s="259"/>
      <c r="N183" s="255">
        <f>SUMIFS('Livro Diario - FC'!$K$11:$K1028,'Livro Diario - FC'!$E$11:$E1028,$C$183,'Livro Diario - FC'!$D$11:$D1028,"&gt;=01/03"&amp;$C$7,'Livro Diario - FC'!$D$11:$D1028,"&lt;=31/03"&amp;$C$7)</f>
        <v>0</v>
      </c>
      <c r="O183" s="256">
        <f>SUMIFS('Livro Diario - FC'!$M$11:$M1028,'Livro Diario - FC'!$E$11:$E1028,$C$183,'Livro Diario - FC'!$D$11:$D1028,"&gt;=01/03"&amp;$C$7,'Livro Diario - FC'!$D$11:$D1028,"&lt;=31/03"&amp;$C$7)</f>
        <v>0</v>
      </c>
      <c r="P183" s="273"/>
      <c r="Q183" s="258"/>
      <c r="R183" s="259"/>
      <c r="S183" s="255">
        <f>SUMIFS('Livro Diario - FC'!$K$11:$K1028,'Livro Diario - FC'!$E$11:$E1028,$C$183,'Livro Diario - FC'!$D$11:$D1028,"&gt;=01/04"&amp;$C$7,'Livro Diario - FC'!$D$11:$D1028,"&lt;=30/04"&amp;$C$7)</f>
        <v>0</v>
      </c>
      <c r="T183" s="256">
        <f>SUMIFS('Livro Diario - FC'!$M$11:$M1028,'Livro Diario - FC'!$E$11:$E1028,$C$183,'Livro Diario - FC'!$D$11:$D1028,"&gt;=01/04"&amp;$C$7,'Livro Diario - FC'!$D$11:$D1028,"&lt;=30/04"&amp;$C$7)</f>
        <v>0</v>
      </c>
      <c r="U183" s="273"/>
      <c r="V183" s="258"/>
      <c r="W183" s="259"/>
      <c r="X183" s="255">
        <f>SUMIFS('Livro Diario - FC'!$K$11:$K1028,'Livro Diario - FC'!$E$11:$E1028,$C$183,'Livro Diario - FC'!$D$11:$D1028,"&gt;=01/05"&amp;$C$7,'Livro Diario - FC'!$D$11:$D1028,"&lt;=31/05"&amp;$C$7)</f>
        <v>0</v>
      </c>
      <c r="Y183" s="256">
        <f>SUMIFS('Livro Diario - FC'!$M$11:$M1028,'Livro Diario - FC'!$E$11:$E1028,$C$183,'Livro Diario - FC'!$D$11:$D1028,"&gt;=01/05"&amp;$C$7,'Livro Diario - FC'!$D$11:$D1028,"&lt;=31/05"&amp;$C$7)</f>
        <v>0</v>
      </c>
      <c r="Z183" s="273"/>
      <c r="AA183" s="258"/>
      <c r="AB183" s="259"/>
      <c r="AC183" s="255">
        <f>SUMIFS('Livro Diario - FC'!$K$11:$K1028,'Livro Diario - FC'!$E$11:$E1028,$C$183,'Livro Diario - FC'!$D$11:$D1028,"&gt;=01/06"&amp;$C$7,'Livro Diario - FC'!$D$11:$D1028,"&lt;=30/06"&amp;$C$7)</f>
        <v>0</v>
      </c>
      <c r="AD183" s="256">
        <f>SUMIFS('Livro Diario - FC'!$M$11:$M1028,'Livro Diario - FC'!$E$11:$E1028,$C$183,'Livro Diario - FC'!$D$11:$D1028,"&gt;=01/06"&amp;$C$7,'Livro Diario - FC'!$D$11:$D1028,"&lt;=30/06"&amp;$C$7)</f>
        <v>0</v>
      </c>
      <c r="AE183" s="273"/>
      <c r="AF183" s="258"/>
      <c r="AG183" s="255">
        <f>SUMIFS('Livro Diario - FC'!$K$11:$K1028,'Livro Diario - FC'!$E$11:$E1028,$C$183,'Livro Diario - FC'!$D$11:$D1028,"&gt;=01/07"&amp;$C$7,'Livro Diario - FC'!$D$11:$D1028,"&lt;=31/07"&amp;$C$7)</f>
        <v>0</v>
      </c>
      <c r="AH183" s="256">
        <f>SUMIFS('Livro Diario - FC'!$M$11:$M1028,'Livro Diario - FC'!$E$11:$E1028,$C$183,'Livro Diario - FC'!$D$11:$D1028,"&gt;=01/07"&amp;$C$7,'Livro Diario - FC'!$D$11:$D1028,"&lt;=31/07"&amp;$C$7)</f>
        <v>0</v>
      </c>
      <c r="AI183" s="273"/>
      <c r="AJ183" s="258"/>
      <c r="AK183" s="255">
        <f>SUMIFS('Livro Diario - FC'!$K$11:$K1028,'Livro Diario - FC'!$E$11:$E1028,$C$183,'Livro Diario - FC'!$D$11:$D1028,"&gt;=01/08"&amp;$C$7,'Livro Diario - FC'!$D$11:$D1028,"&lt;=31/08"&amp;$C$7)</f>
        <v>0</v>
      </c>
      <c r="AL183" s="256">
        <f>SUMIFS('Livro Diario - FC'!$M$11:$M1028,'Livro Diario - FC'!$E$11:$E1028,$C$183,'Livro Diario - FC'!$D$11:$D1028,"&gt;=01/08"&amp;$C$7,'Livro Diario - FC'!$D$11:$D1028,"&lt;=31/08"&amp;$C$7)</f>
        <v>0</v>
      </c>
      <c r="AM183" s="273"/>
      <c r="AN183" s="258"/>
      <c r="AO183" s="255">
        <f>SUMIFS('Livro Diario - FC'!$K$11:$K1028,'Livro Diario - FC'!$E$11:$E1028,$C$183,'Livro Diario - FC'!$D$11:$D1028,"&gt;=01/09"&amp;$C$7,'Livro Diario - FC'!$D$11:$D1028,"&lt;=30/09"&amp;$C$7)</f>
        <v>0</v>
      </c>
      <c r="AP183" s="256">
        <f>SUMIFS('Livro Diario - FC'!$M$11:$M1028,'Livro Diario - FC'!$E$11:$E1028,$C$183,'Livro Diario - FC'!$D$11:$D1028,"&gt;=01/09"&amp;$C$7,'Livro Diario - FC'!$D$11:$D1028,"&lt;=30/09"&amp;$C$7)</f>
        <v>0</v>
      </c>
      <c r="AQ183" s="273"/>
      <c r="AR183" s="258"/>
      <c r="AS183" s="255">
        <f>SUMIFS('Livro Diario - FC'!$K$11:$K1028,'Livro Diario - FC'!$E$11:$E1028,$C$183,'Livro Diario - FC'!$D$11:$D1028,"&gt;=01/10"&amp;$C$7,'Livro Diario - FC'!$D$11:$D1028,"&lt;=31/10"&amp;$C$7)</f>
        <v>0</v>
      </c>
      <c r="AT183" s="256">
        <f>SUMIFS('Livro Diario - FC'!$M$11:$M1028,'Livro Diario - FC'!$E$11:$E1028,$C$183,'Livro Diario - FC'!$D$11:$D1028,"&gt;=01/10"&amp;$C$7,'Livro Diario - FC'!$D$11:$D1028,"&lt;=31/10"&amp;$C$7)</f>
        <v>0</v>
      </c>
      <c r="AU183" s="273"/>
      <c r="AV183" s="258"/>
      <c r="AW183" s="255">
        <f>SUMIFS('Livro Diario - FC'!$K$11:$K1028,'Livro Diario - FC'!$E$11:$E1028,$C$183,'Livro Diario - FC'!$D$11:$D1028,"&gt;=01/11"&amp;$C$7,'Livro Diario - FC'!$D$11:$D1028,"&lt;=30/11"&amp;$C$7)</f>
        <v>0</v>
      </c>
      <c r="AX183" s="256">
        <f>SUMIFS('Livro Diario - FC'!$M$11:$M1028,'Livro Diario - FC'!$E$11:$E1028,$C$183,'Livro Diario - FC'!$D$11:$D1028,"&gt;=01/11"&amp;$C$7,'Livro Diario - FC'!$D$11:$D1028,"&lt;=30/11"&amp;$C$7)</f>
        <v>0</v>
      </c>
      <c r="AY183" s="273"/>
      <c r="AZ183" s="258"/>
      <c r="BA183" s="255">
        <f>SUMIFS('Livro Diario - FC'!$K$11:$K1028,'Livro Diario - FC'!$E$11:$E1028,$C$183,'Livro Diario - FC'!$D$11:$D1028,"&gt;=01/12"&amp;$C$7,'Livro Diario - FC'!$D$11:$D1028,"&lt;=31/12"&amp;$C$7)</f>
        <v>0</v>
      </c>
      <c r="BB183" s="256">
        <f>SUMIFS('Livro Diario - FC'!$M$11:$M1028,'Livro Diario - FC'!$E$11:$E1028,$C$183,'Livro Diario - FC'!$D$11:$D1028,"&gt;=01/12"&amp;$C$7,'Livro Diario - FC'!$D$11:$D1028,"&lt;=31/12"&amp;$C$7)</f>
        <v>0</v>
      </c>
      <c r="BC183" s="273"/>
      <c r="BD183" s="273"/>
      <c r="BE183" s="267">
        <f t="shared" ref="BE183:BF183" si="284">SUM(D183,I183,N183,S183,X183,AC183,AG183,AK183,AO183,AS183,AW183,BA183)</f>
        <v>0</v>
      </c>
      <c r="BF183" s="268">
        <f t="shared" si="284"/>
        <v>0</v>
      </c>
      <c r="BG183" s="269"/>
      <c r="BH183" s="192"/>
      <c r="BI183" s="270">
        <f>SUMIFS('Livro Diario - FC'!$M$11:$M1028,'Livro Diario - FC'!$E$11:$E1028,C183,'Livro Diario - FC'!$D$11:$D1028,"&gt;="&amp;$BK$8,'Livro Diario - FC'!$D$11:$D1028,"&lt;="&amp;$BK$9)</f>
        <v>0</v>
      </c>
      <c r="BJ183" s="271"/>
      <c r="BK183" s="272"/>
      <c r="BL183" s="1"/>
    </row>
    <row r="184">
      <c r="A184" s="1"/>
      <c r="B184" s="1"/>
      <c r="C184" s="338" t="str">
        <f>'Livro Diario - FC'!AE193</f>
        <v>Picanha de Porco</v>
      </c>
      <c r="D184" s="255">
        <f>SUMIFS('Livro Diario - FC'!$K$11:$K1028,'Livro Diario - FC'!$E$11:$E1028,$C$184,'Livro Diario - FC'!$D$11:$D1028,"&gt;=01/01"&amp;$C$7,'Livro Diario - FC'!$D$11:$D1028,"&lt;=31/01"&amp;$C$7)</f>
        <v>0</v>
      </c>
      <c r="E184" s="256">
        <f>SUMIFS('Livro Diario - FC'!$M$11:$M1028,'Livro Diario - FC'!$E$11:$E1028,$C$184,'Livro Diario - FC'!$D$11:$D1028,"&gt;=01/01"&amp;$C$7,'Livro Diario - FC'!$D$11:$D1028,"&lt;=31/01"&amp;$C$7)</f>
        <v>0</v>
      </c>
      <c r="F184" s="273"/>
      <c r="G184" s="258"/>
      <c r="H184" s="157"/>
      <c r="I184" s="255">
        <f>SUMIFS('Livro Diario - FC'!$K$11:$K1028,'Livro Diario - FC'!$E$11:$E1028,$C$184,'Livro Diario - FC'!$D$11:$D1028,"&gt;=01/02"&amp;$C$7,'Livro Diario - FC'!$D$11:$D1028,"&lt;=29/02"&amp;$C$7)</f>
        <v>0</v>
      </c>
      <c r="J184" s="256">
        <f>SUMIFS('Livro Diario - FC'!$M$11:$M1028,'Livro Diario - FC'!$E$11:$E1028,$C$184,'Livro Diario - FC'!$D$11:$D1028,"&gt;=01/02"&amp;$C$7,'Livro Diario - FC'!$D$11:$D1028,"&lt;=29/02"&amp;$C$7)</f>
        <v>0</v>
      </c>
      <c r="K184" s="273"/>
      <c r="L184" s="258"/>
      <c r="M184" s="259"/>
      <c r="N184" s="255">
        <f>SUMIFS('Livro Diario - FC'!$K$11:$K1028,'Livro Diario - FC'!$E$11:$E1028,$C$184,'Livro Diario - FC'!$D$11:$D1028,"&gt;=01/03"&amp;$C$7,'Livro Diario - FC'!$D$11:$D1028,"&lt;=31/03"&amp;$C$7)</f>
        <v>0</v>
      </c>
      <c r="O184" s="256">
        <f>SUMIFS('Livro Diario - FC'!$M$11:$M1028,'Livro Diario - FC'!$E$11:$E1028,$C$184,'Livro Diario - FC'!$D$11:$D1028,"&gt;=01/03"&amp;$C$7,'Livro Diario - FC'!$D$11:$D1028,"&lt;=31/03"&amp;$C$7)</f>
        <v>0</v>
      </c>
      <c r="P184" s="273"/>
      <c r="Q184" s="258"/>
      <c r="R184" s="259"/>
      <c r="S184" s="255">
        <f>SUMIFS('Livro Diario - FC'!$K$11:$K1028,'Livro Diario - FC'!$E$11:$E1028,$C$184,'Livro Diario - FC'!$D$11:$D1028,"&gt;=01/04"&amp;$C$7,'Livro Diario - FC'!$D$11:$D1028,"&lt;=30/04"&amp;$C$7)</f>
        <v>0</v>
      </c>
      <c r="T184" s="256">
        <f>SUMIFS('Livro Diario - FC'!$M$11:$M1028,'Livro Diario - FC'!$E$11:$E1028,$C$184,'Livro Diario - FC'!$D$11:$D1028,"&gt;=01/04"&amp;$C$7,'Livro Diario - FC'!$D$11:$D1028,"&lt;=30/04"&amp;$C$7)</f>
        <v>0</v>
      </c>
      <c r="U184" s="273"/>
      <c r="V184" s="258"/>
      <c r="W184" s="259"/>
      <c r="X184" s="255">
        <f>SUMIFS('Livro Diario - FC'!$K$11:$K1028,'Livro Diario - FC'!$E$11:$E1028,$C$184,'Livro Diario - FC'!$D$11:$D1028,"&gt;=01/05"&amp;$C$7,'Livro Diario - FC'!$D$11:$D1028,"&lt;=31/05"&amp;$C$7)</f>
        <v>0</v>
      </c>
      <c r="Y184" s="256">
        <f>SUMIFS('Livro Diario - FC'!$M$11:$M1028,'Livro Diario - FC'!$E$11:$E1028,$C$184,'Livro Diario - FC'!$D$11:$D1028,"&gt;=01/05"&amp;$C$7,'Livro Diario - FC'!$D$11:$D1028,"&lt;=31/05"&amp;$C$7)</f>
        <v>0</v>
      </c>
      <c r="Z184" s="273"/>
      <c r="AA184" s="258"/>
      <c r="AB184" s="259"/>
      <c r="AC184" s="255">
        <f>SUMIFS('Livro Diario - FC'!$K$11:$K1028,'Livro Diario - FC'!$E$11:$E1028,$C$184,'Livro Diario - FC'!$D$11:$D1028,"&gt;=01/06"&amp;$C$7,'Livro Diario - FC'!$D$11:$D1028,"&lt;=30/06"&amp;$C$7)</f>
        <v>0</v>
      </c>
      <c r="AD184" s="256">
        <f>SUMIFS('Livro Diario - FC'!$M$11:$M1028,'Livro Diario - FC'!$E$11:$E1028,$C$184,'Livro Diario - FC'!$D$11:$D1028,"&gt;=01/06"&amp;$C$7,'Livro Diario - FC'!$D$11:$D1028,"&lt;=30/06"&amp;$C$7)</f>
        <v>0</v>
      </c>
      <c r="AE184" s="273"/>
      <c r="AF184" s="258"/>
      <c r="AG184" s="255">
        <f>SUMIFS('Livro Diario - FC'!$K$11:$K1028,'Livro Diario - FC'!$E$11:$E1028,$C$184,'Livro Diario - FC'!$D$11:$D1028,"&gt;=01/07"&amp;$C$7,'Livro Diario - FC'!$D$11:$D1028,"&lt;=31/07"&amp;$C$7)</f>
        <v>0</v>
      </c>
      <c r="AH184" s="256">
        <f>SUMIFS('Livro Diario - FC'!$M$11:$M1028,'Livro Diario - FC'!$E$11:$E1028,$C$184,'Livro Diario - FC'!$D$11:$D1028,"&gt;=01/07"&amp;$C$7,'Livro Diario - FC'!$D$11:$D1028,"&lt;=31/07"&amp;$C$7)</f>
        <v>0</v>
      </c>
      <c r="AI184" s="273"/>
      <c r="AJ184" s="258"/>
      <c r="AK184" s="255">
        <f>SUMIFS('Livro Diario - FC'!$K$11:$K1028,'Livro Diario - FC'!$E$11:$E1028,$C$184,'Livro Diario - FC'!$D$11:$D1028,"&gt;=01/08"&amp;$C$7,'Livro Diario - FC'!$D$11:$D1028,"&lt;=31/08"&amp;$C$7)</f>
        <v>0</v>
      </c>
      <c r="AL184" s="256">
        <f>SUMIFS('Livro Diario - FC'!$M$11:$M1028,'Livro Diario - FC'!$E$11:$E1028,$C$184,'Livro Diario - FC'!$D$11:$D1028,"&gt;=01/08"&amp;$C$7,'Livro Diario - FC'!$D$11:$D1028,"&lt;=31/08"&amp;$C$7)</f>
        <v>0</v>
      </c>
      <c r="AM184" s="273"/>
      <c r="AN184" s="258"/>
      <c r="AO184" s="255">
        <f>SUMIFS('Livro Diario - FC'!$K$11:$K1028,'Livro Diario - FC'!$E$11:$E1028,$C$184,'Livro Diario - FC'!$D$11:$D1028,"&gt;=01/09"&amp;$C$7,'Livro Diario - FC'!$D$11:$D1028,"&lt;=30/09"&amp;$C$7)</f>
        <v>0</v>
      </c>
      <c r="AP184" s="256">
        <f>SUMIFS('Livro Diario - FC'!$M$11:$M1028,'Livro Diario - FC'!$E$11:$E1028,$C$184,'Livro Diario - FC'!$D$11:$D1028,"&gt;=01/09"&amp;$C$7,'Livro Diario - FC'!$D$11:$D1028,"&lt;=30/09"&amp;$C$7)</f>
        <v>0</v>
      </c>
      <c r="AQ184" s="273"/>
      <c r="AR184" s="258"/>
      <c r="AS184" s="255">
        <f>SUMIFS('Livro Diario - FC'!$K$11:$K1028,'Livro Diario - FC'!$E$11:$E1028,$C$184,'Livro Diario - FC'!$D$11:$D1028,"&gt;=01/10"&amp;$C$7,'Livro Diario - FC'!$D$11:$D1028,"&lt;=31/10"&amp;$C$7)</f>
        <v>0</v>
      </c>
      <c r="AT184" s="256">
        <f>SUMIFS('Livro Diario - FC'!$M$11:$M1028,'Livro Diario - FC'!$E$11:$E1028,$C$184,'Livro Diario - FC'!$D$11:$D1028,"&gt;=01/10"&amp;$C$7,'Livro Diario - FC'!$D$11:$D1028,"&lt;=31/10"&amp;$C$7)</f>
        <v>0</v>
      </c>
      <c r="AU184" s="273"/>
      <c r="AV184" s="258"/>
      <c r="AW184" s="255">
        <f>SUMIFS('Livro Diario - FC'!$K$11:$K1028,'Livro Diario - FC'!$E$11:$E1028,$C$184,'Livro Diario - FC'!$D$11:$D1028,"&gt;=01/11"&amp;$C$7,'Livro Diario - FC'!$D$11:$D1028,"&lt;=30/11"&amp;$C$7)</f>
        <v>0</v>
      </c>
      <c r="AX184" s="256">
        <f>SUMIFS('Livro Diario - FC'!$M$11:$M1028,'Livro Diario - FC'!$E$11:$E1028,$C$184,'Livro Diario - FC'!$D$11:$D1028,"&gt;=01/11"&amp;$C$7,'Livro Diario - FC'!$D$11:$D1028,"&lt;=30/11"&amp;$C$7)</f>
        <v>0</v>
      </c>
      <c r="AY184" s="273"/>
      <c r="AZ184" s="258"/>
      <c r="BA184" s="255">
        <f>SUMIFS('Livro Diario - FC'!$K$11:$K1028,'Livro Diario - FC'!$E$11:$E1028,$C$184,'Livro Diario - FC'!$D$11:$D1028,"&gt;=01/12"&amp;$C$7,'Livro Diario - FC'!$D$11:$D1028,"&lt;=31/12"&amp;$C$7)</f>
        <v>0</v>
      </c>
      <c r="BB184" s="256">
        <f>SUMIFS('Livro Diario - FC'!$M$11:$M1028,'Livro Diario - FC'!$E$11:$E1028,$C$184,'Livro Diario - FC'!$D$11:$D1028,"&gt;=01/12"&amp;$C$7,'Livro Diario - FC'!$D$11:$D1028,"&lt;=31/12"&amp;$C$7)</f>
        <v>0</v>
      </c>
      <c r="BC184" s="273"/>
      <c r="BD184" s="273"/>
      <c r="BE184" s="267">
        <f t="shared" ref="BE184:BF184" si="285">SUM(D184,I184,N184,S184,X184,AC184,AG184,AK184,AO184,AS184,AW184,BA184)</f>
        <v>0</v>
      </c>
      <c r="BF184" s="268">
        <f t="shared" si="285"/>
        <v>0</v>
      </c>
      <c r="BG184" s="269"/>
      <c r="BH184" s="192"/>
      <c r="BI184" s="270">
        <f>SUMIFS('Livro Diario - FC'!$M$11:$M1028,'Livro Diario - FC'!$E$11:$E1028,C184,'Livro Diario - FC'!$D$11:$D1028,"&gt;="&amp;$BK$8,'Livro Diario - FC'!$D$11:$D1028,"&lt;="&amp;$BK$9)</f>
        <v>0</v>
      </c>
      <c r="BJ184" s="271"/>
      <c r="BK184" s="272"/>
      <c r="BL184" s="1"/>
    </row>
    <row r="185">
      <c r="A185" s="1"/>
      <c r="B185" s="1"/>
      <c r="C185" s="338" t="str">
        <f>'Livro Diario - FC'!AE194</f>
        <v>Sol Desfiado</v>
      </c>
      <c r="D185" s="255">
        <f>SUMIFS('Livro Diario - FC'!$K$11:$K1028,'Livro Diario - FC'!$E$11:$E1028,$C$185,'Livro Diario - FC'!$D$11:$D1028,"&gt;=01/01"&amp;$C$7,'Livro Diario - FC'!$D$11:$D1028,"&lt;=31/01"&amp;$C$7)</f>
        <v>0</v>
      </c>
      <c r="E185" s="256">
        <f>SUMIFS('Livro Diario - FC'!$M$11:$M1028,'Livro Diario - FC'!$E$11:$E1028,$C$185,'Livro Diario - FC'!$D$11:$D1028,"&gt;=01/01"&amp;$C$7,'Livro Diario - FC'!$D$11:$D1028,"&lt;=31/01"&amp;$C$7)</f>
        <v>0</v>
      </c>
      <c r="F185" s="273"/>
      <c r="G185" s="258"/>
      <c r="H185" s="157"/>
      <c r="I185" s="255">
        <f>SUMIFS('Livro Diario - FC'!$K$11:$K1028,'Livro Diario - FC'!$E$11:$E1028,$C$185,'Livro Diario - FC'!$D$11:$D1028,"&gt;=01/02"&amp;$C$7,'Livro Diario - FC'!$D$11:$D1028,"&lt;=29/02"&amp;$C$7)</f>
        <v>0</v>
      </c>
      <c r="J185" s="256">
        <f>SUMIFS('Livro Diario - FC'!$M$11:$M1028,'Livro Diario - FC'!$E$11:$E1028,$C$185,'Livro Diario - FC'!$D$11:$D1028,"&gt;=01/02"&amp;$C$7,'Livro Diario - FC'!$D$11:$D1028,"&lt;=29/02"&amp;$C$7)</f>
        <v>0</v>
      </c>
      <c r="K185" s="273"/>
      <c r="L185" s="258"/>
      <c r="M185" s="259"/>
      <c r="N185" s="255">
        <f>SUMIFS('Livro Diario - FC'!$K$11:$K1028,'Livro Diario - FC'!$E$11:$E1028,$C$185,'Livro Diario - FC'!$D$11:$D1028,"&gt;=01/03"&amp;$C$7,'Livro Diario - FC'!$D$11:$D1028,"&lt;=31/03"&amp;$C$7)</f>
        <v>0</v>
      </c>
      <c r="O185" s="256">
        <f>SUMIFS('Livro Diario - FC'!$M$11:$M1028,'Livro Diario - FC'!$E$11:$E1028,$C$185,'Livro Diario - FC'!$D$11:$D1028,"&gt;=01/03"&amp;$C$7,'Livro Diario - FC'!$D$11:$D1028,"&lt;=31/03"&amp;$C$7)</f>
        <v>0</v>
      </c>
      <c r="P185" s="273"/>
      <c r="Q185" s="258"/>
      <c r="R185" s="259"/>
      <c r="S185" s="255">
        <f>SUMIFS('Livro Diario - FC'!$K$11:$K1028,'Livro Diario - FC'!$E$11:$E1028,$C$185,'Livro Diario - FC'!$D$11:$D1028,"&gt;=01/04"&amp;$C$7,'Livro Diario - FC'!$D$11:$D1028,"&lt;=30/04"&amp;$C$7)</f>
        <v>0</v>
      </c>
      <c r="T185" s="256">
        <f>SUMIFS('Livro Diario - FC'!$M$11:$M1028,'Livro Diario - FC'!$E$11:$E1028,$C$185,'Livro Diario - FC'!$D$11:$D1028,"&gt;=01/04"&amp;$C$7,'Livro Diario - FC'!$D$11:$D1028,"&lt;=30/04"&amp;$C$7)</f>
        <v>0</v>
      </c>
      <c r="U185" s="273"/>
      <c r="V185" s="258"/>
      <c r="W185" s="259"/>
      <c r="X185" s="255">
        <f>SUMIFS('Livro Diario - FC'!$K$11:$K1028,'Livro Diario - FC'!$E$11:$E1028,$C$185,'Livro Diario - FC'!$D$11:$D1028,"&gt;=01/05"&amp;$C$7,'Livro Diario - FC'!$D$11:$D1028,"&lt;=31/05"&amp;$C$7)</f>
        <v>0</v>
      </c>
      <c r="Y185" s="256">
        <f>SUMIFS('Livro Diario - FC'!$M$11:$M1028,'Livro Diario - FC'!$E$11:$E1028,$C$185,'Livro Diario - FC'!$D$11:$D1028,"&gt;=01/05"&amp;$C$7,'Livro Diario - FC'!$D$11:$D1028,"&lt;=31/05"&amp;$C$7)</f>
        <v>0</v>
      </c>
      <c r="Z185" s="273"/>
      <c r="AA185" s="258"/>
      <c r="AB185" s="259"/>
      <c r="AC185" s="255">
        <f>SUMIFS('Livro Diario - FC'!$K$11:$K1028,'Livro Diario - FC'!$E$11:$E1028,$C$185,'Livro Diario - FC'!$D$11:$D1028,"&gt;=01/06"&amp;$C$7,'Livro Diario - FC'!$D$11:$D1028,"&lt;=30/06"&amp;$C$7)</f>
        <v>0</v>
      </c>
      <c r="AD185" s="256">
        <f>SUMIFS('Livro Diario - FC'!$M$11:$M1028,'Livro Diario - FC'!$E$11:$E1028,$C$185,'Livro Diario - FC'!$D$11:$D1028,"&gt;=01/06"&amp;$C$7,'Livro Diario - FC'!$D$11:$D1028,"&lt;=30/06"&amp;$C$7)</f>
        <v>0</v>
      </c>
      <c r="AE185" s="273"/>
      <c r="AF185" s="258"/>
      <c r="AG185" s="255">
        <f>SUMIFS('Livro Diario - FC'!$K$11:$K1028,'Livro Diario - FC'!$E$11:$E1028,$C$185,'Livro Diario - FC'!$D$11:$D1028,"&gt;=01/07"&amp;$C$7,'Livro Diario - FC'!$D$11:$D1028,"&lt;=31/07"&amp;$C$7)</f>
        <v>0</v>
      </c>
      <c r="AH185" s="256">
        <f>SUMIFS('Livro Diario - FC'!$M$11:$M1028,'Livro Diario - FC'!$E$11:$E1028,$C$185,'Livro Diario - FC'!$D$11:$D1028,"&gt;=01/07"&amp;$C$7,'Livro Diario - FC'!$D$11:$D1028,"&lt;=31/07"&amp;$C$7)</f>
        <v>0</v>
      </c>
      <c r="AI185" s="273"/>
      <c r="AJ185" s="258"/>
      <c r="AK185" s="255">
        <f>SUMIFS('Livro Diario - FC'!$K$11:$K1028,'Livro Diario - FC'!$E$11:$E1028,$C$185,'Livro Diario - FC'!$D$11:$D1028,"&gt;=01/08"&amp;$C$7,'Livro Diario - FC'!$D$11:$D1028,"&lt;=31/08"&amp;$C$7)</f>
        <v>0</v>
      </c>
      <c r="AL185" s="256">
        <f>SUMIFS('Livro Diario - FC'!$M$11:$M1028,'Livro Diario - FC'!$E$11:$E1028,$C$185,'Livro Diario - FC'!$D$11:$D1028,"&gt;=01/08"&amp;$C$7,'Livro Diario - FC'!$D$11:$D1028,"&lt;=31/08"&amp;$C$7)</f>
        <v>0</v>
      </c>
      <c r="AM185" s="273"/>
      <c r="AN185" s="258"/>
      <c r="AO185" s="255">
        <f>SUMIFS('Livro Diario - FC'!$K$11:$K1028,'Livro Diario - FC'!$E$11:$E1028,$C$185,'Livro Diario - FC'!$D$11:$D1028,"&gt;=01/09"&amp;$C$7,'Livro Diario - FC'!$D$11:$D1028,"&lt;=30/09"&amp;$C$7)</f>
        <v>0</v>
      </c>
      <c r="AP185" s="256">
        <f>SUMIFS('Livro Diario - FC'!$M$11:$M1028,'Livro Diario - FC'!$E$11:$E1028,$C$185,'Livro Diario - FC'!$D$11:$D1028,"&gt;=01/09"&amp;$C$7,'Livro Diario - FC'!$D$11:$D1028,"&lt;=30/09"&amp;$C$7)</f>
        <v>0</v>
      </c>
      <c r="AQ185" s="273"/>
      <c r="AR185" s="258"/>
      <c r="AS185" s="255">
        <f>SUMIFS('Livro Diario - FC'!$K$11:$K1028,'Livro Diario - FC'!$E$11:$E1028,$C$185,'Livro Diario - FC'!$D$11:$D1028,"&gt;=01/10"&amp;$C$7,'Livro Diario - FC'!$D$11:$D1028,"&lt;=31/10"&amp;$C$7)</f>
        <v>0</v>
      </c>
      <c r="AT185" s="256">
        <f>SUMIFS('Livro Diario - FC'!$M$11:$M1028,'Livro Diario - FC'!$E$11:$E1028,$C$185,'Livro Diario - FC'!$D$11:$D1028,"&gt;=01/10"&amp;$C$7,'Livro Diario - FC'!$D$11:$D1028,"&lt;=31/10"&amp;$C$7)</f>
        <v>0</v>
      </c>
      <c r="AU185" s="273"/>
      <c r="AV185" s="258"/>
      <c r="AW185" s="255">
        <f>SUMIFS('Livro Diario - FC'!$K$11:$K1028,'Livro Diario - FC'!$E$11:$E1028,$C$185,'Livro Diario - FC'!$D$11:$D1028,"&gt;=01/11"&amp;$C$7,'Livro Diario - FC'!$D$11:$D1028,"&lt;=30/11"&amp;$C$7)</f>
        <v>0</v>
      </c>
      <c r="AX185" s="256">
        <f>SUMIFS('Livro Diario - FC'!$M$11:$M1028,'Livro Diario - FC'!$E$11:$E1028,$C$185,'Livro Diario - FC'!$D$11:$D1028,"&gt;=01/11"&amp;$C$7,'Livro Diario - FC'!$D$11:$D1028,"&lt;=30/11"&amp;$C$7)</f>
        <v>0</v>
      </c>
      <c r="AY185" s="273"/>
      <c r="AZ185" s="258"/>
      <c r="BA185" s="255">
        <f>SUMIFS('Livro Diario - FC'!$K$11:$K1028,'Livro Diario - FC'!$E$11:$E1028,$C$185,'Livro Diario - FC'!$D$11:$D1028,"&gt;=01/12"&amp;$C$7,'Livro Diario - FC'!$D$11:$D1028,"&lt;=31/12"&amp;$C$7)</f>
        <v>0</v>
      </c>
      <c r="BB185" s="256">
        <f>SUMIFS('Livro Diario - FC'!$M$11:$M1028,'Livro Diario - FC'!$E$11:$E1028,$C$185,'Livro Diario - FC'!$D$11:$D1028,"&gt;=01/12"&amp;$C$7,'Livro Diario - FC'!$D$11:$D1028,"&lt;=31/12"&amp;$C$7)</f>
        <v>0</v>
      </c>
      <c r="BC185" s="273"/>
      <c r="BD185" s="273"/>
      <c r="BE185" s="341">
        <f t="shared" ref="BE185:BF185" si="286">SUM(D185,I185,N185,S185,X185,AC185,AG185,AK185,AO185,AS185,AW185,BA185)</f>
        <v>0</v>
      </c>
      <c r="BF185" s="342">
        <f t="shared" si="286"/>
        <v>0</v>
      </c>
      <c r="BG185" s="343"/>
      <c r="BH185" s="344"/>
      <c r="BI185" s="270">
        <f>SUMIFS('Livro Diario - FC'!$M$11:$M1028,'Livro Diario - FC'!$E$11:$E1028,C185,'Livro Diario - FC'!$D$11:$D1028,"&gt;="&amp;$BK$8,'Livro Diario - FC'!$D$11:$D1028,"&lt;="&amp;$BK$9)</f>
        <v>0</v>
      </c>
      <c r="BJ185" s="271"/>
      <c r="BK185" s="345"/>
      <c r="BL185" s="146"/>
    </row>
    <row r="186">
      <c r="A186" s="1"/>
      <c r="B186" s="40"/>
      <c r="C186" s="338" t="str">
        <f>'Livro Diario - FC'!AE195</f>
        <v>File de Peito Frango</v>
      </c>
      <c r="D186" s="255">
        <f>SUMIFS('Livro Diario - FC'!$K$11:$K1028,'Livro Diario - FC'!$E$11:$E1028,$C$185,'Livro Diario - FC'!$D$11:$D1028,"&gt;=01/01"&amp;$C$7,'Livro Diario - FC'!$D$11:$D1028,"&lt;=31/01"&amp;$C$7)</f>
        <v>0</v>
      </c>
      <c r="E186" s="256">
        <f>SUMIFS('Livro Diario - FC'!$M$11:$M1028,'Livro Diario - FC'!$E$11:$E1028,$C$185,'Livro Diario - FC'!$D$11:$D1028,"&gt;=01/01"&amp;$C$7,'Livro Diario - FC'!$D$11:$D1028,"&lt;=31/01"&amp;$C$7)</f>
        <v>0</v>
      </c>
      <c r="F186" s="273"/>
      <c r="G186" s="258"/>
      <c r="H186" s="157"/>
      <c r="I186" s="255">
        <f>SUMIFS('Livro Diario - FC'!$K$11:$K1028,'Livro Diario - FC'!$E$11:$E1028,$C$185,'Livro Diario - FC'!$D$11:$D1028,"&gt;=01/02"&amp;$C$7,'Livro Diario - FC'!$D$11:$D1028,"&lt;=29/02"&amp;$C$7)</f>
        <v>0</v>
      </c>
      <c r="J186" s="256">
        <f>SUMIFS('Livro Diario - FC'!$M$11:$M1028,'Livro Diario - FC'!$E$11:$E1028,$C$185,'Livro Diario - FC'!$D$11:$D1028,"&gt;=01/02"&amp;$C$7,'Livro Diario - FC'!$D$11:$D1028,"&lt;=29/02"&amp;$C$7)</f>
        <v>0</v>
      </c>
      <c r="K186" s="273"/>
      <c r="L186" s="258"/>
      <c r="M186" s="259"/>
      <c r="N186" s="255">
        <f>SUMIFS('Livro Diario - FC'!$K$11:$K1028,'Livro Diario - FC'!$E$11:$E1028,$C$185,'Livro Diario - FC'!$D$11:$D1028,"&gt;=01/03"&amp;$C$7,'Livro Diario - FC'!$D$11:$D1028,"&lt;=31/03"&amp;$C$7)</f>
        <v>0</v>
      </c>
      <c r="O186" s="256">
        <f>SUMIFS('Livro Diario - FC'!$M$11:$M1028,'Livro Diario - FC'!$E$11:$E1028,$C$185,'Livro Diario - FC'!$D$11:$D1028,"&gt;=01/03"&amp;$C$7,'Livro Diario - FC'!$D$11:$D1028,"&lt;=31/03"&amp;$C$7)</f>
        <v>0</v>
      </c>
      <c r="P186" s="273"/>
      <c r="Q186" s="258"/>
      <c r="R186" s="259"/>
      <c r="S186" s="255">
        <f>SUMIFS('Livro Diario - FC'!$K$11:$K1028,'Livro Diario - FC'!$E$11:$E1028,$C$185,'Livro Diario - FC'!$D$11:$D1028,"&gt;=01/04"&amp;$C$7,'Livro Diario - FC'!$D$11:$D1028,"&lt;=30/04"&amp;$C$7)</f>
        <v>0</v>
      </c>
      <c r="T186" s="256">
        <f>SUMIFS('Livro Diario - FC'!$M$11:$M1028,'Livro Diario - FC'!$E$11:$E1028,$C$185,'Livro Diario - FC'!$D$11:$D1028,"&gt;=01/04"&amp;$C$7,'Livro Diario - FC'!$D$11:$D1028,"&lt;=30/04"&amp;$C$7)</f>
        <v>0</v>
      </c>
      <c r="U186" s="273"/>
      <c r="V186" s="258"/>
      <c r="W186" s="259"/>
      <c r="X186" s="255">
        <f>SUMIFS('Livro Diario - FC'!$K$11:$K1028,'Livro Diario - FC'!$E$11:$E1028,$C$185,'Livro Diario - FC'!$D$11:$D1028,"&gt;=01/05"&amp;$C$7,'Livro Diario - FC'!$D$11:$D1028,"&lt;=31/05"&amp;$C$7)</f>
        <v>0</v>
      </c>
      <c r="Y186" s="256">
        <f>SUMIFS('Livro Diario - FC'!$M$11:$M1028,'Livro Diario - FC'!$E$11:$E1028,$C$185,'Livro Diario - FC'!$D$11:$D1028,"&gt;=01/05"&amp;$C$7,'Livro Diario - FC'!$D$11:$D1028,"&lt;=31/05"&amp;$C$7)</f>
        <v>0</v>
      </c>
      <c r="Z186" s="273"/>
      <c r="AA186" s="258"/>
      <c r="AB186" s="259"/>
      <c r="AC186" s="255">
        <f>SUMIFS('Livro Diario - FC'!$K$11:$K1028,'Livro Diario - FC'!$E$11:$E1028,$C$185,'Livro Diario - FC'!$D$11:$D1028,"&gt;=01/06"&amp;$C$7,'Livro Diario - FC'!$D$11:$D1028,"&lt;=30/06"&amp;$C$7)</f>
        <v>0</v>
      </c>
      <c r="AD186" s="256">
        <f>SUMIFS('Livro Diario - FC'!$M$11:$M1028,'Livro Diario - FC'!$E$11:$E1028,$C$185,'Livro Diario - FC'!$D$11:$D1028,"&gt;=01/06"&amp;$C$7,'Livro Diario - FC'!$D$11:$D1028,"&lt;=30/06"&amp;$C$7)</f>
        <v>0</v>
      </c>
      <c r="AE186" s="273"/>
      <c r="AF186" s="258"/>
      <c r="AG186" s="255">
        <f>SUMIFS('Livro Diario - FC'!$K$11:$K1028,'Livro Diario - FC'!$E$11:$E1028,$C$185,'Livro Diario - FC'!$D$11:$D1028,"&gt;=01/07"&amp;$C$7,'Livro Diario - FC'!$D$11:$D1028,"&lt;=31/07"&amp;$C$7)</f>
        <v>0</v>
      </c>
      <c r="AH186" s="256">
        <f>SUMIFS('Livro Diario - FC'!$M$11:$M1028,'Livro Diario - FC'!$E$11:$E1028,$C$185,'Livro Diario - FC'!$D$11:$D1028,"&gt;=01/07"&amp;$C$7,'Livro Diario - FC'!$D$11:$D1028,"&lt;=31/07"&amp;$C$7)</f>
        <v>0</v>
      </c>
      <c r="AI186" s="273"/>
      <c r="AJ186" s="258"/>
      <c r="AK186" s="255">
        <f>SUMIFS('Livro Diario - FC'!$K$11:$K1028,'Livro Diario - FC'!$E$11:$E1028,$C$185,'Livro Diario - FC'!$D$11:$D1028,"&gt;=01/08"&amp;$C$7,'Livro Diario - FC'!$D$11:$D1028,"&lt;=31/08"&amp;$C$7)</f>
        <v>0</v>
      </c>
      <c r="AL186" s="256">
        <f>SUMIFS('Livro Diario - FC'!$M$11:$M1028,'Livro Diario - FC'!$E$11:$E1028,$C$185,'Livro Diario - FC'!$D$11:$D1028,"&gt;=01/08"&amp;$C$7,'Livro Diario - FC'!$D$11:$D1028,"&lt;=31/08"&amp;$C$7)</f>
        <v>0</v>
      </c>
      <c r="AM186" s="273"/>
      <c r="AN186" s="258"/>
      <c r="AO186" s="255">
        <f>SUMIFS('Livro Diario - FC'!$K$11:$K1028,'Livro Diario - FC'!$E$11:$E1028,$C$185,'Livro Diario - FC'!$D$11:$D1028,"&gt;=01/09"&amp;$C$7,'Livro Diario - FC'!$D$11:$D1028,"&lt;=30/09"&amp;$C$7)</f>
        <v>0</v>
      </c>
      <c r="AP186" s="256">
        <f>SUMIFS('Livro Diario - FC'!$M$11:$M1028,'Livro Diario - FC'!$E$11:$E1028,$C$185,'Livro Diario - FC'!$D$11:$D1028,"&gt;=01/09"&amp;$C$7,'Livro Diario - FC'!$D$11:$D1028,"&lt;=30/09"&amp;$C$7)</f>
        <v>0</v>
      </c>
      <c r="AQ186" s="273"/>
      <c r="AR186" s="258"/>
      <c r="AS186" s="255">
        <f>SUMIFS('Livro Diario - FC'!$K$11:$K1028,'Livro Diario - FC'!$E$11:$E1028,$C$185,'Livro Diario - FC'!$D$11:$D1028,"&gt;=01/10"&amp;$C$7,'Livro Diario - FC'!$D$11:$D1028,"&lt;=31/10"&amp;$C$7)</f>
        <v>0</v>
      </c>
      <c r="AT186" s="256">
        <f>SUMIFS('Livro Diario - FC'!$M$11:$M1028,'Livro Diario - FC'!$E$11:$E1028,$C$185,'Livro Diario - FC'!$D$11:$D1028,"&gt;=01/10"&amp;$C$7,'Livro Diario - FC'!$D$11:$D1028,"&lt;=31/10"&amp;$C$7)</f>
        <v>0</v>
      </c>
      <c r="AU186" s="273"/>
      <c r="AV186" s="258"/>
      <c r="AW186" s="255">
        <f>SUMIFS('Livro Diario - FC'!$K$11:$K1028,'Livro Diario - FC'!$E$11:$E1028,$C$185,'Livro Diario - FC'!$D$11:$D1028,"&gt;=01/11"&amp;$C$7,'Livro Diario - FC'!$D$11:$D1028,"&lt;=30/11"&amp;$C$7)</f>
        <v>0</v>
      </c>
      <c r="AX186" s="256">
        <f>SUMIFS('Livro Diario - FC'!$M$11:$M1028,'Livro Diario - FC'!$E$11:$E1028,$C$185,'Livro Diario - FC'!$D$11:$D1028,"&gt;=01/11"&amp;$C$7,'Livro Diario - FC'!$D$11:$D1028,"&lt;=30/11"&amp;$C$7)</f>
        <v>0</v>
      </c>
      <c r="AY186" s="273"/>
      <c r="AZ186" s="258"/>
      <c r="BA186" s="255">
        <f>SUMIFS('Livro Diario - FC'!$K$11:$K1028,'Livro Diario - FC'!$E$11:$E1028,$C$185,'Livro Diario - FC'!$D$11:$D1028,"&gt;=01/12"&amp;$C$7,'Livro Diario - FC'!$D$11:$D1028,"&lt;=31/12"&amp;$C$7)</f>
        <v>0</v>
      </c>
      <c r="BB186" s="256">
        <f>SUMIFS('Livro Diario - FC'!$M$11:$M1028,'Livro Diario - FC'!$E$11:$E1028,$C$185,'Livro Diario - FC'!$D$11:$D1028,"&gt;=01/12"&amp;$C$7,'Livro Diario - FC'!$D$11:$D1028,"&lt;=31/12"&amp;$C$7)</f>
        <v>0</v>
      </c>
      <c r="BC186" s="273"/>
      <c r="BD186" s="273"/>
      <c r="BE186" s="341">
        <f t="shared" ref="BE186:BF186" si="287">SUM(D186,I186,N186,S186,X186,AC186,AG186,AK186,AO186,AS186,AW186,BA186)</f>
        <v>0</v>
      </c>
      <c r="BF186" s="342">
        <f t="shared" si="287"/>
        <v>0</v>
      </c>
      <c r="BG186" s="343"/>
      <c r="BH186" s="344"/>
      <c r="BI186" s="270">
        <f>SUMIFS('Livro Diario - FC'!$M$11:$M1028,'Livro Diario - FC'!$E$11:$E1028,C186,'Livro Diario - FC'!$D$11:$D1028,"&gt;="&amp;$BK$8,'Livro Diario - FC'!$D$11:$D1028,"&lt;="&amp;$BK$9)</f>
        <v>0</v>
      </c>
      <c r="BJ186" s="271"/>
      <c r="BK186" s="345"/>
      <c r="BL186" s="146"/>
    </row>
    <row r="187">
      <c r="A187" s="1"/>
      <c r="B187" s="40"/>
      <c r="C187" s="338" t="str">
        <f>'Livro Diario - FC'!AE196</f>
        <v/>
      </c>
      <c r="D187" s="255">
        <f>SUMIFS('Livro Diario - FC'!$K$11:$K1028,'Livro Diario - FC'!$E$11:$E1028,$C$185,'Livro Diario - FC'!$D$11:$D1028,"&gt;=01/01"&amp;$C$7,'Livro Diario - FC'!$D$11:$D1028,"&lt;=31/01"&amp;$C$7)</f>
        <v>0</v>
      </c>
      <c r="E187" s="256">
        <f>SUMIFS('Livro Diario - FC'!$M$11:$M1028,'Livro Diario - FC'!$E$11:$E1028,$C$185,'Livro Diario - FC'!$D$11:$D1028,"&gt;=01/01"&amp;$C$7,'Livro Diario - FC'!$D$11:$D1028,"&lt;=31/01"&amp;$C$7)</f>
        <v>0</v>
      </c>
      <c r="F187" s="273"/>
      <c r="G187" s="258"/>
      <c r="H187" s="157"/>
      <c r="I187" s="255">
        <f>SUMIFS('Livro Diario - FC'!$K$11:$K1028,'Livro Diario - FC'!$E$11:$E1028,$C$185,'Livro Diario - FC'!$D$11:$D1028,"&gt;=01/02"&amp;$C$7,'Livro Diario - FC'!$D$11:$D1028,"&lt;=29/02"&amp;$C$7)</f>
        <v>0</v>
      </c>
      <c r="J187" s="256">
        <f>SUMIFS('Livro Diario - FC'!$M$11:$M1028,'Livro Diario - FC'!$E$11:$E1028,$C$185,'Livro Diario - FC'!$D$11:$D1028,"&gt;=01/02"&amp;$C$7,'Livro Diario - FC'!$D$11:$D1028,"&lt;=29/02"&amp;$C$7)</f>
        <v>0</v>
      </c>
      <c r="K187" s="273"/>
      <c r="L187" s="258"/>
      <c r="M187" s="259"/>
      <c r="N187" s="255">
        <f>SUMIFS('Livro Diario - FC'!$K$11:$K1028,'Livro Diario - FC'!$E$11:$E1028,$C$185,'Livro Diario - FC'!$D$11:$D1028,"&gt;=01/03"&amp;$C$7,'Livro Diario - FC'!$D$11:$D1028,"&lt;=31/03"&amp;$C$7)</f>
        <v>0</v>
      </c>
      <c r="O187" s="256">
        <f>SUMIFS('Livro Diario - FC'!$M$11:$M1028,'Livro Diario - FC'!$E$11:$E1028,$C$185,'Livro Diario - FC'!$D$11:$D1028,"&gt;=01/03"&amp;$C$7,'Livro Diario - FC'!$D$11:$D1028,"&lt;=31/03"&amp;$C$7)</f>
        <v>0</v>
      </c>
      <c r="P187" s="273"/>
      <c r="Q187" s="258"/>
      <c r="R187" s="259"/>
      <c r="S187" s="255">
        <f>SUMIFS('Livro Diario - FC'!$K$11:$K1028,'Livro Diario - FC'!$E$11:$E1028,$C$185,'Livro Diario - FC'!$D$11:$D1028,"&gt;=01/04"&amp;$C$7,'Livro Diario - FC'!$D$11:$D1028,"&lt;=30/04"&amp;$C$7)</f>
        <v>0</v>
      </c>
      <c r="T187" s="256">
        <f>SUMIFS('Livro Diario - FC'!$M$11:$M1028,'Livro Diario - FC'!$E$11:$E1028,$C$185,'Livro Diario - FC'!$D$11:$D1028,"&gt;=01/04"&amp;$C$7,'Livro Diario - FC'!$D$11:$D1028,"&lt;=30/04"&amp;$C$7)</f>
        <v>0</v>
      </c>
      <c r="U187" s="273"/>
      <c r="V187" s="258"/>
      <c r="W187" s="259"/>
      <c r="X187" s="255">
        <f>SUMIFS('Livro Diario - FC'!$K$11:$K1028,'Livro Diario - FC'!$E$11:$E1028,$C$185,'Livro Diario - FC'!$D$11:$D1028,"&gt;=01/05"&amp;$C$7,'Livro Diario - FC'!$D$11:$D1028,"&lt;=31/05"&amp;$C$7)</f>
        <v>0</v>
      </c>
      <c r="Y187" s="256">
        <f>SUMIFS('Livro Diario - FC'!$M$11:$M1028,'Livro Diario - FC'!$E$11:$E1028,$C$185,'Livro Diario - FC'!$D$11:$D1028,"&gt;=01/05"&amp;$C$7,'Livro Diario - FC'!$D$11:$D1028,"&lt;=31/05"&amp;$C$7)</f>
        <v>0</v>
      </c>
      <c r="Z187" s="273"/>
      <c r="AA187" s="258"/>
      <c r="AB187" s="259"/>
      <c r="AC187" s="255">
        <f>SUMIFS('Livro Diario - FC'!$K$11:$K1028,'Livro Diario - FC'!$E$11:$E1028,$C$185,'Livro Diario - FC'!$D$11:$D1028,"&gt;=01/06"&amp;$C$7,'Livro Diario - FC'!$D$11:$D1028,"&lt;=30/06"&amp;$C$7)</f>
        <v>0</v>
      </c>
      <c r="AD187" s="256">
        <f>SUMIFS('Livro Diario - FC'!$M$11:$M1028,'Livro Diario - FC'!$E$11:$E1028,$C$185,'Livro Diario - FC'!$D$11:$D1028,"&gt;=01/06"&amp;$C$7,'Livro Diario - FC'!$D$11:$D1028,"&lt;=30/06"&amp;$C$7)</f>
        <v>0</v>
      </c>
      <c r="AE187" s="273"/>
      <c r="AF187" s="258"/>
      <c r="AG187" s="255">
        <f>SUMIFS('Livro Diario - FC'!$K$11:$K1028,'Livro Diario - FC'!$E$11:$E1028,$C$185,'Livro Diario - FC'!$D$11:$D1028,"&gt;=01/07"&amp;$C$7,'Livro Diario - FC'!$D$11:$D1028,"&lt;=31/07"&amp;$C$7)</f>
        <v>0</v>
      </c>
      <c r="AH187" s="256">
        <f>SUMIFS('Livro Diario - FC'!$M$11:$M1028,'Livro Diario - FC'!$E$11:$E1028,$C$185,'Livro Diario - FC'!$D$11:$D1028,"&gt;=01/07"&amp;$C$7,'Livro Diario - FC'!$D$11:$D1028,"&lt;=31/07"&amp;$C$7)</f>
        <v>0</v>
      </c>
      <c r="AI187" s="273"/>
      <c r="AJ187" s="258"/>
      <c r="AK187" s="255">
        <f>SUMIFS('Livro Diario - FC'!$K$11:$K1028,'Livro Diario - FC'!$E$11:$E1028,$C$185,'Livro Diario - FC'!$D$11:$D1028,"&gt;=01/08"&amp;$C$7,'Livro Diario - FC'!$D$11:$D1028,"&lt;=31/08"&amp;$C$7)</f>
        <v>0</v>
      </c>
      <c r="AL187" s="256">
        <f>SUMIFS('Livro Diario - FC'!$M$11:$M1028,'Livro Diario - FC'!$E$11:$E1028,$C$185,'Livro Diario - FC'!$D$11:$D1028,"&gt;=01/08"&amp;$C$7,'Livro Diario - FC'!$D$11:$D1028,"&lt;=31/08"&amp;$C$7)</f>
        <v>0</v>
      </c>
      <c r="AM187" s="273"/>
      <c r="AN187" s="258"/>
      <c r="AO187" s="255">
        <f>SUMIFS('Livro Diario - FC'!$K$11:$K1028,'Livro Diario - FC'!$E$11:$E1028,$C$185,'Livro Diario - FC'!$D$11:$D1028,"&gt;=01/09"&amp;$C$7,'Livro Diario - FC'!$D$11:$D1028,"&lt;=30/09"&amp;$C$7)</f>
        <v>0</v>
      </c>
      <c r="AP187" s="256">
        <f>SUMIFS('Livro Diario - FC'!$M$11:$M1028,'Livro Diario - FC'!$E$11:$E1028,$C$185,'Livro Diario - FC'!$D$11:$D1028,"&gt;=01/09"&amp;$C$7,'Livro Diario - FC'!$D$11:$D1028,"&lt;=30/09"&amp;$C$7)</f>
        <v>0</v>
      </c>
      <c r="AQ187" s="273"/>
      <c r="AR187" s="258"/>
      <c r="AS187" s="255">
        <f>SUMIFS('Livro Diario - FC'!$K$11:$K1028,'Livro Diario - FC'!$E$11:$E1028,$C$185,'Livro Diario - FC'!$D$11:$D1028,"&gt;=01/10"&amp;$C$7,'Livro Diario - FC'!$D$11:$D1028,"&lt;=31/10"&amp;$C$7)</f>
        <v>0</v>
      </c>
      <c r="AT187" s="256">
        <f>SUMIFS('Livro Diario - FC'!$M$11:$M1028,'Livro Diario - FC'!$E$11:$E1028,$C$185,'Livro Diario - FC'!$D$11:$D1028,"&gt;=01/10"&amp;$C$7,'Livro Diario - FC'!$D$11:$D1028,"&lt;=31/10"&amp;$C$7)</f>
        <v>0</v>
      </c>
      <c r="AU187" s="273"/>
      <c r="AV187" s="258"/>
      <c r="AW187" s="255">
        <f>SUMIFS('Livro Diario - FC'!$K$11:$K1028,'Livro Diario - FC'!$E$11:$E1028,$C$185,'Livro Diario - FC'!$D$11:$D1028,"&gt;=01/11"&amp;$C$7,'Livro Diario - FC'!$D$11:$D1028,"&lt;=30/11"&amp;$C$7)</f>
        <v>0</v>
      </c>
      <c r="AX187" s="256">
        <f>SUMIFS('Livro Diario - FC'!$M$11:$M1028,'Livro Diario - FC'!$E$11:$E1028,$C$185,'Livro Diario - FC'!$D$11:$D1028,"&gt;=01/11"&amp;$C$7,'Livro Diario - FC'!$D$11:$D1028,"&lt;=30/11"&amp;$C$7)</f>
        <v>0</v>
      </c>
      <c r="AY187" s="273"/>
      <c r="AZ187" s="258"/>
      <c r="BA187" s="255">
        <f>SUMIFS('Livro Diario - FC'!$K$11:$K1028,'Livro Diario - FC'!$E$11:$E1028,$C$185,'Livro Diario - FC'!$D$11:$D1028,"&gt;=01/12"&amp;$C$7,'Livro Diario - FC'!$D$11:$D1028,"&lt;=31/12"&amp;$C$7)</f>
        <v>0</v>
      </c>
      <c r="BB187" s="256">
        <f>SUMIFS('Livro Diario - FC'!$M$11:$M1028,'Livro Diario - FC'!$E$11:$E1028,$C$185,'Livro Diario - FC'!$D$11:$D1028,"&gt;=01/12"&amp;$C$7,'Livro Diario - FC'!$D$11:$D1028,"&lt;=31/12"&amp;$C$7)</f>
        <v>0</v>
      </c>
      <c r="BC187" s="273"/>
      <c r="BD187" s="273"/>
      <c r="BE187" s="341">
        <f t="shared" ref="BE187:BF187" si="288">SUM(D187,I187,N187,S187,X187,AC187,AG187,AK187,AO187,AS187,AW187,BA187)</f>
        <v>0</v>
      </c>
      <c r="BF187" s="342">
        <f t="shared" si="288"/>
        <v>0</v>
      </c>
      <c r="BG187" s="343"/>
      <c r="BH187" s="344"/>
      <c r="BI187" s="270">
        <f>SUMIFS('Livro Diario - FC'!$M$11:$M1028,'Livro Diario - FC'!$E$11:$E1028,C187,'Livro Diario - FC'!$D$11:$D1028,"&gt;="&amp;$BK$8,'Livro Diario - FC'!$D$11:$D1028,"&lt;="&amp;$BK$9)</f>
        <v>0</v>
      </c>
      <c r="BJ187" s="271"/>
      <c r="BK187" s="345"/>
      <c r="BL187" s="146"/>
    </row>
    <row r="188">
      <c r="A188" s="1"/>
      <c r="B188" s="40"/>
      <c r="C188" s="338" t="str">
        <f>'Livro Diario - FC'!AE197</f>
        <v/>
      </c>
      <c r="D188" s="255">
        <f>SUMIFS('Livro Diario - FC'!$K$11:$K1028,'Livro Diario - FC'!$E$11:$E1028,$C$185,'Livro Diario - FC'!$D$11:$D1028,"&gt;=01/01"&amp;$C$7,'Livro Diario - FC'!$D$11:$D1028,"&lt;=31/01"&amp;$C$7)</f>
        <v>0</v>
      </c>
      <c r="E188" s="256">
        <f>SUMIFS('Livro Diario - FC'!$M$11:$M1028,'Livro Diario - FC'!$E$11:$E1028,$C$185,'Livro Diario - FC'!$D$11:$D1028,"&gt;=01/01"&amp;$C$7,'Livro Diario - FC'!$D$11:$D1028,"&lt;=31/01"&amp;$C$7)</f>
        <v>0</v>
      </c>
      <c r="F188" s="273"/>
      <c r="G188" s="258"/>
      <c r="H188" s="157"/>
      <c r="I188" s="255">
        <f>SUMIFS('Livro Diario - FC'!$K$11:$K1028,'Livro Diario - FC'!$E$11:$E1028,$C$185,'Livro Diario - FC'!$D$11:$D1028,"&gt;=01/02"&amp;$C$7,'Livro Diario - FC'!$D$11:$D1028,"&lt;=29/02"&amp;$C$7)</f>
        <v>0</v>
      </c>
      <c r="J188" s="256">
        <f>SUMIFS('Livro Diario - FC'!$M$11:$M1028,'Livro Diario - FC'!$E$11:$E1028,$C$185,'Livro Diario - FC'!$D$11:$D1028,"&gt;=01/02"&amp;$C$7,'Livro Diario - FC'!$D$11:$D1028,"&lt;=29/02"&amp;$C$7)</f>
        <v>0</v>
      </c>
      <c r="K188" s="273"/>
      <c r="L188" s="258"/>
      <c r="M188" s="259"/>
      <c r="N188" s="255">
        <f>SUMIFS('Livro Diario - FC'!$K$11:$K1028,'Livro Diario - FC'!$E$11:$E1028,$C$185,'Livro Diario - FC'!$D$11:$D1028,"&gt;=01/03"&amp;$C$7,'Livro Diario - FC'!$D$11:$D1028,"&lt;=31/03"&amp;$C$7)</f>
        <v>0</v>
      </c>
      <c r="O188" s="256">
        <f>SUMIFS('Livro Diario - FC'!$M$11:$M1028,'Livro Diario - FC'!$E$11:$E1028,$C$185,'Livro Diario - FC'!$D$11:$D1028,"&gt;=01/03"&amp;$C$7,'Livro Diario - FC'!$D$11:$D1028,"&lt;=31/03"&amp;$C$7)</f>
        <v>0</v>
      </c>
      <c r="P188" s="273"/>
      <c r="Q188" s="258"/>
      <c r="R188" s="259"/>
      <c r="S188" s="255">
        <f>SUMIFS('Livro Diario - FC'!$K$11:$K1028,'Livro Diario - FC'!$E$11:$E1028,$C$185,'Livro Diario - FC'!$D$11:$D1028,"&gt;=01/04"&amp;$C$7,'Livro Diario - FC'!$D$11:$D1028,"&lt;=30/04"&amp;$C$7)</f>
        <v>0</v>
      </c>
      <c r="T188" s="256">
        <f>SUMIFS('Livro Diario - FC'!$M$11:$M1028,'Livro Diario - FC'!$E$11:$E1028,$C$185,'Livro Diario - FC'!$D$11:$D1028,"&gt;=01/04"&amp;$C$7,'Livro Diario - FC'!$D$11:$D1028,"&lt;=30/04"&amp;$C$7)</f>
        <v>0</v>
      </c>
      <c r="U188" s="273"/>
      <c r="V188" s="258"/>
      <c r="W188" s="259"/>
      <c r="X188" s="255">
        <f>SUMIFS('Livro Diario - FC'!$K$11:$K1028,'Livro Diario - FC'!$E$11:$E1028,$C$185,'Livro Diario - FC'!$D$11:$D1028,"&gt;=01/05"&amp;$C$7,'Livro Diario - FC'!$D$11:$D1028,"&lt;=31/05"&amp;$C$7)</f>
        <v>0</v>
      </c>
      <c r="Y188" s="256">
        <f>SUMIFS('Livro Diario - FC'!$M$11:$M1028,'Livro Diario - FC'!$E$11:$E1028,$C$185,'Livro Diario - FC'!$D$11:$D1028,"&gt;=01/05"&amp;$C$7,'Livro Diario - FC'!$D$11:$D1028,"&lt;=31/05"&amp;$C$7)</f>
        <v>0</v>
      </c>
      <c r="Z188" s="273"/>
      <c r="AA188" s="258"/>
      <c r="AB188" s="259"/>
      <c r="AC188" s="255">
        <f>SUMIFS('Livro Diario - FC'!$K$11:$K1028,'Livro Diario - FC'!$E$11:$E1028,$C$185,'Livro Diario - FC'!$D$11:$D1028,"&gt;=01/06"&amp;$C$7,'Livro Diario - FC'!$D$11:$D1028,"&lt;=30/06"&amp;$C$7)</f>
        <v>0</v>
      </c>
      <c r="AD188" s="256">
        <f>SUMIFS('Livro Diario - FC'!$M$11:$M1028,'Livro Diario - FC'!$E$11:$E1028,$C$185,'Livro Diario - FC'!$D$11:$D1028,"&gt;=01/06"&amp;$C$7,'Livro Diario - FC'!$D$11:$D1028,"&lt;=30/06"&amp;$C$7)</f>
        <v>0</v>
      </c>
      <c r="AE188" s="273"/>
      <c r="AF188" s="258"/>
      <c r="AG188" s="255">
        <f>SUMIFS('Livro Diario - FC'!$K$11:$K1028,'Livro Diario - FC'!$E$11:$E1028,$C$185,'Livro Diario - FC'!$D$11:$D1028,"&gt;=01/07"&amp;$C$7,'Livro Diario - FC'!$D$11:$D1028,"&lt;=31/07"&amp;$C$7)</f>
        <v>0</v>
      </c>
      <c r="AH188" s="256">
        <f>SUMIFS('Livro Diario - FC'!$M$11:$M1028,'Livro Diario - FC'!$E$11:$E1028,$C$185,'Livro Diario - FC'!$D$11:$D1028,"&gt;=01/07"&amp;$C$7,'Livro Diario - FC'!$D$11:$D1028,"&lt;=31/07"&amp;$C$7)</f>
        <v>0</v>
      </c>
      <c r="AI188" s="273"/>
      <c r="AJ188" s="258"/>
      <c r="AK188" s="255">
        <f>SUMIFS('Livro Diario - FC'!$K$11:$K1028,'Livro Diario - FC'!$E$11:$E1028,$C$185,'Livro Diario - FC'!$D$11:$D1028,"&gt;=01/08"&amp;$C$7,'Livro Diario - FC'!$D$11:$D1028,"&lt;=31/08"&amp;$C$7)</f>
        <v>0</v>
      </c>
      <c r="AL188" s="256">
        <f>SUMIFS('Livro Diario - FC'!$M$11:$M1028,'Livro Diario - FC'!$E$11:$E1028,$C$185,'Livro Diario - FC'!$D$11:$D1028,"&gt;=01/08"&amp;$C$7,'Livro Diario - FC'!$D$11:$D1028,"&lt;=31/08"&amp;$C$7)</f>
        <v>0</v>
      </c>
      <c r="AM188" s="273"/>
      <c r="AN188" s="258"/>
      <c r="AO188" s="255">
        <f>SUMIFS('Livro Diario - FC'!$K$11:$K1028,'Livro Diario - FC'!$E$11:$E1028,$C$185,'Livro Diario - FC'!$D$11:$D1028,"&gt;=01/09"&amp;$C$7,'Livro Diario - FC'!$D$11:$D1028,"&lt;=30/09"&amp;$C$7)</f>
        <v>0</v>
      </c>
      <c r="AP188" s="256">
        <f>SUMIFS('Livro Diario - FC'!$M$11:$M1028,'Livro Diario - FC'!$E$11:$E1028,$C$185,'Livro Diario - FC'!$D$11:$D1028,"&gt;=01/09"&amp;$C$7,'Livro Diario - FC'!$D$11:$D1028,"&lt;=30/09"&amp;$C$7)</f>
        <v>0</v>
      </c>
      <c r="AQ188" s="273"/>
      <c r="AR188" s="258"/>
      <c r="AS188" s="255">
        <f>SUMIFS('Livro Diario - FC'!$K$11:$K1028,'Livro Diario - FC'!$E$11:$E1028,$C$185,'Livro Diario - FC'!$D$11:$D1028,"&gt;=01/10"&amp;$C$7,'Livro Diario - FC'!$D$11:$D1028,"&lt;=31/10"&amp;$C$7)</f>
        <v>0</v>
      </c>
      <c r="AT188" s="256">
        <f>SUMIFS('Livro Diario - FC'!$M$11:$M1028,'Livro Diario - FC'!$E$11:$E1028,$C$185,'Livro Diario - FC'!$D$11:$D1028,"&gt;=01/10"&amp;$C$7,'Livro Diario - FC'!$D$11:$D1028,"&lt;=31/10"&amp;$C$7)</f>
        <v>0</v>
      </c>
      <c r="AU188" s="273"/>
      <c r="AV188" s="258"/>
      <c r="AW188" s="255">
        <f>SUMIFS('Livro Diario - FC'!$K$11:$K1028,'Livro Diario - FC'!$E$11:$E1028,$C$185,'Livro Diario - FC'!$D$11:$D1028,"&gt;=01/11"&amp;$C$7,'Livro Diario - FC'!$D$11:$D1028,"&lt;=30/11"&amp;$C$7)</f>
        <v>0</v>
      </c>
      <c r="AX188" s="256">
        <f>SUMIFS('Livro Diario - FC'!$M$11:$M1028,'Livro Diario - FC'!$E$11:$E1028,$C$185,'Livro Diario - FC'!$D$11:$D1028,"&gt;=01/11"&amp;$C$7,'Livro Diario - FC'!$D$11:$D1028,"&lt;=30/11"&amp;$C$7)</f>
        <v>0</v>
      </c>
      <c r="AY188" s="273"/>
      <c r="AZ188" s="258"/>
      <c r="BA188" s="255">
        <f>SUMIFS('Livro Diario - FC'!$K$11:$K1028,'Livro Diario - FC'!$E$11:$E1028,$C$185,'Livro Diario - FC'!$D$11:$D1028,"&gt;=01/12"&amp;$C$7,'Livro Diario - FC'!$D$11:$D1028,"&lt;=31/12"&amp;$C$7)</f>
        <v>0</v>
      </c>
      <c r="BB188" s="256">
        <f>SUMIFS('Livro Diario - FC'!$M$11:$M1028,'Livro Diario - FC'!$E$11:$E1028,$C$185,'Livro Diario - FC'!$D$11:$D1028,"&gt;=01/12"&amp;$C$7,'Livro Diario - FC'!$D$11:$D1028,"&lt;=31/12"&amp;$C$7)</f>
        <v>0</v>
      </c>
      <c r="BC188" s="273"/>
      <c r="BD188" s="273"/>
      <c r="BE188" s="341">
        <f t="shared" ref="BE188:BF188" si="289">SUM(D188,I188,N188,S188,X188,AC188,AG188,AK188,AO188,AS188,AW188,BA188)</f>
        <v>0</v>
      </c>
      <c r="BF188" s="342">
        <f t="shared" si="289"/>
        <v>0</v>
      </c>
      <c r="BG188" s="343"/>
      <c r="BH188" s="344"/>
      <c r="BI188" s="270">
        <f>SUMIFS('Livro Diario - FC'!$M$11:$M1028,'Livro Diario - FC'!$E$11:$E1028,C188,'Livro Diario - FC'!$D$11:$D1028,"&gt;="&amp;$BK$8,'Livro Diario - FC'!$D$11:$D1028,"&lt;="&amp;$BK$9)</f>
        <v>0</v>
      </c>
      <c r="BJ188" s="271"/>
      <c r="BK188" s="345"/>
      <c r="BL188" s="146"/>
    </row>
    <row r="189">
      <c r="A189" s="1"/>
      <c r="B189" s="40"/>
      <c r="C189" s="322" t="s">
        <v>351</v>
      </c>
      <c r="D189" s="323">
        <f>SUMIFS('Livro Diario - FC'!$J$11:$J1028,'Livro Diario - FC'!$E$11:$E1028,$C$189,'Livro Diario - FC'!$D$11:$D1028,"&gt;=01/01"&amp;$C$7,'Livro Diario - FC'!$D$11:$D1028,"&lt;=31/01"&amp;$C$7)+SUM(D190:D205)</f>
        <v>173.51</v>
      </c>
      <c r="E189" s="324">
        <f>SUMIFS('Livro Diario - FC'!$L$11:$L1028,'Livro Diario - FC'!$E$11:$E1028,$C$189,'Livro Diario - FC'!$D$11:$D1028,"&gt;=01/01"&amp;$C$7,'Livro Diario - FC'!$D$11:$D1028,"&lt;=31/01"&amp;$C$7)+SUM(E190:E205)</f>
        <v>173.51</v>
      </c>
      <c r="F189" s="325">
        <f>IF(E$11=0,"",E189/E$11)</f>
        <v>0.02237770355</v>
      </c>
      <c r="G189" s="326"/>
      <c r="H189" s="327"/>
      <c r="I189" s="323">
        <f>SUMIFS('Livro Diario - FC'!$J$11:$J1028,'Livro Diario - FC'!$E$11:$E1028,$C$189,'Livro Diario - FC'!$D$11:$D1028,"&gt;=01/02"&amp;$C$7,'Livro Diario - FC'!$D$11:$D1028,"&lt;=29/02"&amp;$C$7)+SUM(I190:I205)</f>
        <v>0</v>
      </c>
      <c r="J189" s="324">
        <f>SUMIFS('Livro Diario - FC'!$L$11:$L1028,'Livro Diario - FC'!$E$11:$E1028,$C$189,'Livro Diario - FC'!$D$11:$D1028,"&gt;=01/02"&amp;$C$7,'Livro Diario - FC'!$D$11:$D1028,"&lt;=29/02"&amp;$C$7)+SUM(J190:J205)</f>
        <v>0</v>
      </c>
      <c r="K189" s="325" t="str">
        <f>IF(J$11=0,"",J189/J$11)</f>
        <v/>
      </c>
      <c r="L189" s="326"/>
      <c r="M189" s="328"/>
      <c r="N189" s="323">
        <f>SUMIFS('Livro Diario - FC'!$J$11:$J1028,'Livro Diario - FC'!$E$11:$E1028,$C$189,'Livro Diario - FC'!$D$11:$D1028,"&gt;=01/03"&amp;$C$7,'Livro Diario - FC'!$D$11:$D1028,"&lt;=31/03"&amp;$C$7)+SUM(N190:N205)</f>
        <v>0</v>
      </c>
      <c r="O189" s="324">
        <f>SUMIFS('Livro Diario - FC'!$L$11:$L1028,'Livro Diario - FC'!$E$11:$E1028,$C$189,'Livro Diario - FC'!$D$11:$D1028,"&gt;=01/03"&amp;$C$7,'Livro Diario - FC'!$D$11:$D1028,"&lt;=31/03"&amp;$C$7)+SUM(O190:O205)</f>
        <v>0</v>
      </c>
      <c r="P189" s="325" t="str">
        <f>IF(O$11=0,"",O189/O$11)</f>
        <v/>
      </c>
      <c r="Q189" s="326"/>
      <c r="R189" s="328"/>
      <c r="S189" s="323">
        <f>SUMIFS('Livro Diario - FC'!$J$11:$J1028,'Livro Diario - FC'!$E$11:$E1028,$C$189,'Livro Diario - FC'!$D$11:$D1028,"&gt;=01/04"&amp;$C$7,'Livro Diario - FC'!$D$11:$D1028,"&lt;=30/04"&amp;$C$7)+SUM(S190:S205)</f>
        <v>0</v>
      </c>
      <c r="T189" s="324">
        <f>SUMIFS('Livro Diario - FC'!$L$11:$L1028,'Livro Diario - FC'!$E$11:$E1028,$C$189,'Livro Diario - FC'!$D$11:$D1028,"&gt;=01/04"&amp;$C$7,'Livro Diario - FC'!$D$11:$D1028,"&lt;=30/04"&amp;$C$7)+SUM(T190:T205)</f>
        <v>0</v>
      </c>
      <c r="U189" s="325" t="str">
        <f>IF(T$11=0,"",T189/T$11)</f>
        <v/>
      </c>
      <c r="V189" s="326"/>
      <c r="W189" s="328"/>
      <c r="X189" s="323">
        <f>SUMIFS('Livro Diario - FC'!$J$11:$J1028,'Livro Diario - FC'!$E$11:$E1028,$C$189,'Livro Diario - FC'!$D$11:$D1028,"&gt;=01/05"&amp;$C$7,'Livro Diario - FC'!$D$11:$D1028,"&lt;=31/05"&amp;$C$7)+SUM(X190:X205)</f>
        <v>0</v>
      </c>
      <c r="Y189" s="324">
        <f>SUMIFS('Livro Diario - FC'!$L$11:$L1028,'Livro Diario - FC'!$E$11:$E1028,$C$189,'Livro Diario - FC'!$D$11:$D1028,"&gt;=01/05"&amp;$C$7,'Livro Diario - FC'!$D$11:$D1028,"&lt;=31/05"&amp;$C$7)+SUM(Y190:Y205)</f>
        <v>0</v>
      </c>
      <c r="Z189" s="325" t="str">
        <f>IF(Y$11=0,"",Y189/Y$11)</f>
        <v/>
      </c>
      <c r="AA189" s="326"/>
      <c r="AB189" s="328"/>
      <c r="AC189" s="323">
        <f>SUMIFS('Livro Diario - FC'!$J$11:$J1028,'Livro Diario - FC'!$E$11:$E1028,$C$189,'Livro Diario - FC'!$D$11:$D1028,"&gt;=01/06"&amp;$C$7,'Livro Diario - FC'!$D$11:$D1028,"&lt;=30/06"&amp;$C$7)+SUM(AC190:AC205)</f>
        <v>0</v>
      </c>
      <c r="AD189" s="324">
        <f>SUMIFS('Livro Diario - FC'!$L$11:$L1028,'Livro Diario - FC'!$E$11:$E1028,$C$189,'Livro Diario - FC'!$D$11:$D1028,"&gt;=01/06"&amp;$C$7,'Livro Diario - FC'!$D$11:$D1028,"&lt;=30/06"&amp;$C$7)+SUM(AD190:AD205)</f>
        <v>0</v>
      </c>
      <c r="AE189" s="325" t="str">
        <f>IF(AD$11=0,"",AD189/AD$11)</f>
        <v/>
      </c>
      <c r="AF189" s="326"/>
      <c r="AG189" s="323">
        <f>SUMIFS('Livro Diario - FC'!$J$11:$J1028,'Livro Diario - FC'!$E$11:$E1028,$C$189,'Livro Diario - FC'!$D$11:$D1028,"&gt;=01/07"&amp;$C$7,'Livro Diario - FC'!$D$11:$D1028,"&lt;=31/07"&amp;$C$7)+SUM(AG190:AG205)</f>
        <v>0</v>
      </c>
      <c r="AH189" s="324">
        <f>SUMIFS('Livro Diario - FC'!$L$11:$L1028,'Livro Diario - FC'!$E$11:$E1028,$C$189,'Livro Diario - FC'!$D$11:$D1028,"&gt;=01/07"&amp;$C$7,'Livro Diario - FC'!$D$11:$D1028,"&lt;=31/07"&amp;$C$7)+SUM(AH190:AH205)</f>
        <v>0</v>
      </c>
      <c r="AI189" s="325" t="str">
        <f>IF(AH$11=0,"",AH189/AH$11)</f>
        <v/>
      </c>
      <c r="AJ189" s="326"/>
      <c r="AK189" s="323">
        <f>SUMIFS('Livro Diario - FC'!$J$11:$J1028,'Livro Diario - FC'!$E$11:$E1028,$C$189,'Livro Diario - FC'!$D$11:$D1028,"&gt;=01/08"&amp;$C$7,'Livro Diario - FC'!$D$11:$D1028,"&lt;=31/08"&amp;$C$7)+SUM(AK190:AK205)</f>
        <v>0</v>
      </c>
      <c r="AL189" s="324">
        <f>SUMIFS('Livro Diario - FC'!$L$11:$L1028,'Livro Diario - FC'!$E$11:$E1028,$C$189,'Livro Diario - FC'!$D$11:$D1028,"&gt;=01/08"&amp;$C$7,'Livro Diario - FC'!$D$11:$D1028,"&lt;=31/08"&amp;$C$7)+SUM(AL190:AL205)</f>
        <v>0</v>
      </c>
      <c r="AM189" s="325" t="str">
        <f>IF(AL$11=0,"",AL189/AL$11)</f>
        <v/>
      </c>
      <c r="AN189" s="326"/>
      <c r="AO189" s="323">
        <f>SUMIFS('Livro Diario - FC'!$J$11:$J1028,'Livro Diario - FC'!$E$11:$E1028,$C$189,'Livro Diario - FC'!$D$11:$D1028,"&gt;=01/09"&amp;$C$7,'Livro Diario - FC'!$D$11:$D1028,"&lt;=30/09"&amp;$C$7)+SUM(AO190:AO205)</f>
        <v>0</v>
      </c>
      <c r="AP189" s="324">
        <f>SUMIFS('Livro Diario - FC'!$L$11:$L1028,'Livro Diario - FC'!$E$11:$E1028,$C$189,'Livro Diario - FC'!$D$11:$D1028,"&gt;=01/09"&amp;$C$7,'Livro Diario - FC'!$D$11:$D1028,"&lt;=30/09"&amp;$C$7)+SUM(AP190:AP205)</f>
        <v>0</v>
      </c>
      <c r="AQ189" s="325" t="str">
        <f>IF(AP$11=0,"",AP189/AP$11)</f>
        <v/>
      </c>
      <c r="AR189" s="326"/>
      <c r="AS189" s="323">
        <f>SUMIFS('Livro Diario - FC'!$J$11:$J1028,'Livro Diario - FC'!$E$11:$E1028,$C$189,'Livro Diario - FC'!$D$11:$D1028,"&gt;=01/10"&amp;$C$7,'Livro Diario - FC'!$D$11:$D1028,"&lt;=31/10"&amp;$C$7)+SUM(AS190:AS205)</f>
        <v>0</v>
      </c>
      <c r="AT189" s="324">
        <f>SUMIFS('Livro Diario - FC'!$L$11:$L1028,'Livro Diario - FC'!$E$11:$E1028,$C$189,'Livro Diario - FC'!$D$11:$D1028,"&gt;=01/10"&amp;$C$7,'Livro Diario - FC'!$D$11:$D1028,"&lt;=31/10"&amp;$C$7)+SUM(AT190:AT205)</f>
        <v>0</v>
      </c>
      <c r="AU189" s="325" t="str">
        <f>IF(AT$11=0,"",AT189/AT$11)</f>
        <v/>
      </c>
      <c r="AV189" s="326"/>
      <c r="AW189" s="323">
        <f>SUMIFS('Livro Diario - FC'!$J$11:$J1028,'Livro Diario - FC'!$E$11:$E1028,$C$189,'Livro Diario - FC'!$D$11:$D1028,"&gt;=01/11"&amp;$C$7,'Livro Diario - FC'!$D$11:$D1028,"&lt;=30/11"&amp;$C$7)+SUM(AW190:AW205)</f>
        <v>0</v>
      </c>
      <c r="AX189" s="324">
        <f>SUMIFS('Livro Diario - FC'!$L$11:$L1028,'Livro Diario - FC'!$E$11:$E1028,$C$189,'Livro Diario - FC'!$D$11:$D1028,"&gt;=01/11"&amp;$C$7,'Livro Diario - FC'!$D$11:$D1028,"&lt;=30/11"&amp;$C$7)+SUM(AX190:AX205)</f>
        <v>0</v>
      </c>
      <c r="AY189" s="325" t="str">
        <f>IF(AX$11=0,"",AX189/AX$11)</f>
        <v/>
      </c>
      <c r="AZ189" s="326"/>
      <c r="BA189" s="323">
        <f>SUMIFS('Livro Diario - FC'!$J$11:$J1028,'Livro Diario - FC'!$E$11:$E1028,$C$189,'Livro Diario - FC'!$D$11:$D1028,"&gt;=01/12"&amp;$C$7,'Livro Diario - FC'!$D$11:$D1028,"&lt;=31/12"&amp;$C$7)+SUM(BA190:BA205)</f>
        <v>0</v>
      </c>
      <c r="BB189" s="324">
        <f>SUMIFS('Livro Diario - FC'!$L$11:$L1028,'Livro Diario - FC'!$E$11:$E1028,$C$189,'Livro Diario - FC'!$D$11:$D1028,"&gt;=01/12"&amp;$C$7,'Livro Diario - FC'!$D$11:$D1028,"&lt;=31/12"&amp;$C$7)+SUM(BB190:BB205)</f>
        <v>0</v>
      </c>
      <c r="BC189" s="325" t="str">
        <f>IF(BB$11=0,"",BB189/BB$11)</f>
        <v/>
      </c>
      <c r="BD189" s="329"/>
      <c r="BE189" s="330">
        <f t="shared" ref="BE189:BF189" si="290">SUM(D189,I189,N189,S189,X189,AC189,AG189,AK189,AO189,AS189,AW189,BA189)</f>
        <v>173.51</v>
      </c>
      <c r="BF189" s="331">
        <f t="shared" si="290"/>
        <v>173.51</v>
      </c>
      <c r="BG189" s="332"/>
      <c r="BH189" s="333"/>
      <c r="BI189" s="334">
        <f>SUMIFS('Livro Diario - FC'!$M$11:$M1028,'Livro Diario - FC'!$E$11:$E1028,C189,'Livro Diario - FC'!$D$11:$D1028,"&gt;="&amp;$BK$8,'Livro Diario - FC'!$D$11:$D1028,"&lt;="&amp;$BK$9)+SUM(BI190:BI205)</f>
        <v>0</v>
      </c>
      <c r="BJ189" s="346" t="str">
        <f>IF(BI$11=0,"",BI189/BI$11)</f>
        <v/>
      </c>
      <c r="BK189" s="336"/>
      <c r="BL189" s="337"/>
    </row>
    <row r="190">
      <c r="A190" s="1"/>
      <c r="B190" s="1"/>
      <c r="C190" s="338" t="str">
        <f>'Livro Diario - FC'!AE199</f>
        <v>Sapatos</v>
      </c>
      <c r="D190" s="255">
        <f>SUMIFS('Livro Diario - FC'!$K$11:$K1028,'Livro Diario - FC'!$E$11:$E1028,$C$190,'Livro Diario - FC'!$D$11:$D1028,"&gt;=01/01"&amp;$C$7,'Livro Diario - FC'!$D$11:$D1028,"&lt;=31/01"&amp;$C$7)</f>
        <v>0</v>
      </c>
      <c r="E190" s="256">
        <f>SUMIFS('Livro Diario - FC'!$M$11:$M1028,'Livro Diario - FC'!$E$11:$E1028,$C$190,'Livro Diario - FC'!$D$11:$D1028,"&gt;=01/01"&amp;$C$7,'Livro Diario - FC'!$D$11:$D1028,"&lt;=31/01"&amp;$C$7)</f>
        <v>0</v>
      </c>
      <c r="F190" s="273"/>
      <c r="G190" s="258"/>
      <c r="H190" s="157"/>
      <c r="I190" s="255">
        <f>SUMIFS('Livro Diario - FC'!$K$11:$K1028,'Livro Diario - FC'!$E$11:$E1028,$C$190,'Livro Diario - FC'!$D$11:$D1028,"&gt;=01/02"&amp;$C$7,'Livro Diario - FC'!$D$11:$D1028,"&lt;=29/02"&amp;$C$7)</f>
        <v>0</v>
      </c>
      <c r="J190" s="256">
        <f>SUMIFS('Livro Diario - FC'!$M$11:$M1028,'Livro Diario - FC'!$E$11:$E1028,$C$190,'Livro Diario - FC'!$D$11:$D1028,"&gt;=01/02"&amp;$C$7,'Livro Diario - FC'!$D$11:$D1028,"&lt;=29/02"&amp;$C$7)</f>
        <v>0</v>
      </c>
      <c r="K190" s="273"/>
      <c r="L190" s="258"/>
      <c r="M190" s="259"/>
      <c r="N190" s="255">
        <f>SUMIFS('Livro Diario - FC'!$K$11:$K1028,'Livro Diario - FC'!$E$11:$E1028,$C$190,'Livro Diario - FC'!$D$11:$D1028,"&gt;=01/03"&amp;$C$7,'Livro Diario - FC'!$D$11:$D1028,"&lt;=31/03"&amp;$C$7)</f>
        <v>0</v>
      </c>
      <c r="O190" s="256">
        <f>SUMIFS('Livro Diario - FC'!$M$11:$M1028,'Livro Diario - FC'!$E$11:$E1028,$C$190,'Livro Diario - FC'!$D$11:$D1028,"&gt;=01/03"&amp;$C$7,'Livro Diario - FC'!$D$11:$D1028,"&lt;=31/03"&amp;$C$7)</f>
        <v>0</v>
      </c>
      <c r="P190" s="273"/>
      <c r="Q190" s="258"/>
      <c r="R190" s="259"/>
      <c r="S190" s="255">
        <f>SUMIFS('Livro Diario - FC'!$K$11:$K1028,'Livro Diario - FC'!$E$11:$E1028,$C$190,'Livro Diario - FC'!$D$11:$D1028,"&gt;=01/04"&amp;$C$7,'Livro Diario - FC'!$D$11:$D1028,"&lt;=30/04"&amp;$C$7)</f>
        <v>0</v>
      </c>
      <c r="T190" s="256">
        <f>SUMIFS('Livro Diario - FC'!$M$11:$M1028,'Livro Diario - FC'!$E$11:$E1028,$C$190,'Livro Diario - FC'!$D$11:$D1028,"&gt;=01/04"&amp;$C$7,'Livro Diario - FC'!$D$11:$D1028,"&lt;=30/04"&amp;$C$7)</f>
        <v>0</v>
      </c>
      <c r="U190" s="273"/>
      <c r="V190" s="258"/>
      <c r="W190" s="259"/>
      <c r="X190" s="255">
        <f>SUMIFS('Livro Diario - FC'!$K$11:$K1028,'Livro Diario - FC'!$E$11:$E1028,$C$190,'Livro Diario - FC'!$D$11:$D1028,"&gt;=01/05"&amp;$C$7,'Livro Diario - FC'!$D$11:$D1028,"&lt;=31/05"&amp;$C$7)</f>
        <v>0</v>
      </c>
      <c r="Y190" s="256">
        <f>SUMIFS('Livro Diario - FC'!$M$11:$M1028,'Livro Diario - FC'!$E$11:$E1028,$C$190,'Livro Diario - FC'!$D$11:$D1028,"&gt;=01/05"&amp;$C$7,'Livro Diario - FC'!$D$11:$D1028,"&lt;=31/05"&amp;$C$7)</f>
        <v>0</v>
      </c>
      <c r="Z190" s="273"/>
      <c r="AA190" s="258"/>
      <c r="AB190" s="259"/>
      <c r="AC190" s="255">
        <f>SUMIFS('Livro Diario - FC'!$K$11:$K1028,'Livro Diario - FC'!$E$11:$E1028,$C$190,'Livro Diario - FC'!$D$11:$D1028,"&gt;=01/06"&amp;$C$7,'Livro Diario - FC'!$D$11:$D1028,"&lt;=30/06"&amp;$C$7)</f>
        <v>0</v>
      </c>
      <c r="AD190" s="256">
        <f>SUMIFS('Livro Diario - FC'!$M$11:$M1028,'Livro Diario - FC'!$E$11:$E1028,$C$190,'Livro Diario - FC'!$D$11:$D1028,"&gt;=01/06"&amp;$C$7,'Livro Diario - FC'!$D$11:$D1028,"&lt;=30/06"&amp;$C$7)</f>
        <v>0</v>
      </c>
      <c r="AE190" s="273"/>
      <c r="AF190" s="258"/>
      <c r="AG190" s="255">
        <f>SUMIFS('Livro Diario - FC'!$K$11:$K1028,'Livro Diario - FC'!$E$11:$E1028,$C$190,'Livro Diario - FC'!$D$11:$D1028,"&gt;=01/07"&amp;$C$7,'Livro Diario - FC'!$D$11:$D1028,"&lt;=31/07"&amp;$C$7)</f>
        <v>0</v>
      </c>
      <c r="AH190" s="256">
        <f>SUMIFS('Livro Diario - FC'!$M$11:$M1028,'Livro Diario - FC'!$E$11:$E1028,$C$190,'Livro Diario - FC'!$D$11:$D1028,"&gt;=01/07"&amp;$C$7,'Livro Diario - FC'!$D$11:$D1028,"&lt;=31/07"&amp;$C$7)</f>
        <v>0</v>
      </c>
      <c r="AI190" s="273"/>
      <c r="AJ190" s="258"/>
      <c r="AK190" s="255">
        <f>SUMIFS('Livro Diario - FC'!$K$11:$K1028,'Livro Diario - FC'!$E$11:$E1028,$C$190,'Livro Diario - FC'!$D$11:$D1028,"&gt;=01/08"&amp;$C$7,'Livro Diario - FC'!$D$11:$D1028,"&lt;=31/08"&amp;$C$7)</f>
        <v>0</v>
      </c>
      <c r="AL190" s="256">
        <f>SUMIFS('Livro Diario - FC'!$M$11:$M1028,'Livro Diario - FC'!$E$11:$E1028,$C$190,'Livro Diario - FC'!$D$11:$D1028,"&gt;=01/08"&amp;$C$7,'Livro Diario - FC'!$D$11:$D1028,"&lt;=31/08"&amp;$C$7)</f>
        <v>0</v>
      </c>
      <c r="AM190" s="273"/>
      <c r="AN190" s="258"/>
      <c r="AO190" s="255">
        <f>SUMIFS('Livro Diario - FC'!$K$11:$K1028,'Livro Diario - FC'!$E$11:$E1028,$C$190,'Livro Diario - FC'!$D$11:$D1028,"&gt;=01/09"&amp;$C$7,'Livro Diario - FC'!$D$11:$D1028,"&lt;=30/09"&amp;$C$7)</f>
        <v>0</v>
      </c>
      <c r="AP190" s="256">
        <f>SUMIFS('Livro Diario - FC'!$M$11:$M1028,'Livro Diario - FC'!$E$11:$E1028,$C$190,'Livro Diario - FC'!$D$11:$D1028,"&gt;=01/09"&amp;$C$7,'Livro Diario - FC'!$D$11:$D1028,"&lt;=30/09"&amp;$C$7)</f>
        <v>0</v>
      </c>
      <c r="AQ190" s="273"/>
      <c r="AR190" s="258"/>
      <c r="AS190" s="255">
        <f>SUMIFS('Livro Diario - FC'!$K$11:$K1028,'Livro Diario - FC'!$E$11:$E1028,$C$190,'Livro Diario - FC'!$D$11:$D1028,"&gt;=01/10"&amp;$C$7,'Livro Diario - FC'!$D$11:$D1028,"&lt;=31/10"&amp;$C$7)</f>
        <v>0</v>
      </c>
      <c r="AT190" s="256">
        <f>SUMIFS('Livro Diario - FC'!$M$11:$M1028,'Livro Diario - FC'!$E$11:$E1028,$C$190,'Livro Diario - FC'!$D$11:$D1028,"&gt;=01/10"&amp;$C$7,'Livro Diario - FC'!$D$11:$D1028,"&lt;=31/10"&amp;$C$7)</f>
        <v>0</v>
      </c>
      <c r="AU190" s="273"/>
      <c r="AV190" s="258"/>
      <c r="AW190" s="255">
        <f>SUMIFS('Livro Diario - FC'!$K$11:$K1028,'Livro Diario - FC'!$E$11:$E1028,$C$190,'Livro Diario - FC'!$D$11:$D1028,"&gt;=01/11"&amp;$C$7,'Livro Diario - FC'!$D$11:$D1028,"&lt;=30/11"&amp;$C$7)</f>
        <v>0</v>
      </c>
      <c r="AX190" s="256">
        <f>SUMIFS('Livro Diario - FC'!$M$11:$M1028,'Livro Diario - FC'!$E$11:$E1028,$C$190,'Livro Diario - FC'!$D$11:$D1028,"&gt;=01/11"&amp;$C$7,'Livro Diario - FC'!$D$11:$D1028,"&lt;=30/11"&amp;$C$7)</f>
        <v>0</v>
      </c>
      <c r="AY190" s="273"/>
      <c r="AZ190" s="258"/>
      <c r="BA190" s="255">
        <f>SUMIFS('Livro Diario - FC'!$K$11:$K1028,'Livro Diario - FC'!$E$11:$E1028,$C$190,'Livro Diario - FC'!$D$11:$D1028,"&gt;=01/12"&amp;$C$7,'Livro Diario - FC'!$D$11:$D1028,"&lt;=31/12"&amp;$C$7)</f>
        <v>0</v>
      </c>
      <c r="BB190" s="256">
        <f>SUMIFS('Livro Diario - FC'!$M$11:$M1028,'Livro Diario - FC'!$E$11:$E1028,$C$190,'Livro Diario - FC'!$D$11:$D1028,"&gt;=01/12"&amp;$C$7,'Livro Diario - FC'!$D$11:$D1028,"&lt;=31/12"&amp;$C$7)</f>
        <v>0</v>
      </c>
      <c r="BC190" s="273"/>
      <c r="BD190" s="273"/>
      <c r="BE190" s="260">
        <f t="shared" ref="BE190:BF190" si="291">SUM(D190,I190,N190,S190,X190,AC190,AG190,AK190,AO190,AS190,AW190,BA190)</f>
        <v>0</v>
      </c>
      <c r="BF190" s="261">
        <f t="shared" si="291"/>
        <v>0</v>
      </c>
      <c r="BG190" s="262"/>
      <c r="BH190" s="302"/>
      <c r="BI190" s="303">
        <f>SUMIFS('Livro Diario - FC'!$M$11:$M1028,'Livro Diario - FC'!$E$11:$E1028,C190,'Livro Diario - FC'!$D$11:$D1028,"&gt;="&amp;$BK$8,'Livro Diario - FC'!$D$11:$D1028,"&lt;="&amp;$BK$9)</f>
        <v>0</v>
      </c>
      <c r="BJ190" s="271"/>
      <c r="BK190" s="304"/>
      <c r="BL190" s="339"/>
    </row>
    <row r="191">
      <c r="A191" s="1"/>
      <c r="B191" s="1"/>
      <c r="C191" s="338" t="str">
        <f>'Livro Diario - FC'!AE200</f>
        <v>Alcool</v>
      </c>
      <c r="D191" s="255">
        <f>SUMIFS('Livro Diario - FC'!$K$11:$K1028,'Livro Diario - FC'!$E$11:$E1028,$C$191,'Livro Diario - FC'!$D$11:$D1028,"&gt;=01/01"&amp;$C$7,'Livro Diario - FC'!$D$11:$D1028,"&lt;=31/01"&amp;$C$7)</f>
        <v>0</v>
      </c>
      <c r="E191" s="256">
        <f>SUMIFS('Livro Diario - FC'!$M$11:$M1028,'Livro Diario - FC'!$E$11:$E1028,$C$191,'Livro Diario - FC'!$D$11:$D1028,"&gt;=01/01"&amp;$C$7,'Livro Diario - FC'!$D$11:$D1028,"&lt;=31/01"&amp;$C$7)</f>
        <v>0</v>
      </c>
      <c r="F191" s="273"/>
      <c r="G191" s="258" t="str">
        <f>IF(A191=0,"",E191/A191-1)</f>
        <v/>
      </c>
      <c r="H191" s="157"/>
      <c r="I191" s="255">
        <f>SUMIFS('Livro Diario - FC'!$K$11:$K1028,'Livro Diario - FC'!$E$11:$E1028,$C$191,'Livro Diario - FC'!$D$11:$D1028,"&gt;=01/02"&amp;$C$7,'Livro Diario - FC'!$D$11:$D1028,"&lt;=29/02"&amp;$C$7)</f>
        <v>0</v>
      </c>
      <c r="J191" s="256">
        <f>SUMIFS('Livro Diario - FC'!$M$11:$M1028,'Livro Diario - FC'!$E$11:$E1028,$C$191,'Livro Diario - FC'!$D$11:$D1028,"&gt;=01/02"&amp;$C$7,'Livro Diario - FC'!$D$11:$D1028,"&lt;=29/02"&amp;$C$7)</f>
        <v>0</v>
      </c>
      <c r="K191" s="273"/>
      <c r="L191" s="258" t="str">
        <f>IF(E191=0,"",J191/E191-1)</f>
        <v/>
      </c>
      <c r="M191" s="259"/>
      <c r="N191" s="255">
        <f>SUMIFS('Livro Diario - FC'!$K$11:$K1028,'Livro Diario - FC'!$E$11:$E1028,$C$191,'Livro Diario - FC'!$D$11:$D1028,"&gt;=01/03"&amp;$C$7,'Livro Diario - FC'!$D$11:$D1028,"&lt;=31/03"&amp;$C$7)</f>
        <v>0</v>
      </c>
      <c r="O191" s="256">
        <f>SUMIFS('Livro Diario - FC'!$M$11:$M1028,'Livro Diario - FC'!$E$11:$E1028,$C$191,'Livro Diario - FC'!$D$11:$D1028,"&gt;=01/03"&amp;$C$7,'Livro Diario - FC'!$D$11:$D1028,"&lt;=31/03"&amp;$C$7)</f>
        <v>0</v>
      </c>
      <c r="P191" s="273"/>
      <c r="Q191" s="258" t="str">
        <f>IF(J191=0,"",O191/J191-1)</f>
        <v/>
      </c>
      <c r="R191" s="259"/>
      <c r="S191" s="255">
        <f>SUMIFS('Livro Diario - FC'!$K$11:$K1028,'Livro Diario - FC'!$E$11:$E1028,$C$191,'Livro Diario - FC'!$D$11:$D1028,"&gt;=01/04"&amp;$C$7,'Livro Diario - FC'!$D$11:$D1028,"&lt;=30/04"&amp;$C$7)</f>
        <v>0</v>
      </c>
      <c r="T191" s="256">
        <f>SUMIFS('Livro Diario - FC'!$M$11:$M1028,'Livro Diario - FC'!$E$11:$E1028,$C$191,'Livro Diario - FC'!$D$11:$D1028,"&gt;=01/04"&amp;$C$7,'Livro Diario - FC'!$D$11:$D1028,"&lt;=30/04"&amp;$C$7)</f>
        <v>0</v>
      </c>
      <c r="U191" s="273"/>
      <c r="V191" s="258" t="str">
        <f>IF(O191=0,"",T191/O191-1)</f>
        <v/>
      </c>
      <c r="W191" s="259"/>
      <c r="X191" s="255">
        <f>SUMIFS('Livro Diario - FC'!$K$11:$K1028,'Livro Diario - FC'!$E$11:$E1028,$C$191,'Livro Diario - FC'!$D$11:$D1028,"&gt;=01/05"&amp;$C$7,'Livro Diario - FC'!$D$11:$D1028,"&lt;=31/05"&amp;$C$7)</f>
        <v>0</v>
      </c>
      <c r="Y191" s="256">
        <f>SUMIFS('Livro Diario - FC'!$M$11:$M1028,'Livro Diario - FC'!$E$11:$E1028,$C$191,'Livro Diario - FC'!$D$11:$D1028,"&gt;=01/05"&amp;$C$7,'Livro Diario - FC'!$D$11:$D1028,"&lt;=31/05"&amp;$C$7)</f>
        <v>0</v>
      </c>
      <c r="Z191" s="273"/>
      <c r="AA191" s="258" t="str">
        <f>IF(T191=0,"",Y191/T191-1)</f>
        <v/>
      </c>
      <c r="AB191" s="259"/>
      <c r="AC191" s="255">
        <f>SUMIFS('Livro Diario - FC'!$K$11:$K1028,'Livro Diario - FC'!$E$11:$E1028,$C$191,'Livro Diario - FC'!$D$11:$D1028,"&gt;=01/06"&amp;$C$7,'Livro Diario - FC'!$D$11:$D1028,"&lt;=30/06"&amp;$C$7)</f>
        <v>0</v>
      </c>
      <c r="AD191" s="256">
        <f>SUMIFS('Livro Diario - FC'!$M$11:$M1028,'Livro Diario - FC'!$E$11:$E1028,$C$191,'Livro Diario - FC'!$D$11:$D1028,"&gt;=01/06"&amp;$C$7,'Livro Diario - FC'!$D$11:$D1028,"&lt;=30/06"&amp;$C$7)</f>
        <v>0</v>
      </c>
      <c r="AE191" s="273"/>
      <c r="AF191" s="258" t="str">
        <f>IF(Y191=0,"",AD191/Y191-1)</f>
        <v/>
      </c>
      <c r="AG191" s="255">
        <f>SUMIFS('Livro Diario - FC'!$K$11:$K1028,'Livro Diario - FC'!$E$11:$E1028,$C$191,'Livro Diario - FC'!$D$11:$D1028,"&gt;=01/07"&amp;$C$7,'Livro Diario - FC'!$D$11:$D1028,"&lt;=31/07"&amp;$C$7)</f>
        <v>0</v>
      </c>
      <c r="AH191" s="256">
        <f>SUMIFS('Livro Diario - FC'!$M$11:$M1028,'Livro Diario - FC'!$E$11:$E1028,$C$191,'Livro Diario - FC'!$D$11:$D1028,"&gt;=01/07"&amp;$C$7,'Livro Diario - FC'!$D$11:$D1028,"&lt;=31/07"&amp;$C$7)</f>
        <v>0</v>
      </c>
      <c r="AI191" s="273"/>
      <c r="AJ191" s="258" t="str">
        <f>IF(AD191=0,"",AH191/AD191-1)</f>
        <v/>
      </c>
      <c r="AK191" s="255">
        <f>SUMIFS('Livro Diario - FC'!$K$11:$K1028,'Livro Diario - FC'!$E$11:$E1028,$C$191,'Livro Diario - FC'!$D$11:$D1028,"&gt;=01/08"&amp;$C$7,'Livro Diario - FC'!$D$11:$D1028,"&lt;=31/08"&amp;$C$7)</f>
        <v>0</v>
      </c>
      <c r="AL191" s="256">
        <f>SUMIFS('Livro Diario - FC'!$M$11:$M1028,'Livro Diario - FC'!$E$11:$E1028,$C$191,'Livro Diario - FC'!$D$11:$D1028,"&gt;=01/08"&amp;$C$7,'Livro Diario - FC'!$D$11:$D1028,"&lt;=31/08"&amp;$C$7)</f>
        <v>0</v>
      </c>
      <c r="AM191" s="273"/>
      <c r="AN191" s="258" t="str">
        <f>IF(AH191=0,"",AL191/AH191-1)</f>
        <v/>
      </c>
      <c r="AO191" s="255">
        <f>SUMIFS('Livro Diario - FC'!$K$11:$K1028,'Livro Diario - FC'!$E$11:$E1028,$C$191,'Livro Diario - FC'!$D$11:$D1028,"&gt;=01/09"&amp;$C$7,'Livro Diario - FC'!$D$11:$D1028,"&lt;=30/09"&amp;$C$7)</f>
        <v>0</v>
      </c>
      <c r="AP191" s="256">
        <f>SUMIFS('Livro Diario - FC'!$M$11:$M1028,'Livro Diario - FC'!$E$11:$E1028,$C$191,'Livro Diario - FC'!$D$11:$D1028,"&gt;=01/09"&amp;$C$7,'Livro Diario - FC'!$D$11:$D1028,"&lt;=30/09"&amp;$C$7)</f>
        <v>0</v>
      </c>
      <c r="AQ191" s="273"/>
      <c r="AR191" s="258" t="str">
        <f>IF(AL191=0,"",AP191/AL191-1)</f>
        <v/>
      </c>
      <c r="AS191" s="255">
        <f>SUMIFS('Livro Diario - FC'!$K$11:$K1028,'Livro Diario - FC'!$E$11:$E1028,$C$191,'Livro Diario - FC'!$D$11:$D1028,"&gt;=01/10"&amp;$C$7,'Livro Diario - FC'!$D$11:$D1028,"&lt;=31/10"&amp;$C$7)</f>
        <v>0</v>
      </c>
      <c r="AT191" s="256">
        <f>SUMIFS('Livro Diario - FC'!$M$11:$M1028,'Livro Diario - FC'!$E$11:$E1028,$C$191,'Livro Diario - FC'!$D$11:$D1028,"&gt;=01/10"&amp;$C$7,'Livro Diario - FC'!$D$11:$D1028,"&lt;=31/10"&amp;$C$7)</f>
        <v>0</v>
      </c>
      <c r="AU191" s="273"/>
      <c r="AV191" s="258" t="str">
        <f>IF(AP191=0,"",AT191/AP191-1)</f>
        <v/>
      </c>
      <c r="AW191" s="255">
        <f>SUMIFS('Livro Diario - FC'!$K$11:$K1028,'Livro Diario - FC'!$E$11:$E1028,$C$191,'Livro Diario - FC'!$D$11:$D1028,"&gt;=01/11"&amp;$C$7,'Livro Diario - FC'!$D$11:$D1028,"&lt;=30/11"&amp;$C$7)</f>
        <v>0</v>
      </c>
      <c r="AX191" s="256">
        <f>SUMIFS('Livro Diario - FC'!$M$11:$M1028,'Livro Diario - FC'!$E$11:$E1028,$C$191,'Livro Diario - FC'!$D$11:$D1028,"&gt;=01/11"&amp;$C$7,'Livro Diario - FC'!$D$11:$D1028,"&lt;=30/11"&amp;$C$7)</f>
        <v>0</v>
      </c>
      <c r="AY191" s="273"/>
      <c r="AZ191" s="258" t="str">
        <f>IF(AT191=0,"",AX191/AT191-1)</f>
        <v/>
      </c>
      <c r="BA191" s="255">
        <f>SUMIFS('Livro Diario - FC'!$K$11:$K1028,'Livro Diario - FC'!$E$11:$E1028,$C$191,'Livro Diario - FC'!$D$11:$D1028,"&gt;=01/12"&amp;$C$7,'Livro Diario - FC'!$D$11:$D1028,"&lt;=31/12"&amp;$C$7)</f>
        <v>0</v>
      </c>
      <c r="BB191" s="256">
        <f>SUMIFS('Livro Diario - FC'!$M$11:$M1028,'Livro Diario - FC'!$E$11:$E1028,$C$191,'Livro Diario - FC'!$D$11:$D1028,"&gt;=01/12"&amp;$C$7,'Livro Diario - FC'!$D$11:$D1028,"&lt;=31/12"&amp;$C$7)</f>
        <v>0</v>
      </c>
      <c r="BC191" s="273"/>
      <c r="BD191" s="273" t="str">
        <f>IF(AX191=0,"",BB191/AX191-1)</f>
        <v/>
      </c>
      <c r="BE191" s="267">
        <f t="shared" ref="BE191:BF191" si="292">SUM(D191,I191,N191,S191,X191,AC191,AG191,AK191,AO191,AS191,AW191,BA191)</f>
        <v>0</v>
      </c>
      <c r="BF191" s="268">
        <f t="shared" si="292"/>
        <v>0</v>
      </c>
      <c r="BG191" s="347">
        <f>IF(BF$11=0,"",BF191/BF$11)</f>
        <v>0</v>
      </c>
      <c r="BH191" s="192"/>
      <c r="BI191" s="270">
        <f>SUMIFS('Livro Diario - FC'!$M$11:$M1028,'Livro Diario - FC'!$E$11:$E1028,C191,'Livro Diario - FC'!$D$11:$D1028,"&gt;="&amp;$BK$8,'Livro Diario - FC'!$D$11:$D1028,"&lt;="&amp;$BK$9)</f>
        <v>0</v>
      </c>
      <c r="BJ191" s="271" t="str">
        <f>IF(BI$11=0,"",BI191/BI$11)</f>
        <v/>
      </c>
      <c r="BK191" s="272"/>
      <c r="BL191" s="1"/>
    </row>
    <row r="192">
      <c r="A192" s="1"/>
      <c r="B192" s="1"/>
      <c r="C192" s="338" t="str">
        <f>'Livro Diario - FC'!AE201</f>
        <v>Mascaras</v>
      </c>
      <c r="D192" s="255">
        <f>SUMIFS('Livro Diario - FC'!$K$11:$K1028,'Livro Diario - FC'!$E$11:$E1028,$C$192,'Livro Diario - FC'!$D$11:$D1028,"&gt;=01/01"&amp;$C$7,'Livro Diario - FC'!$D$11:$D1028,"&lt;=31/01"&amp;$C$7)</f>
        <v>0</v>
      </c>
      <c r="E192" s="256">
        <f>SUMIFS('Livro Diario - FC'!$M$11:$M1028,'Livro Diario - FC'!$E$11:$E1028,$C$192,'Livro Diario - FC'!$D$11:$D1028,"&gt;=01/01"&amp;$C$7,'Livro Diario - FC'!$D$11:$D1028,"&lt;=31/01"&amp;$C$7)</f>
        <v>0</v>
      </c>
      <c r="F192" s="273"/>
      <c r="G192" s="258"/>
      <c r="H192" s="157"/>
      <c r="I192" s="255">
        <f>SUMIFS('Livro Diario - FC'!$K$11:$K1028,'Livro Diario - FC'!$E$11:$E1028,$C$192,'Livro Diario - FC'!$D$11:$D1028,"&gt;=01/02"&amp;$C$7,'Livro Diario - FC'!$D$11:$D1028,"&lt;=29/02"&amp;$C$7)</f>
        <v>0</v>
      </c>
      <c r="J192" s="256">
        <f>SUMIFS('Livro Diario - FC'!$M$11:$M1028,'Livro Diario - FC'!$E$11:$E1028,$C$192,'Livro Diario - FC'!$D$11:$D1028,"&gt;=01/02"&amp;$C$7,'Livro Diario - FC'!$D$11:$D1028,"&lt;=29/02"&amp;$C$7)</f>
        <v>0</v>
      </c>
      <c r="K192" s="273"/>
      <c r="L192" s="258"/>
      <c r="M192" s="259"/>
      <c r="N192" s="255">
        <f>SUMIFS('Livro Diario - FC'!$K$11:$K1028,'Livro Diario - FC'!$E$11:$E1028,$C$192,'Livro Diario - FC'!$D$11:$D1028,"&gt;=01/03"&amp;$C$7,'Livro Diario - FC'!$D$11:$D1028,"&lt;=31/03"&amp;$C$7)</f>
        <v>0</v>
      </c>
      <c r="O192" s="256">
        <f>SUMIFS('Livro Diario - FC'!$M$11:$M1028,'Livro Diario - FC'!$E$11:$E1028,$C$192,'Livro Diario - FC'!$D$11:$D1028,"&gt;=01/03"&amp;$C$7,'Livro Diario - FC'!$D$11:$D1028,"&lt;=31/03"&amp;$C$7)</f>
        <v>0</v>
      </c>
      <c r="P192" s="273"/>
      <c r="Q192" s="258"/>
      <c r="R192" s="259"/>
      <c r="S192" s="255">
        <f>SUMIFS('Livro Diario - FC'!$K$11:$K1028,'Livro Diario - FC'!$E$11:$E1028,$C$192,'Livro Diario - FC'!$D$11:$D1028,"&gt;=01/04"&amp;$C$7,'Livro Diario - FC'!$D$11:$D1028,"&lt;=30/04"&amp;$C$7)</f>
        <v>0</v>
      </c>
      <c r="T192" s="256">
        <f>SUMIFS('Livro Diario - FC'!$M$11:$M1028,'Livro Diario - FC'!$E$11:$E1028,$C$192,'Livro Diario - FC'!$D$11:$D1028,"&gt;=01/04"&amp;$C$7,'Livro Diario - FC'!$D$11:$D1028,"&lt;=30/04"&amp;$C$7)</f>
        <v>0</v>
      </c>
      <c r="U192" s="273"/>
      <c r="V192" s="258"/>
      <c r="W192" s="259"/>
      <c r="X192" s="255">
        <f>SUMIFS('Livro Diario - FC'!$K$11:$K1028,'Livro Diario - FC'!$E$11:$E1028,$C$192,'Livro Diario - FC'!$D$11:$D1028,"&gt;=01/05"&amp;$C$7,'Livro Diario - FC'!$D$11:$D1028,"&lt;=31/05"&amp;$C$7)</f>
        <v>0</v>
      </c>
      <c r="Y192" s="256">
        <f>SUMIFS('Livro Diario - FC'!$M$11:$M1028,'Livro Diario - FC'!$E$11:$E1028,$C$192,'Livro Diario - FC'!$D$11:$D1028,"&gt;=01/05"&amp;$C$7,'Livro Diario - FC'!$D$11:$D1028,"&lt;=31/05"&amp;$C$7)</f>
        <v>0</v>
      </c>
      <c r="Z192" s="273"/>
      <c r="AA192" s="258"/>
      <c r="AB192" s="259"/>
      <c r="AC192" s="255">
        <f>SUMIFS('Livro Diario - FC'!$K$11:$K1028,'Livro Diario - FC'!$E$11:$E1028,$C$192,'Livro Diario - FC'!$D$11:$D1028,"&gt;=01/06"&amp;$C$7,'Livro Diario - FC'!$D$11:$D1028,"&lt;=30/06"&amp;$C$7)</f>
        <v>0</v>
      </c>
      <c r="AD192" s="256">
        <f>SUMIFS('Livro Diario - FC'!$M$11:$M1028,'Livro Diario - FC'!$E$11:$E1028,$C$192,'Livro Diario - FC'!$D$11:$D1028,"&gt;=01/06"&amp;$C$7,'Livro Diario - FC'!$D$11:$D1028,"&lt;=30/06"&amp;$C$7)</f>
        <v>0</v>
      </c>
      <c r="AE192" s="273"/>
      <c r="AF192" s="258"/>
      <c r="AG192" s="255">
        <f>SUMIFS('Livro Diario - FC'!$K$11:$K1028,'Livro Diario - FC'!$E$11:$E1028,$C$192,'Livro Diario - FC'!$D$11:$D1028,"&gt;=01/07"&amp;$C$7,'Livro Diario - FC'!$D$11:$D1028,"&lt;=31/07"&amp;$C$7)</f>
        <v>0</v>
      </c>
      <c r="AH192" s="256">
        <f>SUMIFS('Livro Diario - FC'!$M$11:$M1028,'Livro Diario - FC'!$E$11:$E1028,$C$192,'Livro Diario - FC'!$D$11:$D1028,"&gt;=01/07"&amp;$C$7,'Livro Diario - FC'!$D$11:$D1028,"&lt;=31/07"&amp;$C$7)</f>
        <v>0</v>
      </c>
      <c r="AI192" s="273"/>
      <c r="AJ192" s="258"/>
      <c r="AK192" s="255">
        <f>SUMIFS('Livro Diario - FC'!$K$11:$K1028,'Livro Diario - FC'!$E$11:$E1028,$C$192,'Livro Diario - FC'!$D$11:$D1028,"&gt;=01/08"&amp;$C$7,'Livro Diario - FC'!$D$11:$D1028,"&lt;=31/08"&amp;$C$7)</f>
        <v>0</v>
      </c>
      <c r="AL192" s="256">
        <f>SUMIFS('Livro Diario - FC'!$M$11:$M1028,'Livro Diario - FC'!$E$11:$E1028,$C$192,'Livro Diario - FC'!$D$11:$D1028,"&gt;=01/08"&amp;$C$7,'Livro Diario - FC'!$D$11:$D1028,"&lt;=31/08"&amp;$C$7)</f>
        <v>0</v>
      </c>
      <c r="AM192" s="273"/>
      <c r="AN192" s="258"/>
      <c r="AO192" s="255">
        <f>SUMIFS('Livro Diario - FC'!$K$11:$K1028,'Livro Diario - FC'!$E$11:$E1028,$C$192,'Livro Diario - FC'!$D$11:$D1028,"&gt;=01/09"&amp;$C$7,'Livro Diario - FC'!$D$11:$D1028,"&lt;=30/09"&amp;$C$7)</f>
        <v>0</v>
      </c>
      <c r="AP192" s="256">
        <f>SUMIFS('Livro Diario - FC'!$M$11:$M1028,'Livro Diario - FC'!$E$11:$E1028,$C$192,'Livro Diario - FC'!$D$11:$D1028,"&gt;=01/09"&amp;$C$7,'Livro Diario - FC'!$D$11:$D1028,"&lt;=30/09"&amp;$C$7)</f>
        <v>0</v>
      </c>
      <c r="AQ192" s="273"/>
      <c r="AR192" s="258"/>
      <c r="AS192" s="255">
        <f>SUMIFS('Livro Diario - FC'!$K$11:$K1028,'Livro Diario - FC'!$E$11:$E1028,$C$192,'Livro Diario - FC'!$D$11:$D1028,"&gt;=01/10"&amp;$C$7,'Livro Diario - FC'!$D$11:$D1028,"&lt;=31/10"&amp;$C$7)</f>
        <v>0</v>
      </c>
      <c r="AT192" s="256">
        <f>SUMIFS('Livro Diario - FC'!$M$11:$M1028,'Livro Diario - FC'!$E$11:$E1028,$C$192,'Livro Diario - FC'!$D$11:$D1028,"&gt;=01/10"&amp;$C$7,'Livro Diario - FC'!$D$11:$D1028,"&lt;=31/10"&amp;$C$7)</f>
        <v>0</v>
      </c>
      <c r="AU192" s="273"/>
      <c r="AV192" s="258"/>
      <c r="AW192" s="255">
        <f>SUMIFS('Livro Diario - FC'!$K$11:$K1028,'Livro Diario - FC'!$E$11:$E1028,$C$192,'Livro Diario - FC'!$D$11:$D1028,"&gt;=01/11"&amp;$C$7,'Livro Diario - FC'!$D$11:$D1028,"&lt;=30/11"&amp;$C$7)</f>
        <v>0</v>
      </c>
      <c r="AX192" s="256">
        <f>SUMIFS('Livro Diario - FC'!$M$11:$M1028,'Livro Diario - FC'!$E$11:$E1028,$C$192,'Livro Diario - FC'!$D$11:$D1028,"&gt;=01/11"&amp;$C$7,'Livro Diario - FC'!$D$11:$D1028,"&lt;=30/11"&amp;$C$7)</f>
        <v>0</v>
      </c>
      <c r="AY192" s="273"/>
      <c r="AZ192" s="258"/>
      <c r="BA192" s="255">
        <f>SUMIFS('Livro Diario - FC'!$K$11:$K1028,'Livro Diario - FC'!$E$11:$E1028,$C$192,'Livro Diario - FC'!$D$11:$D1028,"&gt;=01/12"&amp;$C$7,'Livro Diario - FC'!$D$11:$D1028,"&lt;=31/12"&amp;$C$7)</f>
        <v>0</v>
      </c>
      <c r="BB192" s="256">
        <f>SUMIFS('Livro Diario - FC'!$M$11:$M1028,'Livro Diario - FC'!$E$11:$E1028,$C$192,'Livro Diario - FC'!$D$11:$D1028,"&gt;=01/12"&amp;$C$7,'Livro Diario - FC'!$D$11:$D1028,"&lt;=31/12"&amp;$C$7)</f>
        <v>0</v>
      </c>
      <c r="BC192" s="273"/>
      <c r="BD192" s="273"/>
      <c r="BE192" s="267">
        <f t="shared" ref="BE192:BF192" si="293">SUM(D192,I192,N192,S192,X192,AC192,AG192,AK192,AO192,AS192,AW192,BA192)</f>
        <v>0</v>
      </c>
      <c r="BF192" s="268">
        <f t="shared" si="293"/>
        <v>0</v>
      </c>
      <c r="BG192" s="269"/>
      <c r="BH192" s="192"/>
      <c r="BI192" s="270">
        <f>SUMIFS('Livro Diario - FC'!$M$11:$M1028,'Livro Diario - FC'!$E$11:$E1028,C192,'Livro Diario - FC'!$D$11:$D1028,"&gt;="&amp;$BK$8,'Livro Diario - FC'!$D$11:$D1028,"&lt;="&amp;$BK$9)</f>
        <v>0</v>
      </c>
      <c r="BJ192" s="271"/>
      <c r="BK192" s="272"/>
      <c r="BL192" s="1"/>
    </row>
    <row r="193">
      <c r="A193" s="1"/>
      <c r="B193" s="1"/>
      <c r="C193" s="338" t="str">
        <f>'Livro Diario - FC'!AE202</f>
        <v>Palito de Dente</v>
      </c>
      <c r="D193" s="255">
        <f>SUMIFS('Livro Diario - FC'!$K$11:$K1028,'Livro Diario - FC'!$E$11:$E1028,$C$193,'Livro Diario - FC'!$D$11:$D1028,"&gt;=01/01"&amp;$C$7,'Livro Diario - FC'!$D$11:$D1028,"&lt;=31/01"&amp;$C$7)</f>
        <v>13.4</v>
      </c>
      <c r="E193" s="256">
        <f>SUMIFS('Livro Diario - FC'!$M$11:$M1028,'Livro Diario - FC'!$E$11:$E1028,$C$193,'Livro Diario - FC'!$D$11:$D1028,"&gt;=01/01"&amp;$C$7,'Livro Diario - FC'!$D$11:$D1028,"&lt;=31/01"&amp;$C$7)</f>
        <v>13.4</v>
      </c>
      <c r="F193" s="273"/>
      <c r="G193" s="258"/>
      <c r="H193" s="157"/>
      <c r="I193" s="255">
        <f>SUMIFS('Livro Diario - FC'!$K$11:$K1028,'Livro Diario - FC'!$E$11:$E1028,$C$193,'Livro Diario - FC'!$D$11:$D1028,"&gt;=01/02"&amp;$C$7,'Livro Diario - FC'!$D$11:$D1028,"&lt;=29/02"&amp;$C$7)</f>
        <v>0</v>
      </c>
      <c r="J193" s="256">
        <f>SUMIFS('Livro Diario - FC'!$M$11:$M1028,'Livro Diario - FC'!$E$11:$E1028,$C$193,'Livro Diario - FC'!$D$11:$D1028,"&gt;=01/02"&amp;$C$7,'Livro Diario - FC'!$D$11:$D1028,"&lt;=29/02"&amp;$C$7)</f>
        <v>0</v>
      </c>
      <c r="K193" s="273"/>
      <c r="L193" s="258"/>
      <c r="M193" s="259"/>
      <c r="N193" s="255">
        <f>SUMIFS('Livro Diario - FC'!$K$11:$K1028,'Livro Diario - FC'!$E$11:$E1028,$C$193,'Livro Diario - FC'!$D$11:$D1028,"&gt;=01/03"&amp;$C$7,'Livro Diario - FC'!$D$11:$D1028,"&lt;=31/03"&amp;$C$7)</f>
        <v>0</v>
      </c>
      <c r="O193" s="256">
        <f>SUMIFS('Livro Diario - FC'!$M$11:$M1028,'Livro Diario - FC'!$E$11:$E1028,$C$193,'Livro Diario - FC'!$D$11:$D1028,"&gt;=01/03"&amp;$C$7,'Livro Diario - FC'!$D$11:$D1028,"&lt;=31/03"&amp;$C$7)</f>
        <v>0</v>
      </c>
      <c r="P193" s="273"/>
      <c r="Q193" s="258"/>
      <c r="R193" s="259"/>
      <c r="S193" s="255">
        <f>SUMIFS('Livro Diario - FC'!$K$11:$K1028,'Livro Diario - FC'!$E$11:$E1028,$C$193,'Livro Diario - FC'!$D$11:$D1028,"&gt;=01/04"&amp;$C$7,'Livro Diario - FC'!$D$11:$D1028,"&lt;=30/04"&amp;$C$7)</f>
        <v>0</v>
      </c>
      <c r="T193" s="256">
        <f>SUMIFS('Livro Diario - FC'!$M$11:$M1028,'Livro Diario - FC'!$E$11:$E1028,$C$193,'Livro Diario - FC'!$D$11:$D1028,"&gt;=01/04"&amp;$C$7,'Livro Diario - FC'!$D$11:$D1028,"&lt;=30/04"&amp;$C$7)</f>
        <v>0</v>
      </c>
      <c r="U193" s="273"/>
      <c r="V193" s="258"/>
      <c r="W193" s="259"/>
      <c r="X193" s="255">
        <f>SUMIFS('Livro Diario - FC'!$K$11:$K1028,'Livro Diario - FC'!$E$11:$E1028,$C$193,'Livro Diario - FC'!$D$11:$D1028,"&gt;=01/05"&amp;$C$7,'Livro Diario - FC'!$D$11:$D1028,"&lt;=31/05"&amp;$C$7)</f>
        <v>0</v>
      </c>
      <c r="Y193" s="256">
        <f>SUMIFS('Livro Diario - FC'!$M$11:$M1028,'Livro Diario - FC'!$E$11:$E1028,$C$193,'Livro Diario - FC'!$D$11:$D1028,"&gt;=01/05"&amp;$C$7,'Livro Diario - FC'!$D$11:$D1028,"&lt;=31/05"&amp;$C$7)</f>
        <v>0</v>
      </c>
      <c r="Z193" s="273"/>
      <c r="AA193" s="258"/>
      <c r="AB193" s="259"/>
      <c r="AC193" s="255">
        <f>SUMIFS('Livro Diario - FC'!$K$11:$K1028,'Livro Diario - FC'!$E$11:$E1028,$C$193,'Livro Diario - FC'!$D$11:$D1028,"&gt;=01/06"&amp;$C$7,'Livro Diario - FC'!$D$11:$D1028,"&lt;=30/06"&amp;$C$7)</f>
        <v>0</v>
      </c>
      <c r="AD193" s="256">
        <f>SUMIFS('Livro Diario - FC'!$M$11:$M1028,'Livro Diario - FC'!$E$11:$E1028,$C$193,'Livro Diario - FC'!$D$11:$D1028,"&gt;=01/06"&amp;$C$7,'Livro Diario - FC'!$D$11:$D1028,"&lt;=30/06"&amp;$C$7)</f>
        <v>0</v>
      </c>
      <c r="AE193" s="273"/>
      <c r="AF193" s="258"/>
      <c r="AG193" s="255">
        <f>SUMIFS('Livro Diario - FC'!$K$11:$K1028,'Livro Diario - FC'!$E$11:$E1028,$C$193,'Livro Diario - FC'!$D$11:$D1028,"&gt;=01/07"&amp;$C$7,'Livro Diario - FC'!$D$11:$D1028,"&lt;=31/07"&amp;$C$7)</f>
        <v>0</v>
      </c>
      <c r="AH193" s="256">
        <f>SUMIFS('Livro Diario - FC'!$M$11:$M1028,'Livro Diario - FC'!$E$11:$E1028,$C$193,'Livro Diario - FC'!$D$11:$D1028,"&gt;=01/07"&amp;$C$7,'Livro Diario - FC'!$D$11:$D1028,"&lt;=31/07"&amp;$C$7)</f>
        <v>0</v>
      </c>
      <c r="AI193" s="273"/>
      <c r="AJ193" s="258"/>
      <c r="AK193" s="255">
        <f>SUMIFS('Livro Diario - FC'!$K$11:$K1028,'Livro Diario - FC'!$E$11:$E1028,$C$193,'Livro Diario - FC'!$D$11:$D1028,"&gt;=01/08"&amp;$C$7,'Livro Diario - FC'!$D$11:$D1028,"&lt;=31/08"&amp;$C$7)</f>
        <v>0</v>
      </c>
      <c r="AL193" s="256">
        <f>SUMIFS('Livro Diario - FC'!$M$11:$M1028,'Livro Diario - FC'!$E$11:$E1028,$C$193,'Livro Diario - FC'!$D$11:$D1028,"&gt;=01/08"&amp;$C$7,'Livro Diario - FC'!$D$11:$D1028,"&lt;=31/08"&amp;$C$7)</f>
        <v>0</v>
      </c>
      <c r="AM193" s="273"/>
      <c r="AN193" s="258"/>
      <c r="AO193" s="255">
        <f>SUMIFS('Livro Diario - FC'!$K$11:$K1028,'Livro Diario - FC'!$E$11:$E1028,$C$193,'Livro Diario - FC'!$D$11:$D1028,"&gt;=01/09"&amp;$C$7,'Livro Diario - FC'!$D$11:$D1028,"&lt;=30/09"&amp;$C$7)</f>
        <v>0</v>
      </c>
      <c r="AP193" s="256">
        <f>SUMIFS('Livro Diario - FC'!$M$11:$M1028,'Livro Diario - FC'!$E$11:$E1028,$C$193,'Livro Diario - FC'!$D$11:$D1028,"&gt;=01/09"&amp;$C$7,'Livro Diario - FC'!$D$11:$D1028,"&lt;=30/09"&amp;$C$7)</f>
        <v>0</v>
      </c>
      <c r="AQ193" s="273"/>
      <c r="AR193" s="258"/>
      <c r="AS193" s="255">
        <f>SUMIFS('Livro Diario - FC'!$K$11:$K1028,'Livro Diario - FC'!$E$11:$E1028,$C$193,'Livro Diario - FC'!$D$11:$D1028,"&gt;=01/10"&amp;$C$7,'Livro Diario - FC'!$D$11:$D1028,"&lt;=31/10"&amp;$C$7)</f>
        <v>0</v>
      </c>
      <c r="AT193" s="256">
        <f>SUMIFS('Livro Diario - FC'!$M$11:$M1028,'Livro Diario - FC'!$E$11:$E1028,$C$193,'Livro Diario - FC'!$D$11:$D1028,"&gt;=01/10"&amp;$C$7,'Livro Diario - FC'!$D$11:$D1028,"&lt;=31/10"&amp;$C$7)</f>
        <v>0</v>
      </c>
      <c r="AU193" s="273"/>
      <c r="AV193" s="258"/>
      <c r="AW193" s="255">
        <f>SUMIFS('Livro Diario - FC'!$K$11:$K1028,'Livro Diario - FC'!$E$11:$E1028,$C$193,'Livro Diario - FC'!$D$11:$D1028,"&gt;=01/11"&amp;$C$7,'Livro Diario - FC'!$D$11:$D1028,"&lt;=30/11"&amp;$C$7)</f>
        <v>0</v>
      </c>
      <c r="AX193" s="256">
        <f>SUMIFS('Livro Diario - FC'!$M$11:$M1028,'Livro Diario - FC'!$E$11:$E1028,$C$193,'Livro Diario - FC'!$D$11:$D1028,"&gt;=01/11"&amp;$C$7,'Livro Diario - FC'!$D$11:$D1028,"&lt;=30/11"&amp;$C$7)</f>
        <v>0</v>
      </c>
      <c r="AY193" s="273"/>
      <c r="AZ193" s="258"/>
      <c r="BA193" s="255">
        <f>SUMIFS('Livro Diario - FC'!$K$11:$K1028,'Livro Diario - FC'!$E$11:$E1028,$C$193,'Livro Diario - FC'!$D$11:$D1028,"&gt;=01/12"&amp;$C$7,'Livro Diario - FC'!$D$11:$D1028,"&lt;=31/12"&amp;$C$7)</f>
        <v>0</v>
      </c>
      <c r="BB193" s="256">
        <f>SUMIFS('Livro Diario - FC'!$M$11:$M1028,'Livro Diario - FC'!$E$11:$E1028,$C$193,'Livro Diario - FC'!$D$11:$D1028,"&gt;=01/12"&amp;$C$7,'Livro Diario - FC'!$D$11:$D1028,"&lt;=31/12"&amp;$C$7)</f>
        <v>0</v>
      </c>
      <c r="BC193" s="273"/>
      <c r="BD193" s="273"/>
      <c r="BE193" s="267">
        <f t="shared" ref="BE193:BF193" si="294">SUM(D193,I193,N193,S193,X193,AC193,AG193,AK193,AO193,AS193,AW193,BA193)</f>
        <v>13.4</v>
      </c>
      <c r="BF193" s="268">
        <f t="shared" si="294"/>
        <v>13.4</v>
      </c>
      <c r="BG193" s="269"/>
      <c r="BH193" s="192"/>
      <c r="BI193" s="270">
        <f>SUMIFS('Livro Diario - FC'!$M$11:$M1028,'Livro Diario - FC'!$E$11:$E1028,C193,'Livro Diario - FC'!$D$11:$D1028,"&gt;="&amp;$BK$8,'Livro Diario - FC'!$D$11:$D1028,"&lt;="&amp;$BK$9)</f>
        <v>0</v>
      </c>
      <c r="BJ193" s="271"/>
      <c r="BK193" s="272"/>
      <c r="BL193" s="1"/>
    </row>
    <row r="194">
      <c r="A194" s="1"/>
      <c r="B194" s="1"/>
      <c r="C194" s="338" t="str">
        <f>'Livro Diario - FC'!AE203</f>
        <v>Agua Sanitaria</v>
      </c>
      <c r="D194" s="255">
        <f>SUMIFS('Livro Diario - FC'!$K$11:$K1028,'Livro Diario - FC'!$E$11:$E1028,$C$194,'Livro Diario - FC'!$D$11:$D1028,"&gt;=01/01"&amp;$C$7,'Livro Diario - FC'!$D$11:$D1028,"&lt;=31/01"&amp;$C$7)</f>
        <v>53.94</v>
      </c>
      <c r="E194" s="256">
        <f>SUMIFS('Livro Diario - FC'!$M$11:$M1028,'Livro Diario - FC'!$E$11:$E1028,$C$194,'Livro Diario - FC'!$D$11:$D1028,"&gt;=01/01"&amp;$C$7,'Livro Diario - FC'!$D$11:$D1028,"&lt;=31/01"&amp;$C$7)</f>
        <v>53.94</v>
      </c>
      <c r="F194" s="273"/>
      <c r="G194" s="258"/>
      <c r="H194" s="157"/>
      <c r="I194" s="255">
        <f>SUMIFS('Livro Diario - FC'!$K$11:$K1028,'Livro Diario - FC'!$E$11:$E1028,$C$194,'Livro Diario - FC'!$D$11:$D1028,"&gt;=01/02"&amp;$C$7,'Livro Diario - FC'!$D$11:$D1028,"&lt;=29/02"&amp;$C$7)</f>
        <v>0</v>
      </c>
      <c r="J194" s="256">
        <f>SUMIFS('Livro Diario - FC'!$M$11:$M1028,'Livro Diario - FC'!$E$11:$E1028,$C$194,'Livro Diario - FC'!$D$11:$D1028,"&gt;=01/02"&amp;$C$7,'Livro Diario - FC'!$D$11:$D1028,"&lt;=29/02"&amp;$C$7)</f>
        <v>0</v>
      </c>
      <c r="K194" s="273"/>
      <c r="L194" s="258"/>
      <c r="M194" s="259"/>
      <c r="N194" s="255">
        <f>SUMIFS('Livro Diario - FC'!$K$11:$K1028,'Livro Diario - FC'!$E$11:$E1028,$C$194,'Livro Diario - FC'!$D$11:$D1028,"&gt;=01/03"&amp;$C$7,'Livro Diario - FC'!$D$11:$D1028,"&lt;=31/03"&amp;$C$7)</f>
        <v>0</v>
      </c>
      <c r="O194" s="256">
        <f>SUMIFS('Livro Diario - FC'!$M$11:$M1028,'Livro Diario - FC'!$E$11:$E1028,$C$194,'Livro Diario - FC'!$D$11:$D1028,"&gt;=01/03"&amp;$C$7,'Livro Diario - FC'!$D$11:$D1028,"&lt;=31/03"&amp;$C$7)</f>
        <v>0</v>
      </c>
      <c r="P194" s="273"/>
      <c r="Q194" s="258"/>
      <c r="R194" s="259"/>
      <c r="S194" s="255">
        <f>SUMIFS('Livro Diario - FC'!$K$11:$K1028,'Livro Diario - FC'!$E$11:$E1028,$C$194,'Livro Diario - FC'!$D$11:$D1028,"&gt;=01/04"&amp;$C$7,'Livro Diario - FC'!$D$11:$D1028,"&lt;=30/04"&amp;$C$7)</f>
        <v>0</v>
      </c>
      <c r="T194" s="256">
        <f>SUMIFS('Livro Diario - FC'!$M$11:$M1028,'Livro Diario - FC'!$E$11:$E1028,$C$194,'Livro Diario - FC'!$D$11:$D1028,"&gt;=01/04"&amp;$C$7,'Livro Diario - FC'!$D$11:$D1028,"&lt;=30/04"&amp;$C$7)</f>
        <v>0</v>
      </c>
      <c r="U194" s="273"/>
      <c r="V194" s="258"/>
      <c r="W194" s="259"/>
      <c r="X194" s="255">
        <f>SUMIFS('Livro Diario - FC'!$K$11:$K1028,'Livro Diario - FC'!$E$11:$E1028,$C$194,'Livro Diario - FC'!$D$11:$D1028,"&gt;=01/05"&amp;$C$7,'Livro Diario - FC'!$D$11:$D1028,"&lt;=31/05"&amp;$C$7)</f>
        <v>0</v>
      </c>
      <c r="Y194" s="256">
        <f>SUMIFS('Livro Diario - FC'!$M$11:$M1028,'Livro Diario - FC'!$E$11:$E1028,$C$194,'Livro Diario - FC'!$D$11:$D1028,"&gt;=01/05"&amp;$C$7,'Livro Diario - FC'!$D$11:$D1028,"&lt;=31/05"&amp;$C$7)</f>
        <v>0</v>
      </c>
      <c r="Z194" s="273"/>
      <c r="AA194" s="258"/>
      <c r="AB194" s="259"/>
      <c r="AC194" s="255">
        <f>SUMIFS('Livro Diario - FC'!$K$11:$K1028,'Livro Diario - FC'!$E$11:$E1028,$C$194,'Livro Diario - FC'!$D$11:$D1028,"&gt;=01/06"&amp;$C$7,'Livro Diario - FC'!$D$11:$D1028,"&lt;=30/06"&amp;$C$7)</f>
        <v>0</v>
      </c>
      <c r="AD194" s="256">
        <f>SUMIFS('Livro Diario - FC'!$M$11:$M1028,'Livro Diario - FC'!$E$11:$E1028,$C$194,'Livro Diario - FC'!$D$11:$D1028,"&gt;=01/06"&amp;$C$7,'Livro Diario - FC'!$D$11:$D1028,"&lt;=30/06"&amp;$C$7)</f>
        <v>0</v>
      </c>
      <c r="AE194" s="273"/>
      <c r="AF194" s="258"/>
      <c r="AG194" s="255">
        <f>SUMIFS('Livro Diario - FC'!$K$11:$K1028,'Livro Diario - FC'!$E$11:$E1028,$C$194,'Livro Diario - FC'!$D$11:$D1028,"&gt;=01/07"&amp;$C$7,'Livro Diario - FC'!$D$11:$D1028,"&lt;=31/07"&amp;$C$7)</f>
        <v>0</v>
      </c>
      <c r="AH194" s="256">
        <f>SUMIFS('Livro Diario - FC'!$M$11:$M1028,'Livro Diario - FC'!$E$11:$E1028,$C$194,'Livro Diario - FC'!$D$11:$D1028,"&gt;=01/07"&amp;$C$7,'Livro Diario - FC'!$D$11:$D1028,"&lt;=31/07"&amp;$C$7)</f>
        <v>0</v>
      </c>
      <c r="AI194" s="273"/>
      <c r="AJ194" s="258"/>
      <c r="AK194" s="255">
        <f>SUMIFS('Livro Diario - FC'!$K$11:$K1028,'Livro Diario - FC'!$E$11:$E1028,$C$194,'Livro Diario - FC'!$D$11:$D1028,"&gt;=01/08"&amp;$C$7,'Livro Diario - FC'!$D$11:$D1028,"&lt;=31/08"&amp;$C$7)</f>
        <v>0</v>
      </c>
      <c r="AL194" s="256">
        <f>SUMIFS('Livro Diario - FC'!$M$11:$M1028,'Livro Diario - FC'!$E$11:$E1028,$C$194,'Livro Diario - FC'!$D$11:$D1028,"&gt;=01/08"&amp;$C$7,'Livro Diario - FC'!$D$11:$D1028,"&lt;=31/08"&amp;$C$7)</f>
        <v>0</v>
      </c>
      <c r="AM194" s="273"/>
      <c r="AN194" s="258"/>
      <c r="AO194" s="255">
        <f>SUMIFS('Livro Diario - FC'!$K$11:$K1028,'Livro Diario - FC'!$E$11:$E1028,$C$194,'Livro Diario - FC'!$D$11:$D1028,"&gt;=01/09"&amp;$C$7,'Livro Diario - FC'!$D$11:$D1028,"&lt;=30/09"&amp;$C$7)</f>
        <v>0</v>
      </c>
      <c r="AP194" s="256">
        <f>SUMIFS('Livro Diario - FC'!$M$11:$M1028,'Livro Diario - FC'!$E$11:$E1028,$C$194,'Livro Diario - FC'!$D$11:$D1028,"&gt;=01/09"&amp;$C$7,'Livro Diario - FC'!$D$11:$D1028,"&lt;=30/09"&amp;$C$7)</f>
        <v>0</v>
      </c>
      <c r="AQ194" s="273"/>
      <c r="AR194" s="258"/>
      <c r="AS194" s="255">
        <f>SUMIFS('Livro Diario - FC'!$K$11:$K1028,'Livro Diario - FC'!$E$11:$E1028,$C$194,'Livro Diario - FC'!$D$11:$D1028,"&gt;=01/10"&amp;$C$7,'Livro Diario - FC'!$D$11:$D1028,"&lt;=31/10"&amp;$C$7)</f>
        <v>0</v>
      </c>
      <c r="AT194" s="256">
        <f>SUMIFS('Livro Diario - FC'!$M$11:$M1028,'Livro Diario - FC'!$E$11:$E1028,$C$194,'Livro Diario - FC'!$D$11:$D1028,"&gt;=01/10"&amp;$C$7,'Livro Diario - FC'!$D$11:$D1028,"&lt;=31/10"&amp;$C$7)</f>
        <v>0</v>
      </c>
      <c r="AU194" s="273"/>
      <c r="AV194" s="258"/>
      <c r="AW194" s="255">
        <f>SUMIFS('Livro Diario - FC'!$K$11:$K1028,'Livro Diario - FC'!$E$11:$E1028,$C$194,'Livro Diario - FC'!$D$11:$D1028,"&gt;=01/11"&amp;$C$7,'Livro Diario - FC'!$D$11:$D1028,"&lt;=30/11"&amp;$C$7)</f>
        <v>0</v>
      </c>
      <c r="AX194" s="256">
        <f>SUMIFS('Livro Diario - FC'!$M$11:$M1028,'Livro Diario - FC'!$E$11:$E1028,$C$194,'Livro Diario - FC'!$D$11:$D1028,"&gt;=01/11"&amp;$C$7,'Livro Diario - FC'!$D$11:$D1028,"&lt;=30/11"&amp;$C$7)</f>
        <v>0</v>
      </c>
      <c r="AY194" s="273"/>
      <c r="AZ194" s="258"/>
      <c r="BA194" s="255">
        <f>SUMIFS('Livro Diario - FC'!$K$11:$K1028,'Livro Diario - FC'!$E$11:$E1028,$C$194,'Livro Diario - FC'!$D$11:$D1028,"&gt;=01/12"&amp;$C$7,'Livro Diario - FC'!$D$11:$D1028,"&lt;=31/12"&amp;$C$7)</f>
        <v>0</v>
      </c>
      <c r="BB194" s="256">
        <f>SUMIFS('Livro Diario - FC'!$M$11:$M1028,'Livro Diario - FC'!$E$11:$E1028,$C$194,'Livro Diario - FC'!$D$11:$D1028,"&gt;=01/12"&amp;$C$7,'Livro Diario - FC'!$D$11:$D1028,"&lt;=31/12"&amp;$C$7)</f>
        <v>0</v>
      </c>
      <c r="BC194" s="273"/>
      <c r="BD194" s="273"/>
      <c r="BE194" s="267">
        <f t="shared" ref="BE194:BF194" si="295">SUM(D194,I194,N194,S194,X194,AC194,AG194,AK194,AO194,AS194,AW194,BA194)</f>
        <v>53.94</v>
      </c>
      <c r="BF194" s="268">
        <f t="shared" si="295"/>
        <v>53.94</v>
      </c>
      <c r="BG194" s="269"/>
      <c r="BH194" s="192"/>
      <c r="BI194" s="270">
        <f>SUMIFS('Livro Diario - FC'!$M$11:$M1028,'Livro Diario - FC'!$E$11:$E1028,C194,'Livro Diario - FC'!$D$11:$D1028,"&gt;="&amp;$BK$8,'Livro Diario - FC'!$D$11:$D1028,"&lt;="&amp;$BK$9)</f>
        <v>0</v>
      </c>
      <c r="BJ194" s="271"/>
      <c r="BK194" s="272"/>
      <c r="BL194" s="1"/>
    </row>
    <row r="195">
      <c r="A195" s="1"/>
      <c r="B195" s="1"/>
      <c r="C195" s="338" t="str">
        <f>'Livro Diario - FC'!AE204</f>
        <v>Desinfetante</v>
      </c>
      <c r="D195" s="255">
        <f>SUMIFS('Livro Diario - FC'!$K$11:$K1028,'Livro Diario - FC'!$E$11:$E1028,$C$195,'Livro Diario - FC'!$D$11:$D1028,"&gt;=01/01"&amp;$C$7,'Livro Diario - FC'!$D$11:$D1028,"&lt;=31/01"&amp;$C$7)</f>
        <v>7.2</v>
      </c>
      <c r="E195" s="256">
        <f>SUMIFS('Livro Diario - FC'!$M$11:$M1028,'Livro Diario - FC'!$E$11:$E1028,$C$195,'Livro Diario - FC'!$D$11:$D1028,"&gt;=01/01"&amp;$C$7,'Livro Diario - FC'!$D$11:$D1028,"&lt;=31/01"&amp;$C$7)</f>
        <v>7.2</v>
      </c>
      <c r="F195" s="273"/>
      <c r="G195" s="258"/>
      <c r="H195" s="157"/>
      <c r="I195" s="255">
        <f>SUMIFS('Livro Diario - FC'!$K$11:$K1028,'Livro Diario - FC'!$E$11:$E1028,$C$195,'Livro Diario - FC'!$D$11:$D1028,"&gt;=01/02"&amp;$C$7,'Livro Diario - FC'!$D$11:$D1028,"&lt;=29/02"&amp;$C$7)</f>
        <v>0</v>
      </c>
      <c r="J195" s="256">
        <f>SUMIFS('Livro Diario - FC'!$M$11:$M1028,'Livro Diario - FC'!$E$11:$E1028,$C$195,'Livro Diario - FC'!$D$11:$D1028,"&gt;=01/02"&amp;$C$7,'Livro Diario - FC'!$D$11:$D1028,"&lt;=29/02"&amp;$C$7)</f>
        <v>0</v>
      </c>
      <c r="K195" s="273"/>
      <c r="L195" s="258"/>
      <c r="M195" s="259"/>
      <c r="N195" s="255">
        <f>SUMIFS('Livro Diario - FC'!$K$11:$K1028,'Livro Diario - FC'!$E$11:$E1028,$C$195,'Livro Diario - FC'!$D$11:$D1028,"&gt;=01/03"&amp;$C$7,'Livro Diario - FC'!$D$11:$D1028,"&lt;=31/03"&amp;$C$7)</f>
        <v>0</v>
      </c>
      <c r="O195" s="256">
        <f>SUMIFS('Livro Diario - FC'!$M$11:$M1028,'Livro Diario - FC'!$E$11:$E1028,$C$195,'Livro Diario - FC'!$D$11:$D1028,"&gt;=01/03"&amp;$C$7,'Livro Diario - FC'!$D$11:$D1028,"&lt;=31/03"&amp;$C$7)</f>
        <v>0</v>
      </c>
      <c r="P195" s="273"/>
      <c r="Q195" s="258"/>
      <c r="R195" s="259"/>
      <c r="S195" s="255">
        <f>SUMIFS('Livro Diario - FC'!$K$11:$K1028,'Livro Diario - FC'!$E$11:$E1028,$C$195,'Livro Diario - FC'!$D$11:$D1028,"&gt;=01/04"&amp;$C$7,'Livro Diario - FC'!$D$11:$D1028,"&lt;=30/04"&amp;$C$7)</f>
        <v>0</v>
      </c>
      <c r="T195" s="256">
        <f>SUMIFS('Livro Diario - FC'!$M$11:$M1028,'Livro Diario - FC'!$E$11:$E1028,$C$195,'Livro Diario - FC'!$D$11:$D1028,"&gt;=01/04"&amp;$C$7,'Livro Diario - FC'!$D$11:$D1028,"&lt;=30/04"&amp;$C$7)</f>
        <v>0</v>
      </c>
      <c r="U195" s="273"/>
      <c r="V195" s="258"/>
      <c r="W195" s="259"/>
      <c r="X195" s="255">
        <f>SUMIFS('Livro Diario - FC'!$K$11:$K1028,'Livro Diario - FC'!$E$11:$E1028,$C$195,'Livro Diario - FC'!$D$11:$D1028,"&gt;=01/05"&amp;$C$7,'Livro Diario - FC'!$D$11:$D1028,"&lt;=31/05"&amp;$C$7)</f>
        <v>0</v>
      </c>
      <c r="Y195" s="256">
        <f>SUMIFS('Livro Diario - FC'!$M$11:$M1028,'Livro Diario - FC'!$E$11:$E1028,$C$195,'Livro Diario - FC'!$D$11:$D1028,"&gt;=01/05"&amp;$C$7,'Livro Diario - FC'!$D$11:$D1028,"&lt;=31/05"&amp;$C$7)</f>
        <v>0</v>
      </c>
      <c r="Z195" s="273"/>
      <c r="AA195" s="258"/>
      <c r="AB195" s="259"/>
      <c r="AC195" s="255">
        <f>SUMIFS('Livro Diario - FC'!$K$11:$K1028,'Livro Diario - FC'!$E$11:$E1028,$C$195,'Livro Diario - FC'!$D$11:$D1028,"&gt;=01/06"&amp;$C$7,'Livro Diario - FC'!$D$11:$D1028,"&lt;=30/06"&amp;$C$7)</f>
        <v>0</v>
      </c>
      <c r="AD195" s="256">
        <f>SUMIFS('Livro Diario - FC'!$M$11:$M1028,'Livro Diario - FC'!$E$11:$E1028,$C$195,'Livro Diario - FC'!$D$11:$D1028,"&gt;=01/06"&amp;$C$7,'Livro Diario - FC'!$D$11:$D1028,"&lt;=30/06"&amp;$C$7)</f>
        <v>0</v>
      </c>
      <c r="AE195" s="273"/>
      <c r="AF195" s="258"/>
      <c r="AG195" s="255">
        <f>SUMIFS('Livro Diario - FC'!$K$11:$K1028,'Livro Diario - FC'!$E$11:$E1028,$C$195,'Livro Diario - FC'!$D$11:$D1028,"&gt;=01/07"&amp;$C$7,'Livro Diario - FC'!$D$11:$D1028,"&lt;=31/07"&amp;$C$7)</f>
        <v>0</v>
      </c>
      <c r="AH195" s="256">
        <f>SUMIFS('Livro Diario - FC'!$M$11:$M1028,'Livro Diario - FC'!$E$11:$E1028,$C$195,'Livro Diario - FC'!$D$11:$D1028,"&gt;=01/07"&amp;$C$7,'Livro Diario - FC'!$D$11:$D1028,"&lt;=31/07"&amp;$C$7)</f>
        <v>0</v>
      </c>
      <c r="AI195" s="273"/>
      <c r="AJ195" s="258"/>
      <c r="AK195" s="255">
        <f>SUMIFS('Livro Diario - FC'!$K$11:$K1028,'Livro Diario - FC'!$E$11:$E1028,$C$195,'Livro Diario - FC'!$D$11:$D1028,"&gt;=01/08"&amp;$C$7,'Livro Diario - FC'!$D$11:$D1028,"&lt;=31/08"&amp;$C$7)</f>
        <v>0</v>
      </c>
      <c r="AL195" s="256">
        <f>SUMIFS('Livro Diario - FC'!$M$11:$M1028,'Livro Diario - FC'!$E$11:$E1028,$C$195,'Livro Diario - FC'!$D$11:$D1028,"&gt;=01/08"&amp;$C$7,'Livro Diario - FC'!$D$11:$D1028,"&lt;=31/08"&amp;$C$7)</f>
        <v>0</v>
      </c>
      <c r="AM195" s="273"/>
      <c r="AN195" s="258"/>
      <c r="AO195" s="255">
        <f>SUMIFS('Livro Diario - FC'!$K$11:$K1028,'Livro Diario - FC'!$E$11:$E1028,$C$195,'Livro Diario - FC'!$D$11:$D1028,"&gt;=01/09"&amp;$C$7,'Livro Diario - FC'!$D$11:$D1028,"&lt;=30/09"&amp;$C$7)</f>
        <v>0</v>
      </c>
      <c r="AP195" s="256">
        <f>SUMIFS('Livro Diario - FC'!$M$11:$M1028,'Livro Diario - FC'!$E$11:$E1028,$C$195,'Livro Diario - FC'!$D$11:$D1028,"&gt;=01/09"&amp;$C$7,'Livro Diario - FC'!$D$11:$D1028,"&lt;=30/09"&amp;$C$7)</f>
        <v>0</v>
      </c>
      <c r="AQ195" s="273"/>
      <c r="AR195" s="258"/>
      <c r="AS195" s="255">
        <f>SUMIFS('Livro Diario - FC'!$K$11:$K1028,'Livro Diario - FC'!$E$11:$E1028,$C$195,'Livro Diario - FC'!$D$11:$D1028,"&gt;=01/10"&amp;$C$7,'Livro Diario - FC'!$D$11:$D1028,"&lt;=31/10"&amp;$C$7)</f>
        <v>0</v>
      </c>
      <c r="AT195" s="256">
        <f>SUMIFS('Livro Diario - FC'!$M$11:$M1028,'Livro Diario - FC'!$E$11:$E1028,$C$195,'Livro Diario - FC'!$D$11:$D1028,"&gt;=01/10"&amp;$C$7,'Livro Diario - FC'!$D$11:$D1028,"&lt;=31/10"&amp;$C$7)</f>
        <v>0</v>
      </c>
      <c r="AU195" s="273"/>
      <c r="AV195" s="258"/>
      <c r="AW195" s="255">
        <f>SUMIFS('Livro Diario - FC'!$K$11:$K1028,'Livro Diario - FC'!$E$11:$E1028,$C$195,'Livro Diario - FC'!$D$11:$D1028,"&gt;=01/11"&amp;$C$7,'Livro Diario - FC'!$D$11:$D1028,"&lt;=30/11"&amp;$C$7)</f>
        <v>0</v>
      </c>
      <c r="AX195" s="256">
        <f>SUMIFS('Livro Diario - FC'!$M$11:$M1028,'Livro Diario - FC'!$E$11:$E1028,$C$195,'Livro Diario - FC'!$D$11:$D1028,"&gt;=01/11"&amp;$C$7,'Livro Diario - FC'!$D$11:$D1028,"&lt;=30/11"&amp;$C$7)</f>
        <v>0</v>
      </c>
      <c r="AY195" s="273"/>
      <c r="AZ195" s="258"/>
      <c r="BA195" s="255">
        <f>SUMIFS('Livro Diario - FC'!$K$11:$K1028,'Livro Diario - FC'!$E$11:$E1028,$C$195,'Livro Diario - FC'!$D$11:$D1028,"&gt;=01/12"&amp;$C$7,'Livro Diario - FC'!$D$11:$D1028,"&lt;=31/12"&amp;$C$7)</f>
        <v>0</v>
      </c>
      <c r="BB195" s="256">
        <f>SUMIFS('Livro Diario - FC'!$M$11:$M1028,'Livro Diario - FC'!$E$11:$E1028,$C$195,'Livro Diario - FC'!$D$11:$D1028,"&gt;=01/12"&amp;$C$7,'Livro Diario - FC'!$D$11:$D1028,"&lt;=31/12"&amp;$C$7)</f>
        <v>0</v>
      </c>
      <c r="BC195" s="273"/>
      <c r="BD195" s="273"/>
      <c r="BE195" s="267">
        <f t="shared" ref="BE195:BF195" si="296">SUM(D195,I195,N195,S195,X195,AC195,AG195,AK195,AO195,AS195,AW195,BA195)</f>
        <v>7.2</v>
      </c>
      <c r="BF195" s="268">
        <f t="shared" si="296"/>
        <v>7.2</v>
      </c>
      <c r="BG195" s="269"/>
      <c r="BH195" s="192"/>
      <c r="BI195" s="270">
        <f>SUMIFS('Livro Diario - FC'!$M$11:$M1028,'Livro Diario - FC'!$E$11:$E1028,C195,'Livro Diario - FC'!$D$11:$D1028,"&gt;="&amp;$BK$8,'Livro Diario - FC'!$D$11:$D1028,"&lt;="&amp;$BK$9)</f>
        <v>0</v>
      </c>
      <c r="BJ195" s="271"/>
      <c r="BK195" s="272"/>
      <c r="BL195" s="1"/>
    </row>
    <row r="196">
      <c r="A196" s="1"/>
      <c r="B196" s="1"/>
      <c r="C196" s="338" t="str">
        <f>'Livro Diario - FC'!AE205</f>
        <v>Sabão em Pó</v>
      </c>
      <c r="D196" s="255">
        <f>SUMIFS('Livro Diario - FC'!$K$11:$K1028,'Livro Diario - FC'!$E$11:$E1028,$C$196,'Livro Diario - FC'!$D$11:$D1028,"&gt;=01/01"&amp;$C$7,'Livro Diario - FC'!$D$11:$D1028,"&lt;=31/01"&amp;$C$7)</f>
        <v>66.16</v>
      </c>
      <c r="E196" s="256">
        <f>SUMIFS('Livro Diario - FC'!$M$11:$M1028,'Livro Diario - FC'!$E$11:$E1028,$C$196,'Livro Diario - FC'!$D$11:$D1028,"&gt;=01/01"&amp;$C$7,'Livro Diario - FC'!$D$11:$D1028,"&lt;=31/01"&amp;$C$7)</f>
        <v>66.16</v>
      </c>
      <c r="F196" s="273"/>
      <c r="G196" s="258"/>
      <c r="H196" s="157"/>
      <c r="I196" s="255">
        <f>SUMIFS('Livro Diario - FC'!$K$11:$K1028,'Livro Diario - FC'!$E$11:$E1028,$C$196,'Livro Diario - FC'!$D$11:$D1028,"&gt;=01/02"&amp;$C$7,'Livro Diario - FC'!$D$11:$D1028,"&lt;=29/02"&amp;$C$7)</f>
        <v>0</v>
      </c>
      <c r="J196" s="256">
        <f>SUMIFS('Livro Diario - FC'!$M$11:$M1028,'Livro Diario - FC'!$E$11:$E1028,$C$196,'Livro Diario - FC'!$D$11:$D1028,"&gt;=01/02"&amp;$C$7,'Livro Diario - FC'!$D$11:$D1028,"&lt;=29/02"&amp;$C$7)</f>
        <v>0</v>
      </c>
      <c r="K196" s="273"/>
      <c r="L196" s="258"/>
      <c r="M196" s="259"/>
      <c r="N196" s="255">
        <f>SUMIFS('Livro Diario - FC'!$K$11:$K1028,'Livro Diario - FC'!$E$11:$E1028,$C$196,'Livro Diario - FC'!$D$11:$D1028,"&gt;=01/03"&amp;$C$7,'Livro Diario - FC'!$D$11:$D1028,"&lt;=31/03"&amp;$C$7)</f>
        <v>0</v>
      </c>
      <c r="O196" s="256">
        <f>SUMIFS('Livro Diario - FC'!$M$11:$M1028,'Livro Diario - FC'!$E$11:$E1028,$C$196,'Livro Diario - FC'!$D$11:$D1028,"&gt;=01/03"&amp;$C$7,'Livro Diario - FC'!$D$11:$D1028,"&lt;=31/03"&amp;$C$7)</f>
        <v>0</v>
      </c>
      <c r="P196" s="273"/>
      <c r="Q196" s="258"/>
      <c r="R196" s="259"/>
      <c r="S196" s="255">
        <f>SUMIFS('Livro Diario - FC'!$K$11:$K1028,'Livro Diario - FC'!$E$11:$E1028,$C$196,'Livro Diario - FC'!$D$11:$D1028,"&gt;=01/04"&amp;$C$7,'Livro Diario - FC'!$D$11:$D1028,"&lt;=30/04"&amp;$C$7)</f>
        <v>0</v>
      </c>
      <c r="T196" s="256">
        <f>SUMIFS('Livro Diario - FC'!$M$11:$M1028,'Livro Diario - FC'!$E$11:$E1028,$C$196,'Livro Diario - FC'!$D$11:$D1028,"&gt;=01/04"&amp;$C$7,'Livro Diario - FC'!$D$11:$D1028,"&lt;=30/04"&amp;$C$7)</f>
        <v>0</v>
      </c>
      <c r="U196" s="273"/>
      <c r="V196" s="258"/>
      <c r="W196" s="259"/>
      <c r="X196" s="255">
        <f>SUMIFS('Livro Diario - FC'!$K$11:$K1028,'Livro Diario - FC'!$E$11:$E1028,$C$196,'Livro Diario - FC'!$D$11:$D1028,"&gt;=01/05"&amp;$C$7,'Livro Diario - FC'!$D$11:$D1028,"&lt;=31/05"&amp;$C$7)</f>
        <v>0</v>
      </c>
      <c r="Y196" s="256">
        <f>SUMIFS('Livro Diario - FC'!$M$11:$M1028,'Livro Diario - FC'!$E$11:$E1028,$C$196,'Livro Diario - FC'!$D$11:$D1028,"&gt;=01/05"&amp;$C$7,'Livro Diario - FC'!$D$11:$D1028,"&lt;=31/05"&amp;$C$7)</f>
        <v>0</v>
      </c>
      <c r="Z196" s="273"/>
      <c r="AA196" s="258"/>
      <c r="AB196" s="259"/>
      <c r="AC196" s="255">
        <f>SUMIFS('Livro Diario - FC'!$K$11:$K1028,'Livro Diario - FC'!$E$11:$E1028,$C$196,'Livro Diario - FC'!$D$11:$D1028,"&gt;=01/06"&amp;$C$7,'Livro Diario - FC'!$D$11:$D1028,"&lt;=30/06"&amp;$C$7)</f>
        <v>0</v>
      </c>
      <c r="AD196" s="256">
        <f>SUMIFS('Livro Diario - FC'!$M$11:$M1028,'Livro Diario - FC'!$E$11:$E1028,$C$196,'Livro Diario - FC'!$D$11:$D1028,"&gt;=01/06"&amp;$C$7,'Livro Diario - FC'!$D$11:$D1028,"&lt;=30/06"&amp;$C$7)</f>
        <v>0</v>
      </c>
      <c r="AE196" s="273"/>
      <c r="AF196" s="258"/>
      <c r="AG196" s="255">
        <f>SUMIFS('Livro Diario - FC'!$K$11:$K1028,'Livro Diario - FC'!$E$11:$E1028,$C$196,'Livro Diario - FC'!$D$11:$D1028,"&gt;=01/07"&amp;$C$7,'Livro Diario - FC'!$D$11:$D1028,"&lt;=31/07"&amp;$C$7)</f>
        <v>0</v>
      </c>
      <c r="AH196" s="256">
        <f>SUMIFS('Livro Diario - FC'!$M$11:$M1028,'Livro Diario - FC'!$E$11:$E1028,$C$196,'Livro Diario - FC'!$D$11:$D1028,"&gt;=01/07"&amp;$C$7,'Livro Diario - FC'!$D$11:$D1028,"&lt;=31/07"&amp;$C$7)</f>
        <v>0</v>
      </c>
      <c r="AI196" s="273"/>
      <c r="AJ196" s="258"/>
      <c r="AK196" s="255">
        <f>SUMIFS('Livro Diario - FC'!$K$11:$K1028,'Livro Diario - FC'!$E$11:$E1028,$C$196,'Livro Diario - FC'!$D$11:$D1028,"&gt;=01/08"&amp;$C$7,'Livro Diario - FC'!$D$11:$D1028,"&lt;=31/08"&amp;$C$7)</f>
        <v>0</v>
      </c>
      <c r="AL196" s="256">
        <f>SUMIFS('Livro Diario - FC'!$M$11:$M1028,'Livro Diario - FC'!$E$11:$E1028,$C$196,'Livro Diario - FC'!$D$11:$D1028,"&gt;=01/08"&amp;$C$7,'Livro Diario - FC'!$D$11:$D1028,"&lt;=31/08"&amp;$C$7)</f>
        <v>0</v>
      </c>
      <c r="AM196" s="273"/>
      <c r="AN196" s="258"/>
      <c r="AO196" s="255">
        <f>SUMIFS('Livro Diario - FC'!$K$11:$K1028,'Livro Diario - FC'!$E$11:$E1028,$C$196,'Livro Diario - FC'!$D$11:$D1028,"&gt;=01/09"&amp;$C$7,'Livro Diario - FC'!$D$11:$D1028,"&lt;=30/09"&amp;$C$7)</f>
        <v>0</v>
      </c>
      <c r="AP196" s="256">
        <f>SUMIFS('Livro Diario - FC'!$M$11:$M1028,'Livro Diario - FC'!$E$11:$E1028,$C$196,'Livro Diario - FC'!$D$11:$D1028,"&gt;=01/09"&amp;$C$7,'Livro Diario - FC'!$D$11:$D1028,"&lt;=30/09"&amp;$C$7)</f>
        <v>0</v>
      </c>
      <c r="AQ196" s="273"/>
      <c r="AR196" s="258"/>
      <c r="AS196" s="255">
        <f>SUMIFS('Livro Diario - FC'!$K$11:$K1028,'Livro Diario - FC'!$E$11:$E1028,$C$196,'Livro Diario - FC'!$D$11:$D1028,"&gt;=01/10"&amp;$C$7,'Livro Diario - FC'!$D$11:$D1028,"&lt;=31/10"&amp;$C$7)</f>
        <v>0</v>
      </c>
      <c r="AT196" s="256">
        <f>SUMIFS('Livro Diario - FC'!$M$11:$M1028,'Livro Diario - FC'!$E$11:$E1028,$C$196,'Livro Diario - FC'!$D$11:$D1028,"&gt;=01/10"&amp;$C$7,'Livro Diario - FC'!$D$11:$D1028,"&lt;=31/10"&amp;$C$7)</f>
        <v>0</v>
      </c>
      <c r="AU196" s="273"/>
      <c r="AV196" s="258"/>
      <c r="AW196" s="255">
        <f>SUMIFS('Livro Diario - FC'!$K$11:$K1028,'Livro Diario - FC'!$E$11:$E1028,$C$196,'Livro Diario - FC'!$D$11:$D1028,"&gt;=01/11"&amp;$C$7,'Livro Diario - FC'!$D$11:$D1028,"&lt;=30/11"&amp;$C$7)</f>
        <v>0</v>
      </c>
      <c r="AX196" s="256">
        <f>SUMIFS('Livro Diario - FC'!$M$11:$M1028,'Livro Diario - FC'!$E$11:$E1028,$C$196,'Livro Diario - FC'!$D$11:$D1028,"&gt;=01/11"&amp;$C$7,'Livro Diario - FC'!$D$11:$D1028,"&lt;=30/11"&amp;$C$7)</f>
        <v>0</v>
      </c>
      <c r="AY196" s="273"/>
      <c r="AZ196" s="258"/>
      <c r="BA196" s="255">
        <f>SUMIFS('Livro Diario - FC'!$K$11:$K1028,'Livro Diario - FC'!$E$11:$E1028,$C$196,'Livro Diario - FC'!$D$11:$D1028,"&gt;=01/12"&amp;$C$7,'Livro Diario - FC'!$D$11:$D1028,"&lt;=31/12"&amp;$C$7)</f>
        <v>0</v>
      </c>
      <c r="BB196" s="256">
        <f>SUMIFS('Livro Diario - FC'!$M$11:$M1028,'Livro Diario - FC'!$E$11:$E1028,$C$196,'Livro Diario - FC'!$D$11:$D1028,"&gt;=01/12"&amp;$C$7,'Livro Diario - FC'!$D$11:$D1028,"&lt;=31/12"&amp;$C$7)</f>
        <v>0</v>
      </c>
      <c r="BC196" s="273"/>
      <c r="BD196" s="273"/>
      <c r="BE196" s="267">
        <f t="shared" ref="BE196:BF196" si="297">SUM(D196,I196,N196,S196,X196,AC196,AG196,AK196,AO196,AS196,AW196,BA196)</f>
        <v>66.16</v>
      </c>
      <c r="BF196" s="268">
        <f t="shared" si="297"/>
        <v>66.16</v>
      </c>
      <c r="BG196" s="269"/>
      <c r="BH196" s="192"/>
      <c r="BI196" s="270">
        <f>SUMIFS('Livro Diario - FC'!$M$11:$M1028,'Livro Diario - FC'!$E$11:$E1028,C196,'Livro Diario - FC'!$D$11:$D1028,"&gt;="&amp;$BK$8,'Livro Diario - FC'!$D$11:$D1028,"&lt;="&amp;$BK$9)</f>
        <v>0</v>
      </c>
      <c r="BJ196" s="271"/>
      <c r="BK196" s="272"/>
      <c r="BL196" s="1"/>
    </row>
    <row r="197">
      <c r="A197" s="1"/>
      <c r="B197" s="1"/>
      <c r="C197" s="338" t="str">
        <f>'Livro Diario - FC'!AE206</f>
        <v>Sabão Barra</v>
      </c>
      <c r="D197" s="255">
        <f>SUMIFS('Livro Diario - FC'!$K$11:$K1028,'Livro Diario - FC'!$E$11:$E1028,$C$197,'Livro Diario - FC'!$D$11:$D1028,"&gt;=01/01"&amp;$C$7,'Livro Diario - FC'!$D$11:$D1028,"&lt;=31/01"&amp;$C$7)</f>
        <v>23.33</v>
      </c>
      <c r="E197" s="256">
        <f>SUMIFS('Livro Diario - FC'!$M$11:$M1028,'Livro Diario - FC'!$E$11:$E1028,$C$197,'Livro Diario - FC'!$D$11:$D1028,"&gt;=01/01"&amp;$C$7,'Livro Diario - FC'!$D$11:$D1028,"&lt;=31/01"&amp;$C$7)</f>
        <v>23.33</v>
      </c>
      <c r="F197" s="273"/>
      <c r="G197" s="258"/>
      <c r="H197" s="157"/>
      <c r="I197" s="255">
        <f>SUMIFS('Livro Diario - FC'!$K$11:$K1028,'Livro Diario - FC'!$E$11:$E1028,$C$197,'Livro Diario - FC'!$D$11:$D1028,"&gt;=01/02"&amp;$C$7,'Livro Diario - FC'!$D$11:$D1028,"&lt;=29/02"&amp;$C$7)</f>
        <v>0</v>
      </c>
      <c r="J197" s="256">
        <f>SUMIFS('Livro Diario - FC'!$M$11:$M1028,'Livro Diario - FC'!$E$11:$E1028,$C$197,'Livro Diario - FC'!$D$11:$D1028,"&gt;=01/02"&amp;$C$7,'Livro Diario - FC'!$D$11:$D1028,"&lt;=29/02"&amp;$C$7)</f>
        <v>0</v>
      </c>
      <c r="K197" s="273"/>
      <c r="L197" s="258"/>
      <c r="M197" s="259"/>
      <c r="N197" s="255">
        <f>SUMIFS('Livro Diario - FC'!$K$11:$K1028,'Livro Diario - FC'!$E$11:$E1028,$C$197,'Livro Diario - FC'!$D$11:$D1028,"&gt;=01/03"&amp;$C$7,'Livro Diario - FC'!$D$11:$D1028,"&lt;=31/03"&amp;$C$7)</f>
        <v>0</v>
      </c>
      <c r="O197" s="256">
        <f>SUMIFS('Livro Diario - FC'!$M$11:$M1028,'Livro Diario - FC'!$E$11:$E1028,$C$197,'Livro Diario - FC'!$D$11:$D1028,"&gt;=01/03"&amp;$C$7,'Livro Diario - FC'!$D$11:$D1028,"&lt;=31/03"&amp;$C$7)</f>
        <v>0</v>
      </c>
      <c r="P197" s="273"/>
      <c r="Q197" s="258"/>
      <c r="R197" s="259"/>
      <c r="S197" s="255">
        <f>SUMIFS('Livro Diario - FC'!$K$11:$K1028,'Livro Diario - FC'!$E$11:$E1028,$C$197,'Livro Diario - FC'!$D$11:$D1028,"&gt;=01/04"&amp;$C$7,'Livro Diario - FC'!$D$11:$D1028,"&lt;=30/04"&amp;$C$7)</f>
        <v>0</v>
      </c>
      <c r="T197" s="256">
        <f>SUMIFS('Livro Diario - FC'!$M$11:$M1028,'Livro Diario - FC'!$E$11:$E1028,$C$197,'Livro Diario - FC'!$D$11:$D1028,"&gt;=01/04"&amp;$C$7,'Livro Diario - FC'!$D$11:$D1028,"&lt;=30/04"&amp;$C$7)</f>
        <v>0</v>
      </c>
      <c r="U197" s="273"/>
      <c r="V197" s="258"/>
      <c r="W197" s="259"/>
      <c r="X197" s="255">
        <f>SUMIFS('Livro Diario - FC'!$K$11:$K1028,'Livro Diario - FC'!$E$11:$E1028,$C$197,'Livro Diario - FC'!$D$11:$D1028,"&gt;=01/05"&amp;$C$7,'Livro Diario - FC'!$D$11:$D1028,"&lt;=31/05"&amp;$C$7)</f>
        <v>0</v>
      </c>
      <c r="Y197" s="256">
        <f>SUMIFS('Livro Diario - FC'!$M$11:$M1028,'Livro Diario - FC'!$E$11:$E1028,$C$197,'Livro Diario - FC'!$D$11:$D1028,"&gt;=01/05"&amp;$C$7,'Livro Diario - FC'!$D$11:$D1028,"&lt;=31/05"&amp;$C$7)</f>
        <v>0</v>
      </c>
      <c r="Z197" s="273"/>
      <c r="AA197" s="258"/>
      <c r="AB197" s="259"/>
      <c r="AC197" s="255">
        <f>SUMIFS('Livro Diario - FC'!$K$11:$K1028,'Livro Diario - FC'!$E$11:$E1028,$C$197,'Livro Diario - FC'!$D$11:$D1028,"&gt;=01/06"&amp;$C$7,'Livro Diario - FC'!$D$11:$D1028,"&lt;=30/06"&amp;$C$7)</f>
        <v>0</v>
      </c>
      <c r="AD197" s="256">
        <f>SUMIFS('Livro Diario - FC'!$M$11:$M1028,'Livro Diario - FC'!$E$11:$E1028,$C$197,'Livro Diario - FC'!$D$11:$D1028,"&gt;=01/06"&amp;$C$7,'Livro Diario - FC'!$D$11:$D1028,"&lt;=30/06"&amp;$C$7)</f>
        <v>0</v>
      </c>
      <c r="AE197" s="273"/>
      <c r="AF197" s="258"/>
      <c r="AG197" s="255">
        <f>SUMIFS('Livro Diario - FC'!$K$11:$K1028,'Livro Diario - FC'!$E$11:$E1028,$C$197,'Livro Diario - FC'!$D$11:$D1028,"&gt;=01/07"&amp;$C$7,'Livro Diario - FC'!$D$11:$D1028,"&lt;=31/07"&amp;$C$7)</f>
        <v>0</v>
      </c>
      <c r="AH197" s="256">
        <f>SUMIFS('Livro Diario - FC'!$M$11:$M1028,'Livro Diario - FC'!$E$11:$E1028,$C$197,'Livro Diario - FC'!$D$11:$D1028,"&gt;=01/07"&amp;$C$7,'Livro Diario - FC'!$D$11:$D1028,"&lt;=31/07"&amp;$C$7)</f>
        <v>0</v>
      </c>
      <c r="AI197" s="273"/>
      <c r="AJ197" s="258"/>
      <c r="AK197" s="255">
        <f>SUMIFS('Livro Diario - FC'!$K$11:$K1028,'Livro Diario - FC'!$E$11:$E1028,$C$197,'Livro Diario - FC'!$D$11:$D1028,"&gt;=01/08"&amp;$C$7,'Livro Diario - FC'!$D$11:$D1028,"&lt;=31/08"&amp;$C$7)</f>
        <v>0</v>
      </c>
      <c r="AL197" s="256">
        <f>SUMIFS('Livro Diario - FC'!$M$11:$M1028,'Livro Diario - FC'!$E$11:$E1028,$C$197,'Livro Diario - FC'!$D$11:$D1028,"&gt;=01/08"&amp;$C$7,'Livro Diario - FC'!$D$11:$D1028,"&lt;=31/08"&amp;$C$7)</f>
        <v>0</v>
      </c>
      <c r="AM197" s="273"/>
      <c r="AN197" s="258"/>
      <c r="AO197" s="255">
        <f>SUMIFS('Livro Diario - FC'!$K$11:$K1028,'Livro Diario - FC'!$E$11:$E1028,$C$197,'Livro Diario - FC'!$D$11:$D1028,"&gt;=01/09"&amp;$C$7,'Livro Diario - FC'!$D$11:$D1028,"&lt;=30/09"&amp;$C$7)</f>
        <v>0</v>
      </c>
      <c r="AP197" s="256">
        <f>SUMIFS('Livro Diario - FC'!$M$11:$M1028,'Livro Diario - FC'!$E$11:$E1028,$C$197,'Livro Diario - FC'!$D$11:$D1028,"&gt;=01/09"&amp;$C$7,'Livro Diario - FC'!$D$11:$D1028,"&lt;=30/09"&amp;$C$7)</f>
        <v>0</v>
      </c>
      <c r="AQ197" s="273"/>
      <c r="AR197" s="258"/>
      <c r="AS197" s="255">
        <f>SUMIFS('Livro Diario - FC'!$K$11:$K1028,'Livro Diario - FC'!$E$11:$E1028,$C$197,'Livro Diario - FC'!$D$11:$D1028,"&gt;=01/10"&amp;$C$7,'Livro Diario - FC'!$D$11:$D1028,"&lt;=31/10"&amp;$C$7)</f>
        <v>0</v>
      </c>
      <c r="AT197" s="256">
        <f>SUMIFS('Livro Diario - FC'!$M$11:$M1028,'Livro Diario - FC'!$E$11:$E1028,$C$197,'Livro Diario - FC'!$D$11:$D1028,"&gt;=01/10"&amp;$C$7,'Livro Diario - FC'!$D$11:$D1028,"&lt;=31/10"&amp;$C$7)</f>
        <v>0</v>
      </c>
      <c r="AU197" s="273"/>
      <c r="AV197" s="258"/>
      <c r="AW197" s="255">
        <f>SUMIFS('Livro Diario - FC'!$K$11:$K1028,'Livro Diario - FC'!$E$11:$E1028,$C$197,'Livro Diario - FC'!$D$11:$D1028,"&gt;=01/11"&amp;$C$7,'Livro Diario - FC'!$D$11:$D1028,"&lt;=30/11"&amp;$C$7)</f>
        <v>0</v>
      </c>
      <c r="AX197" s="256">
        <f>SUMIFS('Livro Diario - FC'!$M$11:$M1028,'Livro Diario - FC'!$E$11:$E1028,$C$197,'Livro Diario - FC'!$D$11:$D1028,"&gt;=01/11"&amp;$C$7,'Livro Diario - FC'!$D$11:$D1028,"&lt;=30/11"&amp;$C$7)</f>
        <v>0</v>
      </c>
      <c r="AY197" s="273"/>
      <c r="AZ197" s="258"/>
      <c r="BA197" s="255">
        <f>SUMIFS('Livro Diario - FC'!$K$11:$K1028,'Livro Diario - FC'!$E$11:$E1028,$C$197,'Livro Diario - FC'!$D$11:$D1028,"&gt;=01/12"&amp;$C$7,'Livro Diario - FC'!$D$11:$D1028,"&lt;=31/12"&amp;$C$7)</f>
        <v>0</v>
      </c>
      <c r="BB197" s="256">
        <f>SUMIFS('Livro Diario - FC'!$M$11:$M1028,'Livro Diario - FC'!$E$11:$E1028,$C$197,'Livro Diario - FC'!$D$11:$D1028,"&gt;=01/12"&amp;$C$7,'Livro Diario - FC'!$D$11:$D1028,"&lt;=31/12"&amp;$C$7)</f>
        <v>0</v>
      </c>
      <c r="BC197" s="273"/>
      <c r="BD197" s="273"/>
      <c r="BE197" s="267">
        <f t="shared" ref="BE197:BF197" si="298">SUM(D197,I197,N197,S197,X197,AC197,AG197,AK197,AO197,AS197,AW197,BA197)</f>
        <v>23.33</v>
      </c>
      <c r="BF197" s="268">
        <f t="shared" si="298"/>
        <v>23.33</v>
      </c>
      <c r="BG197" s="269"/>
      <c r="BH197" s="192"/>
      <c r="BI197" s="270">
        <f>SUMIFS('Livro Diario - FC'!$M$11:$M1028,'Livro Diario - FC'!$E$11:$E1028,C197,'Livro Diario - FC'!$D$11:$D1028,"&gt;="&amp;$BK$8,'Livro Diario - FC'!$D$11:$D1028,"&lt;="&amp;$BK$9)</f>
        <v>0</v>
      </c>
      <c r="BJ197" s="271"/>
      <c r="BK197" s="272"/>
      <c r="BL197" s="1"/>
    </row>
    <row r="198">
      <c r="A198" s="1"/>
      <c r="B198" s="1"/>
      <c r="C198" s="338" t="str">
        <f>'Livro Diario - FC'!AE207</f>
        <v>Bucha de Prato</v>
      </c>
      <c r="D198" s="255">
        <f>SUMIFS('Livro Diario - FC'!$K$11:$K1028,'Livro Diario - FC'!$E$11:$E1028,$C$198,'Livro Diario - FC'!$D$11:$D1028,"&gt;=01/01"&amp;$C$7,'Livro Diario - FC'!$D$11:$D1028,"&lt;=31/01"&amp;$C$7)</f>
        <v>0</v>
      </c>
      <c r="E198" s="256">
        <f>SUMIFS('Livro Diario - FC'!$M$11:$M1028,'Livro Diario - FC'!$E$11:$E1028,$C$198,'Livro Diario - FC'!$D$11:$D1028,"&gt;=01/01"&amp;$C$7,'Livro Diario - FC'!$D$11:$D1028,"&lt;=31/01"&amp;$C$7)</f>
        <v>0</v>
      </c>
      <c r="F198" s="273"/>
      <c r="G198" s="258"/>
      <c r="H198" s="157"/>
      <c r="I198" s="255">
        <f>SUMIFS('Livro Diario - FC'!$K$11:$K1028,'Livro Diario - FC'!$E$11:$E1028,$C$198,'Livro Diario - FC'!$D$11:$D1028,"&gt;=01/02"&amp;$C$7,'Livro Diario - FC'!$D$11:$D1028,"&lt;=29/02"&amp;$C$7)</f>
        <v>0</v>
      </c>
      <c r="J198" s="256">
        <f>SUMIFS('Livro Diario - FC'!$M$11:$M1028,'Livro Diario - FC'!$E$11:$E1028,$C$198,'Livro Diario - FC'!$D$11:$D1028,"&gt;=01/02"&amp;$C$7,'Livro Diario - FC'!$D$11:$D1028,"&lt;=29/02"&amp;$C$7)</f>
        <v>0</v>
      </c>
      <c r="K198" s="273"/>
      <c r="L198" s="258"/>
      <c r="M198" s="259"/>
      <c r="N198" s="255">
        <f>SUMIFS('Livro Diario - FC'!$K$11:$K1028,'Livro Diario - FC'!$E$11:$E1028,$C$198,'Livro Diario - FC'!$D$11:$D1028,"&gt;=01/03"&amp;$C$7,'Livro Diario - FC'!$D$11:$D1028,"&lt;=31/03"&amp;$C$7)</f>
        <v>0</v>
      </c>
      <c r="O198" s="256">
        <f>SUMIFS('Livro Diario - FC'!$M$11:$M1028,'Livro Diario - FC'!$E$11:$E1028,$C$198,'Livro Diario - FC'!$D$11:$D1028,"&gt;=01/03"&amp;$C$7,'Livro Diario - FC'!$D$11:$D1028,"&lt;=31/03"&amp;$C$7)</f>
        <v>0</v>
      </c>
      <c r="P198" s="273"/>
      <c r="Q198" s="258"/>
      <c r="R198" s="259"/>
      <c r="S198" s="255">
        <f>SUMIFS('Livro Diario - FC'!$K$11:$K1028,'Livro Diario - FC'!$E$11:$E1028,$C$198,'Livro Diario - FC'!$D$11:$D1028,"&gt;=01/04"&amp;$C$7,'Livro Diario - FC'!$D$11:$D1028,"&lt;=30/04"&amp;$C$7)</f>
        <v>0</v>
      </c>
      <c r="T198" s="256">
        <f>SUMIFS('Livro Diario - FC'!$M$11:$M1028,'Livro Diario - FC'!$E$11:$E1028,$C$198,'Livro Diario - FC'!$D$11:$D1028,"&gt;=01/04"&amp;$C$7,'Livro Diario - FC'!$D$11:$D1028,"&lt;=30/04"&amp;$C$7)</f>
        <v>0</v>
      </c>
      <c r="U198" s="273"/>
      <c r="V198" s="258"/>
      <c r="W198" s="259"/>
      <c r="X198" s="255">
        <f>SUMIFS('Livro Diario - FC'!$K$11:$K1028,'Livro Diario - FC'!$E$11:$E1028,$C$198,'Livro Diario - FC'!$D$11:$D1028,"&gt;=01/05"&amp;$C$7,'Livro Diario - FC'!$D$11:$D1028,"&lt;=31/05"&amp;$C$7)</f>
        <v>0</v>
      </c>
      <c r="Y198" s="256">
        <f>SUMIFS('Livro Diario - FC'!$M$11:$M1028,'Livro Diario - FC'!$E$11:$E1028,$C$198,'Livro Diario - FC'!$D$11:$D1028,"&gt;=01/05"&amp;$C$7,'Livro Diario - FC'!$D$11:$D1028,"&lt;=31/05"&amp;$C$7)</f>
        <v>0</v>
      </c>
      <c r="Z198" s="273"/>
      <c r="AA198" s="258"/>
      <c r="AB198" s="259"/>
      <c r="AC198" s="255">
        <f>SUMIFS('Livro Diario - FC'!$K$11:$K1028,'Livro Diario - FC'!$E$11:$E1028,$C$198,'Livro Diario - FC'!$D$11:$D1028,"&gt;=01/06"&amp;$C$7,'Livro Diario - FC'!$D$11:$D1028,"&lt;=30/06"&amp;$C$7)</f>
        <v>0</v>
      </c>
      <c r="AD198" s="256">
        <f>SUMIFS('Livro Diario - FC'!$M$11:$M1028,'Livro Diario - FC'!$E$11:$E1028,$C$198,'Livro Diario - FC'!$D$11:$D1028,"&gt;=01/06"&amp;$C$7,'Livro Diario - FC'!$D$11:$D1028,"&lt;=30/06"&amp;$C$7)</f>
        <v>0</v>
      </c>
      <c r="AE198" s="273"/>
      <c r="AF198" s="258"/>
      <c r="AG198" s="255">
        <f>SUMIFS('Livro Diario - FC'!$K$11:$K1028,'Livro Diario - FC'!$E$11:$E1028,$C$198,'Livro Diario - FC'!$D$11:$D1028,"&gt;=01/07"&amp;$C$7,'Livro Diario - FC'!$D$11:$D1028,"&lt;=31/07"&amp;$C$7)</f>
        <v>0</v>
      </c>
      <c r="AH198" s="256">
        <f>SUMIFS('Livro Diario - FC'!$M$11:$M1028,'Livro Diario - FC'!$E$11:$E1028,$C$198,'Livro Diario - FC'!$D$11:$D1028,"&gt;=01/07"&amp;$C$7,'Livro Diario - FC'!$D$11:$D1028,"&lt;=31/07"&amp;$C$7)</f>
        <v>0</v>
      </c>
      <c r="AI198" s="273"/>
      <c r="AJ198" s="258"/>
      <c r="AK198" s="255">
        <f>SUMIFS('Livro Diario - FC'!$K$11:$K1028,'Livro Diario - FC'!$E$11:$E1028,$C$198,'Livro Diario - FC'!$D$11:$D1028,"&gt;=01/08"&amp;$C$7,'Livro Diario - FC'!$D$11:$D1028,"&lt;=31/08"&amp;$C$7)</f>
        <v>0</v>
      </c>
      <c r="AL198" s="256">
        <f>SUMIFS('Livro Diario - FC'!$M$11:$M1028,'Livro Diario - FC'!$E$11:$E1028,$C$198,'Livro Diario - FC'!$D$11:$D1028,"&gt;=01/08"&amp;$C$7,'Livro Diario - FC'!$D$11:$D1028,"&lt;=31/08"&amp;$C$7)</f>
        <v>0</v>
      </c>
      <c r="AM198" s="273"/>
      <c r="AN198" s="258"/>
      <c r="AO198" s="255">
        <f>SUMIFS('Livro Diario - FC'!$K$11:$K1028,'Livro Diario - FC'!$E$11:$E1028,$C$198,'Livro Diario - FC'!$D$11:$D1028,"&gt;=01/09"&amp;$C$7,'Livro Diario - FC'!$D$11:$D1028,"&lt;=30/09"&amp;$C$7)</f>
        <v>0</v>
      </c>
      <c r="AP198" s="256">
        <f>SUMIFS('Livro Diario - FC'!$M$11:$M1028,'Livro Diario - FC'!$E$11:$E1028,$C$198,'Livro Diario - FC'!$D$11:$D1028,"&gt;=01/09"&amp;$C$7,'Livro Diario - FC'!$D$11:$D1028,"&lt;=30/09"&amp;$C$7)</f>
        <v>0</v>
      </c>
      <c r="AQ198" s="273"/>
      <c r="AR198" s="258"/>
      <c r="AS198" s="255">
        <f>SUMIFS('Livro Diario - FC'!$K$11:$K1028,'Livro Diario - FC'!$E$11:$E1028,$C$198,'Livro Diario - FC'!$D$11:$D1028,"&gt;=01/10"&amp;$C$7,'Livro Diario - FC'!$D$11:$D1028,"&lt;=31/10"&amp;$C$7)</f>
        <v>0</v>
      </c>
      <c r="AT198" s="256">
        <f>SUMIFS('Livro Diario - FC'!$M$11:$M1028,'Livro Diario - FC'!$E$11:$E1028,$C$198,'Livro Diario - FC'!$D$11:$D1028,"&gt;=01/10"&amp;$C$7,'Livro Diario - FC'!$D$11:$D1028,"&lt;=31/10"&amp;$C$7)</f>
        <v>0</v>
      </c>
      <c r="AU198" s="273"/>
      <c r="AV198" s="258"/>
      <c r="AW198" s="255">
        <f>SUMIFS('Livro Diario - FC'!$K$11:$K1028,'Livro Diario - FC'!$E$11:$E1028,$C$198,'Livro Diario - FC'!$D$11:$D1028,"&gt;=01/11"&amp;$C$7,'Livro Diario - FC'!$D$11:$D1028,"&lt;=30/11"&amp;$C$7)</f>
        <v>0</v>
      </c>
      <c r="AX198" s="256">
        <f>SUMIFS('Livro Diario - FC'!$M$11:$M1028,'Livro Diario - FC'!$E$11:$E1028,$C$198,'Livro Diario - FC'!$D$11:$D1028,"&gt;=01/11"&amp;$C$7,'Livro Diario - FC'!$D$11:$D1028,"&lt;=30/11"&amp;$C$7)</f>
        <v>0</v>
      </c>
      <c r="AY198" s="273"/>
      <c r="AZ198" s="258"/>
      <c r="BA198" s="255">
        <f>SUMIFS('Livro Diario - FC'!$K$11:$K1028,'Livro Diario - FC'!$E$11:$E1028,$C$198,'Livro Diario - FC'!$D$11:$D1028,"&gt;=01/12"&amp;$C$7,'Livro Diario - FC'!$D$11:$D1028,"&lt;=31/12"&amp;$C$7)</f>
        <v>0</v>
      </c>
      <c r="BB198" s="256">
        <f>SUMIFS('Livro Diario - FC'!$M$11:$M1028,'Livro Diario - FC'!$E$11:$E1028,$C$198,'Livro Diario - FC'!$D$11:$D1028,"&gt;=01/12"&amp;$C$7,'Livro Diario - FC'!$D$11:$D1028,"&lt;=31/12"&amp;$C$7)</f>
        <v>0</v>
      </c>
      <c r="BC198" s="273"/>
      <c r="BD198" s="273"/>
      <c r="BE198" s="267">
        <f t="shared" ref="BE198:BF198" si="299">SUM(D198,I198,N198,S198,X198,AC198,AG198,AK198,AO198,AS198,AW198,BA198)</f>
        <v>0</v>
      </c>
      <c r="BF198" s="268">
        <f t="shared" si="299"/>
        <v>0</v>
      </c>
      <c r="BG198" s="269"/>
      <c r="BH198" s="192"/>
      <c r="BI198" s="270">
        <f>SUMIFS('Livro Diario - FC'!$M$11:$M1028,'Livro Diario - FC'!$E$11:$E1028,C198,'Livro Diario - FC'!$D$11:$D1028,"&gt;="&amp;$BK$8,'Livro Diario - FC'!$D$11:$D1028,"&lt;="&amp;$BK$9)</f>
        <v>0</v>
      </c>
      <c r="BJ198" s="271"/>
      <c r="BK198" s="272"/>
      <c r="BL198" s="1"/>
    </row>
    <row r="199">
      <c r="A199" s="1"/>
      <c r="B199" s="1"/>
      <c r="C199" s="338" t="str">
        <f>'Livro Diario - FC'!AE208</f>
        <v>Bombril</v>
      </c>
      <c r="D199" s="255">
        <f>SUMIFS('Livro Diario - FC'!$K$11:$K1028,'Livro Diario - FC'!$E$11:$E1028,$C$199,'Livro Diario - FC'!$D$11:$D1028,"&gt;=01/01"&amp;$C$7,'Livro Diario - FC'!$D$11:$D1028,"&lt;=31/01"&amp;$C$7)</f>
        <v>0</v>
      </c>
      <c r="E199" s="256">
        <f>SUMIFS('Livro Diario - FC'!$M$11:$M1028,'Livro Diario - FC'!$E$11:$E1028,$C$199,'Livro Diario - FC'!$D$11:$D1028,"&gt;=01/01"&amp;$C$7,'Livro Diario - FC'!$D$11:$D1028,"&lt;=31/01"&amp;$C$7)</f>
        <v>0</v>
      </c>
      <c r="F199" s="273"/>
      <c r="G199" s="258"/>
      <c r="H199" s="157"/>
      <c r="I199" s="255">
        <f>SUMIFS('Livro Diario - FC'!$K$11:$K1028,'Livro Diario - FC'!$E$11:$E1028,$C$199,'Livro Diario - FC'!$D$11:$D1028,"&gt;=01/02"&amp;$C$7,'Livro Diario - FC'!$D$11:$D1028,"&lt;=29/02"&amp;$C$7)</f>
        <v>0</v>
      </c>
      <c r="J199" s="256">
        <f>SUMIFS('Livro Diario - FC'!$M$11:$M1028,'Livro Diario - FC'!$E$11:$E1028,$C$199,'Livro Diario - FC'!$D$11:$D1028,"&gt;=01/02"&amp;$C$7,'Livro Diario - FC'!$D$11:$D1028,"&lt;=29/02"&amp;$C$7)</f>
        <v>0</v>
      </c>
      <c r="K199" s="273"/>
      <c r="L199" s="258"/>
      <c r="M199" s="259"/>
      <c r="N199" s="255">
        <f>SUMIFS('Livro Diario - FC'!$K$11:$K1028,'Livro Diario - FC'!$E$11:$E1028,$C$199,'Livro Diario - FC'!$D$11:$D1028,"&gt;=01/03"&amp;$C$7,'Livro Diario - FC'!$D$11:$D1028,"&lt;=31/03"&amp;$C$7)</f>
        <v>0</v>
      </c>
      <c r="O199" s="256">
        <f>SUMIFS('Livro Diario - FC'!$M$11:$M1028,'Livro Diario - FC'!$E$11:$E1028,$C$199,'Livro Diario - FC'!$D$11:$D1028,"&gt;=01/03"&amp;$C$7,'Livro Diario - FC'!$D$11:$D1028,"&lt;=31/03"&amp;$C$7)</f>
        <v>0</v>
      </c>
      <c r="P199" s="273"/>
      <c r="Q199" s="258"/>
      <c r="R199" s="259"/>
      <c r="S199" s="255">
        <f>SUMIFS('Livro Diario - FC'!$K$11:$K1028,'Livro Diario - FC'!$E$11:$E1028,$C$199,'Livro Diario - FC'!$D$11:$D1028,"&gt;=01/04"&amp;$C$7,'Livro Diario - FC'!$D$11:$D1028,"&lt;=30/04"&amp;$C$7)</f>
        <v>0</v>
      </c>
      <c r="T199" s="256">
        <f>SUMIFS('Livro Diario - FC'!$M$11:$M1028,'Livro Diario - FC'!$E$11:$E1028,$C$199,'Livro Diario - FC'!$D$11:$D1028,"&gt;=01/04"&amp;$C$7,'Livro Diario - FC'!$D$11:$D1028,"&lt;=30/04"&amp;$C$7)</f>
        <v>0</v>
      </c>
      <c r="U199" s="273"/>
      <c r="V199" s="258"/>
      <c r="W199" s="259"/>
      <c r="X199" s="255">
        <f>SUMIFS('Livro Diario - FC'!$K$11:$K1028,'Livro Diario - FC'!$E$11:$E1028,$C$199,'Livro Diario - FC'!$D$11:$D1028,"&gt;=01/05"&amp;$C$7,'Livro Diario - FC'!$D$11:$D1028,"&lt;=31/05"&amp;$C$7)</f>
        <v>0</v>
      </c>
      <c r="Y199" s="256">
        <f>SUMIFS('Livro Diario - FC'!$M$11:$M1028,'Livro Diario - FC'!$E$11:$E1028,$C$199,'Livro Diario - FC'!$D$11:$D1028,"&gt;=01/05"&amp;$C$7,'Livro Diario - FC'!$D$11:$D1028,"&lt;=31/05"&amp;$C$7)</f>
        <v>0</v>
      </c>
      <c r="Z199" s="273"/>
      <c r="AA199" s="258"/>
      <c r="AB199" s="259"/>
      <c r="AC199" s="255">
        <f>SUMIFS('Livro Diario - FC'!$K$11:$K1028,'Livro Diario - FC'!$E$11:$E1028,$C$199,'Livro Diario - FC'!$D$11:$D1028,"&gt;=01/06"&amp;$C$7,'Livro Diario - FC'!$D$11:$D1028,"&lt;=30/06"&amp;$C$7)</f>
        <v>0</v>
      </c>
      <c r="AD199" s="256">
        <f>SUMIFS('Livro Diario - FC'!$M$11:$M1028,'Livro Diario - FC'!$E$11:$E1028,$C$199,'Livro Diario - FC'!$D$11:$D1028,"&gt;=01/06"&amp;$C$7,'Livro Diario - FC'!$D$11:$D1028,"&lt;=30/06"&amp;$C$7)</f>
        <v>0</v>
      </c>
      <c r="AE199" s="273"/>
      <c r="AF199" s="258"/>
      <c r="AG199" s="255">
        <f>SUMIFS('Livro Diario - FC'!$K$11:$K1028,'Livro Diario - FC'!$E$11:$E1028,$C$199,'Livro Diario - FC'!$D$11:$D1028,"&gt;=01/07"&amp;$C$7,'Livro Diario - FC'!$D$11:$D1028,"&lt;=31/07"&amp;$C$7)</f>
        <v>0</v>
      </c>
      <c r="AH199" s="256">
        <f>SUMIFS('Livro Diario - FC'!$M$11:$M1028,'Livro Diario - FC'!$E$11:$E1028,$C$199,'Livro Diario - FC'!$D$11:$D1028,"&gt;=01/07"&amp;$C$7,'Livro Diario - FC'!$D$11:$D1028,"&lt;=31/07"&amp;$C$7)</f>
        <v>0</v>
      </c>
      <c r="AI199" s="273"/>
      <c r="AJ199" s="258"/>
      <c r="AK199" s="255">
        <f>SUMIFS('Livro Diario - FC'!$K$11:$K1028,'Livro Diario - FC'!$E$11:$E1028,$C$199,'Livro Diario - FC'!$D$11:$D1028,"&gt;=01/08"&amp;$C$7,'Livro Diario - FC'!$D$11:$D1028,"&lt;=31/08"&amp;$C$7)</f>
        <v>0</v>
      </c>
      <c r="AL199" s="256">
        <f>SUMIFS('Livro Diario - FC'!$M$11:$M1028,'Livro Diario - FC'!$E$11:$E1028,$C$199,'Livro Diario - FC'!$D$11:$D1028,"&gt;=01/08"&amp;$C$7,'Livro Diario - FC'!$D$11:$D1028,"&lt;=31/08"&amp;$C$7)</f>
        <v>0</v>
      </c>
      <c r="AM199" s="273"/>
      <c r="AN199" s="258"/>
      <c r="AO199" s="255">
        <f>SUMIFS('Livro Diario - FC'!$K$11:$K1028,'Livro Diario - FC'!$E$11:$E1028,$C$199,'Livro Diario - FC'!$D$11:$D1028,"&gt;=01/09"&amp;$C$7,'Livro Diario - FC'!$D$11:$D1028,"&lt;=30/09"&amp;$C$7)</f>
        <v>0</v>
      </c>
      <c r="AP199" s="256">
        <f>SUMIFS('Livro Diario - FC'!$M$11:$M1028,'Livro Diario - FC'!$E$11:$E1028,$C$199,'Livro Diario - FC'!$D$11:$D1028,"&gt;=01/09"&amp;$C$7,'Livro Diario - FC'!$D$11:$D1028,"&lt;=30/09"&amp;$C$7)</f>
        <v>0</v>
      </c>
      <c r="AQ199" s="273"/>
      <c r="AR199" s="258"/>
      <c r="AS199" s="255">
        <f>SUMIFS('Livro Diario - FC'!$K$11:$K1028,'Livro Diario - FC'!$E$11:$E1028,$C$199,'Livro Diario - FC'!$D$11:$D1028,"&gt;=01/10"&amp;$C$7,'Livro Diario - FC'!$D$11:$D1028,"&lt;=31/10"&amp;$C$7)</f>
        <v>0</v>
      </c>
      <c r="AT199" s="256">
        <f>SUMIFS('Livro Diario - FC'!$M$11:$M1028,'Livro Diario - FC'!$E$11:$E1028,$C$199,'Livro Diario - FC'!$D$11:$D1028,"&gt;=01/10"&amp;$C$7,'Livro Diario - FC'!$D$11:$D1028,"&lt;=31/10"&amp;$C$7)</f>
        <v>0</v>
      </c>
      <c r="AU199" s="273"/>
      <c r="AV199" s="258"/>
      <c r="AW199" s="255">
        <f>SUMIFS('Livro Diario - FC'!$K$11:$K1028,'Livro Diario - FC'!$E$11:$E1028,$C$199,'Livro Diario - FC'!$D$11:$D1028,"&gt;=01/11"&amp;$C$7,'Livro Diario - FC'!$D$11:$D1028,"&lt;=30/11"&amp;$C$7)</f>
        <v>0</v>
      </c>
      <c r="AX199" s="256">
        <f>SUMIFS('Livro Diario - FC'!$M$11:$M1028,'Livro Diario - FC'!$E$11:$E1028,$C$199,'Livro Diario - FC'!$D$11:$D1028,"&gt;=01/11"&amp;$C$7,'Livro Diario - FC'!$D$11:$D1028,"&lt;=30/11"&amp;$C$7)</f>
        <v>0</v>
      </c>
      <c r="AY199" s="273"/>
      <c r="AZ199" s="258"/>
      <c r="BA199" s="255">
        <f>SUMIFS('Livro Diario - FC'!$K$11:$K1028,'Livro Diario - FC'!$E$11:$E1028,$C$199,'Livro Diario - FC'!$D$11:$D1028,"&gt;=01/12"&amp;$C$7,'Livro Diario - FC'!$D$11:$D1028,"&lt;=31/12"&amp;$C$7)</f>
        <v>0</v>
      </c>
      <c r="BB199" s="256">
        <f>SUMIFS('Livro Diario - FC'!$M$11:$M1028,'Livro Diario - FC'!$E$11:$E1028,$C$199,'Livro Diario - FC'!$D$11:$D1028,"&gt;=01/12"&amp;$C$7,'Livro Diario - FC'!$D$11:$D1028,"&lt;=31/12"&amp;$C$7)</f>
        <v>0</v>
      </c>
      <c r="BC199" s="273"/>
      <c r="BD199" s="273"/>
      <c r="BE199" s="267">
        <f t="shared" ref="BE199:BF199" si="300">SUM(D199,I199,N199,S199,X199,AC199,AG199,AK199,AO199,AS199,AW199,BA199)</f>
        <v>0</v>
      </c>
      <c r="BF199" s="268">
        <f t="shared" si="300"/>
        <v>0</v>
      </c>
      <c r="BG199" s="269"/>
      <c r="BH199" s="192"/>
      <c r="BI199" s="270">
        <f>SUMIFS('Livro Diario - FC'!$M$11:$M1028,'Livro Diario - FC'!$E$11:$E1028,C199,'Livro Diario - FC'!$D$11:$D1028,"&gt;="&amp;$BK$8,'Livro Diario - FC'!$D$11:$D1028,"&lt;="&amp;$BK$9)</f>
        <v>0</v>
      </c>
      <c r="BJ199" s="271"/>
      <c r="BK199" s="272"/>
      <c r="BL199" s="1"/>
    </row>
    <row r="200">
      <c r="A200" s="1"/>
      <c r="B200" s="1"/>
      <c r="C200" s="338" t="str">
        <f>'Livro Diario - FC'!AE209</f>
        <v>Detergente</v>
      </c>
      <c r="D200" s="255">
        <f>SUMIFS('Livro Diario - FC'!$K$11:$K1028,'Livro Diario - FC'!$E$11:$E1028,$C$200,'Livro Diario - FC'!$D$11:$D1028,"&gt;=01/01"&amp;$C$7,'Livro Diario - FC'!$D$11:$D1028,"&lt;=31/01"&amp;$C$7)</f>
        <v>2.19</v>
      </c>
      <c r="E200" s="256">
        <f>SUMIFS('Livro Diario - FC'!$M$11:$M1028,'Livro Diario - FC'!$E$11:$E1028,$C$200,'Livro Diario - FC'!$D$11:$D1028,"&gt;=01/01"&amp;$C$7,'Livro Diario - FC'!$D$11:$D1028,"&lt;=31/01"&amp;$C$7)</f>
        <v>2.19</v>
      </c>
      <c r="F200" s="273"/>
      <c r="G200" s="258"/>
      <c r="H200" s="157"/>
      <c r="I200" s="255">
        <f>SUMIFS('Livro Diario - FC'!$K$11:$K1028,'Livro Diario - FC'!$E$11:$E1028,$C$200,'Livro Diario - FC'!$D$11:$D1028,"&gt;=01/02"&amp;$C$7,'Livro Diario - FC'!$D$11:$D1028,"&lt;=29/02"&amp;$C$7)</f>
        <v>0</v>
      </c>
      <c r="J200" s="256">
        <f>SUMIFS('Livro Diario - FC'!$M$11:$M1028,'Livro Diario - FC'!$E$11:$E1028,$C$200,'Livro Diario - FC'!$D$11:$D1028,"&gt;=01/02"&amp;$C$7,'Livro Diario - FC'!$D$11:$D1028,"&lt;=29/02"&amp;$C$7)</f>
        <v>0</v>
      </c>
      <c r="K200" s="273"/>
      <c r="L200" s="258"/>
      <c r="M200" s="259"/>
      <c r="N200" s="255">
        <f>SUMIFS('Livro Diario - FC'!$K$11:$K1028,'Livro Diario - FC'!$E$11:$E1028,$C$200,'Livro Diario - FC'!$D$11:$D1028,"&gt;=01/03"&amp;$C$7,'Livro Diario - FC'!$D$11:$D1028,"&lt;=31/03"&amp;$C$7)</f>
        <v>0</v>
      </c>
      <c r="O200" s="256">
        <f>SUMIFS('Livro Diario - FC'!$M$11:$M1028,'Livro Diario - FC'!$E$11:$E1028,$C$200,'Livro Diario - FC'!$D$11:$D1028,"&gt;=01/03"&amp;$C$7,'Livro Diario - FC'!$D$11:$D1028,"&lt;=31/03"&amp;$C$7)</f>
        <v>0</v>
      </c>
      <c r="P200" s="273"/>
      <c r="Q200" s="258"/>
      <c r="R200" s="259"/>
      <c r="S200" s="255">
        <f>SUMIFS('Livro Diario - FC'!$K$11:$K1028,'Livro Diario - FC'!$E$11:$E1028,$C$200,'Livro Diario - FC'!$D$11:$D1028,"&gt;=01/04"&amp;$C$7,'Livro Diario - FC'!$D$11:$D1028,"&lt;=30/04"&amp;$C$7)</f>
        <v>0</v>
      </c>
      <c r="T200" s="256">
        <f>SUMIFS('Livro Diario - FC'!$M$11:$M1028,'Livro Diario - FC'!$E$11:$E1028,$C$200,'Livro Diario - FC'!$D$11:$D1028,"&gt;=01/04"&amp;$C$7,'Livro Diario - FC'!$D$11:$D1028,"&lt;=30/04"&amp;$C$7)</f>
        <v>0</v>
      </c>
      <c r="U200" s="273"/>
      <c r="V200" s="258"/>
      <c r="W200" s="259"/>
      <c r="X200" s="255">
        <f>SUMIFS('Livro Diario - FC'!$K$11:$K1028,'Livro Diario - FC'!$E$11:$E1028,$C$200,'Livro Diario - FC'!$D$11:$D1028,"&gt;=01/05"&amp;$C$7,'Livro Diario - FC'!$D$11:$D1028,"&lt;=31/05"&amp;$C$7)</f>
        <v>0</v>
      </c>
      <c r="Y200" s="256">
        <f>SUMIFS('Livro Diario - FC'!$M$11:$M1028,'Livro Diario - FC'!$E$11:$E1028,$C$200,'Livro Diario - FC'!$D$11:$D1028,"&gt;=01/05"&amp;$C$7,'Livro Diario - FC'!$D$11:$D1028,"&lt;=31/05"&amp;$C$7)</f>
        <v>0</v>
      </c>
      <c r="Z200" s="273"/>
      <c r="AA200" s="258"/>
      <c r="AB200" s="259"/>
      <c r="AC200" s="255">
        <f>SUMIFS('Livro Diario - FC'!$K$11:$K1028,'Livro Diario - FC'!$E$11:$E1028,$C$200,'Livro Diario - FC'!$D$11:$D1028,"&gt;=01/06"&amp;$C$7,'Livro Diario - FC'!$D$11:$D1028,"&lt;=30/06"&amp;$C$7)</f>
        <v>0</v>
      </c>
      <c r="AD200" s="256">
        <f>SUMIFS('Livro Diario - FC'!$M$11:$M1028,'Livro Diario - FC'!$E$11:$E1028,$C$200,'Livro Diario - FC'!$D$11:$D1028,"&gt;=01/06"&amp;$C$7,'Livro Diario - FC'!$D$11:$D1028,"&lt;=30/06"&amp;$C$7)</f>
        <v>0</v>
      </c>
      <c r="AE200" s="273"/>
      <c r="AF200" s="258"/>
      <c r="AG200" s="255">
        <f>SUMIFS('Livro Diario - FC'!$K$11:$K1028,'Livro Diario - FC'!$E$11:$E1028,$C$200,'Livro Diario - FC'!$D$11:$D1028,"&gt;=01/07"&amp;$C$7,'Livro Diario - FC'!$D$11:$D1028,"&lt;=31/07"&amp;$C$7)</f>
        <v>0</v>
      </c>
      <c r="AH200" s="256">
        <f>SUMIFS('Livro Diario - FC'!$M$11:$M1028,'Livro Diario - FC'!$E$11:$E1028,$C$200,'Livro Diario - FC'!$D$11:$D1028,"&gt;=01/07"&amp;$C$7,'Livro Diario - FC'!$D$11:$D1028,"&lt;=31/07"&amp;$C$7)</f>
        <v>0</v>
      </c>
      <c r="AI200" s="273"/>
      <c r="AJ200" s="258"/>
      <c r="AK200" s="255">
        <f>SUMIFS('Livro Diario - FC'!$K$11:$K1028,'Livro Diario - FC'!$E$11:$E1028,$C$200,'Livro Diario - FC'!$D$11:$D1028,"&gt;=01/08"&amp;$C$7,'Livro Diario - FC'!$D$11:$D1028,"&lt;=31/08"&amp;$C$7)</f>
        <v>0</v>
      </c>
      <c r="AL200" s="256">
        <f>SUMIFS('Livro Diario - FC'!$M$11:$M1028,'Livro Diario - FC'!$E$11:$E1028,$C$200,'Livro Diario - FC'!$D$11:$D1028,"&gt;=01/08"&amp;$C$7,'Livro Diario - FC'!$D$11:$D1028,"&lt;=31/08"&amp;$C$7)</f>
        <v>0</v>
      </c>
      <c r="AM200" s="273"/>
      <c r="AN200" s="258"/>
      <c r="AO200" s="255">
        <f>SUMIFS('Livro Diario - FC'!$K$11:$K1028,'Livro Diario - FC'!$E$11:$E1028,$C$200,'Livro Diario - FC'!$D$11:$D1028,"&gt;=01/09"&amp;$C$7,'Livro Diario - FC'!$D$11:$D1028,"&lt;=30/09"&amp;$C$7)</f>
        <v>0</v>
      </c>
      <c r="AP200" s="256">
        <f>SUMIFS('Livro Diario - FC'!$M$11:$M1028,'Livro Diario - FC'!$E$11:$E1028,$C$200,'Livro Diario - FC'!$D$11:$D1028,"&gt;=01/09"&amp;$C$7,'Livro Diario - FC'!$D$11:$D1028,"&lt;=30/09"&amp;$C$7)</f>
        <v>0</v>
      </c>
      <c r="AQ200" s="273"/>
      <c r="AR200" s="258"/>
      <c r="AS200" s="255">
        <f>SUMIFS('Livro Diario - FC'!$K$11:$K1028,'Livro Diario - FC'!$E$11:$E1028,$C$200,'Livro Diario - FC'!$D$11:$D1028,"&gt;=01/10"&amp;$C$7,'Livro Diario - FC'!$D$11:$D1028,"&lt;=31/10"&amp;$C$7)</f>
        <v>0</v>
      </c>
      <c r="AT200" s="256">
        <f>SUMIFS('Livro Diario - FC'!$M$11:$M1028,'Livro Diario - FC'!$E$11:$E1028,$C$200,'Livro Diario - FC'!$D$11:$D1028,"&gt;=01/10"&amp;$C$7,'Livro Diario - FC'!$D$11:$D1028,"&lt;=31/10"&amp;$C$7)</f>
        <v>0</v>
      </c>
      <c r="AU200" s="273"/>
      <c r="AV200" s="258"/>
      <c r="AW200" s="255">
        <f>SUMIFS('Livro Diario - FC'!$K$11:$K1028,'Livro Diario - FC'!$E$11:$E1028,$C$200,'Livro Diario - FC'!$D$11:$D1028,"&gt;=01/11"&amp;$C$7,'Livro Diario - FC'!$D$11:$D1028,"&lt;=30/11"&amp;$C$7)</f>
        <v>0</v>
      </c>
      <c r="AX200" s="256">
        <f>SUMIFS('Livro Diario - FC'!$M$11:$M1028,'Livro Diario - FC'!$E$11:$E1028,$C$200,'Livro Diario - FC'!$D$11:$D1028,"&gt;=01/11"&amp;$C$7,'Livro Diario - FC'!$D$11:$D1028,"&lt;=30/11"&amp;$C$7)</f>
        <v>0</v>
      </c>
      <c r="AY200" s="273"/>
      <c r="AZ200" s="258"/>
      <c r="BA200" s="255">
        <f>SUMIFS('Livro Diario - FC'!$K$11:$K1028,'Livro Diario - FC'!$E$11:$E1028,$C$200,'Livro Diario - FC'!$D$11:$D1028,"&gt;=01/12"&amp;$C$7,'Livro Diario - FC'!$D$11:$D1028,"&lt;=31/12"&amp;$C$7)</f>
        <v>0</v>
      </c>
      <c r="BB200" s="256">
        <f>SUMIFS('Livro Diario - FC'!$M$11:$M1028,'Livro Diario - FC'!$E$11:$E1028,$C$200,'Livro Diario - FC'!$D$11:$D1028,"&gt;=01/12"&amp;$C$7,'Livro Diario - FC'!$D$11:$D1028,"&lt;=31/12"&amp;$C$7)</f>
        <v>0</v>
      </c>
      <c r="BC200" s="273"/>
      <c r="BD200" s="273"/>
      <c r="BE200" s="267">
        <f t="shared" ref="BE200:BF200" si="301">SUM(D200,I200,N200,S200,X200,AC200,AG200,AK200,AO200,AS200,AW200,BA200)</f>
        <v>2.19</v>
      </c>
      <c r="BF200" s="268">
        <f t="shared" si="301"/>
        <v>2.19</v>
      </c>
      <c r="BG200" s="269"/>
      <c r="BH200" s="192"/>
      <c r="BI200" s="270">
        <f>SUMIFS('Livro Diario - FC'!$M$11:$M1028,'Livro Diario - FC'!$E$11:$E1028,C200,'Livro Diario - FC'!$D$11:$D1028,"&gt;="&amp;$BK$8,'Livro Diario - FC'!$D$11:$D1028,"&lt;="&amp;$BK$9)</f>
        <v>0</v>
      </c>
      <c r="BJ200" s="271"/>
      <c r="BK200" s="272"/>
      <c r="BL200" s="1"/>
    </row>
    <row r="201">
      <c r="A201" s="1"/>
      <c r="B201" s="1"/>
      <c r="C201" s="338" t="str">
        <f>'Livro Diario - FC'!AE210</f>
        <v>Pastilha Banheiro</v>
      </c>
      <c r="D201" s="255">
        <f>SUMIFS('Livro Diario - FC'!$K$11:$K1028,'Livro Diario - FC'!$E$11:$E1028,$C$201,'Livro Diario - FC'!$D$11:$D1028,"&gt;=01/01"&amp;$C$7,'Livro Diario - FC'!$D$11:$D1028,"&lt;=31/01"&amp;$C$7)</f>
        <v>7.29</v>
      </c>
      <c r="E201" s="256">
        <f>SUMIFS('Livro Diario - FC'!$M$11:$M1028,'Livro Diario - FC'!$E$11:$E1028,$C$201,'Livro Diario - FC'!$D$11:$D1028,"&gt;=01/01"&amp;$C$7,'Livro Diario - FC'!$D$11:$D1028,"&lt;=31/01"&amp;$C$7)</f>
        <v>7.29</v>
      </c>
      <c r="F201" s="273"/>
      <c r="G201" s="258"/>
      <c r="H201" s="157"/>
      <c r="I201" s="255">
        <f>SUMIFS('Livro Diario - FC'!$K$11:$K1028,'Livro Diario - FC'!$E$11:$E1028,$C$201,'Livro Diario - FC'!$D$11:$D1028,"&gt;=01/02"&amp;$C$7,'Livro Diario - FC'!$D$11:$D1028,"&lt;=29/02"&amp;$C$7)</f>
        <v>0</v>
      </c>
      <c r="J201" s="256">
        <f>SUMIFS('Livro Diario - FC'!$M$11:$M1028,'Livro Diario - FC'!$E$11:$E1028,$C$201,'Livro Diario - FC'!$D$11:$D1028,"&gt;=01/02"&amp;$C$7,'Livro Diario - FC'!$D$11:$D1028,"&lt;=29/02"&amp;$C$7)</f>
        <v>0</v>
      </c>
      <c r="K201" s="273"/>
      <c r="L201" s="258"/>
      <c r="M201" s="259"/>
      <c r="N201" s="255">
        <f>SUMIFS('Livro Diario - FC'!$K$11:$K1028,'Livro Diario - FC'!$E$11:$E1028,$C$201,'Livro Diario - FC'!$D$11:$D1028,"&gt;=01/03"&amp;$C$7,'Livro Diario - FC'!$D$11:$D1028,"&lt;=31/03"&amp;$C$7)</f>
        <v>0</v>
      </c>
      <c r="O201" s="256">
        <f>SUMIFS('Livro Diario - FC'!$M$11:$M1028,'Livro Diario - FC'!$E$11:$E1028,$C$201,'Livro Diario - FC'!$D$11:$D1028,"&gt;=01/03"&amp;$C$7,'Livro Diario - FC'!$D$11:$D1028,"&lt;=31/03"&amp;$C$7)</f>
        <v>0</v>
      </c>
      <c r="P201" s="273"/>
      <c r="Q201" s="258"/>
      <c r="R201" s="259"/>
      <c r="S201" s="255">
        <f>SUMIFS('Livro Diario - FC'!$K$11:$K1028,'Livro Diario - FC'!$E$11:$E1028,$C$201,'Livro Diario - FC'!$D$11:$D1028,"&gt;=01/04"&amp;$C$7,'Livro Diario - FC'!$D$11:$D1028,"&lt;=30/04"&amp;$C$7)</f>
        <v>0</v>
      </c>
      <c r="T201" s="256">
        <f>SUMIFS('Livro Diario - FC'!$M$11:$M1028,'Livro Diario - FC'!$E$11:$E1028,$C$201,'Livro Diario - FC'!$D$11:$D1028,"&gt;=01/04"&amp;$C$7,'Livro Diario - FC'!$D$11:$D1028,"&lt;=30/04"&amp;$C$7)</f>
        <v>0</v>
      </c>
      <c r="U201" s="273"/>
      <c r="V201" s="258"/>
      <c r="W201" s="259"/>
      <c r="X201" s="255">
        <f>SUMIFS('Livro Diario - FC'!$K$11:$K1028,'Livro Diario - FC'!$E$11:$E1028,$C$201,'Livro Diario - FC'!$D$11:$D1028,"&gt;=01/05"&amp;$C$7,'Livro Diario - FC'!$D$11:$D1028,"&lt;=31/05"&amp;$C$7)</f>
        <v>0</v>
      </c>
      <c r="Y201" s="256">
        <f>SUMIFS('Livro Diario - FC'!$M$11:$M1028,'Livro Diario - FC'!$E$11:$E1028,$C$201,'Livro Diario - FC'!$D$11:$D1028,"&gt;=01/05"&amp;$C$7,'Livro Diario - FC'!$D$11:$D1028,"&lt;=31/05"&amp;$C$7)</f>
        <v>0</v>
      </c>
      <c r="Z201" s="273"/>
      <c r="AA201" s="258"/>
      <c r="AB201" s="259"/>
      <c r="AC201" s="255">
        <f>SUMIFS('Livro Diario - FC'!$K$11:$K1028,'Livro Diario - FC'!$E$11:$E1028,$C$201,'Livro Diario - FC'!$D$11:$D1028,"&gt;=01/06"&amp;$C$7,'Livro Diario - FC'!$D$11:$D1028,"&lt;=30/06"&amp;$C$7)</f>
        <v>0</v>
      </c>
      <c r="AD201" s="256">
        <f>SUMIFS('Livro Diario - FC'!$M$11:$M1028,'Livro Diario - FC'!$E$11:$E1028,$C$201,'Livro Diario - FC'!$D$11:$D1028,"&gt;=01/06"&amp;$C$7,'Livro Diario - FC'!$D$11:$D1028,"&lt;=30/06"&amp;$C$7)</f>
        <v>0</v>
      </c>
      <c r="AE201" s="273"/>
      <c r="AF201" s="258"/>
      <c r="AG201" s="255">
        <f>SUMIFS('Livro Diario - FC'!$K$11:$K1028,'Livro Diario - FC'!$E$11:$E1028,$C$201,'Livro Diario - FC'!$D$11:$D1028,"&gt;=01/07"&amp;$C$7,'Livro Diario - FC'!$D$11:$D1028,"&lt;=31/07"&amp;$C$7)</f>
        <v>0</v>
      </c>
      <c r="AH201" s="256">
        <f>SUMIFS('Livro Diario - FC'!$M$11:$M1028,'Livro Diario - FC'!$E$11:$E1028,$C$201,'Livro Diario - FC'!$D$11:$D1028,"&gt;=01/07"&amp;$C$7,'Livro Diario - FC'!$D$11:$D1028,"&lt;=31/07"&amp;$C$7)</f>
        <v>0</v>
      </c>
      <c r="AI201" s="273"/>
      <c r="AJ201" s="258"/>
      <c r="AK201" s="255">
        <f>SUMIFS('Livro Diario - FC'!$K$11:$K1028,'Livro Diario - FC'!$E$11:$E1028,$C$201,'Livro Diario - FC'!$D$11:$D1028,"&gt;=01/08"&amp;$C$7,'Livro Diario - FC'!$D$11:$D1028,"&lt;=31/08"&amp;$C$7)</f>
        <v>0</v>
      </c>
      <c r="AL201" s="256">
        <f>SUMIFS('Livro Diario - FC'!$M$11:$M1028,'Livro Diario - FC'!$E$11:$E1028,$C$201,'Livro Diario - FC'!$D$11:$D1028,"&gt;=01/08"&amp;$C$7,'Livro Diario - FC'!$D$11:$D1028,"&lt;=31/08"&amp;$C$7)</f>
        <v>0</v>
      </c>
      <c r="AM201" s="273"/>
      <c r="AN201" s="258"/>
      <c r="AO201" s="255">
        <f>SUMIFS('Livro Diario - FC'!$K$11:$K1028,'Livro Diario - FC'!$E$11:$E1028,$C$201,'Livro Diario - FC'!$D$11:$D1028,"&gt;=01/09"&amp;$C$7,'Livro Diario - FC'!$D$11:$D1028,"&lt;=30/09"&amp;$C$7)</f>
        <v>0</v>
      </c>
      <c r="AP201" s="256">
        <f>SUMIFS('Livro Diario - FC'!$M$11:$M1028,'Livro Diario - FC'!$E$11:$E1028,$C$201,'Livro Diario - FC'!$D$11:$D1028,"&gt;=01/09"&amp;$C$7,'Livro Diario - FC'!$D$11:$D1028,"&lt;=30/09"&amp;$C$7)</f>
        <v>0</v>
      </c>
      <c r="AQ201" s="273"/>
      <c r="AR201" s="258"/>
      <c r="AS201" s="255">
        <f>SUMIFS('Livro Diario - FC'!$K$11:$K1028,'Livro Diario - FC'!$E$11:$E1028,$C$201,'Livro Diario - FC'!$D$11:$D1028,"&gt;=01/10"&amp;$C$7,'Livro Diario - FC'!$D$11:$D1028,"&lt;=31/10"&amp;$C$7)</f>
        <v>0</v>
      </c>
      <c r="AT201" s="256">
        <f>SUMIFS('Livro Diario - FC'!$M$11:$M1028,'Livro Diario - FC'!$E$11:$E1028,$C$201,'Livro Diario - FC'!$D$11:$D1028,"&gt;=01/10"&amp;$C$7,'Livro Diario - FC'!$D$11:$D1028,"&lt;=31/10"&amp;$C$7)</f>
        <v>0</v>
      </c>
      <c r="AU201" s="273"/>
      <c r="AV201" s="258"/>
      <c r="AW201" s="255">
        <f>SUMIFS('Livro Diario - FC'!$K$11:$K1028,'Livro Diario - FC'!$E$11:$E1028,$C$201,'Livro Diario - FC'!$D$11:$D1028,"&gt;=01/11"&amp;$C$7,'Livro Diario - FC'!$D$11:$D1028,"&lt;=30/11"&amp;$C$7)</f>
        <v>0</v>
      </c>
      <c r="AX201" s="256">
        <f>SUMIFS('Livro Diario - FC'!$M$11:$M1028,'Livro Diario - FC'!$E$11:$E1028,$C$201,'Livro Diario - FC'!$D$11:$D1028,"&gt;=01/11"&amp;$C$7,'Livro Diario - FC'!$D$11:$D1028,"&lt;=30/11"&amp;$C$7)</f>
        <v>0</v>
      </c>
      <c r="AY201" s="273"/>
      <c r="AZ201" s="258"/>
      <c r="BA201" s="255">
        <f>SUMIFS('Livro Diario - FC'!$K$11:$K1028,'Livro Diario - FC'!$E$11:$E1028,$C$201,'Livro Diario - FC'!$D$11:$D1028,"&gt;=01/12"&amp;$C$7,'Livro Diario - FC'!$D$11:$D1028,"&lt;=31/12"&amp;$C$7)</f>
        <v>0</v>
      </c>
      <c r="BB201" s="256">
        <f>SUMIFS('Livro Diario - FC'!$M$11:$M1028,'Livro Diario - FC'!$E$11:$E1028,$C$201,'Livro Diario - FC'!$D$11:$D1028,"&gt;=01/12"&amp;$C$7,'Livro Diario - FC'!$D$11:$D1028,"&lt;=31/12"&amp;$C$7)</f>
        <v>0</v>
      </c>
      <c r="BC201" s="273"/>
      <c r="BD201" s="273"/>
      <c r="BE201" s="267">
        <f t="shared" ref="BE201:BF201" si="302">SUM(D201,I201,N201,S201,X201,AC201,AG201,AK201,AO201,AS201,AW201,BA201)</f>
        <v>7.29</v>
      </c>
      <c r="BF201" s="268">
        <f t="shared" si="302"/>
        <v>7.29</v>
      </c>
      <c r="BG201" s="269"/>
      <c r="BH201" s="192"/>
      <c r="BI201" s="270">
        <f>SUMIFS('Livro Diario - FC'!$M$11:$M1028,'Livro Diario - FC'!$E$11:$E1028,C201,'Livro Diario - FC'!$D$11:$D1028,"&gt;="&amp;$BK$8,'Livro Diario - FC'!$D$11:$D1028,"&lt;="&amp;$BK$9)</f>
        <v>0</v>
      </c>
      <c r="BJ201" s="271"/>
      <c r="BK201" s="272"/>
      <c r="BL201" s="1"/>
    </row>
    <row r="202">
      <c r="A202" s="1"/>
      <c r="B202" s="1"/>
      <c r="C202" s="338" t="str">
        <f>'Livro Diario - FC'!AE211</f>
        <v/>
      </c>
      <c r="D202" s="255">
        <f>SUMIFS('Livro Diario - FC'!$K$11:$K1028,'Livro Diario - FC'!$E$11:$E1028,$C$202,'Livro Diario - FC'!$D$11:$D1028,"&gt;=01/01"&amp;$C$7,'Livro Diario - FC'!$D$11:$D1028,"&lt;=31/01"&amp;$C$7)</f>
        <v>0</v>
      </c>
      <c r="E202" s="256">
        <f>SUMIFS('Livro Diario - FC'!$M$11:$M1028,'Livro Diario - FC'!$E$11:$E1028,$C$202,'Livro Diario - FC'!$D$11:$D1028,"&gt;=01/01"&amp;$C$7,'Livro Diario - FC'!$D$11:$D1028,"&lt;=31/01"&amp;$C$7)</f>
        <v>0</v>
      </c>
      <c r="F202" s="273"/>
      <c r="G202" s="258"/>
      <c r="H202" s="157"/>
      <c r="I202" s="255">
        <f>SUMIFS('Livro Diario - FC'!$K$11:$K1028,'Livro Diario - FC'!$E$11:$E1028,$C$202,'Livro Diario - FC'!$D$11:$D1028,"&gt;=01/02"&amp;$C$7,'Livro Diario - FC'!$D$11:$D1028,"&lt;=29/02"&amp;$C$7)</f>
        <v>0</v>
      </c>
      <c r="J202" s="256">
        <f>SUMIFS('Livro Diario - FC'!$M$11:$M1028,'Livro Diario - FC'!$E$11:$E1028,$C$202,'Livro Diario - FC'!$D$11:$D1028,"&gt;=01/02"&amp;$C$7,'Livro Diario - FC'!$D$11:$D1028,"&lt;=29/02"&amp;$C$7)</f>
        <v>0</v>
      </c>
      <c r="K202" s="273"/>
      <c r="L202" s="258"/>
      <c r="M202" s="259"/>
      <c r="N202" s="255">
        <f>SUMIFS('Livro Diario - FC'!$K$11:$K1028,'Livro Diario - FC'!$E$11:$E1028,$C$202,'Livro Diario - FC'!$D$11:$D1028,"&gt;=01/03"&amp;$C$7,'Livro Diario - FC'!$D$11:$D1028,"&lt;=31/03"&amp;$C$7)</f>
        <v>0</v>
      </c>
      <c r="O202" s="256">
        <f>SUMIFS('Livro Diario - FC'!$M$11:$M1028,'Livro Diario - FC'!$E$11:$E1028,$C$202,'Livro Diario - FC'!$D$11:$D1028,"&gt;=01/03"&amp;$C$7,'Livro Diario - FC'!$D$11:$D1028,"&lt;=31/03"&amp;$C$7)</f>
        <v>0</v>
      </c>
      <c r="P202" s="273"/>
      <c r="Q202" s="258"/>
      <c r="R202" s="259"/>
      <c r="S202" s="255">
        <f>SUMIFS('Livro Diario - FC'!$K$11:$K1028,'Livro Diario - FC'!$E$11:$E1028,$C$202,'Livro Diario - FC'!$D$11:$D1028,"&gt;=01/04"&amp;$C$7,'Livro Diario - FC'!$D$11:$D1028,"&lt;=30/04"&amp;$C$7)</f>
        <v>0</v>
      </c>
      <c r="T202" s="256">
        <f>SUMIFS('Livro Diario - FC'!$M$11:$M1028,'Livro Diario - FC'!$E$11:$E1028,$C$202,'Livro Diario - FC'!$D$11:$D1028,"&gt;=01/04"&amp;$C$7,'Livro Diario - FC'!$D$11:$D1028,"&lt;=30/04"&amp;$C$7)</f>
        <v>0</v>
      </c>
      <c r="U202" s="273"/>
      <c r="V202" s="258"/>
      <c r="W202" s="259"/>
      <c r="X202" s="255">
        <f>SUMIFS('Livro Diario - FC'!$K$11:$K1028,'Livro Diario - FC'!$E$11:$E1028,$C$202,'Livro Diario - FC'!$D$11:$D1028,"&gt;=01/05"&amp;$C$7,'Livro Diario - FC'!$D$11:$D1028,"&lt;=31/05"&amp;$C$7)</f>
        <v>0</v>
      </c>
      <c r="Y202" s="256">
        <f>SUMIFS('Livro Diario - FC'!$M$11:$M1028,'Livro Diario - FC'!$E$11:$E1028,$C$202,'Livro Diario - FC'!$D$11:$D1028,"&gt;=01/05"&amp;$C$7,'Livro Diario - FC'!$D$11:$D1028,"&lt;=31/05"&amp;$C$7)</f>
        <v>0</v>
      </c>
      <c r="Z202" s="273"/>
      <c r="AA202" s="258"/>
      <c r="AB202" s="259"/>
      <c r="AC202" s="255">
        <f>SUMIFS('Livro Diario - FC'!$K$11:$K1028,'Livro Diario - FC'!$E$11:$E1028,$C$202,'Livro Diario - FC'!$D$11:$D1028,"&gt;=01/06"&amp;$C$7,'Livro Diario - FC'!$D$11:$D1028,"&lt;=30/06"&amp;$C$7)</f>
        <v>0</v>
      </c>
      <c r="AD202" s="256">
        <f>SUMIFS('Livro Diario - FC'!$M$11:$M1028,'Livro Diario - FC'!$E$11:$E1028,$C$202,'Livro Diario - FC'!$D$11:$D1028,"&gt;=01/06"&amp;$C$7,'Livro Diario - FC'!$D$11:$D1028,"&lt;=30/06"&amp;$C$7)</f>
        <v>0</v>
      </c>
      <c r="AE202" s="273"/>
      <c r="AF202" s="258"/>
      <c r="AG202" s="255">
        <f>SUMIFS('Livro Diario - FC'!$K$11:$K1028,'Livro Diario - FC'!$E$11:$E1028,$C$202,'Livro Diario - FC'!$D$11:$D1028,"&gt;=01/07"&amp;$C$7,'Livro Diario - FC'!$D$11:$D1028,"&lt;=31/07"&amp;$C$7)</f>
        <v>0</v>
      </c>
      <c r="AH202" s="256">
        <f>SUMIFS('Livro Diario - FC'!$M$11:$M1028,'Livro Diario - FC'!$E$11:$E1028,$C$202,'Livro Diario - FC'!$D$11:$D1028,"&gt;=01/07"&amp;$C$7,'Livro Diario - FC'!$D$11:$D1028,"&lt;=31/07"&amp;$C$7)</f>
        <v>0</v>
      </c>
      <c r="AI202" s="273"/>
      <c r="AJ202" s="258"/>
      <c r="AK202" s="255">
        <f>SUMIFS('Livro Diario - FC'!$K$11:$K1028,'Livro Diario - FC'!$E$11:$E1028,$C$202,'Livro Diario - FC'!$D$11:$D1028,"&gt;=01/08"&amp;$C$7,'Livro Diario - FC'!$D$11:$D1028,"&lt;=31/08"&amp;$C$7)</f>
        <v>0</v>
      </c>
      <c r="AL202" s="256">
        <f>SUMIFS('Livro Diario - FC'!$M$11:$M1028,'Livro Diario - FC'!$E$11:$E1028,$C$202,'Livro Diario - FC'!$D$11:$D1028,"&gt;=01/08"&amp;$C$7,'Livro Diario - FC'!$D$11:$D1028,"&lt;=31/08"&amp;$C$7)</f>
        <v>0</v>
      </c>
      <c r="AM202" s="273"/>
      <c r="AN202" s="258"/>
      <c r="AO202" s="255">
        <f>SUMIFS('Livro Diario - FC'!$K$11:$K1028,'Livro Diario - FC'!$E$11:$E1028,$C$202,'Livro Diario - FC'!$D$11:$D1028,"&gt;=01/09"&amp;$C$7,'Livro Diario - FC'!$D$11:$D1028,"&lt;=30/09"&amp;$C$7)</f>
        <v>0</v>
      </c>
      <c r="AP202" s="256">
        <f>SUMIFS('Livro Diario - FC'!$M$11:$M1028,'Livro Diario - FC'!$E$11:$E1028,$C$202,'Livro Diario - FC'!$D$11:$D1028,"&gt;=01/09"&amp;$C$7,'Livro Diario - FC'!$D$11:$D1028,"&lt;=30/09"&amp;$C$7)</f>
        <v>0</v>
      </c>
      <c r="AQ202" s="273"/>
      <c r="AR202" s="258"/>
      <c r="AS202" s="255">
        <f>SUMIFS('Livro Diario - FC'!$K$11:$K1028,'Livro Diario - FC'!$E$11:$E1028,$C$202,'Livro Diario - FC'!$D$11:$D1028,"&gt;=01/10"&amp;$C$7,'Livro Diario - FC'!$D$11:$D1028,"&lt;=31/10"&amp;$C$7)</f>
        <v>0</v>
      </c>
      <c r="AT202" s="256">
        <f>SUMIFS('Livro Diario - FC'!$M$11:$M1028,'Livro Diario - FC'!$E$11:$E1028,$C$202,'Livro Diario - FC'!$D$11:$D1028,"&gt;=01/10"&amp;$C$7,'Livro Diario - FC'!$D$11:$D1028,"&lt;=31/10"&amp;$C$7)</f>
        <v>0</v>
      </c>
      <c r="AU202" s="273"/>
      <c r="AV202" s="258"/>
      <c r="AW202" s="255">
        <f>SUMIFS('Livro Diario - FC'!$K$11:$K1028,'Livro Diario - FC'!$E$11:$E1028,$C$202,'Livro Diario - FC'!$D$11:$D1028,"&gt;=01/11"&amp;$C$7,'Livro Diario - FC'!$D$11:$D1028,"&lt;=30/11"&amp;$C$7)</f>
        <v>0</v>
      </c>
      <c r="AX202" s="256">
        <f>SUMIFS('Livro Diario - FC'!$M$11:$M1028,'Livro Diario - FC'!$E$11:$E1028,$C$202,'Livro Diario - FC'!$D$11:$D1028,"&gt;=01/11"&amp;$C$7,'Livro Diario - FC'!$D$11:$D1028,"&lt;=30/11"&amp;$C$7)</f>
        <v>0</v>
      </c>
      <c r="AY202" s="273"/>
      <c r="AZ202" s="258"/>
      <c r="BA202" s="255">
        <f>SUMIFS('Livro Diario - FC'!$K$11:$K1028,'Livro Diario - FC'!$E$11:$E1028,$C$202,'Livro Diario - FC'!$D$11:$D1028,"&gt;=01/12"&amp;$C$7,'Livro Diario - FC'!$D$11:$D1028,"&lt;=31/12"&amp;$C$7)</f>
        <v>0</v>
      </c>
      <c r="BB202" s="256">
        <f>SUMIFS('Livro Diario - FC'!$M$11:$M1028,'Livro Diario - FC'!$E$11:$E1028,$C$202,'Livro Diario - FC'!$D$11:$D1028,"&gt;=01/12"&amp;$C$7,'Livro Diario - FC'!$D$11:$D1028,"&lt;=31/12"&amp;$C$7)</f>
        <v>0</v>
      </c>
      <c r="BC202" s="273"/>
      <c r="BD202" s="273"/>
      <c r="BE202" s="267">
        <f t="shared" ref="BE202:BF202" si="303">SUM(D202,I202,N202,S202,X202,AC202,AG202,AK202,AO202,AS202,AW202,BA202)</f>
        <v>0</v>
      </c>
      <c r="BF202" s="268">
        <f t="shared" si="303"/>
        <v>0</v>
      </c>
      <c r="BG202" s="269"/>
      <c r="BH202" s="192"/>
      <c r="BI202" s="270">
        <f>SUMIFS('Livro Diario - FC'!$M$11:$M1028,'Livro Diario - FC'!$E$11:$E1028,C202,'Livro Diario - FC'!$D$11:$D1028,"&gt;="&amp;$BK$8,'Livro Diario - FC'!$D$11:$D1028,"&lt;="&amp;$BK$9)</f>
        <v>0</v>
      </c>
      <c r="BJ202" s="271"/>
      <c r="BK202" s="272"/>
      <c r="BL202" s="1"/>
    </row>
    <row r="203">
      <c r="A203" s="1"/>
      <c r="B203" s="1"/>
      <c r="C203" s="338" t="str">
        <f>'Livro Diario - FC'!AE212</f>
        <v/>
      </c>
      <c r="D203" s="255">
        <f>SUMIFS('Livro Diario - FC'!$K$11:$K1028,'Livro Diario - FC'!$E$11:$E1028,$C$203,'Livro Diario - FC'!$D$11:$D1028,"&gt;=01/01"&amp;$C$7,'Livro Diario - FC'!$D$11:$D1028,"&lt;=31/01"&amp;$C$7)</f>
        <v>0</v>
      </c>
      <c r="E203" s="256">
        <f>SUMIFS('Livro Diario - FC'!$M$11:$M1028,'Livro Diario - FC'!$E$11:$E1028,$C$203,'Livro Diario - FC'!$D$11:$D1028,"&gt;=01/01"&amp;$C$7,'Livro Diario - FC'!$D$11:$D1028,"&lt;=31/01"&amp;$C$7)</f>
        <v>0</v>
      </c>
      <c r="F203" s="273"/>
      <c r="G203" s="258"/>
      <c r="H203" s="157"/>
      <c r="I203" s="255">
        <f>SUMIFS('Livro Diario - FC'!$K$11:$K1028,'Livro Diario - FC'!$E$11:$E1028,$C$203,'Livro Diario - FC'!$D$11:$D1028,"&gt;=01/02"&amp;$C$7,'Livro Diario - FC'!$D$11:$D1028,"&lt;=29/02"&amp;$C$7)</f>
        <v>0</v>
      </c>
      <c r="J203" s="256">
        <f>SUMIFS('Livro Diario - FC'!$M$11:$M1028,'Livro Diario - FC'!$E$11:$E1028,$C$203,'Livro Diario - FC'!$D$11:$D1028,"&gt;=01/02"&amp;$C$7,'Livro Diario - FC'!$D$11:$D1028,"&lt;=29/02"&amp;$C$7)</f>
        <v>0</v>
      </c>
      <c r="K203" s="273"/>
      <c r="L203" s="258"/>
      <c r="M203" s="259"/>
      <c r="N203" s="255">
        <f>SUMIFS('Livro Diario - FC'!$K$11:$K1028,'Livro Diario - FC'!$E$11:$E1028,$C$203,'Livro Diario - FC'!$D$11:$D1028,"&gt;=01/03"&amp;$C$7,'Livro Diario - FC'!$D$11:$D1028,"&lt;=31/03"&amp;$C$7)</f>
        <v>0</v>
      </c>
      <c r="O203" s="256">
        <f>SUMIFS('Livro Diario - FC'!$M$11:$M1028,'Livro Diario - FC'!$E$11:$E1028,$C$203,'Livro Diario - FC'!$D$11:$D1028,"&gt;=01/03"&amp;$C$7,'Livro Diario - FC'!$D$11:$D1028,"&lt;=31/03"&amp;$C$7)</f>
        <v>0</v>
      </c>
      <c r="P203" s="273"/>
      <c r="Q203" s="258"/>
      <c r="R203" s="259"/>
      <c r="S203" s="255">
        <f>SUMIFS('Livro Diario - FC'!$K$11:$K1028,'Livro Diario - FC'!$E$11:$E1028,$C$203,'Livro Diario - FC'!$D$11:$D1028,"&gt;=01/04"&amp;$C$7,'Livro Diario - FC'!$D$11:$D1028,"&lt;=30/04"&amp;$C$7)</f>
        <v>0</v>
      </c>
      <c r="T203" s="256">
        <f>SUMIFS('Livro Diario - FC'!$M$11:$M1028,'Livro Diario - FC'!$E$11:$E1028,$C$203,'Livro Diario - FC'!$D$11:$D1028,"&gt;=01/04"&amp;$C$7,'Livro Diario - FC'!$D$11:$D1028,"&lt;=30/04"&amp;$C$7)</f>
        <v>0</v>
      </c>
      <c r="U203" s="273"/>
      <c r="V203" s="258"/>
      <c r="W203" s="259"/>
      <c r="X203" s="255">
        <f>SUMIFS('Livro Diario - FC'!$K$11:$K1028,'Livro Diario - FC'!$E$11:$E1028,$C$203,'Livro Diario - FC'!$D$11:$D1028,"&gt;=01/05"&amp;$C$7,'Livro Diario - FC'!$D$11:$D1028,"&lt;=31/05"&amp;$C$7)</f>
        <v>0</v>
      </c>
      <c r="Y203" s="256">
        <f>SUMIFS('Livro Diario - FC'!$M$11:$M1028,'Livro Diario - FC'!$E$11:$E1028,$C$203,'Livro Diario - FC'!$D$11:$D1028,"&gt;=01/05"&amp;$C$7,'Livro Diario - FC'!$D$11:$D1028,"&lt;=31/05"&amp;$C$7)</f>
        <v>0</v>
      </c>
      <c r="Z203" s="273"/>
      <c r="AA203" s="258"/>
      <c r="AB203" s="259"/>
      <c r="AC203" s="255">
        <f>SUMIFS('Livro Diario - FC'!$K$11:$K1028,'Livro Diario - FC'!$E$11:$E1028,$C$203,'Livro Diario - FC'!$D$11:$D1028,"&gt;=01/06"&amp;$C$7,'Livro Diario - FC'!$D$11:$D1028,"&lt;=30/06"&amp;$C$7)</f>
        <v>0</v>
      </c>
      <c r="AD203" s="256">
        <f>SUMIFS('Livro Diario - FC'!$M$11:$M1028,'Livro Diario - FC'!$E$11:$E1028,$C$203,'Livro Diario - FC'!$D$11:$D1028,"&gt;=01/06"&amp;$C$7,'Livro Diario - FC'!$D$11:$D1028,"&lt;=30/06"&amp;$C$7)</f>
        <v>0</v>
      </c>
      <c r="AE203" s="273"/>
      <c r="AF203" s="258"/>
      <c r="AG203" s="255">
        <f>SUMIFS('Livro Diario - FC'!$K$11:$K1028,'Livro Diario - FC'!$E$11:$E1028,$C$203,'Livro Diario - FC'!$D$11:$D1028,"&gt;=01/07"&amp;$C$7,'Livro Diario - FC'!$D$11:$D1028,"&lt;=31/07"&amp;$C$7)</f>
        <v>0</v>
      </c>
      <c r="AH203" s="256">
        <f>SUMIFS('Livro Diario - FC'!$M$11:$M1028,'Livro Diario - FC'!$E$11:$E1028,$C$203,'Livro Diario - FC'!$D$11:$D1028,"&gt;=01/07"&amp;$C$7,'Livro Diario - FC'!$D$11:$D1028,"&lt;=31/07"&amp;$C$7)</f>
        <v>0</v>
      </c>
      <c r="AI203" s="273"/>
      <c r="AJ203" s="258"/>
      <c r="AK203" s="255">
        <f>SUMIFS('Livro Diario - FC'!$K$11:$K1028,'Livro Diario - FC'!$E$11:$E1028,$C$203,'Livro Diario - FC'!$D$11:$D1028,"&gt;=01/08"&amp;$C$7,'Livro Diario - FC'!$D$11:$D1028,"&lt;=31/08"&amp;$C$7)</f>
        <v>0</v>
      </c>
      <c r="AL203" s="256">
        <f>SUMIFS('Livro Diario - FC'!$M$11:$M1028,'Livro Diario - FC'!$E$11:$E1028,$C$203,'Livro Diario - FC'!$D$11:$D1028,"&gt;=01/08"&amp;$C$7,'Livro Diario - FC'!$D$11:$D1028,"&lt;=31/08"&amp;$C$7)</f>
        <v>0</v>
      </c>
      <c r="AM203" s="273"/>
      <c r="AN203" s="258"/>
      <c r="AO203" s="255">
        <f>SUMIFS('Livro Diario - FC'!$K$11:$K1028,'Livro Diario - FC'!$E$11:$E1028,$C$203,'Livro Diario - FC'!$D$11:$D1028,"&gt;=01/09"&amp;$C$7,'Livro Diario - FC'!$D$11:$D1028,"&lt;=30/09"&amp;$C$7)</f>
        <v>0</v>
      </c>
      <c r="AP203" s="256">
        <f>SUMIFS('Livro Diario - FC'!$M$11:$M1028,'Livro Diario - FC'!$E$11:$E1028,$C$203,'Livro Diario - FC'!$D$11:$D1028,"&gt;=01/09"&amp;$C$7,'Livro Diario - FC'!$D$11:$D1028,"&lt;=30/09"&amp;$C$7)</f>
        <v>0</v>
      </c>
      <c r="AQ203" s="273"/>
      <c r="AR203" s="258"/>
      <c r="AS203" s="255">
        <f>SUMIFS('Livro Diario - FC'!$K$11:$K1028,'Livro Diario - FC'!$E$11:$E1028,$C$203,'Livro Diario - FC'!$D$11:$D1028,"&gt;=01/10"&amp;$C$7,'Livro Diario - FC'!$D$11:$D1028,"&lt;=31/10"&amp;$C$7)</f>
        <v>0</v>
      </c>
      <c r="AT203" s="256">
        <f>SUMIFS('Livro Diario - FC'!$M$11:$M1028,'Livro Diario - FC'!$E$11:$E1028,$C$203,'Livro Diario - FC'!$D$11:$D1028,"&gt;=01/10"&amp;$C$7,'Livro Diario - FC'!$D$11:$D1028,"&lt;=31/10"&amp;$C$7)</f>
        <v>0</v>
      </c>
      <c r="AU203" s="273"/>
      <c r="AV203" s="258"/>
      <c r="AW203" s="255">
        <f>SUMIFS('Livro Diario - FC'!$K$11:$K1028,'Livro Diario - FC'!$E$11:$E1028,$C$203,'Livro Diario - FC'!$D$11:$D1028,"&gt;=01/11"&amp;$C$7,'Livro Diario - FC'!$D$11:$D1028,"&lt;=30/11"&amp;$C$7)</f>
        <v>0</v>
      </c>
      <c r="AX203" s="256">
        <f>SUMIFS('Livro Diario - FC'!$M$11:$M1028,'Livro Diario - FC'!$E$11:$E1028,$C$203,'Livro Diario - FC'!$D$11:$D1028,"&gt;=01/11"&amp;$C$7,'Livro Diario - FC'!$D$11:$D1028,"&lt;=30/11"&amp;$C$7)</f>
        <v>0</v>
      </c>
      <c r="AY203" s="273"/>
      <c r="AZ203" s="258"/>
      <c r="BA203" s="255">
        <f>SUMIFS('Livro Diario - FC'!$K$11:$K1028,'Livro Diario - FC'!$E$11:$E1028,$C$203,'Livro Diario - FC'!$D$11:$D1028,"&gt;=01/12"&amp;$C$7,'Livro Diario - FC'!$D$11:$D1028,"&lt;=31/12"&amp;$C$7)</f>
        <v>0</v>
      </c>
      <c r="BB203" s="256">
        <f>SUMIFS('Livro Diario - FC'!$M$11:$M1028,'Livro Diario - FC'!$E$11:$E1028,$C$203,'Livro Diario - FC'!$D$11:$D1028,"&gt;=01/12"&amp;$C$7,'Livro Diario - FC'!$D$11:$D1028,"&lt;=31/12"&amp;$C$7)</f>
        <v>0</v>
      </c>
      <c r="BC203" s="273"/>
      <c r="BD203" s="273"/>
      <c r="BE203" s="267">
        <f t="shared" ref="BE203:BF203" si="304">SUM(D203,I203,N203,S203,X203,AC203,AG203,AK203,AO203,AS203,AW203,BA203)</f>
        <v>0</v>
      </c>
      <c r="BF203" s="268">
        <f t="shared" si="304"/>
        <v>0</v>
      </c>
      <c r="BG203" s="269"/>
      <c r="BH203" s="192"/>
      <c r="BI203" s="270">
        <f>SUMIFS('Livro Diario - FC'!$M$11:$M1028,'Livro Diario - FC'!$E$11:$E1028,C203,'Livro Diario - FC'!$D$11:$D1028,"&gt;="&amp;$BK$8,'Livro Diario - FC'!$D$11:$D1028,"&lt;="&amp;$BK$9)</f>
        <v>0</v>
      </c>
      <c r="BJ203" s="271"/>
      <c r="BK203" s="272"/>
      <c r="BL203" s="1"/>
    </row>
    <row r="204">
      <c r="A204" s="1"/>
      <c r="B204" s="1"/>
      <c r="C204" s="338" t="str">
        <f>'Livro Diario - FC'!AE213</f>
        <v/>
      </c>
      <c r="D204" s="255">
        <f>SUMIFS('Livro Diario - FC'!$K$11:$K1028,'Livro Diario - FC'!$E$11:$E1028,$C$204,'Livro Diario - FC'!$D$11:$D1028,"&gt;=01/01"&amp;$C$7,'Livro Diario - FC'!$D$11:$D1028,"&lt;=31/01"&amp;$C$7)</f>
        <v>0</v>
      </c>
      <c r="E204" s="256">
        <f>SUMIFS('Livro Diario - FC'!$M$11:$M1028,'Livro Diario - FC'!$E$11:$E1028,$C$204,'Livro Diario - FC'!$D$11:$D1028,"&gt;=01/01"&amp;$C$7,'Livro Diario - FC'!$D$11:$D1028,"&lt;=31/01"&amp;$C$7)</f>
        <v>0</v>
      </c>
      <c r="F204" s="273"/>
      <c r="G204" s="258"/>
      <c r="H204" s="157"/>
      <c r="I204" s="255">
        <f>SUMIFS('Livro Diario - FC'!$K$11:$K1028,'Livro Diario - FC'!$E$11:$E1028,$C$204,'Livro Diario - FC'!$D$11:$D1028,"&gt;=01/02"&amp;$C$7,'Livro Diario - FC'!$D$11:$D1028,"&lt;=29/02"&amp;$C$7)</f>
        <v>0</v>
      </c>
      <c r="J204" s="256">
        <f>SUMIFS('Livro Diario - FC'!$M$11:$M1028,'Livro Diario - FC'!$E$11:$E1028,$C$204,'Livro Diario - FC'!$D$11:$D1028,"&gt;=01/02"&amp;$C$7,'Livro Diario - FC'!$D$11:$D1028,"&lt;=29/02"&amp;$C$7)</f>
        <v>0</v>
      </c>
      <c r="K204" s="273"/>
      <c r="L204" s="258"/>
      <c r="M204" s="259"/>
      <c r="N204" s="255">
        <f>SUMIFS('Livro Diario - FC'!$K$11:$K1028,'Livro Diario - FC'!$E$11:$E1028,$C$204,'Livro Diario - FC'!$D$11:$D1028,"&gt;=01/03"&amp;$C$7,'Livro Diario - FC'!$D$11:$D1028,"&lt;=31/03"&amp;$C$7)</f>
        <v>0</v>
      </c>
      <c r="O204" s="256">
        <f>SUMIFS('Livro Diario - FC'!$M$11:$M1028,'Livro Diario - FC'!$E$11:$E1028,$C$204,'Livro Diario - FC'!$D$11:$D1028,"&gt;=01/03"&amp;$C$7,'Livro Diario - FC'!$D$11:$D1028,"&lt;=31/03"&amp;$C$7)</f>
        <v>0</v>
      </c>
      <c r="P204" s="273"/>
      <c r="Q204" s="258"/>
      <c r="R204" s="259"/>
      <c r="S204" s="255">
        <f>SUMIFS('Livro Diario - FC'!$K$11:$K1028,'Livro Diario - FC'!$E$11:$E1028,$C$204,'Livro Diario - FC'!$D$11:$D1028,"&gt;=01/04"&amp;$C$7,'Livro Diario - FC'!$D$11:$D1028,"&lt;=30/04"&amp;$C$7)</f>
        <v>0</v>
      </c>
      <c r="T204" s="256">
        <f>SUMIFS('Livro Diario - FC'!$M$11:$M1028,'Livro Diario - FC'!$E$11:$E1028,$C$204,'Livro Diario - FC'!$D$11:$D1028,"&gt;=01/04"&amp;$C$7,'Livro Diario - FC'!$D$11:$D1028,"&lt;=30/04"&amp;$C$7)</f>
        <v>0</v>
      </c>
      <c r="U204" s="273"/>
      <c r="V204" s="258"/>
      <c r="W204" s="259"/>
      <c r="X204" s="255">
        <f>SUMIFS('Livro Diario - FC'!$K$11:$K1028,'Livro Diario - FC'!$E$11:$E1028,$C$204,'Livro Diario - FC'!$D$11:$D1028,"&gt;=01/05"&amp;$C$7,'Livro Diario - FC'!$D$11:$D1028,"&lt;=31/05"&amp;$C$7)</f>
        <v>0</v>
      </c>
      <c r="Y204" s="256">
        <f>SUMIFS('Livro Diario - FC'!$M$11:$M1028,'Livro Diario - FC'!$E$11:$E1028,$C$204,'Livro Diario - FC'!$D$11:$D1028,"&gt;=01/05"&amp;$C$7,'Livro Diario - FC'!$D$11:$D1028,"&lt;=31/05"&amp;$C$7)</f>
        <v>0</v>
      </c>
      <c r="Z204" s="273"/>
      <c r="AA204" s="258"/>
      <c r="AB204" s="259"/>
      <c r="AC204" s="255">
        <f>SUMIFS('Livro Diario - FC'!$K$11:$K1028,'Livro Diario - FC'!$E$11:$E1028,$C$204,'Livro Diario - FC'!$D$11:$D1028,"&gt;=01/06"&amp;$C$7,'Livro Diario - FC'!$D$11:$D1028,"&lt;=30/06"&amp;$C$7)</f>
        <v>0</v>
      </c>
      <c r="AD204" s="256">
        <f>SUMIFS('Livro Diario - FC'!$M$11:$M1028,'Livro Diario - FC'!$E$11:$E1028,$C$204,'Livro Diario - FC'!$D$11:$D1028,"&gt;=01/06"&amp;$C$7,'Livro Diario - FC'!$D$11:$D1028,"&lt;=30/06"&amp;$C$7)</f>
        <v>0</v>
      </c>
      <c r="AE204" s="273"/>
      <c r="AF204" s="258"/>
      <c r="AG204" s="255">
        <f>SUMIFS('Livro Diario - FC'!$K$11:$K1028,'Livro Diario - FC'!$E$11:$E1028,$C$204,'Livro Diario - FC'!$D$11:$D1028,"&gt;=01/07"&amp;$C$7,'Livro Diario - FC'!$D$11:$D1028,"&lt;=31/07"&amp;$C$7)</f>
        <v>0</v>
      </c>
      <c r="AH204" s="256">
        <f>SUMIFS('Livro Diario - FC'!$M$11:$M1028,'Livro Diario - FC'!$E$11:$E1028,$C$204,'Livro Diario - FC'!$D$11:$D1028,"&gt;=01/07"&amp;$C$7,'Livro Diario - FC'!$D$11:$D1028,"&lt;=31/07"&amp;$C$7)</f>
        <v>0</v>
      </c>
      <c r="AI204" s="273"/>
      <c r="AJ204" s="258"/>
      <c r="AK204" s="255">
        <f>SUMIFS('Livro Diario - FC'!$K$11:$K1028,'Livro Diario - FC'!$E$11:$E1028,$C$204,'Livro Diario - FC'!$D$11:$D1028,"&gt;=01/08"&amp;$C$7,'Livro Diario - FC'!$D$11:$D1028,"&lt;=31/08"&amp;$C$7)</f>
        <v>0</v>
      </c>
      <c r="AL204" s="256">
        <f>SUMIFS('Livro Diario - FC'!$M$11:$M1028,'Livro Diario - FC'!$E$11:$E1028,$C$204,'Livro Diario - FC'!$D$11:$D1028,"&gt;=01/08"&amp;$C$7,'Livro Diario - FC'!$D$11:$D1028,"&lt;=31/08"&amp;$C$7)</f>
        <v>0</v>
      </c>
      <c r="AM204" s="273"/>
      <c r="AN204" s="258"/>
      <c r="AO204" s="255">
        <f>SUMIFS('Livro Diario - FC'!$K$11:$K1028,'Livro Diario - FC'!$E$11:$E1028,$C$204,'Livro Diario - FC'!$D$11:$D1028,"&gt;=01/09"&amp;$C$7,'Livro Diario - FC'!$D$11:$D1028,"&lt;=30/09"&amp;$C$7)</f>
        <v>0</v>
      </c>
      <c r="AP204" s="256">
        <f>SUMIFS('Livro Diario - FC'!$M$11:$M1028,'Livro Diario - FC'!$E$11:$E1028,$C$204,'Livro Diario - FC'!$D$11:$D1028,"&gt;=01/09"&amp;$C$7,'Livro Diario - FC'!$D$11:$D1028,"&lt;=30/09"&amp;$C$7)</f>
        <v>0</v>
      </c>
      <c r="AQ204" s="273"/>
      <c r="AR204" s="258"/>
      <c r="AS204" s="255">
        <f>SUMIFS('Livro Diario - FC'!$K$11:$K1028,'Livro Diario - FC'!$E$11:$E1028,$C$204,'Livro Diario - FC'!$D$11:$D1028,"&gt;=01/10"&amp;$C$7,'Livro Diario - FC'!$D$11:$D1028,"&lt;=31/10"&amp;$C$7)</f>
        <v>0</v>
      </c>
      <c r="AT204" s="256">
        <f>SUMIFS('Livro Diario - FC'!$M$11:$M1028,'Livro Diario - FC'!$E$11:$E1028,$C$204,'Livro Diario - FC'!$D$11:$D1028,"&gt;=01/10"&amp;$C$7,'Livro Diario - FC'!$D$11:$D1028,"&lt;=31/10"&amp;$C$7)</f>
        <v>0</v>
      </c>
      <c r="AU204" s="273"/>
      <c r="AV204" s="258"/>
      <c r="AW204" s="255">
        <f>SUMIFS('Livro Diario - FC'!$K$11:$K1028,'Livro Diario - FC'!$E$11:$E1028,$C$204,'Livro Diario - FC'!$D$11:$D1028,"&gt;=01/11"&amp;$C$7,'Livro Diario - FC'!$D$11:$D1028,"&lt;=30/11"&amp;$C$7)</f>
        <v>0</v>
      </c>
      <c r="AX204" s="256">
        <f>SUMIFS('Livro Diario - FC'!$M$11:$M1028,'Livro Diario - FC'!$E$11:$E1028,$C$204,'Livro Diario - FC'!$D$11:$D1028,"&gt;=01/11"&amp;$C$7,'Livro Diario - FC'!$D$11:$D1028,"&lt;=30/11"&amp;$C$7)</f>
        <v>0</v>
      </c>
      <c r="AY204" s="273"/>
      <c r="AZ204" s="258"/>
      <c r="BA204" s="255">
        <f>SUMIFS('Livro Diario - FC'!$K$11:$K1028,'Livro Diario - FC'!$E$11:$E1028,$C$204,'Livro Diario - FC'!$D$11:$D1028,"&gt;=01/12"&amp;$C$7,'Livro Diario - FC'!$D$11:$D1028,"&lt;=31/12"&amp;$C$7)</f>
        <v>0</v>
      </c>
      <c r="BB204" s="256">
        <f>SUMIFS('Livro Diario - FC'!$M$11:$M1028,'Livro Diario - FC'!$E$11:$E1028,$C$204,'Livro Diario - FC'!$D$11:$D1028,"&gt;=01/12"&amp;$C$7,'Livro Diario - FC'!$D$11:$D1028,"&lt;=31/12"&amp;$C$7)</f>
        <v>0</v>
      </c>
      <c r="BC204" s="273"/>
      <c r="BD204" s="273"/>
      <c r="BE204" s="267">
        <f t="shared" ref="BE204:BF204" si="305">SUM(D204,I204,N204,S204,X204,AC204,AG204,AK204,AO204,AS204,AW204,BA204)</f>
        <v>0</v>
      </c>
      <c r="BF204" s="268">
        <f t="shared" si="305"/>
        <v>0</v>
      </c>
      <c r="BG204" s="269"/>
      <c r="BH204" s="192"/>
      <c r="BI204" s="270">
        <f>SUMIFS('Livro Diario - FC'!$M$11:$M1028,'Livro Diario - FC'!$E$11:$E1028,C204,'Livro Diario - FC'!$D$11:$D1028,"&gt;="&amp;$BK$8,'Livro Diario - FC'!$D$11:$D1028,"&lt;="&amp;$BK$9)</f>
        <v>0</v>
      </c>
      <c r="BJ204" s="271"/>
      <c r="BK204" s="272"/>
      <c r="BL204" s="1"/>
    </row>
    <row r="205">
      <c r="A205" s="1"/>
      <c r="B205" s="1"/>
      <c r="C205" s="338" t="str">
        <f>'Livro Diario - FC'!AE214</f>
        <v/>
      </c>
      <c r="D205" s="255">
        <f>SUMIFS('Livro Diario - FC'!$K$11:$K1028,'Livro Diario - FC'!$E$11:$E1028,$C$205,'Livro Diario - FC'!$D$11:$D1028,"&gt;=01/01"&amp;$C$7,'Livro Diario - FC'!$D$11:$D1028,"&lt;=31/01"&amp;$C$7)</f>
        <v>0</v>
      </c>
      <c r="E205" s="256">
        <f>SUMIFS('Livro Diario - FC'!$M$11:$M1028,'Livro Diario - FC'!$E$11:$E1028,$C$205,'Livro Diario - FC'!$D$11:$D1028,"&gt;=01/01"&amp;$C$7,'Livro Diario - FC'!$D$11:$D1028,"&lt;=31/01"&amp;$C$7)</f>
        <v>0</v>
      </c>
      <c r="F205" s="273"/>
      <c r="G205" s="258"/>
      <c r="H205" s="157"/>
      <c r="I205" s="255">
        <f>SUMIFS('Livro Diario - FC'!$K$11:$K1028,'Livro Diario - FC'!$E$11:$E1028,$C$205,'Livro Diario - FC'!$D$11:$D1028,"&gt;=01/02"&amp;$C$7,'Livro Diario - FC'!$D$11:$D1028,"&lt;=29/02"&amp;$C$7)</f>
        <v>0</v>
      </c>
      <c r="J205" s="256">
        <f>SUMIFS('Livro Diario - FC'!$M$11:$M1028,'Livro Diario - FC'!$E$11:$E1028,$C$205,'Livro Diario - FC'!$D$11:$D1028,"&gt;=01/02"&amp;$C$7,'Livro Diario - FC'!$D$11:$D1028,"&lt;=29/02"&amp;$C$7)</f>
        <v>0</v>
      </c>
      <c r="K205" s="273"/>
      <c r="L205" s="258"/>
      <c r="M205" s="259"/>
      <c r="N205" s="255">
        <f>SUMIFS('Livro Diario - FC'!$K$11:$K1028,'Livro Diario - FC'!$E$11:$E1028,$C$205,'Livro Diario - FC'!$D$11:$D1028,"&gt;=01/03"&amp;$C$7,'Livro Diario - FC'!$D$11:$D1028,"&lt;=31/03"&amp;$C$7)</f>
        <v>0</v>
      </c>
      <c r="O205" s="256">
        <f>SUMIFS('Livro Diario - FC'!$M$11:$M1028,'Livro Diario - FC'!$E$11:$E1028,$C$205,'Livro Diario - FC'!$D$11:$D1028,"&gt;=01/03"&amp;$C$7,'Livro Diario - FC'!$D$11:$D1028,"&lt;=31/03"&amp;$C$7)</f>
        <v>0</v>
      </c>
      <c r="P205" s="273"/>
      <c r="Q205" s="258"/>
      <c r="R205" s="259"/>
      <c r="S205" s="255">
        <f>SUMIFS('Livro Diario - FC'!$K$11:$K1028,'Livro Diario - FC'!$E$11:$E1028,$C$205,'Livro Diario - FC'!$D$11:$D1028,"&gt;=01/04"&amp;$C$7,'Livro Diario - FC'!$D$11:$D1028,"&lt;=30/04"&amp;$C$7)</f>
        <v>0</v>
      </c>
      <c r="T205" s="256">
        <f>SUMIFS('Livro Diario - FC'!$M$11:$M1028,'Livro Diario - FC'!$E$11:$E1028,$C$205,'Livro Diario - FC'!$D$11:$D1028,"&gt;=01/04"&amp;$C$7,'Livro Diario - FC'!$D$11:$D1028,"&lt;=30/04"&amp;$C$7)</f>
        <v>0</v>
      </c>
      <c r="U205" s="273"/>
      <c r="V205" s="258"/>
      <c r="W205" s="259"/>
      <c r="X205" s="255">
        <f>SUMIFS('Livro Diario - FC'!$K$11:$K1028,'Livro Diario - FC'!$E$11:$E1028,$C$205,'Livro Diario - FC'!$D$11:$D1028,"&gt;=01/05"&amp;$C$7,'Livro Diario - FC'!$D$11:$D1028,"&lt;=31/05"&amp;$C$7)</f>
        <v>0</v>
      </c>
      <c r="Y205" s="256">
        <f>SUMIFS('Livro Diario - FC'!$M$11:$M1028,'Livro Diario - FC'!$E$11:$E1028,$C$205,'Livro Diario - FC'!$D$11:$D1028,"&gt;=01/05"&amp;$C$7,'Livro Diario - FC'!$D$11:$D1028,"&lt;=31/05"&amp;$C$7)</f>
        <v>0</v>
      </c>
      <c r="Z205" s="273"/>
      <c r="AA205" s="258"/>
      <c r="AB205" s="259"/>
      <c r="AC205" s="255">
        <f>SUMIFS('Livro Diario - FC'!$K$11:$K1028,'Livro Diario - FC'!$E$11:$E1028,$C$205,'Livro Diario - FC'!$D$11:$D1028,"&gt;=01/06"&amp;$C$7,'Livro Diario - FC'!$D$11:$D1028,"&lt;=30/06"&amp;$C$7)</f>
        <v>0</v>
      </c>
      <c r="AD205" s="256">
        <f>SUMIFS('Livro Diario - FC'!$M$11:$M1028,'Livro Diario - FC'!$E$11:$E1028,$C$205,'Livro Diario - FC'!$D$11:$D1028,"&gt;=01/06"&amp;$C$7,'Livro Diario - FC'!$D$11:$D1028,"&lt;=30/06"&amp;$C$7)</f>
        <v>0</v>
      </c>
      <c r="AE205" s="273"/>
      <c r="AF205" s="258"/>
      <c r="AG205" s="255">
        <f>SUMIFS('Livro Diario - FC'!$K$11:$K1028,'Livro Diario - FC'!$E$11:$E1028,$C$205,'Livro Diario - FC'!$D$11:$D1028,"&gt;=01/07"&amp;$C$7,'Livro Diario - FC'!$D$11:$D1028,"&lt;=31/07"&amp;$C$7)</f>
        <v>0</v>
      </c>
      <c r="AH205" s="256">
        <f>SUMIFS('Livro Diario - FC'!$M$11:$M1028,'Livro Diario - FC'!$E$11:$E1028,$C$205,'Livro Diario - FC'!$D$11:$D1028,"&gt;=01/07"&amp;$C$7,'Livro Diario - FC'!$D$11:$D1028,"&lt;=31/07"&amp;$C$7)</f>
        <v>0</v>
      </c>
      <c r="AI205" s="273"/>
      <c r="AJ205" s="258"/>
      <c r="AK205" s="255">
        <f>SUMIFS('Livro Diario - FC'!$K$11:$K1028,'Livro Diario - FC'!$E$11:$E1028,$C$205,'Livro Diario - FC'!$D$11:$D1028,"&gt;=01/08"&amp;$C$7,'Livro Diario - FC'!$D$11:$D1028,"&lt;=31/08"&amp;$C$7)</f>
        <v>0</v>
      </c>
      <c r="AL205" s="256">
        <f>SUMIFS('Livro Diario - FC'!$M$11:$M1028,'Livro Diario - FC'!$E$11:$E1028,$C$205,'Livro Diario - FC'!$D$11:$D1028,"&gt;=01/08"&amp;$C$7,'Livro Diario - FC'!$D$11:$D1028,"&lt;=31/08"&amp;$C$7)</f>
        <v>0</v>
      </c>
      <c r="AM205" s="273"/>
      <c r="AN205" s="258"/>
      <c r="AO205" s="255">
        <f>SUMIFS('Livro Diario - FC'!$K$11:$K1028,'Livro Diario - FC'!$E$11:$E1028,$C$205,'Livro Diario - FC'!$D$11:$D1028,"&gt;=01/09"&amp;$C$7,'Livro Diario - FC'!$D$11:$D1028,"&lt;=30/09"&amp;$C$7)</f>
        <v>0</v>
      </c>
      <c r="AP205" s="256">
        <f>SUMIFS('Livro Diario - FC'!$M$11:$M1028,'Livro Diario - FC'!$E$11:$E1028,$C$205,'Livro Diario - FC'!$D$11:$D1028,"&gt;=01/09"&amp;$C$7,'Livro Diario - FC'!$D$11:$D1028,"&lt;=30/09"&amp;$C$7)</f>
        <v>0</v>
      </c>
      <c r="AQ205" s="273"/>
      <c r="AR205" s="258"/>
      <c r="AS205" s="255">
        <f>SUMIFS('Livro Diario - FC'!$K$11:$K1028,'Livro Diario - FC'!$E$11:$E1028,$C$205,'Livro Diario - FC'!$D$11:$D1028,"&gt;=01/10"&amp;$C$7,'Livro Diario - FC'!$D$11:$D1028,"&lt;=31/10"&amp;$C$7)</f>
        <v>0</v>
      </c>
      <c r="AT205" s="256">
        <f>SUMIFS('Livro Diario - FC'!$M$11:$M1028,'Livro Diario - FC'!$E$11:$E1028,$C$205,'Livro Diario - FC'!$D$11:$D1028,"&gt;=01/10"&amp;$C$7,'Livro Diario - FC'!$D$11:$D1028,"&lt;=31/10"&amp;$C$7)</f>
        <v>0</v>
      </c>
      <c r="AU205" s="273"/>
      <c r="AV205" s="258"/>
      <c r="AW205" s="255">
        <f>SUMIFS('Livro Diario - FC'!$K$11:$K1028,'Livro Diario - FC'!$E$11:$E1028,$C$205,'Livro Diario - FC'!$D$11:$D1028,"&gt;=01/11"&amp;$C$7,'Livro Diario - FC'!$D$11:$D1028,"&lt;=30/11"&amp;$C$7)</f>
        <v>0</v>
      </c>
      <c r="AX205" s="256">
        <f>SUMIFS('Livro Diario - FC'!$M$11:$M1028,'Livro Diario - FC'!$E$11:$E1028,$C$205,'Livro Diario - FC'!$D$11:$D1028,"&gt;=01/11"&amp;$C$7,'Livro Diario - FC'!$D$11:$D1028,"&lt;=30/11"&amp;$C$7)</f>
        <v>0</v>
      </c>
      <c r="AY205" s="273"/>
      <c r="AZ205" s="258"/>
      <c r="BA205" s="255">
        <f>SUMIFS('Livro Diario - FC'!$K$11:$K1028,'Livro Diario - FC'!$E$11:$E1028,$C$205,'Livro Diario - FC'!$D$11:$D1028,"&gt;=01/12"&amp;$C$7,'Livro Diario - FC'!$D$11:$D1028,"&lt;=31/12"&amp;$C$7)</f>
        <v>0</v>
      </c>
      <c r="BB205" s="256">
        <f>SUMIFS('Livro Diario - FC'!$M$11:$M1028,'Livro Diario - FC'!$E$11:$E1028,$C$205,'Livro Diario - FC'!$D$11:$D1028,"&gt;=01/12"&amp;$C$7,'Livro Diario - FC'!$D$11:$D1028,"&lt;=31/12"&amp;$C$7)</f>
        <v>0</v>
      </c>
      <c r="BC205" s="273"/>
      <c r="BD205" s="273"/>
      <c r="BE205" s="341">
        <f t="shared" ref="BE205:BF205" si="306">SUM(D205,I205,N205,S205,X205,AC205,AG205,AK205,AO205,AS205,AW205,BA205)</f>
        <v>0</v>
      </c>
      <c r="BF205" s="342">
        <f t="shared" si="306"/>
        <v>0</v>
      </c>
      <c r="BG205" s="343"/>
      <c r="BH205" s="344"/>
      <c r="BI205" s="270">
        <f>SUMIFS('Livro Diario - FC'!$M$11:$M1028,'Livro Diario - FC'!$E$11:$E1028,C205,'Livro Diario - FC'!$D$11:$D1028,"&gt;="&amp;$BK$8,'Livro Diario - FC'!$D$11:$D1028,"&lt;="&amp;$BK$9)</f>
        <v>0</v>
      </c>
      <c r="BJ205" s="271"/>
      <c r="BK205" s="345"/>
      <c r="BL205" s="146"/>
    </row>
    <row r="206">
      <c r="A206" s="1"/>
      <c r="B206" s="40"/>
      <c r="C206" s="322" t="s">
        <v>361</v>
      </c>
      <c r="D206" s="323">
        <f>SUMIFS('Livro Diario - FC'!$J$11:$J1028,'Livro Diario - FC'!$E$11:$E1028,$C$206,'Livro Diario - FC'!$D$11:$D1028,"&gt;=01/01"&amp;$C$7,'Livro Diario - FC'!$D$11:$D1028,"&lt;=31/01"&amp;$C$7)+SUM(D207:D242)</f>
        <v>487.11</v>
      </c>
      <c r="E206" s="324">
        <f>SUMIFS('Livro Diario - FC'!$L$11:$L1028,'Livro Diario - FC'!$E$11:$E1028,$C$206,'Livro Diario - FC'!$D$11:$D1028,"&gt;=01/01"&amp;$C$7,'Livro Diario - FC'!$D$11:$D1028,"&lt;=31/01"&amp;$C$7)+SUM(E207:E242)</f>
        <v>487.11</v>
      </c>
      <c r="F206" s="325">
        <f>IF(E$11=0,"",E206/E$11)</f>
        <v>0.06282291035</v>
      </c>
      <c r="G206" s="326"/>
      <c r="H206" s="327"/>
      <c r="I206" s="323">
        <f>SUMIFS('Livro Diario - FC'!$J$11:$J1028,'Livro Diario - FC'!$E$11:$E1028,$C$206,'Livro Diario - FC'!$D$11:$D1028,"&gt;=01/02"&amp;$C$7,'Livro Diario - FC'!$D$11:$D1028,"&lt;=29/02"&amp;$C$7)+SUM(I207:I242)</f>
        <v>0</v>
      </c>
      <c r="J206" s="324">
        <f>SUMIFS('Livro Diario - FC'!$L$11:$L1028,'Livro Diario - FC'!$E$11:$E1028,$C$206,'Livro Diario - FC'!$D$11:$D1028,"&gt;=01/02"&amp;$C$7,'Livro Diario - FC'!$D$11:$D1028,"&lt;=29/02"&amp;$C$7)+SUM(J207:J242)</f>
        <v>0</v>
      </c>
      <c r="K206" s="325" t="str">
        <f>IF(J$11=0,"",J206/J$11)</f>
        <v/>
      </c>
      <c r="L206" s="326"/>
      <c r="M206" s="328"/>
      <c r="N206" s="323">
        <f>SUMIFS('Livro Diario - FC'!$J$11:$J1028,'Livro Diario - FC'!$E$11:$E1028,$C$206,'Livro Diario - FC'!$D$11:$D1028,"&gt;=01/03"&amp;$C$7,'Livro Diario - FC'!$D$11:$D1028,"&lt;=31/03"&amp;$C$7)+SUM(N207:N242)</f>
        <v>0</v>
      </c>
      <c r="O206" s="324">
        <f>SUMIFS('Livro Diario - FC'!$L$11:$L1028,'Livro Diario - FC'!$E$11:$E1028,$C$206,'Livro Diario - FC'!$D$11:$D1028,"&gt;=01/03"&amp;$C$7,'Livro Diario - FC'!$D$11:$D1028,"&lt;=31/03"&amp;$C$7)+SUM(O207:O242)</f>
        <v>0</v>
      </c>
      <c r="P206" s="325" t="str">
        <f>IF(O$11=0,"",O206/O$11)</f>
        <v/>
      </c>
      <c r="Q206" s="326"/>
      <c r="R206" s="328"/>
      <c r="S206" s="323">
        <f>SUMIFS('Livro Diario - FC'!$J$11:$J1028,'Livro Diario - FC'!$E$11:$E1028,$C$206,'Livro Diario - FC'!$D$11:$D1028,"&gt;=01/04"&amp;$C$7,'Livro Diario - FC'!$D$11:$D1028,"&lt;=30/04"&amp;$C$7)+SUM(S207:S242)</f>
        <v>0</v>
      </c>
      <c r="T206" s="324">
        <f>SUMIFS('Livro Diario - FC'!$L$11:$L1028,'Livro Diario - FC'!$E$11:$E1028,$C$206,'Livro Diario - FC'!$D$11:$D1028,"&gt;=01/04"&amp;$C$7,'Livro Diario - FC'!$D$11:$D1028,"&lt;=30/04"&amp;$C$7)+SUM(T207:T242)</f>
        <v>0</v>
      </c>
      <c r="U206" s="325" t="str">
        <f>IF(T$11=0,"",T206/T$11)</f>
        <v/>
      </c>
      <c r="V206" s="326"/>
      <c r="W206" s="328"/>
      <c r="X206" s="323">
        <f>SUMIFS('Livro Diario - FC'!$J$11:$J1028,'Livro Diario - FC'!$E$11:$E1028,$C$206,'Livro Diario - FC'!$D$11:$D1028,"&gt;=01/05"&amp;$C$7,'Livro Diario - FC'!$D$11:$D1028,"&lt;=31/05"&amp;$C$7)+SUM(X207:X242)</f>
        <v>0</v>
      </c>
      <c r="Y206" s="324">
        <f>SUMIFS('Livro Diario - FC'!$L$11:$L1028,'Livro Diario - FC'!$E$11:$E1028,$C$206,'Livro Diario - FC'!$D$11:$D1028,"&gt;=01/05"&amp;$C$7,'Livro Diario - FC'!$D$11:$D1028,"&lt;=31/05"&amp;$C$7)+SUM(Y207:Y242)</f>
        <v>0</v>
      </c>
      <c r="Z206" s="325" t="str">
        <f>IF(Y$11=0,"",Y206/Y$11)</f>
        <v/>
      </c>
      <c r="AA206" s="326"/>
      <c r="AB206" s="328"/>
      <c r="AC206" s="323">
        <f>SUMIFS('Livro Diario - FC'!$J$11:$J1028,'Livro Diario - FC'!$E$11:$E1028,$C$206,'Livro Diario - FC'!$D$11:$D1028,"&gt;=01/06"&amp;$C$7,'Livro Diario - FC'!$D$11:$D1028,"&lt;=30/06"&amp;$C$7)+SUM(AC207:AC242)</f>
        <v>0</v>
      </c>
      <c r="AD206" s="324">
        <f>SUMIFS('Livro Diario - FC'!$L$11:$L1028,'Livro Diario - FC'!$E$11:$E1028,$C$206,'Livro Diario - FC'!$D$11:$D1028,"&gt;=01/06"&amp;$C$7,'Livro Diario - FC'!$D$11:$D1028,"&lt;=30/06"&amp;$C$7)+SUM(AD207:AD242)</f>
        <v>0</v>
      </c>
      <c r="AE206" s="325" t="str">
        <f>IF(AD$11=0,"",AD206/AD$11)</f>
        <v/>
      </c>
      <c r="AF206" s="326"/>
      <c r="AG206" s="323">
        <f>SUMIFS('Livro Diario - FC'!$J$11:$J1028,'Livro Diario - FC'!$E$11:$E1028,$C$206,'Livro Diario - FC'!$D$11:$D1028,"&gt;=01/07"&amp;$C$7,'Livro Diario - FC'!$D$11:$D1028,"&lt;=31/07"&amp;$C$7)+SUM(AG207:AG242)</f>
        <v>0</v>
      </c>
      <c r="AH206" s="324">
        <f>SUMIFS('Livro Diario - FC'!$L$11:$L1028,'Livro Diario - FC'!$E$11:$E1028,$C$206,'Livro Diario - FC'!$D$11:$D1028,"&gt;=01/07"&amp;$C$7,'Livro Diario - FC'!$D$11:$D1028,"&lt;=31/07"&amp;$C$7)+SUM(AH207:AH242)</f>
        <v>0</v>
      </c>
      <c r="AI206" s="325" t="str">
        <f>IF(AH$11=0,"",AH206/AH$11)</f>
        <v/>
      </c>
      <c r="AJ206" s="326"/>
      <c r="AK206" s="323">
        <f>SUMIFS('Livro Diario - FC'!$J$11:$J1028,'Livro Diario - FC'!$E$11:$E1028,$C$206,'Livro Diario - FC'!$D$11:$D1028,"&gt;=01/08"&amp;$C$7,'Livro Diario - FC'!$D$11:$D1028,"&lt;=31/08"&amp;$C$7)+SUM(AK207:AK242)</f>
        <v>0</v>
      </c>
      <c r="AL206" s="324">
        <f>SUMIFS('Livro Diario - FC'!$L$11:$L1028,'Livro Diario - FC'!$E$11:$E1028,$C$206,'Livro Diario - FC'!$D$11:$D1028,"&gt;=01/08"&amp;$C$7,'Livro Diario - FC'!$D$11:$D1028,"&lt;=31/08"&amp;$C$7)+SUM(AL207:AL242)</f>
        <v>0</v>
      </c>
      <c r="AM206" s="325" t="str">
        <f>IF(AL$11=0,"",AL206/AL$11)</f>
        <v/>
      </c>
      <c r="AN206" s="326"/>
      <c r="AO206" s="323">
        <f>SUMIFS('Livro Diario - FC'!$J$11:$J1028,'Livro Diario - FC'!$E$11:$E1028,$C$206,'Livro Diario - FC'!$D$11:$D1028,"&gt;=01/09"&amp;$C$7,'Livro Diario - FC'!$D$11:$D1028,"&lt;=30/09"&amp;$C$7)+SUM(AO207:AO242)</f>
        <v>0</v>
      </c>
      <c r="AP206" s="324">
        <f>SUMIFS('Livro Diario - FC'!$L$11:$L1028,'Livro Diario - FC'!$E$11:$E1028,$C$206,'Livro Diario - FC'!$D$11:$D1028,"&gt;=01/09"&amp;$C$7,'Livro Diario - FC'!$D$11:$D1028,"&lt;=30/09"&amp;$C$7)+SUM(AP207:AP242)</f>
        <v>0</v>
      </c>
      <c r="AQ206" s="325" t="str">
        <f>IF(AP$11=0,"",AP206/AP$11)</f>
        <v/>
      </c>
      <c r="AR206" s="326"/>
      <c r="AS206" s="323">
        <f>SUMIFS('Livro Diario - FC'!$J$11:$J1028,'Livro Diario - FC'!$E$11:$E1028,$C$206,'Livro Diario - FC'!$D$11:$D1028,"&gt;=01/10"&amp;$C$7,'Livro Diario - FC'!$D$11:$D1028,"&lt;=31/10"&amp;$C$7)+SUM(AS207:AS242)</f>
        <v>0</v>
      </c>
      <c r="AT206" s="324">
        <f>SUMIFS('Livro Diario - FC'!$L$11:$L1028,'Livro Diario - FC'!$E$11:$E1028,$C$206,'Livro Diario - FC'!$D$11:$D1028,"&gt;=01/10"&amp;$C$7,'Livro Diario - FC'!$D$11:$D1028,"&lt;=31/10"&amp;$C$7)+SUM(AT207:AT242)</f>
        <v>0</v>
      </c>
      <c r="AU206" s="325" t="str">
        <f>IF(AT$11=0,"",AT206/AT$11)</f>
        <v/>
      </c>
      <c r="AV206" s="326"/>
      <c r="AW206" s="323">
        <f>SUMIFS('Livro Diario - FC'!$J$11:$J1028,'Livro Diario - FC'!$E$11:$E1028,$C$206,'Livro Diario - FC'!$D$11:$D1028,"&gt;=01/11"&amp;$C$7,'Livro Diario - FC'!$D$11:$D1028,"&lt;=30/11"&amp;$C$7)+SUM(AW207:AW242)</f>
        <v>0</v>
      </c>
      <c r="AX206" s="324">
        <f>SUMIFS('Livro Diario - FC'!$L$11:$L1028,'Livro Diario - FC'!$E$11:$E1028,$C$206,'Livro Diario - FC'!$D$11:$D1028,"&gt;=01/11"&amp;$C$7,'Livro Diario - FC'!$D$11:$D1028,"&lt;=30/11"&amp;$C$7)+SUM(AX207:AX242)</f>
        <v>0</v>
      </c>
      <c r="AY206" s="325" t="str">
        <f>IF(AX$11=0,"",AX206/AX$11)</f>
        <v/>
      </c>
      <c r="AZ206" s="326"/>
      <c r="BA206" s="323">
        <f>SUMIFS('Livro Diario - FC'!$J$11:$J1028,'Livro Diario - FC'!$E$11:$E1028,$C$206,'Livro Diario - FC'!$D$11:$D1028,"&gt;=01/12"&amp;$C$7,'Livro Diario - FC'!$D$11:$D1028,"&lt;=31/12"&amp;$C$7)+SUM(BA207:BA242)</f>
        <v>0</v>
      </c>
      <c r="BB206" s="324">
        <f>SUMIFS('Livro Diario - FC'!$L$11:$L1028,'Livro Diario - FC'!$E$11:$E1028,$C$206,'Livro Diario - FC'!$D$11:$D1028,"&gt;=01/12"&amp;$C$7,'Livro Diario - FC'!$D$11:$D1028,"&lt;=31/12"&amp;$C$7)+SUM(BB207:BB242)</f>
        <v>0</v>
      </c>
      <c r="BC206" s="325" t="str">
        <f>IF(BB$11=0,"",BB206/BB$11)</f>
        <v/>
      </c>
      <c r="BD206" s="329"/>
      <c r="BE206" s="330">
        <f t="shared" ref="BE206:BF206" si="307">SUM(D206,I206,N206,S206,X206,AC206,AG206,AK206,AO206,AS206,AW206,BA206)</f>
        <v>487.11</v>
      </c>
      <c r="BF206" s="331">
        <f t="shared" si="307"/>
        <v>487.11</v>
      </c>
      <c r="BG206" s="332"/>
      <c r="BH206" s="333"/>
      <c r="BI206" s="334">
        <f>SUMIFS('Livro Diario - FC'!$M$11:$M1028,'Livro Diario - FC'!$E$11:$E1028,C206,'Livro Diario - FC'!$D$11:$D1028,"&gt;="&amp;$BK$8,'Livro Diario - FC'!$D$11:$D1028,"&lt;="&amp;$BK$9)+SUM(BI207:BI248)</f>
        <v>0</v>
      </c>
      <c r="BJ206" s="335"/>
      <c r="BK206" s="336"/>
      <c r="BL206" s="337"/>
    </row>
    <row r="207">
      <c r="A207" s="1"/>
      <c r="B207" s="1"/>
      <c r="C207" s="338" t="str">
        <f>'Livro Diario - FC'!AE216</f>
        <v>Pote 140</v>
      </c>
      <c r="D207" s="255">
        <f>SUMIFS('Livro Diario - FC'!$K$11:$K1028,'Livro Diario - FC'!$E$11:$E1028,$C$207,'Livro Diario - FC'!$D$11:$D1028,"&gt;=01/01"&amp;$C$7,'Livro Diario - FC'!$D$11:$D1028,"&lt;=31/01"&amp;$C$7)</f>
        <v>0</v>
      </c>
      <c r="E207" s="256">
        <f>SUMIFS('Livro Diario - FC'!$M$11:$M1028,'Livro Diario - FC'!$E$11:$E1028,$C$207,'Livro Diario - FC'!$D$11:$D1028,"&gt;=01/01"&amp;$C$7,'Livro Diario - FC'!$D$11:$D1028,"&lt;=31/01"&amp;$C$7)</f>
        <v>0</v>
      </c>
      <c r="F207" s="273"/>
      <c r="G207" s="258"/>
      <c r="H207" s="157"/>
      <c r="I207" s="255">
        <f>SUMIFS('Livro Diario - FC'!$K$11:$K1028,'Livro Diario - FC'!$E$11:$E1028,$C$207,'Livro Diario - FC'!$D$11:$D1028,"&gt;=01/02"&amp;$C$7,'Livro Diario - FC'!$D$11:$D1028,"&lt;=29/02"&amp;$C$7)</f>
        <v>0</v>
      </c>
      <c r="J207" s="256">
        <f>SUMIFS('Livro Diario - FC'!$M$11:$M1028,'Livro Diario - FC'!$E$11:$E1028,$C$207,'Livro Diario - FC'!$D$11:$D1028,"&gt;=01/02"&amp;$C$7,'Livro Diario - FC'!$D$11:$D1028,"&lt;=29/02"&amp;$C$7)</f>
        <v>0</v>
      </c>
      <c r="K207" s="273"/>
      <c r="L207" s="258"/>
      <c r="M207" s="259"/>
      <c r="N207" s="255">
        <f>SUMIFS('Livro Diario - FC'!$K$11:$K1028,'Livro Diario - FC'!$E$11:$E1028,$C$207,'Livro Diario - FC'!$D$11:$D1028,"&gt;=01/03"&amp;$C$7,'Livro Diario - FC'!$D$11:$D1028,"&lt;=31/03"&amp;$C$7)</f>
        <v>0</v>
      </c>
      <c r="O207" s="256">
        <f>SUMIFS('Livro Diario - FC'!$M$11:$M1028,'Livro Diario - FC'!$E$11:$E1028,$C$207,'Livro Diario - FC'!$D$11:$D1028,"&gt;=01/03"&amp;$C$7,'Livro Diario - FC'!$D$11:$D1028,"&lt;=31/03"&amp;$C$7)</f>
        <v>0</v>
      </c>
      <c r="P207" s="273"/>
      <c r="Q207" s="258"/>
      <c r="R207" s="259"/>
      <c r="S207" s="255">
        <f>SUMIFS('Livro Diario - FC'!$K$11:$K1028,'Livro Diario - FC'!$E$11:$E1028,$C$207,'Livro Diario - FC'!$D$11:$D1028,"&gt;=01/04"&amp;$C$7,'Livro Diario - FC'!$D$11:$D1028,"&lt;=30/04"&amp;$C$7)</f>
        <v>0</v>
      </c>
      <c r="T207" s="256">
        <f>SUMIFS('Livro Diario - FC'!$M$11:$M1028,'Livro Diario - FC'!$E$11:$E1028,$C$207,'Livro Diario - FC'!$D$11:$D1028,"&gt;=01/04"&amp;$C$7,'Livro Diario - FC'!$D$11:$D1028,"&lt;=30/04"&amp;$C$7)</f>
        <v>0</v>
      </c>
      <c r="U207" s="273"/>
      <c r="V207" s="258"/>
      <c r="W207" s="259"/>
      <c r="X207" s="255">
        <f>SUMIFS('Livro Diario - FC'!$K$11:$K1028,'Livro Diario - FC'!$E$11:$E1028,$C$207,'Livro Diario - FC'!$D$11:$D1028,"&gt;=01/05"&amp;$C$7,'Livro Diario - FC'!$D$11:$D1028,"&lt;=31/05"&amp;$C$7)</f>
        <v>0</v>
      </c>
      <c r="Y207" s="256">
        <f>SUMIFS('Livro Diario - FC'!$M$11:$M1028,'Livro Diario - FC'!$E$11:$E1028,$C$207,'Livro Diario - FC'!$D$11:$D1028,"&gt;=01/05"&amp;$C$7,'Livro Diario - FC'!$D$11:$D1028,"&lt;=31/05"&amp;$C$7)</f>
        <v>0</v>
      </c>
      <c r="Z207" s="273"/>
      <c r="AA207" s="258"/>
      <c r="AB207" s="259"/>
      <c r="AC207" s="255">
        <f>SUMIFS('Livro Diario - FC'!$K$11:$K1028,'Livro Diario - FC'!$E$11:$E1028,$C$207,'Livro Diario - FC'!$D$11:$D1028,"&gt;=01/06"&amp;$C$7,'Livro Diario - FC'!$D$11:$D1028,"&lt;=30/06"&amp;$C$7)</f>
        <v>0</v>
      </c>
      <c r="AD207" s="256">
        <f>SUMIFS('Livro Diario - FC'!$M$11:$M1028,'Livro Diario - FC'!$E$11:$E1028,$C$207,'Livro Diario - FC'!$D$11:$D1028,"&gt;=01/06"&amp;$C$7,'Livro Diario - FC'!$D$11:$D1028,"&lt;=30/06"&amp;$C$7)</f>
        <v>0</v>
      </c>
      <c r="AE207" s="273"/>
      <c r="AF207" s="258"/>
      <c r="AG207" s="255">
        <f>SUMIFS('Livro Diario - FC'!$K$11:$K1028,'Livro Diario - FC'!$E$11:$E1028,$C$207,'Livro Diario - FC'!$D$11:$D1028,"&gt;=01/07"&amp;$C$7,'Livro Diario - FC'!$D$11:$D1028,"&lt;=31/07"&amp;$C$7)</f>
        <v>0</v>
      </c>
      <c r="AH207" s="256">
        <f>SUMIFS('Livro Diario - FC'!$M$11:$M1028,'Livro Diario - FC'!$E$11:$E1028,$C$207,'Livro Diario - FC'!$D$11:$D1028,"&gt;=01/07"&amp;$C$7,'Livro Diario - FC'!$D$11:$D1028,"&lt;=31/07"&amp;$C$7)</f>
        <v>0</v>
      </c>
      <c r="AI207" s="273"/>
      <c r="AJ207" s="258"/>
      <c r="AK207" s="255">
        <f>SUMIFS('Livro Diario - FC'!$K$11:$K1028,'Livro Diario - FC'!$E$11:$E1028,$C$207,'Livro Diario - FC'!$D$11:$D1028,"&gt;=01/08"&amp;$C$7,'Livro Diario - FC'!$D$11:$D1028,"&lt;=31/08"&amp;$C$7)</f>
        <v>0</v>
      </c>
      <c r="AL207" s="256">
        <f>SUMIFS('Livro Diario - FC'!$M$11:$M1028,'Livro Diario - FC'!$E$11:$E1028,$C$207,'Livro Diario - FC'!$D$11:$D1028,"&gt;=01/08"&amp;$C$7,'Livro Diario - FC'!$D$11:$D1028,"&lt;=31/08"&amp;$C$7)</f>
        <v>0</v>
      </c>
      <c r="AM207" s="273"/>
      <c r="AN207" s="258"/>
      <c r="AO207" s="255">
        <f>SUMIFS('Livro Diario - FC'!$K$11:$K1028,'Livro Diario - FC'!$E$11:$E1028,$C$207,'Livro Diario - FC'!$D$11:$D1028,"&gt;=01/09"&amp;$C$7,'Livro Diario - FC'!$D$11:$D1028,"&lt;=30/09"&amp;$C$7)</f>
        <v>0</v>
      </c>
      <c r="AP207" s="256">
        <f>SUMIFS('Livro Diario - FC'!$M$11:$M1028,'Livro Diario - FC'!$E$11:$E1028,$C$207,'Livro Diario - FC'!$D$11:$D1028,"&gt;=01/09"&amp;$C$7,'Livro Diario - FC'!$D$11:$D1028,"&lt;=30/09"&amp;$C$7)</f>
        <v>0</v>
      </c>
      <c r="AQ207" s="273"/>
      <c r="AR207" s="258"/>
      <c r="AS207" s="255">
        <f>SUMIFS('Livro Diario - FC'!$K$11:$K1028,'Livro Diario - FC'!$E$11:$E1028,$C$207,'Livro Diario - FC'!$D$11:$D1028,"&gt;=01/10"&amp;$C$7,'Livro Diario - FC'!$D$11:$D1028,"&lt;=31/10"&amp;$C$7)</f>
        <v>0</v>
      </c>
      <c r="AT207" s="256">
        <f>SUMIFS('Livro Diario - FC'!$M$11:$M1028,'Livro Diario - FC'!$E$11:$E1028,$C$207,'Livro Diario - FC'!$D$11:$D1028,"&gt;=01/10"&amp;$C$7,'Livro Diario - FC'!$D$11:$D1028,"&lt;=31/10"&amp;$C$7)</f>
        <v>0</v>
      </c>
      <c r="AU207" s="273"/>
      <c r="AV207" s="258"/>
      <c r="AW207" s="255">
        <f>SUMIFS('Livro Diario - FC'!$K$11:$K1028,'Livro Diario - FC'!$E$11:$E1028,$C$207,'Livro Diario - FC'!$D$11:$D1028,"&gt;=01/11"&amp;$C$7,'Livro Diario - FC'!$D$11:$D1028,"&lt;=30/11"&amp;$C$7)</f>
        <v>0</v>
      </c>
      <c r="AX207" s="256">
        <f>SUMIFS('Livro Diario - FC'!$M$11:$M1028,'Livro Diario - FC'!$E$11:$E1028,$C$207,'Livro Diario - FC'!$D$11:$D1028,"&gt;=01/11"&amp;$C$7,'Livro Diario - FC'!$D$11:$D1028,"&lt;=30/11"&amp;$C$7)</f>
        <v>0</v>
      </c>
      <c r="AY207" s="273"/>
      <c r="AZ207" s="258"/>
      <c r="BA207" s="255">
        <f>SUMIFS('Livro Diario - FC'!$K$11:$K1028,'Livro Diario - FC'!$E$11:$E1028,$C$207,'Livro Diario - FC'!$D$11:$D1028,"&gt;=01/12"&amp;$C$7,'Livro Diario - FC'!$D$11:$D1028,"&lt;=31/12"&amp;$C$7)</f>
        <v>0</v>
      </c>
      <c r="BB207" s="256">
        <f>SUMIFS('Livro Diario - FC'!$M$11:$M1028,'Livro Diario - FC'!$E$11:$E1028,$C$207,'Livro Diario - FC'!$D$11:$D1028,"&gt;=01/12"&amp;$C$7,'Livro Diario - FC'!$D$11:$D1028,"&lt;=31/12"&amp;$C$7)</f>
        <v>0</v>
      </c>
      <c r="BC207" s="273"/>
      <c r="BD207" s="273"/>
      <c r="BE207" s="260">
        <f t="shared" ref="BE207:BF207" si="308">SUM(D207,I207,N207,S207,X207,AC207,AG207,AK207,AO207,AS207,AW207,BA207)</f>
        <v>0</v>
      </c>
      <c r="BF207" s="261">
        <f t="shared" si="308"/>
        <v>0</v>
      </c>
      <c r="BG207" s="262"/>
      <c r="BH207" s="302"/>
      <c r="BI207" s="270">
        <f>SUMIFS('Livro Diario - FC'!$M$11:$M1028,'Livro Diario - FC'!$E$11:$E1028,C207,'Livro Diario - FC'!$D$11:$D1028,"&gt;="&amp;$BK$8,'Livro Diario - FC'!$D$11:$D1028,"&lt;="&amp;$BK$9)</f>
        <v>0</v>
      </c>
      <c r="BJ207" s="271"/>
      <c r="BK207" s="304"/>
      <c r="BL207" s="339"/>
    </row>
    <row r="208">
      <c r="A208" s="1"/>
      <c r="B208" s="1"/>
      <c r="C208" s="338" t="str">
        <f>'Livro Diario - FC'!AE217</f>
        <v>Touca </v>
      </c>
      <c r="D208" s="255">
        <f>SUMIFS('Livro Diario - FC'!$K$11:$K1028,'Livro Diario - FC'!$E$11:$E1028,$C$208,'Livro Diario - FC'!$D$11:$D1028,"&gt;=01/01"&amp;$C$7,'Livro Diario - FC'!$D$11:$D1028,"&lt;=31/01"&amp;$C$7)</f>
        <v>0</v>
      </c>
      <c r="E208" s="256">
        <f>SUMIFS('Livro Diario - FC'!$M$11:$M1028,'Livro Diario - FC'!$E$11:$E1028,$C$208,'Livro Diario - FC'!$D$11:$D1028,"&gt;=01/01"&amp;$C$7,'Livro Diario - FC'!$D$11:$D1028,"&lt;=31/01"&amp;$C$7)</f>
        <v>0</v>
      </c>
      <c r="F208" s="273"/>
      <c r="G208" s="258"/>
      <c r="H208" s="157"/>
      <c r="I208" s="255">
        <f>SUMIFS('Livro Diario - FC'!$K$11:$K1028,'Livro Diario - FC'!$E$11:$E1028,$C$208,'Livro Diario - FC'!$D$11:$D1028,"&gt;=01/02"&amp;$C$7,'Livro Diario - FC'!$D$11:$D1028,"&lt;=29/02"&amp;$C$7)</f>
        <v>0</v>
      </c>
      <c r="J208" s="256">
        <f>SUMIFS('Livro Diario - FC'!$M$11:$M1028,'Livro Diario - FC'!$E$11:$E1028,$C$208,'Livro Diario - FC'!$D$11:$D1028,"&gt;=01/02"&amp;$C$7,'Livro Diario - FC'!$D$11:$D1028,"&lt;=29/02"&amp;$C$7)</f>
        <v>0</v>
      </c>
      <c r="K208" s="273"/>
      <c r="L208" s="258"/>
      <c r="M208" s="259"/>
      <c r="N208" s="255">
        <f>SUMIFS('Livro Diario - FC'!$K$11:$K1028,'Livro Diario - FC'!$E$11:$E1028,$C$208,'Livro Diario - FC'!$D$11:$D1028,"&gt;=01/03"&amp;$C$7,'Livro Diario - FC'!$D$11:$D1028,"&lt;=31/03"&amp;$C$7)</f>
        <v>0</v>
      </c>
      <c r="O208" s="256">
        <f>SUMIFS('Livro Diario - FC'!$M$11:$M1028,'Livro Diario - FC'!$E$11:$E1028,$C$208,'Livro Diario - FC'!$D$11:$D1028,"&gt;=01/03"&amp;$C$7,'Livro Diario - FC'!$D$11:$D1028,"&lt;=31/03"&amp;$C$7)</f>
        <v>0</v>
      </c>
      <c r="P208" s="273"/>
      <c r="Q208" s="258"/>
      <c r="R208" s="259"/>
      <c r="S208" s="255">
        <f>SUMIFS('Livro Diario - FC'!$K$11:$K1028,'Livro Diario - FC'!$E$11:$E1028,$C$208,'Livro Diario - FC'!$D$11:$D1028,"&gt;=01/04"&amp;$C$7,'Livro Diario - FC'!$D$11:$D1028,"&lt;=30/04"&amp;$C$7)</f>
        <v>0</v>
      </c>
      <c r="T208" s="256">
        <f>SUMIFS('Livro Diario - FC'!$M$11:$M1028,'Livro Diario - FC'!$E$11:$E1028,$C$208,'Livro Diario - FC'!$D$11:$D1028,"&gt;=01/04"&amp;$C$7,'Livro Diario - FC'!$D$11:$D1028,"&lt;=30/04"&amp;$C$7)</f>
        <v>0</v>
      </c>
      <c r="U208" s="273"/>
      <c r="V208" s="258"/>
      <c r="W208" s="259"/>
      <c r="X208" s="255">
        <f>SUMIFS('Livro Diario - FC'!$K$11:$K1028,'Livro Diario - FC'!$E$11:$E1028,$C$208,'Livro Diario - FC'!$D$11:$D1028,"&gt;=01/05"&amp;$C$7,'Livro Diario - FC'!$D$11:$D1028,"&lt;=31/05"&amp;$C$7)</f>
        <v>0</v>
      </c>
      <c r="Y208" s="256">
        <f>SUMIFS('Livro Diario - FC'!$M$11:$M1028,'Livro Diario - FC'!$E$11:$E1028,$C$208,'Livro Diario - FC'!$D$11:$D1028,"&gt;=01/05"&amp;$C$7,'Livro Diario - FC'!$D$11:$D1028,"&lt;=31/05"&amp;$C$7)</f>
        <v>0</v>
      </c>
      <c r="Z208" s="273"/>
      <c r="AA208" s="258"/>
      <c r="AB208" s="259"/>
      <c r="AC208" s="255">
        <f>SUMIFS('Livro Diario - FC'!$K$11:$K1028,'Livro Diario - FC'!$E$11:$E1028,$C$208,'Livro Diario - FC'!$D$11:$D1028,"&gt;=01/06"&amp;$C$7,'Livro Diario - FC'!$D$11:$D1028,"&lt;=30/06"&amp;$C$7)</f>
        <v>0</v>
      </c>
      <c r="AD208" s="256">
        <f>SUMIFS('Livro Diario - FC'!$M$11:$M1028,'Livro Diario - FC'!$E$11:$E1028,$C$208,'Livro Diario - FC'!$D$11:$D1028,"&gt;=01/06"&amp;$C$7,'Livro Diario - FC'!$D$11:$D1028,"&lt;=30/06"&amp;$C$7)</f>
        <v>0</v>
      </c>
      <c r="AE208" s="273"/>
      <c r="AF208" s="258"/>
      <c r="AG208" s="255">
        <f>SUMIFS('Livro Diario - FC'!$K$11:$K1028,'Livro Diario - FC'!$E$11:$E1028,$C$208,'Livro Diario - FC'!$D$11:$D1028,"&gt;=01/07"&amp;$C$7,'Livro Diario - FC'!$D$11:$D1028,"&lt;=31/07"&amp;$C$7)</f>
        <v>0</v>
      </c>
      <c r="AH208" s="256">
        <f>SUMIFS('Livro Diario - FC'!$M$11:$M1028,'Livro Diario - FC'!$E$11:$E1028,$C$208,'Livro Diario - FC'!$D$11:$D1028,"&gt;=01/07"&amp;$C$7,'Livro Diario - FC'!$D$11:$D1028,"&lt;=31/07"&amp;$C$7)</f>
        <v>0</v>
      </c>
      <c r="AI208" s="273"/>
      <c r="AJ208" s="258"/>
      <c r="AK208" s="255">
        <f>SUMIFS('Livro Diario - FC'!$K$11:$K1028,'Livro Diario - FC'!$E$11:$E1028,$C$208,'Livro Diario - FC'!$D$11:$D1028,"&gt;=01/08"&amp;$C$7,'Livro Diario - FC'!$D$11:$D1028,"&lt;=31/08"&amp;$C$7)</f>
        <v>0</v>
      </c>
      <c r="AL208" s="256">
        <f>SUMIFS('Livro Diario - FC'!$M$11:$M1028,'Livro Diario - FC'!$E$11:$E1028,$C$208,'Livro Diario - FC'!$D$11:$D1028,"&gt;=01/08"&amp;$C$7,'Livro Diario - FC'!$D$11:$D1028,"&lt;=31/08"&amp;$C$7)</f>
        <v>0</v>
      </c>
      <c r="AM208" s="273"/>
      <c r="AN208" s="258"/>
      <c r="AO208" s="255">
        <f>SUMIFS('Livro Diario - FC'!$K$11:$K1028,'Livro Diario - FC'!$E$11:$E1028,$C$208,'Livro Diario - FC'!$D$11:$D1028,"&gt;=01/09"&amp;$C$7,'Livro Diario - FC'!$D$11:$D1028,"&lt;=30/09"&amp;$C$7)</f>
        <v>0</v>
      </c>
      <c r="AP208" s="256">
        <f>SUMIFS('Livro Diario - FC'!$M$11:$M1028,'Livro Diario - FC'!$E$11:$E1028,$C$208,'Livro Diario - FC'!$D$11:$D1028,"&gt;=01/09"&amp;$C$7,'Livro Diario - FC'!$D$11:$D1028,"&lt;=30/09"&amp;$C$7)</f>
        <v>0</v>
      </c>
      <c r="AQ208" s="273"/>
      <c r="AR208" s="258"/>
      <c r="AS208" s="255">
        <f>SUMIFS('Livro Diario - FC'!$K$11:$K1028,'Livro Diario - FC'!$E$11:$E1028,$C$208,'Livro Diario - FC'!$D$11:$D1028,"&gt;=01/10"&amp;$C$7,'Livro Diario - FC'!$D$11:$D1028,"&lt;=31/10"&amp;$C$7)</f>
        <v>0</v>
      </c>
      <c r="AT208" s="256">
        <f>SUMIFS('Livro Diario - FC'!$M$11:$M1028,'Livro Diario - FC'!$E$11:$E1028,$C$208,'Livro Diario - FC'!$D$11:$D1028,"&gt;=01/10"&amp;$C$7,'Livro Diario - FC'!$D$11:$D1028,"&lt;=31/10"&amp;$C$7)</f>
        <v>0</v>
      </c>
      <c r="AU208" s="273"/>
      <c r="AV208" s="258"/>
      <c r="AW208" s="255">
        <f>SUMIFS('Livro Diario - FC'!$K$11:$K1028,'Livro Diario - FC'!$E$11:$E1028,$C$208,'Livro Diario - FC'!$D$11:$D1028,"&gt;=01/11"&amp;$C$7,'Livro Diario - FC'!$D$11:$D1028,"&lt;=30/11"&amp;$C$7)</f>
        <v>0</v>
      </c>
      <c r="AX208" s="256">
        <f>SUMIFS('Livro Diario - FC'!$M$11:$M1028,'Livro Diario - FC'!$E$11:$E1028,$C$208,'Livro Diario - FC'!$D$11:$D1028,"&gt;=01/11"&amp;$C$7,'Livro Diario - FC'!$D$11:$D1028,"&lt;=30/11"&amp;$C$7)</f>
        <v>0</v>
      </c>
      <c r="AY208" s="273"/>
      <c r="AZ208" s="258"/>
      <c r="BA208" s="255">
        <f>SUMIFS('Livro Diario - FC'!$K$11:$K1028,'Livro Diario - FC'!$E$11:$E1028,$C$208,'Livro Diario - FC'!$D$11:$D1028,"&gt;=01/12"&amp;$C$7,'Livro Diario - FC'!$D$11:$D1028,"&lt;=31/12"&amp;$C$7)</f>
        <v>0</v>
      </c>
      <c r="BB208" s="256">
        <f>SUMIFS('Livro Diario - FC'!$M$11:$M1028,'Livro Diario - FC'!$E$11:$E1028,$C$208,'Livro Diario - FC'!$D$11:$D1028,"&gt;=01/12"&amp;$C$7,'Livro Diario - FC'!$D$11:$D1028,"&lt;=31/12"&amp;$C$7)</f>
        <v>0</v>
      </c>
      <c r="BC208" s="273"/>
      <c r="BD208" s="273"/>
      <c r="BE208" s="267">
        <f t="shared" ref="BE208:BF208" si="309">SUM(D208,I208,N208,S208,X208,AC208,AG208,AK208,AO208,AS208,AW208,BA208)</f>
        <v>0</v>
      </c>
      <c r="BF208" s="268">
        <f t="shared" si="309"/>
        <v>0</v>
      </c>
      <c r="BG208" s="269"/>
      <c r="BH208" s="192"/>
      <c r="BI208" s="270">
        <f>SUMIFS('Livro Diario - FC'!$M$11:$M1028,'Livro Diario - FC'!$E$11:$E1028,C208,'Livro Diario - FC'!$D$11:$D1028,"&gt;="&amp;$BK$8,'Livro Diario - FC'!$D$11:$D1028,"&lt;="&amp;$BK$9)</f>
        <v>0</v>
      </c>
      <c r="BJ208" s="271"/>
      <c r="BK208" s="272"/>
      <c r="BL208" s="1"/>
    </row>
    <row r="209">
      <c r="A209" s="1"/>
      <c r="B209" s="1"/>
      <c r="C209" s="338" t="str">
        <f>'Livro Diario - FC'!AE218</f>
        <v>Saco de Lixo</v>
      </c>
      <c r="D209" s="255">
        <f>SUMIFS('Livro Diario - FC'!$K$11:$K1028,'Livro Diario - FC'!$E$11:$E1028,$C$209,'Livro Diario - FC'!$D$11:$D1028,"&gt;=01/01"&amp;$C$7,'Livro Diario - FC'!$D$11:$D1028,"&lt;=31/01"&amp;$C$7)</f>
        <v>8.98</v>
      </c>
      <c r="E209" s="256">
        <f>SUMIFS('Livro Diario - FC'!$M$11:$M1028,'Livro Diario - FC'!$E$11:$E1028,$C$209,'Livro Diario - FC'!$D$11:$D1028,"&gt;=01/01"&amp;$C$7,'Livro Diario - FC'!$D$11:$D1028,"&lt;=31/01"&amp;$C$7)</f>
        <v>8.98</v>
      </c>
      <c r="F209" s="273"/>
      <c r="G209" s="258"/>
      <c r="H209" s="157"/>
      <c r="I209" s="255">
        <f>SUMIFS('Livro Diario - FC'!$K$11:$K1028,'Livro Diario - FC'!$E$11:$E1028,$C$209,'Livro Diario - FC'!$D$11:$D1028,"&gt;=01/02"&amp;$C$7,'Livro Diario - FC'!$D$11:$D1028,"&lt;=29/02"&amp;$C$7)</f>
        <v>0</v>
      </c>
      <c r="J209" s="256">
        <f>SUMIFS('Livro Diario - FC'!$M$11:$M1028,'Livro Diario - FC'!$E$11:$E1028,$C$209,'Livro Diario - FC'!$D$11:$D1028,"&gt;=01/02"&amp;$C$7,'Livro Diario - FC'!$D$11:$D1028,"&lt;=29/02"&amp;$C$7)</f>
        <v>0</v>
      </c>
      <c r="K209" s="273"/>
      <c r="L209" s="258"/>
      <c r="M209" s="259"/>
      <c r="N209" s="255">
        <f>SUMIFS('Livro Diario - FC'!$K$11:$K1028,'Livro Diario - FC'!$E$11:$E1028,$C$209,'Livro Diario - FC'!$D$11:$D1028,"&gt;=01/03"&amp;$C$7,'Livro Diario - FC'!$D$11:$D1028,"&lt;=31/03"&amp;$C$7)</f>
        <v>0</v>
      </c>
      <c r="O209" s="256">
        <f>SUMIFS('Livro Diario - FC'!$M$11:$M1028,'Livro Diario - FC'!$E$11:$E1028,$C$209,'Livro Diario - FC'!$D$11:$D1028,"&gt;=01/03"&amp;$C$7,'Livro Diario - FC'!$D$11:$D1028,"&lt;=31/03"&amp;$C$7)</f>
        <v>0</v>
      </c>
      <c r="P209" s="273"/>
      <c r="Q209" s="258"/>
      <c r="R209" s="259"/>
      <c r="S209" s="255">
        <f>SUMIFS('Livro Diario - FC'!$K$11:$K1028,'Livro Diario - FC'!$E$11:$E1028,$C$209,'Livro Diario - FC'!$D$11:$D1028,"&gt;=01/04"&amp;$C$7,'Livro Diario - FC'!$D$11:$D1028,"&lt;=30/04"&amp;$C$7)</f>
        <v>0</v>
      </c>
      <c r="T209" s="256">
        <f>SUMIFS('Livro Diario - FC'!$M$11:$M1028,'Livro Diario - FC'!$E$11:$E1028,$C$209,'Livro Diario - FC'!$D$11:$D1028,"&gt;=01/04"&amp;$C$7,'Livro Diario - FC'!$D$11:$D1028,"&lt;=30/04"&amp;$C$7)</f>
        <v>0</v>
      </c>
      <c r="U209" s="273"/>
      <c r="V209" s="258"/>
      <c r="W209" s="259"/>
      <c r="X209" s="255">
        <f>SUMIFS('Livro Diario - FC'!$K$11:$K1028,'Livro Diario - FC'!$E$11:$E1028,$C$209,'Livro Diario - FC'!$D$11:$D1028,"&gt;=01/05"&amp;$C$7,'Livro Diario - FC'!$D$11:$D1028,"&lt;=31/05"&amp;$C$7)</f>
        <v>0</v>
      </c>
      <c r="Y209" s="256">
        <f>SUMIFS('Livro Diario - FC'!$M$11:$M1028,'Livro Diario - FC'!$E$11:$E1028,$C$209,'Livro Diario - FC'!$D$11:$D1028,"&gt;=01/05"&amp;$C$7,'Livro Diario - FC'!$D$11:$D1028,"&lt;=31/05"&amp;$C$7)</f>
        <v>0</v>
      </c>
      <c r="Z209" s="273"/>
      <c r="AA209" s="258"/>
      <c r="AB209" s="259"/>
      <c r="AC209" s="255">
        <f>SUMIFS('Livro Diario - FC'!$K$11:$K1028,'Livro Diario - FC'!$E$11:$E1028,$C$209,'Livro Diario - FC'!$D$11:$D1028,"&gt;=01/06"&amp;$C$7,'Livro Diario - FC'!$D$11:$D1028,"&lt;=30/06"&amp;$C$7)</f>
        <v>0</v>
      </c>
      <c r="AD209" s="256">
        <f>SUMIFS('Livro Diario - FC'!$M$11:$M1028,'Livro Diario - FC'!$E$11:$E1028,$C$209,'Livro Diario - FC'!$D$11:$D1028,"&gt;=01/06"&amp;$C$7,'Livro Diario - FC'!$D$11:$D1028,"&lt;=30/06"&amp;$C$7)</f>
        <v>0</v>
      </c>
      <c r="AE209" s="273"/>
      <c r="AF209" s="258"/>
      <c r="AG209" s="255">
        <f>SUMIFS('Livro Diario - FC'!$K$11:$K1028,'Livro Diario - FC'!$E$11:$E1028,$C$209,'Livro Diario - FC'!$D$11:$D1028,"&gt;=01/07"&amp;$C$7,'Livro Diario - FC'!$D$11:$D1028,"&lt;=31/07"&amp;$C$7)</f>
        <v>0</v>
      </c>
      <c r="AH209" s="256">
        <f>SUMIFS('Livro Diario - FC'!$M$11:$M1028,'Livro Diario - FC'!$E$11:$E1028,$C$209,'Livro Diario - FC'!$D$11:$D1028,"&gt;=01/07"&amp;$C$7,'Livro Diario - FC'!$D$11:$D1028,"&lt;=31/07"&amp;$C$7)</f>
        <v>0</v>
      </c>
      <c r="AI209" s="273"/>
      <c r="AJ209" s="258"/>
      <c r="AK209" s="255">
        <f>SUMIFS('Livro Diario - FC'!$K$11:$K1028,'Livro Diario - FC'!$E$11:$E1028,$C$209,'Livro Diario - FC'!$D$11:$D1028,"&gt;=01/08"&amp;$C$7,'Livro Diario - FC'!$D$11:$D1028,"&lt;=31/08"&amp;$C$7)</f>
        <v>0</v>
      </c>
      <c r="AL209" s="256">
        <f>SUMIFS('Livro Diario - FC'!$M$11:$M1028,'Livro Diario - FC'!$E$11:$E1028,$C$209,'Livro Diario - FC'!$D$11:$D1028,"&gt;=01/08"&amp;$C$7,'Livro Diario - FC'!$D$11:$D1028,"&lt;=31/08"&amp;$C$7)</f>
        <v>0</v>
      </c>
      <c r="AM209" s="273"/>
      <c r="AN209" s="258"/>
      <c r="AO209" s="255">
        <f>SUMIFS('Livro Diario - FC'!$K$11:$K1028,'Livro Diario - FC'!$E$11:$E1028,$C$209,'Livro Diario - FC'!$D$11:$D1028,"&gt;=01/09"&amp;$C$7,'Livro Diario - FC'!$D$11:$D1028,"&lt;=30/09"&amp;$C$7)</f>
        <v>0</v>
      </c>
      <c r="AP209" s="256">
        <f>SUMIFS('Livro Diario - FC'!$M$11:$M1028,'Livro Diario - FC'!$E$11:$E1028,$C$209,'Livro Diario - FC'!$D$11:$D1028,"&gt;=01/09"&amp;$C$7,'Livro Diario - FC'!$D$11:$D1028,"&lt;=30/09"&amp;$C$7)</f>
        <v>0</v>
      </c>
      <c r="AQ209" s="273"/>
      <c r="AR209" s="258"/>
      <c r="AS209" s="255">
        <f>SUMIFS('Livro Diario - FC'!$K$11:$K1028,'Livro Diario - FC'!$E$11:$E1028,$C$209,'Livro Diario - FC'!$D$11:$D1028,"&gt;=01/10"&amp;$C$7,'Livro Diario - FC'!$D$11:$D1028,"&lt;=31/10"&amp;$C$7)</f>
        <v>0</v>
      </c>
      <c r="AT209" s="256">
        <f>SUMIFS('Livro Diario - FC'!$M$11:$M1028,'Livro Diario - FC'!$E$11:$E1028,$C$209,'Livro Diario - FC'!$D$11:$D1028,"&gt;=01/10"&amp;$C$7,'Livro Diario - FC'!$D$11:$D1028,"&lt;=31/10"&amp;$C$7)</f>
        <v>0</v>
      </c>
      <c r="AU209" s="273"/>
      <c r="AV209" s="258"/>
      <c r="AW209" s="255">
        <f>SUMIFS('Livro Diario - FC'!$K$11:$K1028,'Livro Diario - FC'!$E$11:$E1028,$C$209,'Livro Diario - FC'!$D$11:$D1028,"&gt;=01/11"&amp;$C$7,'Livro Diario - FC'!$D$11:$D1028,"&lt;=30/11"&amp;$C$7)</f>
        <v>0</v>
      </c>
      <c r="AX209" s="256">
        <f>SUMIFS('Livro Diario - FC'!$M$11:$M1028,'Livro Diario - FC'!$E$11:$E1028,$C$209,'Livro Diario - FC'!$D$11:$D1028,"&gt;=01/11"&amp;$C$7,'Livro Diario - FC'!$D$11:$D1028,"&lt;=30/11"&amp;$C$7)</f>
        <v>0</v>
      </c>
      <c r="AY209" s="273"/>
      <c r="AZ209" s="258"/>
      <c r="BA209" s="255">
        <f>SUMIFS('Livro Diario - FC'!$K$11:$K1028,'Livro Diario - FC'!$E$11:$E1028,$C$209,'Livro Diario - FC'!$D$11:$D1028,"&gt;=01/12"&amp;$C$7,'Livro Diario - FC'!$D$11:$D1028,"&lt;=31/12"&amp;$C$7)</f>
        <v>0</v>
      </c>
      <c r="BB209" s="256">
        <f>SUMIFS('Livro Diario - FC'!$M$11:$M1028,'Livro Diario - FC'!$E$11:$E1028,$C$209,'Livro Diario - FC'!$D$11:$D1028,"&gt;=01/12"&amp;$C$7,'Livro Diario - FC'!$D$11:$D1028,"&lt;=31/12"&amp;$C$7)</f>
        <v>0</v>
      </c>
      <c r="BC209" s="273"/>
      <c r="BD209" s="273"/>
      <c r="BE209" s="267">
        <f t="shared" ref="BE209:BF209" si="310">SUM(D209,I209,N209,S209,X209,AC209,AG209,AK209,AO209,AS209,AW209,BA209)</f>
        <v>8.98</v>
      </c>
      <c r="BF209" s="268">
        <f t="shared" si="310"/>
        <v>8.98</v>
      </c>
      <c r="BG209" s="269"/>
      <c r="BH209" s="192"/>
      <c r="BI209" s="270">
        <f>SUMIFS('Livro Diario - FC'!$M$11:$M1028,'Livro Diario - FC'!$E$11:$E1028,C209,'Livro Diario - FC'!$D$11:$D1028,"&gt;="&amp;$BK$8,'Livro Diario - FC'!$D$11:$D1028,"&lt;="&amp;$BK$9)</f>
        <v>0</v>
      </c>
      <c r="BJ209" s="271"/>
      <c r="BK209" s="272"/>
      <c r="BL209" s="1"/>
    </row>
    <row r="210">
      <c r="A210" s="1"/>
      <c r="B210" s="1"/>
      <c r="C210" s="338" t="str">
        <f>'Livro Diario - FC'!AE219</f>
        <v>Colher Grande</v>
      </c>
      <c r="D210" s="255">
        <f>SUMIFS('Livro Diario - FC'!$K$11:$K1028,'Livro Diario - FC'!$E$11:$E1028,$C$210,'Livro Diario - FC'!$D$11:$D1028,"&gt;=01/01"&amp;$C$7,'Livro Diario - FC'!$D$11:$D1028,"&lt;=31/01"&amp;$C$7)</f>
        <v>0</v>
      </c>
      <c r="E210" s="256">
        <f>SUMIFS('Livro Diario - FC'!$M$11:$M1028,'Livro Diario - FC'!$E$11:$E1028,$C$210,'Livro Diario - FC'!$D$11:$D1028,"&gt;=01/01"&amp;$C$7,'Livro Diario - FC'!$D$11:$D1028,"&lt;=31/01"&amp;$C$7)</f>
        <v>0</v>
      </c>
      <c r="F210" s="273"/>
      <c r="G210" s="258"/>
      <c r="H210" s="157"/>
      <c r="I210" s="255">
        <f>SUMIFS('Livro Diario - FC'!$K$11:$K1028,'Livro Diario - FC'!$E$11:$E1028,$C$210,'Livro Diario - FC'!$D$11:$D1028,"&gt;=01/02"&amp;$C$7,'Livro Diario - FC'!$D$11:$D1028,"&lt;=29/02"&amp;$C$7)</f>
        <v>0</v>
      </c>
      <c r="J210" s="256">
        <f>SUMIFS('Livro Diario - FC'!$M$11:$M1028,'Livro Diario - FC'!$E$11:$E1028,$C$210,'Livro Diario - FC'!$D$11:$D1028,"&gt;=01/02"&amp;$C$7,'Livro Diario - FC'!$D$11:$D1028,"&lt;=29/02"&amp;$C$7)</f>
        <v>0</v>
      </c>
      <c r="K210" s="273"/>
      <c r="L210" s="258"/>
      <c r="M210" s="259"/>
      <c r="N210" s="255">
        <f>SUMIFS('Livro Diario - FC'!$K$11:$K1028,'Livro Diario - FC'!$E$11:$E1028,$C$210,'Livro Diario - FC'!$D$11:$D1028,"&gt;=01/03"&amp;$C$7,'Livro Diario - FC'!$D$11:$D1028,"&lt;=31/03"&amp;$C$7)</f>
        <v>0</v>
      </c>
      <c r="O210" s="256">
        <f>SUMIFS('Livro Diario - FC'!$M$11:$M1028,'Livro Diario - FC'!$E$11:$E1028,$C$210,'Livro Diario - FC'!$D$11:$D1028,"&gt;=01/03"&amp;$C$7,'Livro Diario - FC'!$D$11:$D1028,"&lt;=31/03"&amp;$C$7)</f>
        <v>0</v>
      </c>
      <c r="P210" s="273"/>
      <c r="Q210" s="258"/>
      <c r="R210" s="259"/>
      <c r="S210" s="255">
        <f>SUMIFS('Livro Diario - FC'!$K$11:$K1028,'Livro Diario - FC'!$E$11:$E1028,$C$210,'Livro Diario - FC'!$D$11:$D1028,"&gt;=01/04"&amp;$C$7,'Livro Diario - FC'!$D$11:$D1028,"&lt;=30/04"&amp;$C$7)</f>
        <v>0</v>
      </c>
      <c r="T210" s="256">
        <f>SUMIFS('Livro Diario - FC'!$M$11:$M1028,'Livro Diario - FC'!$E$11:$E1028,$C$210,'Livro Diario - FC'!$D$11:$D1028,"&gt;=01/04"&amp;$C$7,'Livro Diario - FC'!$D$11:$D1028,"&lt;=30/04"&amp;$C$7)</f>
        <v>0</v>
      </c>
      <c r="U210" s="273"/>
      <c r="V210" s="258"/>
      <c r="W210" s="259"/>
      <c r="X210" s="255">
        <f>SUMIFS('Livro Diario - FC'!$K$11:$K1028,'Livro Diario - FC'!$E$11:$E1028,$C$210,'Livro Diario - FC'!$D$11:$D1028,"&gt;=01/05"&amp;$C$7,'Livro Diario - FC'!$D$11:$D1028,"&lt;=31/05"&amp;$C$7)</f>
        <v>0</v>
      </c>
      <c r="Y210" s="256">
        <f>SUMIFS('Livro Diario - FC'!$M$11:$M1028,'Livro Diario - FC'!$E$11:$E1028,$C$210,'Livro Diario - FC'!$D$11:$D1028,"&gt;=01/05"&amp;$C$7,'Livro Diario - FC'!$D$11:$D1028,"&lt;=31/05"&amp;$C$7)</f>
        <v>0</v>
      </c>
      <c r="Z210" s="273"/>
      <c r="AA210" s="258"/>
      <c r="AB210" s="259"/>
      <c r="AC210" s="255">
        <f>SUMIFS('Livro Diario - FC'!$K$11:$K1028,'Livro Diario - FC'!$E$11:$E1028,$C$210,'Livro Diario - FC'!$D$11:$D1028,"&gt;=01/06"&amp;$C$7,'Livro Diario - FC'!$D$11:$D1028,"&lt;=30/06"&amp;$C$7)</f>
        <v>0</v>
      </c>
      <c r="AD210" s="256">
        <f>SUMIFS('Livro Diario - FC'!$M$11:$M1028,'Livro Diario - FC'!$E$11:$E1028,$C$210,'Livro Diario - FC'!$D$11:$D1028,"&gt;=01/06"&amp;$C$7,'Livro Diario - FC'!$D$11:$D1028,"&lt;=30/06"&amp;$C$7)</f>
        <v>0</v>
      </c>
      <c r="AE210" s="273"/>
      <c r="AF210" s="258"/>
      <c r="AG210" s="255">
        <f>SUMIFS('Livro Diario - FC'!$K$11:$K1028,'Livro Diario - FC'!$E$11:$E1028,$C$210,'Livro Diario - FC'!$D$11:$D1028,"&gt;=01/07"&amp;$C$7,'Livro Diario - FC'!$D$11:$D1028,"&lt;=31/07"&amp;$C$7)</f>
        <v>0</v>
      </c>
      <c r="AH210" s="256">
        <f>SUMIFS('Livro Diario - FC'!$M$11:$M1028,'Livro Diario - FC'!$E$11:$E1028,$C$210,'Livro Diario - FC'!$D$11:$D1028,"&gt;=01/07"&amp;$C$7,'Livro Diario - FC'!$D$11:$D1028,"&lt;=31/07"&amp;$C$7)</f>
        <v>0</v>
      </c>
      <c r="AI210" s="273"/>
      <c r="AJ210" s="258"/>
      <c r="AK210" s="255">
        <f>SUMIFS('Livro Diario - FC'!$K$11:$K1028,'Livro Diario - FC'!$E$11:$E1028,$C$210,'Livro Diario - FC'!$D$11:$D1028,"&gt;=01/08"&amp;$C$7,'Livro Diario - FC'!$D$11:$D1028,"&lt;=31/08"&amp;$C$7)</f>
        <v>0</v>
      </c>
      <c r="AL210" s="256">
        <f>SUMIFS('Livro Diario - FC'!$M$11:$M1028,'Livro Diario - FC'!$E$11:$E1028,$C$210,'Livro Diario - FC'!$D$11:$D1028,"&gt;=01/08"&amp;$C$7,'Livro Diario - FC'!$D$11:$D1028,"&lt;=31/08"&amp;$C$7)</f>
        <v>0</v>
      </c>
      <c r="AM210" s="273"/>
      <c r="AN210" s="258"/>
      <c r="AO210" s="255">
        <f>SUMIFS('Livro Diario - FC'!$K$11:$K1028,'Livro Diario - FC'!$E$11:$E1028,$C$210,'Livro Diario - FC'!$D$11:$D1028,"&gt;=01/09"&amp;$C$7,'Livro Diario - FC'!$D$11:$D1028,"&lt;=30/09"&amp;$C$7)</f>
        <v>0</v>
      </c>
      <c r="AP210" s="256">
        <f>SUMIFS('Livro Diario - FC'!$M$11:$M1028,'Livro Diario - FC'!$E$11:$E1028,$C$210,'Livro Diario - FC'!$D$11:$D1028,"&gt;=01/09"&amp;$C$7,'Livro Diario - FC'!$D$11:$D1028,"&lt;=30/09"&amp;$C$7)</f>
        <v>0</v>
      </c>
      <c r="AQ210" s="273"/>
      <c r="AR210" s="258"/>
      <c r="AS210" s="255">
        <f>SUMIFS('Livro Diario - FC'!$K$11:$K1028,'Livro Diario - FC'!$E$11:$E1028,$C$210,'Livro Diario - FC'!$D$11:$D1028,"&gt;=01/10"&amp;$C$7,'Livro Diario - FC'!$D$11:$D1028,"&lt;=31/10"&amp;$C$7)</f>
        <v>0</v>
      </c>
      <c r="AT210" s="256">
        <f>SUMIFS('Livro Diario - FC'!$M$11:$M1028,'Livro Diario - FC'!$E$11:$E1028,$C$210,'Livro Diario - FC'!$D$11:$D1028,"&gt;=01/10"&amp;$C$7,'Livro Diario - FC'!$D$11:$D1028,"&lt;=31/10"&amp;$C$7)</f>
        <v>0</v>
      </c>
      <c r="AU210" s="273"/>
      <c r="AV210" s="258"/>
      <c r="AW210" s="255">
        <f>SUMIFS('Livro Diario - FC'!$K$11:$K1028,'Livro Diario - FC'!$E$11:$E1028,$C$210,'Livro Diario - FC'!$D$11:$D1028,"&gt;=01/11"&amp;$C$7,'Livro Diario - FC'!$D$11:$D1028,"&lt;=30/11"&amp;$C$7)</f>
        <v>0</v>
      </c>
      <c r="AX210" s="256">
        <f>SUMIFS('Livro Diario - FC'!$M$11:$M1028,'Livro Diario - FC'!$E$11:$E1028,$C$210,'Livro Diario - FC'!$D$11:$D1028,"&gt;=01/11"&amp;$C$7,'Livro Diario - FC'!$D$11:$D1028,"&lt;=30/11"&amp;$C$7)</f>
        <v>0</v>
      </c>
      <c r="AY210" s="273"/>
      <c r="AZ210" s="258"/>
      <c r="BA210" s="255">
        <f>SUMIFS('Livro Diario - FC'!$K$11:$K1028,'Livro Diario - FC'!$E$11:$E1028,$C$210,'Livro Diario - FC'!$D$11:$D1028,"&gt;=01/12"&amp;$C$7,'Livro Diario - FC'!$D$11:$D1028,"&lt;=31/12"&amp;$C$7)</f>
        <v>0</v>
      </c>
      <c r="BB210" s="256">
        <f>SUMIFS('Livro Diario - FC'!$M$11:$M1028,'Livro Diario - FC'!$E$11:$E1028,$C$210,'Livro Diario - FC'!$D$11:$D1028,"&gt;=01/12"&amp;$C$7,'Livro Diario - FC'!$D$11:$D1028,"&lt;=31/12"&amp;$C$7)</f>
        <v>0</v>
      </c>
      <c r="BC210" s="273"/>
      <c r="BD210" s="273"/>
      <c r="BE210" s="267">
        <f t="shared" ref="BE210:BF210" si="311">SUM(D210,I210,N210,S210,X210,AC210,AG210,AK210,AO210,AS210,AW210,BA210)</f>
        <v>0</v>
      </c>
      <c r="BF210" s="268">
        <f t="shared" si="311"/>
        <v>0</v>
      </c>
      <c r="BG210" s="269"/>
      <c r="BH210" s="192"/>
      <c r="BI210" s="270">
        <f>SUMIFS('Livro Diario - FC'!$M$11:$M1028,'Livro Diario - FC'!$E$11:$E1028,C210,'Livro Diario - FC'!$D$11:$D1028,"&gt;="&amp;$BK$8,'Livro Diario - FC'!$D$11:$D1028,"&lt;="&amp;$BK$9)</f>
        <v>0</v>
      </c>
      <c r="BJ210" s="271"/>
      <c r="BK210" s="272"/>
      <c r="BL210" s="1"/>
    </row>
    <row r="211">
      <c r="A211" s="1"/>
      <c r="B211" s="1"/>
      <c r="C211" s="338" t="str">
        <f>'Livro Diario - FC'!AE220</f>
        <v>Colher Sobremesa</v>
      </c>
      <c r="D211" s="255">
        <f>SUMIFS('Livro Diario - FC'!$K$11:$K1028,'Livro Diario - FC'!$E$11:$E1028,$C$211,'Livro Diario - FC'!$D$11:$D1028,"&gt;=01/01"&amp;$C$7,'Livro Diario - FC'!$D$11:$D1028,"&lt;=31/01"&amp;$C$7)</f>
        <v>0</v>
      </c>
      <c r="E211" s="256">
        <f>SUMIFS('Livro Diario - FC'!$M$11:$M1028,'Livro Diario - FC'!$E$11:$E1028,$C$211,'Livro Diario - FC'!$D$11:$D1028,"&gt;=01/01"&amp;$C$7,'Livro Diario - FC'!$D$11:$D1028,"&lt;=31/01"&amp;$C$7)</f>
        <v>0</v>
      </c>
      <c r="F211" s="273"/>
      <c r="G211" s="258"/>
      <c r="H211" s="157"/>
      <c r="I211" s="255">
        <f>SUMIFS('Livro Diario - FC'!$K$11:$K1028,'Livro Diario - FC'!$E$11:$E1028,$C$211,'Livro Diario - FC'!$D$11:$D1028,"&gt;=01/02"&amp;$C$7,'Livro Diario - FC'!$D$11:$D1028,"&lt;=29/02"&amp;$C$7)</f>
        <v>0</v>
      </c>
      <c r="J211" s="256">
        <f>SUMIFS('Livro Diario - FC'!$M$11:$M1028,'Livro Diario - FC'!$E$11:$E1028,$C$211,'Livro Diario - FC'!$D$11:$D1028,"&gt;=01/02"&amp;$C$7,'Livro Diario - FC'!$D$11:$D1028,"&lt;=29/02"&amp;$C$7)</f>
        <v>0</v>
      </c>
      <c r="K211" s="273"/>
      <c r="L211" s="258"/>
      <c r="M211" s="259"/>
      <c r="N211" s="255">
        <f>SUMIFS('Livro Diario - FC'!$K$11:$K1028,'Livro Diario - FC'!$E$11:$E1028,$C$211,'Livro Diario - FC'!$D$11:$D1028,"&gt;=01/03"&amp;$C$7,'Livro Diario - FC'!$D$11:$D1028,"&lt;=31/03"&amp;$C$7)</f>
        <v>0</v>
      </c>
      <c r="O211" s="256">
        <f>SUMIFS('Livro Diario - FC'!$M$11:$M1028,'Livro Diario - FC'!$E$11:$E1028,$C$211,'Livro Diario - FC'!$D$11:$D1028,"&gt;=01/03"&amp;$C$7,'Livro Diario - FC'!$D$11:$D1028,"&lt;=31/03"&amp;$C$7)</f>
        <v>0</v>
      </c>
      <c r="P211" s="273"/>
      <c r="Q211" s="258"/>
      <c r="R211" s="259"/>
      <c r="S211" s="255">
        <f>SUMIFS('Livro Diario - FC'!$K$11:$K1028,'Livro Diario - FC'!$E$11:$E1028,$C$211,'Livro Diario - FC'!$D$11:$D1028,"&gt;=01/04"&amp;$C$7,'Livro Diario - FC'!$D$11:$D1028,"&lt;=30/04"&amp;$C$7)</f>
        <v>0</v>
      </c>
      <c r="T211" s="256">
        <f>SUMIFS('Livro Diario - FC'!$M$11:$M1028,'Livro Diario - FC'!$E$11:$E1028,$C$211,'Livro Diario - FC'!$D$11:$D1028,"&gt;=01/04"&amp;$C$7,'Livro Diario - FC'!$D$11:$D1028,"&lt;=30/04"&amp;$C$7)</f>
        <v>0</v>
      </c>
      <c r="U211" s="273"/>
      <c r="V211" s="258"/>
      <c r="W211" s="259"/>
      <c r="X211" s="255">
        <f>SUMIFS('Livro Diario - FC'!$K$11:$K1028,'Livro Diario - FC'!$E$11:$E1028,$C$211,'Livro Diario - FC'!$D$11:$D1028,"&gt;=01/05"&amp;$C$7,'Livro Diario - FC'!$D$11:$D1028,"&lt;=31/05"&amp;$C$7)</f>
        <v>0</v>
      </c>
      <c r="Y211" s="256">
        <f>SUMIFS('Livro Diario - FC'!$M$11:$M1028,'Livro Diario - FC'!$E$11:$E1028,$C$211,'Livro Diario - FC'!$D$11:$D1028,"&gt;=01/05"&amp;$C$7,'Livro Diario - FC'!$D$11:$D1028,"&lt;=31/05"&amp;$C$7)</f>
        <v>0</v>
      </c>
      <c r="Z211" s="273"/>
      <c r="AA211" s="258"/>
      <c r="AB211" s="259"/>
      <c r="AC211" s="255">
        <f>SUMIFS('Livro Diario - FC'!$K$11:$K1028,'Livro Diario - FC'!$E$11:$E1028,$C$211,'Livro Diario - FC'!$D$11:$D1028,"&gt;=01/06"&amp;$C$7,'Livro Diario - FC'!$D$11:$D1028,"&lt;=30/06"&amp;$C$7)</f>
        <v>0</v>
      </c>
      <c r="AD211" s="256">
        <f>SUMIFS('Livro Diario - FC'!$M$11:$M1028,'Livro Diario - FC'!$E$11:$E1028,$C$211,'Livro Diario - FC'!$D$11:$D1028,"&gt;=01/06"&amp;$C$7,'Livro Diario - FC'!$D$11:$D1028,"&lt;=30/06"&amp;$C$7)</f>
        <v>0</v>
      </c>
      <c r="AE211" s="273"/>
      <c r="AF211" s="258"/>
      <c r="AG211" s="255">
        <f>SUMIFS('Livro Diario - FC'!$K$11:$K1028,'Livro Diario - FC'!$E$11:$E1028,$C$211,'Livro Diario - FC'!$D$11:$D1028,"&gt;=01/07"&amp;$C$7,'Livro Diario - FC'!$D$11:$D1028,"&lt;=31/07"&amp;$C$7)</f>
        <v>0</v>
      </c>
      <c r="AH211" s="256">
        <f>SUMIFS('Livro Diario - FC'!$M$11:$M1028,'Livro Diario - FC'!$E$11:$E1028,$C$211,'Livro Diario - FC'!$D$11:$D1028,"&gt;=01/07"&amp;$C$7,'Livro Diario - FC'!$D$11:$D1028,"&lt;=31/07"&amp;$C$7)</f>
        <v>0</v>
      </c>
      <c r="AI211" s="273"/>
      <c r="AJ211" s="258"/>
      <c r="AK211" s="255">
        <f>SUMIFS('Livro Diario - FC'!$K$11:$K1028,'Livro Diario - FC'!$E$11:$E1028,$C$211,'Livro Diario - FC'!$D$11:$D1028,"&gt;=01/08"&amp;$C$7,'Livro Diario - FC'!$D$11:$D1028,"&lt;=31/08"&amp;$C$7)</f>
        <v>0</v>
      </c>
      <c r="AL211" s="256">
        <f>SUMIFS('Livro Diario - FC'!$M$11:$M1028,'Livro Diario - FC'!$E$11:$E1028,$C$211,'Livro Diario - FC'!$D$11:$D1028,"&gt;=01/08"&amp;$C$7,'Livro Diario - FC'!$D$11:$D1028,"&lt;=31/08"&amp;$C$7)</f>
        <v>0</v>
      </c>
      <c r="AM211" s="273"/>
      <c r="AN211" s="258"/>
      <c r="AO211" s="255">
        <f>SUMIFS('Livro Diario - FC'!$K$11:$K1028,'Livro Diario - FC'!$E$11:$E1028,$C$211,'Livro Diario - FC'!$D$11:$D1028,"&gt;=01/09"&amp;$C$7,'Livro Diario - FC'!$D$11:$D1028,"&lt;=30/09"&amp;$C$7)</f>
        <v>0</v>
      </c>
      <c r="AP211" s="256">
        <f>SUMIFS('Livro Diario - FC'!$M$11:$M1028,'Livro Diario - FC'!$E$11:$E1028,$C$211,'Livro Diario - FC'!$D$11:$D1028,"&gt;=01/09"&amp;$C$7,'Livro Diario - FC'!$D$11:$D1028,"&lt;=30/09"&amp;$C$7)</f>
        <v>0</v>
      </c>
      <c r="AQ211" s="273"/>
      <c r="AR211" s="258"/>
      <c r="AS211" s="255">
        <f>SUMIFS('Livro Diario - FC'!$K$11:$K1028,'Livro Diario - FC'!$E$11:$E1028,$C$211,'Livro Diario - FC'!$D$11:$D1028,"&gt;=01/10"&amp;$C$7,'Livro Diario - FC'!$D$11:$D1028,"&lt;=31/10"&amp;$C$7)</f>
        <v>0</v>
      </c>
      <c r="AT211" s="256">
        <f>SUMIFS('Livro Diario - FC'!$M$11:$M1028,'Livro Diario - FC'!$E$11:$E1028,$C$211,'Livro Diario - FC'!$D$11:$D1028,"&gt;=01/10"&amp;$C$7,'Livro Diario - FC'!$D$11:$D1028,"&lt;=31/10"&amp;$C$7)</f>
        <v>0</v>
      </c>
      <c r="AU211" s="273"/>
      <c r="AV211" s="258"/>
      <c r="AW211" s="255">
        <f>SUMIFS('Livro Diario - FC'!$K$11:$K1028,'Livro Diario - FC'!$E$11:$E1028,$C$211,'Livro Diario - FC'!$D$11:$D1028,"&gt;=01/11"&amp;$C$7,'Livro Diario - FC'!$D$11:$D1028,"&lt;=30/11"&amp;$C$7)</f>
        <v>0</v>
      </c>
      <c r="AX211" s="256">
        <f>SUMIFS('Livro Diario - FC'!$M$11:$M1028,'Livro Diario - FC'!$E$11:$E1028,$C$211,'Livro Diario - FC'!$D$11:$D1028,"&gt;=01/11"&amp;$C$7,'Livro Diario - FC'!$D$11:$D1028,"&lt;=30/11"&amp;$C$7)</f>
        <v>0</v>
      </c>
      <c r="AY211" s="273"/>
      <c r="AZ211" s="258"/>
      <c r="BA211" s="255">
        <f>SUMIFS('Livro Diario - FC'!$K$11:$K1028,'Livro Diario - FC'!$E$11:$E1028,$C$211,'Livro Diario - FC'!$D$11:$D1028,"&gt;=01/12"&amp;$C$7,'Livro Diario - FC'!$D$11:$D1028,"&lt;=31/12"&amp;$C$7)</f>
        <v>0</v>
      </c>
      <c r="BB211" s="256">
        <f>SUMIFS('Livro Diario - FC'!$M$11:$M1028,'Livro Diario - FC'!$E$11:$E1028,$C$211,'Livro Diario - FC'!$D$11:$D1028,"&gt;=01/12"&amp;$C$7,'Livro Diario - FC'!$D$11:$D1028,"&lt;=31/12"&amp;$C$7)</f>
        <v>0</v>
      </c>
      <c r="BC211" s="273"/>
      <c r="BD211" s="273"/>
      <c r="BE211" s="267">
        <f t="shared" ref="BE211:BF211" si="312">SUM(D211,I211,N211,S211,X211,AC211,AG211,AK211,AO211,AS211,AW211,BA211)</f>
        <v>0</v>
      </c>
      <c r="BF211" s="268">
        <f t="shared" si="312"/>
        <v>0</v>
      </c>
      <c r="BG211" s="269"/>
      <c r="BH211" s="192"/>
      <c r="BI211" s="270">
        <f>SUMIFS('Livro Diario - FC'!$M$11:$M1028,'Livro Diario - FC'!$E$11:$E1028,C211,'Livro Diario - FC'!$D$11:$D1028,"&gt;="&amp;$BK$8,'Livro Diario - FC'!$D$11:$D1028,"&lt;="&amp;$BK$9)</f>
        <v>0</v>
      </c>
      <c r="BJ211" s="271"/>
      <c r="BK211" s="272"/>
      <c r="BL211" s="1"/>
    </row>
    <row r="212">
      <c r="A212" s="1"/>
      <c r="B212" s="1"/>
      <c r="C212" s="338" t="str">
        <f>'Livro Diario - FC'!AE221</f>
        <v>17x17</v>
      </c>
      <c r="D212" s="255">
        <f>SUMIFS('Livro Diario - FC'!$K$11:$K1028,'Livro Diario - FC'!$E$11:$E1028,$C$212,'Livro Diario - FC'!$D$11:$D1028,"&gt;=01/01"&amp;$C$7,'Livro Diario - FC'!$D$11:$D1028,"&lt;=31/01"&amp;$C$7)</f>
        <v>7.9</v>
      </c>
      <c r="E212" s="256">
        <f>SUMIFS('Livro Diario - FC'!$M$11:$M1028,'Livro Diario - FC'!$E$11:$E1028,$C$212,'Livro Diario - FC'!$D$11:$D1028,"&gt;=01/01"&amp;$C$7,'Livro Diario - FC'!$D$11:$D1028,"&lt;=31/01"&amp;$C$7)</f>
        <v>7.9</v>
      </c>
      <c r="F212" s="273"/>
      <c r="G212" s="258"/>
      <c r="H212" s="157"/>
      <c r="I212" s="255">
        <f>SUMIFS('Livro Diario - FC'!$K$11:$K1028,'Livro Diario - FC'!$E$11:$E1028,$C$212,'Livro Diario - FC'!$D$11:$D1028,"&gt;=01/02"&amp;$C$7,'Livro Diario - FC'!$D$11:$D1028,"&lt;=29/02"&amp;$C$7)</f>
        <v>0</v>
      </c>
      <c r="J212" s="256">
        <f>SUMIFS('Livro Diario - FC'!$M$11:$M1028,'Livro Diario - FC'!$E$11:$E1028,$C$212,'Livro Diario - FC'!$D$11:$D1028,"&gt;=01/02"&amp;$C$7,'Livro Diario - FC'!$D$11:$D1028,"&lt;=29/02"&amp;$C$7)</f>
        <v>0</v>
      </c>
      <c r="K212" s="273"/>
      <c r="L212" s="258"/>
      <c r="M212" s="259"/>
      <c r="N212" s="255">
        <f>SUMIFS('Livro Diario - FC'!$K$11:$K1028,'Livro Diario - FC'!$E$11:$E1028,$C$212,'Livro Diario - FC'!$D$11:$D1028,"&gt;=01/03"&amp;$C$7,'Livro Diario - FC'!$D$11:$D1028,"&lt;=31/03"&amp;$C$7)</f>
        <v>0</v>
      </c>
      <c r="O212" s="256">
        <f>SUMIFS('Livro Diario - FC'!$M$11:$M1028,'Livro Diario - FC'!$E$11:$E1028,$C$212,'Livro Diario - FC'!$D$11:$D1028,"&gt;=01/03"&amp;$C$7,'Livro Diario - FC'!$D$11:$D1028,"&lt;=31/03"&amp;$C$7)</f>
        <v>0</v>
      </c>
      <c r="P212" s="273"/>
      <c r="Q212" s="258"/>
      <c r="R212" s="259"/>
      <c r="S212" s="255">
        <f>SUMIFS('Livro Diario - FC'!$K$11:$K1028,'Livro Diario - FC'!$E$11:$E1028,$C$212,'Livro Diario - FC'!$D$11:$D1028,"&gt;=01/04"&amp;$C$7,'Livro Diario - FC'!$D$11:$D1028,"&lt;=30/04"&amp;$C$7)</f>
        <v>0</v>
      </c>
      <c r="T212" s="256">
        <f>SUMIFS('Livro Diario - FC'!$M$11:$M1028,'Livro Diario - FC'!$E$11:$E1028,$C$212,'Livro Diario - FC'!$D$11:$D1028,"&gt;=01/04"&amp;$C$7,'Livro Diario - FC'!$D$11:$D1028,"&lt;=30/04"&amp;$C$7)</f>
        <v>0</v>
      </c>
      <c r="U212" s="273"/>
      <c r="V212" s="258"/>
      <c r="W212" s="259"/>
      <c r="X212" s="255">
        <f>SUMIFS('Livro Diario - FC'!$K$11:$K1028,'Livro Diario - FC'!$E$11:$E1028,$C$212,'Livro Diario - FC'!$D$11:$D1028,"&gt;=01/05"&amp;$C$7,'Livro Diario - FC'!$D$11:$D1028,"&lt;=31/05"&amp;$C$7)</f>
        <v>0</v>
      </c>
      <c r="Y212" s="256">
        <f>SUMIFS('Livro Diario - FC'!$M$11:$M1028,'Livro Diario - FC'!$E$11:$E1028,$C$212,'Livro Diario - FC'!$D$11:$D1028,"&gt;=01/05"&amp;$C$7,'Livro Diario - FC'!$D$11:$D1028,"&lt;=31/05"&amp;$C$7)</f>
        <v>0</v>
      </c>
      <c r="Z212" s="273"/>
      <c r="AA212" s="258"/>
      <c r="AB212" s="259"/>
      <c r="AC212" s="255">
        <f>SUMIFS('Livro Diario - FC'!$K$11:$K1028,'Livro Diario - FC'!$E$11:$E1028,$C$212,'Livro Diario - FC'!$D$11:$D1028,"&gt;=01/06"&amp;$C$7,'Livro Diario - FC'!$D$11:$D1028,"&lt;=30/06"&amp;$C$7)</f>
        <v>0</v>
      </c>
      <c r="AD212" s="256">
        <f>SUMIFS('Livro Diario - FC'!$M$11:$M1028,'Livro Diario - FC'!$E$11:$E1028,$C$212,'Livro Diario - FC'!$D$11:$D1028,"&gt;=01/06"&amp;$C$7,'Livro Diario - FC'!$D$11:$D1028,"&lt;=30/06"&amp;$C$7)</f>
        <v>0</v>
      </c>
      <c r="AE212" s="273"/>
      <c r="AF212" s="258"/>
      <c r="AG212" s="255">
        <f>SUMIFS('Livro Diario - FC'!$K$11:$K1028,'Livro Diario - FC'!$E$11:$E1028,$C$212,'Livro Diario - FC'!$D$11:$D1028,"&gt;=01/07"&amp;$C$7,'Livro Diario - FC'!$D$11:$D1028,"&lt;=31/07"&amp;$C$7)</f>
        <v>0</v>
      </c>
      <c r="AH212" s="256">
        <f>SUMIFS('Livro Diario - FC'!$M$11:$M1028,'Livro Diario - FC'!$E$11:$E1028,$C$212,'Livro Diario - FC'!$D$11:$D1028,"&gt;=01/07"&amp;$C$7,'Livro Diario - FC'!$D$11:$D1028,"&lt;=31/07"&amp;$C$7)</f>
        <v>0</v>
      </c>
      <c r="AI212" s="273"/>
      <c r="AJ212" s="258"/>
      <c r="AK212" s="255">
        <f>SUMIFS('Livro Diario - FC'!$K$11:$K1028,'Livro Diario - FC'!$E$11:$E1028,$C$212,'Livro Diario - FC'!$D$11:$D1028,"&gt;=01/08"&amp;$C$7,'Livro Diario - FC'!$D$11:$D1028,"&lt;=31/08"&amp;$C$7)</f>
        <v>0</v>
      </c>
      <c r="AL212" s="256">
        <f>SUMIFS('Livro Diario - FC'!$M$11:$M1028,'Livro Diario - FC'!$E$11:$E1028,$C$212,'Livro Diario - FC'!$D$11:$D1028,"&gt;=01/08"&amp;$C$7,'Livro Diario - FC'!$D$11:$D1028,"&lt;=31/08"&amp;$C$7)</f>
        <v>0</v>
      </c>
      <c r="AM212" s="273"/>
      <c r="AN212" s="258"/>
      <c r="AO212" s="255">
        <f>SUMIFS('Livro Diario - FC'!$K$11:$K1028,'Livro Diario - FC'!$E$11:$E1028,$C$212,'Livro Diario - FC'!$D$11:$D1028,"&gt;=01/09"&amp;$C$7,'Livro Diario - FC'!$D$11:$D1028,"&lt;=30/09"&amp;$C$7)</f>
        <v>0</v>
      </c>
      <c r="AP212" s="256">
        <f>SUMIFS('Livro Diario - FC'!$M$11:$M1028,'Livro Diario - FC'!$E$11:$E1028,$C$212,'Livro Diario - FC'!$D$11:$D1028,"&gt;=01/09"&amp;$C$7,'Livro Diario - FC'!$D$11:$D1028,"&lt;=30/09"&amp;$C$7)</f>
        <v>0</v>
      </c>
      <c r="AQ212" s="273"/>
      <c r="AR212" s="258"/>
      <c r="AS212" s="255">
        <f>SUMIFS('Livro Diario - FC'!$K$11:$K1028,'Livro Diario - FC'!$E$11:$E1028,$C$212,'Livro Diario - FC'!$D$11:$D1028,"&gt;=01/10"&amp;$C$7,'Livro Diario - FC'!$D$11:$D1028,"&lt;=31/10"&amp;$C$7)</f>
        <v>0</v>
      </c>
      <c r="AT212" s="256">
        <f>SUMIFS('Livro Diario - FC'!$M$11:$M1028,'Livro Diario - FC'!$E$11:$E1028,$C$212,'Livro Diario - FC'!$D$11:$D1028,"&gt;=01/10"&amp;$C$7,'Livro Diario - FC'!$D$11:$D1028,"&lt;=31/10"&amp;$C$7)</f>
        <v>0</v>
      </c>
      <c r="AU212" s="273"/>
      <c r="AV212" s="258"/>
      <c r="AW212" s="255">
        <f>SUMIFS('Livro Diario - FC'!$K$11:$K1028,'Livro Diario - FC'!$E$11:$E1028,$C$212,'Livro Diario - FC'!$D$11:$D1028,"&gt;=01/11"&amp;$C$7,'Livro Diario - FC'!$D$11:$D1028,"&lt;=30/11"&amp;$C$7)</f>
        <v>0</v>
      </c>
      <c r="AX212" s="256">
        <f>SUMIFS('Livro Diario - FC'!$M$11:$M1028,'Livro Diario - FC'!$E$11:$E1028,$C$212,'Livro Diario - FC'!$D$11:$D1028,"&gt;=01/11"&amp;$C$7,'Livro Diario - FC'!$D$11:$D1028,"&lt;=30/11"&amp;$C$7)</f>
        <v>0</v>
      </c>
      <c r="AY212" s="273"/>
      <c r="AZ212" s="258"/>
      <c r="BA212" s="255">
        <f>SUMIFS('Livro Diario - FC'!$K$11:$K1028,'Livro Diario - FC'!$E$11:$E1028,$C$212,'Livro Diario - FC'!$D$11:$D1028,"&gt;=01/12"&amp;$C$7,'Livro Diario - FC'!$D$11:$D1028,"&lt;=31/12"&amp;$C$7)</f>
        <v>0</v>
      </c>
      <c r="BB212" s="256">
        <f>SUMIFS('Livro Diario - FC'!$M$11:$M1028,'Livro Diario - FC'!$E$11:$E1028,$C$212,'Livro Diario - FC'!$D$11:$D1028,"&gt;=01/12"&amp;$C$7,'Livro Diario - FC'!$D$11:$D1028,"&lt;=31/12"&amp;$C$7)</f>
        <v>0</v>
      </c>
      <c r="BC212" s="273"/>
      <c r="BD212" s="273"/>
      <c r="BE212" s="267">
        <f t="shared" ref="BE212:BF212" si="313">SUM(D212,I212,N212,S212,X212,AC212,AG212,AK212,AO212,AS212,AW212,BA212)</f>
        <v>7.9</v>
      </c>
      <c r="BF212" s="268">
        <f t="shared" si="313"/>
        <v>7.9</v>
      </c>
      <c r="BG212" s="269"/>
      <c r="BH212" s="192"/>
      <c r="BI212" s="270">
        <f>SUMIFS('Livro Diario - FC'!$M$11:$M1028,'Livro Diario - FC'!$E$11:$E1028,C212,'Livro Diario - FC'!$D$11:$D1028,"&gt;="&amp;$BK$8,'Livro Diario - FC'!$D$11:$D1028,"&lt;="&amp;$BK$9)</f>
        <v>0</v>
      </c>
      <c r="BJ212" s="271"/>
      <c r="BK212" s="272"/>
      <c r="BL212" s="1"/>
    </row>
    <row r="213">
      <c r="A213" s="1"/>
      <c r="B213" s="1"/>
      <c r="C213" s="338" t="str">
        <f>'Livro Diario - FC'!AE222</f>
        <v>6x30</v>
      </c>
      <c r="D213" s="255">
        <f>SUMIFS('Livro Diario - FC'!$K$11:$K1028,'Livro Diario - FC'!$E$11:$E1028,$C$213,'Livro Diario - FC'!$D$11:$D1028,"&gt;=01/01"&amp;$C$7,'Livro Diario - FC'!$D$11:$D1028,"&lt;=31/01"&amp;$C$7)</f>
        <v>7.78</v>
      </c>
      <c r="E213" s="256">
        <f>SUMIFS('Livro Diario - FC'!$M$11:$M1028,'Livro Diario - FC'!$E$11:$E1028,$C$213,'Livro Diario - FC'!$D$11:$D1028,"&gt;=01/01"&amp;$C$7,'Livro Diario - FC'!$D$11:$D1028,"&lt;=31/01"&amp;$C$7)</f>
        <v>7.78</v>
      </c>
      <c r="F213" s="273"/>
      <c r="G213" s="258"/>
      <c r="H213" s="157"/>
      <c r="I213" s="255">
        <f>SUMIFS('Livro Diario - FC'!$K$11:$K1028,'Livro Diario - FC'!$E$11:$E1028,$C$213,'Livro Diario - FC'!$D$11:$D1028,"&gt;=01/02"&amp;$C$7,'Livro Diario - FC'!$D$11:$D1028,"&lt;=29/02"&amp;$C$7)</f>
        <v>0</v>
      </c>
      <c r="J213" s="256">
        <f>SUMIFS('Livro Diario - FC'!$M$11:$M1028,'Livro Diario - FC'!$E$11:$E1028,$C$213,'Livro Diario - FC'!$D$11:$D1028,"&gt;=01/02"&amp;$C$7,'Livro Diario - FC'!$D$11:$D1028,"&lt;=29/02"&amp;$C$7)</f>
        <v>0</v>
      </c>
      <c r="K213" s="273"/>
      <c r="L213" s="258"/>
      <c r="M213" s="259"/>
      <c r="N213" s="255">
        <f>SUMIFS('Livro Diario - FC'!$K$11:$K1028,'Livro Diario - FC'!$E$11:$E1028,$C$213,'Livro Diario - FC'!$D$11:$D1028,"&gt;=01/03"&amp;$C$7,'Livro Diario - FC'!$D$11:$D1028,"&lt;=31/03"&amp;$C$7)</f>
        <v>0</v>
      </c>
      <c r="O213" s="256">
        <f>SUMIFS('Livro Diario - FC'!$M$11:$M1028,'Livro Diario - FC'!$E$11:$E1028,$C$213,'Livro Diario - FC'!$D$11:$D1028,"&gt;=01/03"&amp;$C$7,'Livro Diario - FC'!$D$11:$D1028,"&lt;=31/03"&amp;$C$7)</f>
        <v>0</v>
      </c>
      <c r="P213" s="273"/>
      <c r="Q213" s="258"/>
      <c r="R213" s="259"/>
      <c r="S213" s="255">
        <f>SUMIFS('Livro Diario - FC'!$K$11:$K1028,'Livro Diario - FC'!$E$11:$E1028,$C$213,'Livro Diario - FC'!$D$11:$D1028,"&gt;=01/04"&amp;$C$7,'Livro Diario - FC'!$D$11:$D1028,"&lt;=30/04"&amp;$C$7)</f>
        <v>0</v>
      </c>
      <c r="T213" s="256">
        <f>SUMIFS('Livro Diario - FC'!$M$11:$M1028,'Livro Diario - FC'!$E$11:$E1028,$C$213,'Livro Diario - FC'!$D$11:$D1028,"&gt;=01/04"&amp;$C$7,'Livro Diario - FC'!$D$11:$D1028,"&lt;=30/04"&amp;$C$7)</f>
        <v>0</v>
      </c>
      <c r="U213" s="273"/>
      <c r="V213" s="258"/>
      <c r="W213" s="259"/>
      <c r="X213" s="255">
        <f>SUMIFS('Livro Diario - FC'!$K$11:$K1028,'Livro Diario - FC'!$E$11:$E1028,$C$213,'Livro Diario - FC'!$D$11:$D1028,"&gt;=01/05"&amp;$C$7,'Livro Diario - FC'!$D$11:$D1028,"&lt;=31/05"&amp;$C$7)</f>
        <v>0</v>
      </c>
      <c r="Y213" s="256">
        <f>SUMIFS('Livro Diario - FC'!$M$11:$M1028,'Livro Diario - FC'!$E$11:$E1028,$C$213,'Livro Diario - FC'!$D$11:$D1028,"&gt;=01/05"&amp;$C$7,'Livro Diario - FC'!$D$11:$D1028,"&lt;=31/05"&amp;$C$7)</f>
        <v>0</v>
      </c>
      <c r="Z213" s="273"/>
      <c r="AA213" s="258"/>
      <c r="AB213" s="259"/>
      <c r="AC213" s="255">
        <f>SUMIFS('Livro Diario - FC'!$K$11:$K1028,'Livro Diario - FC'!$E$11:$E1028,$C$213,'Livro Diario - FC'!$D$11:$D1028,"&gt;=01/06"&amp;$C$7,'Livro Diario - FC'!$D$11:$D1028,"&lt;=30/06"&amp;$C$7)</f>
        <v>0</v>
      </c>
      <c r="AD213" s="256">
        <f>SUMIFS('Livro Diario - FC'!$M$11:$M1028,'Livro Diario - FC'!$E$11:$E1028,$C$213,'Livro Diario - FC'!$D$11:$D1028,"&gt;=01/06"&amp;$C$7,'Livro Diario - FC'!$D$11:$D1028,"&lt;=30/06"&amp;$C$7)</f>
        <v>0</v>
      </c>
      <c r="AE213" s="273"/>
      <c r="AF213" s="258"/>
      <c r="AG213" s="255">
        <f>SUMIFS('Livro Diario - FC'!$K$11:$K1028,'Livro Diario - FC'!$E$11:$E1028,$C$213,'Livro Diario - FC'!$D$11:$D1028,"&gt;=01/07"&amp;$C$7,'Livro Diario - FC'!$D$11:$D1028,"&lt;=31/07"&amp;$C$7)</f>
        <v>0</v>
      </c>
      <c r="AH213" s="256">
        <f>SUMIFS('Livro Diario - FC'!$M$11:$M1028,'Livro Diario - FC'!$E$11:$E1028,$C$213,'Livro Diario - FC'!$D$11:$D1028,"&gt;=01/07"&amp;$C$7,'Livro Diario - FC'!$D$11:$D1028,"&lt;=31/07"&amp;$C$7)</f>
        <v>0</v>
      </c>
      <c r="AI213" s="273"/>
      <c r="AJ213" s="258"/>
      <c r="AK213" s="255">
        <f>SUMIFS('Livro Diario - FC'!$K$11:$K1028,'Livro Diario - FC'!$E$11:$E1028,$C$213,'Livro Diario - FC'!$D$11:$D1028,"&gt;=01/08"&amp;$C$7,'Livro Diario - FC'!$D$11:$D1028,"&lt;=31/08"&amp;$C$7)</f>
        <v>0</v>
      </c>
      <c r="AL213" s="256">
        <f>SUMIFS('Livro Diario - FC'!$M$11:$M1028,'Livro Diario - FC'!$E$11:$E1028,$C$213,'Livro Diario - FC'!$D$11:$D1028,"&gt;=01/08"&amp;$C$7,'Livro Diario - FC'!$D$11:$D1028,"&lt;=31/08"&amp;$C$7)</f>
        <v>0</v>
      </c>
      <c r="AM213" s="273"/>
      <c r="AN213" s="258"/>
      <c r="AO213" s="255">
        <f>SUMIFS('Livro Diario - FC'!$K$11:$K1028,'Livro Diario - FC'!$E$11:$E1028,$C$213,'Livro Diario - FC'!$D$11:$D1028,"&gt;=01/09"&amp;$C$7,'Livro Diario - FC'!$D$11:$D1028,"&lt;=30/09"&amp;$C$7)</f>
        <v>0</v>
      </c>
      <c r="AP213" s="256">
        <f>SUMIFS('Livro Diario - FC'!$M$11:$M1028,'Livro Diario - FC'!$E$11:$E1028,$C$213,'Livro Diario - FC'!$D$11:$D1028,"&gt;=01/09"&amp;$C$7,'Livro Diario - FC'!$D$11:$D1028,"&lt;=30/09"&amp;$C$7)</f>
        <v>0</v>
      </c>
      <c r="AQ213" s="273"/>
      <c r="AR213" s="258"/>
      <c r="AS213" s="255">
        <f>SUMIFS('Livro Diario - FC'!$K$11:$K1028,'Livro Diario - FC'!$E$11:$E1028,$C$213,'Livro Diario - FC'!$D$11:$D1028,"&gt;=01/10"&amp;$C$7,'Livro Diario - FC'!$D$11:$D1028,"&lt;=31/10"&amp;$C$7)</f>
        <v>0</v>
      </c>
      <c r="AT213" s="256">
        <f>SUMIFS('Livro Diario - FC'!$M$11:$M1028,'Livro Diario - FC'!$E$11:$E1028,$C$213,'Livro Diario - FC'!$D$11:$D1028,"&gt;=01/10"&amp;$C$7,'Livro Diario - FC'!$D$11:$D1028,"&lt;=31/10"&amp;$C$7)</f>
        <v>0</v>
      </c>
      <c r="AU213" s="273"/>
      <c r="AV213" s="258"/>
      <c r="AW213" s="255">
        <f>SUMIFS('Livro Diario - FC'!$K$11:$K1028,'Livro Diario - FC'!$E$11:$E1028,$C$213,'Livro Diario - FC'!$D$11:$D1028,"&gt;=01/11"&amp;$C$7,'Livro Diario - FC'!$D$11:$D1028,"&lt;=30/11"&amp;$C$7)</f>
        <v>0</v>
      </c>
      <c r="AX213" s="256">
        <f>SUMIFS('Livro Diario - FC'!$M$11:$M1028,'Livro Diario - FC'!$E$11:$E1028,$C$213,'Livro Diario - FC'!$D$11:$D1028,"&gt;=01/11"&amp;$C$7,'Livro Diario - FC'!$D$11:$D1028,"&lt;=30/11"&amp;$C$7)</f>
        <v>0</v>
      </c>
      <c r="AY213" s="273"/>
      <c r="AZ213" s="258"/>
      <c r="BA213" s="255">
        <f>SUMIFS('Livro Diario - FC'!$K$11:$K1028,'Livro Diario - FC'!$E$11:$E1028,$C$213,'Livro Diario - FC'!$D$11:$D1028,"&gt;=01/12"&amp;$C$7,'Livro Diario - FC'!$D$11:$D1028,"&lt;=31/12"&amp;$C$7)</f>
        <v>0</v>
      </c>
      <c r="BB213" s="256">
        <f>SUMIFS('Livro Diario - FC'!$M$11:$M1028,'Livro Diario - FC'!$E$11:$E1028,$C$213,'Livro Diario - FC'!$D$11:$D1028,"&gt;=01/12"&amp;$C$7,'Livro Diario - FC'!$D$11:$D1028,"&lt;=31/12"&amp;$C$7)</f>
        <v>0</v>
      </c>
      <c r="BC213" s="273"/>
      <c r="BD213" s="273"/>
      <c r="BE213" s="267">
        <f t="shared" ref="BE213:BF213" si="314">SUM(D213,I213,N213,S213,X213,AC213,AG213,AK213,AO213,AS213,AW213,BA213)</f>
        <v>7.78</v>
      </c>
      <c r="BF213" s="268">
        <f t="shared" si="314"/>
        <v>7.78</v>
      </c>
      <c r="BG213" s="269"/>
      <c r="BH213" s="192"/>
      <c r="BI213" s="270">
        <f>SUMIFS('Livro Diario - FC'!$M$11:$M1028,'Livro Diario - FC'!$E$11:$E1028,C213,'Livro Diario - FC'!$D$11:$D1028,"&gt;="&amp;$BK$8,'Livro Diario - FC'!$D$11:$D1028,"&lt;="&amp;$BK$9)</f>
        <v>0</v>
      </c>
      <c r="BJ213" s="271"/>
      <c r="BK213" s="272"/>
      <c r="BL213" s="1"/>
    </row>
    <row r="214">
      <c r="A214" s="1"/>
      <c r="B214" s="1"/>
      <c r="C214" s="338" t="str">
        <f>'Livro Diario - FC'!AE223</f>
        <v>Pote de Pudim</v>
      </c>
      <c r="D214" s="255">
        <f>SUMIFS('Livro Diario - FC'!$K$11:$K1028,'Livro Diario - FC'!$E$11:$E1028,$C$214,'Livro Diario - FC'!$D$11:$D1028,"&gt;=01/01"&amp;$C$7,'Livro Diario - FC'!$D$11:$D1028,"&lt;=31/01"&amp;$C$7)</f>
        <v>0</v>
      </c>
      <c r="E214" s="256">
        <f>SUMIFS('Livro Diario - FC'!$M$11:$M1028,'Livro Diario - FC'!$E$11:$E1028,$C$214,'Livro Diario - FC'!$D$11:$D1028,"&gt;=01/01"&amp;$C$7,'Livro Diario - FC'!$D$11:$D1028,"&lt;=31/01"&amp;$C$7)</f>
        <v>0</v>
      </c>
      <c r="F214" s="273"/>
      <c r="G214" s="258"/>
      <c r="H214" s="157"/>
      <c r="I214" s="255">
        <f>SUMIFS('Livro Diario - FC'!$K$11:$K1028,'Livro Diario - FC'!$E$11:$E1028,$C$214,'Livro Diario - FC'!$D$11:$D1028,"&gt;=01/02"&amp;$C$7,'Livro Diario - FC'!$D$11:$D1028,"&lt;=29/02"&amp;$C$7)</f>
        <v>0</v>
      </c>
      <c r="J214" s="256">
        <f>SUMIFS('Livro Diario - FC'!$M$11:$M1028,'Livro Diario - FC'!$E$11:$E1028,$C$214,'Livro Diario - FC'!$D$11:$D1028,"&gt;=01/02"&amp;$C$7,'Livro Diario - FC'!$D$11:$D1028,"&lt;=29/02"&amp;$C$7)</f>
        <v>0</v>
      </c>
      <c r="K214" s="273"/>
      <c r="L214" s="258"/>
      <c r="M214" s="259"/>
      <c r="N214" s="255">
        <f>SUMIFS('Livro Diario - FC'!$K$11:$K1028,'Livro Diario - FC'!$E$11:$E1028,$C$214,'Livro Diario - FC'!$D$11:$D1028,"&gt;=01/03"&amp;$C$7,'Livro Diario - FC'!$D$11:$D1028,"&lt;=31/03"&amp;$C$7)</f>
        <v>0</v>
      </c>
      <c r="O214" s="256">
        <f>SUMIFS('Livro Diario - FC'!$M$11:$M1028,'Livro Diario - FC'!$E$11:$E1028,$C$214,'Livro Diario - FC'!$D$11:$D1028,"&gt;=01/03"&amp;$C$7,'Livro Diario - FC'!$D$11:$D1028,"&lt;=31/03"&amp;$C$7)</f>
        <v>0</v>
      </c>
      <c r="P214" s="273"/>
      <c r="Q214" s="258"/>
      <c r="R214" s="259"/>
      <c r="S214" s="255">
        <f>SUMIFS('Livro Diario - FC'!$K$11:$K1028,'Livro Diario - FC'!$E$11:$E1028,$C$214,'Livro Diario - FC'!$D$11:$D1028,"&gt;=01/04"&amp;$C$7,'Livro Diario - FC'!$D$11:$D1028,"&lt;=30/04"&amp;$C$7)</f>
        <v>0</v>
      </c>
      <c r="T214" s="256">
        <f>SUMIFS('Livro Diario - FC'!$M$11:$M1028,'Livro Diario - FC'!$E$11:$E1028,$C$214,'Livro Diario - FC'!$D$11:$D1028,"&gt;=01/04"&amp;$C$7,'Livro Diario - FC'!$D$11:$D1028,"&lt;=30/04"&amp;$C$7)</f>
        <v>0</v>
      </c>
      <c r="U214" s="273"/>
      <c r="V214" s="258"/>
      <c r="W214" s="259"/>
      <c r="X214" s="255">
        <f>SUMIFS('Livro Diario - FC'!$K$11:$K1028,'Livro Diario - FC'!$E$11:$E1028,$C$214,'Livro Diario - FC'!$D$11:$D1028,"&gt;=01/05"&amp;$C$7,'Livro Diario - FC'!$D$11:$D1028,"&lt;=31/05"&amp;$C$7)</f>
        <v>0</v>
      </c>
      <c r="Y214" s="256">
        <f>SUMIFS('Livro Diario - FC'!$M$11:$M1028,'Livro Diario - FC'!$E$11:$E1028,$C$214,'Livro Diario - FC'!$D$11:$D1028,"&gt;=01/05"&amp;$C$7,'Livro Diario - FC'!$D$11:$D1028,"&lt;=31/05"&amp;$C$7)</f>
        <v>0</v>
      </c>
      <c r="Z214" s="273"/>
      <c r="AA214" s="258"/>
      <c r="AB214" s="259"/>
      <c r="AC214" s="255">
        <f>SUMIFS('Livro Diario - FC'!$K$11:$K1028,'Livro Diario - FC'!$E$11:$E1028,$C$214,'Livro Diario - FC'!$D$11:$D1028,"&gt;=01/06"&amp;$C$7,'Livro Diario - FC'!$D$11:$D1028,"&lt;=30/06"&amp;$C$7)</f>
        <v>0</v>
      </c>
      <c r="AD214" s="256">
        <f>SUMIFS('Livro Diario - FC'!$M$11:$M1028,'Livro Diario - FC'!$E$11:$E1028,$C$214,'Livro Diario - FC'!$D$11:$D1028,"&gt;=01/06"&amp;$C$7,'Livro Diario - FC'!$D$11:$D1028,"&lt;=30/06"&amp;$C$7)</f>
        <v>0</v>
      </c>
      <c r="AE214" s="273"/>
      <c r="AF214" s="258"/>
      <c r="AG214" s="255">
        <f>SUMIFS('Livro Diario - FC'!$K$11:$K1028,'Livro Diario - FC'!$E$11:$E1028,$C$214,'Livro Diario - FC'!$D$11:$D1028,"&gt;=01/07"&amp;$C$7,'Livro Diario - FC'!$D$11:$D1028,"&lt;=31/07"&amp;$C$7)</f>
        <v>0</v>
      </c>
      <c r="AH214" s="256">
        <f>SUMIFS('Livro Diario - FC'!$M$11:$M1028,'Livro Diario - FC'!$E$11:$E1028,$C$214,'Livro Diario - FC'!$D$11:$D1028,"&gt;=01/07"&amp;$C$7,'Livro Diario - FC'!$D$11:$D1028,"&lt;=31/07"&amp;$C$7)</f>
        <v>0</v>
      </c>
      <c r="AI214" s="273"/>
      <c r="AJ214" s="258"/>
      <c r="AK214" s="255">
        <f>SUMIFS('Livro Diario - FC'!$K$11:$K1028,'Livro Diario - FC'!$E$11:$E1028,$C$214,'Livro Diario - FC'!$D$11:$D1028,"&gt;=01/08"&amp;$C$7,'Livro Diario - FC'!$D$11:$D1028,"&lt;=31/08"&amp;$C$7)</f>
        <v>0</v>
      </c>
      <c r="AL214" s="256">
        <f>SUMIFS('Livro Diario - FC'!$M$11:$M1028,'Livro Diario - FC'!$E$11:$E1028,$C$214,'Livro Diario - FC'!$D$11:$D1028,"&gt;=01/08"&amp;$C$7,'Livro Diario - FC'!$D$11:$D1028,"&lt;=31/08"&amp;$C$7)</f>
        <v>0</v>
      </c>
      <c r="AM214" s="273"/>
      <c r="AN214" s="258"/>
      <c r="AO214" s="255">
        <f>SUMIFS('Livro Diario - FC'!$K$11:$K1028,'Livro Diario - FC'!$E$11:$E1028,$C$214,'Livro Diario - FC'!$D$11:$D1028,"&gt;=01/09"&amp;$C$7,'Livro Diario - FC'!$D$11:$D1028,"&lt;=30/09"&amp;$C$7)</f>
        <v>0</v>
      </c>
      <c r="AP214" s="256">
        <f>SUMIFS('Livro Diario - FC'!$M$11:$M1028,'Livro Diario - FC'!$E$11:$E1028,$C$214,'Livro Diario - FC'!$D$11:$D1028,"&gt;=01/09"&amp;$C$7,'Livro Diario - FC'!$D$11:$D1028,"&lt;=30/09"&amp;$C$7)</f>
        <v>0</v>
      </c>
      <c r="AQ214" s="273"/>
      <c r="AR214" s="258"/>
      <c r="AS214" s="255">
        <f>SUMIFS('Livro Diario - FC'!$K$11:$K1028,'Livro Diario - FC'!$E$11:$E1028,$C$214,'Livro Diario - FC'!$D$11:$D1028,"&gt;=01/10"&amp;$C$7,'Livro Diario - FC'!$D$11:$D1028,"&lt;=31/10"&amp;$C$7)</f>
        <v>0</v>
      </c>
      <c r="AT214" s="256">
        <f>SUMIFS('Livro Diario - FC'!$M$11:$M1028,'Livro Diario - FC'!$E$11:$E1028,$C$214,'Livro Diario - FC'!$D$11:$D1028,"&gt;=01/10"&amp;$C$7,'Livro Diario - FC'!$D$11:$D1028,"&lt;=31/10"&amp;$C$7)</f>
        <v>0</v>
      </c>
      <c r="AU214" s="273"/>
      <c r="AV214" s="258"/>
      <c r="AW214" s="255">
        <f>SUMIFS('Livro Diario - FC'!$K$11:$K1028,'Livro Diario - FC'!$E$11:$E1028,$C$214,'Livro Diario - FC'!$D$11:$D1028,"&gt;=01/11"&amp;$C$7,'Livro Diario - FC'!$D$11:$D1028,"&lt;=30/11"&amp;$C$7)</f>
        <v>0</v>
      </c>
      <c r="AX214" s="256">
        <f>SUMIFS('Livro Diario - FC'!$M$11:$M1028,'Livro Diario - FC'!$E$11:$E1028,$C$214,'Livro Diario - FC'!$D$11:$D1028,"&gt;=01/11"&amp;$C$7,'Livro Diario - FC'!$D$11:$D1028,"&lt;=30/11"&amp;$C$7)</f>
        <v>0</v>
      </c>
      <c r="AY214" s="273"/>
      <c r="AZ214" s="258"/>
      <c r="BA214" s="255">
        <f>SUMIFS('Livro Diario - FC'!$K$11:$K1028,'Livro Diario - FC'!$E$11:$E1028,$C$214,'Livro Diario - FC'!$D$11:$D1028,"&gt;=01/12"&amp;$C$7,'Livro Diario - FC'!$D$11:$D1028,"&lt;=31/12"&amp;$C$7)</f>
        <v>0</v>
      </c>
      <c r="BB214" s="256">
        <f>SUMIFS('Livro Diario - FC'!$M$11:$M1028,'Livro Diario - FC'!$E$11:$E1028,$C$214,'Livro Diario - FC'!$D$11:$D1028,"&gt;=01/12"&amp;$C$7,'Livro Diario - FC'!$D$11:$D1028,"&lt;=31/12"&amp;$C$7)</f>
        <v>0</v>
      </c>
      <c r="BC214" s="273"/>
      <c r="BD214" s="273"/>
      <c r="BE214" s="267">
        <f t="shared" ref="BE214:BF214" si="315">SUM(D214,I214,N214,S214,X214,AC214,AG214,AK214,AO214,AS214,AW214,BA214)</f>
        <v>0</v>
      </c>
      <c r="BF214" s="268">
        <f t="shared" si="315"/>
        <v>0</v>
      </c>
      <c r="BG214" s="269"/>
      <c r="BH214" s="192"/>
      <c r="BI214" s="270">
        <f>SUMIFS('Livro Diario - FC'!$M$11:$M1028,'Livro Diario - FC'!$E$11:$E1028,C214,'Livro Diario - FC'!$D$11:$D1028,"&gt;="&amp;$BK$8,'Livro Diario - FC'!$D$11:$D1028,"&lt;="&amp;$BK$9)</f>
        <v>0</v>
      </c>
      <c r="BJ214" s="271"/>
      <c r="BK214" s="272"/>
      <c r="BL214" s="1"/>
    </row>
    <row r="215">
      <c r="A215" s="1"/>
      <c r="B215" s="1"/>
      <c r="C215" s="338" t="str">
        <f>'Livro Diario - FC'!AE224</f>
        <v>Bobina picotada</v>
      </c>
      <c r="D215" s="255">
        <f>SUMIFS('Livro Diario - FC'!$K$11:$K1028,'Livro Diario - FC'!$E$11:$E1028,$C$215,'Livro Diario - FC'!$D$11:$D1028,"&gt;=01/01"&amp;$C$7,'Livro Diario - FC'!$D$11:$D1028,"&lt;=31/01"&amp;$C$7)</f>
        <v>0</v>
      </c>
      <c r="E215" s="256">
        <f>SUMIFS('Livro Diario - FC'!$M$11:$M1028,'Livro Diario - FC'!$E$11:$E1028,$C$215,'Livro Diario - FC'!$D$11:$D1028,"&gt;=01/01"&amp;$C$7,'Livro Diario - FC'!$D$11:$D1028,"&lt;=31/01"&amp;$C$7)</f>
        <v>0</v>
      </c>
      <c r="F215" s="273"/>
      <c r="G215" s="258"/>
      <c r="H215" s="157"/>
      <c r="I215" s="255">
        <f>SUMIFS('Livro Diario - FC'!$K$11:$K1028,'Livro Diario - FC'!$E$11:$E1028,$C$215,'Livro Diario - FC'!$D$11:$D1028,"&gt;=01/02"&amp;$C$7,'Livro Diario - FC'!$D$11:$D1028,"&lt;=29/02"&amp;$C$7)</f>
        <v>0</v>
      </c>
      <c r="J215" s="256">
        <f>SUMIFS('Livro Diario - FC'!$M$11:$M1028,'Livro Diario - FC'!$E$11:$E1028,$C$215,'Livro Diario - FC'!$D$11:$D1028,"&gt;=01/02"&amp;$C$7,'Livro Diario - FC'!$D$11:$D1028,"&lt;=29/02"&amp;$C$7)</f>
        <v>0</v>
      </c>
      <c r="K215" s="273"/>
      <c r="L215" s="258"/>
      <c r="M215" s="259"/>
      <c r="N215" s="255">
        <f>SUMIFS('Livro Diario - FC'!$K$11:$K1028,'Livro Diario - FC'!$E$11:$E1028,$C$215,'Livro Diario - FC'!$D$11:$D1028,"&gt;=01/03"&amp;$C$7,'Livro Diario - FC'!$D$11:$D1028,"&lt;=31/03"&amp;$C$7)</f>
        <v>0</v>
      </c>
      <c r="O215" s="256">
        <f>SUMIFS('Livro Diario - FC'!$M$11:$M1028,'Livro Diario - FC'!$E$11:$E1028,$C$215,'Livro Diario - FC'!$D$11:$D1028,"&gt;=01/03"&amp;$C$7,'Livro Diario - FC'!$D$11:$D1028,"&lt;=31/03"&amp;$C$7)</f>
        <v>0</v>
      </c>
      <c r="P215" s="273"/>
      <c r="Q215" s="258"/>
      <c r="R215" s="259"/>
      <c r="S215" s="255">
        <f>SUMIFS('Livro Diario - FC'!$K$11:$K1028,'Livro Diario - FC'!$E$11:$E1028,$C$215,'Livro Diario - FC'!$D$11:$D1028,"&gt;=01/04"&amp;$C$7,'Livro Diario - FC'!$D$11:$D1028,"&lt;=30/04"&amp;$C$7)</f>
        <v>0</v>
      </c>
      <c r="T215" s="256">
        <f>SUMIFS('Livro Diario - FC'!$M$11:$M1028,'Livro Diario - FC'!$E$11:$E1028,$C$215,'Livro Diario - FC'!$D$11:$D1028,"&gt;=01/04"&amp;$C$7,'Livro Diario - FC'!$D$11:$D1028,"&lt;=30/04"&amp;$C$7)</f>
        <v>0</v>
      </c>
      <c r="U215" s="273"/>
      <c r="V215" s="258"/>
      <c r="W215" s="259"/>
      <c r="X215" s="255">
        <f>SUMIFS('Livro Diario - FC'!$K$11:$K1028,'Livro Diario - FC'!$E$11:$E1028,$C$215,'Livro Diario - FC'!$D$11:$D1028,"&gt;=01/05"&amp;$C$7,'Livro Diario - FC'!$D$11:$D1028,"&lt;=31/05"&amp;$C$7)</f>
        <v>0</v>
      </c>
      <c r="Y215" s="256">
        <f>SUMIFS('Livro Diario - FC'!$M$11:$M1028,'Livro Diario - FC'!$E$11:$E1028,$C$215,'Livro Diario - FC'!$D$11:$D1028,"&gt;=01/05"&amp;$C$7,'Livro Diario - FC'!$D$11:$D1028,"&lt;=31/05"&amp;$C$7)</f>
        <v>0</v>
      </c>
      <c r="Z215" s="273"/>
      <c r="AA215" s="258"/>
      <c r="AB215" s="259"/>
      <c r="AC215" s="255">
        <f>SUMIFS('Livro Diario - FC'!$K$11:$K1028,'Livro Diario - FC'!$E$11:$E1028,$C$215,'Livro Diario - FC'!$D$11:$D1028,"&gt;=01/06"&amp;$C$7,'Livro Diario - FC'!$D$11:$D1028,"&lt;=30/06"&amp;$C$7)</f>
        <v>0</v>
      </c>
      <c r="AD215" s="256">
        <f>SUMIFS('Livro Diario - FC'!$M$11:$M1028,'Livro Diario - FC'!$E$11:$E1028,$C$215,'Livro Diario - FC'!$D$11:$D1028,"&gt;=01/06"&amp;$C$7,'Livro Diario - FC'!$D$11:$D1028,"&lt;=30/06"&amp;$C$7)</f>
        <v>0</v>
      </c>
      <c r="AE215" s="273"/>
      <c r="AF215" s="258"/>
      <c r="AG215" s="255">
        <f>SUMIFS('Livro Diario - FC'!$K$11:$K1028,'Livro Diario - FC'!$E$11:$E1028,$C$215,'Livro Diario - FC'!$D$11:$D1028,"&gt;=01/07"&amp;$C$7,'Livro Diario - FC'!$D$11:$D1028,"&lt;=31/07"&amp;$C$7)</f>
        <v>0</v>
      </c>
      <c r="AH215" s="256">
        <f>SUMIFS('Livro Diario - FC'!$M$11:$M1028,'Livro Diario - FC'!$E$11:$E1028,$C$215,'Livro Diario - FC'!$D$11:$D1028,"&gt;=01/07"&amp;$C$7,'Livro Diario - FC'!$D$11:$D1028,"&lt;=31/07"&amp;$C$7)</f>
        <v>0</v>
      </c>
      <c r="AI215" s="273"/>
      <c r="AJ215" s="258"/>
      <c r="AK215" s="255">
        <f>SUMIFS('Livro Diario - FC'!$K$11:$K1028,'Livro Diario - FC'!$E$11:$E1028,$C$215,'Livro Diario - FC'!$D$11:$D1028,"&gt;=01/08"&amp;$C$7,'Livro Diario - FC'!$D$11:$D1028,"&lt;=31/08"&amp;$C$7)</f>
        <v>0</v>
      </c>
      <c r="AL215" s="256">
        <f>SUMIFS('Livro Diario - FC'!$M$11:$M1028,'Livro Diario - FC'!$E$11:$E1028,$C$215,'Livro Diario - FC'!$D$11:$D1028,"&gt;=01/08"&amp;$C$7,'Livro Diario - FC'!$D$11:$D1028,"&lt;=31/08"&amp;$C$7)</f>
        <v>0</v>
      </c>
      <c r="AM215" s="273"/>
      <c r="AN215" s="258"/>
      <c r="AO215" s="255">
        <f>SUMIFS('Livro Diario - FC'!$K$11:$K1028,'Livro Diario - FC'!$E$11:$E1028,$C$215,'Livro Diario - FC'!$D$11:$D1028,"&gt;=01/09"&amp;$C$7,'Livro Diario - FC'!$D$11:$D1028,"&lt;=30/09"&amp;$C$7)</f>
        <v>0</v>
      </c>
      <c r="AP215" s="256">
        <f>SUMIFS('Livro Diario - FC'!$M$11:$M1028,'Livro Diario - FC'!$E$11:$E1028,$C$215,'Livro Diario - FC'!$D$11:$D1028,"&gt;=01/09"&amp;$C$7,'Livro Diario - FC'!$D$11:$D1028,"&lt;=30/09"&amp;$C$7)</f>
        <v>0</v>
      </c>
      <c r="AQ215" s="273"/>
      <c r="AR215" s="258"/>
      <c r="AS215" s="255">
        <f>SUMIFS('Livro Diario - FC'!$K$11:$K1028,'Livro Diario - FC'!$E$11:$E1028,$C$215,'Livro Diario - FC'!$D$11:$D1028,"&gt;=01/10"&amp;$C$7,'Livro Diario - FC'!$D$11:$D1028,"&lt;=31/10"&amp;$C$7)</f>
        <v>0</v>
      </c>
      <c r="AT215" s="256">
        <f>SUMIFS('Livro Diario - FC'!$M$11:$M1028,'Livro Diario - FC'!$E$11:$E1028,$C$215,'Livro Diario - FC'!$D$11:$D1028,"&gt;=01/10"&amp;$C$7,'Livro Diario - FC'!$D$11:$D1028,"&lt;=31/10"&amp;$C$7)</f>
        <v>0</v>
      </c>
      <c r="AU215" s="273"/>
      <c r="AV215" s="258"/>
      <c r="AW215" s="255">
        <f>SUMIFS('Livro Diario - FC'!$K$11:$K1028,'Livro Diario - FC'!$E$11:$E1028,$C$215,'Livro Diario - FC'!$D$11:$D1028,"&gt;=01/11"&amp;$C$7,'Livro Diario - FC'!$D$11:$D1028,"&lt;=30/11"&amp;$C$7)</f>
        <v>0</v>
      </c>
      <c r="AX215" s="256">
        <f>SUMIFS('Livro Diario - FC'!$M$11:$M1028,'Livro Diario - FC'!$E$11:$E1028,$C$215,'Livro Diario - FC'!$D$11:$D1028,"&gt;=01/11"&amp;$C$7,'Livro Diario - FC'!$D$11:$D1028,"&lt;=30/11"&amp;$C$7)</f>
        <v>0</v>
      </c>
      <c r="AY215" s="273"/>
      <c r="AZ215" s="258"/>
      <c r="BA215" s="255">
        <f>SUMIFS('Livro Diario - FC'!$K$11:$K1028,'Livro Diario - FC'!$E$11:$E1028,$C$215,'Livro Diario - FC'!$D$11:$D1028,"&gt;=01/12"&amp;$C$7,'Livro Diario - FC'!$D$11:$D1028,"&lt;=31/12"&amp;$C$7)</f>
        <v>0</v>
      </c>
      <c r="BB215" s="256">
        <f>SUMIFS('Livro Diario - FC'!$M$11:$M1028,'Livro Diario - FC'!$E$11:$E1028,$C$215,'Livro Diario - FC'!$D$11:$D1028,"&gt;=01/12"&amp;$C$7,'Livro Diario - FC'!$D$11:$D1028,"&lt;=31/12"&amp;$C$7)</f>
        <v>0</v>
      </c>
      <c r="BC215" s="273"/>
      <c r="BD215" s="273"/>
      <c r="BE215" s="267">
        <f t="shared" ref="BE215:BF215" si="316">SUM(D215,I215,N215,S215,X215,AC215,AG215,AK215,AO215,AS215,AW215,BA215)</f>
        <v>0</v>
      </c>
      <c r="BF215" s="268">
        <f t="shared" si="316"/>
        <v>0</v>
      </c>
      <c r="BG215" s="269"/>
      <c r="BH215" s="192"/>
      <c r="BI215" s="270">
        <f>SUMIFS('Livro Diario - FC'!$M$11:$M1028,'Livro Diario - FC'!$E$11:$E1028,C215,'Livro Diario - FC'!$D$11:$D1028,"&gt;="&amp;$BK$8,'Livro Diario - FC'!$D$11:$D1028,"&lt;="&amp;$BK$9)</f>
        <v>0</v>
      </c>
      <c r="BJ215" s="271"/>
      <c r="BK215" s="272"/>
      <c r="BL215" s="1"/>
    </row>
    <row r="216">
      <c r="A216" s="1"/>
      <c r="B216" s="1"/>
      <c r="C216" s="338" t="str">
        <f>'Livro Diario - FC'!AE225</f>
        <v>Garfo </v>
      </c>
      <c r="D216" s="255">
        <f>SUMIFS('Livro Diario - FC'!$K$11:$K1028,'Livro Diario - FC'!$E$11:$E1028,$C$216,'Livro Diario - FC'!$D$11:$D1028,"&gt;=01/01"&amp;$C$7,'Livro Diario - FC'!$D$11:$D1028,"&lt;=31/01"&amp;$C$7)</f>
        <v>12.8</v>
      </c>
      <c r="E216" s="256">
        <f>SUMIFS('Livro Diario - FC'!$M$11:$M1028,'Livro Diario - FC'!$E$11:$E1028,$C$216,'Livro Diario - FC'!$D$11:$D1028,"&gt;=01/01"&amp;$C$7,'Livro Diario - FC'!$D$11:$D1028,"&lt;=31/01"&amp;$C$7)</f>
        <v>12.8</v>
      </c>
      <c r="F216" s="273"/>
      <c r="G216" s="258"/>
      <c r="H216" s="157"/>
      <c r="I216" s="255">
        <f>SUMIFS('Livro Diario - FC'!$K$11:$K1028,'Livro Diario - FC'!$E$11:$E1028,$C$216,'Livro Diario - FC'!$D$11:$D1028,"&gt;=01/02"&amp;$C$7,'Livro Diario - FC'!$D$11:$D1028,"&lt;=29/02"&amp;$C$7)</f>
        <v>0</v>
      </c>
      <c r="J216" s="256">
        <f>SUMIFS('Livro Diario - FC'!$M$11:$M1028,'Livro Diario - FC'!$E$11:$E1028,$C$216,'Livro Diario - FC'!$D$11:$D1028,"&gt;=01/02"&amp;$C$7,'Livro Diario - FC'!$D$11:$D1028,"&lt;=29/02"&amp;$C$7)</f>
        <v>0</v>
      </c>
      <c r="K216" s="273"/>
      <c r="L216" s="258"/>
      <c r="M216" s="259"/>
      <c r="N216" s="255">
        <f>SUMIFS('Livro Diario - FC'!$K$11:$K1028,'Livro Diario - FC'!$E$11:$E1028,$C$216,'Livro Diario - FC'!$D$11:$D1028,"&gt;=01/03"&amp;$C$7,'Livro Diario - FC'!$D$11:$D1028,"&lt;=31/03"&amp;$C$7)</f>
        <v>0</v>
      </c>
      <c r="O216" s="256">
        <f>SUMIFS('Livro Diario - FC'!$M$11:$M1028,'Livro Diario - FC'!$E$11:$E1028,$C$216,'Livro Diario - FC'!$D$11:$D1028,"&gt;=01/03"&amp;$C$7,'Livro Diario - FC'!$D$11:$D1028,"&lt;=31/03"&amp;$C$7)</f>
        <v>0</v>
      </c>
      <c r="P216" s="273"/>
      <c r="Q216" s="258"/>
      <c r="R216" s="259"/>
      <c r="S216" s="255">
        <f>SUMIFS('Livro Diario - FC'!$K$11:$K1028,'Livro Diario - FC'!$E$11:$E1028,$C$216,'Livro Diario - FC'!$D$11:$D1028,"&gt;=01/04"&amp;$C$7,'Livro Diario - FC'!$D$11:$D1028,"&lt;=30/04"&amp;$C$7)</f>
        <v>0</v>
      </c>
      <c r="T216" s="256">
        <f>SUMIFS('Livro Diario - FC'!$M$11:$M1028,'Livro Diario - FC'!$E$11:$E1028,$C$216,'Livro Diario - FC'!$D$11:$D1028,"&gt;=01/04"&amp;$C$7,'Livro Diario - FC'!$D$11:$D1028,"&lt;=30/04"&amp;$C$7)</f>
        <v>0</v>
      </c>
      <c r="U216" s="273"/>
      <c r="V216" s="258"/>
      <c r="W216" s="259"/>
      <c r="X216" s="255">
        <f>SUMIFS('Livro Diario - FC'!$K$11:$K1028,'Livro Diario - FC'!$E$11:$E1028,$C$216,'Livro Diario - FC'!$D$11:$D1028,"&gt;=01/05"&amp;$C$7,'Livro Diario - FC'!$D$11:$D1028,"&lt;=31/05"&amp;$C$7)</f>
        <v>0</v>
      </c>
      <c r="Y216" s="256">
        <f>SUMIFS('Livro Diario - FC'!$M$11:$M1028,'Livro Diario - FC'!$E$11:$E1028,$C$216,'Livro Diario - FC'!$D$11:$D1028,"&gt;=01/05"&amp;$C$7,'Livro Diario - FC'!$D$11:$D1028,"&lt;=31/05"&amp;$C$7)</f>
        <v>0</v>
      </c>
      <c r="Z216" s="273"/>
      <c r="AA216" s="258"/>
      <c r="AB216" s="259"/>
      <c r="AC216" s="255">
        <f>SUMIFS('Livro Diario - FC'!$K$11:$K1028,'Livro Diario - FC'!$E$11:$E1028,$C$216,'Livro Diario - FC'!$D$11:$D1028,"&gt;=01/06"&amp;$C$7,'Livro Diario - FC'!$D$11:$D1028,"&lt;=30/06"&amp;$C$7)</f>
        <v>0</v>
      </c>
      <c r="AD216" s="256">
        <f>SUMIFS('Livro Diario - FC'!$M$11:$M1028,'Livro Diario - FC'!$E$11:$E1028,$C$216,'Livro Diario - FC'!$D$11:$D1028,"&gt;=01/06"&amp;$C$7,'Livro Diario - FC'!$D$11:$D1028,"&lt;=30/06"&amp;$C$7)</f>
        <v>0</v>
      </c>
      <c r="AE216" s="273"/>
      <c r="AF216" s="258"/>
      <c r="AG216" s="255">
        <f>SUMIFS('Livro Diario - FC'!$K$11:$K1028,'Livro Diario - FC'!$E$11:$E1028,$C$216,'Livro Diario - FC'!$D$11:$D1028,"&gt;=01/07"&amp;$C$7,'Livro Diario - FC'!$D$11:$D1028,"&lt;=31/07"&amp;$C$7)</f>
        <v>0</v>
      </c>
      <c r="AH216" s="256">
        <f>SUMIFS('Livro Diario - FC'!$M$11:$M1028,'Livro Diario - FC'!$E$11:$E1028,$C$216,'Livro Diario - FC'!$D$11:$D1028,"&gt;=01/07"&amp;$C$7,'Livro Diario - FC'!$D$11:$D1028,"&lt;=31/07"&amp;$C$7)</f>
        <v>0</v>
      </c>
      <c r="AI216" s="273"/>
      <c r="AJ216" s="258"/>
      <c r="AK216" s="255">
        <f>SUMIFS('Livro Diario - FC'!$K$11:$K1028,'Livro Diario - FC'!$E$11:$E1028,$C$216,'Livro Diario - FC'!$D$11:$D1028,"&gt;=01/08"&amp;$C$7,'Livro Diario - FC'!$D$11:$D1028,"&lt;=31/08"&amp;$C$7)</f>
        <v>0</v>
      </c>
      <c r="AL216" s="256">
        <f>SUMIFS('Livro Diario - FC'!$M$11:$M1028,'Livro Diario - FC'!$E$11:$E1028,$C$216,'Livro Diario - FC'!$D$11:$D1028,"&gt;=01/08"&amp;$C$7,'Livro Diario - FC'!$D$11:$D1028,"&lt;=31/08"&amp;$C$7)</f>
        <v>0</v>
      </c>
      <c r="AM216" s="273"/>
      <c r="AN216" s="258"/>
      <c r="AO216" s="255">
        <f>SUMIFS('Livro Diario - FC'!$K$11:$K1028,'Livro Diario - FC'!$E$11:$E1028,$C$216,'Livro Diario - FC'!$D$11:$D1028,"&gt;=01/09"&amp;$C$7,'Livro Diario - FC'!$D$11:$D1028,"&lt;=30/09"&amp;$C$7)</f>
        <v>0</v>
      </c>
      <c r="AP216" s="256">
        <f>SUMIFS('Livro Diario - FC'!$M$11:$M1028,'Livro Diario - FC'!$E$11:$E1028,$C$216,'Livro Diario - FC'!$D$11:$D1028,"&gt;=01/09"&amp;$C$7,'Livro Diario - FC'!$D$11:$D1028,"&lt;=30/09"&amp;$C$7)</f>
        <v>0</v>
      </c>
      <c r="AQ216" s="273"/>
      <c r="AR216" s="258"/>
      <c r="AS216" s="255">
        <f>SUMIFS('Livro Diario - FC'!$K$11:$K1028,'Livro Diario - FC'!$E$11:$E1028,$C$216,'Livro Diario - FC'!$D$11:$D1028,"&gt;=01/10"&amp;$C$7,'Livro Diario - FC'!$D$11:$D1028,"&lt;=31/10"&amp;$C$7)</f>
        <v>0</v>
      </c>
      <c r="AT216" s="256">
        <f>SUMIFS('Livro Diario - FC'!$M$11:$M1028,'Livro Diario - FC'!$E$11:$E1028,$C$216,'Livro Diario - FC'!$D$11:$D1028,"&gt;=01/10"&amp;$C$7,'Livro Diario - FC'!$D$11:$D1028,"&lt;=31/10"&amp;$C$7)</f>
        <v>0</v>
      </c>
      <c r="AU216" s="273"/>
      <c r="AV216" s="258"/>
      <c r="AW216" s="255">
        <f>SUMIFS('Livro Diario - FC'!$K$11:$K1028,'Livro Diario - FC'!$E$11:$E1028,$C$216,'Livro Diario - FC'!$D$11:$D1028,"&gt;=01/11"&amp;$C$7,'Livro Diario - FC'!$D$11:$D1028,"&lt;=30/11"&amp;$C$7)</f>
        <v>0</v>
      </c>
      <c r="AX216" s="256">
        <f>SUMIFS('Livro Diario - FC'!$M$11:$M1028,'Livro Diario - FC'!$E$11:$E1028,$C$216,'Livro Diario - FC'!$D$11:$D1028,"&gt;=01/11"&amp;$C$7,'Livro Diario - FC'!$D$11:$D1028,"&lt;=30/11"&amp;$C$7)</f>
        <v>0</v>
      </c>
      <c r="AY216" s="273"/>
      <c r="AZ216" s="258"/>
      <c r="BA216" s="255">
        <f>SUMIFS('Livro Diario - FC'!$K$11:$K1028,'Livro Diario - FC'!$E$11:$E1028,$C$216,'Livro Diario - FC'!$D$11:$D1028,"&gt;=01/12"&amp;$C$7,'Livro Diario - FC'!$D$11:$D1028,"&lt;=31/12"&amp;$C$7)</f>
        <v>0</v>
      </c>
      <c r="BB216" s="256">
        <f>SUMIFS('Livro Diario - FC'!$M$11:$M1028,'Livro Diario - FC'!$E$11:$E1028,$C$216,'Livro Diario - FC'!$D$11:$D1028,"&gt;=01/12"&amp;$C$7,'Livro Diario - FC'!$D$11:$D1028,"&lt;=31/12"&amp;$C$7)</f>
        <v>0</v>
      </c>
      <c r="BC216" s="273"/>
      <c r="BD216" s="273"/>
      <c r="BE216" s="267">
        <f t="shared" ref="BE216:BF216" si="317">SUM(D216,I216,N216,S216,X216,AC216,AG216,AK216,AO216,AS216,AW216,BA216)</f>
        <v>12.8</v>
      </c>
      <c r="BF216" s="268">
        <f t="shared" si="317"/>
        <v>12.8</v>
      </c>
      <c r="BG216" s="269"/>
      <c r="BH216" s="192"/>
      <c r="BI216" s="270">
        <f>SUMIFS('Livro Diario - FC'!$M$11:$M1028,'Livro Diario - FC'!$E$11:$E1028,C216,'Livro Diario - FC'!$D$11:$D1028,"&gt;="&amp;$BK$8,'Livro Diario - FC'!$D$11:$D1028,"&lt;="&amp;$BK$9)</f>
        <v>0</v>
      </c>
      <c r="BJ216" s="271"/>
      <c r="BK216" s="272"/>
      <c r="BL216" s="1"/>
    </row>
    <row r="217">
      <c r="A217" s="1"/>
      <c r="B217" s="1"/>
      <c r="C217" s="338" t="str">
        <f>'Livro Diario - FC'!AE226</f>
        <v>Faca</v>
      </c>
      <c r="D217" s="255">
        <f>SUMIFS('Livro Diario - FC'!$K$11:$K1028,'Livro Diario - FC'!$E$11:$E1028,$C$217,'Livro Diario - FC'!$D$11:$D1028,"&gt;=01/01"&amp;$C$7,'Livro Diario - FC'!$D$11:$D1028,"&lt;=31/01"&amp;$C$7)</f>
        <v>12.8</v>
      </c>
      <c r="E217" s="256">
        <f>SUMIFS('Livro Diario - FC'!$M$11:$M1028,'Livro Diario - FC'!$E$11:$E1028,$C$217,'Livro Diario - FC'!$D$11:$D1028,"&gt;=01/01"&amp;$C$7,'Livro Diario - FC'!$D$11:$D1028,"&lt;=31/01"&amp;$C$7)</f>
        <v>12.8</v>
      </c>
      <c r="F217" s="273"/>
      <c r="G217" s="258"/>
      <c r="H217" s="157"/>
      <c r="I217" s="255">
        <f>SUMIFS('Livro Diario - FC'!$K$11:$K1028,'Livro Diario - FC'!$E$11:$E1028,$C$217,'Livro Diario - FC'!$D$11:$D1028,"&gt;=01/02"&amp;$C$7,'Livro Diario - FC'!$D$11:$D1028,"&lt;=29/02"&amp;$C$7)</f>
        <v>0</v>
      </c>
      <c r="J217" s="256">
        <f>SUMIFS('Livro Diario - FC'!$M$11:$M1028,'Livro Diario - FC'!$E$11:$E1028,$C$217,'Livro Diario - FC'!$D$11:$D1028,"&gt;=01/02"&amp;$C$7,'Livro Diario - FC'!$D$11:$D1028,"&lt;=29/02"&amp;$C$7)</f>
        <v>0</v>
      </c>
      <c r="K217" s="273"/>
      <c r="L217" s="258"/>
      <c r="M217" s="259"/>
      <c r="N217" s="255">
        <f>SUMIFS('Livro Diario - FC'!$K$11:$K1028,'Livro Diario - FC'!$E$11:$E1028,$C$217,'Livro Diario - FC'!$D$11:$D1028,"&gt;=01/03"&amp;$C$7,'Livro Diario - FC'!$D$11:$D1028,"&lt;=31/03"&amp;$C$7)</f>
        <v>0</v>
      </c>
      <c r="O217" s="256">
        <f>SUMIFS('Livro Diario - FC'!$M$11:$M1028,'Livro Diario - FC'!$E$11:$E1028,$C$217,'Livro Diario - FC'!$D$11:$D1028,"&gt;=01/03"&amp;$C$7,'Livro Diario - FC'!$D$11:$D1028,"&lt;=31/03"&amp;$C$7)</f>
        <v>0</v>
      </c>
      <c r="P217" s="273"/>
      <c r="Q217" s="258"/>
      <c r="R217" s="259"/>
      <c r="S217" s="255">
        <f>SUMIFS('Livro Diario - FC'!$K$11:$K1028,'Livro Diario - FC'!$E$11:$E1028,$C$217,'Livro Diario - FC'!$D$11:$D1028,"&gt;=01/04"&amp;$C$7,'Livro Diario - FC'!$D$11:$D1028,"&lt;=30/04"&amp;$C$7)</f>
        <v>0</v>
      </c>
      <c r="T217" s="256">
        <f>SUMIFS('Livro Diario - FC'!$M$11:$M1028,'Livro Diario - FC'!$E$11:$E1028,$C$217,'Livro Diario - FC'!$D$11:$D1028,"&gt;=01/04"&amp;$C$7,'Livro Diario - FC'!$D$11:$D1028,"&lt;=30/04"&amp;$C$7)</f>
        <v>0</v>
      </c>
      <c r="U217" s="273"/>
      <c r="V217" s="258"/>
      <c r="W217" s="259"/>
      <c r="X217" s="255">
        <f>SUMIFS('Livro Diario - FC'!$K$11:$K1028,'Livro Diario - FC'!$E$11:$E1028,$C$217,'Livro Diario - FC'!$D$11:$D1028,"&gt;=01/05"&amp;$C$7,'Livro Diario - FC'!$D$11:$D1028,"&lt;=31/05"&amp;$C$7)</f>
        <v>0</v>
      </c>
      <c r="Y217" s="256">
        <f>SUMIFS('Livro Diario - FC'!$M$11:$M1028,'Livro Diario - FC'!$E$11:$E1028,$C$217,'Livro Diario - FC'!$D$11:$D1028,"&gt;=01/05"&amp;$C$7,'Livro Diario - FC'!$D$11:$D1028,"&lt;=31/05"&amp;$C$7)</f>
        <v>0</v>
      </c>
      <c r="Z217" s="273"/>
      <c r="AA217" s="258"/>
      <c r="AB217" s="259"/>
      <c r="AC217" s="255">
        <f>SUMIFS('Livro Diario - FC'!$K$11:$K1028,'Livro Diario - FC'!$E$11:$E1028,$C$217,'Livro Diario - FC'!$D$11:$D1028,"&gt;=01/06"&amp;$C$7,'Livro Diario - FC'!$D$11:$D1028,"&lt;=30/06"&amp;$C$7)</f>
        <v>0</v>
      </c>
      <c r="AD217" s="256">
        <f>SUMIFS('Livro Diario - FC'!$M$11:$M1028,'Livro Diario - FC'!$E$11:$E1028,$C$217,'Livro Diario - FC'!$D$11:$D1028,"&gt;=01/06"&amp;$C$7,'Livro Diario - FC'!$D$11:$D1028,"&lt;=30/06"&amp;$C$7)</f>
        <v>0</v>
      </c>
      <c r="AE217" s="273"/>
      <c r="AF217" s="258"/>
      <c r="AG217" s="255">
        <f>SUMIFS('Livro Diario - FC'!$K$11:$K1028,'Livro Diario - FC'!$E$11:$E1028,$C$217,'Livro Diario - FC'!$D$11:$D1028,"&gt;=01/07"&amp;$C$7,'Livro Diario - FC'!$D$11:$D1028,"&lt;=31/07"&amp;$C$7)</f>
        <v>0</v>
      </c>
      <c r="AH217" s="256">
        <f>SUMIFS('Livro Diario - FC'!$M$11:$M1028,'Livro Diario - FC'!$E$11:$E1028,$C$217,'Livro Diario - FC'!$D$11:$D1028,"&gt;=01/07"&amp;$C$7,'Livro Diario - FC'!$D$11:$D1028,"&lt;=31/07"&amp;$C$7)</f>
        <v>0</v>
      </c>
      <c r="AI217" s="273"/>
      <c r="AJ217" s="258"/>
      <c r="AK217" s="255">
        <f>SUMIFS('Livro Diario - FC'!$K$11:$K1028,'Livro Diario - FC'!$E$11:$E1028,$C$217,'Livro Diario - FC'!$D$11:$D1028,"&gt;=01/08"&amp;$C$7,'Livro Diario - FC'!$D$11:$D1028,"&lt;=31/08"&amp;$C$7)</f>
        <v>0</v>
      </c>
      <c r="AL217" s="256">
        <f>SUMIFS('Livro Diario - FC'!$M$11:$M1028,'Livro Diario - FC'!$E$11:$E1028,$C$217,'Livro Diario - FC'!$D$11:$D1028,"&gt;=01/08"&amp;$C$7,'Livro Diario - FC'!$D$11:$D1028,"&lt;=31/08"&amp;$C$7)</f>
        <v>0</v>
      </c>
      <c r="AM217" s="273"/>
      <c r="AN217" s="258"/>
      <c r="AO217" s="255">
        <f>SUMIFS('Livro Diario - FC'!$K$11:$K1028,'Livro Diario - FC'!$E$11:$E1028,$C$217,'Livro Diario - FC'!$D$11:$D1028,"&gt;=01/09"&amp;$C$7,'Livro Diario - FC'!$D$11:$D1028,"&lt;=30/09"&amp;$C$7)</f>
        <v>0</v>
      </c>
      <c r="AP217" s="256">
        <f>SUMIFS('Livro Diario - FC'!$M$11:$M1028,'Livro Diario - FC'!$E$11:$E1028,$C$217,'Livro Diario - FC'!$D$11:$D1028,"&gt;=01/09"&amp;$C$7,'Livro Diario - FC'!$D$11:$D1028,"&lt;=30/09"&amp;$C$7)</f>
        <v>0</v>
      </c>
      <c r="AQ217" s="273"/>
      <c r="AR217" s="258"/>
      <c r="AS217" s="255">
        <f>SUMIFS('Livro Diario - FC'!$K$11:$K1028,'Livro Diario - FC'!$E$11:$E1028,$C$217,'Livro Diario - FC'!$D$11:$D1028,"&gt;=01/10"&amp;$C$7,'Livro Diario - FC'!$D$11:$D1028,"&lt;=31/10"&amp;$C$7)</f>
        <v>0</v>
      </c>
      <c r="AT217" s="256">
        <f>SUMIFS('Livro Diario - FC'!$M$11:$M1028,'Livro Diario - FC'!$E$11:$E1028,$C$217,'Livro Diario - FC'!$D$11:$D1028,"&gt;=01/10"&amp;$C$7,'Livro Diario - FC'!$D$11:$D1028,"&lt;=31/10"&amp;$C$7)</f>
        <v>0</v>
      </c>
      <c r="AU217" s="273"/>
      <c r="AV217" s="258"/>
      <c r="AW217" s="255">
        <f>SUMIFS('Livro Diario - FC'!$K$11:$K1028,'Livro Diario - FC'!$E$11:$E1028,$C$217,'Livro Diario - FC'!$D$11:$D1028,"&gt;=01/11"&amp;$C$7,'Livro Diario - FC'!$D$11:$D1028,"&lt;=30/11"&amp;$C$7)</f>
        <v>0</v>
      </c>
      <c r="AX217" s="256">
        <f>SUMIFS('Livro Diario - FC'!$M$11:$M1028,'Livro Diario - FC'!$E$11:$E1028,$C$217,'Livro Diario - FC'!$D$11:$D1028,"&gt;=01/11"&amp;$C$7,'Livro Diario - FC'!$D$11:$D1028,"&lt;=30/11"&amp;$C$7)</f>
        <v>0</v>
      </c>
      <c r="AY217" s="273"/>
      <c r="AZ217" s="258"/>
      <c r="BA217" s="255">
        <f>SUMIFS('Livro Diario - FC'!$K$11:$K1028,'Livro Diario - FC'!$E$11:$E1028,$C$217,'Livro Diario - FC'!$D$11:$D1028,"&gt;=01/12"&amp;$C$7,'Livro Diario - FC'!$D$11:$D1028,"&lt;=31/12"&amp;$C$7)</f>
        <v>0</v>
      </c>
      <c r="BB217" s="256">
        <f>SUMIFS('Livro Diario - FC'!$M$11:$M1028,'Livro Diario - FC'!$E$11:$E1028,$C$217,'Livro Diario - FC'!$D$11:$D1028,"&gt;=01/12"&amp;$C$7,'Livro Diario - FC'!$D$11:$D1028,"&lt;=31/12"&amp;$C$7)</f>
        <v>0</v>
      </c>
      <c r="BC217" s="273"/>
      <c r="BD217" s="273"/>
      <c r="BE217" s="267">
        <f t="shared" ref="BE217:BF217" si="318">SUM(D217,I217,N217,S217,X217,AC217,AG217,AK217,AO217,AS217,AW217,BA217)</f>
        <v>12.8</v>
      </c>
      <c r="BF217" s="268">
        <f t="shared" si="318"/>
        <v>12.8</v>
      </c>
      <c r="BG217" s="269"/>
      <c r="BH217" s="192"/>
      <c r="BI217" s="270">
        <f>SUMIFS('Livro Diario - FC'!$M$11:$M1028,'Livro Diario - FC'!$E$11:$E1028,C217,'Livro Diario - FC'!$D$11:$D1028,"&gt;="&amp;$BK$8,'Livro Diario - FC'!$D$11:$D1028,"&lt;="&amp;$BK$9)</f>
        <v>0</v>
      </c>
      <c r="BJ217" s="271"/>
      <c r="BK217" s="272"/>
      <c r="BL217" s="1"/>
    </row>
    <row r="218">
      <c r="A218" s="1"/>
      <c r="B218" s="1"/>
      <c r="C218" s="338" t="str">
        <f>'Livro Diario - FC'!AE227</f>
        <v>Sacolas Plastica branca (PP-P-M)</v>
      </c>
      <c r="D218" s="255">
        <f>SUMIFS('Livro Diario - FC'!$K$11:$K1028,'Livro Diario - FC'!$E$11:$E1028,$C$218,'Livro Diario - FC'!$D$11:$D1028,"&gt;=01/01"&amp;$C$7,'Livro Diario - FC'!$D$11:$D1028,"&lt;=31/01"&amp;$C$7)</f>
        <v>37</v>
      </c>
      <c r="E218" s="256">
        <f>SUMIFS('Livro Diario - FC'!$M$11:$M1028,'Livro Diario - FC'!$E$11:$E1028,$C$218,'Livro Diario - FC'!$D$11:$D1028,"&gt;=01/01"&amp;$C$7,'Livro Diario - FC'!$D$11:$D1028,"&lt;=31/01"&amp;$C$7)</f>
        <v>37</v>
      </c>
      <c r="F218" s="273"/>
      <c r="G218" s="258"/>
      <c r="H218" s="157"/>
      <c r="I218" s="255">
        <f>SUMIFS('Livro Diario - FC'!$K$11:$K1028,'Livro Diario - FC'!$E$11:$E1028,$C$218,'Livro Diario - FC'!$D$11:$D1028,"&gt;=01/02"&amp;$C$7,'Livro Diario - FC'!$D$11:$D1028,"&lt;=29/02"&amp;$C$7)</f>
        <v>0</v>
      </c>
      <c r="J218" s="256">
        <f>SUMIFS('Livro Diario - FC'!$M$11:$M1028,'Livro Diario - FC'!$E$11:$E1028,$C$218,'Livro Diario - FC'!$D$11:$D1028,"&gt;=01/02"&amp;$C$7,'Livro Diario - FC'!$D$11:$D1028,"&lt;=29/02"&amp;$C$7)</f>
        <v>0</v>
      </c>
      <c r="K218" s="273"/>
      <c r="L218" s="258"/>
      <c r="M218" s="259"/>
      <c r="N218" s="255">
        <f>SUMIFS('Livro Diario - FC'!$K$11:$K1028,'Livro Diario - FC'!$E$11:$E1028,$C$218,'Livro Diario - FC'!$D$11:$D1028,"&gt;=01/03"&amp;$C$7,'Livro Diario - FC'!$D$11:$D1028,"&lt;=31/03"&amp;$C$7)</f>
        <v>0</v>
      </c>
      <c r="O218" s="256">
        <f>SUMIFS('Livro Diario - FC'!$M$11:$M1028,'Livro Diario - FC'!$E$11:$E1028,$C$218,'Livro Diario - FC'!$D$11:$D1028,"&gt;=01/03"&amp;$C$7,'Livro Diario - FC'!$D$11:$D1028,"&lt;=31/03"&amp;$C$7)</f>
        <v>0</v>
      </c>
      <c r="P218" s="273"/>
      <c r="Q218" s="258"/>
      <c r="R218" s="259"/>
      <c r="S218" s="255">
        <f>SUMIFS('Livro Diario - FC'!$K$11:$K1028,'Livro Diario - FC'!$E$11:$E1028,$C$218,'Livro Diario - FC'!$D$11:$D1028,"&gt;=01/04"&amp;$C$7,'Livro Diario - FC'!$D$11:$D1028,"&lt;=30/04"&amp;$C$7)</f>
        <v>0</v>
      </c>
      <c r="T218" s="256">
        <f>SUMIFS('Livro Diario - FC'!$M$11:$M1028,'Livro Diario - FC'!$E$11:$E1028,$C$218,'Livro Diario - FC'!$D$11:$D1028,"&gt;=01/04"&amp;$C$7,'Livro Diario - FC'!$D$11:$D1028,"&lt;=30/04"&amp;$C$7)</f>
        <v>0</v>
      </c>
      <c r="U218" s="273"/>
      <c r="V218" s="258"/>
      <c r="W218" s="259"/>
      <c r="X218" s="255">
        <f>SUMIFS('Livro Diario - FC'!$K$11:$K1028,'Livro Diario - FC'!$E$11:$E1028,$C$218,'Livro Diario - FC'!$D$11:$D1028,"&gt;=01/05"&amp;$C$7,'Livro Diario - FC'!$D$11:$D1028,"&lt;=31/05"&amp;$C$7)</f>
        <v>0</v>
      </c>
      <c r="Y218" s="256">
        <f>SUMIFS('Livro Diario - FC'!$M$11:$M1028,'Livro Diario - FC'!$E$11:$E1028,$C$218,'Livro Diario - FC'!$D$11:$D1028,"&gt;=01/05"&amp;$C$7,'Livro Diario - FC'!$D$11:$D1028,"&lt;=31/05"&amp;$C$7)</f>
        <v>0</v>
      </c>
      <c r="Z218" s="273"/>
      <c r="AA218" s="258"/>
      <c r="AB218" s="259"/>
      <c r="AC218" s="255">
        <f>SUMIFS('Livro Diario - FC'!$K$11:$K1028,'Livro Diario - FC'!$E$11:$E1028,$C$218,'Livro Diario - FC'!$D$11:$D1028,"&gt;=01/06"&amp;$C$7,'Livro Diario - FC'!$D$11:$D1028,"&lt;=30/06"&amp;$C$7)</f>
        <v>0</v>
      </c>
      <c r="AD218" s="256">
        <f>SUMIFS('Livro Diario - FC'!$M$11:$M1028,'Livro Diario - FC'!$E$11:$E1028,$C$218,'Livro Diario - FC'!$D$11:$D1028,"&gt;=01/06"&amp;$C$7,'Livro Diario - FC'!$D$11:$D1028,"&lt;=30/06"&amp;$C$7)</f>
        <v>0</v>
      </c>
      <c r="AE218" s="273"/>
      <c r="AF218" s="258"/>
      <c r="AG218" s="255">
        <f>SUMIFS('Livro Diario - FC'!$K$11:$K1028,'Livro Diario - FC'!$E$11:$E1028,$C$218,'Livro Diario - FC'!$D$11:$D1028,"&gt;=01/07"&amp;$C$7,'Livro Diario - FC'!$D$11:$D1028,"&lt;=31/07"&amp;$C$7)</f>
        <v>0</v>
      </c>
      <c r="AH218" s="256">
        <f>SUMIFS('Livro Diario - FC'!$M$11:$M1028,'Livro Diario - FC'!$E$11:$E1028,$C$218,'Livro Diario - FC'!$D$11:$D1028,"&gt;=01/07"&amp;$C$7,'Livro Diario - FC'!$D$11:$D1028,"&lt;=31/07"&amp;$C$7)</f>
        <v>0</v>
      </c>
      <c r="AI218" s="273"/>
      <c r="AJ218" s="258"/>
      <c r="AK218" s="255">
        <f>SUMIFS('Livro Diario - FC'!$K$11:$K1028,'Livro Diario - FC'!$E$11:$E1028,$C$218,'Livro Diario - FC'!$D$11:$D1028,"&gt;=01/08"&amp;$C$7,'Livro Diario - FC'!$D$11:$D1028,"&lt;=31/08"&amp;$C$7)</f>
        <v>0</v>
      </c>
      <c r="AL218" s="256">
        <f>SUMIFS('Livro Diario - FC'!$M$11:$M1028,'Livro Diario - FC'!$E$11:$E1028,$C$218,'Livro Diario - FC'!$D$11:$D1028,"&gt;=01/08"&amp;$C$7,'Livro Diario - FC'!$D$11:$D1028,"&lt;=31/08"&amp;$C$7)</f>
        <v>0</v>
      </c>
      <c r="AM218" s="273"/>
      <c r="AN218" s="258"/>
      <c r="AO218" s="255">
        <f>SUMIFS('Livro Diario - FC'!$K$11:$K1028,'Livro Diario - FC'!$E$11:$E1028,$C$218,'Livro Diario - FC'!$D$11:$D1028,"&gt;=01/09"&amp;$C$7,'Livro Diario - FC'!$D$11:$D1028,"&lt;=30/09"&amp;$C$7)</f>
        <v>0</v>
      </c>
      <c r="AP218" s="256">
        <f>SUMIFS('Livro Diario - FC'!$M$11:$M1028,'Livro Diario - FC'!$E$11:$E1028,$C$218,'Livro Diario - FC'!$D$11:$D1028,"&gt;=01/09"&amp;$C$7,'Livro Diario - FC'!$D$11:$D1028,"&lt;=30/09"&amp;$C$7)</f>
        <v>0</v>
      </c>
      <c r="AQ218" s="273"/>
      <c r="AR218" s="258"/>
      <c r="AS218" s="255">
        <f>SUMIFS('Livro Diario - FC'!$K$11:$K1028,'Livro Diario - FC'!$E$11:$E1028,$C$218,'Livro Diario - FC'!$D$11:$D1028,"&gt;=01/10"&amp;$C$7,'Livro Diario - FC'!$D$11:$D1028,"&lt;=31/10"&amp;$C$7)</f>
        <v>0</v>
      </c>
      <c r="AT218" s="256">
        <f>SUMIFS('Livro Diario - FC'!$M$11:$M1028,'Livro Diario - FC'!$E$11:$E1028,$C$218,'Livro Diario - FC'!$D$11:$D1028,"&gt;=01/10"&amp;$C$7,'Livro Diario - FC'!$D$11:$D1028,"&lt;=31/10"&amp;$C$7)</f>
        <v>0</v>
      </c>
      <c r="AU218" s="273"/>
      <c r="AV218" s="258"/>
      <c r="AW218" s="255">
        <f>SUMIFS('Livro Diario - FC'!$K$11:$K1028,'Livro Diario - FC'!$E$11:$E1028,$C$218,'Livro Diario - FC'!$D$11:$D1028,"&gt;=01/11"&amp;$C$7,'Livro Diario - FC'!$D$11:$D1028,"&lt;=30/11"&amp;$C$7)</f>
        <v>0</v>
      </c>
      <c r="AX218" s="256">
        <f>SUMIFS('Livro Diario - FC'!$M$11:$M1028,'Livro Diario - FC'!$E$11:$E1028,$C$218,'Livro Diario - FC'!$D$11:$D1028,"&gt;=01/11"&amp;$C$7,'Livro Diario - FC'!$D$11:$D1028,"&lt;=30/11"&amp;$C$7)</f>
        <v>0</v>
      </c>
      <c r="AY218" s="273"/>
      <c r="AZ218" s="258"/>
      <c r="BA218" s="255">
        <f>SUMIFS('Livro Diario - FC'!$K$11:$K1028,'Livro Diario - FC'!$E$11:$E1028,$C$218,'Livro Diario - FC'!$D$11:$D1028,"&gt;=01/12"&amp;$C$7,'Livro Diario - FC'!$D$11:$D1028,"&lt;=31/12"&amp;$C$7)</f>
        <v>0</v>
      </c>
      <c r="BB218" s="256">
        <f>SUMIFS('Livro Diario - FC'!$M$11:$M1028,'Livro Diario - FC'!$E$11:$E1028,$C$218,'Livro Diario - FC'!$D$11:$D1028,"&gt;=01/12"&amp;$C$7,'Livro Diario - FC'!$D$11:$D1028,"&lt;=31/12"&amp;$C$7)</f>
        <v>0</v>
      </c>
      <c r="BC218" s="273"/>
      <c r="BD218" s="273"/>
      <c r="BE218" s="267">
        <f t="shared" ref="BE218:BF218" si="319">SUM(D218,I218,N218,S218,X218,AC218,AG218,AK218,AO218,AS218,AW218,BA218)</f>
        <v>37</v>
      </c>
      <c r="BF218" s="268">
        <f t="shared" si="319"/>
        <v>37</v>
      </c>
      <c r="BG218" s="269"/>
      <c r="BH218" s="192"/>
      <c r="BI218" s="270">
        <f>SUMIFS('Livro Diario - FC'!$M$11:$M1028,'Livro Diario - FC'!$E$11:$E1028,C218,'Livro Diario - FC'!$D$11:$D1028,"&gt;="&amp;$BK$8,'Livro Diario - FC'!$D$11:$D1028,"&lt;="&amp;$BK$9)</f>
        <v>0</v>
      </c>
      <c r="BJ218" s="271"/>
      <c r="BK218" s="272"/>
      <c r="BL218" s="1"/>
    </row>
    <row r="219">
      <c r="A219" s="1"/>
      <c r="B219" s="1"/>
      <c r="C219" s="338" t="str">
        <f>'Livro Diario - FC'!AE228</f>
        <v>Guardanapos</v>
      </c>
      <c r="D219" s="255">
        <f>SUMIFS('Livro Diario - FC'!$K$11:$K1028,'Livro Diario - FC'!$E$11:$E1028,$C$219,'Livro Diario - FC'!$D$11:$D1028,"&gt;=01/01"&amp;$C$7,'Livro Diario - FC'!$D$11:$D1028,"&lt;=31/01"&amp;$C$7)</f>
        <v>0</v>
      </c>
      <c r="E219" s="256">
        <f>SUMIFS('Livro Diario - FC'!$M$11:$M1028,'Livro Diario - FC'!$E$11:$E1028,$C$219,'Livro Diario - FC'!$D$11:$D1028,"&gt;=01/01"&amp;$C$7,'Livro Diario - FC'!$D$11:$D1028,"&lt;=31/01"&amp;$C$7)</f>
        <v>0</v>
      </c>
      <c r="F219" s="273"/>
      <c r="G219" s="258"/>
      <c r="H219" s="157"/>
      <c r="I219" s="255">
        <f>SUMIFS('Livro Diario - FC'!$K$11:$K1028,'Livro Diario - FC'!$E$11:$E1028,$C$219,'Livro Diario - FC'!$D$11:$D1028,"&gt;=01/02"&amp;$C$7,'Livro Diario - FC'!$D$11:$D1028,"&lt;=29/02"&amp;$C$7)</f>
        <v>0</v>
      </c>
      <c r="J219" s="256">
        <f>SUMIFS('Livro Diario - FC'!$M$11:$M1028,'Livro Diario - FC'!$E$11:$E1028,$C$219,'Livro Diario - FC'!$D$11:$D1028,"&gt;=01/02"&amp;$C$7,'Livro Diario - FC'!$D$11:$D1028,"&lt;=29/02"&amp;$C$7)</f>
        <v>0</v>
      </c>
      <c r="K219" s="273"/>
      <c r="L219" s="258"/>
      <c r="M219" s="259"/>
      <c r="N219" s="255">
        <f>SUMIFS('Livro Diario - FC'!$K$11:$K1028,'Livro Diario - FC'!$E$11:$E1028,$C$219,'Livro Diario - FC'!$D$11:$D1028,"&gt;=01/03"&amp;$C$7,'Livro Diario - FC'!$D$11:$D1028,"&lt;=31/03"&amp;$C$7)</f>
        <v>0</v>
      </c>
      <c r="O219" s="256">
        <f>SUMIFS('Livro Diario - FC'!$M$11:$M1028,'Livro Diario - FC'!$E$11:$E1028,$C$219,'Livro Diario - FC'!$D$11:$D1028,"&gt;=01/03"&amp;$C$7,'Livro Diario - FC'!$D$11:$D1028,"&lt;=31/03"&amp;$C$7)</f>
        <v>0</v>
      </c>
      <c r="P219" s="273"/>
      <c r="Q219" s="258"/>
      <c r="R219" s="259"/>
      <c r="S219" s="255">
        <f>SUMIFS('Livro Diario - FC'!$K$11:$K1028,'Livro Diario - FC'!$E$11:$E1028,$C$219,'Livro Diario - FC'!$D$11:$D1028,"&gt;=01/04"&amp;$C$7,'Livro Diario - FC'!$D$11:$D1028,"&lt;=30/04"&amp;$C$7)</f>
        <v>0</v>
      </c>
      <c r="T219" s="256">
        <f>SUMIFS('Livro Diario - FC'!$M$11:$M1028,'Livro Diario - FC'!$E$11:$E1028,$C$219,'Livro Diario - FC'!$D$11:$D1028,"&gt;=01/04"&amp;$C$7,'Livro Diario - FC'!$D$11:$D1028,"&lt;=30/04"&amp;$C$7)</f>
        <v>0</v>
      </c>
      <c r="U219" s="273"/>
      <c r="V219" s="258"/>
      <c r="W219" s="259"/>
      <c r="X219" s="255">
        <f>SUMIFS('Livro Diario - FC'!$K$11:$K1028,'Livro Diario - FC'!$E$11:$E1028,$C$219,'Livro Diario - FC'!$D$11:$D1028,"&gt;=01/05"&amp;$C$7,'Livro Diario - FC'!$D$11:$D1028,"&lt;=31/05"&amp;$C$7)</f>
        <v>0</v>
      </c>
      <c r="Y219" s="256">
        <f>SUMIFS('Livro Diario - FC'!$M$11:$M1028,'Livro Diario - FC'!$E$11:$E1028,$C$219,'Livro Diario - FC'!$D$11:$D1028,"&gt;=01/05"&amp;$C$7,'Livro Diario - FC'!$D$11:$D1028,"&lt;=31/05"&amp;$C$7)</f>
        <v>0</v>
      </c>
      <c r="Z219" s="273"/>
      <c r="AA219" s="258"/>
      <c r="AB219" s="259"/>
      <c r="AC219" s="255">
        <f>SUMIFS('Livro Diario - FC'!$K$11:$K1028,'Livro Diario - FC'!$E$11:$E1028,$C$219,'Livro Diario - FC'!$D$11:$D1028,"&gt;=01/06"&amp;$C$7,'Livro Diario - FC'!$D$11:$D1028,"&lt;=30/06"&amp;$C$7)</f>
        <v>0</v>
      </c>
      <c r="AD219" s="256">
        <f>SUMIFS('Livro Diario - FC'!$M$11:$M1028,'Livro Diario - FC'!$E$11:$E1028,$C$219,'Livro Diario - FC'!$D$11:$D1028,"&gt;=01/06"&amp;$C$7,'Livro Diario - FC'!$D$11:$D1028,"&lt;=30/06"&amp;$C$7)</f>
        <v>0</v>
      </c>
      <c r="AE219" s="273"/>
      <c r="AF219" s="258"/>
      <c r="AG219" s="255">
        <f>SUMIFS('Livro Diario - FC'!$K$11:$K1028,'Livro Diario - FC'!$E$11:$E1028,$C$219,'Livro Diario - FC'!$D$11:$D1028,"&gt;=01/07"&amp;$C$7,'Livro Diario - FC'!$D$11:$D1028,"&lt;=31/07"&amp;$C$7)</f>
        <v>0</v>
      </c>
      <c r="AH219" s="256">
        <f>SUMIFS('Livro Diario - FC'!$M$11:$M1028,'Livro Diario - FC'!$E$11:$E1028,$C$219,'Livro Diario - FC'!$D$11:$D1028,"&gt;=01/07"&amp;$C$7,'Livro Diario - FC'!$D$11:$D1028,"&lt;=31/07"&amp;$C$7)</f>
        <v>0</v>
      </c>
      <c r="AI219" s="273"/>
      <c r="AJ219" s="258"/>
      <c r="AK219" s="255">
        <f>SUMIFS('Livro Diario - FC'!$K$11:$K1028,'Livro Diario - FC'!$E$11:$E1028,$C$219,'Livro Diario - FC'!$D$11:$D1028,"&gt;=01/08"&amp;$C$7,'Livro Diario - FC'!$D$11:$D1028,"&lt;=31/08"&amp;$C$7)</f>
        <v>0</v>
      </c>
      <c r="AL219" s="256">
        <f>SUMIFS('Livro Diario - FC'!$M$11:$M1028,'Livro Diario - FC'!$E$11:$E1028,$C$219,'Livro Diario - FC'!$D$11:$D1028,"&gt;=01/08"&amp;$C$7,'Livro Diario - FC'!$D$11:$D1028,"&lt;=31/08"&amp;$C$7)</f>
        <v>0</v>
      </c>
      <c r="AM219" s="273"/>
      <c r="AN219" s="258"/>
      <c r="AO219" s="255">
        <f>SUMIFS('Livro Diario - FC'!$K$11:$K1028,'Livro Diario - FC'!$E$11:$E1028,$C$219,'Livro Diario - FC'!$D$11:$D1028,"&gt;=01/09"&amp;$C$7,'Livro Diario - FC'!$D$11:$D1028,"&lt;=30/09"&amp;$C$7)</f>
        <v>0</v>
      </c>
      <c r="AP219" s="256">
        <f>SUMIFS('Livro Diario - FC'!$M$11:$M1028,'Livro Diario - FC'!$E$11:$E1028,$C$219,'Livro Diario - FC'!$D$11:$D1028,"&gt;=01/09"&amp;$C$7,'Livro Diario - FC'!$D$11:$D1028,"&lt;=30/09"&amp;$C$7)</f>
        <v>0</v>
      </c>
      <c r="AQ219" s="273"/>
      <c r="AR219" s="258"/>
      <c r="AS219" s="255">
        <f>SUMIFS('Livro Diario - FC'!$K$11:$K1028,'Livro Diario - FC'!$E$11:$E1028,$C$219,'Livro Diario - FC'!$D$11:$D1028,"&gt;=01/10"&amp;$C$7,'Livro Diario - FC'!$D$11:$D1028,"&lt;=31/10"&amp;$C$7)</f>
        <v>0</v>
      </c>
      <c r="AT219" s="256">
        <f>SUMIFS('Livro Diario - FC'!$M$11:$M1028,'Livro Diario - FC'!$E$11:$E1028,$C$219,'Livro Diario - FC'!$D$11:$D1028,"&gt;=01/10"&amp;$C$7,'Livro Diario - FC'!$D$11:$D1028,"&lt;=31/10"&amp;$C$7)</f>
        <v>0</v>
      </c>
      <c r="AU219" s="273"/>
      <c r="AV219" s="258"/>
      <c r="AW219" s="255">
        <f>SUMIFS('Livro Diario - FC'!$K$11:$K1028,'Livro Diario - FC'!$E$11:$E1028,$C$219,'Livro Diario - FC'!$D$11:$D1028,"&gt;=01/11"&amp;$C$7,'Livro Diario - FC'!$D$11:$D1028,"&lt;=30/11"&amp;$C$7)</f>
        <v>0</v>
      </c>
      <c r="AX219" s="256">
        <f>SUMIFS('Livro Diario - FC'!$M$11:$M1028,'Livro Diario - FC'!$E$11:$E1028,$C$219,'Livro Diario - FC'!$D$11:$D1028,"&gt;=01/11"&amp;$C$7,'Livro Diario - FC'!$D$11:$D1028,"&lt;=30/11"&amp;$C$7)</f>
        <v>0</v>
      </c>
      <c r="AY219" s="273"/>
      <c r="AZ219" s="258"/>
      <c r="BA219" s="255">
        <f>SUMIFS('Livro Diario - FC'!$K$11:$K1028,'Livro Diario - FC'!$E$11:$E1028,$C$219,'Livro Diario - FC'!$D$11:$D1028,"&gt;=01/12"&amp;$C$7,'Livro Diario - FC'!$D$11:$D1028,"&lt;=31/12"&amp;$C$7)</f>
        <v>0</v>
      </c>
      <c r="BB219" s="256">
        <f>SUMIFS('Livro Diario - FC'!$M$11:$M1028,'Livro Diario - FC'!$E$11:$E1028,$C$219,'Livro Diario - FC'!$D$11:$D1028,"&gt;=01/12"&amp;$C$7,'Livro Diario - FC'!$D$11:$D1028,"&lt;=31/12"&amp;$C$7)</f>
        <v>0</v>
      </c>
      <c r="BC219" s="273"/>
      <c r="BD219" s="273"/>
      <c r="BE219" s="267">
        <f t="shared" ref="BE219:BF219" si="320">SUM(D219,I219,N219,S219,X219,AC219,AG219,AK219,AO219,AS219,AW219,BA219)</f>
        <v>0</v>
      </c>
      <c r="BF219" s="268">
        <f t="shared" si="320"/>
        <v>0</v>
      </c>
      <c r="BG219" s="269"/>
      <c r="BH219" s="192"/>
      <c r="BI219" s="270">
        <f>SUMIFS('Livro Diario - FC'!$M$11:$M1028,'Livro Diario - FC'!$E$11:$E1028,C219,'Livro Diario - FC'!$D$11:$D1028,"&gt;="&amp;$BK$8,'Livro Diario - FC'!$D$11:$D1028,"&lt;="&amp;$BK$9)</f>
        <v>0</v>
      </c>
      <c r="BJ219" s="271"/>
      <c r="BK219" s="272"/>
      <c r="BL219" s="1"/>
    </row>
    <row r="220">
      <c r="A220" s="1"/>
      <c r="B220" s="1"/>
      <c r="C220" s="338" t="str">
        <f>'Livro Diario - FC'!AE229</f>
        <v>Papel Toalha int</v>
      </c>
      <c r="D220" s="255">
        <f>SUMIFS('Livro Diario - FC'!$K$11:$K1028,'Livro Diario - FC'!$E$11:$E1028,$C$220,'Livro Diario - FC'!$D$11:$D1028,"&gt;=01/01"&amp;$C$7,'Livro Diario - FC'!$D$11:$D1028,"&lt;=31/01"&amp;$C$7)</f>
        <v>30</v>
      </c>
      <c r="E220" s="256">
        <f>SUMIFS('Livro Diario - FC'!$M$11:$M1028,'Livro Diario - FC'!$E$11:$E1028,$C$220,'Livro Diario - FC'!$D$11:$D1028,"&gt;=01/01"&amp;$C$7,'Livro Diario - FC'!$D$11:$D1028,"&lt;=31/01"&amp;$C$7)</f>
        <v>30</v>
      </c>
      <c r="F220" s="273"/>
      <c r="G220" s="258"/>
      <c r="H220" s="157"/>
      <c r="I220" s="255">
        <f>SUMIFS('Livro Diario - FC'!$K$11:$K1028,'Livro Diario - FC'!$E$11:$E1028,$C$220,'Livro Diario - FC'!$D$11:$D1028,"&gt;=01/02"&amp;$C$7,'Livro Diario - FC'!$D$11:$D1028,"&lt;=29/02"&amp;$C$7)</f>
        <v>0</v>
      </c>
      <c r="J220" s="256">
        <f>SUMIFS('Livro Diario - FC'!$M$11:$M1028,'Livro Diario - FC'!$E$11:$E1028,$C$220,'Livro Diario - FC'!$D$11:$D1028,"&gt;=01/02"&amp;$C$7,'Livro Diario - FC'!$D$11:$D1028,"&lt;=29/02"&amp;$C$7)</f>
        <v>0</v>
      </c>
      <c r="K220" s="273"/>
      <c r="L220" s="258"/>
      <c r="M220" s="259"/>
      <c r="N220" s="255">
        <f>SUMIFS('Livro Diario - FC'!$K$11:$K1028,'Livro Diario - FC'!$E$11:$E1028,$C$220,'Livro Diario - FC'!$D$11:$D1028,"&gt;=01/03"&amp;$C$7,'Livro Diario - FC'!$D$11:$D1028,"&lt;=31/03"&amp;$C$7)</f>
        <v>0</v>
      </c>
      <c r="O220" s="256">
        <f>SUMIFS('Livro Diario - FC'!$M$11:$M1028,'Livro Diario - FC'!$E$11:$E1028,$C$220,'Livro Diario - FC'!$D$11:$D1028,"&gt;=01/03"&amp;$C$7,'Livro Diario - FC'!$D$11:$D1028,"&lt;=31/03"&amp;$C$7)</f>
        <v>0</v>
      </c>
      <c r="P220" s="273"/>
      <c r="Q220" s="258"/>
      <c r="R220" s="259"/>
      <c r="S220" s="255">
        <f>SUMIFS('Livro Diario - FC'!$K$11:$K1028,'Livro Diario - FC'!$E$11:$E1028,$C$220,'Livro Diario - FC'!$D$11:$D1028,"&gt;=01/04"&amp;$C$7,'Livro Diario - FC'!$D$11:$D1028,"&lt;=30/04"&amp;$C$7)</f>
        <v>0</v>
      </c>
      <c r="T220" s="256">
        <f>SUMIFS('Livro Diario - FC'!$M$11:$M1028,'Livro Diario - FC'!$E$11:$E1028,$C$220,'Livro Diario - FC'!$D$11:$D1028,"&gt;=01/04"&amp;$C$7,'Livro Diario - FC'!$D$11:$D1028,"&lt;=30/04"&amp;$C$7)</f>
        <v>0</v>
      </c>
      <c r="U220" s="273"/>
      <c r="V220" s="258"/>
      <c r="W220" s="259"/>
      <c r="X220" s="255">
        <f>SUMIFS('Livro Diario - FC'!$K$11:$K1028,'Livro Diario - FC'!$E$11:$E1028,$C$220,'Livro Diario - FC'!$D$11:$D1028,"&gt;=01/05"&amp;$C$7,'Livro Diario - FC'!$D$11:$D1028,"&lt;=31/05"&amp;$C$7)</f>
        <v>0</v>
      </c>
      <c r="Y220" s="256">
        <f>SUMIFS('Livro Diario - FC'!$M$11:$M1028,'Livro Diario - FC'!$E$11:$E1028,$C$220,'Livro Diario - FC'!$D$11:$D1028,"&gt;=01/05"&amp;$C$7,'Livro Diario - FC'!$D$11:$D1028,"&lt;=31/05"&amp;$C$7)</f>
        <v>0</v>
      </c>
      <c r="Z220" s="273"/>
      <c r="AA220" s="258"/>
      <c r="AB220" s="259"/>
      <c r="AC220" s="255">
        <f>SUMIFS('Livro Diario - FC'!$K$11:$K1028,'Livro Diario - FC'!$E$11:$E1028,$C$220,'Livro Diario - FC'!$D$11:$D1028,"&gt;=01/06"&amp;$C$7,'Livro Diario - FC'!$D$11:$D1028,"&lt;=30/06"&amp;$C$7)</f>
        <v>0</v>
      </c>
      <c r="AD220" s="256">
        <f>SUMIFS('Livro Diario - FC'!$M$11:$M1028,'Livro Diario - FC'!$E$11:$E1028,$C$220,'Livro Diario - FC'!$D$11:$D1028,"&gt;=01/06"&amp;$C$7,'Livro Diario - FC'!$D$11:$D1028,"&lt;=30/06"&amp;$C$7)</f>
        <v>0</v>
      </c>
      <c r="AE220" s="273"/>
      <c r="AF220" s="258"/>
      <c r="AG220" s="255">
        <f>SUMIFS('Livro Diario - FC'!$K$11:$K1028,'Livro Diario - FC'!$E$11:$E1028,$C$220,'Livro Diario - FC'!$D$11:$D1028,"&gt;=01/07"&amp;$C$7,'Livro Diario - FC'!$D$11:$D1028,"&lt;=31/07"&amp;$C$7)</f>
        <v>0</v>
      </c>
      <c r="AH220" s="256">
        <f>SUMIFS('Livro Diario - FC'!$M$11:$M1028,'Livro Diario - FC'!$E$11:$E1028,$C$220,'Livro Diario - FC'!$D$11:$D1028,"&gt;=01/07"&amp;$C$7,'Livro Diario - FC'!$D$11:$D1028,"&lt;=31/07"&amp;$C$7)</f>
        <v>0</v>
      </c>
      <c r="AI220" s="273"/>
      <c r="AJ220" s="258"/>
      <c r="AK220" s="255">
        <f>SUMIFS('Livro Diario - FC'!$K$11:$K1028,'Livro Diario - FC'!$E$11:$E1028,$C$220,'Livro Diario - FC'!$D$11:$D1028,"&gt;=01/08"&amp;$C$7,'Livro Diario - FC'!$D$11:$D1028,"&lt;=31/08"&amp;$C$7)</f>
        <v>0</v>
      </c>
      <c r="AL220" s="256">
        <f>SUMIFS('Livro Diario - FC'!$M$11:$M1028,'Livro Diario - FC'!$E$11:$E1028,$C$220,'Livro Diario - FC'!$D$11:$D1028,"&gt;=01/08"&amp;$C$7,'Livro Diario - FC'!$D$11:$D1028,"&lt;=31/08"&amp;$C$7)</f>
        <v>0</v>
      </c>
      <c r="AM220" s="273"/>
      <c r="AN220" s="258"/>
      <c r="AO220" s="255">
        <f>SUMIFS('Livro Diario - FC'!$K$11:$K1028,'Livro Diario - FC'!$E$11:$E1028,$C$220,'Livro Diario - FC'!$D$11:$D1028,"&gt;=01/09"&amp;$C$7,'Livro Diario - FC'!$D$11:$D1028,"&lt;=30/09"&amp;$C$7)</f>
        <v>0</v>
      </c>
      <c r="AP220" s="256">
        <f>SUMIFS('Livro Diario - FC'!$M$11:$M1028,'Livro Diario - FC'!$E$11:$E1028,$C$220,'Livro Diario - FC'!$D$11:$D1028,"&gt;=01/09"&amp;$C$7,'Livro Diario - FC'!$D$11:$D1028,"&lt;=30/09"&amp;$C$7)</f>
        <v>0</v>
      </c>
      <c r="AQ220" s="273"/>
      <c r="AR220" s="258"/>
      <c r="AS220" s="255">
        <f>SUMIFS('Livro Diario - FC'!$K$11:$K1028,'Livro Diario - FC'!$E$11:$E1028,$C$220,'Livro Diario - FC'!$D$11:$D1028,"&gt;=01/10"&amp;$C$7,'Livro Diario - FC'!$D$11:$D1028,"&lt;=31/10"&amp;$C$7)</f>
        <v>0</v>
      </c>
      <c r="AT220" s="256">
        <f>SUMIFS('Livro Diario - FC'!$M$11:$M1028,'Livro Diario - FC'!$E$11:$E1028,$C$220,'Livro Diario - FC'!$D$11:$D1028,"&gt;=01/10"&amp;$C$7,'Livro Diario - FC'!$D$11:$D1028,"&lt;=31/10"&amp;$C$7)</f>
        <v>0</v>
      </c>
      <c r="AU220" s="273"/>
      <c r="AV220" s="258"/>
      <c r="AW220" s="255">
        <f>SUMIFS('Livro Diario - FC'!$K$11:$K1028,'Livro Diario - FC'!$E$11:$E1028,$C$220,'Livro Diario - FC'!$D$11:$D1028,"&gt;=01/11"&amp;$C$7,'Livro Diario - FC'!$D$11:$D1028,"&lt;=30/11"&amp;$C$7)</f>
        <v>0</v>
      </c>
      <c r="AX220" s="256">
        <f>SUMIFS('Livro Diario - FC'!$M$11:$M1028,'Livro Diario - FC'!$E$11:$E1028,$C$220,'Livro Diario - FC'!$D$11:$D1028,"&gt;=01/11"&amp;$C$7,'Livro Diario - FC'!$D$11:$D1028,"&lt;=30/11"&amp;$C$7)</f>
        <v>0</v>
      </c>
      <c r="AY220" s="273"/>
      <c r="AZ220" s="258"/>
      <c r="BA220" s="255">
        <f>SUMIFS('Livro Diario - FC'!$K$11:$K1028,'Livro Diario - FC'!$E$11:$E1028,$C$220,'Livro Diario - FC'!$D$11:$D1028,"&gt;=01/12"&amp;$C$7,'Livro Diario - FC'!$D$11:$D1028,"&lt;=31/12"&amp;$C$7)</f>
        <v>0</v>
      </c>
      <c r="BB220" s="256">
        <f>SUMIFS('Livro Diario - FC'!$M$11:$M1028,'Livro Diario - FC'!$E$11:$E1028,$C$220,'Livro Diario - FC'!$D$11:$D1028,"&gt;=01/12"&amp;$C$7,'Livro Diario - FC'!$D$11:$D1028,"&lt;=31/12"&amp;$C$7)</f>
        <v>0</v>
      </c>
      <c r="BC220" s="273"/>
      <c r="BD220" s="273"/>
      <c r="BE220" s="267">
        <f t="shared" ref="BE220:BF220" si="321">SUM(D220,I220,N220,S220,X220,AC220,AG220,AK220,AO220,AS220,AW220,BA220)</f>
        <v>30</v>
      </c>
      <c r="BF220" s="268">
        <f t="shared" si="321"/>
        <v>30</v>
      </c>
      <c r="BG220" s="269"/>
      <c r="BH220" s="192"/>
      <c r="BI220" s="270">
        <f>SUMIFS('Livro Diario - FC'!$M$11:$M1028,'Livro Diario - FC'!$E$11:$E1028,C220,'Livro Diario - FC'!$D$11:$D1028,"&gt;="&amp;$BK$8,'Livro Diario - FC'!$D$11:$D1028,"&lt;="&amp;$BK$9)</f>
        <v>0</v>
      </c>
      <c r="BJ220" s="271"/>
      <c r="BK220" s="272"/>
      <c r="BL220" s="1"/>
    </row>
    <row r="221">
      <c r="A221" s="1"/>
      <c r="B221" s="1"/>
      <c r="C221" s="338" t="str">
        <f>'Livro Diario - FC'!AE230</f>
        <v>Canudo</v>
      </c>
      <c r="D221" s="255">
        <f>SUMIFS('Livro Diario - FC'!$K$11:$K1028,'Livro Diario - FC'!$E$11:$E1028,$C$221,'Livro Diario - FC'!$D$11:$D1028,"&gt;=01/01"&amp;$C$7,'Livro Diario - FC'!$D$11:$D1028,"&lt;=31/01"&amp;$C$7)</f>
        <v>0</v>
      </c>
      <c r="E221" s="256">
        <f>SUMIFS('Livro Diario - FC'!$M$11:$M1028,'Livro Diario - FC'!$E$11:$E1028,$C$221,'Livro Diario - FC'!$D$11:$D1028,"&gt;=01/01"&amp;$C$7,'Livro Diario - FC'!$D$11:$D1028,"&lt;=31/01"&amp;$C$7)</f>
        <v>0</v>
      </c>
      <c r="F221" s="273"/>
      <c r="G221" s="258"/>
      <c r="H221" s="157"/>
      <c r="I221" s="255">
        <f>SUMIFS('Livro Diario - FC'!$K$11:$K1028,'Livro Diario - FC'!$E$11:$E1028,$C$221,'Livro Diario - FC'!$D$11:$D1028,"&gt;=01/02"&amp;$C$7,'Livro Diario - FC'!$D$11:$D1028,"&lt;=29/02"&amp;$C$7)</f>
        <v>0</v>
      </c>
      <c r="J221" s="256">
        <f>SUMIFS('Livro Diario - FC'!$M$11:$M1028,'Livro Diario - FC'!$E$11:$E1028,$C$221,'Livro Diario - FC'!$D$11:$D1028,"&gt;=01/02"&amp;$C$7,'Livro Diario - FC'!$D$11:$D1028,"&lt;=29/02"&amp;$C$7)</f>
        <v>0</v>
      </c>
      <c r="K221" s="273"/>
      <c r="L221" s="258"/>
      <c r="M221" s="259"/>
      <c r="N221" s="255">
        <f>SUMIFS('Livro Diario - FC'!$K$11:$K1028,'Livro Diario - FC'!$E$11:$E1028,$C$221,'Livro Diario - FC'!$D$11:$D1028,"&gt;=01/03"&amp;$C$7,'Livro Diario - FC'!$D$11:$D1028,"&lt;=31/03"&amp;$C$7)</f>
        <v>0</v>
      </c>
      <c r="O221" s="256">
        <f>SUMIFS('Livro Diario - FC'!$M$11:$M1028,'Livro Diario - FC'!$E$11:$E1028,$C$221,'Livro Diario - FC'!$D$11:$D1028,"&gt;=01/03"&amp;$C$7,'Livro Diario - FC'!$D$11:$D1028,"&lt;=31/03"&amp;$C$7)</f>
        <v>0</v>
      </c>
      <c r="P221" s="273"/>
      <c r="Q221" s="258"/>
      <c r="R221" s="259"/>
      <c r="S221" s="255">
        <f>SUMIFS('Livro Diario - FC'!$K$11:$K1028,'Livro Diario - FC'!$E$11:$E1028,$C$221,'Livro Diario - FC'!$D$11:$D1028,"&gt;=01/04"&amp;$C$7,'Livro Diario - FC'!$D$11:$D1028,"&lt;=30/04"&amp;$C$7)</f>
        <v>0</v>
      </c>
      <c r="T221" s="256">
        <f>SUMIFS('Livro Diario - FC'!$M$11:$M1028,'Livro Diario - FC'!$E$11:$E1028,$C$221,'Livro Diario - FC'!$D$11:$D1028,"&gt;=01/04"&amp;$C$7,'Livro Diario - FC'!$D$11:$D1028,"&lt;=30/04"&amp;$C$7)</f>
        <v>0</v>
      </c>
      <c r="U221" s="273"/>
      <c r="V221" s="258"/>
      <c r="W221" s="259"/>
      <c r="X221" s="255">
        <f>SUMIFS('Livro Diario - FC'!$K$11:$K1028,'Livro Diario - FC'!$E$11:$E1028,$C$221,'Livro Diario - FC'!$D$11:$D1028,"&gt;=01/05"&amp;$C$7,'Livro Diario - FC'!$D$11:$D1028,"&lt;=31/05"&amp;$C$7)</f>
        <v>0</v>
      </c>
      <c r="Y221" s="256">
        <f>SUMIFS('Livro Diario - FC'!$M$11:$M1028,'Livro Diario - FC'!$E$11:$E1028,$C$221,'Livro Diario - FC'!$D$11:$D1028,"&gt;=01/05"&amp;$C$7,'Livro Diario - FC'!$D$11:$D1028,"&lt;=31/05"&amp;$C$7)</f>
        <v>0</v>
      </c>
      <c r="Z221" s="273"/>
      <c r="AA221" s="258"/>
      <c r="AB221" s="259"/>
      <c r="AC221" s="255">
        <f>SUMIFS('Livro Diario - FC'!$K$11:$K1028,'Livro Diario - FC'!$E$11:$E1028,$C$221,'Livro Diario - FC'!$D$11:$D1028,"&gt;=01/06"&amp;$C$7,'Livro Diario - FC'!$D$11:$D1028,"&lt;=30/06"&amp;$C$7)</f>
        <v>0</v>
      </c>
      <c r="AD221" s="256">
        <f>SUMIFS('Livro Diario - FC'!$M$11:$M1028,'Livro Diario - FC'!$E$11:$E1028,$C$221,'Livro Diario - FC'!$D$11:$D1028,"&gt;=01/06"&amp;$C$7,'Livro Diario - FC'!$D$11:$D1028,"&lt;=30/06"&amp;$C$7)</f>
        <v>0</v>
      </c>
      <c r="AE221" s="273"/>
      <c r="AF221" s="258"/>
      <c r="AG221" s="255">
        <f>SUMIFS('Livro Diario - FC'!$K$11:$K1028,'Livro Diario - FC'!$E$11:$E1028,$C$221,'Livro Diario - FC'!$D$11:$D1028,"&gt;=01/07"&amp;$C$7,'Livro Diario - FC'!$D$11:$D1028,"&lt;=31/07"&amp;$C$7)</f>
        <v>0</v>
      </c>
      <c r="AH221" s="256">
        <f>SUMIFS('Livro Diario - FC'!$M$11:$M1028,'Livro Diario - FC'!$E$11:$E1028,$C$221,'Livro Diario - FC'!$D$11:$D1028,"&gt;=01/07"&amp;$C$7,'Livro Diario - FC'!$D$11:$D1028,"&lt;=31/07"&amp;$C$7)</f>
        <v>0</v>
      </c>
      <c r="AI221" s="273"/>
      <c r="AJ221" s="258"/>
      <c r="AK221" s="255">
        <f>SUMIFS('Livro Diario - FC'!$K$11:$K1028,'Livro Diario - FC'!$E$11:$E1028,$C$221,'Livro Diario - FC'!$D$11:$D1028,"&gt;=01/08"&amp;$C$7,'Livro Diario - FC'!$D$11:$D1028,"&lt;=31/08"&amp;$C$7)</f>
        <v>0</v>
      </c>
      <c r="AL221" s="256">
        <f>SUMIFS('Livro Diario - FC'!$M$11:$M1028,'Livro Diario - FC'!$E$11:$E1028,$C$221,'Livro Diario - FC'!$D$11:$D1028,"&gt;=01/08"&amp;$C$7,'Livro Diario - FC'!$D$11:$D1028,"&lt;=31/08"&amp;$C$7)</f>
        <v>0</v>
      </c>
      <c r="AM221" s="273"/>
      <c r="AN221" s="258"/>
      <c r="AO221" s="255">
        <f>SUMIFS('Livro Diario - FC'!$K$11:$K1028,'Livro Diario - FC'!$E$11:$E1028,$C$221,'Livro Diario - FC'!$D$11:$D1028,"&gt;=01/09"&amp;$C$7,'Livro Diario - FC'!$D$11:$D1028,"&lt;=30/09"&amp;$C$7)</f>
        <v>0</v>
      </c>
      <c r="AP221" s="256">
        <f>SUMIFS('Livro Diario - FC'!$M$11:$M1028,'Livro Diario - FC'!$E$11:$E1028,$C$221,'Livro Diario - FC'!$D$11:$D1028,"&gt;=01/09"&amp;$C$7,'Livro Diario - FC'!$D$11:$D1028,"&lt;=30/09"&amp;$C$7)</f>
        <v>0</v>
      </c>
      <c r="AQ221" s="273"/>
      <c r="AR221" s="258"/>
      <c r="AS221" s="255">
        <f>SUMIFS('Livro Diario - FC'!$K$11:$K1028,'Livro Diario - FC'!$E$11:$E1028,$C$221,'Livro Diario - FC'!$D$11:$D1028,"&gt;=01/10"&amp;$C$7,'Livro Diario - FC'!$D$11:$D1028,"&lt;=31/10"&amp;$C$7)</f>
        <v>0</v>
      </c>
      <c r="AT221" s="256">
        <f>SUMIFS('Livro Diario - FC'!$M$11:$M1028,'Livro Diario - FC'!$E$11:$E1028,$C$221,'Livro Diario - FC'!$D$11:$D1028,"&gt;=01/10"&amp;$C$7,'Livro Diario - FC'!$D$11:$D1028,"&lt;=31/10"&amp;$C$7)</f>
        <v>0</v>
      </c>
      <c r="AU221" s="273"/>
      <c r="AV221" s="258"/>
      <c r="AW221" s="255">
        <f>SUMIFS('Livro Diario - FC'!$K$11:$K1028,'Livro Diario - FC'!$E$11:$E1028,$C$221,'Livro Diario - FC'!$D$11:$D1028,"&gt;=01/11"&amp;$C$7,'Livro Diario - FC'!$D$11:$D1028,"&lt;=30/11"&amp;$C$7)</f>
        <v>0</v>
      </c>
      <c r="AX221" s="256">
        <f>SUMIFS('Livro Diario - FC'!$M$11:$M1028,'Livro Diario - FC'!$E$11:$E1028,$C$221,'Livro Diario - FC'!$D$11:$D1028,"&gt;=01/11"&amp;$C$7,'Livro Diario - FC'!$D$11:$D1028,"&lt;=30/11"&amp;$C$7)</f>
        <v>0</v>
      </c>
      <c r="AY221" s="273"/>
      <c r="AZ221" s="258"/>
      <c r="BA221" s="255">
        <f>SUMIFS('Livro Diario - FC'!$K$11:$K1028,'Livro Diario - FC'!$E$11:$E1028,$C$221,'Livro Diario - FC'!$D$11:$D1028,"&gt;=01/12"&amp;$C$7,'Livro Diario - FC'!$D$11:$D1028,"&lt;=31/12"&amp;$C$7)</f>
        <v>0</v>
      </c>
      <c r="BB221" s="256">
        <f>SUMIFS('Livro Diario - FC'!$M$11:$M1028,'Livro Diario - FC'!$E$11:$E1028,$C$221,'Livro Diario - FC'!$D$11:$D1028,"&gt;=01/12"&amp;$C$7,'Livro Diario - FC'!$D$11:$D1028,"&lt;=31/12"&amp;$C$7)</f>
        <v>0</v>
      </c>
      <c r="BC221" s="273"/>
      <c r="BD221" s="273"/>
      <c r="BE221" s="267">
        <f t="shared" ref="BE221:BF221" si="322">SUM(D221,I221,N221,S221,X221,AC221,AG221,AK221,AO221,AS221,AW221,BA221)</f>
        <v>0</v>
      </c>
      <c r="BF221" s="268">
        <f t="shared" si="322"/>
        <v>0</v>
      </c>
      <c r="BG221" s="269"/>
      <c r="BH221" s="192"/>
      <c r="BI221" s="270">
        <f>SUMIFS('Livro Diario - FC'!$M$11:$M1028,'Livro Diario - FC'!$E$11:$E1028,C221,'Livro Diario - FC'!$D$11:$D1028,"&gt;="&amp;$BK$8,'Livro Diario - FC'!$D$11:$D1028,"&lt;="&amp;$BK$9)</f>
        <v>0</v>
      </c>
      <c r="BJ221" s="271"/>
      <c r="BK221" s="272"/>
      <c r="BL221" s="1"/>
    </row>
    <row r="222">
      <c r="A222" s="1"/>
      <c r="B222" s="1"/>
      <c r="C222" s="338" t="str">
        <f>'Livro Diario - FC'!AE231</f>
        <v>Perfex</v>
      </c>
      <c r="D222" s="255">
        <f>SUMIFS('Livro Diario - FC'!$K$11:$K1028,'Livro Diario - FC'!$E$11:$E1028,$C$222,'Livro Diario - FC'!$D$11:$D1028,"&gt;=01/01"&amp;$C$7,'Livro Diario - FC'!$D$11:$D1028,"&lt;=31/01"&amp;$C$7)</f>
        <v>12.5</v>
      </c>
      <c r="E222" s="256">
        <f>SUMIFS('Livro Diario - FC'!$M$11:$M1028,'Livro Diario - FC'!$E$11:$E1028,$C$222,'Livro Diario - FC'!$D$11:$D1028,"&gt;=01/01"&amp;$C$7,'Livro Diario - FC'!$D$11:$D1028,"&lt;=31/01"&amp;$C$7)</f>
        <v>12.5</v>
      </c>
      <c r="F222" s="273"/>
      <c r="G222" s="258"/>
      <c r="H222" s="157"/>
      <c r="I222" s="255">
        <f>SUMIFS('Livro Diario - FC'!$K$11:$K1028,'Livro Diario - FC'!$E$11:$E1028,$C$222,'Livro Diario - FC'!$D$11:$D1028,"&gt;=01/02"&amp;$C$7,'Livro Diario - FC'!$D$11:$D1028,"&lt;=29/02"&amp;$C$7)</f>
        <v>0</v>
      </c>
      <c r="J222" s="256">
        <f>SUMIFS('Livro Diario - FC'!$M$11:$M1028,'Livro Diario - FC'!$E$11:$E1028,$C$222,'Livro Diario - FC'!$D$11:$D1028,"&gt;=01/02"&amp;$C$7,'Livro Diario - FC'!$D$11:$D1028,"&lt;=29/02"&amp;$C$7)</f>
        <v>0</v>
      </c>
      <c r="K222" s="273"/>
      <c r="L222" s="258"/>
      <c r="M222" s="259"/>
      <c r="N222" s="255">
        <f>SUMIFS('Livro Diario - FC'!$K$11:$K1028,'Livro Diario - FC'!$E$11:$E1028,$C$222,'Livro Diario - FC'!$D$11:$D1028,"&gt;=01/03"&amp;$C$7,'Livro Diario - FC'!$D$11:$D1028,"&lt;=31/03"&amp;$C$7)</f>
        <v>0</v>
      </c>
      <c r="O222" s="256">
        <f>SUMIFS('Livro Diario - FC'!$M$11:$M1028,'Livro Diario - FC'!$E$11:$E1028,$C$222,'Livro Diario - FC'!$D$11:$D1028,"&gt;=01/03"&amp;$C$7,'Livro Diario - FC'!$D$11:$D1028,"&lt;=31/03"&amp;$C$7)</f>
        <v>0</v>
      </c>
      <c r="P222" s="273"/>
      <c r="Q222" s="258"/>
      <c r="R222" s="259"/>
      <c r="S222" s="255">
        <f>SUMIFS('Livro Diario - FC'!$K$11:$K1028,'Livro Diario - FC'!$E$11:$E1028,$C$222,'Livro Diario - FC'!$D$11:$D1028,"&gt;=01/04"&amp;$C$7,'Livro Diario - FC'!$D$11:$D1028,"&lt;=30/04"&amp;$C$7)</f>
        <v>0</v>
      </c>
      <c r="T222" s="256">
        <f>SUMIFS('Livro Diario - FC'!$M$11:$M1028,'Livro Diario - FC'!$E$11:$E1028,$C$222,'Livro Diario - FC'!$D$11:$D1028,"&gt;=01/04"&amp;$C$7,'Livro Diario - FC'!$D$11:$D1028,"&lt;=30/04"&amp;$C$7)</f>
        <v>0</v>
      </c>
      <c r="U222" s="273"/>
      <c r="V222" s="258"/>
      <c r="W222" s="259"/>
      <c r="X222" s="255">
        <f>SUMIFS('Livro Diario - FC'!$K$11:$K1028,'Livro Diario - FC'!$E$11:$E1028,$C$222,'Livro Diario - FC'!$D$11:$D1028,"&gt;=01/05"&amp;$C$7,'Livro Diario - FC'!$D$11:$D1028,"&lt;=31/05"&amp;$C$7)</f>
        <v>0</v>
      </c>
      <c r="Y222" s="256">
        <f>SUMIFS('Livro Diario - FC'!$M$11:$M1028,'Livro Diario - FC'!$E$11:$E1028,$C$222,'Livro Diario - FC'!$D$11:$D1028,"&gt;=01/05"&amp;$C$7,'Livro Diario - FC'!$D$11:$D1028,"&lt;=31/05"&amp;$C$7)</f>
        <v>0</v>
      </c>
      <c r="Z222" s="273"/>
      <c r="AA222" s="258"/>
      <c r="AB222" s="259"/>
      <c r="AC222" s="255">
        <f>SUMIFS('Livro Diario - FC'!$K$11:$K1028,'Livro Diario - FC'!$E$11:$E1028,$C$222,'Livro Diario - FC'!$D$11:$D1028,"&gt;=01/06"&amp;$C$7,'Livro Diario - FC'!$D$11:$D1028,"&lt;=30/06"&amp;$C$7)</f>
        <v>0</v>
      </c>
      <c r="AD222" s="256">
        <f>SUMIFS('Livro Diario - FC'!$M$11:$M1028,'Livro Diario - FC'!$E$11:$E1028,$C$222,'Livro Diario - FC'!$D$11:$D1028,"&gt;=01/06"&amp;$C$7,'Livro Diario - FC'!$D$11:$D1028,"&lt;=30/06"&amp;$C$7)</f>
        <v>0</v>
      </c>
      <c r="AE222" s="273"/>
      <c r="AF222" s="258"/>
      <c r="AG222" s="255">
        <f>SUMIFS('Livro Diario - FC'!$K$11:$K1028,'Livro Diario - FC'!$E$11:$E1028,$C$222,'Livro Diario - FC'!$D$11:$D1028,"&gt;=01/07"&amp;$C$7,'Livro Diario - FC'!$D$11:$D1028,"&lt;=31/07"&amp;$C$7)</f>
        <v>0</v>
      </c>
      <c r="AH222" s="256">
        <f>SUMIFS('Livro Diario - FC'!$M$11:$M1028,'Livro Diario - FC'!$E$11:$E1028,$C$222,'Livro Diario - FC'!$D$11:$D1028,"&gt;=01/07"&amp;$C$7,'Livro Diario - FC'!$D$11:$D1028,"&lt;=31/07"&amp;$C$7)</f>
        <v>0</v>
      </c>
      <c r="AI222" s="273"/>
      <c r="AJ222" s="258"/>
      <c r="AK222" s="255">
        <f>SUMIFS('Livro Diario - FC'!$K$11:$K1028,'Livro Diario - FC'!$E$11:$E1028,$C$222,'Livro Diario - FC'!$D$11:$D1028,"&gt;=01/08"&amp;$C$7,'Livro Diario - FC'!$D$11:$D1028,"&lt;=31/08"&amp;$C$7)</f>
        <v>0</v>
      </c>
      <c r="AL222" s="256">
        <f>SUMIFS('Livro Diario - FC'!$M$11:$M1028,'Livro Diario - FC'!$E$11:$E1028,$C$222,'Livro Diario - FC'!$D$11:$D1028,"&gt;=01/08"&amp;$C$7,'Livro Diario - FC'!$D$11:$D1028,"&lt;=31/08"&amp;$C$7)</f>
        <v>0</v>
      </c>
      <c r="AM222" s="273"/>
      <c r="AN222" s="258"/>
      <c r="AO222" s="255">
        <f>SUMIFS('Livro Diario - FC'!$K$11:$K1028,'Livro Diario - FC'!$E$11:$E1028,$C$222,'Livro Diario - FC'!$D$11:$D1028,"&gt;=01/09"&amp;$C$7,'Livro Diario - FC'!$D$11:$D1028,"&lt;=30/09"&amp;$C$7)</f>
        <v>0</v>
      </c>
      <c r="AP222" s="256">
        <f>SUMIFS('Livro Diario - FC'!$M$11:$M1028,'Livro Diario - FC'!$E$11:$E1028,$C$222,'Livro Diario - FC'!$D$11:$D1028,"&gt;=01/09"&amp;$C$7,'Livro Diario - FC'!$D$11:$D1028,"&lt;=30/09"&amp;$C$7)</f>
        <v>0</v>
      </c>
      <c r="AQ222" s="273"/>
      <c r="AR222" s="258"/>
      <c r="AS222" s="255">
        <f>SUMIFS('Livro Diario - FC'!$K$11:$K1028,'Livro Diario - FC'!$E$11:$E1028,$C$222,'Livro Diario - FC'!$D$11:$D1028,"&gt;=01/10"&amp;$C$7,'Livro Diario - FC'!$D$11:$D1028,"&lt;=31/10"&amp;$C$7)</f>
        <v>0</v>
      </c>
      <c r="AT222" s="256">
        <f>SUMIFS('Livro Diario - FC'!$M$11:$M1028,'Livro Diario - FC'!$E$11:$E1028,$C$222,'Livro Diario - FC'!$D$11:$D1028,"&gt;=01/10"&amp;$C$7,'Livro Diario - FC'!$D$11:$D1028,"&lt;=31/10"&amp;$C$7)</f>
        <v>0</v>
      </c>
      <c r="AU222" s="273"/>
      <c r="AV222" s="258"/>
      <c r="AW222" s="255">
        <f>SUMIFS('Livro Diario - FC'!$K$11:$K1028,'Livro Diario - FC'!$E$11:$E1028,$C$222,'Livro Diario - FC'!$D$11:$D1028,"&gt;=01/11"&amp;$C$7,'Livro Diario - FC'!$D$11:$D1028,"&lt;=30/11"&amp;$C$7)</f>
        <v>0</v>
      </c>
      <c r="AX222" s="256">
        <f>SUMIFS('Livro Diario - FC'!$M$11:$M1028,'Livro Diario - FC'!$E$11:$E1028,$C$222,'Livro Diario - FC'!$D$11:$D1028,"&gt;=01/11"&amp;$C$7,'Livro Diario - FC'!$D$11:$D1028,"&lt;=30/11"&amp;$C$7)</f>
        <v>0</v>
      </c>
      <c r="AY222" s="273"/>
      <c r="AZ222" s="258"/>
      <c r="BA222" s="255">
        <f>SUMIFS('Livro Diario - FC'!$K$11:$K1028,'Livro Diario - FC'!$E$11:$E1028,$C$222,'Livro Diario - FC'!$D$11:$D1028,"&gt;=01/12"&amp;$C$7,'Livro Diario - FC'!$D$11:$D1028,"&lt;=31/12"&amp;$C$7)</f>
        <v>0</v>
      </c>
      <c r="BB222" s="256">
        <f>SUMIFS('Livro Diario - FC'!$M$11:$M1028,'Livro Diario - FC'!$E$11:$E1028,$C$222,'Livro Diario - FC'!$D$11:$D1028,"&gt;=01/12"&amp;$C$7,'Livro Diario - FC'!$D$11:$D1028,"&lt;=31/12"&amp;$C$7)</f>
        <v>0</v>
      </c>
      <c r="BC222" s="273"/>
      <c r="BD222" s="273"/>
      <c r="BE222" s="267">
        <f t="shared" ref="BE222:BF222" si="323">SUM(D222,I222,N222,S222,X222,AC222,AG222,AK222,AO222,AS222,AW222,BA222)</f>
        <v>12.5</v>
      </c>
      <c r="BF222" s="268">
        <f t="shared" si="323"/>
        <v>12.5</v>
      </c>
      <c r="BG222" s="269"/>
      <c r="BH222" s="192"/>
      <c r="BI222" s="270">
        <f>SUMIFS('Livro Diario - FC'!$M$11:$M1028,'Livro Diario - FC'!$E$11:$E1028,C222,'Livro Diario - FC'!$D$11:$D1028,"&gt;="&amp;$BK$8,'Livro Diario - FC'!$D$11:$D1028,"&lt;="&amp;$BK$9)</f>
        <v>0</v>
      </c>
      <c r="BJ222" s="271"/>
      <c r="BK222" s="272"/>
      <c r="BL222" s="1"/>
    </row>
    <row r="223">
      <c r="A223" s="1"/>
      <c r="B223" s="1"/>
      <c r="C223" s="338" t="str">
        <f>'Livro Diario - FC'!AE232</f>
        <v>Bobina Termica Impressora</v>
      </c>
      <c r="D223" s="255">
        <f>SUMIFS('Livro Diario - FC'!$K$11:$K1028,'Livro Diario - FC'!$E$11:$E1028,$C$223,'Livro Diario - FC'!$D$11:$D1028,"&gt;=01/01"&amp;$C$7,'Livro Diario - FC'!$D$11:$D1028,"&lt;=31/01"&amp;$C$7)</f>
        <v>14.4</v>
      </c>
      <c r="E223" s="256">
        <f>SUMIFS('Livro Diario - FC'!$M$11:$M1028,'Livro Diario - FC'!$E$11:$E1028,$C$223,'Livro Diario - FC'!$D$11:$D1028,"&gt;=01/01"&amp;$C$7,'Livro Diario - FC'!$D$11:$D1028,"&lt;=31/01"&amp;$C$7)</f>
        <v>14.4</v>
      </c>
      <c r="F223" s="273"/>
      <c r="G223" s="258"/>
      <c r="H223" s="157"/>
      <c r="I223" s="255">
        <f>SUMIFS('Livro Diario - FC'!$K$11:$K1028,'Livro Diario - FC'!$E$11:$E1028,$C$223,'Livro Diario - FC'!$D$11:$D1028,"&gt;=01/02"&amp;$C$7,'Livro Diario - FC'!$D$11:$D1028,"&lt;=29/02"&amp;$C$7)</f>
        <v>0</v>
      </c>
      <c r="J223" s="256">
        <f>SUMIFS('Livro Diario - FC'!$M$11:$M1028,'Livro Diario - FC'!$E$11:$E1028,$C$223,'Livro Diario - FC'!$D$11:$D1028,"&gt;=01/02"&amp;$C$7,'Livro Diario - FC'!$D$11:$D1028,"&lt;=29/02"&amp;$C$7)</f>
        <v>0</v>
      </c>
      <c r="K223" s="273"/>
      <c r="L223" s="258"/>
      <c r="M223" s="259"/>
      <c r="N223" s="255">
        <f>SUMIFS('Livro Diario - FC'!$K$11:$K1028,'Livro Diario - FC'!$E$11:$E1028,$C$223,'Livro Diario - FC'!$D$11:$D1028,"&gt;=01/03"&amp;$C$7,'Livro Diario - FC'!$D$11:$D1028,"&lt;=31/03"&amp;$C$7)</f>
        <v>0</v>
      </c>
      <c r="O223" s="256">
        <f>SUMIFS('Livro Diario - FC'!$M$11:$M1028,'Livro Diario - FC'!$E$11:$E1028,$C$223,'Livro Diario - FC'!$D$11:$D1028,"&gt;=01/03"&amp;$C$7,'Livro Diario - FC'!$D$11:$D1028,"&lt;=31/03"&amp;$C$7)</f>
        <v>0</v>
      </c>
      <c r="P223" s="273"/>
      <c r="Q223" s="258"/>
      <c r="R223" s="259"/>
      <c r="S223" s="255">
        <f>SUMIFS('Livro Diario - FC'!$K$11:$K1028,'Livro Diario - FC'!$E$11:$E1028,$C$223,'Livro Diario - FC'!$D$11:$D1028,"&gt;=01/04"&amp;$C$7,'Livro Diario - FC'!$D$11:$D1028,"&lt;=30/04"&amp;$C$7)</f>
        <v>0</v>
      </c>
      <c r="T223" s="256">
        <f>SUMIFS('Livro Diario - FC'!$M$11:$M1028,'Livro Diario - FC'!$E$11:$E1028,$C$223,'Livro Diario - FC'!$D$11:$D1028,"&gt;=01/04"&amp;$C$7,'Livro Diario - FC'!$D$11:$D1028,"&lt;=30/04"&amp;$C$7)</f>
        <v>0</v>
      </c>
      <c r="U223" s="273"/>
      <c r="V223" s="258"/>
      <c r="W223" s="259"/>
      <c r="X223" s="255">
        <f>SUMIFS('Livro Diario - FC'!$K$11:$K1028,'Livro Diario - FC'!$E$11:$E1028,$C$223,'Livro Diario - FC'!$D$11:$D1028,"&gt;=01/05"&amp;$C$7,'Livro Diario - FC'!$D$11:$D1028,"&lt;=31/05"&amp;$C$7)</f>
        <v>0</v>
      </c>
      <c r="Y223" s="256">
        <f>SUMIFS('Livro Diario - FC'!$M$11:$M1028,'Livro Diario - FC'!$E$11:$E1028,$C$223,'Livro Diario - FC'!$D$11:$D1028,"&gt;=01/05"&amp;$C$7,'Livro Diario - FC'!$D$11:$D1028,"&lt;=31/05"&amp;$C$7)</f>
        <v>0</v>
      </c>
      <c r="Z223" s="273"/>
      <c r="AA223" s="258"/>
      <c r="AB223" s="259"/>
      <c r="AC223" s="255">
        <f>SUMIFS('Livro Diario - FC'!$K$11:$K1028,'Livro Diario - FC'!$E$11:$E1028,$C$223,'Livro Diario - FC'!$D$11:$D1028,"&gt;=01/06"&amp;$C$7,'Livro Diario - FC'!$D$11:$D1028,"&lt;=30/06"&amp;$C$7)</f>
        <v>0</v>
      </c>
      <c r="AD223" s="256">
        <f>SUMIFS('Livro Diario - FC'!$M$11:$M1028,'Livro Diario - FC'!$E$11:$E1028,$C$223,'Livro Diario - FC'!$D$11:$D1028,"&gt;=01/06"&amp;$C$7,'Livro Diario - FC'!$D$11:$D1028,"&lt;=30/06"&amp;$C$7)</f>
        <v>0</v>
      </c>
      <c r="AE223" s="273"/>
      <c r="AF223" s="258"/>
      <c r="AG223" s="255">
        <f>SUMIFS('Livro Diario - FC'!$K$11:$K1028,'Livro Diario - FC'!$E$11:$E1028,$C$223,'Livro Diario - FC'!$D$11:$D1028,"&gt;=01/07"&amp;$C$7,'Livro Diario - FC'!$D$11:$D1028,"&lt;=31/07"&amp;$C$7)</f>
        <v>0</v>
      </c>
      <c r="AH223" s="256">
        <f>SUMIFS('Livro Diario - FC'!$M$11:$M1028,'Livro Diario - FC'!$E$11:$E1028,$C$223,'Livro Diario - FC'!$D$11:$D1028,"&gt;=01/07"&amp;$C$7,'Livro Diario - FC'!$D$11:$D1028,"&lt;=31/07"&amp;$C$7)</f>
        <v>0</v>
      </c>
      <c r="AI223" s="273"/>
      <c r="AJ223" s="258"/>
      <c r="AK223" s="255">
        <f>SUMIFS('Livro Diario - FC'!$K$11:$K1028,'Livro Diario - FC'!$E$11:$E1028,$C$223,'Livro Diario - FC'!$D$11:$D1028,"&gt;=01/08"&amp;$C$7,'Livro Diario - FC'!$D$11:$D1028,"&lt;=31/08"&amp;$C$7)</f>
        <v>0</v>
      </c>
      <c r="AL223" s="256">
        <f>SUMIFS('Livro Diario - FC'!$M$11:$M1028,'Livro Diario - FC'!$E$11:$E1028,$C$223,'Livro Diario - FC'!$D$11:$D1028,"&gt;=01/08"&amp;$C$7,'Livro Diario - FC'!$D$11:$D1028,"&lt;=31/08"&amp;$C$7)</f>
        <v>0</v>
      </c>
      <c r="AM223" s="273"/>
      <c r="AN223" s="258"/>
      <c r="AO223" s="255">
        <f>SUMIFS('Livro Diario - FC'!$K$11:$K1028,'Livro Diario - FC'!$E$11:$E1028,$C$223,'Livro Diario - FC'!$D$11:$D1028,"&gt;=01/09"&amp;$C$7,'Livro Diario - FC'!$D$11:$D1028,"&lt;=30/09"&amp;$C$7)</f>
        <v>0</v>
      </c>
      <c r="AP223" s="256">
        <f>SUMIFS('Livro Diario - FC'!$M$11:$M1028,'Livro Diario - FC'!$E$11:$E1028,$C$223,'Livro Diario - FC'!$D$11:$D1028,"&gt;=01/09"&amp;$C$7,'Livro Diario - FC'!$D$11:$D1028,"&lt;=30/09"&amp;$C$7)</f>
        <v>0</v>
      </c>
      <c r="AQ223" s="273"/>
      <c r="AR223" s="258"/>
      <c r="AS223" s="255">
        <f>SUMIFS('Livro Diario - FC'!$K$11:$K1028,'Livro Diario - FC'!$E$11:$E1028,$C$223,'Livro Diario - FC'!$D$11:$D1028,"&gt;=01/10"&amp;$C$7,'Livro Diario - FC'!$D$11:$D1028,"&lt;=31/10"&amp;$C$7)</f>
        <v>0</v>
      </c>
      <c r="AT223" s="256">
        <f>SUMIFS('Livro Diario - FC'!$M$11:$M1028,'Livro Diario - FC'!$E$11:$E1028,$C$223,'Livro Diario - FC'!$D$11:$D1028,"&gt;=01/10"&amp;$C$7,'Livro Diario - FC'!$D$11:$D1028,"&lt;=31/10"&amp;$C$7)</f>
        <v>0</v>
      </c>
      <c r="AU223" s="273"/>
      <c r="AV223" s="258"/>
      <c r="AW223" s="255">
        <f>SUMIFS('Livro Diario - FC'!$K$11:$K1028,'Livro Diario - FC'!$E$11:$E1028,$C$223,'Livro Diario - FC'!$D$11:$D1028,"&gt;=01/11"&amp;$C$7,'Livro Diario - FC'!$D$11:$D1028,"&lt;=30/11"&amp;$C$7)</f>
        <v>0</v>
      </c>
      <c r="AX223" s="256">
        <f>SUMIFS('Livro Diario - FC'!$M$11:$M1028,'Livro Diario - FC'!$E$11:$E1028,$C$223,'Livro Diario - FC'!$D$11:$D1028,"&gt;=01/11"&amp;$C$7,'Livro Diario - FC'!$D$11:$D1028,"&lt;=30/11"&amp;$C$7)</f>
        <v>0</v>
      </c>
      <c r="AY223" s="273"/>
      <c r="AZ223" s="258"/>
      <c r="BA223" s="255">
        <f>SUMIFS('Livro Diario - FC'!$K$11:$K1028,'Livro Diario - FC'!$E$11:$E1028,$C$223,'Livro Diario - FC'!$D$11:$D1028,"&gt;=01/12"&amp;$C$7,'Livro Diario - FC'!$D$11:$D1028,"&lt;=31/12"&amp;$C$7)</f>
        <v>0</v>
      </c>
      <c r="BB223" s="256">
        <f>SUMIFS('Livro Diario - FC'!$M$11:$M1028,'Livro Diario - FC'!$E$11:$E1028,$C$223,'Livro Diario - FC'!$D$11:$D1028,"&gt;=01/12"&amp;$C$7,'Livro Diario - FC'!$D$11:$D1028,"&lt;=31/12"&amp;$C$7)</f>
        <v>0</v>
      </c>
      <c r="BC223" s="273"/>
      <c r="BD223" s="273"/>
      <c r="BE223" s="267">
        <f t="shared" ref="BE223:BF223" si="324">SUM(D223,I223,N223,S223,X223,AC223,AG223,AK223,AO223,AS223,AW223,BA223)</f>
        <v>14.4</v>
      </c>
      <c r="BF223" s="268">
        <f t="shared" si="324"/>
        <v>14.4</v>
      </c>
      <c r="BG223" s="269"/>
      <c r="BH223" s="192"/>
      <c r="BI223" s="270">
        <f>SUMIFS('Livro Diario - FC'!$M$11:$M1028,'Livro Diario - FC'!$E$11:$E1028,C223,'Livro Diario - FC'!$D$11:$D1028,"&gt;="&amp;$BK$8,'Livro Diario - FC'!$D$11:$D1028,"&lt;="&amp;$BK$9)</f>
        <v>0</v>
      </c>
      <c r="BJ223" s="271"/>
      <c r="BK223" s="272"/>
      <c r="BL223" s="1"/>
    </row>
    <row r="224">
      <c r="A224" s="1"/>
      <c r="B224" s="1"/>
      <c r="C224" s="338" t="str">
        <f>'Livro Diario - FC'!AE233</f>
        <v>Bloquinho</v>
      </c>
      <c r="D224" s="255">
        <f>SUMIFS('Livro Diario - FC'!$K$11:$K1028,'Livro Diario - FC'!$E$11:$E1028,$C$224,'Livro Diario - FC'!$D$11:$D1028,"&gt;=01/01"&amp;$C$7,'Livro Diario - FC'!$D$11:$D1028,"&lt;=31/01"&amp;$C$7)</f>
        <v>0</v>
      </c>
      <c r="E224" s="256">
        <f>SUMIFS('Livro Diario - FC'!$M$11:$M1028,'Livro Diario - FC'!$E$11:$E1028,$C$224,'Livro Diario - FC'!$D$11:$D1028,"&gt;=01/01"&amp;$C$7,'Livro Diario - FC'!$D$11:$D1028,"&lt;=31/01"&amp;$C$7)</f>
        <v>0</v>
      </c>
      <c r="F224" s="273"/>
      <c r="G224" s="258"/>
      <c r="H224" s="157"/>
      <c r="I224" s="255">
        <f>SUMIFS('Livro Diario - FC'!$K$11:$K1028,'Livro Diario - FC'!$E$11:$E1028,$C$224,'Livro Diario - FC'!$D$11:$D1028,"&gt;=01/02"&amp;$C$7,'Livro Diario - FC'!$D$11:$D1028,"&lt;=29/02"&amp;$C$7)</f>
        <v>0</v>
      </c>
      <c r="J224" s="256">
        <f>SUMIFS('Livro Diario - FC'!$M$11:$M1028,'Livro Diario - FC'!$E$11:$E1028,$C$224,'Livro Diario - FC'!$D$11:$D1028,"&gt;=01/02"&amp;$C$7,'Livro Diario - FC'!$D$11:$D1028,"&lt;=29/02"&amp;$C$7)</f>
        <v>0</v>
      </c>
      <c r="K224" s="273"/>
      <c r="L224" s="258"/>
      <c r="M224" s="259"/>
      <c r="N224" s="255">
        <f>SUMIFS('Livro Diario - FC'!$K$11:$K1028,'Livro Diario - FC'!$E$11:$E1028,$C$224,'Livro Diario - FC'!$D$11:$D1028,"&gt;=01/03"&amp;$C$7,'Livro Diario - FC'!$D$11:$D1028,"&lt;=31/03"&amp;$C$7)</f>
        <v>0</v>
      </c>
      <c r="O224" s="256">
        <f>SUMIFS('Livro Diario - FC'!$M$11:$M1028,'Livro Diario - FC'!$E$11:$E1028,$C$224,'Livro Diario - FC'!$D$11:$D1028,"&gt;=01/03"&amp;$C$7,'Livro Diario - FC'!$D$11:$D1028,"&lt;=31/03"&amp;$C$7)</f>
        <v>0</v>
      </c>
      <c r="P224" s="273"/>
      <c r="Q224" s="258"/>
      <c r="R224" s="259"/>
      <c r="S224" s="255">
        <f>SUMIFS('Livro Diario - FC'!$K$11:$K1028,'Livro Diario - FC'!$E$11:$E1028,$C$224,'Livro Diario - FC'!$D$11:$D1028,"&gt;=01/04"&amp;$C$7,'Livro Diario - FC'!$D$11:$D1028,"&lt;=30/04"&amp;$C$7)</f>
        <v>0</v>
      </c>
      <c r="T224" s="256">
        <f>SUMIFS('Livro Diario - FC'!$M$11:$M1028,'Livro Diario - FC'!$E$11:$E1028,$C$224,'Livro Diario - FC'!$D$11:$D1028,"&gt;=01/04"&amp;$C$7,'Livro Diario - FC'!$D$11:$D1028,"&lt;=30/04"&amp;$C$7)</f>
        <v>0</v>
      </c>
      <c r="U224" s="273"/>
      <c r="V224" s="258"/>
      <c r="W224" s="259"/>
      <c r="X224" s="255">
        <f>SUMIFS('Livro Diario - FC'!$K$11:$K1028,'Livro Diario - FC'!$E$11:$E1028,$C$224,'Livro Diario - FC'!$D$11:$D1028,"&gt;=01/05"&amp;$C$7,'Livro Diario - FC'!$D$11:$D1028,"&lt;=31/05"&amp;$C$7)</f>
        <v>0</v>
      </c>
      <c r="Y224" s="256">
        <f>SUMIFS('Livro Diario - FC'!$M$11:$M1028,'Livro Diario - FC'!$E$11:$E1028,$C$224,'Livro Diario - FC'!$D$11:$D1028,"&gt;=01/05"&amp;$C$7,'Livro Diario - FC'!$D$11:$D1028,"&lt;=31/05"&amp;$C$7)</f>
        <v>0</v>
      </c>
      <c r="Z224" s="273"/>
      <c r="AA224" s="258"/>
      <c r="AB224" s="259"/>
      <c r="AC224" s="255">
        <f>SUMIFS('Livro Diario - FC'!$K$11:$K1028,'Livro Diario - FC'!$E$11:$E1028,$C$224,'Livro Diario - FC'!$D$11:$D1028,"&gt;=01/06"&amp;$C$7,'Livro Diario - FC'!$D$11:$D1028,"&lt;=30/06"&amp;$C$7)</f>
        <v>0</v>
      </c>
      <c r="AD224" s="256">
        <f>SUMIFS('Livro Diario - FC'!$M$11:$M1028,'Livro Diario - FC'!$E$11:$E1028,$C$224,'Livro Diario - FC'!$D$11:$D1028,"&gt;=01/06"&amp;$C$7,'Livro Diario - FC'!$D$11:$D1028,"&lt;=30/06"&amp;$C$7)</f>
        <v>0</v>
      </c>
      <c r="AE224" s="273"/>
      <c r="AF224" s="258"/>
      <c r="AG224" s="255">
        <f>SUMIFS('Livro Diario - FC'!$K$11:$K1028,'Livro Diario - FC'!$E$11:$E1028,$C$224,'Livro Diario - FC'!$D$11:$D1028,"&gt;=01/07"&amp;$C$7,'Livro Diario - FC'!$D$11:$D1028,"&lt;=31/07"&amp;$C$7)</f>
        <v>0</v>
      </c>
      <c r="AH224" s="256">
        <f>SUMIFS('Livro Diario - FC'!$M$11:$M1028,'Livro Diario - FC'!$E$11:$E1028,$C$224,'Livro Diario - FC'!$D$11:$D1028,"&gt;=01/07"&amp;$C$7,'Livro Diario - FC'!$D$11:$D1028,"&lt;=31/07"&amp;$C$7)</f>
        <v>0</v>
      </c>
      <c r="AI224" s="273"/>
      <c r="AJ224" s="258"/>
      <c r="AK224" s="255">
        <f>SUMIFS('Livro Diario - FC'!$K$11:$K1028,'Livro Diario - FC'!$E$11:$E1028,$C$224,'Livro Diario - FC'!$D$11:$D1028,"&gt;=01/08"&amp;$C$7,'Livro Diario - FC'!$D$11:$D1028,"&lt;=31/08"&amp;$C$7)</f>
        <v>0</v>
      </c>
      <c r="AL224" s="256">
        <f>SUMIFS('Livro Diario - FC'!$M$11:$M1028,'Livro Diario - FC'!$E$11:$E1028,$C$224,'Livro Diario - FC'!$D$11:$D1028,"&gt;=01/08"&amp;$C$7,'Livro Diario - FC'!$D$11:$D1028,"&lt;=31/08"&amp;$C$7)</f>
        <v>0</v>
      </c>
      <c r="AM224" s="273"/>
      <c r="AN224" s="258"/>
      <c r="AO224" s="255">
        <f>SUMIFS('Livro Diario - FC'!$K$11:$K1028,'Livro Diario - FC'!$E$11:$E1028,$C$224,'Livro Diario - FC'!$D$11:$D1028,"&gt;=01/09"&amp;$C$7,'Livro Diario - FC'!$D$11:$D1028,"&lt;=30/09"&amp;$C$7)</f>
        <v>0</v>
      </c>
      <c r="AP224" s="256">
        <f>SUMIFS('Livro Diario - FC'!$M$11:$M1028,'Livro Diario - FC'!$E$11:$E1028,$C$224,'Livro Diario - FC'!$D$11:$D1028,"&gt;=01/09"&amp;$C$7,'Livro Diario - FC'!$D$11:$D1028,"&lt;=30/09"&amp;$C$7)</f>
        <v>0</v>
      </c>
      <c r="AQ224" s="273"/>
      <c r="AR224" s="258"/>
      <c r="AS224" s="255">
        <f>SUMIFS('Livro Diario - FC'!$K$11:$K1028,'Livro Diario - FC'!$E$11:$E1028,$C$224,'Livro Diario - FC'!$D$11:$D1028,"&gt;=01/10"&amp;$C$7,'Livro Diario - FC'!$D$11:$D1028,"&lt;=31/10"&amp;$C$7)</f>
        <v>0</v>
      </c>
      <c r="AT224" s="256">
        <f>SUMIFS('Livro Diario - FC'!$M$11:$M1028,'Livro Diario - FC'!$E$11:$E1028,$C$224,'Livro Diario - FC'!$D$11:$D1028,"&gt;=01/10"&amp;$C$7,'Livro Diario - FC'!$D$11:$D1028,"&lt;=31/10"&amp;$C$7)</f>
        <v>0</v>
      </c>
      <c r="AU224" s="273"/>
      <c r="AV224" s="258"/>
      <c r="AW224" s="255">
        <f>SUMIFS('Livro Diario - FC'!$K$11:$K1028,'Livro Diario - FC'!$E$11:$E1028,$C$224,'Livro Diario - FC'!$D$11:$D1028,"&gt;=01/11"&amp;$C$7,'Livro Diario - FC'!$D$11:$D1028,"&lt;=30/11"&amp;$C$7)</f>
        <v>0</v>
      </c>
      <c r="AX224" s="256">
        <f>SUMIFS('Livro Diario - FC'!$M$11:$M1028,'Livro Diario - FC'!$E$11:$E1028,$C$224,'Livro Diario - FC'!$D$11:$D1028,"&gt;=01/11"&amp;$C$7,'Livro Diario - FC'!$D$11:$D1028,"&lt;=30/11"&amp;$C$7)</f>
        <v>0</v>
      </c>
      <c r="AY224" s="273"/>
      <c r="AZ224" s="258"/>
      <c r="BA224" s="255">
        <f>SUMIFS('Livro Diario - FC'!$K$11:$K1028,'Livro Diario - FC'!$E$11:$E1028,$C$224,'Livro Diario - FC'!$D$11:$D1028,"&gt;=01/12"&amp;$C$7,'Livro Diario - FC'!$D$11:$D1028,"&lt;=31/12"&amp;$C$7)</f>
        <v>0</v>
      </c>
      <c r="BB224" s="256">
        <f>SUMIFS('Livro Diario - FC'!$M$11:$M1028,'Livro Diario - FC'!$E$11:$E1028,$C$224,'Livro Diario - FC'!$D$11:$D1028,"&gt;=01/12"&amp;$C$7,'Livro Diario - FC'!$D$11:$D1028,"&lt;=31/12"&amp;$C$7)</f>
        <v>0</v>
      </c>
      <c r="BC224" s="273"/>
      <c r="BD224" s="273"/>
      <c r="BE224" s="267">
        <f t="shared" ref="BE224:BF224" si="325">SUM(D224,I224,N224,S224,X224,AC224,AG224,AK224,AO224,AS224,AW224,BA224)</f>
        <v>0</v>
      </c>
      <c r="BF224" s="268">
        <f t="shared" si="325"/>
        <v>0</v>
      </c>
      <c r="BG224" s="269"/>
      <c r="BH224" s="192"/>
      <c r="BI224" s="270">
        <f>SUMIFS('Livro Diario - FC'!$M$11:$M1028,'Livro Diario - FC'!$E$11:$E1028,C224,'Livro Diario - FC'!$D$11:$D1028,"&gt;="&amp;$BK$8,'Livro Diario - FC'!$D$11:$D1028,"&lt;="&amp;$BK$9)</f>
        <v>0</v>
      </c>
      <c r="BJ224" s="271"/>
      <c r="BK224" s="272"/>
      <c r="BL224" s="1"/>
    </row>
    <row r="225">
      <c r="A225" s="1"/>
      <c r="B225" s="1"/>
      <c r="C225" s="338" t="str">
        <f>'Livro Diario - FC'!AE234</f>
        <v>Garrafinhas 350ml</v>
      </c>
      <c r="D225" s="255">
        <f>SUMIFS('Livro Diario - FC'!$K$11:$K1028,'Livro Diario - FC'!$E$11:$E1028,$C$225,'Livro Diario - FC'!$D$11:$D1028,"&gt;=01/01"&amp;$C$7,'Livro Diario - FC'!$D$11:$D1028,"&lt;=31/01"&amp;$C$7)</f>
        <v>0</v>
      </c>
      <c r="E225" s="256">
        <f>SUMIFS('Livro Diario - FC'!$M$11:$M1028,'Livro Diario - FC'!$E$11:$E1028,$C$225,'Livro Diario - FC'!$D$11:$D1028,"&gt;=01/01"&amp;$C$7,'Livro Diario - FC'!$D$11:$D1028,"&lt;=31/01"&amp;$C$7)</f>
        <v>0</v>
      </c>
      <c r="F225" s="273"/>
      <c r="G225" s="258"/>
      <c r="H225" s="157"/>
      <c r="I225" s="255">
        <f>SUMIFS('Livro Diario - FC'!$K$11:$K1028,'Livro Diario - FC'!$E$11:$E1028,$C$225,'Livro Diario - FC'!$D$11:$D1028,"&gt;=01/02"&amp;$C$7,'Livro Diario - FC'!$D$11:$D1028,"&lt;=29/02"&amp;$C$7)</f>
        <v>0</v>
      </c>
      <c r="J225" s="256">
        <f>SUMIFS('Livro Diario - FC'!$M$11:$M1028,'Livro Diario - FC'!$E$11:$E1028,$C$225,'Livro Diario - FC'!$D$11:$D1028,"&gt;=01/02"&amp;$C$7,'Livro Diario - FC'!$D$11:$D1028,"&lt;=29/02"&amp;$C$7)</f>
        <v>0</v>
      </c>
      <c r="K225" s="273"/>
      <c r="L225" s="258"/>
      <c r="M225" s="259"/>
      <c r="N225" s="255">
        <f>SUMIFS('Livro Diario - FC'!$K$11:$K1028,'Livro Diario - FC'!$E$11:$E1028,$C$225,'Livro Diario - FC'!$D$11:$D1028,"&gt;=01/03"&amp;$C$7,'Livro Diario - FC'!$D$11:$D1028,"&lt;=31/03"&amp;$C$7)</f>
        <v>0</v>
      </c>
      <c r="O225" s="256">
        <f>SUMIFS('Livro Diario - FC'!$M$11:$M1028,'Livro Diario - FC'!$E$11:$E1028,$C$225,'Livro Diario - FC'!$D$11:$D1028,"&gt;=01/03"&amp;$C$7,'Livro Diario - FC'!$D$11:$D1028,"&lt;=31/03"&amp;$C$7)</f>
        <v>0</v>
      </c>
      <c r="P225" s="273"/>
      <c r="Q225" s="258"/>
      <c r="R225" s="259"/>
      <c r="S225" s="255">
        <f>SUMIFS('Livro Diario - FC'!$K$11:$K1028,'Livro Diario - FC'!$E$11:$E1028,$C$225,'Livro Diario - FC'!$D$11:$D1028,"&gt;=01/04"&amp;$C$7,'Livro Diario - FC'!$D$11:$D1028,"&lt;=30/04"&amp;$C$7)</f>
        <v>0</v>
      </c>
      <c r="T225" s="256">
        <f>SUMIFS('Livro Diario - FC'!$M$11:$M1028,'Livro Diario - FC'!$E$11:$E1028,$C$225,'Livro Diario - FC'!$D$11:$D1028,"&gt;=01/04"&amp;$C$7,'Livro Diario - FC'!$D$11:$D1028,"&lt;=30/04"&amp;$C$7)</f>
        <v>0</v>
      </c>
      <c r="U225" s="273"/>
      <c r="V225" s="258"/>
      <c r="W225" s="259"/>
      <c r="X225" s="255">
        <f>SUMIFS('Livro Diario - FC'!$K$11:$K1028,'Livro Diario - FC'!$E$11:$E1028,$C$225,'Livro Diario - FC'!$D$11:$D1028,"&gt;=01/05"&amp;$C$7,'Livro Diario - FC'!$D$11:$D1028,"&lt;=31/05"&amp;$C$7)</f>
        <v>0</v>
      </c>
      <c r="Y225" s="256">
        <f>SUMIFS('Livro Diario - FC'!$M$11:$M1028,'Livro Diario - FC'!$E$11:$E1028,$C$225,'Livro Diario - FC'!$D$11:$D1028,"&gt;=01/05"&amp;$C$7,'Livro Diario - FC'!$D$11:$D1028,"&lt;=31/05"&amp;$C$7)</f>
        <v>0</v>
      </c>
      <c r="Z225" s="273"/>
      <c r="AA225" s="258"/>
      <c r="AB225" s="259"/>
      <c r="AC225" s="255">
        <f>SUMIFS('Livro Diario - FC'!$K$11:$K1028,'Livro Diario - FC'!$E$11:$E1028,$C$225,'Livro Diario - FC'!$D$11:$D1028,"&gt;=01/06"&amp;$C$7,'Livro Diario - FC'!$D$11:$D1028,"&lt;=30/06"&amp;$C$7)</f>
        <v>0</v>
      </c>
      <c r="AD225" s="256">
        <f>SUMIFS('Livro Diario - FC'!$M$11:$M1028,'Livro Diario - FC'!$E$11:$E1028,$C$225,'Livro Diario - FC'!$D$11:$D1028,"&gt;=01/06"&amp;$C$7,'Livro Diario - FC'!$D$11:$D1028,"&lt;=30/06"&amp;$C$7)</f>
        <v>0</v>
      </c>
      <c r="AE225" s="273"/>
      <c r="AF225" s="258"/>
      <c r="AG225" s="255">
        <f>SUMIFS('Livro Diario - FC'!$K$11:$K1028,'Livro Diario - FC'!$E$11:$E1028,$C$225,'Livro Diario - FC'!$D$11:$D1028,"&gt;=01/07"&amp;$C$7,'Livro Diario - FC'!$D$11:$D1028,"&lt;=31/07"&amp;$C$7)</f>
        <v>0</v>
      </c>
      <c r="AH225" s="256">
        <f>SUMIFS('Livro Diario - FC'!$M$11:$M1028,'Livro Diario - FC'!$E$11:$E1028,$C$225,'Livro Diario - FC'!$D$11:$D1028,"&gt;=01/07"&amp;$C$7,'Livro Diario - FC'!$D$11:$D1028,"&lt;=31/07"&amp;$C$7)</f>
        <v>0</v>
      </c>
      <c r="AI225" s="273"/>
      <c r="AJ225" s="258"/>
      <c r="AK225" s="255">
        <f>SUMIFS('Livro Diario - FC'!$K$11:$K1028,'Livro Diario - FC'!$E$11:$E1028,$C$225,'Livro Diario - FC'!$D$11:$D1028,"&gt;=01/08"&amp;$C$7,'Livro Diario - FC'!$D$11:$D1028,"&lt;=31/08"&amp;$C$7)</f>
        <v>0</v>
      </c>
      <c r="AL225" s="256">
        <f>SUMIFS('Livro Diario - FC'!$M$11:$M1028,'Livro Diario - FC'!$E$11:$E1028,$C$225,'Livro Diario - FC'!$D$11:$D1028,"&gt;=01/08"&amp;$C$7,'Livro Diario - FC'!$D$11:$D1028,"&lt;=31/08"&amp;$C$7)</f>
        <v>0</v>
      </c>
      <c r="AM225" s="273"/>
      <c r="AN225" s="258"/>
      <c r="AO225" s="255">
        <f>SUMIFS('Livro Diario - FC'!$K$11:$K1028,'Livro Diario - FC'!$E$11:$E1028,$C$225,'Livro Diario - FC'!$D$11:$D1028,"&gt;=01/09"&amp;$C$7,'Livro Diario - FC'!$D$11:$D1028,"&lt;=30/09"&amp;$C$7)</f>
        <v>0</v>
      </c>
      <c r="AP225" s="256">
        <f>SUMIFS('Livro Diario - FC'!$M$11:$M1028,'Livro Diario - FC'!$E$11:$E1028,$C$225,'Livro Diario - FC'!$D$11:$D1028,"&gt;=01/09"&amp;$C$7,'Livro Diario - FC'!$D$11:$D1028,"&lt;=30/09"&amp;$C$7)</f>
        <v>0</v>
      </c>
      <c r="AQ225" s="273"/>
      <c r="AR225" s="258"/>
      <c r="AS225" s="255">
        <f>SUMIFS('Livro Diario - FC'!$K$11:$K1028,'Livro Diario - FC'!$E$11:$E1028,$C$225,'Livro Diario - FC'!$D$11:$D1028,"&gt;=01/10"&amp;$C$7,'Livro Diario - FC'!$D$11:$D1028,"&lt;=31/10"&amp;$C$7)</f>
        <v>0</v>
      </c>
      <c r="AT225" s="256">
        <f>SUMIFS('Livro Diario - FC'!$M$11:$M1028,'Livro Diario - FC'!$E$11:$E1028,$C$225,'Livro Diario - FC'!$D$11:$D1028,"&gt;=01/10"&amp;$C$7,'Livro Diario - FC'!$D$11:$D1028,"&lt;=31/10"&amp;$C$7)</f>
        <v>0</v>
      </c>
      <c r="AU225" s="273"/>
      <c r="AV225" s="258"/>
      <c r="AW225" s="255">
        <f>SUMIFS('Livro Diario - FC'!$K$11:$K1028,'Livro Diario - FC'!$E$11:$E1028,$C$225,'Livro Diario - FC'!$D$11:$D1028,"&gt;=01/11"&amp;$C$7,'Livro Diario - FC'!$D$11:$D1028,"&lt;=30/11"&amp;$C$7)</f>
        <v>0</v>
      </c>
      <c r="AX225" s="256">
        <f>SUMIFS('Livro Diario - FC'!$M$11:$M1028,'Livro Diario - FC'!$E$11:$E1028,$C$225,'Livro Diario - FC'!$D$11:$D1028,"&gt;=01/11"&amp;$C$7,'Livro Diario - FC'!$D$11:$D1028,"&lt;=30/11"&amp;$C$7)</f>
        <v>0</v>
      </c>
      <c r="AY225" s="273"/>
      <c r="AZ225" s="258"/>
      <c r="BA225" s="255">
        <f>SUMIFS('Livro Diario - FC'!$K$11:$K1028,'Livro Diario - FC'!$E$11:$E1028,$C$225,'Livro Diario - FC'!$D$11:$D1028,"&gt;=01/12"&amp;$C$7,'Livro Diario - FC'!$D$11:$D1028,"&lt;=31/12"&amp;$C$7)</f>
        <v>0</v>
      </c>
      <c r="BB225" s="256">
        <f>SUMIFS('Livro Diario - FC'!$M$11:$M1028,'Livro Diario - FC'!$E$11:$E1028,$C$225,'Livro Diario - FC'!$D$11:$D1028,"&gt;=01/12"&amp;$C$7,'Livro Diario - FC'!$D$11:$D1028,"&lt;=31/12"&amp;$C$7)</f>
        <v>0</v>
      </c>
      <c r="BC225" s="273"/>
      <c r="BD225" s="273"/>
      <c r="BE225" s="267">
        <f t="shared" ref="BE225:BF225" si="326">SUM(D225,I225,N225,S225,X225,AC225,AG225,AK225,AO225,AS225,AW225,BA225)</f>
        <v>0</v>
      </c>
      <c r="BF225" s="268">
        <f t="shared" si="326"/>
        <v>0</v>
      </c>
      <c r="BG225" s="269"/>
      <c r="BH225" s="192"/>
      <c r="BI225" s="270">
        <f>SUMIFS('Livro Diario - FC'!$M$11:$M1028,'Livro Diario - FC'!$E$11:$E1028,C225,'Livro Diario - FC'!$D$11:$D1028,"&gt;="&amp;$BK$8,'Livro Diario - FC'!$D$11:$D1028,"&lt;="&amp;$BK$9)</f>
        <v>0</v>
      </c>
      <c r="BJ225" s="271"/>
      <c r="BK225" s="272"/>
      <c r="BL225" s="1"/>
    </row>
    <row r="226">
      <c r="A226" s="1"/>
      <c r="B226" s="1"/>
      <c r="C226" s="338" t="str">
        <f>'Livro Diario - FC'!AE235</f>
        <v>Plastico Filme</v>
      </c>
      <c r="D226" s="255">
        <f>SUMIFS('Livro Diario - FC'!$K$11:$K1028,'Livro Diario - FC'!$E$11:$E1028,$C$226,'Livro Diario - FC'!$D$11:$D1028,"&gt;=01/01"&amp;$C$7,'Livro Diario - FC'!$D$11:$D1028,"&lt;=31/01"&amp;$C$7)</f>
        <v>46</v>
      </c>
      <c r="E226" s="256">
        <f>SUMIFS('Livro Diario - FC'!$M$11:$M1028,'Livro Diario - FC'!$E$11:$E1028,$C$226,'Livro Diario - FC'!$D$11:$D1028,"&gt;=01/01"&amp;$C$7,'Livro Diario - FC'!$D$11:$D1028,"&lt;=31/01"&amp;$C$7)</f>
        <v>46</v>
      </c>
      <c r="F226" s="273"/>
      <c r="G226" s="258"/>
      <c r="H226" s="157"/>
      <c r="I226" s="255">
        <f>SUMIFS('Livro Diario - FC'!$K$11:$K1028,'Livro Diario - FC'!$E$11:$E1028,$C$226,'Livro Diario - FC'!$D$11:$D1028,"&gt;=01/02"&amp;$C$7,'Livro Diario - FC'!$D$11:$D1028,"&lt;=29/02"&amp;$C$7)</f>
        <v>0</v>
      </c>
      <c r="J226" s="256">
        <f>SUMIFS('Livro Diario - FC'!$M$11:$M1028,'Livro Diario - FC'!$E$11:$E1028,$C$226,'Livro Diario - FC'!$D$11:$D1028,"&gt;=01/02"&amp;$C$7,'Livro Diario - FC'!$D$11:$D1028,"&lt;=29/02"&amp;$C$7)</f>
        <v>0</v>
      </c>
      <c r="K226" s="273"/>
      <c r="L226" s="258"/>
      <c r="M226" s="259"/>
      <c r="N226" s="255">
        <f>SUMIFS('Livro Diario - FC'!$K$11:$K1028,'Livro Diario - FC'!$E$11:$E1028,$C$226,'Livro Diario - FC'!$D$11:$D1028,"&gt;=01/03"&amp;$C$7,'Livro Diario - FC'!$D$11:$D1028,"&lt;=31/03"&amp;$C$7)</f>
        <v>0</v>
      </c>
      <c r="O226" s="256">
        <f>SUMIFS('Livro Diario - FC'!$M$11:$M1028,'Livro Diario - FC'!$E$11:$E1028,$C$226,'Livro Diario - FC'!$D$11:$D1028,"&gt;=01/03"&amp;$C$7,'Livro Diario - FC'!$D$11:$D1028,"&lt;=31/03"&amp;$C$7)</f>
        <v>0</v>
      </c>
      <c r="P226" s="273"/>
      <c r="Q226" s="258"/>
      <c r="R226" s="259"/>
      <c r="S226" s="255">
        <f>SUMIFS('Livro Diario - FC'!$K$11:$K1028,'Livro Diario - FC'!$E$11:$E1028,$C$226,'Livro Diario - FC'!$D$11:$D1028,"&gt;=01/04"&amp;$C$7,'Livro Diario - FC'!$D$11:$D1028,"&lt;=30/04"&amp;$C$7)</f>
        <v>0</v>
      </c>
      <c r="T226" s="256">
        <f>SUMIFS('Livro Diario - FC'!$M$11:$M1028,'Livro Diario - FC'!$E$11:$E1028,$C$226,'Livro Diario - FC'!$D$11:$D1028,"&gt;=01/04"&amp;$C$7,'Livro Diario - FC'!$D$11:$D1028,"&lt;=30/04"&amp;$C$7)</f>
        <v>0</v>
      </c>
      <c r="U226" s="273"/>
      <c r="V226" s="258"/>
      <c r="W226" s="259"/>
      <c r="X226" s="255">
        <f>SUMIFS('Livro Diario - FC'!$K$11:$K1028,'Livro Diario - FC'!$E$11:$E1028,$C$226,'Livro Diario - FC'!$D$11:$D1028,"&gt;=01/05"&amp;$C$7,'Livro Diario - FC'!$D$11:$D1028,"&lt;=31/05"&amp;$C$7)</f>
        <v>0</v>
      </c>
      <c r="Y226" s="256">
        <f>SUMIFS('Livro Diario - FC'!$M$11:$M1028,'Livro Diario - FC'!$E$11:$E1028,$C$226,'Livro Diario - FC'!$D$11:$D1028,"&gt;=01/05"&amp;$C$7,'Livro Diario - FC'!$D$11:$D1028,"&lt;=31/05"&amp;$C$7)</f>
        <v>0</v>
      </c>
      <c r="Z226" s="273"/>
      <c r="AA226" s="258"/>
      <c r="AB226" s="259"/>
      <c r="AC226" s="255">
        <f>SUMIFS('Livro Diario - FC'!$K$11:$K1028,'Livro Diario - FC'!$E$11:$E1028,$C$226,'Livro Diario - FC'!$D$11:$D1028,"&gt;=01/06"&amp;$C$7,'Livro Diario - FC'!$D$11:$D1028,"&lt;=30/06"&amp;$C$7)</f>
        <v>0</v>
      </c>
      <c r="AD226" s="256">
        <f>SUMIFS('Livro Diario - FC'!$M$11:$M1028,'Livro Diario - FC'!$E$11:$E1028,$C$226,'Livro Diario - FC'!$D$11:$D1028,"&gt;=01/06"&amp;$C$7,'Livro Diario - FC'!$D$11:$D1028,"&lt;=30/06"&amp;$C$7)</f>
        <v>0</v>
      </c>
      <c r="AE226" s="273"/>
      <c r="AF226" s="258"/>
      <c r="AG226" s="255">
        <f>SUMIFS('Livro Diario - FC'!$K$11:$K1028,'Livro Diario - FC'!$E$11:$E1028,$C$226,'Livro Diario - FC'!$D$11:$D1028,"&gt;=01/07"&amp;$C$7,'Livro Diario - FC'!$D$11:$D1028,"&lt;=31/07"&amp;$C$7)</f>
        <v>0</v>
      </c>
      <c r="AH226" s="256">
        <f>SUMIFS('Livro Diario - FC'!$M$11:$M1028,'Livro Diario - FC'!$E$11:$E1028,$C$226,'Livro Diario - FC'!$D$11:$D1028,"&gt;=01/07"&amp;$C$7,'Livro Diario - FC'!$D$11:$D1028,"&lt;=31/07"&amp;$C$7)</f>
        <v>0</v>
      </c>
      <c r="AI226" s="273"/>
      <c r="AJ226" s="258"/>
      <c r="AK226" s="255">
        <f>SUMIFS('Livro Diario - FC'!$K$11:$K1028,'Livro Diario - FC'!$E$11:$E1028,$C$226,'Livro Diario - FC'!$D$11:$D1028,"&gt;=01/08"&amp;$C$7,'Livro Diario - FC'!$D$11:$D1028,"&lt;=31/08"&amp;$C$7)</f>
        <v>0</v>
      </c>
      <c r="AL226" s="256">
        <f>SUMIFS('Livro Diario - FC'!$M$11:$M1028,'Livro Diario - FC'!$E$11:$E1028,$C$226,'Livro Diario - FC'!$D$11:$D1028,"&gt;=01/08"&amp;$C$7,'Livro Diario - FC'!$D$11:$D1028,"&lt;=31/08"&amp;$C$7)</f>
        <v>0</v>
      </c>
      <c r="AM226" s="273"/>
      <c r="AN226" s="258"/>
      <c r="AO226" s="255">
        <f>SUMIFS('Livro Diario - FC'!$K$11:$K1028,'Livro Diario - FC'!$E$11:$E1028,$C$226,'Livro Diario - FC'!$D$11:$D1028,"&gt;=01/09"&amp;$C$7,'Livro Diario - FC'!$D$11:$D1028,"&lt;=30/09"&amp;$C$7)</f>
        <v>0</v>
      </c>
      <c r="AP226" s="256">
        <f>SUMIFS('Livro Diario - FC'!$M$11:$M1028,'Livro Diario - FC'!$E$11:$E1028,$C$226,'Livro Diario - FC'!$D$11:$D1028,"&gt;=01/09"&amp;$C$7,'Livro Diario - FC'!$D$11:$D1028,"&lt;=30/09"&amp;$C$7)</f>
        <v>0</v>
      </c>
      <c r="AQ226" s="273"/>
      <c r="AR226" s="258"/>
      <c r="AS226" s="255">
        <f>SUMIFS('Livro Diario - FC'!$K$11:$K1028,'Livro Diario - FC'!$E$11:$E1028,$C$226,'Livro Diario - FC'!$D$11:$D1028,"&gt;=01/10"&amp;$C$7,'Livro Diario - FC'!$D$11:$D1028,"&lt;=31/10"&amp;$C$7)</f>
        <v>0</v>
      </c>
      <c r="AT226" s="256">
        <f>SUMIFS('Livro Diario - FC'!$M$11:$M1028,'Livro Diario - FC'!$E$11:$E1028,$C$226,'Livro Diario - FC'!$D$11:$D1028,"&gt;=01/10"&amp;$C$7,'Livro Diario - FC'!$D$11:$D1028,"&lt;=31/10"&amp;$C$7)</f>
        <v>0</v>
      </c>
      <c r="AU226" s="273"/>
      <c r="AV226" s="258"/>
      <c r="AW226" s="255">
        <f>SUMIFS('Livro Diario - FC'!$K$11:$K1028,'Livro Diario - FC'!$E$11:$E1028,$C$226,'Livro Diario - FC'!$D$11:$D1028,"&gt;=01/11"&amp;$C$7,'Livro Diario - FC'!$D$11:$D1028,"&lt;=30/11"&amp;$C$7)</f>
        <v>0</v>
      </c>
      <c r="AX226" s="256">
        <f>SUMIFS('Livro Diario - FC'!$M$11:$M1028,'Livro Diario - FC'!$E$11:$E1028,$C$226,'Livro Diario - FC'!$D$11:$D1028,"&gt;=01/11"&amp;$C$7,'Livro Diario - FC'!$D$11:$D1028,"&lt;=30/11"&amp;$C$7)</f>
        <v>0</v>
      </c>
      <c r="AY226" s="273"/>
      <c r="AZ226" s="258"/>
      <c r="BA226" s="255">
        <f>SUMIFS('Livro Diario - FC'!$K$11:$K1028,'Livro Diario - FC'!$E$11:$E1028,$C$226,'Livro Diario - FC'!$D$11:$D1028,"&gt;=01/12"&amp;$C$7,'Livro Diario - FC'!$D$11:$D1028,"&lt;=31/12"&amp;$C$7)</f>
        <v>0</v>
      </c>
      <c r="BB226" s="256">
        <f>SUMIFS('Livro Diario - FC'!$M$11:$M1028,'Livro Diario - FC'!$E$11:$E1028,$C$226,'Livro Diario - FC'!$D$11:$D1028,"&gt;=01/12"&amp;$C$7,'Livro Diario - FC'!$D$11:$D1028,"&lt;=31/12"&amp;$C$7)</f>
        <v>0</v>
      </c>
      <c r="BC226" s="273"/>
      <c r="BD226" s="273"/>
      <c r="BE226" s="267">
        <f t="shared" ref="BE226:BF226" si="327">SUM(D226,I226,N226,S226,X226,AC226,AG226,AK226,AO226,AS226,AW226,BA226)</f>
        <v>46</v>
      </c>
      <c r="BF226" s="268">
        <f t="shared" si="327"/>
        <v>46</v>
      </c>
      <c r="BG226" s="269"/>
      <c r="BH226" s="192"/>
      <c r="BI226" s="270">
        <f>SUMIFS('Livro Diario - FC'!$M$11:$M1028,'Livro Diario - FC'!$E$11:$E1028,C226,'Livro Diario - FC'!$D$11:$D1028,"&gt;="&amp;$BK$8,'Livro Diario - FC'!$D$11:$D1028,"&lt;="&amp;$BK$9)</f>
        <v>0</v>
      </c>
      <c r="BJ226" s="271"/>
      <c r="BK226" s="272"/>
      <c r="BL226" s="1"/>
    </row>
    <row r="227">
      <c r="A227" s="1"/>
      <c r="B227" s="1"/>
      <c r="C227" s="338" t="str">
        <f>'Livro Diario - FC'!AE236</f>
        <v>M65</v>
      </c>
      <c r="D227" s="255">
        <f>SUMIFS('Livro Diario - FC'!$K$11:$K1028,'Livro Diario - FC'!$E$11:$E1028,$C$227,'Livro Diario - FC'!$D$11:$D1028,"&gt;=01/01"&amp;$C$7,'Livro Diario - FC'!$D$11:$D1028,"&lt;=31/01"&amp;$C$7)</f>
        <v>0</v>
      </c>
      <c r="E227" s="256">
        <f>SUMIFS('Livro Diario - FC'!$M$11:$M1028,'Livro Diario - FC'!$E$11:$E1028,$C$227,'Livro Diario - FC'!$D$11:$D1028,"&gt;=01/01"&amp;$C$7,'Livro Diario - FC'!$D$11:$D1028,"&lt;=31/01"&amp;$C$7)</f>
        <v>0</v>
      </c>
      <c r="F227" s="273"/>
      <c r="G227" s="258"/>
      <c r="H227" s="157"/>
      <c r="I227" s="255">
        <f>SUMIFS('Livro Diario - FC'!$K$11:$K1028,'Livro Diario - FC'!$E$11:$E1028,$C$227,'Livro Diario - FC'!$D$11:$D1028,"&gt;=01/02"&amp;$C$7,'Livro Diario - FC'!$D$11:$D1028,"&lt;=29/02"&amp;$C$7)</f>
        <v>0</v>
      </c>
      <c r="J227" s="256">
        <f>SUMIFS('Livro Diario - FC'!$M$11:$M1028,'Livro Diario - FC'!$E$11:$E1028,$C$227,'Livro Diario - FC'!$D$11:$D1028,"&gt;=01/02"&amp;$C$7,'Livro Diario - FC'!$D$11:$D1028,"&lt;=29/02"&amp;$C$7)</f>
        <v>0</v>
      </c>
      <c r="K227" s="273"/>
      <c r="L227" s="258"/>
      <c r="M227" s="259"/>
      <c r="N227" s="255">
        <f>SUMIFS('Livro Diario - FC'!$K$11:$K1028,'Livro Diario - FC'!$E$11:$E1028,$C$227,'Livro Diario - FC'!$D$11:$D1028,"&gt;=01/03"&amp;$C$7,'Livro Diario - FC'!$D$11:$D1028,"&lt;=31/03"&amp;$C$7)</f>
        <v>0</v>
      </c>
      <c r="O227" s="256">
        <f>SUMIFS('Livro Diario - FC'!$M$11:$M1028,'Livro Diario - FC'!$E$11:$E1028,$C$227,'Livro Diario - FC'!$D$11:$D1028,"&gt;=01/03"&amp;$C$7,'Livro Diario - FC'!$D$11:$D1028,"&lt;=31/03"&amp;$C$7)</f>
        <v>0</v>
      </c>
      <c r="P227" s="273"/>
      <c r="Q227" s="258"/>
      <c r="R227" s="259"/>
      <c r="S227" s="255">
        <f>SUMIFS('Livro Diario - FC'!$K$11:$K1028,'Livro Diario - FC'!$E$11:$E1028,$C$227,'Livro Diario - FC'!$D$11:$D1028,"&gt;=01/04"&amp;$C$7,'Livro Diario - FC'!$D$11:$D1028,"&lt;=30/04"&amp;$C$7)</f>
        <v>0</v>
      </c>
      <c r="T227" s="256">
        <f>SUMIFS('Livro Diario - FC'!$M$11:$M1028,'Livro Diario - FC'!$E$11:$E1028,$C$227,'Livro Diario - FC'!$D$11:$D1028,"&gt;=01/04"&amp;$C$7,'Livro Diario - FC'!$D$11:$D1028,"&lt;=30/04"&amp;$C$7)</f>
        <v>0</v>
      </c>
      <c r="U227" s="273"/>
      <c r="V227" s="258"/>
      <c r="W227" s="259"/>
      <c r="X227" s="255">
        <f>SUMIFS('Livro Diario - FC'!$K$11:$K1028,'Livro Diario - FC'!$E$11:$E1028,$C$227,'Livro Diario - FC'!$D$11:$D1028,"&gt;=01/05"&amp;$C$7,'Livro Diario - FC'!$D$11:$D1028,"&lt;=31/05"&amp;$C$7)</f>
        <v>0</v>
      </c>
      <c r="Y227" s="256">
        <f>SUMIFS('Livro Diario - FC'!$M$11:$M1028,'Livro Diario - FC'!$E$11:$E1028,$C$227,'Livro Diario - FC'!$D$11:$D1028,"&gt;=01/05"&amp;$C$7,'Livro Diario - FC'!$D$11:$D1028,"&lt;=31/05"&amp;$C$7)</f>
        <v>0</v>
      </c>
      <c r="Z227" s="273"/>
      <c r="AA227" s="258"/>
      <c r="AB227" s="259"/>
      <c r="AC227" s="255">
        <f>SUMIFS('Livro Diario - FC'!$K$11:$K1028,'Livro Diario - FC'!$E$11:$E1028,$C$227,'Livro Diario - FC'!$D$11:$D1028,"&gt;=01/06"&amp;$C$7,'Livro Diario - FC'!$D$11:$D1028,"&lt;=30/06"&amp;$C$7)</f>
        <v>0</v>
      </c>
      <c r="AD227" s="256">
        <f>SUMIFS('Livro Diario - FC'!$M$11:$M1028,'Livro Diario - FC'!$E$11:$E1028,$C$227,'Livro Diario - FC'!$D$11:$D1028,"&gt;=01/06"&amp;$C$7,'Livro Diario - FC'!$D$11:$D1028,"&lt;=30/06"&amp;$C$7)</f>
        <v>0</v>
      </c>
      <c r="AE227" s="273"/>
      <c r="AF227" s="258"/>
      <c r="AG227" s="255">
        <f>SUMIFS('Livro Diario - FC'!$K$11:$K1028,'Livro Diario - FC'!$E$11:$E1028,$C$227,'Livro Diario - FC'!$D$11:$D1028,"&gt;=01/07"&amp;$C$7,'Livro Diario - FC'!$D$11:$D1028,"&lt;=31/07"&amp;$C$7)</f>
        <v>0</v>
      </c>
      <c r="AH227" s="256">
        <f>SUMIFS('Livro Diario - FC'!$M$11:$M1028,'Livro Diario - FC'!$E$11:$E1028,$C$227,'Livro Diario - FC'!$D$11:$D1028,"&gt;=01/07"&amp;$C$7,'Livro Diario - FC'!$D$11:$D1028,"&lt;=31/07"&amp;$C$7)</f>
        <v>0</v>
      </c>
      <c r="AI227" s="273"/>
      <c r="AJ227" s="258"/>
      <c r="AK227" s="255">
        <f>SUMIFS('Livro Diario - FC'!$K$11:$K1028,'Livro Diario - FC'!$E$11:$E1028,$C$227,'Livro Diario - FC'!$D$11:$D1028,"&gt;=01/08"&amp;$C$7,'Livro Diario - FC'!$D$11:$D1028,"&lt;=31/08"&amp;$C$7)</f>
        <v>0</v>
      </c>
      <c r="AL227" s="256">
        <f>SUMIFS('Livro Diario - FC'!$M$11:$M1028,'Livro Diario - FC'!$E$11:$E1028,$C$227,'Livro Diario - FC'!$D$11:$D1028,"&gt;=01/08"&amp;$C$7,'Livro Diario - FC'!$D$11:$D1028,"&lt;=31/08"&amp;$C$7)</f>
        <v>0</v>
      </c>
      <c r="AM227" s="273"/>
      <c r="AN227" s="258"/>
      <c r="AO227" s="255">
        <f>SUMIFS('Livro Diario - FC'!$K$11:$K1028,'Livro Diario - FC'!$E$11:$E1028,$C$227,'Livro Diario - FC'!$D$11:$D1028,"&gt;=01/09"&amp;$C$7,'Livro Diario - FC'!$D$11:$D1028,"&lt;=30/09"&amp;$C$7)</f>
        <v>0</v>
      </c>
      <c r="AP227" s="256">
        <f>SUMIFS('Livro Diario - FC'!$M$11:$M1028,'Livro Diario - FC'!$E$11:$E1028,$C$227,'Livro Diario - FC'!$D$11:$D1028,"&gt;=01/09"&amp;$C$7,'Livro Diario - FC'!$D$11:$D1028,"&lt;=30/09"&amp;$C$7)</f>
        <v>0</v>
      </c>
      <c r="AQ227" s="273"/>
      <c r="AR227" s="258"/>
      <c r="AS227" s="255">
        <f>SUMIFS('Livro Diario - FC'!$K$11:$K1028,'Livro Diario - FC'!$E$11:$E1028,$C$227,'Livro Diario - FC'!$D$11:$D1028,"&gt;=01/10"&amp;$C$7,'Livro Diario - FC'!$D$11:$D1028,"&lt;=31/10"&amp;$C$7)</f>
        <v>0</v>
      </c>
      <c r="AT227" s="256">
        <f>SUMIFS('Livro Diario - FC'!$M$11:$M1028,'Livro Diario - FC'!$E$11:$E1028,$C$227,'Livro Diario - FC'!$D$11:$D1028,"&gt;=01/10"&amp;$C$7,'Livro Diario - FC'!$D$11:$D1028,"&lt;=31/10"&amp;$C$7)</f>
        <v>0</v>
      </c>
      <c r="AU227" s="273"/>
      <c r="AV227" s="258"/>
      <c r="AW227" s="255">
        <f>SUMIFS('Livro Diario - FC'!$K$11:$K1028,'Livro Diario - FC'!$E$11:$E1028,$C$227,'Livro Diario - FC'!$D$11:$D1028,"&gt;=01/11"&amp;$C$7,'Livro Diario - FC'!$D$11:$D1028,"&lt;=30/11"&amp;$C$7)</f>
        <v>0</v>
      </c>
      <c r="AX227" s="256">
        <f>SUMIFS('Livro Diario - FC'!$M$11:$M1028,'Livro Diario - FC'!$E$11:$E1028,$C$227,'Livro Diario - FC'!$D$11:$D1028,"&gt;=01/11"&amp;$C$7,'Livro Diario - FC'!$D$11:$D1028,"&lt;=30/11"&amp;$C$7)</f>
        <v>0</v>
      </c>
      <c r="AY227" s="273"/>
      <c r="AZ227" s="258"/>
      <c r="BA227" s="255">
        <f>SUMIFS('Livro Diario - FC'!$K$11:$K1028,'Livro Diario - FC'!$E$11:$E1028,$C$227,'Livro Diario - FC'!$D$11:$D1028,"&gt;=01/12"&amp;$C$7,'Livro Diario - FC'!$D$11:$D1028,"&lt;=31/12"&amp;$C$7)</f>
        <v>0</v>
      </c>
      <c r="BB227" s="256">
        <f>SUMIFS('Livro Diario - FC'!$M$11:$M1028,'Livro Diario - FC'!$E$11:$E1028,$C$227,'Livro Diario - FC'!$D$11:$D1028,"&gt;=01/12"&amp;$C$7,'Livro Diario - FC'!$D$11:$D1028,"&lt;=31/12"&amp;$C$7)</f>
        <v>0</v>
      </c>
      <c r="BC227" s="273"/>
      <c r="BD227" s="273"/>
      <c r="BE227" s="267">
        <f t="shared" ref="BE227:BF227" si="328">SUM(D227,I227,N227,S227,X227,AC227,AG227,AK227,AO227,AS227,AW227,BA227)</f>
        <v>0</v>
      </c>
      <c r="BF227" s="268">
        <f t="shared" si="328"/>
        <v>0</v>
      </c>
      <c r="BG227" s="269"/>
      <c r="BH227" s="192"/>
      <c r="BI227" s="270">
        <f>SUMIFS('Livro Diario - FC'!$M$11:$M1028,'Livro Diario - FC'!$E$11:$E1028,C227,'Livro Diario - FC'!$D$11:$D1028,"&gt;="&amp;$BK$8,'Livro Diario - FC'!$D$11:$D1028,"&lt;="&amp;$BK$9)</f>
        <v>0</v>
      </c>
      <c r="BJ227" s="271"/>
      <c r="BK227" s="272"/>
      <c r="BL227" s="1"/>
    </row>
    <row r="228">
      <c r="A228" s="1"/>
      <c r="B228" s="1"/>
      <c r="C228" s="338" t="str">
        <f>'Livro Diario - FC'!AE237</f>
        <v>M50</v>
      </c>
      <c r="D228" s="255">
        <f>SUMIFS('Livro Diario - FC'!$K$11:$K1028,'Livro Diario - FC'!$E$11:$E1028,$C$228,'Livro Diario - FC'!$D$11:$D1028,"&gt;=01/01"&amp;$C$7,'Livro Diario - FC'!$D$11:$D1028,"&lt;=31/01"&amp;$C$7)</f>
        <v>138.5</v>
      </c>
      <c r="E228" s="256">
        <f>SUMIFS('Livro Diario - FC'!$M$11:$M1028,'Livro Diario - FC'!$E$11:$E1028,$C$228,'Livro Diario - FC'!$D$11:$D1028,"&gt;=01/01"&amp;$C$7,'Livro Diario - FC'!$D$11:$D1028,"&lt;=31/01"&amp;$C$7)</f>
        <v>138.5</v>
      </c>
      <c r="F228" s="273"/>
      <c r="G228" s="258"/>
      <c r="H228" s="157"/>
      <c r="I228" s="255">
        <f>SUMIFS('Livro Diario - FC'!$K$11:$K1028,'Livro Diario - FC'!$E$11:$E1028,$C$228,'Livro Diario - FC'!$D$11:$D1028,"&gt;=01/02"&amp;$C$7,'Livro Diario - FC'!$D$11:$D1028,"&lt;=29/02"&amp;$C$7)</f>
        <v>0</v>
      </c>
      <c r="J228" s="256">
        <f>SUMIFS('Livro Diario - FC'!$M$11:$M1028,'Livro Diario - FC'!$E$11:$E1028,$C$228,'Livro Diario - FC'!$D$11:$D1028,"&gt;=01/02"&amp;$C$7,'Livro Diario - FC'!$D$11:$D1028,"&lt;=29/02"&amp;$C$7)</f>
        <v>0</v>
      </c>
      <c r="K228" s="273"/>
      <c r="L228" s="258"/>
      <c r="M228" s="259"/>
      <c r="N228" s="255">
        <f>SUMIFS('Livro Diario - FC'!$K$11:$K1028,'Livro Diario - FC'!$E$11:$E1028,$C$228,'Livro Diario - FC'!$D$11:$D1028,"&gt;=01/03"&amp;$C$7,'Livro Diario - FC'!$D$11:$D1028,"&lt;=31/03"&amp;$C$7)</f>
        <v>0</v>
      </c>
      <c r="O228" s="256">
        <f>SUMIFS('Livro Diario - FC'!$M$11:$M1028,'Livro Diario - FC'!$E$11:$E1028,$C$228,'Livro Diario - FC'!$D$11:$D1028,"&gt;=01/03"&amp;$C$7,'Livro Diario - FC'!$D$11:$D1028,"&lt;=31/03"&amp;$C$7)</f>
        <v>0</v>
      </c>
      <c r="P228" s="273"/>
      <c r="Q228" s="258"/>
      <c r="R228" s="259"/>
      <c r="S228" s="255">
        <f>SUMIFS('Livro Diario - FC'!$K$11:$K1028,'Livro Diario - FC'!$E$11:$E1028,$C$228,'Livro Diario - FC'!$D$11:$D1028,"&gt;=01/04"&amp;$C$7,'Livro Diario - FC'!$D$11:$D1028,"&lt;=30/04"&amp;$C$7)</f>
        <v>0</v>
      </c>
      <c r="T228" s="256">
        <f>SUMIFS('Livro Diario - FC'!$M$11:$M1028,'Livro Diario - FC'!$E$11:$E1028,$C$228,'Livro Diario - FC'!$D$11:$D1028,"&gt;=01/04"&amp;$C$7,'Livro Diario - FC'!$D$11:$D1028,"&lt;=30/04"&amp;$C$7)</f>
        <v>0</v>
      </c>
      <c r="U228" s="273"/>
      <c r="V228" s="258"/>
      <c r="W228" s="259"/>
      <c r="X228" s="255">
        <f>SUMIFS('Livro Diario - FC'!$K$11:$K1028,'Livro Diario - FC'!$E$11:$E1028,$C$228,'Livro Diario - FC'!$D$11:$D1028,"&gt;=01/05"&amp;$C$7,'Livro Diario - FC'!$D$11:$D1028,"&lt;=31/05"&amp;$C$7)</f>
        <v>0</v>
      </c>
      <c r="Y228" s="256">
        <f>SUMIFS('Livro Diario - FC'!$M$11:$M1028,'Livro Diario - FC'!$E$11:$E1028,$C$228,'Livro Diario - FC'!$D$11:$D1028,"&gt;=01/05"&amp;$C$7,'Livro Diario - FC'!$D$11:$D1028,"&lt;=31/05"&amp;$C$7)</f>
        <v>0</v>
      </c>
      <c r="Z228" s="273"/>
      <c r="AA228" s="258"/>
      <c r="AB228" s="259"/>
      <c r="AC228" s="255">
        <f>SUMIFS('Livro Diario - FC'!$K$11:$K1028,'Livro Diario - FC'!$E$11:$E1028,$C$228,'Livro Diario - FC'!$D$11:$D1028,"&gt;=01/06"&amp;$C$7,'Livro Diario - FC'!$D$11:$D1028,"&lt;=30/06"&amp;$C$7)</f>
        <v>0</v>
      </c>
      <c r="AD228" s="256">
        <f>SUMIFS('Livro Diario - FC'!$M$11:$M1028,'Livro Diario - FC'!$E$11:$E1028,$C$228,'Livro Diario - FC'!$D$11:$D1028,"&gt;=01/06"&amp;$C$7,'Livro Diario - FC'!$D$11:$D1028,"&lt;=30/06"&amp;$C$7)</f>
        <v>0</v>
      </c>
      <c r="AE228" s="273"/>
      <c r="AF228" s="258"/>
      <c r="AG228" s="255">
        <f>SUMIFS('Livro Diario - FC'!$K$11:$K1028,'Livro Diario - FC'!$E$11:$E1028,$C$228,'Livro Diario - FC'!$D$11:$D1028,"&gt;=01/07"&amp;$C$7,'Livro Diario - FC'!$D$11:$D1028,"&lt;=31/07"&amp;$C$7)</f>
        <v>0</v>
      </c>
      <c r="AH228" s="256">
        <f>SUMIFS('Livro Diario - FC'!$M$11:$M1028,'Livro Diario - FC'!$E$11:$E1028,$C$228,'Livro Diario - FC'!$D$11:$D1028,"&gt;=01/07"&amp;$C$7,'Livro Diario - FC'!$D$11:$D1028,"&lt;=31/07"&amp;$C$7)</f>
        <v>0</v>
      </c>
      <c r="AI228" s="273"/>
      <c r="AJ228" s="258"/>
      <c r="AK228" s="255">
        <f>SUMIFS('Livro Diario - FC'!$K$11:$K1028,'Livro Diario - FC'!$E$11:$E1028,$C$228,'Livro Diario - FC'!$D$11:$D1028,"&gt;=01/08"&amp;$C$7,'Livro Diario - FC'!$D$11:$D1028,"&lt;=31/08"&amp;$C$7)</f>
        <v>0</v>
      </c>
      <c r="AL228" s="256">
        <f>SUMIFS('Livro Diario - FC'!$M$11:$M1028,'Livro Diario - FC'!$E$11:$E1028,$C$228,'Livro Diario - FC'!$D$11:$D1028,"&gt;=01/08"&amp;$C$7,'Livro Diario - FC'!$D$11:$D1028,"&lt;=31/08"&amp;$C$7)</f>
        <v>0</v>
      </c>
      <c r="AM228" s="273"/>
      <c r="AN228" s="258"/>
      <c r="AO228" s="255">
        <f>SUMIFS('Livro Diario - FC'!$K$11:$K1028,'Livro Diario - FC'!$E$11:$E1028,$C$228,'Livro Diario - FC'!$D$11:$D1028,"&gt;=01/09"&amp;$C$7,'Livro Diario - FC'!$D$11:$D1028,"&lt;=30/09"&amp;$C$7)</f>
        <v>0</v>
      </c>
      <c r="AP228" s="256">
        <f>SUMIFS('Livro Diario - FC'!$M$11:$M1028,'Livro Diario - FC'!$E$11:$E1028,$C$228,'Livro Diario - FC'!$D$11:$D1028,"&gt;=01/09"&amp;$C$7,'Livro Diario - FC'!$D$11:$D1028,"&lt;=30/09"&amp;$C$7)</f>
        <v>0</v>
      </c>
      <c r="AQ228" s="273"/>
      <c r="AR228" s="258"/>
      <c r="AS228" s="255">
        <f>SUMIFS('Livro Diario - FC'!$K$11:$K1028,'Livro Diario - FC'!$E$11:$E1028,$C$228,'Livro Diario - FC'!$D$11:$D1028,"&gt;=01/10"&amp;$C$7,'Livro Diario - FC'!$D$11:$D1028,"&lt;=31/10"&amp;$C$7)</f>
        <v>0</v>
      </c>
      <c r="AT228" s="256">
        <f>SUMIFS('Livro Diario - FC'!$M$11:$M1028,'Livro Diario - FC'!$E$11:$E1028,$C$228,'Livro Diario - FC'!$D$11:$D1028,"&gt;=01/10"&amp;$C$7,'Livro Diario - FC'!$D$11:$D1028,"&lt;=31/10"&amp;$C$7)</f>
        <v>0</v>
      </c>
      <c r="AU228" s="273"/>
      <c r="AV228" s="258"/>
      <c r="AW228" s="255">
        <f>SUMIFS('Livro Diario - FC'!$K$11:$K1028,'Livro Diario - FC'!$E$11:$E1028,$C$228,'Livro Diario - FC'!$D$11:$D1028,"&gt;=01/11"&amp;$C$7,'Livro Diario - FC'!$D$11:$D1028,"&lt;=30/11"&amp;$C$7)</f>
        <v>0</v>
      </c>
      <c r="AX228" s="256">
        <f>SUMIFS('Livro Diario - FC'!$M$11:$M1028,'Livro Diario - FC'!$E$11:$E1028,$C$228,'Livro Diario - FC'!$D$11:$D1028,"&gt;=01/11"&amp;$C$7,'Livro Diario - FC'!$D$11:$D1028,"&lt;=30/11"&amp;$C$7)</f>
        <v>0</v>
      </c>
      <c r="AY228" s="273"/>
      <c r="AZ228" s="258"/>
      <c r="BA228" s="255">
        <f>SUMIFS('Livro Diario - FC'!$K$11:$K1028,'Livro Diario - FC'!$E$11:$E1028,$C$228,'Livro Diario - FC'!$D$11:$D1028,"&gt;=01/12"&amp;$C$7,'Livro Diario - FC'!$D$11:$D1028,"&lt;=31/12"&amp;$C$7)</f>
        <v>0</v>
      </c>
      <c r="BB228" s="256">
        <f>SUMIFS('Livro Diario - FC'!$M$11:$M1028,'Livro Diario - FC'!$E$11:$E1028,$C$228,'Livro Diario - FC'!$D$11:$D1028,"&gt;=01/12"&amp;$C$7,'Livro Diario - FC'!$D$11:$D1028,"&lt;=31/12"&amp;$C$7)</f>
        <v>0</v>
      </c>
      <c r="BC228" s="273"/>
      <c r="BD228" s="273"/>
      <c r="BE228" s="267">
        <f t="shared" ref="BE228:BF228" si="329">SUM(D228,I228,N228,S228,X228,AC228,AG228,AK228,AO228,AS228,AW228,BA228)</f>
        <v>138.5</v>
      </c>
      <c r="BF228" s="268">
        <f t="shared" si="329"/>
        <v>138.5</v>
      </c>
      <c r="BG228" s="269"/>
      <c r="BH228" s="192"/>
      <c r="BI228" s="270">
        <f>SUMIFS('Livro Diario - FC'!$M$11:$M1028,'Livro Diario - FC'!$E$11:$E1028,C228,'Livro Diario - FC'!$D$11:$D1028,"&gt;="&amp;$BK$8,'Livro Diario - FC'!$D$11:$D1028,"&lt;="&amp;$BK$9)</f>
        <v>0</v>
      </c>
      <c r="BJ228" s="271"/>
      <c r="BK228" s="272"/>
      <c r="BL228" s="1"/>
    </row>
    <row r="229">
      <c r="A229" s="1"/>
      <c r="B229" s="1"/>
      <c r="C229" s="338" t="str">
        <f>'Livro Diario - FC'!AE238</f>
        <v>H1</v>
      </c>
      <c r="D229" s="255">
        <f>SUMIFS('Livro Diario - FC'!$K$11:$K1028,'Livro Diario - FC'!$E$11:$E1028,$C$229,'Livro Diario - FC'!$D$11:$D1028,"&gt;=01/01"&amp;$C$7,'Livro Diario - FC'!$D$11:$D1028,"&lt;=31/01"&amp;$C$7)</f>
        <v>15.3</v>
      </c>
      <c r="E229" s="256">
        <f>SUMIFS('Livro Diario - FC'!$M$11:$M1028,'Livro Diario - FC'!$E$11:$E1028,$C$229,'Livro Diario - FC'!$D$11:$D1028,"&gt;=01/01"&amp;$C$7,'Livro Diario - FC'!$D$11:$D1028,"&lt;=31/01"&amp;$C$7)</f>
        <v>15.3</v>
      </c>
      <c r="F229" s="273"/>
      <c r="G229" s="258"/>
      <c r="H229" s="157"/>
      <c r="I229" s="255">
        <f>SUMIFS('Livro Diario - FC'!$K$11:$K1028,'Livro Diario - FC'!$E$11:$E1028,$C$229,'Livro Diario - FC'!$D$11:$D1028,"&gt;=01/02"&amp;$C$7,'Livro Diario - FC'!$D$11:$D1028,"&lt;=29/02"&amp;$C$7)</f>
        <v>0</v>
      </c>
      <c r="J229" s="256">
        <f>SUMIFS('Livro Diario - FC'!$M$11:$M1028,'Livro Diario - FC'!$E$11:$E1028,$C$229,'Livro Diario - FC'!$D$11:$D1028,"&gt;=01/02"&amp;$C$7,'Livro Diario - FC'!$D$11:$D1028,"&lt;=29/02"&amp;$C$7)</f>
        <v>0</v>
      </c>
      <c r="K229" s="273"/>
      <c r="L229" s="258"/>
      <c r="M229" s="259"/>
      <c r="N229" s="255">
        <f>SUMIFS('Livro Diario - FC'!$K$11:$K1028,'Livro Diario - FC'!$E$11:$E1028,$C$229,'Livro Diario - FC'!$D$11:$D1028,"&gt;=01/03"&amp;$C$7,'Livro Diario - FC'!$D$11:$D1028,"&lt;=31/03"&amp;$C$7)</f>
        <v>0</v>
      </c>
      <c r="O229" s="256">
        <f>SUMIFS('Livro Diario - FC'!$M$11:$M1028,'Livro Diario - FC'!$E$11:$E1028,$C$229,'Livro Diario - FC'!$D$11:$D1028,"&gt;=01/03"&amp;$C$7,'Livro Diario - FC'!$D$11:$D1028,"&lt;=31/03"&amp;$C$7)</f>
        <v>0</v>
      </c>
      <c r="P229" s="273"/>
      <c r="Q229" s="258"/>
      <c r="R229" s="259"/>
      <c r="S229" s="255">
        <f>SUMIFS('Livro Diario - FC'!$K$11:$K1028,'Livro Diario - FC'!$E$11:$E1028,$C$229,'Livro Diario - FC'!$D$11:$D1028,"&gt;=01/04"&amp;$C$7,'Livro Diario - FC'!$D$11:$D1028,"&lt;=30/04"&amp;$C$7)</f>
        <v>0</v>
      </c>
      <c r="T229" s="256">
        <f>SUMIFS('Livro Diario - FC'!$M$11:$M1028,'Livro Diario - FC'!$E$11:$E1028,$C$229,'Livro Diario - FC'!$D$11:$D1028,"&gt;=01/04"&amp;$C$7,'Livro Diario - FC'!$D$11:$D1028,"&lt;=30/04"&amp;$C$7)</f>
        <v>0</v>
      </c>
      <c r="U229" s="273"/>
      <c r="V229" s="258"/>
      <c r="W229" s="259"/>
      <c r="X229" s="255">
        <f>SUMIFS('Livro Diario - FC'!$K$11:$K1028,'Livro Diario - FC'!$E$11:$E1028,$C$229,'Livro Diario - FC'!$D$11:$D1028,"&gt;=01/05"&amp;$C$7,'Livro Diario - FC'!$D$11:$D1028,"&lt;=31/05"&amp;$C$7)</f>
        <v>0</v>
      </c>
      <c r="Y229" s="256">
        <f>SUMIFS('Livro Diario - FC'!$M$11:$M1028,'Livro Diario - FC'!$E$11:$E1028,$C$229,'Livro Diario - FC'!$D$11:$D1028,"&gt;=01/05"&amp;$C$7,'Livro Diario - FC'!$D$11:$D1028,"&lt;=31/05"&amp;$C$7)</f>
        <v>0</v>
      </c>
      <c r="Z229" s="273"/>
      <c r="AA229" s="258"/>
      <c r="AB229" s="259"/>
      <c r="AC229" s="255">
        <f>SUMIFS('Livro Diario - FC'!$K$11:$K1028,'Livro Diario - FC'!$E$11:$E1028,$C$229,'Livro Diario - FC'!$D$11:$D1028,"&gt;=01/06"&amp;$C$7,'Livro Diario - FC'!$D$11:$D1028,"&lt;=30/06"&amp;$C$7)</f>
        <v>0</v>
      </c>
      <c r="AD229" s="256">
        <f>SUMIFS('Livro Diario - FC'!$M$11:$M1028,'Livro Diario - FC'!$E$11:$E1028,$C$229,'Livro Diario - FC'!$D$11:$D1028,"&gt;=01/06"&amp;$C$7,'Livro Diario - FC'!$D$11:$D1028,"&lt;=30/06"&amp;$C$7)</f>
        <v>0</v>
      </c>
      <c r="AE229" s="273"/>
      <c r="AF229" s="258"/>
      <c r="AG229" s="255">
        <f>SUMIFS('Livro Diario - FC'!$K$11:$K1028,'Livro Diario - FC'!$E$11:$E1028,$C$229,'Livro Diario - FC'!$D$11:$D1028,"&gt;=01/07"&amp;$C$7,'Livro Diario - FC'!$D$11:$D1028,"&lt;=31/07"&amp;$C$7)</f>
        <v>0</v>
      </c>
      <c r="AH229" s="256">
        <f>SUMIFS('Livro Diario - FC'!$M$11:$M1028,'Livro Diario - FC'!$E$11:$E1028,$C$229,'Livro Diario - FC'!$D$11:$D1028,"&gt;=01/07"&amp;$C$7,'Livro Diario - FC'!$D$11:$D1028,"&lt;=31/07"&amp;$C$7)</f>
        <v>0</v>
      </c>
      <c r="AI229" s="273"/>
      <c r="AJ229" s="258"/>
      <c r="AK229" s="255">
        <f>SUMIFS('Livro Diario - FC'!$K$11:$K1028,'Livro Diario - FC'!$E$11:$E1028,$C$229,'Livro Diario - FC'!$D$11:$D1028,"&gt;=01/08"&amp;$C$7,'Livro Diario - FC'!$D$11:$D1028,"&lt;=31/08"&amp;$C$7)</f>
        <v>0</v>
      </c>
      <c r="AL229" s="256">
        <f>SUMIFS('Livro Diario - FC'!$M$11:$M1028,'Livro Diario - FC'!$E$11:$E1028,$C$229,'Livro Diario - FC'!$D$11:$D1028,"&gt;=01/08"&amp;$C$7,'Livro Diario - FC'!$D$11:$D1028,"&lt;=31/08"&amp;$C$7)</f>
        <v>0</v>
      </c>
      <c r="AM229" s="273"/>
      <c r="AN229" s="258"/>
      <c r="AO229" s="255">
        <f>SUMIFS('Livro Diario - FC'!$K$11:$K1028,'Livro Diario - FC'!$E$11:$E1028,$C$229,'Livro Diario - FC'!$D$11:$D1028,"&gt;=01/09"&amp;$C$7,'Livro Diario - FC'!$D$11:$D1028,"&lt;=30/09"&amp;$C$7)</f>
        <v>0</v>
      </c>
      <c r="AP229" s="256">
        <f>SUMIFS('Livro Diario - FC'!$M$11:$M1028,'Livro Diario - FC'!$E$11:$E1028,$C$229,'Livro Diario - FC'!$D$11:$D1028,"&gt;=01/09"&amp;$C$7,'Livro Diario - FC'!$D$11:$D1028,"&lt;=30/09"&amp;$C$7)</f>
        <v>0</v>
      </c>
      <c r="AQ229" s="273"/>
      <c r="AR229" s="258"/>
      <c r="AS229" s="255">
        <f>SUMIFS('Livro Diario - FC'!$K$11:$K1028,'Livro Diario - FC'!$E$11:$E1028,$C$229,'Livro Diario - FC'!$D$11:$D1028,"&gt;=01/10"&amp;$C$7,'Livro Diario - FC'!$D$11:$D1028,"&lt;=31/10"&amp;$C$7)</f>
        <v>0</v>
      </c>
      <c r="AT229" s="256">
        <f>SUMIFS('Livro Diario - FC'!$M$11:$M1028,'Livro Diario - FC'!$E$11:$E1028,$C$229,'Livro Diario - FC'!$D$11:$D1028,"&gt;=01/10"&amp;$C$7,'Livro Diario - FC'!$D$11:$D1028,"&lt;=31/10"&amp;$C$7)</f>
        <v>0</v>
      </c>
      <c r="AU229" s="273"/>
      <c r="AV229" s="258"/>
      <c r="AW229" s="255">
        <f>SUMIFS('Livro Diario - FC'!$K$11:$K1028,'Livro Diario - FC'!$E$11:$E1028,$C$229,'Livro Diario - FC'!$D$11:$D1028,"&gt;=01/11"&amp;$C$7,'Livro Diario - FC'!$D$11:$D1028,"&lt;=30/11"&amp;$C$7)</f>
        <v>0</v>
      </c>
      <c r="AX229" s="256">
        <f>SUMIFS('Livro Diario - FC'!$M$11:$M1028,'Livro Diario - FC'!$E$11:$E1028,$C$229,'Livro Diario - FC'!$D$11:$D1028,"&gt;=01/11"&amp;$C$7,'Livro Diario - FC'!$D$11:$D1028,"&lt;=30/11"&amp;$C$7)</f>
        <v>0</v>
      </c>
      <c r="AY229" s="273"/>
      <c r="AZ229" s="258"/>
      <c r="BA229" s="255">
        <f>SUMIFS('Livro Diario - FC'!$K$11:$K1028,'Livro Diario - FC'!$E$11:$E1028,$C$229,'Livro Diario - FC'!$D$11:$D1028,"&gt;=01/12"&amp;$C$7,'Livro Diario - FC'!$D$11:$D1028,"&lt;=31/12"&amp;$C$7)</f>
        <v>0</v>
      </c>
      <c r="BB229" s="256">
        <f>SUMIFS('Livro Diario - FC'!$M$11:$M1028,'Livro Diario - FC'!$E$11:$E1028,$C$229,'Livro Diario - FC'!$D$11:$D1028,"&gt;=01/12"&amp;$C$7,'Livro Diario - FC'!$D$11:$D1028,"&lt;=31/12"&amp;$C$7)</f>
        <v>0</v>
      </c>
      <c r="BC229" s="273"/>
      <c r="BD229" s="273"/>
      <c r="BE229" s="267">
        <f t="shared" ref="BE229:BF229" si="330">SUM(D229,I229,N229,S229,X229,AC229,AG229,AK229,AO229,AS229,AW229,BA229)</f>
        <v>15.3</v>
      </c>
      <c r="BF229" s="268">
        <f t="shared" si="330"/>
        <v>15.3</v>
      </c>
      <c r="BG229" s="269"/>
      <c r="BH229" s="192"/>
      <c r="BI229" s="270">
        <f>SUMIFS('Livro Diario - FC'!$M$11:$M1028,'Livro Diario - FC'!$E$11:$E1028,C229,'Livro Diario - FC'!$D$11:$D1028,"&gt;="&amp;$BK$8,'Livro Diario - FC'!$D$11:$D1028,"&lt;="&amp;$BK$9)</f>
        <v>0</v>
      </c>
      <c r="BJ229" s="271"/>
      <c r="BK229" s="272"/>
      <c r="BL229" s="1"/>
    </row>
    <row r="230">
      <c r="A230" s="1"/>
      <c r="B230" s="1"/>
      <c r="C230" s="338" t="str">
        <f>'Livro Diario - FC'!AE239</f>
        <v>MR500</v>
      </c>
      <c r="D230" s="255">
        <f>SUMIFS('Livro Diario - FC'!$K$11:$K1028,'Livro Diario - FC'!$E$11:$E1028,$C$230,'Livro Diario - FC'!$D$11:$D1028,"&gt;=01/01"&amp;$C$7,'Livro Diario - FC'!$D$11:$D1028,"&lt;=31/01"&amp;$C$7)</f>
        <v>0</v>
      </c>
      <c r="E230" s="256">
        <f>SUMIFS('Livro Diario - FC'!$M$11:$M1028,'Livro Diario - FC'!$E$11:$E1028,$C$230,'Livro Diario - FC'!$D$11:$D1028,"&gt;=01/01"&amp;$C$7,'Livro Diario - FC'!$D$11:$D1028,"&lt;=31/01"&amp;$C$7)</f>
        <v>0</v>
      </c>
      <c r="F230" s="273"/>
      <c r="G230" s="258"/>
      <c r="H230" s="157"/>
      <c r="I230" s="255">
        <f>SUMIFS('Livro Diario - FC'!$K$11:$K1028,'Livro Diario - FC'!$E$11:$E1028,$C$230,'Livro Diario - FC'!$D$11:$D1028,"&gt;=01/02"&amp;$C$7,'Livro Diario - FC'!$D$11:$D1028,"&lt;=29/02"&amp;$C$7)</f>
        <v>0</v>
      </c>
      <c r="J230" s="256">
        <f>SUMIFS('Livro Diario - FC'!$M$11:$M1028,'Livro Diario - FC'!$E$11:$E1028,$C$230,'Livro Diario - FC'!$D$11:$D1028,"&gt;=01/02"&amp;$C$7,'Livro Diario - FC'!$D$11:$D1028,"&lt;=29/02"&amp;$C$7)</f>
        <v>0</v>
      </c>
      <c r="K230" s="273"/>
      <c r="L230" s="258"/>
      <c r="M230" s="259"/>
      <c r="N230" s="255">
        <f>SUMIFS('Livro Diario - FC'!$K$11:$K1028,'Livro Diario - FC'!$E$11:$E1028,$C$230,'Livro Diario - FC'!$D$11:$D1028,"&gt;=01/03"&amp;$C$7,'Livro Diario - FC'!$D$11:$D1028,"&lt;=31/03"&amp;$C$7)</f>
        <v>0</v>
      </c>
      <c r="O230" s="256">
        <f>SUMIFS('Livro Diario - FC'!$M$11:$M1028,'Livro Diario - FC'!$E$11:$E1028,$C$230,'Livro Diario - FC'!$D$11:$D1028,"&gt;=01/03"&amp;$C$7,'Livro Diario - FC'!$D$11:$D1028,"&lt;=31/03"&amp;$C$7)</f>
        <v>0</v>
      </c>
      <c r="P230" s="273"/>
      <c r="Q230" s="258"/>
      <c r="R230" s="259"/>
      <c r="S230" s="255">
        <f>SUMIFS('Livro Diario - FC'!$K$11:$K1028,'Livro Diario - FC'!$E$11:$E1028,$C$230,'Livro Diario - FC'!$D$11:$D1028,"&gt;=01/04"&amp;$C$7,'Livro Diario - FC'!$D$11:$D1028,"&lt;=30/04"&amp;$C$7)</f>
        <v>0</v>
      </c>
      <c r="T230" s="256">
        <f>SUMIFS('Livro Diario - FC'!$M$11:$M1028,'Livro Diario - FC'!$E$11:$E1028,$C$230,'Livro Diario - FC'!$D$11:$D1028,"&gt;=01/04"&amp;$C$7,'Livro Diario - FC'!$D$11:$D1028,"&lt;=30/04"&amp;$C$7)</f>
        <v>0</v>
      </c>
      <c r="U230" s="273"/>
      <c r="V230" s="258"/>
      <c r="W230" s="259"/>
      <c r="X230" s="255">
        <f>SUMIFS('Livro Diario - FC'!$K$11:$K1028,'Livro Diario - FC'!$E$11:$E1028,$C$230,'Livro Diario - FC'!$D$11:$D1028,"&gt;=01/05"&amp;$C$7,'Livro Diario - FC'!$D$11:$D1028,"&lt;=31/05"&amp;$C$7)</f>
        <v>0</v>
      </c>
      <c r="Y230" s="256">
        <f>SUMIFS('Livro Diario - FC'!$M$11:$M1028,'Livro Diario - FC'!$E$11:$E1028,$C$230,'Livro Diario - FC'!$D$11:$D1028,"&gt;=01/05"&amp;$C$7,'Livro Diario - FC'!$D$11:$D1028,"&lt;=31/05"&amp;$C$7)</f>
        <v>0</v>
      </c>
      <c r="Z230" s="273"/>
      <c r="AA230" s="258"/>
      <c r="AB230" s="259"/>
      <c r="AC230" s="255">
        <f>SUMIFS('Livro Diario - FC'!$K$11:$K1028,'Livro Diario - FC'!$E$11:$E1028,$C$230,'Livro Diario - FC'!$D$11:$D1028,"&gt;=01/06"&amp;$C$7,'Livro Diario - FC'!$D$11:$D1028,"&lt;=30/06"&amp;$C$7)</f>
        <v>0</v>
      </c>
      <c r="AD230" s="256">
        <f>SUMIFS('Livro Diario - FC'!$M$11:$M1028,'Livro Diario - FC'!$E$11:$E1028,$C$230,'Livro Diario - FC'!$D$11:$D1028,"&gt;=01/06"&amp;$C$7,'Livro Diario - FC'!$D$11:$D1028,"&lt;=30/06"&amp;$C$7)</f>
        <v>0</v>
      </c>
      <c r="AE230" s="273"/>
      <c r="AF230" s="258"/>
      <c r="AG230" s="255">
        <f>SUMIFS('Livro Diario - FC'!$K$11:$K1028,'Livro Diario - FC'!$E$11:$E1028,$C$230,'Livro Diario - FC'!$D$11:$D1028,"&gt;=01/07"&amp;$C$7,'Livro Diario - FC'!$D$11:$D1028,"&lt;=31/07"&amp;$C$7)</f>
        <v>0</v>
      </c>
      <c r="AH230" s="256">
        <f>SUMIFS('Livro Diario - FC'!$M$11:$M1028,'Livro Diario - FC'!$E$11:$E1028,$C$230,'Livro Diario - FC'!$D$11:$D1028,"&gt;=01/07"&amp;$C$7,'Livro Diario - FC'!$D$11:$D1028,"&lt;=31/07"&amp;$C$7)</f>
        <v>0</v>
      </c>
      <c r="AI230" s="273"/>
      <c r="AJ230" s="258"/>
      <c r="AK230" s="255">
        <f>SUMIFS('Livro Diario - FC'!$K$11:$K1028,'Livro Diario - FC'!$E$11:$E1028,$C$230,'Livro Diario - FC'!$D$11:$D1028,"&gt;=01/08"&amp;$C$7,'Livro Diario - FC'!$D$11:$D1028,"&lt;=31/08"&amp;$C$7)</f>
        <v>0</v>
      </c>
      <c r="AL230" s="256">
        <f>SUMIFS('Livro Diario - FC'!$M$11:$M1028,'Livro Diario - FC'!$E$11:$E1028,$C$230,'Livro Diario - FC'!$D$11:$D1028,"&gt;=01/08"&amp;$C$7,'Livro Diario - FC'!$D$11:$D1028,"&lt;=31/08"&amp;$C$7)</f>
        <v>0</v>
      </c>
      <c r="AM230" s="273"/>
      <c r="AN230" s="258"/>
      <c r="AO230" s="255">
        <f>SUMIFS('Livro Diario - FC'!$K$11:$K1028,'Livro Diario - FC'!$E$11:$E1028,$C$230,'Livro Diario - FC'!$D$11:$D1028,"&gt;=01/09"&amp;$C$7,'Livro Diario - FC'!$D$11:$D1028,"&lt;=30/09"&amp;$C$7)</f>
        <v>0</v>
      </c>
      <c r="AP230" s="256">
        <f>SUMIFS('Livro Diario - FC'!$M$11:$M1028,'Livro Diario - FC'!$E$11:$E1028,$C$230,'Livro Diario - FC'!$D$11:$D1028,"&gt;=01/09"&amp;$C$7,'Livro Diario - FC'!$D$11:$D1028,"&lt;=30/09"&amp;$C$7)</f>
        <v>0</v>
      </c>
      <c r="AQ230" s="273"/>
      <c r="AR230" s="258"/>
      <c r="AS230" s="255">
        <f>SUMIFS('Livro Diario - FC'!$K$11:$K1028,'Livro Diario - FC'!$E$11:$E1028,$C$230,'Livro Diario - FC'!$D$11:$D1028,"&gt;=01/10"&amp;$C$7,'Livro Diario - FC'!$D$11:$D1028,"&lt;=31/10"&amp;$C$7)</f>
        <v>0</v>
      </c>
      <c r="AT230" s="256">
        <f>SUMIFS('Livro Diario - FC'!$M$11:$M1028,'Livro Diario - FC'!$E$11:$E1028,$C$230,'Livro Diario - FC'!$D$11:$D1028,"&gt;=01/10"&amp;$C$7,'Livro Diario - FC'!$D$11:$D1028,"&lt;=31/10"&amp;$C$7)</f>
        <v>0</v>
      </c>
      <c r="AU230" s="273"/>
      <c r="AV230" s="258"/>
      <c r="AW230" s="255">
        <f>SUMIFS('Livro Diario - FC'!$K$11:$K1028,'Livro Diario - FC'!$E$11:$E1028,$C$230,'Livro Diario - FC'!$D$11:$D1028,"&gt;=01/11"&amp;$C$7,'Livro Diario - FC'!$D$11:$D1028,"&lt;=30/11"&amp;$C$7)</f>
        <v>0</v>
      </c>
      <c r="AX230" s="256">
        <f>SUMIFS('Livro Diario - FC'!$M$11:$M1028,'Livro Diario - FC'!$E$11:$E1028,$C$230,'Livro Diario - FC'!$D$11:$D1028,"&gt;=01/11"&amp;$C$7,'Livro Diario - FC'!$D$11:$D1028,"&lt;=30/11"&amp;$C$7)</f>
        <v>0</v>
      </c>
      <c r="AY230" s="273"/>
      <c r="AZ230" s="258"/>
      <c r="BA230" s="255">
        <f>SUMIFS('Livro Diario - FC'!$K$11:$K1028,'Livro Diario - FC'!$E$11:$E1028,$C$230,'Livro Diario - FC'!$D$11:$D1028,"&gt;=01/12"&amp;$C$7,'Livro Diario - FC'!$D$11:$D1028,"&lt;=31/12"&amp;$C$7)</f>
        <v>0</v>
      </c>
      <c r="BB230" s="256">
        <f>SUMIFS('Livro Diario - FC'!$M$11:$M1028,'Livro Diario - FC'!$E$11:$E1028,$C$230,'Livro Diario - FC'!$D$11:$D1028,"&gt;=01/12"&amp;$C$7,'Livro Diario - FC'!$D$11:$D1028,"&lt;=31/12"&amp;$C$7)</f>
        <v>0</v>
      </c>
      <c r="BC230" s="273"/>
      <c r="BD230" s="273"/>
      <c r="BE230" s="267">
        <f t="shared" ref="BE230:BF230" si="331">SUM(D230,I230,N230,S230,X230,AC230,AG230,AK230,AO230,AS230,AW230,BA230)</f>
        <v>0</v>
      </c>
      <c r="BF230" s="268">
        <f t="shared" si="331"/>
        <v>0</v>
      </c>
      <c r="BG230" s="269"/>
      <c r="BH230" s="192"/>
      <c r="BI230" s="270">
        <f>SUMIFS('Livro Diario - FC'!$M$11:$M1028,'Livro Diario - FC'!$E$11:$E1028,C230,'Livro Diario - FC'!$D$11:$D1028,"&gt;="&amp;$BK$8,'Livro Diario - FC'!$D$11:$D1028,"&lt;="&amp;$BK$9)</f>
        <v>0</v>
      </c>
      <c r="BJ230" s="271"/>
      <c r="BK230" s="272"/>
      <c r="BL230" s="1"/>
    </row>
    <row r="231">
      <c r="A231" s="1"/>
      <c r="B231" s="1"/>
      <c r="C231" s="338" t="str">
        <f>'Livro Diario - FC'!AE240</f>
        <v>Pote 500</v>
      </c>
      <c r="D231" s="255">
        <f>SUMIFS('Livro Diario - FC'!$K$11:$K1028,'Livro Diario - FC'!$E$11:$E1028,$C$231,'Livro Diario - FC'!$D$11:$D1028,"&gt;=01/01"&amp;$C$7,'Livro Diario - FC'!$D$11:$D1028,"&lt;=31/01"&amp;$C$7)</f>
        <v>64.8</v>
      </c>
      <c r="E231" s="256">
        <f>SUMIFS('Livro Diario - FC'!$M$11:$M1028,'Livro Diario - FC'!$E$11:$E1028,$C$231,'Livro Diario - FC'!$D$11:$D1028,"&gt;=01/01"&amp;$C$7,'Livro Diario - FC'!$D$11:$D1028,"&lt;=31/01"&amp;$C$7)</f>
        <v>64.8</v>
      </c>
      <c r="F231" s="273"/>
      <c r="G231" s="258"/>
      <c r="H231" s="157"/>
      <c r="I231" s="255">
        <f>SUMIFS('Livro Diario - FC'!$K$11:$K1028,'Livro Diario - FC'!$E$11:$E1028,$C$231,'Livro Diario - FC'!$D$11:$D1028,"&gt;=01/02"&amp;$C$7,'Livro Diario - FC'!$D$11:$D1028,"&lt;=29/02"&amp;$C$7)</f>
        <v>0</v>
      </c>
      <c r="J231" s="256">
        <f>SUMIFS('Livro Diario - FC'!$M$11:$M1028,'Livro Diario - FC'!$E$11:$E1028,$C$231,'Livro Diario - FC'!$D$11:$D1028,"&gt;=01/02"&amp;$C$7,'Livro Diario - FC'!$D$11:$D1028,"&lt;=29/02"&amp;$C$7)</f>
        <v>0</v>
      </c>
      <c r="K231" s="273"/>
      <c r="L231" s="258"/>
      <c r="M231" s="259"/>
      <c r="N231" s="255">
        <f>SUMIFS('Livro Diario - FC'!$K$11:$K1028,'Livro Diario - FC'!$E$11:$E1028,$C$231,'Livro Diario - FC'!$D$11:$D1028,"&gt;=01/03"&amp;$C$7,'Livro Diario - FC'!$D$11:$D1028,"&lt;=31/03"&amp;$C$7)</f>
        <v>0</v>
      </c>
      <c r="O231" s="256">
        <f>SUMIFS('Livro Diario - FC'!$M$11:$M1028,'Livro Diario - FC'!$E$11:$E1028,$C$231,'Livro Diario - FC'!$D$11:$D1028,"&gt;=01/03"&amp;$C$7,'Livro Diario - FC'!$D$11:$D1028,"&lt;=31/03"&amp;$C$7)</f>
        <v>0</v>
      </c>
      <c r="P231" s="273"/>
      <c r="Q231" s="258"/>
      <c r="R231" s="259"/>
      <c r="S231" s="255">
        <f>SUMIFS('Livro Diario - FC'!$K$11:$K1028,'Livro Diario - FC'!$E$11:$E1028,$C$231,'Livro Diario - FC'!$D$11:$D1028,"&gt;=01/04"&amp;$C$7,'Livro Diario - FC'!$D$11:$D1028,"&lt;=30/04"&amp;$C$7)</f>
        <v>0</v>
      </c>
      <c r="T231" s="256">
        <f>SUMIFS('Livro Diario - FC'!$M$11:$M1028,'Livro Diario - FC'!$E$11:$E1028,$C$231,'Livro Diario - FC'!$D$11:$D1028,"&gt;=01/04"&amp;$C$7,'Livro Diario - FC'!$D$11:$D1028,"&lt;=30/04"&amp;$C$7)</f>
        <v>0</v>
      </c>
      <c r="U231" s="273"/>
      <c r="V231" s="258"/>
      <c r="W231" s="259"/>
      <c r="X231" s="255">
        <f>SUMIFS('Livro Diario - FC'!$K$11:$K1028,'Livro Diario - FC'!$E$11:$E1028,$C$231,'Livro Diario - FC'!$D$11:$D1028,"&gt;=01/05"&amp;$C$7,'Livro Diario - FC'!$D$11:$D1028,"&lt;=31/05"&amp;$C$7)</f>
        <v>0</v>
      </c>
      <c r="Y231" s="256">
        <f>SUMIFS('Livro Diario - FC'!$M$11:$M1028,'Livro Diario - FC'!$E$11:$E1028,$C$231,'Livro Diario - FC'!$D$11:$D1028,"&gt;=01/05"&amp;$C$7,'Livro Diario - FC'!$D$11:$D1028,"&lt;=31/05"&amp;$C$7)</f>
        <v>0</v>
      </c>
      <c r="Z231" s="273"/>
      <c r="AA231" s="258"/>
      <c r="AB231" s="259"/>
      <c r="AC231" s="255">
        <f>SUMIFS('Livro Diario - FC'!$K$11:$K1028,'Livro Diario - FC'!$E$11:$E1028,$C$231,'Livro Diario - FC'!$D$11:$D1028,"&gt;=01/06"&amp;$C$7,'Livro Diario - FC'!$D$11:$D1028,"&lt;=30/06"&amp;$C$7)</f>
        <v>0</v>
      </c>
      <c r="AD231" s="256">
        <f>SUMIFS('Livro Diario - FC'!$M$11:$M1028,'Livro Diario - FC'!$E$11:$E1028,$C$231,'Livro Diario - FC'!$D$11:$D1028,"&gt;=01/06"&amp;$C$7,'Livro Diario - FC'!$D$11:$D1028,"&lt;=30/06"&amp;$C$7)</f>
        <v>0</v>
      </c>
      <c r="AE231" s="273"/>
      <c r="AF231" s="258"/>
      <c r="AG231" s="255">
        <f>SUMIFS('Livro Diario - FC'!$K$11:$K1028,'Livro Diario - FC'!$E$11:$E1028,$C$231,'Livro Diario - FC'!$D$11:$D1028,"&gt;=01/07"&amp;$C$7,'Livro Diario - FC'!$D$11:$D1028,"&lt;=31/07"&amp;$C$7)</f>
        <v>0</v>
      </c>
      <c r="AH231" s="256">
        <f>SUMIFS('Livro Diario - FC'!$M$11:$M1028,'Livro Diario - FC'!$E$11:$E1028,$C$231,'Livro Diario - FC'!$D$11:$D1028,"&gt;=01/07"&amp;$C$7,'Livro Diario - FC'!$D$11:$D1028,"&lt;=31/07"&amp;$C$7)</f>
        <v>0</v>
      </c>
      <c r="AI231" s="273"/>
      <c r="AJ231" s="258"/>
      <c r="AK231" s="255">
        <f>SUMIFS('Livro Diario - FC'!$K$11:$K1028,'Livro Diario - FC'!$E$11:$E1028,$C$231,'Livro Diario - FC'!$D$11:$D1028,"&gt;=01/08"&amp;$C$7,'Livro Diario - FC'!$D$11:$D1028,"&lt;=31/08"&amp;$C$7)</f>
        <v>0</v>
      </c>
      <c r="AL231" s="256">
        <f>SUMIFS('Livro Diario - FC'!$M$11:$M1028,'Livro Diario - FC'!$E$11:$E1028,$C$231,'Livro Diario - FC'!$D$11:$D1028,"&gt;=01/08"&amp;$C$7,'Livro Diario - FC'!$D$11:$D1028,"&lt;=31/08"&amp;$C$7)</f>
        <v>0</v>
      </c>
      <c r="AM231" s="273"/>
      <c r="AN231" s="258"/>
      <c r="AO231" s="255">
        <f>SUMIFS('Livro Diario - FC'!$K$11:$K1028,'Livro Diario - FC'!$E$11:$E1028,$C$231,'Livro Diario - FC'!$D$11:$D1028,"&gt;=01/09"&amp;$C$7,'Livro Diario - FC'!$D$11:$D1028,"&lt;=30/09"&amp;$C$7)</f>
        <v>0</v>
      </c>
      <c r="AP231" s="256">
        <f>SUMIFS('Livro Diario - FC'!$M$11:$M1028,'Livro Diario - FC'!$E$11:$E1028,$C$231,'Livro Diario - FC'!$D$11:$D1028,"&gt;=01/09"&amp;$C$7,'Livro Diario - FC'!$D$11:$D1028,"&lt;=30/09"&amp;$C$7)</f>
        <v>0</v>
      </c>
      <c r="AQ231" s="273"/>
      <c r="AR231" s="258"/>
      <c r="AS231" s="255">
        <f>SUMIFS('Livro Diario - FC'!$K$11:$K1028,'Livro Diario - FC'!$E$11:$E1028,$C$231,'Livro Diario - FC'!$D$11:$D1028,"&gt;=01/10"&amp;$C$7,'Livro Diario - FC'!$D$11:$D1028,"&lt;=31/10"&amp;$C$7)</f>
        <v>0</v>
      </c>
      <c r="AT231" s="256">
        <f>SUMIFS('Livro Diario - FC'!$M$11:$M1028,'Livro Diario - FC'!$E$11:$E1028,$C$231,'Livro Diario - FC'!$D$11:$D1028,"&gt;=01/10"&amp;$C$7,'Livro Diario - FC'!$D$11:$D1028,"&lt;=31/10"&amp;$C$7)</f>
        <v>0</v>
      </c>
      <c r="AU231" s="273"/>
      <c r="AV231" s="258"/>
      <c r="AW231" s="255">
        <f>SUMIFS('Livro Diario - FC'!$K$11:$K1028,'Livro Diario - FC'!$E$11:$E1028,$C$231,'Livro Diario - FC'!$D$11:$D1028,"&gt;=01/11"&amp;$C$7,'Livro Diario - FC'!$D$11:$D1028,"&lt;=30/11"&amp;$C$7)</f>
        <v>0</v>
      </c>
      <c r="AX231" s="256">
        <f>SUMIFS('Livro Diario - FC'!$M$11:$M1028,'Livro Diario - FC'!$E$11:$E1028,$C$231,'Livro Diario - FC'!$D$11:$D1028,"&gt;=01/11"&amp;$C$7,'Livro Diario - FC'!$D$11:$D1028,"&lt;=30/11"&amp;$C$7)</f>
        <v>0</v>
      </c>
      <c r="AY231" s="273"/>
      <c r="AZ231" s="258"/>
      <c r="BA231" s="255">
        <f>SUMIFS('Livro Diario - FC'!$K$11:$K1028,'Livro Diario - FC'!$E$11:$E1028,$C$231,'Livro Diario - FC'!$D$11:$D1028,"&gt;=01/12"&amp;$C$7,'Livro Diario - FC'!$D$11:$D1028,"&lt;=31/12"&amp;$C$7)</f>
        <v>0</v>
      </c>
      <c r="BB231" s="256">
        <f>SUMIFS('Livro Diario - FC'!$M$11:$M1028,'Livro Diario - FC'!$E$11:$E1028,$C$231,'Livro Diario - FC'!$D$11:$D1028,"&gt;=01/12"&amp;$C$7,'Livro Diario - FC'!$D$11:$D1028,"&lt;=31/12"&amp;$C$7)</f>
        <v>0</v>
      </c>
      <c r="BC231" s="273"/>
      <c r="BD231" s="273"/>
      <c r="BE231" s="267">
        <f t="shared" ref="BE231:BF231" si="332">SUM(D231,I231,N231,S231,X231,AC231,AG231,AK231,AO231,AS231,AW231,BA231)</f>
        <v>64.8</v>
      </c>
      <c r="BF231" s="268">
        <f t="shared" si="332"/>
        <v>64.8</v>
      </c>
      <c r="BG231" s="269"/>
      <c r="BH231" s="192"/>
      <c r="BI231" s="270">
        <f>SUMIFS('Livro Diario - FC'!$M$11:$M1028,'Livro Diario - FC'!$E$11:$E1028,C231,'Livro Diario - FC'!$D$11:$D1028,"&gt;="&amp;$BK$8,'Livro Diario - FC'!$D$11:$D1028,"&lt;="&amp;$BK$9)</f>
        <v>0</v>
      </c>
      <c r="BJ231" s="271"/>
      <c r="BK231" s="272"/>
      <c r="BL231" s="1"/>
    </row>
    <row r="232">
      <c r="A232" s="1"/>
      <c r="B232" s="1"/>
      <c r="C232" s="338" t="str">
        <f>'Livro Diario - FC'!AE241</f>
        <v>Box</v>
      </c>
      <c r="D232" s="255">
        <f>SUMIFS('Livro Diario - FC'!$K$11:$K1028,'Livro Diario - FC'!$E$11:$E1028,$C$232,'Livro Diario - FC'!$D$11:$D1028,"&gt;=01/01"&amp;$C$7,'Livro Diario - FC'!$D$11:$D1028,"&lt;=31/01"&amp;$C$7)</f>
        <v>0</v>
      </c>
      <c r="E232" s="256">
        <f>SUMIFS('Livro Diario - FC'!$M$11:$M1028,'Livro Diario - FC'!$E$11:$E1028,$C$232,'Livro Diario - FC'!$D$11:$D1028,"&gt;=01/01"&amp;$C$7,'Livro Diario - FC'!$D$11:$D1028,"&lt;=31/01"&amp;$C$7)</f>
        <v>0</v>
      </c>
      <c r="F232" s="273"/>
      <c r="G232" s="258"/>
      <c r="H232" s="157"/>
      <c r="I232" s="255">
        <f>SUMIFS('Livro Diario - FC'!$K$11:$K1028,'Livro Diario - FC'!$E$11:$E1028,$C$232,'Livro Diario - FC'!$D$11:$D1028,"&gt;=01/02"&amp;$C$7,'Livro Diario - FC'!$D$11:$D1028,"&lt;=29/02"&amp;$C$7)</f>
        <v>0</v>
      </c>
      <c r="J232" s="256">
        <f>SUMIFS('Livro Diario - FC'!$M$11:$M1028,'Livro Diario - FC'!$E$11:$E1028,$C$232,'Livro Diario - FC'!$D$11:$D1028,"&gt;=01/02"&amp;$C$7,'Livro Diario - FC'!$D$11:$D1028,"&lt;=29/02"&amp;$C$7)</f>
        <v>0</v>
      </c>
      <c r="K232" s="273"/>
      <c r="L232" s="258"/>
      <c r="M232" s="259"/>
      <c r="N232" s="255">
        <f>SUMIFS('Livro Diario - FC'!$K$11:$K1028,'Livro Diario - FC'!$E$11:$E1028,$C$232,'Livro Diario - FC'!$D$11:$D1028,"&gt;=01/03"&amp;$C$7,'Livro Diario - FC'!$D$11:$D1028,"&lt;=31/03"&amp;$C$7)</f>
        <v>0</v>
      </c>
      <c r="O232" s="256">
        <f>SUMIFS('Livro Diario - FC'!$M$11:$M1028,'Livro Diario - FC'!$E$11:$E1028,$C$232,'Livro Diario - FC'!$D$11:$D1028,"&gt;=01/03"&amp;$C$7,'Livro Diario - FC'!$D$11:$D1028,"&lt;=31/03"&amp;$C$7)</f>
        <v>0</v>
      </c>
      <c r="P232" s="273"/>
      <c r="Q232" s="258"/>
      <c r="R232" s="259"/>
      <c r="S232" s="255">
        <f>SUMIFS('Livro Diario - FC'!$K$11:$K1028,'Livro Diario - FC'!$E$11:$E1028,$C$232,'Livro Diario - FC'!$D$11:$D1028,"&gt;=01/04"&amp;$C$7,'Livro Diario - FC'!$D$11:$D1028,"&lt;=30/04"&amp;$C$7)</f>
        <v>0</v>
      </c>
      <c r="T232" s="256">
        <f>SUMIFS('Livro Diario - FC'!$M$11:$M1028,'Livro Diario - FC'!$E$11:$E1028,$C$232,'Livro Diario - FC'!$D$11:$D1028,"&gt;=01/04"&amp;$C$7,'Livro Diario - FC'!$D$11:$D1028,"&lt;=30/04"&amp;$C$7)</f>
        <v>0</v>
      </c>
      <c r="U232" s="273"/>
      <c r="V232" s="258"/>
      <c r="W232" s="259"/>
      <c r="X232" s="255">
        <f>SUMIFS('Livro Diario - FC'!$K$11:$K1028,'Livro Diario - FC'!$E$11:$E1028,$C$232,'Livro Diario - FC'!$D$11:$D1028,"&gt;=01/05"&amp;$C$7,'Livro Diario - FC'!$D$11:$D1028,"&lt;=31/05"&amp;$C$7)</f>
        <v>0</v>
      </c>
      <c r="Y232" s="256">
        <f>SUMIFS('Livro Diario - FC'!$M$11:$M1028,'Livro Diario - FC'!$E$11:$E1028,$C$232,'Livro Diario - FC'!$D$11:$D1028,"&gt;=01/05"&amp;$C$7,'Livro Diario - FC'!$D$11:$D1028,"&lt;=31/05"&amp;$C$7)</f>
        <v>0</v>
      </c>
      <c r="Z232" s="273"/>
      <c r="AA232" s="258"/>
      <c r="AB232" s="259"/>
      <c r="AC232" s="255">
        <f>SUMIFS('Livro Diario - FC'!$K$11:$K1028,'Livro Diario - FC'!$E$11:$E1028,$C$232,'Livro Diario - FC'!$D$11:$D1028,"&gt;=01/06"&amp;$C$7,'Livro Diario - FC'!$D$11:$D1028,"&lt;=30/06"&amp;$C$7)</f>
        <v>0</v>
      </c>
      <c r="AD232" s="256">
        <f>SUMIFS('Livro Diario - FC'!$M$11:$M1028,'Livro Diario - FC'!$E$11:$E1028,$C$232,'Livro Diario - FC'!$D$11:$D1028,"&gt;=01/06"&amp;$C$7,'Livro Diario - FC'!$D$11:$D1028,"&lt;=30/06"&amp;$C$7)</f>
        <v>0</v>
      </c>
      <c r="AE232" s="273"/>
      <c r="AF232" s="258"/>
      <c r="AG232" s="255">
        <f>SUMIFS('Livro Diario - FC'!$K$11:$K1028,'Livro Diario - FC'!$E$11:$E1028,$C$232,'Livro Diario - FC'!$D$11:$D1028,"&gt;=01/07"&amp;$C$7,'Livro Diario - FC'!$D$11:$D1028,"&lt;=31/07"&amp;$C$7)</f>
        <v>0</v>
      </c>
      <c r="AH232" s="256">
        <f>SUMIFS('Livro Diario - FC'!$M$11:$M1028,'Livro Diario - FC'!$E$11:$E1028,$C$232,'Livro Diario - FC'!$D$11:$D1028,"&gt;=01/07"&amp;$C$7,'Livro Diario - FC'!$D$11:$D1028,"&lt;=31/07"&amp;$C$7)</f>
        <v>0</v>
      </c>
      <c r="AI232" s="273"/>
      <c r="AJ232" s="258"/>
      <c r="AK232" s="255">
        <f>SUMIFS('Livro Diario - FC'!$K$11:$K1028,'Livro Diario - FC'!$E$11:$E1028,$C$232,'Livro Diario - FC'!$D$11:$D1028,"&gt;=01/08"&amp;$C$7,'Livro Diario - FC'!$D$11:$D1028,"&lt;=31/08"&amp;$C$7)</f>
        <v>0</v>
      </c>
      <c r="AL232" s="256">
        <f>SUMIFS('Livro Diario - FC'!$M$11:$M1028,'Livro Diario - FC'!$E$11:$E1028,$C$232,'Livro Diario - FC'!$D$11:$D1028,"&gt;=01/08"&amp;$C$7,'Livro Diario - FC'!$D$11:$D1028,"&lt;=31/08"&amp;$C$7)</f>
        <v>0</v>
      </c>
      <c r="AM232" s="273"/>
      <c r="AN232" s="258"/>
      <c r="AO232" s="255">
        <f>SUMIFS('Livro Diario - FC'!$K$11:$K1028,'Livro Diario - FC'!$E$11:$E1028,$C$232,'Livro Diario - FC'!$D$11:$D1028,"&gt;=01/09"&amp;$C$7,'Livro Diario - FC'!$D$11:$D1028,"&lt;=30/09"&amp;$C$7)</f>
        <v>0</v>
      </c>
      <c r="AP232" s="256">
        <f>SUMIFS('Livro Diario - FC'!$M$11:$M1028,'Livro Diario - FC'!$E$11:$E1028,$C$232,'Livro Diario - FC'!$D$11:$D1028,"&gt;=01/09"&amp;$C$7,'Livro Diario - FC'!$D$11:$D1028,"&lt;=30/09"&amp;$C$7)</f>
        <v>0</v>
      </c>
      <c r="AQ232" s="273"/>
      <c r="AR232" s="258"/>
      <c r="AS232" s="255">
        <f>SUMIFS('Livro Diario - FC'!$K$11:$K1028,'Livro Diario - FC'!$E$11:$E1028,$C$232,'Livro Diario - FC'!$D$11:$D1028,"&gt;=01/10"&amp;$C$7,'Livro Diario - FC'!$D$11:$D1028,"&lt;=31/10"&amp;$C$7)</f>
        <v>0</v>
      </c>
      <c r="AT232" s="256">
        <f>SUMIFS('Livro Diario - FC'!$M$11:$M1028,'Livro Diario - FC'!$E$11:$E1028,$C$232,'Livro Diario - FC'!$D$11:$D1028,"&gt;=01/10"&amp;$C$7,'Livro Diario - FC'!$D$11:$D1028,"&lt;=31/10"&amp;$C$7)</f>
        <v>0</v>
      </c>
      <c r="AU232" s="273"/>
      <c r="AV232" s="258"/>
      <c r="AW232" s="255">
        <f>SUMIFS('Livro Diario - FC'!$K$11:$K1028,'Livro Diario - FC'!$E$11:$E1028,$C$232,'Livro Diario - FC'!$D$11:$D1028,"&gt;=01/11"&amp;$C$7,'Livro Diario - FC'!$D$11:$D1028,"&lt;=30/11"&amp;$C$7)</f>
        <v>0</v>
      </c>
      <c r="AX232" s="256">
        <f>SUMIFS('Livro Diario - FC'!$M$11:$M1028,'Livro Diario - FC'!$E$11:$E1028,$C$232,'Livro Diario - FC'!$D$11:$D1028,"&gt;=01/11"&amp;$C$7,'Livro Diario - FC'!$D$11:$D1028,"&lt;=30/11"&amp;$C$7)</f>
        <v>0</v>
      </c>
      <c r="AY232" s="273"/>
      <c r="AZ232" s="258"/>
      <c r="BA232" s="255">
        <f>SUMIFS('Livro Diario - FC'!$K$11:$K1028,'Livro Diario - FC'!$E$11:$E1028,$C$232,'Livro Diario - FC'!$D$11:$D1028,"&gt;=01/12"&amp;$C$7,'Livro Diario - FC'!$D$11:$D1028,"&lt;=31/12"&amp;$C$7)</f>
        <v>0</v>
      </c>
      <c r="BB232" s="256">
        <f>SUMIFS('Livro Diario - FC'!$M$11:$M1028,'Livro Diario - FC'!$E$11:$E1028,$C$232,'Livro Diario - FC'!$D$11:$D1028,"&gt;=01/12"&amp;$C$7,'Livro Diario - FC'!$D$11:$D1028,"&lt;=31/12"&amp;$C$7)</f>
        <v>0</v>
      </c>
      <c r="BC232" s="273"/>
      <c r="BD232" s="273"/>
      <c r="BE232" s="267">
        <f t="shared" ref="BE232:BF232" si="333">SUM(D232,I232,N232,S232,X232,AC232,AG232,AK232,AO232,AS232,AW232,BA232)</f>
        <v>0</v>
      </c>
      <c r="BF232" s="268">
        <f t="shared" si="333"/>
        <v>0</v>
      </c>
      <c r="BG232" s="269"/>
      <c r="BH232" s="192"/>
      <c r="BI232" s="270">
        <f>SUMIFS('Livro Diario - FC'!$M$11:$M1028,'Livro Diario - FC'!$E$11:$E1028,C232,'Livro Diario - FC'!$D$11:$D1028,"&gt;="&amp;$BK$8,'Livro Diario - FC'!$D$11:$D1028,"&lt;="&amp;$BK$9)</f>
        <v>0</v>
      </c>
      <c r="BJ232" s="271"/>
      <c r="BK232" s="272"/>
      <c r="BL232" s="1"/>
    </row>
    <row r="233">
      <c r="A233" s="1"/>
      <c r="B233" s="1"/>
      <c r="C233" s="338" t="str">
        <f>'Livro Diario - FC'!AE242</f>
        <v>Vassoura</v>
      </c>
      <c r="D233" s="255">
        <f>SUMIFS('Livro Diario - FC'!$K$11:$K1028,'Livro Diario - FC'!$E$11:$E1028,$C$233,'Livro Diario - FC'!$D$11:$D1028,"&gt;=01/01"&amp;$C$7,'Livro Diario - FC'!$D$11:$D1028,"&lt;=31/01"&amp;$C$7)</f>
        <v>0</v>
      </c>
      <c r="E233" s="256">
        <f>SUMIFS('Livro Diario - FC'!$M$11:$M1028,'Livro Diario - FC'!$E$11:$E1028,$C$233,'Livro Diario - FC'!$D$11:$D1028,"&gt;=01/01"&amp;$C$7,'Livro Diario - FC'!$D$11:$D1028,"&lt;=31/01"&amp;$C$7)</f>
        <v>0</v>
      </c>
      <c r="F233" s="273"/>
      <c r="G233" s="258"/>
      <c r="H233" s="157"/>
      <c r="I233" s="255">
        <f>SUMIFS('Livro Diario - FC'!$K$11:$K1028,'Livro Diario - FC'!$E$11:$E1028,$C$233,'Livro Diario - FC'!$D$11:$D1028,"&gt;=01/02"&amp;$C$7,'Livro Diario - FC'!$D$11:$D1028,"&lt;=29/02"&amp;$C$7)</f>
        <v>0</v>
      </c>
      <c r="J233" s="256">
        <f>SUMIFS('Livro Diario - FC'!$M$11:$M1028,'Livro Diario - FC'!$E$11:$E1028,$C$233,'Livro Diario - FC'!$D$11:$D1028,"&gt;=01/02"&amp;$C$7,'Livro Diario - FC'!$D$11:$D1028,"&lt;=29/02"&amp;$C$7)</f>
        <v>0</v>
      </c>
      <c r="K233" s="273"/>
      <c r="L233" s="258"/>
      <c r="M233" s="259"/>
      <c r="N233" s="255">
        <f>SUMIFS('Livro Diario - FC'!$K$11:$K1028,'Livro Diario - FC'!$E$11:$E1028,$C$233,'Livro Diario - FC'!$D$11:$D1028,"&gt;=01/03"&amp;$C$7,'Livro Diario - FC'!$D$11:$D1028,"&lt;=31/03"&amp;$C$7)</f>
        <v>0</v>
      </c>
      <c r="O233" s="256">
        <f>SUMIFS('Livro Diario - FC'!$M$11:$M1028,'Livro Diario - FC'!$E$11:$E1028,$C$233,'Livro Diario - FC'!$D$11:$D1028,"&gt;=01/03"&amp;$C$7,'Livro Diario - FC'!$D$11:$D1028,"&lt;=31/03"&amp;$C$7)</f>
        <v>0</v>
      </c>
      <c r="P233" s="273"/>
      <c r="Q233" s="258"/>
      <c r="R233" s="259"/>
      <c r="S233" s="255">
        <f>SUMIFS('Livro Diario - FC'!$K$11:$K1028,'Livro Diario - FC'!$E$11:$E1028,$C$233,'Livro Diario - FC'!$D$11:$D1028,"&gt;=01/04"&amp;$C$7,'Livro Diario - FC'!$D$11:$D1028,"&lt;=30/04"&amp;$C$7)</f>
        <v>0</v>
      </c>
      <c r="T233" s="256">
        <f>SUMIFS('Livro Diario - FC'!$M$11:$M1028,'Livro Diario - FC'!$E$11:$E1028,$C$233,'Livro Diario - FC'!$D$11:$D1028,"&gt;=01/04"&amp;$C$7,'Livro Diario - FC'!$D$11:$D1028,"&lt;=30/04"&amp;$C$7)</f>
        <v>0</v>
      </c>
      <c r="U233" s="273"/>
      <c r="V233" s="258"/>
      <c r="W233" s="259"/>
      <c r="X233" s="255">
        <f>SUMIFS('Livro Diario - FC'!$K$11:$K1028,'Livro Diario - FC'!$E$11:$E1028,$C$233,'Livro Diario - FC'!$D$11:$D1028,"&gt;=01/05"&amp;$C$7,'Livro Diario - FC'!$D$11:$D1028,"&lt;=31/05"&amp;$C$7)</f>
        <v>0</v>
      </c>
      <c r="Y233" s="256">
        <f>SUMIFS('Livro Diario - FC'!$M$11:$M1028,'Livro Diario - FC'!$E$11:$E1028,$C$233,'Livro Diario - FC'!$D$11:$D1028,"&gt;=01/05"&amp;$C$7,'Livro Diario - FC'!$D$11:$D1028,"&lt;=31/05"&amp;$C$7)</f>
        <v>0</v>
      </c>
      <c r="Z233" s="273"/>
      <c r="AA233" s="258"/>
      <c r="AB233" s="259"/>
      <c r="AC233" s="255">
        <f>SUMIFS('Livro Diario - FC'!$K$11:$K1028,'Livro Diario - FC'!$E$11:$E1028,$C$233,'Livro Diario - FC'!$D$11:$D1028,"&gt;=01/06"&amp;$C$7,'Livro Diario - FC'!$D$11:$D1028,"&lt;=30/06"&amp;$C$7)</f>
        <v>0</v>
      </c>
      <c r="AD233" s="256">
        <f>SUMIFS('Livro Diario - FC'!$M$11:$M1028,'Livro Diario - FC'!$E$11:$E1028,$C$233,'Livro Diario - FC'!$D$11:$D1028,"&gt;=01/06"&amp;$C$7,'Livro Diario - FC'!$D$11:$D1028,"&lt;=30/06"&amp;$C$7)</f>
        <v>0</v>
      </c>
      <c r="AE233" s="273"/>
      <c r="AF233" s="258"/>
      <c r="AG233" s="255">
        <f>SUMIFS('Livro Diario - FC'!$K$11:$K1028,'Livro Diario - FC'!$E$11:$E1028,$C$233,'Livro Diario - FC'!$D$11:$D1028,"&gt;=01/07"&amp;$C$7,'Livro Diario - FC'!$D$11:$D1028,"&lt;=31/07"&amp;$C$7)</f>
        <v>0</v>
      </c>
      <c r="AH233" s="256">
        <f>SUMIFS('Livro Diario - FC'!$M$11:$M1028,'Livro Diario - FC'!$E$11:$E1028,$C$233,'Livro Diario - FC'!$D$11:$D1028,"&gt;=01/07"&amp;$C$7,'Livro Diario - FC'!$D$11:$D1028,"&lt;=31/07"&amp;$C$7)</f>
        <v>0</v>
      </c>
      <c r="AI233" s="273"/>
      <c r="AJ233" s="258"/>
      <c r="AK233" s="255">
        <f>SUMIFS('Livro Diario - FC'!$K$11:$K1028,'Livro Diario - FC'!$E$11:$E1028,$C$233,'Livro Diario - FC'!$D$11:$D1028,"&gt;=01/08"&amp;$C$7,'Livro Diario - FC'!$D$11:$D1028,"&lt;=31/08"&amp;$C$7)</f>
        <v>0</v>
      </c>
      <c r="AL233" s="256">
        <f>SUMIFS('Livro Diario - FC'!$M$11:$M1028,'Livro Diario - FC'!$E$11:$E1028,$C$233,'Livro Diario - FC'!$D$11:$D1028,"&gt;=01/08"&amp;$C$7,'Livro Diario - FC'!$D$11:$D1028,"&lt;=31/08"&amp;$C$7)</f>
        <v>0</v>
      </c>
      <c r="AM233" s="273"/>
      <c r="AN233" s="258"/>
      <c r="AO233" s="255">
        <f>SUMIFS('Livro Diario - FC'!$K$11:$K1028,'Livro Diario - FC'!$E$11:$E1028,$C$233,'Livro Diario - FC'!$D$11:$D1028,"&gt;=01/09"&amp;$C$7,'Livro Diario - FC'!$D$11:$D1028,"&lt;=30/09"&amp;$C$7)</f>
        <v>0</v>
      </c>
      <c r="AP233" s="256">
        <f>SUMIFS('Livro Diario - FC'!$M$11:$M1028,'Livro Diario - FC'!$E$11:$E1028,$C$233,'Livro Diario - FC'!$D$11:$D1028,"&gt;=01/09"&amp;$C$7,'Livro Diario - FC'!$D$11:$D1028,"&lt;=30/09"&amp;$C$7)</f>
        <v>0</v>
      </c>
      <c r="AQ233" s="273"/>
      <c r="AR233" s="258"/>
      <c r="AS233" s="255">
        <f>SUMIFS('Livro Diario - FC'!$K$11:$K1028,'Livro Diario - FC'!$E$11:$E1028,$C$233,'Livro Diario - FC'!$D$11:$D1028,"&gt;=01/10"&amp;$C$7,'Livro Diario - FC'!$D$11:$D1028,"&lt;=31/10"&amp;$C$7)</f>
        <v>0</v>
      </c>
      <c r="AT233" s="256">
        <f>SUMIFS('Livro Diario - FC'!$M$11:$M1028,'Livro Diario - FC'!$E$11:$E1028,$C$233,'Livro Diario - FC'!$D$11:$D1028,"&gt;=01/10"&amp;$C$7,'Livro Diario - FC'!$D$11:$D1028,"&lt;=31/10"&amp;$C$7)</f>
        <v>0</v>
      </c>
      <c r="AU233" s="273"/>
      <c r="AV233" s="258"/>
      <c r="AW233" s="255">
        <f>SUMIFS('Livro Diario - FC'!$K$11:$K1028,'Livro Diario - FC'!$E$11:$E1028,$C$233,'Livro Diario - FC'!$D$11:$D1028,"&gt;=01/11"&amp;$C$7,'Livro Diario - FC'!$D$11:$D1028,"&lt;=30/11"&amp;$C$7)</f>
        <v>0</v>
      </c>
      <c r="AX233" s="256">
        <f>SUMIFS('Livro Diario - FC'!$M$11:$M1028,'Livro Diario - FC'!$E$11:$E1028,$C$233,'Livro Diario - FC'!$D$11:$D1028,"&gt;=01/11"&amp;$C$7,'Livro Diario - FC'!$D$11:$D1028,"&lt;=30/11"&amp;$C$7)</f>
        <v>0</v>
      </c>
      <c r="AY233" s="273"/>
      <c r="AZ233" s="258"/>
      <c r="BA233" s="255">
        <f>SUMIFS('Livro Diario - FC'!$K$11:$K1028,'Livro Diario - FC'!$E$11:$E1028,$C$233,'Livro Diario - FC'!$D$11:$D1028,"&gt;=01/12"&amp;$C$7,'Livro Diario - FC'!$D$11:$D1028,"&lt;=31/12"&amp;$C$7)</f>
        <v>0</v>
      </c>
      <c r="BB233" s="256">
        <f>SUMIFS('Livro Diario - FC'!$M$11:$M1028,'Livro Diario - FC'!$E$11:$E1028,$C$233,'Livro Diario - FC'!$D$11:$D1028,"&gt;=01/12"&amp;$C$7,'Livro Diario - FC'!$D$11:$D1028,"&lt;=31/12"&amp;$C$7)</f>
        <v>0</v>
      </c>
      <c r="BC233" s="273"/>
      <c r="BD233" s="273"/>
      <c r="BE233" s="267">
        <f t="shared" ref="BE233:BF233" si="334">SUM(D233,I233,N233,S233,X233,AC233,AG233,AK233,AO233,AS233,AW233,BA233)</f>
        <v>0</v>
      </c>
      <c r="BF233" s="268">
        <f t="shared" si="334"/>
        <v>0</v>
      </c>
      <c r="BG233" s="269"/>
      <c r="BH233" s="192"/>
      <c r="BI233" s="270">
        <f>SUMIFS('Livro Diario - FC'!$M$11:$M1028,'Livro Diario - FC'!$E$11:$E1028,C233,'Livro Diario - FC'!$D$11:$D1028,"&gt;="&amp;$BK$8,'Livro Diario - FC'!$D$11:$D1028,"&lt;="&amp;$BK$9)</f>
        <v>0</v>
      </c>
      <c r="BJ233" s="271"/>
      <c r="BK233" s="272"/>
      <c r="BL233" s="1"/>
    </row>
    <row r="234">
      <c r="A234" s="1"/>
      <c r="B234" s="1"/>
      <c r="C234" s="338" t="str">
        <f>'Livro Diario - FC'!AE243</f>
        <v>Rodo</v>
      </c>
      <c r="D234" s="255">
        <f>SUMIFS('Livro Diario - FC'!$K$11:$K1028,'Livro Diario - FC'!$E$11:$E1028,$C$234,'Livro Diario - FC'!$D$11:$D1028,"&gt;=01/01"&amp;$C$7,'Livro Diario - FC'!$D$11:$D1028,"&lt;=31/01"&amp;$C$7)</f>
        <v>0</v>
      </c>
      <c r="E234" s="256">
        <f>SUMIFS('Livro Diario - FC'!$M$11:$M1028,'Livro Diario - FC'!$E$11:$E1028,$C$234,'Livro Diario - FC'!$D$11:$D1028,"&gt;=01/01"&amp;$C$7,'Livro Diario - FC'!$D$11:$D1028,"&lt;=31/01"&amp;$C$7)</f>
        <v>0</v>
      </c>
      <c r="F234" s="273"/>
      <c r="G234" s="258"/>
      <c r="H234" s="157"/>
      <c r="I234" s="255">
        <f>SUMIFS('Livro Diario - FC'!$K$11:$K1028,'Livro Diario - FC'!$E$11:$E1028,$C$234,'Livro Diario - FC'!$D$11:$D1028,"&gt;=01/02"&amp;$C$7,'Livro Diario - FC'!$D$11:$D1028,"&lt;=29/02"&amp;$C$7)</f>
        <v>0</v>
      </c>
      <c r="J234" s="256">
        <f>SUMIFS('Livro Diario - FC'!$M$11:$M1028,'Livro Diario - FC'!$E$11:$E1028,$C$234,'Livro Diario - FC'!$D$11:$D1028,"&gt;=01/02"&amp;$C$7,'Livro Diario - FC'!$D$11:$D1028,"&lt;=29/02"&amp;$C$7)</f>
        <v>0</v>
      </c>
      <c r="K234" s="273"/>
      <c r="L234" s="258"/>
      <c r="M234" s="259"/>
      <c r="N234" s="255">
        <f>SUMIFS('Livro Diario - FC'!$K$11:$K1028,'Livro Diario - FC'!$E$11:$E1028,$C$234,'Livro Diario - FC'!$D$11:$D1028,"&gt;=01/03"&amp;$C$7,'Livro Diario - FC'!$D$11:$D1028,"&lt;=31/03"&amp;$C$7)</f>
        <v>0</v>
      </c>
      <c r="O234" s="256">
        <f>SUMIFS('Livro Diario - FC'!$M$11:$M1028,'Livro Diario - FC'!$E$11:$E1028,$C$234,'Livro Diario - FC'!$D$11:$D1028,"&gt;=01/03"&amp;$C$7,'Livro Diario - FC'!$D$11:$D1028,"&lt;=31/03"&amp;$C$7)</f>
        <v>0</v>
      </c>
      <c r="P234" s="273"/>
      <c r="Q234" s="258"/>
      <c r="R234" s="259"/>
      <c r="S234" s="255">
        <f>SUMIFS('Livro Diario - FC'!$K$11:$K1028,'Livro Diario - FC'!$E$11:$E1028,$C$234,'Livro Diario - FC'!$D$11:$D1028,"&gt;=01/04"&amp;$C$7,'Livro Diario - FC'!$D$11:$D1028,"&lt;=30/04"&amp;$C$7)</f>
        <v>0</v>
      </c>
      <c r="T234" s="256">
        <f>SUMIFS('Livro Diario - FC'!$M$11:$M1028,'Livro Diario - FC'!$E$11:$E1028,$C$234,'Livro Diario - FC'!$D$11:$D1028,"&gt;=01/04"&amp;$C$7,'Livro Diario - FC'!$D$11:$D1028,"&lt;=30/04"&amp;$C$7)</f>
        <v>0</v>
      </c>
      <c r="U234" s="273"/>
      <c r="V234" s="258"/>
      <c r="W234" s="259"/>
      <c r="X234" s="255">
        <f>SUMIFS('Livro Diario - FC'!$K$11:$K1028,'Livro Diario - FC'!$E$11:$E1028,$C$234,'Livro Diario - FC'!$D$11:$D1028,"&gt;=01/05"&amp;$C$7,'Livro Diario - FC'!$D$11:$D1028,"&lt;=31/05"&amp;$C$7)</f>
        <v>0</v>
      </c>
      <c r="Y234" s="256">
        <f>SUMIFS('Livro Diario - FC'!$M$11:$M1028,'Livro Diario - FC'!$E$11:$E1028,$C$234,'Livro Diario - FC'!$D$11:$D1028,"&gt;=01/05"&amp;$C$7,'Livro Diario - FC'!$D$11:$D1028,"&lt;=31/05"&amp;$C$7)</f>
        <v>0</v>
      </c>
      <c r="Z234" s="273"/>
      <c r="AA234" s="258"/>
      <c r="AB234" s="259"/>
      <c r="AC234" s="255">
        <f>SUMIFS('Livro Diario - FC'!$K$11:$K1028,'Livro Diario - FC'!$E$11:$E1028,$C$234,'Livro Diario - FC'!$D$11:$D1028,"&gt;=01/06"&amp;$C$7,'Livro Diario - FC'!$D$11:$D1028,"&lt;=30/06"&amp;$C$7)</f>
        <v>0</v>
      </c>
      <c r="AD234" s="256">
        <f>SUMIFS('Livro Diario - FC'!$M$11:$M1028,'Livro Diario - FC'!$E$11:$E1028,$C$234,'Livro Diario - FC'!$D$11:$D1028,"&gt;=01/06"&amp;$C$7,'Livro Diario - FC'!$D$11:$D1028,"&lt;=30/06"&amp;$C$7)</f>
        <v>0</v>
      </c>
      <c r="AE234" s="273"/>
      <c r="AF234" s="258"/>
      <c r="AG234" s="255">
        <f>SUMIFS('Livro Diario - FC'!$K$11:$K1028,'Livro Diario - FC'!$E$11:$E1028,$C$234,'Livro Diario - FC'!$D$11:$D1028,"&gt;=01/07"&amp;$C$7,'Livro Diario - FC'!$D$11:$D1028,"&lt;=31/07"&amp;$C$7)</f>
        <v>0</v>
      </c>
      <c r="AH234" s="256">
        <f>SUMIFS('Livro Diario - FC'!$M$11:$M1028,'Livro Diario - FC'!$E$11:$E1028,$C$234,'Livro Diario - FC'!$D$11:$D1028,"&gt;=01/07"&amp;$C$7,'Livro Diario - FC'!$D$11:$D1028,"&lt;=31/07"&amp;$C$7)</f>
        <v>0</v>
      </c>
      <c r="AI234" s="273"/>
      <c r="AJ234" s="258"/>
      <c r="AK234" s="255">
        <f>SUMIFS('Livro Diario - FC'!$K$11:$K1028,'Livro Diario - FC'!$E$11:$E1028,$C$234,'Livro Diario - FC'!$D$11:$D1028,"&gt;=01/08"&amp;$C$7,'Livro Diario - FC'!$D$11:$D1028,"&lt;=31/08"&amp;$C$7)</f>
        <v>0</v>
      </c>
      <c r="AL234" s="256">
        <f>SUMIFS('Livro Diario - FC'!$M$11:$M1028,'Livro Diario - FC'!$E$11:$E1028,$C$234,'Livro Diario - FC'!$D$11:$D1028,"&gt;=01/08"&amp;$C$7,'Livro Diario - FC'!$D$11:$D1028,"&lt;=31/08"&amp;$C$7)</f>
        <v>0</v>
      </c>
      <c r="AM234" s="273"/>
      <c r="AN234" s="258"/>
      <c r="AO234" s="255">
        <f>SUMIFS('Livro Diario - FC'!$K$11:$K1028,'Livro Diario - FC'!$E$11:$E1028,$C$234,'Livro Diario - FC'!$D$11:$D1028,"&gt;=01/09"&amp;$C$7,'Livro Diario - FC'!$D$11:$D1028,"&lt;=30/09"&amp;$C$7)</f>
        <v>0</v>
      </c>
      <c r="AP234" s="256">
        <f>SUMIFS('Livro Diario - FC'!$M$11:$M1028,'Livro Diario - FC'!$E$11:$E1028,$C$234,'Livro Diario - FC'!$D$11:$D1028,"&gt;=01/09"&amp;$C$7,'Livro Diario - FC'!$D$11:$D1028,"&lt;=30/09"&amp;$C$7)</f>
        <v>0</v>
      </c>
      <c r="AQ234" s="273"/>
      <c r="AR234" s="258"/>
      <c r="AS234" s="255">
        <f>SUMIFS('Livro Diario - FC'!$K$11:$K1028,'Livro Diario - FC'!$E$11:$E1028,$C$234,'Livro Diario - FC'!$D$11:$D1028,"&gt;=01/10"&amp;$C$7,'Livro Diario - FC'!$D$11:$D1028,"&lt;=31/10"&amp;$C$7)</f>
        <v>0</v>
      </c>
      <c r="AT234" s="256">
        <f>SUMIFS('Livro Diario - FC'!$M$11:$M1028,'Livro Diario - FC'!$E$11:$E1028,$C$234,'Livro Diario - FC'!$D$11:$D1028,"&gt;=01/10"&amp;$C$7,'Livro Diario - FC'!$D$11:$D1028,"&lt;=31/10"&amp;$C$7)</f>
        <v>0</v>
      </c>
      <c r="AU234" s="273"/>
      <c r="AV234" s="258"/>
      <c r="AW234" s="255">
        <f>SUMIFS('Livro Diario - FC'!$K$11:$K1028,'Livro Diario - FC'!$E$11:$E1028,$C$234,'Livro Diario - FC'!$D$11:$D1028,"&gt;=01/11"&amp;$C$7,'Livro Diario - FC'!$D$11:$D1028,"&lt;=30/11"&amp;$C$7)</f>
        <v>0</v>
      </c>
      <c r="AX234" s="256">
        <f>SUMIFS('Livro Diario - FC'!$M$11:$M1028,'Livro Diario - FC'!$E$11:$E1028,$C$234,'Livro Diario - FC'!$D$11:$D1028,"&gt;=01/11"&amp;$C$7,'Livro Diario - FC'!$D$11:$D1028,"&lt;=30/11"&amp;$C$7)</f>
        <v>0</v>
      </c>
      <c r="AY234" s="273"/>
      <c r="AZ234" s="258"/>
      <c r="BA234" s="255">
        <f>SUMIFS('Livro Diario - FC'!$K$11:$K1028,'Livro Diario - FC'!$E$11:$E1028,$C$234,'Livro Diario - FC'!$D$11:$D1028,"&gt;=01/12"&amp;$C$7,'Livro Diario - FC'!$D$11:$D1028,"&lt;=31/12"&amp;$C$7)</f>
        <v>0</v>
      </c>
      <c r="BB234" s="256">
        <f>SUMIFS('Livro Diario - FC'!$M$11:$M1028,'Livro Diario - FC'!$E$11:$E1028,$C$234,'Livro Diario - FC'!$D$11:$D1028,"&gt;=01/12"&amp;$C$7,'Livro Diario - FC'!$D$11:$D1028,"&lt;=31/12"&amp;$C$7)</f>
        <v>0</v>
      </c>
      <c r="BC234" s="273"/>
      <c r="BD234" s="273"/>
      <c r="BE234" s="267">
        <f t="shared" ref="BE234:BF234" si="335">SUM(D234,I234,N234,S234,X234,AC234,AG234,AK234,AO234,AS234,AW234,BA234)</f>
        <v>0</v>
      </c>
      <c r="BF234" s="268">
        <f t="shared" si="335"/>
        <v>0</v>
      </c>
      <c r="BG234" s="269"/>
      <c r="BH234" s="192"/>
      <c r="BI234" s="270">
        <f>SUMIFS('Livro Diario - FC'!$M$11:$M1028,'Livro Diario - FC'!$E$11:$E1028,C234,'Livro Diario - FC'!$D$11:$D1028,"&gt;="&amp;$BK$8,'Livro Diario - FC'!$D$11:$D1028,"&lt;="&amp;$BK$9)</f>
        <v>0</v>
      </c>
      <c r="BJ234" s="271"/>
      <c r="BK234" s="272"/>
      <c r="BL234" s="1"/>
    </row>
    <row r="235">
      <c r="A235" s="1"/>
      <c r="B235" s="1"/>
      <c r="C235" s="338" t="str">
        <f>'Livro Diario - FC'!AE244</f>
        <v>Papel Higienico</v>
      </c>
      <c r="D235" s="255">
        <f>SUMIFS('Livro Diario - FC'!$K$11:$K1028,'Livro Diario - FC'!$E$11:$E1028,$C$235,'Livro Diario - FC'!$D$11:$D1028,"&gt;=01/01"&amp;$C$7,'Livro Diario - FC'!$D$11:$D1028,"&lt;=31/01"&amp;$C$7)</f>
        <v>12.8</v>
      </c>
      <c r="E235" s="256">
        <f>SUMIFS('Livro Diario - FC'!$M$11:$M1028,'Livro Diario - FC'!$E$11:$E1028,$C$235,'Livro Diario - FC'!$D$11:$D1028,"&gt;=01/01"&amp;$C$7,'Livro Diario - FC'!$D$11:$D1028,"&lt;=31/01"&amp;$C$7)</f>
        <v>12.8</v>
      </c>
      <c r="F235" s="273"/>
      <c r="G235" s="258"/>
      <c r="H235" s="157"/>
      <c r="I235" s="255">
        <f>SUMIFS('Livro Diario - FC'!$K$11:$K1028,'Livro Diario - FC'!$E$11:$E1028,$C$235,'Livro Diario - FC'!$D$11:$D1028,"&gt;=01/02"&amp;$C$7,'Livro Diario - FC'!$D$11:$D1028,"&lt;=29/02"&amp;$C$7)</f>
        <v>0</v>
      </c>
      <c r="J235" s="256">
        <f>SUMIFS('Livro Diario - FC'!$M$11:$M1028,'Livro Diario - FC'!$E$11:$E1028,$C$235,'Livro Diario - FC'!$D$11:$D1028,"&gt;=01/02"&amp;$C$7,'Livro Diario - FC'!$D$11:$D1028,"&lt;=29/02"&amp;$C$7)</f>
        <v>0</v>
      </c>
      <c r="K235" s="273"/>
      <c r="L235" s="258"/>
      <c r="M235" s="259"/>
      <c r="N235" s="255">
        <f>SUMIFS('Livro Diario - FC'!$K$11:$K1028,'Livro Diario - FC'!$E$11:$E1028,$C$235,'Livro Diario - FC'!$D$11:$D1028,"&gt;=01/03"&amp;$C$7,'Livro Diario - FC'!$D$11:$D1028,"&lt;=31/03"&amp;$C$7)</f>
        <v>0</v>
      </c>
      <c r="O235" s="256">
        <f>SUMIFS('Livro Diario - FC'!$M$11:$M1028,'Livro Diario - FC'!$E$11:$E1028,$C$235,'Livro Diario - FC'!$D$11:$D1028,"&gt;=01/03"&amp;$C$7,'Livro Diario - FC'!$D$11:$D1028,"&lt;=31/03"&amp;$C$7)</f>
        <v>0</v>
      </c>
      <c r="P235" s="273"/>
      <c r="Q235" s="258"/>
      <c r="R235" s="259"/>
      <c r="S235" s="255">
        <f>SUMIFS('Livro Diario - FC'!$K$11:$K1028,'Livro Diario - FC'!$E$11:$E1028,$C$235,'Livro Diario - FC'!$D$11:$D1028,"&gt;=01/04"&amp;$C$7,'Livro Diario - FC'!$D$11:$D1028,"&lt;=30/04"&amp;$C$7)</f>
        <v>0</v>
      </c>
      <c r="T235" s="256">
        <f>SUMIFS('Livro Diario - FC'!$M$11:$M1028,'Livro Diario - FC'!$E$11:$E1028,$C$235,'Livro Diario - FC'!$D$11:$D1028,"&gt;=01/04"&amp;$C$7,'Livro Diario - FC'!$D$11:$D1028,"&lt;=30/04"&amp;$C$7)</f>
        <v>0</v>
      </c>
      <c r="U235" s="273"/>
      <c r="V235" s="258"/>
      <c r="W235" s="259"/>
      <c r="X235" s="255">
        <f>SUMIFS('Livro Diario - FC'!$K$11:$K1028,'Livro Diario - FC'!$E$11:$E1028,$C$235,'Livro Diario - FC'!$D$11:$D1028,"&gt;=01/05"&amp;$C$7,'Livro Diario - FC'!$D$11:$D1028,"&lt;=31/05"&amp;$C$7)</f>
        <v>0</v>
      </c>
      <c r="Y235" s="256">
        <f>SUMIFS('Livro Diario - FC'!$M$11:$M1028,'Livro Diario - FC'!$E$11:$E1028,$C$235,'Livro Diario - FC'!$D$11:$D1028,"&gt;=01/05"&amp;$C$7,'Livro Diario - FC'!$D$11:$D1028,"&lt;=31/05"&amp;$C$7)</f>
        <v>0</v>
      </c>
      <c r="Z235" s="273"/>
      <c r="AA235" s="258"/>
      <c r="AB235" s="259"/>
      <c r="AC235" s="255">
        <f>SUMIFS('Livro Diario - FC'!$K$11:$K1028,'Livro Diario - FC'!$E$11:$E1028,$C$235,'Livro Diario - FC'!$D$11:$D1028,"&gt;=01/06"&amp;$C$7,'Livro Diario - FC'!$D$11:$D1028,"&lt;=30/06"&amp;$C$7)</f>
        <v>0</v>
      </c>
      <c r="AD235" s="256">
        <f>SUMIFS('Livro Diario - FC'!$M$11:$M1028,'Livro Diario - FC'!$E$11:$E1028,$C$235,'Livro Diario - FC'!$D$11:$D1028,"&gt;=01/06"&amp;$C$7,'Livro Diario - FC'!$D$11:$D1028,"&lt;=30/06"&amp;$C$7)</f>
        <v>0</v>
      </c>
      <c r="AE235" s="273"/>
      <c r="AF235" s="258"/>
      <c r="AG235" s="255">
        <f>SUMIFS('Livro Diario - FC'!$K$11:$K1028,'Livro Diario - FC'!$E$11:$E1028,$C$235,'Livro Diario - FC'!$D$11:$D1028,"&gt;=01/07"&amp;$C$7,'Livro Diario - FC'!$D$11:$D1028,"&lt;=31/07"&amp;$C$7)</f>
        <v>0</v>
      </c>
      <c r="AH235" s="256">
        <f>SUMIFS('Livro Diario - FC'!$M$11:$M1028,'Livro Diario - FC'!$E$11:$E1028,$C$235,'Livro Diario - FC'!$D$11:$D1028,"&gt;=01/07"&amp;$C$7,'Livro Diario - FC'!$D$11:$D1028,"&lt;=31/07"&amp;$C$7)</f>
        <v>0</v>
      </c>
      <c r="AI235" s="273"/>
      <c r="AJ235" s="258"/>
      <c r="AK235" s="255">
        <f>SUMIFS('Livro Diario - FC'!$K$11:$K1028,'Livro Diario - FC'!$E$11:$E1028,$C$235,'Livro Diario - FC'!$D$11:$D1028,"&gt;=01/08"&amp;$C$7,'Livro Diario - FC'!$D$11:$D1028,"&lt;=31/08"&amp;$C$7)</f>
        <v>0</v>
      </c>
      <c r="AL235" s="256">
        <f>SUMIFS('Livro Diario - FC'!$M$11:$M1028,'Livro Diario - FC'!$E$11:$E1028,$C$235,'Livro Diario - FC'!$D$11:$D1028,"&gt;=01/08"&amp;$C$7,'Livro Diario - FC'!$D$11:$D1028,"&lt;=31/08"&amp;$C$7)</f>
        <v>0</v>
      </c>
      <c r="AM235" s="273"/>
      <c r="AN235" s="258"/>
      <c r="AO235" s="255">
        <f>SUMIFS('Livro Diario - FC'!$K$11:$K1028,'Livro Diario - FC'!$E$11:$E1028,$C$235,'Livro Diario - FC'!$D$11:$D1028,"&gt;=01/09"&amp;$C$7,'Livro Diario - FC'!$D$11:$D1028,"&lt;=30/09"&amp;$C$7)</f>
        <v>0</v>
      </c>
      <c r="AP235" s="256">
        <f>SUMIFS('Livro Diario - FC'!$M$11:$M1028,'Livro Diario - FC'!$E$11:$E1028,$C$235,'Livro Diario - FC'!$D$11:$D1028,"&gt;=01/09"&amp;$C$7,'Livro Diario - FC'!$D$11:$D1028,"&lt;=30/09"&amp;$C$7)</f>
        <v>0</v>
      </c>
      <c r="AQ235" s="273"/>
      <c r="AR235" s="258"/>
      <c r="AS235" s="255">
        <f>SUMIFS('Livro Diario - FC'!$K$11:$K1028,'Livro Diario - FC'!$E$11:$E1028,$C$235,'Livro Diario - FC'!$D$11:$D1028,"&gt;=01/10"&amp;$C$7,'Livro Diario - FC'!$D$11:$D1028,"&lt;=31/10"&amp;$C$7)</f>
        <v>0</v>
      </c>
      <c r="AT235" s="256">
        <f>SUMIFS('Livro Diario - FC'!$M$11:$M1028,'Livro Diario - FC'!$E$11:$E1028,$C$235,'Livro Diario - FC'!$D$11:$D1028,"&gt;=01/10"&amp;$C$7,'Livro Diario - FC'!$D$11:$D1028,"&lt;=31/10"&amp;$C$7)</f>
        <v>0</v>
      </c>
      <c r="AU235" s="273"/>
      <c r="AV235" s="258"/>
      <c r="AW235" s="255">
        <f>SUMIFS('Livro Diario - FC'!$K$11:$K1028,'Livro Diario - FC'!$E$11:$E1028,$C$235,'Livro Diario - FC'!$D$11:$D1028,"&gt;=01/11"&amp;$C$7,'Livro Diario - FC'!$D$11:$D1028,"&lt;=30/11"&amp;$C$7)</f>
        <v>0</v>
      </c>
      <c r="AX235" s="256">
        <f>SUMIFS('Livro Diario - FC'!$M$11:$M1028,'Livro Diario - FC'!$E$11:$E1028,$C$235,'Livro Diario - FC'!$D$11:$D1028,"&gt;=01/11"&amp;$C$7,'Livro Diario - FC'!$D$11:$D1028,"&lt;=30/11"&amp;$C$7)</f>
        <v>0</v>
      </c>
      <c r="AY235" s="273"/>
      <c r="AZ235" s="258"/>
      <c r="BA235" s="255">
        <f>SUMIFS('Livro Diario - FC'!$K$11:$K1028,'Livro Diario - FC'!$E$11:$E1028,$C$235,'Livro Diario - FC'!$D$11:$D1028,"&gt;=01/12"&amp;$C$7,'Livro Diario - FC'!$D$11:$D1028,"&lt;=31/12"&amp;$C$7)</f>
        <v>0</v>
      </c>
      <c r="BB235" s="256">
        <f>SUMIFS('Livro Diario - FC'!$M$11:$M1028,'Livro Diario - FC'!$E$11:$E1028,$C$235,'Livro Diario - FC'!$D$11:$D1028,"&gt;=01/12"&amp;$C$7,'Livro Diario - FC'!$D$11:$D1028,"&lt;=31/12"&amp;$C$7)</f>
        <v>0</v>
      </c>
      <c r="BC235" s="273"/>
      <c r="BD235" s="273"/>
      <c r="BE235" s="267">
        <f t="shared" ref="BE235:BF235" si="336">SUM(D235,I235,N235,S235,X235,AC235,AG235,AK235,AO235,AS235,AW235,BA235)</f>
        <v>12.8</v>
      </c>
      <c r="BF235" s="268">
        <f t="shared" si="336"/>
        <v>12.8</v>
      </c>
      <c r="BG235" s="269"/>
      <c r="BH235" s="192"/>
      <c r="BI235" s="270">
        <f>SUMIFS('Livro Diario - FC'!$M$11:$M1028,'Livro Diario - FC'!$E$11:$E1028,C235,'Livro Diario - FC'!$D$11:$D1028,"&gt;="&amp;$BK$8,'Livro Diario - FC'!$D$11:$D1028,"&lt;="&amp;$BK$9)</f>
        <v>0</v>
      </c>
      <c r="BJ235" s="271"/>
      <c r="BK235" s="272"/>
      <c r="BL235" s="1"/>
    </row>
    <row r="236">
      <c r="A236" s="1"/>
      <c r="B236" s="1"/>
      <c r="C236" s="338" t="str">
        <f>'Livro Diario - FC'!AE245</f>
        <v>Papel Toalha Rolo</v>
      </c>
      <c r="D236" s="255">
        <f>SUMIFS('Livro Diario - FC'!$K$11:$K1028,'Livro Diario - FC'!$E$11:$E1028,$C$236,'Livro Diario - FC'!$D$11:$D1028,"&gt;=01/01"&amp;$C$7,'Livro Diario - FC'!$D$11:$D1028,"&lt;=31/01"&amp;$C$7)</f>
        <v>0</v>
      </c>
      <c r="E236" s="256">
        <f>SUMIFS('Livro Diario - FC'!$M$11:$M1028,'Livro Diario - FC'!$E$11:$E1028,$C$236,'Livro Diario - FC'!$D$11:$D1028,"&gt;=01/01"&amp;$C$7,'Livro Diario - FC'!$D$11:$D1028,"&lt;=31/01"&amp;$C$7)</f>
        <v>0</v>
      </c>
      <c r="F236" s="273"/>
      <c r="G236" s="258"/>
      <c r="H236" s="157"/>
      <c r="I236" s="255">
        <f>SUMIFS('Livro Diario - FC'!$K$11:$K1028,'Livro Diario - FC'!$E$11:$E1028,$C$236,'Livro Diario - FC'!$D$11:$D1028,"&gt;=01/02"&amp;$C$7,'Livro Diario - FC'!$D$11:$D1028,"&lt;=29/02"&amp;$C$7)</f>
        <v>0</v>
      </c>
      <c r="J236" s="256">
        <f>SUMIFS('Livro Diario - FC'!$M$11:$M1028,'Livro Diario - FC'!$E$11:$E1028,$C$236,'Livro Diario - FC'!$D$11:$D1028,"&gt;=01/02"&amp;$C$7,'Livro Diario - FC'!$D$11:$D1028,"&lt;=29/02"&amp;$C$7)</f>
        <v>0</v>
      </c>
      <c r="K236" s="273"/>
      <c r="L236" s="258"/>
      <c r="M236" s="259"/>
      <c r="N236" s="255">
        <f>SUMIFS('Livro Diario - FC'!$K$11:$K1028,'Livro Diario - FC'!$E$11:$E1028,$C$236,'Livro Diario - FC'!$D$11:$D1028,"&gt;=01/03"&amp;$C$7,'Livro Diario - FC'!$D$11:$D1028,"&lt;=31/03"&amp;$C$7)</f>
        <v>0</v>
      </c>
      <c r="O236" s="256">
        <f>SUMIFS('Livro Diario - FC'!$M$11:$M1028,'Livro Diario - FC'!$E$11:$E1028,$C$236,'Livro Diario - FC'!$D$11:$D1028,"&gt;=01/03"&amp;$C$7,'Livro Diario - FC'!$D$11:$D1028,"&lt;=31/03"&amp;$C$7)</f>
        <v>0</v>
      </c>
      <c r="P236" s="273"/>
      <c r="Q236" s="258"/>
      <c r="R236" s="259"/>
      <c r="S236" s="255">
        <f>SUMIFS('Livro Diario - FC'!$K$11:$K1028,'Livro Diario - FC'!$E$11:$E1028,$C$236,'Livro Diario - FC'!$D$11:$D1028,"&gt;=01/04"&amp;$C$7,'Livro Diario - FC'!$D$11:$D1028,"&lt;=30/04"&amp;$C$7)</f>
        <v>0</v>
      </c>
      <c r="T236" s="256">
        <f>SUMIFS('Livro Diario - FC'!$M$11:$M1028,'Livro Diario - FC'!$E$11:$E1028,$C$236,'Livro Diario - FC'!$D$11:$D1028,"&gt;=01/04"&amp;$C$7,'Livro Diario - FC'!$D$11:$D1028,"&lt;=30/04"&amp;$C$7)</f>
        <v>0</v>
      </c>
      <c r="U236" s="273"/>
      <c r="V236" s="258"/>
      <c r="W236" s="259"/>
      <c r="X236" s="255">
        <f>SUMIFS('Livro Diario - FC'!$K$11:$K1028,'Livro Diario - FC'!$E$11:$E1028,$C$236,'Livro Diario - FC'!$D$11:$D1028,"&gt;=01/05"&amp;$C$7,'Livro Diario - FC'!$D$11:$D1028,"&lt;=31/05"&amp;$C$7)</f>
        <v>0</v>
      </c>
      <c r="Y236" s="256">
        <f>SUMIFS('Livro Diario - FC'!$M$11:$M1028,'Livro Diario - FC'!$E$11:$E1028,$C$236,'Livro Diario - FC'!$D$11:$D1028,"&gt;=01/05"&amp;$C$7,'Livro Diario - FC'!$D$11:$D1028,"&lt;=31/05"&amp;$C$7)</f>
        <v>0</v>
      </c>
      <c r="Z236" s="273"/>
      <c r="AA236" s="258"/>
      <c r="AB236" s="259"/>
      <c r="AC236" s="255">
        <f>SUMIFS('Livro Diario - FC'!$K$11:$K1028,'Livro Diario - FC'!$E$11:$E1028,$C$236,'Livro Diario - FC'!$D$11:$D1028,"&gt;=01/06"&amp;$C$7,'Livro Diario - FC'!$D$11:$D1028,"&lt;=30/06"&amp;$C$7)</f>
        <v>0</v>
      </c>
      <c r="AD236" s="256">
        <f>SUMIFS('Livro Diario - FC'!$M$11:$M1028,'Livro Diario - FC'!$E$11:$E1028,$C$236,'Livro Diario - FC'!$D$11:$D1028,"&gt;=01/06"&amp;$C$7,'Livro Diario - FC'!$D$11:$D1028,"&lt;=30/06"&amp;$C$7)</f>
        <v>0</v>
      </c>
      <c r="AE236" s="273"/>
      <c r="AF236" s="258"/>
      <c r="AG236" s="255">
        <f>SUMIFS('Livro Diario - FC'!$K$11:$K1028,'Livro Diario - FC'!$E$11:$E1028,$C$236,'Livro Diario - FC'!$D$11:$D1028,"&gt;=01/07"&amp;$C$7,'Livro Diario - FC'!$D$11:$D1028,"&lt;=31/07"&amp;$C$7)</f>
        <v>0</v>
      </c>
      <c r="AH236" s="256">
        <f>SUMIFS('Livro Diario - FC'!$M$11:$M1028,'Livro Diario - FC'!$E$11:$E1028,$C$236,'Livro Diario - FC'!$D$11:$D1028,"&gt;=01/07"&amp;$C$7,'Livro Diario - FC'!$D$11:$D1028,"&lt;=31/07"&amp;$C$7)</f>
        <v>0</v>
      </c>
      <c r="AI236" s="273"/>
      <c r="AJ236" s="258"/>
      <c r="AK236" s="255">
        <f>SUMIFS('Livro Diario - FC'!$K$11:$K1028,'Livro Diario - FC'!$E$11:$E1028,$C$236,'Livro Diario - FC'!$D$11:$D1028,"&gt;=01/08"&amp;$C$7,'Livro Diario - FC'!$D$11:$D1028,"&lt;=31/08"&amp;$C$7)</f>
        <v>0</v>
      </c>
      <c r="AL236" s="256">
        <f>SUMIFS('Livro Diario - FC'!$M$11:$M1028,'Livro Diario - FC'!$E$11:$E1028,$C$236,'Livro Diario - FC'!$D$11:$D1028,"&gt;=01/08"&amp;$C$7,'Livro Diario - FC'!$D$11:$D1028,"&lt;=31/08"&amp;$C$7)</f>
        <v>0</v>
      </c>
      <c r="AM236" s="273"/>
      <c r="AN236" s="258"/>
      <c r="AO236" s="255">
        <f>SUMIFS('Livro Diario - FC'!$K$11:$K1028,'Livro Diario - FC'!$E$11:$E1028,$C$236,'Livro Diario - FC'!$D$11:$D1028,"&gt;=01/09"&amp;$C$7,'Livro Diario - FC'!$D$11:$D1028,"&lt;=30/09"&amp;$C$7)</f>
        <v>0</v>
      </c>
      <c r="AP236" s="256">
        <f>SUMIFS('Livro Diario - FC'!$M$11:$M1028,'Livro Diario - FC'!$E$11:$E1028,$C$236,'Livro Diario - FC'!$D$11:$D1028,"&gt;=01/09"&amp;$C$7,'Livro Diario - FC'!$D$11:$D1028,"&lt;=30/09"&amp;$C$7)</f>
        <v>0</v>
      </c>
      <c r="AQ236" s="273"/>
      <c r="AR236" s="258"/>
      <c r="AS236" s="255">
        <f>SUMIFS('Livro Diario - FC'!$K$11:$K1028,'Livro Diario - FC'!$E$11:$E1028,$C$236,'Livro Diario - FC'!$D$11:$D1028,"&gt;=01/10"&amp;$C$7,'Livro Diario - FC'!$D$11:$D1028,"&lt;=31/10"&amp;$C$7)</f>
        <v>0</v>
      </c>
      <c r="AT236" s="256">
        <f>SUMIFS('Livro Diario - FC'!$M$11:$M1028,'Livro Diario - FC'!$E$11:$E1028,$C$236,'Livro Diario - FC'!$D$11:$D1028,"&gt;=01/10"&amp;$C$7,'Livro Diario - FC'!$D$11:$D1028,"&lt;=31/10"&amp;$C$7)</f>
        <v>0</v>
      </c>
      <c r="AU236" s="273"/>
      <c r="AV236" s="258"/>
      <c r="AW236" s="255">
        <f>SUMIFS('Livro Diario - FC'!$K$11:$K1028,'Livro Diario - FC'!$E$11:$E1028,$C$236,'Livro Diario - FC'!$D$11:$D1028,"&gt;=01/11"&amp;$C$7,'Livro Diario - FC'!$D$11:$D1028,"&lt;=30/11"&amp;$C$7)</f>
        <v>0</v>
      </c>
      <c r="AX236" s="256">
        <f>SUMIFS('Livro Diario - FC'!$M$11:$M1028,'Livro Diario - FC'!$E$11:$E1028,$C$236,'Livro Diario - FC'!$D$11:$D1028,"&gt;=01/11"&amp;$C$7,'Livro Diario - FC'!$D$11:$D1028,"&lt;=30/11"&amp;$C$7)</f>
        <v>0</v>
      </c>
      <c r="AY236" s="273"/>
      <c r="AZ236" s="258"/>
      <c r="BA236" s="255">
        <f>SUMIFS('Livro Diario - FC'!$K$11:$K1028,'Livro Diario - FC'!$E$11:$E1028,$C$236,'Livro Diario - FC'!$D$11:$D1028,"&gt;=01/12"&amp;$C$7,'Livro Diario - FC'!$D$11:$D1028,"&lt;=31/12"&amp;$C$7)</f>
        <v>0</v>
      </c>
      <c r="BB236" s="256">
        <f>SUMIFS('Livro Diario - FC'!$M$11:$M1028,'Livro Diario - FC'!$E$11:$E1028,$C$236,'Livro Diario - FC'!$D$11:$D1028,"&gt;=01/12"&amp;$C$7,'Livro Diario - FC'!$D$11:$D1028,"&lt;=31/12"&amp;$C$7)</f>
        <v>0</v>
      </c>
      <c r="BC236" s="273"/>
      <c r="BD236" s="273"/>
      <c r="BE236" s="267">
        <f t="shared" ref="BE236:BF236" si="337">SUM(D236,I236,N236,S236,X236,AC236,AG236,AK236,AO236,AS236,AW236,BA236)</f>
        <v>0</v>
      </c>
      <c r="BF236" s="268">
        <f t="shared" si="337"/>
        <v>0</v>
      </c>
      <c r="BG236" s="269"/>
      <c r="BH236" s="192"/>
      <c r="BI236" s="270">
        <f>SUMIFS('Livro Diario - FC'!$M$11:$M1028,'Livro Diario - FC'!$E$11:$E1028,C236,'Livro Diario - FC'!$D$11:$D1028,"&gt;="&amp;$BK$8,'Livro Diario - FC'!$D$11:$D1028,"&lt;="&amp;$BK$9)</f>
        <v>0</v>
      </c>
      <c r="BJ236" s="271"/>
      <c r="BK236" s="272"/>
      <c r="BL236" s="1"/>
    </row>
    <row r="237">
      <c r="A237" s="1"/>
      <c r="B237" s="1"/>
      <c r="C237" s="338" t="str">
        <f>'Livro Diario - FC'!AE246</f>
        <v>Descartaveis</v>
      </c>
      <c r="D237" s="255">
        <f>SUMIFS('Livro Diario - FC'!$K$11:$K1028,'Livro Diario - FC'!$E$11:$E1028,$C$237,'Livro Diario - FC'!$D$11:$D1028,"&gt;=01/01"&amp;$C$7,'Livro Diario - FC'!$D$11:$D1028,"&lt;=31/01"&amp;$C$7)</f>
        <v>0</v>
      </c>
      <c r="E237" s="256">
        <f>SUMIFS('Livro Diario - FC'!$M$11:$M1028,'Livro Diario - FC'!$E$11:$E1028,$C$237,'Livro Diario - FC'!$D$11:$D1028,"&gt;=01/01"&amp;$C$7,'Livro Diario - FC'!$D$11:$D1028,"&lt;=31/01"&amp;$C$7)</f>
        <v>0</v>
      </c>
      <c r="F237" s="273"/>
      <c r="G237" s="258"/>
      <c r="H237" s="157"/>
      <c r="I237" s="255">
        <f>SUMIFS('Livro Diario - FC'!$K$11:$K1028,'Livro Diario - FC'!$E$11:$E1028,$C$237,'Livro Diario - FC'!$D$11:$D1028,"&gt;=01/02"&amp;$C$7,'Livro Diario - FC'!$D$11:$D1028,"&lt;=29/02"&amp;$C$7)</f>
        <v>0</v>
      </c>
      <c r="J237" s="256">
        <f>SUMIFS('Livro Diario - FC'!$M$11:$M1028,'Livro Diario - FC'!$E$11:$E1028,$C$237,'Livro Diario - FC'!$D$11:$D1028,"&gt;=01/02"&amp;$C$7,'Livro Diario - FC'!$D$11:$D1028,"&lt;=29/02"&amp;$C$7)</f>
        <v>0</v>
      </c>
      <c r="K237" s="273"/>
      <c r="L237" s="258"/>
      <c r="M237" s="259"/>
      <c r="N237" s="255">
        <f>SUMIFS('Livro Diario - FC'!$K$11:$K1028,'Livro Diario - FC'!$E$11:$E1028,$C$237,'Livro Diario - FC'!$D$11:$D1028,"&gt;=01/03"&amp;$C$7,'Livro Diario - FC'!$D$11:$D1028,"&lt;=31/03"&amp;$C$7)</f>
        <v>0</v>
      </c>
      <c r="O237" s="256">
        <f>SUMIFS('Livro Diario - FC'!$M$11:$M1028,'Livro Diario - FC'!$E$11:$E1028,$C$237,'Livro Diario - FC'!$D$11:$D1028,"&gt;=01/03"&amp;$C$7,'Livro Diario - FC'!$D$11:$D1028,"&lt;=31/03"&amp;$C$7)</f>
        <v>0</v>
      </c>
      <c r="P237" s="273"/>
      <c r="Q237" s="258"/>
      <c r="R237" s="259"/>
      <c r="S237" s="255">
        <f>SUMIFS('Livro Diario - FC'!$K$11:$K1028,'Livro Diario - FC'!$E$11:$E1028,$C$237,'Livro Diario - FC'!$D$11:$D1028,"&gt;=01/04"&amp;$C$7,'Livro Diario - FC'!$D$11:$D1028,"&lt;=30/04"&amp;$C$7)</f>
        <v>0</v>
      </c>
      <c r="T237" s="256">
        <f>SUMIFS('Livro Diario - FC'!$M$11:$M1028,'Livro Diario - FC'!$E$11:$E1028,$C$237,'Livro Diario - FC'!$D$11:$D1028,"&gt;=01/04"&amp;$C$7,'Livro Diario - FC'!$D$11:$D1028,"&lt;=30/04"&amp;$C$7)</f>
        <v>0</v>
      </c>
      <c r="U237" s="273"/>
      <c r="V237" s="258"/>
      <c r="W237" s="259"/>
      <c r="X237" s="255">
        <f>SUMIFS('Livro Diario - FC'!$K$11:$K1028,'Livro Diario - FC'!$E$11:$E1028,$C$237,'Livro Diario - FC'!$D$11:$D1028,"&gt;=01/05"&amp;$C$7,'Livro Diario - FC'!$D$11:$D1028,"&lt;=31/05"&amp;$C$7)</f>
        <v>0</v>
      </c>
      <c r="Y237" s="256">
        <f>SUMIFS('Livro Diario - FC'!$M$11:$M1028,'Livro Diario - FC'!$E$11:$E1028,$C$237,'Livro Diario - FC'!$D$11:$D1028,"&gt;=01/05"&amp;$C$7,'Livro Diario - FC'!$D$11:$D1028,"&lt;=31/05"&amp;$C$7)</f>
        <v>0</v>
      </c>
      <c r="Z237" s="273"/>
      <c r="AA237" s="258"/>
      <c r="AB237" s="259"/>
      <c r="AC237" s="255">
        <f>SUMIFS('Livro Diario - FC'!$K$11:$K1028,'Livro Diario - FC'!$E$11:$E1028,$C$237,'Livro Diario - FC'!$D$11:$D1028,"&gt;=01/06"&amp;$C$7,'Livro Diario - FC'!$D$11:$D1028,"&lt;=30/06"&amp;$C$7)</f>
        <v>0</v>
      </c>
      <c r="AD237" s="256">
        <f>SUMIFS('Livro Diario - FC'!$M$11:$M1028,'Livro Diario - FC'!$E$11:$E1028,$C$237,'Livro Diario - FC'!$D$11:$D1028,"&gt;=01/06"&amp;$C$7,'Livro Diario - FC'!$D$11:$D1028,"&lt;=30/06"&amp;$C$7)</f>
        <v>0</v>
      </c>
      <c r="AE237" s="273"/>
      <c r="AF237" s="258"/>
      <c r="AG237" s="255">
        <f>SUMIFS('Livro Diario - FC'!$K$11:$K1028,'Livro Diario - FC'!$E$11:$E1028,$C$237,'Livro Diario - FC'!$D$11:$D1028,"&gt;=01/07"&amp;$C$7,'Livro Diario - FC'!$D$11:$D1028,"&lt;=31/07"&amp;$C$7)</f>
        <v>0</v>
      </c>
      <c r="AH237" s="256">
        <f>SUMIFS('Livro Diario - FC'!$M$11:$M1028,'Livro Diario - FC'!$E$11:$E1028,$C$237,'Livro Diario - FC'!$D$11:$D1028,"&gt;=01/07"&amp;$C$7,'Livro Diario - FC'!$D$11:$D1028,"&lt;=31/07"&amp;$C$7)</f>
        <v>0</v>
      </c>
      <c r="AI237" s="273"/>
      <c r="AJ237" s="258"/>
      <c r="AK237" s="255">
        <f>SUMIFS('Livro Diario - FC'!$K$11:$K1028,'Livro Diario - FC'!$E$11:$E1028,$C$237,'Livro Diario - FC'!$D$11:$D1028,"&gt;=01/08"&amp;$C$7,'Livro Diario - FC'!$D$11:$D1028,"&lt;=31/08"&amp;$C$7)</f>
        <v>0</v>
      </c>
      <c r="AL237" s="256">
        <f>SUMIFS('Livro Diario - FC'!$M$11:$M1028,'Livro Diario - FC'!$E$11:$E1028,$C$237,'Livro Diario - FC'!$D$11:$D1028,"&gt;=01/08"&amp;$C$7,'Livro Diario - FC'!$D$11:$D1028,"&lt;=31/08"&amp;$C$7)</f>
        <v>0</v>
      </c>
      <c r="AM237" s="273"/>
      <c r="AN237" s="258"/>
      <c r="AO237" s="255">
        <f>SUMIFS('Livro Diario - FC'!$K$11:$K1028,'Livro Diario - FC'!$E$11:$E1028,$C$237,'Livro Diario - FC'!$D$11:$D1028,"&gt;=01/09"&amp;$C$7,'Livro Diario - FC'!$D$11:$D1028,"&lt;=30/09"&amp;$C$7)</f>
        <v>0</v>
      </c>
      <c r="AP237" s="256">
        <f>SUMIFS('Livro Diario - FC'!$M$11:$M1028,'Livro Diario - FC'!$E$11:$E1028,$C$237,'Livro Diario - FC'!$D$11:$D1028,"&gt;=01/09"&amp;$C$7,'Livro Diario - FC'!$D$11:$D1028,"&lt;=30/09"&amp;$C$7)</f>
        <v>0</v>
      </c>
      <c r="AQ237" s="273"/>
      <c r="AR237" s="258"/>
      <c r="AS237" s="255">
        <f>SUMIFS('Livro Diario - FC'!$K$11:$K1028,'Livro Diario - FC'!$E$11:$E1028,$C$237,'Livro Diario - FC'!$D$11:$D1028,"&gt;=01/10"&amp;$C$7,'Livro Diario - FC'!$D$11:$D1028,"&lt;=31/10"&amp;$C$7)</f>
        <v>0</v>
      </c>
      <c r="AT237" s="256">
        <f>SUMIFS('Livro Diario - FC'!$M$11:$M1028,'Livro Diario - FC'!$E$11:$E1028,$C$237,'Livro Diario - FC'!$D$11:$D1028,"&gt;=01/10"&amp;$C$7,'Livro Diario - FC'!$D$11:$D1028,"&lt;=31/10"&amp;$C$7)</f>
        <v>0</v>
      </c>
      <c r="AU237" s="273"/>
      <c r="AV237" s="258"/>
      <c r="AW237" s="255">
        <f>SUMIFS('Livro Diario - FC'!$K$11:$K1028,'Livro Diario - FC'!$E$11:$E1028,$C$237,'Livro Diario - FC'!$D$11:$D1028,"&gt;=01/11"&amp;$C$7,'Livro Diario - FC'!$D$11:$D1028,"&lt;=30/11"&amp;$C$7)</f>
        <v>0</v>
      </c>
      <c r="AX237" s="256">
        <f>SUMIFS('Livro Diario - FC'!$M$11:$M1028,'Livro Diario - FC'!$E$11:$E1028,$C$237,'Livro Diario - FC'!$D$11:$D1028,"&gt;=01/11"&amp;$C$7,'Livro Diario - FC'!$D$11:$D1028,"&lt;=30/11"&amp;$C$7)</f>
        <v>0</v>
      </c>
      <c r="AY237" s="273"/>
      <c r="AZ237" s="258"/>
      <c r="BA237" s="255">
        <f>SUMIFS('Livro Diario - FC'!$K$11:$K1028,'Livro Diario - FC'!$E$11:$E1028,$C$237,'Livro Diario - FC'!$D$11:$D1028,"&gt;=01/12"&amp;$C$7,'Livro Diario - FC'!$D$11:$D1028,"&lt;=31/12"&amp;$C$7)</f>
        <v>0</v>
      </c>
      <c r="BB237" s="256">
        <f>SUMIFS('Livro Diario - FC'!$M$11:$M1028,'Livro Diario - FC'!$E$11:$E1028,$C$237,'Livro Diario - FC'!$D$11:$D1028,"&gt;=01/12"&amp;$C$7,'Livro Diario - FC'!$D$11:$D1028,"&lt;=31/12"&amp;$C$7)</f>
        <v>0</v>
      </c>
      <c r="BC237" s="273"/>
      <c r="BD237" s="273"/>
      <c r="BE237" s="267">
        <f t="shared" ref="BE237:BF237" si="338">SUM(D237,I237,N237,S237,X237,AC237,AG237,AK237,AO237,AS237,AW237,BA237)</f>
        <v>0</v>
      </c>
      <c r="BF237" s="268">
        <f t="shared" si="338"/>
        <v>0</v>
      </c>
      <c r="BG237" s="269"/>
      <c r="BH237" s="192"/>
      <c r="BI237" s="270">
        <f>SUMIFS('Livro Diario - FC'!$M$11:$M1028,'Livro Diario - FC'!$E$11:$E1028,C237,'Livro Diario - FC'!$D$11:$D1028,"&gt;="&amp;$BK$8,'Livro Diario - FC'!$D$11:$D1028,"&lt;="&amp;$BK$9)</f>
        <v>0</v>
      </c>
      <c r="BJ237" s="271"/>
      <c r="BK237" s="272"/>
      <c r="BL237" s="1"/>
    </row>
    <row r="238">
      <c r="A238" s="1"/>
      <c r="B238" s="1"/>
      <c r="C238" s="338" t="str">
        <f>'Livro Diario - FC'!AE247</f>
        <v>Saco Papel GG</v>
      </c>
      <c r="D238" s="255">
        <f>SUMIFS('Livro Diario - FC'!$K$11:$K1028,'Livro Diario - FC'!$E$11:$E1028,$C$238,'Livro Diario - FC'!$D$11:$D1028,"&gt;=01/01"&amp;$C$7,'Livro Diario - FC'!$D$11:$D1028,"&lt;=31/01"&amp;$C$7)</f>
        <v>0</v>
      </c>
      <c r="E238" s="256">
        <f>SUMIFS('Livro Diario - FC'!$M$11:$M1028,'Livro Diario - FC'!$E$11:$E1028,$C$238,'Livro Diario - FC'!$D$11:$D1028,"&gt;=01/01"&amp;$C$7,'Livro Diario - FC'!$D$11:$D1028,"&lt;=31/01"&amp;$C$7)</f>
        <v>0</v>
      </c>
      <c r="F238" s="273"/>
      <c r="G238" s="258"/>
      <c r="H238" s="157"/>
      <c r="I238" s="255">
        <f>SUMIFS('Livro Diario - FC'!$K$11:$K1028,'Livro Diario - FC'!$E$11:$E1028,$C$238,'Livro Diario - FC'!$D$11:$D1028,"&gt;=01/02"&amp;$C$7,'Livro Diario - FC'!$D$11:$D1028,"&lt;=29/02"&amp;$C$7)</f>
        <v>0</v>
      </c>
      <c r="J238" s="256">
        <f>SUMIFS('Livro Diario - FC'!$M$11:$M1028,'Livro Diario - FC'!$E$11:$E1028,$C$238,'Livro Diario - FC'!$D$11:$D1028,"&gt;=01/02"&amp;$C$7,'Livro Diario - FC'!$D$11:$D1028,"&lt;=29/02"&amp;$C$7)</f>
        <v>0</v>
      </c>
      <c r="K238" s="273"/>
      <c r="L238" s="258"/>
      <c r="M238" s="259"/>
      <c r="N238" s="255">
        <f>SUMIFS('Livro Diario - FC'!$K$11:$K1028,'Livro Diario - FC'!$E$11:$E1028,$C$238,'Livro Diario - FC'!$D$11:$D1028,"&gt;=01/03"&amp;$C$7,'Livro Diario - FC'!$D$11:$D1028,"&lt;=31/03"&amp;$C$7)</f>
        <v>0</v>
      </c>
      <c r="O238" s="256">
        <f>SUMIFS('Livro Diario - FC'!$M$11:$M1028,'Livro Diario - FC'!$E$11:$E1028,$C$238,'Livro Diario - FC'!$D$11:$D1028,"&gt;=01/03"&amp;$C$7,'Livro Diario - FC'!$D$11:$D1028,"&lt;=31/03"&amp;$C$7)</f>
        <v>0</v>
      </c>
      <c r="P238" s="273"/>
      <c r="Q238" s="258"/>
      <c r="R238" s="259"/>
      <c r="S238" s="255">
        <f>SUMIFS('Livro Diario - FC'!$K$11:$K1028,'Livro Diario - FC'!$E$11:$E1028,$C$238,'Livro Diario - FC'!$D$11:$D1028,"&gt;=01/04"&amp;$C$7,'Livro Diario - FC'!$D$11:$D1028,"&lt;=30/04"&amp;$C$7)</f>
        <v>0</v>
      </c>
      <c r="T238" s="256">
        <f>SUMIFS('Livro Diario - FC'!$M$11:$M1028,'Livro Diario - FC'!$E$11:$E1028,$C$238,'Livro Diario - FC'!$D$11:$D1028,"&gt;=01/04"&amp;$C$7,'Livro Diario - FC'!$D$11:$D1028,"&lt;=30/04"&amp;$C$7)</f>
        <v>0</v>
      </c>
      <c r="U238" s="273"/>
      <c r="V238" s="258"/>
      <c r="W238" s="259"/>
      <c r="X238" s="255">
        <f>SUMIFS('Livro Diario - FC'!$K$11:$K1028,'Livro Diario - FC'!$E$11:$E1028,$C$238,'Livro Diario - FC'!$D$11:$D1028,"&gt;=01/05"&amp;$C$7,'Livro Diario - FC'!$D$11:$D1028,"&lt;=31/05"&amp;$C$7)</f>
        <v>0</v>
      </c>
      <c r="Y238" s="256">
        <f>SUMIFS('Livro Diario - FC'!$M$11:$M1028,'Livro Diario - FC'!$E$11:$E1028,$C$238,'Livro Diario - FC'!$D$11:$D1028,"&gt;=01/05"&amp;$C$7,'Livro Diario - FC'!$D$11:$D1028,"&lt;=31/05"&amp;$C$7)</f>
        <v>0</v>
      </c>
      <c r="Z238" s="273"/>
      <c r="AA238" s="258"/>
      <c r="AB238" s="259"/>
      <c r="AC238" s="255">
        <f>SUMIFS('Livro Diario - FC'!$K$11:$K1028,'Livro Diario - FC'!$E$11:$E1028,$C$238,'Livro Diario - FC'!$D$11:$D1028,"&gt;=01/06"&amp;$C$7,'Livro Diario - FC'!$D$11:$D1028,"&lt;=30/06"&amp;$C$7)</f>
        <v>0</v>
      </c>
      <c r="AD238" s="256">
        <f>SUMIFS('Livro Diario - FC'!$M$11:$M1028,'Livro Diario - FC'!$E$11:$E1028,$C$238,'Livro Diario - FC'!$D$11:$D1028,"&gt;=01/06"&amp;$C$7,'Livro Diario - FC'!$D$11:$D1028,"&lt;=30/06"&amp;$C$7)</f>
        <v>0</v>
      </c>
      <c r="AE238" s="273"/>
      <c r="AF238" s="258"/>
      <c r="AG238" s="255">
        <f>SUMIFS('Livro Diario - FC'!$K$11:$K1028,'Livro Diario - FC'!$E$11:$E1028,$C$238,'Livro Diario - FC'!$D$11:$D1028,"&gt;=01/07"&amp;$C$7,'Livro Diario - FC'!$D$11:$D1028,"&lt;=31/07"&amp;$C$7)</f>
        <v>0</v>
      </c>
      <c r="AH238" s="256">
        <f>SUMIFS('Livro Diario - FC'!$M$11:$M1028,'Livro Diario - FC'!$E$11:$E1028,$C$238,'Livro Diario - FC'!$D$11:$D1028,"&gt;=01/07"&amp;$C$7,'Livro Diario - FC'!$D$11:$D1028,"&lt;=31/07"&amp;$C$7)</f>
        <v>0</v>
      </c>
      <c r="AI238" s="273"/>
      <c r="AJ238" s="258"/>
      <c r="AK238" s="255">
        <f>SUMIFS('Livro Diario - FC'!$K$11:$K1028,'Livro Diario - FC'!$E$11:$E1028,$C$238,'Livro Diario - FC'!$D$11:$D1028,"&gt;=01/08"&amp;$C$7,'Livro Diario - FC'!$D$11:$D1028,"&lt;=31/08"&amp;$C$7)</f>
        <v>0</v>
      </c>
      <c r="AL238" s="256">
        <f>SUMIFS('Livro Diario - FC'!$M$11:$M1028,'Livro Diario - FC'!$E$11:$E1028,$C$238,'Livro Diario - FC'!$D$11:$D1028,"&gt;=01/08"&amp;$C$7,'Livro Diario - FC'!$D$11:$D1028,"&lt;=31/08"&amp;$C$7)</f>
        <v>0</v>
      </c>
      <c r="AM238" s="273"/>
      <c r="AN238" s="258"/>
      <c r="AO238" s="255">
        <f>SUMIFS('Livro Diario - FC'!$K$11:$K1028,'Livro Diario - FC'!$E$11:$E1028,$C$238,'Livro Diario - FC'!$D$11:$D1028,"&gt;=01/09"&amp;$C$7,'Livro Diario - FC'!$D$11:$D1028,"&lt;=30/09"&amp;$C$7)</f>
        <v>0</v>
      </c>
      <c r="AP238" s="256">
        <f>SUMIFS('Livro Diario - FC'!$M$11:$M1028,'Livro Diario - FC'!$E$11:$E1028,$C$238,'Livro Diario - FC'!$D$11:$D1028,"&gt;=01/09"&amp;$C$7,'Livro Diario - FC'!$D$11:$D1028,"&lt;=30/09"&amp;$C$7)</f>
        <v>0</v>
      </c>
      <c r="AQ238" s="273"/>
      <c r="AR238" s="258"/>
      <c r="AS238" s="255">
        <f>SUMIFS('Livro Diario - FC'!$K$11:$K1028,'Livro Diario - FC'!$E$11:$E1028,$C$238,'Livro Diario - FC'!$D$11:$D1028,"&gt;=01/10"&amp;$C$7,'Livro Diario - FC'!$D$11:$D1028,"&lt;=31/10"&amp;$C$7)</f>
        <v>0</v>
      </c>
      <c r="AT238" s="256">
        <f>SUMIFS('Livro Diario - FC'!$M$11:$M1028,'Livro Diario - FC'!$E$11:$E1028,$C$238,'Livro Diario - FC'!$D$11:$D1028,"&gt;=01/10"&amp;$C$7,'Livro Diario - FC'!$D$11:$D1028,"&lt;=31/10"&amp;$C$7)</f>
        <v>0</v>
      </c>
      <c r="AU238" s="273"/>
      <c r="AV238" s="258"/>
      <c r="AW238" s="255">
        <f>SUMIFS('Livro Diario - FC'!$K$11:$K1028,'Livro Diario - FC'!$E$11:$E1028,$C$238,'Livro Diario - FC'!$D$11:$D1028,"&gt;=01/11"&amp;$C$7,'Livro Diario - FC'!$D$11:$D1028,"&lt;=30/11"&amp;$C$7)</f>
        <v>0</v>
      </c>
      <c r="AX238" s="256">
        <f>SUMIFS('Livro Diario - FC'!$M$11:$M1028,'Livro Diario - FC'!$E$11:$E1028,$C$238,'Livro Diario - FC'!$D$11:$D1028,"&gt;=01/11"&amp;$C$7,'Livro Diario - FC'!$D$11:$D1028,"&lt;=30/11"&amp;$C$7)</f>
        <v>0</v>
      </c>
      <c r="AY238" s="273"/>
      <c r="AZ238" s="258"/>
      <c r="BA238" s="255">
        <f>SUMIFS('Livro Diario - FC'!$K$11:$K1028,'Livro Diario - FC'!$E$11:$E1028,$C$238,'Livro Diario - FC'!$D$11:$D1028,"&gt;=01/12"&amp;$C$7,'Livro Diario - FC'!$D$11:$D1028,"&lt;=31/12"&amp;$C$7)</f>
        <v>0</v>
      </c>
      <c r="BB238" s="256">
        <f>SUMIFS('Livro Diario - FC'!$M$11:$M1028,'Livro Diario - FC'!$E$11:$E1028,$C$238,'Livro Diario - FC'!$D$11:$D1028,"&gt;=01/12"&amp;$C$7,'Livro Diario - FC'!$D$11:$D1028,"&lt;=31/12"&amp;$C$7)</f>
        <v>0</v>
      </c>
      <c r="BC238" s="273"/>
      <c r="BD238" s="273"/>
      <c r="BE238" s="267">
        <f t="shared" ref="BE238:BF238" si="339">SUM(D238,I238,N238,S238,X238,AC238,AG238,AK238,AO238,AS238,AW238,BA238)</f>
        <v>0</v>
      </c>
      <c r="BF238" s="268">
        <f t="shared" si="339"/>
        <v>0</v>
      </c>
      <c r="BG238" s="269"/>
      <c r="BH238" s="192"/>
      <c r="BI238" s="270">
        <f>SUMIFS('Livro Diario - FC'!$M$11:$M1028,'Livro Diario - FC'!$E$11:$E1028,C238,'Livro Diario - FC'!$D$11:$D1028,"&gt;="&amp;$BK$8,'Livro Diario - FC'!$D$11:$D1028,"&lt;="&amp;$BK$9)</f>
        <v>0</v>
      </c>
      <c r="BJ238" s="271"/>
      <c r="BK238" s="272"/>
      <c r="BL238" s="1"/>
    </row>
    <row r="239">
      <c r="A239" s="1"/>
      <c r="B239" s="1"/>
      <c r="C239" s="338" t="str">
        <f>'Livro Diario - FC'!AE248</f>
        <v>Saco Papel P</v>
      </c>
      <c r="D239" s="255">
        <f>SUMIFS('Livro Diario - FC'!$K$11:$K1028,'Livro Diario - FC'!$E$11:$E1028,$C$239,'Livro Diario - FC'!$D$11:$D1028,"&gt;=01/01"&amp;$C$7,'Livro Diario - FC'!$D$11:$D1028,"&lt;=31/01"&amp;$C$7)</f>
        <v>0</v>
      </c>
      <c r="E239" s="256">
        <f>SUMIFS('Livro Diario - FC'!$M$11:$M1028,'Livro Diario - FC'!$E$11:$E1028,$C$239,'Livro Diario - FC'!$D$11:$D1028,"&gt;=01/01"&amp;$C$7,'Livro Diario - FC'!$D$11:$D1028,"&lt;=31/01"&amp;$C$7)</f>
        <v>0</v>
      </c>
      <c r="F239" s="273"/>
      <c r="G239" s="258"/>
      <c r="H239" s="157"/>
      <c r="I239" s="255">
        <f>SUMIFS('Livro Diario - FC'!$K$11:$K1028,'Livro Diario - FC'!$E$11:$E1028,$C$239,'Livro Diario - FC'!$D$11:$D1028,"&gt;=01/02"&amp;$C$7,'Livro Diario - FC'!$D$11:$D1028,"&lt;=29/02"&amp;$C$7)</f>
        <v>0</v>
      </c>
      <c r="J239" s="256">
        <f>SUMIFS('Livro Diario - FC'!$M$11:$M1028,'Livro Diario - FC'!$E$11:$E1028,$C$239,'Livro Diario - FC'!$D$11:$D1028,"&gt;=01/02"&amp;$C$7,'Livro Diario - FC'!$D$11:$D1028,"&lt;=29/02"&amp;$C$7)</f>
        <v>0</v>
      </c>
      <c r="K239" s="273"/>
      <c r="L239" s="258"/>
      <c r="M239" s="259"/>
      <c r="N239" s="255">
        <f>SUMIFS('Livro Diario - FC'!$K$11:$K1028,'Livro Diario - FC'!$E$11:$E1028,$C$239,'Livro Diario - FC'!$D$11:$D1028,"&gt;=01/03"&amp;$C$7,'Livro Diario - FC'!$D$11:$D1028,"&lt;=31/03"&amp;$C$7)</f>
        <v>0</v>
      </c>
      <c r="O239" s="256">
        <f>SUMIFS('Livro Diario - FC'!$M$11:$M1028,'Livro Diario - FC'!$E$11:$E1028,$C$239,'Livro Diario - FC'!$D$11:$D1028,"&gt;=01/03"&amp;$C$7,'Livro Diario - FC'!$D$11:$D1028,"&lt;=31/03"&amp;$C$7)</f>
        <v>0</v>
      </c>
      <c r="P239" s="273"/>
      <c r="Q239" s="258"/>
      <c r="R239" s="259"/>
      <c r="S239" s="255">
        <f>SUMIFS('Livro Diario - FC'!$K$11:$K1028,'Livro Diario - FC'!$E$11:$E1028,$C$239,'Livro Diario - FC'!$D$11:$D1028,"&gt;=01/04"&amp;$C$7,'Livro Diario - FC'!$D$11:$D1028,"&lt;=30/04"&amp;$C$7)</f>
        <v>0</v>
      </c>
      <c r="T239" s="256">
        <f>SUMIFS('Livro Diario - FC'!$M$11:$M1028,'Livro Diario - FC'!$E$11:$E1028,$C$239,'Livro Diario - FC'!$D$11:$D1028,"&gt;=01/04"&amp;$C$7,'Livro Diario - FC'!$D$11:$D1028,"&lt;=30/04"&amp;$C$7)</f>
        <v>0</v>
      </c>
      <c r="U239" s="273"/>
      <c r="V239" s="258"/>
      <c r="W239" s="259"/>
      <c r="X239" s="255">
        <f>SUMIFS('Livro Diario - FC'!$K$11:$K1028,'Livro Diario - FC'!$E$11:$E1028,$C$239,'Livro Diario - FC'!$D$11:$D1028,"&gt;=01/05"&amp;$C$7,'Livro Diario - FC'!$D$11:$D1028,"&lt;=31/05"&amp;$C$7)</f>
        <v>0</v>
      </c>
      <c r="Y239" s="256">
        <f>SUMIFS('Livro Diario - FC'!$M$11:$M1028,'Livro Diario - FC'!$E$11:$E1028,$C$239,'Livro Diario - FC'!$D$11:$D1028,"&gt;=01/05"&amp;$C$7,'Livro Diario - FC'!$D$11:$D1028,"&lt;=31/05"&amp;$C$7)</f>
        <v>0</v>
      </c>
      <c r="Z239" s="273"/>
      <c r="AA239" s="258"/>
      <c r="AB239" s="259"/>
      <c r="AC239" s="255">
        <f>SUMIFS('Livro Diario - FC'!$K$11:$K1028,'Livro Diario - FC'!$E$11:$E1028,$C$239,'Livro Diario - FC'!$D$11:$D1028,"&gt;=01/06"&amp;$C$7,'Livro Diario - FC'!$D$11:$D1028,"&lt;=30/06"&amp;$C$7)</f>
        <v>0</v>
      </c>
      <c r="AD239" s="256">
        <f>SUMIFS('Livro Diario - FC'!$M$11:$M1028,'Livro Diario - FC'!$E$11:$E1028,$C$239,'Livro Diario - FC'!$D$11:$D1028,"&gt;=01/06"&amp;$C$7,'Livro Diario - FC'!$D$11:$D1028,"&lt;=30/06"&amp;$C$7)</f>
        <v>0</v>
      </c>
      <c r="AE239" s="273"/>
      <c r="AF239" s="258"/>
      <c r="AG239" s="255">
        <f>SUMIFS('Livro Diario - FC'!$K$11:$K1028,'Livro Diario - FC'!$E$11:$E1028,$C$239,'Livro Diario - FC'!$D$11:$D1028,"&gt;=01/07"&amp;$C$7,'Livro Diario - FC'!$D$11:$D1028,"&lt;=31/07"&amp;$C$7)</f>
        <v>0</v>
      </c>
      <c r="AH239" s="256">
        <f>SUMIFS('Livro Diario - FC'!$M$11:$M1028,'Livro Diario - FC'!$E$11:$E1028,$C$239,'Livro Diario - FC'!$D$11:$D1028,"&gt;=01/07"&amp;$C$7,'Livro Diario - FC'!$D$11:$D1028,"&lt;=31/07"&amp;$C$7)</f>
        <v>0</v>
      </c>
      <c r="AI239" s="273"/>
      <c r="AJ239" s="258"/>
      <c r="AK239" s="255">
        <f>SUMIFS('Livro Diario - FC'!$K$11:$K1028,'Livro Diario - FC'!$E$11:$E1028,$C$239,'Livro Diario - FC'!$D$11:$D1028,"&gt;=01/08"&amp;$C$7,'Livro Diario - FC'!$D$11:$D1028,"&lt;=31/08"&amp;$C$7)</f>
        <v>0</v>
      </c>
      <c r="AL239" s="256">
        <f>SUMIFS('Livro Diario - FC'!$M$11:$M1028,'Livro Diario - FC'!$E$11:$E1028,$C$239,'Livro Diario - FC'!$D$11:$D1028,"&gt;=01/08"&amp;$C$7,'Livro Diario - FC'!$D$11:$D1028,"&lt;=31/08"&amp;$C$7)</f>
        <v>0</v>
      </c>
      <c r="AM239" s="273"/>
      <c r="AN239" s="258"/>
      <c r="AO239" s="255">
        <f>SUMIFS('Livro Diario - FC'!$K$11:$K1028,'Livro Diario - FC'!$E$11:$E1028,$C$239,'Livro Diario - FC'!$D$11:$D1028,"&gt;=01/09"&amp;$C$7,'Livro Diario - FC'!$D$11:$D1028,"&lt;=30/09"&amp;$C$7)</f>
        <v>0</v>
      </c>
      <c r="AP239" s="256">
        <f>SUMIFS('Livro Diario - FC'!$M$11:$M1028,'Livro Diario - FC'!$E$11:$E1028,$C$239,'Livro Diario - FC'!$D$11:$D1028,"&gt;=01/09"&amp;$C$7,'Livro Diario - FC'!$D$11:$D1028,"&lt;=30/09"&amp;$C$7)</f>
        <v>0</v>
      </c>
      <c r="AQ239" s="273"/>
      <c r="AR239" s="258"/>
      <c r="AS239" s="255">
        <f>SUMIFS('Livro Diario - FC'!$K$11:$K1028,'Livro Diario - FC'!$E$11:$E1028,$C$239,'Livro Diario - FC'!$D$11:$D1028,"&gt;=01/10"&amp;$C$7,'Livro Diario - FC'!$D$11:$D1028,"&lt;=31/10"&amp;$C$7)</f>
        <v>0</v>
      </c>
      <c r="AT239" s="256">
        <f>SUMIFS('Livro Diario - FC'!$M$11:$M1028,'Livro Diario - FC'!$E$11:$E1028,$C$239,'Livro Diario - FC'!$D$11:$D1028,"&gt;=01/10"&amp;$C$7,'Livro Diario - FC'!$D$11:$D1028,"&lt;=31/10"&amp;$C$7)</f>
        <v>0</v>
      </c>
      <c r="AU239" s="273"/>
      <c r="AV239" s="258"/>
      <c r="AW239" s="255">
        <f>SUMIFS('Livro Diario - FC'!$K$11:$K1028,'Livro Diario - FC'!$E$11:$E1028,$C$239,'Livro Diario - FC'!$D$11:$D1028,"&gt;=01/11"&amp;$C$7,'Livro Diario - FC'!$D$11:$D1028,"&lt;=30/11"&amp;$C$7)</f>
        <v>0</v>
      </c>
      <c r="AX239" s="256">
        <f>SUMIFS('Livro Diario - FC'!$M$11:$M1028,'Livro Diario - FC'!$E$11:$E1028,$C$239,'Livro Diario - FC'!$D$11:$D1028,"&gt;=01/11"&amp;$C$7,'Livro Diario - FC'!$D$11:$D1028,"&lt;=30/11"&amp;$C$7)</f>
        <v>0</v>
      </c>
      <c r="AY239" s="273"/>
      <c r="AZ239" s="258"/>
      <c r="BA239" s="255">
        <f>SUMIFS('Livro Diario - FC'!$K$11:$K1028,'Livro Diario - FC'!$E$11:$E1028,$C$239,'Livro Diario - FC'!$D$11:$D1028,"&gt;=01/12"&amp;$C$7,'Livro Diario - FC'!$D$11:$D1028,"&lt;=31/12"&amp;$C$7)</f>
        <v>0</v>
      </c>
      <c r="BB239" s="256">
        <f>SUMIFS('Livro Diario - FC'!$M$11:$M1028,'Livro Diario - FC'!$E$11:$E1028,$C$239,'Livro Diario - FC'!$D$11:$D1028,"&gt;=01/12"&amp;$C$7,'Livro Diario - FC'!$D$11:$D1028,"&lt;=31/12"&amp;$C$7)</f>
        <v>0</v>
      </c>
      <c r="BC239" s="273"/>
      <c r="BD239" s="273"/>
      <c r="BE239" s="267">
        <f t="shared" ref="BE239:BF239" si="340">SUM(D239,I239,N239,S239,X239,AC239,AG239,AK239,AO239,AS239,AW239,BA239)</f>
        <v>0</v>
      </c>
      <c r="BF239" s="268">
        <f t="shared" si="340"/>
        <v>0</v>
      </c>
      <c r="BG239" s="269"/>
      <c r="BH239" s="192"/>
      <c r="BI239" s="270">
        <f>SUMIFS('Livro Diario - FC'!$M$11:$M1028,'Livro Diario - FC'!$E$11:$E1028,C239,'Livro Diario - FC'!$D$11:$D1028,"&gt;="&amp;$BK$8,'Livro Diario - FC'!$D$11:$D1028,"&lt;="&amp;$BK$9)</f>
        <v>0</v>
      </c>
      <c r="BJ239" s="271"/>
      <c r="BK239" s="272"/>
      <c r="BL239" s="1"/>
    </row>
    <row r="240">
      <c r="A240" s="1"/>
      <c r="B240" s="1"/>
      <c r="C240" s="338" t="str">
        <f>'Livro Diario - FC'!AE249</f>
        <v>Saco Papel M</v>
      </c>
      <c r="D240" s="255">
        <f>SUMIFS('Livro Diario - FC'!$K$11:$K1028,'Livro Diario - FC'!$E$11:$E1028,$C$240,'Livro Diario - FC'!$D$11:$D1028,"&gt;=01/01"&amp;$C$7,'Livro Diario - FC'!$D$11:$D1028,"&lt;=31/01"&amp;$C$7)</f>
        <v>58.35</v>
      </c>
      <c r="E240" s="256">
        <f>SUMIFS('Livro Diario - FC'!$M$11:$M1028,'Livro Diario - FC'!$E$11:$E1028,$C$240,'Livro Diario - FC'!$D$11:$D1028,"&gt;=01/01"&amp;$C$7,'Livro Diario - FC'!$D$11:$D1028,"&lt;=31/01"&amp;$C$7)</f>
        <v>58.35</v>
      </c>
      <c r="F240" s="273"/>
      <c r="G240" s="258"/>
      <c r="H240" s="157"/>
      <c r="I240" s="255">
        <f>SUMIFS('Livro Diario - FC'!$K$11:$K1028,'Livro Diario - FC'!$E$11:$E1028,$C$240,'Livro Diario - FC'!$D$11:$D1028,"&gt;=01/02"&amp;$C$7,'Livro Diario - FC'!$D$11:$D1028,"&lt;=29/02"&amp;$C$7)</f>
        <v>0</v>
      </c>
      <c r="J240" s="256">
        <f>SUMIFS('Livro Diario - FC'!$M$11:$M1028,'Livro Diario - FC'!$E$11:$E1028,$C$240,'Livro Diario - FC'!$D$11:$D1028,"&gt;=01/02"&amp;$C$7,'Livro Diario - FC'!$D$11:$D1028,"&lt;=29/02"&amp;$C$7)</f>
        <v>0</v>
      </c>
      <c r="K240" s="273"/>
      <c r="L240" s="258"/>
      <c r="M240" s="259"/>
      <c r="N240" s="255">
        <f>SUMIFS('Livro Diario - FC'!$K$11:$K1028,'Livro Diario - FC'!$E$11:$E1028,$C$240,'Livro Diario - FC'!$D$11:$D1028,"&gt;=01/03"&amp;$C$7,'Livro Diario - FC'!$D$11:$D1028,"&lt;=31/03"&amp;$C$7)</f>
        <v>0</v>
      </c>
      <c r="O240" s="256">
        <f>SUMIFS('Livro Diario - FC'!$M$11:$M1028,'Livro Diario - FC'!$E$11:$E1028,$C$240,'Livro Diario - FC'!$D$11:$D1028,"&gt;=01/03"&amp;$C$7,'Livro Diario - FC'!$D$11:$D1028,"&lt;=31/03"&amp;$C$7)</f>
        <v>0</v>
      </c>
      <c r="P240" s="273"/>
      <c r="Q240" s="258"/>
      <c r="R240" s="259"/>
      <c r="S240" s="255">
        <f>SUMIFS('Livro Diario - FC'!$K$11:$K1028,'Livro Diario - FC'!$E$11:$E1028,$C$240,'Livro Diario - FC'!$D$11:$D1028,"&gt;=01/04"&amp;$C$7,'Livro Diario - FC'!$D$11:$D1028,"&lt;=30/04"&amp;$C$7)</f>
        <v>0</v>
      </c>
      <c r="T240" s="256">
        <f>SUMIFS('Livro Diario - FC'!$M$11:$M1028,'Livro Diario - FC'!$E$11:$E1028,$C$240,'Livro Diario - FC'!$D$11:$D1028,"&gt;=01/04"&amp;$C$7,'Livro Diario - FC'!$D$11:$D1028,"&lt;=30/04"&amp;$C$7)</f>
        <v>0</v>
      </c>
      <c r="U240" s="273"/>
      <c r="V240" s="258"/>
      <c r="W240" s="259"/>
      <c r="X240" s="255">
        <f>SUMIFS('Livro Diario - FC'!$K$11:$K1028,'Livro Diario - FC'!$E$11:$E1028,$C$240,'Livro Diario - FC'!$D$11:$D1028,"&gt;=01/05"&amp;$C$7,'Livro Diario - FC'!$D$11:$D1028,"&lt;=31/05"&amp;$C$7)</f>
        <v>0</v>
      </c>
      <c r="Y240" s="256">
        <f>SUMIFS('Livro Diario - FC'!$M$11:$M1028,'Livro Diario - FC'!$E$11:$E1028,$C$240,'Livro Diario - FC'!$D$11:$D1028,"&gt;=01/05"&amp;$C$7,'Livro Diario - FC'!$D$11:$D1028,"&lt;=31/05"&amp;$C$7)</f>
        <v>0</v>
      </c>
      <c r="Z240" s="273"/>
      <c r="AA240" s="258"/>
      <c r="AB240" s="259"/>
      <c r="AC240" s="255">
        <f>SUMIFS('Livro Diario - FC'!$K$11:$K1028,'Livro Diario - FC'!$E$11:$E1028,$C$240,'Livro Diario - FC'!$D$11:$D1028,"&gt;=01/06"&amp;$C$7,'Livro Diario - FC'!$D$11:$D1028,"&lt;=30/06"&amp;$C$7)</f>
        <v>0</v>
      </c>
      <c r="AD240" s="256">
        <f>SUMIFS('Livro Diario - FC'!$M$11:$M1028,'Livro Diario - FC'!$E$11:$E1028,$C$240,'Livro Diario - FC'!$D$11:$D1028,"&gt;=01/06"&amp;$C$7,'Livro Diario - FC'!$D$11:$D1028,"&lt;=30/06"&amp;$C$7)</f>
        <v>0</v>
      </c>
      <c r="AE240" s="273"/>
      <c r="AF240" s="258"/>
      <c r="AG240" s="255">
        <f>SUMIFS('Livro Diario - FC'!$K$11:$K1028,'Livro Diario - FC'!$E$11:$E1028,$C$240,'Livro Diario - FC'!$D$11:$D1028,"&gt;=01/07"&amp;$C$7,'Livro Diario - FC'!$D$11:$D1028,"&lt;=31/07"&amp;$C$7)</f>
        <v>0</v>
      </c>
      <c r="AH240" s="256">
        <f>SUMIFS('Livro Diario - FC'!$M$11:$M1028,'Livro Diario - FC'!$E$11:$E1028,$C$240,'Livro Diario - FC'!$D$11:$D1028,"&gt;=01/07"&amp;$C$7,'Livro Diario - FC'!$D$11:$D1028,"&lt;=31/07"&amp;$C$7)</f>
        <v>0</v>
      </c>
      <c r="AI240" s="273"/>
      <c r="AJ240" s="258"/>
      <c r="AK240" s="255">
        <f>SUMIFS('Livro Diario - FC'!$K$11:$K1028,'Livro Diario - FC'!$E$11:$E1028,$C$240,'Livro Diario - FC'!$D$11:$D1028,"&gt;=01/08"&amp;$C$7,'Livro Diario - FC'!$D$11:$D1028,"&lt;=31/08"&amp;$C$7)</f>
        <v>0</v>
      </c>
      <c r="AL240" s="256">
        <f>SUMIFS('Livro Diario - FC'!$M$11:$M1028,'Livro Diario - FC'!$E$11:$E1028,$C$240,'Livro Diario - FC'!$D$11:$D1028,"&gt;=01/08"&amp;$C$7,'Livro Diario - FC'!$D$11:$D1028,"&lt;=31/08"&amp;$C$7)</f>
        <v>0</v>
      </c>
      <c r="AM240" s="273"/>
      <c r="AN240" s="258"/>
      <c r="AO240" s="255">
        <f>SUMIFS('Livro Diario - FC'!$K$11:$K1028,'Livro Diario - FC'!$E$11:$E1028,$C$240,'Livro Diario - FC'!$D$11:$D1028,"&gt;=01/09"&amp;$C$7,'Livro Diario - FC'!$D$11:$D1028,"&lt;=30/09"&amp;$C$7)</f>
        <v>0</v>
      </c>
      <c r="AP240" s="256">
        <f>SUMIFS('Livro Diario - FC'!$M$11:$M1028,'Livro Diario - FC'!$E$11:$E1028,$C$240,'Livro Diario - FC'!$D$11:$D1028,"&gt;=01/09"&amp;$C$7,'Livro Diario - FC'!$D$11:$D1028,"&lt;=30/09"&amp;$C$7)</f>
        <v>0</v>
      </c>
      <c r="AQ240" s="273"/>
      <c r="AR240" s="258"/>
      <c r="AS240" s="255">
        <f>SUMIFS('Livro Diario - FC'!$K$11:$K1028,'Livro Diario - FC'!$E$11:$E1028,$C$240,'Livro Diario - FC'!$D$11:$D1028,"&gt;=01/10"&amp;$C$7,'Livro Diario - FC'!$D$11:$D1028,"&lt;=31/10"&amp;$C$7)</f>
        <v>0</v>
      </c>
      <c r="AT240" s="256">
        <f>SUMIFS('Livro Diario - FC'!$M$11:$M1028,'Livro Diario - FC'!$E$11:$E1028,$C$240,'Livro Diario - FC'!$D$11:$D1028,"&gt;=01/10"&amp;$C$7,'Livro Diario - FC'!$D$11:$D1028,"&lt;=31/10"&amp;$C$7)</f>
        <v>0</v>
      </c>
      <c r="AU240" s="273"/>
      <c r="AV240" s="258"/>
      <c r="AW240" s="255">
        <f>SUMIFS('Livro Diario - FC'!$K$11:$K1028,'Livro Diario - FC'!$E$11:$E1028,$C$240,'Livro Diario - FC'!$D$11:$D1028,"&gt;=01/11"&amp;$C$7,'Livro Diario - FC'!$D$11:$D1028,"&lt;=30/11"&amp;$C$7)</f>
        <v>0</v>
      </c>
      <c r="AX240" s="256">
        <f>SUMIFS('Livro Diario - FC'!$M$11:$M1028,'Livro Diario - FC'!$E$11:$E1028,$C$240,'Livro Diario - FC'!$D$11:$D1028,"&gt;=01/11"&amp;$C$7,'Livro Diario - FC'!$D$11:$D1028,"&lt;=30/11"&amp;$C$7)</f>
        <v>0</v>
      </c>
      <c r="AY240" s="273"/>
      <c r="AZ240" s="258"/>
      <c r="BA240" s="255">
        <f>SUMIFS('Livro Diario - FC'!$K$11:$K1028,'Livro Diario - FC'!$E$11:$E1028,$C$240,'Livro Diario - FC'!$D$11:$D1028,"&gt;=01/12"&amp;$C$7,'Livro Diario - FC'!$D$11:$D1028,"&lt;=31/12"&amp;$C$7)</f>
        <v>0</v>
      </c>
      <c r="BB240" s="256">
        <f>SUMIFS('Livro Diario - FC'!$M$11:$M1028,'Livro Diario - FC'!$E$11:$E1028,$C$240,'Livro Diario - FC'!$D$11:$D1028,"&gt;=01/12"&amp;$C$7,'Livro Diario - FC'!$D$11:$D1028,"&lt;=31/12"&amp;$C$7)</f>
        <v>0</v>
      </c>
      <c r="BC240" s="273"/>
      <c r="BD240" s="273"/>
      <c r="BE240" s="267">
        <f t="shared" ref="BE240:BF240" si="341">SUM(D240,I240,N240,S240,X240,AC240,AG240,AK240,AO240,AS240,AW240,BA240)</f>
        <v>58.35</v>
      </c>
      <c r="BF240" s="268">
        <f t="shared" si="341"/>
        <v>58.35</v>
      </c>
      <c r="BG240" s="269"/>
      <c r="BH240" s="192"/>
      <c r="BI240" s="270">
        <f>SUMIFS('Livro Diario - FC'!$M$11:$M1028,'Livro Diario - FC'!$E$11:$E1028,C240,'Livro Diario - FC'!$D$11:$D1028,"&gt;="&amp;$BK$8,'Livro Diario - FC'!$D$11:$D1028,"&lt;="&amp;$BK$9)</f>
        <v>0</v>
      </c>
      <c r="BJ240" s="271"/>
      <c r="BK240" s="272"/>
      <c r="BL240" s="1"/>
    </row>
    <row r="241">
      <c r="A241" s="1"/>
      <c r="B241" s="1"/>
      <c r="C241" s="338" t="str">
        <f>'Livro Diario - FC'!AE250</f>
        <v>Copo 200ml</v>
      </c>
      <c r="D241" s="255">
        <f>SUMIFS('Livro Diario - FC'!$K$11:$K1028,'Livro Diario - FC'!$E$11:$E1028,$C$241,'Livro Diario - FC'!$D$11:$D1028,"&gt;=01/01"&amp;$C$7,'Livro Diario - FC'!$D$11:$D1028,"&lt;=31/01"&amp;$C$7)</f>
        <v>3.6</v>
      </c>
      <c r="E241" s="256">
        <f>SUMIFS('Livro Diario - FC'!$M$11:$M1028,'Livro Diario - FC'!$E$11:$E1028,$C$241,'Livro Diario - FC'!$D$11:$D1028,"&gt;=01/01"&amp;$C$7,'Livro Diario - FC'!$D$11:$D1028,"&lt;=31/01"&amp;$C$7)</f>
        <v>3.6</v>
      </c>
      <c r="F241" s="273"/>
      <c r="G241" s="258"/>
      <c r="H241" s="157"/>
      <c r="I241" s="255">
        <f>SUMIFS('Livro Diario - FC'!$K$11:$K1028,'Livro Diario - FC'!$E$11:$E1028,$C$241,'Livro Diario - FC'!$D$11:$D1028,"&gt;=01/02"&amp;$C$7,'Livro Diario - FC'!$D$11:$D1028,"&lt;=29/02"&amp;$C$7)</f>
        <v>0</v>
      </c>
      <c r="J241" s="256">
        <f>SUMIFS('Livro Diario - FC'!$M$11:$M1028,'Livro Diario - FC'!$E$11:$E1028,$C$241,'Livro Diario - FC'!$D$11:$D1028,"&gt;=01/02"&amp;$C$7,'Livro Diario - FC'!$D$11:$D1028,"&lt;=29/02"&amp;$C$7)</f>
        <v>0</v>
      </c>
      <c r="K241" s="273"/>
      <c r="L241" s="258"/>
      <c r="M241" s="259"/>
      <c r="N241" s="255">
        <f>SUMIFS('Livro Diario - FC'!$K$11:$K1028,'Livro Diario - FC'!$E$11:$E1028,$C$241,'Livro Diario - FC'!$D$11:$D1028,"&gt;=01/03"&amp;$C$7,'Livro Diario - FC'!$D$11:$D1028,"&lt;=31/03"&amp;$C$7)</f>
        <v>0</v>
      </c>
      <c r="O241" s="256">
        <f>SUMIFS('Livro Diario - FC'!$M$11:$M1028,'Livro Diario - FC'!$E$11:$E1028,$C$241,'Livro Diario - FC'!$D$11:$D1028,"&gt;=01/03"&amp;$C$7,'Livro Diario - FC'!$D$11:$D1028,"&lt;=31/03"&amp;$C$7)</f>
        <v>0</v>
      </c>
      <c r="P241" s="273"/>
      <c r="Q241" s="258"/>
      <c r="R241" s="259"/>
      <c r="S241" s="255">
        <f>SUMIFS('Livro Diario - FC'!$K$11:$K1028,'Livro Diario - FC'!$E$11:$E1028,$C$241,'Livro Diario - FC'!$D$11:$D1028,"&gt;=01/04"&amp;$C$7,'Livro Diario - FC'!$D$11:$D1028,"&lt;=30/04"&amp;$C$7)</f>
        <v>0</v>
      </c>
      <c r="T241" s="256">
        <f>SUMIFS('Livro Diario - FC'!$M$11:$M1028,'Livro Diario - FC'!$E$11:$E1028,$C$241,'Livro Diario - FC'!$D$11:$D1028,"&gt;=01/04"&amp;$C$7,'Livro Diario - FC'!$D$11:$D1028,"&lt;=30/04"&amp;$C$7)</f>
        <v>0</v>
      </c>
      <c r="U241" s="273"/>
      <c r="V241" s="258"/>
      <c r="W241" s="259"/>
      <c r="X241" s="255">
        <f>SUMIFS('Livro Diario - FC'!$K$11:$K1028,'Livro Diario - FC'!$E$11:$E1028,$C$241,'Livro Diario - FC'!$D$11:$D1028,"&gt;=01/05"&amp;$C$7,'Livro Diario - FC'!$D$11:$D1028,"&lt;=31/05"&amp;$C$7)</f>
        <v>0</v>
      </c>
      <c r="Y241" s="256">
        <f>SUMIFS('Livro Diario - FC'!$M$11:$M1028,'Livro Diario - FC'!$E$11:$E1028,$C$241,'Livro Diario - FC'!$D$11:$D1028,"&gt;=01/05"&amp;$C$7,'Livro Diario - FC'!$D$11:$D1028,"&lt;=31/05"&amp;$C$7)</f>
        <v>0</v>
      </c>
      <c r="Z241" s="273"/>
      <c r="AA241" s="258"/>
      <c r="AB241" s="259"/>
      <c r="AC241" s="255">
        <f>SUMIFS('Livro Diario - FC'!$K$11:$K1028,'Livro Diario - FC'!$E$11:$E1028,$C$241,'Livro Diario - FC'!$D$11:$D1028,"&gt;=01/06"&amp;$C$7,'Livro Diario - FC'!$D$11:$D1028,"&lt;=30/06"&amp;$C$7)</f>
        <v>0</v>
      </c>
      <c r="AD241" s="256">
        <f>SUMIFS('Livro Diario - FC'!$M$11:$M1028,'Livro Diario - FC'!$E$11:$E1028,$C$241,'Livro Diario - FC'!$D$11:$D1028,"&gt;=01/06"&amp;$C$7,'Livro Diario - FC'!$D$11:$D1028,"&lt;=30/06"&amp;$C$7)</f>
        <v>0</v>
      </c>
      <c r="AE241" s="273"/>
      <c r="AF241" s="258"/>
      <c r="AG241" s="255">
        <f>SUMIFS('Livro Diario - FC'!$K$11:$K1028,'Livro Diario - FC'!$E$11:$E1028,$C$241,'Livro Diario - FC'!$D$11:$D1028,"&gt;=01/07"&amp;$C$7,'Livro Diario - FC'!$D$11:$D1028,"&lt;=31/07"&amp;$C$7)</f>
        <v>0</v>
      </c>
      <c r="AH241" s="256">
        <f>SUMIFS('Livro Diario - FC'!$M$11:$M1028,'Livro Diario - FC'!$E$11:$E1028,$C$241,'Livro Diario - FC'!$D$11:$D1028,"&gt;=01/07"&amp;$C$7,'Livro Diario - FC'!$D$11:$D1028,"&lt;=31/07"&amp;$C$7)</f>
        <v>0</v>
      </c>
      <c r="AI241" s="273"/>
      <c r="AJ241" s="258"/>
      <c r="AK241" s="255">
        <f>SUMIFS('Livro Diario - FC'!$K$11:$K1028,'Livro Diario - FC'!$E$11:$E1028,$C$241,'Livro Diario - FC'!$D$11:$D1028,"&gt;=01/08"&amp;$C$7,'Livro Diario - FC'!$D$11:$D1028,"&lt;=31/08"&amp;$C$7)</f>
        <v>0</v>
      </c>
      <c r="AL241" s="256">
        <f>SUMIFS('Livro Diario - FC'!$M$11:$M1028,'Livro Diario - FC'!$E$11:$E1028,$C$241,'Livro Diario - FC'!$D$11:$D1028,"&gt;=01/08"&amp;$C$7,'Livro Diario - FC'!$D$11:$D1028,"&lt;=31/08"&amp;$C$7)</f>
        <v>0</v>
      </c>
      <c r="AM241" s="273"/>
      <c r="AN241" s="258"/>
      <c r="AO241" s="255">
        <f>SUMIFS('Livro Diario - FC'!$K$11:$K1028,'Livro Diario - FC'!$E$11:$E1028,$C$241,'Livro Diario - FC'!$D$11:$D1028,"&gt;=01/09"&amp;$C$7,'Livro Diario - FC'!$D$11:$D1028,"&lt;=30/09"&amp;$C$7)</f>
        <v>0</v>
      </c>
      <c r="AP241" s="256">
        <f>SUMIFS('Livro Diario - FC'!$M$11:$M1028,'Livro Diario - FC'!$E$11:$E1028,$C$241,'Livro Diario - FC'!$D$11:$D1028,"&gt;=01/09"&amp;$C$7,'Livro Diario - FC'!$D$11:$D1028,"&lt;=30/09"&amp;$C$7)</f>
        <v>0</v>
      </c>
      <c r="AQ241" s="273"/>
      <c r="AR241" s="258"/>
      <c r="AS241" s="255">
        <f>SUMIFS('Livro Diario - FC'!$K$11:$K1028,'Livro Diario - FC'!$E$11:$E1028,$C$241,'Livro Diario - FC'!$D$11:$D1028,"&gt;=01/10"&amp;$C$7,'Livro Diario - FC'!$D$11:$D1028,"&lt;=31/10"&amp;$C$7)</f>
        <v>0</v>
      </c>
      <c r="AT241" s="256">
        <f>SUMIFS('Livro Diario - FC'!$M$11:$M1028,'Livro Diario - FC'!$E$11:$E1028,$C$241,'Livro Diario - FC'!$D$11:$D1028,"&gt;=01/10"&amp;$C$7,'Livro Diario - FC'!$D$11:$D1028,"&lt;=31/10"&amp;$C$7)</f>
        <v>0</v>
      </c>
      <c r="AU241" s="273"/>
      <c r="AV241" s="258"/>
      <c r="AW241" s="255">
        <f>SUMIFS('Livro Diario - FC'!$K$11:$K1028,'Livro Diario - FC'!$E$11:$E1028,$C$241,'Livro Diario - FC'!$D$11:$D1028,"&gt;=01/11"&amp;$C$7,'Livro Diario - FC'!$D$11:$D1028,"&lt;=30/11"&amp;$C$7)</f>
        <v>0</v>
      </c>
      <c r="AX241" s="256">
        <f>SUMIFS('Livro Diario - FC'!$M$11:$M1028,'Livro Diario - FC'!$E$11:$E1028,$C$241,'Livro Diario - FC'!$D$11:$D1028,"&gt;=01/11"&amp;$C$7,'Livro Diario - FC'!$D$11:$D1028,"&lt;=30/11"&amp;$C$7)</f>
        <v>0</v>
      </c>
      <c r="AY241" s="273"/>
      <c r="AZ241" s="258"/>
      <c r="BA241" s="255">
        <f>SUMIFS('Livro Diario - FC'!$K$11:$K1028,'Livro Diario - FC'!$E$11:$E1028,$C$241,'Livro Diario - FC'!$D$11:$D1028,"&gt;=01/12"&amp;$C$7,'Livro Diario - FC'!$D$11:$D1028,"&lt;=31/12"&amp;$C$7)</f>
        <v>0</v>
      </c>
      <c r="BB241" s="256">
        <f>SUMIFS('Livro Diario - FC'!$M$11:$M1028,'Livro Diario - FC'!$E$11:$E1028,$C$241,'Livro Diario - FC'!$D$11:$D1028,"&gt;=01/12"&amp;$C$7,'Livro Diario - FC'!$D$11:$D1028,"&lt;=31/12"&amp;$C$7)</f>
        <v>0</v>
      </c>
      <c r="BC241" s="273"/>
      <c r="BD241" s="273"/>
      <c r="BE241" s="267">
        <f t="shared" ref="BE241:BF241" si="342">SUM(D241,I241,N241,S241,X241,AC241,AG241,AK241,AO241,AS241,AW241,BA241)</f>
        <v>3.6</v>
      </c>
      <c r="BF241" s="268">
        <f t="shared" si="342"/>
        <v>3.6</v>
      </c>
      <c r="BG241" s="269"/>
      <c r="BH241" s="192"/>
      <c r="BI241" s="270">
        <f>SUMIFS('Livro Diario - FC'!$M$11:$M1028,'Livro Diario - FC'!$E$11:$E1028,C241,'Livro Diario - FC'!$D$11:$D1028,"&gt;="&amp;$BK$8,'Livro Diario - FC'!$D$11:$D1028,"&lt;="&amp;$BK$9)</f>
        <v>0</v>
      </c>
      <c r="BJ241" s="271"/>
      <c r="BK241" s="272"/>
      <c r="BL241" s="1"/>
    </row>
    <row r="242">
      <c r="A242" s="1"/>
      <c r="B242" s="1"/>
      <c r="C242" s="338" t="str">
        <f>'Livro Diario - FC'!AE251</f>
        <v>Copo 50ml</v>
      </c>
      <c r="D242" s="255">
        <f>SUMIFS('Livro Diario - FC'!$K$11:$K1028,'Livro Diario - FC'!$E$11:$E1028,$C$242,'Livro Diario - FC'!$D$11:$D1028,"&gt;=01/01"&amp;$C$7,'Livro Diario - FC'!$D$11:$D1028,"&lt;=31/01"&amp;$C$7)</f>
        <v>3.6</v>
      </c>
      <c r="E242" s="256">
        <f>SUMIFS('Livro Diario - FC'!$M$11:$M1028,'Livro Diario - FC'!$E$11:$E1028,$C$242,'Livro Diario - FC'!$D$11:$D1028,"&gt;=01/01"&amp;$C$7,'Livro Diario - FC'!$D$11:$D1028,"&lt;=31/01"&amp;$C$7)</f>
        <v>3.6</v>
      </c>
      <c r="F242" s="273"/>
      <c r="G242" s="258"/>
      <c r="H242" s="157"/>
      <c r="I242" s="255">
        <f>SUMIFS('Livro Diario - FC'!$K$11:$K1028,'Livro Diario - FC'!$E$11:$E1028,$C$242,'Livro Diario - FC'!$D$11:$D1028,"&gt;=01/02"&amp;$C$7,'Livro Diario - FC'!$D$11:$D1028,"&lt;=29/02"&amp;$C$7)</f>
        <v>0</v>
      </c>
      <c r="J242" s="256">
        <f>SUMIFS('Livro Diario - FC'!$M$11:$M1028,'Livro Diario - FC'!$E$11:$E1028,$C$242,'Livro Diario - FC'!$D$11:$D1028,"&gt;=01/02"&amp;$C$7,'Livro Diario - FC'!$D$11:$D1028,"&lt;=29/02"&amp;$C$7)</f>
        <v>0</v>
      </c>
      <c r="K242" s="273"/>
      <c r="L242" s="258"/>
      <c r="M242" s="259"/>
      <c r="N242" s="255">
        <f>SUMIFS('Livro Diario - FC'!$K$11:$K1028,'Livro Diario - FC'!$E$11:$E1028,$C$242,'Livro Diario - FC'!$D$11:$D1028,"&gt;=01/03"&amp;$C$7,'Livro Diario - FC'!$D$11:$D1028,"&lt;=31/03"&amp;$C$7)</f>
        <v>0</v>
      </c>
      <c r="O242" s="256">
        <f>SUMIFS('Livro Diario - FC'!$M$11:$M1028,'Livro Diario - FC'!$E$11:$E1028,$C$242,'Livro Diario - FC'!$D$11:$D1028,"&gt;=01/03"&amp;$C$7,'Livro Diario - FC'!$D$11:$D1028,"&lt;=31/03"&amp;$C$7)</f>
        <v>0</v>
      </c>
      <c r="P242" s="273"/>
      <c r="Q242" s="258"/>
      <c r="R242" s="259"/>
      <c r="S242" s="255">
        <f>SUMIFS('Livro Diario - FC'!$K$11:$K1028,'Livro Diario - FC'!$E$11:$E1028,$C$242,'Livro Diario - FC'!$D$11:$D1028,"&gt;=01/04"&amp;$C$7,'Livro Diario - FC'!$D$11:$D1028,"&lt;=30/04"&amp;$C$7)</f>
        <v>0</v>
      </c>
      <c r="T242" s="256">
        <f>SUMIFS('Livro Diario - FC'!$M$11:$M1028,'Livro Diario - FC'!$E$11:$E1028,$C$242,'Livro Diario - FC'!$D$11:$D1028,"&gt;=01/04"&amp;$C$7,'Livro Diario - FC'!$D$11:$D1028,"&lt;=30/04"&amp;$C$7)</f>
        <v>0</v>
      </c>
      <c r="U242" s="273"/>
      <c r="V242" s="258"/>
      <c r="W242" s="259"/>
      <c r="X242" s="255">
        <f>SUMIFS('Livro Diario - FC'!$K$11:$K1028,'Livro Diario - FC'!$E$11:$E1028,$C$242,'Livro Diario - FC'!$D$11:$D1028,"&gt;=01/05"&amp;$C$7,'Livro Diario - FC'!$D$11:$D1028,"&lt;=31/05"&amp;$C$7)</f>
        <v>0</v>
      </c>
      <c r="Y242" s="256">
        <f>SUMIFS('Livro Diario - FC'!$M$11:$M1028,'Livro Diario - FC'!$E$11:$E1028,$C$242,'Livro Diario - FC'!$D$11:$D1028,"&gt;=01/05"&amp;$C$7,'Livro Diario - FC'!$D$11:$D1028,"&lt;=31/05"&amp;$C$7)</f>
        <v>0</v>
      </c>
      <c r="Z242" s="273"/>
      <c r="AA242" s="258"/>
      <c r="AB242" s="259"/>
      <c r="AC242" s="255">
        <f>SUMIFS('Livro Diario - FC'!$K$11:$K1028,'Livro Diario - FC'!$E$11:$E1028,$C$242,'Livro Diario - FC'!$D$11:$D1028,"&gt;=01/06"&amp;$C$7,'Livro Diario - FC'!$D$11:$D1028,"&lt;=30/06"&amp;$C$7)</f>
        <v>0</v>
      </c>
      <c r="AD242" s="256">
        <f>SUMIFS('Livro Diario - FC'!$M$11:$M1028,'Livro Diario - FC'!$E$11:$E1028,$C$242,'Livro Diario - FC'!$D$11:$D1028,"&gt;=01/06"&amp;$C$7,'Livro Diario - FC'!$D$11:$D1028,"&lt;=30/06"&amp;$C$7)</f>
        <v>0</v>
      </c>
      <c r="AE242" s="273"/>
      <c r="AF242" s="258"/>
      <c r="AG242" s="255">
        <f>SUMIFS('Livro Diario - FC'!$K$11:$K1028,'Livro Diario - FC'!$E$11:$E1028,$C$242,'Livro Diario - FC'!$D$11:$D1028,"&gt;=01/07"&amp;$C$7,'Livro Diario - FC'!$D$11:$D1028,"&lt;=31/07"&amp;$C$7)</f>
        <v>0</v>
      </c>
      <c r="AH242" s="256">
        <f>SUMIFS('Livro Diario - FC'!$M$11:$M1028,'Livro Diario - FC'!$E$11:$E1028,$C$242,'Livro Diario - FC'!$D$11:$D1028,"&gt;=01/07"&amp;$C$7,'Livro Diario - FC'!$D$11:$D1028,"&lt;=31/07"&amp;$C$7)</f>
        <v>0</v>
      </c>
      <c r="AI242" s="273"/>
      <c r="AJ242" s="258"/>
      <c r="AK242" s="255">
        <f>SUMIFS('Livro Diario - FC'!$K$11:$K1028,'Livro Diario - FC'!$E$11:$E1028,$C$242,'Livro Diario - FC'!$D$11:$D1028,"&gt;=01/08"&amp;$C$7,'Livro Diario - FC'!$D$11:$D1028,"&lt;=31/08"&amp;$C$7)</f>
        <v>0</v>
      </c>
      <c r="AL242" s="256">
        <f>SUMIFS('Livro Diario - FC'!$M$11:$M1028,'Livro Diario - FC'!$E$11:$E1028,$C$242,'Livro Diario - FC'!$D$11:$D1028,"&gt;=01/08"&amp;$C$7,'Livro Diario - FC'!$D$11:$D1028,"&lt;=31/08"&amp;$C$7)</f>
        <v>0</v>
      </c>
      <c r="AM242" s="273"/>
      <c r="AN242" s="258"/>
      <c r="AO242" s="255">
        <f>SUMIFS('Livro Diario - FC'!$K$11:$K1028,'Livro Diario - FC'!$E$11:$E1028,$C$242,'Livro Diario - FC'!$D$11:$D1028,"&gt;=01/09"&amp;$C$7,'Livro Diario - FC'!$D$11:$D1028,"&lt;=30/09"&amp;$C$7)</f>
        <v>0</v>
      </c>
      <c r="AP242" s="256">
        <f>SUMIFS('Livro Diario - FC'!$M$11:$M1028,'Livro Diario - FC'!$E$11:$E1028,$C$242,'Livro Diario - FC'!$D$11:$D1028,"&gt;=01/09"&amp;$C$7,'Livro Diario - FC'!$D$11:$D1028,"&lt;=30/09"&amp;$C$7)</f>
        <v>0</v>
      </c>
      <c r="AQ242" s="273"/>
      <c r="AR242" s="258"/>
      <c r="AS242" s="255">
        <f>SUMIFS('Livro Diario - FC'!$K$11:$K1028,'Livro Diario - FC'!$E$11:$E1028,$C$242,'Livro Diario - FC'!$D$11:$D1028,"&gt;=01/10"&amp;$C$7,'Livro Diario - FC'!$D$11:$D1028,"&lt;=31/10"&amp;$C$7)</f>
        <v>0</v>
      </c>
      <c r="AT242" s="256">
        <f>SUMIFS('Livro Diario - FC'!$M$11:$M1028,'Livro Diario - FC'!$E$11:$E1028,$C$242,'Livro Diario - FC'!$D$11:$D1028,"&gt;=01/10"&amp;$C$7,'Livro Diario - FC'!$D$11:$D1028,"&lt;=31/10"&amp;$C$7)</f>
        <v>0</v>
      </c>
      <c r="AU242" s="273"/>
      <c r="AV242" s="258"/>
      <c r="AW242" s="255">
        <f>SUMIFS('Livro Diario - FC'!$K$11:$K1028,'Livro Diario - FC'!$E$11:$E1028,$C$242,'Livro Diario - FC'!$D$11:$D1028,"&gt;=01/11"&amp;$C$7,'Livro Diario - FC'!$D$11:$D1028,"&lt;=30/11"&amp;$C$7)</f>
        <v>0</v>
      </c>
      <c r="AX242" s="256">
        <f>SUMIFS('Livro Diario - FC'!$M$11:$M1028,'Livro Diario - FC'!$E$11:$E1028,$C$242,'Livro Diario - FC'!$D$11:$D1028,"&gt;=01/11"&amp;$C$7,'Livro Diario - FC'!$D$11:$D1028,"&lt;=30/11"&amp;$C$7)</f>
        <v>0</v>
      </c>
      <c r="AY242" s="273"/>
      <c r="AZ242" s="258"/>
      <c r="BA242" s="255">
        <f>SUMIFS('Livro Diario - FC'!$K$11:$K1028,'Livro Diario - FC'!$E$11:$E1028,$C$242,'Livro Diario - FC'!$D$11:$D1028,"&gt;=01/12"&amp;$C$7,'Livro Diario - FC'!$D$11:$D1028,"&lt;=31/12"&amp;$C$7)</f>
        <v>0</v>
      </c>
      <c r="BB242" s="256">
        <f>SUMIFS('Livro Diario - FC'!$M$11:$M1028,'Livro Diario - FC'!$E$11:$E1028,$C$242,'Livro Diario - FC'!$D$11:$D1028,"&gt;=01/12"&amp;$C$7,'Livro Diario - FC'!$D$11:$D1028,"&lt;=31/12"&amp;$C$7)</f>
        <v>0</v>
      </c>
      <c r="BC242" s="273"/>
      <c r="BD242" s="273"/>
      <c r="BE242" s="267">
        <f t="shared" ref="BE242:BF242" si="343">SUM(D242,I242,N242,S242,X242,AC242,AG242,AK242,AO242,AS242,AW242,BA242)</f>
        <v>3.6</v>
      </c>
      <c r="BF242" s="268">
        <f t="shared" si="343"/>
        <v>3.6</v>
      </c>
      <c r="BG242" s="269"/>
      <c r="BH242" s="192"/>
      <c r="BI242" s="270">
        <f>SUMIFS('Livro Diario - FC'!$M$11:$M1028,'Livro Diario - FC'!$E$11:$E1028,C242,'Livro Diario - FC'!$D$11:$D1028,"&gt;="&amp;$BK$8,'Livro Diario - FC'!$D$11:$D1028,"&lt;="&amp;$BK$9)</f>
        <v>0</v>
      </c>
      <c r="BJ242" s="271"/>
      <c r="BK242" s="272"/>
      <c r="BL242" s="1"/>
    </row>
    <row r="243">
      <c r="A243" s="1"/>
      <c r="B243" s="1"/>
      <c r="C243" s="338" t="str">
        <f>'Livro Diario - FC'!AE252</f>
        <v>Inseticida</v>
      </c>
      <c r="D243" s="255"/>
      <c r="E243" s="256"/>
      <c r="F243" s="273"/>
      <c r="G243" s="258"/>
      <c r="H243" s="157"/>
      <c r="I243" s="255"/>
      <c r="J243" s="256"/>
      <c r="K243" s="273"/>
      <c r="L243" s="258"/>
      <c r="M243" s="259"/>
      <c r="N243" s="255"/>
      <c r="O243" s="256"/>
      <c r="P243" s="273"/>
      <c r="Q243" s="258"/>
      <c r="R243" s="259"/>
      <c r="S243" s="255"/>
      <c r="T243" s="256"/>
      <c r="U243" s="273"/>
      <c r="V243" s="258"/>
      <c r="W243" s="259"/>
      <c r="X243" s="255"/>
      <c r="Y243" s="256"/>
      <c r="Z243" s="273"/>
      <c r="AA243" s="258"/>
      <c r="AB243" s="259"/>
      <c r="AC243" s="255"/>
      <c r="AD243" s="256"/>
      <c r="AE243" s="273"/>
      <c r="AF243" s="258"/>
      <c r="AG243" s="255"/>
      <c r="AH243" s="256"/>
      <c r="AI243" s="273"/>
      <c r="AJ243" s="258"/>
      <c r="AK243" s="255"/>
      <c r="AL243" s="256"/>
      <c r="AM243" s="273"/>
      <c r="AN243" s="258"/>
      <c r="AO243" s="255"/>
      <c r="AP243" s="256"/>
      <c r="AQ243" s="273"/>
      <c r="AR243" s="258"/>
      <c r="AS243" s="255"/>
      <c r="AT243" s="256"/>
      <c r="AU243" s="273"/>
      <c r="AV243" s="258"/>
      <c r="AW243" s="255"/>
      <c r="AX243" s="256"/>
      <c r="AY243" s="273"/>
      <c r="AZ243" s="258"/>
      <c r="BA243" s="255"/>
      <c r="BB243" s="256"/>
      <c r="BC243" s="273"/>
      <c r="BD243" s="273"/>
      <c r="BE243" s="267"/>
      <c r="BF243" s="268"/>
      <c r="BG243" s="269"/>
      <c r="BH243" s="192"/>
      <c r="BI243" s="270"/>
      <c r="BJ243" s="271"/>
      <c r="BK243" s="272"/>
      <c r="BL243" s="1"/>
    </row>
    <row r="244">
      <c r="A244" s="1"/>
      <c r="B244" s="1"/>
      <c r="C244" s="338" t="str">
        <f>'Livro Diario - FC'!AE253</f>
        <v/>
      </c>
      <c r="D244" s="255"/>
      <c r="E244" s="256"/>
      <c r="F244" s="273"/>
      <c r="G244" s="258"/>
      <c r="H244" s="157"/>
      <c r="I244" s="255"/>
      <c r="J244" s="256"/>
      <c r="K244" s="273"/>
      <c r="L244" s="258"/>
      <c r="M244" s="259"/>
      <c r="N244" s="255"/>
      <c r="O244" s="256"/>
      <c r="P244" s="273"/>
      <c r="Q244" s="258"/>
      <c r="R244" s="259"/>
      <c r="S244" s="255"/>
      <c r="T244" s="256"/>
      <c r="U244" s="273"/>
      <c r="V244" s="258"/>
      <c r="W244" s="259"/>
      <c r="X244" s="255"/>
      <c r="Y244" s="256"/>
      <c r="Z244" s="273"/>
      <c r="AA244" s="258"/>
      <c r="AB244" s="259"/>
      <c r="AC244" s="255"/>
      <c r="AD244" s="256"/>
      <c r="AE244" s="273"/>
      <c r="AF244" s="258"/>
      <c r="AG244" s="255"/>
      <c r="AH244" s="256"/>
      <c r="AI244" s="273"/>
      <c r="AJ244" s="258"/>
      <c r="AK244" s="255"/>
      <c r="AL244" s="256"/>
      <c r="AM244" s="273"/>
      <c r="AN244" s="258"/>
      <c r="AO244" s="255"/>
      <c r="AP244" s="256"/>
      <c r="AQ244" s="273"/>
      <c r="AR244" s="258"/>
      <c r="AS244" s="255"/>
      <c r="AT244" s="256"/>
      <c r="AU244" s="273"/>
      <c r="AV244" s="258"/>
      <c r="AW244" s="255"/>
      <c r="AX244" s="256"/>
      <c r="AY244" s="273"/>
      <c r="AZ244" s="258"/>
      <c r="BA244" s="255"/>
      <c r="BB244" s="256"/>
      <c r="BC244" s="273"/>
      <c r="BD244" s="273"/>
      <c r="BE244" s="267"/>
      <c r="BF244" s="268"/>
      <c r="BG244" s="269"/>
      <c r="BH244" s="192"/>
      <c r="BI244" s="270"/>
      <c r="BJ244" s="271"/>
      <c r="BK244" s="272"/>
      <c r="BL244" s="1"/>
    </row>
    <row r="245">
      <c r="A245" s="1"/>
      <c r="B245" s="1"/>
      <c r="C245" s="338" t="str">
        <f>'Livro Diario - FC'!AE254</f>
        <v/>
      </c>
      <c r="D245" s="255"/>
      <c r="E245" s="256"/>
      <c r="F245" s="273"/>
      <c r="G245" s="258"/>
      <c r="H245" s="157"/>
      <c r="I245" s="255"/>
      <c r="J245" s="256"/>
      <c r="K245" s="273"/>
      <c r="L245" s="258"/>
      <c r="M245" s="259"/>
      <c r="N245" s="255"/>
      <c r="O245" s="256"/>
      <c r="P245" s="273"/>
      <c r="Q245" s="258"/>
      <c r="R245" s="259"/>
      <c r="S245" s="255"/>
      <c r="T245" s="256"/>
      <c r="U245" s="273"/>
      <c r="V245" s="258"/>
      <c r="W245" s="259"/>
      <c r="X245" s="255"/>
      <c r="Y245" s="256"/>
      <c r="Z245" s="273"/>
      <c r="AA245" s="258"/>
      <c r="AB245" s="259"/>
      <c r="AC245" s="255"/>
      <c r="AD245" s="256"/>
      <c r="AE245" s="273"/>
      <c r="AF245" s="258"/>
      <c r="AG245" s="255"/>
      <c r="AH245" s="256"/>
      <c r="AI245" s="273"/>
      <c r="AJ245" s="258"/>
      <c r="AK245" s="255"/>
      <c r="AL245" s="256"/>
      <c r="AM245" s="273"/>
      <c r="AN245" s="258"/>
      <c r="AO245" s="255"/>
      <c r="AP245" s="256"/>
      <c r="AQ245" s="273"/>
      <c r="AR245" s="258"/>
      <c r="AS245" s="255"/>
      <c r="AT245" s="256"/>
      <c r="AU245" s="273"/>
      <c r="AV245" s="258"/>
      <c r="AW245" s="255"/>
      <c r="AX245" s="256"/>
      <c r="AY245" s="273"/>
      <c r="AZ245" s="258"/>
      <c r="BA245" s="255"/>
      <c r="BB245" s="256"/>
      <c r="BC245" s="273"/>
      <c r="BD245" s="273"/>
      <c r="BE245" s="267"/>
      <c r="BF245" s="268"/>
      <c r="BG245" s="269"/>
      <c r="BH245" s="192"/>
      <c r="BI245" s="270"/>
      <c r="BJ245" s="271"/>
      <c r="BK245" s="272"/>
      <c r="BL245" s="1"/>
    </row>
    <row r="246">
      <c r="A246" s="1"/>
      <c r="B246" s="1"/>
      <c r="C246" s="338" t="str">
        <f>'Livro Diario - FC'!AE255</f>
        <v>Compras Diversos</v>
      </c>
      <c r="D246" s="255"/>
      <c r="E246" s="256"/>
      <c r="F246" s="273"/>
      <c r="G246" s="258"/>
      <c r="H246" s="157"/>
      <c r="I246" s="255"/>
      <c r="J246" s="256"/>
      <c r="K246" s="273"/>
      <c r="L246" s="258"/>
      <c r="M246" s="259"/>
      <c r="N246" s="255"/>
      <c r="O246" s="256"/>
      <c r="P246" s="273"/>
      <c r="Q246" s="258"/>
      <c r="R246" s="259"/>
      <c r="S246" s="255"/>
      <c r="T246" s="256"/>
      <c r="U246" s="273"/>
      <c r="V246" s="258"/>
      <c r="W246" s="259"/>
      <c r="X246" s="255"/>
      <c r="Y246" s="256"/>
      <c r="Z246" s="273"/>
      <c r="AA246" s="258"/>
      <c r="AB246" s="259"/>
      <c r="AC246" s="255"/>
      <c r="AD246" s="256"/>
      <c r="AE246" s="273"/>
      <c r="AF246" s="258"/>
      <c r="AG246" s="255"/>
      <c r="AH246" s="256"/>
      <c r="AI246" s="273"/>
      <c r="AJ246" s="258"/>
      <c r="AK246" s="255"/>
      <c r="AL246" s="256"/>
      <c r="AM246" s="273"/>
      <c r="AN246" s="258"/>
      <c r="AO246" s="255"/>
      <c r="AP246" s="256"/>
      <c r="AQ246" s="273"/>
      <c r="AR246" s="258"/>
      <c r="AS246" s="255"/>
      <c r="AT246" s="256"/>
      <c r="AU246" s="273"/>
      <c r="AV246" s="258"/>
      <c r="AW246" s="255"/>
      <c r="AX246" s="256"/>
      <c r="AY246" s="273"/>
      <c r="AZ246" s="258"/>
      <c r="BA246" s="255"/>
      <c r="BB246" s="256"/>
      <c r="BC246" s="273"/>
      <c r="BD246" s="273"/>
      <c r="BE246" s="267"/>
      <c r="BF246" s="268"/>
      <c r="BG246" s="269"/>
      <c r="BH246" s="192"/>
      <c r="BI246" s="270"/>
      <c r="BJ246" s="271"/>
      <c r="BK246" s="272"/>
      <c r="BL246" s="1"/>
    </row>
    <row r="247">
      <c r="A247" s="1"/>
      <c r="B247" s="1"/>
      <c r="C247" s="338"/>
      <c r="D247" s="255"/>
      <c r="E247" s="256"/>
      <c r="F247" s="273"/>
      <c r="G247" s="258"/>
      <c r="H247" s="157"/>
      <c r="I247" s="255"/>
      <c r="J247" s="256"/>
      <c r="K247" s="273"/>
      <c r="L247" s="258"/>
      <c r="M247" s="259"/>
      <c r="N247" s="255"/>
      <c r="O247" s="256"/>
      <c r="P247" s="273"/>
      <c r="Q247" s="258"/>
      <c r="R247" s="259"/>
      <c r="S247" s="255"/>
      <c r="T247" s="256"/>
      <c r="U247" s="273"/>
      <c r="V247" s="258"/>
      <c r="W247" s="259"/>
      <c r="X247" s="255"/>
      <c r="Y247" s="256"/>
      <c r="Z247" s="273"/>
      <c r="AA247" s="258"/>
      <c r="AB247" s="259"/>
      <c r="AC247" s="255"/>
      <c r="AD247" s="256"/>
      <c r="AE247" s="273"/>
      <c r="AF247" s="258"/>
      <c r="AG247" s="255"/>
      <c r="AH247" s="256"/>
      <c r="AI247" s="273"/>
      <c r="AJ247" s="258"/>
      <c r="AK247" s="255"/>
      <c r="AL247" s="256"/>
      <c r="AM247" s="273"/>
      <c r="AN247" s="258"/>
      <c r="AO247" s="255"/>
      <c r="AP247" s="256"/>
      <c r="AQ247" s="273"/>
      <c r="AR247" s="258"/>
      <c r="AS247" s="255"/>
      <c r="AT247" s="256"/>
      <c r="AU247" s="273"/>
      <c r="AV247" s="258"/>
      <c r="AW247" s="255"/>
      <c r="AX247" s="256"/>
      <c r="AY247" s="273"/>
      <c r="AZ247" s="258"/>
      <c r="BA247" s="255"/>
      <c r="BB247" s="256"/>
      <c r="BC247" s="273"/>
      <c r="BD247" s="273"/>
      <c r="BE247" s="267"/>
      <c r="BF247" s="268"/>
      <c r="BG247" s="269"/>
      <c r="BH247" s="192"/>
      <c r="BI247" s="270"/>
      <c r="BJ247" s="271"/>
      <c r="BK247" s="272"/>
      <c r="BL247" s="1"/>
    </row>
    <row r="248">
      <c r="A248" s="1"/>
      <c r="B248" s="1"/>
      <c r="C248" s="300" t="str">
        <f>'Livro Diario - FC'!AE256</f>
        <v>ACERTO DESPESAS</v>
      </c>
      <c r="D248" s="255">
        <f>SUMIFS('Livro Diario - FC'!$K$11:$K1028,'Livro Diario - FC'!$E$11:$E1028,$C$248,'Livro Diario - FC'!$D$11:$D1028,"&gt;=01/01"&amp;$C$7,'Livro Diario - FC'!$D$11:$D1028,"&lt;=31/01"&amp;$C$7)</f>
        <v>0</v>
      </c>
      <c r="E248" s="256">
        <f>SUMIFS('Livro Diario - FC'!$M$11:$M1028,'Livro Diario - FC'!$E$11:$E1028,$C$248,'Livro Diario - FC'!$D$11:$D1028,"&gt;=01/01"&amp;$C$7,'Livro Diario - FC'!$D$11:$D1028,"&lt;=31/01"&amp;$C$7)</f>
        <v>0</v>
      </c>
      <c r="F248" s="273"/>
      <c r="G248" s="258"/>
      <c r="H248" s="157"/>
      <c r="I248" s="255">
        <f>SUMIFS('Livro Diario - FC'!$K$11:$K1028,'Livro Diario - FC'!$E$11:$E1028,$C$248,'Livro Diario - FC'!$D$11:$D1028,"&gt;=01/02"&amp;$C$7,'Livro Diario - FC'!$D$11:$D1028,"&lt;=29/02"&amp;$C$7)</f>
        <v>0</v>
      </c>
      <c r="J248" s="256">
        <f>SUMIFS('Livro Diario - FC'!$M$11:$M1028,'Livro Diario - FC'!$E$11:$E1028,$C$248,'Livro Diario - FC'!$D$11:$D1028,"&gt;=01/02"&amp;$C$7,'Livro Diario - FC'!$D$11:$D1028,"&lt;=29/02"&amp;$C$7)</f>
        <v>0</v>
      </c>
      <c r="K248" s="273"/>
      <c r="L248" s="258"/>
      <c r="M248" s="259"/>
      <c r="N248" s="255">
        <f>SUMIFS('Livro Diario - FC'!$K$11:$K1028,'Livro Diario - FC'!$E$11:$E1028,$C$248,'Livro Diario - FC'!$D$11:$D1028,"&gt;=01/03"&amp;$C$7,'Livro Diario - FC'!$D$11:$D1028,"&lt;=31/03"&amp;$C$7)</f>
        <v>0</v>
      </c>
      <c r="O248" s="256">
        <f>SUMIFS('Livro Diario - FC'!$M$11:$M1028,'Livro Diario - FC'!$E$11:$E1028,$C$248,'Livro Diario - FC'!$D$11:$D1028,"&gt;=01/03"&amp;$C$7,'Livro Diario - FC'!$D$11:$D1028,"&lt;=31/03"&amp;$C$7)</f>
        <v>0</v>
      </c>
      <c r="P248" s="273"/>
      <c r="Q248" s="258"/>
      <c r="R248" s="259"/>
      <c r="S248" s="255">
        <f>SUMIFS('Livro Diario - FC'!$K$11:$K1028,'Livro Diario - FC'!$E$11:$E1028,$C$248,'Livro Diario - FC'!$D$11:$D1028,"&gt;=01/04"&amp;$C$7,'Livro Diario - FC'!$D$11:$D1028,"&lt;=30/04"&amp;$C$7)</f>
        <v>0</v>
      </c>
      <c r="T248" s="256">
        <f>SUMIFS('Livro Diario - FC'!$M$11:$M1028,'Livro Diario - FC'!$E$11:$E1028,$C$248,'Livro Diario - FC'!$D$11:$D1028,"&gt;=01/04"&amp;$C$7,'Livro Diario - FC'!$D$11:$D1028,"&lt;=30/04"&amp;$C$7)</f>
        <v>0</v>
      </c>
      <c r="U248" s="273"/>
      <c r="V248" s="258"/>
      <c r="W248" s="259"/>
      <c r="X248" s="255">
        <f>SUMIFS('Livro Diario - FC'!$K$11:$K1028,'Livro Diario - FC'!$E$11:$E1028,$C$248,'Livro Diario - FC'!$D$11:$D1028,"&gt;=01/05"&amp;$C$7,'Livro Diario - FC'!$D$11:$D1028,"&lt;=31/05"&amp;$C$7)</f>
        <v>0</v>
      </c>
      <c r="Y248" s="256">
        <f>SUMIFS('Livro Diario - FC'!$M$11:$M1028,'Livro Diario - FC'!$E$11:$E1028,$C$248,'Livro Diario - FC'!$D$11:$D1028,"&gt;=01/05"&amp;$C$7,'Livro Diario - FC'!$D$11:$D1028,"&lt;=31/05"&amp;$C$7)</f>
        <v>0</v>
      </c>
      <c r="Z248" s="273"/>
      <c r="AA248" s="258"/>
      <c r="AB248" s="259"/>
      <c r="AC248" s="255">
        <f>SUMIFS('Livro Diario - FC'!$K$11:$K1028,'Livro Diario - FC'!$E$11:$E1028,$C$248,'Livro Diario - FC'!$D$11:$D1028,"&gt;=01/06"&amp;$C$7,'Livro Diario - FC'!$D$11:$D1028,"&lt;=30/06"&amp;$C$7)</f>
        <v>0</v>
      </c>
      <c r="AD248" s="256">
        <f>SUMIFS('Livro Diario - FC'!$M$11:$M1028,'Livro Diario - FC'!$E$11:$E1028,$C$248,'Livro Diario - FC'!$D$11:$D1028,"&gt;=01/06"&amp;$C$7,'Livro Diario - FC'!$D$11:$D1028,"&lt;=30/06"&amp;$C$7)</f>
        <v>0</v>
      </c>
      <c r="AE248" s="273"/>
      <c r="AF248" s="258"/>
      <c r="AG248" s="255">
        <f>SUMIFS('Livro Diario - FC'!$K$11:$K1028,'Livro Diario - FC'!$E$11:$E1028,$C$248,'Livro Diario - FC'!$D$11:$D1028,"&gt;=01/07"&amp;$C$7,'Livro Diario - FC'!$D$11:$D1028,"&lt;=31/07"&amp;$C$7)</f>
        <v>0</v>
      </c>
      <c r="AH248" s="256">
        <f>SUMIFS('Livro Diario - FC'!$M$11:$M1028,'Livro Diario - FC'!$E$11:$E1028,$C$248,'Livro Diario - FC'!$D$11:$D1028,"&gt;=01/07"&amp;$C$7,'Livro Diario - FC'!$D$11:$D1028,"&lt;=31/07"&amp;$C$7)</f>
        <v>0</v>
      </c>
      <c r="AI248" s="273"/>
      <c r="AJ248" s="258"/>
      <c r="AK248" s="255">
        <f>SUMIFS('Livro Diario - FC'!$K$11:$K1028,'Livro Diario - FC'!$E$11:$E1028,$C$248,'Livro Diario - FC'!$D$11:$D1028,"&gt;=01/08"&amp;$C$7,'Livro Diario - FC'!$D$11:$D1028,"&lt;=31/08"&amp;$C$7)</f>
        <v>0</v>
      </c>
      <c r="AL248" s="256">
        <f>SUMIFS('Livro Diario - FC'!$M$11:$M1028,'Livro Diario - FC'!$E$11:$E1028,$C$248,'Livro Diario - FC'!$D$11:$D1028,"&gt;=01/08"&amp;$C$7,'Livro Diario - FC'!$D$11:$D1028,"&lt;=31/08"&amp;$C$7)</f>
        <v>0</v>
      </c>
      <c r="AM248" s="273"/>
      <c r="AN248" s="258"/>
      <c r="AO248" s="255">
        <f>SUMIFS('Livro Diario - FC'!$K$11:$K1028,'Livro Diario - FC'!$E$11:$E1028,$C$248,'Livro Diario - FC'!$D$11:$D1028,"&gt;=01/09"&amp;$C$7,'Livro Diario - FC'!$D$11:$D1028,"&lt;=30/09"&amp;$C$7)</f>
        <v>0</v>
      </c>
      <c r="AP248" s="256">
        <f>SUMIFS('Livro Diario - FC'!$M$11:$M1028,'Livro Diario - FC'!$E$11:$E1028,$C$248,'Livro Diario - FC'!$D$11:$D1028,"&gt;=01/09"&amp;$C$7,'Livro Diario - FC'!$D$11:$D1028,"&lt;=30/09"&amp;$C$7)</f>
        <v>0</v>
      </c>
      <c r="AQ248" s="273"/>
      <c r="AR248" s="258"/>
      <c r="AS248" s="255">
        <f>SUMIFS('Livro Diario - FC'!$K$11:$K1028,'Livro Diario - FC'!$E$11:$E1028,$C$248,'Livro Diario - FC'!$D$11:$D1028,"&gt;=01/10"&amp;$C$7,'Livro Diario - FC'!$D$11:$D1028,"&lt;=31/10"&amp;$C$7)</f>
        <v>0</v>
      </c>
      <c r="AT248" s="256">
        <f>SUMIFS('Livro Diario - FC'!$M$11:$M1028,'Livro Diario - FC'!$E$11:$E1028,$C$248,'Livro Diario - FC'!$D$11:$D1028,"&gt;=01/10"&amp;$C$7,'Livro Diario - FC'!$D$11:$D1028,"&lt;=31/10"&amp;$C$7)</f>
        <v>0</v>
      </c>
      <c r="AU248" s="273"/>
      <c r="AV248" s="258"/>
      <c r="AW248" s="255">
        <f>SUMIFS('Livro Diario - FC'!$K$11:$K1028,'Livro Diario - FC'!$E$11:$E1028,$C$248,'Livro Diario - FC'!$D$11:$D1028,"&gt;=01/11"&amp;$C$7,'Livro Diario - FC'!$D$11:$D1028,"&lt;=30/11"&amp;$C$7)</f>
        <v>0</v>
      </c>
      <c r="AX248" s="256">
        <f>SUMIFS('Livro Diario - FC'!$M$11:$M1028,'Livro Diario - FC'!$E$11:$E1028,$C$248,'Livro Diario - FC'!$D$11:$D1028,"&gt;=01/11"&amp;$C$7,'Livro Diario - FC'!$D$11:$D1028,"&lt;=30/11"&amp;$C$7)</f>
        <v>0</v>
      </c>
      <c r="AY248" s="273"/>
      <c r="AZ248" s="258"/>
      <c r="BA248" s="255">
        <f>SUMIFS('Livro Diario - FC'!$K$11:$K1028,'Livro Diario - FC'!$E$11:$E1028,$C$248,'Livro Diario - FC'!$D$11:$D1028,"&gt;=01/12"&amp;$C$7,'Livro Diario - FC'!$D$11:$D1028,"&lt;=31/12"&amp;$C$7)</f>
        <v>0</v>
      </c>
      <c r="BB248" s="256">
        <f>SUMIFS('Livro Diario - FC'!$M$11:$M1028,'Livro Diario - FC'!$E$11:$E1028,$C$248,'Livro Diario - FC'!$D$11:$D1028,"&gt;=01/12"&amp;$C$7,'Livro Diario - FC'!$D$11:$D1028,"&lt;=31/12"&amp;$C$7)</f>
        <v>0</v>
      </c>
      <c r="BC248" s="273"/>
      <c r="BD248" s="273"/>
      <c r="BE248" s="267">
        <f t="shared" ref="BE248:BF248" si="344">SUM(D248,I248,N248,S248,X248,AC248,AG248,AK248,AO248,AS248,AW248,BA248)</f>
        <v>0</v>
      </c>
      <c r="BF248" s="268">
        <f t="shared" si="344"/>
        <v>0</v>
      </c>
      <c r="BG248" s="269"/>
      <c r="BH248" s="192"/>
      <c r="BI248" s="270">
        <f>SUMIFS('Livro Diario - FC'!$M$11:$M1028,'Livro Diario - FC'!$E$11:$E1028,C248,'Livro Diario - FC'!$D$11:$D1028,"&gt;="&amp;$BK$8,'Livro Diario - FC'!$D$11:$D1028,"&lt;="&amp;$BK$9)</f>
        <v>0</v>
      </c>
      <c r="BJ248" s="271"/>
      <c r="BK248" s="272"/>
      <c r="BL248" s="1"/>
    </row>
    <row r="249">
      <c r="A249" s="1"/>
      <c r="B249" s="1"/>
      <c r="C249" s="274" t="s">
        <v>393</v>
      </c>
      <c r="D249" s="275">
        <f t="shared" ref="D249:E249" si="345">D11-D24</f>
        <v>-7431.89</v>
      </c>
      <c r="E249" s="276">
        <f t="shared" si="345"/>
        <v>-2954.19</v>
      </c>
      <c r="F249" s="277">
        <f t="shared" ref="F249:F251" si="359">IF(E$11=0,"",E249/E$11)</f>
        <v>-0.3810039078</v>
      </c>
      <c r="G249" s="278" t="str">
        <f t="shared" ref="G249:G251" si="360">IF(A249=0,"",E249/A249-1)</f>
        <v/>
      </c>
      <c r="H249" s="279"/>
      <c r="I249" s="275">
        <f t="shared" ref="I249:J249" si="346">I11-I24</f>
        <v>0</v>
      </c>
      <c r="J249" s="276">
        <f t="shared" si="346"/>
        <v>0</v>
      </c>
      <c r="K249" s="277" t="str">
        <f t="shared" ref="K249:K251" si="362">IF(J$11=0,"",J249/J$11)</f>
        <v/>
      </c>
      <c r="L249" s="278">
        <f t="shared" ref="L249:L251" si="363">IF(E249=0,"",J249/E249-1)</f>
        <v>-1</v>
      </c>
      <c r="M249" s="280"/>
      <c r="N249" s="275">
        <f t="shared" ref="N249:O249" si="347">N11-N24</f>
        <v>0</v>
      </c>
      <c r="O249" s="276">
        <f t="shared" si="347"/>
        <v>0</v>
      </c>
      <c r="P249" s="277" t="str">
        <f t="shared" ref="P249:P251" si="365">IF(O$11=0,"",O249/O$11)</f>
        <v/>
      </c>
      <c r="Q249" s="278" t="str">
        <f t="shared" ref="Q249:Q251" si="366">IF(J249=0,"",O249/J249-1)</f>
        <v/>
      </c>
      <c r="R249" s="280"/>
      <c r="S249" s="275">
        <f t="shared" ref="S249:T249" si="348">S11-S24</f>
        <v>0</v>
      </c>
      <c r="T249" s="276">
        <f t="shared" si="348"/>
        <v>0</v>
      </c>
      <c r="U249" s="277" t="str">
        <f t="shared" ref="U249:U251" si="368">IF(T$11=0,"",T249/T$11)</f>
        <v/>
      </c>
      <c r="V249" s="278" t="str">
        <f t="shared" ref="V249:V251" si="369">IF(O249=0,"",T249/O249-1)</f>
        <v/>
      </c>
      <c r="W249" s="280"/>
      <c r="X249" s="275">
        <f t="shared" ref="X249:Y249" si="349">X11-X24</f>
        <v>0</v>
      </c>
      <c r="Y249" s="276">
        <f t="shared" si="349"/>
        <v>0</v>
      </c>
      <c r="Z249" s="277" t="str">
        <f t="shared" ref="Z249:Z251" si="371">IF(Y$11=0,"",Y249/Y$11)</f>
        <v/>
      </c>
      <c r="AA249" s="278" t="str">
        <f t="shared" ref="AA249:AA251" si="372">IF(T249=0,"",Y249/T249-1)</f>
        <v/>
      </c>
      <c r="AB249" s="280"/>
      <c r="AC249" s="275">
        <f t="shared" ref="AC249:AD249" si="350">AC11-AC24</f>
        <v>0</v>
      </c>
      <c r="AD249" s="276">
        <f t="shared" si="350"/>
        <v>0</v>
      </c>
      <c r="AE249" s="277" t="str">
        <f t="shared" ref="AE249:AE251" si="374">IF(AD$11=0,"",AD249/AD$11)</f>
        <v/>
      </c>
      <c r="AF249" s="278" t="str">
        <f t="shared" ref="AF249:AF251" si="375">IF(Y249=0,"",AD249/Y249-1)</f>
        <v/>
      </c>
      <c r="AG249" s="275">
        <f t="shared" ref="AG249:AH249" si="351">AG11-AG24</f>
        <v>0</v>
      </c>
      <c r="AH249" s="276">
        <f t="shared" si="351"/>
        <v>0</v>
      </c>
      <c r="AI249" s="277" t="str">
        <f t="shared" ref="AI249:AI251" si="377">IF(AH$11=0,"",AH249/AH$11)</f>
        <v/>
      </c>
      <c r="AJ249" s="278" t="str">
        <f t="shared" ref="AJ249:AJ251" si="378">IF(AD249=0,"",AH249/AD249-1)</f>
        <v/>
      </c>
      <c r="AK249" s="275">
        <f t="shared" ref="AK249:AL249" si="352">AK11-AK24</f>
        <v>0</v>
      </c>
      <c r="AL249" s="276">
        <f t="shared" si="352"/>
        <v>0</v>
      </c>
      <c r="AM249" s="277" t="str">
        <f t="shared" ref="AM249:AM251" si="380">IF(AL$11=0,"",AL249/AL$11)</f>
        <v/>
      </c>
      <c r="AN249" s="278" t="str">
        <f t="shared" ref="AN249:AN251" si="381">IF(AH249=0,"",AL249/AH249-1)</f>
        <v/>
      </c>
      <c r="AO249" s="275">
        <f t="shared" ref="AO249:AP249" si="353">AO11-AO24</f>
        <v>0</v>
      </c>
      <c r="AP249" s="276">
        <f t="shared" si="353"/>
        <v>0</v>
      </c>
      <c r="AQ249" s="277" t="str">
        <f t="shared" ref="AQ249:AQ251" si="383">IF(AP$11=0,"",AP249/AP$11)</f>
        <v/>
      </c>
      <c r="AR249" s="278" t="str">
        <f t="shared" ref="AR249:AR251" si="384">IF(AL249=0,"",AP249/AL249-1)</f>
        <v/>
      </c>
      <c r="AS249" s="275">
        <f t="shared" ref="AS249:AT249" si="354">AS11-AS24</f>
        <v>0</v>
      </c>
      <c r="AT249" s="276">
        <f t="shared" si="354"/>
        <v>0</v>
      </c>
      <c r="AU249" s="277" t="str">
        <f t="shared" ref="AU249:AU251" si="386">IF(AT$11=0,"",AT249/AT$11)</f>
        <v/>
      </c>
      <c r="AV249" s="278" t="str">
        <f t="shared" ref="AV249:AV251" si="387">IF(AP249=0,"",AT249/AP249-1)</f>
        <v/>
      </c>
      <c r="AW249" s="275">
        <f t="shared" ref="AW249:AX249" si="355">AW11-AW24</f>
        <v>0</v>
      </c>
      <c r="AX249" s="276">
        <f t="shared" si="355"/>
        <v>0</v>
      </c>
      <c r="AY249" s="277" t="str">
        <f t="shared" ref="AY249:AY251" si="389">IF(AX$11=0,"",AX249/AX$11)</f>
        <v/>
      </c>
      <c r="AZ249" s="278" t="str">
        <f t="shared" ref="AZ249:AZ251" si="390">IF(AT249=0,"",AX249/AT249-1)</f>
        <v/>
      </c>
      <c r="BA249" s="275">
        <f t="shared" ref="BA249:BB249" si="356">BA11-BA24</f>
        <v>0</v>
      </c>
      <c r="BB249" s="276">
        <f t="shared" si="356"/>
        <v>0</v>
      </c>
      <c r="BC249" s="277" t="str">
        <f t="shared" ref="BC249:BC251" si="392">IF(BB$11=0,"",BB249/BB$11)</f>
        <v/>
      </c>
      <c r="BD249" s="348" t="str">
        <f t="shared" ref="BD249:BD251" si="393">IF(AX249=0,"",BB249/AX249-1)</f>
        <v/>
      </c>
      <c r="BE249" s="235">
        <f t="shared" ref="BE249:BF249" si="357">SUM(D249,I249,N249,S249,X249,AC249,AG249,AK249,AO249,AS249,AW249,BA249)</f>
        <v>-7431.89</v>
      </c>
      <c r="BF249" s="236">
        <f t="shared" si="357"/>
        <v>-2954.19</v>
      </c>
      <c r="BG249" s="237">
        <f t="shared" ref="BG249:BG251" si="395">IF(BF$11=0,"",BF249/BF$11)</f>
        <v>-0.3810039078</v>
      </c>
      <c r="BH249" s="222"/>
      <c r="BI249" s="283">
        <f>BI22-BI40</f>
        <v>0</v>
      </c>
      <c r="BJ249" s="284" t="str">
        <f t="shared" ref="BJ249:BJ251" si="396">IF(BI$11=0,"",BI249/BI$11)</f>
        <v/>
      </c>
      <c r="BK249" s="349"/>
      <c r="BL249" s="209"/>
    </row>
    <row r="250">
      <c r="A250" s="1"/>
      <c r="B250" s="1"/>
      <c r="C250" s="350" t="s">
        <v>394</v>
      </c>
      <c r="D250" s="351">
        <f t="shared" ref="D250:E250" si="358">SUM(D251,D258,D272,D281,D286,D293)</f>
        <v>213.36</v>
      </c>
      <c r="E250" s="352">
        <f t="shared" si="358"/>
        <v>213.36</v>
      </c>
      <c r="F250" s="353">
        <f t="shared" si="359"/>
        <v>0.02751718534</v>
      </c>
      <c r="G250" s="354" t="str">
        <f t="shared" si="360"/>
        <v/>
      </c>
      <c r="H250" s="355"/>
      <c r="I250" s="351">
        <f t="shared" ref="I250:J250" si="361">SUM(I251,I258,I272,I281,I286,I293)</f>
        <v>0</v>
      </c>
      <c r="J250" s="352">
        <f t="shared" si="361"/>
        <v>0</v>
      </c>
      <c r="K250" s="353" t="str">
        <f t="shared" si="362"/>
        <v/>
      </c>
      <c r="L250" s="354">
        <f t="shared" si="363"/>
        <v>-1</v>
      </c>
      <c r="M250" s="356"/>
      <c r="N250" s="351">
        <f t="shared" ref="N250:O250" si="364">SUM(N251,N258,N272,N281,N286,N293)</f>
        <v>0</v>
      </c>
      <c r="O250" s="352">
        <f t="shared" si="364"/>
        <v>0</v>
      </c>
      <c r="P250" s="353" t="str">
        <f t="shared" si="365"/>
        <v/>
      </c>
      <c r="Q250" s="354" t="str">
        <f t="shared" si="366"/>
        <v/>
      </c>
      <c r="R250" s="356"/>
      <c r="S250" s="351">
        <f t="shared" ref="S250:T250" si="367">SUM(S251,S258,S272,S281,S286,S293)</f>
        <v>0</v>
      </c>
      <c r="T250" s="352">
        <f t="shared" si="367"/>
        <v>0</v>
      </c>
      <c r="U250" s="353" t="str">
        <f t="shared" si="368"/>
        <v/>
      </c>
      <c r="V250" s="354" t="str">
        <f t="shared" si="369"/>
        <v/>
      </c>
      <c r="W250" s="356"/>
      <c r="X250" s="351">
        <f t="shared" ref="X250:Y250" si="370">SUM(X251,X258,X272,X281,X286,X293)</f>
        <v>0</v>
      </c>
      <c r="Y250" s="352">
        <f t="shared" si="370"/>
        <v>0</v>
      </c>
      <c r="Z250" s="353" t="str">
        <f t="shared" si="371"/>
        <v/>
      </c>
      <c r="AA250" s="354" t="str">
        <f t="shared" si="372"/>
        <v/>
      </c>
      <c r="AB250" s="356"/>
      <c r="AC250" s="351">
        <f t="shared" ref="AC250:AD250" si="373">SUM(AC251,AC258,AC272,AC281,AC286,AC293)</f>
        <v>0</v>
      </c>
      <c r="AD250" s="352">
        <f t="shared" si="373"/>
        <v>0</v>
      </c>
      <c r="AE250" s="353" t="str">
        <f t="shared" si="374"/>
        <v/>
      </c>
      <c r="AF250" s="354" t="str">
        <f t="shared" si="375"/>
        <v/>
      </c>
      <c r="AG250" s="351">
        <f t="shared" ref="AG250:AH250" si="376">SUM(AG251,AG258,AG272,AG281,AG286,AG293)</f>
        <v>0</v>
      </c>
      <c r="AH250" s="352">
        <f t="shared" si="376"/>
        <v>0</v>
      </c>
      <c r="AI250" s="353" t="str">
        <f t="shared" si="377"/>
        <v/>
      </c>
      <c r="AJ250" s="354" t="str">
        <f t="shared" si="378"/>
        <v/>
      </c>
      <c r="AK250" s="351">
        <f t="shared" ref="AK250:AL250" si="379">SUM(AK251,AK258,AK272,AK281,AK286,AK293)</f>
        <v>0</v>
      </c>
      <c r="AL250" s="352">
        <f t="shared" si="379"/>
        <v>0</v>
      </c>
      <c r="AM250" s="353" t="str">
        <f t="shared" si="380"/>
        <v/>
      </c>
      <c r="AN250" s="354" t="str">
        <f t="shared" si="381"/>
        <v/>
      </c>
      <c r="AO250" s="351">
        <f t="shared" ref="AO250:AP250" si="382">SUM(AO251,AO258,AO272,AO281,AO286,AO293)</f>
        <v>0</v>
      </c>
      <c r="AP250" s="352">
        <f t="shared" si="382"/>
        <v>0</v>
      </c>
      <c r="AQ250" s="353" t="str">
        <f t="shared" si="383"/>
        <v/>
      </c>
      <c r="AR250" s="354" t="str">
        <f t="shared" si="384"/>
        <v/>
      </c>
      <c r="AS250" s="351">
        <f t="shared" ref="AS250:AT250" si="385">SUM(AS251,AS258,AS272,AS281,AS286,AS293)</f>
        <v>0</v>
      </c>
      <c r="AT250" s="352">
        <f t="shared" si="385"/>
        <v>0</v>
      </c>
      <c r="AU250" s="353" t="str">
        <f t="shared" si="386"/>
        <v/>
      </c>
      <c r="AV250" s="354" t="str">
        <f t="shared" si="387"/>
        <v/>
      </c>
      <c r="AW250" s="351">
        <f t="shared" ref="AW250:AX250" si="388">SUM(AW251,AW258,AW272,AW281,AW286,AW293)</f>
        <v>0</v>
      </c>
      <c r="AX250" s="352">
        <f t="shared" si="388"/>
        <v>0</v>
      </c>
      <c r="AY250" s="353" t="str">
        <f t="shared" si="389"/>
        <v/>
      </c>
      <c r="AZ250" s="354" t="str">
        <f t="shared" si="390"/>
        <v/>
      </c>
      <c r="BA250" s="351">
        <f t="shared" ref="BA250:BB250" si="391">SUM(BA251,BA258,BA272,BA281,BA286,BA293)</f>
        <v>0</v>
      </c>
      <c r="BB250" s="352">
        <f t="shared" si="391"/>
        <v>0</v>
      </c>
      <c r="BC250" s="353" t="str">
        <f t="shared" si="392"/>
        <v/>
      </c>
      <c r="BD250" s="357" t="str">
        <f t="shared" si="393"/>
        <v/>
      </c>
      <c r="BE250" s="358">
        <f t="shared" ref="BE250:BF250" si="394">SUM(D250,I250,N250,S250,X250,AC250,AG250,AK250,AO250,AS250,AW250,BA250)</f>
        <v>213.36</v>
      </c>
      <c r="BF250" s="281">
        <f t="shared" si="394"/>
        <v>213.36</v>
      </c>
      <c r="BG250" s="359">
        <f t="shared" si="395"/>
        <v>0.02751718534</v>
      </c>
      <c r="BH250" s="360"/>
      <c r="BI250" s="361">
        <f>SUM(BI251,BI258,BI273,BI284,BI290,BI296,BI301)</f>
        <v>0</v>
      </c>
      <c r="BJ250" s="362" t="str">
        <f t="shared" si="396"/>
        <v/>
      </c>
      <c r="BK250" s="363"/>
      <c r="BL250" s="364"/>
    </row>
    <row r="251">
      <c r="A251" s="1"/>
      <c r="B251" s="40"/>
      <c r="C251" s="365" t="s">
        <v>395</v>
      </c>
      <c r="D251" s="323">
        <f>SUMIFS('Livro Diario - FC'!$J$11:$J1028,'Livro Diario - FC'!$E$11:$E1028,$C$251,'Livro Diario - FC'!$D$11:$D1028,"&gt;=01/01"&amp;$C$7,'Livro Diario - FC'!$D$11:$D1028,"&lt;=31/01"&amp;$C$7)+SUM(D252:D257)</f>
        <v>0</v>
      </c>
      <c r="E251" s="366">
        <f>SUMIFS('Livro Diario - FC'!$L$11:$L1028,'Livro Diario - FC'!$E$11:$E1028,$C$251,'Livro Diario - FC'!$D$11:$D1028,"&gt;=01/01"&amp;$C$7,'Livro Diario - FC'!$D$11:$D1028,"&lt;=31/01"&amp;$C$7)+SUM(E252:E257)</f>
        <v>0</v>
      </c>
      <c r="F251" s="367">
        <f t="shared" si="359"/>
        <v>0</v>
      </c>
      <c r="G251" s="368" t="str">
        <f t="shared" si="360"/>
        <v/>
      </c>
      <c r="H251" s="327"/>
      <c r="I251" s="323">
        <f>SUMIFS('Livro Diario - FC'!$J$11:$J1028,'Livro Diario - FC'!$E$11:$E1028,$C$251,'Livro Diario - FC'!$D$11:$D1028,"&gt;=01/02"&amp;$C$7,'Livro Diario - FC'!$D$11:$D1028,"&lt;=29/02"&amp;$C$7)+SUM(I252:I257)</f>
        <v>0</v>
      </c>
      <c r="J251" s="366">
        <f>SUMIFS('Livro Diario - FC'!$L$11:$L1028,'Livro Diario - FC'!$E$11:$E1028,$C$251,'Livro Diario - FC'!$D$11:$D1028,"&gt;=01/02"&amp;$C$7,'Livro Diario - FC'!$D$11:$D1028,"&lt;=29/02"&amp;$C$7)+SUM(J252:J257)</f>
        <v>0</v>
      </c>
      <c r="K251" s="367" t="str">
        <f t="shared" si="362"/>
        <v/>
      </c>
      <c r="L251" s="368" t="str">
        <f t="shared" si="363"/>
        <v/>
      </c>
      <c r="M251" s="328"/>
      <c r="N251" s="323">
        <f>SUMIFS('Livro Diario - FC'!$J$11:$J1028,'Livro Diario - FC'!$E$11:$E1028,$C$251,'Livro Diario - FC'!$D$11:$D1028,"&gt;=01/03"&amp;$C$7,'Livro Diario - FC'!$D$11:$D1028,"&lt;=31/03"&amp;$C$7)+SUM(N252:N257)</f>
        <v>0</v>
      </c>
      <c r="O251" s="366">
        <f>SUMIFS('Livro Diario - FC'!$L$11:$L1028,'Livro Diario - FC'!$E$11:$E1028,$C$251,'Livro Diario - FC'!$D$11:$D1028,"&gt;=01/03"&amp;$C$7,'Livro Diario - FC'!$D$11:$D1028,"&lt;=31/03"&amp;$C$7)+SUM(O252:O257)</f>
        <v>0</v>
      </c>
      <c r="P251" s="367" t="str">
        <f t="shared" si="365"/>
        <v/>
      </c>
      <c r="Q251" s="368" t="str">
        <f t="shared" si="366"/>
        <v/>
      </c>
      <c r="R251" s="328"/>
      <c r="S251" s="323">
        <f>SUMIFS('Livro Diario - FC'!$J$11:$J1028,'Livro Diario - FC'!$E$11:$E1028,$C$251,'Livro Diario - FC'!$D$11:$D1028,"&gt;=01/04"&amp;$C$7,'Livro Diario - FC'!$D$11:$D1028,"&lt;=30/04"&amp;$C$7)+SUM(S252:S257)</f>
        <v>0</v>
      </c>
      <c r="T251" s="366">
        <f>SUMIFS('Livro Diario - FC'!$L$11:$L1028,'Livro Diario - FC'!$E$11:$E1028,$C$251,'Livro Diario - FC'!$D$11:$D1028,"&gt;=01/04"&amp;$C$7,'Livro Diario - FC'!$D$11:$D1028,"&lt;=30/04"&amp;$C$7)+SUM(T252:T257)</f>
        <v>0</v>
      </c>
      <c r="U251" s="367" t="str">
        <f t="shared" si="368"/>
        <v/>
      </c>
      <c r="V251" s="368" t="str">
        <f t="shared" si="369"/>
        <v/>
      </c>
      <c r="W251" s="328"/>
      <c r="X251" s="323">
        <f>SUMIFS('Livro Diario - FC'!$J$11:$J1028,'Livro Diario - FC'!$E$11:$E1028,$C$251,'Livro Diario - FC'!$D$11:$D1028,"&gt;=01/05"&amp;$C$7,'Livro Diario - FC'!$D$11:$D1028,"&lt;=31/05"&amp;$C$7)+SUM(X252:X257)</f>
        <v>0</v>
      </c>
      <c r="Y251" s="366">
        <f>SUMIFS('Livro Diario - FC'!$L$11:$L1028,'Livro Diario - FC'!$E$11:$E1028,$C$251,'Livro Diario - FC'!$D$11:$D1028,"&gt;=01/05"&amp;$C$7,'Livro Diario - FC'!$D$11:$D1028,"&lt;=31/05"&amp;$C$7)+SUM(Y252:Y257)</f>
        <v>0</v>
      </c>
      <c r="Z251" s="367" t="str">
        <f t="shared" si="371"/>
        <v/>
      </c>
      <c r="AA251" s="368" t="str">
        <f t="shared" si="372"/>
        <v/>
      </c>
      <c r="AB251" s="328"/>
      <c r="AC251" s="323">
        <f>SUMIFS('Livro Diario - FC'!$J$11:$J1028,'Livro Diario - FC'!$E$11:$E1028,$C$251,'Livro Diario - FC'!$D$11:$D1028,"&gt;=01/06"&amp;$C$7,'Livro Diario - FC'!$D$11:$D1028,"&lt;=30/06"&amp;$C$7)+SUM(AC252:AC257)</f>
        <v>0</v>
      </c>
      <c r="AD251" s="366">
        <f>SUMIFS('Livro Diario - FC'!$L$11:$L1028,'Livro Diario - FC'!$E$11:$E1028,$C$251,'Livro Diario - FC'!$D$11:$D1028,"&gt;=01/06"&amp;$C$7,'Livro Diario - FC'!$D$11:$D1028,"&lt;=30/06"&amp;$C$7)+SUM(AD252:AD257)</f>
        <v>0</v>
      </c>
      <c r="AE251" s="367" t="str">
        <f t="shared" si="374"/>
        <v/>
      </c>
      <c r="AF251" s="368" t="str">
        <f t="shared" si="375"/>
        <v/>
      </c>
      <c r="AG251" s="323">
        <f>SUMIFS('Livro Diario - FC'!$J$11:$J1028,'Livro Diario - FC'!$E$11:$E1028,$C$251,'Livro Diario - FC'!$D$11:$D1028,"&gt;=01/07"&amp;$C$7,'Livro Diario - FC'!$D$11:$D1028,"&lt;=31/07"&amp;$C$7)+SUM(AG252:AG257)</f>
        <v>0</v>
      </c>
      <c r="AH251" s="366">
        <f>SUMIFS('Livro Diario - FC'!$L$11:$L1028,'Livro Diario - FC'!$E$11:$E1028,$C$251,'Livro Diario - FC'!$D$11:$D1028,"&gt;=01/07"&amp;$C$7,'Livro Diario - FC'!$D$11:$D1028,"&lt;=31/07"&amp;$C$7)+SUM(AH252:AH257)</f>
        <v>0</v>
      </c>
      <c r="AI251" s="367" t="str">
        <f t="shared" si="377"/>
        <v/>
      </c>
      <c r="AJ251" s="368" t="str">
        <f t="shared" si="378"/>
        <v/>
      </c>
      <c r="AK251" s="323">
        <f>SUMIFS('Livro Diario - FC'!$J$11:$J1028,'Livro Diario - FC'!$E$11:$E1028,$C$251,'Livro Diario - FC'!$D$11:$D1028,"&gt;=01/08"&amp;$C$7,'Livro Diario - FC'!$D$11:$D1028,"&lt;=31/08"&amp;$C$7)+SUM(AK252:AK257)</f>
        <v>0</v>
      </c>
      <c r="AL251" s="366">
        <f>SUMIFS('Livro Diario - FC'!$L$11:$L1028,'Livro Diario - FC'!$E$11:$E1028,$C$251,'Livro Diario - FC'!$D$11:$D1028,"&gt;=01/08"&amp;$C$7,'Livro Diario - FC'!$D$11:$D1028,"&lt;=31/08"&amp;$C$7)+SUM(AL252:AL257)</f>
        <v>0</v>
      </c>
      <c r="AM251" s="367" t="str">
        <f t="shared" si="380"/>
        <v/>
      </c>
      <c r="AN251" s="368" t="str">
        <f t="shared" si="381"/>
        <v/>
      </c>
      <c r="AO251" s="323">
        <f>SUMIFS('Livro Diario - FC'!$J$11:$J1028,'Livro Diario - FC'!$E$11:$E1028,$C$251,'Livro Diario - FC'!$D$11:$D1028,"&gt;=01/09"&amp;$C$7,'Livro Diario - FC'!$D$11:$D1028,"&lt;=30/09"&amp;$C$7)+SUM(AO252:AO257)</f>
        <v>0</v>
      </c>
      <c r="AP251" s="366">
        <f>SUMIFS('Livro Diario - FC'!$L$11:$L1028,'Livro Diario - FC'!$E$11:$E1028,$C$251,'Livro Diario - FC'!$D$11:$D1028,"&gt;=01/09"&amp;$C$7,'Livro Diario - FC'!$D$11:$D1028,"&lt;=30/09"&amp;$C$7)+SUM(AP252:AP257)</f>
        <v>0</v>
      </c>
      <c r="AQ251" s="367" t="str">
        <f t="shared" si="383"/>
        <v/>
      </c>
      <c r="AR251" s="368" t="str">
        <f t="shared" si="384"/>
        <v/>
      </c>
      <c r="AS251" s="323">
        <f>SUMIFS('Livro Diario - FC'!$J$11:$J1028,'Livro Diario - FC'!$E$11:$E1028,$C$251,'Livro Diario - FC'!$D$11:$D1028,"&gt;=01/10"&amp;$C$7,'Livro Diario - FC'!$D$11:$D1028,"&lt;=31/10"&amp;$C$7)+SUM(AS252:AS257)</f>
        <v>0</v>
      </c>
      <c r="AT251" s="366">
        <f>SUMIFS('Livro Diario - FC'!$L$11:$L1028,'Livro Diario - FC'!$E$11:$E1028,$C$251,'Livro Diario - FC'!$D$11:$D1028,"&gt;=01/10"&amp;$C$7,'Livro Diario - FC'!$D$11:$D1028,"&lt;=31/10"&amp;$C$7)+SUM(AT252:AT257)</f>
        <v>0</v>
      </c>
      <c r="AU251" s="367" t="str">
        <f t="shared" si="386"/>
        <v/>
      </c>
      <c r="AV251" s="368" t="str">
        <f t="shared" si="387"/>
        <v/>
      </c>
      <c r="AW251" s="323">
        <f>SUMIFS('Livro Diario - FC'!$J$11:$J1028,'Livro Diario - FC'!$E$11:$E1028,$C$251,'Livro Diario - FC'!$D$11:$D1028,"&gt;=01/11"&amp;$C$7,'Livro Diario - FC'!$D$11:$D1028,"&lt;=30/11"&amp;$C$7)+SUM(AW252:AW257)</f>
        <v>0</v>
      </c>
      <c r="AX251" s="366">
        <f>SUMIFS('Livro Diario - FC'!$L$11:$L1028,'Livro Diario - FC'!$E$11:$E1028,$C$251,'Livro Diario - FC'!$D$11:$D1028,"&gt;=01/11"&amp;$C$7,'Livro Diario - FC'!$D$11:$D1028,"&lt;=30/11"&amp;$C$7)+SUM(AX252:AX257)</f>
        <v>0</v>
      </c>
      <c r="AY251" s="367" t="str">
        <f t="shared" si="389"/>
        <v/>
      </c>
      <c r="AZ251" s="368" t="str">
        <f t="shared" si="390"/>
        <v/>
      </c>
      <c r="BA251" s="323">
        <f>SUMIFS('Livro Diario - FC'!$J$11:$J1028,'Livro Diario - FC'!$E$11:$E1028,$C$251,'Livro Diario - FC'!$D$11:$D1028,"&gt;=01/12"&amp;$C$7,'Livro Diario - FC'!$D$11:$D1028,"&lt;=31/12"&amp;$C$7)+SUM(BA252:BA257)</f>
        <v>0</v>
      </c>
      <c r="BB251" s="366">
        <f>SUMIFS('Livro Diario - FC'!$L$11:$L1028,'Livro Diario - FC'!$E$11:$E1028,$C$251,'Livro Diario - FC'!$D$11:$D1028,"&gt;=01/12"&amp;$C$7,'Livro Diario - FC'!$D$11:$D1028,"&lt;=31/12"&amp;$C$7)+SUM(BB252:BB257)</f>
        <v>0</v>
      </c>
      <c r="BC251" s="367" t="str">
        <f t="shared" si="392"/>
        <v/>
      </c>
      <c r="BD251" s="328" t="str">
        <f t="shared" si="393"/>
        <v/>
      </c>
      <c r="BE251" s="331">
        <f t="shared" ref="BE251:BF251" si="397">SUM(D251,I251,N251,S251,X251,AC251,AG251,AK251,AO251,AS251,AW251,BA251)</f>
        <v>0</v>
      </c>
      <c r="BF251" s="369">
        <f t="shared" si="397"/>
        <v>0</v>
      </c>
      <c r="BG251" s="370">
        <f t="shared" si="395"/>
        <v>0</v>
      </c>
      <c r="BH251" s="336"/>
      <c r="BI251" s="371">
        <f>SUMIFS('Livro Diario - FC'!$M$11:$M1028,'Livro Diario - FC'!$E$11:$E1028,C251,'Livro Diario - FC'!$D$11:$D1028,"&gt;="&amp;$BK$8,'Livro Diario - FC'!$D$11:$D1028,"&lt;="&amp;$BK$9)+SUM(BI252:BI257)</f>
        <v>0</v>
      </c>
      <c r="BJ251" s="335" t="str">
        <f t="shared" si="396"/>
        <v/>
      </c>
      <c r="BK251" s="336"/>
      <c r="BL251" s="372"/>
    </row>
    <row r="252">
      <c r="A252" s="1"/>
      <c r="B252" s="1"/>
      <c r="C252" s="338" t="str">
        <f>'Livro Diario - FC'!AE260</f>
        <v>5.1.1 Tarifas Bancárias</v>
      </c>
      <c r="D252" s="255">
        <f>SUMIFS('Livro Diario - FC'!$K$11:$K1028,'Livro Diario - FC'!$E$11:$E1028,$C$252,'Livro Diario - FC'!$D$11:$D1028,"&gt;=01/01"&amp;$C$7,'Livro Diario - FC'!$D$11:$D1028,"&lt;=31/01"&amp;$C$7)</f>
        <v>0</v>
      </c>
      <c r="E252" s="373">
        <f>SUMIFS('Livro Diario - FC'!$M$11:$M1028,'Livro Diario - FC'!$E$11:$E1028,$C$252,'Livro Diario - FC'!$D$11:$D1028,"&gt;=01/01"&amp;$C$7,'Livro Diario - FC'!$D$11:$D1028,"&lt;=31/01"&amp;$C$7)</f>
        <v>0</v>
      </c>
      <c r="F252" s="273"/>
      <c r="G252" s="258"/>
      <c r="H252" s="157"/>
      <c r="I252" s="255">
        <f>SUMIFS('Livro Diario - FC'!$K$11:$K1028,'Livro Diario - FC'!$E$11:$E1028,$C$252,'Livro Diario - FC'!$D$11:$D1028,"&gt;=01/02"&amp;$C$7,'Livro Diario - FC'!$D$11:$D1028,"&lt;=29/02"&amp;$C$7)</f>
        <v>0</v>
      </c>
      <c r="J252" s="373">
        <f>SUMIFS('Livro Diario - FC'!$M$11:$M1028,'Livro Diario - FC'!$E$11:$E1028,$C$252,'Livro Diario - FC'!$D$11:$D1028,"&gt;=01/02"&amp;$C$7,'Livro Diario - FC'!$D$11:$D1028,"&lt;=29/02"&amp;$C$7)</f>
        <v>0</v>
      </c>
      <c r="K252" s="273"/>
      <c r="L252" s="258"/>
      <c r="M252" s="259"/>
      <c r="N252" s="255">
        <f>SUMIFS('Livro Diario - FC'!$K$11:$K1028,'Livro Diario - FC'!$E$11:$E1028,$C$252,'Livro Diario - FC'!$D$11:$D1028,"&gt;=01/03"&amp;$C$7,'Livro Diario - FC'!$D$11:$D1028,"&lt;=31/03"&amp;$C$7)</f>
        <v>0</v>
      </c>
      <c r="O252" s="373">
        <f>SUMIFS('Livro Diario - FC'!$M$11:$M1028,'Livro Diario - FC'!$E$11:$E1028,$C$252,'Livro Diario - FC'!$D$11:$D1028,"&gt;=01/03"&amp;$C$7,'Livro Diario - FC'!$D$11:$D1028,"&lt;=31/03"&amp;$C$7)</f>
        <v>0</v>
      </c>
      <c r="P252" s="273"/>
      <c r="Q252" s="258"/>
      <c r="R252" s="259"/>
      <c r="S252" s="255">
        <f>SUMIFS('Livro Diario - FC'!$K$11:$K1028,'Livro Diario - FC'!$E$11:$E1028,$C$252,'Livro Diario - FC'!$D$11:$D1028,"&gt;=01/04"&amp;$C$7,'Livro Diario - FC'!$D$11:$D1028,"&lt;=30/04"&amp;$C$7)</f>
        <v>0</v>
      </c>
      <c r="T252" s="373">
        <f>SUMIFS('Livro Diario - FC'!$M$11:$M1028,'Livro Diario - FC'!$E$11:$E1028,$C$252,'Livro Diario - FC'!$D$11:$D1028,"&gt;=01/04"&amp;$C$7,'Livro Diario - FC'!$D$11:$D1028,"&lt;=30/04"&amp;$C$7)</f>
        <v>0</v>
      </c>
      <c r="U252" s="273"/>
      <c r="V252" s="258"/>
      <c r="W252" s="259"/>
      <c r="X252" s="255">
        <f>SUMIFS('Livro Diario - FC'!$K$11:$K1028,'Livro Diario - FC'!$E$11:$E1028,$C$252,'Livro Diario - FC'!$D$11:$D1028,"&gt;=01/05"&amp;$C$7,'Livro Diario - FC'!$D$11:$D1028,"&lt;=31/05"&amp;$C$7)</f>
        <v>0</v>
      </c>
      <c r="Y252" s="373">
        <f>SUMIFS('Livro Diario - FC'!$M$11:$M1028,'Livro Diario - FC'!$E$11:$E1028,$C$252,'Livro Diario - FC'!$D$11:$D1028,"&gt;=01/05"&amp;$C$7,'Livro Diario - FC'!$D$11:$D1028,"&lt;=31/05"&amp;$C$7)</f>
        <v>0</v>
      </c>
      <c r="Z252" s="273"/>
      <c r="AA252" s="258"/>
      <c r="AB252" s="259"/>
      <c r="AC252" s="255">
        <f>SUMIFS('Livro Diario - FC'!$K$11:$K1028,'Livro Diario - FC'!$E$11:$E1028,$C$252,'Livro Diario - FC'!$D$11:$D1028,"&gt;=01/06"&amp;$C$7,'Livro Diario - FC'!$D$11:$D1028,"&lt;=30/06"&amp;$C$7)</f>
        <v>0</v>
      </c>
      <c r="AD252" s="373">
        <f>SUMIFS('Livro Diario - FC'!$M$11:$M1028,'Livro Diario - FC'!$E$11:$E1028,$C$252,'Livro Diario - FC'!$D$11:$D1028,"&gt;=01/06"&amp;$C$7,'Livro Diario - FC'!$D$11:$D1028,"&lt;=30/06"&amp;$C$7)</f>
        <v>0</v>
      </c>
      <c r="AE252" s="273"/>
      <c r="AF252" s="258"/>
      <c r="AG252" s="255">
        <f>SUMIFS('Livro Diario - FC'!$K$11:$K1028,'Livro Diario - FC'!$E$11:$E1028,$C$252,'Livro Diario - FC'!$D$11:$D1028,"&gt;=01/07"&amp;$C$7,'Livro Diario - FC'!$D$11:$D1028,"&lt;=31/07"&amp;$C$7)</f>
        <v>0</v>
      </c>
      <c r="AH252" s="373">
        <f>SUMIFS('Livro Diario - FC'!$M$11:$M1028,'Livro Diario - FC'!$E$11:$E1028,$C$252,'Livro Diario - FC'!$D$11:$D1028,"&gt;=01/07"&amp;$C$7,'Livro Diario - FC'!$D$11:$D1028,"&lt;=31/07"&amp;$C$7)</f>
        <v>0</v>
      </c>
      <c r="AI252" s="273"/>
      <c r="AJ252" s="258"/>
      <c r="AK252" s="255">
        <f>SUMIFS('Livro Diario - FC'!$K$11:$K1028,'Livro Diario - FC'!$E$11:$E1028,$C$252,'Livro Diario - FC'!$D$11:$D1028,"&gt;=01/08"&amp;$C$7,'Livro Diario - FC'!$D$11:$D1028,"&lt;=31/08"&amp;$C$7)</f>
        <v>0</v>
      </c>
      <c r="AL252" s="373">
        <f>SUMIFS('Livro Diario - FC'!$M$11:$M1028,'Livro Diario - FC'!$E$11:$E1028,$C$252,'Livro Diario - FC'!$D$11:$D1028,"&gt;=01/08"&amp;$C$7,'Livro Diario - FC'!$D$11:$D1028,"&lt;=31/08"&amp;$C$7)</f>
        <v>0</v>
      </c>
      <c r="AM252" s="273"/>
      <c r="AN252" s="258"/>
      <c r="AO252" s="255">
        <f>SUMIFS('Livro Diario - FC'!$K$11:$K1028,'Livro Diario - FC'!$E$11:$E1028,$C$252,'Livro Diario - FC'!$D$11:$D1028,"&gt;=01/09"&amp;$C$7,'Livro Diario - FC'!$D$11:$D1028,"&lt;=30/09"&amp;$C$7)</f>
        <v>0</v>
      </c>
      <c r="AP252" s="373">
        <f>SUMIFS('Livro Diario - FC'!$M$11:$M1028,'Livro Diario - FC'!$E$11:$E1028,$C$252,'Livro Diario - FC'!$D$11:$D1028,"&gt;=01/09"&amp;$C$7,'Livro Diario - FC'!$D$11:$D1028,"&lt;=30/09"&amp;$C$7)</f>
        <v>0</v>
      </c>
      <c r="AQ252" s="273"/>
      <c r="AR252" s="258"/>
      <c r="AS252" s="255">
        <f>SUMIFS('Livro Diario - FC'!$K$11:$K1028,'Livro Diario - FC'!$E$11:$E1028,$C$252,'Livro Diario - FC'!$D$11:$D1028,"&gt;=01/10"&amp;$C$7,'Livro Diario - FC'!$D$11:$D1028,"&lt;=31/10"&amp;$C$7)</f>
        <v>0</v>
      </c>
      <c r="AT252" s="373">
        <f>SUMIFS('Livro Diario - FC'!$M$11:$M1028,'Livro Diario - FC'!$E$11:$E1028,$C$252,'Livro Diario - FC'!$D$11:$D1028,"&gt;=01/10"&amp;$C$7,'Livro Diario - FC'!$D$11:$D1028,"&lt;=31/10"&amp;$C$7)</f>
        <v>0</v>
      </c>
      <c r="AU252" s="273"/>
      <c r="AV252" s="258"/>
      <c r="AW252" s="255">
        <f>SUMIFS('Livro Diario - FC'!$K$11:$K1028,'Livro Diario - FC'!$E$11:$E1028,$C$252,'Livro Diario - FC'!$D$11:$D1028,"&gt;=01/11"&amp;$C$7,'Livro Diario - FC'!$D$11:$D1028,"&lt;=30/11"&amp;$C$7)</f>
        <v>0</v>
      </c>
      <c r="AX252" s="373">
        <f>SUMIFS('Livro Diario - FC'!$M$11:$M1028,'Livro Diario - FC'!$E$11:$E1028,$C$252,'Livro Diario - FC'!$D$11:$D1028,"&gt;=01/11"&amp;$C$7,'Livro Diario - FC'!$D$11:$D1028,"&lt;=30/11"&amp;$C$7)</f>
        <v>0</v>
      </c>
      <c r="AY252" s="273"/>
      <c r="AZ252" s="258"/>
      <c r="BA252" s="255">
        <f>SUMIFS('Livro Diario - FC'!$K$11:$K1028,'Livro Diario - FC'!$E$11:$E1028,$C$252,'Livro Diario - FC'!$D$11:$D1028,"&gt;=01/12"&amp;$C$7,'Livro Diario - FC'!$D$11:$D1028,"&lt;=31/12"&amp;$C$7)</f>
        <v>0</v>
      </c>
      <c r="BB252" s="373">
        <f>SUMIFS('Livro Diario - FC'!$M$11:$M1028,'Livro Diario - FC'!$E$11:$E1028,$C$252,'Livro Diario - FC'!$D$11:$D1028,"&gt;=01/12"&amp;$C$7,'Livro Diario - FC'!$D$11:$D1028,"&lt;=31/12"&amp;$C$7)</f>
        <v>0</v>
      </c>
      <c r="BC252" s="273"/>
      <c r="BD252" s="273"/>
      <c r="BE252" s="260">
        <f t="shared" ref="BE252:BF252" si="398">SUM(D252,I252,N252,S252,X252,AC252,AG252,AK252,AO252,AS252,AW252,BA252)</f>
        <v>0</v>
      </c>
      <c r="BF252" s="261">
        <f t="shared" si="398"/>
        <v>0</v>
      </c>
      <c r="BG252" s="262"/>
      <c r="BH252" s="302"/>
      <c r="BI252" s="270">
        <f>SUMIFS('Livro Diario - FC'!$M$11:$M1028,'Livro Diario - FC'!$E$11:$E1028,C252,'Livro Diario - FC'!$D$11:$D1028,"&gt;="&amp;$BK$8,'Livro Diario - FC'!$D$11:$D1028,"&lt;="&amp;$BK$9)</f>
        <v>0</v>
      </c>
      <c r="BJ252" s="271"/>
      <c r="BK252" s="304"/>
      <c r="BL252" s="339"/>
    </row>
    <row r="253">
      <c r="A253" s="1"/>
      <c r="B253" s="1"/>
      <c r="C253" s="338" t="str">
        <f>'Livro Diario - FC'!AE261</f>
        <v>5.1.2 Aluguel e tarifas Operadora Cartão</v>
      </c>
      <c r="D253" s="255">
        <f>SUMIFS('Livro Diario - FC'!$K$11:$K1028,'Livro Diario - FC'!$E$11:$E1028,$C$253,'Livro Diario - FC'!$D$11:$D1028,"&gt;=01/01"&amp;$C$7,'Livro Diario - FC'!$D$11:$D1028,"&lt;=31/01"&amp;$C$7)</f>
        <v>0</v>
      </c>
      <c r="E253" s="373">
        <f>SUMIFS('Livro Diario - FC'!$M$11:$M1028,'Livro Diario - FC'!$E$11:$E1028,$C$253,'Livro Diario - FC'!$D$11:$D1028,"&gt;=01/01"&amp;$C$7,'Livro Diario - FC'!$D$11:$D1028,"&lt;=31/01"&amp;$C$7)</f>
        <v>0</v>
      </c>
      <c r="F253" s="273"/>
      <c r="G253" s="258"/>
      <c r="H253" s="157"/>
      <c r="I253" s="255">
        <f>SUMIFS('Livro Diario - FC'!$K$11:$K1028,'Livro Diario - FC'!$E$11:$E1028,$C$253,'Livro Diario - FC'!$D$11:$D1028,"&gt;=01/02"&amp;$C$7,'Livro Diario - FC'!$D$11:$D1028,"&lt;=29/02"&amp;$C$7)</f>
        <v>0</v>
      </c>
      <c r="J253" s="373">
        <f>SUMIFS('Livro Diario - FC'!$M$11:$M1028,'Livro Diario - FC'!$E$11:$E1028,$C$253,'Livro Diario - FC'!$D$11:$D1028,"&gt;=01/02"&amp;$C$7,'Livro Diario - FC'!$D$11:$D1028,"&lt;=29/02"&amp;$C$7)</f>
        <v>0</v>
      </c>
      <c r="K253" s="273"/>
      <c r="L253" s="258"/>
      <c r="M253" s="259"/>
      <c r="N253" s="255">
        <f>SUMIFS('Livro Diario - FC'!$K$11:$K1028,'Livro Diario - FC'!$E$11:$E1028,$C$253,'Livro Diario - FC'!$D$11:$D1028,"&gt;=01/03"&amp;$C$7,'Livro Diario - FC'!$D$11:$D1028,"&lt;=31/03"&amp;$C$7)</f>
        <v>0</v>
      </c>
      <c r="O253" s="373">
        <f>SUMIFS('Livro Diario - FC'!$M$11:$M1028,'Livro Diario - FC'!$E$11:$E1028,$C$253,'Livro Diario - FC'!$D$11:$D1028,"&gt;=01/03"&amp;$C$7,'Livro Diario - FC'!$D$11:$D1028,"&lt;=31/03"&amp;$C$7)</f>
        <v>0</v>
      </c>
      <c r="P253" s="273"/>
      <c r="Q253" s="258"/>
      <c r="R253" s="259"/>
      <c r="S253" s="255">
        <f>SUMIFS('Livro Diario - FC'!$K$11:$K1028,'Livro Diario - FC'!$E$11:$E1028,$C$253,'Livro Diario - FC'!$D$11:$D1028,"&gt;=01/04"&amp;$C$7,'Livro Diario - FC'!$D$11:$D1028,"&lt;=30/04"&amp;$C$7)</f>
        <v>0</v>
      </c>
      <c r="T253" s="373">
        <f>SUMIFS('Livro Diario - FC'!$M$11:$M1028,'Livro Diario - FC'!$E$11:$E1028,$C$253,'Livro Diario - FC'!$D$11:$D1028,"&gt;=01/04"&amp;$C$7,'Livro Diario - FC'!$D$11:$D1028,"&lt;=30/04"&amp;$C$7)</f>
        <v>0</v>
      </c>
      <c r="U253" s="273"/>
      <c r="V253" s="258"/>
      <c r="W253" s="259"/>
      <c r="X253" s="255">
        <f>SUMIFS('Livro Diario - FC'!$K$11:$K1028,'Livro Diario - FC'!$E$11:$E1028,$C$253,'Livro Diario - FC'!$D$11:$D1028,"&gt;=01/05"&amp;$C$7,'Livro Diario - FC'!$D$11:$D1028,"&lt;=31/05"&amp;$C$7)</f>
        <v>0</v>
      </c>
      <c r="Y253" s="373">
        <f>SUMIFS('Livro Diario - FC'!$M$11:$M1028,'Livro Diario - FC'!$E$11:$E1028,$C$253,'Livro Diario - FC'!$D$11:$D1028,"&gt;=01/05"&amp;$C$7,'Livro Diario - FC'!$D$11:$D1028,"&lt;=31/05"&amp;$C$7)</f>
        <v>0</v>
      </c>
      <c r="Z253" s="273"/>
      <c r="AA253" s="258"/>
      <c r="AB253" s="259"/>
      <c r="AC253" s="255">
        <f>SUMIFS('Livro Diario - FC'!$K$11:$K1028,'Livro Diario - FC'!$E$11:$E1028,$C$253,'Livro Diario - FC'!$D$11:$D1028,"&gt;=01/06"&amp;$C$7,'Livro Diario - FC'!$D$11:$D1028,"&lt;=30/06"&amp;$C$7)</f>
        <v>0</v>
      </c>
      <c r="AD253" s="373">
        <f>SUMIFS('Livro Diario - FC'!$M$11:$M1028,'Livro Diario - FC'!$E$11:$E1028,$C$253,'Livro Diario - FC'!$D$11:$D1028,"&gt;=01/06"&amp;$C$7,'Livro Diario - FC'!$D$11:$D1028,"&lt;=30/06"&amp;$C$7)</f>
        <v>0</v>
      </c>
      <c r="AE253" s="273"/>
      <c r="AF253" s="258"/>
      <c r="AG253" s="255">
        <f>SUMIFS('Livro Diario - FC'!$K$11:$K1028,'Livro Diario - FC'!$E$11:$E1028,$C$253,'Livro Diario - FC'!$D$11:$D1028,"&gt;=01/07"&amp;$C$7,'Livro Diario - FC'!$D$11:$D1028,"&lt;=31/07"&amp;$C$7)</f>
        <v>0</v>
      </c>
      <c r="AH253" s="373">
        <f>SUMIFS('Livro Diario - FC'!$M$11:$M1028,'Livro Diario - FC'!$E$11:$E1028,$C$253,'Livro Diario - FC'!$D$11:$D1028,"&gt;=01/07"&amp;$C$7,'Livro Diario - FC'!$D$11:$D1028,"&lt;=31/07"&amp;$C$7)</f>
        <v>0</v>
      </c>
      <c r="AI253" s="273"/>
      <c r="AJ253" s="258"/>
      <c r="AK253" s="255">
        <f>SUMIFS('Livro Diario - FC'!$K$11:$K1028,'Livro Diario - FC'!$E$11:$E1028,$C$253,'Livro Diario - FC'!$D$11:$D1028,"&gt;=01/08"&amp;$C$7,'Livro Diario - FC'!$D$11:$D1028,"&lt;=31/08"&amp;$C$7)</f>
        <v>0</v>
      </c>
      <c r="AL253" s="373">
        <f>SUMIFS('Livro Diario - FC'!$M$11:$M1028,'Livro Diario - FC'!$E$11:$E1028,$C$253,'Livro Diario - FC'!$D$11:$D1028,"&gt;=01/08"&amp;$C$7,'Livro Diario - FC'!$D$11:$D1028,"&lt;=31/08"&amp;$C$7)</f>
        <v>0</v>
      </c>
      <c r="AM253" s="273"/>
      <c r="AN253" s="258"/>
      <c r="AO253" s="255">
        <f>SUMIFS('Livro Diario - FC'!$K$11:$K1028,'Livro Diario - FC'!$E$11:$E1028,$C$253,'Livro Diario - FC'!$D$11:$D1028,"&gt;=01/09"&amp;$C$7,'Livro Diario - FC'!$D$11:$D1028,"&lt;=30/09"&amp;$C$7)</f>
        <v>0</v>
      </c>
      <c r="AP253" s="373">
        <f>SUMIFS('Livro Diario - FC'!$M$11:$M1028,'Livro Diario - FC'!$E$11:$E1028,$C$253,'Livro Diario - FC'!$D$11:$D1028,"&gt;=01/09"&amp;$C$7,'Livro Diario - FC'!$D$11:$D1028,"&lt;=30/09"&amp;$C$7)</f>
        <v>0</v>
      </c>
      <c r="AQ253" s="273"/>
      <c r="AR253" s="258"/>
      <c r="AS253" s="255">
        <f>SUMIFS('Livro Diario - FC'!$K$11:$K1028,'Livro Diario - FC'!$E$11:$E1028,$C$253,'Livro Diario - FC'!$D$11:$D1028,"&gt;=01/10"&amp;$C$7,'Livro Diario - FC'!$D$11:$D1028,"&lt;=31/10"&amp;$C$7)</f>
        <v>0</v>
      </c>
      <c r="AT253" s="373">
        <f>SUMIFS('Livro Diario - FC'!$M$11:$M1028,'Livro Diario - FC'!$E$11:$E1028,$C$253,'Livro Diario - FC'!$D$11:$D1028,"&gt;=01/10"&amp;$C$7,'Livro Diario - FC'!$D$11:$D1028,"&lt;=31/10"&amp;$C$7)</f>
        <v>0</v>
      </c>
      <c r="AU253" s="273"/>
      <c r="AV253" s="258"/>
      <c r="AW253" s="255">
        <f>SUMIFS('Livro Diario - FC'!$K$11:$K1028,'Livro Diario - FC'!$E$11:$E1028,$C$253,'Livro Diario - FC'!$D$11:$D1028,"&gt;=01/11"&amp;$C$7,'Livro Diario - FC'!$D$11:$D1028,"&lt;=30/11"&amp;$C$7)</f>
        <v>0</v>
      </c>
      <c r="AX253" s="373">
        <f>SUMIFS('Livro Diario - FC'!$M$11:$M1028,'Livro Diario - FC'!$E$11:$E1028,$C$253,'Livro Diario - FC'!$D$11:$D1028,"&gt;=01/11"&amp;$C$7,'Livro Diario - FC'!$D$11:$D1028,"&lt;=30/11"&amp;$C$7)</f>
        <v>0</v>
      </c>
      <c r="AY253" s="273"/>
      <c r="AZ253" s="258"/>
      <c r="BA253" s="255">
        <f>SUMIFS('Livro Diario - FC'!$K$11:$K1028,'Livro Diario - FC'!$E$11:$E1028,$C$253,'Livro Diario - FC'!$D$11:$D1028,"&gt;=01/12"&amp;$C$7,'Livro Diario - FC'!$D$11:$D1028,"&lt;=31/12"&amp;$C$7)</f>
        <v>0</v>
      </c>
      <c r="BB253" s="373">
        <f>SUMIFS('Livro Diario - FC'!$M$11:$M1028,'Livro Diario - FC'!$E$11:$E1028,$C$253,'Livro Diario - FC'!$D$11:$D1028,"&gt;=01/12"&amp;$C$7,'Livro Diario - FC'!$D$11:$D1028,"&lt;=31/12"&amp;$C$7)</f>
        <v>0</v>
      </c>
      <c r="BC253" s="273"/>
      <c r="BD253" s="273"/>
      <c r="BE253" s="267">
        <f t="shared" ref="BE253:BF253" si="399">SUM(D253,I253,N253,S253,X253,AC253,AG253,AK253,AO253,AS253,AW253,BA253)</f>
        <v>0</v>
      </c>
      <c r="BF253" s="268">
        <f t="shared" si="399"/>
        <v>0</v>
      </c>
      <c r="BG253" s="269"/>
      <c r="BH253" s="192"/>
      <c r="BI253" s="270">
        <f>SUMIFS('Livro Diario - FC'!$M$11:$M1028,'Livro Diario - FC'!$E$11:$E1028,C253,'Livro Diario - FC'!$D$11:$D1028,"&gt;="&amp;$BK$8,'Livro Diario - FC'!$D$11:$D1028,"&lt;="&amp;$BK$9)</f>
        <v>0</v>
      </c>
      <c r="BJ253" s="271"/>
      <c r="BK253" s="272"/>
      <c r="BL253" s="1"/>
    </row>
    <row r="254">
      <c r="A254" s="1"/>
      <c r="B254" s="1"/>
      <c r="C254" s="338" t="str">
        <f>'Livro Diario - FC'!AE262</f>
        <v>5.1.3 .</v>
      </c>
      <c r="D254" s="255">
        <f>SUMIFS('Livro Diario - FC'!$K$11:$K1028,'Livro Diario - FC'!$E$11:$E1028,$C$254,'Livro Diario - FC'!$D$11:$D1028,"&gt;=01/01"&amp;$C$7,'Livro Diario - FC'!$D$11:$D1028,"&lt;=31/01"&amp;$C$7)</f>
        <v>0</v>
      </c>
      <c r="E254" s="373">
        <f>SUMIFS('Livro Diario - FC'!$M$11:$M1028,'Livro Diario - FC'!$E$11:$E1028,$C$254,'Livro Diario - FC'!$D$11:$D1028,"&gt;=01/01"&amp;$C$7,'Livro Diario - FC'!$D$11:$D1028,"&lt;=31/01"&amp;$C$7)</f>
        <v>0</v>
      </c>
      <c r="F254" s="273"/>
      <c r="G254" s="258"/>
      <c r="H254" s="157"/>
      <c r="I254" s="255">
        <f>SUMIFS('Livro Diario - FC'!$K$11:$K1028,'Livro Diario - FC'!$E$11:$E1028,$C$254,'Livro Diario - FC'!$D$11:$D1028,"&gt;=01/02"&amp;$C$7,'Livro Diario - FC'!$D$11:$D1028,"&lt;=29/02"&amp;$C$7)</f>
        <v>0</v>
      </c>
      <c r="J254" s="373">
        <f>SUMIFS('Livro Diario - FC'!$M$11:$M1028,'Livro Diario - FC'!$E$11:$E1028,$C$254,'Livro Diario - FC'!$D$11:$D1028,"&gt;=01/02"&amp;$C$7,'Livro Diario - FC'!$D$11:$D1028,"&lt;=29/02"&amp;$C$7)</f>
        <v>0</v>
      </c>
      <c r="K254" s="273"/>
      <c r="L254" s="258"/>
      <c r="M254" s="259"/>
      <c r="N254" s="255">
        <f>SUMIFS('Livro Diario - FC'!$K$11:$K1028,'Livro Diario - FC'!$E$11:$E1028,$C$254,'Livro Diario - FC'!$D$11:$D1028,"&gt;=01/03"&amp;$C$7,'Livro Diario - FC'!$D$11:$D1028,"&lt;=31/03"&amp;$C$7)</f>
        <v>0</v>
      </c>
      <c r="O254" s="373">
        <f>SUMIFS('Livro Diario - FC'!$M$11:$M1028,'Livro Diario - FC'!$E$11:$E1028,$C$254,'Livro Diario - FC'!$D$11:$D1028,"&gt;=01/03"&amp;$C$7,'Livro Diario - FC'!$D$11:$D1028,"&lt;=31/03"&amp;$C$7)</f>
        <v>0</v>
      </c>
      <c r="P254" s="273"/>
      <c r="Q254" s="258"/>
      <c r="R254" s="259"/>
      <c r="S254" s="255">
        <f>SUMIFS('Livro Diario - FC'!$K$11:$K1028,'Livro Diario - FC'!$E$11:$E1028,$C$254,'Livro Diario - FC'!$D$11:$D1028,"&gt;=01/04"&amp;$C$7,'Livro Diario - FC'!$D$11:$D1028,"&lt;=30/04"&amp;$C$7)</f>
        <v>0</v>
      </c>
      <c r="T254" s="373">
        <f>SUMIFS('Livro Diario - FC'!$M$11:$M1028,'Livro Diario - FC'!$E$11:$E1028,$C$254,'Livro Diario - FC'!$D$11:$D1028,"&gt;=01/04"&amp;$C$7,'Livro Diario - FC'!$D$11:$D1028,"&lt;=30/04"&amp;$C$7)</f>
        <v>0</v>
      </c>
      <c r="U254" s="273"/>
      <c r="V254" s="258"/>
      <c r="W254" s="259"/>
      <c r="X254" s="255">
        <f>SUMIFS('Livro Diario - FC'!$K$11:$K1028,'Livro Diario - FC'!$E$11:$E1028,$C$254,'Livro Diario - FC'!$D$11:$D1028,"&gt;=01/05"&amp;$C$7,'Livro Diario - FC'!$D$11:$D1028,"&lt;=31/05"&amp;$C$7)</f>
        <v>0</v>
      </c>
      <c r="Y254" s="373">
        <f>SUMIFS('Livro Diario - FC'!$M$11:$M1028,'Livro Diario - FC'!$E$11:$E1028,$C$254,'Livro Diario - FC'!$D$11:$D1028,"&gt;=01/05"&amp;$C$7,'Livro Diario - FC'!$D$11:$D1028,"&lt;=31/05"&amp;$C$7)</f>
        <v>0</v>
      </c>
      <c r="Z254" s="273"/>
      <c r="AA254" s="258"/>
      <c r="AB254" s="259"/>
      <c r="AC254" s="255">
        <f>SUMIFS('Livro Diario - FC'!$K$11:$K1028,'Livro Diario - FC'!$E$11:$E1028,$C$254,'Livro Diario - FC'!$D$11:$D1028,"&gt;=01/06"&amp;$C$7,'Livro Diario - FC'!$D$11:$D1028,"&lt;=30/06"&amp;$C$7)</f>
        <v>0</v>
      </c>
      <c r="AD254" s="373">
        <f>SUMIFS('Livro Diario - FC'!$M$11:$M1028,'Livro Diario - FC'!$E$11:$E1028,$C$254,'Livro Diario - FC'!$D$11:$D1028,"&gt;=01/06"&amp;$C$7,'Livro Diario - FC'!$D$11:$D1028,"&lt;=30/06"&amp;$C$7)</f>
        <v>0</v>
      </c>
      <c r="AE254" s="273"/>
      <c r="AF254" s="258"/>
      <c r="AG254" s="255">
        <f>SUMIFS('Livro Diario - FC'!$K$11:$K1028,'Livro Diario - FC'!$E$11:$E1028,$C$254,'Livro Diario - FC'!$D$11:$D1028,"&gt;=01/07"&amp;$C$7,'Livro Diario - FC'!$D$11:$D1028,"&lt;=31/07"&amp;$C$7)</f>
        <v>0</v>
      </c>
      <c r="AH254" s="373">
        <f>SUMIFS('Livro Diario - FC'!$M$11:$M1028,'Livro Diario - FC'!$E$11:$E1028,$C$254,'Livro Diario - FC'!$D$11:$D1028,"&gt;=01/07"&amp;$C$7,'Livro Diario - FC'!$D$11:$D1028,"&lt;=31/07"&amp;$C$7)</f>
        <v>0</v>
      </c>
      <c r="AI254" s="273"/>
      <c r="AJ254" s="258"/>
      <c r="AK254" s="255">
        <f>SUMIFS('Livro Diario - FC'!$K$11:$K1028,'Livro Diario - FC'!$E$11:$E1028,$C$254,'Livro Diario - FC'!$D$11:$D1028,"&gt;=01/08"&amp;$C$7,'Livro Diario - FC'!$D$11:$D1028,"&lt;=31/08"&amp;$C$7)</f>
        <v>0</v>
      </c>
      <c r="AL254" s="373">
        <f>SUMIFS('Livro Diario - FC'!$M$11:$M1028,'Livro Diario - FC'!$E$11:$E1028,$C$254,'Livro Diario - FC'!$D$11:$D1028,"&gt;=01/08"&amp;$C$7,'Livro Diario - FC'!$D$11:$D1028,"&lt;=31/08"&amp;$C$7)</f>
        <v>0</v>
      </c>
      <c r="AM254" s="273"/>
      <c r="AN254" s="258"/>
      <c r="AO254" s="255">
        <f>SUMIFS('Livro Diario - FC'!$K$11:$K1028,'Livro Diario - FC'!$E$11:$E1028,$C$254,'Livro Diario - FC'!$D$11:$D1028,"&gt;=01/09"&amp;$C$7,'Livro Diario - FC'!$D$11:$D1028,"&lt;=30/09"&amp;$C$7)</f>
        <v>0</v>
      </c>
      <c r="AP254" s="373">
        <f>SUMIFS('Livro Diario - FC'!$M$11:$M1028,'Livro Diario - FC'!$E$11:$E1028,$C$254,'Livro Diario - FC'!$D$11:$D1028,"&gt;=01/09"&amp;$C$7,'Livro Diario - FC'!$D$11:$D1028,"&lt;=30/09"&amp;$C$7)</f>
        <v>0</v>
      </c>
      <c r="AQ254" s="273"/>
      <c r="AR254" s="258"/>
      <c r="AS254" s="255">
        <f>SUMIFS('Livro Diario - FC'!$K$11:$K1028,'Livro Diario - FC'!$E$11:$E1028,$C$254,'Livro Diario - FC'!$D$11:$D1028,"&gt;=01/10"&amp;$C$7,'Livro Diario - FC'!$D$11:$D1028,"&lt;=31/10"&amp;$C$7)</f>
        <v>0</v>
      </c>
      <c r="AT254" s="373">
        <f>SUMIFS('Livro Diario - FC'!$M$11:$M1028,'Livro Diario - FC'!$E$11:$E1028,$C$254,'Livro Diario - FC'!$D$11:$D1028,"&gt;=01/10"&amp;$C$7,'Livro Diario - FC'!$D$11:$D1028,"&lt;=31/10"&amp;$C$7)</f>
        <v>0</v>
      </c>
      <c r="AU254" s="273"/>
      <c r="AV254" s="258"/>
      <c r="AW254" s="255">
        <f>SUMIFS('Livro Diario - FC'!$K$11:$K1028,'Livro Diario - FC'!$E$11:$E1028,$C$254,'Livro Diario - FC'!$D$11:$D1028,"&gt;=01/11"&amp;$C$7,'Livro Diario - FC'!$D$11:$D1028,"&lt;=30/11"&amp;$C$7)</f>
        <v>0</v>
      </c>
      <c r="AX254" s="373">
        <f>SUMIFS('Livro Diario - FC'!$M$11:$M1028,'Livro Diario - FC'!$E$11:$E1028,$C$254,'Livro Diario - FC'!$D$11:$D1028,"&gt;=01/11"&amp;$C$7,'Livro Diario - FC'!$D$11:$D1028,"&lt;=30/11"&amp;$C$7)</f>
        <v>0</v>
      </c>
      <c r="AY254" s="273"/>
      <c r="AZ254" s="258"/>
      <c r="BA254" s="255">
        <f>SUMIFS('Livro Diario - FC'!$K$11:$K1028,'Livro Diario - FC'!$E$11:$E1028,$C$254,'Livro Diario - FC'!$D$11:$D1028,"&gt;=01/12"&amp;$C$7,'Livro Diario - FC'!$D$11:$D1028,"&lt;=31/12"&amp;$C$7)</f>
        <v>0</v>
      </c>
      <c r="BB254" s="373">
        <f>SUMIFS('Livro Diario - FC'!$M$11:$M1028,'Livro Diario - FC'!$E$11:$E1028,$C$254,'Livro Diario - FC'!$D$11:$D1028,"&gt;=01/12"&amp;$C$7,'Livro Diario - FC'!$D$11:$D1028,"&lt;=31/12"&amp;$C$7)</f>
        <v>0</v>
      </c>
      <c r="BC254" s="273"/>
      <c r="BD254" s="273"/>
      <c r="BE254" s="267">
        <f t="shared" ref="BE254:BF254" si="400">SUM(D254,I254,N254,S254,X254,AC254,AG254,AK254,AO254,AS254,AW254,BA254)</f>
        <v>0</v>
      </c>
      <c r="BF254" s="268">
        <f t="shared" si="400"/>
        <v>0</v>
      </c>
      <c r="BG254" s="269"/>
      <c r="BH254" s="192"/>
      <c r="BI254" s="270">
        <f>SUMIFS('Livro Diario - FC'!$M$11:$M1028,'Livro Diario - FC'!$E$11:$E1028,C254,'Livro Diario - FC'!$D$11:$D1028,"&gt;="&amp;$BK$8,'Livro Diario - FC'!$D$11:$D1028,"&lt;="&amp;$BK$9)</f>
        <v>0</v>
      </c>
      <c r="BJ254" s="271"/>
      <c r="BK254" s="272"/>
      <c r="BL254" s="1"/>
    </row>
    <row r="255">
      <c r="A255" s="1"/>
      <c r="B255" s="1"/>
      <c r="C255" s="338" t="str">
        <f>'Livro Diario - FC'!AE263</f>
        <v>5.1.4 Outros custos com despesas financeiras</v>
      </c>
      <c r="D255" s="255">
        <f>SUMIFS('Livro Diario - FC'!$K$11:$K1028,'Livro Diario - FC'!$E$11:$E1028,$C$255,'Livro Diario - FC'!$D$11:$D1028,"&gt;=01/01"&amp;$C$7,'Livro Diario - FC'!$D$11:$D1028,"&lt;=31/01"&amp;$C$7)</f>
        <v>0</v>
      </c>
      <c r="E255" s="373">
        <f>SUMIFS('Livro Diario - FC'!$M$11:$M1028,'Livro Diario - FC'!$E$11:$E1028,$C$255,'Livro Diario - FC'!$D$11:$D1028,"&gt;=01/01"&amp;$C$7,'Livro Diario - FC'!$D$11:$D1028,"&lt;=31/01"&amp;$C$7)</f>
        <v>0</v>
      </c>
      <c r="F255" s="273"/>
      <c r="G255" s="258"/>
      <c r="H255" s="157"/>
      <c r="I255" s="255">
        <f>SUMIFS('Livro Diario - FC'!$K$11:$K1028,'Livro Diario - FC'!$E$11:$E1028,$C$255,'Livro Diario - FC'!$D$11:$D1028,"&gt;=01/02"&amp;$C$7,'Livro Diario - FC'!$D$11:$D1028,"&lt;=29/02"&amp;$C$7)</f>
        <v>0</v>
      </c>
      <c r="J255" s="373">
        <f>SUMIFS('Livro Diario - FC'!$M$11:$M1028,'Livro Diario - FC'!$E$11:$E1028,$C$255,'Livro Diario - FC'!$D$11:$D1028,"&gt;=01/02"&amp;$C$7,'Livro Diario - FC'!$D$11:$D1028,"&lt;=29/02"&amp;$C$7)</f>
        <v>0</v>
      </c>
      <c r="K255" s="273"/>
      <c r="L255" s="258"/>
      <c r="M255" s="259"/>
      <c r="N255" s="255">
        <f>SUMIFS('Livro Diario - FC'!$K$11:$K1028,'Livro Diario - FC'!$E$11:$E1028,$C$255,'Livro Diario - FC'!$D$11:$D1028,"&gt;=01/03"&amp;$C$7,'Livro Diario - FC'!$D$11:$D1028,"&lt;=31/03"&amp;$C$7)</f>
        <v>0</v>
      </c>
      <c r="O255" s="373">
        <f>SUMIFS('Livro Diario - FC'!$M$11:$M1028,'Livro Diario - FC'!$E$11:$E1028,$C$255,'Livro Diario - FC'!$D$11:$D1028,"&gt;=01/03"&amp;$C$7,'Livro Diario - FC'!$D$11:$D1028,"&lt;=31/03"&amp;$C$7)</f>
        <v>0</v>
      </c>
      <c r="P255" s="273"/>
      <c r="Q255" s="258"/>
      <c r="R255" s="259"/>
      <c r="S255" s="255">
        <f>SUMIFS('Livro Diario - FC'!$K$11:$K1028,'Livro Diario - FC'!$E$11:$E1028,$C$255,'Livro Diario - FC'!$D$11:$D1028,"&gt;=01/04"&amp;$C$7,'Livro Diario - FC'!$D$11:$D1028,"&lt;=30/04"&amp;$C$7)</f>
        <v>0</v>
      </c>
      <c r="T255" s="373">
        <f>SUMIFS('Livro Diario - FC'!$M$11:$M1028,'Livro Diario - FC'!$E$11:$E1028,$C$255,'Livro Diario - FC'!$D$11:$D1028,"&gt;=01/04"&amp;$C$7,'Livro Diario - FC'!$D$11:$D1028,"&lt;=30/04"&amp;$C$7)</f>
        <v>0</v>
      </c>
      <c r="U255" s="273"/>
      <c r="V255" s="258"/>
      <c r="W255" s="259"/>
      <c r="X255" s="255">
        <f>SUMIFS('Livro Diario - FC'!$K$11:$K1028,'Livro Diario - FC'!$E$11:$E1028,$C$255,'Livro Diario - FC'!$D$11:$D1028,"&gt;=01/05"&amp;$C$7,'Livro Diario - FC'!$D$11:$D1028,"&lt;=31/05"&amp;$C$7)</f>
        <v>0</v>
      </c>
      <c r="Y255" s="373">
        <f>SUMIFS('Livro Diario - FC'!$M$11:$M1028,'Livro Diario - FC'!$E$11:$E1028,$C$255,'Livro Diario - FC'!$D$11:$D1028,"&gt;=01/05"&amp;$C$7,'Livro Diario - FC'!$D$11:$D1028,"&lt;=31/05"&amp;$C$7)</f>
        <v>0</v>
      </c>
      <c r="Z255" s="273"/>
      <c r="AA255" s="258"/>
      <c r="AB255" s="259"/>
      <c r="AC255" s="255">
        <f>SUMIFS('Livro Diario - FC'!$K$11:$K1028,'Livro Diario - FC'!$E$11:$E1028,$C$255,'Livro Diario - FC'!$D$11:$D1028,"&gt;=01/06"&amp;$C$7,'Livro Diario - FC'!$D$11:$D1028,"&lt;=30/06"&amp;$C$7)</f>
        <v>0</v>
      </c>
      <c r="AD255" s="373">
        <f>SUMIFS('Livro Diario - FC'!$M$11:$M1028,'Livro Diario - FC'!$E$11:$E1028,$C$255,'Livro Diario - FC'!$D$11:$D1028,"&gt;=01/06"&amp;$C$7,'Livro Diario - FC'!$D$11:$D1028,"&lt;=30/06"&amp;$C$7)</f>
        <v>0</v>
      </c>
      <c r="AE255" s="273"/>
      <c r="AF255" s="258"/>
      <c r="AG255" s="255">
        <f>SUMIFS('Livro Diario - FC'!$K$11:$K1028,'Livro Diario - FC'!$E$11:$E1028,$C$255,'Livro Diario - FC'!$D$11:$D1028,"&gt;=01/07"&amp;$C$7,'Livro Diario - FC'!$D$11:$D1028,"&lt;=31/07"&amp;$C$7)</f>
        <v>0</v>
      </c>
      <c r="AH255" s="373">
        <f>SUMIFS('Livro Diario - FC'!$M$11:$M1028,'Livro Diario - FC'!$E$11:$E1028,$C$255,'Livro Diario - FC'!$D$11:$D1028,"&gt;=01/07"&amp;$C$7,'Livro Diario - FC'!$D$11:$D1028,"&lt;=31/07"&amp;$C$7)</f>
        <v>0</v>
      </c>
      <c r="AI255" s="273"/>
      <c r="AJ255" s="258"/>
      <c r="AK255" s="255">
        <f>SUMIFS('Livro Diario - FC'!$K$11:$K1028,'Livro Diario - FC'!$E$11:$E1028,$C$255,'Livro Diario - FC'!$D$11:$D1028,"&gt;=01/08"&amp;$C$7,'Livro Diario - FC'!$D$11:$D1028,"&lt;=31/08"&amp;$C$7)</f>
        <v>0</v>
      </c>
      <c r="AL255" s="373">
        <f>SUMIFS('Livro Diario - FC'!$M$11:$M1028,'Livro Diario - FC'!$E$11:$E1028,$C$255,'Livro Diario - FC'!$D$11:$D1028,"&gt;=01/08"&amp;$C$7,'Livro Diario - FC'!$D$11:$D1028,"&lt;=31/08"&amp;$C$7)</f>
        <v>0</v>
      </c>
      <c r="AM255" s="273"/>
      <c r="AN255" s="258"/>
      <c r="AO255" s="255">
        <f>SUMIFS('Livro Diario - FC'!$K$11:$K1028,'Livro Diario - FC'!$E$11:$E1028,$C$255,'Livro Diario - FC'!$D$11:$D1028,"&gt;=01/09"&amp;$C$7,'Livro Diario - FC'!$D$11:$D1028,"&lt;=30/09"&amp;$C$7)</f>
        <v>0</v>
      </c>
      <c r="AP255" s="373">
        <f>SUMIFS('Livro Diario - FC'!$M$11:$M1028,'Livro Diario - FC'!$E$11:$E1028,$C$255,'Livro Diario - FC'!$D$11:$D1028,"&gt;=01/09"&amp;$C$7,'Livro Diario - FC'!$D$11:$D1028,"&lt;=30/09"&amp;$C$7)</f>
        <v>0</v>
      </c>
      <c r="AQ255" s="273"/>
      <c r="AR255" s="258"/>
      <c r="AS255" s="255">
        <f>SUMIFS('Livro Diario - FC'!$K$11:$K1028,'Livro Diario - FC'!$E$11:$E1028,$C$255,'Livro Diario - FC'!$D$11:$D1028,"&gt;=01/10"&amp;$C$7,'Livro Diario - FC'!$D$11:$D1028,"&lt;=31/10"&amp;$C$7)</f>
        <v>0</v>
      </c>
      <c r="AT255" s="373">
        <f>SUMIFS('Livro Diario - FC'!$M$11:$M1028,'Livro Diario - FC'!$E$11:$E1028,$C$255,'Livro Diario - FC'!$D$11:$D1028,"&gt;=01/10"&amp;$C$7,'Livro Diario - FC'!$D$11:$D1028,"&lt;=31/10"&amp;$C$7)</f>
        <v>0</v>
      </c>
      <c r="AU255" s="273"/>
      <c r="AV255" s="258"/>
      <c r="AW255" s="255">
        <f>SUMIFS('Livro Diario - FC'!$K$11:$K1028,'Livro Diario - FC'!$E$11:$E1028,$C$255,'Livro Diario - FC'!$D$11:$D1028,"&gt;=01/11"&amp;$C$7,'Livro Diario - FC'!$D$11:$D1028,"&lt;=30/11"&amp;$C$7)</f>
        <v>0</v>
      </c>
      <c r="AX255" s="373">
        <f>SUMIFS('Livro Diario - FC'!$M$11:$M1028,'Livro Diario - FC'!$E$11:$E1028,$C$255,'Livro Diario - FC'!$D$11:$D1028,"&gt;=01/11"&amp;$C$7,'Livro Diario - FC'!$D$11:$D1028,"&lt;=30/11"&amp;$C$7)</f>
        <v>0</v>
      </c>
      <c r="AY255" s="273"/>
      <c r="AZ255" s="258"/>
      <c r="BA255" s="255">
        <f>SUMIFS('Livro Diario - FC'!$K$11:$K1028,'Livro Diario - FC'!$E$11:$E1028,$C$255,'Livro Diario - FC'!$D$11:$D1028,"&gt;=01/12"&amp;$C$7,'Livro Diario - FC'!$D$11:$D1028,"&lt;=31/12"&amp;$C$7)</f>
        <v>0</v>
      </c>
      <c r="BB255" s="373">
        <f>SUMIFS('Livro Diario - FC'!$M$11:$M1028,'Livro Diario - FC'!$E$11:$E1028,$C$255,'Livro Diario - FC'!$D$11:$D1028,"&gt;=01/12"&amp;$C$7,'Livro Diario - FC'!$D$11:$D1028,"&lt;=31/12"&amp;$C$7)</f>
        <v>0</v>
      </c>
      <c r="BC255" s="273"/>
      <c r="BD255" s="273"/>
      <c r="BE255" s="267">
        <f t="shared" ref="BE255:BF255" si="401">SUM(D255,I255,N255,S255,X255,AC255,AG255,AK255,AO255,AS255,AW255,BA255)</f>
        <v>0</v>
      </c>
      <c r="BF255" s="268">
        <f t="shared" si="401"/>
        <v>0</v>
      </c>
      <c r="BG255" s="269"/>
      <c r="BH255" s="192"/>
      <c r="BI255" s="270">
        <f>SUMIFS('Livro Diario - FC'!$M$11:$M1028,'Livro Diario - FC'!$E$11:$E1028,C255,'Livro Diario - FC'!$D$11:$D1028,"&gt;="&amp;$BK$8,'Livro Diario - FC'!$D$11:$D1028,"&lt;="&amp;$BK$9)</f>
        <v>0</v>
      </c>
      <c r="BJ255" s="271"/>
      <c r="BK255" s="272"/>
      <c r="BL255" s="1"/>
    </row>
    <row r="256">
      <c r="A256" s="1"/>
      <c r="B256" s="1"/>
      <c r="C256" s="338" t="str">
        <f>'Livro Diario - FC'!AE264</f>
        <v>5.1.5 Emprestimos</v>
      </c>
      <c r="D256" s="255">
        <f>SUMIFS('Livro Diario - FC'!$K$11:$K1028,'Livro Diario - FC'!$E$11:$E1028,$C$256,'Livro Diario - FC'!$D$11:$D1028,"&gt;=01/01"&amp;$C$7,'Livro Diario - FC'!$D$11:$D1028,"&lt;=31/01"&amp;$C$7)</f>
        <v>0</v>
      </c>
      <c r="E256" s="373">
        <f>SUMIFS('Livro Diario - FC'!$M$11:$M1028,'Livro Diario - FC'!$E$11:$E1028,$C$256,'Livro Diario - FC'!$D$11:$D1028,"&gt;=01/01"&amp;$C$7,'Livro Diario - FC'!$D$11:$D1028,"&lt;=31/01"&amp;$C$7)</f>
        <v>0</v>
      </c>
      <c r="F256" s="273"/>
      <c r="G256" s="258"/>
      <c r="H256" s="157"/>
      <c r="I256" s="255">
        <f>SUMIFS('Livro Diario - FC'!$K$11:$K1028,'Livro Diario - FC'!$E$11:$E1028,$C$256,'Livro Diario - FC'!$D$11:$D1028,"&gt;=01/02"&amp;$C$7,'Livro Diario - FC'!$D$11:$D1028,"&lt;=29/02"&amp;$C$7)</f>
        <v>0</v>
      </c>
      <c r="J256" s="373">
        <f>SUMIFS('Livro Diario - FC'!$M$11:$M1028,'Livro Diario - FC'!$E$11:$E1028,$C$256,'Livro Diario - FC'!$D$11:$D1028,"&gt;=01/02"&amp;$C$7,'Livro Diario - FC'!$D$11:$D1028,"&lt;=29/02"&amp;$C$7)</f>
        <v>0</v>
      </c>
      <c r="K256" s="273"/>
      <c r="L256" s="258"/>
      <c r="M256" s="259"/>
      <c r="N256" s="255">
        <f>SUMIFS('Livro Diario - FC'!$K$11:$K1028,'Livro Diario - FC'!$E$11:$E1028,$C$256,'Livro Diario - FC'!$D$11:$D1028,"&gt;=01/03"&amp;$C$7,'Livro Diario - FC'!$D$11:$D1028,"&lt;=31/03"&amp;$C$7)</f>
        <v>0</v>
      </c>
      <c r="O256" s="373">
        <f>SUMIFS('Livro Diario - FC'!$M$11:$M1028,'Livro Diario - FC'!$E$11:$E1028,$C$256,'Livro Diario - FC'!$D$11:$D1028,"&gt;=01/03"&amp;$C$7,'Livro Diario - FC'!$D$11:$D1028,"&lt;=31/03"&amp;$C$7)</f>
        <v>0</v>
      </c>
      <c r="P256" s="273"/>
      <c r="Q256" s="258"/>
      <c r="R256" s="259"/>
      <c r="S256" s="255">
        <f>SUMIFS('Livro Diario - FC'!$K$11:$K1028,'Livro Diario - FC'!$E$11:$E1028,$C$256,'Livro Diario - FC'!$D$11:$D1028,"&gt;=01/04"&amp;$C$7,'Livro Diario - FC'!$D$11:$D1028,"&lt;=30/04"&amp;$C$7)</f>
        <v>0</v>
      </c>
      <c r="T256" s="373">
        <f>SUMIFS('Livro Diario - FC'!$M$11:$M1028,'Livro Diario - FC'!$E$11:$E1028,$C$256,'Livro Diario - FC'!$D$11:$D1028,"&gt;=01/04"&amp;$C$7,'Livro Diario - FC'!$D$11:$D1028,"&lt;=30/04"&amp;$C$7)</f>
        <v>0</v>
      </c>
      <c r="U256" s="273"/>
      <c r="V256" s="258"/>
      <c r="W256" s="259"/>
      <c r="X256" s="255">
        <f>SUMIFS('Livro Diario - FC'!$K$11:$K1028,'Livro Diario - FC'!$E$11:$E1028,$C$256,'Livro Diario - FC'!$D$11:$D1028,"&gt;=01/05"&amp;$C$7,'Livro Diario - FC'!$D$11:$D1028,"&lt;=31/05"&amp;$C$7)</f>
        <v>0</v>
      </c>
      <c r="Y256" s="373">
        <f>SUMIFS('Livro Diario - FC'!$M$11:$M1028,'Livro Diario - FC'!$E$11:$E1028,$C$256,'Livro Diario - FC'!$D$11:$D1028,"&gt;=01/05"&amp;$C$7,'Livro Diario - FC'!$D$11:$D1028,"&lt;=31/05"&amp;$C$7)</f>
        <v>0</v>
      </c>
      <c r="Z256" s="273"/>
      <c r="AA256" s="258"/>
      <c r="AB256" s="259"/>
      <c r="AC256" s="255">
        <f>SUMIFS('Livro Diario - FC'!$K$11:$K1028,'Livro Diario - FC'!$E$11:$E1028,$C$256,'Livro Diario - FC'!$D$11:$D1028,"&gt;=01/06"&amp;$C$7,'Livro Diario - FC'!$D$11:$D1028,"&lt;=30/06"&amp;$C$7)</f>
        <v>0</v>
      </c>
      <c r="AD256" s="373">
        <f>SUMIFS('Livro Diario - FC'!$M$11:$M1028,'Livro Diario - FC'!$E$11:$E1028,$C$256,'Livro Diario - FC'!$D$11:$D1028,"&gt;=01/06"&amp;$C$7,'Livro Diario - FC'!$D$11:$D1028,"&lt;=30/06"&amp;$C$7)</f>
        <v>0</v>
      </c>
      <c r="AE256" s="273"/>
      <c r="AF256" s="258"/>
      <c r="AG256" s="255">
        <f>SUMIFS('Livro Diario - FC'!$K$11:$K1028,'Livro Diario - FC'!$E$11:$E1028,$C$256,'Livro Diario - FC'!$D$11:$D1028,"&gt;=01/07"&amp;$C$7,'Livro Diario - FC'!$D$11:$D1028,"&lt;=31/07"&amp;$C$7)</f>
        <v>0</v>
      </c>
      <c r="AH256" s="373">
        <f>SUMIFS('Livro Diario - FC'!$M$11:$M1028,'Livro Diario - FC'!$E$11:$E1028,$C$256,'Livro Diario - FC'!$D$11:$D1028,"&gt;=01/07"&amp;$C$7,'Livro Diario - FC'!$D$11:$D1028,"&lt;=31/07"&amp;$C$7)</f>
        <v>0</v>
      </c>
      <c r="AI256" s="273"/>
      <c r="AJ256" s="258"/>
      <c r="AK256" s="255">
        <f>SUMIFS('Livro Diario - FC'!$K$11:$K1028,'Livro Diario - FC'!$E$11:$E1028,$C$256,'Livro Diario - FC'!$D$11:$D1028,"&gt;=01/08"&amp;$C$7,'Livro Diario - FC'!$D$11:$D1028,"&lt;=31/08"&amp;$C$7)</f>
        <v>0</v>
      </c>
      <c r="AL256" s="373">
        <f>SUMIFS('Livro Diario - FC'!$M$11:$M1028,'Livro Diario - FC'!$E$11:$E1028,$C$256,'Livro Diario - FC'!$D$11:$D1028,"&gt;=01/08"&amp;$C$7,'Livro Diario - FC'!$D$11:$D1028,"&lt;=31/08"&amp;$C$7)</f>
        <v>0</v>
      </c>
      <c r="AM256" s="273"/>
      <c r="AN256" s="258"/>
      <c r="AO256" s="255">
        <f>SUMIFS('Livro Diario - FC'!$K$11:$K1028,'Livro Diario - FC'!$E$11:$E1028,$C$256,'Livro Diario - FC'!$D$11:$D1028,"&gt;=01/09"&amp;$C$7,'Livro Diario - FC'!$D$11:$D1028,"&lt;=30/09"&amp;$C$7)</f>
        <v>0</v>
      </c>
      <c r="AP256" s="373">
        <f>SUMIFS('Livro Diario - FC'!$M$11:$M1028,'Livro Diario - FC'!$E$11:$E1028,$C$256,'Livro Diario - FC'!$D$11:$D1028,"&gt;=01/09"&amp;$C$7,'Livro Diario - FC'!$D$11:$D1028,"&lt;=30/09"&amp;$C$7)</f>
        <v>0</v>
      </c>
      <c r="AQ256" s="273"/>
      <c r="AR256" s="258"/>
      <c r="AS256" s="255">
        <f>SUMIFS('Livro Diario - FC'!$K$11:$K1028,'Livro Diario - FC'!$E$11:$E1028,$C$256,'Livro Diario - FC'!$D$11:$D1028,"&gt;=01/10"&amp;$C$7,'Livro Diario - FC'!$D$11:$D1028,"&lt;=31/10"&amp;$C$7)</f>
        <v>0</v>
      </c>
      <c r="AT256" s="373">
        <f>SUMIFS('Livro Diario - FC'!$M$11:$M1028,'Livro Diario - FC'!$E$11:$E1028,$C$256,'Livro Diario - FC'!$D$11:$D1028,"&gt;=01/10"&amp;$C$7,'Livro Diario - FC'!$D$11:$D1028,"&lt;=31/10"&amp;$C$7)</f>
        <v>0</v>
      </c>
      <c r="AU256" s="273"/>
      <c r="AV256" s="258"/>
      <c r="AW256" s="255">
        <f>SUMIFS('Livro Diario - FC'!$K$11:$K1028,'Livro Diario - FC'!$E$11:$E1028,$C$256,'Livro Diario - FC'!$D$11:$D1028,"&gt;=01/11"&amp;$C$7,'Livro Diario - FC'!$D$11:$D1028,"&lt;=30/11"&amp;$C$7)</f>
        <v>0</v>
      </c>
      <c r="AX256" s="373">
        <f>SUMIFS('Livro Diario - FC'!$M$11:$M1028,'Livro Diario - FC'!$E$11:$E1028,$C$256,'Livro Diario - FC'!$D$11:$D1028,"&gt;=01/11"&amp;$C$7,'Livro Diario - FC'!$D$11:$D1028,"&lt;=30/11"&amp;$C$7)</f>
        <v>0</v>
      </c>
      <c r="AY256" s="273"/>
      <c r="AZ256" s="258"/>
      <c r="BA256" s="255">
        <f>SUMIFS('Livro Diario - FC'!$K$11:$K1028,'Livro Diario - FC'!$E$11:$E1028,$C$256,'Livro Diario - FC'!$D$11:$D1028,"&gt;=01/12"&amp;$C$7,'Livro Diario - FC'!$D$11:$D1028,"&lt;=31/12"&amp;$C$7)</f>
        <v>0</v>
      </c>
      <c r="BB256" s="373">
        <f>SUMIFS('Livro Diario - FC'!$M$11:$M1028,'Livro Diario - FC'!$E$11:$E1028,$C$256,'Livro Diario - FC'!$D$11:$D1028,"&gt;=01/12"&amp;$C$7,'Livro Diario - FC'!$D$11:$D1028,"&lt;=31/12"&amp;$C$7)</f>
        <v>0</v>
      </c>
      <c r="BC256" s="273"/>
      <c r="BD256" s="273"/>
      <c r="BE256" s="267">
        <f t="shared" ref="BE256:BF256" si="402">SUM(D256,I256,N256,S256,X256,AC256,AG256,AK256,AO256,AS256,AW256,BA256)</f>
        <v>0</v>
      </c>
      <c r="BF256" s="268">
        <f t="shared" si="402"/>
        <v>0</v>
      </c>
      <c r="BG256" s="269"/>
      <c r="BH256" s="192"/>
      <c r="BI256" s="270">
        <f>SUMIFS('Livro Diario - FC'!$M$11:$M1028,'Livro Diario - FC'!$E$11:$E1028,C256,'Livro Diario - FC'!$D$11:$D1028,"&gt;="&amp;$BK$8,'Livro Diario - FC'!$D$11:$D1028,"&lt;="&amp;$BK$9)</f>
        <v>0</v>
      </c>
      <c r="BJ256" s="271"/>
      <c r="BK256" s="272"/>
      <c r="BL256" s="1"/>
    </row>
    <row r="257">
      <c r="A257" s="1"/>
      <c r="B257" s="1"/>
      <c r="C257" s="338" t="str">
        <f>'Livro Diario - FC'!AE265</f>
        <v>5.1.6 Imposto Bombeiros</v>
      </c>
      <c r="D257" s="255">
        <f>SUMIFS('Livro Diario - FC'!$K$11:$K1028,'Livro Diario - FC'!$E$11:$E1028,$C$257,'Livro Diario - FC'!$D$11:$D1028,"&gt;=01/01"&amp;$C$7,'Livro Diario - FC'!$D$11:$D1028,"&lt;=31/01"&amp;$C$7)</f>
        <v>0</v>
      </c>
      <c r="E257" s="373">
        <f>SUMIFS('Livro Diario - FC'!$M$11:$M1028,'Livro Diario - FC'!$E$11:$E1028,$C$257,'Livro Diario - FC'!$D$11:$D1028,"&gt;=01/01"&amp;$C$7,'Livro Diario - FC'!$D$11:$D1028,"&lt;=31/01"&amp;$C$7)</f>
        <v>0</v>
      </c>
      <c r="F257" s="273"/>
      <c r="G257" s="258"/>
      <c r="H257" s="157"/>
      <c r="I257" s="255">
        <f>SUMIFS('Livro Diario - FC'!$K$11:$K1028,'Livro Diario - FC'!$E$11:$E1028,$C$257,'Livro Diario - FC'!$D$11:$D1028,"&gt;=01/02"&amp;$C$7,'Livro Diario - FC'!$D$11:$D1028,"&lt;=29/02"&amp;$C$7)</f>
        <v>0</v>
      </c>
      <c r="J257" s="373">
        <f>SUMIFS('Livro Diario - FC'!$M$11:$M1028,'Livro Diario - FC'!$E$11:$E1028,$C$257,'Livro Diario - FC'!$D$11:$D1028,"&gt;=01/02"&amp;$C$7,'Livro Diario - FC'!$D$11:$D1028,"&lt;=29/02"&amp;$C$7)</f>
        <v>0</v>
      </c>
      <c r="K257" s="273"/>
      <c r="L257" s="258"/>
      <c r="M257" s="259"/>
      <c r="N257" s="255">
        <f>SUMIFS('Livro Diario - FC'!$K$11:$K1028,'Livro Diario - FC'!$E$11:$E1028,$C$257,'Livro Diario - FC'!$D$11:$D1028,"&gt;=01/03"&amp;$C$7,'Livro Diario - FC'!$D$11:$D1028,"&lt;=31/03"&amp;$C$7)</f>
        <v>0</v>
      </c>
      <c r="O257" s="373">
        <f>SUMIFS('Livro Diario - FC'!$M$11:$M1028,'Livro Diario - FC'!$E$11:$E1028,$C$257,'Livro Diario - FC'!$D$11:$D1028,"&gt;=01/03"&amp;$C$7,'Livro Diario - FC'!$D$11:$D1028,"&lt;=31/03"&amp;$C$7)</f>
        <v>0</v>
      </c>
      <c r="P257" s="273"/>
      <c r="Q257" s="258"/>
      <c r="R257" s="259"/>
      <c r="S257" s="255">
        <f>SUMIFS('Livro Diario - FC'!$K$11:$K1028,'Livro Diario - FC'!$E$11:$E1028,$C$257,'Livro Diario - FC'!$D$11:$D1028,"&gt;=01/04"&amp;$C$7,'Livro Diario - FC'!$D$11:$D1028,"&lt;=30/04"&amp;$C$7)</f>
        <v>0</v>
      </c>
      <c r="T257" s="373">
        <f>SUMIFS('Livro Diario - FC'!$M$11:$M1028,'Livro Diario - FC'!$E$11:$E1028,$C$257,'Livro Diario - FC'!$D$11:$D1028,"&gt;=01/04"&amp;$C$7,'Livro Diario - FC'!$D$11:$D1028,"&lt;=30/04"&amp;$C$7)</f>
        <v>0</v>
      </c>
      <c r="U257" s="273"/>
      <c r="V257" s="258"/>
      <c r="W257" s="259"/>
      <c r="X257" s="255">
        <f>SUMIFS('Livro Diario - FC'!$K$11:$K1028,'Livro Diario - FC'!$E$11:$E1028,$C$257,'Livro Diario - FC'!$D$11:$D1028,"&gt;=01/05"&amp;$C$7,'Livro Diario - FC'!$D$11:$D1028,"&lt;=31/05"&amp;$C$7)</f>
        <v>0</v>
      </c>
      <c r="Y257" s="373">
        <f>SUMIFS('Livro Diario - FC'!$M$11:$M1028,'Livro Diario - FC'!$E$11:$E1028,$C$257,'Livro Diario - FC'!$D$11:$D1028,"&gt;=01/05"&amp;$C$7,'Livro Diario - FC'!$D$11:$D1028,"&lt;=31/05"&amp;$C$7)</f>
        <v>0</v>
      </c>
      <c r="Z257" s="273"/>
      <c r="AA257" s="258"/>
      <c r="AB257" s="259"/>
      <c r="AC257" s="255">
        <f>SUMIFS('Livro Diario - FC'!$K$11:$K1028,'Livro Diario - FC'!$E$11:$E1028,$C$257,'Livro Diario - FC'!$D$11:$D1028,"&gt;=01/06"&amp;$C$7,'Livro Diario - FC'!$D$11:$D1028,"&lt;=30/06"&amp;$C$7)</f>
        <v>0</v>
      </c>
      <c r="AD257" s="373">
        <f>SUMIFS('Livro Diario - FC'!$M$11:$M1028,'Livro Diario - FC'!$E$11:$E1028,$C$257,'Livro Diario - FC'!$D$11:$D1028,"&gt;=01/06"&amp;$C$7,'Livro Diario - FC'!$D$11:$D1028,"&lt;=30/06"&amp;$C$7)</f>
        <v>0</v>
      </c>
      <c r="AE257" s="273"/>
      <c r="AF257" s="258"/>
      <c r="AG257" s="255">
        <f>SUMIFS('Livro Diario - FC'!$K$11:$K1028,'Livro Diario - FC'!$E$11:$E1028,$C$257,'Livro Diario - FC'!$D$11:$D1028,"&gt;=01/07"&amp;$C$7,'Livro Diario - FC'!$D$11:$D1028,"&lt;=31/07"&amp;$C$7)</f>
        <v>0</v>
      </c>
      <c r="AH257" s="373">
        <f>SUMIFS('Livro Diario - FC'!$M$11:$M1028,'Livro Diario - FC'!$E$11:$E1028,$C$257,'Livro Diario - FC'!$D$11:$D1028,"&gt;=01/07"&amp;$C$7,'Livro Diario - FC'!$D$11:$D1028,"&lt;=31/07"&amp;$C$7)</f>
        <v>0</v>
      </c>
      <c r="AI257" s="273"/>
      <c r="AJ257" s="258"/>
      <c r="AK257" s="255">
        <f>SUMIFS('Livro Diario - FC'!$K$11:$K1028,'Livro Diario - FC'!$E$11:$E1028,$C$257,'Livro Diario - FC'!$D$11:$D1028,"&gt;=01/08"&amp;$C$7,'Livro Diario - FC'!$D$11:$D1028,"&lt;=31/08"&amp;$C$7)</f>
        <v>0</v>
      </c>
      <c r="AL257" s="373">
        <f>SUMIFS('Livro Diario - FC'!$M$11:$M1028,'Livro Diario - FC'!$E$11:$E1028,$C$257,'Livro Diario - FC'!$D$11:$D1028,"&gt;=01/08"&amp;$C$7,'Livro Diario - FC'!$D$11:$D1028,"&lt;=31/08"&amp;$C$7)</f>
        <v>0</v>
      </c>
      <c r="AM257" s="273"/>
      <c r="AN257" s="258"/>
      <c r="AO257" s="255">
        <f>SUMIFS('Livro Diario - FC'!$K$11:$K1028,'Livro Diario - FC'!$E$11:$E1028,$C$257,'Livro Diario - FC'!$D$11:$D1028,"&gt;=01/09"&amp;$C$7,'Livro Diario - FC'!$D$11:$D1028,"&lt;=30/09"&amp;$C$7)</f>
        <v>0</v>
      </c>
      <c r="AP257" s="373">
        <f>SUMIFS('Livro Diario - FC'!$M$11:$M1028,'Livro Diario - FC'!$E$11:$E1028,$C$257,'Livro Diario - FC'!$D$11:$D1028,"&gt;=01/09"&amp;$C$7,'Livro Diario - FC'!$D$11:$D1028,"&lt;=30/09"&amp;$C$7)</f>
        <v>0</v>
      </c>
      <c r="AQ257" s="273"/>
      <c r="AR257" s="258"/>
      <c r="AS257" s="255">
        <f>SUMIFS('Livro Diario - FC'!$K$11:$K1028,'Livro Diario - FC'!$E$11:$E1028,$C$257,'Livro Diario - FC'!$D$11:$D1028,"&gt;=01/10"&amp;$C$7,'Livro Diario - FC'!$D$11:$D1028,"&lt;=31/10"&amp;$C$7)</f>
        <v>0</v>
      </c>
      <c r="AT257" s="373">
        <f>SUMIFS('Livro Diario - FC'!$M$11:$M1028,'Livro Diario - FC'!$E$11:$E1028,$C$257,'Livro Diario - FC'!$D$11:$D1028,"&gt;=01/10"&amp;$C$7,'Livro Diario - FC'!$D$11:$D1028,"&lt;=31/10"&amp;$C$7)</f>
        <v>0</v>
      </c>
      <c r="AU257" s="273"/>
      <c r="AV257" s="258"/>
      <c r="AW257" s="255">
        <f>SUMIFS('Livro Diario - FC'!$K$11:$K1028,'Livro Diario - FC'!$E$11:$E1028,$C$257,'Livro Diario - FC'!$D$11:$D1028,"&gt;=01/11"&amp;$C$7,'Livro Diario - FC'!$D$11:$D1028,"&lt;=30/11"&amp;$C$7)</f>
        <v>0</v>
      </c>
      <c r="AX257" s="373">
        <f>SUMIFS('Livro Diario - FC'!$M$11:$M1028,'Livro Diario - FC'!$E$11:$E1028,$C$257,'Livro Diario - FC'!$D$11:$D1028,"&gt;=01/11"&amp;$C$7,'Livro Diario - FC'!$D$11:$D1028,"&lt;=30/11"&amp;$C$7)</f>
        <v>0</v>
      </c>
      <c r="AY257" s="273"/>
      <c r="AZ257" s="258"/>
      <c r="BA257" s="255">
        <f>SUMIFS('Livro Diario - FC'!$K$11:$K1028,'Livro Diario - FC'!$E$11:$E1028,$C$257,'Livro Diario - FC'!$D$11:$D1028,"&gt;=01/12"&amp;$C$7,'Livro Diario - FC'!$D$11:$D1028,"&lt;=31/12"&amp;$C$7)</f>
        <v>0</v>
      </c>
      <c r="BB257" s="373">
        <f>SUMIFS('Livro Diario - FC'!$M$11:$M1028,'Livro Diario - FC'!$E$11:$E1028,$C$257,'Livro Diario - FC'!$D$11:$D1028,"&gt;=01/12"&amp;$C$7,'Livro Diario - FC'!$D$11:$D1028,"&lt;=31/12"&amp;$C$7)</f>
        <v>0</v>
      </c>
      <c r="BC257" s="273"/>
      <c r="BD257" s="273"/>
      <c r="BE257" s="341">
        <f t="shared" ref="BE257:BF257" si="403">SUM(D257,I257,N257,S257,X257,AC257,AG257,AK257,AO257,AS257,AW257,BA257)</f>
        <v>0</v>
      </c>
      <c r="BF257" s="342">
        <f t="shared" si="403"/>
        <v>0</v>
      </c>
      <c r="BG257" s="343"/>
      <c r="BH257" s="344"/>
      <c r="BI257" s="270">
        <f>SUMIFS('Livro Diario - FC'!$M$11:$M1028,'Livro Diario - FC'!$E$11:$E1028,C257,'Livro Diario - FC'!$D$11:$D1028,"&gt;="&amp;$BK$8,'Livro Diario - FC'!$D$11:$D1028,"&lt;="&amp;$BK$9)</f>
        <v>0</v>
      </c>
      <c r="BJ257" s="271"/>
      <c r="BK257" s="345"/>
      <c r="BL257" s="146"/>
    </row>
    <row r="258">
      <c r="A258" s="1"/>
      <c r="B258" s="40"/>
      <c r="C258" s="365" t="s">
        <v>405</v>
      </c>
      <c r="D258" s="323">
        <f>SUMIFS('Livro Diario - FC'!$J$11:$J1028,'Livro Diario - FC'!$E$11:$E1028,$C$258,'Livro Diario - FC'!$D$11:$D1028,"&gt;=01/01"&amp;$C$7,'Livro Diario - FC'!$D$11:$D1028,"&lt;=31/01"&amp;$C$7)+SUM(D259:D271)</f>
        <v>83.36</v>
      </c>
      <c r="E258" s="366">
        <f>SUMIFS('Livro Diario - FC'!$L$11:$L1028,'Livro Diario - FC'!$E$11:$E1028,$C$258,'Livro Diario - FC'!$D$11:$D1028,"&gt;=01/01"&amp;$C$7,'Livro Diario - FC'!$D$11:$D1028,"&lt;=31/01"&amp;$C$7)+SUM(E259:E271)</f>
        <v>83.36</v>
      </c>
      <c r="F258" s="367">
        <f>IF(E$11=0,"",E258/E$11)</f>
        <v>0.0107509963</v>
      </c>
      <c r="G258" s="368" t="str">
        <f>IF(A258=0,"",E258/A258-1)</f>
        <v/>
      </c>
      <c r="H258" s="327"/>
      <c r="I258" s="323">
        <f>SUMIFS('Livro Diario - FC'!$J$11:$J1028,'Livro Diario - FC'!$E$11:$E1028,$C$258,'Livro Diario - FC'!$D$11:$D1028,"&gt;=01/02"&amp;$C$7,'Livro Diario - FC'!$D$11:$D1028,"&lt;=29/02"&amp;$C$7)+SUM(I259:I271)</f>
        <v>0</v>
      </c>
      <c r="J258" s="366">
        <f>SUMIFS('Livro Diario - FC'!$L$11:$L1028,'Livro Diario - FC'!$E$11:$E1028,$C$258,'Livro Diario - FC'!$D$11:$D1028,"&gt;=01/02"&amp;$C$7,'Livro Diario - FC'!$D$11:$D1028,"&lt;=29/02"&amp;$C$7)+SUM(J259:J271)</f>
        <v>0</v>
      </c>
      <c r="K258" s="367" t="str">
        <f>IF(J$11=0,"",J258/J$11)</f>
        <v/>
      </c>
      <c r="L258" s="368">
        <f>IF(E258=0,"",J258/E258-1)</f>
        <v>-1</v>
      </c>
      <c r="M258" s="328"/>
      <c r="N258" s="323">
        <f>SUMIFS('Livro Diario - FC'!$J$11:$J1028,'Livro Diario - FC'!$E$11:$E1028,$C$258,'Livro Diario - FC'!$D$11:$D1028,"&gt;=01/03"&amp;$C$7,'Livro Diario - FC'!$D$11:$D1028,"&lt;=31/03"&amp;$C$7)+SUM(N259:N271)</f>
        <v>0</v>
      </c>
      <c r="O258" s="366">
        <f>SUMIFS('Livro Diario - FC'!$L$11:$L1028,'Livro Diario - FC'!$E$11:$E1028,$C$258,'Livro Diario - FC'!$D$11:$D1028,"&gt;=01/03"&amp;$C$7,'Livro Diario - FC'!$D$11:$D1028,"&lt;=31/03"&amp;$C$7)+SUM(O259:O271)</f>
        <v>0</v>
      </c>
      <c r="P258" s="367" t="str">
        <f>IF(O$11=0,"",O258/O$11)</f>
        <v/>
      </c>
      <c r="Q258" s="368" t="str">
        <f>IF(J258=0,"",O258/J258-1)</f>
        <v/>
      </c>
      <c r="R258" s="328"/>
      <c r="S258" s="323">
        <f>SUMIFS('Livro Diario - FC'!$J$11:$J1028,'Livro Diario - FC'!$E$11:$E1028,$C$258,'Livro Diario - FC'!$D$11:$D1028,"&gt;=01/04"&amp;$C$7,'Livro Diario - FC'!$D$11:$D1028,"&lt;=30/04"&amp;$C$7)+SUM(S259:S271)</f>
        <v>0</v>
      </c>
      <c r="T258" s="366">
        <f>SUMIFS('Livro Diario - FC'!$L$11:$L1028,'Livro Diario - FC'!$E$11:$E1028,$C$258,'Livro Diario - FC'!$D$11:$D1028,"&gt;=01/04"&amp;$C$7,'Livro Diario - FC'!$D$11:$D1028,"&lt;=30/04"&amp;$C$7)+SUM(T259:T271)</f>
        <v>0</v>
      </c>
      <c r="U258" s="367" t="str">
        <f>IF(T$11=0,"",T258/T$11)</f>
        <v/>
      </c>
      <c r="V258" s="368" t="str">
        <f>IF(O258=0,"",T258/O258-1)</f>
        <v/>
      </c>
      <c r="W258" s="328"/>
      <c r="X258" s="323">
        <f>SUMIFS('Livro Diario - FC'!$J$11:$J1028,'Livro Diario - FC'!$E$11:$E1028,$C$258,'Livro Diario - FC'!$D$11:$D1028,"&gt;=01/05"&amp;$C$7,'Livro Diario - FC'!$D$11:$D1028,"&lt;=31/05"&amp;$C$7)+SUM(X259:X271)</f>
        <v>0</v>
      </c>
      <c r="Y258" s="366">
        <f>SUMIFS('Livro Diario - FC'!$L$11:$L1028,'Livro Diario - FC'!$E$11:$E1028,$C$258,'Livro Diario - FC'!$D$11:$D1028,"&gt;=01/05"&amp;$C$7,'Livro Diario - FC'!$D$11:$D1028,"&lt;=31/05"&amp;$C$7)+SUM(Y259:Y271)</f>
        <v>0</v>
      </c>
      <c r="Z258" s="367" t="str">
        <f>IF(Y$11=0,"",Y258/Y$11)</f>
        <v/>
      </c>
      <c r="AA258" s="368" t="str">
        <f>IF(T258=0,"",Y258/T258-1)</f>
        <v/>
      </c>
      <c r="AB258" s="328"/>
      <c r="AC258" s="323">
        <f>SUMIFS('Livro Diario - FC'!$J$11:$J1028,'Livro Diario - FC'!$E$11:$E1028,$C$258,'Livro Diario - FC'!$D$11:$D1028,"&gt;=01/06"&amp;$C$7,'Livro Diario - FC'!$D$11:$D1028,"&lt;=30/06"&amp;$C$7)+SUM(AC259:AC271)</f>
        <v>0</v>
      </c>
      <c r="AD258" s="366">
        <f>SUMIFS('Livro Diario - FC'!$L$11:$L1028,'Livro Diario - FC'!$E$11:$E1028,$C$258,'Livro Diario - FC'!$D$11:$D1028,"&gt;=01/06"&amp;$C$7,'Livro Diario - FC'!$D$11:$D1028,"&lt;=30/06"&amp;$C$7)+SUM(AD259:AD271)</f>
        <v>0</v>
      </c>
      <c r="AE258" s="367" t="str">
        <f>IF(AD$11=0,"",AD258/AD$11)</f>
        <v/>
      </c>
      <c r="AF258" s="368" t="str">
        <f>IF(Y258=0,"",AD258/Y258-1)</f>
        <v/>
      </c>
      <c r="AG258" s="323">
        <f>SUMIFS('Livro Diario - FC'!$J$11:$J1028,'Livro Diario - FC'!$E$11:$E1028,$C$258,'Livro Diario - FC'!$D$11:$D1028,"&gt;=01/07"&amp;$C$7,'Livro Diario - FC'!$D$11:$D1028,"&lt;=31/07"&amp;$C$7)+SUM(AG259:AG271)</f>
        <v>0</v>
      </c>
      <c r="AH258" s="366">
        <f>SUMIFS('Livro Diario - FC'!$L$11:$L1028,'Livro Diario - FC'!$E$11:$E1028,$C$258,'Livro Diario - FC'!$D$11:$D1028,"&gt;=01/07"&amp;$C$7,'Livro Diario - FC'!$D$11:$D1028,"&lt;=31/07"&amp;$C$7)+SUM(AH259:AH271)</f>
        <v>0</v>
      </c>
      <c r="AI258" s="367" t="str">
        <f>IF(AH$11=0,"",AH258/AH$11)</f>
        <v/>
      </c>
      <c r="AJ258" s="368" t="str">
        <f>IF(AD258=0,"",AH258/AD258-1)</f>
        <v/>
      </c>
      <c r="AK258" s="323">
        <f>SUMIFS('Livro Diario - FC'!$J$11:$J1028,'Livro Diario - FC'!$E$11:$E1028,$C$258,'Livro Diario - FC'!$D$11:$D1028,"&gt;=01/08"&amp;$C$7,'Livro Diario - FC'!$D$11:$D1028,"&lt;=31/08"&amp;$C$7)+SUM(AK259:AK271)</f>
        <v>0</v>
      </c>
      <c r="AL258" s="366">
        <f>SUMIFS('Livro Diario - FC'!$L$11:$L1028,'Livro Diario - FC'!$E$11:$E1028,$C$258,'Livro Diario - FC'!$D$11:$D1028,"&gt;=01/08"&amp;$C$7,'Livro Diario - FC'!$D$11:$D1028,"&lt;=31/08"&amp;$C$7)+SUM(AL259:AL271)</f>
        <v>0</v>
      </c>
      <c r="AM258" s="367" t="str">
        <f>IF(AL$11=0,"",AL258/AL$11)</f>
        <v/>
      </c>
      <c r="AN258" s="368" t="str">
        <f>IF(AH258=0,"",AL258/AH258-1)</f>
        <v/>
      </c>
      <c r="AO258" s="323">
        <f>SUMIFS('Livro Diario - FC'!$J$11:$J1028,'Livro Diario - FC'!$E$11:$E1028,$C$258,'Livro Diario - FC'!$D$11:$D1028,"&gt;=01/09"&amp;$C$7,'Livro Diario - FC'!$D$11:$D1028,"&lt;=30/09"&amp;$C$7)+SUM(AO259:AO271)</f>
        <v>0</v>
      </c>
      <c r="AP258" s="366">
        <f>SUMIFS('Livro Diario - FC'!$L$11:$L1028,'Livro Diario - FC'!$E$11:$E1028,$C$258,'Livro Diario - FC'!$D$11:$D1028,"&gt;=01/09"&amp;$C$7,'Livro Diario - FC'!$D$11:$D1028,"&lt;=30/09"&amp;$C$7)+SUM(AP259:AP271)</f>
        <v>0</v>
      </c>
      <c r="AQ258" s="367" t="str">
        <f>IF(AP$11=0,"",AP258/AP$11)</f>
        <v/>
      </c>
      <c r="AR258" s="368" t="str">
        <f>IF(AL258=0,"",AP258/AL258-1)</f>
        <v/>
      </c>
      <c r="AS258" s="323">
        <f>SUMIFS('Livro Diario - FC'!$J$11:$J1028,'Livro Diario - FC'!$E$11:$E1028,$C$258,'Livro Diario - FC'!$D$11:$D1028,"&gt;=01/10"&amp;$C$7,'Livro Diario - FC'!$D$11:$D1028,"&lt;=31/10"&amp;$C$7)+SUM(AS259:AS271)</f>
        <v>0</v>
      </c>
      <c r="AT258" s="366">
        <f>SUMIFS('Livro Diario - FC'!$L$11:$L1028,'Livro Diario - FC'!$E$11:$E1028,$C$258,'Livro Diario - FC'!$D$11:$D1028,"&gt;=01/10"&amp;$C$7,'Livro Diario - FC'!$D$11:$D1028,"&lt;=31/10"&amp;$C$7)+SUM(AT259:AT271)</f>
        <v>0</v>
      </c>
      <c r="AU258" s="367" t="str">
        <f>IF(AT$11=0,"",AT258/AT$11)</f>
        <v/>
      </c>
      <c r="AV258" s="368" t="str">
        <f>IF(AP258=0,"",AT258/AP258-1)</f>
        <v/>
      </c>
      <c r="AW258" s="323">
        <f>SUMIFS('Livro Diario - FC'!$J$11:$J1028,'Livro Diario - FC'!$E$11:$E1028,$C$258,'Livro Diario - FC'!$D$11:$D1028,"&gt;=01/11"&amp;$C$7,'Livro Diario - FC'!$D$11:$D1028,"&lt;=30/11"&amp;$C$7)+SUM(AW259:AW271)</f>
        <v>0</v>
      </c>
      <c r="AX258" s="366">
        <f>SUMIFS('Livro Diario - FC'!$L$11:$L1028,'Livro Diario - FC'!$E$11:$E1028,$C$258,'Livro Diario - FC'!$D$11:$D1028,"&gt;=01/11"&amp;$C$7,'Livro Diario - FC'!$D$11:$D1028,"&lt;=30/11"&amp;$C$7)+SUM(AX259:AX271)</f>
        <v>0</v>
      </c>
      <c r="AY258" s="367" t="str">
        <f>IF(AX$11=0,"",AX258/AX$11)</f>
        <v/>
      </c>
      <c r="AZ258" s="368" t="str">
        <f>IF(AT258=0,"",AX258/AT258-1)</f>
        <v/>
      </c>
      <c r="BA258" s="323">
        <f>SUMIFS('Livro Diario - FC'!$J$11:$J1028,'Livro Diario - FC'!$E$11:$E1028,$C$258,'Livro Diario - FC'!$D$11:$D1028,"&gt;=01/12"&amp;$C$7,'Livro Diario - FC'!$D$11:$D1028,"&lt;=31/12"&amp;$C$7)+SUM(BA259:BA271)</f>
        <v>0</v>
      </c>
      <c r="BB258" s="366">
        <f>SUMIFS('Livro Diario - FC'!$L$11:$L1028,'Livro Diario - FC'!$E$11:$E1028,$C$258,'Livro Diario - FC'!$D$11:$D1028,"&gt;=01/12"&amp;$C$7,'Livro Diario - FC'!$D$11:$D1028,"&lt;=31/12"&amp;$C$7)+SUM(BB259:BB271)</f>
        <v>0</v>
      </c>
      <c r="BC258" s="367" t="str">
        <f>IF(BB$11=0,"",BB258/BB$11)</f>
        <v/>
      </c>
      <c r="BD258" s="328" t="str">
        <f>IF(AX258=0,"",BB258/AX258-1)</f>
        <v/>
      </c>
      <c r="BE258" s="331">
        <f t="shared" ref="BE258:BF258" si="404">SUM(D258,I258,N258,S258,X258,AC258,AG258,AK258,AO258,AS258,AW258,BA258)</f>
        <v>83.36</v>
      </c>
      <c r="BF258" s="369">
        <f t="shared" si="404"/>
        <v>83.36</v>
      </c>
      <c r="BG258" s="370">
        <f>IF(BF$11=0,"",BF258/BF$11)</f>
        <v>0.0107509963</v>
      </c>
      <c r="BH258" s="336"/>
      <c r="BI258" s="371">
        <f>SUMIFS('Livro Diario - FC'!$M$11:$M1028,'Livro Diario - FC'!$E$11:$E1028,C258,'Livro Diario - FC'!$D$11:$D1028,"&gt;="&amp;$BK$8,'Livro Diario - FC'!$D$11:$D1028,"&lt;="&amp;$BK$9)+SUM(BI259:BI271)</f>
        <v>0</v>
      </c>
      <c r="BJ258" s="335" t="str">
        <f>IF(BI$11=0,"",BI258/BI$11)</f>
        <v/>
      </c>
      <c r="BK258" s="336"/>
      <c r="BL258" s="372"/>
    </row>
    <row r="259">
      <c r="A259" s="1"/>
      <c r="B259" s="1"/>
      <c r="C259" s="338" t="str">
        <f>'Livro Diario - FC'!AE267</f>
        <v>5.2.1 Telefones</v>
      </c>
      <c r="D259" s="255">
        <f>SUMIFS('Livro Diario - FC'!$K$11:$K1028,'Livro Diario - FC'!$E$11:$E1028,$C$259,'Livro Diario - FC'!$D$11:$D1028,"&gt;=01/01"&amp;$C$7,'Livro Diario - FC'!$D$11:$D1028,"&lt;=31/01"&amp;$C$7)</f>
        <v>0</v>
      </c>
      <c r="E259" s="256">
        <f>SUMIFS('Livro Diario - FC'!$M$11:$M1028,'Livro Diario - FC'!$E$11:$E1028,$C$259,'Livro Diario - FC'!$D$11:$D1028,"&gt;=01/01"&amp;$C$7,'Livro Diario - FC'!$D$11:$D1028,"&lt;=31/01"&amp;$C$7)</f>
        <v>0</v>
      </c>
      <c r="F259" s="273"/>
      <c r="G259" s="258"/>
      <c r="H259" s="157"/>
      <c r="I259" s="255">
        <f>SUMIFS('Livro Diario - FC'!$K$11:$K1028,'Livro Diario - FC'!$E$11:$E1028,$C$259,'Livro Diario - FC'!$D$11:$D1028,"&gt;=01/02"&amp;$C$7,'Livro Diario - FC'!$D$11:$D1028,"&lt;=29/02"&amp;$C$7)</f>
        <v>0</v>
      </c>
      <c r="J259" s="256">
        <f>SUMIFS('Livro Diario - FC'!$M$11:$M1028,'Livro Diario - FC'!$E$11:$E1028,$C$259,'Livro Diario - FC'!$D$11:$D1028,"&gt;=01/02"&amp;$C$7,'Livro Diario - FC'!$D$11:$D1028,"&lt;=29/02"&amp;$C$7)</f>
        <v>0</v>
      </c>
      <c r="K259" s="273"/>
      <c r="L259" s="258"/>
      <c r="M259" s="259"/>
      <c r="N259" s="255">
        <f>SUMIFS('Livro Diario - FC'!$K$11:$K1028,'Livro Diario - FC'!$E$11:$E1028,$C$259,'Livro Diario - FC'!$D$11:$D1028,"&gt;=01/03"&amp;$C$7,'Livro Diario - FC'!$D$11:$D1028,"&lt;=31/03"&amp;$C$7)</f>
        <v>0</v>
      </c>
      <c r="O259" s="256">
        <f>SUMIFS('Livro Diario - FC'!$M$11:$M1028,'Livro Diario - FC'!$E$11:$E1028,$C$259,'Livro Diario - FC'!$D$11:$D1028,"&gt;=01/03"&amp;$C$7,'Livro Diario - FC'!$D$11:$D1028,"&lt;=31/03"&amp;$C$7)</f>
        <v>0</v>
      </c>
      <c r="P259" s="273"/>
      <c r="Q259" s="258"/>
      <c r="R259" s="259"/>
      <c r="S259" s="255">
        <f>SUMIFS('Livro Diario - FC'!$K$11:$K1028,'Livro Diario - FC'!$E$11:$E1028,$C$259,'Livro Diario - FC'!$D$11:$D1028,"&gt;=01/04"&amp;$C$7,'Livro Diario - FC'!$D$11:$D1028,"&lt;=30/04"&amp;$C$7)</f>
        <v>0</v>
      </c>
      <c r="T259" s="256">
        <f>SUMIFS('Livro Diario - FC'!$M$11:$M1028,'Livro Diario - FC'!$E$11:$E1028,$C$259,'Livro Diario - FC'!$D$11:$D1028,"&gt;=01/04"&amp;$C$7,'Livro Diario - FC'!$D$11:$D1028,"&lt;=30/04"&amp;$C$7)</f>
        <v>0</v>
      </c>
      <c r="U259" s="273"/>
      <c r="V259" s="258"/>
      <c r="W259" s="259"/>
      <c r="X259" s="255">
        <f>SUMIFS('Livro Diario - FC'!$K$11:$K1028,'Livro Diario - FC'!$E$11:$E1028,$C$259,'Livro Diario - FC'!$D$11:$D1028,"&gt;=01/05"&amp;$C$7,'Livro Diario - FC'!$D$11:$D1028,"&lt;=31/05"&amp;$C$7)</f>
        <v>0</v>
      </c>
      <c r="Y259" s="256">
        <f>SUMIFS('Livro Diario - FC'!$M$11:$M1028,'Livro Diario - FC'!$E$11:$E1028,$C$259,'Livro Diario - FC'!$D$11:$D1028,"&gt;=01/05"&amp;$C$7,'Livro Diario - FC'!$D$11:$D1028,"&lt;=31/05"&amp;$C$7)</f>
        <v>0</v>
      </c>
      <c r="Z259" s="273"/>
      <c r="AA259" s="258"/>
      <c r="AB259" s="259"/>
      <c r="AC259" s="255">
        <f>SUMIFS('Livro Diario - FC'!$K$11:$K1028,'Livro Diario - FC'!$E$11:$E1028,$C$259,'Livro Diario - FC'!$D$11:$D1028,"&gt;=01/06"&amp;$C$7,'Livro Diario - FC'!$D$11:$D1028,"&lt;=30/06"&amp;$C$7)</f>
        <v>0</v>
      </c>
      <c r="AD259" s="256">
        <f>SUMIFS('Livro Diario - FC'!$M$11:$M1028,'Livro Diario - FC'!$E$11:$E1028,$C$259,'Livro Diario - FC'!$D$11:$D1028,"&gt;=01/06"&amp;$C$7,'Livro Diario - FC'!$D$11:$D1028,"&lt;=30/06"&amp;$C$7)</f>
        <v>0</v>
      </c>
      <c r="AE259" s="273"/>
      <c r="AF259" s="258"/>
      <c r="AG259" s="255">
        <f>SUMIFS('Livro Diario - FC'!$K$11:$K1028,'Livro Diario - FC'!$E$11:$E1028,$C$259,'Livro Diario - FC'!$D$11:$D1028,"&gt;=01/07"&amp;$C$7,'Livro Diario - FC'!$D$11:$D1028,"&lt;=31/07"&amp;$C$7)</f>
        <v>0</v>
      </c>
      <c r="AH259" s="256">
        <f>SUMIFS('Livro Diario - FC'!$M$11:$M1028,'Livro Diario - FC'!$E$11:$E1028,$C$259,'Livro Diario - FC'!$D$11:$D1028,"&gt;=01/07"&amp;$C$7,'Livro Diario - FC'!$D$11:$D1028,"&lt;=31/07"&amp;$C$7)</f>
        <v>0</v>
      </c>
      <c r="AI259" s="273"/>
      <c r="AJ259" s="258"/>
      <c r="AK259" s="255">
        <f>SUMIFS('Livro Diario - FC'!$K$11:$K1028,'Livro Diario - FC'!$E$11:$E1028,$C$259,'Livro Diario - FC'!$D$11:$D1028,"&gt;=01/08"&amp;$C$7,'Livro Diario - FC'!$D$11:$D1028,"&lt;=31/08"&amp;$C$7)</f>
        <v>0</v>
      </c>
      <c r="AL259" s="256">
        <f>SUMIFS('Livro Diario - FC'!$M$11:$M1028,'Livro Diario - FC'!$E$11:$E1028,$C$259,'Livro Diario - FC'!$D$11:$D1028,"&gt;=01/08"&amp;$C$7,'Livro Diario - FC'!$D$11:$D1028,"&lt;=31/08"&amp;$C$7)</f>
        <v>0</v>
      </c>
      <c r="AM259" s="273"/>
      <c r="AN259" s="258"/>
      <c r="AO259" s="255">
        <f>SUMIFS('Livro Diario - FC'!$K$11:$K1028,'Livro Diario - FC'!$E$11:$E1028,$C$259,'Livro Diario - FC'!$D$11:$D1028,"&gt;=01/09"&amp;$C$7,'Livro Diario - FC'!$D$11:$D1028,"&lt;=30/09"&amp;$C$7)</f>
        <v>0</v>
      </c>
      <c r="AP259" s="256">
        <f>SUMIFS('Livro Diario - FC'!$M$11:$M1028,'Livro Diario - FC'!$E$11:$E1028,$C$259,'Livro Diario - FC'!$D$11:$D1028,"&gt;=01/09"&amp;$C$7,'Livro Diario - FC'!$D$11:$D1028,"&lt;=30/09"&amp;$C$7)</f>
        <v>0</v>
      </c>
      <c r="AQ259" s="273"/>
      <c r="AR259" s="258"/>
      <c r="AS259" s="255">
        <f>SUMIFS('Livro Diario - FC'!$K$11:$K1028,'Livro Diario - FC'!$E$11:$E1028,$C$259,'Livro Diario - FC'!$D$11:$D1028,"&gt;=01/10"&amp;$C$7,'Livro Diario - FC'!$D$11:$D1028,"&lt;=31/10"&amp;$C$7)</f>
        <v>0</v>
      </c>
      <c r="AT259" s="256">
        <f>SUMIFS('Livro Diario - FC'!$M$11:$M1028,'Livro Diario - FC'!$E$11:$E1028,$C$259,'Livro Diario - FC'!$D$11:$D1028,"&gt;=01/10"&amp;$C$7,'Livro Diario - FC'!$D$11:$D1028,"&lt;=31/10"&amp;$C$7)</f>
        <v>0</v>
      </c>
      <c r="AU259" s="273"/>
      <c r="AV259" s="258"/>
      <c r="AW259" s="255">
        <f>SUMIFS('Livro Diario - FC'!$K$11:$K1028,'Livro Diario - FC'!$E$11:$E1028,$C$259,'Livro Diario - FC'!$D$11:$D1028,"&gt;=01/11"&amp;$C$7,'Livro Diario - FC'!$D$11:$D1028,"&lt;=30/11"&amp;$C$7)</f>
        <v>0</v>
      </c>
      <c r="AX259" s="256">
        <f>SUMIFS('Livro Diario - FC'!$M$11:$M1028,'Livro Diario - FC'!$E$11:$E1028,$C$259,'Livro Diario - FC'!$D$11:$D1028,"&gt;=01/11"&amp;$C$7,'Livro Diario - FC'!$D$11:$D1028,"&lt;=30/11"&amp;$C$7)</f>
        <v>0</v>
      </c>
      <c r="AY259" s="273"/>
      <c r="AZ259" s="258"/>
      <c r="BA259" s="255">
        <f>SUMIFS('Livro Diario - FC'!$K$11:$K1028,'Livro Diario - FC'!$E$11:$E1028,$C$259,'Livro Diario - FC'!$D$11:$D1028,"&gt;=01/12"&amp;$C$7,'Livro Diario - FC'!$D$11:$D1028,"&lt;=31/12"&amp;$C$7)</f>
        <v>0</v>
      </c>
      <c r="BB259" s="256">
        <f>SUMIFS('Livro Diario - FC'!$M$11:$M1028,'Livro Diario - FC'!$E$11:$E1028,$C$259,'Livro Diario - FC'!$D$11:$D1028,"&gt;=01/12"&amp;$C$7,'Livro Diario - FC'!$D$11:$D1028,"&lt;=31/12"&amp;$C$7)</f>
        <v>0</v>
      </c>
      <c r="BC259" s="273"/>
      <c r="BD259" s="273"/>
      <c r="BE259" s="260">
        <f t="shared" ref="BE259:BF259" si="405">SUM(D259,I259,N259,S259,X259,AC259,AG259,AK259,AO259,AS259,AW259,BA259)</f>
        <v>0</v>
      </c>
      <c r="BF259" s="261">
        <f t="shared" si="405"/>
        <v>0</v>
      </c>
      <c r="BG259" s="262"/>
      <c r="BH259" s="302"/>
      <c r="BI259" s="270">
        <f>SUMIFS('Livro Diario - FC'!$M$11:$M1028,'Livro Diario - FC'!$E$11:$E1028,C259,'Livro Diario - FC'!$D$11:$D1028,"&gt;="&amp;$BK$8,'Livro Diario - FC'!$D$11:$D1028,"&lt;="&amp;$BK$9)</f>
        <v>0</v>
      </c>
      <c r="BJ259" s="271"/>
      <c r="BK259" s="304"/>
      <c r="BL259" s="339"/>
    </row>
    <row r="260">
      <c r="A260" s="1"/>
      <c r="B260" s="1"/>
      <c r="C260" s="338" t="str">
        <f>'Livro Diario - FC'!AE268</f>
        <v>5.2.2 Celular</v>
      </c>
      <c r="D260" s="255">
        <f>SUMIFS('Livro Diario - FC'!$K$11:$K1028,'Livro Diario - FC'!$E$11:$E1028,$C$260,'Livro Diario - FC'!$D$11:$D1028,"&gt;=01/01"&amp;$C$7,'Livro Diario - FC'!$D$11:$D1028,"&lt;=31/01"&amp;$C$7)</f>
        <v>0</v>
      </c>
      <c r="E260" s="256">
        <f>SUMIFS('Livro Diario - FC'!$M$11:$M1028,'Livro Diario - FC'!$E$11:$E1028,$C$260,'Livro Diario - FC'!$D$11:$D1028,"&gt;=01/01"&amp;$C$7,'Livro Diario - FC'!$D$11:$D1028,"&lt;=31/01"&amp;$C$7)</f>
        <v>0</v>
      </c>
      <c r="F260" s="273"/>
      <c r="G260" s="258"/>
      <c r="H260" s="157"/>
      <c r="I260" s="255">
        <f>SUMIFS('Livro Diario - FC'!$K$11:$K1028,'Livro Diario - FC'!$E$11:$E1028,$C$260,'Livro Diario - FC'!$D$11:$D1028,"&gt;=01/02"&amp;$C$7,'Livro Diario - FC'!$D$11:$D1028,"&lt;=29/02"&amp;$C$7)</f>
        <v>0</v>
      </c>
      <c r="J260" s="256">
        <f>SUMIFS('Livro Diario - FC'!$M$11:$M1028,'Livro Diario - FC'!$E$11:$E1028,$C$260,'Livro Diario - FC'!$D$11:$D1028,"&gt;=01/02"&amp;$C$7,'Livro Diario - FC'!$D$11:$D1028,"&lt;=29/02"&amp;$C$7)</f>
        <v>0</v>
      </c>
      <c r="K260" s="273"/>
      <c r="L260" s="258"/>
      <c r="M260" s="259"/>
      <c r="N260" s="255">
        <f>SUMIFS('Livro Diario - FC'!$K$11:$K1028,'Livro Diario - FC'!$E$11:$E1028,$C$260,'Livro Diario - FC'!$D$11:$D1028,"&gt;=01/03"&amp;$C$7,'Livro Diario - FC'!$D$11:$D1028,"&lt;=31/03"&amp;$C$7)</f>
        <v>0</v>
      </c>
      <c r="O260" s="256">
        <f>SUMIFS('Livro Diario - FC'!$M$11:$M1028,'Livro Diario - FC'!$E$11:$E1028,$C$260,'Livro Diario - FC'!$D$11:$D1028,"&gt;=01/03"&amp;$C$7,'Livro Diario - FC'!$D$11:$D1028,"&lt;=31/03"&amp;$C$7)</f>
        <v>0</v>
      </c>
      <c r="P260" s="273"/>
      <c r="Q260" s="258"/>
      <c r="R260" s="259"/>
      <c r="S260" s="255">
        <f>SUMIFS('Livro Diario - FC'!$K$11:$K1028,'Livro Diario - FC'!$E$11:$E1028,$C$260,'Livro Diario - FC'!$D$11:$D1028,"&gt;=01/04"&amp;$C$7,'Livro Diario - FC'!$D$11:$D1028,"&lt;=30/04"&amp;$C$7)</f>
        <v>0</v>
      </c>
      <c r="T260" s="256">
        <f>SUMIFS('Livro Diario - FC'!$M$11:$M1028,'Livro Diario - FC'!$E$11:$E1028,$C$260,'Livro Diario - FC'!$D$11:$D1028,"&gt;=01/04"&amp;$C$7,'Livro Diario - FC'!$D$11:$D1028,"&lt;=30/04"&amp;$C$7)</f>
        <v>0</v>
      </c>
      <c r="U260" s="273"/>
      <c r="V260" s="258"/>
      <c r="W260" s="259"/>
      <c r="X260" s="255">
        <f>SUMIFS('Livro Diario - FC'!$K$11:$K1028,'Livro Diario - FC'!$E$11:$E1028,$C$260,'Livro Diario - FC'!$D$11:$D1028,"&gt;=01/05"&amp;$C$7,'Livro Diario - FC'!$D$11:$D1028,"&lt;=31/05"&amp;$C$7)</f>
        <v>0</v>
      </c>
      <c r="Y260" s="256">
        <f>SUMIFS('Livro Diario - FC'!$M$11:$M1028,'Livro Diario - FC'!$E$11:$E1028,$C$260,'Livro Diario - FC'!$D$11:$D1028,"&gt;=01/05"&amp;$C$7,'Livro Diario - FC'!$D$11:$D1028,"&lt;=31/05"&amp;$C$7)</f>
        <v>0</v>
      </c>
      <c r="Z260" s="273"/>
      <c r="AA260" s="258"/>
      <c r="AB260" s="259"/>
      <c r="AC260" s="255">
        <f>SUMIFS('Livro Diario - FC'!$K$11:$K1028,'Livro Diario - FC'!$E$11:$E1028,$C$260,'Livro Diario - FC'!$D$11:$D1028,"&gt;=01/06"&amp;$C$7,'Livro Diario - FC'!$D$11:$D1028,"&lt;=30/06"&amp;$C$7)</f>
        <v>0</v>
      </c>
      <c r="AD260" s="256">
        <f>SUMIFS('Livro Diario - FC'!$M$11:$M1028,'Livro Diario - FC'!$E$11:$E1028,$C$260,'Livro Diario - FC'!$D$11:$D1028,"&gt;=01/06"&amp;$C$7,'Livro Diario - FC'!$D$11:$D1028,"&lt;=30/06"&amp;$C$7)</f>
        <v>0</v>
      </c>
      <c r="AE260" s="273"/>
      <c r="AF260" s="258"/>
      <c r="AG260" s="255">
        <f>SUMIFS('Livro Diario - FC'!$K$11:$K1028,'Livro Diario - FC'!$E$11:$E1028,$C$260,'Livro Diario - FC'!$D$11:$D1028,"&gt;=01/07"&amp;$C$7,'Livro Diario - FC'!$D$11:$D1028,"&lt;=31/07"&amp;$C$7)</f>
        <v>0</v>
      </c>
      <c r="AH260" s="256">
        <f>SUMIFS('Livro Diario - FC'!$M$11:$M1028,'Livro Diario - FC'!$E$11:$E1028,$C$260,'Livro Diario - FC'!$D$11:$D1028,"&gt;=01/07"&amp;$C$7,'Livro Diario - FC'!$D$11:$D1028,"&lt;=31/07"&amp;$C$7)</f>
        <v>0</v>
      </c>
      <c r="AI260" s="273"/>
      <c r="AJ260" s="258"/>
      <c r="AK260" s="255">
        <f>SUMIFS('Livro Diario - FC'!$K$11:$K1028,'Livro Diario - FC'!$E$11:$E1028,$C$260,'Livro Diario - FC'!$D$11:$D1028,"&gt;=01/08"&amp;$C$7,'Livro Diario - FC'!$D$11:$D1028,"&lt;=31/08"&amp;$C$7)</f>
        <v>0</v>
      </c>
      <c r="AL260" s="256">
        <f>SUMIFS('Livro Diario - FC'!$M$11:$M1028,'Livro Diario - FC'!$E$11:$E1028,$C$260,'Livro Diario - FC'!$D$11:$D1028,"&gt;=01/08"&amp;$C$7,'Livro Diario - FC'!$D$11:$D1028,"&lt;=31/08"&amp;$C$7)</f>
        <v>0</v>
      </c>
      <c r="AM260" s="273"/>
      <c r="AN260" s="258"/>
      <c r="AO260" s="255">
        <f>SUMIFS('Livro Diario - FC'!$K$11:$K1028,'Livro Diario - FC'!$E$11:$E1028,$C$260,'Livro Diario - FC'!$D$11:$D1028,"&gt;=01/09"&amp;$C$7,'Livro Diario - FC'!$D$11:$D1028,"&lt;=30/09"&amp;$C$7)</f>
        <v>0</v>
      </c>
      <c r="AP260" s="256">
        <f>SUMIFS('Livro Diario - FC'!$M$11:$M1028,'Livro Diario - FC'!$E$11:$E1028,$C$260,'Livro Diario - FC'!$D$11:$D1028,"&gt;=01/09"&amp;$C$7,'Livro Diario - FC'!$D$11:$D1028,"&lt;=30/09"&amp;$C$7)</f>
        <v>0</v>
      </c>
      <c r="AQ260" s="273"/>
      <c r="AR260" s="258"/>
      <c r="AS260" s="255">
        <f>SUMIFS('Livro Diario - FC'!$K$11:$K1028,'Livro Diario - FC'!$E$11:$E1028,$C$260,'Livro Diario - FC'!$D$11:$D1028,"&gt;=01/10"&amp;$C$7,'Livro Diario - FC'!$D$11:$D1028,"&lt;=31/10"&amp;$C$7)</f>
        <v>0</v>
      </c>
      <c r="AT260" s="256">
        <f>SUMIFS('Livro Diario - FC'!$M$11:$M1028,'Livro Diario - FC'!$E$11:$E1028,$C$260,'Livro Diario - FC'!$D$11:$D1028,"&gt;=01/10"&amp;$C$7,'Livro Diario - FC'!$D$11:$D1028,"&lt;=31/10"&amp;$C$7)</f>
        <v>0</v>
      </c>
      <c r="AU260" s="273"/>
      <c r="AV260" s="258"/>
      <c r="AW260" s="255">
        <f>SUMIFS('Livro Diario - FC'!$K$11:$K1028,'Livro Diario - FC'!$E$11:$E1028,$C$260,'Livro Diario - FC'!$D$11:$D1028,"&gt;=01/11"&amp;$C$7,'Livro Diario - FC'!$D$11:$D1028,"&lt;=30/11"&amp;$C$7)</f>
        <v>0</v>
      </c>
      <c r="AX260" s="256">
        <f>SUMIFS('Livro Diario - FC'!$M$11:$M1028,'Livro Diario - FC'!$E$11:$E1028,$C$260,'Livro Diario - FC'!$D$11:$D1028,"&gt;=01/11"&amp;$C$7,'Livro Diario - FC'!$D$11:$D1028,"&lt;=30/11"&amp;$C$7)</f>
        <v>0</v>
      </c>
      <c r="AY260" s="273"/>
      <c r="AZ260" s="258"/>
      <c r="BA260" s="255">
        <f>SUMIFS('Livro Diario - FC'!$K$11:$K1028,'Livro Diario - FC'!$E$11:$E1028,$C$260,'Livro Diario - FC'!$D$11:$D1028,"&gt;=01/12"&amp;$C$7,'Livro Diario - FC'!$D$11:$D1028,"&lt;=31/12"&amp;$C$7)</f>
        <v>0</v>
      </c>
      <c r="BB260" s="256">
        <f>SUMIFS('Livro Diario - FC'!$M$11:$M1028,'Livro Diario - FC'!$E$11:$E1028,$C$260,'Livro Diario - FC'!$D$11:$D1028,"&gt;=01/12"&amp;$C$7,'Livro Diario - FC'!$D$11:$D1028,"&lt;=31/12"&amp;$C$7)</f>
        <v>0</v>
      </c>
      <c r="BC260" s="273"/>
      <c r="BD260" s="273"/>
      <c r="BE260" s="267">
        <f t="shared" ref="BE260:BF260" si="406">SUM(D260,I260,N260,S260,X260,AC260,AG260,AK260,AO260,AS260,AW260,BA260)</f>
        <v>0</v>
      </c>
      <c r="BF260" s="268">
        <f t="shared" si="406"/>
        <v>0</v>
      </c>
      <c r="BG260" s="269"/>
      <c r="BH260" s="192"/>
      <c r="BI260" s="270">
        <f>SUMIFS('Livro Diario - FC'!$M$11:$M1028,'Livro Diario - FC'!$E$11:$E1028,C260,'Livro Diario - FC'!$D$11:$D1028,"&gt;="&amp;$BK$8,'Livro Diario - FC'!$D$11:$D1028,"&lt;="&amp;$BK$9)</f>
        <v>0</v>
      </c>
      <c r="BJ260" s="271"/>
      <c r="BK260" s="272"/>
      <c r="BL260" s="1"/>
    </row>
    <row r="261">
      <c r="A261" s="1"/>
      <c r="B261" s="1"/>
      <c r="C261" s="338" t="str">
        <f>'Livro Diario - FC'!AE269</f>
        <v>5.2.3 Energia Elétrica (CELPE)</v>
      </c>
      <c r="D261" s="255">
        <f>SUMIFS('Livro Diario - FC'!$K$11:$K1028,'Livro Diario - FC'!$E$11:$E1028,$C$261,'Livro Diario - FC'!$D$11:$D1028,"&gt;=01/01"&amp;$C$7,'Livro Diario - FC'!$D$11:$D1028,"&lt;=31/01"&amp;$C$7)</f>
        <v>0</v>
      </c>
      <c r="E261" s="256">
        <f>SUMIFS('Livro Diario - FC'!$M$11:$M1028,'Livro Diario - FC'!$E$11:$E1028,$C$261,'Livro Diario - FC'!$D$11:$D1028,"&gt;=01/01"&amp;$C$7,'Livro Diario - FC'!$D$11:$D1028,"&lt;=31/01"&amp;$C$7)</f>
        <v>0</v>
      </c>
      <c r="F261" s="273"/>
      <c r="G261" s="258"/>
      <c r="H261" s="157"/>
      <c r="I261" s="255">
        <f>SUMIFS('Livro Diario - FC'!$K$11:$K1028,'Livro Diario - FC'!$E$11:$E1028,$C$261,'Livro Diario - FC'!$D$11:$D1028,"&gt;=01/02"&amp;$C$7,'Livro Diario - FC'!$D$11:$D1028,"&lt;=29/02"&amp;$C$7)</f>
        <v>0</v>
      </c>
      <c r="J261" s="256">
        <f>SUMIFS('Livro Diario - FC'!$M$11:$M1028,'Livro Diario - FC'!$E$11:$E1028,$C$261,'Livro Diario - FC'!$D$11:$D1028,"&gt;=01/02"&amp;$C$7,'Livro Diario - FC'!$D$11:$D1028,"&lt;=29/02"&amp;$C$7)</f>
        <v>0</v>
      </c>
      <c r="K261" s="273"/>
      <c r="L261" s="258"/>
      <c r="M261" s="259"/>
      <c r="N261" s="255">
        <f>SUMIFS('Livro Diario - FC'!$K$11:$K1028,'Livro Diario - FC'!$E$11:$E1028,$C$261,'Livro Diario - FC'!$D$11:$D1028,"&gt;=01/03"&amp;$C$7,'Livro Diario - FC'!$D$11:$D1028,"&lt;=31/03"&amp;$C$7)</f>
        <v>0</v>
      </c>
      <c r="O261" s="256">
        <f>SUMIFS('Livro Diario - FC'!$M$11:$M1028,'Livro Diario - FC'!$E$11:$E1028,$C$261,'Livro Diario - FC'!$D$11:$D1028,"&gt;=01/03"&amp;$C$7,'Livro Diario - FC'!$D$11:$D1028,"&lt;=31/03"&amp;$C$7)</f>
        <v>0</v>
      </c>
      <c r="P261" s="273"/>
      <c r="Q261" s="258"/>
      <c r="R261" s="259"/>
      <c r="S261" s="255">
        <f>SUMIFS('Livro Diario - FC'!$K$11:$K1028,'Livro Diario - FC'!$E$11:$E1028,$C$261,'Livro Diario - FC'!$D$11:$D1028,"&gt;=01/04"&amp;$C$7,'Livro Diario - FC'!$D$11:$D1028,"&lt;=30/04"&amp;$C$7)</f>
        <v>0</v>
      </c>
      <c r="T261" s="256">
        <f>SUMIFS('Livro Diario - FC'!$M$11:$M1028,'Livro Diario - FC'!$E$11:$E1028,$C$261,'Livro Diario - FC'!$D$11:$D1028,"&gt;=01/04"&amp;$C$7,'Livro Diario - FC'!$D$11:$D1028,"&lt;=30/04"&amp;$C$7)</f>
        <v>0</v>
      </c>
      <c r="U261" s="273"/>
      <c r="V261" s="258"/>
      <c r="W261" s="259"/>
      <c r="X261" s="255">
        <f>SUMIFS('Livro Diario - FC'!$K$11:$K1028,'Livro Diario - FC'!$E$11:$E1028,$C$261,'Livro Diario - FC'!$D$11:$D1028,"&gt;=01/05"&amp;$C$7,'Livro Diario - FC'!$D$11:$D1028,"&lt;=31/05"&amp;$C$7)</f>
        <v>0</v>
      </c>
      <c r="Y261" s="256">
        <f>SUMIFS('Livro Diario - FC'!$M$11:$M1028,'Livro Diario - FC'!$E$11:$E1028,$C$261,'Livro Diario - FC'!$D$11:$D1028,"&gt;=01/05"&amp;$C$7,'Livro Diario - FC'!$D$11:$D1028,"&lt;=31/05"&amp;$C$7)</f>
        <v>0</v>
      </c>
      <c r="Z261" s="273"/>
      <c r="AA261" s="258"/>
      <c r="AB261" s="259"/>
      <c r="AC261" s="255">
        <f>SUMIFS('Livro Diario - FC'!$K$11:$K1028,'Livro Diario - FC'!$E$11:$E1028,$C$261,'Livro Diario - FC'!$D$11:$D1028,"&gt;=01/06"&amp;$C$7,'Livro Diario - FC'!$D$11:$D1028,"&lt;=30/06"&amp;$C$7)</f>
        <v>0</v>
      </c>
      <c r="AD261" s="256">
        <f>SUMIFS('Livro Diario - FC'!$M$11:$M1028,'Livro Diario - FC'!$E$11:$E1028,$C$261,'Livro Diario - FC'!$D$11:$D1028,"&gt;=01/06"&amp;$C$7,'Livro Diario - FC'!$D$11:$D1028,"&lt;=30/06"&amp;$C$7)</f>
        <v>0</v>
      </c>
      <c r="AE261" s="273"/>
      <c r="AF261" s="258"/>
      <c r="AG261" s="255">
        <f>SUMIFS('Livro Diario - FC'!$K$11:$K1028,'Livro Diario - FC'!$E$11:$E1028,$C$261,'Livro Diario - FC'!$D$11:$D1028,"&gt;=01/07"&amp;$C$7,'Livro Diario - FC'!$D$11:$D1028,"&lt;=31/07"&amp;$C$7)</f>
        <v>0</v>
      </c>
      <c r="AH261" s="256">
        <f>SUMIFS('Livro Diario - FC'!$M$11:$M1028,'Livro Diario - FC'!$E$11:$E1028,$C$261,'Livro Diario - FC'!$D$11:$D1028,"&gt;=01/07"&amp;$C$7,'Livro Diario - FC'!$D$11:$D1028,"&lt;=31/07"&amp;$C$7)</f>
        <v>0</v>
      </c>
      <c r="AI261" s="273"/>
      <c r="AJ261" s="258"/>
      <c r="AK261" s="255">
        <f>SUMIFS('Livro Diario - FC'!$K$11:$K1028,'Livro Diario - FC'!$E$11:$E1028,$C$261,'Livro Diario - FC'!$D$11:$D1028,"&gt;=01/08"&amp;$C$7,'Livro Diario - FC'!$D$11:$D1028,"&lt;=31/08"&amp;$C$7)</f>
        <v>0</v>
      </c>
      <c r="AL261" s="256">
        <f>SUMIFS('Livro Diario - FC'!$M$11:$M1028,'Livro Diario - FC'!$E$11:$E1028,$C$261,'Livro Diario - FC'!$D$11:$D1028,"&gt;=01/08"&amp;$C$7,'Livro Diario - FC'!$D$11:$D1028,"&lt;=31/08"&amp;$C$7)</f>
        <v>0</v>
      </c>
      <c r="AM261" s="273"/>
      <c r="AN261" s="258"/>
      <c r="AO261" s="255">
        <f>SUMIFS('Livro Diario - FC'!$K$11:$K1028,'Livro Diario - FC'!$E$11:$E1028,$C$261,'Livro Diario - FC'!$D$11:$D1028,"&gt;=01/09"&amp;$C$7,'Livro Diario - FC'!$D$11:$D1028,"&lt;=30/09"&amp;$C$7)</f>
        <v>0</v>
      </c>
      <c r="AP261" s="256">
        <f>SUMIFS('Livro Diario - FC'!$M$11:$M1028,'Livro Diario - FC'!$E$11:$E1028,$C$261,'Livro Diario - FC'!$D$11:$D1028,"&gt;=01/09"&amp;$C$7,'Livro Diario - FC'!$D$11:$D1028,"&lt;=30/09"&amp;$C$7)</f>
        <v>0</v>
      </c>
      <c r="AQ261" s="273"/>
      <c r="AR261" s="258"/>
      <c r="AS261" s="255">
        <f>SUMIFS('Livro Diario - FC'!$K$11:$K1028,'Livro Diario - FC'!$E$11:$E1028,$C$261,'Livro Diario - FC'!$D$11:$D1028,"&gt;=01/10"&amp;$C$7,'Livro Diario - FC'!$D$11:$D1028,"&lt;=31/10"&amp;$C$7)</f>
        <v>0</v>
      </c>
      <c r="AT261" s="256">
        <f>SUMIFS('Livro Diario - FC'!$M$11:$M1028,'Livro Diario - FC'!$E$11:$E1028,$C$261,'Livro Diario - FC'!$D$11:$D1028,"&gt;=01/10"&amp;$C$7,'Livro Diario - FC'!$D$11:$D1028,"&lt;=31/10"&amp;$C$7)</f>
        <v>0</v>
      </c>
      <c r="AU261" s="273"/>
      <c r="AV261" s="258"/>
      <c r="AW261" s="255">
        <f>SUMIFS('Livro Diario - FC'!$K$11:$K1028,'Livro Diario - FC'!$E$11:$E1028,$C$261,'Livro Diario - FC'!$D$11:$D1028,"&gt;=01/11"&amp;$C$7,'Livro Diario - FC'!$D$11:$D1028,"&lt;=30/11"&amp;$C$7)</f>
        <v>0</v>
      </c>
      <c r="AX261" s="256">
        <f>SUMIFS('Livro Diario - FC'!$M$11:$M1028,'Livro Diario - FC'!$E$11:$E1028,$C$261,'Livro Diario - FC'!$D$11:$D1028,"&gt;=01/11"&amp;$C$7,'Livro Diario - FC'!$D$11:$D1028,"&lt;=30/11"&amp;$C$7)</f>
        <v>0</v>
      </c>
      <c r="AY261" s="273"/>
      <c r="AZ261" s="258"/>
      <c r="BA261" s="255">
        <f>SUMIFS('Livro Diario - FC'!$K$11:$K1028,'Livro Diario - FC'!$E$11:$E1028,$C$261,'Livro Diario - FC'!$D$11:$D1028,"&gt;=01/12"&amp;$C$7,'Livro Diario - FC'!$D$11:$D1028,"&lt;=31/12"&amp;$C$7)</f>
        <v>0</v>
      </c>
      <c r="BB261" s="256">
        <f>SUMIFS('Livro Diario - FC'!$M$11:$M1028,'Livro Diario - FC'!$E$11:$E1028,$C$261,'Livro Diario - FC'!$D$11:$D1028,"&gt;=01/12"&amp;$C$7,'Livro Diario - FC'!$D$11:$D1028,"&lt;=31/12"&amp;$C$7)</f>
        <v>0</v>
      </c>
      <c r="BC261" s="273"/>
      <c r="BD261" s="273"/>
      <c r="BE261" s="267">
        <f t="shared" ref="BE261:BF261" si="407">SUM(D261,I261,N261,S261,X261,AC261,AG261,AK261,AO261,AS261,AW261,BA261)</f>
        <v>0</v>
      </c>
      <c r="BF261" s="268">
        <f t="shared" si="407"/>
        <v>0</v>
      </c>
      <c r="BG261" s="269"/>
      <c r="BH261" s="192"/>
      <c r="BI261" s="270">
        <f>SUMIFS('Livro Diario - FC'!$M$11:$M1028,'Livro Diario - FC'!$E$11:$E1028,C261,'Livro Diario - FC'!$D$11:$D1028,"&gt;="&amp;$BK$8,'Livro Diario - FC'!$D$11:$D1028,"&lt;="&amp;$BK$9)</f>
        <v>0</v>
      </c>
      <c r="BJ261" s="271"/>
      <c r="BK261" s="272"/>
      <c r="BL261" s="1"/>
    </row>
    <row r="262">
      <c r="A262" s="1"/>
      <c r="B262" s="1"/>
      <c r="C262" s="338" t="str">
        <f>'Livro Diario - FC'!AE270</f>
        <v>5.2.4 Aluguel</v>
      </c>
      <c r="D262" s="255">
        <f>SUMIFS('Livro Diario - FC'!$K$11:$K1028,'Livro Diario - FC'!$E$11:$E1028,$C$262,'Livro Diario - FC'!$D$11:$D1028,"&gt;=01/01"&amp;$C$7,'Livro Diario - FC'!$D$11:$D1028,"&lt;=31/01"&amp;$C$7)</f>
        <v>0</v>
      </c>
      <c r="E262" s="256">
        <f>SUMIFS('Livro Diario - FC'!$M$11:$M1028,'Livro Diario - FC'!$E$11:$E1028,$C$262,'Livro Diario - FC'!$D$11:$D1028,"&gt;=01/01"&amp;$C$7,'Livro Diario - FC'!$D$11:$D1028,"&lt;=31/01"&amp;$C$7)</f>
        <v>0</v>
      </c>
      <c r="F262" s="374">
        <f>IF(E$11=0,"",E262/E$11)</f>
        <v>0</v>
      </c>
      <c r="G262" s="258" t="str">
        <f>IF(A262=0,"",E262/A262-1)</f>
        <v/>
      </c>
      <c r="H262" s="157"/>
      <c r="I262" s="255">
        <f>SUMIFS('Livro Diario - FC'!$K$11:$K1028,'Livro Diario - FC'!$E$11:$E1028,$C$262,'Livro Diario - FC'!$D$11:$D1028,"&gt;=01/02"&amp;$C$7,'Livro Diario - FC'!$D$11:$D1028,"&lt;=29/02"&amp;$C$7)</f>
        <v>0</v>
      </c>
      <c r="J262" s="256">
        <f>SUMIFS('Livro Diario - FC'!$M$11:$M1028,'Livro Diario - FC'!$E$11:$E1028,$C$262,'Livro Diario - FC'!$D$11:$D1028,"&gt;=01/02"&amp;$C$7,'Livro Diario - FC'!$D$11:$D1028,"&lt;=29/02"&amp;$C$7)</f>
        <v>0</v>
      </c>
      <c r="K262" s="374" t="str">
        <f>IF(J$11=0,"",J262/J$11)</f>
        <v/>
      </c>
      <c r="L262" s="258" t="str">
        <f>IF(E262=0,"",J262/E262-1)</f>
        <v/>
      </c>
      <c r="M262" s="259"/>
      <c r="N262" s="255">
        <f>SUMIFS('Livro Diario - FC'!$K$11:$K1028,'Livro Diario - FC'!$E$11:$E1028,$C$262,'Livro Diario - FC'!$D$11:$D1028,"&gt;=01/03"&amp;$C$7,'Livro Diario - FC'!$D$11:$D1028,"&lt;=31/03"&amp;$C$7)</f>
        <v>0</v>
      </c>
      <c r="O262" s="256">
        <f>SUMIFS('Livro Diario - FC'!$M$11:$M1028,'Livro Diario - FC'!$E$11:$E1028,$C$262,'Livro Diario - FC'!$D$11:$D1028,"&gt;=01/03"&amp;$C$7,'Livro Diario - FC'!$D$11:$D1028,"&lt;=31/03"&amp;$C$7)</f>
        <v>0</v>
      </c>
      <c r="P262" s="374" t="str">
        <f>IF(O$11=0,"",O262/O$11)</f>
        <v/>
      </c>
      <c r="Q262" s="258" t="str">
        <f>IF(J262=0,"",O262/J262-1)</f>
        <v/>
      </c>
      <c r="R262" s="259"/>
      <c r="S262" s="255">
        <f>SUMIFS('Livro Diario - FC'!$K$11:$K1028,'Livro Diario - FC'!$E$11:$E1028,$C$262,'Livro Diario - FC'!$D$11:$D1028,"&gt;=01/04"&amp;$C$7,'Livro Diario - FC'!$D$11:$D1028,"&lt;=30/04"&amp;$C$7)</f>
        <v>0</v>
      </c>
      <c r="T262" s="256">
        <f>SUMIFS('Livro Diario - FC'!$M$11:$M1028,'Livro Diario - FC'!$E$11:$E1028,$C$262,'Livro Diario - FC'!$D$11:$D1028,"&gt;=01/04"&amp;$C$7,'Livro Diario - FC'!$D$11:$D1028,"&lt;=30/04"&amp;$C$7)</f>
        <v>0</v>
      </c>
      <c r="U262" s="374" t="str">
        <f>IF(T$11=0,"",T262/T$11)</f>
        <v/>
      </c>
      <c r="V262" s="258" t="str">
        <f>IF(O262=0,"",T262/O262-1)</f>
        <v/>
      </c>
      <c r="W262" s="259"/>
      <c r="X262" s="255">
        <f>SUMIFS('Livro Diario - FC'!$K$11:$K1028,'Livro Diario - FC'!$E$11:$E1028,$C$262,'Livro Diario - FC'!$D$11:$D1028,"&gt;=01/05"&amp;$C$7,'Livro Diario - FC'!$D$11:$D1028,"&lt;=31/05"&amp;$C$7)</f>
        <v>0</v>
      </c>
      <c r="Y262" s="256">
        <f>SUMIFS('Livro Diario - FC'!$M$11:$M1028,'Livro Diario - FC'!$E$11:$E1028,$C$262,'Livro Diario - FC'!$D$11:$D1028,"&gt;=01/05"&amp;$C$7,'Livro Diario - FC'!$D$11:$D1028,"&lt;=31/05"&amp;$C$7)</f>
        <v>0</v>
      </c>
      <c r="Z262" s="374" t="str">
        <f>IF(Y$11=0,"",Y262/Y$11)</f>
        <v/>
      </c>
      <c r="AA262" s="258" t="str">
        <f>IF(T262=0,"",Y262/T262-1)</f>
        <v/>
      </c>
      <c r="AB262" s="259"/>
      <c r="AC262" s="255">
        <f>SUMIFS('Livro Diario - FC'!$K$11:$K1028,'Livro Diario - FC'!$E$11:$E1028,$C$262,'Livro Diario - FC'!$D$11:$D1028,"&gt;=01/06"&amp;$C$7,'Livro Diario - FC'!$D$11:$D1028,"&lt;=30/06"&amp;$C$7)</f>
        <v>0</v>
      </c>
      <c r="AD262" s="256">
        <f>SUMIFS('Livro Diario - FC'!$M$11:$M1028,'Livro Diario - FC'!$E$11:$E1028,$C$262,'Livro Diario - FC'!$D$11:$D1028,"&gt;=01/06"&amp;$C$7,'Livro Diario - FC'!$D$11:$D1028,"&lt;=30/06"&amp;$C$7)</f>
        <v>0</v>
      </c>
      <c r="AE262" s="374" t="str">
        <f>IF(AD$11=0,"",AD262/AD$11)</f>
        <v/>
      </c>
      <c r="AF262" s="258" t="str">
        <f>IF(Y262=0,"",AD262/Y262-1)</f>
        <v/>
      </c>
      <c r="AG262" s="255">
        <f>SUMIFS('Livro Diario - FC'!$K$11:$K1028,'Livro Diario - FC'!$E$11:$E1028,$C$262,'Livro Diario - FC'!$D$11:$D1028,"&gt;=01/07"&amp;$C$7,'Livro Diario - FC'!$D$11:$D1028,"&lt;=31/07"&amp;$C$7)</f>
        <v>0</v>
      </c>
      <c r="AH262" s="256">
        <f>SUMIFS('Livro Diario - FC'!$M$11:$M1028,'Livro Diario - FC'!$E$11:$E1028,$C$262,'Livro Diario - FC'!$D$11:$D1028,"&gt;=01/07"&amp;$C$7,'Livro Diario - FC'!$D$11:$D1028,"&lt;=31/07"&amp;$C$7)</f>
        <v>0</v>
      </c>
      <c r="AI262" s="374" t="str">
        <f>IF(AH$11=0,"",AH262/AH$11)</f>
        <v/>
      </c>
      <c r="AJ262" s="258" t="str">
        <f>IF(AD262=0,"",AH262/AD262-1)</f>
        <v/>
      </c>
      <c r="AK262" s="255">
        <f>SUMIFS('Livro Diario - FC'!$K$11:$K1028,'Livro Diario - FC'!$E$11:$E1028,$C$262,'Livro Diario - FC'!$D$11:$D1028,"&gt;=01/08"&amp;$C$7,'Livro Diario - FC'!$D$11:$D1028,"&lt;=31/08"&amp;$C$7)</f>
        <v>0</v>
      </c>
      <c r="AL262" s="256">
        <f>SUMIFS('Livro Diario - FC'!$M$11:$M1028,'Livro Diario - FC'!$E$11:$E1028,$C$262,'Livro Diario - FC'!$D$11:$D1028,"&gt;=01/08"&amp;$C$7,'Livro Diario - FC'!$D$11:$D1028,"&lt;=31/08"&amp;$C$7)</f>
        <v>0</v>
      </c>
      <c r="AM262" s="374" t="str">
        <f>IF(AL$11=0,"",AL262/AL$11)</f>
        <v/>
      </c>
      <c r="AN262" s="258" t="str">
        <f>IF(AH262=0,"",AL262/AH262-1)</f>
        <v/>
      </c>
      <c r="AO262" s="255">
        <f>SUMIFS('Livro Diario - FC'!$K$11:$K1028,'Livro Diario - FC'!$E$11:$E1028,$C$262,'Livro Diario - FC'!$D$11:$D1028,"&gt;=01/09"&amp;$C$7,'Livro Diario - FC'!$D$11:$D1028,"&lt;=30/09"&amp;$C$7)</f>
        <v>0</v>
      </c>
      <c r="AP262" s="256">
        <f>SUMIFS('Livro Diario - FC'!$M$11:$M1028,'Livro Diario - FC'!$E$11:$E1028,$C$262,'Livro Diario - FC'!$D$11:$D1028,"&gt;=01/09"&amp;$C$7,'Livro Diario - FC'!$D$11:$D1028,"&lt;=30/09"&amp;$C$7)</f>
        <v>0</v>
      </c>
      <c r="AQ262" s="374" t="str">
        <f>IF(AP$11=0,"",AP262/AP$11)</f>
        <v/>
      </c>
      <c r="AR262" s="258" t="str">
        <f>IF(AL262=0,"",AP262/AL262-1)</f>
        <v/>
      </c>
      <c r="AS262" s="255">
        <f>SUMIFS('Livro Diario - FC'!$K$11:$K1028,'Livro Diario - FC'!$E$11:$E1028,$C$262,'Livro Diario - FC'!$D$11:$D1028,"&gt;=01/10"&amp;$C$7,'Livro Diario - FC'!$D$11:$D1028,"&lt;=31/10"&amp;$C$7)</f>
        <v>0</v>
      </c>
      <c r="AT262" s="256">
        <f>SUMIFS('Livro Diario - FC'!$M$11:$M1028,'Livro Diario - FC'!$E$11:$E1028,$C$262,'Livro Diario - FC'!$D$11:$D1028,"&gt;=01/10"&amp;$C$7,'Livro Diario - FC'!$D$11:$D1028,"&lt;=31/10"&amp;$C$7)</f>
        <v>0</v>
      </c>
      <c r="AU262" s="374" t="str">
        <f>IF(AT$11=0,"",AT262/AT$11)</f>
        <v/>
      </c>
      <c r="AV262" s="258" t="str">
        <f>IF(AP262=0,"",AT262/AP262-1)</f>
        <v/>
      </c>
      <c r="AW262" s="255">
        <f>SUMIFS('Livro Diario - FC'!$K$11:$K1028,'Livro Diario - FC'!$E$11:$E1028,$C$262,'Livro Diario - FC'!$D$11:$D1028,"&gt;=01/11"&amp;$C$7,'Livro Diario - FC'!$D$11:$D1028,"&lt;=30/11"&amp;$C$7)</f>
        <v>0</v>
      </c>
      <c r="AX262" s="256">
        <f>SUMIFS('Livro Diario - FC'!$M$11:$M1028,'Livro Diario - FC'!$E$11:$E1028,$C$262,'Livro Diario - FC'!$D$11:$D1028,"&gt;=01/11"&amp;$C$7,'Livro Diario - FC'!$D$11:$D1028,"&lt;=30/11"&amp;$C$7)</f>
        <v>0</v>
      </c>
      <c r="AY262" s="374" t="str">
        <f>IF(AX$11=0,"",AX262/AX$11)</f>
        <v/>
      </c>
      <c r="AZ262" s="258" t="str">
        <f>IF(AT262=0,"",AX262/AT262-1)</f>
        <v/>
      </c>
      <c r="BA262" s="255">
        <f>SUMIFS('Livro Diario - FC'!$K$11:$K1028,'Livro Diario - FC'!$E$11:$E1028,$C$262,'Livro Diario - FC'!$D$11:$D1028,"&gt;=01/12"&amp;$C$7,'Livro Diario - FC'!$D$11:$D1028,"&lt;=31/12"&amp;$C$7)</f>
        <v>0</v>
      </c>
      <c r="BB262" s="256">
        <f>SUMIFS('Livro Diario - FC'!$M$11:$M1028,'Livro Diario - FC'!$E$11:$E1028,$C$262,'Livro Diario - FC'!$D$11:$D1028,"&gt;=01/12"&amp;$C$7,'Livro Diario - FC'!$D$11:$D1028,"&lt;=31/12"&amp;$C$7)</f>
        <v>0</v>
      </c>
      <c r="BC262" s="374" t="str">
        <f>IF(BB$11=0,"",BB262/BB$11)</f>
        <v/>
      </c>
      <c r="BD262" s="273" t="str">
        <f>IF(AX262=0,"",BB262/AX262-1)</f>
        <v/>
      </c>
      <c r="BE262" s="267">
        <f t="shared" ref="BE262:BF262" si="408">SUM(D262,I262,N262,S262,X262,AC262,AG262,AK262,AO262,AS262,AW262,BA262)</f>
        <v>0</v>
      </c>
      <c r="BF262" s="268">
        <f t="shared" si="408"/>
        <v>0</v>
      </c>
      <c r="BG262" s="347">
        <f>IF(BF$11=0,"",BF262/BF$11)</f>
        <v>0</v>
      </c>
      <c r="BH262" s="192"/>
      <c r="BI262" s="270">
        <f>SUMIFS('Livro Diario - FC'!$M$11:$M1028,'Livro Diario - FC'!$E$11:$E1028,C262,'Livro Diario - FC'!$D$11:$D1028,"&gt;="&amp;$BK$8,'Livro Diario - FC'!$D$11:$D1028,"&lt;="&amp;$BK$9)</f>
        <v>0</v>
      </c>
      <c r="BJ262" s="271" t="str">
        <f>IF(BI$11=0,"",BI262/BI$11)</f>
        <v/>
      </c>
      <c r="BK262" s="272"/>
      <c r="BL262" s="1"/>
    </row>
    <row r="263">
      <c r="A263" s="1"/>
      <c r="B263" s="1"/>
      <c r="C263" s="338" t="str">
        <f>'Livro Diario - FC'!AE271</f>
        <v>5.2.5 Água(COMPESA)</v>
      </c>
      <c r="D263" s="255">
        <f>SUMIFS('Livro Diario - FC'!$K$11:$K1028,'Livro Diario - FC'!$E$11:$E1028,$C$263,'Livro Diario - FC'!$D$11:$D1028,"&gt;=01/01"&amp;$C$7,'Livro Diario - FC'!$D$11:$D1028,"&lt;=31/01"&amp;$C$7)</f>
        <v>0</v>
      </c>
      <c r="E263" s="256">
        <f>SUMIFS('Livro Diario - FC'!$M$11:$M1028,'Livro Diario - FC'!$E$11:$E1028,$C$263,'Livro Diario - FC'!$D$11:$D1028,"&gt;=01/01"&amp;$C$7,'Livro Diario - FC'!$D$11:$D1028,"&lt;=31/01"&amp;$C$7)</f>
        <v>0</v>
      </c>
      <c r="F263" s="273"/>
      <c r="G263" s="258"/>
      <c r="H263" s="157"/>
      <c r="I263" s="255">
        <f>SUMIFS('Livro Diario - FC'!$K$11:$K1028,'Livro Diario - FC'!$E$11:$E1028,$C$263,'Livro Diario - FC'!$D$11:$D1028,"&gt;=01/02"&amp;$C$7,'Livro Diario - FC'!$D$11:$D1028,"&lt;=29/02"&amp;$C$7)</f>
        <v>0</v>
      </c>
      <c r="J263" s="256">
        <f>SUMIFS('Livro Diario - FC'!$M$11:$M1028,'Livro Diario - FC'!$E$11:$E1028,$C$263,'Livro Diario - FC'!$D$11:$D1028,"&gt;=01/02"&amp;$C$7,'Livro Diario - FC'!$D$11:$D1028,"&lt;=29/02"&amp;$C$7)</f>
        <v>0</v>
      </c>
      <c r="K263" s="273"/>
      <c r="L263" s="258"/>
      <c r="M263" s="259"/>
      <c r="N263" s="255">
        <f>SUMIFS('Livro Diario - FC'!$K$11:$K1028,'Livro Diario - FC'!$E$11:$E1028,$C$263,'Livro Diario - FC'!$D$11:$D1028,"&gt;=01/03"&amp;$C$7,'Livro Diario - FC'!$D$11:$D1028,"&lt;=31/03"&amp;$C$7)</f>
        <v>0</v>
      </c>
      <c r="O263" s="256">
        <f>SUMIFS('Livro Diario - FC'!$M$11:$M1028,'Livro Diario - FC'!$E$11:$E1028,$C$263,'Livro Diario - FC'!$D$11:$D1028,"&gt;=01/03"&amp;$C$7,'Livro Diario - FC'!$D$11:$D1028,"&lt;=31/03"&amp;$C$7)</f>
        <v>0</v>
      </c>
      <c r="P263" s="273"/>
      <c r="Q263" s="258"/>
      <c r="R263" s="259"/>
      <c r="S263" s="255">
        <f>SUMIFS('Livro Diario - FC'!$K$11:$K1028,'Livro Diario - FC'!$E$11:$E1028,$C$263,'Livro Diario - FC'!$D$11:$D1028,"&gt;=01/04"&amp;$C$7,'Livro Diario - FC'!$D$11:$D1028,"&lt;=30/04"&amp;$C$7)</f>
        <v>0</v>
      </c>
      <c r="T263" s="256">
        <f>SUMIFS('Livro Diario - FC'!$M$11:$M1028,'Livro Diario - FC'!$E$11:$E1028,$C$263,'Livro Diario - FC'!$D$11:$D1028,"&gt;=01/04"&amp;$C$7,'Livro Diario - FC'!$D$11:$D1028,"&lt;=30/04"&amp;$C$7)</f>
        <v>0</v>
      </c>
      <c r="U263" s="273"/>
      <c r="V263" s="258"/>
      <c r="W263" s="259"/>
      <c r="X263" s="255">
        <f>SUMIFS('Livro Diario - FC'!$K$11:$K1028,'Livro Diario - FC'!$E$11:$E1028,$C$263,'Livro Diario - FC'!$D$11:$D1028,"&gt;=01/05"&amp;$C$7,'Livro Diario - FC'!$D$11:$D1028,"&lt;=31/05"&amp;$C$7)</f>
        <v>0</v>
      </c>
      <c r="Y263" s="256">
        <f>SUMIFS('Livro Diario - FC'!$M$11:$M1028,'Livro Diario - FC'!$E$11:$E1028,$C$263,'Livro Diario - FC'!$D$11:$D1028,"&gt;=01/05"&amp;$C$7,'Livro Diario - FC'!$D$11:$D1028,"&lt;=31/05"&amp;$C$7)</f>
        <v>0</v>
      </c>
      <c r="Z263" s="273"/>
      <c r="AA263" s="258"/>
      <c r="AB263" s="259"/>
      <c r="AC263" s="255">
        <f>SUMIFS('Livro Diario - FC'!$K$11:$K1028,'Livro Diario - FC'!$E$11:$E1028,$C$263,'Livro Diario - FC'!$D$11:$D1028,"&gt;=01/06"&amp;$C$7,'Livro Diario - FC'!$D$11:$D1028,"&lt;=30/06"&amp;$C$7)</f>
        <v>0</v>
      </c>
      <c r="AD263" s="256">
        <f>SUMIFS('Livro Diario - FC'!$M$11:$M1028,'Livro Diario - FC'!$E$11:$E1028,$C$263,'Livro Diario - FC'!$D$11:$D1028,"&gt;=01/06"&amp;$C$7,'Livro Diario - FC'!$D$11:$D1028,"&lt;=30/06"&amp;$C$7)</f>
        <v>0</v>
      </c>
      <c r="AE263" s="273"/>
      <c r="AF263" s="258"/>
      <c r="AG263" s="255">
        <f>SUMIFS('Livro Diario - FC'!$K$11:$K1028,'Livro Diario - FC'!$E$11:$E1028,$C$263,'Livro Diario - FC'!$D$11:$D1028,"&gt;=01/07"&amp;$C$7,'Livro Diario - FC'!$D$11:$D1028,"&lt;=31/07"&amp;$C$7)</f>
        <v>0</v>
      </c>
      <c r="AH263" s="256">
        <f>SUMIFS('Livro Diario - FC'!$M$11:$M1028,'Livro Diario - FC'!$E$11:$E1028,$C$263,'Livro Diario - FC'!$D$11:$D1028,"&gt;=01/07"&amp;$C$7,'Livro Diario - FC'!$D$11:$D1028,"&lt;=31/07"&amp;$C$7)</f>
        <v>0</v>
      </c>
      <c r="AI263" s="273"/>
      <c r="AJ263" s="258"/>
      <c r="AK263" s="255">
        <f>SUMIFS('Livro Diario - FC'!$K$11:$K1028,'Livro Diario - FC'!$E$11:$E1028,$C$263,'Livro Diario - FC'!$D$11:$D1028,"&gt;=01/08"&amp;$C$7,'Livro Diario - FC'!$D$11:$D1028,"&lt;=31/08"&amp;$C$7)</f>
        <v>0</v>
      </c>
      <c r="AL263" s="256">
        <f>SUMIFS('Livro Diario - FC'!$M$11:$M1028,'Livro Diario - FC'!$E$11:$E1028,$C$263,'Livro Diario - FC'!$D$11:$D1028,"&gt;=01/08"&amp;$C$7,'Livro Diario - FC'!$D$11:$D1028,"&lt;=31/08"&amp;$C$7)</f>
        <v>0</v>
      </c>
      <c r="AM263" s="273"/>
      <c r="AN263" s="258"/>
      <c r="AO263" s="255">
        <f>SUMIFS('Livro Diario - FC'!$K$11:$K1028,'Livro Diario - FC'!$E$11:$E1028,$C$263,'Livro Diario - FC'!$D$11:$D1028,"&gt;=01/09"&amp;$C$7,'Livro Diario - FC'!$D$11:$D1028,"&lt;=30/09"&amp;$C$7)</f>
        <v>0</v>
      </c>
      <c r="AP263" s="256">
        <f>SUMIFS('Livro Diario - FC'!$M$11:$M1028,'Livro Diario - FC'!$E$11:$E1028,$C$263,'Livro Diario - FC'!$D$11:$D1028,"&gt;=01/09"&amp;$C$7,'Livro Diario - FC'!$D$11:$D1028,"&lt;=30/09"&amp;$C$7)</f>
        <v>0</v>
      </c>
      <c r="AQ263" s="273"/>
      <c r="AR263" s="258"/>
      <c r="AS263" s="255">
        <f>SUMIFS('Livro Diario - FC'!$K$11:$K1028,'Livro Diario - FC'!$E$11:$E1028,$C$263,'Livro Diario - FC'!$D$11:$D1028,"&gt;=01/10"&amp;$C$7,'Livro Diario - FC'!$D$11:$D1028,"&lt;=31/10"&amp;$C$7)</f>
        <v>0</v>
      </c>
      <c r="AT263" s="256">
        <f>SUMIFS('Livro Diario - FC'!$M$11:$M1028,'Livro Diario - FC'!$E$11:$E1028,$C$263,'Livro Diario - FC'!$D$11:$D1028,"&gt;=01/10"&amp;$C$7,'Livro Diario - FC'!$D$11:$D1028,"&lt;=31/10"&amp;$C$7)</f>
        <v>0</v>
      </c>
      <c r="AU263" s="273"/>
      <c r="AV263" s="258"/>
      <c r="AW263" s="255">
        <f>SUMIFS('Livro Diario - FC'!$K$11:$K1028,'Livro Diario - FC'!$E$11:$E1028,$C$263,'Livro Diario - FC'!$D$11:$D1028,"&gt;=01/11"&amp;$C$7,'Livro Diario - FC'!$D$11:$D1028,"&lt;=30/11"&amp;$C$7)</f>
        <v>0</v>
      </c>
      <c r="AX263" s="256">
        <f>SUMIFS('Livro Diario - FC'!$M$11:$M1028,'Livro Diario - FC'!$E$11:$E1028,$C$263,'Livro Diario - FC'!$D$11:$D1028,"&gt;=01/11"&amp;$C$7,'Livro Diario - FC'!$D$11:$D1028,"&lt;=30/11"&amp;$C$7)</f>
        <v>0</v>
      </c>
      <c r="AY263" s="273"/>
      <c r="AZ263" s="258"/>
      <c r="BA263" s="255">
        <f>SUMIFS('Livro Diario - FC'!$K$11:$K1028,'Livro Diario - FC'!$E$11:$E1028,$C$263,'Livro Diario - FC'!$D$11:$D1028,"&gt;=01/12"&amp;$C$7,'Livro Diario - FC'!$D$11:$D1028,"&lt;=31/12"&amp;$C$7)</f>
        <v>0</v>
      </c>
      <c r="BB263" s="256">
        <f>SUMIFS('Livro Diario - FC'!$M$11:$M1028,'Livro Diario - FC'!$E$11:$E1028,$C$263,'Livro Diario - FC'!$D$11:$D1028,"&gt;=01/12"&amp;$C$7,'Livro Diario - FC'!$D$11:$D1028,"&lt;=31/12"&amp;$C$7)</f>
        <v>0</v>
      </c>
      <c r="BC263" s="273"/>
      <c r="BD263" s="273"/>
      <c r="BE263" s="267">
        <f t="shared" ref="BE263:BF263" si="409">SUM(D263,I263,N263,S263,X263,AC263,AG263,AK263,AO263,AS263,AW263,BA263)</f>
        <v>0</v>
      </c>
      <c r="BF263" s="268">
        <f t="shared" si="409"/>
        <v>0</v>
      </c>
      <c r="BG263" s="269"/>
      <c r="BH263" s="192"/>
      <c r="BI263" s="270">
        <f>SUMIFS('Livro Diario - FC'!$M$11:$M1028,'Livro Diario - FC'!$E$11:$E1028,C263,'Livro Diario - FC'!$D$11:$D1028,"&gt;="&amp;$BK$8,'Livro Diario - FC'!$D$11:$D1028,"&lt;="&amp;$BK$9)</f>
        <v>0</v>
      </c>
      <c r="BJ263" s="271"/>
      <c r="BK263" s="272"/>
      <c r="BL263" s="1"/>
    </row>
    <row r="264">
      <c r="A264" s="1"/>
      <c r="B264" s="1"/>
      <c r="C264" s="338" t="str">
        <f>'Livro Diario - FC'!AE272</f>
        <v>5.2.6 Gasolina / Estacionamento / Táxi</v>
      </c>
      <c r="D264" s="255">
        <f>SUMIFS('Livro Diario - FC'!$K$11:$K1028,'Livro Diario - FC'!$E$11:$E1028,$C$264,'Livro Diario - FC'!$D$11:$D1028,"&gt;=01/01"&amp;$C$7,'Livro Diario - FC'!$D$11:$D1028,"&lt;=31/01"&amp;$C$7)</f>
        <v>83.36</v>
      </c>
      <c r="E264" s="256">
        <f>SUMIFS('Livro Diario - FC'!$M$11:$M1028,'Livro Diario - FC'!$E$11:$E1028,$C$264,'Livro Diario - FC'!$D$11:$D1028,"&gt;=01/01"&amp;$C$7,'Livro Diario - FC'!$D$11:$D1028,"&lt;=31/01"&amp;$C$7)</f>
        <v>83.36</v>
      </c>
      <c r="F264" s="273"/>
      <c r="G264" s="258"/>
      <c r="H264" s="157"/>
      <c r="I264" s="255">
        <f>SUMIFS('Livro Diario - FC'!$K$11:$K1028,'Livro Diario - FC'!$E$11:$E1028,$C$264,'Livro Diario - FC'!$D$11:$D1028,"&gt;=01/02"&amp;$C$7,'Livro Diario - FC'!$D$11:$D1028,"&lt;=29/02"&amp;$C$7)</f>
        <v>0</v>
      </c>
      <c r="J264" s="256">
        <f>SUMIFS('Livro Diario - FC'!$M$11:$M1028,'Livro Diario - FC'!$E$11:$E1028,$C$264,'Livro Diario - FC'!$D$11:$D1028,"&gt;=01/02"&amp;$C$7,'Livro Diario - FC'!$D$11:$D1028,"&lt;=29/02"&amp;$C$7)</f>
        <v>0</v>
      </c>
      <c r="K264" s="273"/>
      <c r="L264" s="258"/>
      <c r="M264" s="259"/>
      <c r="N264" s="255">
        <f>SUMIFS('Livro Diario - FC'!$K$11:$K1028,'Livro Diario - FC'!$E$11:$E1028,$C$264,'Livro Diario - FC'!$D$11:$D1028,"&gt;=01/03"&amp;$C$7,'Livro Diario - FC'!$D$11:$D1028,"&lt;=31/03"&amp;$C$7)</f>
        <v>0</v>
      </c>
      <c r="O264" s="256">
        <f>SUMIFS('Livro Diario - FC'!$M$11:$M1028,'Livro Diario - FC'!$E$11:$E1028,$C$264,'Livro Diario - FC'!$D$11:$D1028,"&gt;=01/03"&amp;$C$7,'Livro Diario - FC'!$D$11:$D1028,"&lt;=31/03"&amp;$C$7)</f>
        <v>0</v>
      </c>
      <c r="P264" s="273"/>
      <c r="Q264" s="258"/>
      <c r="R264" s="259"/>
      <c r="S264" s="255">
        <f>SUMIFS('Livro Diario - FC'!$K$11:$K1028,'Livro Diario - FC'!$E$11:$E1028,$C$264,'Livro Diario - FC'!$D$11:$D1028,"&gt;=01/04"&amp;$C$7,'Livro Diario - FC'!$D$11:$D1028,"&lt;=30/04"&amp;$C$7)</f>
        <v>0</v>
      </c>
      <c r="T264" s="256">
        <f>SUMIFS('Livro Diario - FC'!$M$11:$M1028,'Livro Diario - FC'!$E$11:$E1028,$C$264,'Livro Diario - FC'!$D$11:$D1028,"&gt;=01/04"&amp;$C$7,'Livro Diario - FC'!$D$11:$D1028,"&lt;=30/04"&amp;$C$7)</f>
        <v>0</v>
      </c>
      <c r="U264" s="273"/>
      <c r="V264" s="258"/>
      <c r="W264" s="259"/>
      <c r="X264" s="255">
        <f>SUMIFS('Livro Diario - FC'!$K$11:$K1028,'Livro Diario - FC'!$E$11:$E1028,$C$264,'Livro Diario - FC'!$D$11:$D1028,"&gt;=01/05"&amp;$C$7,'Livro Diario - FC'!$D$11:$D1028,"&lt;=31/05"&amp;$C$7)</f>
        <v>0</v>
      </c>
      <c r="Y264" s="256">
        <f>SUMIFS('Livro Diario - FC'!$M$11:$M1028,'Livro Diario - FC'!$E$11:$E1028,$C$264,'Livro Diario - FC'!$D$11:$D1028,"&gt;=01/05"&amp;$C$7,'Livro Diario - FC'!$D$11:$D1028,"&lt;=31/05"&amp;$C$7)</f>
        <v>0</v>
      </c>
      <c r="Z264" s="273"/>
      <c r="AA264" s="258"/>
      <c r="AB264" s="259"/>
      <c r="AC264" s="255">
        <f>SUMIFS('Livro Diario - FC'!$K$11:$K1028,'Livro Diario - FC'!$E$11:$E1028,$C$264,'Livro Diario - FC'!$D$11:$D1028,"&gt;=01/06"&amp;$C$7,'Livro Diario - FC'!$D$11:$D1028,"&lt;=30/06"&amp;$C$7)</f>
        <v>0</v>
      </c>
      <c r="AD264" s="256">
        <f>SUMIFS('Livro Diario - FC'!$M$11:$M1028,'Livro Diario - FC'!$E$11:$E1028,$C$264,'Livro Diario - FC'!$D$11:$D1028,"&gt;=01/06"&amp;$C$7,'Livro Diario - FC'!$D$11:$D1028,"&lt;=30/06"&amp;$C$7)</f>
        <v>0</v>
      </c>
      <c r="AE264" s="273"/>
      <c r="AF264" s="258"/>
      <c r="AG264" s="255">
        <f>SUMIFS('Livro Diario - FC'!$K$11:$K1028,'Livro Diario - FC'!$E$11:$E1028,$C$264,'Livro Diario - FC'!$D$11:$D1028,"&gt;=01/07"&amp;$C$7,'Livro Diario - FC'!$D$11:$D1028,"&lt;=31/07"&amp;$C$7)</f>
        <v>0</v>
      </c>
      <c r="AH264" s="256">
        <f>SUMIFS('Livro Diario - FC'!$M$11:$M1028,'Livro Diario - FC'!$E$11:$E1028,$C$264,'Livro Diario - FC'!$D$11:$D1028,"&gt;=01/07"&amp;$C$7,'Livro Diario - FC'!$D$11:$D1028,"&lt;=31/07"&amp;$C$7)</f>
        <v>0</v>
      </c>
      <c r="AI264" s="273"/>
      <c r="AJ264" s="258"/>
      <c r="AK264" s="255">
        <f>SUMIFS('Livro Diario - FC'!$K$11:$K1028,'Livro Diario - FC'!$E$11:$E1028,$C$264,'Livro Diario - FC'!$D$11:$D1028,"&gt;=01/08"&amp;$C$7,'Livro Diario - FC'!$D$11:$D1028,"&lt;=31/08"&amp;$C$7)</f>
        <v>0</v>
      </c>
      <c r="AL264" s="256">
        <f>SUMIFS('Livro Diario - FC'!$M$11:$M1028,'Livro Diario - FC'!$E$11:$E1028,$C$264,'Livro Diario - FC'!$D$11:$D1028,"&gt;=01/08"&amp;$C$7,'Livro Diario - FC'!$D$11:$D1028,"&lt;=31/08"&amp;$C$7)</f>
        <v>0</v>
      </c>
      <c r="AM264" s="273"/>
      <c r="AN264" s="258"/>
      <c r="AO264" s="255">
        <f>SUMIFS('Livro Diario - FC'!$K$11:$K1028,'Livro Diario - FC'!$E$11:$E1028,$C$264,'Livro Diario - FC'!$D$11:$D1028,"&gt;=01/09"&amp;$C$7,'Livro Diario - FC'!$D$11:$D1028,"&lt;=30/09"&amp;$C$7)</f>
        <v>0</v>
      </c>
      <c r="AP264" s="256">
        <f>SUMIFS('Livro Diario - FC'!$M$11:$M1028,'Livro Diario - FC'!$E$11:$E1028,$C$264,'Livro Diario - FC'!$D$11:$D1028,"&gt;=01/09"&amp;$C$7,'Livro Diario - FC'!$D$11:$D1028,"&lt;=30/09"&amp;$C$7)</f>
        <v>0</v>
      </c>
      <c r="AQ264" s="273"/>
      <c r="AR264" s="258"/>
      <c r="AS264" s="255">
        <f>SUMIFS('Livro Diario - FC'!$K$11:$K1028,'Livro Diario - FC'!$E$11:$E1028,$C$264,'Livro Diario - FC'!$D$11:$D1028,"&gt;=01/10"&amp;$C$7,'Livro Diario - FC'!$D$11:$D1028,"&lt;=31/10"&amp;$C$7)</f>
        <v>0</v>
      </c>
      <c r="AT264" s="256">
        <f>SUMIFS('Livro Diario - FC'!$M$11:$M1028,'Livro Diario - FC'!$E$11:$E1028,$C$264,'Livro Diario - FC'!$D$11:$D1028,"&gt;=01/10"&amp;$C$7,'Livro Diario - FC'!$D$11:$D1028,"&lt;=31/10"&amp;$C$7)</f>
        <v>0</v>
      </c>
      <c r="AU264" s="273"/>
      <c r="AV264" s="258"/>
      <c r="AW264" s="255">
        <f>SUMIFS('Livro Diario - FC'!$K$11:$K1028,'Livro Diario - FC'!$E$11:$E1028,$C$264,'Livro Diario - FC'!$D$11:$D1028,"&gt;=01/11"&amp;$C$7,'Livro Diario - FC'!$D$11:$D1028,"&lt;=30/11"&amp;$C$7)</f>
        <v>0</v>
      </c>
      <c r="AX264" s="256">
        <f>SUMIFS('Livro Diario - FC'!$M$11:$M1028,'Livro Diario - FC'!$E$11:$E1028,$C$264,'Livro Diario - FC'!$D$11:$D1028,"&gt;=01/11"&amp;$C$7,'Livro Diario - FC'!$D$11:$D1028,"&lt;=30/11"&amp;$C$7)</f>
        <v>0</v>
      </c>
      <c r="AY264" s="273"/>
      <c r="AZ264" s="258"/>
      <c r="BA264" s="255">
        <f>SUMIFS('Livro Diario - FC'!$K$11:$K1028,'Livro Diario - FC'!$E$11:$E1028,$C$264,'Livro Diario - FC'!$D$11:$D1028,"&gt;=01/12"&amp;$C$7,'Livro Diario - FC'!$D$11:$D1028,"&lt;=31/12"&amp;$C$7)</f>
        <v>0</v>
      </c>
      <c r="BB264" s="256">
        <f>SUMIFS('Livro Diario - FC'!$M$11:$M1028,'Livro Diario - FC'!$E$11:$E1028,$C$264,'Livro Diario - FC'!$D$11:$D1028,"&gt;=01/12"&amp;$C$7,'Livro Diario - FC'!$D$11:$D1028,"&lt;=31/12"&amp;$C$7)</f>
        <v>0</v>
      </c>
      <c r="BC264" s="273"/>
      <c r="BD264" s="273"/>
      <c r="BE264" s="267">
        <f t="shared" ref="BE264:BF264" si="410">SUM(D264,I264,N264,S264,X264,AC264,AG264,AK264,AO264,AS264,AW264,BA264)</f>
        <v>83.36</v>
      </c>
      <c r="BF264" s="268">
        <f t="shared" si="410"/>
        <v>83.36</v>
      </c>
      <c r="BG264" s="269"/>
      <c r="BH264" s="192"/>
      <c r="BI264" s="270">
        <f>SUMIFS('Livro Diario - FC'!$M$11:$M1028,'Livro Diario - FC'!$E$11:$E1028,C264,'Livro Diario - FC'!$D$11:$D1028,"&gt;="&amp;$BK$8,'Livro Diario - FC'!$D$11:$D1028,"&lt;="&amp;$BK$9)</f>
        <v>0</v>
      </c>
      <c r="BJ264" s="271"/>
      <c r="BK264" s="272"/>
      <c r="BL264" s="1"/>
    </row>
    <row r="265">
      <c r="A265" s="1"/>
      <c r="B265" s="1"/>
      <c r="C265" s="338" t="str">
        <f>'Livro Diario - FC'!AE273</f>
        <v>5.2.7 Taxa Antercipação Ifood</v>
      </c>
      <c r="D265" s="255">
        <f>SUMIFS('Livro Diario - FC'!$K$11:$K1028,'Livro Diario - FC'!$E$11:$E1028,$C$265,'Livro Diario - FC'!$D$11:$D1028,"&gt;=01/01"&amp;$C$7,'Livro Diario - FC'!$D$11:$D1028,"&lt;=31/01"&amp;$C$7)</f>
        <v>0</v>
      </c>
      <c r="E265" s="256">
        <f>SUMIFS('Livro Diario - FC'!$M$11:$M1028,'Livro Diario - FC'!$E$11:$E1028,$C$265,'Livro Diario - FC'!$D$11:$D1028,"&gt;=01/01"&amp;$C$7,'Livro Diario - FC'!$D$11:$D1028,"&lt;=31/01"&amp;$C$7)</f>
        <v>0</v>
      </c>
      <c r="F265" s="273"/>
      <c r="G265" s="258"/>
      <c r="H265" s="157"/>
      <c r="I265" s="255">
        <f>SUMIFS('Livro Diario - FC'!$K$11:$K1028,'Livro Diario - FC'!$E$11:$E1028,$C$265,'Livro Diario - FC'!$D$11:$D1028,"&gt;=01/02"&amp;$C$7,'Livro Diario - FC'!$D$11:$D1028,"&lt;=29/02"&amp;$C$7)</f>
        <v>0</v>
      </c>
      <c r="J265" s="256">
        <f>SUMIFS('Livro Diario - FC'!$M$11:$M1028,'Livro Diario - FC'!$E$11:$E1028,$C$265,'Livro Diario - FC'!$D$11:$D1028,"&gt;=01/02"&amp;$C$7,'Livro Diario - FC'!$D$11:$D1028,"&lt;=29/02"&amp;$C$7)</f>
        <v>0</v>
      </c>
      <c r="K265" s="273"/>
      <c r="L265" s="258"/>
      <c r="M265" s="259"/>
      <c r="N265" s="255">
        <f>SUMIFS('Livro Diario - FC'!$K$11:$K1028,'Livro Diario - FC'!$E$11:$E1028,$C$265,'Livro Diario - FC'!$D$11:$D1028,"&gt;=01/03"&amp;$C$7,'Livro Diario - FC'!$D$11:$D1028,"&lt;=31/03"&amp;$C$7)</f>
        <v>0</v>
      </c>
      <c r="O265" s="256">
        <f>SUMIFS('Livro Diario - FC'!$M$11:$M1028,'Livro Diario - FC'!$E$11:$E1028,$C$265,'Livro Diario - FC'!$D$11:$D1028,"&gt;=01/03"&amp;$C$7,'Livro Diario - FC'!$D$11:$D1028,"&lt;=31/03"&amp;$C$7)</f>
        <v>0</v>
      </c>
      <c r="P265" s="273"/>
      <c r="Q265" s="258"/>
      <c r="R265" s="259"/>
      <c r="S265" s="255">
        <f>SUMIFS('Livro Diario - FC'!$K$11:$K1028,'Livro Diario - FC'!$E$11:$E1028,$C$265,'Livro Diario - FC'!$D$11:$D1028,"&gt;=01/04"&amp;$C$7,'Livro Diario - FC'!$D$11:$D1028,"&lt;=30/04"&amp;$C$7)</f>
        <v>0</v>
      </c>
      <c r="T265" s="256">
        <f>SUMIFS('Livro Diario - FC'!$M$11:$M1028,'Livro Diario - FC'!$E$11:$E1028,$C$265,'Livro Diario - FC'!$D$11:$D1028,"&gt;=01/04"&amp;$C$7,'Livro Diario - FC'!$D$11:$D1028,"&lt;=30/04"&amp;$C$7)</f>
        <v>0</v>
      </c>
      <c r="U265" s="273"/>
      <c r="V265" s="258"/>
      <c r="W265" s="259"/>
      <c r="X265" s="255">
        <f>SUMIFS('Livro Diario - FC'!$K$11:$K1028,'Livro Diario - FC'!$E$11:$E1028,$C$265,'Livro Diario - FC'!$D$11:$D1028,"&gt;=01/05"&amp;$C$7,'Livro Diario - FC'!$D$11:$D1028,"&lt;=31/05"&amp;$C$7)</f>
        <v>0</v>
      </c>
      <c r="Y265" s="256">
        <f>SUMIFS('Livro Diario - FC'!$M$11:$M1028,'Livro Diario - FC'!$E$11:$E1028,$C$265,'Livro Diario - FC'!$D$11:$D1028,"&gt;=01/05"&amp;$C$7,'Livro Diario - FC'!$D$11:$D1028,"&lt;=31/05"&amp;$C$7)</f>
        <v>0</v>
      </c>
      <c r="Z265" s="273"/>
      <c r="AA265" s="258"/>
      <c r="AB265" s="259"/>
      <c r="AC265" s="255">
        <f>SUMIFS('Livro Diario - FC'!$K$11:$K1028,'Livro Diario - FC'!$E$11:$E1028,$C$265,'Livro Diario - FC'!$D$11:$D1028,"&gt;=01/06"&amp;$C$7,'Livro Diario - FC'!$D$11:$D1028,"&lt;=30/06"&amp;$C$7)</f>
        <v>0</v>
      </c>
      <c r="AD265" s="256">
        <f>SUMIFS('Livro Diario - FC'!$M$11:$M1028,'Livro Diario - FC'!$E$11:$E1028,$C$265,'Livro Diario - FC'!$D$11:$D1028,"&gt;=01/06"&amp;$C$7,'Livro Diario - FC'!$D$11:$D1028,"&lt;=30/06"&amp;$C$7)</f>
        <v>0</v>
      </c>
      <c r="AE265" s="273"/>
      <c r="AF265" s="258"/>
      <c r="AG265" s="255">
        <f>SUMIFS('Livro Diario - FC'!$K$11:$K1028,'Livro Diario - FC'!$E$11:$E1028,$C$265,'Livro Diario - FC'!$D$11:$D1028,"&gt;=01/07"&amp;$C$7,'Livro Diario - FC'!$D$11:$D1028,"&lt;=31/07"&amp;$C$7)</f>
        <v>0</v>
      </c>
      <c r="AH265" s="256">
        <f>SUMIFS('Livro Diario - FC'!$M$11:$M1028,'Livro Diario - FC'!$E$11:$E1028,$C$265,'Livro Diario - FC'!$D$11:$D1028,"&gt;=01/07"&amp;$C$7,'Livro Diario - FC'!$D$11:$D1028,"&lt;=31/07"&amp;$C$7)</f>
        <v>0</v>
      </c>
      <c r="AI265" s="273"/>
      <c r="AJ265" s="258"/>
      <c r="AK265" s="255">
        <f>SUMIFS('Livro Diario - FC'!$K$11:$K1028,'Livro Diario - FC'!$E$11:$E1028,$C$265,'Livro Diario - FC'!$D$11:$D1028,"&gt;=01/08"&amp;$C$7,'Livro Diario - FC'!$D$11:$D1028,"&lt;=31/08"&amp;$C$7)</f>
        <v>0</v>
      </c>
      <c r="AL265" s="256">
        <f>SUMIFS('Livro Diario - FC'!$M$11:$M1028,'Livro Diario - FC'!$E$11:$E1028,$C$265,'Livro Diario - FC'!$D$11:$D1028,"&gt;=01/08"&amp;$C$7,'Livro Diario - FC'!$D$11:$D1028,"&lt;=31/08"&amp;$C$7)</f>
        <v>0</v>
      </c>
      <c r="AM265" s="273"/>
      <c r="AN265" s="258"/>
      <c r="AO265" s="255">
        <f>SUMIFS('Livro Diario - FC'!$K$11:$K1028,'Livro Diario - FC'!$E$11:$E1028,$C$265,'Livro Diario - FC'!$D$11:$D1028,"&gt;=01/09"&amp;$C$7,'Livro Diario - FC'!$D$11:$D1028,"&lt;=30/09"&amp;$C$7)</f>
        <v>0</v>
      </c>
      <c r="AP265" s="256">
        <f>SUMIFS('Livro Diario - FC'!$M$11:$M1028,'Livro Diario - FC'!$E$11:$E1028,$C$265,'Livro Diario - FC'!$D$11:$D1028,"&gt;=01/09"&amp;$C$7,'Livro Diario - FC'!$D$11:$D1028,"&lt;=30/09"&amp;$C$7)</f>
        <v>0</v>
      </c>
      <c r="AQ265" s="273"/>
      <c r="AR265" s="258"/>
      <c r="AS265" s="255">
        <f>SUMIFS('Livro Diario - FC'!$K$11:$K1028,'Livro Diario - FC'!$E$11:$E1028,$C$265,'Livro Diario - FC'!$D$11:$D1028,"&gt;=01/10"&amp;$C$7,'Livro Diario - FC'!$D$11:$D1028,"&lt;=31/10"&amp;$C$7)</f>
        <v>0</v>
      </c>
      <c r="AT265" s="256">
        <f>SUMIFS('Livro Diario - FC'!$M$11:$M1028,'Livro Diario - FC'!$E$11:$E1028,$C$265,'Livro Diario - FC'!$D$11:$D1028,"&gt;=01/10"&amp;$C$7,'Livro Diario - FC'!$D$11:$D1028,"&lt;=31/10"&amp;$C$7)</f>
        <v>0</v>
      </c>
      <c r="AU265" s="273"/>
      <c r="AV265" s="258"/>
      <c r="AW265" s="255">
        <f>SUMIFS('Livro Diario - FC'!$K$11:$K1028,'Livro Diario - FC'!$E$11:$E1028,$C$265,'Livro Diario - FC'!$D$11:$D1028,"&gt;=01/11"&amp;$C$7,'Livro Diario - FC'!$D$11:$D1028,"&lt;=30/11"&amp;$C$7)</f>
        <v>0</v>
      </c>
      <c r="AX265" s="256">
        <f>SUMIFS('Livro Diario - FC'!$M$11:$M1028,'Livro Diario - FC'!$E$11:$E1028,$C$265,'Livro Diario - FC'!$D$11:$D1028,"&gt;=01/11"&amp;$C$7,'Livro Diario - FC'!$D$11:$D1028,"&lt;=30/11"&amp;$C$7)</f>
        <v>0</v>
      </c>
      <c r="AY265" s="273"/>
      <c r="AZ265" s="258"/>
      <c r="BA265" s="255">
        <f>SUMIFS('Livro Diario - FC'!$K$11:$K1028,'Livro Diario - FC'!$E$11:$E1028,$C$265,'Livro Diario - FC'!$D$11:$D1028,"&gt;=01/12"&amp;$C$7,'Livro Diario - FC'!$D$11:$D1028,"&lt;=31/12"&amp;$C$7)</f>
        <v>0</v>
      </c>
      <c r="BB265" s="256">
        <f>SUMIFS('Livro Diario - FC'!$M$11:$M1028,'Livro Diario - FC'!$E$11:$E1028,$C$265,'Livro Diario - FC'!$D$11:$D1028,"&gt;=01/12"&amp;$C$7,'Livro Diario - FC'!$D$11:$D1028,"&lt;=31/12"&amp;$C$7)</f>
        <v>0</v>
      </c>
      <c r="BC265" s="273"/>
      <c r="BD265" s="273"/>
      <c r="BE265" s="267">
        <f t="shared" ref="BE265:BF265" si="411">SUM(D265,I265,N265,S265,X265,AC265,AG265,AK265,AO265,AS265,AW265,BA265)</f>
        <v>0</v>
      </c>
      <c r="BF265" s="268">
        <f t="shared" si="411"/>
        <v>0</v>
      </c>
      <c r="BG265" s="269"/>
      <c r="BH265" s="192"/>
      <c r="BI265" s="270">
        <f>SUMIFS('Livro Diario - FC'!$M$11:$M1028,'Livro Diario - FC'!$E$11:$E1028,C265,'Livro Diario - FC'!$D$11:$D1028,"&gt;="&amp;$BK$8,'Livro Diario - FC'!$D$11:$D1028,"&lt;="&amp;$BK$9)</f>
        <v>0</v>
      </c>
      <c r="BJ265" s="271"/>
      <c r="BK265" s="272"/>
      <c r="BL265" s="1"/>
    </row>
    <row r="266">
      <c r="A266" s="1"/>
      <c r="B266" s="1"/>
      <c r="C266" s="338" t="str">
        <f>'Livro Diario - FC'!AE274</f>
        <v>5.2.8 .</v>
      </c>
      <c r="D266" s="255">
        <f>SUMIFS('Livro Diario - FC'!$K$11:$K1028,'Livro Diario - FC'!$E$11:$E1028,$C$266,'Livro Diario - FC'!$D$11:$D1028,"&gt;=01/01"&amp;$C$7,'Livro Diario - FC'!$D$11:$D1028,"&lt;=31/01"&amp;$C$7)</f>
        <v>0</v>
      </c>
      <c r="E266" s="256">
        <f>SUMIFS('Livro Diario - FC'!$M$11:$M1028,'Livro Diario - FC'!$E$11:$E1028,$C$266,'Livro Diario - FC'!$D$11:$D1028,"&gt;=01/01"&amp;$C$7,'Livro Diario - FC'!$D$11:$D1028,"&lt;=31/01"&amp;$C$7)</f>
        <v>0</v>
      </c>
      <c r="F266" s="273"/>
      <c r="G266" s="258"/>
      <c r="H266" s="157"/>
      <c r="I266" s="255">
        <f>SUMIFS('Livro Diario - FC'!$K$11:$K1028,'Livro Diario - FC'!$E$11:$E1028,$C$266,'Livro Diario - FC'!$D$11:$D1028,"&gt;=01/02"&amp;$C$7,'Livro Diario - FC'!$D$11:$D1028,"&lt;=29/02"&amp;$C$7)</f>
        <v>0</v>
      </c>
      <c r="J266" s="256">
        <f>SUMIFS('Livro Diario - FC'!$M$11:$M1028,'Livro Diario - FC'!$E$11:$E1028,$C$266,'Livro Diario - FC'!$D$11:$D1028,"&gt;=01/02"&amp;$C$7,'Livro Diario - FC'!$D$11:$D1028,"&lt;=29/02"&amp;$C$7)</f>
        <v>0</v>
      </c>
      <c r="K266" s="273"/>
      <c r="L266" s="258"/>
      <c r="M266" s="259"/>
      <c r="N266" s="255">
        <f>SUMIFS('Livro Diario - FC'!$K$11:$K1028,'Livro Diario - FC'!$E$11:$E1028,$C$266,'Livro Diario - FC'!$D$11:$D1028,"&gt;=01/03"&amp;$C$7,'Livro Diario - FC'!$D$11:$D1028,"&lt;=31/03"&amp;$C$7)</f>
        <v>0</v>
      </c>
      <c r="O266" s="256">
        <f>SUMIFS('Livro Diario - FC'!$M$11:$M1028,'Livro Diario - FC'!$E$11:$E1028,$C$266,'Livro Diario - FC'!$D$11:$D1028,"&gt;=01/03"&amp;$C$7,'Livro Diario - FC'!$D$11:$D1028,"&lt;=31/03"&amp;$C$7)</f>
        <v>0</v>
      </c>
      <c r="P266" s="273"/>
      <c r="Q266" s="258"/>
      <c r="R266" s="259"/>
      <c r="S266" s="255">
        <f>SUMIFS('Livro Diario - FC'!$K$11:$K1028,'Livro Diario - FC'!$E$11:$E1028,$C$266,'Livro Diario - FC'!$D$11:$D1028,"&gt;=01/04"&amp;$C$7,'Livro Diario - FC'!$D$11:$D1028,"&lt;=30/04"&amp;$C$7)</f>
        <v>0</v>
      </c>
      <c r="T266" s="256">
        <f>SUMIFS('Livro Diario - FC'!$M$11:$M1028,'Livro Diario - FC'!$E$11:$E1028,$C$266,'Livro Diario - FC'!$D$11:$D1028,"&gt;=01/04"&amp;$C$7,'Livro Diario - FC'!$D$11:$D1028,"&lt;=30/04"&amp;$C$7)</f>
        <v>0</v>
      </c>
      <c r="U266" s="273"/>
      <c r="V266" s="258"/>
      <c r="W266" s="259"/>
      <c r="X266" s="255">
        <f>SUMIFS('Livro Diario - FC'!$K$11:$K1028,'Livro Diario - FC'!$E$11:$E1028,$C$266,'Livro Diario - FC'!$D$11:$D1028,"&gt;=01/05"&amp;$C$7,'Livro Diario - FC'!$D$11:$D1028,"&lt;=31/05"&amp;$C$7)</f>
        <v>0</v>
      </c>
      <c r="Y266" s="256">
        <f>SUMIFS('Livro Diario - FC'!$M$11:$M1028,'Livro Diario - FC'!$E$11:$E1028,$C$266,'Livro Diario - FC'!$D$11:$D1028,"&gt;=01/05"&amp;$C$7,'Livro Diario - FC'!$D$11:$D1028,"&lt;=31/05"&amp;$C$7)</f>
        <v>0</v>
      </c>
      <c r="Z266" s="273"/>
      <c r="AA266" s="258"/>
      <c r="AB266" s="259"/>
      <c r="AC266" s="255">
        <f>SUMIFS('Livro Diario - FC'!$K$11:$K1028,'Livro Diario - FC'!$E$11:$E1028,$C$266,'Livro Diario - FC'!$D$11:$D1028,"&gt;=01/06"&amp;$C$7,'Livro Diario - FC'!$D$11:$D1028,"&lt;=30/06"&amp;$C$7)</f>
        <v>0</v>
      </c>
      <c r="AD266" s="256">
        <f>SUMIFS('Livro Diario - FC'!$M$11:$M1028,'Livro Diario - FC'!$E$11:$E1028,$C$266,'Livro Diario - FC'!$D$11:$D1028,"&gt;=01/06"&amp;$C$7,'Livro Diario - FC'!$D$11:$D1028,"&lt;=30/06"&amp;$C$7)</f>
        <v>0</v>
      </c>
      <c r="AE266" s="273"/>
      <c r="AF266" s="258"/>
      <c r="AG266" s="255">
        <f>SUMIFS('Livro Diario - FC'!$K$11:$K1028,'Livro Diario - FC'!$E$11:$E1028,$C$266,'Livro Diario - FC'!$D$11:$D1028,"&gt;=01/07"&amp;$C$7,'Livro Diario - FC'!$D$11:$D1028,"&lt;=31/07"&amp;$C$7)</f>
        <v>0</v>
      </c>
      <c r="AH266" s="256">
        <f>SUMIFS('Livro Diario - FC'!$M$11:$M1028,'Livro Diario - FC'!$E$11:$E1028,$C$266,'Livro Diario - FC'!$D$11:$D1028,"&gt;=01/07"&amp;$C$7,'Livro Diario - FC'!$D$11:$D1028,"&lt;=31/07"&amp;$C$7)</f>
        <v>0</v>
      </c>
      <c r="AI266" s="273"/>
      <c r="AJ266" s="258"/>
      <c r="AK266" s="255">
        <f>SUMIFS('Livro Diario - FC'!$K$11:$K1028,'Livro Diario - FC'!$E$11:$E1028,$C$266,'Livro Diario - FC'!$D$11:$D1028,"&gt;=01/08"&amp;$C$7,'Livro Diario - FC'!$D$11:$D1028,"&lt;=31/08"&amp;$C$7)</f>
        <v>0</v>
      </c>
      <c r="AL266" s="256">
        <f>SUMIFS('Livro Diario - FC'!$M$11:$M1028,'Livro Diario - FC'!$E$11:$E1028,$C$266,'Livro Diario - FC'!$D$11:$D1028,"&gt;=01/08"&amp;$C$7,'Livro Diario - FC'!$D$11:$D1028,"&lt;=31/08"&amp;$C$7)</f>
        <v>0</v>
      </c>
      <c r="AM266" s="273"/>
      <c r="AN266" s="258"/>
      <c r="AO266" s="255">
        <f>SUMIFS('Livro Diario - FC'!$K$11:$K1028,'Livro Diario - FC'!$E$11:$E1028,$C$266,'Livro Diario - FC'!$D$11:$D1028,"&gt;=01/09"&amp;$C$7,'Livro Diario - FC'!$D$11:$D1028,"&lt;=30/09"&amp;$C$7)</f>
        <v>0</v>
      </c>
      <c r="AP266" s="256">
        <f>SUMIFS('Livro Diario - FC'!$M$11:$M1028,'Livro Diario - FC'!$E$11:$E1028,$C$266,'Livro Diario - FC'!$D$11:$D1028,"&gt;=01/09"&amp;$C$7,'Livro Diario - FC'!$D$11:$D1028,"&lt;=30/09"&amp;$C$7)</f>
        <v>0</v>
      </c>
      <c r="AQ266" s="273"/>
      <c r="AR266" s="258"/>
      <c r="AS266" s="255">
        <f>SUMIFS('Livro Diario - FC'!$K$11:$K1028,'Livro Diario - FC'!$E$11:$E1028,$C$266,'Livro Diario - FC'!$D$11:$D1028,"&gt;=01/10"&amp;$C$7,'Livro Diario - FC'!$D$11:$D1028,"&lt;=31/10"&amp;$C$7)</f>
        <v>0</v>
      </c>
      <c r="AT266" s="256">
        <f>SUMIFS('Livro Diario - FC'!$M$11:$M1028,'Livro Diario - FC'!$E$11:$E1028,$C$266,'Livro Diario - FC'!$D$11:$D1028,"&gt;=01/10"&amp;$C$7,'Livro Diario - FC'!$D$11:$D1028,"&lt;=31/10"&amp;$C$7)</f>
        <v>0</v>
      </c>
      <c r="AU266" s="273"/>
      <c r="AV266" s="258"/>
      <c r="AW266" s="255">
        <f>SUMIFS('Livro Diario - FC'!$K$11:$K1028,'Livro Diario - FC'!$E$11:$E1028,$C$266,'Livro Diario - FC'!$D$11:$D1028,"&gt;=01/11"&amp;$C$7,'Livro Diario - FC'!$D$11:$D1028,"&lt;=30/11"&amp;$C$7)</f>
        <v>0</v>
      </c>
      <c r="AX266" s="256">
        <f>SUMIFS('Livro Diario - FC'!$M$11:$M1028,'Livro Diario - FC'!$E$11:$E1028,$C$266,'Livro Diario - FC'!$D$11:$D1028,"&gt;=01/11"&amp;$C$7,'Livro Diario - FC'!$D$11:$D1028,"&lt;=30/11"&amp;$C$7)</f>
        <v>0</v>
      </c>
      <c r="AY266" s="273"/>
      <c r="AZ266" s="258"/>
      <c r="BA266" s="255">
        <f>SUMIFS('Livro Diario - FC'!$K$11:$K1028,'Livro Diario - FC'!$E$11:$E1028,$C$266,'Livro Diario - FC'!$D$11:$D1028,"&gt;=01/12"&amp;$C$7,'Livro Diario - FC'!$D$11:$D1028,"&lt;=31/12"&amp;$C$7)</f>
        <v>0</v>
      </c>
      <c r="BB266" s="256">
        <f>SUMIFS('Livro Diario - FC'!$M$11:$M1028,'Livro Diario - FC'!$E$11:$E1028,$C$266,'Livro Diario - FC'!$D$11:$D1028,"&gt;=01/12"&amp;$C$7,'Livro Diario - FC'!$D$11:$D1028,"&lt;=31/12"&amp;$C$7)</f>
        <v>0</v>
      </c>
      <c r="BC266" s="273"/>
      <c r="BD266" s="273"/>
      <c r="BE266" s="267">
        <f t="shared" ref="BE266:BF266" si="412">SUM(D266,I266,N266,S266,X266,AC266,AG266,AK266,AO266,AS266,AW266,BA266)</f>
        <v>0</v>
      </c>
      <c r="BF266" s="268">
        <f t="shared" si="412"/>
        <v>0</v>
      </c>
      <c r="BG266" s="269"/>
      <c r="BH266" s="192"/>
      <c r="BI266" s="270">
        <f>SUMIFS('Livro Diario - FC'!$M$11:$M1028,'Livro Diario - FC'!$E$11:$E1028,C266,'Livro Diario - FC'!$D$11:$D1028,"&gt;="&amp;$BK$8,'Livro Diario - FC'!$D$11:$D1028,"&lt;="&amp;$BK$9)</f>
        <v>0</v>
      </c>
      <c r="BJ266" s="271"/>
      <c r="BK266" s="272"/>
      <c r="BL266" s="1"/>
    </row>
    <row r="267">
      <c r="A267" s="1"/>
      <c r="B267" s="1"/>
      <c r="C267" s="338" t="str">
        <f>'Livro Diario - FC'!AE275</f>
        <v>5.2.9 Carro</v>
      </c>
      <c r="D267" s="255">
        <f>SUMIFS('Livro Diario - FC'!$K$11:$K1028,'Livro Diario - FC'!$E$11:$E1028,$C$267,'Livro Diario - FC'!$D$11:$D1028,"&gt;=01/01"&amp;$C$7,'Livro Diario - FC'!$D$11:$D1028,"&lt;=31/01"&amp;$C$7)</f>
        <v>0</v>
      </c>
      <c r="E267" s="256">
        <f>SUMIFS('Livro Diario - FC'!$M$11:$M1028,'Livro Diario - FC'!$E$11:$E1028,$C$267,'Livro Diario - FC'!$D$11:$D1028,"&gt;=01/01"&amp;$C$7,'Livro Diario - FC'!$D$11:$D1028,"&lt;=31/01"&amp;$C$7)</f>
        <v>0</v>
      </c>
      <c r="F267" s="273"/>
      <c r="G267" s="258"/>
      <c r="H267" s="157"/>
      <c r="I267" s="255">
        <f>SUMIFS('Livro Diario - FC'!$K$11:$K1028,'Livro Diario - FC'!$E$11:$E1028,$C$267,'Livro Diario - FC'!$D$11:$D1028,"&gt;=01/02"&amp;$C$7,'Livro Diario - FC'!$D$11:$D1028,"&lt;=29/02"&amp;$C$7)</f>
        <v>0</v>
      </c>
      <c r="J267" s="256">
        <f>SUMIFS('Livro Diario - FC'!$M$11:$M1028,'Livro Diario - FC'!$E$11:$E1028,$C$267,'Livro Diario - FC'!$D$11:$D1028,"&gt;=01/02"&amp;$C$7,'Livro Diario - FC'!$D$11:$D1028,"&lt;=29/02"&amp;$C$7)</f>
        <v>0</v>
      </c>
      <c r="K267" s="273"/>
      <c r="L267" s="258"/>
      <c r="M267" s="259"/>
      <c r="N267" s="255">
        <f>SUMIFS('Livro Diario - FC'!$K$11:$K1028,'Livro Diario - FC'!$E$11:$E1028,$C$267,'Livro Diario - FC'!$D$11:$D1028,"&gt;=01/03"&amp;$C$7,'Livro Diario - FC'!$D$11:$D1028,"&lt;=31/03"&amp;$C$7)</f>
        <v>0</v>
      </c>
      <c r="O267" s="256">
        <f>SUMIFS('Livro Diario - FC'!$M$11:$M1028,'Livro Diario - FC'!$E$11:$E1028,$C$267,'Livro Diario - FC'!$D$11:$D1028,"&gt;=01/03"&amp;$C$7,'Livro Diario - FC'!$D$11:$D1028,"&lt;=31/03"&amp;$C$7)</f>
        <v>0</v>
      </c>
      <c r="P267" s="273"/>
      <c r="Q267" s="258"/>
      <c r="R267" s="259"/>
      <c r="S267" s="255">
        <f>SUMIFS('Livro Diario - FC'!$K$11:$K1028,'Livro Diario - FC'!$E$11:$E1028,$C$267,'Livro Diario - FC'!$D$11:$D1028,"&gt;=01/04"&amp;$C$7,'Livro Diario - FC'!$D$11:$D1028,"&lt;=30/04"&amp;$C$7)</f>
        <v>0</v>
      </c>
      <c r="T267" s="256">
        <f>SUMIFS('Livro Diario - FC'!$M$11:$M1028,'Livro Diario - FC'!$E$11:$E1028,$C$267,'Livro Diario - FC'!$D$11:$D1028,"&gt;=01/04"&amp;$C$7,'Livro Diario - FC'!$D$11:$D1028,"&lt;=30/04"&amp;$C$7)</f>
        <v>0</v>
      </c>
      <c r="U267" s="273"/>
      <c r="V267" s="258"/>
      <c r="W267" s="259"/>
      <c r="X267" s="255">
        <f>SUMIFS('Livro Diario - FC'!$K$11:$K1028,'Livro Diario - FC'!$E$11:$E1028,$C$267,'Livro Diario - FC'!$D$11:$D1028,"&gt;=01/05"&amp;$C$7,'Livro Diario - FC'!$D$11:$D1028,"&lt;=31/05"&amp;$C$7)</f>
        <v>0</v>
      </c>
      <c r="Y267" s="256">
        <f>SUMIFS('Livro Diario - FC'!$M$11:$M1028,'Livro Diario - FC'!$E$11:$E1028,$C$267,'Livro Diario - FC'!$D$11:$D1028,"&gt;=01/05"&amp;$C$7,'Livro Diario - FC'!$D$11:$D1028,"&lt;=31/05"&amp;$C$7)</f>
        <v>0</v>
      </c>
      <c r="Z267" s="273"/>
      <c r="AA267" s="258"/>
      <c r="AB267" s="259"/>
      <c r="AC267" s="255">
        <f>SUMIFS('Livro Diario - FC'!$K$11:$K1028,'Livro Diario - FC'!$E$11:$E1028,$C$267,'Livro Diario - FC'!$D$11:$D1028,"&gt;=01/06"&amp;$C$7,'Livro Diario - FC'!$D$11:$D1028,"&lt;=30/06"&amp;$C$7)</f>
        <v>0</v>
      </c>
      <c r="AD267" s="256">
        <f>SUMIFS('Livro Diario - FC'!$M$11:$M1028,'Livro Diario - FC'!$E$11:$E1028,$C$267,'Livro Diario - FC'!$D$11:$D1028,"&gt;=01/06"&amp;$C$7,'Livro Diario - FC'!$D$11:$D1028,"&lt;=30/06"&amp;$C$7)</f>
        <v>0</v>
      </c>
      <c r="AE267" s="273"/>
      <c r="AF267" s="258"/>
      <c r="AG267" s="255">
        <f>SUMIFS('Livro Diario - FC'!$K$11:$K1028,'Livro Diario - FC'!$E$11:$E1028,$C$267,'Livro Diario - FC'!$D$11:$D1028,"&gt;=01/07"&amp;$C$7,'Livro Diario - FC'!$D$11:$D1028,"&lt;=31/07"&amp;$C$7)</f>
        <v>0</v>
      </c>
      <c r="AH267" s="256">
        <f>SUMIFS('Livro Diario - FC'!$M$11:$M1028,'Livro Diario - FC'!$E$11:$E1028,$C$267,'Livro Diario - FC'!$D$11:$D1028,"&gt;=01/07"&amp;$C$7,'Livro Diario - FC'!$D$11:$D1028,"&lt;=31/07"&amp;$C$7)</f>
        <v>0</v>
      </c>
      <c r="AI267" s="273"/>
      <c r="AJ267" s="258"/>
      <c r="AK267" s="255">
        <f>SUMIFS('Livro Diario - FC'!$K$11:$K1028,'Livro Diario - FC'!$E$11:$E1028,$C$267,'Livro Diario - FC'!$D$11:$D1028,"&gt;=01/08"&amp;$C$7,'Livro Diario - FC'!$D$11:$D1028,"&lt;=31/08"&amp;$C$7)</f>
        <v>0</v>
      </c>
      <c r="AL267" s="256">
        <f>SUMIFS('Livro Diario - FC'!$M$11:$M1028,'Livro Diario - FC'!$E$11:$E1028,$C$267,'Livro Diario - FC'!$D$11:$D1028,"&gt;=01/08"&amp;$C$7,'Livro Diario - FC'!$D$11:$D1028,"&lt;=31/08"&amp;$C$7)</f>
        <v>0</v>
      </c>
      <c r="AM267" s="273"/>
      <c r="AN267" s="258"/>
      <c r="AO267" s="255">
        <f>SUMIFS('Livro Diario - FC'!$K$11:$K1028,'Livro Diario - FC'!$E$11:$E1028,$C$267,'Livro Diario - FC'!$D$11:$D1028,"&gt;=01/09"&amp;$C$7,'Livro Diario - FC'!$D$11:$D1028,"&lt;=30/09"&amp;$C$7)</f>
        <v>0</v>
      </c>
      <c r="AP267" s="256">
        <f>SUMIFS('Livro Diario - FC'!$M$11:$M1028,'Livro Diario - FC'!$E$11:$E1028,$C$267,'Livro Diario - FC'!$D$11:$D1028,"&gt;=01/09"&amp;$C$7,'Livro Diario - FC'!$D$11:$D1028,"&lt;=30/09"&amp;$C$7)</f>
        <v>0</v>
      </c>
      <c r="AQ267" s="273"/>
      <c r="AR267" s="258"/>
      <c r="AS267" s="255">
        <f>SUMIFS('Livro Diario - FC'!$K$11:$K1028,'Livro Diario - FC'!$E$11:$E1028,$C$267,'Livro Diario - FC'!$D$11:$D1028,"&gt;=01/10"&amp;$C$7,'Livro Diario - FC'!$D$11:$D1028,"&lt;=31/10"&amp;$C$7)</f>
        <v>0</v>
      </c>
      <c r="AT267" s="256">
        <f>SUMIFS('Livro Diario - FC'!$M$11:$M1028,'Livro Diario - FC'!$E$11:$E1028,$C$267,'Livro Diario - FC'!$D$11:$D1028,"&gt;=01/10"&amp;$C$7,'Livro Diario - FC'!$D$11:$D1028,"&lt;=31/10"&amp;$C$7)</f>
        <v>0</v>
      </c>
      <c r="AU267" s="273"/>
      <c r="AV267" s="258"/>
      <c r="AW267" s="255">
        <f>SUMIFS('Livro Diario - FC'!$K$11:$K1028,'Livro Diario - FC'!$E$11:$E1028,$C$267,'Livro Diario - FC'!$D$11:$D1028,"&gt;=01/11"&amp;$C$7,'Livro Diario - FC'!$D$11:$D1028,"&lt;=30/11"&amp;$C$7)</f>
        <v>0</v>
      </c>
      <c r="AX267" s="256">
        <f>SUMIFS('Livro Diario - FC'!$M$11:$M1028,'Livro Diario - FC'!$E$11:$E1028,$C$267,'Livro Diario - FC'!$D$11:$D1028,"&gt;=01/11"&amp;$C$7,'Livro Diario - FC'!$D$11:$D1028,"&lt;=30/11"&amp;$C$7)</f>
        <v>0</v>
      </c>
      <c r="AY267" s="273"/>
      <c r="AZ267" s="258"/>
      <c r="BA267" s="255">
        <f>SUMIFS('Livro Diario - FC'!$K$11:$K1028,'Livro Diario - FC'!$E$11:$E1028,$C$267,'Livro Diario - FC'!$D$11:$D1028,"&gt;=01/12"&amp;$C$7,'Livro Diario - FC'!$D$11:$D1028,"&lt;=31/12"&amp;$C$7)</f>
        <v>0</v>
      </c>
      <c r="BB267" s="256">
        <f>SUMIFS('Livro Diario - FC'!$M$11:$M1028,'Livro Diario - FC'!$E$11:$E1028,$C$267,'Livro Diario - FC'!$D$11:$D1028,"&gt;=01/12"&amp;$C$7,'Livro Diario - FC'!$D$11:$D1028,"&lt;=31/12"&amp;$C$7)</f>
        <v>0</v>
      </c>
      <c r="BC267" s="273"/>
      <c r="BD267" s="273"/>
      <c r="BE267" s="267">
        <f t="shared" ref="BE267:BF267" si="413">SUM(D267,I267,N267,S267,X267,AC267,AG267,AK267,AO267,AS267,AW267,BA267)</f>
        <v>0</v>
      </c>
      <c r="BF267" s="268">
        <f t="shared" si="413"/>
        <v>0</v>
      </c>
      <c r="BG267" s="269"/>
      <c r="BH267" s="192"/>
      <c r="BI267" s="270">
        <f>SUMIFS('Livro Diario - FC'!$M$11:$M1028,'Livro Diario - FC'!$E$11:$E1028,C267,'Livro Diario - FC'!$D$11:$D1028,"&gt;="&amp;$BK$8,'Livro Diario - FC'!$D$11:$D1028,"&lt;="&amp;$BK$9)</f>
        <v>0</v>
      </c>
      <c r="BJ267" s="271"/>
      <c r="BK267" s="272"/>
      <c r="BL267" s="1"/>
    </row>
    <row r="268">
      <c r="A268" s="1"/>
      <c r="B268" s="1"/>
      <c r="C268" s="338" t="str">
        <f>'Livro Diario - FC'!AE276</f>
        <v>5.2.10 Outras despesas administrativas</v>
      </c>
      <c r="D268" s="255">
        <f>SUMIFS('Livro Diario - FC'!$K$11:$K1028,'Livro Diario - FC'!$E$11:$E1028,$C$268,'Livro Diario - FC'!$D$11:$D1028,"&gt;=01/01"&amp;$C$7,'Livro Diario - FC'!$D$11:$D1028,"&lt;=31/01"&amp;$C$7)</f>
        <v>0</v>
      </c>
      <c r="E268" s="256">
        <f>SUMIFS('Livro Diario - FC'!$M$11:$M1028,'Livro Diario - FC'!$E$11:$E1028,$C$268,'Livro Diario - FC'!$D$11:$D1028,"&gt;=01/01"&amp;$C$7,'Livro Diario - FC'!$D$11:$D1028,"&lt;=31/01"&amp;$C$7)</f>
        <v>0</v>
      </c>
      <c r="F268" s="273"/>
      <c r="G268" s="258"/>
      <c r="H268" s="157"/>
      <c r="I268" s="255">
        <f>SUMIFS('Livro Diario - FC'!$K$11:$K1028,'Livro Diario - FC'!$E$11:$E1028,$C$268,'Livro Diario - FC'!$D$11:$D1028,"&gt;=01/02"&amp;$C$7,'Livro Diario - FC'!$D$11:$D1028,"&lt;=29/02"&amp;$C$7)</f>
        <v>0</v>
      </c>
      <c r="J268" s="256">
        <f>SUMIFS('Livro Diario - FC'!$M$11:$M1028,'Livro Diario - FC'!$E$11:$E1028,$C$268,'Livro Diario - FC'!$D$11:$D1028,"&gt;=01/02"&amp;$C$7,'Livro Diario - FC'!$D$11:$D1028,"&lt;=29/02"&amp;$C$7)</f>
        <v>0</v>
      </c>
      <c r="K268" s="273"/>
      <c r="L268" s="258"/>
      <c r="M268" s="259"/>
      <c r="N268" s="255">
        <f>SUMIFS('Livro Diario - FC'!$K$11:$K1028,'Livro Diario - FC'!$E$11:$E1028,$C$268,'Livro Diario - FC'!$D$11:$D1028,"&gt;=01/03"&amp;$C$7,'Livro Diario - FC'!$D$11:$D1028,"&lt;=31/03"&amp;$C$7)</f>
        <v>0</v>
      </c>
      <c r="O268" s="256">
        <f>SUMIFS('Livro Diario - FC'!$M$11:$M1028,'Livro Diario - FC'!$E$11:$E1028,$C$268,'Livro Diario - FC'!$D$11:$D1028,"&gt;=01/03"&amp;$C$7,'Livro Diario - FC'!$D$11:$D1028,"&lt;=31/03"&amp;$C$7)</f>
        <v>0</v>
      </c>
      <c r="P268" s="273"/>
      <c r="Q268" s="258"/>
      <c r="R268" s="259"/>
      <c r="S268" s="255">
        <f>SUMIFS('Livro Diario - FC'!$K$11:$K1028,'Livro Diario - FC'!$E$11:$E1028,$C$268,'Livro Diario - FC'!$D$11:$D1028,"&gt;=01/04"&amp;$C$7,'Livro Diario - FC'!$D$11:$D1028,"&lt;=30/04"&amp;$C$7)</f>
        <v>0</v>
      </c>
      <c r="T268" s="256">
        <f>SUMIFS('Livro Diario - FC'!$M$11:$M1028,'Livro Diario - FC'!$E$11:$E1028,$C$268,'Livro Diario - FC'!$D$11:$D1028,"&gt;=01/04"&amp;$C$7,'Livro Diario - FC'!$D$11:$D1028,"&lt;=30/04"&amp;$C$7)</f>
        <v>0</v>
      </c>
      <c r="U268" s="273"/>
      <c r="V268" s="258"/>
      <c r="W268" s="259"/>
      <c r="X268" s="255">
        <f>SUMIFS('Livro Diario - FC'!$K$11:$K1028,'Livro Diario - FC'!$E$11:$E1028,$C$268,'Livro Diario - FC'!$D$11:$D1028,"&gt;=01/05"&amp;$C$7,'Livro Diario - FC'!$D$11:$D1028,"&lt;=31/05"&amp;$C$7)</f>
        <v>0</v>
      </c>
      <c r="Y268" s="256">
        <f>SUMIFS('Livro Diario - FC'!$M$11:$M1028,'Livro Diario - FC'!$E$11:$E1028,$C$268,'Livro Diario - FC'!$D$11:$D1028,"&gt;=01/05"&amp;$C$7,'Livro Diario - FC'!$D$11:$D1028,"&lt;=31/05"&amp;$C$7)</f>
        <v>0</v>
      </c>
      <c r="Z268" s="273"/>
      <c r="AA268" s="258"/>
      <c r="AB268" s="259"/>
      <c r="AC268" s="255">
        <f>SUMIFS('Livro Diario - FC'!$K$11:$K1028,'Livro Diario - FC'!$E$11:$E1028,$C$268,'Livro Diario - FC'!$D$11:$D1028,"&gt;=01/06"&amp;$C$7,'Livro Diario - FC'!$D$11:$D1028,"&lt;=30/06"&amp;$C$7)</f>
        <v>0</v>
      </c>
      <c r="AD268" s="256">
        <f>SUMIFS('Livro Diario - FC'!$M$11:$M1028,'Livro Diario - FC'!$E$11:$E1028,$C$268,'Livro Diario - FC'!$D$11:$D1028,"&gt;=01/06"&amp;$C$7,'Livro Diario - FC'!$D$11:$D1028,"&lt;=30/06"&amp;$C$7)</f>
        <v>0</v>
      </c>
      <c r="AE268" s="273"/>
      <c r="AF268" s="258"/>
      <c r="AG268" s="255">
        <f>SUMIFS('Livro Diario - FC'!$K$11:$K1028,'Livro Diario - FC'!$E$11:$E1028,$C$268,'Livro Diario - FC'!$D$11:$D1028,"&gt;=01/07"&amp;$C$7,'Livro Diario - FC'!$D$11:$D1028,"&lt;=31/07"&amp;$C$7)</f>
        <v>0</v>
      </c>
      <c r="AH268" s="256">
        <f>SUMIFS('Livro Diario - FC'!$M$11:$M1028,'Livro Diario - FC'!$E$11:$E1028,$C$268,'Livro Diario - FC'!$D$11:$D1028,"&gt;=01/07"&amp;$C$7,'Livro Diario - FC'!$D$11:$D1028,"&lt;=31/07"&amp;$C$7)</f>
        <v>0</v>
      </c>
      <c r="AI268" s="273"/>
      <c r="AJ268" s="258"/>
      <c r="AK268" s="255">
        <f>SUMIFS('Livro Diario - FC'!$K$11:$K1028,'Livro Diario - FC'!$E$11:$E1028,$C$268,'Livro Diario - FC'!$D$11:$D1028,"&gt;=01/08"&amp;$C$7,'Livro Diario - FC'!$D$11:$D1028,"&lt;=31/08"&amp;$C$7)</f>
        <v>0</v>
      </c>
      <c r="AL268" s="256">
        <f>SUMIFS('Livro Diario - FC'!$M$11:$M1028,'Livro Diario - FC'!$E$11:$E1028,$C$268,'Livro Diario - FC'!$D$11:$D1028,"&gt;=01/08"&amp;$C$7,'Livro Diario - FC'!$D$11:$D1028,"&lt;=31/08"&amp;$C$7)</f>
        <v>0</v>
      </c>
      <c r="AM268" s="273"/>
      <c r="AN268" s="258"/>
      <c r="AO268" s="255">
        <f>SUMIFS('Livro Diario - FC'!$K$11:$K1028,'Livro Diario - FC'!$E$11:$E1028,$C$268,'Livro Diario - FC'!$D$11:$D1028,"&gt;=01/09"&amp;$C$7,'Livro Diario - FC'!$D$11:$D1028,"&lt;=30/09"&amp;$C$7)</f>
        <v>0</v>
      </c>
      <c r="AP268" s="256">
        <f>SUMIFS('Livro Diario - FC'!$M$11:$M1028,'Livro Diario - FC'!$E$11:$E1028,$C$268,'Livro Diario - FC'!$D$11:$D1028,"&gt;=01/09"&amp;$C$7,'Livro Diario - FC'!$D$11:$D1028,"&lt;=30/09"&amp;$C$7)</f>
        <v>0</v>
      </c>
      <c r="AQ268" s="273"/>
      <c r="AR268" s="258"/>
      <c r="AS268" s="255">
        <f>SUMIFS('Livro Diario - FC'!$K$11:$K1028,'Livro Diario - FC'!$E$11:$E1028,$C$268,'Livro Diario - FC'!$D$11:$D1028,"&gt;=01/10"&amp;$C$7,'Livro Diario - FC'!$D$11:$D1028,"&lt;=31/10"&amp;$C$7)</f>
        <v>0</v>
      </c>
      <c r="AT268" s="256">
        <f>SUMIFS('Livro Diario - FC'!$M$11:$M1028,'Livro Diario - FC'!$E$11:$E1028,$C$268,'Livro Diario - FC'!$D$11:$D1028,"&gt;=01/10"&amp;$C$7,'Livro Diario - FC'!$D$11:$D1028,"&lt;=31/10"&amp;$C$7)</f>
        <v>0</v>
      </c>
      <c r="AU268" s="273"/>
      <c r="AV268" s="258"/>
      <c r="AW268" s="255">
        <f>SUMIFS('Livro Diario - FC'!$K$11:$K1028,'Livro Diario - FC'!$E$11:$E1028,$C$268,'Livro Diario - FC'!$D$11:$D1028,"&gt;=01/11"&amp;$C$7,'Livro Diario - FC'!$D$11:$D1028,"&lt;=30/11"&amp;$C$7)</f>
        <v>0</v>
      </c>
      <c r="AX268" s="256">
        <f>SUMIFS('Livro Diario - FC'!$M$11:$M1028,'Livro Diario - FC'!$E$11:$E1028,$C$268,'Livro Diario - FC'!$D$11:$D1028,"&gt;=01/11"&amp;$C$7,'Livro Diario - FC'!$D$11:$D1028,"&lt;=30/11"&amp;$C$7)</f>
        <v>0</v>
      </c>
      <c r="AY268" s="273"/>
      <c r="AZ268" s="258"/>
      <c r="BA268" s="255">
        <f>SUMIFS('Livro Diario - FC'!$K$11:$K1028,'Livro Diario - FC'!$E$11:$E1028,$C$268,'Livro Diario - FC'!$D$11:$D1028,"&gt;=01/12"&amp;$C$7,'Livro Diario - FC'!$D$11:$D1028,"&lt;=31/12"&amp;$C$7)</f>
        <v>0</v>
      </c>
      <c r="BB268" s="256">
        <f>SUMIFS('Livro Diario - FC'!$M$11:$M1028,'Livro Diario - FC'!$E$11:$E1028,$C$268,'Livro Diario - FC'!$D$11:$D1028,"&gt;=01/12"&amp;$C$7,'Livro Diario - FC'!$D$11:$D1028,"&lt;=31/12"&amp;$C$7)</f>
        <v>0</v>
      </c>
      <c r="BC268" s="273"/>
      <c r="BD268" s="273"/>
      <c r="BE268" s="267">
        <f t="shared" ref="BE268:BF268" si="414">SUM(D268,I268,N268,S268,X268,AC268,AG268,AK268,AO268,AS268,AW268,BA268)</f>
        <v>0</v>
      </c>
      <c r="BF268" s="268">
        <f t="shared" si="414"/>
        <v>0</v>
      </c>
      <c r="BG268" s="269"/>
      <c r="BH268" s="192"/>
      <c r="BI268" s="270">
        <f>SUMIFS('Livro Diario - FC'!$M$11:$M1028,'Livro Diario - FC'!$E$11:$E1028,C268,'Livro Diario - FC'!$D$11:$D1028,"&gt;="&amp;$BK$8,'Livro Diario - FC'!$D$11:$D1028,"&lt;="&amp;$BK$9)</f>
        <v>0</v>
      </c>
      <c r="BJ268" s="271"/>
      <c r="BK268" s="272"/>
      <c r="BL268" s="1"/>
    </row>
    <row r="269">
      <c r="A269" s="1"/>
      <c r="B269" s="1"/>
      <c r="C269" s="338" t="str">
        <f>'Livro Diario - FC'!AE277</f>
        <v>5.2.11 Internet</v>
      </c>
      <c r="D269" s="255">
        <f>SUMIFS('Livro Diario - FC'!$K$11:$K1028,'Livro Diario - FC'!$E$11:$E1028,$C$269,'Livro Diario - FC'!$D$11:$D1028,"&gt;=01/01"&amp;$C$7,'Livro Diario - FC'!$D$11:$D1028,"&lt;=31/01"&amp;$C$7)</f>
        <v>0</v>
      </c>
      <c r="E269" s="256">
        <f>SUMIFS('Livro Diario - FC'!$M$11:$M1028,'Livro Diario - FC'!$E$11:$E1028,$C$269,'Livro Diario - FC'!$D$11:$D1028,"&gt;=01/01"&amp;$C$7,'Livro Diario - FC'!$D$11:$D1028,"&lt;=31/01"&amp;$C$7)</f>
        <v>0</v>
      </c>
      <c r="F269" s="273"/>
      <c r="G269" s="258"/>
      <c r="H269" s="157"/>
      <c r="I269" s="255">
        <f>SUMIFS('Livro Diario - FC'!$K$11:$K1028,'Livro Diario - FC'!$E$11:$E1028,$C$269,'Livro Diario - FC'!$D$11:$D1028,"&gt;=01/02"&amp;$C$7,'Livro Diario - FC'!$D$11:$D1028,"&lt;=29/02"&amp;$C$7)</f>
        <v>0</v>
      </c>
      <c r="J269" s="256">
        <f>SUMIFS('Livro Diario - FC'!$M$11:$M1028,'Livro Diario - FC'!$E$11:$E1028,$C$269,'Livro Diario - FC'!$D$11:$D1028,"&gt;=01/02"&amp;$C$7,'Livro Diario - FC'!$D$11:$D1028,"&lt;=29/02"&amp;$C$7)</f>
        <v>0</v>
      </c>
      <c r="K269" s="273"/>
      <c r="L269" s="258"/>
      <c r="M269" s="259"/>
      <c r="N269" s="255">
        <f>SUMIFS('Livro Diario - FC'!$K$11:$K1028,'Livro Diario - FC'!$E$11:$E1028,$C$269,'Livro Diario - FC'!$D$11:$D1028,"&gt;=01/03"&amp;$C$7,'Livro Diario - FC'!$D$11:$D1028,"&lt;=31/03"&amp;$C$7)</f>
        <v>0</v>
      </c>
      <c r="O269" s="256">
        <f>SUMIFS('Livro Diario - FC'!$M$11:$M1028,'Livro Diario - FC'!$E$11:$E1028,$C$269,'Livro Diario - FC'!$D$11:$D1028,"&gt;=01/03"&amp;$C$7,'Livro Diario - FC'!$D$11:$D1028,"&lt;=31/03"&amp;$C$7)</f>
        <v>0</v>
      </c>
      <c r="P269" s="273"/>
      <c r="Q269" s="258"/>
      <c r="R269" s="259"/>
      <c r="S269" s="255">
        <f>SUMIFS('Livro Diario - FC'!$K$11:$K1028,'Livro Diario - FC'!$E$11:$E1028,$C$269,'Livro Diario - FC'!$D$11:$D1028,"&gt;=01/04"&amp;$C$7,'Livro Diario - FC'!$D$11:$D1028,"&lt;=30/04"&amp;$C$7)</f>
        <v>0</v>
      </c>
      <c r="T269" s="256">
        <f>SUMIFS('Livro Diario - FC'!$M$11:$M1028,'Livro Diario - FC'!$E$11:$E1028,$C$269,'Livro Diario - FC'!$D$11:$D1028,"&gt;=01/04"&amp;$C$7,'Livro Diario - FC'!$D$11:$D1028,"&lt;=30/04"&amp;$C$7)</f>
        <v>0</v>
      </c>
      <c r="U269" s="273"/>
      <c r="V269" s="258"/>
      <c r="W269" s="259"/>
      <c r="X269" s="255">
        <f>SUMIFS('Livro Diario - FC'!$K$11:$K1028,'Livro Diario - FC'!$E$11:$E1028,$C$269,'Livro Diario - FC'!$D$11:$D1028,"&gt;=01/05"&amp;$C$7,'Livro Diario - FC'!$D$11:$D1028,"&lt;=31/05"&amp;$C$7)</f>
        <v>0</v>
      </c>
      <c r="Y269" s="256">
        <f>SUMIFS('Livro Diario - FC'!$M$11:$M1028,'Livro Diario - FC'!$E$11:$E1028,$C$269,'Livro Diario - FC'!$D$11:$D1028,"&gt;=01/05"&amp;$C$7,'Livro Diario - FC'!$D$11:$D1028,"&lt;=31/05"&amp;$C$7)</f>
        <v>0</v>
      </c>
      <c r="Z269" s="273"/>
      <c r="AA269" s="258"/>
      <c r="AB269" s="259"/>
      <c r="AC269" s="255">
        <f>SUMIFS('Livro Diario - FC'!$K$11:$K1028,'Livro Diario - FC'!$E$11:$E1028,$C$269,'Livro Diario - FC'!$D$11:$D1028,"&gt;=01/06"&amp;$C$7,'Livro Diario - FC'!$D$11:$D1028,"&lt;=30/06"&amp;$C$7)</f>
        <v>0</v>
      </c>
      <c r="AD269" s="256">
        <f>SUMIFS('Livro Diario - FC'!$M$11:$M1028,'Livro Diario - FC'!$E$11:$E1028,$C$269,'Livro Diario - FC'!$D$11:$D1028,"&gt;=01/06"&amp;$C$7,'Livro Diario - FC'!$D$11:$D1028,"&lt;=30/06"&amp;$C$7)</f>
        <v>0</v>
      </c>
      <c r="AE269" s="273"/>
      <c r="AF269" s="258"/>
      <c r="AG269" s="255">
        <f>SUMIFS('Livro Diario - FC'!$K$11:$K1028,'Livro Diario - FC'!$E$11:$E1028,$C$269,'Livro Diario - FC'!$D$11:$D1028,"&gt;=01/07"&amp;$C$7,'Livro Diario - FC'!$D$11:$D1028,"&lt;=31/07"&amp;$C$7)</f>
        <v>0</v>
      </c>
      <c r="AH269" s="256">
        <f>SUMIFS('Livro Diario - FC'!$M$11:$M1028,'Livro Diario - FC'!$E$11:$E1028,$C$269,'Livro Diario - FC'!$D$11:$D1028,"&gt;=01/07"&amp;$C$7,'Livro Diario - FC'!$D$11:$D1028,"&lt;=31/07"&amp;$C$7)</f>
        <v>0</v>
      </c>
      <c r="AI269" s="273"/>
      <c r="AJ269" s="258"/>
      <c r="AK269" s="255">
        <f>SUMIFS('Livro Diario - FC'!$K$11:$K1028,'Livro Diario - FC'!$E$11:$E1028,$C$269,'Livro Diario - FC'!$D$11:$D1028,"&gt;=01/08"&amp;$C$7,'Livro Diario - FC'!$D$11:$D1028,"&lt;=31/08"&amp;$C$7)</f>
        <v>0</v>
      </c>
      <c r="AL269" s="256">
        <f>SUMIFS('Livro Diario - FC'!$M$11:$M1028,'Livro Diario - FC'!$E$11:$E1028,$C$269,'Livro Diario - FC'!$D$11:$D1028,"&gt;=01/08"&amp;$C$7,'Livro Diario - FC'!$D$11:$D1028,"&lt;=31/08"&amp;$C$7)</f>
        <v>0</v>
      </c>
      <c r="AM269" s="273"/>
      <c r="AN269" s="258"/>
      <c r="AO269" s="255">
        <f>SUMIFS('Livro Diario - FC'!$K$11:$K1028,'Livro Diario - FC'!$E$11:$E1028,$C$269,'Livro Diario - FC'!$D$11:$D1028,"&gt;=01/09"&amp;$C$7,'Livro Diario - FC'!$D$11:$D1028,"&lt;=30/09"&amp;$C$7)</f>
        <v>0</v>
      </c>
      <c r="AP269" s="256">
        <f>SUMIFS('Livro Diario - FC'!$M$11:$M1028,'Livro Diario - FC'!$E$11:$E1028,$C$269,'Livro Diario - FC'!$D$11:$D1028,"&gt;=01/09"&amp;$C$7,'Livro Diario - FC'!$D$11:$D1028,"&lt;=30/09"&amp;$C$7)</f>
        <v>0</v>
      </c>
      <c r="AQ269" s="273"/>
      <c r="AR269" s="258"/>
      <c r="AS269" s="255">
        <f>SUMIFS('Livro Diario - FC'!$K$11:$K1028,'Livro Diario - FC'!$E$11:$E1028,$C$269,'Livro Diario - FC'!$D$11:$D1028,"&gt;=01/10"&amp;$C$7,'Livro Diario - FC'!$D$11:$D1028,"&lt;=31/10"&amp;$C$7)</f>
        <v>0</v>
      </c>
      <c r="AT269" s="256">
        <f>SUMIFS('Livro Diario - FC'!$M$11:$M1028,'Livro Diario - FC'!$E$11:$E1028,$C$269,'Livro Diario - FC'!$D$11:$D1028,"&gt;=01/10"&amp;$C$7,'Livro Diario - FC'!$D$11:$D1028,"&lt;=31/10"&amp;$C$7)</f>
        <v>0</v>
      </c>
      <c r="AU269" s="273"/>
      <c r="AV269" s="258"/>
      <c r="AW269" s="255">
        <f>SUMIFS('Livro Diario - FC'!$K$11:$K1028,'Livro Diario - FC'!$E$11:$E1028,$C$269,'Livro Diario - FC'!$D$11:$D1028,"&gt;=01/11"&amp;$C$7,'Livro Diario - FC'!$D$11:$D1028,"&lt;=30/11"&amp;$C$7)</f>
        <v>0</v>
      </c>
      <c r="AX269" s="256">
        <f>SUMIFS('Livro Diario - FC'!$M$11:$M1028,'Livro Diario - FC'!$E$11:$E1028,$C$269,'Livro Diario - FC'!$D$11:$D1028,"&gt;=01/11"&amp;$C$7,'Livro Diario - FC'!$D$11:$D1028,"&lt;=30/11"&amp;$C$7)</f>
        <v>0</v>
      </c>
      <c r="AY269" s="273"/>
      <c r="AZ269" s="258"/>
      <c r="BA269" s="255">
        <f>SUMIFS('Livro Diario - FC'!$K$11:$K1028,'Livro Diario - FC'!$E$11:$E1028,$C$269,'Livro Diario - FC'!$D$11:$D1028,"&gt;=01/12"&amp;$C$7,'Livro Diario - FC'!$D$11:$D1028,"&lt;=31/12"&amp;$C$7)</f>
        <v>0</v>
      </c>
      <c r="BB269" s="256">
        <f>SUMIFS('Livro Diario - FC'!$M$11:$M1028,'Livro Diario - FC'!$E$11:$E1028,$C$269,'Livro Diario - FC'!$D$11:$D1028,"&gt;=01/12"&amp;$C$7,'Livro Diario - FC'!$D$11:$D1028,"&lt;=31/12"&amp;$C$7)</f>
        <v>0</v>
      </c>
      <c r="BC269" s="273"/>
      <c r="BD269" s="273"/>
      <c r="BE269" s="267">
        <f t="shared" ref="BE269:BF269" si="415">SUM(D269,I269,N269,S269,X269,AC269,AG269,AK269,AO269,AS269,AW269,BA269)</f>
        <v>0</v>
      </c>
      <c r="BF269" s="268">
        <f t="shared" si="415"/>
        <v>0</v>
      </c>
      <c r="BG269" s="269"/>
      <c r="BH269" s="192"/>
      <c r="BI269" s="270">
        <f>SUMIFS('Livro Diario - FC'!$M$11:$M1028,'Livro Diario - FC'!$E$11:$E1028,C269,'Livro Diario - FC'!$D$11:$D1028,"&gt;="&amp;$BK$8,'Livro Diario - FC'!$D$11:$D1028,"&lt;="&amp;$BK$9)</f>
        <v>0</v>
      </c>
      <c r="BJ269" s="271"/>
      <c r="BK269" s="272"/>
      <c r="BL269" s="1"/>
    </row>
    <row r="270">
      <c r="A270" s="1"/>
      <c r="B270" s="1"/>
      <c r="C270" s="338" t="str">
        <f>'Livro Diario - FC'!AE278</f>
        <v>5.2.12 IPVA</v>
      </c>
      <c r="D270" s="255">
        <f>SUMIFS('Livro Diario - FC'!$K$11:$K1028,'Livro Diario - FC'!$E$11:$E1028,$C$270,'Livro Diario - FC'!$D$11:$D1028,"&gt;=01/01"&amp;$C$7,'Livro Diario - FC'!$D$11:$D1028,"&lt;=31/01"&amp;$C$7)</f>
        <v>0</v>
      </c>
      <c r="E270" s="256">
        <f>SUMIFS('Livro Diario - FC'!$M$11:$M1028,'Livro Diario - FC'!$E$11:$E1028,$C$270,'Livro Diario - FC'!$D$11:$D1028,"&gt;=01/01"&amp;$C$7,'Livro Diario - FC'!$D$11:$D1028,"&lt;=31/01"&amp;$C$7)</f>
        <v>0</v>
      </c>
      <c r="F270" s="273"/>
      <c r="G270" s="258"/>
      <c r="H270" s="157"/>
      <c r="I270" s="255">
        <f>SUMIFS('Livro Diario - FC'!$K$11:$K1028,'Livro Diario - FC'!$E$11:$E1028,$C$270,'Livro Diario - FC'!$D$11:$D1028,"&gt;=01/02"&amp;$C$7,'Livro Diario - FC'!$D$11:$D1028,"&lt;=29/02"&amp;$C$7)</f>
        <v>0</v>
      </c>
      <c r="J270" s="256">
        <f>SUMIFS('Livro Diario - FC'!$M$11:$M1028,'Livro Diario - FC'!$E$11:$E1028,$C$270,'Livro Diario - FC'!$D$11:$D1028,"&gt;=01/02"&amp;$C$7,'Livro Diario - FC'!$D$11:$D1028,"&lt;=29/02"&amp;$C$7)</f>
        <v>0</v>
      </c>
      <c r="K270" s="273"/>
      <c r="L270" s="258"/>
      <c r="M270" s="259"/>
      <c r="N270" s="255">
        <f>SUMIFS('Livro Diario - FC'!$K$11:$K1028,'Livro Diario - FC'!$E$11:$E1028,$C$270,'Livro Diario - FC'!$D$11:$D1028,"&gt;=01/03"&amp;$C$7,'Livro Diario - FC'!$D$11:$D1028,"&lt;=31/03"&amp;$C$7)</f>
        <v>0</v>
      </c>
      <c r="O270" s="256">
        <f>SUMIFS('Livro Diario - FC'!$M$11:$M1028,'Livro Diario - FC'!$E$11:$E1028,$C$270,'Livro Diario - FC'!$D$11:$D1028,"&gt;=01/03"&amp;$C$7,'Livro Diario - FC'!$D$11:$D1028,"&lt;=31/03"&amp;$C$7)</f>
        <v>0</v>
      </c>
      <c r="P270" s="273"/>
      <c r="Q270" s="258"/>
      <c r="R270" s="259"/>
      <c r="S270" s="255">
        <f>SUMIFS('Livro Diario - FC'!$K$11:$K1028,'Livro Diario - FC'!$E$11:$E1028,$C$270,'Livro Diario - FC'!$D$11:$D1028,"&gt;=01/04"&amp;$C$7,'Livro Diario - FC'!$D$11:$D1028,"&lt;=30/04"&amp;$C$7)</f>
        <v>0</v>
      </c>
      <c r="T270" s="256">
        <f>SUMIFS('Livro Diario - FC'!$M$11:$M1028,'Livro Diario - FC'!$E$11:$E1028,$C$270,'Livro Diario - FC'!$D$11:$D1028,"&gt;=01/04"&amp;$C$7,'Livro Diario - FC'!$D$11:$D1028,"&lt;=30/04"&amp;$C$7)</f>
        <v>0</v>
      </c>
      <c r="U270" s="273"/>
      <c r="V270" s="258"/>
      <c r="W270" s="259"/>
      <c r="X270" s="255">
        <f>SUMIFS('Livro Diario - FC'!$K$11:$K1028,'Livro Diario - FC'!$E$11:$E1028,$C$270,'Livro Diario - FC'!$D$11:$D1028,"&gt;=01/05"&amp;$C$7,'Livro Diario - FC'!$D$11:$D1028,"&lt;=31/05"&amp;$C$7)</f>
        <v>0</v>
      </c>
      <c r="Y270" s="256">
        <f>SUMIFS('Livro Diario - FC'!$M$11:$M1028,'Livro Diario - FC'!$E$11:$E1028,$C$270,'Livro Diario - FC'!$D$11:$D1028,"&gt;=01/05"&amp;$C$7,'Livro Diario - FC'!$D$11:$D1028,"&lt;=31/05"&amp;$C$7)</f>
        <v>0</v>
      </c>
      <c r="Z270" s="273"/>
      <c r="AA270" s="258"/>
      <c r="AB270" s="259"/>
      <c r="AC270" s="255">
        <f>SUMIFS('Livro Diario - FC'!$K$11:$K1028,'Livro Diario - FC'!$E$11:$E1028,$C$270,'Livro Diario - FC'!$D$11:$D1028,"&gt;=01/06"&amp;$C$7,'Livro Diario - FC'!$D$11:$D1028,"&lt;=30/06"&amp;$C$7)</f>
        <v>0</v>
      </c>
      <c r="AD270" s="256">
        <f>SUMIFS('Livro Diario - FC'!$M$11:$M1028,'Livro Diario - FC'!$E$11:$E1028,$C$270,'Livro Diario - FC'!$D$11:$D1028,"&gt;=01/06"&amp;$C$7,'Livro Diario - FC'!$D$11:$D1028,"&lt;=30/06"&amp;$C$7)</f>
        <v>0</v>
      </c>
      <c r="AE270" s="273"/>
      <c r="AF270" s="258"/>
      <c r="AG270" s="255">
        <f>SUMIFS('Livro Diario - FC'!$K$11:$K1028,'Livro Diario - FC'!$E$11:$E1028,$C$270,'Livro Diario - FC'!$D$11:$D1028,"&gt;=01/07"&amp;$C$7,'Livro Diario - FC'!$D$11:$D1028,"&lt;=31/07"&amp;$C$7)</f>
        <v>0</v>
      </c>
      <c r="AH270" s="256">
        <f>SUMIFS('Livro Diario - FC'!$M$11:$M1028,'Livro Diario - FC'!$E$11:$E1028,$C$270,'Livro Diario - FC'!$D$11:$D1028,"&gt;=01/07"&amp;$C$7,'Livro Diario - FC'!$D$11:$D1028,"&lt;=31/07"&amp;$C$7)</f>
        <v>0</v>
      </c>
      <c r="AI270" s="273"/>
      <c r="AJ270" s="258"/>
      <c r="AK270" s="255">
        <f>SUMIFS('Livro Diario - FC'!$K$11:$K1028,'Livro Diario - FC'!$E$11:$E1028,$C$270,'Livro Diario - FC'!$D$11:$D1028,"&gt;=01/08"&amp;$C$7,'Livro Diario - FC'!$D$11:$D1028,"&lt;=31/08"&amp;$C$7)</f>
        <v>0</v>
      </c>
      <c r="AL270" s="256">
        <f>SUMIFS('Livro Diario - FC'!$M$11:$M1028,'Livro Diario - FC'!$E$11:$E1028,$C$270,'Livro Diario - FC'!$D$11:$D1028,"&gt;=01/08"&amp;$C$7,'Livro Diario - FC'!$D$11:$D1028,"&lt;=31/08"&amp;$C$7)</f>
        <v>0</v>
      </c>
      <c r="AM270" s="273"/>
      <c r="AN270" s="258"/>
      <c r="AO270" s="255">
        <f>SUMIFS('Livro Diario - FC'!$K$11:$K1028,'Livro Diario - FC'!$E$11:$E1028,$C$270,'Livro Diario - FC'!$D$11:$D1028,"&gt;=01/09"&amp;$C$7,'Livro Diario - FC'!$D$11:$D1028,"&lt;=30/09"&amp;$C$7)</f>
        <v>0</v>
      </c>
      <c r="AP270" s="256">
        <f>SUMIFS('Livro Diario - FC'!$M$11:$M1028,'Livro Diario - FC'!$E$11:$E1028,$C$270,'Livro Diario - FC'!$D$11:$D1028,"&gt;=01/09"&amp;$C$7,'Livro Diario - FC'!$D$11:$D1028,"&lt;=30/09"&amp;$C$7)</f>
        <v>0</v>
      </c>
      <c r="AQ270" s="273"/>
      <c r="AR270" s="258"/>
      <c r="AS270" s="255">
        <f>SUMIFS('Livro Diario - FC'!$K$11:$K1028,'Livro Diario - FC'!$E$11:$E1028,$C$270,'Livro Diario - FC'!$D$11:$D1028,"&gt;=01/10"&amp;$C$7,'Livro Diario - FC'!$D$11:$D1028,"&lt;=31/10"&amp;$C$7)</f>
        <v>0</v>
      </c>
      <c r="AT270" s="256">
        <f>SUMIFS('Livro Diario - FC'!$M$11:$M1028,'Livro Diario - FC'!$E$11:$E1028,$C$270,'Livro Diario - FC'!$D$11:$D1028,"&gt;=01/10"&amp;$C$7,'Livro Diario - FC'!$D$11:$D1028,"&lt;=31/10"&amp;$C$7)</f>
        <v>0</v>
      </c>
      <c r="AU270" s="273"/>
      <c r="AV270" s="258"/>
      <c r="AW270" s="255">
        <f>SUMIFS('Livro Diario - FC'!$K$11:$K1028,'Livro Diario - FC'!$E$11:$E1028,$C$270,'Livro Diario - FC'!$D$11:$D1028,"&gt;=01/11"&amp;$C$7,'Livro Diario - FC'!$D$11:$D1028,"&lt;=30/11"&amp;$C$7)</f>
        <v>0</v>
      </c>
      <c r="AX270" s="256">
        <f>SUMIFS('Livro Diario - FC'!$M$11:$M1028,'Livro Diario - FC'!$E$11:$E1028,$C$270,'Livro Diario - FC'!$D$11:$D1028,"&gt;=01/11"&amp;$C$7,'Livro Diario - FC'!$D$11:$D1028,"&lt;=30/11"&amp;$C$7)</f>
        <v>0</v>
      </c>
      <c r="AY270" s="273"/>
      <c r="AZ270" s="258"/>
      <c r="BA270" s="255">
        <f>SUMIFS('Livro Diario - FC'!$K$11:$K1028,'Livro Diario - FC'!$E$11:$E1028,$C$270,'Livro Diario - FC'!$D$11:$D1028,"&gt;=01/12"&amp;$C$7,'Livro Diario - FC'!$D$11:$D1028,"&lt;=31/12"&amp;$C$7)</f>
        <v>0</v>
      </c>
      <c r="BB270" s="256">
        <f>SUMIFS('Livro Diario - FC'!$M$11:$M1028,'Livro Diario - FC'!$E$11:$E1028,$C$270,'Livro Diario - FC'!$D$11:$D1028,"&gt;=01/12"&amp;$C$7,'Livro Diario - FC'!$D$11:$D1028,"&lt;=31/12"&amp;$C$7)</f>
        <v>0</v>
      </c>
      <c r="BC270" s="273"/>
      <c r="BD270" s="273"/>
      <c r="BE270" s="267">
        <f t="shared" ref="BE270:BF270" si="416">SUM(D270,I270,N270,S270,X270,AC270,AG270,AK270,AO270,AS270,AW270,BA270)</f>
        <v>0</v>
      </c>
      <c r="BF270" s="268">
        <f t="shared" si="416"/>
        <v>0</v>
      </c>
      <c r="BG270" s="269"/>
      <c r="BH270" s="192"/>
      <c r="BI270" s="270">
        <f>SUMIFS('Livro Diario - FC'!$M$11:$M1028,'Livro Diario - FC'!$E$11:$E1028,C270,'Livro Diario - FC'!$D$11:$D1028,"&gt;="&amp;$BK$8,'Livro Diario - FC'!$D$11:$D1028,"&lt;="&amp;$BK$9)</f>
        <v>0</v>
      </c>
      <c r="BJ270" s="271"/>
      <c r="BK270" s="272"/>
      <c r="BL270" s="1"/>
    </row>
    <row r="271">
      <c r="A271" s="1"/>
      <c r="B271" s="1"/>
      <c r="C271" s="338" t="str">
        <f>'Livro Diario - FC'!AE279</f>
        <v>5.2.13 Botijão de gás</v>
      </c>
      <c r="D271" s="255">
        <f>SUMIFS('Livro Diario - FC'!$K$11:$K1028,'Livro Diario - FC'!$E$11:$E1028,$C$271,'Livro Diario - FC'!$D$11:$D1028,"&gt;=01/01"&amp;$C$7,'Livro Diario - FC'!$D$11:$D1028,"&lt;=31/01"&amp;$C$7)</f>
        <v>0</v>
      </c>
      <c r="E271" s="256">
        <f>SUMIFS('Livro Diario - FC'!$M$11:$M1028,'Livro Diario - FC'!$E$11:$E1028,$C$271,'Livro Diario - FC'!$D$11:$D1028,"&gt;=01/01"&amp;$C$7,'Livro Diario - FC'!$D$11:$D1028,"&lt;=31/01"&amp;$C$7)</f>
        <v>0</v>
      </c>
      <c r="F271" s="273"/>
      <c r="G271" s="258"/>
      <c r="H271" s="157"/>
      <c r="I271" s="255">
        <f>SUMIFS('Livro Diario - FC'!$K$11:$K1028,'Livro Diario - FC'!$E$11:$E1028,$C$271,'Livro Diario - FC'!$D$11:$D1028,"&gt;=01/02"&amp;$C$7,'Livro Diario - FC'!$D$11:$D1028,"&lt;=29/02"&amp;$C$7)</f>
        <v>0</v>
      </c>
      <c r="J271" s="256">
        <f>SUMIFS('Livro Diario - FC'!$M$11:$M1028,'Livro Diario - FC'!$E$11:$E1028,$C$271,'Livro Diario - FC'!$D$11:$D1028,"&gt;=01/02"&amp;$C$7,'Livro Diario - FC'!$D$11:$D1028,"&lt;=29/02"&amp;$C$7)</f>
        <v>0</v>
      </c>
      <c r="K271" s="273"/>
      <c r="L271" s="258"/>
      <c r="M271" s="259"/>
      <c r="N271" s="255">
        <f>SUMIFS('Livro Diario - FC'!$K$11:$K1028,'Livro Diario - FC'!$E$11:$E1028,$C$271,'Livro Diario - FC'!$D$11:$D1028,"&gt;=01/03"&amp;$C$7,'Livro Diario - FC'!$D$11:$D1028,"&lt;=31/03"&amp;$C$7)</f>
        <v>0</v>
      </c>
      <c r="O271" s="256">
        <f>SUMIFS('Livro Diario - FC'!$M$11:$M1028,'Livro Diario - FC'!$E$11:$E1028,$C$271,'Livro Diario - FC'!$D$11:$D1028,"&gt;=01/03"&amp;$C$7,'Livro Diario - FC'!$D$11:$D1028,"&lt;=31/03"&amp;$C$7)</f>
        <v>0</v>
      </c>
      <c r="P271" s="273"/>
      <c r="Q271" s="258"/>
      <c r="R271" s="259"/>
      <c r="S271" s="255">
        <f>SUMIFS('Livro Diario - FC'!$K$11:$K1028,'Livro Diario - FC'!$E$11:$E1028,$C$271,'Livro Diario - FC'!$D$11:$D1028,"&gt;=01/04"&amp;$C$7,'Livro Diario - FC'!$D$11:$D1028,"&lt;=30/04"&amp;$C$7)</f>
        <v>0</v>
      </c>
      <c r="T271" s="256">
        <f>SUMIFS('Livro Diario - FC'!$M$11:$M1028,'Livro Diario - FC'!$E$11:$E1028,$C$271,'Livro Diario - FC'!$D$11:$D1028,"&gt;=01/04"&amp;$C$7,'Livro Diario - FC'!$D$11:$D1028,"&lt;=30/04"&amp;$C$7)</f>
        <v>0</v>
      </c>
      <c r="U271" s="273"/>
      <c r="V271" s="258"/>
      <c r="W271" s="259"/>
      <c r="X271" s="255">
        <f>SUMIFS('Livro Diario - FC'!$K$11:$K1028,'Livro Diario - FC'!$E$11:$E1028,$C$271,'Livro Diario - FC'!$D$11:$D1028,"&gt;=01/05"&amp;$C$7,'Livro Diario - FC'!$D$11:$D1028,"&lt;=31/05"&amp;$C$7)</f>
        <v>0</v>
      </c>
      <c r="Y271" s="256">
        <f>SUMIFS('Livro Diario - FC'!$M$11:$M1028,'Livro Diario - FC'!$E$11:$E1028,$C$271,'Livro Diario - FC'!$D$11:$D1028,"&gt;=01/05"&amp;$C$7,'Livro Diario - FC'!$D$11:$D1028,"&lt;=31/05"&amp;$C$7)</f>
        <v>0</v>
      </c>
      <c r="Z271" s="273"/>
      <c r="AA271" s="258"/>
      <c r="AB271" s="259"/>
      <c r="AC271" s="255">
        <f>SUMIFS('Livro Diario - FC'!$K$11:$K1028,'Livro Diario - FC'!$E$11:$E1028,$C$271,'Livro Diario - FC'!$D$11:$D1028,"&gt;=01/06"&amp;$C$7,'Livro Diario - FC'!$D$11:$D1028,"&lt;=30/06"&amp;$C$7)</f>
        <v>0</v>
      </c>
      <c r="AD271" s="256">
        <f>SUMIFS('Livro Diario - FC'!$M$11:$M1028,'Livro Diario - FC'!$E$11:$E1028,$C$271,'Livro Diario - FC'!$D$11:$D1028,"&gt;=01/06"&amp;$C$7,'Livro Diario - FC'!$D$11:$D1028,"&lt;=30/06"&amp;$C$7)</f>
        <v>0</v>
      </c>
      <c r="AE271" s="273"/>
      <c r="AF271" s="258"/>
      <c r="AG271" s="255">
        <f>SUMIFS('Livro Diario - FC'!$K$11:$K1028,'Livro Diario - FC'!$E$11:$E1028,$C$271,'Livro Diario - FC'!$D$11:$D1028,"&gt;=01/07"&amp;$C$7,'Livro Diario - FC'!$D$11:$D1028,"&lt;=31/07"&amp;$C$7)</f>
        <v>0</v>
      </c>
      <c r="AH271" s="256">
        <f>SUMIFS('Livro Diario - FC'!$M$11:$M1028,'Livro Diario - FC'!$E$11:$E1028,$C$271,'Livro Diario - FC'!$D$11:$D1028,"&gt;=01/07"&amp;$C$7,'Livro Diario - FC'!$D$11:$D1028,"&lt;=31/07"&amp;$C$7)</f>
        <v>0</v>
      </c>
      <c r="AI271" s="273"/>
      <c r="AJ271" s="258"/>
      <c r="AK271" s="255">
        <f>SUMIFS('Livro Diario - FC'!$K$11:$K1028,'Livro Diario - FC'!$E$11:$E1028,$C$271,'Livro Diario - FC'!$D$11:$D1028,"&gt;=01/08"&amp;$C$7,'Livro Diario - FC'!$D$11:$D1028,"&lt;=31/08"&amp;$C$7)</f>
        <v>0</v>
      </c>
      <c r="AL271" s="256">
        <f>SUMIFS('Livro Diario - FC'!$M$11:$M1028,'Livro Diario - FC'!$E$11:$E1028,$C$271,'Livro Diario - FC'!$D$11:$D1028,"&gt;=01/08"&amp;$C$7,'Livro Diario - FC'!$D$11:$D1028,"&lt;=31/08"&amp;$C$7)</f>
        <v>0</v>
      </c>
      <c r="AM271" s="273"/>
      <c r="AN271" s="258"/>
      <c r="AO271" s="255">
        <f>SUMIFS('Livro Diario - FC'!$K$11:$K1028,'Livro Diario - FC'!$E$11:$E1028,$C$271,'Livro Diario - FC'!$D$11:$D1028,"&gt;=01/09"&amp;$C$7,'Livro Diario - FC'!$D$11:$D1028,"&lt;=30/09"&amp;$C$7)</f>
        <v>0</v>
      </c>
      <c r="AP271" s="256">
        <f>SUMIFS('Livro Diario - FC'!$M$11:$M1028,'Livro Diario - FC'!$E$11:$E1028,$C$271,'Livro Diario - FC'!$D$11:$D1028,"&gt;=01/09"&amp;$C$7,'Livro Diario - FC'!$D$11:$D1028,"&lt;=30/09"&amp;$C$7)</f>
        <v>0</v>
      </c>
      <c r="AQ271" s="273"/>
      <c r="AR271" s="258"/>
      <c r="AS271" s="255">
        <f>SUMIFS('Livro Diario - FC'!$K$11:$K1028,'Livro Diario - FC'!$E$11:$E1028,$C$271,'Livro Diario - FC'!$D$11:$D1028,"&gt;=01/10"&amp;$C$7,'Livro Diario - FC'!$D$11:$D1028,"&lt;=31/10"&amp;$C$7)</f>
        <v>0</v>
      </c>
      <c r="AT271" s="256">
        <f>SUMIFS('Livro Diario - FC'!$M$11:$M1028,'Livro Diario - FC'!$E$11:$E1028,$C$271,'Livro Diario - FC'!$D$11:$D1028,"&gt;=01/10"&amp;$C$7,'Livro Diario - FC'!$D$11:$D1028,"&lt;=31/10"&amp;$C$7)</f>
        <v>0</v>
      </c>
      <c r="AU271" s="273"/>
      <c r="AV271" s="258"/>
      <c r="AW271" s="255">
        <f>SUMIFS('Livro Diario - FC'!$K$11:$K1028,'Livro Diario - FC'!$E$11:$E1028,$C$271,'Livro Diario - FC'!$D$11:$D1028,"&gt;=01/11"&amp;$C$7,'Livro Diario - FC'!$D$11:$D1028,"&lt;=30/11"&amp;$C$7)</f>
        <v>0</v>
      </c>
      <c r="AX271" s="256">
        <f>SUMIFS('Livro Diario - FC'!$M$11:$M1028,'Livro Diario - FC'!$E$11:$E1028,$C$271,'Livro Diario - FC'!$D$11:$D1028,"&gt;=01/11"&amp;$C$7,'Livro Diario - FC'!$D$11:$D1028,"&lt;=30/11"&amp;$C$7)</f>
        <v>0</v>
      </c>
      <c r="AY271" s="273"/>
      <c r="AZ271" s="258"/>
      <c r="BA271" s="255">
        <f>SUMIFS('Livro Diario - FC'!$K$11:$K1028,'Livro Diario - FC'!$E$11:$E1028,$C$271,'Livro Diario - FC'!$D$11:$D1028,"&gt;=01/12"&amp;$C$7,'Livro Diario - FC'!$D$11:$D1028,"&lt;=31/12"&amp;$C$7)</f>
        <v>0</v>
      </c>
      <c r="BB271" s="256">
        <f>SUMIFS('Livro Diario - FC'!$M$11:$M1028,'Livro Diario - FC'!$E$11:$E1028,$C$271,'Livro Diario - FC'!$D$11:$D1028,"&gt;=01/12"&amp;$C$7,'Livro Diario - FC'!$D$11:$D1028,"&lt;=31/12"&amp;$C$7)</f>
        <v>0</v>
      </c>
      <c r="BC271" s="273"/>
      <c r="BD271" s="273"/>
      <c r="BE271" s="341">
        <f t="shared" ref="BE271:BF271" si="417">SUM(D271,I271,N271,S271,X271,AC271,AG271,AK271,AO271,AS271,AW271,BA271)</f>
        <v>0</v>
      </c>
      <c r="BF271" s="342">
        <f t="shared" si="417"/>
        <v>0</v>
      </c>
      <c r="BG271" s="343"/>
      <c r="BH271" s="344"/>
      <c r="BI271" s="270">
        <f>SUMIFS('Livro Diario - FC'!$M$11:$M1028,'Livro Diario - FC'!$E$11:$E1028,C271,'Livro Diario - FC'!$D$11:$D1028,"&gt;="&amp;$BK$8,'Livro Diario - FC'!$D$11:$D1028,"&lt;="&amp;$BK$9)</f>
        <v>0</v>
      </c>
      <c r="BJ271" s="271"/>
      <c r="BK271" s="345"/>
      <c r="BL271" s="146"/>
    </row>
    <row r="272">
      <c r="A272" s="1"/>
      <c r="B272" s="40"/>
      <c r="C272" s="365" t="s">
        <v>427</v>
      </c>
      <c r="D272" s="323">
        <f>SUMIFS('Livro Diario - FC'!$J$11:$J1028,'Livro Diario - FC'!$E$11:$E1028,$C$272,'Livro Diario - FC'!$D$11:$D1028,"&gt;=01/01"&amp;$C$7,'Livro Diario - FC'!$D$11:$D1028,"&lt;=31/01"&amp;$C$7)+SUM(D273:D280)</f>
        <v>0</v>
      </c>
      <c r="E272" s="366">
        <f>SUMIFS('Livro Diario - FC'!$L$11:$L1028,'Livro Diario - FC'!$E$11:$E1028,$C$272,'Livro Diario - FC'!$D$11:$D1028,"&gt;=01/01"&amp;$C$7,'Livro Diario - FC'!$D$11:$D1028,"&lt;=31/01"&amp;$C$7)+SUM(E273:E280)</f>
        <v>0</v>
      </c>
      <c r="F272" s="367">
        <f>IF(E$11=0,"",E272/E$11)</f>
        <v>0</v>
      </c>
      <c r="G272" s="368" t="str">
        <f>IF(A272=0,"",E272/A272-1)</f>
        <v/>
      </c>
      <c r="H272" s="327"/>
      <c r="I272" s="323">
        <f>SUMIFS('Livro Diario - FC'!$J$11:$J1028,'Livro Diario - FC'!$E$11:$E1028,$C$272,'Livro Diario - FC'!$D$11:$D1028,"&gt;=01/02"&amp;$C$7,'Livro Diario - FC'!$D$11:$D1028,"&lt;=29/02"&amp;$C$7)+SUM(I273:I280)</f>
        <v>0</v>
      </c>
      <c r="J272" s="366">
        <f>SUMIFS('Livro Diario - FC'!$L$11:$L1028,'Livro Diario - FC'!$E$11:$E1028,$C$272,'Livro Diario - FC'!$D$11:$D1028,"&gt;=01/02"&amp;$C$7,'Livro Diario - FC'!$D$11:$D1028,"&lt;=29/02"&amp;$C$7)+SUM(J273:J280)</f>
        <v>0</v>
      </c>
      <c r="K272" s="367" t="str">
        <f>IF(J$11=0,"",J272/J$11)</f>
        <v/>
      </c>
      <c r="L272" s="368" t="str">
        <f>IF(E272=0,"",J272/E272-1)</f>
        <v/>
      </c>
      <c r="M272" s="328"/>
      <c r="N272" s="323">
        <f>SUMIFS('Livro Diario - FC'!$J$11:$J1028,'Livro Diario - FC'!$E$11:$E1028,$C$272,'Livro Diario - FC'!$D$11:$D1028,"&gt;=01/03"&amp;$C$7,'Livro Diario - FC'!$D$11:$D1028,"&lt;=31/03"&amp;$C$7)+SUM(N273:N280)</f>
        <v>0</v>
      </c>
      <c r="O272" s="366">
        <f>SUMIFS('Livro Diario - FC'!$L$11:$L1028,'Livro Diario - FC'!$E$11:$E1028,$C$272,'Livro Diario - FC'!$D$11:$D1028,"&gt;=01/03"&amp;$C$7,'Livro Diario - FC'!$D$11:$D1028,"&lt;=31/03"&amp;$C$7)+SUM(O273:O280)</f>
        <v>0</v>
      </c>
      <c r="P272" s="367" t="str">
        <f>IF(O$11=0,"",O272/O$11)</f>
        <v/>
      </c>
      <c r="Q272" s="368" t="str">
        <f>IF(J272=0,"",O272/J272-1)</f>
        <v/>
      </c>
      <c r="R272" s="328"/>
      <c r="S272" s="323">
        <f>SUMIFS('Livro Diario - FC'!$J$11:$J1028,'Livro Diario - FC'!$E$11:$E1028,$C$272,'Livro Diario - FC'!$D$11:$D1028,"&gt;=01/04"&amp;$C$7,'Livro Diario - FC'!$D$11:$D1028,"&lt;=30/04"&amp;$C$7)+SUM(S273:S280)</f>
        <v>0</v>
      </c>
      <c r="T272" s="366">
        <f>SUMIFS('Livro Diario - FC'!$L$11:$L1028,'Livro Diario - FC'!$E$11:$E1028,$C$272,'Livro Diario - FC'!$D$11:$D1028,"&gt;=01/04"&amp;$C$7,'Livro Diario - FC'!$D$11:$D1028,"&lt;=30/04"&amp;$C$7)+SUM(T273:T280)</f>
        <v>0</v>
      </c>
      <c r="U272" s="367" t="str">
        <f>IF(T$11=0,"",T272/T$11)</f>
        <v/>
      </c>
      <c r="V272" s="368" t="str">
        <f>IF(O272=0,"",T272/O272-1)</f>
        <v/>
      </c>
      <c r="W272" s="328"/>
      <c r="X272" s="323">
        <f>SUMIFS('Livro Diario - FC'!$J$11:$J1028,'Livro Diario - FC'!$E$11:$E1028,$C$272,'Livro Diario - FC'!$D$11:$D1028,"&gt;=01/05"&amp;$C$7,'Livro Diario - FC'!$D$11:$D1028,"&lt;=31/05"&amp;$C$7)+SUM(X273:X280)</f>
        <v>0</v>
      </c>
      <c r="Y272" s="366">
        <f>SUMIFS('Livro Diario - FC'!$L$11:$L1028,'Livro Diario - FC'!$E$11:$E1028,$C$272,'Livro Diario - FC'!$D$11:$D1028,"&gt;=01/05"&amp;$C$7,'Livro Diario - FC'!$D$11:$D1028,"&lt;=31/05"&amp;$C$7)+SUM(Y273:Y280)</f>
        <v>0</v>
      </c>
      <c r="Z272" s="367" t="str">
        <f>IF(Y$11=0,"",Y272/Y$11)</f>
        <v/>
      </c>
      <c r="AA272" s="368" t="str">
        <f>IF(T272=0,"",Y272/T272-1)</f>
        <v/>
      </c>
      <c r="AB272" s="328"/>
      <c r="AC272" s="323">
        <f>SUMIFS('Livro Diario - FC'!$J$11:$J1028,'Livro Diario - FC'!$E$11:$E1028,$C$272,'Livro Diario - FC'!$D$11:$D1028,"&gt;=01/06"&amp;$C$7,'Livro Diario - FC'!$D$11:$D1028,"&lt;=30/06"&amp;$C$7)+SUM(AC273:AC280)</f>
        <v>0</v>
      </c>
      <c r="AD272" s="366">
        <f>SUMIFS('Livro Diario - FC'!$L$11:$L1028,'Livro Diario - FC'!$E$11:$E1028,$C$272,'Livro Diario - FC'!$D$11:$D1028,"&gt;=01/06"&amp;$C$7,'Livro Diario - FC'!$D$11:$D1028,"&lt;=30/06"&amp;$C$7)+SUM(AD273:AD280)</f>
        <v>0</v>
      </c>
      <c r="AE272" s="367" t="str">
        <f>IF(AD$11=0,"",AD272/AD$11)</f>
        <v/>
      </c>
      <c r="AF272" s="368" t="str">
        <f>IF(Y272=0,"",AD272/Y272-1)</f>
        <v/>
      </c>
      <c r="AG272" s="323">
        <f>SUMIFS('Livro Diario - FC'!$J$11:$J1028,'Livro Diario - FC'!$E$11:$E1028,$C$272,'Livro Diario - FC'!$D$11:$D1028,"&gt;=01/07"&amp;$C$7,'Livro Diario - FC'!$D$11:$D1028,"&lt;=31/07"&amp;$C$7)+SUM(AG273:AG280)</f>
        <v>0</v>
      </c>
      <c r="AH272" s="366">
        <f>SUMIFS('Livro Diario - FC'!$L$11:$L1028,'Livro Diario - FC'!$E$11:$E1028,$C$272,'Livro Diario - FC'!$D$11:$D1028,"&gt;=01/07"&amp;$C$7,'Livro Diario - FC'!$D$11:$D1028,"&lt;=31/07"&amp;$C$7)+SUM(AH273:AH280)</f>
        <v>0</v>
      </c>
      <c r="AI272" s="367" t="str">
        <f>IF(AH$11=0,"",AH272/AH$11)</f>
        <v/>
      </c>
      <c r="AJ272" s="368" t="str">
        <f>IF(AD272=0,"",AH272/AD272-1)</f>
        <v/>
      </c>
      <c r="AK272" s="323">
        <f>SUMIFS('Livro Diario - FC'!$J$11:$J1028,'Livro Diario - FC'!$E$11:$E1028,$C$272,'Livro Diario - FC'!$D$11:$D1028,"&gt;=01/08"&amp;$C$7,'Livro Diario - FC'!$D$11:$D1028,"&lt;=31/08"&amp;$C$7)+SUM(AK273:AK280)</f>
        <v>0</v>
      </c>
      <c r="AL272" s="366">
        <f>SUMIFS('Livro Diario - FC'!$L$11:$L1028,'Livro Diario - FC'!$E$11:$E1028,$C$272,'Livro Diario - FC'!$D$11:$D1028,"&gt;=01/08"&amp;$C$7,'Livro Diario - FC'!$D$11:$D1028,"&lt;=31/08"&amp;$C$7)+SUM(AL273:AL280)</f>
        <v>0</v>
      </c>
      <c r="AM272" s="367" t="str">
        <f>IF(AL$11=0,"",AL272/AL$11)</f>
        <v/>
      </c>
      <c r="AN272" s="368" t="str">
        <f>IF(AH272=0,"",AL272/AH272-1)</f>
        <v/>
      </c>
      <c r="AO272" s="323">
        <f>SUMIFS('Livro Diario - FC'!$J$11:$J1028,'Livro Diario - FC'!$E$11:$E1028,$C$272,'Livro Diario - FC'!$D$11:$D1028,"&gt;=01/09"&amp;$C$7,'Livro Diario - FC'!$D$11:$D1028,"&lt;=30/09"&amp;$C$7)+SUM(AO273:AO280)</f>
        <v>0</v>
      </c>
      <c r="AP272" s="366">
        <f>SUMIFS('Livro Diario - FC'!$L$11:$L1028,'Livro Diario - FC'!$E$11:$E1028,$C$272,'Livro Diario - FC'!$D$11:$D1028,"&gt;=01/09"&amp;$C$7,'Livro Diario - FC'!$D$11:$D1028,"&lt;=30/09"&amp;$C$7)+SUM(AP273:AP280)</f>
        <v>0</v>
      </c>
      <c r="AQ272" s="367" t="str">
        <f>IF(AP$11=0,"",AP272/AP$11)</f>
        <v/>
      </c>
      <c r="AR272" s="368" t="str">
        <f>IF(AL272=0,"",AP272/AL272-1)</f>
        <v/>
      </c>
      <c r="AS272" s="323">
        <f>SUMIFS('Livro Diario - FC'!$J$11:$J1028,'Livro Diario - FC'!$E$11:$E1028,$C$272,'Livro Diario - FC'!$D$11:$D1028,"&gt;=01/10"&amp;$C$7,'Livro Diario - FC'!$D$11:$D1028,"&lt;=31/10"&amp;$C$7)+SUM(AS273:AS280)</f>
        <v>0</v>
      </c>
      <c r="AT272" s="366">
        <f>SUMIFS('Livro Diario - FC'!$L$11:$L1028,'Livro Diario - FC'!$E$11:$E1028,$C$272,'Livro Diario - FC'!$D$11:$D1028,"&gt;=01/10"&amp;$C$7,'Livro Diario - FC'!$D$11:$D1028,"&lt;=31/10"&amp;$C$7)+SUM(AT273:AT280)</f>
        <v>0</v>
      </c>
      <c r="AU272" s="367" t="str">
        <f>IF(AT$11=0,"",AT272/AT$11)</f>
        <v/>
      </c>
      <c r="AV272" s="368" t="str">
        <f>IF(AP272=0,"",AT272/AP272-1)</f>
        <v/>
      </c>
      <c r="AW272" s="323">
        <f>SUMIFS('Livro Diario - FC'!$J$11:$J1028,'Livro Diario - FC'!$E$11:$E1028,$C$272,'Livro Diario - FC'!$D$11:$D1028,"&gt;=01/11"&amp;$C$7,'Livro Diario - FC'!$D$11:$D1028,"&lt;=30/11"&amp;$C$7)+SUM(AW273:AW280)</f>
        <v>0</v>
      </c>
      <c r="AX272" s="366">
        <f>SUMIFS('Livro Diario - FC'!$L$11:$L1028,'Livro Diario - FC'!$E$11:$E1028,$C$272,'Livro Diario - FC'!$D$11:$D1028,"&gt;=01/11"&amp;$C$7,'Livro Diario - FC'!$D$11:$D1028,"&lt;=30/11"&amp;$C$7)+SUM(AX273:AX280)</f>
        <v>0</v>
      </c>
      <c r="AY272" s="367" t="str">
        <f>IF(AX$11=0,"",AX272/AX$11)</f>
        <v/>
      </c>
      <c r="AZ272" s="368" t="str">
        <f>IF(AT272=0,"",AX272/AT272-1)</f>
        <v/>
      </c>
      <c r="BA272" s="323">
        <f>SUMIFS('Livro Diario - FC'!$J$11:$J1028,'Livro Diario - FC'!$E$11:$E1028,$C$272,'Livro Diario - FC'!$D$11:$D1028,"&gt;=01/12"&amp;$C$7,'Livro Diario - FC'!$D$11:$D1028,"&lt;=31/12"&amp;$C$7)+SUM(BA273:BA280)</f>
        <v>0</v>
      </c>
      <c r="BB272" s="366">
        <f>SUMIFS('Livro Diario - FC'!$L$11:$L1028,'Livro Diario - FC'!$E$11:$E1028,$C$272,'Livro Diario - FC'!$D$11:$D1028,"&gt;=01/12"&amp;$C$7,'Livro Diario - FC'!$D$11:$D1028,"&lt;=31/12"&amp;$C$7)+SUM(BB273:BB280)</f>
        <v>0</v>
      </c>
      <c r="BC272" s="367" t="str">
        <f>IF(BB$11=0,"",BB272/BB$11)</f>
        <v/>
      </c>
      <c r="BD272" s="328" t="str">
        <f>IF(AX272=0,"",BB272/AX272-1)</f>
        <v/>
      </c>
      <c r="BE272" s="331">
        <f t="shared" ref="BE272:BF272" si="418">SUM(D272,I272,N272,S272,X272,AC272,AG272,AK272,AO272,AS272,AW272,BA272)</f>
        <v>0</v>
      </c>
      <c r="BF272" s="369">
        <f t="shared" si="418"/>
        <v>0</v>
      </c>
      <c r="BG272" s="370">
        <f>IF(BF$11=0,"",BF272/BF$11)</f>
        <v>0</v>
      </c>
      <c r="BH272" s="336"/>
      <c r="BI272" s="371">
        <f>SUMIFS('Livro Diario - FC'!$M$11:$M1028,'Livro Diario - FC'!$E$11:$E1028,C272,'Livro Diario - FC'!$D$11:$D1028,"&gt;="&amp;$BK$8,'Livro Diario - FC'!$D$11:$D1028,"&lt;="&amp;$BK$9)+SUM(BI273:BI280)</f>
        <v>0</v>
      </c>
      <c r="BJ272" s="335" t="str">
        <f>IF(BI$11=0,"",BI272/BI$11)</f>
        <v/>
      </c>
      <c r="BK272" s="336"/>
      <c r="BL272" s="372"/>
    </row>
    <row r="273">
      <c r="A273" s="1"/>
      <c r="B273" s="40"/>
      <c r="C273" s="338" t="str">
        <f>'Livro Diario - FC'!AE281</f>
        <v>5.3.1 Salário de Funcionários</v>
      </c>
      <c r="D273" s="255">
        <f>SUMIFS('Livro Diario - FC'!$K$11:$K1028,'Livro Diario - FC'!$E$11:$E1028,$C$273,'Livro Diario - FC'!$D$11:$D1028,"&gt;=01/01"&amp;$C$7,'Livro Diario - FC'!$D$11:$D1028,"&lt;=31/01"&amp;$C$7)</f>
        <v>0</v>
      </c>
      <c r="E273" s="373">
        <f>SUMIFS('Livro Diario - FC'!$M$11:$M1028,'Livro Diario - FC'!$E$11:$E1028,$C$273,'Livro Diario - FC'!$D$11:$D1028,"&gt;=01/01"&amp;$C$7,'Livro Diario - FC'!$D$11:$D1028,"&lt;=31/01"&amp;$C$7)</f>
        <v>0</v>
      </c>
      <c r="F273" s="375"/>
      <c r="G273" s="376"/>
      <c r="H273" s="157"/>
      <c r="I273" s="255">
        <f>SUMIFS('Livro Diario - FC'!$K$11:$K1028,'Livro Diario - FC'!$E$11:$E1028,$C$273,'Livro Diario - FC'!$D$11:$D1028,"&gt;=01/02"&amp;$C$7,'Livro Diario - FC'!$D$11:$D1028,"&lt;=29/02"&amp;$C$7)</f>
        <v>0</v>
      </c>
      <c r="J273" s="373">
        <f>SUMIFS('Livro Diario - FC'!$M$11:$M1028,'Livro Diario - FC'!$E$11:$E1028,$C$273,'Livro Diario - FC'!$D$11:$D1028,"&gt;=01/02"&amp;$C$7,'Livro Diario - FC'!$D$11:$D1028,"&lt;=29/02"&amp;$C$7)</f>
        <v>0</v>
      </c>
      <c r="K273" s="375"/>
      <c r="L273" s="376"/>
      <c r="M273" s="259"/>
      <c r="N273" s="255">
        <f>SUMIFS('Livro Diario - FC'!$K$11:$K1028,'Livro Diario - FC'!$E$11:$E1028,$C$273,'Livro Diario - FC'!$D$11:$D1028,"&gt;=01/03"&amp;$C$7,'Livro Diario - FC'!$D$11:$D1028,"&lt;=31/03"&amp;$C$7)</f>
        <v>0</v>
      </c>
      <c r="O273" s="373">
        <f>SUMIFS('Livro Diario - FC'!$M$11:$M1028,'Livro Diario - FC'!$E$11:$E1028,$C$273,'Livro Diario - FC'!$D$11:$D1028,"&gt;=01/03"&amp;$C$7,'Livro Diario - FC'!$D$11:$D1028,"&lt;=31/03"&amp;$C$7)</f>
        <v>0</v>
      </c>
      <c r="P273" s="375"/>
      <c r="Q273" s="376"/>
      <c r="R273" s="259"/>
      <c r="S273" s="255">
        <f>SUMIFS('Livro Diario - FC'!$K$11:$K1028,'Livro Diario - FC'!$E$11:$E1028,$C$273,'Livro Diario - FC'!$D$11:$D1028,"&gt;=01/04"&amp;$C$7,'Livro Diario - FC'!$D$11:$D1028,"&lt;=30/04"&amp;$C$7)</f>
        <v>0</v>
      </c>
      <c r="T273" s="373">
        <f>SUMIFS('Livro Diario - FC'!$M$11:$M1028,'Livro Diario - FC'!$E$11:$E1028,$C$273,'Livro Diario - FC'!$D$11:$D1028,"&gt;=01/04"&amp;$C$7,'Livro Diario - FC'!$D$11:$D1028,"&lt;=30/04"&amp;$C$7)</f>
        <v>0</v>
      </c>
      <c r="U273" s="375"/>
      <c r="V273" s="376"/>
      <c r="W273" s="259"/>
      <c r="X273" s="255">
        <f>SUMIFS('Livro Diario - FC'!$K$11:$K1028,'Livro Diario - FC'!$E$11:$E1028,$C$273,'Livro Diario - FC'!$D$11:$D1028,"&gt;=01/05"&amp;$C$7,'Livro Diario - FC'!$D$11:$D1028,"&lt;=31/05"&amp;$C$7)</f>
        <v>0</v>
      </c>
      <c r="Y273" s="373">
        <f>SUMIFS('Livro Diario - FC'!$M$11:$M1028,'Livro Diario - FC'!$E$11:$E1028,$C$273,'Livro Diario - FC'!$D$11:$D1028,"&gt;=01/05"&amp;$C$7,'Livro Diario - FC'!$D$11:$D1028,"&lt;=31/05"&amp;$C$7)</f>
        <v>0</v>
      </c>
      <c r="Z273" s="375"/>
      <c r="AA273" s="376"/>
      <c r="AB273" s="259"/>
      <c r="AC273" s="255">
        <f>SUMIFS('Livro Diario - FC'!$K$11:$K1028,'Livro Diario - FC'!$E$11:$E1028,$C$273,'Livro Diario - FC'!$D$11:$D1028,"&gt;=01/06"&amp;$C$7,'Livro Diario - FC'!$D$11:$D1028,"&lt;=30/06"&amp;$C$7)</f>
        <v>0</v>
      </c>
      <c r="AD273" s="373">
        <f>SUMIFS('Livro Diario - FC'!$M$11:$M1028,'Livro Diario - FC'!$E$11:$E1028,$C$273,'Livro Diario - FC'!$D$11:$D1028,"&gt;=01/06"&amp;$C$7,'Livro Diario - FC'!$D$11:$D1028,"&lt;=30/06"&amp;$C$7)</f>
        <v>0</v>
      </c>
      <c r="AE273" s="375"/>
      <c r="AF273" s="376"/>
      <c r="AG273" s="255">
        <f>SUMIFS('Livro Diario - FC'!$K$11:$K1028,'Livro Diario - FC'!$E$11:$E1028,$C$273,'Livro Diario - FC'!$D$11:$D1028,"&gt;=01/07"&amp;$C$7,'Livro Diario - FC'!$D$11:$D1028,"&lt;=31/07"&amp;$C$7)</f>
        <v>0</v>
      </c>
      <c r="AH273" s="373">
        <f>SUMIFS('Livro Diario - FC'!$M$11:$M1028,'Livro Diario - FC'!$E$11:$E1028,$C$273,'Livro Diario - FC'!$D$11:$D1028,"&gt;=01/07"&amp;$C$7,'Livro Diario - FC'!$D$11:$D1028,"&lt;=31/07"&amp;$C$7)</f>
        <v>0</v>
      </c>
      <c r="AI273" s="375"/>
      <c r="AJ273" s="376"/>
      <c r="AK273" s="255">
        <f>SUMIFS('Livro Diario - FC'!$K$11:$K1028,'Livro Diario - FC'!$E$11:$E1028,$C$273,'Livro Diario - FC'!$D$11:$D1028,"&gt;=01/08"&amp;$C$7,'Livro Diario - FC'!$D$11:$D1028,"&lt;=31/08"&amp;$C$7)</f>
        <v>0</v>
      </c>
      <c r="AL273" s="373">
        <f>SUMIFS('Livro Diario - FC'!$M$11:$M1028,'Livro Diario - FC'!$E$11:$E1028,$C$273,'Livro Diario - FC'!$D$11:$D1028,"&gt;=01/08"&amp;$C$7,'Livro Diario - FC'!$D$11:$D1028,"&lt;=31/08"&amp;$C$7)</f>
        <v>0</v>
      </c>
      <c r="AM273" s="375"/>
      <c r="AN273" s="376"/>
      <c r="AO273" s="255">
        <f>SUMIFS('Livro Diario - FC'!$K$11:$K1028,'Livro Diario - FC'!$E$11:$E1028,$C$273,'Livro Diario - FC'!$D$11:$D1028,"&gt;=01/09"&amp;$C$7,'Livro Diario - FC'!$D$11:$D1028,"&lt;=30/09"&amp;$C$7)</f>
        <v>0</v>
      </c>
      <c r="AP273" s="373">
        <f>SUMIFS('Livro Diario - FC'!$M$11:$M1028,'Livro Diario - FC'!$E$11:$E1028,$C$273,'Livro Diario - FC'!$D$11:$D1028,"&gt;=01/09"&amp;$C$7,'Livro Diario - FC'!$D$11:$D1028,"&lt;=30/09"&amp;$C$7)</f>
        <v>0</v>
      </c>
      <c r="AQ273" s="375"/>
      <c r="AR273" s="376"/>
      <c r="AS273" s="255">
        <f>SUMIFS('Livro Diario - FC'!$K$11:$K1028,'Livro Diario - FC'!$E$11:$E1028,$C$273,'Livro Diario - FC'!$D$11:$D1028,"&gt;=01/10"&amp;$C$7,'Livro Diario - FC'!$D$11:$D1028,"&lt;=31/10"&amp;$C$7)</f>
        <v>0</v>
      </c>
      <c r="AT273" s="373">
        <f>SUMIFS('Livro Diario - FC'!$M$11:$M1028,'Livro Diario - FC'!$E$11:$E1028,$C$273,'Livro Diario - FC'!$D$11:$D1028,"&gt;=01/10"&amp;$C$7,'Livro Diario - FC'!$D$11:$D1028,"&lt;=31/10"&amp;$C$7)</f>
        <v>0</v>
      </c>
      <c r="AU273" s="375"/>
      <c r="AV273" s="376"/>
      <c r="AW273" s="255">
        <f>SUMIFS('Livro Diario - FC'!$K$11:$K1028,'Livro Diario - FC'!$E$11:$E1028,$C$273,'Livro Diario - FC'!$D$11:$D1028,"&gt;=01/11"&amp;$C$7,'Livro Diario - FC'!$D$11:$D1028,"&lt;=30/11"&amp;$C$7)</f>
        <v>0</v>
      </c>
      <c r="AX273" s="373">
        <f>SUMIFS('Livro Diario - FC'!$M$11:$M1028,'Livro Diario - FC'!$E$11:$E1028,$C$273,'Livro Diario - FC'!$D$11:$D1028,"&gt;=01/11"&amp;$C$7,'Livro Diario - FC'!$D$11:$D1028,"&lt;=30/11"&amp;$C$7)</f>
        <v>0</v>
      </c>
      <c r="AY273" s="375"/>
      <c r="AZ273" s="376"/>
      <c r="BA273" s="255">
        <f>SUMIFS('Livro Diario - FC'!$K$11:$K1028,'Livro Diario - FC'!$E$11:$E1028,$C$273,'Livro Diario - FC'!$D$11:$D1028,"&gt;=01/12"&amp;$C$7,'Livro Diario - FC'!$D$11:$D1028,"&lt;=31/12"&amp;$C$7)</f>
        <v>0</v>
      </c>
      <c r="BB273" s="373">
        <f>SUMIFS('Livro Diario - FC'!$M$11:$M1028,'Livro Diario - FC'!$E$11:$E1028,$C$273,'Livro Diario - FC'!$D$11:$D1028,"&gt;=01/12"&amp;$C$7,'Livro Diario - FC'!$D$11:$D1028,"&lt;=31/12"&amp;$C$7)</f>
        <v>0</v>
      </c>
      <c r="BC273" s="375"/>
      <c r="BD273" s="259"/>
      <c r="BE273" s="261">
        <f t="shared" ref="BE273:BF273" si="419">SUM(D273,I273,N273,S273,X273,AC273,AG273,AK273,AO273,AS273,AW273,BA273)</f>
        <v>0</v>
      </c>
      <c r="BF273" s="377">
        <f t="shared" si="419"/>
        <v>0</v>
      </c>
      <c r="BG273" s="378"/>
      <c r="BH273" s="304"/>
      <c r="BI273" s="270">
        <f>SUMIFS('Livro Diario - FC'!$M$11:$M1028,'Livro Diario - FC'!$E$11:$E1028,C273,'Livro Diario - FC'!$D$11:$D1028,"&gt;="&amp;$BK$8,'Livro Diario - FC'!$D$11:$D1028,"&lt;="&amp;$BK$9)</f>
        <v>0</v>
      </c>
      <c r="BJ273" s="271"/>
      <c r="BK273" s="304"/>
      <c r="BL273" s="379"/>
    </row>
    <row r="274">
      <c r="A274" s="1"/>
      <c r="B274" s="1"/>
      <c r="C274" s="338" t="str">
        <f>'Livro Diario - FC'!AE282</f>
        <v>5.3.2 Bolsa de Estágio</v>
      </c>
      <c r="D274" s="255">
        <f>SUMIFS('Livro Diario - FC'!$K$11:$K1028,'Livro Diario - FC'!$E$11:$E1028,$C$274,'Livro Diario - FC'!$D$11:$D1028,"&gt;=01/01"&amp;$C$7,'Livro Diario - FC'!$D$11:$D1028,"&lt;=31/01"&amp;$C$7)</f>
        <v>0</v>
      </c>
      <c r="E274" s="373">
        <f>SUMIFS('Livro Diario - FC'!$M$11:$M1028,'Livro Diario - FC'!$E$11:$E1028,$C$274,'Livro Diario - FC'!$D$11:$D1028,"&gt;=01/01"&amp;$C$7,'Livro Diario - FC'!$D$11:$D1028,"&lt;=31/01"&amp;$C$7)</f>
        <v>0</v>
      </c>
      <c r="F274" s="273"/>
      <c r="G274" s="258"/>
      <c r="H274" s="157"/>
      <c r="I274" s="255">
        <f>SUMIFS('Livro Diario - FC'!$K$11:$K1028,'Livro Diario - FC'!$E$11:$E1028,$C$274,'Livro Diario - FC'!$D$11:$D1028,"&gt;=01/02"&amp;$C$7,'Livro Diario - FC'!$D$11:$D1028,"&lt;=29/02"&amp;$C$7)</f>
        <v>0</v>
      </c>
      <c r="J274" s="373">
        <f>SUMIFS('Livro Diario - FC'!$M$11:$M1028,'Livro Diario - FC'!$E$11:$E1028,$C$274,'Livro Diario - FC'!$D$11:$D1028,"&gt;=01/02"&amp;$C$7,'Livro Diario - FC'!$D$11:$D1028,"&lt;=29/02"&amp;$C$7)</f>
        <v>0</v>
      </c>
      <c r="K274" s="273"/>
      <c r="L274" s="258"/>
      <c r="M274" s="259"/>
      <c r="N274" s="255">
        <f>SUMIFS('Livro Diario - FC'!$K$11:$K1028,'Livro Diario - FC'!$E$11:$E1028,$C$274,'Livro Diario - FC'!$D$11:$D1028,"&gt;=01/03"&amp;$C$7,'Livro Diario - FC'!$D$11:$D1028,"&lt;=31/03"&amp;$C$7)</f>
        <v>0</v>
      </c>
      <c r="O274" s="373">
        <f>SUMIFS('Livro Diario - FC'!$M$11:$M1028,'Livro Diario - FC'!$E$11:$E1028,$C$274,'Livro Diario - FC'!$D$11:$D1028,"&gt;=01/03"&amp;$C$7,'Livro Diario - FC'!$D$11:$D1028,"&lt;=31/03"&amp;$C$7)</f>
        <v>0</v>
      </c>
      <c r="P274" s="273"/>
      <c r="Q274" s="258"/>
      <c r="R274" s="259"/>
      <c r="S274" s="255">
        <f>SUMIFS('Livro Diario - FC'!$K$11:$K1028,'Livro Diario - FC'!$E$11:$E1028,$C$274,'Livro Diario - FC'!$D$11:$D1028,"&gt;=01/04"&amp;$C$7,'Livro Diario - FC'!$D$11:$D1028,"&lt;=30/04"&amp;$C$7)</f>
        <v>0</v>
      </c>
      <c r="T274" s="373">
        <f>SUMIFS('Livro Diario - FC'!$M$11:$M1028,'Livro Diario - FC'!$E$11:$E1028,$C$274,'Livro Diario - FC'!$D$11:$D1028,"&gt;=01/04"&amp;$C$7,'Livro Diario - FC'!$D$11:$D1028,"&lt;=30/04"&amp;$C$7)</f>
        <v>0</v>
      </c>
      <c r="U274" s="273"/>
      <c r="V274" s="258"/>
      <c r="W274" s="259"/>
      <c r="X274" s="255">
        <f>SUMIFS('Livro Diario - FC'!$K$11:$K1028,'Livro Diario - FC'!$E$11:$E1028,$C$274,'Livro Diario - FC'!$D$11:$D1028,"&gt;=01/05"&amp;$C$7,'Livro Diario - FC'!$D$11:$D1028,"&lt;=31/05"&amp;$C$7)</f>
        <v>0</v>
      </c>
      <c r="Y274" s="373">
        <f>SUMIFS('Livro Diario - FC'!$M$11:$M1028,'Livro Diario - FC'!$E$11:$E1028,$C$274,'Livro Diario - FC'!$D$11:$D1028,"&gt;=01/05"&amp;$C$7,'Livro Diario - FC'!$D$11:$D1028,"&lt;=31/05"&amp;$C$7)</f>
        <v>0</v>
      </c>
      <c r="Z274" s="273"/>
      <c r="AA274" s="258"/>
      <c r="AB274" s="259"/>
      <c r="AC274" s="255">
        <f>SUMIFS('Livro Diario - FC'!$K$11:$K1028,'Livro Diario - FC'!$E$11:$E1028,$C$274,'Livro Diario - FC'!$D$11:$D1028,"&gt;=01/06"&amp;$C$7,'Livro Diario - FC'!$D$11:$D1028,"&lt;=30/06"&amp;$C$7)</f>
        <v>0</v>
      </c>
      <c r="AD274" s="373">
        <f>SUMIFS('Livro Diario - FC'!$M$11:$M1028,'Livro Diario - FC'!$E$11:$E1028,$C$274,'Livro Diario - FC'!$D$11:$D1028,"&gt;=01/06"&amp;$C$7,'Livro Diario - FC'!$D$11:$D1028,"&lt;=30/06"&amp;$C$7)</f>
        <v>0</v>
      </c>
      <c r="AE274" s="273"/>
      <c r="AF274" s="258"/>
      <c r="AG274" s="255">
        <f>SUMIFS('Livro Diario - FC'!$K$11:$K1028,'Livro Diario - FC'!$E$11:$E1028,$C$274,'Livro Diario - FC'!$D$11:$D1028,"&gt;=01/07"&amp;$C$7,'Livro Diario - FC'!$D$11:$D1028,"&lt;=31/07"&amp;$C$7)</f>
        <v>0</v>
      </c>
      <c r="AH274" s="373">
        <f>SUMIFS('Livro Diario - FC'!$M$11:$M1028,'Livro Diario - FC'!$E$11:$E1028,$C$274,'Livro Diario - FC'!$D$11:$D1028,"&gt;=01/07"&amp;$C$7,'Livro Diario - FC'!$D$11:$D1028,"&lt;=31/07"&amp;$C$7)</f>
        <v>0</v>
      </c>
      <c r="AI274" s="273"/>
      <c r="AJ274" s="258"/>
      <c r="AK274" s="255">
        <f>SUMIFS('Livro Diario - FC'!$K$11:$K1028,'Livro Diario - FC'!$E$11:$E1028,$C$274,'Livro Diario - FC'!$D$11:$D1028,"&gt;=01/08"&amp;$C$7,'Livro Diario - FC'!$D$11:$D1028,"&lt;=31/08"&amp;$C$7)</f>
        <v>0</v>
      </c>
      <c r="AL274" s="373">
        <f>SUMIFS('Livro Diario - FC'!$M$11:$M1028,'Livro Diario - FC'!$E$11:$E1028,$C$274,'Livro Diario - FC'!$D$11:$D1028,"&gt;=01/08"&amp;$C$7,'Livro Diario - FC'!$D$11:$D1028,"&lt;=31/08"&amp;$C$7)</f>
        <v>0</v>
      </c>
      <c r="AM274" s="273"/>
      <c r="AN274" s="258"/>
      <c r="AO274" s="255">
        <f>SUMIFS('Livro Diario - FC'!$K$11:$K1028,'Livro Diario - FC'!$E$11:$E1028,$C$274,'Livro Diario - FC'!$D$11:$D1028,"&gt;=01/09"&amp;$C$7,'Livro Diario - FC'!$D$11:$D1028,"&lt;=30/09"&amp;$C$7)</f>
        <v>0</v>
      </c>
      <c r="AP274" s="373">
        <f>SUMIFS('Livro Diario - FC'!$M$11:$M1028,'Livro Diario - FC'!$E$11:$E1028,$C$274,'Livro Diario - FC'!$D$11:$D1028,"&gt;=01/09"&amp;$C$7,'Livro Diario - FC'!$D$11:$D1028,"&lt;=30/09"&amp;$C$7)</f>
        <v>0</v>
      </c>
      <c r="AQ274" s="273"/>
      <c r="AR274" s="258"/>
      <c r="AS274" s="255">
        <f>SUMIFS('Livro Diario - FC'!$K$11:$K1028,'Livro Diario - FC'!$E$11:$E1028,$C$274,'Livro Diario - FC'!$D$11:$D1028,"&gt;=01/10"&amp;$C$7,'Livro Diario - FC'!$D$11:$D1028,"&lt;=31/10"&amp;$C$7)</f>
        <v>0</v>
      </c>
      <c r="AT274" s="373">
        <f>SUMIFS('Livro Diario - FC'!$M$11:$M1028,'Livro Diario - FC'!$E$11:$E1028,$C$274,'Livro Diario - FC'!$D$11:$D1028,"&gt;=01/10"&amp;$C$7,'Livro Diario - FC'!$D$11:$D1028,"&lt;=31/10"&amp;$C$7)</f>
        <v>0</v>
      </c>
      <c r="AU274" s="273"/>
      <c r="AV274" s="258"/>
      <c r="AW274" s="255">
        <f>SUMIFS('Livro Diario - FC'!$K$11:$K1028,'Livro Diario - FC'!$E$11:$E1028,$C$274,'Livro Diario - FC'!$D$11:$D1028,"&gt;=01/11"&amp;$C$7,'Livro Diario - FC'!$D$11:$D1028,"&lt;=30/11"&amp;$C$7)</f>
        <v>0</v>
      </c>
      <c r="AX274" s="373">
        <f>SUMIFS('Livro Diario - FC'!$M$11:$M1028,'Livro Diario - FC'!$E$11:$E1028,$C$274,'Livro Diario - FC'!$D$11:$D1028,"&gt;=01/11"&amp;$C$7,'Livro Diario - FC'!$D$11:$D1028,"&lt;=30/11"&amp;$C$7)</f>
        <v>0</v>
      </c>
      <c r="AY274" s="273"/>
      <c r="AZ274" s="258"/>
      <c r="BA274" s="255">
        <f>SUMIFS('Livro Diario - FC'!$K$11:$K1028,'Livro Diario - FC'!$E$11:$E1028,$C$274,'Livro Diario - FC'!$D$11:$D1028,"&gt;=01/12"&amp;$C$7,'Livro Diario - FC'!$D$11:$D1028,"&lt;=31/12"&amp;$C$7)</f>
        <v>0</v>
      </c>
      <c r="BB274" s="373">
        <f>SUMIFS('Livro Diario - FC'!$M$11:$M1028,'Livro Diario - FC'!$E$11:$E1028,$C$274,'Livro Diario - FC'!$D$11:$D1028,"&gt;=01/12"&amp;$C$7,'Livro Diario - FC'!$D$11:$D1028,"&lt;=31/12"&amp;$C$7)</f>
        <v>0</v>
      </c>
      <c r="BC274" s="273"/>
      <c r="BD274" s="273"/>
      <c r="BE274" s="267">
        <f t="shared" ref="BE274:BF274" si="420">SUM(D274,I274,N274,S274,X274,AC274,AG274,AK274,AO274,AS274,AW274,BA274)</f>
        <v>0</v>
      </c>
      <c r="BF274" s="268">
        <f t="shared" si="420"/>
        <v>0</v>
      </c>
      <c r="BG274" s="269"/>
      <c r="BH274" s="192"/>
      <c r="BI274" s="270">
        <f>SUMIFS('Livro Diario - FC'!$M$11:$M1028,'Livro Diario - FC'!$E$11:$E1028,C274,'Livro Diario - FC'!$D$11:$D1028,"&gt;="&amp;$BK$8,'Livro Diario - FC'!$D$11:$D1028,"&lt;="&amp;$BK$9)</f>
        <v>0</v>
      </c>
      <c r="BJ274" s="271"/>
      <c r="BK274" s="272"/>
      <c r="BL274" s="1"/>
    </row>
    <row r="275">
      <c r="A275" s="1"/>
      <c r="B275" s="1"/>
      <c r="C275" s="338" t="str">
        <f>'Livro Diario - FC'!AE283</f>
        <v>5.3.3 Vale Transporte (Passagem)</v>
      </c>
      <c r="D275" s="255">
        <f>SUMIFS('Livro Diario - FC'!$K$11:$K1028,'Livro Diario - FC'!$E$11:$E1028,$C$275,'Livro Diario - FC'!$D$11:$D1028,"&gt;=01/01"&amp;$C$7,'Livro Diario - FC'!$D$11:$D1028,"&lt;=31/01"&amp;$C$7)</f>
        <v>0</v>
      </c>
      <c r="E275" s="373">
        <f>SUMIFS('Livro Diario - FC'!$M$11:$M1028,'Livro Diario - FC'!$E$11:$E1028,$C$275,'Livro Diario - FC'!$D$11:$D1028,"&gt;=01/01"&amp;$C$7,'Livro Diario - FC'!$D$11:$D1028,"&lt;=31/01"&amp;$C$7)</f>
        <v>0</v>
      </c>
      <c r="F275" s="273"/>
      <c r="G275" s="258"/>
      <c r="H275" s="157"/>
      <c r="I275" s="255">
        <f>SUMIFS('Livro Diario - FC'!$K$11:$K1028,'Livro Diario - FC'!$E$11:$E1028,$C$275,'Livro Diario - FC'!$D$11:$D1028,"&gt;=01/02"&amp;$C$7,'Livro Diario - FC'!$D$11:$D1028,"&lt;=29/02"&amp;$C$7)</f>
        <v>0</v>
      </c>
      <c r="J275" s="373">
        <f>SUMIFS('Livro Diario - FC'!$M$11:$M1028,'Livro Diario - FC'!$E$11:$E1028,$C$275,'Livro Diario - FC'!$D$11:$D1028,"&gt;=01/02"&amp;$C$7,'Livro Diario - FC'!$D$11:$D1028,"&lt;=29/02"&amp;$C$7)</f>
        <v>0</v>
      </c>
      <c r="K275" s="273"/>
      <c r="L275" s="258"/>
      <c r="M275" s="259"/>
      <c r="N275" s="255">
        <f>SUMIFS('Livro Diario - FC'!$K$11:$K1028,'Livro Diario - FC'!$E$11:$E1028,$C$275,'Livro Diario - FC'!$D$11:$D1028,"&gt;=01/03"&amp;$C$7,'Livro Diario - FC'!$D$11:$D1028,"&lt;=31/03"&amp;$C$7)</f>
        <v>0</v>
      </c>
      <c r="O275" s="373">
        <f>SUMIFS('Livro Diario - FC'!$M$11:$M1028,'Livro Diario - FC'!$E$11:$E1028,$C$275,'Livro Diario - FC'!$D$11:$D1028,"&gt;=01/03"&amp;$C$7,'Livro Diario - FC'!$D$11:$D1028,"&lt;=31/03"&amp;$C$7)</f>
        <v>0</v>
      </c>
      <c r="P275" s="273"/>
      <c r="Q275" s="258"/>
      <c r="R275" s="259"/>
      <c r="S275" s="255">
        <f>SUMIFS('Livro Diario - FC'!$K$11:$K1028,'Livro Diario - FC'!$E$11:$E1028,$C$275,'Livro Diario - FC'!$D$11:$D1028,"&gt;=01/04"&amp;$C$7,'Livro Diario - FC'!$D$11:$D1028,"&lt;=30/04"&amp;$C$7)</f>
        <v>0</v>
      </c>
      <c r="T275" s="373">
        <f>SUMIFS('Livro Diario - FC'!$M$11:$M1028,'Livro Diario - FC'!$E$11:$E1028,$C$275,'Livro Diario - FC'!$D$11:$D1028,"&gt;=01/04"&amp;$C$7,'Livro Diario - FC'!$D$11:$D1028,"&lt;=30/04"&amp;$C$7)</f>
        <v>0</v>
      </c>
      <c r="U275" s="273"/>
      <c r="V275" s="258"/>
      <c r="W275" s="259"/>
      <c r="X275" s="255">
        <f>SUMIFS('Livro Diario - FC'!$K$11:$K1028,'Livro Diario - FC'!$E$11:$E1028,$C$275,'Livro Diario - FC'!$D$11:$D1028,"&gt;=01/05"&amp;$C$7,'Livro Diario - FC'!$D$11:$D1028,"&lt;=31/05"&amp;$C$7)</f>
        <v>0</v>
      </c>
      <c r="Y275" s="373">
        <f>SUMIFS('Livro Diario - FC'!$M$11:$M1028,'Livro Diario - FC'!$E$11:$E1028,$C$275,'Livro Diario - FC'!$D$11:$D1028,"&gt;=01/05"&amp;$C$7,'Livro Diario - FC'!$D$11:$D1028,"&lt;=31/05"&amp;$C$7)</f>
        <v>0</v>
      </c>
      <c r="Z275" s="273"/>
      <c r="AA275" s="258"/>
      <c r="AB275" s="259"/>
      <c r="AC275" s="255">
        <f>SUMIFS('Livro Diario - FC'!$K$11:$K1028,'Livro Diario - FC'!$E$11:$E1028,$C$275,'Livro Diario - FC'!$D$11:$D1028,"&gt;=01/06"&amp;$C$7,'Livro Diario - FC'!$D$11:$D1028,"&lt;=30/06"&amp;$C$7)</f>
        <v>0</v>
      </c>
      <c r="AD275" s="373">
        <f>SUMIFS('Livro Diario - FC'!$M$11:$M1028,'Livro Diario - FC'!$E$11:$E1028,$C$275,'Livro Diario - FC'!$D$11:$D1028,"&gt;=01/06"&amp;$C$7,'Livro Diario - FC'!$D$11:$D1028,"&lt;=30/06"&amp;$C$7)</f>
        <v>0</v>
      </c>
      <c r="AE275" s="273"/>
      <c r="AF275" s="258"/>
      <c r="AG275" s="255">
        <f>SUMIFS('Livro Diario - FC'!$K$11:$K1028,'Livro Diario - FC'!$E$11:$E1028,$C$275,'Livro Diario - FC'!$D$11:$D1028,"&gt;=01/07"&amp;$C$7,'Livro Diario - FC'!$D$11:$D1028,"&lt;=31/07"&amp;$C$7)</f>
        <v>0</v>
      </c>
      <c r="AH275" s="373">
        <f>SUMIFS('Livro Diario - FC'!$M$11:$M1028,'Livro Diario - FC'!$E$11:$E1028,$C$275,'Livro Diario - FC'!$D$11:$D1028,"&gt;=01/07"&amp;$C$7,'Livro Diario - FC'!$D$11:$D1028,"&lt;=31/07"&amp;$C$7)</f>
        <v>0</v>
      </c>
      <c r="AI275" s="273"/>
      <c r="AJ275" s="258"/>
      <c r="AK275" s="255">
        <f>SUMIFS('Livro Diario - FC'!$K$11:$K1028,'Livro Diario - FC'!$E$11:$E1028,$C$275,'Livro Diario - FC'!$D$11:$D1028,"&gt;=01/08"&amp;$C$7,'Livro Diario - FC'!$D$11:$D1028,"&lt;=31/08"&amp;$C$7)</f>
        <v>0</v>
      </c>
      <c r="AL275" s="373">
        <f>SUMIFS('Livro Diario - FC'!$M$11:$M1028,'Livro Diario - FC'!$E$11:$E1028,$C$275,'Livro Diario - FC'!$D$11:$D1028,"&gt;=01/08"&amp;$C$7,'Livro Diario - FC'!$D$11:$D1028,"&lt;=31/08"&amp;$C$7)</f>
        <v>0</v>
      </c>
      <c r="AM275" s="273"/>
      <c r="AN275" s="258"/>
      <c r="AO275" s="255">
        <f>SUMIFS('Livro Diario - FC'!$K$11:$K1028,'Livro Diario - FC'!$E$11:$E1028,$C$275,'Livro Diario - FC'!$D$11:$D1028,"&gt;=01/09"&amp;$C$7,'Livro Diario - FC'!$D$11:$D1028,"&lt;=30/09"&amp;$C$7)</f>
        <v>0</v>
      </c>
      <c r="AP275" s="373">
        <f>SUMIFS('Livro Diario - FC'!$M$11:$M1028,'Livro Diario - FC'!$E$11:$E1028,$C$275,'Livro Diario - FC'!$D$11:$D1028,"&gt;=01/09"&amp;$C$7,'Livro Diario - FC'!$D$11:$D1028,"&lt;=30/09"&amp;$C$7)</f>
        <v>0</v>
      </c>
      <c r="AQ275" s="273"/>
      <c r="AR275" s="258"/>
      <c r="AS275" s="255">
        <f>SUMIFS('Livro Diario - FC'!$K$11:$K1028,'Livro Diario - FC'!$E$11:$E1028,$C$275,'Livro Diario - FC'!$D$11:$D1028,"&gt;=01/10"&amp;$C$7,'Livro Diario - FC'!$D$11:$D1028,"&lt;=31/10"&amp;$C$7)</f>
        <v>0</v>
      </c>
      <c r="AT275" s="373">
        <f>SUMIFS('Livro Diario - FC'!$M$11:$M1028,'Livro Diario - FC'!$E$11:$E1028,$C$275,'Livro Diario - FC'!$D$11:$D1028,"&gt;=01/10"&amp;$C$7,'Livro Diario - FC'!$D$11:$D1028,"&lt;=31/10"&amp;$C$7)</f>
        <v>0</v>
      </c>
      <c r="AU275" s="273"/>
      <c r="AV275" s="258"/>
      <c r="AW275" s="255">
        <f>SUMIFS('Livro Diario - FC'!$K$11:$K1028,'Livro Diario - FC'!$E$11:$E1028,$C$275,'Livro Diario - FC'!$D$11:$D1028,"&gt;=01/11"&amp;$C$7,'Livro Diario - FC'!$D$11:$D1028,"&lt;=30/11"&amp;$C$7)</f>
        <v>0</v>
      </c>
      <c r="AX275" s="373">
        <f>SUMIFS('Livro Diario - FC'!$M$11:$M1028,'Livro Diario - FC'!$E$11:$E1028,$C$275,'Livro Diario - FC'!$D$11:$D1028,"&gt;=01/11"&amp;$C$7,'Livro Diario - FC'!$D$11:$D1028,"&lt;=30/11"&amp;$C$7)</f>
        <v>0</v>
      </c>
      <c r="AY275" s="273"/>
      <c r="AZ275" s="258"/>
      <c r="BA275" s="255">
        <f>SUMIFS('Livro Diario - FC'!$K$11:$K1028,'Livro Diario - FC'!$E$11:$E1028,$C$275,'Livro Diario - FC'!$D$11:$D1028,"&gt;=01/12"&amp;$C$7,'Livro Diario - FC'!$D$11:$D1028,"&lt;=31/12"&amp;$C$7)</f>
        <v>0</v>
      </c>
      <c r="BB275" s="373">
        <f>SUMIFS('Livro Diario - FC'!$M$11:$M1028,'Livro Diario - FC'!$E$11:$E1028,$C$275,'Livro Diario - FC'!$D$11:$D1028,"&gt;=01/12"&amp;$C$7,'Livro Diario - FC'!$D$11:$D1028,"&lt;=31/12"&amp;$C$7)</f>
        <v>0</v>
      </c>
      <c r="BC275" s="273"/>
      <c r="BD275" s="273"/>
      <c r="BE275" s="267">
        <f t="shared" ref="BE275:BF275" si="421">SUM(D275,I275,N275,S275,X275,AC275,AG275,AK275,AO275,AS275,AW275,BA275)</f>
        <v>0</v>
      </c>
      <c r="BF275" s="268">
        <f t="shared" si="421"/>
        <v>0</v>
      </c>
      <c r="BG275" s="269"/>
      <c r="BH275" s="192"/>
      <c r="BI275" s="270">
        <f>SUMIFS('Livro Diario - FC'!$M$11:$M1028,'Livro Diario - FC'!$E$11:$E1028,C275,'Livro Diario - FC'!$D$11:$D1028,"&gt;="&amp;$BK$8,'Livro Diario - FC'!$D$11:$D1028,"&lt;="&amp;$BK$9)</f>
        <v>0</v>
      </c>
      <c r="BJ275" s="271"/>
      <c r="BK275" s="272"/>
      <c r="BL275" s="1"/>
    </row>
    <row r="276">
      <c r="A276" s="1"/>
      <c r="B276" s="1"/>
      <c r="C276" s="338" t="str">
        <f>'Livro Diario - FC'!AE284</f>
        <v>5.3.4 Rescisão</v>
      </c>
      <c r="D276" s="255">
        <f>SUMIFS('Livro Diario - FC'!$K$11:$K1028,'Livro Diario - FC'!$E$11:$E1028,$C$276,'Livro Diario - FC'!$D$11:$D1028,"&gt;=01/01"&amp;$C$7,'Livro Diario - FC'!$D$11:$D1028,"&lt;=31/01"&amp;$C$7)</f>
        <v>0</v>
      </c>
      <c r="E276" s="373">
        <f>SUMIFS('Livro Diario - FC'!$M$11:$M1028,'Livro Diario - FC'!$E$11:$E1028,$C$276,'Livro Diario - FC'!$D$11:$D1028,"&gt;=01/01"&amp;$C$7,'Livro Diario - FC'!$D$11:$D1028,"&lt;=31/01"&amp;$C$7)</f>
        <v>0</v>
      </c>
      <c r="F276" s="273"/>
      <c r="G276" s="258"/>
      <c r="H276" s="157"/>
      <c r="I276" s="255">
        <f>SUMIFS('Livro Diario - FC'!$K$11:$K1028,'Livro Diario - FC'!$E$11:$E1028,$C$276,'Livro Diario - FC'!$D$11:$D1028,"&gt;=01/02"&amp;$C$7,'Livro Diario - FC'!$D$11:$D1028,"&lt;=29/02"&amp;$C$7)</f>
        <v>0</v>
      </c>
      <c r="J276" s="373">
        <f>SUMIFS('Livro Diario - FC'!$M$11:$M1028,'Livro Diario - FC'!$E$11:$E1028,$C$276,'Livro Diario - FC'!$D$11:$D1028,"&gt;=01/02"&amp;$C$7,'Livro Diario - FC'!$D$11:$D1028,"&lt;=29/02"&amp;$C$7)</f>
        <v>0</v>
      </c>
      <c r="K276" s="273"/>
      <c r="L276" s="258"/>
      <c r="M276" s="259"/>
      <c r="N276" s="255">
        <f>SUMIFS('Livro Diario - FC'!$K$11:$K1028,'Livro Diario - FC'!$E$11:$E1028,$C$276,'Livro Diario - FC'!$D$11:$D1028,"&gt;=01/03"&amp;$C$7,'Livro Diario - FC'!$D$11:$D1028,"&lt;=31/03"&amp;$C$7)</f>
        <v>0</v>
      </c>
      <c r="O276" s="373">
        <f>SUMIFS('Livro Diario - FC'!$M$11:$M1028,'Livro Diario - FC'!$E$11:$E1028,$C$276,'Livro Diario - FC'!$D$11:$D1028,"&gt;=01/03"&amp;$C$7,'Livro Diario - FC'!$D$11:$D1028,"&lt;=31/03"&amp;$C$7)</f>
        <v>0</v>
      </c>
      <c r="P276" s="273"/>
      <c r="Q276" s="258"/>
      <c r="R276" s="259"/>
      <c r="S276" s="255">
        <f>SUMIFS('Livro Diario - FC'!$K$11:$K1028,'Livro Diario - FC'!$E$11:$E1028,$C$276,'Livro Diario - FC'!$D$11:$D1028,"&gt;=01/04"&amp;$C$7,'Livro Diario - FC'!$D$11:$D1028,"&lt;=30/04"&amp;$C$7)</f>
        <v>0</v>
      </c>
      <c r="T276" s="373">
        <f>SUMIFS('Livro Diario - FC'!$M$11:$M1028,'Livro Diario - FC'!$E$11:$E1028,$C$276,'Livro Diario - FC'!$D$11:$D1028,"&gt;=01/04"&amp;$C$7,'Livro Diario - FC'!$D$11:$D1028,"&lt;=30/04"&amp;$C$7)</f>
        <v>0</v>
      </c>
      <c r="U276" s="273"/>
      <c r="V276" s="258"/>
      <c r="W276" s="259"/>
      <c r="X276" s="255">
        <f>SUMIFS('Livro Diario - FC'!$K$11:$K1028,'Livro Diario - FC'!$E$11:$E1028,$C$276,'Livro Diario - FC'!$D$11:$D1028,"&gt;=01/05"&amp;$C$7,'Livro Diario - FC'!$D$11:$D1028,"&lt;=31/05"&amp;$C$7)</f>
        <v>0</v>
      </c>
      <c r="Y276" s="373">
        <f>SUMIFS('Livro Diario - FC'!$M$11:$M1028,'Livro Diario - FC'!$E$11:$E1028,$C$276,'Livro Diario - FC'!$D$11:$D1028,"&gt;=01/05"&amp;$C$7,'Livro Diario - FC'!$D$11:$D1028,"&lt;=31/05"&amp;$C$7)</f>
        <v>0</v>
      </c>
      <c r="Z276" s="273"/>
      <c r="AA276" s="258"/>
      <c r="AB276" s="259"/>
      <c r="AC276" s="255">
        <f>SUMIFS('Livro Diario - FC'!$K$11:$K1028,'Livro Diario - FC'!$E$11:$E1028,$C$276,'Livro Diario - FC'!$D$11:$D1028,"&gt;=01/06"&amp;$C$7,'Livro Diario - FC'!$D$11:$D1028,"&lt;=30/06"&amp;$C$7)</f>
        <v>0</v>
      </c>
      <c r="AD276" s="373">
        <f>SUMIFS('Livro Diario - FC'!$M$11:$M1028,'Livro Diario - FC'!$E$11:$E1028,$C$276,'Livro Diario - FC'!$D$11:$D1028,"&gt;=01/06"&amp;$C$7,'Livro Diario - FC'!$D$11:$D1028,"&lt;=30/06"&amp;$C$7)</f>
        <v>0</v>
      </c>
      <c r="AE276" s="273"/>
      <c r="AF276" s="258"/>
      <c r="AG276" s="255">
        <f>SUMIFS('Livro Diario - FC'!$K$11:$K1028,'Livro Diario - FC'!$E$11:$E1028,$C$276,'Livro Diario - FC'!$D$11:$D1028,"&gt;=01/07"&amp;$C$7,'Livro Diario - FC'!$D$11:$D1028,"&lt;=31/07"&amp;$C$7)</f>
        <v>0</v>
      </c>
      <c r="AH276" s="373">
        <f>SUMIFS('Livro Diario - FC'!$M$11:$M1028,'Livro Diario - FC'!$E$11:$E1028,$C$276,'Livro Diario - FC'!$D$11:$D1028,"&gt;=01/07"&amp;$C$7,'Livro Diario - FC'!$D$11:$D1028,"&lt;=31/07"&amp;$C$7)</f>
        <v>0</v>
      </c>
      <c r="AI276" s="273"/>
      <c r="AJ276" s="258"/>
      <c r="AK276" s="255">
        <f>SUMIFS('Livro Diario - FC'!$K$11:$K1028,'Livro Diario - FC'!$E$11:$E1028,$C$276,'Livro Diario - FC'!$D$11:$D1028,"&gt;=01/08"&amp;$C$7,'Livro Diario - FC'!$D$11:$D1028,"&lt;=31/08"&amp;$C$7)</f>
        <v>0</v>
      </c>
      <c r="AL276" s="373">
        <f>SUMIFS('Livro Diario - FC'!$M$11:$M1028,'Livro Diario - FC'!$E$11:$E1028,$C$276,'Livro Diario - FC'!$D$11:$D1028,"&gt;=01/08"&amp;$C$7,'Livro Diario - FC'!$D$11:$D1028,"&lt;=31/08"&amp;$C$7)</f>
        <v>0</v>
      </c>
      <c r="AM276" s="273"/>
      <c r="AN276" s="258"/>
      <c r="AO276" s="255">
        <f>SUMIFS('Livro Diario - FC'!$K$11:$K1028,'Livro Diario - FC'!$E$11:$E1028,$C$276,'Livro Diario - FC'!$D$11:$D1028,"&gt;=01/09"&amp;$C$7,'Livro Diario - FC'!$D$11:$D1028,"&lt;=30/09"&amp;$C$7)</f>
        <v>0</v>
      </c>
      <c r="AP276" s="373">
        <f>SUMIFS('Livro Diario - FC'!$M$11:$M1028,'Livro Diario - FC'!$E$11:$E1028,$C$276,'Livro Diario - FC'!$D$11:$D1028,"&gt;=01/09"&amp;$C$7,'Livro Diario - FC'!$D$11:$D1028,"&lt;=30/09"&amp;$C$7)</f>
        <v>0</v>
      </c>
      <c r="AQ276" s="273"/>
      <c r="AR276" s="258"/>
      <c r="AS276" s="255">
        <f>SUMIFS('Livro Diario - FC'!$K$11:$K1028,'Livro Diario - FC'!$E$11:$E1028,$C$276,'Livro Diario - FC'!$D$11:$D1028,"&gt;=01/10"&amp;$C$7,'Livro Diario - FC'!$D$11:$D1028,"&lt;=31/10"&amp;$C$7)</f>
        <v>0</v>
      </c>
      <c r="AT276" s="373">
        <f>SUMIFS('Livro Diario - FC'!$M$11:$M1028,'Livro Diario - FC'!$E$11:$E1028,$C$276,'Livro Diario - FC'!$D$11:$D1028,"&gt;=01/10"&amp;$C$7,'Livro Diario - FC'!$D$11:$D1028,"&lt;=31/10"&amp;$C$7)</f>
        <v>0</v>
      </c>
      <c r="AU276" s="273"/>
      <c r="AV276" s="258"/>
      <c r="AW276" s="255">
        <f>SUMIFS('Livro Diario - FC'!$K$11:$K1028,'Livro Diario - FC'!$E$11:$E1028,$C$276,'Livro Diario - FC'!$D$11:$D1028,"&gt;=01/11"&amp;$C$7,'Livro Diario - FC'!$D$11:$D1028,"&lt;=30/11"&amp;$C$7)</f>
        <v>0</v>
      </c>
      <c r="AX276" s="373">
        <f>SUMIFS('Livro Diario - FC'!$M$11:$M1028,'Livro Diario - FC'!$E$11:$E1028,$C$276,'Livro Diario - FC'!$D$11:$D1028,"&gt;=01/11"&amp;$C$7,'Livro Diario - FC'!$D$11:$D1028,"&lt;=30/11"&amp;$C$7)</f>
        <v>0</v>
      </c>
      <c r="AY276" s="273"/>
      <c r="AZ276" s="258"/>
      <c r="BA276" s="255">
        <f>SUMIFS('Livro Diario - FC'!$K$11:$K1028,'Livro Diario - FC'!$E$11:$E1028,$C$276,'Livro Diario - FC'!$D$11:$D1028,"&gt;=01/12"&amp;$C$7,'Livro Diario - FC'!$D$11:$D1028,"&lt;=31/12"&amp;$C$7)</f>
        <v>0</v>
      </c>
      <c r="BB276" s="373">
        <f>SUMIFS('Livro Diario - FC'!$M$11:$M1028,'Livro Diario - FC'!$E$11:$E1028,$C$276,'Livro Diario - FC'!$D$11:$D1028,"&gt;=01/12"&amp;$C$7,'Livro Diario - FC'!$D$11:$D1028,"&lt;=31/12"&amp;$C$7)</f>
        <v>0</v>
      </c>
      <c r="BC276" s="273"/>
      <c r="BD276" s="273"/>
      <c r="BE276" s="267">
        <f t="shared" ref="BE276:BF276" si="422">SUM(D276,I276,N276,S276,X276,AC276,AG276,AK276,AO276,AS276,AW276,BA276)</f>
        <v>0</v>
      </c>
      <c r="BF276" s="268">
        <f t="shared" si="422"/>
        <v>0</v>
      </c>
      <c r="BG276" s="269"/>
      <c r="BH276" s="192"/>
      <c r="BI276" s="270">
        <f>SUMIFS('Livro Diario - FC'!$M$11:$M1028,'Livro Diario - FC'!$E$11:$E1028,C276,'Livro Diario - FC'!$D$11:$D1028,"&gt;="&amp;$BK$8,'Livro Diario - FC'!$D$11:$D1028,"&lt;="&amp;$BK$9)</f>
        <v>0</v>
      </c>
      <c r="BJ276" s="271"/>
      <c r="BK276" s="272"/>
      <c r="BL276" s="1"/>
    </row>
    <row r="277">
      <c r="A277" s="1"/>
      <c r="B277" s="1"/>
      <c r="C277" s="338" t="str">
        <f>'Livro Diario - FC'!AE285</f>
        <v>5.3.5 Pro-Labores</v>
      </c>
      <c r="D277" s="255">
        <f>SUMIFS('Livro Diario - FC'!$K$11:$K1028,'Livro Diario - FC'!$E$11:$E1028,$C$277,'Livro Diario - FC'!$D$11:$D1028,"&gt;=01/01"&amp;$C$7,'Livro Diario - FC'!$D$11:$D1028,"&lt;=31/01"&amp;$C$7)</f>
        <v>0</v>
      </c>
      <c r="E277" s="373">
        <f>SUMIFS('Livro Diario - FC'!$M$11:$M1028,'Livro Diario - FC'!$E$11:$E1028,$C$277,'Livro Diario - FC'!$D$11:$D1028,"&gt;=01/01"&amp;$C$7,'Livro Diario - FC'!$D$11:$D1028,"&lt;=31/01"&amp;$C$7)</f>
        <v>0</v>
      </c>
      <c r="F277" s="273"/>
      <c r="G277" s="258"/>
      <c r="H277" s="157"/>
      <c r="I277" s="255">
        <f>SUMIFS('Livro Diario - FC'!$K$11:$K1028,'Livro Diario - FC'!$E$11:$E1028,$C$277,'Livro Diario - FC'!$D$11:$D1028,"&gt;=01/02"&amp;$C$7,'Livro Diario - FC'!$D$11:$D1028,"&lt;=29/02"&amp;$C$7)</f>
        <v>0</v>
      </c>
      <c r="J277" s="373">
        <f>SUMIFS('Livro Diario - FC'!$M$11:$M1028,'Livro Diario - FC'!$E$11:$E1028,$C$277,'Livro Diario - FC'!$D$11:$D1028,"&gt;=01/02"&amp;$C$7,'Livro Diario - FC'!$D$11:$D1028,"&lt;=29/02"&amp;$C$7)</f>
        <v>0</v>
      </c>
      <c r="K277" s="273"/>
      <c r="L277" s="258"/>
      <c r="M277" s="259"/>
      <c r="N277" s="255">
        <f>SUMIFS('Livro Diario - FC'!$K$11:$K1028,'Livro Diario - FC'!$E$11:$E1028,$C$277,'Livro Diario - FC'!$D$11:$D1028,"&gt;=01/03"&amp;$C$7,'Livro Diario - FC'!$D$11:$D1028,"&lt;=31/03"&amp;$C$7)</f>
        <v>0</v>
      </c>
      <c r="O277" s="373">
        <f>SUMIFS('Livro Diario - FC'!$M$11:$M1028,'Livro Diario - FC'!$E$11:$E1028,$C$277,'Livro Diario - FC'!$D$11:$D1028,"&gt;=01/03"&amp;$C$7,'Livro Diario - FC'!$D$11:$D1028,"&lt;=31/03"&amp;$C$7)</f>
        <v>0</v>
      </c>
      <c r="P277" s="273"/>
      <c r="Q277" s="258"/>
      <c r="R277" s="259"/>
      <c r="S277" s="255">
        <f>SUMIFS('Livro Diario - FC'!$K$11:$K1028,'Livro Diario - FC'!$E$11:$E1028,$C$277,'Livro Diario - FC'!$D$11:$D1028,"&gt;=01/04"&amp;$C$7,'Livro Diario - FC'!$D$11:$D1028,"&lt;=30/04"&amp;$C$7)</f>
        <v>0</v>
      </c>
      <c r="T277" s="373">
        <f>SUMIFS('Livro Diario - FC'!$M$11:$M1028,'Livro Diario - FC'!$E$11:$E1028,$C$277,'Livro Diario - FC'!$D$11:$D1028,"&gt;=01/04"&amp;$C$7,'Livro Diario - FC'!$D$11:$D1028,"&lt;=30/04"&amp;$C$7)</f>
        <v>0</v>
      </c>
      <c r="U277" s="273"/>
      <c r="V277" s="258"/>
      <c r="W277" s="259"/>
      <c r="X277" s="255">
        <f>SUMIFS('Livro Diario - FC'!$K$11:$K1028,'Livro Diario - FC'!$E$11:$E1028,$C$277,'Livro Diario - FC'!$D$11:$D1028,"&gt;=01/05"&amp;$C$7,'Livro Diario - FC'!$D$11:$D1028,"&lt;=31/05"&amp;$C$7)</f>
        <v>0</v>
      </c>
      <c r="Y277" s="373">
        <f>SUMIFS('Livro Diario - FC'!$M$11:$M1028,'Livro Diario - FC'!$E$11:$E1028,$C$277,'Livro Diario - FC'!$D$11:$D1028,"&gt;=01/05"&amp;$C$7,'Livro Diario - FC'!$D$11:$D1028,"&lt;=31/05"&amp;$C$7)</f>
        <v>0</v>
      </c>
      <c r="Z277" s="273"/>
      <c r="AA277" s="258"/>
      <c r="AB277" s="259"/>
      <c r="AC277" s="255">
        <f>SUMIFS('Livro Diario - FC'!$K$11:$K1028,'Livro Diario - FC'!$E$11:$E1028,$C$277,'Livro Diario - FC'!$D$11:$D1028,"&gt;=01/06"&amp;$C$7,'Livro Diario - FC'!$D$11:$D1028,"&lt;=30/06"&amp;$C$7)</f>
        <v>0</v>
      </c>
      <c r="AD277" s="373">
        <f>SUMIFS('Livro Diario - FC'!$M$11:$M1028,'Livro Diario - FC'!$E$11:$E1028,$C$277,'Livro Diario - FC'!$D$11:$D1028,"&gt;=01/06"&amp;$C$7,'Livro Diario - FC'!$D$11:$D1028,"&lt;=30/06"&amp;$C$7)</f>
        <v>0</v>
      </c>
      <c r="AE277" s="273"/>
      <c r="AF277" s="258"/>
      <c r="AG277" s="255">
        <f>SUMIFS('Livro Diario - FC'!$K$11:$K1028,'Livro Diario - FC'!$E$11:$E1028,$C$277,'Livro Diario - FC'!$D$11:$D1028,"&gt;=01/07"&amp;$C$7,'Livro Diario - FC'!$D$11:$D1028,"&lt;=31/07"&amp;$C$7)</f>
        <v>0</v>
      </c>
      <c r="AH277" s="373">
        <f>SUMIFS('Livro Diario - FC'!$M$11:$M1028,'Livro Diario - FC'!$E$11:$E1028,$C$277,'Livro Diario - FC'!$D$11:$D1028,"&gt;=01/07"&amp;$C$7,'Livro Diario - FC'!$D$11:$D1028,"&lt;=31/07"&amp;$C$7)</f>
        <v>0</v>
      </c>
      <c r="AI277" s="273"/>
      <c r="AJ277" s="258"/>
      <c r="AK277" s="255">
        <f>SUMIFS('Livro Diario - FC'!$K$11:$K1028,'Livro Diario - FC'!$E$11:$E1028,$C$277,'Livro Diario - FC'!$D$11:$D1028,"&gt;=01/08"&amp;$C$7,'Livro Diario - FC'!$D$11:$D1028,"&lt;=31/08"&amp;$C$7)</f>
        <v>0</v>
      </c>
      <c r="AL277" s="373">
        <f>SUMIFS('Livro Diario - FC'!$M$11:$M1028,'Livro Diario - FC'!$E$11:$E1028,$C$277,'Livro Diario - FC'!$D$11:$D1028,"&gt;=01/08"&amp;$C$7,'Livro Diario - FC'!$D$11:$D1028,"&lt;=31/08"&amp;$C$7)</f>
        <v>0</v>
      </c>
      <c r="AM277" s="273"/>
      <c r="AN277" s="258"/>
      <c r="AO277" s="255">
        <f>SUMIFS('Livro Diario - FC'!$K$11:$K1028,'Livro Diario - FC'!$E$11:$E1028,$C$277,'Livro Diario - FC'!$D$11:$D1028,"&gt;=01/09"&amp;$C$7,'Livro Diario - FC'!$D$11:$D1028,"&lt;=30/09"&amp;$C$7)</f>
        <v>0</v>
      </c>
      <c r="AP277" s="373">
        <f>SUMIFS('Livro Diario - FC'!$M$11:$M1028,'Livro Diario - FC'!$E$11:$E1028,$C$277,'Livro Diario - FC'!$D$11:$D1028,"&gt;=01/09"&amp;$C$7,'Livro Diario - FC'!$D$11:$D1028,"&lt;=30/09"&amp;$C$7)</f>
        <v>0</v>
      </c>
      <c r="AQ277" s="273"/>
      <c r="AR277" s="258"/>
      <c r="AS277" s="255">
        <f>SUMIFS('Livro Diario - FC'!$K$11:$K1028,'Livro Diario - FC'!$E$11:$E1028,$C$277,'Livro Diario - FC'!$D$11:$D1028,"&gt;=01/10"&amp;$C$7,'Livro Diario - FC'!$D$11:$D1028,"&lt;=31/10"&amp;$C$7)</f>
        <v>0</v>
      </c>
      <c r="AT277" s="373">
        <f>SUMIFS('Livro Diario - FC'!$M$11:$M1028,'Livro Diario - FC'!$E$11:$E1028,$C$277,'Livro Diario - FC'!$D$11:$D1028,"&gt;=01/10"&amp;$C$7,'Livro Diario - FC'!$D$11:$D1028,"&lt;=31/10"&amp;$C$7)</f>
        <v>0</v>
      </c>
      <c r="AU277" s="273"/>
      <c r="AV277" s="258"/>
      <c r="AW277" s="255">
        <f>SUMIFS('Livro Diario - FC'!$K$11:$K1028,'Livro Diario - FC'!$E$11:$E1028,$C$277,'Livro Diario - FC'!$D$11:$D1028,"&gt;=01/11"&amp;$C$7,'Livro Diario - FC'!$D$11:$D1028,"&lt;=30/11"&amp;$C$7)</f>
        <v>0</v>
      </c>
      <c r="AX277" s="373">
        <f>SUMIFS('Livro Diario - FC'!$M$11:$M1028,'Livro Diario - FC'!$E$11:$E1028,$C$277,'Livro Diario - FC'!$D$11:$D1028,"&gt;=01/11"&amp;$C$7,'Livro Diario - FC'!$D$11:$D1028,"&lt;=30/11"&amp;$C$7)</f>
        <v>0</v>
      </c>
      <c r="AY277" s="273"/>
      <c r="AZ277" s="258"/>
      <c r="BA277" s="255">
        <f>SUMIFS('Livro Diario - FC'!$K$11:$K1028,'Livro Diario - FC'!$E$11:$E1028,$C$277,'Livro Diario - FC'!$D$11:$D1028,"&gt;=01/12"&amp;$C$7,'Livro Diario - FC'!$D$11:$D1028,"&lt;=31/12"&amp;$C$7)</f>
        <v>0</v>
      </c>
      <c r="BB277" s="373">
        <f>SUMIFS('Livro Diario - FC'!$M$11:$M1028,'Livro Diario - FC'!$E$11:$E1028,$C$277,'Livro Diario - FC'!$D$11:$D1028,"&gt;=01/12"&amp;$C$7,'Livro Diario - FC'!$D$11:$D1028,"&lt;=31/12"&amp;$C$7)</f>
        <v>0</v>
      </c>
      <c r="BC277" s="273"/>
      <c r="BD277" s="273"/>
      <c r="BE277" s="267">
        <f t="shared" ref="BE277:BF277" si="423">SUM(D277,I277,N277,S277,X277,AC277,AG277,AK277,AO277,AS277,AW277,BA277)</f>
        <v>0</v>
      </c>
      <c r="BF277" s="268">
        <f t="shared" si="423"/>
        <v>0</v>
      </c>
      <c r="BG277" s="269"/>
      <c r="BH277" s="192"/>
      <c r="BI277" s="270">
        <f>SUMIFS('Livro Diario - FC'!$M$11:$M1028,'Livro Diario - FC'!$E$11:$E1028,C277,'Livro Diario - FC'!$D$11:$D1028,"&gt;="&amp;$BK$8,'Livro Diario - FC'!$D$11:$D1028,"&lt;="&amp;$BK$9)</f>
        <v>0</v>
      </c>
      <c r="BJ277" s="271"/>
      <c r="BK277" s="272"/>
      <c r="BL277" s="1"/>
    </row>
    <row r="278">
      <c r="A278" s="1"/>
      <c r="B278" s="1"/>
      <c r="C278" s="338" t="str">
        <f>'Livro Diario - FC'!AE286</f>
        <v>5.3.6 Adianameno Salarios</v>
      </c>
      <c r="D278" s="255">
        <f>SUMIFS('Livro Diario - FC'!$K$11:$K1028,'Livro Diario - FC'!$E$11:$E1028,$C$278,'Livro Diario - FC'!$D$11:$D1028,"&gt;=01/01"&amp;$C$7,'Livro Diario - FC'!$D$11:$D1028,"&lt;=31/01"&amp;$C$7)</f>
        <v>0</v>
      </c>
      <c r="E278" s="373">
        <f>SUMIFS('Livro Diario - FC'!$M$11:$M1028,'Livro Diario - FC'!$E$11:$E1028,$C$278,'Livro Diario - FC'!$D$11:$D1028,"&gt;=01/01"&amp;$C$7,'Livro Diario - FC'!$D$11:$D1028,"&lt;=31/01"&amp;$C$7)</f>
        <v>0</v>
      </c>
      <c r="F278" s="273"/>
      <c r="G278" s="258"/>
      <c r="H278" s="157"/>
      <c r="I278" s="255">
        <f>SUMIFS('Livro Diario - FC'!$K$11:$K1028,'Livro Diario - FC'!$E$11:$E1028,$C$278,'Livro Diario - FC'!$D$11:$D1028,"&gt;=01/02"&amp;$C$7,'Livro Diario - FC'!$D$11:$D1028,"&lt;=29/02"&amp;$C$7)</f>
        <v>0</v>
      </c>
      <c r="J278" s="373">
        <f>SUMIFS('Livro Diario - FC'!$M$11:$M1028,'Livro Diario - FC'!$E$11:$E1028,$C$278,'Livro Diario - FC'!$D$11:$D1028,"&gt;=01/02"&amp;$C$7,'Livro Diario - FC'!$D$11:$D1028,"&lt;=29/02"&amp;$C$7)</f>
        <v>0</v>
      </c>
      <c r="K278" s="273"/>
      <c r="L278" s="258"/>
      <c r="M278" s="259"/>
      <c r="N278" s="255">
        <f>SUMIFS('Livro Diario - FC'!$K$11:$K1028,'Livro Diario - FC'!$E$11:$E1028,$C$278,'Livro Diario - FC'!$D$11:$D1028,"&gt;=01/03"&amp;$C$7,'Livro Diario - FC'!$D$11:$D1028,"&lt;=31/03"&amp;$C$7)</f>
        <v>0</v>
      </c>
      <c r="O278" s="373">
        <f>SUMIFS('Livro Diario - FC'!$M$11:$M1028,'Livro Diario - FC'!$E$11:$E1028,$C$278,'Livro Diario - FC'!$D$11:$D1028,"&gt;=01/03"&amp;$C$7,'Livro Diario - FC'!$D$11:$D1028,"&lt;=31/03"&amp;$C$7)</f>
        <v>0</v>
      </c>
      <c r="P278" s="273"/>
      <c r="Q278" s="258"/>
      <c r="R278" s="259"/>
      <c r="S278" s="255">
        <f>SUMIFS('Livro Diario - FC'!$K$11:$K1028,'Livro Diario - FC'!$E$11:$E1028,$C$278,'Livro Diario - FC'!$D$11:$D1028,"&gt;=01/04"&amp;$C$7,'Livro Diario - FC'!$D$11:$D1028,"&lt;=30/04"&amp;$C$7)</f>
        <v>0</v>
      </c>
      <c r="T278" s="373">
        <f>SUMIFS('Livro Diario - FC'!$M$11:$M1028,'Livro Diario - FC'!$E$11:$E1028,$C$278,'Livro Diario - FC'!$D$11:$D1028,"&gt;=01/04"&amp;$C$7,'Livro Diario - FC'!$D$11:$D1028,"&lt;=30/04"&amp;$C$7)</f>
        <v>0</v>
      </c>
      <c r="U278" s="273"/>
      <c r="V278" s="258"/>
      <c r="W278" s="259"/>
      <c r="X278" s="255">
        <f>SUMIFS('Livro Diario - FC'!$K$11:$K1028,'Livro Diario - FC'!$E$11:$E1028,$C$278,'Livro Diario - FC'!$D$11:$D1028,"&gt;=01/05"&amp;$C$7,'Livro Diario - FC'!$D$11:$D1028,"&lt;=31/05"&amp;$C$7)</f>
        <v>0</v>
      </c>
      <c r="Y278" s="373">
        <f>SUMIFS('Livro Diario - FC'!$M$11:$M1028,'Livro Diario - FC'!$E$11:$E1028,$C$278,'Livro Diario - FC'!$D$11:$D1028,"&gt;=01/05"&amp;$C$7,'Livro Diario - FC'!$D$11:$D1028,"&lt;=31/05"&amp;$C$7)</f>
        <v>0</v>
      </c>
      <c r="Z278" s="273"/>
      <c r="AA278" s="258"/>
      <c r="AB278" s="259"/>
      <c r="AC278" s="255">
        <f>SUMIFS('Livro Diario - FC'!$K$11:$K1028,'Livro Diario - FC'!$E$11:$E1028,$C$278,'Livro Diario - FC'!$D$11:$D1028,"&gt;=01/06"&amp;$C$7,'Livro Diario - FC'!$D$11:$D1028,"&lt;=30/06"&amp;$C$7)</f>
        <v>0</v>
      </c>
      <c r="AD278" s="373">
        <f>SUMIFS('Livro Diario - FC'!$M$11:$M1028,'Livro Diario - FC'!$E$11:$E1028,$C$278,'Livro Diario - FC'!$D$11:$D1028,"&gt;=01/06"&amp;$C$7,'Livro Diario - FC'!$D$11:$D1028,"&lt;=30/06"&amp;$C$7)</f>
        <v>0</v>
      </c>
      <c r="AE278" s="273"/>
      <c r="AF278" s="258"/>
      <c r="AG278" s="255">
        <f>SUMIFS('Livro Diario - FC'!$K$11:$K1028,'Livro Diario - FC'!$E$11:$E1028,$C$278,'Livro Diario - FC'!$D$11:$D1028,"&gt;=01/07"&amp;$C$7,'Livro Diario - FC'!$D$11:$D1028,"&lt;=31/07"&amp;$C$7)</f>
        <v>0</v>
      </c>
      <c r="AH278" s="373">
        <f>SUMIFS('Livro Diario - FC'!$M$11:$M1028,'Livro Diario - FC'!$E$11:$E1028,$C$278,'Livro Diario - FC'!$D$11:$D1028,"&gt;=01/07"&amp;$C$7,'Livro Diario - FC'!$D$11:$D1028,"&lt;=31/07"&amp;$C$7)</f>
        <v>0</v>
      </c>
      <c r="AI278" s="273"/>
      <c r="AJ278" s="258"/>
      <c r="AK278" s="255">
        <f>SUMIFS('Livro Diario - FC'!$K$11:$K1028,'Livro Diario - FC'!$E$11:$E1028,$C$278,'Livro Diario - FC'!$D$11:$D1028,"&gt;=01/08"&amp;$C$7,'Livro Diario - FC'!$D$11:$D1028,"&lt;=31/08"&amp;$C$7)</f>
        <v>0</v>
      </c>
      <c r="AL278" s="373">
        <f>SUMIFS('Livro Diario - FC'!$M$11:$M1028,'Livro Diario - FC'!$E$11:$E1028,$C$278,'Livro Diario - FC'!$D$11:$D1028,"&gt;=01/08"&amp;$C$7,'Livro Diario - FC'!$D$11:$D1028,"&lt;=31/08"&amp;$C$7)</f>
        <v>0</v>
      </c>
      <c r="AM278" s="273"/>
      <c r="AN278" s="258"/>
      <c r="AO278" s="255">
        <f>SUMIFS('Livro Diario - FC'!$K$11:$K1028,'Livro Diario - FC'!$E$11:$E1028,$C$278,'Livro Diario - FC'!$D$11:$D1028,"&gt;=01/09"&amp;$C$7,'Livro Diario - FC'!$D$11:$D1028,"&lt;=30/09"&amp;$C$7)</f>
        <v>0</v>
      </c>
      <c r="AP278" s="373">
        <f>SUMIFS('Livro Diario - FC'!$M$11:$M1028,'Livro Diario - FC'!$E$11:$E1028,$C$278,'Livro Diario - FC'!$D$11:$D1028,"&gt;=01/09"&amp;$C$7,'Livro Diario - FC'!$D$11:$D1028,"&lt;=30/09"&amp;$C$7)</f>
        <v>0</v>
      </c>
      <c r="AQ278" s="273"/>
      <c r="AR278" s="258"/>
      <c r="AS278" s="255">
        <f>SUMIFS('Livro Diario - FC'!$K$11:$K1028,'Livro Diario - FC'!$E$11:$E1028,$C$278,'Livro Diario - FC'!$D$11:$D1028,"&gt;=01/10"&amp;$C$7,'Livro Diario - FC'!$D$11:$D1028,"&lt;=31/10"&amp;$C$7)</f>
        <v>0</v>
      </c>
      <c r="AT278" s="373">
        <f>SUMIFS('Livro Diario - FC'!$M$11:$M1028,'Livro Diario - FC'!$E$11:$E1028,$C$278,'Livro Diario - FC'!$D$11:$D1028,"&gt;=01/10"&amp;$C$7,'Livro Diario - FC'!$D$11:$D1028,"&lt;=31/10"&amp;$C$7)</f>
        <v>0</v>
      </c>
      <c r="AU278" s="273"/>
      <c r="AV278" s="258"/>
      <c r="AW278" s="255">
        <f>SUMIFS('Livro Diario - FC'!$K$11:$K1028,'Livro Diario - FC'!$E$11:$E1028,$C$278,'Livro Diario - FC'!$D$11:$D1028,"&gt;=01/11"&amp;$C$7,'Livro Diario - FC'!$D$11:$D1028,"&lt;=30/11"&amp;$C$7)</f>
        <v>0</v>
      </c>
      <c r="AX278" s="373">
        <f>SUMIFS('Livro Diario - FC'!$M$11:$M1028,'Livro Diario - FC'!$E$11:$E1028,$C$278,'Livro Diario - FC'!$D$11:$D1028,"&gt;=01/11"&amp;$C$7,'Livro Diario - FC'!$D$11:$D1028,"&lt;=30/11"&amp;$C$7)</f>
        <v>0</v>
      </c>
      <c r="AY278" s="273"/>
      <c r="AZ278" s="258"/>
      <c r="BA278" s="255">
        <f>SUMIFS('Livro Diario - FC'!$K$11:$K1028,'Livro Diario - FC'!$E$11:$E1028,$C$278,'Livro Diario - FC'!$D$11:$D1028,"&gt;=01/12"&amp;$C$7,'Livro Diario - FC'!$D$11:$D1028,"&lt;=31/12"&amp;$C$7)</f>
        <v>0</v>
      </c>
      <c r="BB278" s="373">
        <f>SUMIFS('Livro Diario - FC'!$M$11:$M1028,'Livro Diario - FC'!$E$11:$E1028,$C$278,'Livro Diario - FC'!$D$11:$D1028,"&gt;=01/12"&amp;$C$7,'Livro Diario - FC'!$D$11:$D1028,"&lt;=31/12"&amp;$C$7)</f>
        <v>0</v>
      </c>
      <c r="BC278" s="273"/>
      <c r="BD278" s="273"/>
      <c r="BE278" s="267">
        <f t="shared" ref="BE278:BF278" si="424">SUM(D278,I278,N278,S278,X278,AC278,AG278,AK278,AO278,AS278,AW278,BA278)</f>
        <v>0</v>
      </c>
      <c r="BF278" s="268">
        <f t="shared" si="424"/>
        <v>0</v>
      </c>
      <c r="BG278" s="269"/>
      <c r="BH278" s="192"/>
      <c r="BI278" s="270">
        <f>SUMIFS('Livro Diario - FC'!$M$11:$M1028,'Livro Diario - FC'!$E$11:$E1028,C278,'Livro Diario - FC'!$D$11:$D1028,"&gt;="&amp;$BK$8,'Livro Diario - FC'!$D$11:$D1028,"&lt;="&amp;$BK$9)</f>
        <v>0</v>
      </c>
      <c r="BJ278" s="271"/>
      <c r="BK278" s="272"/>
      <c r="BL278" s="1"/>
    </row>
    <row r="279">
      <c r="A279" s="1"/>
      <c r="B279" s="1"/>
      <c r="C279" s="338" t="str">
        <f>'Livro Diario - FC'!AE287</f>
        <v>5.3.7 Outras despesas com pessoal</v>
      </c>
      <c r="D279" s="255">
        <f>SUMIFS('Livro Diario - FC'!$K$11:$K1028,'Livro Diario - FC'!$E$11:$E1028,$C$279,'Livro Diario - FC'!$D$11:$D1028,"&gt;=01/01"&amp;$C$7,'Livro Diario - FC'!$D$11:$D1028,"&lt;=31/01"&amp;$C$7)</f>
        <v>0</v>
      </c>
      <c r="E279" s="373">
        <f>SUMIFS('Livro Diario - FC'!$M$11:$M1028,'Livro Diario - FC'!$E$11:$E1028,$C$279,'Livro Diario - FC'!$D$11:$D1028,"&gt;=01/01"&amp;$C$7,'Livro Diario - FC'!$D$11:$D1028,"&lt;=31/01"&amp;$C$7)</f>
        <v>0</v>
      </c>
      <c r="F279" s="273"/>
      <c r="G279" s="258"/>
      <c r="H279" s="157"/>
      <c r="I279" s="255">
        <f>SUMIFS('Livro Diario - FC'!$K$11:$K1028,'Livro Diario - FC'!$E$11:$E1028,$C$279,'Livro Diario - FC'!$D$11:$D1028,"&gt;=01/02"&amp;$C$7,'Livro Diario - FC'!$D$11:$D1028,"&lt;=29/02"&amp;$C$7)</f>
        <v>0</v>
      </c>
      <c r="J279" s="373">
        <f>SUMIFS('Livro Diario - FC'!$M$11:$M1028,'Livro Diario - FC'!$E$11:$E1028,$C$279,'Livro Diario - FC'!$D$11:$D1028,"&gt;=01/02"&amp;$C$7,'Livro Diario - FC'!$D$11:$D1028,"&lt;=29/02"&amp;$C$7)</f>
        <v>0</v>
      </c>
      <c r="K279" s="273"/>
      <c r="L279" s="258"/>
      <c r="M279" s="259"/>
      <c r="N279" s="255">
        <f>SUMIFS('Livro Diario - FC'!$K$11:$K1028,'Livro Diario - FC'!$E$11:$E1028,$C$279,'Livro Diario - FC'!$D$11:$D1028,"&gt;=01/03"&amp;$C$7,'Livro Diario - FC'!$D$11:$D1028,"&lt;=31/03"&amp;$C$7)</f>
        <v>0</v>
      </c>
      <c r="O279" s="373">
        <f>SUMIFS('Livro Diario - FC'!$M$11:$M1028,'Livro Diario - FC'!$E$11:$E1028,$C$279,'Livro Diario - FC'!$D$11:$D1028,"&gt;=01/03"&amp;$C$7,'Livro Diario - FC'!$D$11:$D1028,"&lt;=31/03"&amp;$C$7)</f>
        <v>0</v>
      </c>
      <c r="P279" s="273"/>
      <c r="Q279" s="258"/>
      <c r="R279" s="259"/>
      <c r="S279" s="255">
        <f>SUMIFS('Livro Diario - FC'!$K$11:$K1028,'Livro Diario - FC'!$E$11:$E1028,$C$279,'Livro Diario - FC'!$D$11:$D1028,"&gt;=01/04"&amp;$C$7,'Livro Diario - FC'!$D$11:$D1028,"&lt;=30/04"&amp;$C$7)</f>
        <v>0</v>
      </c>
      <c r="T279" s="373">
        <f>SUMIFS('Livro Diario - FC'!$M$11:$M1028,'Livro Diario - FC'!$E$11:$E1028,$C$279,'Livro Diario - FC'!$D$11:$D1028,"&gt;=01/04"&amp;$C$7,'Livro Diario - FC'!$D$11:$D1028,"&lt;=30/04"&amp;$C$7)</f>
        <v>0</v>
      </c>
      <c r="U279" s="273"/>
      <c r="V279" s="258"/>
      <c r="W279" s="259"/>
      <c r="X279" s="255">
        <f>SUMIFS('Livro Diario - FC'!$K$11:$K1028,'Livro Diario - FC'!$E$11:$E1028,$C$279,'Livro Diario - FC'!$D$11:$D1028,"&gt;=01/05"&amp;$C$7,'Livro Diario - FC'!$D$11:$D1028,"&lt;=31/05"&amp;$C$7)</f>
        <v>0</v>
      </c>
      <c r="Y279" s="373">
        <f>SUMIFS('Livro Diario - FC'!$M$11:$M1028,'Livro Diario - FC'!$E$11:$E1028,$C$279,'Livro Diario - FC'!$D$11:$D1028,"&gt;=01/05"&amp;$C$7,'Livro Diario - FC'!$D$11:$D1028,"&lt;=31/05"&amp;$C$7)</f>
        <v>0</v>
      </c>
      <c r="Z279" s="273"/>
      <c r="AA279" s="258"/>
      <c r="AB279" s="259"/>
      <c r="AC279" s="255">
        <f>SUMIFS('Livro Diario - FC'!$K$11:$K1028,'Livro Diario - FC'!$E$11:$E1028,$C$279,'Livro Diario - FC'!$D$11:$D1028,"&gt;=01/06"&amp;$C$7,'Livro Diario - FC'!$D$11:$D1028,"&lt;=30/06"&amp;$C$7)</f>
        <v>0</v>
      </c>
      <c r="AD279" s="373">
        <f>SUMIFS('Livro Diario - FC'!$M$11:$M1028,'Livro Diario - FC'!$E$11:$E1028,$C$279,'Livro Diario - FC'!$D$11:$D1028,"&gt;=01/06"&amp;$C$7,'Livro Diario - FC'!$D$11:$D1028,"&lt;=30/06"&amp;$C$7)</f>
        <v>0</v>
      </c>
      <c r="AE279" s="273"/>
      <c r="AF279" s="258"/>
      <c r="AG279" s="255">
        <f>SUMIFS('Livro Diario - FC'!$K$11:$K1028,'Livro Diario - FC'!$E$11:$E1028,$C$279,'Livro Diario - FC'!$D$11:$D1028,"&gt;=01/07"&amp;$C$7,'Livro Diario - FC'!$D$11:$D1028,"&lt;=31/07"&amp;$C$7)</f>
        <v>0</v>
      </c>
      <c r="AH279" s="373">
        <f>SUMIFS('Livro Diario - FC'!$M$11:$M1028,'Livro Diario - FC'!$E$11:$E1028,$C$279,'Livro Diario - FC'!$D$11:$D1028,"&gt;=01/07"&amp;$C$7,'Livro Diario - FC'!$D$11:$D1028,"&lt;=31/07"&amp;$C$7)</f>
        <v>0</v>
      </c>
      <c r="AI279" s="273"/>
      <c r="AJ279" s="258"/>
      <c r="AK279" s="255">
        <f>SUMIFS('Livro Diario - FC'!$K$11:$K1028,'Livro Diario - FC'!$E$11:$E1028,$C$279,'Livro Diario - FC'!$D$11:$D1028,"&gt;=01/08"&amp;$C$7,'Livro Diario - FC'!$D$11:$D1028,"&lt;=31/08"&amp;$C$7)</f>
        <v>0</v>
      </c>
      <c r="AL279" s="373">
        <f>SUMIFS('Livro Diario - FC'!$M$11:$M1028,'Livro Diario - FC'!$E$11:$E1028,$C$279,'Livro Diario - FC'!$D$11:$D1028,"&gt;=01/08"&amp;$C$7,'Livro Diario - FC'!$D$11:$D1028,"&lt;=31/08"&amp;$C$7)</f>
        <v>0</v>
      </c>
      <c r="AM279" s="273"/>
      <c r="AN279" s="258"/>
      <c r="AO279" s="255">
        <f>SUMIFS('Livro Diario - FC'!$K$11:$K1028,'Livro Diario - FC'!$E$11:$E1028,$C$279,'Livro Diario - FC'!$D$11:$D1028,"&gt;=01/09"&amp;$C$7,'Livro Diario - FC'!$D$11:$D1028,"&lt;=30/09"&amp;$C$7)</f>
        <v>0</v>
      </c>
      <c r="AP279" s="373">
        <f>SUMIFS('Livro Diario - FC'!$M$11:$M1028,'Livro Diario - FC'!$E$11:$E1028,$C$279,'Livro Diario - FC'!$D$11:$D1028,"&gt;=01/09"&amp;$C$7,'Livro Diario - FC'!$D$11:$D1028,"&lt;=30/09"&amp;$C$7)</f>
        <v>0</v>
      </c>
      <c r="AQ279" s="273"/>
      <c r="AR279" s="258"/>
      <c r="AS279" s="255">
        <f>SUMIFS('Livro Diario - FC'!$K$11:$K1028,'Livro Diario - FC'!$E$11:$E1028,$C$279,'Livro Diario - FC'!$D$11:$D1028,"&gt;=01/10"&amp;$C$7,'Livro Diario - FC'!$D$11:$D1028,"&lt;=31/10"&amp;$C$7)</f>
        <v>0</v>
      </c>
      <c r="AT279" s="373">
        <f>SUMIFS('Livro Diario - FC'!$M$11:$M1028,'Livro Diario - FC'!$E$11:$E1028,$C$279,'Livro Diario - FC'!$D$11:$D1028,"&gt;=01/10"&amp;$C$7,'Livro Diario - FC'!$D$11:$D1028,"&lt;=31/10"&amp;$C$7)</f>
        <v>0</v>
      </c>
      <c r="AU279" s="273"/>
      <c r="AV279" s="258"/>
      <c r="AW279" s="255">
        <f>SUMIFS('Livro Diario - FC'!$K$11:$K1028,'Livro Diario - FC'!$E$11:$E1028,$C$279,'Livro Diario - FC'!$D$11:$D1028,"&gt;=01/11"&amp;$C$7,'Livro Diario - FC'!$D$11:$D1028,"&lt;=30/11"&amp;$C$7)</f>
        <v>0</v>
      </c>
      <c r="AX279" s="373">
        <f>SUMIFS('Livro Diario - FC'!$M$11:$M1028,'Livro Diario - FC'!$E$11:$E1028,$C$279,'Livro Diario - FC'!$D$11:$D1028,"&gt;=01/11"&amp;$C$7,'Livro Diario - FC'!$D$11:$D1028,"&lt;=30/11"&amp;$C$7)</f>
        <v>0</v>
      </c>
      <c r="AY279" s="273"/>
      <c r="AZ279" s="258"/>
      <c r="BA279" s="255">
        <f>SUMIFS('Livro Diario - FC'!$K$11:$K1028,'Livro Diario - FC'!$E$11:$E1028,$C$279,'Livro Diario - FC'!$D$11:$D1028,"&gt;=01/12"&amp;$C$7,'Livro Diario - FC'!$D$11:$D1028,"&lt;=31/12"&amp;$C$7)</f>
        <v>0</v>
      </c>
      <c r="BB279" s="373">
        <f>SUMIFS('Livro Diario - FC'!$M$11:$M1028,'Livro Diario - FC'!$E$11:$E1028,$C$279,'Livro Diario - FC'!$D$11:$D1028,"&gt;=01/12"&amp;$C$7,'Livro Diario - FC'!$D$11:$D1028,"&lt;=31/12"&amp;$C$7)</f>
        <v>0</v>
      </c>
      <c r="BC279" s="273"/>
      <c r="BD279" s="273"/>
      <c r="BE279" s="267">
        <f t="shared" ref="BE279:BF279" si="425">SUM(D279,I279,N279,S279,X279,AC279,AG279,AK279,AO279,AS279,AW279,BA279)</f>
        <v>0</v>
      </c>
      <c r="BF279" s="268">
        <f t="shared" si="425"/>
        <v>0</v>
      </c>
      <c r="BG279" s="269"/>
      <c r="BH279" s="192"/>
      <c r="BI279" s="270">
        <f>SUMIFS('Livro Diario - FC'!$M$11:$M1028,'Livro Diario - FC'!$E$11:$E1028,C279,'Livro Diario - FC'!$D$11:$D1028,"&gt;="&amp;$BK$8,'Livro Diario - FC'!$D$11:$D1028,"&lt;="&amp;$BK$9)</f>
        <v>0</v>
      </c>
      <c r="BJ279" s="271"/>
      <c r="BK279" s="272"/>
      <c r="BL279" s="1"/>
    </row>
    <row r="280">
      <c r="A280" s="1"/>
      <c r="B280" s="1"/>
      <c r="C280" s="338" t="str">
        <f>'Livro Diario - FC'!AE288</f>
        <v>5.3.8 Ferias Funcionarios</v>
      </c>
      <c r="D280" s="255">
        <f>SUMIFS('Livro Diario - FC'!$K$11:$K1028,'Livro Diario - FC'!$E$11:$E1028,$C$280,'Livro Diario - FC'!$D$11:$D1028,"&gt;=01/01"&amp;$C$7,'Livro Diario - FC'!$D$11:$D1028,"&lt;=31/01"&amp;$C$7)</f>
        <v>0</v>
      </c>
      <c r="E280" s="373">
        <f>SUMIFS('Livro Diario - FC'!$M$11:$M1028,'Livro Diario - FC'!$E$11:$E1028,$C$280,'Livro Diario - FC'!$D$11:$D1028,"&gt;=01/01"&amp;$C$7,'Livro Diario - FC'!$D$11:$D1028,"&lt;=31/01"&amp;$C$7)</f>
        <v>0</v>
      </c>
      <c r="F280" s="273"/>
      <c r="G280" s="258"/>
      <c r="H280" s="157"/>
      <c r="I280" s="255">
        <f>SUMIFS('Livro Diario - FC'!$K$11:$K1028,'Livro Diario - FC'!$E$11:$E1028,$C$280,'Livro Diario - FC'!$D$11:$D1028,"&gt;=01/02"&amp;$C$7,'Livro Diario - FC'!$D$11:$D1028,"&lt;=29/02"&amp;$C$7)</f>
        <v>0</v>
      </c>
      <c r="J280" s="373">
        <f>SUMIFS('Livro Diario - FC'!$M$11:$M1028,'Livro Diario - FC'!$E$11:$E1028,$C$280,'Livro Diario - FC'!$D$11:$D1028,"&gt;=01/02"&amp;$C$7,'Livro Diario - FC'!$D$11:$D1028,"&lt;=29/02"&amp;$C$7)</f>
        <v>0</v>
      </c>
      <c r="K280" s="273"/>
      <c r="L280" s="258"/>
      <c r="M280" s="259"/>
      <c r="N280" s="255">
        <f>SUMIFS('Livro Diario - FC'!$K$11:$K1028,'Livro Diario - FC'!$E$11:$E1028,$C$280,'Livro Diario - FC'!$D$11:$D1028,"&gt;=01/03"&amp;$C$7,'Livro Diario - FC'!$D$11:$D1028,"&lt;=31/03"&amp;$C$7)</f>
        <v>0</v>
      </c>
      <c r="O280" s="373">
        <f>SUMIFS('Livro Diario - FC'!$M$11:$M1028,'Livro Diario - FC'!$E$11:$E1028,$C$280,'Livro Diario - FC'!$D$11:$D1028,"&gt;=01/03"&amp;$C$7,'Livro Diario - FC'!$D$11:$D1028,"&lt;=31/03"&amp;$C$7)</f>
        <v>0</v>
      </c>
      <c r="P280" s="273"/>
      <c r="Q280" s="258"/>
      <c r="R280" s="259"/>
      <c r="S280" s="255">
        <f>SUMIFS('Livro Diario - FC'!$K$11:$K1028,'Livro Diario - FC'!$E$11:$E1028,$C$280,'Livro Diario - FC'!$D$11:$D1028,"&gt;=01/04"&amp;$C$7,'Livro Diario - FC'!$D$11:$D1028,"&lt;=30/04"&amp;$C$7)</f>
        <v>0</v>
      </c>
      <c r="T280" s="373">
        <f>SUMIFS('Livro Diario - FC'!$M$11:$M1028,'Livro Diario - FC'!$E$11:$E1028,$C$280,'Livro Diario - FC'!$D$11:$D1028,"&gt;=01/04"&amp;$C$7,'Livro Diario - FC'!$D$11:$D1028,"&lt;=30/04"&amp;$C$7)</f>
        <v>0</v>
      </c>
      <c r="U280" s="273"/>
      <c r="V280" s="258"/>
      <c r="W280" s="259"/>
      <c r="X280" s="255">
        <f>SUMIFS('Livro Diario - FC'!$K$11:$K1028,'Livro Diario - FC'!$E$11:$E1028,$C$280,'Livro Diario - FC'!$D$11:$D1028,"&gt;=01/05"&amp;$C$7,'Livro Diario - FC'!$D$11:$D1028,"&lt;=31/05"&amp;$C$7)</f>
        <v>0</v>
      </c>
      <c r="Y280" s="373">
        <f>SUMIFS('Livro Diario - FC'!$M$11:$M1028,'Livro Diario - FC'!$E$11:$E1028,$C$280,'Livro Diario - FC'!$D$11:$D1028,"&gt;=01/05"&amp;$C$7,'Livro Diario - FC'!$D$11:$D1028,"&lt;=31/05"&amp;$C$7)</f>
        <v>0</v>
      </c>
      <c r="Z280" s="273"/>
      <c r="AA280" s="258"/>
      <c r="AB280" s="259"/>
      <c r="AC280" s="255">
        <f>SUMIFS('Livro Diario - FC'!$K$11:$K1028,'Livro Diario - FC'!$E$11:$E1028,$C$280,'Livro Diario - FC'!$D$11:$D1028,"&gt;=01/06"&amp;$C$7,'Livro Diario - FC'!$D$11:$D1028,"&lt;=30/06"&amp;$C$7)</f>
        <v>0</v>
      </c>
      <c r="AD280" s="373">
        <f>SUMIFS('Livro Diario - FC'!$M$11:$M1028,'Livro Diario - FC'!$E$11:$E1028,$C$280,'Livro Diario - FC'!$D$11:$D1028,"&gt;=01/06"&amp;$C$7,'Livro Diario - FC'!$D$11:$D1028,"&lt;=30/06"&amp;$C$7)</f>
        <v>0</v>
      </c>
      <c r="AE280" s="273"/>
      <c r="AF280" s="258"/>
      <c r="AG280" s="255">
        <f>SUMIFS('Livro Diario - FC'!$K$11:$K1028,'Livro Diario - FC'!$E$11:$E1028,$C$280,'Livro Diario - FC'!$D$11:$D1028,"&gt;=01/07"&amp;$C$7,'Livro Diario - FC'!$D$11:$D1028,"&lt;=31/07"&amp;$C$7)</f>
        <v>0</v>
      </c>
      <c r="AH280" s="373">
        <f>SUMIFS('Livro Diario - FC'!$M$11:$M1028,'Livro Diario - FC'!$E$11:$E1028,$C$280,'Livro Diario - FC'!$D$11:$D1028,"&gt;=01/07"&amp;$C$7,'Livro Diario - FC'!$D$11:$D1028,"&lt;=31/07"&amp;$C$7)</f>
        <v>0</v>
      </c>
      <c r="AI280" s="273"/>
      <c r="AJ280" s="258"/>
      <c r="AK280" s="255">
        <f>SUMIFS('Livro Diario - FC'!$K$11:$K1028,'Livro Diario - FC'!$E$11:$E1028,$C$280,'Livro Diario - FC'!$D$11:$D1028,"&gt;=01/08"&amp;$C$7,'Livro Diario - FC'!$D$11:$D1028,"&lt;=31/08"&amp;$C$7)</f>
        <v>0</v>
      </c>
      <c r="AL280" s="373">
        <f>SUMIFS('Livro Diario - FC'!$M$11:$M1028,'Livro Diario - FC'!$E$11:$E1028,$C$280,'Livro Diario - FC'!$D$11:$D1028,"&gt;=01/08"&amp;$C$7,'Livro Diario - FC'!$D$11:$D1028,"&lt;=31/08"&amp;$C$7)</f>
        <v>0</v>
      </c>
      <c r="AM280" s="273"/>
      <c r="AN280" s="258"/>
      <c r="AO280" s="255">
        <f>SUMIFS('Livro Diario - FC'!$K$11:$K1028,'Livro Diario - FC'!$E$11:$E1028,$C$280,'Livro Diario - FC'!$D$11:$D1028,"&gt;=01/09"&amp;$C$7,'Livro Diario - FC'!$D$11:$D1028,"&lt;=30/09"&amp;$C$7)</f>
        <v>0</v>
      </c>
      <c r="AP280" s="373">
        <f>SUMIFS('Livro Diario - FC'!$M$11:$M1028,'Livro Diario - FC'!$E$11:$E1028,$C$280,'Livro Diario - FC'!$D$11:$D1028,"&gt;=01/09"&amp;$C$7,'Livro Diario - FC'!$D$11:$D1028,"&lt;=30/09"&amp;$C$7)</f>
        <v>0</v>
      </c>
      <c r="AQ280" s="273"/>
      <c r="AR280" s="258"/>
      <c r="AS280" s="255">
        <f>SUMIFS('Livro Diario - FC'!$K$11:$K1028,'Livro Diario - FC'!$E$11:$E1028,$C$280,'Livro Diario - FC'!$D$11:$D1028,"&gt;=01/10"&amp;$C$7,'Livro Diario - FC'!$D$11:$D1028,"&lt;=31/10"&amp;$C$7)</f>
        <v>0</v>
      </c>
      <c r="AT280" s="373">
        <f>SUMIFS('Livro Diario - FC'!$M$11:$M1028,'Livro Diario - FC'!$E$11:$E1028,$C$280,'Livro Diario - FC'!$D$11:$D1028,"&gt;=01/10"&amp;$C$7,'Livro Diario - FC'!$D$11:$D1028,"&lt;=31/10"&amp;$C$7)</f>
        <v>0</v>
      </c>
      <c r="AU280" s="273"/>
      <c r="AV280" s="258"/>
      <c r="AW280" s="255">
        <f>SUMIFS('Livro Diario - FC'!$K$11:$K1028,'Livro Diario - FC'!$E$11:$E1028,$C$280,'Livro Diario - FC'!$D$11:$D1028,"&gt;=01/11"&amp;$C$7,'Livro Diario - FC'!$D$11:$D1028,"&lt;=30/11"&amp;$C$7)</f>
        <v>0</v>
      </c>
      <c r="AX280" s="373">
        <f>SUMIFS('Livro Diario - FC'!$M$11:$M1028,'Livro Diario - FC'!$E$11:$E1028,$C$280,'Livro Diario - FC'!$D$11:$D1028,"&gt;=01/11"&amp;$C$7,'Livro Diario - FC'!$D$11:$D1028,"&lt;=30/11"&amp;$C$7)</f>
        <v>0</v>
      </c>
      <c r="AY280" s="273"/>
      <c r="AZ280" s="258"/>
      <c r="BA280" s="255">
        <f>SUMIFS('Livro Diario - FC'!$K$11:$K1028,'Livro Diario - FC'!$E$11:$E1028,$C$280,'Livro Diario - FC'!$D$11:$D1028,"&gt;=01/12"&amp;$C$7,'Livro Diario - FC'!$D$11:$D1028,"&lt;=31/12"&amp;$C$7)</f>
        <v>0</v>
      </c>
      <c r="BB280" s="373">
        <f>SUMIFS('Livro Diario - FC'!$M$11:$M1028,'Livro Diario - FC'!$E$11:$E1028,$C$280,'Livro Diario - FC'!$D$11:$D1028,"&gt;=01/12"&amp;$C$7,'Livro Diario - FC'!$D$11:$D1028,"&lt;=31/12"&amp;$C$7)</f>
        <v>0</v>
      </c>
      <c r="BC280" s="273"/>
      <c r="BD280" s="273"/>
      <c r="BE280" s="341">
        <f t="shared" ref="BE280:BF280" si="426">SUM(D280,I280,N280,S280,X280,AC280,AG280,AK280,AO280,AS280,AW280,BA280)</f>
        <v>0</v>
      </c>
      <c r="BF280" s="342">
        <f t="shared" si="426"/>
        <v>0</v>
      </c>
      <c r="BG280" s="343"/>
      <c r="BH280" s="344"/>
      <c r="BI280" s="270">
        <f>SUMIFS('Livro Diario - FC'!$M$11:$M1028,'Livro Diario - FC'!$E$11:$E1028,C280,'Livro Diario - FC'!$D$11:$D1028,"&gt;="&amp;$BK$8,'Livro Diario - FC'!$D$11:$D1028,"&lt;="&amp;$BK$9)</f>
        <v>0</v>
      </c>
      <c r="BJ280" s="271"/>
      <c r="BK280" s="345"/>
      <c r="BL280" s="146"/>
    </row>
    <row r="281">
      <c r="A281" s="1"/>
      <c r="B281" s="40"/>
      <c r="C281" s="380" t="s">
        <v>436</v>
      </c>
      <c r="D281" s="381">
        <f>SUMIFS('Livro Diario - FC'!$J$11:$J1028,'Livro Diario - FC'!$E$11:$E1028,$C$281,'Livro Diario - FC'!$D$11:$D1028,"&gt;=01/01"&amp;$C$7,'Livro Diario - FC'!$D$11:$D1028,"&lt;=31/01"&amp;$C$7)+SUM(D282:D285)</f>
        <v>0</v>
      </c>
      <c r="E281" s="382">
        <f>SUMIFS('Livro Diario - FC'!$L$11:$L1028,'Livro Diario - FC'!$E$11:$E1028,$C$281,'Livro Diario - FC'!$D$11:$D1028,"&gt;=01/01"&amp;$C$7,'Livro Diario - FC'!$D$11:$D1028,"&lt;=31/01"&amp;$C$7)+SUM(E282:E285)</f>
        <v>0</v>
      </c>
      <c r="F281" s="383">
        <f>IF(E$11=0,"",E281/E$11)</f>
        <v>0</v>
      </c>
      <c r="G281" s="384" t="str">
        <f>IF(A281=0,"",E281/A281-1)</f>
        <v/>
      </c>
      <c r="H281" s="327"/>
      <c r="I281" s="381">
        <f>SUMIFS('Livro Diario - FC'!$J$11:$J1028,'Livro Diario - FC'!$E$11:$E1028,$C$281,'Livro Diario - FC'!$D$11:$D1028,"&gt;=01/02"&amp;$C$7,'Livro Diario - FC'!$D$11:$D1028,"&lt;=29/02"&amp;$C$7)+SUM(I282:I285)</f>
        <v>0</v>
      </c>
      <c r="J281" s="382">
        <f>SUMIFS('Livro Diario - FC'!$L$11:$L1028,'Livro Diario - FC'!$E$11:$E1028,$C$281,'Livro Diario - FC'!$D$11:$D1028,"&gt;=01/02"&amp;$C$7,'Livro Diario - FC'!$D$11:$D1028,"&lt;=29/02"&amp;$C$7)+SUM(J282:J285)</f>
        <v>0</v>
      </c>
      <c r="K281" s="383" t="str">
        <f>IF(J$11=0,"",J281/J$11)</f>
        <v/>
      </c>
      <c r="L281" s="384" t="str">
        <f>IF(E281=0,"",J281/E281-1)</f>
        <v/>
      </c>
      <c r="M281" s="385"/>
      <c r="N281" s="381">
        <f>SUMIFS('Livro Diario - FC'!$J$11:$J1028,'Livro Diario - FC'!$E$11:$E1028,$C$281,'Livro Diario - FC'!$D$11:$D1028,"&gt;=01/03"&amp;$C$7,'Livro Diario - FC'!$D$11:$D1028,"&lt;=31/03"&amp;$C$7)+SUM(N282:N285)</f>
        <v>0</v>
      </c>
      <c r="O281" s="382">
        <f>SUMIFS('Livro Diario - FC'!$L$11:$L1028,'Livro Diario - FC'!$E$11:$E1028,$C$281,'Livro Diario - FC'!$D$11:$D1028,"&gt;=01/03"&amp;$C$7,'Livro Diario - FC'!$D$11:$D1028,"&lt;=31/03"&amp;$C$7)+SUM(O282:O285)</f>
        <v>0</v>
      </c>
      <c r="P281" s="383" t="str">
        <f>IF(O$11=0,"",O281/O$11)</f>
        <v/>
      </c>
      <c r="Q281" s="384" t="str">
        <f>IF(J281=0,"",O281/J281-1)</f>
        <v/>
      </c>
      <c r="R281" s="385"/>
      <c r="S281" s="381">
        <f>SUMIFS('Livro Diario - FC'!$J$11:$J1028,'Livro Diario - FC'!$E$11:$E1028,$C$281,'Livro Diario - FC'!$D$11:$D1028,"&gt;=01/04"&amp;$C$7,'Livro Diario - FC'!$D$11:$D1028,"&lt;=30/04"&amp;$C$7)+SUM(S282:S285)</f>
        <v>0</v>
      </c>
      <c r="T281" s="382">
        <f>SUMIFS('Livro Diario - FC'!$L$11:$L1028,'Livro Diario - FC'!$E$11:$E1028,$C$281,'Livro Diario - FC'!$D$11:$D1028,"&gt;=01/04"&amp;$C$7,'Livro Diario - FC'!$D$11:$D1028,"&lt;=30/04"&amp;$C$7)+SUM(T282:T285)</f>
        <v>0</v>
      </c>
      <c r="U281" s="383" t="str">
        <f>IF(T$11=0,"",T281/T$11)</f>
        <v/>
      </c>
      <c r="V281" s="384" t="str">
        <f>IF(O281=0,"",T281/O281-1)</f>
        <v/>
      </c>
      <c r="W281" s="385"/>
      <c r="X281" s="381">
        <f>SUMIFS('Livro Diario - FC'!$J$11:$J1028,'Livro Diario - FC'!$E$11:$E1028,$C$281,'Livro Diario - FC'!$D$11:$D1028,"&gt;=01/05"&amp;$C$7,'Livro Diario - FC'!$D$11:$D1028,"&lt;=31/05"&amp;$C$7)+SUM(X282:X285)</f>
        <v>0</v>
      </c>
      <c r="Y281" s="382">
        <f>SUMIFS('Livro Diario - FC'!$L$11:$L1028,'Livro Diario - FC'!$E$11:$E1028,$C$281,'Livro Diario - FC'!$D$11:$D1028,"&gt;=01/05"&amp;$C$7,'Livro Diario - FC'!$D$11:$D1028,"&lt;=31/05"&amp;$C$7)+SUM(Y282:Y285)</f>
        <v>0</v>
      </c>
      <c r="Z281" s="383" t="str">
        <f>IF(Y$11=0,"",Y281/Y$11)</f>
        <v/>
      </c>
      <c r="AA281" s="384" t="str">
        <f>IF(T281=0,"",Y281/T281-1)</f>
        <v/>
      </c>
      <c r="AB281" s="385"/>
      <c r="AC281" s="381">
        <f>SUMIFS('Livro Diario - FC'!$J$11:$J1028,'Livro Diario - FC'!$E$11:$E1028,$C$281,'Livro Diario - FC'!$D$11:$D1028,"&gt;=01/06"&amp;$C$7,'Livro Diario - FC'!$D$11:$D1028,"&lt;=30/06"&amp;$C$7)+SUM(AC282:AC285)</f>
        <v>0</v>
      </c>
      <c r="AD281" s="382">
        <f>SUMIFS('Livro Diario - FC'!$L$11:$L1028,'Livro Diario - FC'!$E$11:$E1028,$C$281,'Livro Diario - FC'!$D$11:$D1028,"&gt;=01/06"&amp;$C$7,'Livro Diario - FC'!$D$11:$D1028,"&lt;=30/06"&amp;$C$7)+SUM(AD282:AD285)</f>
        <v>0</v>
      </c>
      <c r="AE281" s="383" t="str">
        <f>IF(AD$11=0,"",AD281/AD$11)</f>
        <v/>
      </c>
      <c r="AF281" s="384" t="str">
        <f>IF(Y281=0,"",AD281/Y281-1)</f>
        <v/>
      </c>
      <c r="AG281" s="381">
        <f>SUMIFS('Livro Diario - FC'!$J$11:$J1028,'Livro Diario - FC'!$E$11:$E1028,$C$281,'Livro Diario - FC'!$D$11:$D1028,"&gt;=01/07"&amp;$C$7,'Livro Diario - FC'!$D$11:$D1028,"&lt;=31/07"&amp;$C$7)+SUM(AG282:AG285)</f>
        <v>0</v>
      </c>
      <c r="AH281" s="382">
        <f>SUMIFS('Livro Diario - FC'!$L$11:$L1028,'Livro Diario - FC'!$E$11:$E1028,$C$281,'Livro Diario - FC'!$D$11:$D1028,"&gt;=01/07"&amp;$C$7,'Livro Diario - FC'!$D$11:$D1028,"&lt;=31/07"&amp;$C$7)+SUM(AH282:AH285)</f>
        <v>0</v>
      </c>
      <c r="AI281" s="383" t="str">
        <f>IF(AH$11=0,"",AH281/AH$11)</f>
        <v/>
      </c>
      <c r="AJ281" s="384" t="str">
        <f>IF(AD281=0,"",AH281/AD281-1)</f>
        <v/>
      </c>
      <c r="AK281" s="381">
        <f>SUMIFS('Livro Diario - FC'!$J$11:$J1028,'Livro Diario - FC'!$E$11:$E1028,$C$281,'Livro Diario - FC'!$D$11:$D1028,"&gt;=01/08"&amp;$C$7,'Livro Diario - FC'!$D$11:$D1028,"&lt;=31/08"&amp;$C$7)+SUM(AK282:AK285)</f>
        <v>0</v>
      </c>
      <c r="AL281" s="382">
        <f>SUMIFS('Livro Diario - FC'!$L$11:$L1028,'Livro Diario - FC'!$E$11:$E1028,$C$281,'Livro Diario - FC'!$D$11:$D1028,"&gt;=01/08"&amp;$C$7,'Livro Diario - FC'!$D$11:$D1028,"&lt;=31/08"&amp;$C$7)+SUM(AL282:AL285)</f>
        <v>0</v>
      </c>
      <c r="AM281" s="383" t="str">
        <f>IF(AL$11=0,"",AL281/AL$11)</f>
        <v/>
      </c>
      <c r="AN281" s="384" t="str">
        <f>IF(AH281=0,"",AL281/AH281-1)</f>
        <v/>
      </c>
      <c r="AO281" s="381">
        <f>SUMIFS('Livro Diario - FC'!$J$11:$J1028,'Livro Diario - FC'!$E$11:$E1028,$C$281,'Livro Diario - FC'!$D$11:$D1028,"&gt;=01/09"&amp;$C$7,'Livro Diario - FC'!$D$11:$D1028,"&lt;=30/09"&amp;$C$7)+SUM(AO282:AO285)</f>
        <v>0</v>
      </c>
      <c r="AP281" s="382">
        <f>SUMIFS('Livro Diario - FC'!$L$11:$L1028,'Livro Diario - FC'!$E$11:$E1028,$C$281,'Livro Diario - FC'!$D$11:$D1028,"&gt;=01/09"&amp;$C$7,'Livro Diario - FC'!$D$11:$D1028,"&lt;=30/09"&amp;$C$7)+SUM(AP282:AP285)</f>
        <v>0</v>
      </c>
      <c r="AQ281" s="383" t="str">
        <f>IF(AP$11=0,"",AP281/AP$11)</f>
        <v/>
      </c>
      <c r="AR281" s="384" t="str">
        <f>IF(AL281=0,"",AP281/AL281-1)</f>
        <v/>
      </c>
      <c r="AS281" s="381">
        <f>SUMIFS('Livro Diario - FC'!$J$11:$J1028,'Livro Diario - FC'!$E$11:$E1028,$C$281,'Livro Diario - FC'!$D$11:$D1028,"&gt;=01/10"&amp;$C$7,'Livro Diario - FC'!$D$11:$D1028,"&lt;=31/10"&amp;$C$7)+SUM(AS282:AS285)</f>
        <v>0</v>
      </c>
      <c r="AT281" s="382">
        <f>SUMIFS('Livro Diario - FC'!$L$11:$L1028,'Livro Diario - FC'!$E$11:$E1028,$C$281,'Livro Diario - FC'!$D$11:$D1028,"&gt;=01/10"&amp;$C$7,'Livro Diario - FC'!$D$11:$D1028,"&lt;=31/10"&amp;$C$7)+SUM(AT282:AT285)</f>
        <v>0</v>
      </c>
      <c r="AU281" s="383" t="str">
        <f>IF(AT$11=0,"",AT281/AT$11)</f>
        <v/>
      </c>
      <c r="AV281" s="384" t="str">
        <f>IF(AP281=0,"",AT281/AP281-1)</f>
        <v/>
      </c>
      <c r="AW281" s="381">
        <f>SUMIFS('Livro Diario - FC'!$J$11:$J1028,'Livro Diario - FC'!$E$11:$E1028,$C$281,'Livro Diario - FC'!$D$11:$D1028,"&gt;=01/11"&amp;$C$7,'Livro Diario - FC'!$D$11:$D1028,"&lt;=30/11"&amp;$C$7)+SUM(AW282:AW285)</f>
        <v>0</v>
      </c>
      <c r="AX281" s="382">
        <f>SUMIFS('Livro Diario - FC'!$L$11:$L1028,'Livro Diario - FC'!$E$11:$E1028,$C$281,'Livro Diario - FC'!$D$11:$D1028,"&gt;=01/11"&amp;$C$7,'Livro Diario - FC'!$D$11:$D1028,"&lt;=30/11"&amp;$C$7)+SUM(AX282:AX285)</f>
        <v>0</v>
      </c>
      <c r="AY281" s="383" t="str">
        <f>IF(AX$11=0,"",AX281/AX$11)</f>
        <v/>
      </c>
      <c r="AZ281" s="384" t="str">
        <f>IF(AT281=0,"",AX281/AT281-1)</f>
        <v/>
      </c>
      <c r="BA281" s="381">
        <f>SUMIFS('Livro Diario - FC'!$J$11:$J1028,'Livro Diario - FC'!$E$11:$E1028,$C$281,'Livro Diario - FC'!$D$11:$D1028,"&gt;=01/12"&amp;$C$7,'Livro Diario - FC'!$D$11:$D1028,"&lt;=31/12"&amp;$C$7)+SUM(BA282:BA285)</f>
        <v>0</v>
      </c>
      <c r="BB281" s="382">
        <f>SUMIFS('Livro Diario - FC'!$L$11:$L1028,'Livro Diario - FC'!$E$11:$E1028,$C$281,'Livro Diario - FC'!$D$11:$D1028,"&gt;=01/12"&amp;$C$7,'Livro Diario - FC'!$D$11:$D1028,"&lt;=31/12"&amp;$C$7)+SUM(BB282:BB285)</f>
        <v>0</v>
      </c>
      <c r="BC281" s="383" t="str">
        <f>IF(BB$11=0,"",BB281/BB$11)</f>
        <v/>
      </c>
      <c r="BD281" s="385" t="str">
        <f>IF(AX281=0,"",BB281/AX281-1)</f>
        <v/>
      </c>
      <c r="BE281" s="331">
        <f t="shared" ref="BE281:BF281" si="427">SUM(D281,I281,N281,S281,X281,AC281,AG281,AK281,AO281,AS281,AW281,BA281)</f>
        <v>0</v>
      </c>
      <c r="BF281" s="369">
        <f t="shared" si="427"/>
        <v>0</v>
      </c>
      <c r="BG281" s="370">
        <f>IF(BF$11=0,"",BF281/BF$11)</f>
        <v>0</v>
      </c>
      <c r="BH281" s="336"/>
      <c r="BI281" s="371">
        <f>SUMIFS('Livro Diario - FC'!$M$11:$M1028,'Livro Diario - FC'!$E$11:$E1028,C281,'Livro Diario - FC'!$D$11:$D1028,"&gt;="&amp;$BK$8,'Livro Diario - FC'!$D$11:$D1028,"&lt;="&amp;$BK$9)+SUM(BI282:BI285)</f>
        <v>0</v>
      </c>
      <c r="BJ281" s="335" t="str">
        <f>IF(BI$11=0,"",BI281/BI$11)</f>
        <v/>
      </c>
      <c r="BK281" s="336"/>
      <c r="BL281" s="372"/>
    </row>
    <row r="282">
      <c r="A282" s="1"/>
      <c r="B282" s="1"/>
      <c r="C282" s="338" t="str">
        <f>'Livro Diario - FC'!AE290</f>
        <v>5.4.1 Contador</v>
      </c>
      <c r="D282" s="255">
        <f>SUMIFS('Livro Diario - FC'!$K$11:$K1028,'Livro Diario - FC'!$E$11:$E1028,$C$282,'Livro Diario - FC'!$D$11:$D1028,"&gt;=01/01"&amp;$C$7,'Livro Diario - FC'!$D$11:$D1028,"&lt;=31/01"&amp;$C$7)</f>
        <v>0</v>
      </c>
      <c r="E282" s="256">
        <f>SUMIFS('Livro Diario - FC'!$M$11:$M1028,'Livro Diario - FC'!$E$11:$E1028,$C$282,'Livro Diario - FC'!$D$11:$D1028,"&gt;=01/01"&amp;$C$7,'Livro Diario - FC'!$D$11:$D1028,"&lt;=31/01"&amp;$C$7)</f>
        <v>0</v>
      </c>
      <c r="F282" s="273"/>
      <c r="G282" s="258"/>
      <c r="H282" s="157"/>
      <c r="I282" s="255">
        <f>SUMIFS('Livro Diario - FC'!$K$11:$K1028,'Livro Diario - FC'!$E$11:$E1028,$C$282,'Livro Diario - FC'!$D$11:$D1028,"&gt;=01/02"&amp;$C$7,'Livro Diario - FC'!$D$11:$D1028,"&lt;=29/02"&amp;$C$7)</f>
        <v>0</v>
      </c>
      <c r="J282" s="256">
        <f>SUMIFS('Livro Diario - FC'!$M$11:$M1028,'Livro Diario - FC'!$E$11:$E1028,$C$282,'Livro Diario - FC'!$D$11:$D1028,"&gt;=01/02"&amp;$C$7,'Livro Diario - FC'!$D$11:$D1028,"&lt;=29/02"&amp;$C$7)</f>
        <v>0</v>
      </c>
      <c r="K282" s="273"/>
      <c r="L282" s="258"/>
      <c r="M282" s="259"/>
      <c r="N282" s="255">
        <f>SUMIFS('Livro Diario - FC'!$K$11:$K1028,'Livro Diario - FC'!$E$11:$E1028,$C$282,'Livro Diario - FC'!$D$11:$D1028,"&gt;=01/03"&amp;$C$7,'Livro Diario - FC'!$D$11:$D1028,"&lt;=31/03"&amp;$C$7)</f>
        <v>0</v>
      </c>
      <c r="O282" s="256">
        <f>SUMIFS('Livro Diario - FC'!$M$11:$M1028,'Livro Diario - FC'!$E$11:$E1028,$C$282,'Livro Diario - FC'!$D$11:$D1028,"&gt;=01/03"&amp;$C$7,'Livro Diario - FC'!$D$11:$D1028,"&lt;=31/03"&amp;$C$7)</f>
        <v>0</v>
      </c>
      <c r="P282" s="273"/>
      <c r="Q282" s="258"/>
      <c r="R282" s="259"/>
      <c r="S282" s="255">
        <f>SUMIFS('Livro Diario - FC'!$K$11:$K1028,'Livro Diario - FC'!$E$11:$E1028,$C$282,'Livro Diario - FC'!$D$11:$D1028,"&gt;=01/04"&amp;$C$7,'Livro Diario - FC'!$D$11:$D1028,"&lt;=30/04"&amp;$C$7)</f>
        <v>0</v>
      </c>
      <c r="T282" s="256">
        <f>SUMIFS('Livro Diario - FC'!$M$11:$M1028,'Livro Diario - FC'!$E$11:$E1028,$C$282,'Livro Diario - FC'!$D$11:$D1028,"&gt;=01/04"&amp;$C$7,'Livro Diario - FC'!$D$11:$D1028,"&lt;=30/04"&amp;$C$7)</f>
        <v>0</v>
      </c>
      <c r="U282" s="273"/>
      <c r="V282" s="258"/>
      <c r="W282" s="259"/>
      <c r="X282" s="255">
        <f>SUMIFS('Livro Diario - FC'!$K$11:$K1028,'Livro Diario - FC'!$E$11:$E1028,$C$282,'Livro Diario - FC'!$D$11:$D1028,"&gt;=01/05"&amp;$C$7,'Livro Diario - FC'!$D$11:$D1028,"&lt;=31/05"&amp;$C$7)</f>
        <v>0</v>
      </c>
      <c r="Y282" s="256">
        <f>SUMIFS('Livro Diario - FC'!$M$11:$M1028,'Livro Diario - FC'!$E$11:$E1028,$C$282,'Livro Diario - FC'!$D$11:$D1028,"&gt;=01/05"&amp;$C$7,'Livro Diario - FC'!$D$11:$D1028,"&lt;=31/05"&amp;$C$7)</f>
        <v>0</v>
      </c>
      <c r="Z282" s="273"/>
      <c r="AA282" s="258"/>
      <c r="AB282" s="259"/>
      <c r="AC282" s="255">
        <f>SUMIFS('Livro Diario - FC'!$K$11:$K1028,'Livro Diario - FC'!$E$11:$E1028,$C$282,'Livro Diario - FC'!$D$11:$D1028,"&gt;=01/06"&amp;$C$7,'Livro Diario - FC'!$D$11:$D1028,"&lt;=30/06"&amp;$C$7)</f>
        <v>0</v>
      </c>
      <c r="AD282" s="256">
        <f>SUMIFS('Livro Diario - FC'!$M$11:$M1028,'Livro Diario - FC'!$E$11:$E1028,$C$282,'Livro Diario - FC'!$D$11:$D1028,"&gt;=01/06"&amp;$C$7,'Livro Diario - FC'!$D$11:$D1028,"&lt;=30/06"&amp;$C$7)</f>
        <v>0</v>
      </c>
      <c r="AE282" s="273"/>
      <c r="AF282" s="258"/>
      <c r="AG282" s="255">
        <f>SUMIFS('Livro Diario - FC'!$K$11:$K1028,'Livro Diario - FC'!$E$11:$E1028,$C$282,'Livro Diario - FC'!$D$11:$D1028,"&gt;=01/07"&amp;$C$7,'Livro Diario - FC'!$D$11:$D1028,"&lt;=31/07"&amp;$C$7)</f>
        <v>0</v>
      </c>
      <c r="AH282" s="256">
        <f>SUMIFS('Livro Diario - FC'!$M$11:$M1028,'Livro Diario - FC'!$E$11:$E1028,$C$282,'Livro Diario - FC'!$D$11:$D1028,"&gt;=01/07"&amp;$C$7,'Livro Diario - FC'!$D$11:$D1028,"&lt;=31/07"&amp;$C$7)</f>
        <v>0</v>
      </c>
      <c r="AI282" s="273"/>
      <c r="AJ282" s="258"/>
      <c r="AK282" s="255">
        <f>SUMIFS('Livro Diario - FC'!$K$11:$K1028,'Livro Diario - FC'!$E$11:$E1028,$C$282,'Livro Diario - FC'!$D$11:$D1028,"&gt;=01/08"&amp;$C$7,'Livro Diario - FC'!$D$11:$D1028,"&lt;=31/08"&amp;$C$7)</f>
        <v>0</v>
      </c>
      <c r="AL282" s="256">
        <f>SUMIFS('Livro Diario - FC'!$M$11:$M1028,'Livro Diario - FC'!$E$11:$E1028,$C$282,'Livro Diario - FC'!$D$11:$D1028,"&gt;=01/08"&amp;$C$7,'Livro Diario - FC'!$D$11:$D1028,"&lt;=31/08"&amp;$C$7)</f>
        <v>0</v>
      </c>
      <c r="AM282" s="273"/>
      <c r="AN282" s="258"/>
      <c r="AO282" s="255">
        <f>SUMIFS('Livro Diario - FC'!$K$11:$K1028,'Livro Diario - FC'!$E$11:$E1028,$C$282,'Livro Diario - FC'!$D$11:$D1028,"&gt;=01/09"&amp;$C$7,'Livro Diario - FC'!$D$11:$D1028,"&lt;=30/09"&amp;$C$7)</f>
        <v>0</v>
      </c>
      <c r="AP282" s="256">
        <f>SUMIFS('Livro Diario - FC'!$M$11:$M1028,'Livro Diario - FC'!$E$11:$E1028,$C$282,'Livro Diario - FC'!$D$11:$D1028,"&gt;=01/09"&amp;$C$7,'Livro Diario - FC'!$D$11:$D1028,"&lt;=30/09"&amp;$C$7)</f>
        <v>0</v>
      </c>
      <c r="AQ282" s="273"/>
      <c r="AR282" s="258"/>
      <c r="AS282" s="255">
        <f>SUMIFS('Livro Diario - FC'!$K$11:$K1028,'Livro Diario - FC'!$E$11:$E1028,$C$282,'Livro Diario - FC'!$D$11:$D1028,"&gt;=01/10"&amp;$C$7,'Livro Diario - FC'!$D$11:$D1028,"&lt;=31/10"&amp;$C$7)</f>
        <v>0</v>
      </c>
      <c r="AT282" s="256">
        <f>SUMIFS('Livro Diario - FC'!$M$11:$M1028,'Livro Diario - FC'!$E$11:$E1028,$C$282,'Livro Diario - FC'!$D$11:$D1028,"&gt;=01/10"&amp;$C$7,'Livro Diario - FC'!$D$11:$D1028,"&lt;=31/10"&amp;$C$7)</f>
        <v>0</v>
      </c>
      <c r="AU282" s="273"/>
      <c r="AV282" s="258"/>
      <c r="AW282" s="255">
        <f>SUMIFS('Livro Diario - FC'!$K$11:$K1028,'Livro Diario - FC'!$E$11:$E1028,$C$282,'Livro Diario - FC'!$D$11:$D1028,"&gt;=01/11"&amp;$C$7,'Livro Diario - FC'!$D$11:$D1028,"&lt;=30/11"&amp;$C$7)</f>
        <v>0</v>
      </c>
      <c r="AX282" s="256">
        <f>SUMIFS('Livro Diario - FC'!$M$11:$M1028,'Livro Diario - FC'!$E$11:$E1028,$C$282,'Livro Diario - FC'!$D$11:$D1028,"&gt;=01/11"&amp;$C$7,'Livro Diario - FC'!$D$11:$D1028,"&lt;=30/11"&amp;$C$7)</f>
        <v>0</v>
      </c>
      <c r="AY282" s="273"/>
      <c r="AZ282" s="258"/>
      <c r="BA282" s="255">
        <f>SUMIFS('Livro Diario - FC'!$K$11:$K1028,'Livro Diario - FC'!$E$11:$E1028,$C$282,'Livro Diario - FC'!$D$11:$D1028,"&gt;=01/12"&amp;$C$7,'Livro Diario - FC'!$D$11:$D1028,"&lt;=31/12"&amp;$C$7)</f>
        <v>0</v>
      </c>
      <c r="BB282" s="256">
        <f>SUMIFS('Livro Diario - FC'!$M$11:$M1028,'Livro Diario - FC'!$E$11:$E1028,$C$282,'Livro Diario - FC'!$D$11:$D1028,"&gt;=01/12"&amp;$C$7,'Livro Diario - FC'!$D$11:$D1028,"&lt;=31/12"&amp;$C$7)</f>
        <v>0</v>
      </c>
      <c r="BC282" s="273"/>
      <c r="BD282" s="273"/>
      <c r="BE282" s="260">
        <f t="shared" ref="BE282:BF282" si="428">SUM(D282,I282,N282,S282,X282,AC282,AG282,AK282,AO282,AS282,AW282,BA282)</f>
        <v>0</v>
      </c>
      <c r="BF282" s="261">
        <f t="shared" si="428"/>
        <v>0</v>
      </c>
      <c r="BG282" s="262"/>
      <c r="BH282" s="302"/>
      <c r="BI282" s="270">
        <f>SUMIFS('Livro Diario - FC'!$M$11:$M1028,'Livro Diario - FC'!$E$11:$E1028,C62,'Livro Diario - FC'!$D$11:$D1028,"&gt;="&amp;$BK$8,'Livro Diario - FC'!$D$11:$D1028,"&lt;="&amp;$BK$9)</f>
        <v>0</v>
      </c>
      <c r="BJ282" s="271"/>
      <c r="BK282" s="304"/>
      <c r="BL282" s="339"/>
    </row>
    <row r="283">
      <c r="A283" s="1"/>
      <c r="B283" s="1"/>
      <c r="C283" s="338" t="str">
        <f>'Livro Diario - FC'!AE291</f>
        <v>5.4.2 TI</v>
      </c>
      <c r="D283" s="255">
        <f>SUMIFS('Livro Diario - FC'!$K$11:$K1028,'Livro Diario - FC'!$E$11:$E1028,$C$283,'Livro Diario - FC'!$D$11:$D1028,"&gt;=01/01"&amp;$C$7,'Livro Diario - FC'!$D$11:$D1028,"&lt;=31/01"&amp;$C$7)</f>
        <v>0</v>
      </c>
      <c r="E283" s="256">
        <f>SUMIFS('Livro Diario - FC'!$M$11:$M1028,'Livro Diario - FC'!$E$11:$E1028,$C$283,'Livro Diario - FC'!$D$11:$D1028,"&gt;=01/01"&amp;$C$7,'Livro Diario - FC'!$D$11:$D1028,"&lt;=31/01"&amp;$C$7)</f>
        <v>0</v>
      </c>
      <c r="F283" s="273"/>
      <c r="G283" s="258"/>
      <c r="H283" s="157"/>
      <c r="I283" s="255">
        <f>SUMIFS('Livro Diario - FC'!$K$11:$K1028,'Livro Diario - FC'!$E$11:$E1028,$C$283,'Livro Diario - FC'!$D$11:$D1028,"&gt;=01/02"&amp;$C$7,'Livro Diario - FC'!$D$11:$D1028,"&lt;=29/02"&amp;$C$7)</f>
        <v>0</v>
      </c>
      <c r="J283" s="256">
        <f>SUMIFS('Livro Diario - FC'!$M$11:$M1028,'Livro Diario - FC'!$E$11:$E1028,$C$283,'Livro Diario - FC'!$D$11:$D1028,"&gt;=01/02"&amp;$C$7,'Livro Diario - FC'!$D$11:$D1028,"&lt;=29/02"&amp;$C$7)</f>
        <v>0</v>
      </c>
      <c r="K283" s="273"/>
      <c r="L283" s="258"/>
      <c r="M283" s="259"/>
      <c r="N283" s="255">
        <f>SUMIFS('Livro Diario - FC'!$K$11:$K1028,'Livro Diario - FC'!$E$11:$E1028,$C$283,'Livro Diario - FC'!$D$11:$D1028,"&gt;=01/03"&amp;$C$7,'Livro Diario - FC'!$D$11:$D1028,"&lt;=31/03"&amp;$C$7)</f>
        <v>0</v>
      </c>
      <c r="O283" s="256">
        <f>SUMIFS('Livro Diario - FC'!$M$11:$M1028,'Livro Diario - FC'!$E$11:$E1028,$C$283,'Livro Diario - FC'!$D$11:$D1028,"&gt;=01/03"&amp;$C$7,'Livro Diario - FC'!$D$11:$D1028,"&lt;=31/03"&amp;$C$7)</f>
        <v>0</v>
      </c>
      <c r="P283" s="273"/>
      <c r="Q283" s="258"/>
      <c r="R283" s="259"/>
      <c r="S283" s="255">
        <f>SUMIFS('Livro Diario - FC'!$K$11:$K1028,'Livro Diario - FC'!$E$11:$E1028,$C$283,'Livro Diario - FC'!$D$11:$D1028,"&gt;=01/04"&amp;$C$7,'Livro Diario - FC'!$D$11:$D1028,"&lt;=30/04"&amp;$C$7)</f>
        <v>0</v>
      </c>
      <c r="T283" s="256">
        <f>SUMIFS('Livro Diario - FC'!$M$11:$M1028,'Livro Diario - FC'!$E$11:$E1028,$C$283,'Livro Diario - FC'!$D$11:$D1028,"&gt;=01/04"&amp;$C$7,'Livro Diario - FC'!$D$11:$D1028,"&lt;=30/04"&amp;$C$7)</f>
        <v>0</v>
      </c>
      <c r="U283" s="273"/>
      <c r="V283" s="258"/>
      <c r="W283" s="259"/>
      <c r="X283" s="255">
        <f>SUMIFS('Livro Diario - FC'!$K$11:$K1028,'Livro Diario - FC'!$E$11:$E1028,$C$283,'Livro Diario - FC'!$D$11:$D1028,"&gt;=01/05"&amp;$C$7,'Livro Diario - FC'!$D$11:$D1028,"&lt;=31/05"&amp;$C$7)</f>
        <v>0</v>
      </c>
      <c r="Y283" s="256">
        <f>SUMIFS('Livro Diario - FC'!$M$11:$M1028,'Livro Diario - FC'!$E$11:$E1028,$C$283,'Livro Diario - FC'!$D$11:$D1028,"&gt;=01/05"&amp;$C$7,'Livro Diario - FC'!$D$11:$D1028,"&lt;=31/05"&amp;$C$7)</f>
        <v>0</v>
      </c>
      <c r="Z283" s="273"/>
      <c r="AA283" s="258"/>
      <c r="AB283" s="259"/>
      <c r="AC283" s="255">
        <f>SUMIFS('Livro Diario - FC'!$K$11:$K1028,'Livro Diario - FC'!$E$11:$E1028,$C$283,'Livro Diario - FC'!$D$11:$D1028,"&gt;=01/06"&amp;$C$7,'Livro Diario - FC'!$D$11:$D1028,"&lt;=30/06"&amp;$C$7)</f>
        <v>0</v>
      </c>
      <c r="AD283" s="256">
        <f>SUMIFS('Livro Diario - FC'!$M$11:$M1028,'Livro Diario - FC'!$E$11:$E1028,$C$283,'Livro Diario - FC'!$D$11:$D1028,"&gt;=01/06"&amp;$C$7,'Livro Diario - FC'!$D$11:$D1028,"&lt;=30/06"&amp;$C$7)</f>
        <v>0</v>
      </c>
      <c r="AE283" s="273"/>
      <c r="AF283" s="258"/>
      <c r="AG283" s="255">
        <f>SUMIFS('Livro Diario - FC'!$K$11:$K1028,'Livro Diario - FC'!$E$11:$E1028,$C$283,'Livro Diario - FC'!$D$11:$D1028,"&gt;=01/07"&amp;$C$7,'Livro Diario - FC'!$D$11:$D1028,"&lt;=31/07"&amp;$C$7)</f>
        <v>0</v>
      </c>
      <c r="AH283" s="256">
        <f>SUMIFS('Livro Diario - FC'!$M$11:$M1028,'Livro Diario - FC'!$E$11:$E1028,$C$283,'Livro Diario - FC'!$D$11:$D1028,"&gt;=01/07"&amp;$C$7,'Livro Diario - FC'!$D$11:$D1028,"&lt;=31/07"&amp;$C$7)</f>
        <v>0</v>
      </c>
      <c r="AI283" s="273"/>
      <c r="AJ283" s="258"/>
      <c r="AK283" s="255">
        <f>SUMIFS('Livro Diario - FC'!$K$11:$K1028,'Livro Diario - FC'!$E$11:$E1028,$C$283,'Livro Diario - FC'!$D$11:$D1028,"&gt;=01/08"&amp;$C$7,'Livro Diario - FC'!$D$11:$D1028,"&lt;=31/08"&amp;$C$7)</f>
        <v>0</v>
      </c>
      <c r="AL283" s="256">
        <f>SUMIFS('Livro Diario - FC'!$M$11:$M1028,'Livro Diario - FC'!$E$11:$E1028,$C$283,'Livro Diario - FC'!$D$11:$D1028,"&gt;=01/08"&amp;$C$7,'Livro Diario - FC'!$D$11:$D1028,"&lt;=31/08"&amp;$C$7)</f>
        <v>0</v>
      </c>
      <c r="AM283" s="273"/>
      <c r="AN283" s="258"/>
      <c r="AO283" s="255">
        <f>SUMIFS('Livro Diario - FC'!$K$11:$K1028,'Livro Diario - FC'!$E$11:$E1028,$C$283,'Livro Diario - FC'!$D$11:$D1028,"&gt;=01/09"&amp;$C$7,'Livro Diario - FC'!$D$11:$D1028,"&lt;=30/09"&amp;$C$7)</f>
        <v>0</v>
      </c>
      <c r="AP283" s="256">
        <f>SUMIFS('Livro Diario - FC'!$M$11:$M1028,'Livro Diario - FC'!$E$11:$E1028,$C$283,'Livro Diario - FC'!$D$11:$D1028,"&gt;=01/09"&amp;$C$7,'Livro Diario - FC'!$D$11:$D1028,"&lt;=30/09"&amp;$C$7)</f>
        <v>0</v>
      </c>
      <c r="AQ283" s="273"/>
      <c r="AR283" s="258"/>
      <c r="AS283" s="255">
        <f>SUMIFS('Livro Diario - FC'!$K$11:$K1028,'Livro Diario - FC'!$E$11:$E1028,$C$283,'Livro Diario - FC'!$D$11:$D1028,"&gt;=01/10"&amp;$C$7,'Livro Diario - FC'!$D$11:$D1028,"&lt;=31/10"&amp;$C$7)</f>
        <v>0</v>
      </c>
      <c r="AT283" s="256">
        <f>SUMIFS('Livro Diario - FC'!$M$11:$M1028,'Livro Diario - FC'!$E$11:$E1028,$C$283,'Livro Diario - FC'!$D$11:$D1028,"&gt;=01/10"&amp;$C$7,'Livro Diario - FC'!$D$11:$D1028,"&lt;=31/10"&amp;$C$7)</f>
        <v>0</v>
      </c>
      <c r="AU283" s="273"/>
      <c r="AV283" s="258"/>
      <c r="AW283" s="255">
        <f>SUMIFS('Livro Diario - FC'!$K$11:$K1028,'Livro Diario - FC'!$E$11:$E1028,$C$283,'Livro Diario - FC'!$D$11:$D1028,"&gt;=01/11"&amp;$C$7,'Livro Diario - FC'!$D$11:$D1028,"&lt;=30/11"&amp;$C$7)</f>
        <v>0</v>
      </c>
      <c r="AX283" s="256">
        <f>SUMIFS('Livro Diario - FC'!$M$11:$M1028,'Livro Diario - FC'!$E$11:$E1028,$C$283,'Livro Diario - FC'!$D$11:$D1028,"&gt;=01/11"&amp;$C$7,'Livro Diario - FC'!$D$11:$D1028,"&lt;=30/11"&amp;$C$7)</f>
        <v>0</v>
      </c>
      <c r="AY283" s="273"/>
      <c r="AZ283" s="258"/>
      <c r="BA283" s="255">
        <f>SUMIFS('Livro Diario - FC'!$K$11:$K1028,'Livro Diario - FC'!$E$11:$E1028,$C$283,'Livro Diario - FC'!$D$11:$D1028,"&gt;=01/12"&amp;$C$7,'Livro Diario - FC'!$D$11:$D1028,"&lt;=31/12"&amp;$C$7)</f>
        <v>0</v>
      </c>
      <c r="BB283" s="256">
        <f>SUMIFS('Livro Diario - FC'!$M$11:$M1028,'Livro Diario - FC'!$E$11:$E1028,$C$283,'Livro Diario - FC'!$D$11:$D1028,"&gt;=01/12"&amp;$C$7,'Livro Diario - FC'!$D$11:$D1028,"&lt;=31/12"&amp;$C$7)</f>
        <v>0</v>
      </c>
      <c r="BC283" s="273"/>
      <c r="BD283" s="273"/>
      <c r="BE283" s="267">
        <f t="shared" ref="BE283:BF283" si="429">SUM(D283,I283,N283,S283,X283,AC283,AG283,AK283,AO283,AS283,AW283,BA283)</f>
        <v>0</v>
      </c>
      <c r="BF283" s="268">
        <f t="shared" si="429"/>
        <v>0</v>
      </c>
      <c r="BG283" s="269"/>
      <c r="BH283" s="192"/>
      <c r="BI283" s="270">
        <f>SUMIFS('Livro Diario - FC'!$M$11:$M1028,'Livro Diario - FC'!$E$11:$E1028,C63,'Livro Diario - FC'!$D$11:$D1028,"&gt;="&amp;$BK$8,'Livro Diario - FC'!$D$11:$D1028,"&lt;="&amp;$BK$9)</f>
        <v>0</v>
      </c>
      <c r="BJ283" s="271"/>
      <c r="BK283" s="272"/>
      <c r="BL283" s="1"/>
    </row>
    <row r="284">
      <c r="A284" s="1"/>
      <c r="B284" s="1"/>
      <c r="C284" s="338" t="str">
        <f>'Livro Diario - FC'!AE292</f>
        <v>5.4.3 Outras Despesas</v>
      </c>
      <c r="D284" s="255">
        <f>SUMIFS('Livro Diario - FC'!$K$11:$K1028,'Livro Diario - FC'!$E$11:$E1028,$C$284,'Livro Diario - FC'!$D$11:$D1028,"&gt;=01/01"&amp;$C$7,'Livro Diario - FC'!$D$11:$D1028,"&lt;=31/01"&amp;$C$7)</f>
        <v>0</v>
      </c>
      <c r="E284" s="256">
        <f>SUMIFS('Livro Diario - FC'!$M$11:$M1028,'Livro Diario - FC'!$E$11:$E1028,$C$284,'Livro Diario - FC'!$D$11:$D1028,"&gt;=01/01"&amp;$C$7,'Livro Diario - FC'!$D$11:$D1028,"&lt;=31/01"&amp;$C$7)</f>
        <v>0</v>
      </c>
      <c r="F284" s="273"/>
      <c r="G284" s="258"/>
      <c r="H284" s="157"/>
      <c r="I284" s="255">
        <f>SUMIFS('Livro Diario - FC'!$K$11:$K1028,'Livro Diario - FC'!$E$11:$E1028,$C$284,'Livro Diario - FC'!$D$11:$D1028,"&gt;=01/02"&amp;$C$7,'Livro Diario - FC'!$D$11:$D1028,"&lt;=29/02"&amp;$C$7)</f>
        <v>0</v>
      </c>
      <c r="J284" s="256">
        <f>SUMIFS('Livro Diario - FC'!$M$11:$M1028,'Livro Diario - FC'!$E$11:$E1028,$C$284,'Livro Diario - FC'!$D$11:$D1028,"&gt;=01/02"&amp;$C$7,'Livro Diario - FC'!$D$11:$D1028,"&lt;=29/02"&amp;$C$7)</f>
        <v>0</v>
      </c>
      <c r="K284" s="273"/>
      <c r="L284" s="258"/>
      <c r="M284" s="259"/>
      <c r="N284" s="255">
        <f>SUMIFS('Livro Diario - FC'!$K$11:$K1028,'Livro Diario - FC'!$E$11:$E1028,$C$284,'Livro Diario - FC'!$D$11:$D1028,"&gt;=01/03"&amp;$C$7,'Livro Diario - FC'!$D$11:$D1028,"&lt;=31/03"&amp;$C$7)</f>
        <v>0</v>
      </c>
      <c r="O284" s="256">
        <f>SUMIFS('Livro Diario - FC'!$M$11:$M1028,'Livro Diario - FC'!$E$11:$E1028,$C$284,'Livro Diario - FC'!$D$11:$D1028,"&gt;=01/03"&amp;$C$7,'Livro Diario - FC'!$D$11:$D1028,"&lt;=31/03"&amp;$C$7)</f>
        <v>0</v>
      </c>
      <c r="P284" s="273"/>
      <c r="Q284" s="258"/>
      <c r="R284" s="259"/>
      <c r="S284" s="255">
        <f>SUMIFS('Livro Diario - FC'!$K$11:$K1028,'Livro Diario - FC'!$E$11:$E1028,$C$284,'Livro Diario - FC'!$D$11:$D1028,"&gt;=01/04"&amp;$C$7,'Livro Diario - FC'!$D$11:$D1028,"&lt;=30/04"&amp;$C$7)</f>
        <v>0</v>
      </c>
      <c r="T284" s="256">
        <f>SUMIFS('Livro Diario - FC'!$M$11:$M1028,'Livro Diario - FC'!$E$11:$E1028,$C$284,'Livro Diario - FC'!$D$11:$D1028,"&gt;=01/04"&amp;$C$7,'Livro Diario - FC'!$D$11:$D1028,"&lt;=30/04"&amp;$C$7)</f>
        <v>0</v>
      </c>
      <c r="U284" s="273"/>
      <c r="V284" s="258"/>
      <c r="W284" s="259"/>
      <c r="X284" s="255">
        <f>SUMIFS('Livro Diario - FC'!$K$11:$K1028,'Livro Diario - FC'!$E$11:$E1028,$C$284,'Livro Diario - FC'!$D$11:$D1028,"&gt;=01/05"&amp;$C$7,'Livro Diario - FC'!$D$11:$D1028,"&lt;=31/05"&amp;$C$7)</f>
        <v>0</v>
      </c>
      <c r="Y284" s="256">
        <f>SUMIFS('Livro Diario - FC'!$M$11:$M1028,'Livro Diario - FC'!$E$11:$E1028,$C$284,'Livro Diario - FC'!$D$11:$D1028,"&gt;=01/05"&amp;$C$7,'Livro Diario - FC'!$D$11:$D1028,"&lt;=31/05"&amp;$C$7)</f>
        <v>0</v>
      </c>
      <c r="Z284" s="273"/>
      <c r="AA284" s="258"/>
      <c r="AB284" s="259"/>
      <c r="AC284" s="255">
        <f>SUMIFS('Livro Diario - FC'!$K$11:$K1028,'Livro Diario - FC'!$E$11:$E1028,$C$284,'Livro Diario - FC'!$D$11:$D1028,"&gt;=01/06"&amp;$C$7,'Livro Diario - FC'!$D$11:$D1028,"&lt;=30/06"&amp;$C$7)</f>
        <v>0</v>
      </c>
      <c r="AD284" s="256">
        <f>SUMIFS('Livro Diario - FC'!$M$11:$M1028,'Livro Diario - FC'!$E$11:$E1028,$C$284,'Livro Diario - FC'!$D$11:$D1028,"&gt;=01/06"&amp;$C$7,'Livro Diario - FC'!$D$11:$D1028,"&lt;=30/06"&amp;$C$7)</f>
        <v>0</v>
      </c>
      <c r="AE284" s="273"/>
      <c r="AF284" s="258"/>
      <c r="AG284" s="255">
        <f>SUMIFS('Livro Diario - FC'!$K$11:$K1028,'Livro Diario - FC'!$E$11:$E1028,$C$284,'Livro Diario - FC'!$D$11:$D1028,"&gt;=01/07"&amp;$C$7,'Livro Diario - FC'!$D$11:$D1028,"&lt;=31/07"&amp;$C$7)</f>
        <v>0</v>
      </c>
      <c r="AH284" s="256">
        <f>SUMIFS('Livro Diario - FC'!$M$11:$M1028,'Livro Diario - FC'!$E$11:$E1028,$C$284,'Livro Diario - FC'!$D$11:$D1028,"&gt;=01/07"&amp;$C$7,'Livro Diario - FC'!$D$11:$D1028,"&lt;=31/07"&amp;$C$7)</f>
        <v>0</v>
      </c>
      <c r="AI284" s="273"/>
      <c r="AJ284" s="258"/>
      <c r="AK284" s="255">
        <f>SUMIFS('Livro Diario - FC'!$K$11:$K1028,'Livro Diario - FC'!$E$11:$E1028,$C$284,'Livro Diario - FC'!$D$11:$D1028,"&gt;=01/08"&amp;$C$7,'Livro Diario - FC'!$D$11:$D1028,"&lt;=31/08"&amp;$C$7)</f>
        <v>0</v>
      </c>
      <c r="AL284" s="256">
        <f>SUMIFS('Livro Diario - FC'!$M$11:$M1028,'Livro Diario - FC'!$E$11:$E1028,$C$284,'Livro Diario - FC'!$D$11:$D1028,"&gt;=01/08"&amp;$C$7,'Livro Diario - FC'!$D$11:$D1028,"&lt;=31/08"&amp;$C$7)</f>
        <v>0</v>
      </c>
      <c r="AM284" s="273"/>
      <c r="AN284" s="258"/>
      <c r="AO284" s="255">
        <f>SUMIFS('Livro Diario - FC'!$K$11:$K1028,'Livro Diario - FC'!$E$11:$E1028,$C$284,'Livro Diario - FC'!$D$11:$D1028,"&gt;=01/09"&amp;$C$7,'Livro Diario - FC'!$D$11:$D1028,"&lt;=30/09"&amp;$C$7)</f>
        <v>0</v>
      </c>
      <c r="AP284" s="256">
        <f>SUMIFS('Livro Diario - FC'!$M$11:$M1028,'Livro Diario - FC'!$E$11:$E1028,$C$284,'Livro Diario - FC'!$D$11:$D1028,"&gt;=01/09"&amp;$C$7,'Livro Diario - FC'!$D$11:$D1028,"&lt;=30/09"&amp;$C$7)</f>
        <v>0</v>
      </c>
      <c r="AQ284" s="273"/>
      <c r="AR284" s="258"/>
      <c r="AS284" s="255">
        <f>SUMIFS('Livro Diario - FC'!$K$11:$K1028,'Livro Diario - FC'!$E$11:$E1028,$C$284,'Livro Diario - FC'!$D$11:$D1028,"&gt;=01/10"&amp;$C$7,'Livro Diario - FC'!$D$11:$D1028,"&lt;=31/10"&amp;$C$7)</f>
        <v>0</v>
      </c>
      <c r="AT284" s="256">
        <f>SUMIFS('Livro Diario - FC'!$M$11:$M1028,'Livro Diario - FC'!$E$11:$E1028,$C$284,'Livro Diario - FC'!$D$11:$D1028,"&gt;=01/10"&amp;$C$7,'Livro Diario - FC'!$D$11:$D1028,"&lt;=31/10"&amp;$C$7)</f>
        <v>0</v>
      </c>
      <c r="AU284" s="273"/>
      <c r="AV284" s="258"/>
      <c r="AW284" s="255">
        <f>SUMIFS('Livro Diario - FC'!$K$11:$K1028,'Livro Diario - FC'!$E$11:$E1028,$C$284,'Livro Diario - FC'!$D$11:$D1028,"&gt;=01/11"&amp;$C$7,'Livro Diario - FC'!$D$11:$D1028,"&lt;=30/11"&amp;$C$7)</f>
        <v>0</v>
      </c>
      <c r="AX284" s="256">
        <f>SUMIFS('Livro Diario - FC'!$M$11:$M1028,'Livro Diario - FC'!$E$11:$E1028,$C$284,'Livro Diario - FC'!$D$11:$D1028,"&gt;=01/11"&amp;$C$7,'Livro Diario - FC'!$D$11:$D1028,"&lt;=30/11"&amp;$C$7)</f>
        <v>0</v>
      </c>
      <c r="AY284" s="273"/>
      <c r="AZ284" s="258"/>
      <c r="BA284" s="255">
        <f>SUMIFS('Livro Diario - FC'!$K$11:$K1028,'Livro Diario - FC'!$E$11:$E1028,$C$284,'Livro Diario - FC'!$D$11:$D1028,"&gt;=01/12"&amp;$C$7,'Livro Diario - FC'!$D$11:$D1028,"&lt;=31/12"&amp;$C$7)</f>
        <v>0</v>
      </c>
      <c r="BB284" s="256">
        <f>SUMIFS('Livro Diario - FC'!$M$11:$M1028,'Livro Diario - FC'!$E$11:$E1028,$C$284,'Livro Diario - FC'!$D$11:$D1028,"&gt;=01/12"&amp;$C$7,'Livro Diario - FC'!$D$11:$D1028,"&lt;=31/12"&amp;$C$7)</f>
        <v>0</v>
      </c>
      <c r="BC284" s="273"/>
      <c r="BD284" s="273"/>
      <c r="BE284" s="267">
        <f t="shared" ref="BE284:BF284" si="430">SUM(D284,I284,N284,S284,X284,AC284,AG284,AK284,AO284,AS284,AW284,BA284)</f>
        <v>0</v>
      </c>
      <c r="BF284" s="268">
        <f t="shared" si="430"/>
        <v>0</v>
      </c>
      <c r="BG284" s="269"/>
      <c r="BH284" s="192"/>
      <c r="BI284" s="270">
        <f>SUMIFS('Livro Diario - FC'!$M$11:$M1028,'Livro Diario - FC'!$E$11:$E1028,C64,'Livro Diario - FC'!$D$11:$D1028,"&gt;="&amp;$BK$8,'Livro Diario - FC'!$D$11:$D1028,"&lt;="&amp;$BK$9)</f>
        <v>0</v>
      </c>
      <c r="BJ284" s="271"/>
      <c r="BK284" s="272"/>
      <c r="BL284" s="1"/>
    </row>
    <row r="285">
      <c r="A285" s="1"/>
      <c r="B285" s="1"/>
      <c r="C285" s="338" t="str">
        <f>'Livro Diario - FC'!AE293</f>
        <v>5.4.4 Outras despesas com serviços de terceiros</v>
      </c>
      <c r="D285" s="255">
        <f>SUMIFS('Livro Diario - FC'!$K$11:$K1028,'Livro Diario - FC'!$E$11:$E1028,$C$285,'Livro Diario - FC'!$D$11:$D1028,"&gt;=01/01"&amp;$C$7,'Livro Diario - FC'!$D$11:$D1028,"&lt;=31/01"&amp;$C$7)</f>
        <v>0</v>
      </c>
      <c r="E285" s="256">
        <f>SUMIFS('Livro Diario - FC'!$M$11:$M1028,'Livro Diario - FC'!$E$11:$E1028,$C$285,'Livro Diario - FC'!$D$11:$D1028,"&gt;=01/01"&amp;$C$7,'Livro Diario - FC'!$D$11:$D1028,"&lt;=31/01"&amp;$C$7)</f>
        <v>0</v>
      </c>
      <c r="F285" s="273"/>
      <c r="G285" s="258"/>
      <c r="H285" s="157"/>
      <c r="I285" s="255">
        <f>SUMIFS('Livro Diario - FC'!$K$11:$K1028,'Livro Diario - FC'!$E$11:$E1028,$C$285,'Livro Diario - FC'!$D$11:$D1028,"&gt;=01/02"&amp;$C$7,'Livro Diario - FC'!$D$11:$D1028,"&lt;=29/02"&amp;$C$7)</f>
        <v>0</v>
      </c>
      <c r="J285" s="256">
        <f>SUMIFS('Livro Diario - FC'!$M$11:$M1028,'Livro Diario - FC'!$E$11:$E1028,$C$285,'Livro Diario - FC'!$D$11:$D1028,"&gt;=01/02"&amp;$C$7,'Livro Diario - FC'!$D$11:$D1028,"&lt;=29/02"&amp;$C$7)</f>
        <v>0</v>
      </c>
      <c r="K285" s="273"/>
      <c r="L285" s="258"/>
      <c r="M285" s="259"/>
      <c r="N285" s="255">
        <f>SUMIFS('Livro Diario - FC'!$K$11:$K1028,'Livro Diario - FC'!$E$11:$E1028,$C$285,'Livro Diario - FC'!$D$11:$D1028,"&gt;=01/03"&amp;$C$7,'Livro Diario - FC'!$D$11:$D1028,"&lt;=31/03"&amp;$C$7)</f>
        <v>0</v>
      </c>
      <c r="O285" s="256">
        <f>SUMIFS('Livro Diario - FC'!$M$11:$M1028,'Livro Diario - FC'!$E$11:$E1028,$C$285,'Livro Diario - FC'!$D$11:$D1028,"&gt;=01/03"&amp;$C$7,'Livro Diario - FC'!$D$11:$D1028,"&lt;=31/03"&amp;$C$7)</f>
        <v>0</v>
      </c>
      <c r="P285" s="273"/>
      <c r="Q285" s="258"/>
      <c r="R285" s="259"/>
      <c r="S285" s="255">
        <f>SUMIFS('Livro Diario - FC'!$K$11:$K1028,'Livro Diario - FC'!$E$11:$E1028,$C$285,'Livro Diario - FC'!$D$11:$D1028,"&gt;=01/04"&amp;$C$7,'Livro Diario - FC'!$D$11:$D1028,"&lt;=30/04"&amp;$C$7)</f>
        <v>0</v>
      </c>
      <c r="T285" s="256">
        <f>SUMIFS('Livro Diario - FC'!$M$11:$M1028,'Livro Diario - FC'!$E$11:$E1028,$C$285,'Livro Diario - FC'!$D$11:$D1028,"&gt;=01/04"&amp;$C$7,'Livro Diario - FC'!$D$11:$D1028,"&lt;=30/04"&amp;$C$7)</f>
        <v>0</v>
      </c>
      <c r="U285" s="273"/>
      <c r="V285" s="258"/>
      <c r="W285" s="259"/>
      <c r="X285" s="255">
        <f>SUMIFS('Livro Diario - FC'!$K$11:$K1028,'Livro Diario - FC'!$E$11:$E1028,$C$285,'Livro Diario - FC'!$D$11:$D1028,"&gt;=01/05"&amp;$C$7,'Livro Diario - FC'!$D$11:$D1028,"&lt;=31/05"&amp;$C$7)</f>
        <v>0</v>
      </c>
      <c r="Y285" s="256">
        <f>SUMIFS('Livro Diario - FC'!$M$11:$M1028,'Livro Diario - FC'!$E$11:$E1028,$C$285,'Livro Diario - FC'!$D$11:$D1028,"&gt;=01/05"&amp;$C$7,'Livro Diario - FC'!$D$11:$D1028,"&lt;=31/05"&amp;$C$7)</f>
        <v>0</v>
      </c>
      <c r="Z285" s="273"/>
      <c r="AA285" s="258"/>
      <c r="AB285" s="259"/>
      <c r="AC285" s="255">
        <f>SUMIFS('Livro Diario - FC'!$K$11:$K1028,'Livro Diario - FC'!$E$11:$E1028,$C$285,'Livro Diario - FC'!$D$11:$D1028,"&gt;=01/06"&amp;$C$7,'Livro Diario - FC'!$D$11:$D1028,"&lt;=30/06"&amp;$C$7)</f>
        <v>0</v>
      </c>
      <c r="AD285" s="256">
        <f>SUMIFS('Livro Diario - FC'!$M$11:$M1028,'Livro Diario - FC'!$E$11:$E1028,$C$285,'Livro Diario - FC'!$D$11:$D1028,"&gt;=01/06"&amp;$C$7,'Livro Diario - FC'!$D$11:$D1028,"&lt;=30/06"&amp;$C$7)</f>
        <v>0</v>
      </c>
      <c r="AE285" s="273"/>
      <c r="AF285" s="258"/>
      <c r="AG285" s="255">
        <f>SUMIFS('Livro Diario - FC'!$K$11:$K1028,'Livro Diario - FC'!$E$11:$E1028,$C$285,'Livro Diario - FC'!$D$11:$D1028,"&gt;=01/07"&amp;$C$7,'Livro Diario - FC'!$D$11:$D1028,"&lt;=31/07"&amp;$C$7)</f>
        <v>0</v>
      </c>
      <c r="AH285" s="256">
        <f>SUMIFS('Livro Diario - FC'!$M$11:$M1028,'Livro Diario - FC'!$E$11:$E1028,$C$285,'Livro Diario - FC'!$D$11:$D1028,"&gt;=01/07"&amp;$C$7,'Livro Diario - FC'!$D$11:$D1028,"&lt;=31/07"&amp;$C$7)</f>
        <v>0</v>
      </c>
      <c r="AI285" s="273"/>
      <c r="AJ285" s="258"/>
      <c r="AK285" s="255">
        <f>SUMIFS('Livro Diario - FC'!$K$11:$K1028,'Livro Diario - FC'!$E$11:$E1028,$C$285,'Livro Diario - FC'!$D$11:$D1028,"&gt;=01/08"&amp;$C$7,'Livro Diario - FC'!$D$11:$D1028,"&lt;=31/08"&amp;$C$7)</f>
        <v>0</v>
      </c>
      <c r="AL285" s="256">
        <f>SUMIFS('Livro Diario - FC'!$M$11:$M1028,'Livro Diario - FC'!$E$11:$E1028,$C$285,'Livro Diario - FC'!$D$11:$D1028,"&gt;=01/08"&amp;$C$7,'Livro Diario - FC'!$D$11:$D1028,"&lt;=31/08"&amp;$C$7)</f>
        <v>0</v>
      </c>
      <c r="AM285" s="273"/>
      <c r="AN285" s="258"/>
      <c r="AO285" s="255">
        <f>SUMIFS('Livro Diario - FC'!$K$11:$K1028,'Livro Diario - FC'!$E$11:$E1028,$C$285,'Livro Diario - FC'!$D$11:$D1028,"&gt;=01/09"&amp;$C$7,'Livro Diario - FC'!$D$11:$D1028,"&lt;=30/09"&amp;$C$7)</f>
        <v>0</v>
      </c>
      <c r="AP285" s="256">
        <f>SUMIFS('Livro Diario - FC'!$M$11:$M1028,'Livro Diario - FC'!$E$11:$E1028,$C$285,'Livro Diario - FC'!$D$11:$D1028,"&gt;=01/09"&amp;$C$7,'Livro Diario - FC'!$D$11:$D1028,"&lt;=30/09"&amp;$C$7)</f>
        <v>0</v>
      </c>
      <c r="AQ285" s="273"/>
      <c r="AR285" s="258"/>
      <c r="AS285" s="255">
        <f>SUMIFS('Livro Diario - FC'!$K$11:$K1028,'Livro Diario - FC'!$E$11:$E1028,$C$285,'Livro Diario - FC'!$D$11:$D1028,"&gt;=01/10"&amp;$C$7,'Livro Diario - FC'!$D$11:$D1028,"&lt;=31/10"&amp;$C$7)</f>
        <v>0</v>
      </c>
      <c r="AT285" s="256">
        <f>SUMIFS('Livro Diario - FC'!$M$11:$M1028,'Livro Diario - FC'!$E$11:$E1028,$C$285,'Livro Diario - FC'!$D$11:$D1028,"&gt;=01/10"&amp;$C$7,'Livro Diario - FC'!$D$11:$D1028,"&lt;=31/10"&amp;$C$7)</f>
        <v>0</v>
      </c>
      <c r="AU285" s="273"/>
      <c r="AV285" s="258"/>
      <c r="AW285" s="255">
        <f>SUMIFS('Livro Diario - FC'!$K$11:$K1028,'Livro Diario - FC'!$E$11:$E1028,$C$285,'Livro Diario - FC'!$D$11:$D1028,"&gt;=01/11"&amp;$C$7,'Livro Diario - FC'!$D$11:$D1028,"&lt;=30/11"&amp;$C$7)</f>
        <v>0</v>
      </c>
      <c r="AX285" s="256">
        <f>SUMIFS('Livro Diario - FC'!$M$11:$M1028,'Livro Diario - FC'!$E$11:$E1028,$C$285,'Livro Diario - FC'!$D$11:$D1028,"&gt;=01/11"&amp;$C$7,'Livro Diario - FC'!$D$11:$D1028,"&lt;=30/11"&amp;$C$7)</f>
        <v>0</v>
      </c>
      <c r="AY285" s="273"/>
      <c r="AZ285" s="258"/>
      <c r="BA285" s="255">
        <f>SUMIFS('Livro Diario - FC'!$K$11:$K1028,'Livro Diario - FC'!$E$11:$E1028,$C$285,'Livro Diario - FC'!$D$11:$D1028,"&gt;=01/12"&amp;$C$7,'Livro Diario - FC'!$D$11:$D1028,"&lt;=31/12"&amp;$C$7)</f>
        <v>0</v>
      </c>
      <c r="BB285" s="256">
        <f>SUMIFS('Livro Diario - FC'!$M$11:$M1028,'Livro Diario - FC'!$E$11:$E1028,$C$285,'Livro Diario - FC'!$D$11:$D1028,"&gt;=01/12"&amp;$C$7,'Livro Diario - FC'!$D$11:$D1028,"&lt;=31/12"&amp;$C$7)</f>
        <v>0</v>
      </c>
      <c r="BC285" s="273"/>
      <c r="BD285" s="273"/>
      <c r="BE285" s="341">
        <f t="shared" ref="BE285:BF285" si="431">SUM(D285,I285,N285,S285,X285,AC285,AG285,AK285,AO285,AS285,AW285,BA285)</f>
        <v>0</v>
      </c>
      <c r="BF285" s="342">
        <f t="shared" si="431"/>
        <v>0</v>
      </c>
      <c r="BG285" s="343"/>
      <c r="BH285" s="344"/>
      <c r="BI285" s="270">
        <f>SUMIFS('Livro Diario - FC'!$M$11:$M1028,'Livro Diario - FC'!$E$11:$E1028,C65,'Livro Diario - FC'!$D$11:$D1028,"&gt;="&amp;$BK$8,'Livro Diario - FC'!$D$11:$D1028,"&lt;="&amp;$BK$9)</f>
        <v>0</v>
      </c>
      <c r="BJ285" s="271"/>
      <c r="BK285" s="345"/>
      <c r="BL285" s="146"/>
    </row>
    <row r="286">
      <c r="A286" s="1"/>
      <c r="B286" s="40"/>
      <c r="C286" s="386" t="s">
        <v>441</v>
      </c>
      <c r="D286" s="381">
        <f>SUMIFS('Livro Diario - FC'!$J$11:$J1028,'Livro Diario - FC'!$E$11:$E1028,$C$286,'Livro Diario - FC'!$D$11:$D1028,"&gt;=01/01"&amp;$C$7,'Livro Diario - FC'!$D$11:$D1028,"&lt;=31/01"&amp;$C$7)+SUM(D287:D291)</f>
        <v>130</v>
      </c>
      <c r="E286" s="387">
        <f>SUMIFS('Livro Diario - FC'!$L$11:$L1028,'Livro Diario - FC'!$E$11:$E1028,$C$286,'Livro Diario - FC'!$D$11:$D1028,"&gt;=01/01"&amp;$C$7,'Livro Diario - FC'!$D$11:$D1028,"&lt;=31/01"&amp;$C$7)+SUM(E287:E291)</f>
        <v>130</v>
      </c>
      <c r="F286" s="388">
        <f>IF(E$11=0,"",E286/E$11)</f>
        <v>0.01676618905</v>
      </c>
      <c r="G286" s="389" t="str">
        <f>IF(A286=0,"",E286/A286-1)</f>
        <v/>
      </c>
      <c r="H286" s="327"/>
      <c r="I286" s="381">
        <f>SUMIFS('Livro Diario - FC'!$J$11:$J1028,'Livro Diario - FC'!$E$11:$E1028,$C$286,'Livro Diario - FC'!$D$11:$D1028,"&gt;=01/02"&amp;$C$7,'Livro Diario - FC'!$D$11:$D1028,"&lt;=29/02"&amp;$C$7)+SUM(I287:I291)</f>
        <v>0</v>
      </c>
      <c r="J286" s="387">
        <f>SUMIFS('Livro Diario - FC'!$L$11:$L1028,'Livro Diario - FC'!$E$11:$E1028,$C$286,'Livro Diario - FC'!$D$11:$D1028,"&gt;=01/02"&amp;$C$7,'Livro Diario - FC'!$D$11:$D1028,"&lt;=29/02"&amp;$C$7)+SUM(J287:J291)</f>
        <v>0</v>
      </c>
      <c r="K286" s="388" t="str">
        <f>IF(J$11=0,"",J286/J$11)</f>
        <v/>
      </c>
      <c r="L286" s="389">
        <f>IF(E286=0,"",J286/E286-1)</f>
        <v>-1</v>
      </c>
      <c r="M286" s="385"/>
      <c r="N286" s="381">
        <f>SUMIFS('Livro Diario - FC'!$J$11:$J1028,'Livro Diario - FC'!$E$11:$E1028,$C$286,'Livro Diario - FC'!$D$11:$D1028,"&gt;=01/03"&amp;$C$7,'Livro Diario - FC'!$D$11:$D1028,"&lt;=31/03"&amp;$C$7)+SUM(N287:N291)</f>
        <v>0</v>
      </c>
      <c r="O286" s="387">
        <f>SUMIFS('Livro Diario - FC'!$L$11:$L1028,'Livro Diario - FC'!$E$11:$E1028,$C$286,'Livro Diario - FC'!$D$11:$D1028,"&gt;=01/03"&amp;$C$7,'Livro Diario - FC'!$D$11:$D1028,"&lt;=31/03"&amp;$C$7)+SUM(O287:O291)</f>
        <v>0</v>
      </c>
      <c r="P286" s="388" t="str">
        <f>IF(O$11=0,"",O286/O$11)</f>
        <v/>
      </c>
      <c r="Q286" s="389" t="str">
        <f>IF(J286=0,"",O286/J286-1)</f>
        <v/>
      </c>
      <c r="R286" s="385"/>
      <c r="S286" s="381">
        <f>SUMIFS('Livro Diario - FC'!$J$11:$J1028,'Livro Diario - FC'!$E$11:$E1028,$C$286,'Livro Diario - FC'!$D$11:$D1028,"&gt;=01/04"&amp;$C$7,'Livro Diario - FC'!$D$11:$D1028,"&lt;=30/04"&amp;$C$7)+SUM(S287:S291)</f>
        <v>0</v>
      </c>
      <c r="T286" s="387">
        <f>SUMIFS('Livro Diario - FC'!$L$11:$L1028,'Livro Diario - FC'!$E$11:$E1028,$C$286,'Livro Diario - FC'!$D$11:$D1028,"&gt;=01/04"&amp;$C$7,'Livro Diario - FC'!$D$11:$D1028,"&lt;=30/04"&amp;$C$7)+SUM(T287:T291)</f>
        <v>0</v>
      </c>
      <c r="U286" s="388" t="str">
        <f>IF(T$11=0,"",T286/T$11)</f>
        <v/>
      </c>
      <c r="V286" s="389" t="str">
        <f>IF(O286=0,"",T286/O286-1)</f>
        <v/>
      </c>
      <c r="W286" s="385"/>
      <c r="X286" s="381">
        <f>SUMIFS('Livro Diario - FC'!$J$11:$J1028,'Livro Diario - FC'!$E$11:$E1028,$C$286,'Livro Diario - FC'!$D$11:$D1028,"&gt;=01/05"&amp;$C$7,'Livro Diario - FC'!$D$11:$D1028,"&lt;=31/05"&amp;$C$7)+SUM(X287:X291)</f>
        <v>0</v>
      </c>
      <c r="Y286" s="387">
        <f>SUMIFS('Livro Diario - FC'!$L$11:$L1028,'Livro Diario - FC'!$E$11:$E1028,$C$286,'Livro Diario - FC'!$D$11:$D1028,"&gt;=01/05"&amp;$C$7,'Livro Diario - FC'!$D$11:$D1028,"&lt;=31/05"&amp;$C$7)+SUM(Y287:Y291)</f>
        <v>0</v>
      </c>
      <c r="Z286" s="388" t="str">
        <f>IF(Y$11=0,"",Y286/Y$11)</f>
        <v/>
      </c>
      <c r="AA286" s="389" t="str">
        <f>IF(T286=0,"",Y286/T286-1)</f>
        <v/>
      </c>
      <c r="AB286" s="385"/>
      <c r="AC286" s="381">
        <f>SUMIFS('Livro Diario - FC'!$J$11:$J1028,'Livro Diario - FC'!$E$11:$E1028,$C$286,'Livro Diario - FC'!$D$11:$D1028,"&gt;=01/06"&amp;$C$7,'Livro Diario - FC'!$D$11:$D1028,"&lt;=30/06"&amp;$C$7)+SUM(AC287:AC291)</f>
        <v>0</v>
      </c>
      <c r="AD286" s="387">
        <f>SUMIFS('Livro Diario - FC'!$L$11:$L1028,'Livro Diario - FC'!$E$11:$E1028,$C$286,'Livro Diario - FC'!$D$11:$D1028,"&gt;=01/06"&amp;$C$7,'Livro Diario - FC'!$D$11:$D1028,"&lt;=30/06"&amp;$C$7)+SUM(AD287:AD291)</f>
        <v>0</v>
      </c>
      <c r="AE286" s="388" t="str">
        <f>IF(AD$11=0,"",AD286/AD$11)</f>
        <v/>
      </c>
      <c r="AF286" s="389" t="str">
        <f>IF(Y286=0,"",AD286/Y286-1)</f>
        <v/>
      </c>
      <c r="AG286" s="381">
        <f>SUMIFS('Livro Diario - FC'!$J$11:$J1028,'Livro Diario - FC'!$E$11:$E1028,$C$286,'Livro Diario - FC'!$D$11:$D1028,"&gt;=01/07"&amp;$C$7,'Livro Diario - FC'!$D$11:$D1028,"&lt;=31/07"&amp;$C$7)+SUM(AG287:AG291)</f>
        <v>0</v>
      </c>
      <c r="AH286" s="387">
        <f>SUMIFS('Livro Diario - FC'!$L$11:$L1028,'Livro Diario - FC'!$E$11:$E1028,$C$286,'Livro Diario - FC'!$D$11:$D1028,"&gt;=01/07"&amp;$C$7,'Livro Diario - FC'!$D$11:$D1028,"&lt;=31/07"&amp;$C$7)+SUM(AH287:AH291)</f>
        <v>0</v>
      </c>
      <c r="AI286" s="388" t="str">
        <f>IF(AH$11=0,"",AH286/AH$11)</f>
        <v/>
      </c>
      <c r="AJ286" s="389" t="str">
        <f>IF(AD286=0,"",AH286/AD286-1)</f>
        <v/>
      </c>
      <c r="AK286" s="381">
        <f>SUMIFS('Livro Diario - FC'!$J$11:$J1028,'Livro Diario - FC'!$E$11:$E1028,$C$286,'Livro Diario - FC'!$D$11:$D1028,"&gt;=01/08"&amp;$C$7,'Livro Diario - FC'!$D$11:$D1028,"&lt;=31/08"&amp;$C$7)+SUM(AK287:AK291)</f>
        <v>0</v>
      </c>
      <c r="AL286" s="387">
        <f>SUMIFS('Livro Diario - FC'!$L$11:$L1028,'Livro Diario - FC'!$E$11:$E1028,$C$286,'Livro Diario - FC'!$D$11:$D1028,"&gt;=01/08"&amp;$C$7,'Livro Diario - FC'!$D$11:$D1028,"&lt;=31/08"&amp;$C$7)+SUM(AL287:AL291)</f>
        <v>0</v>
      </c>
      <c r="AM286" s="388" t="str">
        <f>IF(AL$11=0,"",AL286/AL$11)</f>
        <v/>
      </c>
      <c r="AN286" s="389" t="str">
        <f>IF(AH286=0,"",AL286/AH286-1)</f>
        <v/>
      </c>
      <c r="AO286" s="381">
        <f>SUMIFS('Livro Diario - FC'!$J$11:$J1028,'Livro Diario - FC'!$E$11:$E1028,$C$286,'Livro Diario - FC'!$D$11:$D1028,"&gt;=01/09"&amp;$C$7,'Livro Diario - FC'!$D$11:$D1028,"&lt;=30/09"&amp;$C$7)+SUM(AO287:AO291)</f>
        <v>0</v>
      </c>
      <c r="AP286" s="387">
        <f>SUMIFS('Livro Diario - FC'!$L$11:$L1028,'Livro Diario - FC'!$E$11:$E1028,$C$286,'Livro Diario - FC'!$D$11:$D1028,"&gt;=01/09"&amp;$C$7,'Livro Diario - FC'!$D$11:$D1028,"&lt;=30/09"&amp;$C$7)+SUM(AP287:AP291)</f>
        <v>0</v>
      </c>
      <c r="AQ286" s="388" t="str">
        <f>IF(AP$11=0,"",AP286/AP$11)</f>
        <v/>
      </c>
      <c r="AR286" s="389" t="str">
        <f>IF(AL286=0,"",AP286/AL286-1)</f>
        <v/>
      </c>
      <c r="AS286" s="381">
        <f>SUMIFS('Livro Diario - FC'!$J$11:$J1028,'Livro Diario - FC'!$E$11:$E1028,$C$286,'Livro Diario - FC'!$D$11:$D1028,"&gt;=01/10"&amp;$C$7,'Livro Diario - FC'!$D$11:$D1028,"&lt;=31/10"&amp;$C$7)+SUM(AS287:AS291)</f>
        <v>0</v>
      </c>
      <c r="AT286" s="387">
        <f>SUMIFS('Livro Diario - FC'!$L$11:$L1028,'Livro Diario - FC'!$E$11:$E1028,$C$286,'Livro Diario - FC'!$D$11:$D1028,"&gt;=01/10"&amp;$C$7,'Livro Diario - FC'!$D$11:$D1028,"&lt;=31/10"&amp;$C$7)+SUM(AT287:AT291)</f>
        <v>0</v>
      </c>
      <c r="AU286" s="388" t="str">
        <f>IF(AT$11=0,"",AT286/AT$11)</f>
        <v/>
      </c>
      <c r="AV286" s="389" t="str">
        <f>IF(AP286=0,"",AT286/AP286-1)</f>
        <v/>
      </c>
      <c r="AW286" s="381">
        <f>SUMIFS('Livro Diario - FC'!$J$11:$J1028,'Livro Diario - FC'!$E$11:$E1028,$C$286,'Livro Diario - FC'!$D$11:$D1028,"&gt;=01/11"&amp;$C$7,'Livro Diario - FC'!$D$11:$D1028,"&lt;=30/11"&amp;$C$7)+SUM(AW287:AW291)</f>
        <v>0</v>
      </c>
      <c r="AX286" s="387">
        <f>SUMIFS('Livro Diario - FC'!$L$11:$L1028,'Livro Diario - FC'!$E$11:$E1028,$C$286,'Livro Diario - FC'!$D$11:$D1028,"&gt;=01/11"&amp;$C$7,'Livro Diario - FC'!$D$11:$D1028,"&lt;=30/11"&amp;$C$7)+SUM(AX287:AX291)</f>
        <v>0</v>
      </c>
      <c r="AY286" s="388" t="str">
        <f>IF(AX$11=0,"",AX286/AX$11)</f>
        <v/>
      </c>
      <c r="AZ286" s="389" t="str">
        <f>IF(AT286=0,"",AX286/AT286-1)</f>
        <v/>
      </c>
      <c r="BA286" s="381">
        <f>SUMIFS('Livro Diario - FC'!$J$11:$J1028,'Livro Diario - FC'!$E$11:$E1028,$C$286,'Livro Diario - FC'!$D$11:$D1028,"&gt;=01/12"&amp;$C$7,'Livro Diario - FC'!$D$11:$D1028,"&lt;=31/12"&amp;$C$7)+SUM(BA287:BA291)</f>
        <v>0</v>
      </c>
      <c r="BB286" s="387">
        <f>SUMIFS('Livro Diario - FC'!$L$11:$L1028,'Livro Diario - FC'!$E$11:$E1028,$C$286,'Livro Diario - FC'!$D$11:$D1028,"&gt;=01/12"&amp;$C$7,'Livro Diario - FC'!$D$11:$D1028,"&lt;=31/12"&amp;$C$7)+SUM(BB287:BB291)</f>
        <v>0</v>
      </c>
      <c r="BC286" s="388" t="str">
        <f>IF(BB$11=0,"",BB286/BB$11)</f>
        <v/>
      </c>
      <c r="BD286" s="390" t="str">
        <f>IF(AX286=0,"",BB286/AX286-1)</f>
        <v/>
      </c>
      <c r="BE286" s="330">
        <f t="shared" ref="BE286:BF286" si="432">SUM(D286,I286,N286,S286,X286,AC286,AG286,AK286,AO286,AS286,AW286,BA286)</f>
        <v>130</v>
      </c>
      <c r="BF286" s="331">
        <f t="shared" si="432"/>
        <v>130</v>
      </c>
      <c r="BG286" s="391">
        <f>IF(BF$11=0,"",BF286/BF$11)</f>
        <v>0.01676618905</v>
      </c>
      <c r="BH286" s="333"/>
      <c r="BI286" s="334">
        <f>SUMIFS('Livro Diario - FC'!$M$11:$M1028,'Livro Diario - FC'!$E$11:$E1028,C286,'Livro Diario - FC'!$D$11:$D1028,"&gt;="&amp;$BK$8,'Livro Diario - FC'!$D$11:$D1028,"&lt;="&amp;$BK$9)+SUM(BI287:BI292)</f>
        <v>0</v>
      </c>
      <c r="BJ286" s="335" t="str">
        <f>IF(BI$11=0,"",BI286/BI$11)</f>
        <v/>
      </c>
      <c r="BK286" s="336"/>
      <c r="BL286" s="337"/>
    </row>
    <row r="287">
      <c r="A287" s="1"/>
      <c r="B287" s="1"/>
      <c r="C287" s="338" t="str">
        <f>'Livro Diario - FC'!AE295</f>
        <v>5.5.1 Manutenção Equipamentos Informática</v>
      </c>
      <c r="D287" s="255">
        <f>SUMIFS('Livro Diario - FC'!$K$11:$K1028,'Livro Diario - FC'!$E$11:$E1028,$C$287,'Livro Diario - FC'!$D$11:$D1028,"&gt;=01/01"&amp;$C$7,'Livro Diario - FC'!$D$11:$D1028,"&lt;=31/01"&amp;$C$7)</f>
        <v>0</v>
      </c>
      <c r="E287" s="256">
        <f>SUMIFS('Livro Diario - FC'!$M$11:$M1028,'Livro Diario - FC'!$E$11:$E1028,$C$287,'Livro Diario - FC'!$D$11:$D1028,"&gt;=01/01"&amp;$C$7,'Livro Diario - FC'!$D$11:$D1028,"&lt;=31/01"&amp;$C$7)</f>
        <v>0</v>
      </c>
      <c r="F287" s="273"/>
      <c r="G287" s="258"/>
      <c r="H287" s="157"/>
      <c r="I287" s="255">
        <f>SUMIFS('Livro Diario - FC'!$K$11:$K1028,'Livro Diario - FC'!$E$11:$E1028,$C$287,'Livro Diario - FC'!$D$11:$D1028,"&gt;=01/02"&amp;$C$7,'Livro Diario - FC'!$D$11:$D1028,"&lt;=29/02"&amp;$C$7)</f>
        <v>0</v>
      </c>
      <c r="J287" s="256">
        <f>SUMIFS('Livro Diario - FC'!$M$11:$M1028,'Livro Diario - FC'!$E$11:$E1028,$C$287,'Livro Diario - FC'!$D$11:$D1028,"&gt;=01/02"&amp;$C$7,'Livro Diario - FC'!$D$11:$D1028,"&lt;=29/02"&amp;$C$7)</f>
        <v>0</v>
      </c>
      <c r="K287" s="273"/>
      <c r="L287" s="258"/>
      <c r="M287" s="259"/>
      <c r="N287" s="255">
        <f>SUMIFS('Livro Diario - FC'!$K$11:$K1028,'Livro Diario - FC'!$E$11:$E1028,$C$287,'Livro Diario - FC'!$D$11:$D1028,"&gt;=01/03"&amp;$C$7,'Livro Diario - FC'!$D$11:$D1028,"&lt;=31/03"&amp;$C$7)</f>
        <v>0</v>
      </c>
      <c r="O287" s="256">
        <f>SUMIFS('Livro Diario - FC'!$M$11:$M1028,'Livro Diario - FC'!$E$11:$E1028,$C$287,'Livro Diario - FC'!$D$11:$D1028,"&gt;=01/03"&amp;$C$7,'Livro Diario - FC'!$D$11:$D1028,"&lt;=31/03"&amp;$C$7)</f>
        <v>0</v>
      </c>
      <c r="P287" s="273"/>
      <c r="Q287" s="258"/>
      <c r="R287" s="259"/>
      <c r="S287" s="255">
        <f>SUMIFS('Livro Diario - FC'!$K$11:$K1028,'Livro Diario - FC'!$E$11:$E1028,$C$287,'Livro Diario - FC'!$D$11:$D1028,"&gt;=01/04"&amp;$C$7,'Livro Diario - FC'!$D$11:$D1028,"&lt;=30/04"&amp;$C$7)</f>
        <v>0</v>
      </c>
      <c r="T287" s="256">
        <f>SUMIFS('Livro Diario - FC'!$M$11:$M1028,'Livro Diario - FC'!$E$11:$E1028,$C$287,'Livro Diario - FC'!$D$11:$D1028,"&gt;=01/04"&amp;$C$7,'Livro Diario - FC'!$D$11:$D1028,"&lt;=30/04"&amp;$C$7)</f>
        <v>0</v>
      </c>
      <c r="U287" s="273"/>
      <c r="V287" s="258"/>
      <c r="W287" s="259"/>
      <c r="X287" s="255">
        <f>SUMIFS('Livro Diario - FC'!$K$11:$K1028,'Livro Diario - FC'!$E$11:$E1028,$C$287,'Livro Diario - FC'!$D$11:$D1028,"&gt;=01/05"&amp;$C$7,'Livro Diario - FC'!$D$11:$D1028,"&lt;=31/05"&amp;$C$7)</f>
        <v>0</v>
      </c>
      <c r="Y287" s="256">
        <f>SUMIFS('Livro Diario - FC'!$M$11:$M1028,'Livro Diario - FC'!$E$11:$E1028,$C$287,'Livro Diario - FC'!$D$11:$D1028,"&gt;=01/05"&amp;$C$7,'Livro Diario - FC'!$D$11:$D1028,"&lt;=31/05"&amp;$C$7)</f>
        <v>0</v>
      </c>
      <c r="Z287" s="273"/>
      <c r="AA287" s="258"/>
      <c r="AB287" s="259"/>
      <c r="AC287" s="255">
        <f>SUMIFS('Livro Diario - FC'!$K$11:$K1028,'Livro Diario - FC'!$E$11:$E1028,$C$287,'Livro Diario - FC'!$D$11:$D1028,"&gt;=01/06"&amp;$C$7,'Livro Diario - FC'!$D$11:$D1028,"&lt;=30/06"&amp;$C$7)</f>
        <v>0</v>
      </c>
      <c r="AD287" s="256">
        <f>SUMIFS('Livro Diario - FC'!$M$11:$M1028,'Livro Diario - FC'!$E$11:$E1028,$C$287,'Livro Diario - FC'!$D$11:$D1028,"&gt;=01/06"&amp;$C$7,'Livro Diario - FC'!$D$11:$D1028,"&lt;=30/06"&amp;$C$7)</f>
        <v>0</v>
      </c>
      <c r="AE287" s="273"/>
      <c r="AF287" s="258"/>
      <c r="AG287" s="255">
        <f>SUMIFS('Livro Diario - FC'!$K$11:$K1028,'Livro Diario - FC'!$E$11:$E1028,$C$287,'Livro Diario - FC'!$D$11:$D1028,"&gt;=01/07"&amp;$C$7,'Livro Diario - FC'!$D$11:$D1028,"&lt;=31/07"&amp;$C$7)</f>
        <v>0</v>
      </c>
      <c r="AH287" s="256">
        <f>SUMIFS('Livro Diario - FC'!$M$11:$M1028,'Livro Diario - FC'!$E$11:$E1028,$C$287,'Livro Diario - FC'!$D$11:$D1028,"&gt;=01/07"&amp;$C$7,'Livro Diario - FC'!$D$11:$D1028,"&lt;=31/07"&amp;$C$7)</f>
        <v>0</v>
      </c>
      <c r="AI287" s="273"/>
      <c r="AJ287" s="258"/>
      <c r="AK287" s="255">
        <f>SUMIFS('Livro Diario - FC'!$K$11:$K1028,'Livro Diario - FC'!$E$11:$E1028,$C$287,'Livro Diario - FC'!$D$11:$D1028,"&gt;=01/08"&amp;$C$7,'Livro Diario - FC'!$D$11:$D1028,"&lt;=31/08"&amp;$C$7)</f>
        <v>0</v>
      </c>
      <c r="AL287" s="256">
        <f>SUMIFS('Livro Diario - FC'!$M$11:$M1028,'Livro Diario - FC'!$E$11:$E1028,$C$287,'Livro Diario - FC'!$D$11:$D1028,"&gt;=01/08"&amp;$C$7,'Livro Diario - FC'!$D$11:$D1028,"&lt;=31/08"&amp;$C$7)</f>
        <v>0</v>
      </c>
      <c r="AM287" s="273"/>
      <c r="AN287" s="258"/>
      <c r="AO287" s="255">
        <f>SUMIFS('Livro Diario - FC'!$K$11:$K1028,'Livro Diario - FC'!$E$11:$E1028,$C$287,'Livro Diario - FC'!$D$11:$D1028,"&gt;=01/09"&amp;$C$7,'Livro Diario - FC'!$D$11:$D1028,"&lt;=30/09"&amp;$C$7)</f>
        <v>0</v>
      </c>
      <c r="AP287" s="256">
        <f>SUMIFS('Livro Diario - FC'!$M$11:$M1028,'Livro Diario - FC'!$E$11:$E1028,$C$287,'Livro Diario - FC'!$D$11:$D1028,"&gt;=01/09"&amp;$C$7,'Livro Diario - FC'!$D$11:$D1028,"&lt;=30/09"&amp;$C$7)</f>
        <v>0</v>
      </c>
      <c r="AQ287" s="273"/>
      <c r="AR287" s="258"/>
      <c r="AS287" s="255">
        <f>SUMIFS('Livro Diario - FC'!$K$11:$K1028,'Livro Diario - FC'!$E$11:$E1028,$C$287,'Livro Diario - FC'!$D$11:$D1028,"&gt;=01/10"&amp;$C$7,'Livro Diario - FC'!$D$11:$D1028,"&lt;=31/10"&amp;$C$7)</f>
        <v>0</v>
      </c>
      <c r="AT287" s="256">
        <f>SUMIFS('Livro Diario - FC'!$M$11:$M1028,'Livro Diario - FC'!$E$11:$E1028,$C$287,'Livro Diario - FC'!$D$11:$D1028,"&gt;=01/10"&amp;$C$7,'Livro Diario - FC'!$D$11:$D1028,"&lt;=31/10"&amp;$C$7)</f>
        <v>0</v>
      </c>
      <c r="AU287" s="273"/>
      <c r="AV287" s="258"/>
      <c r="AW287" s="255">
        <f>SUMIFS('Livro Diario - FC'!$K$11:$K1028,'Livro Diario - FC'!$E$11:$E1028,$C$287,'Livro Diario - FC'!$D$11:$D1028,"&gt;=01/11"&amp;$C$7,'Livro Diario - FC'!$D$11:$D1028,"&lt;=30/11"&amp;$C$7)</f>
        <v>0</v>
      </c>
      <c r="AX287" s="256">
        <f>SUMIFS('Livro Diario - FC'!$M$11:$M1028,'Livro Diario - FC'!$E$11:$E1028,$C$287,'Livro Diario - FC'!$D$11:$D1028,"&gt;=01/11"&amp;$C$7,'Livro Diario - FC'!$D$11:$D1028,"&lt;=30/11"&amp;$C$7)</f>
        <v>0</v>
      </c>
      <c r="AY287" s="273"/>
      <c r="AZ287" s="258"/>
      <c r="BA287" s="255">
        <f>SUMIFS('Livro Diario - FC'!$K$11:$K1028,'Livro Diario - FC'!$E$11:$E1028,$C$287,'Livro Diario - FC'!$D$11:$D1028,"&gt;=01/12"&amp;$C$7,'Livro Diario - FC'!$D$11:$D1028,"&lt;=31/12"&amp;$C$7)</f>
        <v>0</v>
      </c>
      <c r="BB287" s="256">
        <f>SUMIFS('Livro Diario - FC'!$M$11:$M1028,'Livro Diario - FC'!$E$11:$E1028,$C$287,'Livro Diario - FC'!$D$11:$D1028,"&gt;=01/12"&amp;$C$7,'Livro Diario - FC'!$D$11:$D1028,"&lt;=31/12"&amp;$C$7)</f>
        <v>0</v>
      </c>
      <c r="BC287" s="273"/>
      <c r="BD287" s="273"/>
      <c r="BE287" s="260">
        <f t="shared" ref="BE287:BF287" si="433">SUM(D287,I287,N287,S287,X287,AC287,AG287,AK287,AO287,AS287,AW287,BA287)</f>
        <v>0</v>
      </c>
      <c r="BF287" s="261">
        <f t="shared" si="433"/>
        <v>0</v>
      </c>
      <c r="BG287" s="262"/>
      <c r="BH287" s="302"/>
      <c r="BI287" s="270">
        <f>SUMIFS('Livro Diario - FC'!$M$11:$M1028,'Livro Diario - FC'!$E$11:$E1028,C287,'Livro Diario - FC'!$D$11:$D1028,"&gt;="&amp;$BK$8,'Livro Diario - FC'!$D$11:$D1028,"&lt;="&amp;$BK$9)</f>
        <v>0</v>
      </c>
      <c r="BJ287" s="271"/>
      <c r="BK287" s="304"/>
      <c r="BL287" s="339"/>
    </row>
    <row r="288">
      <c r="A288" s="1"/>
      <c r="B288" s="1"/>
      <c r="C288" s="338" t="str">
        <f>'Livro Diario - FC'!AE296</f>
        <v>5.5.2 Softwares</v>
      </c>
      <c r="D288" s="255">
        <f>SUMIFS('Livro Diario - FC'!$K$11:$K1028,'Livro Diario - FC'!$E$11:$E1028,$C$288,'Livro Diario - FC'!$D$11:$D1028,"&gt;=01/01"&amp;$C$7,'Livro Diario - FC'!$D$11:$D1028,"&lt;=31/01"&amp;$C$7)</f>
        <v>0</v>
      </c>
      <c r="E288" s="256">
        <f>SUMIFS('Livro Diario - FC'!$M$11:$M1028,'Livro Diario - FC'!$E$11:$E1028,$C$288,'Livro Diario - FC'!$D$11:$D1028,"&gt;=01/01"&amp;$C$7,'Livro Diario - FC'!$D$11:$D1028,"&lt;=31/01"&amp;$C$7)</f>
        <v>0</v>
      </c>
      <c r="F288" s="273"/>
      <c r="G288" s="258"/>
      <c r="H288" s="157"/>
      <c r="I288" s="255">
        <f>SUMIFS('Livro Diario - FC'!$K$11:$K1028,'Livro Diario - FC'!$E$11:$E1028,$C$288,'Livro Diario - FC'!$D$11:$D1028,"&gt;=01/02"&amp;$C$7,'Livro Diario - FC'!$D$11:$D1028,"&lt;=29/02"&amp;$C$7)</f>
        <v>0</v>
      </c>
      <c r="J288" s="256">
        <f>SUMIFS('Livro Diario - FC'!$M$11:$M1028,'Livro Diario - FC'!$E$11:$E1028,$C$288,'Livro Diario - FC'!$D$11:$D1028,"&gt;=01/02"&amp;$C$7,'Livro Diario - FC'!$D$11:$D1028,"&lt;=29/02"&amp;$C$7)</f>
        <v>0</v>
      </c>
      <c r="K288" s="273"/>
      <c r="L288" s="258"/>
      <c r="M288" s="259"/>
      <c r="N288" s="255">
        <f>SUMIFS('Livro Diario - FC'!$K$11:$K1028,'Livro Diario - FC'!$E$11:$E1028,$C$288,'Livro Diario - FC'!$D$11:$D1028,"&gt;=01/03"&amp;$C$7,'Livro Diario - FC'!$D$11:$D1028,"&lt;=31/03"&amp;$C$7)</f>
        <v>0</v>
      </c>
      <c r="O288" s="256">
        <f>SUMIFS('Livro Diario - FC'!$M$11:$M1028,'Livro Diario - FC'!$E$11:$E1028,$C$288,'Livro Diario - FC'!$D$11:$D1028,"&gt;=01/03"&amp;$C$7,'Livro Diario - FC'!$D$11:$D1028,"&lt;=31/03"&amp;$C$7)</f>
        <v>0</v>
      </c>
      <c r="P288" s="273"/>
      <c r="Q288" s="258"/>
      <c r="R288" s="259"/>
      <c r="S288" s="255">
        <f>SUMIFS('Livro Diario - FC'!$K$11:$K1028,'Livro Diario - FC'!$E$11:$E1028,$C$288,'Livro Diario - FC'!$D$11:$D1028,"&gt;=01/04"&amp;$C$7,'Livro Diario - FC'!$D$11:$D1028,"&lt;=30/04"&amp;$C$7)</f>
        <v>0</v>
      </c>
      <c r="T288" s="256">
        <f>SUMIFS('Livro Diario - FC'!$M$11:$M1028,'Livro Diario - FC'!$E$11:$E1028,$C$288,'Livro Diario - FC'!$D$11:$D1028,"&gt;=01/04"&amp;$C$7,'Livro Diario - FC'!$D$11:$D1028,"&lt;=30/04"&amp;$C$7)</f>
        <v>0</v>
      </c>
      <c r="U288" s="273"/>
      <c r="V288" s="258"/>
      <c r="W288" s="259"/>
      <c r="X288" s="255">
        <f>SUMIFS('Livro Diario - FC'!$K$11:$K1028,'Livro Diario - FC'!$E$11:$E1028,$C$288,'Livro Diario - FC'!$D$11:$D1028,"&gt;=01/05"&amp;$C$7,'Livro Diario - FC'!$D$11:$D1028,"&lt;=31/05"&amp;$C$7)</f>
        <v>0</v>
      </c>
      <c r="Y288" s="256">
        <f>SUMIFS('Livro Diario - FC'!$M$11:$M1028,'Livro Diario - FC'!$E$11:$E1028,$C$288,'Livro Diario - FC'!$D$11:$D1028,"&gt;=01/05"&amp;$C$7,'Livro Diario - FC'!$D$11:$D1028,"&lt;=31/05"&amp;$C$7)</f>
        <v>0</v>
      </c>
      <c r="Z288" s="273"/>
      <c r="AA288" s="258"/>
      <c r="AB288" s="259"/>
      <c r="AC288" s="255">
        <f>SUMIFS('Livro Diario - FC'!$K$11:$K1028,'Livro Diario - FC'!$E$11:$E1028,$C$288,'Livro Diario - FC'!$D$11:$D1028,"&gt;=01/06"&amp;$C$7,'Livro Diario - FC'!$D$11:$D1028,"&lt;=30/06"&amp;$C$7)</f>
        <v>0</v>
      </c>
      <c r="AD288" s="256">
        <f>SUMIFS('Livro Diario - FC'!$M$11:$M1028,'Livro Diario - FC'!$E$11:$E1028,$C$288,'Livro Diario - FC'!$D$11:$D1028,"&gt;=01/06"&amp;$C$7,'Livro Diario - FC'!$D$11:$D1028,"&lt;=30/06"&amp;$C$7)</f>
        <v>0</v>
      </c>
      <c r="AE288" s="273"/>
      <c r="AF288" s="258"/>
      <c r="AG288" s="255">
        <f>SUMIFS('Livro Diario - FC'!$K$11:$K1028,'Livro Diario - FC'!$E$11:$E1028,$C$288,'Livro Diario - FC'!$D$11:$D1028,"&gt;=01/07"&amp;$C$7,'Livro Diario - FC'!$D$11:$D1028,"&lt;=31/07"&amp;$C$7)</f>
        <v>0</v>
      </c>
      <c r="AH288" s="256">
        <f>SUMIFS('Livro Diario - FC'!$M$11:$M1028,'Livro Diario - FC'!$E$11:$E1028,$C$288,'Livro Diario - FC'!$D$11:$D1028,"&gt;=01/07"&amp;$C$7,'Livro Diario - FC'!$D$11:$D1028,"&lt;=31/07"&amp;$C$7)</f>
        <v>0</v>
      </c>
      <c r="AI288" s="273"/>
      <c r="AJ288" s="258"/>
      <c r="AK288" s="255">
        <f>SUMIFS('Livro Diario - FC'!$K$11:$K1028,'Livro Diario - FC'!$E$11:$E1028,$C$288,'Livro Diario - FC'!$D$11:$D1028,"&gt;=01/08"&amp;$C$7,'Livro Diario - FC'!$D$11:$D1028,"&lt;=31/08"&amp;$C$7)</f>
        <v>0</v>
      </c>
      <c r="AL288" s="256">
        <f>SUMIFS('Livro Diario - FC'!$M$11:$M1028,'Livro Diario - FC'!$E$11:$E1028,$C$288,'Livro Diario - FC'!$D$11:$D1028,"&gt;=01/08"&amp;$C$7,'Livro Diario - FC'!$D$11:$D1028,"&lt;=31/08"&amp;$C$7)</f>
        <v>0</v>
      </c>
      <c r="AM288" s="273"/>
      <c r="AN288" s="258"/>
      <c r="AO288" s="255">
        <f>SUMIFS('Livro Diario - FC'!$K$11:$K1028,'Livro Diario - FC'!$E$11:$E1028,$C$288,'Livro Diario - FC'!$D$11:$D1028,"&gt;=01/09"&amp;$C$7,'Livro Diario - FC'!$D$11:$D1028,"&lt;=30/09"&amp;$C$7)</f>
        <v>0</v>
      </c>
      <c r="AP288" s="256">
        <f>SUMIFS('Livro Diario - FC'!$M$11:$M1028,'Livro Diario - FC'!$E$11:$E1028,$C$288,'Livro Diario - FC'!$D$11:$D1028,"&gt;=01/09"&amp;$C$7,'Livro Diario - FC'!$D$11:$D1028,"&lt;=30/09"&amp;$C$7)</f>
        <v>0</v>
      </c>
      <c r="AQ288" s="273"/>
      <c r="AR288" s="258"/>
      <c r="AS288" s="255">
        <f>SUMIFS('Livro Diario - FC'!$K$11:$K1028,'Livro Diario - FC'!$E$11:$E1028,$C$288,'Livro Diario - FC'!$D$11:$D1028,"&gt;=01/10"&amp;$C$7,'Livro Diario - FC'!$D$11:$D1028,"&lt;=31/10"&amp;$C$7)</f>
        <v>0</v>
      </c>
      <c r="AT288" s="256">
        <f>SUMIFS('Livro Diario - FC'!$M$11:$M1028,'Livro Diario - FC'!$E$11:$E1028,$C$288,'Livro Diario - FC'!$D$11:$D1028,"&gt;=01/10"&amp;$C$7,'Livro Diario - FC'!$D$11:$D1028,"&lt;=31/10"&amp;$C$7)</f>
        <v>0</v>
      </c>
      <c r="AU288" s="273"/>
      <c r="AV288" s="258"/>
      <c r="AW288" s="255">
        <f>SUMIFS('Livro Diario - FC'!$K$11:$K1028,'Livro Diario - FC'!$E$11:$E1028,$C$288,'Livro Diario - FC'!$D$11:$D1028,"&gt;=01/11"&amp;$C$7,'Livro Diario - FC'!$D$11:$D1028,"&lt;=30/11"&amp;$C$7)</f>
        <v>0</v>
      </c>
      <c r="AX288" s="256">
        <f>SUMIFS('Livro Diario - FC'!$M$11:$M1028,'Livro Diario - FC'!$E$11:$E1028,$C$288,'Livro Diario - FC'!$D$11:$D1028,"&gt;=01/11"&amp;$C$7,'Livro Diario - FC'!$D$11:$D1028,"&lt;=30/11"&amp;$C$7)</f>
        <v>0</v>
      </c>
      <c r="AY288" s="273"/>
      <c r="AZ288" s="258"/>
      <c r="BA288" s="255">
        <f>SUMIFS('Livro Diario - FC'!$K$11:$K1028,'Livro Diario - FC'!$E$11:$E1028,$C$288,'Livro Diario - FC'!$D$11:$D1028,"&gt;=01/12"&amp;$C$7,'Livro Diario - FC'!$D$11:$D1028,"&lt;=31/12"&amp;$C$7)</f>
        <v>0</v>
      </c>
      <c r="BB288" s="256">
        <f>SUMIFS('Livro Diario - FC'!$M$11:$M1028,'Livro Diario - FC'!$E$11:$E1028,$C$288,'Livro Diario - FC'!$D$11:$D1028,"&gt;=01/12"&amp;$C$7,'Livro Diario - FC'!$D$11:$D1028,"&lt;=31/12"&amp;$C$7)</f>
        <v>0</v>
      </c>
      <c r="BC288" s="273"/>
      <c r="BD288" s="273"/>
      <c r="BE288" s="267">
        <f t="shared" ref="BE288:BF288" si="434">SUM(D288,I288,N288,S288,X288,AC288,AG288,AK288,AO288,AS288,AW288,BA288)</f>
        <v>0</v>
      </c>
      <c r="BF288" s="268">
        <f t="shared" si="434"/>
        <v>0</v>
      </c>
      <c r="BG288" s="269"/>
      <c r="BH288" s="192"/>
      <c r="BI288" s="270">
        <f>SUMIFS('Livro Diario - FC'!$M$11:$M1028,'Livro Diario - FC'!$E$11:$E1028,C288,'Livro Diario - FC'!$D$11:$D1028,"&gt;="&amp;$BK$8,'Livro Diario - FC'!$D$11:$D1028,"&lt;="&amp;$BK$9)</f>
        <v>0</v>
      </c>
      <c r="BJ288" s="271"/>
      <c r="BK288" s="272"/>
      <c r="BL288" s="1"/>
    </row>
    <row r="289">
      <c r="A289" s="1"/>
      <c r="B289" s="1"/>
      <c r="C289" s="338" t="str">
        <f>'Livro Diario - FC'!AE297</f>
        <v>5.5.3 Materiais de Expediente/Manutenção/Limpeza</v>
      </c>
      <c r="D289" s="255">
        <f>SUMIFS('Livro Diario - FC'!$K$11:$K1028,'Livro Diario - FC'!$E$11:$E1028,$C$289,'Livro Diario - FC'!$D$11:$D1028,"&gt;=01/01"&amp;$C$7,'Livro Diario - FC'!$D$11:$D1028,"&lt;=31/01"&amp;$C$7)</f>
        <v>130</v>
      </c>
      <c r="E289" s="256">
        <f>SUMIFS('Livro Diario - FC'!$M$11:$M1028,'Livro Diario - FC'!$E$11:$E1028,$C$289,'Livro Diario - FC'!$D$11:$D1028,"&gt;=01/01"&amp;$C$7,'Livro Diario - FC'!$D$11:$D1028,"&lt;=31/01"&amp;$C$7)</f>
        <v>130</v>
      </c>
      <c r="F289" s="273"/>
      <c r="G289" s="258"/>
      <c r="H289" s="157"/>
      <c r="I289" s="255">
        <f>SUMIFS('Livro Diario - FC'!$K$11:$K1028,'Livro Diario - FC'!$E$11:$E1028,$C$289,'Livro Diario - FC'!$D$11:$D1028,"&gt;=01/02"&amp;$C$7,'Livro Diario - FC'!$D$11:$D1028,"&lt;=29/02"&amp;$C$7)</f>
        <v>0</v>
      </c>
      <c r="J289" s="256">
        <f>SUMIFS('Livro Diario - FC'!$M$11:$M1028,'Livro Diario - FC'!$E$11:$E1028,$C$289,'Livro Diario - FC'!$D$11:$D1028,"&gt;=01/02"&amp;$C$7,'Livro Diario - FC'!$D$11:$D1028,"&lt;=29/02"&amp;$C$7)</f>
        <v>0</v>
      </c>
      <c r="K289" s="273"/>
      <c r="L289" s="258"/>
      <c r="M289" s="259"/>
      <c r="N289" s="255">
        <f>SUMIFS('Livro Diario - FC'!$K$11:$K1028,'Livro Diario - FC'!$E$11:$E1028,$C$289,'Livro Diario - FC'!$D$11:$D1028,"&gt;=01/03"&amp;$C$7,'Livro Diario - FC'!$D$11:$D1028,"&lt;=31/03"&amp;$C$7)</f>
        <v>0</v>
      </c>
      <c r="O289" s="256">
        <f>SUMIFS('Livro Diario - FC'!$M$11:$M1028,'Livro Diario - FC'!$E$11:$E1028,$C$289,'Livro Diario - FC'!$D$11:$D1028,"&gt;=01/03"&amp;$C$7,'Livro Diario - FC'!$D$11:$D1028,"&lt;=31/03"&amp;$C$7)</f>
        <v>0</v>
      </c>
      <c r="P289" s="273"/>
      <c r="Q289" s="258"/>
      <c r="R289" s="259"/>
      <c r="S289" s="255">
        <f>SUMIFS('Livro Diario - FC'!$K$11:$K1028,'Livro Diario - FC'!$E$11:$E1028,$C$289,'Livro Diario - FC'!$D$11:$D1028,"&gt;=01/04"&amp;$C$7,'Livro Diario - FC'!$D$11:$D1028,"&lt;=30/04"&amp;$C$7)</f>
        <v>0</v>
      </c>
      <c r="T289" s="256">
        <f>SUMIFS('Livro Diario - FC'!$M$11:$M1028,'Livro Diario - FC'!$E$11:$E1028,$C$289,'Livro Diario - FC'!$D$11:$D1028,"&gt;=01/04"&amp;$C$7,'Livro Diario - FC'!$D$11:$D1028,"&lt;=30/04"&amp;$C$7)</f>
        <v>0</v>
      </c>
      <c r="U289" s="273"/>
      <c r="V289" s="258"/>
      <c r="W289" s="259"/>
      <c r="X289" s="255">
        <f>SUMIFS('Livro Diario - FC'!$K$11:$K1028,'Livro Diario - FC'!$E$11:$E1028,$C$289,'Livro Diario - FC'!$D$11:$D1028,"&gt;=01/05"&amp;$C$7,'Livro Diario - FC'!$D$11:$D1028,"&lt;=31/05"&amp;$C$7)</f>
        <v>0</v>
      </c>
      <c r="Y289" s="256">
        <f>SUMIFS('Livro Diario - FC'!$M$11:$M1028,'Livro Diario - FC'!$E$11:$E1028,$C$289,'Livro Diario - FC'!$D$11:$D1028,"&gt;=01/05"&amp;$C$7,'Livro Diario - FC'!$D$11:$D1028,"&lt;=31/05"&amp;$C$7)</f>
        <v>0</v>
      </c>
      <c r="Z289" s="273"/>
      <c r="AA289" s="258"/>
      <c r="AB289" s="259"/>
      <c r="AC289" s="255">
        <f>SUMIFS('Livro Diario - FC'!$K$11:$K1028,'Livro Diario - FC'!$E$11:$E1028,$C$289,'Livro Diario - FC'!$D$11:$D1028,"&gt;=01/06"&amp;$C$7,'Livro Diario - FC'!$D$11:$D1028,"&lt;=30/06"&amp;$C$7)</f>
        <v>0</v>
      </c>
      <c r="AD289" s="256">
        <f>SUMIFS('Livro Diario - FC'!$M$11:$M1028,'Livro Diario - FC'!$E$11:$E1028,$C$289,'Livro Diario - FC'!$D$11:$D1028,"&gt;=01/06"&amp;$C$7,'Livro Diario - FC'!$D$11:$D1028,"&lt;=30/06"&amp;$C$7)</f>
        <v>0</v>
      </c>
      <c r="AE289" s="273"/>
      <c r="AF289" s="258"/>
      <c r="AG289" s="255">
        <f>SUMIFS('Livro Diario - FC'!$K$11:$K1028,'Livro Diario - FC'!$E$11:$E1028,$C$289,'Livro Diario - FC'!$D$11:$D1028,"&gt;=01/07"&amp;$C$7,'Livro Diario - FC'!$D$11:$D1028,"&lt;=31/07"&amp;$C$7)</f>
        <v>0</v>
      </c>
      <c r="AH289" s="256">
        <f>SUMIFS('Livro Diario - FC'!$M$11:$M1028,'Livro Diario - FC'!$E$11:$E1028,$C$289,'Livro Diario - FC'!$D$11:$D1028,"&gt;=01/07"&amp;$C$7,'Livro Diario - FC'!$D$11:$D1028,"&lt;=31/07"&amp;$C$7)</f>
        <v>0</v>
      </c>
      <c r="AI289" s="273"/>
      <c r="AJ289" s="258"/>
      <c r="AK289" s="255">
        <f>SUMIFS('Livro Diario - FC'!$K$11:$K1028,'Livro Diario - FC'!$E$11:$E1028,$C$289,'Livro Diario - FC'!$D$11:$D1028,"&gt;=01/08"&amp;$C$7,'Livro Diario - FC'!$D$11:$D1028,"&lt;=31/08"&amp;$C$7)</f>
        <v>0</v>
      </c>
      <c r="AL289" s="256">
        <f>SUMIFS('Livro Diario - FC'!$M$11:$M1028,'Livro Diario - FC'!$E$11:$E1028,$C$289,'Livro Diario - FC'!$D$11:$D1028,"&gt;=01/08"&amp;$C$7,'Livro Diario - FC'!$D$11:$D1028,"&lt;=31/08"&amp;$C$7)</f>
        <v>0</v>
      </c>
      <c r="AM289" s="273"/>
      <c r="AN289" s="258"/>
      <c r="AO289" s="255">
        <f>SUMIFS('Livro Diario - FC'!$K$11:$K1028,'Livro Diario - FC'!$E$11:$E1028,$C$289,'Livro Diario - FC'!$D$11:$D1028,"&gt;=01/09"&amp;$C$7,'Livro Diario - FC'!$D$11:$D1028,"&lt;=30/09"&amp;$C$7)</f>
        <v>0</v>
      </c>
      <c r="AP289" s="256">
        <f>SUMIFS('Livro Diario - FC'!$M$11:$M1028,'Livro Diario - FC'!$E$11:$E1028,$C$289,'Livro Diario - FC'!$D$11:$D1028,"&gt;=01/09"&amp;$C$7,'Livro Diario - FC'!$D$11:$D1028,"&lt;=30/09"&amp;$C$7)</f>
        <v>0</v>
      </c>
      <c r="AQ289" s="273"/>
      <c r="AR289" s="258"/>
      <c r="AS289" s="255">
        <f>SUMIFS('Livro Diario - FC'!$K$11:$K1028,'Livro Diario - FC'!$E$11:$E1028,$C$289,'Livro Diario - FC'!$D$11:$D1028,"&gt;=01/10"&amp;$C$7,'Livro Diario - FC'!$D$11:$D1028,"&lt;=31/10"&amp;$C$7)</f>
        <v>0</v>
      </c>
      <c r="AT289" s="256">
        <f>SUMIFS('Livro Diario - FC'!$M$11:$M1028,'Livro Diario - FC'!$E$11:$E1028,$C$289,'Livro Diario - FC'!$D$11:$D1028,"&gt;=01/10"&amp;$C$7,'Livro Diario - FC'!$D$11:$D1028,"&lt;=31/10"&amp;$C$7)</f>
        <v>0</v>
      </c>
      <c r="AU289" s="273"/>
      <c r="AV289" s="258"/>
      <c r="AW289" s="255">
        <f>SUMIFS('Livro Diario - FC'!$K$11:$K1028,'Livro Diario - FC'!$E$11:$E1028,$C$289,'Livro Diario - FC'!$D$11:$D1028,"&gt;=01/11"&amp;$C$7,'Livro Diario - FC'!$D$11:$D1028,"&lt;=30/11"&amp;$C$7)</f>
        <v>0</v>
      </c>
      <c r="AX289" s="256">
        <f>SUMIFS('Livro Diario - FC'!$M$11:$M1028,'Livro Diario - FC'!$E$11:$E1028,$C$289,'Livro Diario - FC'!$D$11:$D1028,"&gt;=01/11"&amp;$C$7,'Livro Diario - FC'!$D$11:$D1028,"&lt;=30/11"&amp;$C$7)</f>
        <v>0</v>
      </c>
      <c r="AY289" s="273"/>
      <c r="AZ289" s="258"/>
      <c r="BA289" s="255">
        <f>SUMIFS('Livro Diario - FC'!$K$11:$K1028,'Livro Diario - FC'!$E$11:$E1028,$C$289,'Livro Diario - FC'!$D$11:$D1028,"&gt;=01/12"&amp;$C$7,'Livro Diario - FC'!$D$11:$D1028,"&lt;=31/12"&amp;$C$7)</f>
        <v>0</v>
      </c>
      <c r="BB289" s="256">
        <f>SUMIFS('Livro Diario - FC'!$M$11:$M1028,'Livro Diario - FC'!$E$11:$E1028,$C$289,'Livro Diario - FC'!$D$11:$D1028,"&gt;=01/12"&amp;$C$7,'Livro Diario - FC'!$D$11:$D1028,"&lt;=31/12"&amp;$C$7)</f>
        <v>0</v>
      </c>
      <c r="BC289" s="273"/>
      <c r="BD289" s="273"/>
      <c r="BE289" s="267">
        <f t="shared" ref="BE289:BF289" si="435">SUM(D289,I289,N289,S289,X289,AC289,AG289,AK289,AO289,AS289,AW289,BA289)</f>
        <v>130</v>
      </c>
      <c r="BF289" s="268">
        <f t="shared" si="435"/>
        <v>130</v>
      </c>
      <c r="BG289" s="269"/>
      <c r="BH289" s="192"/>
      <c r="BI289" s="270">
        <f>SUMIFS('Livro Diario - FC'!$M$11:$M1028,'Livro Diario - FC'!$E$11:$E1028,C289,'Livro Diario - FC'!$D$11:$D1028,"&gt;="&amp;$BK$8,'Livro Diario - FC'!$D$11:$D1028,"&lt;="&amp;$BK$9)</f>
        <v>0</v>
      </c>
      <c r="BJ289" s="271"/>
      <c r="BK289" s="272"/>
      <c r="BL289" s="1"/>
    </row>
    <row r="290">
      <c r="A290" s="1"/>
      <c r="B290" s="1"/>
      <c r="C290" s="338" t="str">
        <f>'Livro Diario - FC'!AE298</f>
        <v>5.5.4 Manutenção Veículo</v>
      </c>
      <c r="D290" s="255">
        <f>SUMIFS('Livro Diario - FC'!$K$11:$K1028,'Livro Diario - FC'!$E$11:$E1028,$C$290,'Livro Diario - FC'!$D$11:$D1028,"&gt;=01/01"&amp;$C$7,'Livro Diario - FC'!$D$11:$D1028,"&lt;=31/01"&amp;$C$7)</f>
        <v>0</v>
      </c>
      <c r="E290" s="256">
        <f>SUMIFS('Livro Diario - FC'!$M$11:$M1028,'Livro Diario - FC'!$E$11:$E1028,$C$290,'Livro Diario - FC'!$D$11:$D1028,"&gt;=01/01"&amp;$C$7,'Livro Diario - FC'!$D$11:$D1028,"&lt;=31/01"&amp;$C$7)</f>
        <v>0</v>
      </c>
      <c r="F290" s="374">
        <f>IF(E$11=0,"",E290/E$11)</f>
        <v>0</v>
      </c>
      <c r="G290" s="258" t="str">
        <f>IF(A290=0,"",E290/A290-1)</f>
        <v/>
      </c>
      <c r="H290" s="157"/>
      <c r="I290" s="255">
        <f>SUMIFS('Livro Diario - FC'!$K$11:$K1028,'Livro Diario - FC'!$E$11:$E1028,$C$290,'Livro Diario - FC'!$D$11:$D1028,"&gt;=01/02"&amp;$C$7,'Livro Diario - FC'!$D$11:$D1028,"&lt;=29/02"&amp;$C$7)</f>
        <v>0</v>
      </c>
      <c r="J290" s="256">
        <f>SUMIFS('Livro Diario - FC'!$M$11:$M1028,'Livro Diario - FC'!$E$11:$E1028,$C$290,'Livro Diario - FC'!$D$11:$D1028,"&gt;=01/02"&amp;$C$7,'Livro Diario - FC'!$D$11:$D1028,"&lt;=29/02"&amp;$C$7)</f>
        <v>0</v>
      </c>
      <c r="K290" s="374" t="str">
        <f>IF(J$11=0,"",J290/J$11)</f>
        <v/>
      </c>
      <c r="L290" s="258" t="str">
        <f>IF(E290=0,"",J290/E290-1)</f>
        <v/>
      </c>
      <c r="M290" s="259"/>
      <c r="N290" s="255">
        <f>SUMIFS('Livro Diario - FC'!$K$11:$K1028,'Livro Diario - FC'!$E$11:$E1028,$C$290,'Livro Diario - FC'!$D$11:$D1028,"&gt;=01/03"&amp;$C$7,'Livro Diario - FC'!$D$11:$D1028,"&lt;=31/03"&amp;$C$7)</f>
        <v>0</v>
      </c>
      <c r="O290" s="256">
        <f>SUMIFS('Livro Diario - FC'!$M$11:$M1028,'Livro Diario - FC'!$E$11:$E1028,$C$290,'Livro Diario - FC'!$D$11:$D1028,"&gt;=01/03"&amp;$C$7,'Livro Diario - FC'!$D$11:$D1028,"&lt;=31/03"&amp;$C$7)</f>
        <v>0</v>
      </c>
      <c r="P290" s="374" t="str">
        <f>IF(O$11=0,"",O290/O$11)</f>
        <v/>
      </c>
      <c r="Q290" s="258" t="str">
        <f>IF(J290=0,"",O290/J290-1)</f>
        <v/>
      </c>
      <c r="R290" s="259"/>
      <c r="S290" s="255">
        <f>SUMIFS('Livro Diario - FC'!$K$11:$K1028,'Livro Diario - FC'!$E$11:$E1028,$C$290,'Livro Diario - FC'!$D$11:$D1028,"&gt;=01/04"&amp;$C$7,'Livro Diario - FC'!$D$11:$D1028,"&lt;=30/04"&amp;$C$7)</f>
        <v>0</v>
      </c>
      <c r="T290" s="256">
        <f>SUMIFS('Livro Diario - FC'!$M$11:$M1028,'Livro Diario - FC'!$E$11:$E1028,$C$290,'Livro Diario - FC'!$D$11:$D1028,"&gt;=01/04"&amp;$C$7,'Livro Diario - FC'!$D$11:$D1028,"&lt;=30/04"&amp;$C$7)</f>
        <v>0</v>
      </c>
      <c r="U290" s="374" t="str">
        <f>IF(T$11=0,"",T290/T$11)</f>
        <v/>
      </c>
      <c r="V290" s="258" t="str">
        <f>IF(O290=0,"",T290/O290-1)</f>
        <v/>
      </c>
      <c r="W290" s="259"/>
      <c r="X290" s="255">
        <f>SUMIFS('Livro Diario - FC'!$K$11:$K1028,'Livro Diario - FC'!$E$11:$E1028,$C$290,'Livro Diario - FC'!$D$11:$D1028,"&gt;=01/05"&amp;$C$7,'Livro Diario - FC'!$D$11:$D1028,"&lt;=31/05"&amp;$C$7)</f>
        <v>0</v>
      </c>
      <c r="Y290" s="256">
        <f>SUMIFS('Livro Diario - FC'!$M$11:$M1028,'Livro Diario - FC'!$E$11:$E1028,$C$290,'Livro Diario - FC'!$D$11:$D1028,"&gt;=01/05"&amp;$C$7,'Livro Diario - FC'!$D$11:$D1028,"&lt;=31/05"&amp;$C$7)</f>
        <v>0</v>
      </c>
      <c r="Z290" s="374" t="str">
        <f>IF(Y$11=0,"",Y290/Y$11)</f>
        <v/>
      </c>
      <c r="AA290" s="258" t="str">
        <f>IF(T290=0,"",Y290/T290-1)</f>
        <v/>
      </c>
      <c r="AB290" s="259"/>
      <c r="AC290" s="255">
        <f>SUMIFS('Livro Diario - FC'!$K$11:$K1028,'Livro Diario - FC'!$E$11:$E1028,$C$290,'Livro Diario - FC'!$D$11:$D1028,"&gt;=01/06"&amp;$C$7,'Livro Diario - FC'!$D$11:$D1028,"&lt;=30/06"&amp;$C$7)</f>
        <v>0</v>
      </c>
      <c r="AD290" s="256">
        <f>SUMIFS('Livro Diario - FC'!$M$11:$M1028,'Livro Diario - FC'!$E$11:$E1028,$C$290,'Livro Diario - FC'!$D$11:$D1028,"&gt;=01/06"&amp;$C$7,'Livro Diario - FC'!$D$11:$D1028,"&lt;=30/06"&amp;$C$7)</f>
        <v>0</v>
      </c>
      <c r="AE290" s="374" t="str">
        <f>IF(AD$11=0,"",AD290/AD$11)</f>
        <v/>
      </c>
      <c r="AF290" s="258" t="str">
        <f>IF(Y290=0,"",AD290/Y290-1)</f>
        <v/>
      </c>
      <c r="AG290" s="255">
        <f>SUMIFS('Livro Diario - FC'!$K$11:$K1028,'Livro Diario - FC'!$E$11:$E1028,$C$290,'Livro Diario - FC'!$D$11:$D1028,"&gt;=01/07"&amp;$C$7,'Livro Diario - FC'!$D$11:$D1028,"&lt;=31/07"&amp;$C$7)</f>
        <v>0</v>
      </c>
      <c r="AH290" s="256">
        <f>SUMIFS('Livro Diario - FC'!$M$11:$M1028,'Livro Diario - FC'!$E$11:$E1028,$C$290,'Livro Diario - FC'!$D$11:$D1028,"&gt;=01/07"&amp;$C$7,'Livro Diario - FC'!$D$11:$D1028,"&lt;=31/07"&amp;$C$7)</f>
        <v>0</v>
      </c>
      <c r="AI290" s="374" t="str">
        <f>IF(AH$11=0,"",AH290/AH$11)</f>
        <v/>
      </c>
      <c r="AJ290" s="258" t="str">
        <f>IF(AD290=0,"",AH290/AD290-1)</f>
        <v/>
      </c>
      <c r="AK290" s="255">
        <f>SUMIFS('Livro Diario - FC'!$K$11:$K1028,'Livro Diario - FC'!$E$11:$E1028,$C$290,'Livro Diario - FC'!$D$11:$D1028,"&gt;=01/08"&amp;$C$7,'Livro Diario - FC'!$D$11:$D1028,"&lt;=31/08"&amp;$C$7)</f>
        <v>0</v>
      </c>
      <c r="AL290" s="256">
        <f>SUMIFS('Livro Diario - FC'!$M$11:$M1028,'Livro Diario - FC'!$E$11:$E1028,$C$290,'Livro Diario - FC'!$D$11:$D1028,"&gt;=01/08"&amp;$C$7,'Livro Diario - FC'!$D$11:$D1028,"&lt;=31/08"&amp;$C$7)</f>
        <v>0</v>
      </c>
      <c r="AM290" s="374" t="str">
        <f>IF(AL$11=0,"",AL290/AL$11)</f>
        <v/>
      </c>
      <c r="AN290" s="258" t="str">
        <f>IF(AH290=0,"",AL290/AH290-1)</f>
        <v/>
      </c>
      <c r="AO290" s="255">
        <f>SUMIFS('Livro Diario - FC'!$K$11:$K1028,'Livro Diario - FC'!$E$11:$E1028,$C$290,'Livro Diario - FC'!$D$11:$D1028,"&gt;=01/09"&amp;$C$7,'Livro Diario - FC'!$D$11:$D1028,"&lt;=30/09"&amp;$C$7)</f>
        <v>0</v>
      </c>
      <c r="AP290" s="256">
        <f>SUMIFS('Livro Diario - FC'!$M$11:$M1028,'Livro Diario - FC'!$E$11:$E1028,$C$290,'Livro Diario - FC'!$D$11:$D1028,"&gt;=01/09"&amp;$C$7,'Livro Diario - FC'!$D$11:$D1028,"&lt;=30/09"&amp;$C$7)</f>
        <v>0</v>
      </c>
      <c r="AQ290" s="374" t="str">
        <f>IF(AP$11=0,"",AP290/AP$11)</f>
        <v/>
      </c>
      <c r="AR290" s="258" t="str">
        <f>IF(AL290=0,"",AP290/AL290-1)</f>
        <v/>
      </c>
      <c r="AS290" s="255">
        <f>SUMIFS('Livro Diario - FC'!$K$11:$K1028,'Livro Diario - FC'!$E$11:$E1028,$C$290,'Livro Diario - FC'!$D$11:$D1028,"&gt;=01/10"&amp;$C$7,'Livro Diario - FC'!$D$11:$D1028,"&lt;=31/10"&amp;$C$7)</f>
        <v>0</v>
      </c>
      <c r="AT290" s="256">
        <f>SUMIFS('Livro Diario - FC'!$M$11:$M1028,'Livro Diario - FC'!$E$11:$E1028,$C$290,'Livro Diario - FC'!$D$11:$D1028,"&gt;=01/10"&amp;$C$7,'Livro Diario - FC'!$D$11:$D1028,"&lt;=31/10"&amp;$C$7)</f>
        <v>0</v>
      </c>
      <c r="AU290" s="374" t="str">
        <f>IF(AT$11=0,"",AT290/AT$11)</f>
        <v/>
      </c>
      <c r="AV290" s="258" t="str">
        <f>IF(AP290=0,"",AT290/AP290-1)</f>
        <v/>
      </c>
      <c r="AW290" s="255">
        <f>SUMIFS('Livro Diario - FC'!$K$11:$K1028,'Livro Diario - FC'!$E$11:$E1028,$C$290,'Livro Diario - FC'!$D$11:$D1028,"&gt;=01/11"&amp;$C$7,'Livro Diario - FC'!$D$11:$D1028,"&lt;=30/11"&amp;$C$7)</f>
        <v>0</v>
      </c>
      <c r="AX290" s="256">
        <f>SUMIFS('Livro Diario - FC'!$M$11:$M1028,'Livro Diario - FC'!$E$11:$E1028,$C$290,'Livro Diario - FC'!$D$11:$D1028,"&gt;=01/11"&amp;$C$7,'Livro Diario - FC'!$D$11:$D1028,"&lt;=30/11"&amp;$C$7)</f>
        <v>0</v>
      </c>
      <c r="AY290" s="374" t="str">
        <f>IF(AX$11=0,"",AX290/AX$11)</f>
        <v/>
      </c>
      <c r="AZ290" s="258" t="str">
        <f>IF(AT290=0,"",AX290/AT290-1)</f>
        <v/>
      </c>
      <c r="BA290" s="255">
        <f>SUMIFS('Livro Diario - FC'!$K$11:$K1028,'Livro Diario - FC'!$E$11:$E1028,$C$290,'Livro Diario - FC'!$D$11:$D1028,"&gt;=01/12"&amp;$C$7,'Livro Diario - FC'!$D$11:$D1028,"&lt;=31/12"&amp;$C$7)</f>
        <v>0</v>
      </c>
      <c r="BB290" s="256">
        <f>SUMIFS('Livro Diario - FC'!$M$11:$M1028,'Livro Diario - FC'!$E$11:$E1028,$C$290,'Livro Diario - FC'!$D$11:$D1028,"&gt;=01/12"&amp;$C$7,'Livro Diario - FC'!$D$11:$D1028,"&lt;=31/12"&amp;$C$7)</f>
        <v>0</v>
      </c>
      <c r="BC290" s="374" t="str">
        <f>IF(BB$11=0,"",BB290/BB$11)</f>
        <v/>
      </c>
      <c r="BD290" s="273" t="str">
        <f>IF(AX290=0,"",BB290/AX290-1)</f>
        <v/>
      </c>
      <c r="BE290" s="267">
        <f t="shared" ref="BE290:BF290" si="436">SUM(D290,I290,N290,S290,X290,AC290,AG290,AK290,AO290,AS290,AW290,BA290)</f>
        <v>0</v>
      </c>
      <c r="BF290" s="268">
        <f t="shared" si="436"/>
        <v>0</v>
      </c>
      <c r="BG290" s="347">
        <f>IF(BF$11=0,"",BF290/BF$11)</f>
        <v>0</v>
      </c>
      <c r="BH290" s="192"/>
      <c r="BI290" s="270">
        <f>SUMIFS('Livro Diario - FC'!$M$11:$M1028,'Livro Diario - FC'!$E$11:$E1028,C290,'Livro Diario - FC'!$D$11:$D1028,"&gt;="&amp;$BK$8,'Livro Diario - FC'!$D$11:$D1028,"&lt;="&amp;$BK$9)</f>
        <v>0</v>
      </c>
      <c r="BJ290" s="271" t="str">
        <f>IF(BI$11=0,"",BI290/BI$11)</f>
        <v/>
      </c>
      <c r="BK290" s="272"/>
      <c r="BL290" s="1"/>
    </row>
    <row r="291">
      <c r="A291" s="1"/>
      <c r="B291" s="1"/>
      <c r="C291" s="338" t="str">
        <f>'Livro Diario - FC'!AE299</f>
        <v>5.5.5 Outras despesas com materiais</v>
      </c>
      <c r="D291" s="255">
        <f>SUMIFS('Livro Diario - FC'!$K$11:$K1028,'Livro Diario - FC'!$E$11:$E1028,$C$291,'Livro Diario - FC'!$D$11:$D1028,"&gt;=01/01"&amp;$C$7,'Livro Diario - FC'!$D$11:$D1028,"&lt;=31/01"&amp;$C$7)</f>
        <v>0</v>
      </c>
      <c r="E291" s="256">
        <f>SUMIFS('Livro Diario - FC'!$M$11:$M1028,'Livro Diario - FC'!$E$11:$E1028,$C$291,'Livro Diario - FC'!$D$11:$D1028,"&gt;=01/01"&amp;$C$7,'Livro Diario - FC'!$D$11:$D1028,"&lt;=31/01"&amp;$C$7)</f>
        <v>0</v>
      </c>
      <c r="F291" s="273"/>
      <c r="G291" s="258"/>
      <c r="H291" s="157"/>
      <c r="I291" s="255">
        <f>SUMIFS('Livro Diario - FC'!$K$11:$K1028,'Livro Diario - FC'!$E$11:$E1028,$C$291,'Livro Diario - FC'!$D$11:$D1028,"&gt;=01/02"&amp;$C$7,'Livro Diario - FC'!$D$11:$D1028,"&lt;=29/02"&amp;$C$7)</f>
        <v>0</v>
      </c>
      <c r="J291" s="256">
        <f>SUMIFS('Livro Diario - FC'!$M$11:$M1028,'Livro Diario - FC'!$E$11:$E1028,$C$291,'Livro Diario - FC'!$D$11:$D1028,"&gt;=01/02"&amp;$C$7,'Livro Diario - FC'!$D$11:$D1028,"&lt;=29/02"&amp;$C$7)</f>
        <v>0</v>
      </c>
      <c r="K291" s="273"/>
      <c r="L291" s="258"/>
      <c r="M291" s="259"/>
      <c r="N291" s="255">
        <f>SUMIFS('Livro Diario - FC'!$K$11:$K1028,'Livro Diario - FC'!$E$11:$E1028,$C$291,'Livro Diario - FC'!$D$11:$D1028,"&gt;=01/03"&amp;$C$7,'Livro Diario - FC'!$D$11:$D1028,"&lt;=31/03"&amp;$C$7)</f>
        <v>0</v>
      </c>
      <c r="O291" s="256">
        <f>SUMIFS('Livro Diario - FC'!$M$11:$M1028,'Livro Diario - FC'!$E$11:$E1028,$C$291,'Livro Diario - FC'!$D$11:$D1028,"&gt;=01/03"&amp;$C$7,'Livro Diario - FC'!$D$11:$D1028,"&lt;=31/03"&amp;$C$7)</f>
        <v>0</v>
      </c>
      <c r="P291" s="273"/>
      <c r="Q291" s="258"/>
      <c r="R291" s="259"/>
      <c r="S291" s="255">
        <f>SUMIFS('Livro Diario - FC'!$K$11:$K1028,'Livro Diario - FC'!$E$11:$E1028,$C$291,'Livro Diario - FC'!$D$11:$D1028,"&gt;=01/04"&amp;$C$7,'Livro Diario - FC'!$D$11:$D1028,"&lt;=30/04"&amp;$C$7)</f>
        <v>0</v>
      </c>
      <c r="T291" s="256">
        <f>SUMIFS('Livro Diario - FC'!$M$11:$M1028,'Livro Diario - FC'!$E$11:$E1028,$C$291,'Livro Diario - FC'!$D$11:$D1028,"&gt;=01/04"&amp;$C$7,'Livro Diario - FC'!$D$11:$D1028,"&lt;=30/04"&amp;$C$7)</f>
        <v>0</v>
      </c>
      <c r="U291" s="273"/>
      <c r="V291" s="258"/>
      <c r="W291" s="259"/>
      <c r="X291" s="255">
        <f>SUMIFS('Livro Diario - FC'!$K$11:$K1028,'Livro Diario - FC'!$E$11:$E1028,$C$291,'Livro Diario - FC'!$D$11:$D1028,"&gt;=01/05"&amp;$C$7,'Livro Diario - FC'!$D$11:$D1028,"&lt;=31/05"&amp;$C$7)</f>
        <v>0</v>
      </c>
      <c r="Y291" s="256">
        <f>SUMIFS('Livro Diario - FC'!$M$11:$M1028,'Livro Diario - FC'!$E$11:$E1028,$C$291,'Livro Diario - FC'!$D$11:$D1028,"&gt;=01/05"&amp;$C$7,'Livro Diario - FC'!$D$11:$D1028,"&lt;=31/05"&amp;$C$7)</f>
        <v>0</v>
      </c>
      <c r="Z291" s="273"/>
      <c r="AA291" s="258"/>
      <c r="AB291" s="259"/>
      <c r="AC291" s="255">
        <f>SUMIFS('Livro Diario - FC'!$K$11:$K1028,'Livro Diario - FC'!$E$11:$E1028,$C$291,'Livro Diario - FC'!$D$11:$D1028,"&gt;=01/06"&amp;$C$7,'Livro Diario - FC'!$D$11:$D1028,"&lt;=30/06"&amp;$C$7)</f>
        <v>0</v>
      </c>
      <c r="AD291" s="256">
        <f>SUMIFS('Livro Diario - FC'!$M$11:$M1028,'Livro Diario - FC'!$E$11:$E1028,$C$291,'Livro Diario - FC'!$D$11:$D1028,"&gt;=01/06"&amp;$C$7,'Livro Diario - FC'!$D$11:$D1028,"&lt;=30/06"&amp;$C$7)</f>
        <v>0</v>
      </c>
      <c r="AE291" s="273"/>
      <c r="AF291" s="258"/>
      <c r="AG291" s="255">
        <f>SUMIFS('Livro Diario - FC'!$K$11:$K1028,'Livro Diario - FC'!$E$11:$E1028,$C$291,'Livro Diario - FC'!$D$11:$D1028,"&gt;=01/07"&amp;$C$7,'Livro Diario - FC'!$D$11:$D1028,"&lt;=31/07"&amp;$C$7)</f>
        <v>0</v>
      </c>
      <c r="AH291" s="256">
        <f>SUMIFS('Livro Diario - FC'!$M$11:$M1028,'Livro Diario - FC'!$E$11:$E1028,$C$291,'Livro Diario - FC'!$D$11:$D1028,"&gt;=01/07"&amp;$C$7,'Livro Diario - FC'!$D$11:$D1028,"&lt;=31/07"&amp;$C$7)</f>
        <v>0</v>
      </c>
      <c r="AI291" s="273"/>
      <c r="AJ291" s="258"/>
      <c r="AK291" s="255">
        <f>SUMIFS('Livro Diario - FC'!$K$11:$K1028,'Livro Diario - FC'!$E$11:$E1028,$C$291,'Livro Diario - FC'!$D$11:$D1028,"&gt;=01/08"&amp;$C$7,'Livro Diario - FC'!$D$11:$D1028,"&lt;=31/08"&amp;$C$7)</f>
        <v>0</v>
      </c>
      <c r="AL291" s="256">
        <f>SUMIFS('Livro Diario - FC'!$M$11:$M1028,'Livro Diario - FC'!$E$11:$E1028,$C$291,'Livro Diario - FC'!$D$11:$D1028,"&gt;=01/08"&amp;$C$7,'Livro Diario - FC'!$D$11:$D1028,"&lt;=31/08"&amp;$C$7)</f>
        <v>0</v>
      </c>
      <c r="AM291" s="273"/>
      <c r="AN291" s="258"/>
      <c r="AO291" s="255">
        <f>SUMIFS('Livro Diario - FC'!$K$11:$K1028,'Livro Diario - FC'!$E$11:$E1028,$C$291,'Livro Diario - FC'!$D$11:$D1028,"&gt;=01/09"&amp;$C$7,'Livro Diario - FC'!$D$11:$D1028,"&lt;=30/09"&amp;$C$7)</f>
        <v>0</v>
      </c>
      <c r="AP291" s="256">
        <f>SUMIFS('Livro Diario - FC'!$M$11:$M1028,'Livro Diario - FC'!$E$11:$E1028,$C$291,'Livro Diario - FC'!$D$11:$D1028,"&gt;=01/09"&amp;$C$7,'Livro Diario - FC'!$D$11:$D1028,"&lt;=30/09"&amp;$C$7)</f>
        <v>0</v>
      </c>
      <c r="AQ291" s="273"/>
      <c r="AR291" s="258"/>
      <c r="AS291" s="255">
        <f>SUMIFS('Livro Diario - FC'!$K$11:$K1028,'Livro Diario - FC'!$E$11:$E1028,$C$291,'Livro Diario - FC'!$D$11:$D1028,"&gt;=01/10"&amp;$C$7,'Livro Diario - FC'!$D$11:$D1028,"&lt;=31/10"&amp;$C$7)</f>
        <v>0</v>
      </c>
      <c r="AT291" s="256">
        <f>SUMIFS('Livro Diario - FC'!$M$11:$M1028,'Livro Diario - FC'!$E$11:$E1028,$C$291,'Livro Diario - FC'!$D$11:$D1028,"&gt;=01/10"&amp;$C$7,'Livro Diario - FC'!$D$11:$D1028,"&lt;=31/10"&amp;$C$7)</f>
        <v>0</v>
      </c>
      <c r="AU291" s="273"/>
      <c r="AV291" s="258"/>
      <c r="AW291" s="255">
        <f>SUMIFS('Livro Diario - FC'!$K$11:$K1028,'Livro Diario - FC'!$E$11:$E1028,$C$291,'Livro Diario - FC'!$D$11:$D1028,"&gt;=01/11"&amp;$C$7,'Livro Diario - FC'!$D$11:$D1028,"&lt;=30/11"&amp;$C$7)</f>
        <v>0</v>
      </c>
      <c r="AX291" s="256">
        <f>SUMIFS('Livro Diario - FC'!$M$11:$M1028,'Livro Diario - FC'!$E$11:$E1028,$C$291,'Livro Diario - FC'!$D$11:$D1028,"&gt;=01/11"&amp;$C$7,'Livro Diario - FC'!$D$11:$D1028,"&lt;=30/11"&amp;$C$7)</f>
        <v>0</v>
      </c>
      <c r="AY291" s="273"/>
      <c r="AZ291" s="258"/>
      <c r="BA291" s="255">
        <f>SUMIFS('Livro Diario - FC'!$K$11:$K1028,'Livro Diario - FC'!$E$11:$E1028,$C$291,'Livro Diario - FC'!$D$11:$D1028,"&gt;=01/12"&amp;$C$7,'Livro Diario - FC'!$D$11:$D1028,"&lt;=31/12"&amp;$C$7)</f>
        <v>0</v>
      </c>
      <c r="BB291" s="256">
        <f>SUMIFS('Livro Diario - FC'!$M$11:$M1028,'Livro Diario - FC'!$E$11:$E1028,$C$291,'Livro Diario - FC'!$D$11:$D1028,"&gt;=01/12"&amp;$C$7,'Livro Diario - FC'!$D$11:$D1028,"&lt;=31/12"&amp;$C$7)</f>
        <v>0</v>
      </c>
      <c r="BC291" s="273"/>
      <c r="BD291" s="273"/>
      <c r="BE291" s="267">
        <f t="shared" ref="BE291:BF291" si="437">SUM(D291,I291,N291,S291,X291,AC291,AG291,AK291,AO291,AS291,AW291,BA291)</f>
        <v>0</v>
      </c>
      <c r="BF291" s="268">
        <f t="shared" si="437"/>
        <v>0</v>
      </c>
      <c r="BG291" s="269"/>
      <c r="BH291" s="192"/>
      <c r="BI291" s="270">
        <f>SUMIFS('Livro Diario - FC'!$M$11:$M1028,'Livro Diario - FC'!$E$11:$E1028,C291,'Livro Diario - FC'!$D$11:$D1028,"&gt;="&amp;$BK$8,'Livro Diario - FC'!$D$11:$D1028,"&lt;="&amp;$BK$9)</f>
        <v>0</v>
      </c>
      <c r="BJ291" s="271"/>
      <c r="BK291" s="272"/>
      <c r="BL291" s="1"/>
    </row>
    <row r="292">
      <c r="A292" s="1"/>
      <c r="B292" s="1"/>
      <c r="C292" s="338" t="str">
        <f>'Livro Diario - FC'!AE300</f>
        <v>5.5.6 Material de Expediente</v>
      </c>
      <c r="D292" s="255">
        <f>SUMIFS('Livro Diario - FC'!$K$11:$K1028,'Livro Diario - FC'!$E$11:$E1028,$C$292,'Livro Diario - FC'!$D$11:$D1028,"&gt;=01/01"&amp;$C$7,'Livro Diario - FC'!$D$11:$D1028,"&lt;=31/01"&amp;$C$7)</f>
        <v>0</v>
      </c>
      <c r="E292" s="256">
        <f>SUMIFS('Livro Diario - FC'!$M$11:$M1028,'Livro Diario - FC'!$E$11:$E1028,$C$292,'Livro Diario - FC'!$D$11:$D1028,"&gt;=01/01"&amp;$C$7,'Livro Diario - FC'!$D$11:$D1028,"&lt;=31/01"&amp;$C$7)</f>
        <v>0</v>
      </c>
      <c r="F292" s="273"/>
      <c r="G292" s="258"/>
      <c r="H292" s="157"/>
      <c r="I292" s="255">
        <f>SUMIFS('Livro Diario - FC'!$K$11:$K1028,'Livro Diario - FC'!$E$11:$E1028,$C$292,'Livro Diario - FC'!$D$11:$D1028,"&gt;=01/02"&amp;$C$7,'Livro Diario - FC'!$D$11:$D1028,"&lt;=29/02"&amp;$C$7)</f>
        <v>0</v>
      </c>
      <c r="J292" s="256">
        <f>SUMIFS('Livro Diario - FC'!$M$11:$M1028,'Livro Diario - FC'!$E$11:$E1028,$C$292,'Livro Diario - FC'!$D$11:$D1028,"&gt;=01/02"&amp;$C$7,'Livro Diario - FC'!$D$11:$D1028,"&lt;=29/02"&amp;$C$7)</f>
        <v>0</v>
      </c>
      <c r="K292" s="273"/>
      <c r="L292" s="258"/>
      <c r="M292" s="259"/>
      <c r="N292" s="255">
        <f>SUMIFS('Livro Diario - FC'!$K$11:$K1028,'Livro Diario - FC'!$E$11:$E1028,$C$292,'Livro Diario - FC'!$D$11:$D1028,"&gt;=01/03"&amp;$C$7,'Livro Diario - FC'!$D$11:$D1028,"&lt;=31/03"&amp;$C$7)</f>
        <v>0</v>
      </c>
      <c r="O292" s="256">
        <f>SUMIFS('Livro Diario - FC'!$M$11:$M1028,'Livro Diario - FC'!$E$11:$E1028,$C$292,'Livro Diario - FC'!$D$11:$D1028,"&gt;=01/03"&amp;$C$7,'Livro Diario - FC'!$D$11:$D1028,"&lt;=31/03"&amp;$C$7)</f>
        <v>0</v>
      </c>
      <c r="P292" s="273"/>
      <c r="Q292" s="258"/>
      <c r="R292" s="259"/>
      <c r="S292" s="255">
        <f>SUMIFS('Livro Diario - FC'!$K$11:$K1028,'Livro Diario - FC'!$E$11:$E1028,$C$292,'Livro Diario - FC'!$D$11:$D1028,"&gt;=01/04"&amp;$C$7,'Livro Diario - FC'!$D$11:$D1028,"&lt;=30/04"&amp;$C$7)</f>
        <v>0</v>
      </c>
      <c r="T292" s="256">
        <f>SUMIFS('Livro Diario - FC'!$M$11:$M1028,'Livro Diario - FC'!$E$11:$E1028,$C$292,'Livro Diario - FC'!$D$11:$D1028,"&gt;=01/04"&amp;$C$7,'Livro Diario - FC'!$D$11:$D1028,"&lt;=30/04"&amp;$C$7)</f>
        <v>0</v>
      </c>
      <c r="U292" s="273"/>
      <c r="V292" s="258"/>
      <c r="W292" s="259"/>
      <c r="X292" s="255">
        <f>SUMIFS('Livro Diario - FC'!$K$11:$K1028,'Livro Diario - FC'!$E$11:$E1028,$C$292,'Livro Diario - FC'!$D$11:$D1028,"&gt;=01/05"&amp;$C$7,'Livro Diario - FC'!$D$11:$D1028,"&lt;=31/05"&amp;$C$7)</f>
        <v>0</v>
      </c>
      <c r="Y292" s="256">
        <f>SUMIFS('Livro Diario - FC'!$M$11:$M1028,'Livro Diario - FC'!$E$11:$E1028,$C$292,'Livro Diario - FC'!$D$11:$D1028,"&gt;=01/05"&amp;$C$7,'Livro Diario - FC'!$D$11:$D1028,"&lt;=31/05"&amp;$C$7)</f>
        <v>0</v>
      </c>
      <c r="Z292" s="273"/>
      <c r="AA292" s="258"/>
      <c r="AB292" s="259"/>
      <c r="AC292" s="255">
        <f>SUMIFS('Livro Diario - FC'!$K$11:$K1028,'Livro Diario - FC'!$E$11:$E1028,$C$292,'Livro Diario - FC'!$D$11:$D1028,"&gt;=01/06"&amp;$C$7,'Livro Diario - FC'!$D$11:$D1028,"&lt;=30/06"&amp;$C$7)</f>
        <v>0</v>
      </c>
      <c r="AD292" s="256">
        <f>SUMIFS('Livro Diario - FC'!$M$11:$M1028,'Livro Diario - FC'!$E$11:$E1028,$C$292,'Livro Diario - FC'!$D$11:$D1028,"&gt;=01/06"&amp;$C$7,'Livro Diario - FC'!$D$11:$D1028,"&lt;=30/06"&amp;$C$7)</f>
        <v>0</v>
      </c>
      <c r="AE292" s="273"/>
      <c r="AF292" s="258"/>
      <c r="AG292" s="255">
        <f>SUMIFS('Livro Diario - FC'!$K$11:$K1028,'Livro Diario - FC'!$E$11:$E1028,$C$292,'Livro Diario - FC'!$D$11:$D1028,"&gt;=01/07"&amp;$C$7,'Livro Diario - FC'!$D$11:$D1028,"&lt;=31/07"&amp;$C$7)</f>
        <v>0</v>
      </c>
      <c r="AH292" s="256">
        <f>SUMIFS('Livro Diario - FC'!$M$11:$M1028,'Livro Diario - FC'!$E$11:$E1028,$C$292,'Livro Diario - FC'!$D$11:$D1028,"&gt;=01/07"&amp;$C$7,'Livro Diario - FC'!$D$11:$D1028,"&lt;=31/07"&amp;$C$7)</f>
        <v>0</v>
      </c>
      <c r="AI292" s="273"/>
      <c r="AJ292" s="258"/>
      <c r="AK292" s="255">
        <f>SUMIFS('Livro Diario - FC'!$K$11:$K1028,'Livro Diario - FC'!$E$11:$E1028,$C$292,'Livro Diario - FC'!$D$11:$D1028,"&gt;=01/08"&amp;$C$7,'Livro Diario - FC'!$D$11:$D1028,"&lt;=31/08"&amp;$C$7)</f>
        <v>0</v>
      </c>
      <c r="AL292" s="256">
        <f>SUMIFS('Livro Diario - FC'!$M$11:$M1028,'Livro Diario - FC'!$E$11:$E1028,$C$292,'Livro Diario - FC'!$D$11:$D1028,"&gt;=01/08"&amp;$C$7,'Livro Diario - FC'!$D$11:$D1028,"&lt;=31/08"&amp;$C$7)</f>
        <v>0</v>
      </c>
      <c r="AM292" s="273"/>
      <c r="AN292" s="258"/>
      <c r="AO292" s="255">
        <f>SUMIFS('Livro Diario - FC'!$K$11:$K1028,'Livro Diario - FC'!$E$11:$E1028,$C$292,'Livro Diario - FC'!$D$11:$D1028,"&gt;=01/09"&amp;$C$7,'Livro Diario - FC'!$D$11:$D1028,"&lt;=30/09"&amp;$C$7)</f>
        <v>0</v>
      </c>
      <c r="AP292" s="256">
        <f>SUMIFS('Livro Diario - FC'!$M$11:$M1028,'Livro Diario - FC'!$E$11:$E1028,$C$292,'Livro Diario - FC'!$D$11:$D1028,"&gt;=01/09"&amp;$C$7,'Livro Diario - FC'!$D$11:$D1028,"&lt;=30/09"&amp;$C$7)</f>
        <v>0</v>
      </c>
      <c r="AQ292" s="273"/>
      <c r="AR292" s="258"/>
      <c r="AS292" s="255">
        <f>SUMIFS('Livro Diario - FC'!$K$11:$K1028,'Livro Diario - FC'!$E$11:$E1028,$C$292,'Livro Diario - FC'!$D$11:$D1028,"&gt;=01/10"&amp;$C$7,'Livro Diario - FC'!$D$11:$D1028,"&lt;=31/10"&amp;$C$7)</f>
        <v>0</v>
      </c>
      <c r="AT292" s="256">
        <f>SUMIFS('Livro Diario - FC'!$M$11:$M1028,'Livro Diario - FC'!$E$11:$E1028,$C$292,'Livro Diario - FC'!$D$11:$D1028,"&gt;=01/10"&amp;$C$7,'Livro Diario - FC'!$D$11:$D1028,"&lt;=31/10"&amp;$C$7)</f>
        <v>0</v>
      </c>
      <c r="AU292" s="273"/>
      <c r="AV292" s="258"/>
      <c r="AW292" s="255">
        <f>SUMIFS('Livro Diario - FC'!$K$11:$K1028,'Livro Diario - FC'!$E$11:$E1028,$C$292,'Livro Diario - FC'!$D$11:$D1028,"&gt;=01/11"&amp;$C$7,'Livro Diario - FC'!$D$11:$D1028,"&lt;=30/11"&amp;$C$7)</f>
        <v>0</v>
      </c>
      <c r="AX292" s="256">
        <f>SUMIFS('Livro Diario - FC'!$M$11:$M1028,'Livro Diario - FC'!$E$11:$E1028,$C$292,'Livro Diario - FC'!$D$11:$D1028,"&gt;=01/11"&amp;$C$7,'Livro Diario - FC'!$D$11:$D1028,"&lt;=30/11"&amp;$C$7)</f>
        <v>0</v>
      </c>
      <c r="AY292" s="273"/>
      <c r="AZ292" s="258"/>
      <c r="BA292" s="255">
        <f>SUMIFS('Livro Diario - FC'!$K$11:$K1028,'Livro Diario - FC'!$E$11:$E1028,$C$292,'Livro Diario - FC'!$D$11:$D1028,"&gt;=01/12"&amp;$C$7,'Livro Diario - FC'!$D$11:$D1028,"&lt;=31/12"&amp;$C$7)</f>
        <v>0</v>
      </c>
      <c r="BB292" s="256">
        <f>SUMIFS('Livro Diario - FC'!$M$11:$M1028,'Livro Diario - FC'!$E$11:$E1028,$C$292,'Livro Diario - FC'!$D$11:$D1028,"&gt;=01/12"&amp;$C$7,'Livro Diario - FC'!$D$11:$D1028,"&lt;=31/12"&amp;$C$7)</f>
        <v>0</v>
      </c>
      <c r="BC292" s="273"/>
      <c r="BD292" s="273"/>
      <c r="BE292" s="341">
        <f t="shared" ref="BE292:BF292" si="438">SUM(D292,I292,N292,S292,X292,AC292,AG292,AK292,AO292,AS292,AW292,BA292)</f>
        <v>0</v>
      </c>
      <c r="BF292" s="342">
        <f t="shared" si="438"/>
        <v>0</v>
      </c>
      <c r="BG292" s="343"/>
      <c r="BH292" s="344"/>
      <c r="BI292" s="270">
        <f>SUMIFS('Livro Diario - FC'!$M$11:$M1028,'Livro Diario - FC'!$E$11:$E1028,C292,'Livro Diario - FC'!$D$11:$D1028,"&gt;="&amp;$BK$8,'Livro Diario - FC'!$D$11:$D1028,"&lt;="&amp;$BK$9)</f>
        <v>0</v>
      </c>
      <c r="BJ292" s="271"/>
      <c r="BK292" s="345"/>
      <c r="BL292" s="146"/>
    </row>
    <row r="293">
      <c r="A293" s="1"/>
      <c r="B293" s="40"/>
      <c r="C293" s="392" t="s">
        <v>449</v>
      </c>
      <c r="D293" s="381">
        <f>SUMIFS('Livro Diario - FC'!$J$11:$J1028,'Livro Diario - FC'!$E$11:$E1028,$C$293,'Livro Diario - FC'!$D$11:$D1028,"&gt;=01/01"&amp;$C$7,'Livro Diario - FC'!$D$11:$D1028,"&lt;=31/01"&amp;$C$7)+SUM(D294:D298)</f>
        <v>0</v>
      </c>
      <c r="E293" s="382">
        <f>SUMIFS('Livro Diario - FC'!$L$11:$L1028,'Livro Diario - FC'!$E$11:$E1028,$C$293,'Livro Diario - FC'!$D$11:$D1028,"&gt;=01/01"&amp;$C$7,'Livro Diario - FC'!$D$11:$D1028,"&lt;=31/01"&amp;$C$7)+SUM(E294:E298)</f>
        <v>0</v>
      </c>
      <c r="F293" s="383">
        <f t="shared" ref="F293:F294" si="440">IF(E$11=0,"",E293/E$11)</f>
        <v>0</v>
      </c>
      <c r="G293" s="384" t="str">
        <f t="shared" ref="G293:G294" si="441">IF(A293=0,"",E293/A293-1)</f>
        <v/>
      </c>
      <c r="H293" s="327"/>
      <c r="I293" s="381">
        <f>SUMIFS('Livro Diario - FC'!$J$11:$J1028,'Livro Diario - FC'!$E$11:$E1028,$C$293,'Livro Diario - FC'!$D$11:$D1028,"&gt;=01/02"&amp;$C$7,'Livro Diario - FC'!$D$11:$D1028,"&lt;=29/02"&amp;$C$7)+SUM(I294:I298)</f>
        <v>0</v>
      </c>
      <c r="J293" s="382">
        <f>SUMIFS('Livro Diario - FC'!$L$11:$L1028,'Livro Diario - FC'!$E$11:$E1028,$C$293,'Livro Diario - FC'!$D$11:$D1028,"&gt;=01/02"&amp;$C$7,'Livro Diario - FC'!$D$11:$D1028,"&lt;=29/02"&amp;$C$7)+SUM(J294:J298)</f>
        <v>0</v>
      </c>
      <c r="K293" s="383" t="str">
        <f t="shared" ref="K293:K294" si="442">IF(J$11=0,"",J293/J$11)</f>
        <v/>
      </c>
      <c r="L293" s="384" t="str">
        <f t="shared" ref="L293:L294" si="443">IF(E293=0,"",J293/E293-1)</f>
        <v/>
      </c>
      <c r="M293" s="385"/>
      <c r="N293" s="381">
        <f>SUMIFS('Livro Diario - FC'!$J$11:$J1028,'Livro Diario - FC'!$E$11:$E1028,$C$293,'Livro Diario - FC'!$D$11:$D1028,"&gt;=01/03"&amp;$C$7,'Livro Diario - FC'!$D$11:$D1028,"&lt;=31/03"&amp;$C$7)+SUM(N294:N298)</f>
        <v>0</v>
      </c>
      <c r="O293" s="382">
        <f>SUMIFS('Livro Diario - FC'!$L$11:$L1028,'Livro Diario - FC'!$E$11:$E1028,$C$293,'Livro Diario - FC'!$D$11:$D1028,"&gt;=01/03"&amp;$C$7,'Livro Diario - FC'!$D$11:$D1028,"&lt;=31/03"&amp;$C$7)+SUM(O294:O298)</f>
        <v>0</v>
      </c>
      <c r="P293" s="383" t="str">
        <f t="shared" ref="P293:P294" si="444">IF(O$11=0,"",O293/O$11)</f>
        <v/>
      </c>
      <c r="Q293" s="384" t="str">
        <f t="shared" ref="Q293:Q294" si="445">IF(J293=0,"",O293/J293-1)</f>
        <v/>
      </c>
      <c r="R293" s="385"/>
      <c r="S293" s="381">
        <f>SUMIFS('Livro Diario - FC'!$J$11:$J1028,'Livro Diario - FC'!$E$11:$E1028,$C$293,'Livro Diario - FC'!$D$11:$D1028,"&gt;=01/04"&amp;$C$7,'Livro Diario - FC'!$D$11:$D1028,"&lt;=30/04"&amp;$C$7)+SUM(S294:S298)</f>
        <v>0</v>
      </c>
      <c r="T293" s="382">
        <f>SUMIFS('Livro Diario - FC'!$L$11:$L1028,'Livro Diario - FC'!$E$11:$E1028,$C$293,'Livro Diario - FC'!$D$11:$D1028,"&gt;=01/04"&amp;$C$7,'Livro Diario - FC'!$D$11:$D1028,"&lt;=30/04"&amp;$C$7)+SUM(T294:T298)</f>
        <v>0</v>
      </c>
      <c r="U293" s="383" t="str">
        <f t="shared" ref="U293:U294" si="446">IF(T$11=0,"",T293/T$11)</f>
        <v/>
      </c>
      <c r="V293" s="384" t="str">
        <f t="shared" ref="V293:V294" si="447">IF(O293=0,"",T293/O293-1)</f>
        <v/>
      </c>
      <c r="W293" s="385"/>
      <c r="X293" s="381">
        <f>SUMIFS('Livro Diario - FC'!$J$11:$J1028,'Livro Diario - FC'!$E$11:$E1028,$C$293,'Livro Diario - FC'!$D$11:$D1028,"&gt;=01/05"&amp;$C$7,'Livro Diario - FC'!$D$11:$D1028,"&lt;=31/05"&amp;$C$7)+SUM(X294:X298)</f>
        <v>0</v>
      </c>
      <c r="Y293" s="382">
        <f>SUMIFS('Livro Diario - FC'!$L$11:$L1028,'Livro Diario - FC'!$E$11:$E1028,$C$293,'Livro Diario - FC'!$D$11:$D1028,"&gt;=01/05"&amp;$C$7,'Livro Diario - FC'!$D$11:$D1028,"&lt;=31/05"&amp;$C$7)+SUM(Y294:Y298)</f>
        <v>0</v>
      </c>
      <c r="Z293" s="383" t="str">
        <f t="shared" ref="Z293:Z294" si="448">IF(Y$11=0,"",Y293/Y$11)</f>
        <v/>
      </c>
      <c r="AA293" s="384" t="str">
        <f t="shared" ref="AA293:AA294" si="449">IF(T293=0,"",Y293/T293-1)</f>
        <v/>
      </c>
      <c r="AB293" s="385"/>
      <c r="AC293" s="381">
        <f>SUMIFS('Livro Diario - FC'!$J$11:$J1028,'Livro Diario - FC'!$E$11:$E1028,$C$293,'Livro Diario - FC'!$D$11:$D1028,"&gt;=01/06"&amp;$C$7,'Livro Diario - FC'!$D$11:$D1028,"&lt;=30/06"&amp;$C$7)+SUM(AC294:AC298)</f>
        <v>0</v>
      </c>
      <c r="AD293" s="382">
        <f>SUMIFS('Livro Diario - FC'!$L$11:$L1028,'Livro Diario - FC'!$E$11:$E1028,$C$293,'Livro Diario - FC'!$D$11:$D1028,"&gt;=01/06"&amp;$C$7,'Livro Diario - FC'!$D$11:$D1028,"&lt;=30/06"&amp;$C$7)+SUM(AD294:AD298)</f>
        <v>0</v>
      </c>
      <c r="AE293" s="383" t="str">
        <f t="shared" ref="AE293:AE294" si="450">IF(AD$11=0,"",AD293/AD$11)</f>
        <v/>
      </c>
      <c r="AF293" s="384" t="str">
        <f t="shared" ref="AF293:AF294" si="451">IF(Y293=0,"",AD293/Y293-1)</f>
        <v/>
      </c>
      <c r="AG293" s="381">
        <f>SUMIFS('Livro Diario - FC'!$J$11:$J1028,'Livro Diario - FC'!$E$11:$E1028,$C$293,'Livro Diario - FC'!$D$11:$D1028,"&gt;=01/07"&amp;$C$7,'Livro Diario - FC'!$D$11:$D1028,"&lt;=31/07"&amp;$C$7)+SUM(AG294:AG298)</f>
        <v>0</v>
      </c>
      <c r="AH293" s="382">
        <f>SUMIFS('Livro Diario - FC'!$L$11:$L1028,'Livro Diario - FC'!$E$11:$E1028,$C$293,'Livro Diario - FC'!$D$11:$D1028,"&gt;=01/07"&amp;$C$7,'Livro Diario - FC'!$D$11:$D1028,"&lt;=31/07"&amp;$C$7)+SUM(AH294:AH298)</f>
        <v>0</v>
      </c>
      <c r="AI293" s="383" t="str">
        <f t="shared" ref="AI293:AI294" si="452">IF(AH$11=0,"",AH293/AH$11)</f>
        <v/>
      </c>
      <c r="AJ293" s="384" t="str">
        <f t="shared" ref="AJ293:AJ294" si="453">IF(AD293=0,"",AH293/AD293-1)</f>
        <v/>
      </c>
      <c r="AK293" s="381">
        <f>SUMIFS('Livro Diario - FC'!$J$11:$J1028,'Livro Diario - FC'!$E$11:$E1028,$C$293,'Livro Diario - FC'!$D$11:$D1028,"&gt;=01/08"&amp;$C$7,'Livro Diario - FC'!$D$11:$D1028,"&lt;=31/08"&amp;$C$7)+SUM(AK294:AK298)</f>
        <v>0</v>
      </c>
      <c r="AL293" s="382">
        <f>SUMIFS('Livro Diario - FC'!$L$11:$L1028,'Livro Diario - FC'!$E$11:$E1028,$C$293,'Livro Diario - FC'!$D$11:$D1028,"&gt;=01/08"&amp;$C$7,'Livro Diario - FC'!$D$11:$D1028,"&lt;=31/08"&amp;$C$7)+SUM(AL294:AL298)</f>
        <v>0</v>
      </c>
      <c r="AM293" s="383" t="str">
        <f t="shared" ref="AM293:AM294" si="454">IF(AL$11=0,"",AL293/AL$11)</f>
        <v/>
      </c>
      <c r="AN293" s="384" t="str">
        <f t="shared" ref="AN293:AN294" si="455">IF(AH293=0,"",AL293/AH293-1)</f>
        <v/>
      </c>
      <c r="AO293" s="381">
        <f>SUMIFS('Livro Diario - FC'!$J$11:$J1028,'Livro Diario - FC'!$E$11:$E1028,$C$293,'Livro Diario - FC'!$D$11:$D1028,"&gt;=01/09"&amp;$C$7,'Livro Diario - FC'!$D$11:$D1028,"&lt;=30/09"&amp;$C$7)+SUM(AO294:AO298)</f>
        <v>0</v>
      </c>
      <c r="AP293" s="382">
        <f>SUMIFS('Livro Diario - FC'!$L$11:$L1028,'Livro Diario - FC'!$E$11:$E1028,$C$293,'Livro Diario - FC'!$D$11:$D1028,"&gt;=01/09"&amp;$C$7,'Livro Diario - FC'!$D$11:$D1028,"&lt;=30/09"&amp;$C$7)+SUM(AP294:AP298)</f>
        <v>0</v>
      </c>
      <c r="AQ293" s="383" t="str">
        <f t="shared" ref="AQ293:AQ294" si="456">IF(AP$11=0,"",AP293/AP$11)</f>
        <v/>
      </c>
      <c r="AR293" s="384" t="str">
        <f t="shared" ref="AR293:AR294" si="457">IF(AL293=0,"",AP293/AL293-1)</f>
        <v/>
      </c>
      <c r="AS293" s="381">
        <f>SUMIFS('Livro Diario - FC'!$J$11:$J1028,'Livro Diario - FC'!$E$11:$E1028,$C$293,'Livro Diario - FC'!$D$11:$D1028,"&gt;=01/10"&amp;$C$7,'Livro Diario - FC'!$D$11:$D1028,"&lt;=31/10"&amp;$C$7)+SUM(AS294:AS298)</f>
        <v>0</v>
      </c>
      <c r="AT293" s="382">
        <f>SUMIFS('Livro Diario - FC'!$L$11:$L1028,'Livro Diario - FC'!$E$11:$E1028,$C$293,'Livro Diario - FC'!$D$11:$D1028,"&gt;=01/10"&amp;$C$7,'Livro Diario - FC'!$D$11:$D1028,"&lt;=31/10"&amp;$C$7)+SUM(AT294:AT298)</f>
        <v>0</v>
      </c>
      <c r="AU293" s="383" t="str">
        <f t="shared" ref="AU293:AU294" si="458">IF(AT$11=0,"",AT293/AT$11)</f>
        <v/>
      </c>
      <c r="AV293" s="384" t="str">
        <f t="shared" ref="AV293:AV294" si="459">IF(AP293=0,"",AT293/AP293-1)</f>
        <v/>
      </c>
      <c r="AW293" s="381">
        <f>SUMIFS('Livro Diario - FC'!$J$11:$J1028,'Livro Diario - FC'!$E$11:$E1028,$C$293,'Livro Diario - FC'!$D$11:$D1028,"&gt;=01/11"&amp;$C$7,'Livro Diario - FC'!$D$11:$D1028,"&lt;=30/11"&amp;$C$7)+SUM(AW294:AW298)</f>
        <v>0</v>
      </c>
      <c r="AX293" s="382">
        <f>SUMIFS('Livro Diario - FC'!$L$11:$L1028,'Livro Diario - FC'!$E$11:$E1028,$C$293,'Livro Diario - FC'!$D$11:$D1028,"&gt;=01/11"&amp;$C$7,'Livro Diario - FC'!$D$11:$D1028,"&lt;=30/11"&amp;$C$7)+SUM(AX294:AX298)</f>
        <v>0</v>
      </c>
      <c r="AY293" s="383" t="str">
        <f t="shared" ref="AY293:AY294" si="460">IF(AX$11=0,"",AX293/AX$11)</f>
        <v/>
      </c>
      <c r="AZ293" s="384" t="str">
        <f t="shared" ref="AZ293:AZ294" si="461">IF(AT293=0,"",AX293/AT293-1)</f>
        <v/>
      </c>
      <c r="BA293" s="381">
        <f>SUMIFS('Livro Diario - FC'!$J$11:$J1028,'Livro Diario - FC'!$E$11:$E1028,$C$293,'Livro Diario - FC'!$D$11:$D1028,"&gt;=01/12"&amp;$C$7,'Livro Diario - FC'!$D$11:$D1028,"&lt;=31/12"&amp;$C$7)+SUM(BA294:BA298)</f>
        <v>0</v>
      </c>
      <c r="BB293" s="382">
        <f>SUMIFS('Livro Diario - FC'!$L$11:$L1028,'Livro Diario - FC'!$E$11:$E1028,$C$293,'Livro Diario - FC'!$D$11:$D1028,"&gt;=01/12"&amp;$C$7,'Livro Diario - FC'!$D$11:$D1028,"&lt;=31/12"&amp;$C$7)+SUM(BB294:BB298)</f>
        <v>0</v>
      </c>
      <c r="BC293" s="383" t="str">
        <f t="shared" ref="BC293:BC294" si="462">IF(BB$11=0,"",BB293/BB$11)</f>
        <v/>
      </c>
      <c r="BD293" s="385" t="str">
        <f t="shared" ref="BD293:BD294" si="463">IF(AX293=0,"",BB293/AX293-1)</f>
        <v/>
      </c>
      <c r="BE293" s="331">
        <f t="shared" ref="BE293:BF293" si="439">SUM(D293,I293,N293,S293,X293,AC293,AG293,AK293,AO293,AS293,AW293,BA293)</f>
        <v>0</v>
      </c>
      <c r="BF293" s="369">
        <f t="shared" si="439"/>
        <v>0</v>
      </c>
      <c r="BG293" s="370">
        <f t="shared" ref="BG293:BG294" si="465">IF(BF$11=0,"",BF293/BF$11)</f>
        <v>0</v>
      </c>
      <c r="BH293" s="336"/>
      <c r="BI293" s="371">
        <f>SUMIFS('Livro Diario - FC'!$M$11:$M1028,'Livro Diario - FC'!$E$11:$E1028,C293,'Livro Diario - FC'!$D$11:$D1028,"&gt;="&amp;$BK$8,'Livro Diario - FC'!$D$11:$D1028,"&lt;="&amp;$BK$9)+SUM(BI294:BI298)</f>
        <v>0</v>
      </c>
      <c r="BJ293" s="335" t="str">
        <f t="shared" ref="BJ293:BJ294" si="466">IF(BI$11=0,"",BI293/BI$11)</f>
        <v/>
      </c>
      <c r="BK293" s="336"/>
      <c r="BL293" s="372"/>
    </row>
    <row r="294">
      <c r="A294" s="209"/>
      <c r="B294" s="209"/>
      <c r="C294" s="393" t="str">
        <f>'Livro Diario - FC'!AE302</f>
        <v>5.6.1 Karne Keijo</v>
      </c>
      <c r="D294" s="255">
        <f>SUMIFS('Livro Diario - FC'!$K$11:$K1028,'Livro Diario - FC'!$E$11:$E1028,$C$294,'Livro Diario - FC'!$D$11:$D1028,"&gt;=01/01"&amp;$C$7,'Livro Diario - FC'!$D$11:$D1028,"&lt;=31/01"&amp;$C$7)</f>
        <v>0</v>
      </c>
      <c r="E294" s="256">
        <f>SUMIFS('Livro Diario - FC'!$M$11:$M1028,'Livro Diario - FC'!$E$11:$E1028,$C$294,'Livro Diario - FC'!$D$11:$D1028,"&gt;=01/01"&amp;$C$7,'Livro Diario - FC'!$D$11:$D1028,"&lt;=31/01"&amp;$C$7)</f>
        <v>0</v>
      </c>
      <c r="F294" s="394">
        <f t="shared" si="440"/>
        <v>0</v>
      </c>
      <c r="G294" s="258" t="str">
        <f t="shared" si="441"/>
        <v/>
      </c>
      <c r="H294" s="157"/>
      <c r="I294" s="255">
        <f>SUMIFS('Livro Diario - FC'!$K$11:$K1028,'Livro Diario - FC'!$E$11:$E1028,$C$294,'Livro Diario - FC'!$D$11:$D1028,"&gt;=01/02"&amp;$C$7,'Livro Diario - FC'!$D$11:$D1028,"&lt;=29/02"&amp;$C$7)</f>
        <v>0</v>
      </c>
      <c r="J294" s="256">
        <f>SUMIFS('Livro Diario - FC'!$M$11:$M1028,'Livro Diario - FC'!$E$11:$E1028,$C$294,'Livro Diario - FC'!$D$11:$D1028,"&gt;=01/02"&amp;$C$7,'Livro Diario - FC'!$D$11:$D1028,"&lt;=29/02"&amp;$C$7)</f>
        <v>0</v>
      </c>
      <c r="K294" s="394" t="str">
        <f t="shared" si="442"/>
        <v/>
      </c>
      <c r="L294" s="258" t="str">
        <f t="shared" si="443"/>
        <v/>
      </c>
      <c r="M294" s="259"/>
      <c r="N294" s="255">
        <f>SUMIFS('Livro Diario - FC'!$K$11:$K1028,'Livro Diario - FC'!$E$11:$E1028,$C$294,'Livro Diario - FC'!$D$11:$D1028,"&gt;=01/03"&amp;$C$7,'Livro Diario - FC'!$D$11:$D1028,"&lt;=31/03"&amp;$C$7)</f>
        <v>0</v>
      </c>
      <c r="O294" s="256">
        <f>SUMIFS('Livro Diario - FC'!$M$11:$M1028,'Livro Diario - FC'!$E$11:$E1028,$C$294,'Livro Diario - FC'!$D$11:$D1028,"&gt;=01/03"&amp;$C$7,'Livro Diario - FC'!$D$11:$D1028,"&lt;=31/03"&amp;$C$7)</f>
        <v>0</v>
      </c>
      <c r="P294" s="394" t="str">
        <f t="shared" si="444"/>
        <v/>
      </c>
      <c r="Q294" s="258" t="str">
        <f t="shared" si="445"/>
        <v/>
      </c>
      <c r="R294" s="259"/>
      <c r="S294" s="255">
        <f>SUMIFS('Livro Diario - FC'!$K$11:$K1028,'Livro Diario - FC'!$E$11:$E1028,$C$294,'Livro Diario - FC'!$D$11:$D1028,"&gt;=01/04"&amp;$C$7,'Livro Diario - FC'!$D$11:$D1028,"&lt;=30/04"&amp;$C$7)</f>
        <v>0</v>
      </c>
      <c r="T294" s="256">
        <f>SUMIFS('Livro Diario - FC'!$M$11:$M1028,'Livro Diario - FC'!$E$11:$E1028,$C$294,'Livro Diario - FC'!$D$11:$D1028,"&gt;=01/04"&amp;$C$7,'Livro Diario - FC'!$D$11:$D1028,"&lt;=30/04"&amp;$C$7)</f>
        <v>0</v>
      </c>
      <c r="U294" s="394" t="str">
        <f t="shared" si="446"/>
        <v/>
      </c>
      <c r="V294" s="258" t="str">
        <f t="shared" si="447"/>
        <v/>
      </c>
      <c r="W294" s="259"/>
      <c r="X294" s="255">
        <f>SUMIFS('Livro Diario - FC'!$K$11:$K1028,'Livro Diario - FC'!$E$11:$E1028,$C$294,'Livro Diario - FC'!$D$11:$D1028,"&gt;=01/05"&amp;$C$7,'Livro Diario - FC'!$D$11:$D1028,"&lt;=31/05"&amp;$C$7)</f>
        <v>0</v>
      </c>
      <c r="Y294" s="256">
        <f>SUMIFS('Livro Diario - FC'!$M$11:$M1028,'Livro Diario - FC'!$E$11:$E1028,$C$294,'Livro Diario - FC'!$D$11:$D1028,"&gt;=01/05"&amp;$C$7,'Livro Diario - FC'!$D$11:$D1028,"&lt;=31/05"&amp;$C$7)</f>
        <v>0</v>
      </c>
      <c r="Z294" s="394" t="str">
        <f t="shared" si="448"/>
        <v/>
      </c>
      <c r="AA294" s="258" t="str">
        <f t="shared" si="449"/>
        <v/>
      </c>
      <c r="AB294" s="259"/>
      <c r="AC294" s="255">
        <f>SUMIFS('Livro Diario - FC'!$K$11:$K1028,'Livro Diario - FC'!$E$11:$E1028,$C$294,'Livro Diario - FC'!$D$11:$D1028,"&gt;=01/06"&amp;$C$7,'Livro Diario - FC'!$D$11:$D1028,"&lt;=30/06"&amp;$C$7)</f>
        <v>0</v>
      </c>
      <c r="AD294" s="256">
        <f>SUMIFS('Livro Diario - FC'!$M$11:$M1028,'Livro Diario - FC'!$E$11:$E1028,$C$294,'Livro Diario - FC'!$D$11:$D1028,"&gt;=01/06"&amp;$C$7,'Livro Diario - FC'!$D$11:$D1028,"&lt;=30/06"&amp;$C$7)</f>
        <v>0</v>
      </c>
      <c r="AE294" s="394" t="str">
        <f t="shared" si="450"/>
        <v/>
      </c>
      <c r="AF294" s="258" t="str">
        <f t="shared" si="451"/>
        <v/>
      </c>
      <c r="AG294" s="255">
        <f>SUMIFS('Livro Diario - FC'!$K$11:$K1028,'Livro Diario - FC'!$E$11:$E1028,$C$294,'Livro Diario - FC'!$D$11:$D1028,"&gt;=01/07"&amp;$C$7,'Livro Diario - FC'!$D$11:$D1028,"&lt;=31/07"&amp;$C$7)</f>
        <v>0</v>
      </c>
      <c r="AH294" s="256">
        <f>SUMIFS('Livro Diario - FC'!$M$11:$M1028,'Livro Diario - FC'!$E$11:$E1028,$C$294,'Livro Diario - FC'!$D$11:$D1028,"&gt;=01/07"&amp;$C$7,'Livro Diario - FC'!$D$11:$D1028,"&lt;=31/07"&amp;$C$7)</f>
        <v>0</v>
      </c>
      <c r="AI294" s="394" t="str">
        <f t="shared" si="452"/>
        <v/>
      </c>
      <c r="AJ294" s="258" t="str">
        <f t="shared" si="453"/>
        <v/>
      </c>
      <c r="AK294" s="255">
        <f>SUMIFS('Livro Diario - FC'!$K$11:$K1028,'Livro Diario - FC'!$E$11:$E1028,$C$294,'Livro Diario - FC'!$D$11:$D1028,"&gt;=01/08"&amp;$C$7,'Livro Diario - FC'!$D$11:$D1028,"&lt;=31/08"&amp;$C$7)</f>
        <v>0</v>
      </c>
      <c r="AL294" s="256">
        <f>SUMIFS('Livro Diario - FC'!$M$11:$M1028,'Livro Diario - FC'!$E$11:$E1028,$C$294,'Livro Diario - FC'!$D$11:$D1028,"&gt;=01/08"&amp;$C$7,'Livro Diario - FC'!$D$11:$D1028,"&lt;=31/08"&amp;$C$7)</f>
        <v>0</v>
      </c>
      <c r="AM294" s="394" t="str">
        <f t="shared" si="454"/>
        <v/>
      </c>
      <c r="AN294" s="258" t="str">
        <f t="shared" si="455"/>
        <v/>
      </c>
      <c r="AO294" s="255">
        <f>SUMIFS('Livro Diario - FC'!$K$11:$K1028,'Livro Diario - FC'!$E$11:$E1028,$C$294,'Livro Diario - FC'!$D$11:$D1028,"&gt;=01/09"&amp;$C$7,'Livro Diario - FC'!$D$11:$D1028,"&lt;=30/09"&amp;$C$7)</f>
        <v>0</v>
      </c>
      <c r="AP294" s="256">
        <f>SUMIFS('Livro Diario - FC'!$M$11:$M1028,'Livro Diario - FC'!$E$11:$E1028,$C$294,'Livro Diario - FC'!$D$11:$D1028,"&gt;=01/09"&amp;$C$7,'Livro Diario - FC'!$D$11:$D1028,"&lt;=30/09"&amp;$C$7)</f>
        <v>0</v>
      </c>
      <c r="AQ294" s="394" t="str">
        <f t="shared" si="456"/>
        <v/>
      </c>
      <c r="AR294" s="258" t="str">
        <f t="shared" si="457"/>
        <v/>
      </c>
      <c r="AS294" s="255">
        <f>SUMIFS('Livro Diario - FC'!$K$11:$K1028,'Livro Diario - FC'!$E$11:$E1028,$C$294,'Livro Diario - FC'!$D$11:$D1028,"&gt;=01/10"&amp;$C$7,'Livro Diario - FC'!$D$11:$D1028,"&lt;=31/10"&amp;$C$7)</f>
        <v>0</v>
      </c>
      <c r="AT294" s="256">
        <f>SUMIFS('Livro Diario - FC'!$M$11:$M1028,'Livro Diario - FC'!$E$11:$E1028,$C$294,'Livro Diario - FC'!$D$11:$D1028,"&gt;=01/10"&amp;$C$7,'Livro Diario - FC'!$D$11:$D1028,"&lt;=31/10"&amp;$C$7)</f>
        <v>0</v>
      </c>
      <c r="AU294" s="394" t="str">
        <f t="shared" si="458"/>
        <v/>
      </c>
      <c r="AV294" s="258" t="str">
        <f t="shared" si="459"/>
        <v/>
      </c>
      <c r="AW294" s="255">
        <f>SUMIFS('Livro Diario - FC'!$K$11:$K1028,'Livro Diario - FC'!$E$11:$E1028,$C$294,'Livro Diario - FC'!$D$11:$D1028,"&gt;=01/11"&amp;$C$7,'Livro Diario - FC'!$D$11:$D1028,"&lt;=30/11"&amp;$C$7)</f>
        <v>0</v>
      </c>
      <c r="AX294" s="256">
        <f>SUMIFS('Livro Diario - FC'!$M$11:$M1028,'Livro Diario - FC'!$E$11:$E1028,$C$294,'Livro Diario - FC'!$D$11:$D1028,"&gt;=01/11"&amp;$C$7,'Livro Diario - FC'!$D$11:$D1028,"&lt;=30/11"&amp;$C$7)</f>
        <v>0</v>
      </c>
      <c r="AY294" s="394" t="str">
        <f t="shared" si="460"/>
        <v/>
      </c>
      <c r="AZ294" s="258" t="str">
        <f t="shared" si="461"/>
        <v/>
      </c>
      <c r="BA294" s="255">
        <f>SUMIFS('Livro Diario - FC'!$K$11:$K1028,'Livro Diario - FC'!$E$11:$E1028,$C$294,'Livro Diario - FC'!$D$11:$D1028,"&gt;=01/12"&amp;$C$7,'Livro Diario - FC'!$D$11:$D1028,"&lt;=31/12"&amp;$C$7)</f>
        <v>0</v>
      </c>
      <c r="BB294" s="256">
        <f>SUMIFS('Livro Diario - FC'!$M$11:$M1028,'Livro Diario - FC'!$E$11:$E1028,$C$294,'Livro Diario - FC'!$D$11:$D1028,"&gt;=01/12"&amp;$C$7,'Livro Diario - FC'!$D$11:$D1028,"&lt;=31/12"&amp;$C$7)</f>
        <v>0</v>
      </c>
      <c r="BC294" s="394" t="str">
        <f t="shared" si="462"/>
        <v/>
      </c>
      <c r="BD294" s="273" t="str">
        <f t="shared" si="463"/>
        <v/>
      </c>
      <c r="BE294" s="261">
        <f t="shared" ref="BE294:BF294" si="464">SUM(D294,I294,N294,S294,X294,AC294,AG294,AK294,AO294,AS294,AW294,BA294)</f>
        <v>0</v>
      </c>
      <c r="BF294" s="261">
        <f t="shared" si="464"/>
        <v>0</v>
      </c>
      <c r="BG294" s="395">
        <f t="shared" si="465"/>
        <v>0</v>
      </c>
      <c r="BH294" s="302"/>
      <c r="BI294" s="270">
        <f>SUMIFS('Livro Diario - FC'!$M$11:$M1028,'Livro Diario - FC'!$E$11:$E1028,C294,'Livro Diario - FC'!$D$11:$D1028,"&gt;="&amp;$BK$8,'Livro Diario - FC'!$D$11:$D1028,"&lt;="&amp;$BK$9)</f>
        <v>0</v>
      </c>
      <c r="BJ294" s="271" t="str">
        <f t="shared" si="466"/>
        <v/>
      </c>
      <c r="BK294" s="304"/>
      <c r="BL294" s="339"/>
    </row>
    <row r="295">
      <c r="A295" s="1"/>
      <c r="B295" s="1"/>
      <c r="C295" s="393" t="str">
        <f>'Livro Diario - FC'!AE303</f>
        <v>5.6.2 Natto</v>
      </c>
      <c r="D295" s="255">
        <f>SUMIFS('Livro Diario - FC'!$K$11:$K1028,'Livro Diario - FC'!$E$11:$E1028,$C$295,'Livro Diario - FC'!$D$11:$D1028,"&gt;=01/01"&amp;$C$7,'Livro Diario - FC'!$D$11:$D1028,"&lt;=31/01"&amp;$C$7)</f>
        <v>0</v>
      </c>
      <c r="E295" s="256">
        <f>SUMIFS('Livro Diario - FC'!$M$11:$M1028,'Livro Diario - FC'!$E$11:$E1028,$C$295,'Livro Diario - FC'!$D$11:$D1028,"&gt;=01/01"&amp;$C$7,'Livro Diario - FC'!$D$11:$D1028,"&lt;=31/01"&amp;$C$7)</f>
        <v>0</v>
      </c>
      <c r="F295" s="273"/>
      <c r="G295" s="258"/>
      <c r="H295" s="157"/>
      <c r="I295" s="255">
        <f>SUMIFS('Livro Diario - FC'!$K$11:$K1028,'Livro Diario - FC'!$E$11:$E1028,$C$295,'Livro Diario - FC'!$D$11:$D1028,"&gt;=01/02"&amp;$C$7,'Livro Diario - FC'!$D$11:$D1028,"&lt;=29/02"&amp;$C$7)</f>
        <v>0</v>
      </c>
      <c r="J295" s="256">
        <f>SUMIFS('Livro Diario - FC'!$M$11:$M1028,'Livro Diario - FC'!$E$11:$E1028,$C$295,'Livro Diario - FC'!$D$11:$D1028,"&gt;=01/02"&amp;$C$7,'Livro Diario - FC'!$D$11:$D1028,"&lt;=29/02"&amp;$C$7)</f>
        <v>0</v>
      </c>
      <c r="K295" s="273"/>
      <c r="L295" s="258"/>
      <c r="M295" s="259"/>
      <c r="N295" s="255">
        <f>SUMIFS('Livro Diario - FC'!$K$11:$K1028,'Livro Diario - FC'!$E$11:$E1028,$C$295,'Livro Diario - FC'!$D$11:$D1028,"&gt;=01/03"&amp;$C$7,'Livro Diario - FC'!$D$11:$D1028,"&lt;=31/03"&amp;$C$7)</f>
        <v>0</v>
      </c>
      <c r="O295" s="256">
        <f>SUMIFS('Livro Diario - FC'!$M$11:$M1028,'Livro Diario - FC'!$E$11:$E1028,$C$295,'Livro Diario - FC'!$D$11:$D1028,"&gt;=01/03"&amp;$C$7,'Livro Diario - FC'!$D$11:$D1028,"&lt;=31/03"&amp;$C$7)</f>
        <v>0</v>
      </c>
      <c r="P295" s="273"/>
      <c r="Q295" s="258"/>
      <c r="R295" s="259"/>
      <c r="S295" s="255">
        <f>SUMIFS('Livro Diario - FC'!$K$11:$K1028,'Livro Diario - FC'!$E$11:$E1028,$C$295,'Livro Diario - FC'!$D$11:$D1028,"&gt;=01/04"&amp;$C$7,'Livro Diario - FC'!$D$11:$D1028,"&lt;=30/04"&amp;$C$7)</f>
        <v>0</v>
      </c>
      <c r="T295" s="256">
        <f>SUMIFS('Livro Diario - FC'!$M$11:$M1028,'Livro Diario - FC'!$E$11:$E1028,$C$295,'Livro Diario - FC'!$D$11:$D1028,"&gt;=01/04"&amp;$C$7,'Livro Diario - FC'!$D$11:$D1028,"&lt;=30/04"&amp;$C$7)</f>
        <v>0</v>
      </c>
      <c r="U295" s="273"/>
      <c r="V295" s="258"/>
      <c r="W295" s="259"/>
      <c r="X295" s="255">
        <f>SUMIFS('Livro Diario - FC'!$K$11:$K1028,'Livro Diario - FC'!$E$11:$E1028,$C$295,'Livro Diario - FC'!$D$11:$D1028,"&gt;=01/05"&amp;$C$7,'Livro Diario - FC'!$D$11:$D1028,"&lt;=31/05"&amp;$C$7)</f>
        <v>0</v>
      </c>
      <c r="Y295" s="256">
        <f>SUMIFS('Livro Diario - FC'!$M$11:$M1028,'Livro Diario - FC'!$E$11:$E1028,$C$295,'Livro Diario - FC'!$D$11:$D1028,"&gt;=01/05"&amp;$C$7,'Livro Diario - FC'!$D$11:$D1028,"&lt;=31/05"&amp;$C$7)</f>
        <v>0</v>
      </c>
      <c r="Z295" s="273"/>
      <c r="AA295" s="258"/>
      <c r="AB295" s="259"/>
      <c r="AC295" s="255">
        <f>SUMIFS('Livro Diario - FC'!$K$11:$K1028,'Livro Diario - FC'!$E$11:$E1028,$C$295,'Livro Diario - FC'!$D$11:$D1028,"&gt;=01/06"&amp;$C$7,'Livro Diario - FC'!$D$11:$D1028,"&lt;=30/06"&amp;$C$7)</f>
        <v>0</v>
      </c>
      <c r="AD295" s="256">
        <f>SUMIFS('Livro Diario - FC'!$M$11:$M1028,'Livro Diario - FC'!$E$11:$E1028,$C$295,'Livro Diario - FC'!$D$11:$D1028,"&gt;=01/06"&amp;$C$7,'Livro Diario - FC'!$D$11:$D1028,"&lt;=30/06"&amp;$C$7)</f>
        <v>0</v>
      </c>
      <c r="AE295" s="273"/>
      <c r="AF295" s="258"/>
      <c r="AG295" s="255">
        <f>SUMIFS('Livro Diario - FC'!$K$11:$K1028,'Livro Diario - FC'!$E$11:$E1028,$C$295,'Livro Diario - FC'!$D$11:$D1028,"&gt;=01/07"&amp;$C$7,'Livro Diario - FC'!$D$11:$D1028,"&lt;=31/07"&amp;$C$7)</f>
        <v>0</v>
      </c>
      <c r="AH295" s="256">
        <f>SUMIFS('Livro Diario - FC'!$M$11:$M1028,'Livro Diario - FC'!$E$11:$E1028,$C$295,'Livro Diario - FC'!$D$11:$D1028,"&gt;=01/07"&amp;$C$7,'Livro Diario - FC'!$D$11:$D1028,"&lt;=31/07"&amp;$C$7)</f>
        <v>0</v>
      </c>
      <c r="AI295" s="273"/>
      <c r="AJ295" s="258"/>
      <c r="AK295" s="255">
        <f>SUMIFS('Livro Diario - FC'!$K$11:$K1028,'Livro Diario - FC'!$E$11:$E1028,$C$295,'Livro Diario - FC'!$D$11:$D1028,"&gt;=01/08"&amp;$C$7,'Livro Diario - FC'!$D$11:$D1028,"&lt;=31/08"&amp;$C$7)</f>
        <v>0</v>
      </c>
      <c r="AL295" s="256">
        <f>SUMIFS('Livro Diario - FC'!$M$11:$M1028,'Livro Diario - FC'!$E$11:$E1028,$C$295,'Livro Diario - FC'!$D$11:$D1028,"&gt;=01/08"&amp;$C$7,'Livro Diario - FC'!$D$11:$D1028,"&lt;=31/08"&amp;$C$7)</f>
        <v>0</v>
      </c>
      <c r="AM295" s="273"/>
      <c r="AN295" s="258"/>
      <c r="AO295" s="255">
        <f>SUMIFS('Livro Diario - FC'!$K$11:$K1028,'Livro Diario - FC'!$E$11:$E1028,$C$295,'Livro Diario - FC'!$D$11:$D1028,"&gt;=01/09"&amp;$C$7,'Livro Diario - FC'!$D$11:$D1028,"&lt;=30/09"&amp;$C$7)</f>
        <v>0</v>
      </c>
      <c r="AP295" s="256">
        <f>SUMIFS('Livro Diario - FC'!$M$11:$M1028,'Livro Diario - FC'!$E$11:$E1028,$C$295,'Livro Diario - FC'!$D$11:$D1028,"&gt;=01/09"&amp;$C$7,'Livro Diario - FC'!$D$11:$D1028,"&lt;=30/09"&amp;$C$7)</f>
        <v>0</v>
      </c>
      <c r="AQ295" s="273"/>
      <c r="AR295" s="258"/>
      <c r="AS295" s="255">
        <f>SUMIFS('Livro Diario - FC'!$K$11:$K1028,'Livro Diario - FC'!$E$11:$E1028,$C$295,'Livro Diario - FC'!$D$11:$D1028,"&gt;=01/10"&amp;$C$7,'Livro Diario - FC'!$D$11:$D1028,"&lt;=31/10"&amp;$C$7)</f>
        <v>0</v>
      </c>
      <c r="AT295" s="256">
        <f>SUMIFS('Livro Diario - FC'!$M$11:$M1028,'Livro Diario - FC'!$E$11:$E1028,$C$295,'Livro Diario - FC'!$D$11:$D1028,"&gt;=01/10"&amp;$C$7,'Livro Diario - FC'!$D$11:$D1028,"&lt;=31/10"&amp;$C$7)</f>
        <v>0</v>
      </c>
      <c r="AU295" s="273"/>
      <c r="AV295" s="258"/>
      <c r="AW295" s="255">
        <f>SUMIFS('Livro Diario - FC'!$K$11:$K1028,'Livro Diario - FC'!$E$11:$E1028,$C$295,'Livro Diario - FC'!$D$11:$D1028,"&gt;=01/11"&amp;$C$7,'Livro Diario - FC'!$D$11:$D1028,"&lt;=30/11"&amp;$C$7)</f>
        <v>0</v>
      </c>
      <c r="AX295" s="256">
        <f>SUMIFS('Livro Diario - FC'!$M$11:$M1028,'Livro Diario - FC'!$E$11:$E1028,$C$295,'Livro Diario - FC'!$D$11:$D1028,"&gt;=01/11"&amp;$C$7,'Livro Diario - FC'!$D$11:$D1028,"&lt;=30/11"&amp;$C$7)</f>
        <v>0</v>
      </c>
      <c r="AY295" s="273"/>
      <c r="AZ295" s="258"/>
      <c r="BA295" s="255">
        <f>SUMIFS('Livro Diario - FC'!$K$11:$K1028,'Livro Diario - FC'!$E$11:$E1028,$C$295,'Livro Diario - FC'!$D$11:$D1028,"&gt;=01/12"&amp;$C$7,'Livro Diario - FC'!$D$11:$D1028,"&lt;=31/12"&amp;$C$7)</f>
        <v>0</v>
      </c>
      <c r="BB295" s="256">
        <f>SUMIFS('Livro Diario - FC'!$M$11:$M1028,'Livro Diario - FC'!$E$11:$E1028,$C$295,'Livro Diario - FC'!$D$11:$D1028,"&gt;=01/12"&amp;$C$7,'Livro Diario - FC'!$D$11:$D1028,"&lt;=31/12"&amp;$C$7)</f>
        <v>0</v>
      </c>
      <c r="BC295" s="273"/>
      <c r="BD295" s="273"/>
      <c r="BE295" s="267">
        <f t="shared" ref="BE295:BF295" si="467">SUM(D295,I295,N295,S295,X295,AC295,AG295,AK295,AO295,AS295,AW295,BA295)</f>
        <v>0</v>
      </c>
      <c r="BF295" s="268">
        <f t="shared" si="467"/>
        <v>0</v>
      </c>
      <c r="BG295" s="269"/>
      <c r="BH295" s="192"/>
      <c r="BI295" s="270">
        <f>SUMIFS('Livro Diario - FC'!$M$11:$M1028,'Livro Diario - FC'!$E$11:$E1028,C295,'Livro Diario - FC'!$D$11:$D1028,"&gt;="&amp;$BK$8,'Livro Diario - FC'!$D$11:$D1028,"&lt;="&amp;$BK$9)</f>
        <v>0</v>
      </c>
      <c r="BJ295" s="271"/>
      <c r="BK295" s="272"/>
      <c r="BL295" s="1"/>
    </row>
    <row r="296">
      <c r="A296" s="1"/>
      <c r="B296" s="1"/>
      <c r="C296" s="393" t="str">
        <f>'Livro Diario - FC'!AE304</f>
        <v>5.6.3 Coca-Cola</v>
      </c>
      <c r="D296" s="255">
        <f>SUMIFS('Livro Diario - FC'!$K$11:$K1028,'Livro Diario - FC'!$E$11:$E1028,$C$296,'Livro Diario - FC'!$D$11:$D1028,"&gt;=01/01"&amp;$C$7,'Livro Diario - FC'!$D$11:$D1028,"&lt;=31/01"&amp;$C$7)</f>
        <v>0</v>
      </c>
      <c r="E296" s="256">
        <f>SUMIFS('Livro Diario - FC'!$M$11:$M1028,'Livro Diario - FC'!$E$11:$E1028,$C$296,'Livro Diario - FC'!$D$11:$D1028,"&gt;=01/01"&amp;$C$7,'Livro Diario - FC'!$D$11:$D1028,"&lt;=31/01"&amp;$C$7)</f>
        <v>0</v>
      </c>
      <c r="F296" s="273"/>
      <c r="G296" s="258"/>
      <c r="H296" s="157"/>
      <c r="I296" s="255">
        <f>SUMIFS('Livro Diario - FC'!$K$11:$K1028,'Livro Diario - FC'!$E$11:$E1028,$C$296,'Livro Diario - FC'!$D$11:$D1028,"&gt;=01/02"&amp;$C$7,'Livro Diario - FC'!$D$11:$D1028,"&lt;=29/02"&amp;$C$7)</f>
        <v>0</v>
      </c>
      <c r="J296" s="256">
        <f>SUMIFS('Livro Diario - FC'!$M$11:$M1028,'Livro Diario - FC'!$E$11:$E1028,$C$296,'Livro Diario - FC'!$D$11:$D1028,"&gt;=01/02"&amp;$C$7,'Livro Diario - FC'!$D$11:$D1028,"&lt;=29/02"&amp;$C$7)</f>
        <v>0</v>
      </c>
      <c r="K296" s="273"/>
      <c r="L296" s="258"/>
      <c r="M296" s="259"/>
      <c r="N296" s="255">
        <f>SUMIFS('Livro Diario - FC'!$K$11:$K1028,'Livro Diario - FC'!$E$11:$E1028,$C$296,'Livro Diario - FC'!$D$11:$D1028,"&gt;=01/03"&amp;$C$7,'Livro Diario - FC'!$D$11:$D1028,"&lt;=31/03"&amp;$C$7)</f>
        <v>0</v>
      </c>
      <c r="O296" s="256">
        <f>SUMIFS('Livro Diario - FC'!$M$11:$M1028,'Livro Diario - FC'!$E$11:$E1028,$C$296,'Livro Diario - FC'!$D$11:$D1028,"&gt;=01/03"&amp;$C$7,'Livro Diario - FC'!$D$11:$D1028,"&lt;=31/03"&amp;$C$7)</f>
        <v>0</v>
      </c>
      <c r="P296" s="273"/>
      <c r="Q296" s="258"/>
      <c r="R296" s="259"/>
      <c r="S296" s="255">
        <f>SUMIFS('Livro Diario - FC'!$K$11:$K1028,'Livro Diario - FC'!$E$11:$E1028,$C$296,'Livro Diario - FC'!$D$11:$D1028,"&gt;=01/04"&amp;$C$7,'Livro Diario - FC'!$D$11:$D1028,"&lt;=30/04"&amp;$C$7)</f>
        <v>0</v>
      </c>
      <c r="T296" s="256">
        <f>SUMIFS('Livro Diario - FC'!$M$11:$M1028,'Livro Diario - FC'!$E$11:$E1028,$C$296,'Livro Diario - FC'!$D$11:$D1028,"&gt;=01/04"&amp;$C$7,'Livro Diario - FC'!$D$11:$D1028,"&lt;=30/04"&amp;$C$7)</f>
        <v>0</v>
      </c>
      <c r="U296" s="273"/>
      <c r="V296" s="258"/>
      <c r="W296" s="259"/>
      <c r="X296" s="255">
        <f>SUMIFS('Livro Diario - FC'!$K$11:$K1028,'Livro Diario - FC'!$E$11:$E1028,$C$296,'Livro Diario - FC'!$D$11:$D1028,"&gt;=01/05"&amp;$C$7,'Livro Diario - FC'!$D$11:$D1028,"&lt;=31/05"&amp;$C$7)</f>
        <v>0</v>
      </c>
      <c r="Y296" s="256">
        <f>SUMIFS('Livro Diario - FC'!$M$11:$M1028,'Livro Diario - FC'!$E$11:$E1028,$C$296,'Livro Diario - FC'!$D$11:$D1028,"&gt;=01/05"&amp;$C$7,'Livro Diario - FC'!$D$11:$D1028,"&lt;=31/05"&amp;$C$7)</f>
        <v>0</v>
      </c>
      <c r="Z296" s="273"/>
      <c r="AA296" s="258"/>
      <c r="AB296" s="259"/>
      <c r="AC296" s="255">
        <f>SUMIFS('Livro Diario - FC'!$K$11:$K1028,'Livro Diario - FC'!$E$11:$E1028,$C$296,'Livro Diario - FC'!$D$11:$D1028,"&gt;=01/06"&amp;$C$7,'Livro Diario - FC'!$D$11:$D1028,"&lt;=30/06"&amp;$C$7)</f>
        <v>0</v>
      </c>
      <c r="AD296" s="256">
        <f>SUMIFS('Livro Diario - FC'!$M$11:$M1028,'Livro Diario - FC'!$E$11:$E1028,$C$296,'Livro Diario - FC'!$D$11:$D1028,"&gt;=01/06"&amp;$C$7,'Livro Diario - FC'!$D$11:$D1028,"&lt;=30/06"&amp;$C$7)</f>
        <v>0</v>
      </c>
      <c r="AE296" s="273"/>
      <c r="AF296" s="258"/>
      <c r="AG296" s="255">
        <f>SUMIFS('Livro Diario - FC'!$K$11:$K1028,'Livro Diario - FC'!$E$11:$E1028,$C$296,'Livro Diario - FC'!$D$11:$D1028,"&gt;=01/07"&amp;$C$7,'Livro Diario - FC'!$D$11:$D1028,"&lt;=31/07"&amp;$C$7)</f>
        <v>0</v>
      </c>
      <c r="AH296" s="256">
        <f>SUMIFS('Livro Diario - FC'!$M$11:$M1028,'Livro Diario - FC'!$E$11:$E1028,$C$296,'Livro Diario - FC'!$D$11:$D1028,"&gt;=01/07"&amp;$C$7,'Livro Diario - FC'!$D$11:$D1028,"&lt;=31/07"&amp;$C$7)</f>
        <v>0</v>
      </c>
      <c r="AI296" s="273"/>
      <c r="AJ296" s="258"/>
      <c r="AK296" s="255">
        <f>SUMIFS('Livro Diario - FC'!$K$11:$K1028,'Livro Diario - FC'!$E$11:$E1028,$C$296,'Livro Diario - FC'!$D$11:$D1028,"&gt;=01/08"&amp;$C$7,'Livro Diario - FC'!$D$11:$D1028,"&lt;=31/08"&amp;$C$7)</f>
        <v>0</v>
      </c>
      <c r="AL296" s="256">
        <f>SUMIFS('Livro Diario - FC'!$M$11:$M1028,'Livro Diario - FC'!$E$11:$E1028,$C$296,'Livro Diario - FC'!$D$11:$D1028,"&gt;=01/08"&amp;$C$7,'Livro Diario - FC'!$D$11:$D1028,"&lt;=31/08"&amp;$C$7)</f>
        <v>0</v>
      </c>
      <c r="AM296" s="273"/>
      <c r="AN296" s="258"/>
      <c r="AO296" s="255">
        <f>SUMIFS('Livro Diario - FC'!$K$11:$K1028,'Livro Diario - FC'!$E$11:$E1028,$C$296,'Livro Diario - FC'!$D$11:$D1028,"&gt;=01/09"&amp;$C$7,'Livro Diario - FC'!$D$11:$D1028,"&lt;=30/09"&amp;$C$7)</f>
        <v>0</v>
      </c>
      <c r="AP296" s="256">
        <f>SUMIFS('Livro Diario - FC'!$M$11:$M1028,'Livro Diario - FC'!$E$11:$E1028,$C$296,'Livro Diario - FC'!$D$11:$D1028,"&gt;=01/09"&amp;$C$7,'Livro Diario - FC'!$D$11:$D1028,"&lt;=30/09"&amp;$C$7)</f>
        <v>0</v>
      </c>
      <c r="AQ296" s="273"/>
      <c r="AR296" s="258"/>
      <c r="AS296" s="255">
        <f>SUMIFS('Livro Diario - FC'!$K$11:$K1028,'Livro Diario - FC'!$E$11:$E1028,$C$296,'Livro Diario - FC'!$D$11:$D1028,"&gt;=01/10"&amp;$C$7,'Livro Diario - FC'!$D$11:$D1028,"&lt;=31/10"&amp;$C$7)</f>
        <v>0</v>
      </c>
      <c r="AT296" s="256">
        <f>SUMIFS('Livro Diario - FC'!$M$11:$M1028,'Livro Diario - FC'!$E$11:$E1028,$C$296,'Livro Diario - FC'!$D$11:$D1028,"&gt;=01/10"&amp;$C$7,'Livro Diario - FC'!$D$11:$D1028,"&lt;=31/10"&amp;$C$7)</f>
        <v>0</v>
      </c>
      <c r="AU296" s="273"/>
      <c r="AV296" s="258"/>
      <c r="AW296" s="255">
        <f>SUMIFS('Livro Diario - FC'!$K$11:$K1028,'Livro Diario - FC'!$E$11:$E1028,$C$296,'Livro Diario - FC'!$D$11:$D1028,"&gt;=01/11"&amp;$C$7,'Livro Diario - FC'!$D$11:$D1028,"&lt;=30/11"&amp;$C$7)</f>
        <v>0</v>
      </c>
      <c r="AX296" s="256">
        <f>SUMIFS('Livro Diario - FC'!$M$11:$M1028,'Livro Diario - FC'!$E$11:$E1028,$C$296,'Livro Diario - FC'!$D$11:$D1028,"&gt;=01/11"&amp;$C$7,'Livro Diario - FC'!$D$11:$D1028,"&lt;=30/11"&amp;$C$7)</f>
        <v>0</v>
      </c>
      <c r="AY296" s="273"/>
      <c r="AZ296" s="258"/>
      <c r="BA296" s="255">
        <f>SUMIFS('Livro Diario - FC'!$K$11:$K1028,'Livro Diario - FC'!$E$11:$E1028,$C$296,'Livro Diario - FC'!$D$11:$D1028,"&gt;=01/12"&amp;$C$7,'Livro Diario - FC'!$D$11:$D1028,"&lt;=31/12"&amp;$C$7)</f>
        <v>0</v>
      </c>
      <c r="BB296" s="256">
        <f>SUMIFS('Livro Diario - FC'!$M$11:$M1028,'Livro Diario - FC'!$E$11:$E1028,$C$296,'Livro Diario - FC'!$D$11:$D1028,"&gt;=01/12"&amp;$C$7,'Livro Diario - FC'!$D$11:$D1028,"&lt;=31/12"&amp;$C$7)</f>
        <v>0</v>
      </c>
      <c r="BC296" s="273"/>
      <c r="BD296" s="273"/>
      <c r="BE296" s="305">
        <f t="shared" ref="BE296:BF296" si="468">SUM(D296,I296,N296,S296,X296,AC296,AG296,AK296,AO296,AS296,AW296,BA296)</f>
        <v>0</v>
      </c>
      <c r="BF296" s="268">
        <f t="shared" si="468"/>
        <v>0</v>
      </c>
      <c r="BG296" s="269"/>
      <c r="BH296" s="192"/>
      <c r="BI296" s="270">
        <f>SUMIFS('Livro Diario - FC'!$M$11:$M1028,'Livro Diario - FC'!$E$11:$E1028,C296,'Livro Diario - FC'!$D$11:$D1028,"&gt;="&amp;$BK$8,'Livro Diario - FC'!$D$11:$D1028,"&lt;="&amp;$BK$9)</f>
        <v>0</v>
      </c>
      <c r="BJ296" s="271"/>
      <c r="BK296" s="272"/>
      <c r="BL296" s="1"/>
    </row>
    <row r="297">
      <c r="A297" s="1"/>
      <c r="B297" s="1"/>
      <c r="C297" s="393" t="str">
        <f>'Livro Diario - FC'!AE305</f>
        <v>5.6.4 .</v>
      </c>
      <c r="D297" s="255">
        <f>SUMIFS('Livro Diario - FC'!$K$11:$K1028,'Livro Diario - FC'!$E$11:$E1028,$C$297,'Livro Diario - FC'!$D$11:$D1028,"&gt;=01/01"&amp;$C$7,'Livro Diario - FC'!$D$11:$D1028,"&lt;=31/01"&amp;$C$7)</f>
        <v>0</v>
      </c>
      <c r="E297" s="256">
        <f>SUMIFS('Livro Diario - FC'!$M$11:$M1028,'Livro Diario - FC'!$E$11:$E1028,$C$297,'Livro Diario - FC'!$D$11:$D1028,"&gt;=01/01"&amp;$C$7,'Livro Diario - FC'!$D$11:$D1028,"&lt;=31/01"&amp;$C$7)</f>
        <v>0</v>
      </c>
      <c r="F297" s="273"/>
      <c r="G297" s="258"/>
      <c r="H297" s="157"/>
      <c r="I297" s="255">
        <f>SUMIFS('Livro Diario - FC'!$K$11:$K1028,'Livro Diario - FC'!$E$11:$E1028,$C$297,'Livro Diario - FC'!$D$11:$D1028,"&gt;=01/02"&amp;$C$7,'Livro Diario - FC'!$D$11:$D1028,"&lt;=29/02"&amp;$C$7)</f>
        <v>0</v>
      </c>
      <c r="J297" s="256">
        <f>SUMIFS('Livro Diario - FC'!$M$11:$M1028,'Livro Diario - FC'!$E$11:$E1028,$C$297,'Livro Diario - FC'!$D$11:$D1028,"&gt;=01/02"&amp;$C$7,'Livro Diario - FC'!$D$11:$D1028,"&lt;=29/02"&amp;$C$7)</f>
        <v>0</v>
      </c>
      <c r="K297" s="273"/>
      <c r="L297" s="258"/>
      <c r="M297" s="259"/>
      <c r="N297" s="255">
        <f>SUMIFS('Livro Diario - FC'!$K$11:$K1028,'Livro Diario - FC'!$E$11:$E1028,$C$297,'Livro Diario - FC'!$D$11:$D1028,"&gt;=01/03"&amp;$C$7,'Livro Diario - FC'!$D$11:$D1028,"&lt;=31/03"&amp;$C$7)</f>
        <v>0</v>
      </c>
      <c r="O297" s="256">
        <f>SUMIFS('Livro Diario - FC'!$M$11:$M1028,'Livro Diario - FC'!$E$11:$E1028,$C$297,'Livro Diario - FC'!$D$11:$D1028,"&gt;=01/03"&amp;$C$7,'Livro Diario - FC'!$D$11:$D1028,"&lt;=31/03"&amp;$C$7)</f>
        <v>0</v>
      </c>
      <c r="P297" s="273"/>
      <c r="Q297" s="258"/>
      <c r="R297" s="259"/>
      <c r="S297" s="255">
        <f>SUMIFS('Livro Diario - FC'!$K$11:$K1028,'Livro Diario - FC'!$E$11:$E1028,$C$297,'Livro Diario - FC'!$D$11:$D1028,"&gt;=01/04"&amp;$C$7,'Livro Diario - FC'!$D$11:$D1028,"&lt;=30/04"&amp;$C$7)</f>
        <v>0</v>
      </c>
      <c r="T297" s="256">
        <f>SUMIFS('Livro Diario - FC'!$M$11:$M1028,'Livro Diario - FC'!$E$11:$E1028,$C$297,'Livro Diario - FC'!$D$11:$D1028,"&gt;=01/04"&amp;$C$7,'Livro Diario - FC'!$D$11:$D1028,"&lt;=30/04"&amp;$C$7)</f>
        <v>0</v>
      </c>
      <c r="U297" s="273"/>
      <c r="V297" s="258"/>
      <c r="W297" s="259"/>
      <c r="X297" s="255">
        <f>SUMIFS('Livro Diario - FC'!$K$11:$K1028,'Livro Diario - FC'!$E$11:$E1028,$C$297,'Livro Diario - FC'!$D$11:$D1028,"&gt;=01/05"&amp;$C$7,'Livro Diario - FC'!$D$11:$D1028,"&lt;=31/05"&amp;$C$7)</f>
        <v>0</v>
      </c>
      <c r="Y297" s="256">
        <f>SUMIFS('Livro Diario - FC'!$M$11:$M1028,'Livro Diario - FC'!$E$11:$E1028,$C$297,'Livro Diario - FC'!$D$11:$D1028,"&gt;=01/05"&amp;$C$7,'Livro Diario - FC'!$D$11:$D1028,"&lt;=31/05"&amp;$C$7)</f>
        <v>0</v>
      </c>
      <c r="Z297" s="273"/>
      <c r="AA297" s="258"/>
      <c r="AB297" s="259"/>
      <c r="AC297" s="255">
        <f>SUMIFS('Livro Diario - FC'!$K$11:$K1028,'Livro Diario - FC'!$E$11:$E1028,$C$297,'Livro Diario - FC'!$D$11:$D1028,"&gt;=01/06"&amp;$C$7,'Livro Diario - FC'!$D$11:$D1028,"&lt;=30/06"&amp;$C$7)</f>
        <v>0</v>
      </c>
      <c r="AD297" s="256">
        <f>SUMIFS('Livro Diario - FC'!$M$11:$M1028,'Livro Diario - FC'!$E$11:$E1028,$C$297,'Livro Diario - FC'!$D$11:$D1028,"&gt;=01/06"&amp;$C$7,'Livro Diario - FC'!$D$11:$D1028,"&lt;=30/06"&amp;$C$7)</f>
        <v>0</v>
      </c>
      <c r="AE297" s="273"/>
      <c r="AF297" s="258"/>
      <c r="AG297" s="255">
        <f>SUMIFS('Livro Diario - FC'!$K$11:$K1028,'Livro Diario - FC'!$E$11:$E1028,$C$297,'Livro Diario - FC'!$D$11:$D1028,"&gt;=01/07"&amp;$C$7,'Livro Diario - FC'!$D$11:$D1028,"&lt;=31/07"&amp;$C$7)</f>
        <v>0</v>
      </c>
      <c r="AH297" s="256">
        <f>SUMIFS('Livro Diario - FC'!$M$11:$M1028,'Livro Diario - FC'!$E$11:$E1028,$C$297,'Livro Diario - FC'!$D$11:$D1028,"&gt;=01/07"&amp;$C$7,'Livro Diario - FC'!$D$11:$D1028,"&lt;=31/07"&amp;$C$7)</f>
        <v>0</v>
      </c>
      <c r="AI297" s="273"/>
      <c r="AJ297" s="258"/>
      <c r="AK297" s="255">
        <f>SUMIFS('Livro Diario - FC'!$K$11:$K1028,'Livro Diario - FC'!$E$11:$E1028,$C$297,'Livro Diario - FC'!$D$11:$D1028,"&gt;=01/08"&amp;$C$7,'Livro Diario - FC'!$D$11:$D1028,"&lt;=31/08"&amp;$C$7)</f>
        <v>0</v>
      </c>
      <c r="AL297" s="256">
        <f>SUMIFS('Livro Diario - FC'!$M$11:$M1028,'Livro Diario - FC'!$E$11:$E1028,$C$297,'Livro Diario - FC'!$D$11:$D1028,"&gt;=01/08"&amp;$C$7,'Livro Diario - FC'!$D$11:$D1028,"&lt;=31/08"&amp;$C$7)</f>
        <v>0</v>
      </c>
      <c r="AM297" s="273"/>
      <c r="AN297" s="258"/>
      <c r="AO297" s="255">
        <f>SUMIFS('Livro Diario - FC'!$K$11:$K1028,'Livro Diario - FC'!$E$11:$E1028,$C$297,'Livro Diario - FC'!$D$11:$D1028,"&gt;=01/09"&amp;$C$7,'Livro Diario - FC'!$D$11:$D1028,"&lt;=30/09"&amp;$C$7)</f>
        <v>0</v>
      </c>
      <c r="AP297" s="256">
        <f>SUMIFS('Livro Diario - FC'!$M$11:$M1028,'Livro Diario - FC'!$E$11:$E1028,$C$297,'Livro Diario - FC'!$D$11:$D1028,"&gt;=01/09"&amp;$C$7,'Livro Diario - FC'!$D$11:$D1028,"&lt;=30/09"&amp;$C$7)</f>
        <v>0</v>
      </c>
      <c r="AQ297" s="273"/>
      <c r="AR297" s="258"/>
      <c r="AS297" s="255">
        <f>SUMIFS('Livro Diario - FC'!$K$11:$K1028,'Livro Diario - FC'!$E$11:$E1028,$C$297,'Livro Diario - FC'!$D$11:$D1028,"&gt;=01/10"&amp;$C$7,'Livro Diario - FC'!$D$11:$D1028,"&lt;=31/10"&amp;$C$7)</f>
        <v>0</v>
      </c>
      <c r="AT297" s="256">
        <f>SUMIFS('Livro Diario - FC'!$M$11:$M1028,'Livro Diario - FC'!$E$11:$E1028,$C$297,'Livro Diario - FC'!$D$11:$D1028,"&gt;=01/10"&amp;$C$7,'Livro Diario - FC'!$D$11:$D1028,"&lt;=31/10"&amp;$C$7)</f>
        <v>0</v>
      </c>
      <c r="AU297" s="273"/>
      <c r="AV297" s="258"/>
      <c r="AW297" s="255">
        <f>SUMIFS('Livro Diario - FC'!$K$11:$K1028,'Livro Diario - FC'!$E$11:$E1028,$C$297,'Livro Diario - FC'!$D$11:$D1028,"&gt;=01/11"&amp;$C$7,'Livro Diario - FC'!$D$11:$D1028,"&lt;=30/11"&amp;$C$7)</f>
        <v>0</v>
      </c>
      <c r="AX297" s="256">
        <f>SUMIFS('Livro Diario - FC'!$M$11:$M1028,'Livro Diario - FC'!$E$11:$E1028,$C$297,'Livro Diario - FC'!$D$11:$D1028,"&gt;=01/11"&amp;$C$7,'Livro Diario - FC'!$D$11:$D1028,"&lt;=30/11"&amp;$C$7)</f>
        <v>0</v>
      </c>
      <c r="AY297" s="273"/>
      <c r="AZ297" s="258"/>
      <c r="BA297" s="255">
        <f>SUMIFS('Livro Diario - FC'!$K$11:$K1028,'Livro Diario - FC'!$E$11:$E1028,$C$297,'Livro Diario - FC'!$D$11:$D1028,"&gt;=01/12"&amp;$C$7,'Livro Diario - FC'!$D$11:$D1028,"&lt;=31/12"&amp;$C$7)</f>
        <v>0</v>
      </c>
      <c r="BB297" s="256">
        <f>SUMIFS('Livro Diario - FC'!$M$11:$M1028,'Livro Diario - FC'!$E$11:$E1028,$C$297,'Livro Diario - FC'!$D$11:$D1028,"&gt;=01/12"&amp;$C$7,'Livro Diario - FC'!$D$11:$D1028,"&lt;=31/12"&amp;$C$7)</f>
        <v>0</v>
      </c>
      <c r="BC297" s="273"/>
      <c r="BD297" s="273"/>
      <c r="BE297" s="305">
        <f t="shared" ref="BE297:BF297" si="469">SUM(D297,I297,N297,S297,X297,AC297,AG297,AK297,AO297,AS297,AW297,BA297)</f>
        <v>0</v>
      </c>
      <c r="BF297" s="268">
        <f t="shared" si="469"/>
        <v>0</v>
      </c>
      <c r="BG297" s="269"/>
      <c r="BH297" s="192"/>
      <c r="BI297" s="270">
        <f>SUMIFS('Livro Diario - FC'!$M$11:$M1028,'Livro Diario - FC'!$E$11:$E1028,C297,'Livro Diario - FC'!$D$11:$D1028,"&gt;="&amp;$BK$8,'Livro Diario - FC'!$D$11:$D1028,"&lt;="&amp;$BK$9)</f>
        <v>0</v>
      </c>
      <c r="BJ297" s="271"/>
      <c r="BK297" s="272"/>
      <c r="BL297" s="1"/>
    </row>
    <row r="298">
      <c r="A298" s="1"/>
      <c r="B298" s="1"/>
      <c r="C298" s="393" t="str">
        <f>'Livro Diario - FC'!AE306</f>
        <v>5.6.5 .</v>
      </c>
      <c r="D298" s="255">
        <f>SUMIFS('Livro Diario - FC'!$K$11:$K1028,'Livro Diario - FC'!$E$11:$E1028,$C$298,'Livro Diario - FC'!$D$11:$D1028,"&gt;=01/01"&amp;$C$7,'Livro Diario - FC'!$D$11:$D1028,"&lt;=31/01"&amp;$C$7)</f>
        <v>0</v>
      </c>
      <c r="E298" s="256">
        <f>SUMIFS('Livro Diario - FC'!$M$11:$M1028,'Livro Diario - FC'!$E$11:$E1028,$C$298,'Livro Diario - FC'!$D$11:$D1028,"&gt;=01/01"&amp;$C$7,'Livro Diario - FC'!$D$11:$D1028,"&lt;=31/01"&amp;$C$7)</f>
        <v>0</v>
      </c>
      <c r="F298" s="273"/>
      <c r="G298" s="258"/>
      <c r="H298" s="157"/>
      <c r="I298" s="255">
        <f>SUMIFS('Livro Diario - FC'!$K$11:$K1028,'Livro Diario - FC'!$E$11:$E1028,$C$298,'Livro Diario - FC'!$D$11:$D1028,"&gt;=01/02"&amp;$C$7,'Livro Diario - FC'!$D$11:$D1028,"&lt;=29/02"&amp;$C$7)</f>
        <v>0</v>
      </c>
      <c r="J298" s="256">
        <f>SUMIFS('Livro Diario - FC'!$M$11:$M1028,'Livro Diario - FC'!$E$11:$E1028,$C$298,'Livro Diario - FC'!$D$11:$D1028,"&gt;=01/02"&amp;$C$7,'Livro Diario - FC'!$D$11:$D1028,"&lt;=29/02"&amp;$C$7)</f>
        <v>0</v>
      </c>
      <c r="K298" s="273"/>
      <c r="L298" s="258"/>
      <c r="M298" s="259"/>
      <c r="N298" s="255">
        <f>SUMIFS('Livro Diario - FC'!$K$11:$K1028,'Livro Diario - FC'!$E$11:$E1028,$C$298,'Livro Diario - FC'!$D$11:$D1028,"&gt;=01/03"&amp;$C$7,'Livro Diario - FC'!$D$11:$D1028,"&lt;=31/03"&amp;$C$7)</f>
        <v>0</v>
      </c>
      <c r="O298" s="256">
        <f>SUMIFS('Livro Diario - FC'!$M$11:$M1028,'Livro Diario - FC'!$E$11:$E1028,$C$298,'Livro Diario - FC'!$D$11:$D1028,"&gt;=01/03"&amp;$C$7,'Livro Diario - FC'!$D$11:$D1028,"&lt;=31/03"&amp;$C$7)</f>
        <v>0</v>
      </c>
      <c r="P298" s="273"/>
      <c r="Q298" s="258"/>
      <c r="R298" s="259"/>
      <c r="S298" s="255">
        <f>SUMIFS('Livro Diario - FC'!$K$11:$K1028,'Livro Diario - FC'!$E$11:$E1028,$C$298,'Livro Diario - FC'!$D$11:$D1028,"&gt;=01/04"&amp;$C$7,'Livro Diario - FC'!$D$11:$D1028,"&lt;=30/04"&amp;$C$7)</f>
        <v>0</v>
      </c>
      <c r="T298" s="256">
        <f>SUMIFS('Livro Diario - FC'!$M$11:$M1028,'Livro Diario - FC'!$E$11:$E1028,$C$298,'Livro Diario - FC'!$D$11:$D1028,"&gt;=01/04"&amp;$C$7,'Livro Diario - FC'!$D$11:$D1028,"&lt;=30/04"&amp;$C$7)</f>
        <v>0</v>
      </c>
      <c r="U298" s="273"/>
      <c r="V298" s="258"/>
      <c r="W298" s="259"/>
      <c r="X298" s="255">
        <f>SUMIFS('Livro Diario - FC'!$K$11:$K1028,'Livro Diario - FC'!$E$11:$E1028,$C$298,'Livro Diario - FC'!$D$11:$D1028,"&gt;=01/05"&amp;$C$7,'Livro Diario - FC'!$D$11:$D1028,"&lt;=31/05"&amp;$C$7)</f>
        <v>0</v>
      </c>
      <c r="Y298" s="256">
        <f>SUMIFS('Livro Diario - FC'!$M$11:$M1028,'Livro Diario - FC'!$E$11:$E1028,$C$298,'Livro Diario - FC'!$D$11:$D1028,"&gt;=01/05"&amp;$C$7,'Livro Diario - FC'!$D$11:$D1028,"&lt;=31/05"&amp;$C$7)</f>
        <v>0</v>
      </c>
      <c r="Z298" s="273"/>
      <c r="AA298" s="258"/>
      <c r="AB298" s="259"/>
      <c r="AC298" s="255">
        <f>SUMIFS('Livro Diario - FC'!$K$11:$K1028,'Livro Diario - FC'!$E$11:$E1028,$C$298,'Livro Diario - FC'!$D$11:$D1028,"&gt;=01/06"&amp;$C$7,'Livro Diario - FC'!$D$11:$D1028,"&lt;=30/06"&amp;$C$7)</f>
        <v>0</v>
      </c>
      <c r="AD298" s="256">
        <f>SUMIFS('Livro Diario - FC'!$M$11:$M1028,'Livro Diario - FC'!$E$11:$E1028,$C$298,'Livro Diario - FC'!$D$11:$D1028,"&gt;=01/06"&amp;$C$7,'Livro Diario - FC'!$D$11:$D1028,"&lt;=30/06"&amp;$C$7)</f>
        <v>0</v>
      </c>
      <c r="AE298" s="273"/>
      <c r="AF298" s="258"/>
      <c r="AG298" s="255">
        <f>SUMIFS('Livro Diario - FC'!$K$11:$K1028,'Livro Diario - FC'!$E$11:$E1028,$C$298,'Livro Diario - FC'!$D$11:$D1028,"&gt;=01/07"&amp;$C$7,'Livro Diario - FC'!$D$11:$D1028,"&lt;=31/07"&amp;$C$7)</f>
        <v>0</v>
      </c>
      <c r="AH298" s="256">
        <f>SUMIFS('Livro Diario - FC'!$M$11:$M1028,'Livro Diario - FC'!$E$11:$E1028,$C$298,'Livro Diario - FC'!$D$11:$D1028,"&gt;=01/07"&amp;$C$7,'Livro Diario - FC'!$D$11:$D1028,"&lt;=31/07"&amp;$C$7)</f>
        <v>0</v>
      </c>
      <c r="AI298" s="273"/>
      <c r="AJ298" s="258"/>
      <c r="AK298" s="255">
        <f>SUMIFS('Livro Diario - FC'!$K$11:$K1028,'Livro Diario - FC'!$E$11:$E1028,$C$298,'Livro Diario - FC'!$D$11:$D1028,"&gt;=01/08"&amp;$C$7,'Livro Diario - FC'!$D$11:$D1028,"&lt;=31/08"&amp;$C$7)</f>
        <v>0</v>
      </c>
      <c r="AL298" s="256">
        <f>SUMIFS('Livro Diario - FC'!$M$11:$M1028,'Livro Diario - FC'!$E$11:$E1028,$C$298,'Livro Diario - FC'!$D$11:$D1028,"&gt;=01/08"&amp;$C$7,'Livro Diario - FC'!$D$11:$D1028,"&lt;=31/08"&amp;$C$7)</f>
        <v>0</v>
      </c>
      <c r="AM298" s="273"/>
      <c r="AN298" s="258"/>
      <c r="AO298" s="255">
        <f>SUMIFS('Livro Diario - FC'!$K$11:$K1028,'Livro Diario - FC'!$E$11:$E1028,$C$298,'Livro Diario - FC'!$D$11:$D1028,"&gt;=01/09"&amp;$C$7,'Livro Diario - FC'!$D$11:$D1028,"&lt;=30/09"&amp;$C$7)</f>
        <v>0</v>
      </c>
      <c r="AP298" s="256">
        <f>SUMIFS('Livro Diario - FC'!$M$11:$M1028,'Livro Diario - FC'!$E$11:$E1028,$C$298,'Livro Diario - FC'!$D$11:$D1028,"&gt;=01/09"&amp;$C$7,'Livro Diario - FC'!$D$11:$D1028,"&lt;=30/09"&amp;$C$7)</f>
        <v>0</v>
      </c>
      <c r="AQ298" s="273"/>
      <c r="AR298" s="258"/>
      <c r="AS298" s="255">
        <f>SUMIFS('Livro Diario - FC'!$K$11:$K1028,'Livro Diario - FC'!$E$11:$E1028,$C$298,'Livro Diario - FC'!$D$11:$D1028,"&gt;=01/10"&amp;$C$7,'Livro Diario - FC'!$D$11:$D1028,"&lt;=31/10"&amp;$C$7)</f>
        <v>0</v>
      </c>
      <c r="AT298" s="256">
        <f>SUMIFS('Livro Diario - FC'!$M$11:$M1028,'Livro Diario - FC'!$E$11:$E1028,$C$298,'Livro Diario - FC'!$D$11:$D1028,"&gt;=01/10"&amp;$C$7,'Livro Diario - FC'!$D$11:$D1028,"&lt;=31/10"&amp;$C$7)</f>
        <v>0</v>
      </c>
      <c r="AU298" s="273"/>
      <c r="AV298" s="258"/>
      <c r="AW298" s="255">
        <f>SUMIFS('Livro Diario - FC'!$K$11:$K1028,'Livro Diario - FC'!$E$11:$E1028,$C$298,'Livro Diario - FC'!$D$11:$D1028,"&gt;=01/11"&amp;$C$7,'Livro Diario - FC'!$D$11:$D1028,"&lt;=30/11"&amp;$C$7)</f>
        <v>0</v>
      </c>
      <c r="AX298" s="256">
        <f>SUMIFS('Livro Diario - FC'!$M$11:$M1028,'Livro Diario - FC'!$E$11:$E1028,$C$298,'Livro Diario - FC'!$D$11:$D1028,"&gt;=01/11"&amp;$C$7,'Livro Diario - FC'!$D$11:$D1028,"&lt;=30/11"&amp;$C$7)</f>
        <v>0</v>
      </c>
      <c r="AY298" s="273"/>
      <c r="AZ298" s="258"/>
      <c r="BA298" s="255">
        <f>SUMIFS('Livro Diario - FC'!$K$11:$K1028,'Livro Diario - FC'!$E$11:$E1028,$C$298,'Livro Diario - FC'!$D$11:$D1028,"&gt;=01/12"&amp;$C$7,'Livro Diario - FC'!$D$11:$D1028,"&lt;=31/12"&amp;$C$7)</f>
        <v>0</v>
      </c>
      <c r="BB298" s="256">
        <f>SUMIFS('Livro Diario - FC'!$M$11:$M1028,'Livro Diario - FC'!$E$11:$E1028,$C$298,'Livro Diario - FC'!$D$11:$D1028,"&gt;=01/12"&amp;$C$7,'Livro Diario - FC'!$D$11:$D1028,"&lt;=31/12"&amp;$C$7)</f>
        <v>0</v>
      </c>
      <c r="BC298" s="273"/>
      <c r="BD298" s="273"/>
      <c r="BE298" s="305">
        <f t="shared" ref="BE298:BF298" si="470">SUM(D298,I298,N298,S298,X298,AC298,AG298,AK298,AO298,AS298,AW298,BA298)</f>
        <v>0</v>
      </c>
      <c r="BF298" s="268">
        <f t="shared" si="470"/>
        <v>0</v>
      </c>
      <c r="BG298" s="269"/>
      <c r="BH298" s="192"/>
      <c r="BI298" s="270">
        <f>SUMIFS('Livro Diario - FC'!$M$11:$M1028,'Livro Diario - FC'!$E$11:$E1028,C298,'Livro Diario - FC'!$D$11:$D1028,"&gt;="&amp;$BK$8,'Livro Diario - FC'!$D$11:$D1028,"&lt;="&amp;$BK$9)</f>
        <v>0</v>
      </c>
      <c r="BJ298" s="271"/>
      <c r="BK298" s="272"/>
      <c r="BL298" s="1"/>
    </row>
    <row r="299">
      <c r="A299" s="1"/>
      <c r="B299" s="1"/>
      <c r="C299" s="396" t="s">
        <v>550</v>
      </c>
      <c r="D299" s="275">
        <f t="shared" ref="D299:E299" si="471">(D249-D250)</f>
        <v>-7645.25</v>
      </c>
      <c r="E299" s="397">
        <f t="shared" si="471"/>
        <v>-3167.55</v>
      </c>
      <c r="F299" s="398">
        <f t="shared" ref="F299:F301" si="485">IF(E$11=0,"",E299/E$11)</f>
        <v>-0.4085210932</v>
      </c>
      <c r="G299" s="399" t="str">
        <f t="shared" ref="G299:G301" si="486">IF(A299=0,"",E299/A299-1)</f>
        <v/>
      </c>
      <c r="H299" s="279"/>
      <c r="I299" s="275">
        <f t="shared" ref="I299:J299" si="472">(I249-I250)</f>
        <v>0</v>
      </c>
      <c r="J299" s="397">
        <f t="shared" si="472"/>
        <v>0</v>
      </c>
      <c r="K299" s="398" t="str">
        <f t="shared" ref="K299:K301" si="488">IF(J$11=0,"",J299/J$11)</f>
        <v/>
      </c>
      <c r="L299" s="399">
        <f t="shared" ref="L299:L301" si="489">IF(E299=0,"",J299/E299-1)</f>
        <v>-1</v>
      </c>
      <c r="M299" s="280"/>
      <c r="N299" s="275">
        <f t="shared" ref="N299:O299" si="473">(N249-N250)</f>
        <v>0</v>
      </c>
      <c r="O299" s="397">
        <f t="shared" si="473"/>
        <v>0</v>
      </c>
      <c r="P299" s="398" t="str">
        <f t="shared" ref="P299:P301" si="491">IF(O$11=0,"",O299/O$11)</f>
        <v/>
      </c>
      <c r="Q299" s="399" t="str">
        <f t="shared" ref="Q299:Q301" si="492">IF(J299=0,"",O299/J299-1)</f>
        <v/>
      </c>
      <c r="R299" s="280"/>
      <c r="S299" s="275">
        <f t="shared" ref="S299:T299" si="474">(S249-S250)</f>
        <v>0</v>
      </c>
      <c r="T299" s="397">
        <f t="shared" si="474"/>
        <v>0</v>
      </c>
      <c r="U299" s="398" t="str">
        <f t="shared" ref="U299:U301" si="494">IF(T$11=0,"",T299/T$11)</f>
        <v/>
      </c>
      <c r="V299" s="399" t="str">
        <f t="shared" ref="V299:V301" si="495">IF(O299=0,"",T299/O299-1)</f>
        <v/>
      </c>
      <c r="W299" s="280"/>
      <c r="X299" s="275">
        <f t="shared" ref="X299:Y299" si="475">(X249-X250)</f>
        <v>0</v>
      </c>
      <c r="Y299" s="397">
        <f t="shared" si="475"/>
        <v>0</v>
      </c>
      <c r="Z299" s="398" t="str">
        <f t="shared" ref="Z299:Z301" si="497">IF(Y$11=0,"",Y299/Y$11)</f>
        <v/>
      </c>
      <c r="AA299" s="399" t="str">
        <f t="shared" ref="AA299:AA301" si="498">IF(T299=0,"",Y299/T299-1)</f>
        <v/>
      </c>
      <c r="AB299" s="280"/>
      <c r="AC299" s="275">
        <f t="shared" ref="AC299:AD299" si="476">(AC249-AC250)</f>
        <v>0</v>
      </c>
      <c r="AD299" s="397">
        <f t="shared" si="476"/>
        <v>0</v>
      </c>
      <c r="AE299" s="398" t="str">
        <f t="shared" ref="AE299:AE301" si="500">IF(AD$11=0,"",AD299/AD$11)</f>
        <v/>
      </c>
      <c r="AF299" s="399" t="str">
        <f t="shared" ref="AF299:AF301" si="501">IF(Y299=0,"",AD299/Y299-1)</f>
        <v/>
      </c>
      <c r="AG299" s="275">
        <f t="shared" ref="AG299:AH299" si="477">(AG249-AG250)</f>
        <v>0</v>
      </c>
      <c r="AH299" s="397">
        <f t="shared" si="477"/>
        <v>0</v>
      </c>
      <c r="AI299" s="398" t="str">
        <f t="shared" ref="AI299:AI301" si="503">IF(AH$11=0,"",AH299/AH$11)</f>
        <v/>
      </c>
      <c r="AJ299" s="399" t="str">
        <f t="shared" ref="AJ299:AJ301" si="504">IF(AD299=0,"",AH299/AD299-1)</f>
        <v/>
      </c>
      <c r="AK299" s="275">
        <f t="shared" ref="AK299:AL299" si="478">(AK249-AK250)</f>
        <v>0</v>
      </c>
      <c r="AL299" s="397">
        <f t="shared" si="478"/>
        <v>0</v>
      </c>
      <c r="AM299" s="398" t="str">
        <f t="shared" ref="AM299:AM301" si="506">IF(AL$11=0,"",AL299/AL$11)</f>
        <v/>
      </c>
      <c r="AN299" s="399" t="str">
        <f t="shared" ref="AN299:AN301" si="507">IF(AH299=0,"",AL299/AH299-1)</f>
        <v/>
      </c>
      <c r="AO299" s="275">
        <f t="shared" ref="AO299:AP299" si="479">(AO249-AO250)</f>
        <v>0</v>
      </c>
      <c r="AP299" s="397">
        <f t="shared" si="479"/>
        <v>0</v>
      </c>
      <c r="AQ299" s="398" t="str">
        <f t="shared" ref="AQ299:AQ301" si="509">IF(AP$11=0,"",AP299/AP$11)</f>
        <v/>
      </c>
      <c r="AR299" s="399" t="str">
        <f t="shared" ref="AR299:AR301" si="510">IF(AL299=0,"",AP299/AL299-1)</f>
        <v/>
      </c>
      <c r="AS299" s="275">
        <f t="shared" ref="AS299:AT299" si="480">(AS249-AS250)</f>
        <v>0</v>
      </c>
      <c r="AT299" s="397">
        <f t="shared" si="480"/>
        <v>0</v>
      </c>
      <c r="AU299" s="398" t="str">
        <f t="shared" ref="AU299:AU301" si="512">IF(AT$11=0,"",AT299/AT$11)</f>
        <v/>
      </c>
      <c r="AV299" s="399" t="str">
        <f t="shared" ref="AV299:AV301" si="513">IF(AP299=0,"",AT299/AP299-1)</f>
        <v/>
      </c>
      <c r="AW299" s="275">
        <f t="shared" ref="AW299:AX299" si="481">(AW249-AW250)</f>
        <v>0</v>
      </c>
      <c r="AX299" s="397">
        <f t="shared" si="481"/>
        <v>0</v>
      </c>
      <c r="AY299" s="398" t="str">
        <f t="shared" ref="AY299:AY301" si="515">IF(AX$11=0,"",AX299/AX$11)</f>
        <v/>
      </c>
      <c r="AZ299" s="399" t="str">
        <f t="shared" ref="AZ299:AZ301" si="516">IF(AT299=0,"",AX299/AT299-1)</f>
        <v/>
      </c>
      <c r="BA299" s="275">
        <f t="shared" ref="BA299:BB299" si="482">(BA249-BA250)</f>
        <v>0</v>
      </c>
      <c r="BB299" s="397">
        <f t="shared" si="482"/>
        <v>0</v>
      </c>
      <c r="BC299" s="398" t="str">
        <f t="shared" ref="BC299:BC301" si="518">IF(BB$11=0,"",BB299/BB$11)</f>
        <v/>
      </c>
      <c r="BD299" s="280" t="str">
        <f t="shared" ref="BD299:BD301" si="519">IF(AX299=0,"",BB299/AX299-1)</f>
        <v/>
      </c>
      <c r="BE299" s="400">
        <f t="shared" ref="BE299:BF299" si="483">SUM(D299,I299,N299,S299,X299,AC299,AG299,AK299,AO299,AS299,AW299,BA299)</f>
        <v>-7645.25</v>
      </c>
      <c r="BF299" s="401">
        <f t="shared" si="483"/>
        <v>-3167.55</v>
      </c>
      <c r="BG299" s="402">
        <f t="shared" ref="BG299:BG301" si="521">IF(BF$11=0,"",BF299/BF$11)</f>
        <v>-0.4085210932</v>
      </c>
      <c r="BH299" s="222"/>
      <c r="BI299" s="403">
        <f>BI184-BI185</f>
        <v>0</v>
      </c>
      <c r="BJ299" s="284" t="str">
        <f t="shared" ref="BJ299:BJ301" si="522">IF(BI$11=0,"",BI299/BI$11)</f>
        <v/>
      </c>
      <c r="BK299" s="349"/>
      <c r="BL299" s="226"/>
    </row>
    <row r="300">
      <c r="A300" s="1"/>
      <c r="B300" s="1"/>
      <c r="C300" s="404" t="s">
        <v>458</v>
      </c>
      <c r="D300" s="405">
        <f t="shared" ref="D300:E300" si="484">SUM(D301,D307,D312,D317)</f>
        <v>0</v>
      </c>
      <c r="E300" s="406">
        <f t="shared" si="484"/>
        <v>0</v>
      </c>
      <c r="F300" s="407">
        <f t="shared" si="485"/>
        <v>0</v>
      </c>
      <c r="G300" s="408" t="str">
        <f t="shared" si="486"/>
        <v/>
      </c>
      <c r="H300" s="409"/>
      <c r="I300" s="405">
        <f t="shared" ref="I300:J300" si="487">SUM(I301,I307,I312,I317)</f>
        <v>0</v>
      </c>
      <c r="J300" s="406">
        <f t="shared" si="487"/>
        <v>0</v>
      </c>
      <c r="K300" s="407" t="str">
        <f t="shared" si="488"/>
        <v/>
      </c>
      <c r="L300" s="408" t="str">
        <f t="shared" si="489"/>
        <v/>
      </c>
      <c r="M300" s="410"/>
      <c r="N300" s="405">
        <f t="shared" ref="N300:O300" si="490">SUM(N301,N307,N312,N317)</f>
        <v>0</v>
      </c>
      <c r="O300" s="406">
        <f t="shared" si="490"/>
        <v>0</v>
      </c>
      <c r="P300" s="407" t="str">
        <f t="shared" si="491"/>
        <v/>
      </c>
      <c r="Q300" s="408" t="str">
        <f t="shared" si="492"/>
        <v/>
      </c>
      <c r="R300" s="410"/>
      <c r="S300" s="405">
        <f t="shared" ref="S300:T300" si="493">SUM(S301,S307,S312,S317)</f>
        <v>0</v>
      </c>
      <c r="T300" s="406">
        <f t="shared" si="493"/>
        <v>0</v>
      </c>
      <c r="U300" s="407" t="str">
        <f t="shared" si="494"/>
        <v/>
      </c>
      <c r="V300" s="408" t="str">
        <f t="shared" si="495"/>
        <v/>
      </c>
      <c r="W300" s="410"/>
      <c r="X300" s="405">
        <f t="shared" ref="X300:Y300" si="496">SUM(X301,X307,X312,X317)</f>
        <v>0</v>
      </c>
      <c r="Y300" s="406">
        <f t="shared" si="496"/>
        <v>0</v>
      </c>
      <c r="Z300" s="407" t="str">
        <f t="shared" si="497"/>
        <v/>
      </c>
      <c r="AA300" s="408" t="str">
        <f t="shared" si="498"/>
        <v/>
      </c>
      <c r="AB300" s="410"/>
      <c r="AC300" s="405">
        <f t="shared" ref="AC300:AD300" si="499">SUM(AC301,AC307,AC312,AC317)</f>
        <v>0</v>
      </c>
      <c r="AD300" s="406">
        <f t="shared" si="499"/>
        <v>0</v>
      </c>
      <c r="AE300" s="407" t="str">
        <f t="shared" si="500"/>
        <v/>
      </c>
      <c r="AF300" s="408" t="str">
        <f t="shared" si="501"/>
        <v/>
      </c>
      <c r="AG300" s="405">
        <f t="shared" ref="AG300:AH300" si="502">SUM(AG301,AG307,AG312,AG317)</f>
        <v>0</v>
      </c>
      <c r="AH300" s="406">
        <f t="shared" si="502"/>
        <v>0</v>
      </c>
      <c r="AI300" s="407" t="str">
        <f t="shared" si="503"/>
        <v/>
      </c>
      <c r="AJ300" s="408" t="str">
        <f t="shared" si="504"/>
        <v/>
      </c>
      <c r="AK300" s="405">
        <f t="shared" ref="AK300:AL300" si="505">SUM(AK301,AK307,AK312,AK317)</f>
        <v>0</v>
      </c>
      <c r="AL300" s="406">
        <f t="shared" si="505"/>
        <v>0</v>
      </c>
      <c r="AM300" s="407" t="str">
        <f t="shared" si="506"/>
        <v/>
      </c>
      <c r="AN300" s="408" t="str">
        <f t="shared" si="507"/>
        <v/>
      </c>
      <c r="AO300" s="405">
        <f t="shared" ref="AO300:AP300" si="508">SUM(AO301,AO307,AO312,AO317)</f>
        <v>0</v>
      </c>
      <c r="AP300" s="406">
        <f t="shared" si="508"/>
        <v>0</v>
      </c>
      <c r="AQ300" s="407" t="str">
        <f t="shared" si="509"/>
        <v/>
      </c>
      <c r="AR300" s="408" t="str">
        <f t="shared" si="510"/>
        <v/>
      </c>
      <c r="AS300" s="405">
        <f t="shared" ref="AS300:AT300" si="511">SUM(AS301,AS307,AS312,AS317)</f>
        <v>0</v>
      </c>
      <c r="AT300" s="406">
        <f t="shared" si="511"/>
        <v>0</v>
      </c>
      <c r="AU300" s="407" t="str">
        <f t="shared" si="512"/>
        <v/>
      </c>
      <c r="AV300" s="408" t="str">
        <f t="shared" si="513"/>
        <v/>
      </c>
      <c r="AW300" s="405">
        <f t="shared" ref="AW300:AX300" si="514">SUM(AW301,AW307,AW312,AW317)</f>
        <v>0</v>
      </c>
      <c r="AX300" s="406">
        <f t="shared" si="514"/>
        <v>0</v>
      </c>
      <c r="AY300" s="407" t="str">
        <f t="shared" si="515"/>
        <v/>
      </c>
      <c r="AZ300" s="408" t="str">
        <f t="shared" si="516"/>
        <v/>
      </c>
      <c r="BA300" s="405">
        <f t="shared" ref="BA300:BB300" si="517">SUM(BA301,BA307,BA312,BA317)</f>
        <v>0</v>
      </c>
      <c r="BB300" s="406">
        <f t="shared" si="517"/>
        <v>0</v>
      </c>
      <c r="BC300" s="407" t="str">
        <f t="shared" si="518"/>
        <v/>
      </c>
      <c r="BD300" s="410" t="str">
        <f t="shared" si="519"/>
        <v/>
      </c>
      <c r="BE300" s="411">
        <f t="shared" ref="BE300:BF300" si="520">SUM(D300,I300,N300,S300,X300,AC300,AG300,AK300,AO300,AS300,AW300,BA300)</f>
        <v>0</v>
      </c>
      <c r="BF300" s="412">
        <f t="shared" si="520"/>
        <v>0</v>
      </c>
      <c r="BG300" s="413">
        <f t="shared" si="521"/>
        <v>0</v>
      </c>
      <c r="BH300" s="414"/>
      <c r="BI300" s="415">
        <f>SUM(BI301,BI307,BI312,BI317)</f>
        <v>0</v>
      </c>
      <c r="BJ300" s="416" t="str">
        <f t="shared" si="522"/>
        <v/>
      </c>
      <c r="BK300" s="417"/>
      <c r="BL300" s="418"/>
    </row>
    <row r="301">
      <c r="A301" s="1"/>
      <c r="B301" s="40"/>
      <c r="C301" s="365" t="s">
        <v>459</v>
      </c>
      <c r="D301" s="323">
        <f>SUMIFS('Livro Diario - FC'!$J$11:$J1028,'Livro Diario - FC'!$E$11:$E1028,$C$301,'Livro Diario - FC'!$D$11:$D1028,"&gt;=01/01"&amp;$C$7,'Livro Diario - FC'!$D$11:$D1028,"&lt;=31/01"&amp;$C$7)+SUM(D302:D306)</f>
        <v>0</v>
      </c>
      <c r="E301" s="366">
        <f>SUMIFS('Livro Diario - FC'!$L$11:$L1028,'Livro Diario - FC'!$E$11:$E1028,$C$301,'Livro Diario - FC'!$D$11:$D1028,"&gt;=01/01"&amp;$C$7,'Livro Diario - FC'!$D$11:$D1028,"&lt;=31/01"&amp;$C$7)+SUM(E302:E306)</f>
        <v>0</v>
      </c>
      <c r="F301" s="367">
        <f t="shared" si="485"/>
        <v>0</v>
      </c>
      <c r="G301" s="368" t="str">
        <f t="shared" si="486"/>
        <v/>
      </c>
      <c r="H301" s="327"/>
      <c r="I301" s="323">
        <f>SUMIFS('Livro Diario - FC'!$J$11:$J1028,'Livro Diario - FC'!$E$11:$E1028,$C$301,'Livro Diario - FC'!$D$11:$D1028,"&gt;=01/02"&amp;$C$7,'Livro Diario - FC'!$D$11:$D1028,"&lt;=29/02"&amp;$C$7)+SUM(I302:I306)</f>
        <v>0</v>
      </c>
      <c r="J301" s="366">
        <f>SUMIFS('Livro Diario - FC'!$L$11:$L1028,'Livro Diario - FC'!$E$11:$E1028,$C$301,'Livro Diario - FC'!$D$11:$D1028,"&gt;=01/02"&amp;$C$7,'Livro Diario - FC'!$D$11:$D1028,"&lt;=29/02"&amp;$C$7)+SUM(J302:J306)</f>
        <v>0</v>
      </c>
      <c r="K301" s="367" t="str">
        <f t="shared" si="488"/>
        <v/>
      </c>
      <c r="L301" s="368" t="str">
        <f t="shared" si="489"/>
        <v/>
      </c>
      <c r="M301" s="328"/>
      <c r="N301" s="323">
        <f>SUMIFS('Livro Diario - FC'!$J$11:$J1028,'Livro Diario - FC'!$E$11:$E1028,$C$301,'Livro Diario - FC'!$D$11:$D1028,"&gt;=01/03"&amp;$C$7,'Livro Diario - FC'!$D$11:$D1028,"&lt;=31/03"&amp;$C$7)+SUM(N302:N306)</f>
        <v>0</v>
      </c>
      <c r="O301" s="366">
        <f>SUMIFS('Livro Diario - FC'!$L$11:$L1028,'Livro Diario - FC'!$E$11:$E1028,$C$301,'Livro Diario - FC'!$D$11:$D1028,"&gt;=01/03"&amp;$C$7,'Livro Diario - FC'!$D$11:$D1028,"&lt;=31/03"&amp;$C$7)+SUM(O302:O306)</f>
        <v>0</v>
      </c>
      <c r="P301" s="367" t="str">
        <f t="shared" si="491"/>
        <v/>
      </c>
      <c r="Q301" s="368" t="str">
        <f t="shared" si="492"/>
        <v/>
      </c>
      <c r="R301" s="328"/>
      <c r="S301" s="323">
        <f>SUMIFS('Livro Diario - FC'!$J$11:$J1028,'Livro Diario - FC'!$E$11:$E1028,$C$301,'Livro Diario - FC'!$D$11:$D1028,"&gt;=01/04"&amp;$C$7,'Livro Diario - FC'!$D$11:$D1028,"&lt;=30/04"&amp;$C$7)+SUM(S302:S306)</f>
        <v>0</v>
      </c>
      <c r="T301" s="366">
        <f>SUMIFS('Livro Diario - FC'!$L$11:$L1028,'Livro Diario - FC'!$E$11:$E1028,$C$301,'Livro Diario - FC'!$D$11:$D1028,"&gt;=01/04"&amp;$C$7,'Livro Diario - FC'!$D$11:$D1028,"&lt;=30/04"&amp;$C$7)+SUM(T302:T306)</f>
        <v>0</v>
      </c>
      <c r="U301" s="367" t="str">
        <f t="shared" si="494"/>
        <v/>
      </c>
      <c r="V301" s="368" t="str">
        <f t="shared" si="495"/>
        <v/>
      </c>
      <c r="W301" s="328"/>
      <c r="X301" s="323">
        <f>SUMIFS('Livro Diario - FC'!$J$11:$J1028,'Livro Diario - FC'!$E$11:$E1028,$C$301,'Livro Diario - FC'!$D$11:$D1028,"&gt;=01/05"&amp;$C$7,'Livro Diario - FC'!$D$11:$D1028,"&lt;=31/05"&amp;$C$7)+SUM(X302:X306)</f>
        <v>0</v>
      </c>
      <c r="Y301" s="366">
        <f>SUMIFS('Livro Diario - FC'!$L$11:$L1028,'Livro Diario - FC'!$E$11:$E1028,$C$301,'Livro Diario - FC'!$D$11:$D1028,"&gt;=01/05"&amp;$C$7,'Livro Diario - FC'!$D$11:$D1028,"&lt;=31/05"&amp;$C$7)+SUM(Y302:Y306)</f>
        <v>0</v>
      </c>
      <c r="Z301" s="367" t="str">
        <f t="shared" si="497"/>
        <v/>
      </c>
      <c r="AA301" s="368" t="str">
        <f t="shared" si="498"/>
        <v/>
      </c>
      <c r="AB301" s="328"/>
      <c r="AC301" s="323">
        <f>SUMIFS('Livro Diario - FC'!$J$11:$J1028,'Livro Diario - FC'!$E$11:$E1028,$C$301,'Livro Diario - FC'!$D$11:$D1028,"&gt;=01/06"&amp;$C$7,'Livro Diario - FC'!$D$11:$D1028,"&lt;=30/06"&amp;$C$7)+SUM(AC302:AC306)</f>
        <v>0</v>
      </c>
      <c r="AD301" s="366">
        <f>SUMIFS('Livro Diario - FC'!$L$11:$L1028,'Livro Diario - FC'!$E$11:$E1028,$C$301,'Livro Diario - FC'!$D$11:$D1028,"&gt;=01/06"&amp;$C$7,'Livro Diario - FC'!$D$11:$D1028,"&lt;=30/06"&amp;$C$7)+SUM(AD302:AD306)</f>
        <v>0</v>
      </c>
      <c r="AE301" s="367" t="str">
        <f t="shared" si="500"/>
        <v/>
      </c>
      <c r="AF301" s="368" t="str">
        <f t="shared" si="501"/>
        <v/>
      </c>
      <c r="AG301" s="323">
        <f>SUMIFS('Livro Diario - FC'!$J$11:$J1028,'Livro Diario - FC'!$E$11:$E1028,$C$301,'Livro Diario - FC'!$D$11:$D1028,"&gt;=01/07"&amp;$C$7,'Livro Diario - FC'!$D$11:$D1028,"&lt;=31/07"&amp;$C$7)+SUM(AG302:AG306)</f>
        <v>0</v>
      </c>
      <c r="AH301" s="366">
        <f>SUMIFS('Livro Diario - FC'!$L$11:$L1028,'Livro Diario - FC'!$E$11:$E1028,$C$301,'Livro Diario - FC'!$D$11:$D1028,"&gt;=01/07"&amp;$C$7,'Livro Diario - FC'!$D$11:$D1028,"&lt;=31/07"&amp;$C$7)+SUM(AH302:AH306)</f>
        <v>0</v>
      </c>
      <c r="AI301" s="367" t="str">
        <f t="shared" si="503"/>
        <v/>
      </c>
      <c r="AJ301" s="368" t="str">
        <f t="shared" si="504"/>
        <v/>
      </c>
      <c r="AK301" s="323">
        <f>SUMIFS('Livro Diario - FC'!$J$11:$J1028,'Livro Diario - FC'!$E$11:$E1028,$C$301,'Livro Diario - FC'!$D$11:$D1028,"&gt;=01/08"&amp;$C$7,'Livro Diario - FC'!$D$11:$D1028,"&lt;=31/08"&amp;$C$7)+SUM(AK302:AK306)</f>
        <v>0</v>
      </c>
      <c r="AL301" s="366">
        <f>SUMIFS('Livro Diario - FC'!$L$11:$L1028,'Livro Diario - FC'!$E$11:$E1028,$C$301,'Livro Diario - FC'!$D$11:$D1028,"&gt;=01/08"&amp;$C$7,'Livro Diario - FC'!$D$11:$D1028,"&lt;=31/08"&amp;$C$7)+SUM(AL302:AL306)</f>
        <v>0</v>
      </c>
      <c r="AM301" s="367" t="str">
        <f t="shared" si="506"/>
        <v/>
      </c>
      <c r="AN301" s="368" t="str">
        <f t="shared" si="507"/>
        <v/>
      </c>
      <c r="AO301" s="323">
        <f>SUMIFS('Livro Diario - FC'!$J$11:$J1028,'Livro Diario - FC'!$E$11:$E1028,$C$301,'Livro Diario - FC'!$D$11:$D1028,"&gt;=01/09"&amp;$C$7,'Livro Diario - FC'!$D$11:$D1028,"&lt;=30/09"&amp;$C$7)+SUM(AO302:AO306)</f>
        <v>0</v>
      </c>
      <c r="AP301" s="366">
        <f>SUMIFS('Livro Diario - FC'!$L$11:$L1028,'Livro Diario - FC'!$E$11:$E1028,$C$301,'Livro Diario - FC'!$D$11:$D1028,"&gt;=01/09"&amp;$C$7,'Livro Diario - FC'!$D$11:$D1028,"&lt;=30/09"&amp;$C$7)+SUM(AP302:AP306)</f>
        <v>0</v>
      </c>
      <c r="AQ301" s="367" t="str">
        <f t="shared" si="509"/>
        <v/>
      </c>
      <c r="AR301" s="368" t="str">
        <f t="shared" si="510"/>
        <v/>
      </c>
      <c r="AS301" s="323">
        <f>SUMIFS('Livro Diario - FC'!$J$11:$J1028,'Livro Diario - FC'!$E$11:$E1028,$C$301,'Livro Diario - FC'!$D$11:$D1028,"&gt;=01/10"&amp;$C$7,'Livro Diario - FC'!$D$11:$D1028,"&lt;=31/10"&amp;$C$7)+SUM(AS302:AS306)</f>
        <v>0</v>
      </c>
      <c r="AT301" s="366">
        <f>SUMIFS('Livro Diario - FC'!$L$11:$L1028,'Livro Diario - FC'!$E$11:$E1028,$C$301,'Livro Diario - FC'!$D$11:$D1028,"&gt;=01/10"&amp;$C$7,'Livro Diario - FC'!$D$11:$D1028,"&lt;=31/10"&amp;$C$7)+SUM(AT302:AT306)</f>
        <v>0</v>
      </c>
      <c r="AU301" s="367" t="str">
        <f t="shared" si="512"/>
        <v/>
      </c>
      <c r="AV301" s="368" t="str">
        <f t="shared" si="513"/>
        <v/>
      </c>
      <c r="AW301" s="323">
        <f>SUMIFS('Livro Diario - FC'!$J$11:$J1028,'Livro Diario - FC'!$E$11:$E1028,$C$301,'Livro Diario - FC'!$D$11:$D1028,"&gt;=01/11"&amp;$C$7,'Livro Diario - FC'!$D$11:$D1028,"&lt;=30/11"&amp;$C$7)+SUM(AW302:AW306)</f>
        <v>0</v>
      </c>
      <c r="AX301" s="366">
        <f>SUMIFS('Livro Diario - FC'!$L$11:$L1028,'Livro Diario - FC'!$E$11:$E1028,$C$301,'Livro Diario - FC'!$D$11:$D1028,"&gt;=01/11"&amp;$C$7,'Livro Diario - FC'!$D$11:$D1028,"&lt;=30/11"&amp;$C$7)+SUM(AX302:AX306)</f>
        <v>0</v>
      </c>
      <c r="AY301" s="367" t="str">
        <f t="shared" si="515"/>
        <v/>
      </c>
      <c r="AZ301" s="368" t="str">
        <f t="shared" si="516"/>
        <v/>
      </c>
      <c r="BA301" s="323">
        <f>SUMIFS('Livro Diario - FC'!$J$11:$J1028,'Livro Diario - FC'!$E$11:$E1028,$C$301,'Livro Diario - FC'!$D$11:$D1028,"&gt;=01/12"&amp;$C$7,'Livro Diario - FC'!$D$11:$D1028,"&lt;=31/12"&amp;$C$7)+SUM(BA302:BA306)</f>
        <v>0</v>
      </c>
      <c r="BB301" s="366">
        <f>SUMIFS('Livro Diario - FC'!$L$11:$L1028,'Livro Diario - FC'!$E$11:$E1028,$C$301,'Livro Diario - FC'!$D$11:$D1028,"&gt;=01/12"&amp;$C$7,'Livro Diario - FC'!$D$11:$D1028,"&lt;=31/12"&amp;$C$7)+SUM(BB302:BB306)</f>
        <v>0</v>
      </c>
      <c r="BC301" s="367" t="str">
        <f t="shared" si="518"/>
        <v/>
      </c>
      <c r="BD301" s="328" t="str">
        <f t="shared" si="519"/>
        <v/>
      </c>
      <c r="BE301" s="331">
        <f t="shared" ref="BE301:BF301" si="523">SUM(D301,I301,N301,S301,X301,AC301,AG301,AK301,AO301,AS301,AW301,BA301)</f>
        <v>0</v>
      </c>
      <c r="BF301" s="369">
        <f t="shared" si="523"/>
        <v>0</v>
      </c>
      <c r="BG301" s="370">
        <f t="shared" si="521"/>
        <v>0</v>
      </c>
      <c r="BH301" s="336"/>
      <c r="BI301" s="371">
        <f>SUMIFS('Livro Diario - FC'!$M$11:$M1028,'Livro Diario - FC'!$E$11:$E1028,C301,'Livro Diario - FC'!$D$11:$D1028,"&gt;="&amp;$BK$8,'Livro Diario - FC'!$D$11:$D1028,"&lt;="&amp;$BK$9)+SUM(BI302:BI306)</f>
        <v>0</v>
      </c>
      <c r="BJ301" s="335" t="str">
        <f t="shared" si="522"/>
        <v/>
      </c>
      <c r="BK301" s="336"/>
      <c r="BL301" s="372"/>
    </row>
    <row r="302">
      <c r="A302" s="1"/>
      <c r="B302" s="1"/>
      <c r="C302" s="338" t="str">
        <f>'Livro Diario - FC'!AE309</f>
        <v>6.1.1 Papelaria</v>
      </c>
      <c r="D302" s="255">
        <f>SUMIFS('Livro Diario - FC'!$K$11:$K1028,'Livro Diario - FC'!$E$11:$E1028,$C$302,'Livro Diario - FC'!$D$11:$D1028,"&gt;=01/01"&amp;$C$7,'Livro Diario - FC'!$D$11:$D1028,"&lt;=31/01"&amp;$C$7)</f>
        <v>0</v>
      </c>
      <c r="E302" s="256">
        <f>SUMIFS('Livro Diario - FC'!$M$11:$M1028,'Livro Diario - FC'!$E$11:$E1028,$C$302,'Livro Diario - FC'!$D$11:$D1028,"&gt;=01/01"&amp;$C$7,'Livro Diario - FC'!$D$11:$D1028,"&lt;=31/01"&amp;$C$7)</f>
        <v>0</v>
      </c>
      <c r="F302" s="273"/>
      <c r="G302" s="258"/>
      <c r="H302" s="157"/>
      <c r="I302" s="255">
        <f>SUMIFS('Livro Diario - FC'!$K$11:$K1028,'Livro Diario - FC'!$E$11:$E1028,$C$302,'Livro Diario - FC'!$D$11:$D1028,"&gt;=01/02"&amp;$C$7,'Livro Diario - FC'!$D$11:$D1028,"&lt;=29/02"&amp;$C$7)</f>
        <v>0</v>
      </c>
      <c r="J302" s="256">
        <f>SUMIFS('Livro Diario - FC'!$M$11:$M1028,'Livro Diario - FC'!$E$11:$E1028,$C$302,'Livro Diario - FC'!$D$11:$D1028,"&gt;=01/02"&amp;$C$7,'Livro Diario - FC'!$D$11:$D1028,"&lt;=29/02"&amp;$C$7)</f>
        <v>0</v>
      </c>
      <c r="K302" s="273"/>
      <c r="L302" s="258"/>
      <c r="M302" s="259"/>
      <c r="N302" s="255">
        <f>SUMIFS('Livro Diario - FC'!$K$11:$K1028,'Livro Diario - FC'!$E$11:$E1028,$C$302,'Livro Diario - FC'!$D$11:$D1028,"&gt;=01/03"&amp;$C$7,'Livro Diario - FC'!$D$11:$D1028,"&lt;=31/03"&amp;$C$7)</f>
        <v>0</v>
      </c>
      <c r="O302" s="256">
        <f>SUMIFS('Livro Diario - FC'!$M$11:$M1028,'Livro Diario - FC'!$E$11:$E1028,$C$302,'Livro Diario - FC'!$D$11:$D1028,"&gt;=01/03"&amp;$C$7,'Livro Diario - FC'!$D$11:$D1028,"&lt;=31/03"&amp;$C$7)</f>
        <v>0</v>
      </c>
      <c r="P302" s="273"/>
      <c r="Q302" s="258"/>
      <c r="R302" s="259"/>
      <c r="S302" s="255">
        <f>SUMIFS('Livro Diario - FC'!$K$11:$K1028,'Livro Diario - FC'!$E$11:$E1028,$C$302,'Livro Diario - FC'!$D$11:$D1028,"&gt;=01/04"&amp;$C$7,'Livro Diario - FC'!$D$11:$D1028,"&lt;=30/04"&amp;$C$7)</f>
        <v>0</v>
      </c>
      <c r="T302" s="256">
        <f>SUMIFS('Livro Diario - FC'!$M$11:$M1028,'Livro Diario - FC'!$E$11:$E1028,$C$302,'Livro Diario - FC'!$D$11:$D1028,"&gt;=01/04"&amp;$C$7,'Livro Diario - FC'!$D$11:$D1028,"&lt;=30/04"&amp;$C$7)</f>
        <v>0</v>
      </c>
      <c r="U302" s="273"/>
      <c r="V302" s="258"/>
      <c r="W302" s="259"/>
      <c r="X302" s="255">
        <f>SUMIFS('Livro Diario - FC'!$K$11:$K1028,'Livro Diario - FC'!$E$11:$E1028,$C$302,'Livro Diario - FC'!$D$11:$D1028,"&gt;=01/05"&amp;$C$7,'Livro Diario - FC'!$D$11:$D1028,"&lt;=31/05"&amp;$C$7)</f>
        <v>0</v>
      </c>
      <c r="Y302" s="256">
        <f>SUMIFS('Livro Diario - FC'!$M$11:$M1028,'Livro Diario - FC'!$E$11:$E1028,$C$302,'Livro Diario - FC'!$D$11:$D1028,"&gt;=01/05"&amp;$C$7,'Livro Diario - FC'!$D$11:$D1028,"&lt;=31/05"&amp;$C$7)</f>
        <v>0</v>
      </c>
      <c r="Z302" s="273"/>
      <c r="AA302" s="258"/>
      <c r="AB302" s="259"/>
      <c r="AC302" s="255">
        <f>SUMIFS('Livro Diario - FC'!$K$11:$K1028,'Livro Diario - FC'!$E$11:$E1028,$C$302,'Livro Diario - FC'!$D$11:$D1028,"&gt;=01/06"&amp;$C$7,'Livro Diario - FC'!$D$11:$D1028,"&lt;=30/06"&amp;$C$7)</f>
        <v>0</v>
      </c>
      <c r="AD302" s="256">
        <f>SUMIFS('Livro Diario - FC'!$M$11:$M1028,'Livro Diario - FC'!$E$11:$E1028,$C$302,'Livro Diario - FC'!$D$11:$D1028,"&gt;=01/06"&amp;$C$7,'Livro Diario - FC'!$D$11:$D1028,"&lt;=30/06"&amp;$C$7)</f>
        <v>0</v>
      </c>
      <c r="AE302" s="273"/>
      <c r="AF302" s="258"/>
      <c r="AG302" s="255">
        <f>SUMIFS('Livro Diario - FC'!$K$11:$K1028,'Livro Diario - FC'!$E$11:$E1028,$C$302,'Livro Diario - FC'!$D$11:$D1028,"&gt;=01/07"&amp;$C$7,'Livro Diario - FC'!$D$11:$D1028,"&lt;=31/07"&amp;$C$7)</f>
        <v>0</v>
      </c>
      <c r="AH302" s="256">
        <f>SUMIFS('Livro Diario - FC'!$M$11:$M1028,'Livro Diario - FC'!$E$11:$E1028,$C$302,'Livro Diario - FC'!$D$11:$D1028,"&gt;=01/07"&amp;$C$7,'Livro Diario - FC'!$D$11:$D1028,"&lt;=31/07"&amp;$C$7)</f>
        <v>0</v>
      </c>
      <c r="AI302" s="273"/>
      <c r="AJ302" s="258"/>
      <c r="AK302" s="255">
        <f>SUMIFS('Livro Diario - FC'!$K$11:$K1028,'Livro Diario - FC'!$E$11:$E1028,$C$302,'Livro Diario - FC'!$D$11:$D1028,"&gt;=01/08"&amp;$C$7,'Livro Diario - FC'!$D$11:$D1028,"&lt;=31/08"&amp;$C$7)</f>
        <v>0</v>
      </c>
      <c r="AL302" s="256">
        <f>SUMIFS('Livro Diario - FC'!$M$11:$M1028,'Livro Diario - FC'!$E$11:$E1028,$C$302,'Livro Diario - FC'!$D$11:$D1028,"&gt;=01/08"&amp;$C$7,'Livro Diario - FC'!$D$11:$D1028,"&lt;=31/08"&amp;$C$7)</f>
        <v>0</v>
      </c>
      <c r="AM302" s="273"/>
      <c r="AN302" s="258"/>
      <c r="AO302" s="255">
        <f>SUMIFS('Livro Diario - FC'!$K$11:$K1028,'Livro Diario - FC'!$E$11:$E1028,$C$302,'Livro Diario - FC'!$D$11:$D1028,"&gt;=01/09"&amp;$C$7,'Livro Diario - FC'!$D$11:$D1028,"&lt;=30/09"&amp;$C$7)</f>
        <v>0</v>
      </c>
      <c r="AP302" s="256">
        <f>SUMIFS('Livro Diario - FC'!$M$11:$M1028,'Livro Diario - FC'!$E$11:$E1028,$C$302,'Livro Diario - FC'!$D$11:$D1028,"&gt;=01/09"&amp;$C$7,'Livro Diario - FC'!$D$11:$D1028,"&lt;=30/09"&amp;$C$7)</f>
        <v>0</v>
      </c>
      <c r="AQ302" s="273"/>
      <c r="AR302" s="258"/>
      <c r="AS302" s="255">
        <f>SUMIFS('Livro Diario - FC'!$K$11:$K1028,'Livro Diario - FC'!$E$11:$E1028,$C$302,'Livro Diario - FC'!$D$11:$D1028,"&gt;=01/10"&amp;$C$7,'Livro Diario - FC'!$D$11:$D1028,"&lt;=31/10"&amp;$C$7)</f>
        <v>0</v>
      </c>
      <c r="AT302" s="256">
        <f>SUMIFS('Livro Diario - FC'!$M$11:$M1028,'Livro Diario - FC'!$E$11:$E1028,$C$302,'Livro Diario - FC'!$D$11:$D1028,"&gt;=01/10"&amp;$C$7,'Livro Diario - FC'!$D$11:$D1028,"&lt;=31/10"&amp;$C$7)</f>
        <v>0</v>
      </c>
      <c r="AU302" s="273"/>
      <c r="AV302" s="258"/>
      <c r="AW302" s="255">
        <f>SUMIFS('Livro Diario - FC'!$K$11:$K1028,'Livro Diario - FC'!$E$11:$E1028,$C$302,'Livro Diario - FC'!$D$11:$D1028,"&gt;=01/11"&amp;$C$7,'Livro Diario - FC'!$D$11:$D1028,"&lt;=30/11"&amp;$C$7)</f>
        <v>0</v>
      </c>
      <c r="AX302" s="256">
        <f>SUMIFS('Livro Diario - FC'!$M$11:$M1028,'Livro Diario - FC'!$E$11:$E1028,$C$302,'Livro Diario - FC'!$D$11:$D1028,"&gt;=01/11"&amp;$C$7,'Livro Diario - FC'!$D$11:$D1028,"&lt;=30/11"&amp;$C$7)</f>
        <v>0</v>
      </c>
      <c r="AY302" s="273"/>
      <c r="AZ302" s="258"/>
      <c r="BA302" s="255">
        <f>SUMIFS('Livro Diario - FC'!$K$11:$K1028,'Livro Diario - FC'!$E$11:$E1028,$C$302,'Livro Diario - FC'!$D$11:$D1028,"&gt;=01/12"&amp;$C$7,'Livro Diario - FC'!$D$11:$D1028,"&lt;=31/12"&amp;$C$7)</f>
        <v>0</v>
      </c>
      <c r="BB302" s="256">
        <f>SUMIFS('Livro Diario - FC'!$M$11:$M1028,'Livro Diario - FC'!$E$11:$E1028,$C$302,'Livro Diario - FC'!$D$11:$D1028,"&gt;=01/12"&amp;$C$7,'Livro Diario - FC'!$D$11:$D1028,"&lt;=31/12"&amp;$C$7)</f>
        <v>0</v>
      </c>
      <c r="BC302" s="273"/>
      <c r="BD302" s="273"/>
      <c r="BE302" s="301">
        <f t="shared" ref="BE302:BF302" si="524">SUM(D302,I302,N302,S302,X302,AC302,AG302,AK302,AO302,AS302,AW302,BA302)</f>
        <v>0</v>
      </c>
      <c r="BF302" s="261">
        <f t="shared" si="524"/>
        <v>0</v>
      </c>
      <c r="BG302" s="262"/>
      <c r="BH302" s="302"/>
      <c r="BI302" s="303">
        <f>SUMIFS('Livro Diario - FC'!$M$11:$M1028,'Livro Diario - FC'!$E$11:$E1028,C302,'Livro Diario - FC'!$D$11:$D1028,"&gt;="&amp;$BK$8,'Livro Diario - FC'!$D$11:$D1028,"&lt;="&amp;$BK$9)</f>
        <v>0</v>
      </c>
      <c r="BJ302" s="271"/>
      <c r="BK302" s="304"/>
      <c r="BL302" s="339"/>
    </row>
    <row r="303">
      <c r="A303" s="1"/>
      <c r="B303" s="1"/>
      <c r="C303" s="338" t="str">
        <f>'Livro Diario - FC'!AE310</f>
        <v>6.1.2 Site / internet</v>
      </c>
      <c r="D303" s="255">
        <f>SUMIFS('Livro Diario - FC'!$K$11:$K1028,'Livro Diario - FC'!$E$11:$E1028,$C$303,'Livro Diario - FC'!$D$11:$D1028,"&gt;=01/01"&amp;$C$7,'Livro Diario - FC'!$D$11:$D1028,"&lt;=31/01"&amp;$C$7)</f>
        <v>0</v>
      </c>
      <c r="E303" s="256">
        <f>SUMIFS('Livro Diario - FC'!$M$11:$M1028,'Livro Diario - FC'!$E$11:$E1028,$C$303,'Livro Diario - FC'!$D$11:$D1028,"&gt;=01/01"&amp;$C$7,'Livro Diario - FC'!$D$11:$D1028,"&lt;=31/01"&amp;$C$7)</f>
        <v>0</v>
      </c>
      <c r="F303" s="273"/>
      <c r="G303" s="258"/>
      <c r="H303" s="157"/>
      <c r="I303" s="255">
        <f>SUMIFS('Livro Diario - FC'!$K$11:$K1028,'Livro Diario - FC'!$E$11:$E1028,$C$303,'Livro Diario - FC'!$D$11:$D1028,"&gt;=01/02"&amp;$C$7,'Livro Diario - FC'!$D$11:$D1028,"&lt;=29/02"&amp;$C$7)</f>
        <v>0</v>
      </c>
      <c r="J303" s="256">
        <f>SUMIFS('Livro Diario - FC'!$M$11:$M1028,'Livro Diario - FC'!$E$11:$E1028,$C$303,'Livro Diario - FC'!$D$11:$D1028,"&gt;=01/02"&amp;$C$7,'Livro Diario - FC'!$D$11:$D1028,"&lt;=29/02"&amp;$C$7)</f>
        <v>0</v>
      </c>
      <c r="K303" s="273"/>
      <c r="L303" s="258"/>
      <c r="M303" s="259"/>
      <c r="N303" s="255">
        <f>SUMIFS('Livro Diario - FC'!$K$11:$K1028,'Livro Diario - FC'!$E$11:$E1028,$C$303,'Livro Diario - FC'!$D$11:$D1028,"&gt;=01/03"&amp;$C$7,'Livro Diario - FC'!$D$11:$D1028,"&lt;=31/03"&amp;$C$7)</f>
        <v>0</v>
      </c>
      <c r="O303" s="256">
        <f>SUMIFS('Livro Diario - FC'!$M$11:$M1028,'Livro Diario - FC'!$E$11:$E1028,$C$303,'Livro Diario - FC'!$D$11:$D1028,"&gt;=01/03"&amp;$C$7,'Livro Diario - FC'!$D$11:$D1028,"&lt;=31/03"&amp;$C$7)</f>
        <v>0</v>
      </c>
      <c r="P303" s="273"/>
      <c r="Q303" s="258"/>
      <c r="R303" s="259"/>
      <c r="S303" s="255">
        <f>SUMIFS('Livro Diario - FC'!$K$11:$K1028,'Livro Diario - FC'!$E$11:$E1028,$C$303,'Livro Diario - FC'!$D$11:$D1028,"&gt;=01/04"&amp;$C$7,'Livro Diario - FC'!$D$11:$D1028,"&lt;=30/04"&amp;$C$7)</f>
        <v>0</v>
      </c>
      <c r="T303" s="256">
        <f>SUMIFS('Livro Diario - FC'!$M$11:$M1028,'Livro Diario - FC'!$E$11:$E1028,$C$303,'Livro Diario - FC'!$D$11:$D1028,"&gt;=01/04"&amp;$C$7,'Livro Diario - FC'!$D$11:$D1028,"&lt;=30/04"&amp;$C$7)</f>
        <v>0</v>
      </c>
      <c r="U303" s="273"/>
      <c r="V303" s="258"/>
      <c r="W303" s="259"/>
      <c r="X303" s="255">
        <f>SUMIFS('Livro Diario - FC'!$K$11:$K1028,'Livro Diario - FC'!$E$11:$E1028,$C$303,'Livro Diario - FC'!$D$11:$D1028,"&gt;=01/05"&amp;$C$7,'Livro Diario - FC'!$D$11:$D1028,"&lt;=31/05"&amp;$C$7)</f>
        <v>0</v>
      </c>
      <c r="Y303" s="256">
        <f>SUMIFS('Livro Diario - FC'!$M$11:$M1028,'Livro Diario - FC'!$E$11:$E1028,$C$303,'Livro Diario - FC'!$D$11:$D1028,"&gt;=01/05"&amp;$C$7,'Livro Diario - FC'!$D$11:$D1028,"&lt;=31/05"&amp;$C$7)</f>
        <v>0</v>
      </c>
      <c r="Z303" s="273"/>
      <c r="AA303" s="258"/>
      <c r="AB303" s="259"/>
      <c r="AC303" s="255">
        <f>SUMIFS('Livro Diario - FC'!$K$11:$K1028,'Livro Diario - FC'!$E$11:$E1028,$C$303,'Livro Diario - FC'!$D$11:$D1028,"&gt;=01/06"&amp;$C$7,'Livro Diario - FC'!$D$11:$D1028,"&lt;=30/06"&amp;$C$7)</f>
        <v>0</v>
      </c>
      <c r="AD303" s="256">
        <f>SUMIFS('Livro Diario - FC'!$M$11:$M1028,'Livro Diario - FC'!$E$11:$E1028,$C$303,'Livro Diario - FC'!$D$11:$D1028,"&gt;=01/06"&amp;$C$7,'Livro Diario - FC'!$D$11:$D1028,"&lt;=30/06"&amp;$C$7)</f>
        <v>0</v>
      </c>
      <c r="AE303" s="273"/>
      <c r="AF303" s="258"/>
      <c r="AG303" s="255">
        <f>SUMIFS('Livro Diario - FC'!$K$11:$K1028,'Livro Diario - FC'!$E$11:$E1028,$C$303,'Livro Diario - FC'!$D$11:$D1028,"&gt;=01/07"&amp;$C$7,'Livro Diario - FC'!$D$11:$D1028,"&lt;=31/07"&amp;$C$7)</f>
        <v>0</v>
      </c>
      <c r="AH303" s="256">
        <f>SUMIFS('Livro Diario - FC'!$M$11:$M1028,'Livro Diario - FC'!$E$11:$E1028,$C$303,'Livro Diario - FC'!$D$11:$D1028,"&gt;=01/07"&amp;$C$7,'Livro Diario - FC'!$D$11:$D1028,"&lt;=31/07"&amp;$C$7)</f>
        <v>0</v>
      </c>
      <c r="AI303" s="273"/>
      <c r="AJ303" s="258"/>
      <c r="AK303" s="255">
        <f>SUMIFS('Livro Diario - FC'!$K$11:$K1028,'Livro Diario - FC'!$E$11:$E1028,$C$303,'Livro Diario - FC'!$D$11:$D1028,"&gt;=01/08"&amp;$C$7,'Livro Diario - FC'!$D$11:$D1028,"&lt;=31/08"&amp;$C$7)</f>
        <v>0</v>
      </c>
      <c r="AL303" s="256">
        <f>SUMIFS('Livro Diario - FC'!$M$11:$M1028,'Livro Diario - FC'!$E$11:$E1028,$C$303,'Livro Diario - FC'!$D$11:$D1028,"&gt;=01/08"&amp;$C$7,'Livro Diario - FC'!$D$11:$D1028,"&lt;=31/08"&amp;$C$7)</f>
        <v>0</v>
      </c>
      <c r="AM303" s="273"/>
      <c r="AN303" s="258"/>
      <c r="AO303" s="255">
        <f>SUMIFS('Livro Diario - FC'!$K$11:$K1028,'Livro Diario - FC'!$E$11:$E1028,$C$303,'Livro Diario - FC'!$D$11:$D1028,"&gt;=01/09"&amp;$C$7,'Livro Diario - FC'!$D$11:$D1028,"&lt;=30/09"&amp;$C$7)</f>
        <v>0</v>
      </c>
      <c r="AP303" s="256">
        <f>SUMIFS('Livro Diario - FC'!$M$11:$M1028,'Livro Diario - FC'!$E$11:$E1028,$C$303,'Livro Diario - FC'!$D$11:$D1028,"&gt;=01/09"&amp;$C$7,'Livro Diario - FC'!$D$11:$D1028,"&lt;=30/09"&amp;$C$7)</f>
        <v>0</v>
      </c>
      <c r="AQ303" s="273"/>
      <c r="AR303" s="258"/>
      <c r="AS303" s="255">
        <f>SUMIFS('Livro Diario - FC'!$K$11:$K1028,'Livro Diario - FC'!$E$11:$E1028,$C$303,'Livro Diario - FC'!$D$11:$D1028,"&gt;=01/10"&amp;$C$7,'Livro Diario - FC'!$D$11:$D1028,"&lt;=31/10"&amp;$C$7)</f>
        <v>0</v>
      </c>
      <c r="AT303" s="256">
        <f>SUMIFS('Livro Diario - FC'!$M$11:$M1028,'Livro Diario - FC'!$E$11:$E1028,$C$303,'Livro Diario - FC'!$D$11:$D1028,"&gt;=01/10"&amp;$C$7,'Livro Diario - FC'!$D$11:$D1028,"&lt;=31/10"&amp;$C$7)</f>
        <v>0</v>
      </c>
      <c r="AU303" s="273"/>
      <c r="AV303" s="258"/>
      <c r="AW303" s="255">
        <f>SUMIFS('Livro Diario - FC'!$K$11:$K1028,'Livro Diario - FC'!$E$11:$E1028,$C$303,'Livro Diario - FC'!$D$11:$D1028,"&gt;=01/11"&amp;$C$7,'Livro Diario - FC'!$D$11:$D1028,"&lt;=30/11"&amp;$C$7)</f>
        <v>0</v>
      </c>
      <c r="AX303" s="256">
        <f>SUMIFS('Livro Diario - FC'!$M$11:$M1028,'Livro Diario - FC'!$E$11:$E1028,$C$303,'Livro Diario - FC'!$D$11:$D1028,"&gt;=01/11"&amp;$C$7,'Livro Diario - FC'!$D$11:$D1028,"&lt;=30/11"&amp;$C$7)</f>
        <v>0</v>
      </c>
      <c r="AY303" s="273"/>
      <c r="AZ303" s="258"/>
      <c r="BA303" s="255">
        <f>SUMIFS('Livro Diario - FC'!$K$11:$K1028,'Livro Diario - FC'!$E$11:$E1028,$C$303,'Livro Diario - FC'!$D$11:$D1028,"&gt;=01/12"&amp;$C$7,'Livro Diario - FC'!$D$11:$D1028,"&lt;=31/12"&amp;$C$7)</f>
        <v>0</v>
      </c>
      <c r="BB303" s="256">
        <f>SUMIFS('Livro Diario - FC'!$M$11:$M1028,'Livro Diario - FC'!$E$11:$E1028,$C$303,'Livro Diario - FC'!$D$11:$D1028,"&gt;=01/12"&amp;$C$7,'Livro Diario - FC'!$D$11:$D1028,"&lt;=31/12"&amp;$C$7)</f>
        <v>0</v>
      </c>
      <c r="BC303" s="273"/>
      <c r="BD303" s="273"/>
      <c r="BE303" s="305">
        <f t="shared" ref="BE303:BF303" si="525">SUM(D303,I303,N303,S303,X303,AC303,AG303,AK303,AO303,AS303,AW303,BA303)</f>
        <v>0</v>
      </c>
      <c r="BF303" s="268">
        <f t="shared" si="525"/>
        <v>0</v>
      </c>
      <c r="BG303" s="269"/>
      <c r="BH303" s="192"/>
      <c r="BI303" s="303">
        <f>SUMIFS('Livro Diario - FC'!$M$11:$M1028,'Livro Diario - FC'!$E$11:$E1028,C303,'Livro Diario - FC'!$D$11:$D1028,"&gt;="&amp;$BK$8,'Livro Diario - FC'!$D$11:$D1028,"&lt;="&amp;$BK$9)</f>
        <v>0</v>
      </c>
      <c r="BJ303" s="271"/>
      <c r="BK303" s="272"/>
      <c r="BL303" s="1"/>
    </row>
    <row r="304">
      <c r="A304" s="1"/>
      <c r="B304" s="1"/>
      <c r="C304" s="338" t="str">
        <f>'Livro Diario - FC'!AE311</f>
        <v>6.1.3 Mídias/ Propaganda</v>
      </c>
      <c r="D304" s="255">
        <f>SUMIFS('Livro Diario - FC'!$K$11:$K1028,'Livro Diario - FC'!$E$11:$E1028,$C$304,'Livro Diario - FC'!$D$11:$D1028,"&gt;=01/01"&amp;$C$7,'Livro Diario - FC'!$D$11:$D1028,"&lt;=31/01"&amp;$C$7)</f>
        <v>0</v>
      </c>
      <c r="E304" s="256">
        <f>SUMIFS('Livro Diario - FC'!$M$11:$M1028,'Livro Diario - FC'!$E$11:$E1028,$C$304,'Livro Diario - FC'!$D$11:$D1028,"&gt;=01/01"&amp;$C$7,'Livro Diario - FC'!$D$11:$D1028,"&lt;=31/01"&amp;$C$7)</f>
        <v>0</v>
      </c>
      <c r="F304" s="273"/>
      <c r="G304" s="258"/>
      <c r="H304" s="157"/>
      <c r="I304" s="255">
        <f>SUMIFS('Livro Diario - FC'!$K$11:$K1028,'Livro Diario - FC'!$E$11:$E1028,$C$304,'Livro Diario - FC'!$D$11:$D1028,"&gt;=01/02"&amp;$C$7,'Livro Diario - FC'!$D$11:$D1028,"&lt;=29/02"&amp;$C$7)</f>
        <v>0</v>
      </c>
      <c r="J304" s="256">
        <f>SUMIFS('Livro Diario - FC'!$M$11:$M1028,'Livro Diario - FC'!$E$11:$E1028,$C$304,'Livro Diario - FC'!$D$11:$D1028,"&gt;=01/02"&amp;$C$7,'Livro Diario - FC'!$D$11:$D1028,"&lt;=29/02"&amp;$C$7)</f>
        <v>0</v>
      </c>
      <c r="K304" s="273"/>
      <c r="L304" s="258"/>
      <c r="M304" s="259"/>
      <c r="N304" s="255">
        <f>SUMIFS('Livro Diario - FC'!$K$11:$K1028,'Livro Diario - FC'!$E$11:$E1028,$C$304,'Livro Diario - FC'!$D$11:$D1028,"&gt;=01/03"&amp;$C$7,'Livro Diario - FC'!$D$11:$D1028,"&lt;=31/03"&amp;$C$7)</f>
        <v>0</v>
      </c>
      <c r="O304" s="256">
        <f>SUMIFS('Livro Diario - FC'!$M$11:$M1028,'Livro Diario - FC'!$E$11:$E1028,$C$304,'Livro Diario - FC'!$D$11:$D1028,"&gt;=01/03"&amp;$C$7,'Livro Diario - FC'!$D$11:$D1028,"&lt;=31/03"&amp;$C$7)</f>
        <v>0</v>
      </c>
      <c r="P304" s="273"/>
      <c r="Q304" s="258"/>
      <c r="R304" s="259"/>
      <c r="S304" s="255">
        <f>SUMIFS('Livro Diario - FC'!$K$11:$K1028,'Livro Diario - FC'!$E$11:$E1028,$C$304,'Livro Diario - FC'!$D$11:$D1028,"&gt;=01/04"&amp;$C$7,'Livro Diario - FC'!$D$11:$D1028,"&lt;=30/04"&amp;$C$7)</f>
        <v>0</v>
      </c>
      <c r="T304" s="256">
        <f>SUMIFS('Livro Diario - FC'!$M$11:$M1028,'Livro Diario - FC'!$E$11:$E1028,$C$304,'Livro Diario - FC'!$D$11:$D1028,"&gt;=01/04"&amp;$C$7,'Livro Diario - FC'!$D$11:$D1028,"&lt;=30/04"&amp;$C$7)</f>
        <v>0</v>
      </c>
      <c r="U304" s="273"/>
      <c r="V304" s="258"/>
      <c r="W304" s="259"/>
      <c r="X304" s="255">
        <f>SUMIFS('Livro Diario - FC'!$K$11:$K1028,'Livro Diario - FC'!$E$11:$E1028,$C$304,'Livro Diario - FC'!$D$11:$D1028,"&gt;=01/05"&amp;$C$7,'Livro Diario - FC'!$D$11:$D1028,"&lt;=31/05"&amp;$C$7)</f>
        <v>0</v>
      </c>
      <c r="Y304" s="256">
        <f>SUMIFS('Livro Diario - FC'!$M$11:$M1028,'Livro Diario - FC'!$E$11:$E1028,$C$304,'Livro Diario - FC'!$D$11:$D1028,"&gt;=01/05"&amp;$C$7,'Livro Diario - FC'!$D$11:$D1028,"&lt;=31/05"&amp;$C$7)</f>
        <v>0</v>
      </c>
      <c r="Z304" s="273"/>
      <c r="AA304" s="258"/>
      <c r="AB304" s="259"/>
      <c r="AC304" s="255">
        <f>SUMIFS('Livro Diario - FC'!$K$11:$K1028,'Livro Diario - FC'!$E$11:$E1028,$C$304,'Livro Diario - FC'!$D$11:$D1028,"&gt;=01/06"&amp;$C$7,'Livro Diario - FC'!$D$11:$D1028,"&lt;=30/06"&amp;$C$7)</f>
        <v>0</v>
      </c>
      <c r="AD304" s="256">
        <f>SUMIFS('Livro Diario - FC'!$M$11:$M1028,'Livro Diario - FC'!$E$11:$E1028,$C$304,'Livro Diario - FC'!$D$11:$D1028,"&gt;=01/06"&amp;$C$7,'Livro Diario - FC'!$D$11:$D1028,"&lt;=30/06"&amp;$C$7)</f>
        <v>0</v>
      </c>
      <c r="AE304" s="273"/>
      <c r="AF304" s="258"/>
      <c r="AG304" s="255">
        <f>SUMIFS('Livro Diario - FC'!$K$11:$K1028,'Livro Diario - FC'!$E$11:$E1028,$C$304,'Livro Diario - FC'!$D$11:$D1028,"&gt;=01/07"&amp;$C$7,'Livro Diario - FC'!$D$11:$D1028,"&lt;=31/07"&amp;$C$7)</f>
        <v>0</v>
      </c>
      <c r="AH304" s="256">
        <f>SUMIFS('Livro Diario - FC'!$M$11:$M1028,'Livro Diario - FC'!$E$11:$E1028,$C$304,'Livro Diario - FC'!$D$11:$D1028,"&gt;=01/07"&amp;$C$7,'Livro Diario - FC'!$D$11:$D1028,"&lt;=31/07"&amp;$C$7)</f>
        <v>0</v>
      </c>
      <c r="AI304" s="273"/>
      <c r="AJ304" s="258"/>
      <c r="AK304" s="255">
        <f>SUMIFS('Livro Diario - FC'!$K$11:$K1028,'Livro Diario - FC'!$E$11:$E1028,$C$304,'Livro Diario - FC'!$D$11:$D1028,"&gt;=01/08"&amp;$C$7,'Livro Diario - FC'!$D$11:$D1028,"&lt;=31/08"&amp;$C$7)</f>
        <v>0</v>
      </c>
      <c r="AL304" s="256">
        <f>SUMIFS('Livro Diario - FC'!$M$11:$M1028,'Livro Diario - FC'!$E$11:$E1028,$C$304,'Livro Diario - FC'!$D$11:$D1028,"&gt;=01/08"&amp;$C$7,'Livro Diario - FC'!$D$11:$D1028,"&lt;=31/08"&amp;$C$7)</f>
        <v>0</v>
      </c>
      <c r="AM304" s="273"/>
      <c r="AN304" s="258"/>
      <c r="AO304" s="255">
        <f>SUMIFS('Livro Diario - FC'!$K$11:$K1028,'Livro Diario - FC'!$E$11:$E1028,$C$304,'Livro Diario - FC'!$D$11:$D1028,"&gt;=01/09"&amp;$C$7,'Livro Diario - FC'!$D$11:$D1028,"&lt;=30/09"&amp;$C$7)</f>
        <v>0</v>
      </c>
      <c r="AP304" s="256">
        <f>SUMIFS('Livro Diario - FC'!$M$11:$M1028,'Livro Diario - FC'!$E$11:$E1028,$C$304,'Livro Diario - FC'!$D$11:$D1028,"&gt;=01/09"&amp;$C$7,'Livro Diario - FC'!$D$11:$D1028,"&lt;=30/09"&amp;$C$7)</f>
        <v>0</v>
      </c>
      <c r="AQ304" s="273"/>
      <c r="AR304" s="258"/>
      <c r="AS304" s="255">
        <f>SUMIFS('Livro Diario - FC'!$K$11:$K1028,'Livro Diario - FC'!$E$11:$E1028,$C$304,'Livro Diario - FC'!$D$11:$D1028,"&gt;=01/10"&amp;$C$7,'Livro Diario - FC'!$D$11:$D1028,"&lt;=31/10"&amp;$C$7)</f>
        <v>0</v>
      </c>
      <c r="AT304" s="256">
        <f>SUMIFS('Livro Diario - FC'!$M$11:$M1028,'Livro Diario - FC'!$E$11:$E1028,$C$304,'Livro Diario - FC'!$D$11:$D1028,"&gt;=01/10"&amp;$C$7,'Livro Diario - FC'!$D$11:$D1028,"&lt;=31/10"&amp;$C$7)</f>
        <v>0</v>
      </c>
      <c r="AU304" s="273"/>
      <c r="AV304" s="258"/>
      <c r="AW304" s="255">
        <f>SUMIFS('Livro Diario - FC'!$K$11:$K1028,'Livro Diario - FC'!$E$11:$E1028,$C$304,'Livro Diario - FC'!$D$11:$D1028,"&gt;=01/11"&amp;$C$7,'Livro Diario - FC'!$D$11:$D1028,"&lt;=30/11"&amp;$C$7)</f>
        <v>0</v>
      </c>
      <c r="AX304" s="256">
        <f>SUMIFS('Livro Diario - FC'!$M$11:$M1028,'Livro Diario - FC'!$E$11:$E1028,$C$304,'Livro Diario - FC'!$D$11:$D1028,"&gt;=01/11"&amp;$C$7,'Livro Diario - FC'!$D$11:$D1028,"&lt;=30/11"&amp;$C$7)</f>
        <v>0</v>
      </c>
      <c r="AY304" s="273"/>
      <c r="AZ304" s="258"/>
      <c r="BA304" s="255">
        <f>SUMIFS('Livro Diario - FC'!$K$11:$K1028,'Livro Diario - FC'!$E$11:$E1028,$C$304,'Livro Diario - FC'!$D$11:$D1028,"&gt;=01/12"&amp;$C$7,'Livro Diario - FC'!$D$11:$D1028,"&lt;=31/12"&amp;$C$7)</f>
        <v>0</v>
      </c>
      <c r="BB304" s="256">
        <f>SUMIFS('Livro Diario - FC'!$M$11:$M1028,'Livro Diario - FC'!$E$11:$E1028,$C$304,'Livro Diario - FC'!$D$11:$D1028,"&gt;=01/12"&amp;$C$7,'Livro Diario - FC'!$D$11:$D1028,"&lt;=31/12"&amp;$C$7)</f>
        <v>0</v>
      </c>
      <c r="BC304" s="273"/>
      <c r="BD304" s="273"/>
      <c r="BE304" s="305">
        <f t="shared" ref="BE304:BF304" si="526">SUM(D304,I304,N304,S304,X304,AC304,AG304,AK304,AO304,AS304,AW304,BA304)</f>
        <v>0</v>
      </c>
      <c r="BF304" s="268">
        <f t="shared" si="526"/>
        <v>0</v>
      </c>
      <c r="BG304" s="269"/>
      <c r="BH304" s="192"/>
      <c r="BI304" s="303">
        <f>SUMIFS('Livro Diario - FC'!$M$11:$M1028,'Livro Diario - FC'!$E$11:$E1028,C304,'Livro Diario - FC'!$D$11:$D1028,"&gt;="&amp;$BK$8,'Livro Diario - FC'!$D$11:$D1028,"&lt;="&amp;$BK$9)</f>
        <v>0</v>
      </c>
      <c r="BJ304" s="271"/>
      <c r="BK304" s="272"/>
      <c r="BL304" s="1"/>
    </row>
    <row r="305">
      <c r="A305" s="1"/>
      <c r="B305" s="1"/>
      <c r="C305" s="338" t="str">
        <f>'Livro Diario - FC'!AE312</f>
        <v>6.1.4 Eventos</v>
      </c>
      <c r="D305" s="255">
        <f>SUMIFS('Livro Diario - FC'!$K$11:$K1028,'Livro Diario - FC'!$E$11:$E1028,$C$305,'Livro Diario - FC'!$D$11:$D1028,"&gt;=01/01"&amp;$C$7,'Livro Diario - FC'!$D$11:$D1028,"&lt;=31/01"&amp;$C$7)</f>
        <v>0</v>
      </c>
      <c r="E305" s="256">
        <f>SUMIFS('Livro Diario - FC'!$M$11:$M1028,'Livro Diario - FC'!$E$11:$E1028,$C$305,'Livro Diario - FC'!$D$11:$D1028,"&gt;=01/01"&amp;$C$7,'Livro Diario - FC'!$D$11:$D1028,"&lt;=31/01"&amp;$C$7)</f>
        <v>0</v>
      </c>
      <c r="F305" s="273"/>
      <c r="G305" s="258"/>
      <c r="H305" s="157"/>
      <c r="I305" s="255">
        <f>SUMIFS('Livro Diario - FC'!$K$11:$K1028,'Livro Diario - FC'!$E$11:$E1028,$C$305,'Livro Diario - FC'!$D$11:$D1028,"&gt;=01/02"&amp;$C$7,'Livro Diario - FC'!$D$11:$D1028,"&lt;=29/02"&amp;$C$7)</f>
        <v>0</v>
      </c>
      <c r="J305" s="256">
        <f>SUMIFS('Livro Diario - FC'!$M$11:$M1028,'Livro Diario - FC'!$E$11:$E1028,$C$305,'Livro Diario - FC'!$D$11:$D1028,"&gt;=01/02"&amp;$C$7,'Livro Diario - FC'!$D$11:$D1028,"&lt;=29/02"&amp;$C$7)</f>
        <v>0</v>
      </c>
      <c r="K305" s="273"/>
      <c r="L305" s="258"/>
      <c r="M305" s="259"/>
      <c r="N305" s="255">
        <f>SUMIFS('Livro Diario - FC'!$K$11:$K1028,'Livro Diario - FC'!$E$11:$E1028,$C$305,'Livro Diario - FC'!$D$11:$D1028,"&gt;=01/03"&amp;$C$7,'Livro Diario - FC'!$D$11:$D1028,"&lt;=31/03"&amp;$C$7)</f>
        <v>0</v>
      </c>
      <c r="O305" s="256">
        <f>SUMIFS('Livro Diario - FC'!$M$11:$M1028,'Livro Diario - FC'!$E$11:$E1028,$C$305,'Livro Diario - FC'!$D$11:$D1028,"&gt;=01/03"&amp;$C$7,'Livro Diario - FC'!$D$11:$D1028,"&lt;=31/03"&amp;$C$7)</f>
        <v>0</v>
      </c>
      <c r="P305" s="273"/>
      <c r="Q305" s="258"/>
      <c r="R305" s="259"/>
      <c r="S305" s="255">
        <f>SUMIFS('Livro Diario - FC'!$K$11:$K1028,'Livro Diario - FC'!$E$11:$E1028,$C$305,'Livro Diario - FC'!$D$11:$D1028,"&gt;=01/04"&amp;$C$7,'Livro Diario - FC'!$D$11:$D1028,"&lt;=30/04"&amp;$C$7)</f>
        <v>0</v>
      </c>
      <c r="T305" s="256">
        <f>SUMIFS('Livro Diario - FC'!$M$11:$M1028,'Livro Diario - FC'!$E$11:$E1028,$C$305,'Livro Diario - FC'!$D$11:$D1028,"&gt;=01/04"&amp;$C$7,'Livro Diario - FC'!$D$11:$D1028,"&lt;=30/04"&amp;$C$7)</f>
        <v>0</v>
      </c>
      <c r="U305" s="273"/>
      <c r="V305" s="258"/>
      <c r="W305" s="259"/>
      <c r="X305" s="255">
        <f>SUMIFS('Livro Diario - FC'!$K$11:$K1028,'Livro Diario - FC'!$E$11:$E1028,$C$305,'Livro Diario - FC'!$D$11:$D1028,"&gt;=01/05"&amp;$C$7,'Livro Diario - FC'!$D$11:$D1028,"&lt;=31/05"&amp;$C$7)</f>
        <v>0</v>
      </c>
      <c r="Y305" s="256">
        <f>SUMIFS('Livro Diario - FC'!$M$11:$M1028,'Livro Diario - FC'!$E$11:$E1028,$C$305,'Livro Diario - FC'!$D$11:$D1028,"&gt;=01/05"&amp;$C$7,'Livro Diario - FC'!$D$11:$D1028,"&lt;=31/05"&amp;$C$7)</f>
        <v>0</v>
      </c>
      <c r="Z305" s="273"/>
      <c r="AA305" s="258"/>
      <c r="AB305" s="259"/>
      <c r="AC305" s="255">
        <f>SUMIFS('Livro Diario - FC'!$K$11:$K1028,'Livro Diario - FC'!$E$11:$E1028,$C$305,'Livro Diario - FC'!$D$11:$D1028,"&gt;=01/06"&amp;$C$7,'Livro Diario - FC'!$D$11:$D1028,"&lt;=30/06"&amp;$C$7)</f>
        <v>0</v>
      </c>
      <c r="AD305" s="256">
        <f>SUMIFS('Livro Diario - FC'!$M$11:$M1028,'Livro Diario - FC'!$E$11:$E1028,$C$305,'Livro Diario - FC'!$D$11:$D1028,"&gt;=01/06"&amp;$C$7,'Livro Diario - FC'!$D$11:$D1028,"&lt;=30/06"&amp;$C$7)</f>
        <v>0</v>
      </c>
      <c r="AE305" s="273"/>
      <c r="AF305" s="258"/>
      <c r="AG305" s="255">
        <f>SUMIFS('Livro Diario - FC'!$K$11:$K1028,'Livro Diario - FC'!$E$11:$E1028,$C$305,'Livro Diario - FC'!$D$11:$D1028,"&gt;=01/07"&amp;$C$7,'Livro Diario - FC'!$D$11:$D1028,"&lt;=31/07"&amp;$C$7)</f>
        <v>0</v>
      </c>
      <c r="AH305" s="256">
        <f>SUMIFS('Livro Diario - FC'!$M$11:$M1028,'Livro Diario - FC'!$E$11:$E1028,$C$305,'Livro Diario - FC'!$D$11:$D1028,"&gt;=01/07"&amp;$C$7,'Livro Diario - FC'!$D$11:$D1028,"&lt;=31/07"&amp;$C$7)</f>
        <v>0</v>
      </c>
      <c r="AI305" s="273"/>
      <c r="AJ305" s="258"/>
      <c r="AK305" s="255">
        <f>SUMIFS('Livro Diario - FC'!$K$11:$K1028,'Livro Diario - FC'!$E$11:$E1028,$C$305,'Livro Diario - FC'!$D$11:$D1028,"&gt;=01/08"&amp;$C$7,'Livro Diario - FC'!$D$11:$D1028,"&lt;=31/08"&amp;$C$7)</f>
        <v>0</v>
      </c>
      <c r="AL305" s="256">
        <f>SUMIFS('Livro Diario - FC'!$M$11:$M1028,'Livro Diario - FC'!$E$11:$E1028,$C$305,'Livro Diario - FC'!$D$11:$D1028,"&gt;=01/08"&amp;$C$7,'Livro Diario - FC'!$D$11:$D1028,"&lt;=31/08"&amp;$C$7)</f>
        <v>0</v>
      </c>
      <c r="AM305" s="273"/>
      <c r="AN305" s="258"/>
      <c r="AO305" s="255">
        <f>SUMIFS('Livro Diario - FC'!$K$11:$K1028,'Livro Diario - FC'!$E$11:$E1028,$C$305,'Livro Diario - FC'!$D$11:$D1028,"&gt;=01/09"&amp;$C$7,'Livro Diario - FC'!$D$11:$D1028,"&lt;=30/09"&amp;$C$7)</f>
        <v>0</v>
      </c>
      <c r="AP305" s="256">
        <f>SUMIFS('Livro Diario - FC'!$M$11:$M1028,'Livro Diario - FC'!$E$11:$E1028,$C$305,'Livro Diario - FC'!$D$11:$D1028,"&gt;=01/09"&amp;$C$7,'Livro Diario - FC'!$D$11:$D1028,"&lt;=30/09"&amp;$C$7)</f>
        <v>0</v>
      </c>
      <c r="AQ305" s="273"/>
      <c r="AR305" s="258"/>
      <c r="AS305" s="255">
        <f>SUMIFS('Livro Diario - FC'!$K$11:$K1028,'Livro Diario - FC'!$E$11:$E1028,$C$305,'Livro Diario - FC'!$D$11:$D1028,"&gt;=01/10"&amp;$C$7,'Livro Diario - FC'!$D$11:$D1028,"&lt;=31/10"&amp;$C$7)</f>
        <v>0</v>
      </c>
      <c r="AT305" s="256">
        <f>SUMIFS('Livro Diario - FC'!$M$11:$M1028,'Livro Diario - FC'!$E$11:$E1028,$C$305,'Livro Diario - FC'!$D$11:$D1028,"&gt;=01/10"&amp;$C$7,'Livro Diario - FC'!$D$11:$D1028,"&lt;=31/10"&amp;$C$7)</f>
        <v>0</v>
      </c>
      <c r="AU305" s="273"/>
      <c r="AV305" s="258"/>
      <c r="AW305" s="255">
        <f>SUMIFS('Livro Diario - FC'!$K$11:$K1028,'Livro Diario - FC'!$E$11:$E1028,$C$305,'Livro Diario - FC'!$D$11:$D1028,"&gt;=01/11"&amp;$C$7,'Livro Diario - FC'!$D$11:$D1028,"&lt;=30/11"&amp;$C$7)</f>
        <v>0</v>
      </c>
      <c r="AX305" s="256">
        <f>SUMIFS('Livro Diario - FC'!$M$11:$M1028,'Livro Diario - FC'!$E$11:$E1028,$C$305,'Livro Diario - FC'!$D$11:$D1028,"&gt;=01/11"&amp;$C$7,'Livro Diario - FC'!$D$11:$D1028,"&lt;=30/11"&amp;$C$7)</f>
        <v>0</v>
      </c>
      <c r="AY305" s="273"/>
      <c r="AZ305" s="258"/>
      <c r="BA305" s="255">
        <f>SUMIFS('Livro Diario - FC'!$K$11:$K1028,'Livro Diario - FC'!$E$11:$E1028,$C$305,'Livro Diario - FC'!$D$11:$D1028,"&gt;=01/12"&amp;$C$7,'Livro Diario - FC'!$D$11:$D1028,"&lt;=31/12"&amp;$C$7)</f>
        <v>0</v>
      </c>
      <c r="BB305" s="256">
        <f>SUMIFS('Livro Diario - FC'!$M$11:$M1028,'Livro Diario - FC'!$E$11:$E1028,$C$305,'Livro Diario - FC'!$D$11:$D1028,"&gt;=01/12"&amp;$C$7,'Livro Diario - FC'!$D$11:$D1028,"&lt;=31/12"&amp;$C$7)</f>
        <v>0</v>
      </c>
      <c r="BC305" s="273"/>
      <c r="BD305" s="273"/>
      <c r="BE305" s="305">
        <f t="shared" ref="BE305:BF305" si="527">SUM(D305,I305,N305,S305,X305,AC305,AG305,AK305,AO305,AS305,AW305,BA305)</f>
        <v>0</v>
      </c>
      <c r="BF305" s="268">
        <f t="shared" si="527"/>
        <v>0</v>
      </c>
      <c r="BG305" s="269"/>
      <c r="BH305" s="192"/>
      <c r="BI305" s="303">
        <f>SUMIFS('Livro Diario - FC'!$M$11:$M1028,'Livro Diario - FC'!$E$11:$E1028,C305,'Livro Diario - FC'!$D$11:$D1028,"&gt;="&amp;$BK$8,'Livro Diario - FC'!$D$11:$D1028,"&lt;="&amp;$BK$9)</f>
        <v>0</v>
      </c>
      <c r="BJ305" s="271"/>
      <c r="BK305" s="272"/>
      <c r="BL305" s="1"/>
    </row>
    <row r="306">
      <c r="A306" s="1"/>
      <c r="B306" s="1"/>
      <c r="C306" s="338" t="str">
        <f>'Livro Diario - FC'!AE313</f>
        <v>6.1.5 Outros investimentos em marketing</v>
      </c>
      <c r="D306" s="255">
        <f>SUMIFS('Livro Diario - FC'!$K$11:$K1028,'Livro Diario - FC'!$E$11:$E1028,$C$306,'Livro Diario - FC'!$D$11:$D1028,"&gt;=01/01"&amp;$C$7,'Livro Diario - FC'!$D$11:$D1028,"&lt;=31/01"&amp;$C$7)</f>
        <v>0</v>
      </c>
      <c r="E306" s="256">
        <f>SUMIFS('Livro Diario - FC'!$M$11:$M1028,'Livro Diario - FC'!$E$11:$E1028,$C$306,'Livro Diario - FC'!$D$11:$D1028,"&gt;=01/01"&amp;$C$7,'Livro Diario - FC'!$D$11:$D1028,"&lt;=31/01"&amp;$C$7)</f>
        <v>0</v>
      </c>
      <c r="F306" s="273"/>
      <c r="G306" s="258"/>
      <c r="H306" s="157"/>
      <c r="I306" s="255">
        <f>SUMIFS('Livro Diario - FC'!$K$11:$K1028,'Livro Diario - FC'!$E$11:$E1028,$C$306,'Livro Diario - FC'!$D$11:$D1028,"&gt;=01/02"&amp;$C$7,'Livro Diario - FC'!$D$11:$D1028,"&lt;=29/02"&amp;$C$7)</f>
        <v>0</v>
      </c>
      <c r="J306" s="256">
        <f>SUMIFS('Livro Diario - FC'!$M$11:$M1028,'Livro Diario - FC'!$E$11:$E1028,$C$306,'Livro Diario - FC'!$D$11:$D1028,"&gt;=01/02"&amp;$C$7,'Livro Diario - FC'!$D$11:$D1028,"&lt;=29/02"&amp;$C$7)</f>
        <v>0</v>
      </c>
      <c r="K306" s="273"/>
      <c r="L306" s="258"/>
      <c r="M306" s="259"/>
      <c r="N306" s="255">
        <f>SUMIFS('Livro Diario - FC'!$K$11:$K1028,'Livro Diario - FC'!$E$11:$E1028,$C$306,'Livro Diario - FC'!$D$11:$D1028,"&gt;=01/03"&amp;$C$7,'Livro Diario - FC'!$D$11:$D1028,"&lt;=31/03"&amp;$C$7)</f>
        <v>0</v>
      </c>
      <c r="O306" s="256">
        <f>SUMIFS('Livro Diario - FC'!$M$11:$M1028,'Livro Diario - FC'!$E$11:$E1028,$C$306,'Livro Diario - FC'!$D$11:$D1028,"&gt;=01/03"&amp;$C$7,'Livro Diario - FC'!$D$11:$D1028,"&lt;=31/03"&amp;$C$7)</f>
        <v>0</v>
      </c>
      <c r="P306" s="273"/>
      <c r="Q306" s="258"/>
      <c r="R306" s="259"/>
      <c r="S306" s="255">
        <f>SUMIFS('Livro Diario - FC'!$K$11:$K1028,'Livro Diario - FC'!$E$11:$E1028,$C$306,'Livro Diario - FC'!$D$11:$D1028,"&gt;=01/04"&amp;$C$7,'Livro Diario - FC'!$D$11:$D1028,"&lt;=30/04"&amp;$C$7)</f>
        <v>0</v>
      </c>
      <c r="T306" s="256">
        <f>SUMIFS('Livro Diario - FC'!$M$11:$M1028,'Livro Diario - FC'!$E$11:$E1028,$C$306,'Livro Diario - FC'!$D$11:$D1028,"&gt;=01/04"&amp;$C$7,'Livro Diario - FC'!$D$11:$D1028,"&lt;=30/04"&amp;$C$7)</f>
        <v>0</v>
      </c>
      <c r="U306" s="273"/>
      <c r="V306" s="258"/>
      <c r="W306" s="259"/>
      <c r="X306" s="255">
        <f>SUMIFS('Livro Diario - FC'!$K$11:$K1028,'Livro Diario - FC'!$E$11:$E1028,$C$306,'Livro Diario - FC'!$D$11:$D1028,"&gt;=01/05"&amp;$C$7,'Livro Diario - FC'!$D$11:$D1028,"&lt;=31/05"&amp;$C$7)</f>
        <v>0</v>
      </c>
      <c r="Y306" s="256">
        <f>SUMIFS('Livro Diario - FC'!$M$11:$M1028,'Livro Diario - FC'!$E$11:$E1028,$C$306,'Livro Diario - FC'!$D$11:$D1028,"&gt;=01/05"&amp;$C$7,'Livro Diario - FC'!$D$11:$D1028,"&lt;=31/05"&amp;$C$7)</f>
        <v>0</v>
      </c>
      <c r="Z306" s="273"/>
      <c r="AA306" s="258"/>
      <c r="AB306" s="259"/>
      <c r="AC306" s="255">
        <f>SUMIFS('Livro Diario - FC'!$K$11:$K1028,'Livro Diario - FC'!$E$11:$E1028,$C$306,'Livro Diario - FC'!$D$11:$D1028,"&gt;=01/06"&amp;$C$7,'Livro Diario - FC'!$D$11:$D1028,"&lt;=30/06"&amp;$C$7)</f>
        <v>0</v>
      </c>
      <c r="AD306" s="256">
        <f>SUMIFS('Livro Diario - FC'!$M$11:$M1028,'Livro Diario - FC'!$E$11:$E1028,$C$306,'Livro Diario - FC'!$D$11:$D1028,"&gt;=01/06"&amp;$C$7,'Livro Diario - FC'!$D$11:$D1028,"&lt;=30/06"&amp;$C$7)</f>
        <v>0</v>
      </c>
      <c r="AE306" s="273"/>
      <c r="AF306" s="258"/>
      <c r="AG306" s="255">
        <f>SUMIFS('Livro Diario - FC'!$K$11:$K1028,'Livro Diario - FC'!$E$11:$E1028,$C$306,'Livro Diario - FC'!$D$11:$D1028,"&gt;=01/07"&amp;$C$7,'Livro Diario - FC'!$D$11:$D1028,"&lt;=31/07"&amp;$C$7)</f>
        <v>0</v>
      </c>
      <c r="AH306" s="256">
        <f>SUMIFS('Livro Diario - FC'!$M$11:$M1028,'Livro Diario - FC'!$E$11:$E1028,$C$306,'Livro Diario - FC'!$D$11:$D1028,"&gt;=01/07"&amp;$C$7,'Livro Diario - FC'!$D$11:$D1028,"&lt;=31/07"&amp;$C$7)</f>
        <v>0</v>
      </c>
      <c r="AI306" s="273"/>
      <c r="AJ306" s="258"/>
      <c r="AK306" s="255">
        <f>SUMIFS('Livro Diario - FC'!$K$11:$K1028,'Livro Diario - FC'!$E$11:$E1028,$C$306,'Livro Diario - FC'!$D$11:$D1028,"&gt;=01/08"&amp;$C$7,'Livro Diario - FC'!$D$11:$D1028,"&lt;=31/08"&amp;$C$7)</f>
        <v>0</v>
      </c>
      <c r="AL306" s="256">
        <f>SUMIFS('Livro Diario - FC'!$M$11:$M1028,'Livro Diario - FC'!$E$11:$E1028,$C$306,'Livro Diario - FC'!$D$11:$D1028,"&gt;=01/08"&amp;$C$7,'Livro Diario - FC'!$D$11:$D1028,"&lt;=31/08"&amp;$C$7)</f>
        <v>0</v>
      </c>
      <c r="AM306" s="273"/>
      <c r="AN306" s="258"/>
      <c r="AO306" s="255">
        <f>SUMIFS('Livro Diario - FC'!$K$11:$K1028,'Livro Diario - FC'!$E$11:$E1028,$C$306,'Livro Diario - FC'!$D$11:$D1028,"&gt;=01/09"&amp;$C$7,'Livro Diario - FC'!$D$11:$D1028,"&lt;=30/09"&amp;$C$7)</f>
        <v>0</v>
      </c>
      <c r="AP306" s="256">
        <f>SUMIFS('Livro Diario - FC'!$M$11:$M1028,'Livro Diario - FC'!$E$11:$E1028,$C$306,'Livro Diario - FC'!$D$11:$D1028,"&gt;=01/09"&amp;$C$7,'Livro Diario - FC'!$D$11:$D1028,"&lt;=30/09"&amp;$C$7)</f>
        <v>0</v>
      </c>
      <c r="AQ306" s="273"/>
      <c r="AR306" s="258"/>
      <c r="AS306" s="255">
        <f>SUMIFS('Livro Diario - FC'!$K$11:$K1028,'Livro Diario - FC'!$E$11:$E1028,$C$306,'Livro Diario - FC'!$D$11:$D1028,"&gt;=01/10"&amp;$C$7,'Livro Diario - FC'!$D$11:$D1028,"&lt;=31/10"&amp;$C$7)</f>
        <v>0</v>
      </c>
      <c r="AT306" s="256">
        <f>SUMIFS('Livro Diario - FC'!$M$11:$M1028,'Livro Diario - FC'!$E$11:$E1028,$C$306,'Livro Diario - FC'!$D$11:$D1028,"&gt;=01/10"&amp;$C$7,'Livro Diario - FC'!$D$11:$D1028,"&lt;=31/10"&amp;$C$7)</f>
        <v>0</v>
      </c>
      <c r="AU306" s="273"/>
      <c r="AV306" s="258"/>
      <c r="AW306" s="255">
        <f>SUMIFS('Livro Diario - FC'!$K$11:$K1028,'Livro Diario - FC'!$E$11:$E1028,$C$306,'Livro Diario - FC'!$D$11:$D1028,"&gt;=01/11"&amp;$C$7,'Livro Diario - FC'!$D$11:$D1028,"&lt;=30/11"&amp;$C$7)</f>
        <v>0</v>
      </c>
      <c r="AX306" s="256">
        <f>SUMIFS('Livro Diario - FC'!$M$11:$M1028,'Livro Diario - FC'!$E$11:$E1028,$C$306,'Livro Diario - FC'!$D$11:$D1028,"&gt;=01/11"&amp;$C$7,'Livro Diario - FC'!$D$11:$D1028,"&lt;=30/11"&amp;$C$7)</f>
        <v>0</v>
      </c>
      <c r="AY306" s="273"/>
      <c r="AZ306" s="258"/>
      <c r="BA306" s="255">
        <f>SUMIFS('Livro Diario - FC'!$K$11:$K1028,'Livro Diario - FC'!$E$11:$E1028,$C$306,'Livro Diario - FC'!$D$11:$D1028,"&gt;=01/12"&amp;$C$7,'Livro Diario - FC'!$D$11:$D1028,"&lt;=31/12"&amp;$C$7)</f>
        <v>0</v>
      </c>
      <c r="BB306" s="256">
        <f>SUMIFS('Livro Diario - FC'!$M$11:$M1028,'Livro Diario - FC'!$E$11:$E1028,$C$306,'Livro Diario - FC'!$D$11:$D1028,"&gt;=01/12"&amp;$C$7,'Livro Diario - FC'!$D$11:$D1028,"&lt;=31/12"&amp;$C$7)</f>
        <v>0</v>
      </c>
      <c r="BC306" s="273"/>
      <c r="BD306" s="273"/>
      <c r="BE306" s="419">
        <f t="shared" ref="BE306:BF306" si="528">SUM(D306,I306,N306,S306,X306,AC306,AG306,AK306,AO306,AS306,AW306,BA306)</f>
        <v>0</v>
      </c>
      <c r="BF306" s="342">
        <f t="shared" si="528"/>
        <v>0</v>
      </c>
      <c r="BG306" s="343"/>
      <c r="BH306" s="344"/>
      <c r="BI306" s="303">
        <f>SUMIFS('Livro Diario - FC'!$M$11:$M1028,'Livro Diario - FC'!$E$11:$E1028,C306,'Livro Diario - FC'!$D$11:$D1028,"&gt;="&amp;$BK$8,'Livro Diario - FC'!$D$11:$D1028,"&lt;="&amp;$BK$9)</f>
        <v>0</v>
      </c>
      <c r="BJ306" s="271"/>
      <c r="BK306" s="345"/>
      <c r="BL306" s="146"/>
    </row>
    <row r="307">
      <c r="A307" s="1"/>
      <c r="B307" s="40"/>
      <c r="C307" s="380" t="s">
        <v>466</v>
      </c>
      <c r="D307" s="381">
        <f>SUMIFS('Livro Diario - FC'!$J$11:$J1028,'Livro Diario - FC'!$E$11:$E1028,$C$307,'Livro Diario - FC'!$D$11:$D1028,"&gt;=01/01"&amp;$C$7,'Livro Diario - FC'!$D$11:$D1028,"&lt;=31/01"&amp;$C$7)+SUM(D308:D311)</f>
        <v>0</v>
      </c>
      <c r="E307" s="382">
        <f>SUMIFS('Livro Diario - FC'!$L$11:$L1028,'Livro Diario - FC'!$E$11:$E1028,$C$307,'Livro Diario - FC'!$D$11:$D1028,"&gt;=01/01"&amp;$C$7,'Livro Diario - FC'!$D$11:$D1028,"&lt;=31/01"&amp;$C$7)+SUM(E308:E311)</f>
        <v>0</v>
      </c>
      <c r="F307" s="383">
        <f>IF(E$11=0,"",E307/E$11)</f>
        <v>0</v>
      </c>
      <c r="G307" s="384" t="str">
        <f>IF(A307=0,"",E307/A307-1)</f>
        <v/>
      </c>
      <c r="H307" s="327"/>
      <c r="I307" s="381">
        <f>SUMIFS('Livro Diario - FC'!$J$11:$J1028,'Livro Diario - FC'!$E$11:$E1028,$C$307,'Livro Diario - FC'!$D$11:$D1028,"&gt;=01/02"&amp;$C$7,'Livro Diario - FC'!$D$11:$D1028,"&lt;=29/02"&amp;$C$7)+SUM(I308:I311)</f>
        <v>0</v>
      </c>
      <c r="J307" s="382">
        <f>SUMIFS('Livro Diario - FC'!$L$11:$L1028,'Livro Diario - FC'!$E$11:$E1028,$C$307,'Livro Diario - FC'!$D$11:$D1028,"&gt;=01/02"&amp;$C$7,'Livro Diario - FC'!$D$11:$D1028,"&lt;=29/02"&amp;$C$7)+SUM(J308:J311)</f>
        <v>0</v>
      </c>
      <c r="K307" s="383" t="str">
        <f>IF(J$11=0,"",J307/J$11)</f>
        <v/>
      </c>
      <c r="L307" s="384" t="str">
        <f>IF(E307=0,"",J307/E307-1)</f>
        <v/>
      </c>
      <c r="M307" s="385"/>
      <c r="N307" s="381">
        <f>SUMIFS('Livro Diario - FC'!$J$11:$J1028,'Livro Diario - FC'!$E$11:$E1028,$C$307,'Livro Diario - FC'!$D$11:$D1028,"&gt;=01/03"&amp;$C$7,'Livro Diario - FC'!$D$11:$D1028,"&lt;=31/03"&amp;$C$7)+SUM(N308:N311)</f>
        <v>0</v>
      </c>
      <c r="O307" s="382">
        <f>SUMIFS('Livro Diario - FC'!$L$11:$L1028,'Livro Diario - FC'!$E$11:$E1028,$C$307,'Livro Diario - FC'!$D$11:$D1028,"&gt;=01/03"&amp;$C$7,'Livro Diario - FC'!$D$11:$D1028,"&lt;=31/03"&amp;$C$7)+SUM(O308:O311)</f>
        <v>0</v>
      </c>
      <c r="P307" s="383" t="str">
        <f>IF(O$11=0,"",O307/O$11)</f>
        <v/>
      </c>
      <c r="Q307" s="384" t="str">
        <f>IF(J307=0,"",O307/J307-1)</f>
        <v/>
      </c>
      <c r="R307" s="385"/>
      <c r="S307" s="381">
        <f>SUMIFS('Livro Diario - FC'!$J$11:$J1028,'Livro Diario - FC'!$E$11:$E1028,$C$307,'Livro Diario - FC'!$D$11:$D1028,"&gt;=01/04"&amp;$C$7,'Livro Diario - FC'!$D$11:$D1028,"&lt;=30/04"&amp;$C$7)+SUM(S308:S311)</f>
        <v>0</v>
      </c>
      <c r="T307" s="382">
        <f>SUMIFS('Livro Diario - FC'!$L$11:$L1028,'Livro Diario - FC'!$E$11:$E1028,$C$307,'Livro Diario - FC'!$D$11:$D1028,"&gt;=01/04"&amp;$C$7,'Livro Diario - FC'!$D$11:$D1028,"&lt;=30/04"&amp;$C$7)+SUM(T308:T311)</f>
        <v>0</v>
      </c>
      <c r="U307" s="383" t="str">
        <f>IF(T$11=0,"",T307/T$11)</f>
        <v/>
      </c>
      <c r="V307" s="384" t="str">
        <f>IF(O307=0,"",T307/O307-1)</f>
        <v/>
      </c>
      <c r="W307" s="385"/>
      <c r="X307" s="381">
        <f>SUMIFS('Livro Diario - FC'!$J$11:$J1028,'Livro Diario - FC'!$E$11:$E1028,$C$307,'Livro Diario - FC'!$D$11:$D1028,"&gt;=01/05"&amp;$C$7,'Livro Diario - FC'!$D$11:$D1028,"&lt;=31/05"&amp;$C$7)+SUM(X308:X311)</f>
        <v>0</v>
      </c>
      <c r="Y307" s="382">
        <f>SUMIFS('Livro Diario - FC'!$L$11:$L1028,'Livro Diario - FC'!$E$11:$E1028,$C$307,'Livro Diario - FC'!$D$11:$D1028,"&gt;=01/05"&amp;$C$7,'Livro Diario - FC'!$D$11:$D1028,"&lt;=31/05"&amp;$C$7)+SUM(Y308:Y311)</f>
        <v>0</v>
      </c>
      <c r="Z307" s="383" t="str">
        <f>IF(Y$11=0,"",Y307/Y$11)</f>
        <v/>
      </c>
      <c r="AA307" s="384" t="str">
        <f>IF(T307=0,"",Y307/T307-1)</f>
        <v/>
      </c>
      <c r="AB307" s="385"/>
      <c r="AC307" s="381">
        <f>SUMIFS('Livro Diario - FC'!$J$11:$J1028,'Livro Diario - FC'!$E$11:$E1028,$C$307,'Livro Diario - FC'!$D$11:$D1028,"&gt;=01/06"&amp;$C$7,'Livro Diario - FC'!$D$11:$D1028,"&lt;=30/06"&amp;$C$7)+SUM(AC308:AC311)</f>
        <v>0</v>
      </c>
      <c r="AD307" s="382">
        <f>SUMIFS('Livro Diario - FC'!$L$11:$L1028,'Livro Diario - FC'!$E$11:$E1028,$C$307,'Livro Diario - FC'!$D$11:$D1028,"&gt;=01/06"&amp;$C$7,'Livro Diario - FC'!$D$11:$D1028,"&lt;=30/06"&amp;$C$7)+SUM(AD308:AD311)</f>
        <v>0</v>
      </c>
      <c r="AE307" s="383" t="str">
        <f>IF(AD$11=0,"",AD307/AD$11)</f>
        <v/>
      </c>
      <c r="AF307" s="384" t="str">
        <f>IF(Y307=0,"",AD307/Y307-1)</f>
        <v/>
      </c>
      <c r="AG307" s="381">
        <f>SUMIFS('Livro Diario - FC'!$J$11:$J1028,'Livro Diario - FC'!$E$11:$E1028,$C$307,'Livro Diario - FC'!$D$11:$D1028,"&gt;=01/07"&amp;$C$7,'Livro Diario - FC'!$D$11:$D1028,"&lt;=31/07"&amp;$C$7)+SUM(AG308:AG311)</f>
        <v>0</v>
      </c>
      <c r="AH307" s="382">
        <f>SUMIFS('Livro Diario - FC'!$L$11:$L1028,'Livro Diario - FC'!$E$11:$E1028,$C$307,'Livro Diario - FC'!$D$11:$D1028,"&gt;=01/07"&amp;$C$7,'Livro Diario - FC'!$D$11:$D1028,"&lt;=31/07"&amp;$C$7)+SUM(AH308:AH311)</f>
        <v>0</v>
      </c>
      <c r="AI307" s="383" t="str">
        <f>IF(AH$11=0,"",AH307/AH$11)</f>
        <v/>
      </c>
      <c r="AJ307" s="384" t="str">
        <f>IF(AD307=0,"",AH307/AD307-1)</f>
        <v/>
      </c>
      <c r="AK307" s="381">
        <f>SUMIFS('Livro Diario - FC'!$J$11:$J1028,'Livro Diario - FC'!$E$11:$E1028,$C$307,'Livro Diario - FC'!$D$11:$D1028,"&gt;=01/08"&amp;$C$7,'Livro Diario - FC'!$D$11:$D1028,"&lt;=31/08"&amp;$C$7)+SUM(AK308:AK311)</f>
        <v>0</v>
      </c>
      <c r="AL307" s="382">
        <f>SUMIFS('Livro Diario - FC'!$L$11:$L1028,'Livro Diario - FC'!$E$11:$E1028,$C$307,'Livro Diario - FC'!$D$11:$D1028,"&gt;=01/08"&amp;$C$7,'Livro Diario - FC'!$D$11:$D1028,"&lt;=31/08"&amp;$C$7)+SUM(AL308:AL311)</f>
        <v>0</v>
      </c>
      <c r="AM307" s="383" t="str">
        <f>IF(AL$11=0,"",AL307/AL$11)</f>
        <v/>
      </c>
      <c r="AN307" s="384" t="str">
        <f>IF(AH307=0,"",AL307/AH307-1)</f>
        <v/>
      </c>
      <c r="AO307" s="381">
        <f>SUMIFS('Livro Diario - FC'!$J$11:$J1028,'Livro Diario - FC'!$E$11:$E1028,$C$307,'Livro Diario - FC'!$D$11:$D1028,"&gt;=01/09"&amp;$C$7,'Livro Diario - FC'!$D$11:$D1028,"&lt;=30/09"&amp;$C$7)+SUM(AO308:AO311)</f>
        <v>0</v>
      </c>
      <c r="AP307" s="382">
        <f>SUMIFS('Livro Diario - FC'!$L$11:$L1028,'Livro Diario - FC'!$E$11:$E1028,$C$307,'Livro Diario - FC'!$D$11:$D1028,"&gt;=01/09"&amp;$C$7,'Livro Diario - FC'!$D$11:$D1028,"&lt;=30/09"&amp;$C$7)+SUM(AP308:AP311)</f>
        <v>0</v>
      </c>
      <c r="AQ307" s="383" t="str">
        <f>IF(AP$11=0,"",AP307/AP$11)</f>
        <v/>
      </c>
      <c r="AR307" s="384" t="str">
        <f>IF(AL307=0,"",AP307/AL307-1)</f>
        <v/>
      </c>
      <c r="AS307" s="381">
        <f>SUMIFS('Livro Diario - FC'!$J$11:$J1028,'Livro Diario - FC'!$E$11:$E1028,$C$307,'Livro Diario - FC'!$D$11:$D1028,"&gt;=01/10"&amp;$C$7,'Livro Diario - FC'!$D$11:$D1028,"&lt;=31/10"&amp;$C$7)+SUM(AS308:AS311)</f>
        <v>0</v>
      </c>
      <c r="AT307" s="382">
        <f>SUMIFS('Livro Diario - FC'!$L$11:$L1028,'Livro Diario - FC'!$E$11:$E1028,$C$307,'Livro Diario - FC'!$D$11:$D1028,"&gt;=01/10"&amp;$C$7,'Livro Diario - FC'!$D$11:$D1028,"&lt;=31/10"&amp;$C$7)+SUM(AT308:AT311)</f>
        <v>0</v>
      </c>
      <c r="AU307" s="383" t="str">
        <f>IF(AT$11=0,"",AT307/AT$11)</f>
        <v/>
      </c>
      <c r="AV307" s="384" t="str">
        <f>IF(AP307=0,"",AT307/AP307-1)</f>
        <v/>
      </c>
      <c r="AW307" s="381">
        <f>SUMIFS('Livro Diario - FC'!$J$11:$J1028,'Livro Diario - FC'!$E$11:$E1028,$C$307,'Livro Diario - FC'!$D$11:$D1028,"&gt;=01/11"&amp;$C$7,'Livro Diario - FC'!$D$11:$D1028,"&lt;=30/11"&amp;$C$7)+SUM(AW308:AW311)</f>
        <v>0</v>
      </c>
      <c r="AX307" s="382">
        <f>SUMIFS('Livro Diario - FC'!$L$11:$L1028,'Livro Diario - FC'!$E$11:$E1028,$C$307,'Livro Diario - FC'!$D$11:$D1028,"&gt;=01/11"&amp;$C$7,'Livro Diario - FC'!$D$11:$D1028,"&lt;=30/11"&amp;$C$7)+SUM(AX308:AX311)</f>
        <v>0</v>
      </c>
      <c r="AY307" s="383" t="str">
        <f>IF(AX$11=0,"",AX307/AX$11)</f>
        <v/>
      </c>
      <c r="AZ307" s="384" t="str">
        <f>IF(AT307=0,"",AX307/AT307-1)</f>
        <v/>
      </c>
      <c r="BA307" s="381">
        <f>SUMIFS('Livro Diario - FC'!$J$11:$J1028,'Livro Diario - FC'!$E$11:$E1028,$C$307,'Livro Diario - FC'!$D$11:$D1028,"&gt;=01/12"&amp;$C$7,'Livro Diario - FC'!$D$11:$D1028,"&lt;=31/12"&amp;$C$7)+SUM(BA308:BA311)</f>
        <v>0</v>
      </c>
      <c r="BB307" s="382">
        <f>SUMIFS('Livro Diario - FC'!$L$11:$L1028,'Livro Diario - FC'!$E$11:$E1028,$C$307,'Livro Diario - FC'!$D$11:$D1028,"&gt;=01/12"&amp;$C$7,'Livro Diario - FC'!$D$11:$D1028,"&lt;=31/12"&amp;$C$7)+SUM(BB308:BB311)</f>
        <v>0</v>
      </c>
      <c r="BC307" s="383" t="str">
        <f>IF(BB$11=0,"",BB307/BB$11)</f>
        <v/>
      </c>
      <c r="BD307" s="385" t="str">
        <f>IF(AX307=0,"",BB307/AX307-1)</f>
        <v/>
      </c>
      <c r="BE307" s="331">
        <f t="shared" ref="BE307:BF307" si="529">SUM(D307,I307,N307,S307,X307,AC307,AG307,AK307,AO307,AS307,AW307,BA307)</f>
        <v>0</v>
      </c>
      <c r="BF307" s="369">
        <f t="shared" si="529"/>
        <v>0</v>
      </c>
      <c r="BG307" s="370">
        <f>IF(BF$11=0,"",BF307/BF$11)</f>
        <v>0</v>
      </c>
      <c r="BH307" s="336"/>
      <c r="BI307" s="371">
        <f>SUMIFS('Livro Diario - FC'!$M$11:$M1028,'Livro Diario - FC'!$E$11:$E1028,C307,'Livro Diario - FC'!$D$11:$D1028,"&gt;="&amp;$BK$8,'Livro Diario - FC'!$D$11:$D1028,"&lt;="&amp;$BK$9)+SUM(BI308:BI311)</f>
        <v>0</v>
      </c>
      <c r="BJ307" s="335" t="str">
        <f>IF(BI$11=0,"",BI307/BI$11)</f>
        <v/>
      </c>
      <c r="BK307" s="336"/>
      <c r="BL307" s="372"/>
    </row>
    <row r="308">
      <c r="A308" s="1"/>
      <c r="B308" s="1"/>
      <c r="C308" s="338" t="str">
        <f>'Livro Diario - FC'!AE315</f>
        <v>6.2.1 Compra de Equipamentos de Informárica</v>
      </c>
      <c r="D308" s="255">
        <f>SUMIFS('Livro Diario - FC'!$K$11:$K1028,'Livro Diario - FC'!$E$11:$E1028,$C$308,'Livro Diario - FC'!$D$11:$D1028,"&gt;=01/01"&amp;$C$7,'Livro Diario - FC'!$D$11:$D1028,"&lt;=31/01"&amp;$C$7)</f>
        <v>0</v>
      </c>
      <c r="E308" s="256">
        <f>SUMIFS('Livro Diario - FC'!$M$11:$M1028,'Livro Diario - FC'!$E$11:$E1028,$C$308,'Livro Diario - FC'!$D$11:$D1028,"&gt;=01/01"&amp;$C$7,'Livro Diario - FC'!$D$11:$D1028,"&lt;=31/01"&amp;$C$7)</f>
        <v>0</v>
      </c>
      <c r="F308" s="273"/>
      <c r="G308" s="258"/>
      <c r="H308" s="157"/>
      <c r="I308" s="255">
        <f>SUMIFS('Livro Diario - FC'!$K$11:$K1028,'Livro Diario - FC'!$E$11:$E1028,$C$308,'Livro Diario - FC'!$D$11:$D1028,"&gt;=01/02"&amp;$C$7,'Livro Diario - FC'!$D$11:$D1028,"&lt;=29/02"&amp;$C$7)</f>
        <v>0</v>
      </c>
      <c r="J308" s="256">
        <f>SUMIFS('Livro Diario - FC'!$M$11:$M1028,'Livro Diario - FC'!$E$11:$E1028,$C$308,'Livro Diario - FC'!$D$11:$D1028,"&gt;=01/02"&amp;$C$7,'Livro Diario - FC'!$D$11:$D1028,"&lt;=29/02"&amp;$C$7)</f>
        <v>0</v>
      </c>
      <c r="K308" s="273"/>
      <c r="L308" s="258"/>
      <c r="M308" s="259"/>
      <c r="N308" s="255">
        <f>SUMIFS('Livro Diario - FC'!$K$11:$K1028,'Livro Diario - FC'!$E$11:$E1028,$C$308,'Livro Diario - FC'!$D$11:$D1028,"&gt;=01/03"&amp;$C$7,'Livro Diario - FC'!$D$11:$D1028,"&lt;=31/03"&amp;$C$7)</f>
        <v>0</v>
      </c>
      <c r="O308" s="256">
        <f>SUMIFS('Livro Diario - FC'!$M$11:$M1028,'Livro Diario - FC'!$E$11:$E1028,$C$308,'Livro Diario - FC'!$D$11:$D1028,"&gt;=01/03"&amp;$C$7,'Livro Diario - FC'!$D$11:$D1028,"&lt;=31/03"&amp;$C$7)</f>
        <v>0</v>
      </c>
      <c r="P308" s="273"/>
      <c r="Q308" s="258"/>
      <c r="R308" s="259"/>
      <c r="S308" s="255">
        <f>SUMIFS('Livro Diario - FC'!$K$11:$K1028,'Livro Diario - FC'!$E$11:$E1028,$C$308,'Livro Diario - FC'!$D$11:$D1028,"&gt;=01/04"&amp;$C$7,'Livro Diario - FC'!$D$11:$D1028,"&lt;=30/04"&amp;$C$7)</f>
        <v>0</v>
      </c>
      <c r="T308" s="256">
        <f>SUMIFS('Livro Diario - FC'!$M$11:$M1028,'Livro Diario - FC'!$E$11:$E1028,$C$308,'Livro Diario - FC'!$D$11:$D1028,"&gt;=01/04"&amp;$C$7,'Livro Diario - FC'!$D$11:$D1028,"&lt;=30/04"&amp;$C$7)</f>
        <v>0</v>
      </c>
      <c r="U308" s="273"/>
      <c r="V308" s="258"/>
      <c r="W308" s="259"/>
      <c r="X308" s="255">
        <f>SUMIFS('Livro Diario - FC'!$K$11:$K1028,'Livro Diario - FC'!$E$11:$E1028,$C$308,'Livro Diario - FC'!$D$11:$D1028,"&gt;=01/05"&amp;$C$7,'Livro Diario - FC'!$D$11:$D1028,"&lt;=31/05"&amp;$C$7)</f>
        <v>0</v>
      </c>
      <c r="Y308" s="256">
        <f>SUMIFS('Livro Diario - FC'!$M$11:$M1028,'Livro Diario - FC'!$E$11:$E1028,$C$308,'Livro Diario - FC'!$D$11:$D1028,"&gt;=01/05"&amp;$C$7,'Livro Diario - FC'!$D$11:$D1028,"&lt;=31/05"&amp;$C$7)</f>
        <v>0</v>
      </c>
      <c r="Z308" s="273"/>
      <c r="AA308" s="258"/>
      <c r="AB308" s="259"/>
      <c r="AC308" s="255">
        <f>SUMIFS('Livro Diario - FC'!$K$11:$K1028,'Livro Diario - FC'!$E$11:$E1028,$C$308,'Livro Diario - FC'!$D$11:$D1028,"&gt;=01/06"&amp;$C$7,'Livro Diario - FC'!$D$11:$D1028,"&lt;=30/06"&amp;$C$7)</f>
        <v>0</v>
      </c>
      <c r="AD308" s="256">
        <f>SUMIFS('Livro Diario - FC'!$M$11:$M1028,'Livro Diario - FC'!$E$11:$E1028,$C$308,'Livro Diario - FC'!$D$11:$D1028,"&gt;=01/06"&amp;$C$7,'Livro Diario - FC'!$D$11:$D1028,"&lt;=30/06"&amp;$C$7)</f>
        <v>0</v>
      </c>
      <c r="AE308" s="273"/>
      <c r="AF308" s="258"/>
      <c r="AG308" s="255">
        <f>SUMIFS('Livro Diario - FC'!$K$11:$K1028,'Livro Diario - FC'!$E$11:$E1028,$C$308,'Livro Diario - FC'!$D$11:$D1028,"&gt;=01/07"&amp;$C$7,'Livro Diario - FC'!$D$11:$D1028,"&lt;=31/07"&amp;$C$7)</f>
        <v>0</v>
      </c>
      <c r="AH308" s="256">
        <f>SUMIFS('Livro Diario - FC'!$M$11:$M1028,'Livro Diario - FC'!$E$11:$E1028,$C$308,'Livro Diario - FC'!$D$11:$D1028,"&gt;=01/07"&amp;$C$7,'Livro Diario - FC'!$D$11:$D1028,"&lt;=31/07"&amp;$C$7)</f>
        <v>0</v>
      </c>
      <c r="AI308" s="273"/>
      <c r="AJ308" s="258"/>
      <c r="AK308" s="255">
        <f>SUMIFS('Livro Diario - FC'!$K$11:$K1028,'Livro Diario - FC'!$E$11:$E1028,$C$308,'Livro Diario - FC'!$D$11:$D1028,"&gt;=01/08"&amp;$C$7,'Livro Diario - FC'!$D$11:$D1028,"&lt;=31/08"&amp;$C$7)</f>
        <v>0</v>
      </c>
      <c r="AL308" s="256">
        <f>SUMIFS('Livro Diario - FC'!$M$11:$M1028,'Livro Diario - FC'!$E$11:$E1028,$C$308,'Livro Diario - FC'!$D$11:$D1028,"&gt;=01/08"&amp;$C$7,'Livro Diario - FC'!$D$11:$D1028,"&lt;=31/08"&amp;$C$7)</f>
        <v>0</v>
      </c>
      <c r="AM308" s="273"/>
      <c r="AN308" s="258"/>
      <c r="AO308" s="255">
        <f>SUMIFS('Livro Diario - FC'!$K$11:$K1028,'Livro Diario - FC'!$E$11:$E1028,$C$308,'Livro Diario - FC'!$D$11:$D1028,"&gt;=01/09"&amp;$C$7,'Livro Diario - FC'!$D$11:$D1028,"&lt;=30/09"&amp;$C$7)</f>
        <v>0</v>
      </c>
      <c r="AP308" s="256">
        <f>SUMIFS('Livro Diario - FC'!$M$11:$M1028,'Livro Diario - FC'!$E$11:$E1028,$C$308,'Livro Diario - FC'!$D$11:$D1028,"&gt;=01/09"&amp;$C$7,'Livro Diario - FC'!$D$11:$D1028,"&lt;=30/09"&amp;$C$7)</f>
        <v>0</v>
      </c>
      <c r="AQ308" s="273"/>
      <c r="AR308" s="258"/>
      <c r="AS308" s="255">
        <f>SUMIFS('Livro Diario - FC'!$K$11:$K1028,'Livro Diario - FC'!$E$11:$E1028,$C$308,'Livro Diario - FC'!$D$11:$D1028,"&gt;=01/10"&amp;$C$7,'Livro Diario - FC'!$D$11:$D1028,"&lt;=31/10"&amp;$C$7)</f>
        <v>0</v>
      </c>
      <c r="AT308" s="256">
        <f>SUMIFS('Livro Diario - FC'!$M$11:$M1028,'Livro Diario - FC'!$E$11:$E1028,$C$308,'Livro Diario - FC'!$D$11:$D1028,"&gt;=01/10"&amp;$C$7,'Livro Diario - FC'!$D$11:$D1028,"&lt;=31/10"&amp;$C$7)</f>
        <v>0</v>
      </c>
      <c r="AU308" s="273"/>
      <c r="AV308" s="258"/>
      <c r="AW308" s="255">
        <f>SUMIFS('Livro Diario - FC'!$K$11:$K1028,'Livro Diario - FC'!$E$11:$E1028,$C$308,'Livro Diario - FC'!$D$11:$D1028,"&gt;=01/11"&amp;$C$7,'Livro Diario - FC'!$D$11:$D1028,"&lt;=30/11"&amp;$C$7)</f>
        <v>0</v>
      </c>
      <c r="AX308" s="256">
        <f>SUMIFS('Livro Diario - FC'!$M$11:$M1028,'Livro Diario - FC'!$E$11:$E1028,$C$308,'Livro Diario - FC'!$D$11:$D1028,"&gt;=01/11"&amp;$C$7,'Livro Diario - FC'!$D$11:$D1028,"&lt;=30/11"&amp;$C$7)</f>
        <v>0</v>
      </c>
      <c r="AY308" s="273"/>
      <c r="AZ308" s="258"/>
      <c r="BA308" s="255">
        <f>SUMIFS('Livro Diario - FC'!$K$11:$K1028,'Livro Diario - FC'!$E$11:$E1028,$C$308,'Livro Diario - FC'!$D$11:$D1028,"&gt;=01/12"&amp;$C$7,'Livro Diario - FC'!$D$11:$D1028,"&lt;=31/12"&amp;$C$7)</f>
        <v>0</v>
      </c>
      <c r="BB308" s="256">
        <f>SUMIFS('Livro Diario - FC'!$M$11:$M1028,'Livro Diario - FC'!$E$11:$E1028,$C$308,'Livro Diario - FC'!$D$11:$D1028,"&gt;=01/12"&amp;$C$7,'Livro Diario - FC'!$D$11:$D1028,"&lt;=31/12"&amp;$C$7)</f>
        <v>0</v>
      </c>
      <c r="BC308" s="273"/>
      <c r="BD308" s="273"/>
      <c r="BE308" s="301">
        <f t="shared" ref="BE308:BF308" si="530">SUM(D308,I308,N308,S308,X308,AC308,AG308,AK308,AO308,AS308,AW308,BA308)</f>
        <v>0</v>
      </c>
      <c r="BF308" s="261">
        <f t="shared" si="530"/>
        <v>0</v>
      </c>
      <c r="BG308" s="262"/>
      <c r="BH308" s="302"/>
      <c r="BI308" s="303">
        <f>SUMIFS('Livro Diario - FC'!$M$11:$M1028,'Livro Diario - FC'!$E$11:$E1028,C308,'Livro Diario - FC'!$D$11:$D1028,"&gt;="&amp;$BK$8,'Livro Diario - FC'!$D$11:$D1028,"&lt;="&amp;$BK$9)</f>
        <v>0</v>
      </c>
      <c r="BJ308" s="271"/>
      <c r="BK308" s="304"/>
      <c r="BL308" s="339"/>
    </row>
    <row r="309">
      <c r="A309" s="1"/>
      <c r="B309" s="1"/>
      <c r="C309" s="338" t="str">
        <f>'Livro Diario - FC'!AE316</f>
        <v>6.2.2 Reformas / Estrutura</v>
      </c>
      <c r="D309" s="255">
        <f>SUMIFS('Livro Diario - FC'!$K$11:$K1028,'Livro Diario - FC'!$E$11:$E1028,$C$309,'Livro Diario - FC'!$D$11:$D1028,"&gt;=01/01"&amp;$C$7,'Livro Diario - FC'!$D$11:$D1028,"&lt;=31/01"&amp;$C$7)</f>
        <v>0</v>
      </c>
      <c r="E309" s="256">
        <f>SUMIFS('Livro Diario - FC'!$M$11:$M1028,'Livro Diario - FC'!$E$11:$E1028,$C$309,'Livro Diario - FC'!$D$11:$D1028,"&gt;=01/01"&amp;$C$7,'Livro Diario - FC'!$D$11:$D1028,"&lt;=31/01"&amp;$C$7)</f>
        <v>0</v>
      </c>
      <c r="F309" s="273"/>
      <c r="G309" s="258"/>
      <c r="H309" s="157"/>
      <c r="I309" s="255">
        <f>SUMIFS('Livro Diario - FC'!$K$11:$K1028,'Livro Diario - FC'!$E$11:$E1028,$C$309,'Livro Diario - FC'!$D$11:$D1028,"&gt;=01/02"&amp;$C$7,'Livro Diario - FC'!$D$11:$D1028,"&lt;=29/02"&amp;$C$7)</f>
        <v>0</v>
      </c>
      <c r="J309" s="256">
        <f>SUMIFS('Livro Diario - FC'!$M$11:$M1028,'Livro Diario - FC'!$E$11:$E1028,$C$309,'Livro Diario - FC'!$D$11:$D1028,"&gt;=01/02"&amp;$C$7,'Livro Diario - FC'!$D$11:$D1028,"&lt;=29/02"&amp;$C$7)</f>
        <v>0</v>
      </c>
      <c r="K309" s="273"/>
      <c r="L309" s="258"/>
      <c r="M309" s="259"/>
      <c r="N309" s="255">
        <f>SUMIFS('Livro Diario - FC'!$K$11:$K1028,'Livro Diario - FC'!$E$11:$E1028,$C$309,'Livro Diario - FC'!$D$11:$D1028,"&gt;=01/03"&amp;$C$7,'Livro Diario - FC'!$D$11:$D1028,"&lt;=31/03"&amp;$C$7)</f>
        <v>0</v>
      </c>
      <c r="O309" s="256">
        <f>SUMIFS('Livro Diario - FC'!$M$11:$M1028,'Livro Diario - FC'!$E$11:$E1028,$C$309,'Livro Diario - FC'!$D$11:$D1028,"&gt;=01/03"&amp;$C$7,'Livro Diario - FC'!$D$11:$D1028,"&lt;=31/03"&amp;$C$7)</f>
        <v>0</v>
      </c>
      <c r="P309" s="273"/>
      <c r="Q309" s="258"/>
      <c r="R309" s="259"/>
      <c r="S309" s="255">
        <f>SUMIFS('Livro Diario - FC'!$K$11:$K1028,'Livro Diario - FC'!$E$11:$E1028,$C$309,'Livro Diario - FC'!$D$11:$D1028,"&gt;=01/04"&amp;$C$7,'Livro Diario - FC'!$D$11:$D1028,"&lt;=30/04"&amp;$C$7)</f>
        <v>0</v>
      </c>
      <c r="T309" s="256">
        <f>SUMIFS('Livro Diario - FC'!$M$11:$M1028,'Livro Diario - FC'!$E$11:$E1028,$C$309,'Livro Diario - FC'!$D$11:$D1028,"&gt;=01/04"&amp;$C$7,'Livro Diario - FC'!$D$11:$D1028,"&lt;=30/04"&amp;$C$7)</f>
        <v>0</v>
      </c>
      <c r="U309" s="273"/>
      <c r="V309" s="258"/>
      <c r="W309" s="259"/>
      <c r="X309" s="255">
        <f>SUMIFS('Livro Diario - FC'!$K$11:$K1028,'Livro Diario - FC'!$E$11:$E1028,$C$309,'Livro Diario - FC'!$D$11:$D1028,"&gt;=01/05"&amp;$C$7,'Livro Diario - FC'!$D$11:$D1028,"&lt;=31/05"&amp;$C$7)</f>
        <v>0</v>
      </c>
      <c r="Y309" s="256">
        <f>SUMIFS('Livro Diario - FC'!$M$11:$M1028,'Livro Diario - FC'!$E$11:$E1028,$C$309,'Livro Diario - FC'!$D$11:$D1028,"&gt;=01/05"&amp;$C$7,'Livro Diario - FC'!$D$11:$D1028,"&lt;=31/05"&amp;$C$7)</f>
        <v>0</v>
      </c>
      <c r="Z309" s="273"/>
      <c r="AA309" s="258"/>
      <c r="AB309" s="259"/>
      <c r="AC309" s="255">
        <f>SUMIFS('Livro Diario - FC'!$K$11:$K1028,'Livro Diario - FC'!$E$11:$E1028,$C$309,'Livro Diario - FC'!$D$11:$D1028,"&gt;=01/06"&amp;$C$7,'Livro Diario - FC'!$D$11:$D1028,"&lt;=30/06"&amp;$C$7)</f>
        <v>0</v>
      </c>
      <c r="AD309" s="256">
        <f>SUMIFS('Livro Diario - FC'!$M$11:$M1028,'Livro Diario - FC'!$E$11:$E1028,$C$309,'Livro Diario - FC'!$D$11:$D1028,"&gt;=01/06"&amp;$C$7,'Livro Diario - FC'!$D$11:$D1028,"&lt;=30/06"&amp;$C$7)</f>
        <v>0</v>
      </c>
      <c r="AE309" s="273"/>
      <c r="AF309" s="258"/>
      <c r="AG309" s="255">
        <f>SUMIFS('Livro Diario - FC'!$K$11:$K1028,'Livro Diario - FC'!$E$11:$E1028,$C$309,'Livro Diario - FC'!$D$11:$D1028,"&gt;=01/07"&amp;$C$7,'Livro Diario - FC'!$D$11:$D1028,"&lt;=31/07"&amp;$C$7)</f>
        <v>0</v>
      </c>
      <c r="AH309" s="256">
        <f>SUMIFS('Livro Diario - FC'!$M$11:$M1028,'Livro Diario - FC'!$E$11:$E1028,$C$309,'Livro Diario - FC'!$D$11:$D1028,"&gt;=01/07"&amp;$C$7,'Livro Diario - FC'!$D$11:$D1028,"&lt;=31/07"&amp;$C$7)</f>
        <v>0</v>
      </c>
      <c r="AI309" s="273"/>
      <c r="AJ309" s="258"/>
      <c r="AK309" s="255">
        <f>SUMIFS('Livro Diario - FC'!$K$11:$K1028,'Livro Diario - FC'!$E$11:$E1028,$C$309,'Livro Diario - FC'!$D$11:$D1028,"&gt;=01/08"&amp;$C$7,'Livro Diario - FC'!$D$11:$D1028,"&lt;=31/08"&amp;$C$7)</f>
        <v>0</v>
      </c>
      <c r="AL309" s="256">
        <f>SUMIFS('Livro Diario - FC'!$M$11:$M1028,'Livro Diario - FC'!$E$11:$E1028,$C$309,'Livro Diario - FC'!$D$11:$D1028,"&gt;=01/08"&amp;$C$7,'Livro Diario - FC'!$D$11:$D1028,"&lt;=31/08"&amp;$C$7)</f>
        <v>0</v>
      </c>
      <c r="AM309" s="273"/>
      <c r="AN309" s="258"/>
      <c r="AO309" s="255">
        <f>SUMIFS('Livro Diario - FC'!$K$11:$K1028,'Livro Diario - FC'!$E$11:$E1028,$C$309,'Livro Diario - FC'!$D$11:$D1028,"&gt;=01/09"&amp;$C$7,'Livro Diario - FC'!$D$11:$D1028,"&lt;=30/09"&amp;$C$7)</f>
        <v>0</v>
      </c>
      <c r="AP309" s="256">
        <f>SUMIFS('Livro Diario - FC'!$M$11:$M1028,'Livro Diario - FC'!$E$11:$E1028,$C$309,'Livro Diario - FC'!$D$11:$D1028,"&gt;=01/09"&amp;$C$7,'Livro Diario - FC'!$D$11:$D1028,"&lt;=30/09"&amp;$C$7)</f>
        <v>0</v>
      </c>
      <c r="AQ309" s="273"/>
      <c r="AR309" s="258"/>
      <c r="AS309" s="255">
        <f>SUMIFS('Livro Diario - FC'!$K$11:$K1028,'Livro Diario - FC'!$E$11:$E1028,$C$309,'Livro Diario - FC'!$D$11:$D1028,"&gt;=01/10"&amp;$C$7,'Livro Diario - FC'!$D$11:$D1028,"&lt;=31/10"&amp;$C$7)</f>
        <v>0</v>
      </c>
      <c r="AT309" s="256">
        <f>SUMIFS('Livro Diario - FC'!$M$11:$M1028,'Livro Diario - FC'!$E$11:$E1028,$C$309,'Livro Diario - FC'!$D$11:$D1028,"&gt;=01/10"&amp;$C$7,'Livro Diario - FC'!$D$11:$D1028,"&lt;=31/10"&amp;$C$7)</f>
        <v>0</v>
      </c>
      <c r="AU309" s="273"/>
      <c r="AV309" s="258"/>
      <c r="AW309" s="255">
        <f>SUMIFS('Livro Diario - FC'!$K$11:$K1028,'Livro Diario - FC'!$E$11:$E1028,$C$309,'Livro Diario - FC'!$D$11:$D1028,"&gt;=01/11"&amp;$C$7,'Livro Diario - FC'!$D$11:$D1028,"&lt;=30/11"&amp;$C$7)</f>
        <v>0</v>
      </c>
      <c r="AX309" s="256">
        <f>SUMIFS('Livro Diario - FC'!$M$11:$M1028,'Livro Diario - FC'!$E$11:$E1028,$C$309,'Livro Diario - FC'!$D$11:$D1028,"&gt;=01/11"&amp;$C$7,'Livro Diario - FC'!$D$11:$D1028,"&lt;=30/11"&amp;$C$7)</f>
        <v>0</v>
      </c>
      <c r="AY309" s="273"/>
      <c r="AZ309" s="258"/>
      <c r="BA309" s="255">
        <f>SUMIFS('Livro Diario - FC'!$K$11:$K1028,'Livro Diario - FC'!$E$11:$E1028,$C$309,'Livro Diario - FC'!$D$11:$D1028,"&gt;=01/12"&amp;$C$7,'Livro Diario - FC'!$D$11:$D1028,"&lt;=31/12"&amp;$C$7)</f>
        <v>0</v>
      </c>
      <c r="BB309" s="256">
        <f>SUMIFS('Livro Diario - FC'!$M$11:$M1028,'Livro Diario - FC'!$E$11:$E1028,$C$309,'Livro Diario - FC'!$D$11:$D1028,"&gt;=01/12"&amp;$C$7,'Livro Diario - FC'!$D$11:$D1028,"&lt;=31/12"&amp;$C$7)</f>
        <v>0</v>
      </c>
      <c r="BC309" s="273"/>
      <c r="BD309" s="273"/>
      <c r="BE309" s="305">
        <f t="shared" ref="BE309:BF309" si="531">SUM(D309,I309,N309,S309,X309,AC309,AG309,AK309,AO309,AS309,AW309,BA309)</f>
        <v>0</v>
      </c>
      <c r="BF309" s="268">
        <f t="shared" si="531"/>
        <v>0</v>
      </c>
      <c r="BG309" s="269"/>
      <c r="BH309" s="192"/>
      <c r="BI309" s="303">
        <f>SUMIFS('Livro Diario - FC'!$M$11:$M1028,'Livro Diario - FC'!$E$11:$E1028,C309,'Livro Diario - FC'!$D$11:$D1028,"&gt;="&amp;$BK$8,'Livro Diario - FC'!$D$11:$D1028,"&lt;="&amp;$BK$9)</f>
        <v>0</v>
      </c>
      <c r="BJ309" s="271"/>
      <c r="BK309" s="272"/>
      <c r="BL309" s="1"/>
    </row>
    <row r="310">
      <c r="A310" s="1"/>
      <c r="B310" s="1"/>
      <c r="C310" s="338" t="str">
        <f>'Livro Diario - FC'!AE317</f>
        <v>6.2.3 Mobiliário</v>
      </c>
      <c r="D310" s="255">
        <f>SUMIFS('Livro Diario - FC'!$K$11:$K1028,'Livro Diario - FC'!$E$11:$E1028,$C$310,'Livro Diario - FC'!$D$11:$D1028,"&gt;=01/01"&amp;$C$7,'Livro Diario - FC'!$D$11:$D1028,"&lt;=31/01"&amp;$C$7)</f>
        <v>0</v>
      </c>
      <c r="E310" s="256">
        <f>SUMIFS('Livro Diario - FC'!$M$11:$M1028,'Livro Diario - FC'!$E$11:$E1028,$C$310,'Livro Diario - FC'!$D$11:$D1028,"&gt;=01/01"&amp;$C$7,'Livro Diario - FC'!$D$11:$D1028,"&lt;=31/01"&amp;$C$7)</f>
        <v>0</v>
      </c>
      <c r="F310" s="273"/>
      <c r="G310" s="258"/>
      <c r="H310" s="157"/>
      <c r="I310" s="255">
        <f>SUMIFS('Livro Diario - FC'!$K$11:$K1028,'Livro Diario - FC'!$E$11:$E1028,$C$310,'Livro Diario - FC'!$D$11:$D1028,"&gt;=01/02"&amp;$C$7,'Livro Diario - FC'!$D$11:$D1028,"&lt;=29/02"&amp;$C$7)</f>
        <v>0</v>
      </c>
      <c r="J310" s="256">
        <f>SUMIFS('Livro Diario - FC'!$M$11:$M1028,'Livro Diario - FC'!$E$11:$E1028,$C$310,'Livro Diario - FC'!$D$11:$D1028,"&gt;=01/02"&amp;$C$7,'Livro Diario - FC'!$D$11:$D1028,"&lt;=29/02"&amp;$C$7)</f>
        <v>0</v>
      </c>
      <c r="K310" s="273"/>
      <c r="L310" s="258"/>
      <c r="M310" s="259"/>
      <c r="N310" s="255">
        <f>SUMIFS('Livro Diario - FC'!$K$11:$K1028,'Livro Diario - FC'!$E$11:$E1028,$C$310,'Livro Diario - FC'!$D$11:$D1028,"&gt;=01/03"&amp;$C$7,'Livro Diario - FC'!$D$11:$D1028,"&lt;=31/03"&amp;$C$7)</f>
        <v>0</v>
      </c>
      <c r="O310" s="256">
        <f>SUMIFS('Livro Diario - FC'!$M$11:$M1028,'Livro Diario - FC'!$E$11:$E1028,$C$310,'Livro Diario - FC'!$D$11:$D1028,"&gt;=01/03"&amp;$C$7,'Livro Diario - FC'!$D$11:$D1028,"&lt;=31/03"&amp;$C$7)</f>
        <v>0</v>
      </c>
      <c r="P310" s="273"/>
      <c r="Q310" s="258"/>
      <c r="R310" s="259"/>
      <c r="S310" s="255">
        <f>SUMIFS('Livro Diario - FC'!$K$11:$K1028,'Livro Diario - FC'!$E$11:$E1028,$C$310,'Livro Diario - FC'!$D$11:$D1028,"&gt;=01/04"&amp;$C$7,'Livro Diario - FC'!$D$11:$D1028,"&lt;=30/04"&amp;$C$7)</f>
        <v>0</v>
      </c>
      <c r="T310" s="256">
        <f>SUMIFS('Livro Diario - FC'!$M$11:$M1028,'Livro Diario - FC'!$E$11:$E1028,$C$310,'Livro Diario - FC'!$D$11:$D1028,"&gt;=01/04"&amp;$C$7,'Livro Diario - FC'!$D$11:$D1028,"&lt;=30/04"&amp;$C$7)</f>
        <v>0</v>
      </c>
      <c r="U310" s="273"/>
      <c r="V310" s="258"/>
      <c r="W310" s="259"/>
      <c r="X310" s="255">
        <f>SUMIFS('Livro Diario - FC'!$K$11:$K1028,'Livro Diario - FC'!$E$11:$E1028,$C$310,'Livro Diario - FC'!$D$11:$D1028,"&gt;=01/05"&amp;$C$7,'Livro Diario - FC'!$D$11:$D1028,"&lt;=31/05"&amp;$C$7)</f>
        <v>0</v>
      </c>
      <c r="Y310" s="256">
        <f>SUMIFS('Livro Diario - FC'!$M$11:$M1028,'Livro Diario - FC'!$E$11:$E1028,$C$310,'Livro Diario - FC'!$D$11:$D1028,"&gt;=01/05"&amp;$C$7,'Livro Diario - FC'!$D$11:$D1028,"&lt;=31/05"&amp;$C$7)</f>
        <v>0</v>
      </c>
      <c r="Z310" s="273"/>
      <c r="AA310" s="258"/>
      <c r="AB310" s="259"/>
      <c r="AC310" s="255">
        <f>SUMIFS('Livro Diario - FC'!$K$11:$K1028,'Livro Diario - FC'!$E$11:$E1028,$C$310,'Livro Diario - FC'!$D$11:$D1028,"&gt;=01/06"&amp;$C$7,'Livro Diario - FC'!$D$11:$D1028,"&lt;=30/06"&amp;$C$7)</f>
        <v>0</v>
      </c>
      <c r="AD310" s="256">
        <f>SUMIFS('Livro Diario - FC'!$M$11:$M1028,'Livro Diario - FC'!$E$11:$E1028,$C$310,'Livro Diario - FC'!$D$11:$D1028,"&gt;=01/06"&amp;$C$7,'Livro Diario - FC'!$D$11:$D1028,"&lt;=30/06"&amp;$C$7)</f>
        <v>0</v>
      </c>
      <c r="AE310" s="273"/>
      <c r="AF310" s="258"/>
      <c r="AG310" s="255">
        <f>SUMIFS('Livro Diario - FC'!$K$11:$K1028,'Livro Diario - FC'!$E$11:$E1028,$C$310,'Livro Diario - FC'!$D$11:$D1028,"&gt;=01/07"&amp;$C$7,'Livro Diario - FC'!$D$11:$D1028,"&lt;=31/07"&amp;$C$7)</f>
        <v>0</v>
      </c>
      <c r="AH310" s="256">
        <f>SUMIFS('Livro Diario - FC'!$M$11:$M1028,'Livro Diario - FC'!$E$11:$E1028,$C$310,'Livro Diario - FC'!$D$11:$D1028,"&gt;=01/07"&amp;$C$7,'Livro Diario - FC'!$D$11:$D1028,"&lt;=31/07"&amp;$C$7)</f>
        <v>0</v>
      </c>
      <c r="AI310" s="273"/>
      <c r="AJ310" s="258"/>
      <c r="AK310" s="255">
        <f>SUMIFS('Livro Diario - FC'!$K$11:$K1028,'Livro Diario - FC'!$E$11:$E1028,$C$310,'Livro Diario - FC'!$D$11:$D1028,"&gt;=01/08"&amp;$C$7,'Livro Diario - FC'!$D$11:$D1028,"&lt;=31/08"&amp;$C$7)</f>
        <v>0</v>
      </c>
      <c r="AL310" s="256">
        <f>SUMIFS('Livro Diario - FC'!$M$11:$M1028,'Livro Diario - FC'!$E$11:$E1028,$C$310,'Livro Diario - FC'!$D$11:$D1028,"&gt;=01/08"&amp;$C$7,'Livro Diario - FC'!$D$11:$D1028,"&lt;=31/08"&amp;$C$7)</f>
        <v>0</v>
      </c>
      <c r="AM310" s="273"/>
      <c r="AN310" s="258"/>
      <c r="AO310" s="255">
        <f>SUMIFS('Livro Diario - FC'!$K$11:$K1028,'Livro Diario - FC'!$E$11:$E1028,$C$310,'Livro Diario - FC'!$D$11:$D1028,"&gt;=01/09"&amp;$C$7,'Livro Diario - FC'!$D$11:$D1028,"&lt;=30/09"&amp;$C$7)</f>
        <v>0</v>
      </c>
      <c r="AP310" s="256">
        <f>SUMIFS('Livro Diario - FC'!$M$11:$M1028,'Livro Diario - FC'!$E$11:$E1028,$C$310,'Livro Diario - FC'!$D$11:$D1028,"&gt;=01/09"&amp;$C$7,'Livro Diario - FC'!$D$11:$D1028,"&lt;=30/09"&amp;$C$7)</f>
        <v>0</v>
      </c>
      <c r="AQ310" s="273"/>
      <c r="AR310" s="258"/>
      <c r="AS310" s="255">
        <f>SUMIFS('Livro Diario - FC'!$K$11:$K1028,'Livro Diario - FC'!$E$11:$E1028,$C$310,'Livro Diario - FC'!$D$11:$D1028,"&gt;=01/10"&amp;$C$7,'Livro Diario - FC'!$D$11:$D1028,"&lt;=31/10"&amp;$C$7)</f>
        <v>0</v>
      </c>
      <c r="AT310" s="256">
        <f>SUMIFS('Livro Diario - FC'!$M$11:$M1028,'Livro Diario - FC'!$E$11:$E1028,$C$310,'Livro Diario - FC'!$D$11:$D1028,"&gt;=01/10"&amp;$C$7,'Livro Diario - FC'!$D$11:$D1028,"&lt;=31/10"&amp;$C$7)</f>
        <v>0</v>
      </c>
      <c r="AU310" s="273"/>
      <c r="AV310" s="258"/>
      <c r="AW310" s="255">
        <f>SUMIFS('Livro Diario - FC'!$K$11:$K1028,'Livro Diario - FC'!$E$11:$E1028,$C$310,'Livro Diario - FC'!$D$11:$D1028,"&gt;=01/11"&amp;$C$7,'Livro Diario - FC'!$D$11:$D1028,"&lt;=30/11"&amp;$C$7)</f>
        <v>0</v>
      </c>
      <c r="AX310" s="256">
        <f>SUMIFS('Livro Diario - FC'!$M$11:$M1028,'Livro Diario - FC'!$E$11:$E1028,$C$310,'Livro Diario - FC'!$D$11:$D1028,"&gt;=01/11"&amp;$C$7,'Livro Diario - FC'!$D$11:$D1028,"&lt;=30/11"&amp;$C$7)</f>
        <v>0</v>
      </c>
      <c r="AY310" s="273"/>
      <c r="AZ310" s="258"/>
      <c r="BA310" s="255">
        <f>SUMIFS('Livro Diario - FC'!$K$11:$K1028,'Livro Diario - FC'!$E$11:$E1028,$C$310,'Livro Diario - FC'!$D$11:$D1028,"&gt;=01/12"&amp;$C$7,'Livro Diario - FC'!$D$11:$D1028,"&lt;=31/12"&amp;$C$7)</f>
        <v>0</v>
      </c>
      <c r="BB310" s="256">
        <f>SUMIFS('Livro Diario - FC'!$M$11:$M1028,'Livro Diario - FC'!$E$11:$E1028,$C$310,'Livro Diario - FC'!$D$11:$D1028,"&gt;=01/12"&amp;$C$7,'Livro Diario - FC'!$D$11:$D1028,"&lt;=31/12"&amp;$C$7)</f>
        <v>0</v>
      </c>
      <c r="BC310" s="273"/>
      <c r="BD310" s="273"/>
      <c r="BE310" s="305">
        <f t="shared" ref="BE310:BF310" si="532">SUM(D310,I310,N310,S310,X310,AC310,AG310,AK310,AO310,AS310,AW310,BA310)</f>
        <v>0</v>
      </c>
      <c r="BF310" s="268">
        <f t="shared" si="532"/>
        <v>0</v>
      </c>
      <c r="BG310" s="269"/>
      <c r="BH310" s="192"/>
      <c r="BI310" s="303">
        <f>SUMIFS('Livro Diario - FC'!$M$11:$M1028,'Livro Diario - FC'!$E$11:$E1028,C310,'Livro Diario - FC'!$D$11:$D1028,"&gt;="&amp;$BK$8,'Livro Diario - FC'!$D$11:$D1028,"&lt;="&amp;$BK$9)</f>
        <v>0</v>
      </c>
      <c r="BJ310" s="271"/>
      <c r="BK310" s="272"/>
      <c r="BL310" s="1"/>
    </row>
    <row r="311">
      <c r="A311" s="1"/>
      <c r="B311" s="1"/>
      <c r="C311" s="338" t="str">
        <f>'Livro Diario - FC'!AE318</f>
        <v>6.2.4 Outros investimentos em bens materiais</v>
      </c>
      <c r="D311" s="255">
        <f>SUMIFS('Livro Diario - FC'!$K$11:$K1028,'Livro Diario - FC'!$E$11:$E1028,$C$311,'Livro Diario - FC'!$D$11:$D1028,"&gt;=01/01"&amp;$C$7,'Livro Diario - FC'!$D$11:$D1028,"&lt;=31/01"&amp;$C$7)</f>
        <v>0</v>
      </c>
      <c r="E311" s="256">
        <f>SUMIFS('Livro Diario - FC'!$M$11:$M1028,'Livro Diario - FC'!$E$11:$E1028,$C$311,'Livro Diario - FC'!$D$11:$D1028,"&gt;=01/01"&amp;$C$7,'Livro Diario - FC'!$D$11:$D1028,"&lt;=31/01"&amp;$C$7)</f>
        <v>0</v>
      </c>
      <c r="F311" s="273"/>
      <c r="G311" s="258"/>
      <c r="H311" s="157"/>
      <c r="I311" s="255">
        <f>SUMIFS('Livro Diario - FC'!$K$11:$K1028,'Livro Diario - FC'!$E$11:$E1028,$C$311,'Livro Diario - FC'!$D$11:$D1028,"&gt;=01/02"&amp;$C$7,'Livro Diario - FC'!$D$11:$D1028,"&lt;=29/02"&amp;$C$7)</f>
        <v>0</v>
      </c>
      <c r="J311" s="256">
        <f>SUMIFS('Livro Diario - FC'!$M$11:$M1028,'Livro Diario - FC'!$E$11:$E1028,$C$311,'Livro Diario - FC'!$D$11:$D1028,"&gt;=01/02"&amp;$C$7,'Livro Diario - FC'!$D$11:$D1028,"&lt;=29/02"&amp;$C$7)</f>
        <v>0</v>
      </c>
      <c r="K311" s="273"/>
      <c r="L311" s="258"/>
      <c r="M311" s="259"/>
      <c r="N311" s="255">
        <f>SUMIFS('Livro Diario - FC'!$K$11:$K1028,'Livro Diario - FC'!$E$11:$E1028,$C$311,'Livro Diario - FC'!$D$11:$D1028,"&gt;=01/03"&amp;$C$7,'Livro Diario - FC'!$D$11:$D1028,"&lt;=31/03"&amp;$C$7)</f>
        <v>0</v>
      </c>
      <c r="O311" s="256">
        <f>SUMIFS('Livro Diario - FC'!$M$11:$M1028,'Livro Diario - FC'!$E$11:$E1028,$C$311,'Livro Diario - FC'!$D$11:$D1028,"&gt;=01/03"&amp;$C$7,'Livro Diario - FC'!$D$11:$D1028,"&lt;=31/03"&amp;$C$7)</f>
        <v>0</v>
      </c>
      <c r="P311" s="273"/>
      <c r="Q311" s="258"/>
      <c r="R311" s="259"/>
      <c r="S311" s="255">
        <f>SUMIFS('Livro Diario - FC'!$K$11:$K1028,'Livro Diario - FC'!$E$11:$E1028,$C$311,'Livro Diario - FC'!$D$11:$D1028,"&gt;=01/04"&amp;$C$7,'Livro Diario - FC'!$D$11:$D1028,"&lt;=30/04"&amp;$C$7)</f>
        <v>0</v>
      </c>
      <c r="T311" s="256">
        <f>SUMIFS('Livro Diario - FC'!$M$11:$M1028,'Livro Diario - FC'!$E$11:$E1028,$C$311,'Livro Diario - FC'!$D$11:$D1028,"&gt;=01/04"&amp;$C$7,'Livro Diario - FC'!$D$11:$D1028,"&lt;=30/04"&amp;$C$7)</f>
        <v>0</v>
      </c>
      <c r="U311" s="273"/>
      <c r="V311" s="258"/>
      <c r="W311" s="259"/>
      <c r="X311" s="255">
        <f>SUMIFS('Livro Diario - FC'!$K$11:$K1028,'Livro Diario - FC'!$E$11:$E1028,$C$311,'Livro Diario - FC'!$D$11:$D1028,"&gt;=01/05"&amp;$C$7,'Livro Diario - FC'!$D$11:$D1028,"&lt;=31/05"&amp;$C$7)</f>
        <v>0</v>
      </c>
      <c r="Y311" s="256">
        <f>SUMIFS('Livro Diario - FC'!$M$11:$M1028,'Livro Diario - FC'!$E$11:$E1028,$C$311,'Livro Diario - FC'!$D$11:$D1028,"&gt;=01/05"&amp;$C$7,'Livro Diario - FC'!$D$11:$D1028,"&lt;=31/05"&amp;$C$7)</f>
        <v>0</v>
      </c>
      <c r="Z311" s="273"/>
      <c r="AA311" s="258"/>
      <c r="AB311" s="259"/>
      <c r="AC311" s="255">
        <f>SUMIFS('Livro Diario - FC'!$K$11:$K1028,'Livro Diario - FC'!$E$11:$E1028,$C$311,'Livro Diario - FC'!$D$11:$D1028,"&gt;=01/06"&amp;$C$7,'Livro Diario - FC'!$D$11:$D1028,"&lt;=30/06"&amp;$C$7)</f>
        <v>0</v>
      </c>
      <c r="AD311" s="256">
        <f>SUMIFS('Livro Diario - FC'!$M$11:$M1028,'Livro Diario - FC'!$E$11:$E1028,$C$311,'Livro Diario - FC'!$D$11:$D1028,"&gt;=01/06"&amp;$C$7,'Livro Diario - FC'!$D$11:$D1028,"&lt;=30/06"&amp;$C$7)</f>
        <v>0</v>
      </c>
      <c r="AE311" s="273"/>
      <c r="AF311" s="258"/>
      <c r="AG311" s="255">
        <f>SUMIFS('Livro Diario - FC'!$K$11:$K1028,'Livro Diario - FC'!$E$11:$E1028,$C$311,'Livro Diario - FC'!$D$11:$D1028,"&gt;=01/07"&amp;$C$7,'Livro Diario - FC'!$D$11:$D1028,"&lt;=31/07"&amp;$C$7)</f>
        <v>0</v>
      </c>
      <c r="AH311" s="256">
        <f>SUMIFS('Livro Diario - FC'!$M$11:$M1028,'Livro Diario - FC'!$E$11:$E1028,$C$311,'Livro Diario - FC'!$D$11:$D1028,"&gt;=01/07"&amp;$C$7,'Livro Diario - FC'!$D$11:$D1028,"&lt;=31/07"&amp;$C$7)</f>
        <v>0</v>
      </c>
      <c r="AI311" s="273"/>
      <c r="AJ311" s="258"/>
      <c r="AK311" s="255">
        <f>SUMIFS('Livro Diario - FC'!$K$11:$K1028,'Livro Diario - FC'!$E$11:$E1028,$C$311,'Livro Diario - FC'!$D$11:$D1028,"&gt;=01/08"&amp;$C$7,'Livro Diario - FC'!$D$11:$D1028,"&lt;=31/08"&amp;$C$7)</f>
        <v>0</v>
      </c>
      <c r="AL311" s="256">
        <f>SUMIFS('Livro Diario - FC'!$M$11:$M1028,'Livro Diario - FC'!$E$11:$E1028,$C$311,'Livro Diario - FC'!$D$11:$D1028,"&gt;=01/08"&amp;$C$7,'Livro Diario - FC'!$D$11:$D1028,"&lt;=31/08"&amp;$C$7)</f>
        <v>0</v>
      </c>
      <c r="AM311" s="273"/>
      <c r="AN311" s="258"/>
      <c r="AO311" s="255">
        <f>SUMIFS('Livro Diario - FC'!$K$11:$K1028,'Livro Diario - FC'!$E$11:$E1028,$C$311,'Livro Diario - FC'!$D$11:$D1028,"&gt;=01/09"&amp;$C$7,'Livro Diario - FC'!$D$11:$D1028,"&lt;=30/09"&amp;$C$7)</f>
        <v>0</v>
      </c>
      <c r="AP311" s="256">
        <f>SUMIFS('Livro Diario - FC'!$M$11:$M1028,'Livro Diario - FC'!$E$11:$E1028,$C$311,'Livro Diario - FC'!$D$11:$D1028,"&gt;=01/09"&amp;$C$7,'Livro Diario - FC'!$D$11:$D1028,"&lt;=30/09"&amp;$C$7)</f>
        <v>0</v>
      </c>
      <c r="AQ311" s="273"/>
      <c r="AR311" s="258"/>
      <c r="AS311" s="255">
        <f>SUMIFS('Livro Diario - FC'!$K$11:$K1028,'Livro Diario - FC'!$E$11:$E1028,$C$311,'Livro Diario - FC'!$D$11:$D1028,"&gt;=01/10"&amp;$C$7,'Livro Diario - FC'!$D$11:$D1028,"&lt;=31/10"&amp;$C$7)</f>
        <v>0</v>
      </c>
      <c r="AT311" s="256">
        <f>SUMIFS('Livro Diario - FC'!$M$11:$M1028,'Livro Diario - FC'!$E$11:$E1028,$C$311,'Livro Diario - FC'!$D$11:$D1028,"&gt;=01/10"&amp;$C$7,'Livro Diario - FC'!$D$11:$D1028,"&lt;=31/10"&amp;$C$7)</f>
        <v>0</v>
      </c>
      <c r="AU311" s="273"/>
      <c r="AV311" s="258"/>
      <c r="AW311" s="255">
        <f>SUMIFS('Livro Diario - FC'!$K$11:$K1028,'Livro Diario - FC'!$E$11:$E1028,$C$311,'Livro Diario - FC'!$D$11:$D1028,"&gt;=01/11"&amp;$C$7,'Livro Diario - FC'!$D$11:$D1028,"&lt;=30/11"&amp;$C$7)</f>
        <v>0</v>
      </c>
      <c r="AX311" s="256">
        <f>SUMIFS('Livro Diario - FC'!$M$11:$M1028,'Livro Diario - FC'!$E$11:$E1028,$C$311,'Livro Diario - FC'!$D$11:$D1028,"&gt;=01/11"&amp;$C$7,'Livro Diario - FC'!$D$11:$D1028,"&lt;=30/11"&amp;$C$7)</f>
        <v>0</v>
      </c>
      <c r="AY311" s="273"/>
      <c r="AZ311" s="258"/>
      <c r="BA311" s="255">
        <f>SUMIFS('Livro Diario - FC'!$K$11:$K1028,'Livro Diario - FC'!$E$11:$E1028,$C$311,'Livro Diario - FC'!$D$11:$D1028,"&gt;=01/12"&amp;$C$7,'Livro Diario - FC'!$D$11:$D1028,"&lt;=31/12"&amp;$C$7)</f>
        <v>0</v>
      </c>
      <c r="BB311" s="256">
        <f>SUMIFS('Livro Diario - FC'!$M$11:$M1028,'Livro Diario - FC'!$E$11:$E1028,$C$311,'Livro Diario - FC'!$D$11:$D1028,"&gt;=01/12"&amp;$C$7,'Livro Diario - FC'!$D$11:$D1028,"&lt;=31/12"&amp;$C$7)</f>
        <v>0</v>
      </c>
      <c r="BC311" s="273"/>
      <c r="BD311" s="273"/>
      <c r="BE311" s="419">
        <f t="shared" ref="BE311:BF311" si="533">SUM(D311,I311,N311,S311,X311,AC311,AG311,AK311,AO311,AS311,AW311,BA311)</f>
        <v>0</v>
      </c>
      <c r="BF311" s="342">
        <f t="shared" si="533"/>
        <v>0</v>
      </c>
      <c r="BG311" s="343"/>
      <c r="BH311" s="344"/>
      <c r="BI311" s="303">
        <f>SUMIFS('Livro Diario - FC'!$M$11:$M1028,'Livro Diario - FC'!$E$11:$E1028,C311,'Livro Diario - FC'!$D$11:$D1028,"&gt;="&amp;$BK$8,'Livro Diario - FC'!$D$11:$D1028,"&lt;="&amp;$BK$9)</f>
        <v>0</v>
      </c>
      <c r="BJ311" s="271"/>
      <c r="BK311" s="345"/>
      <c r="BL311" s="146"/>
    </row>
    <row r="312">
      <c r="A312" s="1"/>
      <c r="B312" s="40"/>
      <c r="C312" s="380" t="s">
        <v>471</v>
      </c>
      <c r="D312" s="381">
        <f>SUMIFS('Livro Diario - FC'!$J$11:$J1028,'Livro Diario - FC'!$E$11:$E1028,$C$312,'Livro Diario - FC'!$D$11:$D1028,"&gt;=01/01"&amp;$C$7,'Livro Diario - FC'!$D$11:$D1028,"&lt;=31/01"&amp;$C$7)+SUM(D313:D315)</f>
        <v>0</v>
      </c>
      <c r="E312" s="387">
        <f>SUMIFS('Livro Diario - FC'!$J$11:$J1028,'Livro Diario - FC'!$E$11:$E1028,D312,'Livro Diario - FC'!$D$11:$D1028,"&gt;=01/01"&amp;$C$7,'Livro Diario - FC'!$D$11:$D1028,"&lt;=31/01"&amp;$C$7)+SUM(E313:E315)</f>
        <v>0</v>
      </c>
      <c r="F312" s="383">
        <f>IF(E$11=0,"",E312/E$11)</f>
        <v>0</v>
      </c>
      <c r="G312" s="384" t="str">
        <f>IF(A312=0,"",E312/A312-1)</f>
        <v/>
      </c>
      <c r="H312" s="327"/>
      <c r="I312" s="381">
        <f>SUMIFS('Livro Diario - FC'!$J$11:$J1028,'Livro Diario - FC'!$E$11:$E1028,$C$312,'Livro Diario - FC'!$D$11:$D1028,"&gt;=01/02"&amp;$C$7,'Livro Diario - FC'!$D$11:$D1028,"&lt;=29/02"&amp;$C$7)+SUM(I313:I315)</f>
        <v>0</v>
      </c>
      <c r="J312" s="387">
        <f>SUMIFS('Livro Diario - FC'!$J$11:$J1028,'Livro Diario - FC'!$E$11:$E1028,I312,'Livro Diario - FC'!$D$11:$D1028,"&gt;=01/02"&amp;$C$7,'Livro Diario - FC'!$D$11:$D1028,"&lt;=29/02"&amp;$C$7)+SUM(J313:J315)</f>
        <v>0</v>
      </c>
      <c r="K312" s="383" t="str">
        <f>IF(J$11=0,"",J312/J$11)</f>
        <v/>
      </c>
      <c r="L312" s="384" t="str">
        <f>IF(E312=0,"",J312/E312-1)</f>
        <v/>
      </c>
      <c r="M312" s="385"/>
      <c r="N312" s="381">
        <f>SUMIFS('Livro Diario - FC'!$J$11:$J1028,'Livro Diario - FC'!$E$11:$E1028,$C$312,'Livro Diario - FC'!$D$11:$D1028,"&gt;=01/03"&amp;$C$7,'Livro Diario - FC'!$D$11:$D1028,"&lt;=31/03"&amp;$C$7)+SUM(N313:N315)</f>
        <v>0</v>
      </c>
      <c r="O312" s="387">
        <f>SUMIFS('Livro Diario - FC'!$J$11:$J1028,'Livro Diario - FC'!$E$11:$E1028,N312,'Livro Diario - FC'!$D$11:$D1028,"&gt;=01/03"&amp;$C$7,'Livro Diario - FC'!$D$11:$D1028,"&lt;=31/03"&amp;$C$7)+SUM(O313:O315)</f>
        <v>0</v>
      </c>
      <c r="P312" s="383" t="str">
        <f>IF(O$11=0,"",O312/O$11)</f>
        <v/>
      </c>
      <c r="Q312" s="384" t="str">
        <f>IF(J312=0,"",O312/J312-1)</f>
        <v/>
      </c>
      <c r="R312" s="385"/>
      <c r="S312" s="381">
        <f>SUMIFS('Livro Diario - FC'!$J$11:$J1028,'Livro Diario - FC'!$E$11:$E1028,$C$312,'Livro Diario - FC'!$D$11:$D1028,"&gt;=01/04"&amp;$C$7,'Livro Diario - FC'!$D$11:$D1028,"&lt;=30/04"&amp;$C$7)+SUM(S313:S315)</f>
        <v>0</v>
      </c>
      <c r="T312" s="387">
        <f>SUMIFS('Livro Diario - FC'!$J$11:$J1028,'Livro Diario - FC'!$E$11:$E1028,S312,'Livro Diario - FC'!$D$11:$D1028,"&gt;=01/04"&amp;$C$7,'Livro Diario - FC'!$D$11:$D1028,"&lt;=30/04"&amp;$C$7)+SUM(T313:T315)</f>
        <v>0</v>
      </c>
      <c r="U312" s="383" t="str">
        <f>IF(T$11=0,"",T312/T$11)</f>
        <v/>
      </c>
      <c r="V312" s="384" t="str">
        <f>IF(O312=0,"",T312/O312-1)</f>
        <v/>
      </c>
      <c r="W312" s="385"/>
      <c r="X312" s="381">
        <f>SUMIFS('Livro Diario - FC'!$J$11:$J1028,'Livro Diario - FC'!$E$11:$E1028,$C$312,'Livro Diario - FC'!$D$11:$D1028,"&gt;=01/05"&amp;$C$7,'Livro Diario - FC'!$D$11:$D1028,"&lt;=31/05"&amp;$C$7)+SUM(X313:X315)</f>
        <v>0</v>
      </c>
      <c r="Y312" s="387">
        <f>SUMIFS('Livro Diario - FC'!$J$11:$J1028,'Livro Diario - FC'!$E$11:$E1028,X312,'Livro Diario - FC'!$D$11:$D1028,"&gt;=01/05"&amp;$C$7,'Livro Diario - FC'!$D$11:$D1028,"&lt;=31/05"&amp;$C$7)+SUM(Y313:Y315)</f>
        <v>0</v>
      </c>
      <c r="Z312" s="383" t="str">
        <f>IF(Y$11=0,"",Y312/Y$11)</f>
        <v/>
      </c>
      <c r="AA312" s="384" t="str">
        <f>IF(T312=0,"",Y312/T312-1)</f>
        <v/>
      </c>
      <c r="AB312" s="385"/>
      <c r="AC312" s="381">
        <f>SUMIFS('Livro Diario - FC'!$J$11:$J1028,'Livro Diario - FC'!$E$11:$E1028,$C$312,'Livro Diario - FC'!$D$11:$D1028,"&gt;=01/06"&amp;$C$7,'Livro Diario - FC'!$D$11:$D1028,"&lt;=30/06"&amp;$C$7)+SUM(AC313:AC315)</f>
        <v>0</v>
      </c>
      <c r="AD312" s="387">
        <f>SUMIFS('Livro Diario - FC'!$J$11:$J1028,'Livro Diario - FC'!$E$11:$E1028,AC312,'Livro Diario - FC'!$D$11:$D1028,"&gt;=01/06"&amp;$C$7,'Livro Diario - FC'!$D$11:$D1028,"&lt;=30/06"&amp;$C$7)+SUM(AD313:AD315)</f>
        <v>0</v>
      </c>
      <c r="AE312" s="383" t="str">
        <f>IF(AD$11=0,"",AD312/AD$11)</f>
        <v/>
      </c>
      <c r="AF312" s="384" t="str">
        <f>IF(Y312=0,"",AD312/Y312-1)</f>
        <v/>
      </c>
      <c r="AG312" s="381">
        <f>SUMIFS('Livro Diario - FC'!$J$11:$J1028,'Livro Diario - FC'!$E$11:$E1028,$C$312,'Livro Diario - FC'!$D$11:$D1028,"&gt;=01/07"&amp;$C$7,'Livro Diario - FC'!$D$11:$D1028,"&lt;=31/07"&amp;$C$7)+SUM(AG313:AG315)</f>
        <v>0</v>
      </c>
      <c r="AH312" s="387">
        <f>SUMIFS('Livro Diario - FC'!$J$11:$J1028,'Livro Diario - FC'!$E$11:$E1028,AG312,'Livro Diario - FC'!$D$11:$D1028,"&gt;=01/07"&amp;$C$7,'Livro Diario - FC'!$D$11:$D1028,"&lt;=31/07"&amp;$C$7)+SUM(AH313:AH315)</f>
        <v>0</v>
      </c>
      <c r="AI312" s="383" t="str">
        <f>IF(AH$11=0,"",AH312/AH$11)</f>
        <v/>
      </c>
      <c r="AJ312" s="384" t="str">
        <f>IF(AD312=0,"",AH312/AD312-1)</f>
        <v/>
      </c>
      <c r="AK312" s="381">
        <f>SUMIFS('Livro Diario - FC'!$J$11:$J1028,'Livro Diario - FC'!$E$11:$E1028,$C$312,'Livro Diario - FC'!$D$11:$D1028,"&gt;=01/08"&amp;$C$7,'Livro Diario - FC'!$D$11:$D1028,"&lt;=31/08"&amp;$C$7)+SUM(AK313:AK315)</f>
        <v>0</v>
      </c>
      <c r="AL312" s="387">
        <f>SUMIFS('Livro Diario - FC'!$J$11:$J1028,'Livro Diario - FC'!$E$11:$E1028,AK312,'Livro Diario - FC'!$D$11:$D1028,"&gt;=01/08"&amp;$C$7,'Livro Diario - FC'!$D$11:$D1028,"&lt;=31/08"&amp;$C$7)+SUM(AL313:AL315)</f>
        <v>0</v>
      </c>
      <c r="AM312" s="383" t="str">
        <f>IF(AL$11=0,"",AL312/AL$11)</f>
        <v/>
      </c>
      <c r="AN312" s="384" t="str">
        <f>IF(AH312=0,"",AL312/AH312-1)</f>
        <v/>
      </c>
      <c r="AO312" s="381">
        <f>SUMIFS('Livro Diario - FC'!$J$11:$J1028,'Livro Diario - FC'!$E$11:$E1028,$C$312,'Livro Diario - FC'!$D$11:$D1028,"&gt;=01/09"&amp;$C$7,'Livro Diario - FC'!$D$11:$D1028,"&lt;=30/09"&amp;$C$7)+SUM(AO313:AO315)</f>
        <v>0</v>
      </c>
      <c r="AP312" s="387">
        <f>SUMIFS('Livro Diario - FC'!$J$11:$J1028,'Livro Diario - FC'!$E$11:$E1028,AO312,'Livro Diario - FC'!$D$11:$D1028,"&gt;=01/09"&amp;$C$7,'Livro Diario - FC'!$D$11:$D1028,"&lt;=30/09"&amp;$C$7)+SUM(AP313:AP315)</f>
        <v>0</v>
      </c>
      <c r="AQ312" s="383" t="str">
        <f>IF(AP$11=0,"",AP312/AP$11)</f>
        <v/>
      </c>
      <c r="AR312" s="384" t="str">
        <f>IF(AL312=0,"",AP312/AL312-1)</f>
        <v/>
      </c>
      <c r="AS312" s="381">
        <f>SUMIFS('Livro Diario - FC'!$J$11:$J1028,'Livro Diario - FC'!$E$11:$E1028,$C$312,'Livro Diario - FC'!$D$11:$D1028,"&gt;=01/10"&amp;$C$7,'Livro Diario - FC'!$D$11:$D1028,"&lt;=31/10"&amp;$C$7)+SUM(AS313:AS315)</f>
        <v>0</v>
      </c>
      <c r="AT312" s="387">
        <f>SUMIFS('Livro Diario - FC'!$J$11:$J1028,'Livro Diario - FC'!$E$11:$E1028,AS312,'Livro Diario - FC'!$D$11:$D1028,"&gt;=01/10"&amp;$C$7,'Livro Diario - FC'!$D$11:$D1028,"&lt;=31/10"&amp;$C$7)+SUM(AT313:AT315)</f>
        <v>0</v>
      </c>
      <c r="AU312" s="383" t="str">
        <f>IF(AT$11=0,"",AT312/AT$11)</f>
        <v/>
      </c>
      <c r="AV312" s="384" t="str">
        <f>IF(AP312=0,"",AT312/AP312-1)</f>
        <v/>
      </c>
      <c r="AW312" s="381">
        <f>SUMIFS('Livro Diario - FC'!$J$11:$J1028,'Livro Diario - FC'!$E$11:$E1028,$C$312,'Livro Diario - FC'!$D$11:$D1028,"&gt;=01/11"&amp;$C$7,'Livro Diario - FC'!$D$11:$D1028,"&lt;=30/11"&amp;$C$7)+SUM(AW313:AW315)</f>
        <v>0</v>
      </c>
      <c r="AX312" s="387">
        <f>SUMIFS('Livro Diario - FC'!$J$11:$J1028,'Livro Diario - FC'!$E$11:$E1028,AW312,'Livro Diario - FC'!$D$11:$D1028,"&gt;=01/11"&amp;$C$7,'Livro Diario - FC'!$D$11:$D1028,"&lt;=30/11"&amp;$C$7)+SUM(AX313:AX315)</f>
        <v>0</v>
      </c>
      <c r="AY312" s="383" t="str">
        <f>IF(AX$11=0,"",AX312/AX$11)</f>
        <v/>
      </c>
      <c r="AZ312" s="384" t="str">
        <f>IF(AT312=0,"",AX312/AT312-1)</f>
        <v/>
      </c>
      <c r="BA312" s="381">
        <f>SUMIFS('Livro Diario - FC'!$J$11:$J1028,'Livro Diario - FC'!$E$11:$E1028,$C$312,'Livro Diario - FC'!$D$11:$D1028,"&gt;=01/12"&amp;$C$7,'Livro Diario - FC'!$D$11:$D1028,"&lt;=31/12"&amp;$C$7)+SUM(BA313:BA315)</f>
        <v>0</v>
      </c>
      <c r="BB312" s="387">
        <f>SUMIFS('Livro Diario - FC'!$J$11:$J1028,'Livro Diario - FC'!$E$11:$E1028,BA312,'Livro Diario - FC'!$D$11:$D1028,"&gt;=01/12"&amp;$C$7,'Livro Diario - FC'!$D$11:$D1028,"&lt;=31/12"&amp;$C$7)+SUM(BB313:BB315)</f>
        <v>0</v>
      </c>
      <c r="BC312" s="383" t="str">
        <f>IF(BB$11=0,"",BB312/BB$11)</f>
        <v/>
      </c>
      <c r="BD312" s="385" t="str">
        <f>IF(AX312=0,"",BB312/AX312-1)</f>
        <v/>
      </c>
      <c r="BE312" s="331">
        <f t="shared" ref="BE312:BF312" si="534">SUM(D312,I312,N312,S312,X312,AC312,AG312,AK312,AO312,AS312,AW312,BA312)</f>
        <v>0</v>
      </c>
      <c r="BF312" s="369">
        <f t="shared" si="534"/>
        <v>0</v>
      </c>
      <c r="BG312" s="370">
        <f>IF(BF$11=0,"",BF312/BF$11)</f>
        <v>0</v>
      </c>
      <c r="BH312" s="336"/>
      <c r="BI312" s="371">
        <f>SUMIFS('Livro Diario - FC'!$M$11:$M1028,'Livro Diario - FC'!$E$11:$E1028,C312,'Livro Diario - FC'!$D$11:$D1028,"&gt;="&amp;$BK$8,'Livro Diario - FC'!$D$11:$D1028,"&lt;="&amp;$BK$9)+SUM(BI313:BI315)</f>
        <v>0</v>
      </c>
      <c r="BJ312" s="335" t="str">
        <f>IF(BI$11=0,"",BI312/BI$11)</f>
        <v/>
      </c>
      <c r="BK312" s="336"/>
      <c r="BL312" s="372"/>
    </row>
    <row r="313">
      <c r="A313" s="1"/>
      <c r="B313" s="1"/>
      <c r="C313" s="338" t="str">
        <f>'Livro Diario - FC'!AE320</f>
        <v>6.3.1 Consultoria</v>
      </c>
      <c r="D313" s="255">
        <f>SUMIFS('Livro Diario - FC'!$K$11:$K1028,'Livro Diario - FC'!$E$11:$E1028,$C$313,'Livro Diario - FC'!$D$11:$D1028,"&gt;=01/01"&amp;$C$7,'Livro Diario - FC'!$D$11:$D1028,"&lt;=31/01"&amp;$C$7)</f>
        <v>0</v>
      </c>
      <c r="E313" s="256">
        <f>SUMIFS('Livro Diario - FC'!$M$11:$M1028,'Livro Diario - FC'!$E$11:$E1028,$C$313,'Livro Diario - FC'!$D$11:$D1028,"&gt;=01/01"&amp;$C$7,'Livro Diario - FC'!$D$11:$D1028,"&lt;=31/01"&amp;$C$7)</f>
        <v>0</v>
      </c>
      <c r="F313" s="273"/>
      <c r="G313" s="258"/>
      <c r="H313" s="157"/>
      <c r="I313" s="255">
        <f>SUMIFS('Livro Diario - FC'!$K$11:$K1028,'Livro Diario - FC'!$E$11:$E1028,$C$313,'Livro Diario - FC'!$D$11:$D1028,"&gt;=01/02"&amp;$C$7,'Livro Diario - FC'!$D$11:$D1028,"&lt;=29/02"&amp;$C$7)</f>
        <v>0</v>
      </c>
      <c r="J313" s="256">
        <f>SUMIFS('Livro Diario - FC'!$M$11:$M1028,'Livro Diario - FC'!$E$11:$E1028,$C$313,'Livro Diario - FC'!$D$11:$D1028,"&gt;=01/02"&amp;$C$7,'Livro Diario - FC'!$D$11:$D1028,"&lt;=29/02"&amp;$C$7)</f>
        <v>0</v>
      </c>
      <c r="K313" s="273"/>
      <c r="L313" s="258"/>
      <c r="M313" s="259"/>
      <c r="N313" s="255">
        <f>SUMIFS('Livro Diario - FC'!$K$11:$K1028,'Livro Diario - FC'!$E$11:$E1028,$C$313,'Livro Diario - FC'!$D$11:$D1028,"&gt;=01/03"&amp;$C$7,'Livro Diario - FC'!$D$11:$D1028,"&lt;=31/03"&amp;$C$7)</f>
        <v>0</v>
      </c>
      <c r="O313" s="256">
        <f>SUMIFS('Livro Diario - FC'!$M$11:$M1028,'Livro Diario - FC'!$E$11:$E1028,$C$313,'Livro Diario - FC'!$D$11:$D1028,"&gt;=01/03"&amp;$C$7,'Livro Diario - FC'!$D$11:$D1028,"&lt;=31/03"&amp;$C$7)</f>
        <v>0</v>
      </c>
      <c r="P313" s="273"/>
      <c r="Q313" s="258"/>
      <c r="R313" s="259"/>
      <c r="S313" s="255">
        <f>SUMIFS('Livro Diario - FC'!$K$11:$K1028,'Livro Diario - FC'!$E$11:$E1028,$C$313,'Livro Diario - FC'!$D$11:$D1028,"&gt;=01/04"&amp;$C$7,'Livro Diario - FC'!$D$11:$D1028,"&lt;=30/04"&amp;$C$7)</f>
        <v>0</v>
      </c>
      <c r="T313" s="256">
        <f>SUMIFS('Livro Diario - FC'!$M$11:$M1028,'Livro Diario - FC'!$E$11:$E1028,$C$313,'Livro Diario - FC'!$D$11:$D1028,"&gt;=01/04"&amp;$C$7,'Livro Diario - FC'!$D$11:$D1028,"&lt;=30/04"&amp;$C$7)</f>
        <v>0</v>
      </c>
      <c r="U313" s="273"/>
      <c r="V313" s="258"/>
      <c r="W313" s="259"/>
      <c r="X313" s="255">
        <f>SUMIFS('Livro Diario - FC'!$K$11:$K1028,'Livro Diario - FC'!$E$11:$E1028,$C$313,'Livro Diario - FC'!$D$11:$D1028,"&gt;=01/05"&amp;$C$7,'Livro Diario - FC'!$D$11:$D1028,"&lt;=31/05"&amp;$C$7)</f>
        <v>0</v>
      </c>
      <c r="Y313" s="256">
        <f>SUMIFS('Livro Diario - FC'!$M$11:$M1028,'Livro Diario - FC'!$E$11:$E1028,$C$313,'Livro Diario - FC'!$D$11:$D1028,"&gt;=01/05"&amp;$C$7,'Livro Diario - FC'!$D$11:$D1028,"&lt;=31/05"&amp;$C$7)</f>
        <v>0</v>
      </c>
      <c r="Z313" s="273"/>
      <c r="AA313" s="258"/>
      <c r="AB313" s="259"/>
      <c r="AC313" s="255">
        <f>SUMIFS('Livro Diario - FC'!$K$11:$K1028,'Livro Diario - FC'!$E$11:$E1028,$C$313,'Livro Diario - FC'!$D$11:$D1028,"&gt;=01/06"&amp;$C$7,'Livro Diario - FC'!$D$11:$D1028,"&lt;=30/06"&amp;$C$7)</f>
        <v>0</v>
      </c>
      <c r="AD313" s="256">
        <f>SUMIFS('Livro Diario - FC'!$M$11:$M1028,'Livro Diario - FC'!$E$11:$E1028,$C$313,'Livro Diario - FC'!$D$11:$D1028,"&gt;=01/06"&amp;$C$7,'Livro Diario - FC'!$D$11:$D1028,"&lt;=30/06"&amp;$C$7)</f>
        <v>0</v>
      </c>
      <c r="AE313" s="273"/>
      <c r="AF313" s="258"/>
      <c r="AG313" s="255">
        <f>SUMIFS('Livro Diario - FC'!$K$11:$K1028,'Livro Diario - FC'!$E$11:$E1028,$C$313,'Livro Diario - FC'!$D$11:$D1028,"&gt;=01/07"&amp;$C$7,'Livro Diario - FC'!$D$11:$D1028,"&lt;=31/07"&amp;$C$7)</f>
        <v>0</v>
      </c>
      <c r="AH313" s="256">
        <f>SUMIFS('Livro Diario - FC'!$M$11:$M1028,'Livro Diario - FC'!$E$11:$E1028,$C$313,'Livro Diario - FC'!$D$11:$D1028,"&gt;=01/07"&amp;$C$7,'Livro Diario - FC'!$D$11:$D1028,"&lt;=31/07"&amp;$C$7)</f>
        <v>0</v>
      </c>
      <c r="AI313" s="273"/>
      <c r="AJ313" s="258"/>
      <c r="AK313" s="255">
        <f>SUMIFS('Livro Diario - FC'!$K$11:$K1028,'Livro Diario - FC'!$E$11:$E1028,$C$313,'Livro Diario - FC'!$D$11:$D1028,"&gt;=01/08"&amp;$C$7,'Livro Diario - FC'!$D$11:$D1028,"&lt;=31/08"&amp;$C$7)</f>
        <v>0</v>
      </c>
      <c r="AL313" s="256">
        <f>SUMIFS('Livro Diario - FC'!$M$11:$M1028,'Livro Diario - FC'!$E$11:$E1028,$C$313,'Livro Diario - FC'!$D$11:$D1028,"&gt;=01/08"&amp;$C$7,'Livro Diario - FC'!$D$11:$D1028,"&lt;=31/08"&amp;$C$7)</f>
        <v>0</v>
      </c>
      <c r="AM313" s="273"/>
      <c r="AN313" s="258"/>
      <c r="AO313" s="255">
        <f>SUMIFS('Livro Diario - FC'!$K$11:$K1028,'Livro Diario - FC'!$E$11:$E1028,$C$313,'Livro Diario - FC'!$D$11:$D1028,"&gt;=01/09"&amp;$C$7,'Livro Diario - FC'!$D$11:$D1028,"&lt;=30/09"&amp;$C$7)</f>
        <v>0</v>
      </c>
      <c r="AP313" s="256">
        <f>SUMIFS('Livro Diario - FC'!$M$11:$M1028,'Livro Diario - FC'!$E$11:$E1028,$C$313,'Livro Diario - FC'!$D$11:$D1028,"&gt;=01/09"&amp;$C$7,'Livro Diario - FC'!$D$11:$D1028,"&lt;=30/09"&amp;$C$7)</f>
        <v>0</v>
      </c>
      <c r="AQ313" s="273"/>
      <c r="AR313" s="258"/>
      <c r="AS313" s="255">
        <f>SUMIFS('Livro Diario - FC'!$K$11:$K1028,'Livro Diario - FC'!$E$11:$E1028,$C$313,'Livro Diario - FC'!$D$11:$D1028,"&gt;=01/10"&amp;$C$7,'Livro Diario - FC'!$D$11:$D1028,"&lt;=31/10"&amp;$C$7)</f>
        <v>0</v>
      </c>
      <c r="AT313" s="256">
        <f>SUMIFS('Livro Diario - FC'!$M$11:$M1028,'Livro Diario - FC'!$E$11:$E1028,$C$313,'Livro Diario - FC'!$D$11:$D1028,"&gt;=01/10"&amp;$C$7,'Livro Diario - FC'!$D$11:$D1028,"&lt;=31/10"&amp;$C$7)</f>
        <v>0</v>
      </c>
      <c r="AU313" s="273"/>
      <c r="AV313" s="258"/>
      <c r="AW313" s="255">
        <f>SUMIFS('Livro Diario - FC'!$K$11:$K1028,'Livro Diario - FC'!$E$11:$E1028,$C$313,'Livro Diario - FC'!$D$11:$D1028,"&gt;=01/11"&amp;$C$7,'Livro Diario - FC'!$D$11:$D1028,"&lt;=30/11"&amp;$C$7)</f>
        <v>0</v>
      </c>
      <c r="AX313" s="256">
        <f>SUMIFS('Livro Diario - FC'!$M$11:$M1028,'Livro Diario - FC'!$E$11:$E1028,$C$313,'Livro Diario - FC'!$D$11:$D1028,"&gt;=01/11"&amp;$C$7,'Livro Diario - FC'!$D$11:$D1028,"&lt;=30/11"&amp;$C$7)</f>
        <v>0</v>
      </c>
      <c r="AY313" s="273"/>
      <c r="AZ313" s="258"/>
      <c r="BA313" s="255">
        <f>SUMIFS('Livro Diario - FC'!$K$11:$K1028,'Livro Diario - FC'!$E$11:$E1028,$C$313,'Livro Diario - FC'!$D$11:$D1028,"&gt;=01/12"&amp;$C$7,'Livro Diario - FC'!$D$11:$D1028,"&lt;=31/12"&amp;$C$7)</f>
        <v>0</v>
      </c>
      <c r="BB313" s="256">
        <f>SUMIFS('Livro Diario - FC'!$M$11:$M1028,'Livro Diario - FC'!$E$11:$E1028,$C$313,'Livro Diario - FC'!$D$11:$D1028,"&gt;=01/12"&amp;$C$7,'Livro Diario - FC'!$D$11:$D1028,"&lt;=31/12"&amp;$C$7)</f>
        <v>0</v>
      </c>
      <c r="BC313" s="273"/>
      <c r="BD313" s="273"/>
      <c r="BE313" s="301">
        <f t="shared" ref="BE313:BF313" si="535">SUM(D313,I313,N313,S313,X313,AC313,AG313,AK313,AO313,AS313,AW313,BA313)</f>
        <v>0</v>
      </c>
      <c r="BF313" s="261">
        <f t="shared" si="535"/>
        <v>0</v>
      </c>
      <c r="BG313" s="262"/>
      <c r="BH313" s="302"/>
      <c r="BI313" s="303">
        <f>SUMIFS('Livro Diario - FC'!$M$11:$M1028,'Livro Diario - FC'!$E$11:$E1028,C313,'Livro Diario - FC'!$D$11:$D1028,"&gt;="&amp;$BK$8,'Livro Diario - FC'!$D$11:$D1028,"&lt;="&amp;$BK$9)</f>
        <v>0</v>
      </c>
      <c r="BJ313" s="271"/>
      <c r="BK313" s="304"/>
      <c r="BL313" s="339"/>
    </row>
    <row r="314">
      <c r="A314" s="1"/>
      <c r="B314" s="1"/>
      <c r="C314" s="338" t="str">
        <f>'Livro Diario - FC'!AE321</f>
        <v>6.3.2 Treinamentos</v>
      </c>
      <c r="D314" s="255">
        <f>SUMIFS('Livro Diario - FC'!$K$11:$K1028,'Livro Diario - FC'!$E$11:$E1028,$C$314,'Livro Diario - FC'!$D$11:$D1028,"&gt;=01/01"&amp;$C$7,'Livro Diario - FC'!$D$11:$D1028,"&lt;=31/01"&amp;$C$7)</f>
        <v>0</v>
      </c>
      <c r="E314" s="256">
        <f>SUMIFS('Livro Diario - FC'!$M$11:$M1028,'Livro Diario - FC'!$E$11:$E1028,$C$314,'Livro Diario - FC'!$D$11:$D1028,"&gt;=01/01"&amp;$C$7,'Livro Diario - FC'!$D$11:$D1028,"&lt;=31/01"&amp;$C$7)</f>
        <v>0</v>
      </c>
      <c r="F314" s="273"/>
      <c r="G314" s="258"/>
      <c r="H314" s="157"/>
      <c r="I314" s="255">
        <f>SUMIFS('Livro Diario - FC'!$K$11:$K1028,'Livro Diario - FC'!$E$11:$E1028,$C$314,'Livro Diario - FC'!$D$11:$D1028,"&gt;=01/02"&amp;$C$7,'Livro Diario - FC'!$D$11:$D1028,"&lt;=29/02"&amp;$C$7)</f>
        <v>0</v>
      </c>
      <c r="J314" s="256">
        <f>SUMIFS('Livro Diario - FC'!$M$11:$M1028,'Livro Diario - FC'!$E$11:$E1028,$C$314,'Livro Diario - FC'!$D$11:$D1028,"&gt;=01/02"&amp;$C$7,'Livro Diario - FC'!$D$11:$D1028,"&lt;=29/02"&amp;$C$7)</f>
        <v>0</v>
      </c>
      <c r="K314" s="273"/>
      <c r="L314" s="258"/>
      <c r="M314" s="259"/>
      <c r="N314" s="255">
        <f>SUMIFS('Livro Diario - FC'!$K$11:$K1028,'Livro Diario - FC'!$E$11:$E1028,$C$314,'Livro Diario - FC'!$D$11:$D1028,"&gt;=01/03"&amp;$C$7,'Livro Diario - FC'!$D$11:$D1028,"&lt;=31/03"&amp;$C$7)</f>
        <v>0</v>
      </c>
      <c r="O314" s="256">
        <f>SUMIFS('Livro Diario - FC'!$M$11:$M1028,'Livro Diario - FC'!$E$11:$E1028,$C$314,'Livro Diario - FC'!$D$11:$D1028,"&gt;=01/03"&amp;$C$7,'Livro Diario - FC'!$D$11:$D1028,"&lt;=31/03"&amp;$C$7)</f>
        <v>0</v>
      </c>
      <c r="P314" s="273"/>
      <c r="Q314" s="258"/>
      <c r="R314" s="259"/>
      <c r="S314" s="255">
        <f>SUMIFS('Livro Diario - FC'!$K$11:$K1028,'Livro Diario - FC'!$E$11:$E1028,$C$314,'Livro Diario - FC'!$D$11:$D1028,"&gt;=01/04"&amp;$C$7,'Livro Diario - FC'!$D$11:$D1028,"&lt;=30/04"&amp;$C$7)</f>
        <v>0</v>
      </c>
      <c r="T314" s="256">
        <f>SUMIFS('Livro Diario - FC'!$M$11:$M1028,'Livro Diario - FC'!$E$11:$E1028,$C$314,'Livro Diario - FC'!$D$11:$D1028,"&gt;=01/04"&amp;$C$7,'Livro Diario - FC'!$D$11:$D1028,"&lt;=30/04"&amp;$C$7)</f>
        <v>0</v>
      </c>
      <c r="U314" s="273"/>
      <c r="V314" s="258"/>
      <c r="W314" s="259"/>
      <c r="X314" s="255">
        <f>SUMIFS('Livro Diario - FC'!$K$11:$K1028,'Livro Diario - FC'!$E$11:$E1028,$C$314,'Livro Diario - FC'!$D$11:$D1028,"&gt;=01/05"&amp;$C$7,'Livro Diario - FC'!$D$11:$D1028,"&lt;=31/05"&amp;$C$7)</f>
        <v>0</v>
      </c>
      <c r="Y314" s="256">
        <f>SUMIFS('Livro Diario - FC'!$M$11:$M1028,'Livro Diario - FC'!$E$11:$E1028,$C$314,'Livro Diario - FC'!$D$11:$D1028,"&gt;=01/05"&amp;$C$7,'Livro Diario - FC'!$D$11:$D1028,"&lt;=31/05"&amp;$C$7)</f>
        <v>0</v>
      </c>
      <c r="Z314" s="273"/>
      <c r="AA314" s="258"/>
      <c r="AB314" s="259"/>
      <c r="AC314" s="255">
        <f>SUMIFS('Livro Diario - FC'!$K$11:$K1028,'Livro Diario - FC'!$E$11:$E1028,$C$314,'Livro Diario - FC'!$D$11:$D1028,"&gt;=01/06"&amp;$C$7,'Livro Diario - FC'!$D$11:$D1028,"&lt;=30/06"&amp;$C$7)</f>
        <v>0</v>
      </c>
      <c r="AD314" s="256">
        <f>SUMIFS('Livro Diario - FC'!$M$11:$M1028,'Livro Diario - FC'!$E$11:$E1028,$C$314,'Livro Diario - FC'!$D$11:$D1028,"&gt;=01/06"&amp;$C$7,'Livro Diario - FC'!$D$11:$D1028,"&lt;=30/06"&amp;$C$7)</f>
        <v>0</v>
      </c>
      <c r="AE314" s="273"/>
      <c r="AF314" s="258"/>
      <c r="AG314" s="255">
        <f>SUMIFS('Livro Diario - FC'!$K$11:$K1028,'Livro Diario - FC'!$E$11:$E1028,$C$314,'Livro Diario - FC'!$D$11:$D1028,"&gt;=01/07"&amp;$C$7,'Livro Diario - FC'!$D$11:$D1028,"&lt;=31/07"&amp;$C$7)</f>
        <v>0</v>
      </c>
      <c r="AH314" s="256">
        <f>SUMIFS('Livro Diario - FC'!$M$11:$M1028,'Livro Diario - FC'!$E$11:$E1028,$C$314,'Livro Diario - FC'!$D$11:$D1028,"&gt;=01/07"&amp;$C$7,'Livro Diario - FC'!$D$11:$D1028,"&lt;=31/07"&amp;$C$7)</f>
        <v>0</v>
      </c>
      <c r="AI314" s="273"/>
      <c r="AJ314" s="258"/>
      <c r="AK314" s="255">
        <f>SUMIFS('Livro Diario - FC'!$K$11:$K1028,'Livro Diario - FC'!$E$11:$E1028,$C$314,'Livro Diario - FC'!$D$11:$D1028,"&gt;=01/08"&amp;$C$7,'Livro Diario - FC'!$D$11:$D1028,"&lt;=31/08"&amp;$C$7)</f>
        <v>0</v>
      </c>
      <c r="AL314" s="256">
        <f>SUMIFS('Livro Diario - FC'!$M$11:$M1028,'Livro Diario - FC'!$E$11:$E1028,$C$314,'Livro Diario - FC'!$D$11:$D1028,"&gt;=01/08"&amp;$C$7,'Livro Diario - FC'!$D$11:$D1028,"&lt;=31/08"&amp;$C$7)</f>
        <v>0</v>
      </c>
      <c r="AM314" s="273"/>
      <c r="AN314" s="258"/>
      <c r="AO314" s="255">
        <f>SUMIFS('Livro Diario - FC'!$K$11:$K1028,'Livro Diario - FC'!$E$11:$E1028,$C$314,'Livro Diario - FC'!$D$11:$D1028,"&gt;=01/09"&amp;$C$7,'Livro Diario - FC'!$D$11:$D1028,"&lt;=30/09"&amp;$C$7)</f>
        <v>0</v>
      </c>
      <c r="AP314" s="256">
        <f>SUMIFS('Livro Diario - FC'!$M$11:$M1028,'Livro Diario - FC'!$E$11:$E1028,$C$314,'Livro Diario - FC'!$D$11:$D1028,"&gt;=01/09"&amp;$C$7,'Livro Diario - FC'!$D$11:$D1028,"&lt;=30/09"&amp;$C$7)</f>
        <v>0</v>
      </c>
      <c r="AQ314" s="273"/>
      <c r="AR314" s="258"/>
      <c r="AS314" s="255">
        <f>SUMIFS('Livro Diario - FC'!$K$11:$K1028,'Livro Diario - FC'!$E$11:$E1028,$C$314,'Livro Diario - FC'!$D$11:$D1028,"&gt;=01/10"&amp;$C$7,'Livro Diario - FC'!$D$11:$D1028,"&lt;=31/10"&amp;$C$7)</f>
        <v>0</v>
      </c>
      <c r="AT314" s="256">
        <f>SUMIFS('Livro Diario - FC'!$M$11:$M1028,'Livro Diario - FC'!$E$11:$E1028,$C$314,'Livro Diario - FC'!$D$11:$D1028,"&gt;=01/10"&amp;$C$7,'Livro Diario - FC'!$D$11:$D1028,"&lt;=31/10"&amp;$C$7)</f>
        <v>0</v>
      </c>
      <c r="AU314" s="273"/>
      <c r="AV314" s="258"/>
      <c r="AW314" s="255">
        <f>SUMIFS('Livro Diario - FC'!$K$11:$K1028,'Livro Diario - FC'!$E$11:$E1028,$C$314,'Livro Diario - FC'!$D$11:$D1028,"&gt;=01/11"&amp;$C$7,'Livro Diario - FC'!$D$11:$D1028,"&lt;=30/11"&amp;$C$7)</f>
        <v>0</v>
      </c>
      <c r="AX314" s="256">
        <f>SUMIFS('Livro Diario - FC'!$M$11:$M1028,'Livro Diario - FC'!$E$11:$E1028,$C$314,'Livro Diario - FC'!$D$11:$D1028,"&gt;=01/11"&amp;$C$7,'Livro Diario - FC'!$D$11:$D1028,"&lt;=30/11"&amp;$C$7)</f>
        <v>0</v>
      </c>
      <c r="AY314" s="273"/>
      <c r="AZ314" s="258"/>
      <c r="BA314" s="255">
        <f>SUMIFS('Livro Diario - FC'!$K$11:$K1028,'Livro Diario - FC'!$E$11:$E1028,$C$314,'Livro Diario - FC'!$D$11:$D1028,"&gt;=01/12"&amp;$C$7,'Livro Diario - FC'!$D$11:$D1028,"&lt;=31/12"&amp;$C$7)</f>
        <v>0</v>
      </c>
      <c r="BB314" s="256">
        <f>SUMIFS('Livro Diario - FC'!$M$11:$M1028,'Livro Diario - FC'!$E$11:$E1028,$C$314,'Livro Diario - FC'!$D$11:$D1028,"&gt;=01/12"&amp;$C$7,'Livro Diario - FC'!$D$11:$D1028,"&lt;=31/12"&amp;$C$7)</f>
        <v>0</v>
      </c>
      <c r="BC314" s="273"/>
      <c r="BD314" s="273"/>
      <c r="BE314" s="305">
        <f t="shared" ref="BE314:BF314" si="536">SUM(D314,I314,N314,S314,X314,AC314,AG314,AK314,AO314,AS314,AW314,BA314)</f>
        <v>0</v>
      </c>
      <c r="BF314" s="268">
        <f t="shared" si="536"/>
        <v>0</v>
      </c>
      <c r="BG314" s="269"/>
      <c r="BH314" s="192"/>
      <c r="BI314" s="303">
        <f>SUMIFS('Livro Diario - FC'!$M$11:$M1028,'Livro Diario - FC'!$E$11:$E1028,C314,'Livro Diario - FC'!$D$11:$D1028,"&gt;="&amp;$BK$8,'Livro Diario - FC'!$D$11:$D1028,"&lt;="&amp;$BK$9)</f>
        <v>0</v>
      </c>
      <c r="BJ314" s="271"/>
      <c r="BK314" s="272"/>
      <c r="BL314" s="1"/>
    </row>
    <row r="315">
      <c r="A315" s="1"/>
      <c r="B315" s="1"/>
      <c r="C315" s="338" t="str">
        <f>'Livro Diario - FC'!AE322</f>
        <v>6.3.3 Outros investimentos desenv. empresarial</v>
      </c>
      <c r="D315" s="255">
        <f>SUMIFS('Livro Diario - FC'!$K$11:$K1028,'Livro Diario - FC'!$E$11:$E1028,$C$315,'Livro Diario - FC'!$D$11:$D1028,"&gt;=01/01"&amp;$C$7,'Livro Diario - FC'!$D$11:$D1028,"&lt;=31/01"&amp;$C$7)</f>
        <v>0</v>
      </c>
      <c r="E315" s="256">
        <f>SUMIFS('Livro Diario - FC'!$M$11:$M1028,'Livro Diario - FC'!$E$11:$E1028,$C$315,'Livro Diario - FC'!$D$11:$D1028,"&gt;=01/01"&amp;$C$7,'Livro Diario - FC'!$D$11:$D1028,"&lt;=31/01"&amp;$C$7)</f>
        <v>0</v>
      </c>
      <c r="F315" s="273"/>
      <c r="G315" s="258"/>
      <c r="H315" s="157"/>
      <c r="I315" s="255">
        <f>SUMIFS('Livro Diario - FC'!$K$11:$K1028,'Livro Diario - FC'!$E$11:$E1028,$C$315,'Livro Diario - FC'!$D$11:$D1028,"&gt;=01/02"&amp;$C$7,'Livro Diario - FC'!$D$11:$D1028,"&lt;=29/02"&amp;$C$7)</f>
        <v>0</v>
      </c>
      <c r="J315" s="256">
        <f>SUMIFS('Livro Diario - FC'!$M$11:$M1028,'Livro Diario - FC'!$E$11:$E1028,$C$315,'Livro Diario - FC'!$D$11:$D1028,"&gt;=01/02"&amp;$C$7,'Livro Diario - FC'!$D$11:$D1028,"&lt;=29/02"&amp;$C$7)</f>
        <v>0</v>
      </c>
      <c r="K315" s="273"/>
      <c r="L315" s="258"/>
      <c r="M315" s="259"/>
      <c r="N315" s="255">
        <f>SUMIFS('Livro Diario - FC'!$K$11:$K1028,'Livro Diario - FC'!$E$11:$E1028,$C$315,'Livro Diario - FC'!$D$11:$D1028,"&gt;=01/03"&amp;$C$7,'Livro Diario - FC'!$D$11:$D1028,"&lt;=31/03"&amp;$C$7)</f>
        <v>0</v>
      </c>
      <c r="O315" s="256">
        <f>SUMIFS('Livro Diario - FC'!$M$11:$M1028,'Livro Diario - FC'!$E$11:$E1028,$C$315,'Livro Diario - FC'!$D$11:$D1028,"&gt;=01/03"&amp;$C$7,'Livro Diario - FC'!$D$11:$D1028,"&lt;=31/03"&amp;$C$7)</f>
        <v>0</v>
      </c>
      <c r="P315" s="273"/>
      <c r="Q315" s="258"/>
      <c r="R315" s="259"/>
      <c r="S315" s="255">
        <f>SUMIFS('Livro Diario - FC'!$K$11:$K1028,'Livro Diario - FC'!$E$11:$E1028,$C$315,'Livro Diario - FC'!$D$11:$D1028,"&gt;=01/04"&amp;$C$7,'Livro Diario - FC'!$D$11:$D1028,"&lt;=30/04"&amp;$C$7)</f>
        <v>0</v>
      </c>
      <c r="T315" s="256">
        <f>SUMIFS('Livro Diario - FC'!$M$11:$M1028,'Livro Diario - FC'!$E$11:$E1028,$C$315,'Livro Diario - FC'!$D$11:$D1028,"&gt;=01/04"&amp;$C$7,'Livro Diario - FC'!$D$11:$D1028,"&lt;=30/04"&amp;$C$7)</f>
        <v>0</v>
      </c>
      <c r="U315" s="273"/>
      <c r="V315" s="258"/>
      <c r="W315" s="259"/>
      <c r="X315" s="255">
        <f>SUMIFS('Livro Diario - FC'!$K$11:$K1028,'Livro Diario - FC'!$E$11:$E1028,$C$315,'Livro Diario - FC'!$D$11:$D1028,"&gt;=01/05"&amp;$C$7,'Livro Diario - FC'!$D$11:$D1028,"&lt;=31/05"&amp;$C$7)</f>
        <v>0</v>
      </c>
      <c r="Y315" s="256">
        <f>SUMIFS('Livro Diario - FC'!$M$11:$M1028,'Livro Diario - FC'!$E$11:$E1028,$C$315,'Livro Diario - FC'!$D$11:$D1028,"&gt;=01/05"&amp;$C$7,'Livro Diario - FC'!$D$11:$D1028,"&lt;=31/05"&amp;$C$7)</f>
        <v>0</v>
      </c>
      <c r="Z315" s="273"/>
      <c r="AA315" s="258"/>
      <c r="AB315" s="259"/>
      <c r="AC315" s="255">
        <f>SUMIFS('Livro Diario - FC'!$K$11:$K1028,'Livro Diario - FC'!$E$11:$E1028,$C$315,'Livro Diario - FC'!$D$11:$D1028,"&gt;=01/06"&amp;$C$7,'Livro Diario - FC'!$D$11:$D1028,"&lt;=30/06"&amp;$C$7)</f>
        <v>0</v>
      </c>
      <c r="AD315" s="256">
        <f>SUMIFS('Livro Diario - FC'!$M$11:$M1028,'Livro Diario - FC'!$E$11:$E1028,$C$315,'Livro Diario - FC'!$D$11:$D1028,"&gt;=01/06"&amp;$C$7,'Livro Diario - FC'!$D$11:$D1028,"&lt;=30/06"&amp;$C$7)</f>
        <v>0</v>
      </c>
      <c r="AE315" s="273"/>
      <c r="AF315" s="258"/>
      <c r="AG315" s="255">
        <f>SUMIFS('Livro Diario - FC'!$K$11:$K1028,'Livro Diario - FC'!$E$11:$E1028,$C$315,'Livro Diario - FC'!$D$11:$D1028,"&gt;=01/07"&amp;$C$7,'Livro Diario - FC'!$D$11:$D1028,"&lt;=31/07"&amp;$C$7)</f>
        <v>0</v>
      </c>
      <c r="AH315" s="256">
        <f>SUMIFS('Livro Diario - FC'!$M$11:$M1028,'Livro Diario - FC'!$E$11:$E1028,$C$315,'Livro Diario - FC'!$D$11:$D1028,"&gt;=01/07"&amp;$C$7,'Livro Diario - FC'!$D$11:$D1028,"&lt;=31/07"&amp;$C$7)</f>
        <v>0</v>
      </c>
      <c r="AI315" s="273"/>
      <c r="AJ315" s="258"/>
      <c r="AK315" s="255">
        <f>SUMIFS('Livro Diario - FC'!$K$11:$K1028,'Livro Diario - FC'!$E$11:$E1028,$C$315,'Livro Diario - FC'!$D$11:$D1028,"&gt;=01/08"&amp;$C$7,'Livro Diario - FC'!$D$11:$D1028,"&lt;=31/08"&amp;$C$7)</f>
        <v>0</v>
      </c>
      <c r="AL315" s="256">
        <f>SUMIFS('Livro Diario - FC'!$M$11:$M1028,'Livro Diario - FC'!$E$11:$E1028,$C$315,'Livro Diario - FC'!$D$11:$D1028,"&gt;=01/08"&amp;$C$7,'Livro Diario - FC'!$D$11:$D1028,"&lt;=31/08"&amp;$C$7)</f>
        <v>0</v>
      </c>
      <c r="AM315" s="273"/>
      <c r="AN315" s="258"/>
      <c r="AO315" s="255">
        <f>SUMIFS('Livro Diario - FC'!$K$11:$K1028,'Livro Diario - FC'!$E$11:$E1028,$C$315,'Livro Diario - FC'!$D$11:$D1028,"&gt;=01/09"&amp;$C$7,'Livro Diario - FC'!$D$11:$D1028,"&lt;=30/09"&amp;$C$7)</f>
        <v>0</v>
      </c>
      <c r="AP315" s="256">
        <f>SUMIFS('Livro Diario - FC'!$M$11:$M1028,'Livro Diario - FC'!$E$11:$E1028,$C$315,'Livro Diario - FC'!$D$11:$D1028,"&gt;=01/09"&amp;$C$7,'Livro Diario - FC'!$D$11:$D1028,"&lt;=30/09"&amp;$C$7)</f>
        <v>0</v>
      </c>
      <c r="AQ315" s="273"/>
      <c r="AR315" s="258"/>
      <c r="AS315" s="255">
        <f>SUMIFS('Livro Diario - FC'!$K$11:$K1028,'Livro Diario - FC'!$E$11:$E1028,$C$315,'Livro Diario - FC'!$D$11:$D1028,"&gt;=01/10"&amp;$C$7,'Livro Diario - FC'!$D$11:$D1028,"&lt;=31/10"&amp;$C$7)</f>
        <v>0</v>
      </c>
      <c r="AT315" s="256">
        <f>SUMIFS('Livro Diario - FC'!$M$11:$M1028,'Livro Diario - FC'!$E$11:$E1028,$C$315,'Livro Diario - FC'!$D$11:$D1028,"&gt;=01/10"&amp;$C$7,'Livro Diario - FC'!$D$11:$D1028,"&lt;=31/10"&amp;$C$7)</f>
        <v>0</v>
      </c>
      <c r="AU315" s="273"/>
      <c r="AV315" s="258"/>
      <c r="AW315" s="255">
        <f>SUMIFS('Livro Diario - FC'!$K$11:$K1028,'Livro Diario - FC'!$E$11:$E1028,$C$315,'Livro Diario - FC'!$D$11:$D1028,"&gt;=01/11"&amp;$C$7,'Livro Diario - FC'!$D$11:$D1028,"&lt;=30/11"&amp;$C$7)</f>
        <v>0</v>
      </c>
      <c r="AX315" s="256">
        <f>SUMIFS('Livro Diario - FC'!$M$11:$M1028,'Livro Diario - FC'!$E$11:$E1028,$C$315,'Livro Diario - FC'!$D$11:$D1028,"&gt;=01/11"&amp;$C$7,'Livro Diario - FC'!$D$11:$D1028,"&lt;=30/11"&amp;$C$7)</f>
        <v>0</v>
      </c>
      <c r="AY315" s="273"/>
      <c r="AZ315" s="258"/>
      <c r="BA315" s="255">
        <f>SUMIFS('Livro Diario - FC'!$K$11:$K1028,'Livro Diario - FC'!$E$11:$E1028,$C$315,'Livro Diario - FC'!$D$11:$D1028,"&gt;=01/12"&amp;$C$7,'Livro Diario - FC'!$D$11:$D1028,"&lt;=31/12"&amp;$C$7)</f>
        <v>0</v>
      </c>
      <c r="BB315" s="256">
        <f>SUMIFS('Livro Diario - FC'!$M$11:$M1028,'Livro Diario - FC'!$E$11:$E1028,$C$315,'Livro Diario - FC'!$D$11:$D1028,"&gt;=01/12"&amp;$C$7,'Livro Diario - FC'!$D$11:$D1028,"&lt;=31/12"&amp;$C$7)</f>
        <v>0</v>
      </c>
      <c r="BC315" s="273"/>
      <c r="BD315" s="273"/>
      <c r="BE315" s="419">
        <f t="shared" ref="BE315:BF315" si="537">SUM(D315,I315,N315,S315,X315,AC315,AG315,AK315,AO315,AS315,AW315,BA315)</f>
        <v>0</v>
      </c>
      <c r="BF315" s="342">
        <f t="shared" si="537"/>
        <v>0</v>
      </c>
      <c r="BG315" s="343"/>
      <c r="BH315" s="344"/>
      <c r="BI315" s="303">
        <f>SUMIFS('Livro Diario - FC'!$M$11:$M1028,'Livro Diario - FC'!$E$11:$E1028,C315,'Livro Diario - FC'!$D$11:$D1028,"&gt;="&amp;$BK$8,'Livro Diario - FC'!$D$11:$D1028,"&lt;="&amp;$BK$9)</f>
        <v>0</v>
      </c>
      <c r="BJ315" s="271"/>
      <c r="BK315" s="345"/>
      <c r="BL315" s="146"/>
    </row>
    <row r="316">
      <c r="A316" s="1"/>
      <c r="B316" s="40"/>
      <c r="C316" s="338" t="str">
        <f>'Livro Diario - FC'!AE323</f>
        <v>6.3.4 .</v>
      </c>
      <c r="D316" s="255">
        <f>SUMIFS('Livro Diario - FC'!$K$11:$K1028,'Livro Diario - FC'!$E$11:$E1028,$C$315,'Livro Diario - FC'!$D$11:$D1028,"&gt;=01/01"&amp;$C$7,'Livro Diario - FC'!$D$11:$D1028,"&lt;=31/01"&amp;$C$7)</f>
        <v>0</v>
      </c>
      <c r="E316" s="256">
        <f>SUMIFS('Livro Diario - FC'!$M$11:$M1028,'Livro Diario - FC'!$E$11:$E1028,$C$315,'Livro Diario - FC'!$D$11:$D1028,"&gt;=01/01"&amp;$C$7,'Livro Diario - FC'!$D$11:$D1028,"&lt;=31/01"&amp;$C$7)</f>
        <v>0</v>
      </c>
      <c r="F316" s="273"/>
      <c r="G316" s="258"/>
      <c r="H316" s="157"/>
      <c r="I316" s="255">
        <f>SUMIFS('Livro Diario - FC'!$K$11:$K1028,'Livro Diario - FC'!$E$11:$E1028,$C$315,'Livro Diario - FC'!$D$11:$D1028,"&gt;=01/02"&amp;$C$7,'Livro Diario - FC'!$D$11:$D1028,"&lt;=29/02"&amp;$C$7)</f>
        <v>0</v>
      </c>
      <c r="J316" s="256">
        <f>SUMIFS('Livro Diario - FC'!$M$11:$M1028,'Livro Diario - FC'!$E$11:$E1028,$C$315,'Livro Diario - FC'!$D$11:$D1028,"&gt;=01/02"&amp;$C$7,'Livro Diario - FC'!$D$11:$D1028,"&lt;=29/02"&amp;$C$7)</f>
        <v>0</v>
      </c>
      <c r="K316" s="273"/>
      <c r="L316" s="258"/>
      <c r="M316" s="259"/>
      <c r="N316" s="255">
        <f>SUMIFS('Livro Diario - FC'!$K$11:$K1028,'Livro Diario - FC'!$E$11:$E1028,$C$315,'Livro Diario - FC'!$D$11:$D1028,"&gt;=01/03"&amp;$C$7,'Livro Diario - FC'!$D$11:$D1028,"&lt;=31/03"&amp;$C$7)</f>
        <v>0</v>
      </c>
      <c r="O316" s="256">
        <f>SUMIFS('Livro Diario - FC'!$M$11:$M1028,'Livro Diario - FC'!$E$11:$E1028,$C$315,'Livro Diario - FC'!$D$11:$D1028,"&gt;=01/03"&amp;$C$7,'Livro Diario - FC'!$D$11:$D1028,"&lt;=31/03"&amp;$C$7)</f>
        <v>0</v>
      </c>
      <c r="P316" s="273"/>
      <c r="Q316" s="258"/>
      <c r="R316" s="259"/>
      <c r="S316" s="255">
        <f>SUMIFS('Livro Diario - FC'!$K$11:$K1028,'Livro Diario - FC'!$E$11:$E1028,$C$315,'Livro Diario - FC'!$D$11:$D1028,"&gt;=01/04"&amp;$C$7,'Livro Diario - FC'!$D$11:$D1028,"&lt;=30/04"&amp;$C$7)</f>
        <v>0</v>
      </c>
      <c r="T316" s="256">
        <f>SUMIFS('Livro Diario - FC'!$M$11:$M1028,'Livro Diario - FC'!$E$11:$E1028,$C$315,'Livro Diario - FC'!$D$11:$D1028,"&gt;=01/04"&amp;$C$7,'Livro Diario - FC'!$D$11:$D1028,"&lt;=30/04"&amp;$C$7)</f>
        <v>0</v>
      </c>
      <c r="U316" s="273"/>
      <c r="V316" s="258"/>
      <c r="W316" s="259"/>
      <c r="X316" s="255">
        <f>SUMIFS('Livro Diario - FC'!$K$11:$K1028,'Livro Diario - FC'!$E$11:$E1028,$C$315,'Livro Diario - FC'!$D$11:$D1028,"&gt;=01/05"&amp;$C$7,'Livro Diario - FC'!$D$11:$D1028,"&lt;=31/05"&amp;$C$7)</f>
        <v>0</v>
      </c>
      <c r="Y316" s="256">
        <f>SUMIFS('Livro Diario - FC'!$M$11:$M1028,'Livro Diario - FC'!$E$11:$E1028,$C$315,'Livro Diario - FC'!$D$11:$D1028,"&gt;=01/05"&amp;$C$7,'Livro Diario - FC'!$D$11:$D1028,"&lt;=31/05"&amp;$C$7)</f>
        <v>0</v>
      </c>
      <c r="Z316" s="273"/>
      <c r="AA316" s="258"/>
      <c r="AB316" s="259"/>
      <c r="AC316" s="255">
        <f>SUMIFS('Livro Diario - FC'!$K$11:$K1028,'Livro Diario - FC'!$E$11:$E1028,$C$315,'Livro Diario - FC'!$D$11:$D1028,"&gt;=01/06"&amp;$C$7,'Livro Diario - FC'!$D$11:$D1028,"&lt;=30/06"&amp;$C$7)</f>
        <v>0</v>
      </c>
      <c r="AD316" s="256">
        <f>SUMIFS('Livro Diario - FC'!$M$11:$M1028,'Livro Diario - FC'!$E$11:$E1028,$C$315,'Livro Diario - FC'!$D$11:$D1028,"&gt;=01/06"&amp;$C$7,'Livro Diario - FC'!$D$11:$D1028,"&lt;=30/06"&amp;$C$7)</f>
        <v>0</v>
      </c>
      <c r="AE316" s="273"/>
      <c r="AF316" s="258"/>
      <c r="AG316" s="255">
        <f>SUMIFS('Livro Diario - FC'!$K$11:$K1028,'Livro Diario - FC'!$E$11:$E1028,$C$315,'Livro Diario - FC'!$D$11:$D1028,"&gt;=01/07"&amp;$C$7,'Livro Diario - FC'!$D$11:$D1028,"&lt;=31/07"&amp;$C$7)</f>
        <v>0</v>
      </c>
      <c r="AH316" s="256">
        <f>SUMIFS('Livro Diario - FC'!$M$11:$M1028,'Livro Diario - FC'!$E$11:$E1028,$C$315,'Livro Diario - FC'!$D$11:$D1028,"&gt;=01/07"&amp;$C$7,'Livro Diario - FC'!$D$11:$D1028,"&lt;=31/07"&amp;$C$7)</f>
        <v>0</v>
      </c>
      <c r="AI316" s="273"/>
      <c r="AJ316" s="258"/>
      <c r="AK316" s="255">
        <f>SUMIFS('Livro Diario - FC'!$K$11:$K1028,'Livro Diario - FC'!$E$11:$E1028,$C$315,'Livro Diario - FC'!$D$11:$D1028,"&gt;=01/08"&amp;$C$7,'Livro Diario - FC'!$D$11:$D1028,"&lt;=31/08"&amp;$C$7)</f>
        <v>0</v>
      </c>
      <c r="AL316" s="256">
        <f>SUMIFS('Livro Diario - FC'!$M$11:$M1028,'Livro Diario - FC'!$E$11:$E1028,$C$315,'Livro Diario - FC'!$D$11:$D1028,"&gt;=01/08"&amp;$C$7,'Livro Diario - FC'!$D$11:$D1028,"&lt;=31/08"&amp;$C$7)</f>
        <v>0</v>
      </c>
      <c r="AM316" s="273"/>
      <c r="AN316" s="258"/>
      <c r="AO316" s="255">
        <f>SUMIFS('Livro Diario - FC'!$K$11:$K1028,'Livro Diario - FC'!$E$11:$E1028,$C$315,'Livro Diario - FC'!$D$11:$D1028,"&gt;=01/09"&amp;$C$7,'Livro Diario - FC'!$D$11:$D1028,"&lt;=30/09"&amp;$C$7)</f>
        <v>0</v>
      </c>
      <c r="AP316" s="256">
        <f>SUMIFS('Livro Diario - FC'!$M$11:$M1028,'Livro Diario - FC'!$E$11:$E1028,$C$315,'Livro Diario - FC'!$D$11:$D1028,"&gt;=01/09"&amp;$C$7,'Livro Diario - FC'!$D$11:$D1028,"&lt;=30/09"&amp;$C$7)</f>
        <v>0</v>
      </c>
      <c r="AQ316" s="273"/>
      <c r="AR316" s="258"/>
      <c r="AS316" s="255">
        <f>SUMIFS('Livro Diario - FC'!$K$11:$K1028,'Livro Diario - FC'!$E$11:$E1028,$C$315,'Livro Diario - FC'!$D$11:$D1028,"&gt;=01/10"&amp;$C$7,'Livro Diario - FC'!$D$11:$D1028,"&lt;=31/10"&amp;$C$7)</f>
        <v>0</v>
      </c>
      <c r="AT316" s="256">
        <f>SUMIFS('Livro Diario - FC'!$M$11:$M1028,'Livro Diario - FC'!$E$11:$E1028,$C$315,'Livro Diario - FC'!$D$11:$D1028,"&gt;=01/10"&amp;$C$7,'Livro Diario - FC'!$D$11:$D1028,"&lt;=31/10"&amp;$C$7)</f>
        <v>0</v>
      </c>
      <c r="AU316" s="273"/>
      <c r="AV316" s="258"/>
      <c r="AW316" s="255">
        <f>SUMIFS('Livro Diario - FC'!$K$11:$K1028,'Livro Diario - FC'!$E$11:$E1028,$C$315,'Livro Diario - FC'!$D$11:$D1028,"&gt;=01/11"&amp;$C$7,'Livro Diario - FC'!$D$11:$D1028,"&lt;=30/11"&amp;$C$7)</f>
        <v>0</v>
      </c>
      <c r="AX316" s="256">
        <f>SUMIFS('Livro Diario - FC'!$M$11:$M1028,'Livro Diario - FC'!$E$11:$E1028,$C$315,'Livro Diario - FC'!$D$11:$D1028,"&gt;=01/11"&amp;$C$7,'Livro Diario - FC'!$D$11:$D1028,"&lt;=30/11"&amp;$C$7)</f>
        <v>0</v>
      </c>
      <c r="AY316" s="273"/>
      <c r="AZ316" s="258"/>
      <c r="BA316" s="255">
        <f>SUMIFS('Livro Diario - FC'!$K$11:$K1028,'Livro Diario - FC'!$E$11:$E1028,$C$315,'Livro Diario - FC'!$D$11:$D1028,"&gt;=01/12"&amp;$C$7,'Livro Diario - FC'!$D$11:$D1028,"&lt;=31/12"&amp;$C$7)</f>
        <v>0</v>
      </c>
      <c r="BB316" s="256">
        <f>SUMIFS('Livro Diario - FC'!$M$11:$M1028,'Livro Diario - FC'!$E$11:$E1028,$C$315,'Livro Diario - FC'!$D$11:$D1028,"&gt;=01/12"&amp;$C$7,'Livro Diario - FC'!$D$11:$D1028,"&lt;=31/12"&amp;$C$7)</f>
        <v>0</v>
      </c>
      <c r="BC316" s="273"/>
      <c r="BD316" s="273"/>
      <c r="BE316" s="419">
        <f t="shared" ref="BE316:BF316" si="538">SUM(D316,I316,N316,S316,X316,AC316,AG316,AK316,AO316,AS316,AW316,BA316)</f>
        <v>0</v>
      </c>
      <c r="BF316" s="342">
        <f t="shared" si="538"/>
        <v>0</v>
      </c>
      <c r="BG316" s="343"/>
      <c r="BH316" s="344"/>
      <c r="BI316" s="303">
        <f>SUMIFS('Livro Diario - FC'!$M$11:$M1028,'Livro Diario - FC'!$E$11:$E1028,C316,'Livro Diario - FC'!$D$11:$D1028,"&gt;="&amp;$BK$8,'Livro Diario - FC'!$D$11:$D1028,"&lt;="&amp;$BK$9)</f>
        <v>0</v>
      </c>
      <c r="BJ316" s="271"/>
      <c r="BK316" s="345"/>
      <c r="BL316" s="146"/>
    </row>
    <row r="317">
      <c r="A317" s="1"/>
      <c r="B317" s="40"/>
      <c r="C317" s="380" t="s">
        <v>477</v>
      </c>
      <c r="D317" s="381">
        <f>SUMIFS('Livro Diario - FC'!$K$11:$K1028,'Livro Diario - FC'!$E$11:$E1028,$C$317,'Livro Diario - FC'!$D$11:$D1028,"&gt;=01/01"&amp;$C$7,'Livro Diario - FC'!$D$11:$D1028,"&lt;=31/01"&amp;$C$7)+SUM(D318:D319)</f>
        <v>0</v>
      </c>
      <c r="E317" s="387">
        <f>SUMIFS('Livro Diario - FC'!$K$11:$K1028,'Livro Diario - FC'!$E$11:$E1028,D317,'Livro Diario - FC'!$D$11:$D1028,"&gt;=01/01"&amp;$C$7,'Livro Diario - FC'!$D$11:$D1028,"&lt;=31/01"&amp;$C$7)+SUM(E318:E319)</f>
        <v>0</v>
      </c>
      <c r="F317" s="383">
        <f>IF(E$11=0,"",E317/E$11)</f>
        <v>0</v>
      </c>
      <c r="G317" s="384" t="str">
        <f>IF(A317=0,"",E317/A317-1)</f>
        <v/>
      </c>
      <c r="H317" s="327"/>
      <c r="I317" s="381">
        <f>SUMIFS('Livro Diario - FC'!$K$11:$K1028,'Livro Diario - FC'!$E$11:$E1028,$C$317,'Livro Diario - FC'!$D$11:$D1028,"&gt;=01/02"&amp;$C$7,'Livro Diario - FC'!$D$11:$D1028,"&lt;=29/02"&amp;$C$7)+SUM(I318:I319)</f>
        <v>0</v>
      </c>
      <c r="J317" s="387">
        <f>SUMIFS('Livro Diario - FC'!$K$11:$K1028,'Livro Diario - FC'!$E$11:$E1028,I317,'Livro Diario - FC'!$D$11:$D1028,"&gt;=01/02"&amp;$C$7,'Livro Diario - FC'!$D$11:$D1028,"&lt;=29/02"&amp;$C$7)+SUM(J318:J319)</f>
        <v>0</v>
      </c>
      <c r="K317" s="383" t="str">
        <f>IF(J$11=0,"",J317/J$11)</f>
        <v/>
      </c>
      <c r="L317" s="384" t="str">
        <f>IF(E317=0,"",J317/E317-1)</f>
        <v/>
      </c>
      <c r="M317" s="385"/>
      <c r="N317" s="381">
        <f>SUMIFS('Livro Diario - FC'!$K$11:$K1028,'Livro Diario - FC'!$E$11:$E1028,$C$317,'Livro Diario - FC'!$D$11:$D1028,"&gt;=01/03"&amp;$C$7,'Livro Diario - FC'!$D$11:$D1028,"&lt;=31/03"&amp;$C$7)+SUM(N318:N319)</f>
        <v>0</v>
      </c>
      <c r="O317" s="387">
        <f>SUMIFS('Livro Diario - FC'!$K$11:$K1028,'Livro Diario - FC'!$E$11:$E1028,N317,'Livro Diario - FC'!$D$11:$D1028,"&gt;=01/03"&amp;$C$7,'Livro Diario - FC'!$D$11:$D1028,"&lt;=31/03"&amp;$C$7)+SUM(O318:O319)</f>
        <v>0</v>
      </c>
      <c r="P317" s="383" t="str">
        <f>IF(O$11=0,"",O317/O$11)</f>
        <v/>
      </c>
      <c r="Q317" s="384" t="str">
        <f>IF(J317=0,"",O317/J317-1)</f>
        <v/>
      </c>
      <c r="R317" s="385"/>
      <c r="S317" s="381">
        <f>SUMIFS('Livro Diario - FC'!$K$11:$K1028,'Livro Diario - FC'!$E$11:$E1028,$C$317,'Livro Diario - FC'!$D$11:$D1028,"&gt;=01/04"&amp;$C$7,'Livro Diario - FC'!$D$11:$D1028,"&lt;=30/04"&amp;$C$7)+SUM(S318:S319)</f>
        <v>0</v>
      </c>
      <c r="T317" s="387">
        <f>SUMIFS('Livro Diario - FC'!$K$11:$K1028,'Livro Diario - FC'!$E$11:$E1028,S317,'Livro Diario - FC'!$D$11:$D1028,"&gt;=01/04"&amp;$C$7,'Livro Diario - FC'!$D$11:$D1028,"&lt;=30/04"&amp;$C$7)+SUM(T318:T319)</f>
        <v>0</v>
      </c>
      <c r="U317" s="383" t="str">
        <f>IF(T$11=0,"",T317/T$11)</f>
        <v/>
      </c>
      <c r="V317" s="384" t="str">
        <f>IF(O317=0,"",T317/O317-1)</f>
        <v/>
      </c>
      <c r="W317" s="385"/>
      <c r="X317" s="381">
        <f>SUMIFS('Livro Diario - FC'!$K$11:$K1028,'Livro Diario - FC'!$E$11:$E1028,$C$317,'Livro Diario - FC'!$D$11:$D1028,"&gt;=01/05"&amp;$C$7,'Livro Diario - FC'!$D$11:$D1028,"&lt;=31/05"&amp;$C$7)+SUM(X318:X319)</f>
        <v>0</v>
      </c>
      <c r="Y317" s="387">
        <f>SUMIFS('Livro Diario - FC'!$K$11:$K1028,'Livro Diario - FC'!$E$11:$E1028,X317,'Livro Diario - FC'!$D$11:$D1028,"&gt;=01/05"&amp;$C$7,'Livro Diario - FC'!$D$11:$D1028,"&lt;=31/05"&amp;$C$7)+SUM(Y318:Y319)</f>
        <v>0</v>
      </c>
      <c r="Z317" s="383" t="str">
        <f>IF(Y$11=0,"",Y317/Y$11)</f>
        <v/>
      </c>
      <c r="AA317" s="384" t="str">
        <f>IF(T317=0,"",Y317/T317-1)</f>
        <v/>
      </c>
      <c r="AB317" s="385"/>
      <c r="AC317" s="381">
        <f>SUMIFS('Livro Diario - FC'!$K$11:$K1028,'Livro Diario - FC'!$E$11:$E1028,$C$317,'Livro Diario - FC'!$D$11:$D1028,"&gt;=01/06"&amp;$C$7,'Livro Diario - FC'!$D$11:$D1028,"&lt;=30/06"&amp;$C$7)+SUM(AC318:AC319)</f>
        <v>0</v>
      </c>
      <c r="AD317" s="387">
        <f>SUMIFS('Livro Diario - FC'!$K$11:$K1028,'Livro Diario - FC'!$E$11:$E1028,AC317,'Livro Diario - FC'!$D$11:$D1028,"&gt;=01/06"&amp;$C$7,'Livro Diario - FC'!$D$11:$D1028,"&lt;=30/06"&amp;$C$7)+SUM(AD318:AD319)</f>
        <v>0</v>
      </c>
      <c r="AE317" s="383" t="str">
        <f>IF(AD$11=0,"",AD317/AD$11)</f>
        <v/>
      </c>
      <c r="AF317" s="384" t="str">
        <f>IF(Y317=0,"",AD317/Y317-1)</f>
        <v/>
      </c>
      <c r="AG317" s="381">
        <f>SUMIFS('Livro Diario - FC'!$K$11:$K1028,'Livro Diario - FC'!$E$11:$E1028,$C$317,'Livro Diario - FC'!$D$11:$D1028,"&gt;=01/07"&amp;$C$7,'Livro Diario - FC'!$D$11:$D1028,"&lt;=31/07"&amp;$C$7)+SUM(AG318:AG319)</f>
        <v>0</v>
      </c>
      <c r="AH317" s="387">
        <f>SUMIFS('Livro Diario - FC'!$K$11:$K1028,'Livro Diario - FC'!$E$11:$E1028,AG317,'Livro Diario - FC'!$D$11:$D1028,"&gt;=01/07"&amp;$C$7,'Livro Diario - FC'!$D$11:$D1028,"&lt;=31/07"&amp;$C$7)+SUM(AH318:AH319)</f>
        <v>0</v>
      </c>
      <c r="AI317" s="383" t="str">
        <f>IF(AH$11=0,"",AH317/AH$11)</f>
        <v/>
      </c>
      <c r="AJ317" s="384" t="str">
        <f>IF(AD317=0,"",AH317/AD317-1)</f>
        <v/>
      </c>
      <c r="AK317" s="381">
        <f>SUMIFS('Livro Diario - FC'!$K$11:$K1028,'Livro Diario - FC'!$E$11:$E1028,$C$317,'Livro Diario - FC'!$D$11:$D1028,"&gt;=01/08"&amp;$C$7,'Livro Diario - FC'!$D$11:$D1028,"&lt;=31/08"&amp;$C$7)+SUM(AK318:AK319)</f>
        <v>0</v>
      </c>
      <c r="AL317" s="387">
        <f>SUMIFS('Livro Diario - FC'!$K$11:$K1028,'Livro Diario - FC'!$E$11:$E1028,AK317,'Livro Diario - FC'!$D$11:$D1028,"&gt;=01/08"&amp;$C$7,'Livro Diario - FC'!$D$11:$D1028,"&lt;=31/08"&amp;$C$7)+SUM(AL318:AL319)</f>
        <v>0</v>
      </c>
      <c r="AM317" s="383" t="str">
        <f>IF(AL$11=0,"",AL317/AL$11)</f>
        <v/>
      </c>
      <c r="AN317" s="384" t="str">
        <f>IF(AH317=0,"",AL317/AH317-1)</f>
        <v/>
      </c>
      <c r="AO317" s="381">
        <f>SUMIFS('Livro Diario - FC'!$K$11:$K1028,'Livro Diario - FC'!$E$11:$E1028,$C$317,'Livro Diario - FC'!$D$11:$D1028,"&gt;=01/09"&amp;$C$7,'Livro Diario - FC'!$D$11:$D1028,"&lt;=30/09"&amp;$C$7)+SUM(AO318:AO319)</f>
        <v>0</v>
      </c>
      <c r="AP317" s="387">
        <f>SUMIFS('Livro Diario - FC'!$K$11:$K1028,'Livro Diario - FC'!$E$11:$E1028,AO317,'Livro Diario - FC'!$D$11:$D1028,"&gt;=01/09"&amp;$C$7,'Livro Diario - FC'!$D$11:$D1028,"&lt;=30/09"&amp;$C$7)+SUM(AP318:AP319)</f>
        <v>0</v>
      </c>
      <c r="AQ317" s="383" t="str">
        <f>IF(AP$11=0,"",AP317/AP$11)</f>
        <v/>
      </c>
      <c r="AR317" s="384" t="str">
        <f>IF(AL317=0,"",AP317/AL317-1)</f>
        <v/>
      </c>
      <c r="AS317" s="381">
        <f>SUMIFS('Livro Diario - FC'!$K$11:$K1028,'Livro Diario - FC'!$E$11:$E1028,$C$317,'Livro Diario - FC'!$D$11:$D1028,"&gt;=01/10"&amp;$C$7,'Livro Diario - FC'!$D$11:$D1028,"&lt;=31/10"&amp;$C$7)+SUM(AS318:AS319)</f>
        <v>0</v>
      </c>
      <c r="AT317" s="387">
        <f>SUMIFS('Livro Diario - FC'!$K$11:$K1028,'Livro Diario - FC'!$E$11:$E1028,AS317,'Livro Diario - FC'!$D$11:$D1028,"&gt;=01/10"&amp;$C$7,'Livro Diario - FC'!$D$11:$D1028,"&lt;=31/10"&amp;$C$7)+SUM(AT318:AT319)</f>
        <v>0</v>
      </c>
      <c r="AU317" s="383" t="str">
        <f>IF(AT$11=0,"",AT317/AT$11)</f>
        <v/>
      </c>
      <c r="AV317" s="384" t="str">
        <f>IF(AP317=0,"",AT317/AP317-1)</f>
        <v/>
      </c>
      <c r="AW317" s="381">
        <f>SUMIFS('Livro Diario - FC'!$K$11:$K1028,'Livro Diario - FC'!$E$11:$E1028,$C$317,'Livro Diario - FC'!$D$11:$D1028,"&gt;=01/11"&amp;$C$7,'Livro Diario - FC'!$D$11:$D1028,"&lt;=30/11"&amp;$C$7)+SUM(AW318:AW319)</f>
        <v>0</v>
      </c>
      <c r="AX317" s="387">
        <f>SUMIFS('Livro Diario - FC'!$K$11:$K1028,'Livro Diario - FC'!$E$11:$E1028,AW317,'Livro Diario - FC'!$D$11:$D1028,"&gt;=01/11"&amp;$C$7,'Livro Diario - FC'!$D$11:$D1028,"&lt;=30/11"&amp;$C$7)+SUM(AX318:AX319)</f>
        <v>0</v>
      </c>
      <c r="AY317" s="383" t="str">
        <f>IF(AX$11=0,"",AX317/AX$11)</f>
        <v/>
      </c>
      <c r="AZ317" s="384" t="str">
        <f>IF(AT317=0,"",AX317/AT317-1)</f>
        <v/>
      </c>
      <c r="BA317" s="381">
        <f>SUMIFS('Livro Diario - FC'!$K$11:$K1028,'Livro Diario - FC'!$E$11:$E1028,$C$317,'Livro Diario - FC'!$D$11:$D1028,"&gt;=01/12"&amp;$C$7,'Livro Diario - FC'!$D$11:$D1028,"&lt;=31/12"&amp;$C$7)+SUM(BA318:BA319)</f>
        <v>0</v>
      </c>
      <c r="BB317" s="387">
        <f>SUMIFS('Livro Diario - FC'!$K$11:$K1028,'Livro Diario - FC'!$E$11:$E1028,BA317,'Livro Diario - FC'!$D$11:$D1028,"&gt;=01/12"&amp;$C$7,'Livro Diario - FC'!$D$11:$D1028,"&lt;=31/12"&amp;$C$7)+SUM(BB318:BB319)</f>
        <v>0</v>
      </c>
      <c r="BC317" s="383" t="str">
        <f>IF(BB$11=0,"",BB317/BB$11)</f>
        <v/>
      </c>
      <c r="BD317" s="385" t="str">
        <f>IF(AX317=0,"",BB317/AX317-1)</f>
        <v/>
      </c>
      <c r="BE317" s="331">
        <f t="shared" ref="BE317:BF317" si="539">SUM(D317,I317,N317,S317,X317,AC317,AG317,AK317,AO317,AS317,AW317,BA317)</f>
        <v>0</v>
      </c>
      <c r="BF317" s="369">
        <f t="shared" si="539"/>
        <v>0</v>
      </c>
      <c r="BG317" s="370">
        <f>IF(BF$11=0,"",BF317/BF$11)</f>
        <v>0</v>
      </c>
      <c r="BH317" s="336"/>
      <c r="BI317" s="371">
        <f>SUMIFS('Livro Diario - FC'!$M$11:$M1028,'Livro Diario - FC'!$E$11:$E1028,C317,'Livro Diario - FC'!$D$11:$D1028,"&gt;="&amp;$BK$8,'Livro Diario - FC'!$D$11:$D1028,"&lt;="&amp;$BK$9)+SUM(BI318:BI319)</f>
        <v>0</v>
      </c>
      <c r="BJ317" s="335" t="str">
        <f>IF(BI$11=0,"",BI317/BI$11)</f>
        <v/>
      </c>
      <c r="BK317" s="336"/>
      <c r="BL317" s="372"/>
    </row>
    <row r="318">
      <c r="A318" s="1"/>
      <c r="B318" s="1"/>
      <c r="C318" s="338" t="str">
        <f>'Livro Diario - FC'!AE325</f>
        <v>6.4.1 Fardamentos</v>
      </c>
      <c r="D318" s="255">
        <f>SUMIFS('Livro Diario - FC'!$K$11:$K1028,'Livro Diario - FC'!$E$11:$E1028,$C$318,'Livro Diario - FC'!$D$11:$D1028,"&gt;=01/01"&amp;$C$7,'Livro Diario - FC'!$D$11:$D1028,"&lt;=31/01"&amp;$C$7)</f>
        <v>0</v>
      </c>
      <c r="E318" s="256">
        <f>SUMIFS('Livro Diario - FC'!$M$11:$M1028,'Livro Diario - FC'!$E$11:$E1028,$C$318,'Livro Diario - FC'!$D$11:$D1028,"&gt;=01/01"&amp;$C$7,'Livro Diario - FC'!$D$11:$D1028,"&lt;=31/01"&amp;$C$7)</f>
        <v>0</v>
      </c>
      <c r="F318" s="273"/>
      <c r="G318" s="258"/>
      <c r="H318" s="157"/>
      <c r="I318" s="255">
        <f>SUMIFS('Livro Diario - FC'!$K$11:$K1028,'Livro Diario - FC'!$E$11:$E1028,$C$318,'Livro Diario - FC'!$D$11:$D1028,"&gt;=01/02"&amp;$C$7,'Livro Diario - FC'!$D$11:$D1028,"&lt;=29/02"&amp;$C$7)</f>
        <v>0</v>
      </c>
      <c r="J318" s="256">
        <f>SUMIFS('Livro Diario - FC'!$M$11:$M1028,'Livro Diario - FC'!$E$11:$E1028,$C$318,'Livro Diario - FC'!$D$11:$D1028,"&gt;=01/02"&amp;$C$7,'Livro Diario - FC'!$D$11:$D1028,"&lt;=29/02"&amp;$C$7)</f>
        <v>0</v>
      </c>
      <c r="K318" s="273"/>
      <c r="L318" s="258"/>
      <c r="M318" s="259"/>
      <c r="N318" s="255">
        <f>SUMIFS('Livro Diario - FC'!$K$11:$K1028,'Livro Diario - FC'!$E$11:$E1028,$C$318,'Livro Diario - FC'!$D$11:$D1028,"&gt;=01/03"&amp;$C$7,'Livro Diario - FC'!$D$11:$D1028,"&lt;=31/03"&amp;$C$7)</f>
        <v>0</v>
      </c>
      <c r="O318" s="256">
        <f>SUMIFS('Livro Diario - FC'!$M$11:$M1028,'Livro Diario - FC'!$E$11:$E1028,$C$318,'Livro Diario - FC'!$D$11:$D1028,"&gt;=01/03"&amp;$C$7,'Livro Diario - FC'!$D$11:$D1028,"&lt;=31/03"&amp;$C$7)</f>
        <v>0</v>
      </c>
      <c r="P318" s="273"/>
      <c r="Q318" s="258"/>
      <c r="R318" s="259"/>
      <c r="S318" s="255">
        <f>SUMIFS('Livro Diario - FC'!$K$11:$K1028,'Livro Diario - FC'!$E$11:$E1028,$C$318,'Livro Diario - FC'!$D$11:$D1028,"&gt;=01/04"&amp;$C$7,'Livro Diario - FC'!$D$11:$D1028,"&lt;=30/04"&amp;$C$7)</f>
        <v>0</v>
      </c>
      <c r="T318" s="256">
        <f>SUMIFS('Livro Diario - FC'!$M$11:$M1028,'Livro Diario - FC'!$E$11:$E1028,$C$318,'Livro Diario - FC'!$D$11:$D1028,"&gt;=01/04"&amp;$C$7,'Livro Diario - FC'!$D$11:$D1028,"&lt;=30/04"&amp;$C$7)</f>
        <v>0</v>
      </c>
      <c r="U318" s="273"/>
      <c r="V318" s="258"/>
      <c r="W318" s="259"/>
      <c r="X318" s="255">
        <f>SUMIFS('Livro Diario - FC'!$K$11:$K1028,'Livro Diario - FC'!$E$11:$E1028,$C$318,'Livro Diario - FC'!$D$11:$D1028,"&gt;=01/05"&amp;$C$7,'Livro Diario - FC'!$D$11:$D1028,"&lt;=31/05"&amp;$C$7)</f>
        <v>0</v>
      </c>
      <c r="Y318" s="256">
        <f>SUMIFS('Livro Diario - FC'!$M$11:$M1028,'Livro Diario - FC'!$E$11:$E1028,$C$318,'Livro Diario - FC'!$D$11:$D1028,"&gt;=01/05"&amp;$C$7,'Livro Diario - FC'!$D$11:$D1028,"&lt;=31/05"&amp;$C$7)</f>
        <v>0</v>
      </c>
      <c r="Z318" s="273"/>
      <c r="AA318" s="258"/>
      <c r="AB318" s="259"/>
      <c r="AC318" s="255">
        <f>SUMIFS('Livro Diario - FC'!$K$11:$K1028,'Livro Diario - FC'!$E$11:$E1028,$C$318,'Livro Diario - FC'!$D$11:$D1028,"&gt;=01/06"&amp;$C$7,'Livro Diario - FC'!$D$11:$D1028,"&lt;=30/06"&amp;$C$7)</f>
        <v>0</v>
      </c>
      <c r="AD318" s="256">
        <f>SUMIFS('Livro Diario - FC'!$M$11:$M1028,'Livro Diario - FC'!$E$11:$E1028,$C$318,'Livro Diario - FC'!$D$11:$D1028,"&gt;=01/06"&amp;$C$7,'Livro Diario - FC'!$D$11:$D1028,"&lt;=30/06"&amp;$C$7)</f>
        <v>0</v>
      </c>
      <c r="AE318" s="273"/>
      <c r="AF318" s="258"/>
      <c r="AG318" s="255">
        <f>SUMIFS('Livro Diario - FC'!$K$11:$K1028,'Livro Diario - FC'!$E$11:$E1028,$C$318,'Livro Diario - FC'!$D$11:$D1028,"&gt;=01/07"&amp;$C$7,'Livro Diario - FC'!$D$11:$D1028,"&lt;=31/07"&amp;$C$7)</f>
        <v>0</v>
      </c>
      <c r="AH318" s="256">
        <f>SUMIFS('Livro Diario - FC'!$M$11:$M1028,'Livro Diario - FC'!$E$11:$E1028,$C$318,'Livro Diario - FC'!$D$11:$D1028,"&gt;=01/07"&amp;$C$7,'Livro Diario - FC'!$D$11:$D1028,"&lt;=31/07"&amp;$C$7)</f>
        <v>0</v>
      </c>
      <c r="AI318" s="273"/>
      <c r="AJ318" s="258"/>
      <c r="AK318" s="255">
        <f>SUMIFS('Livro Diario - FC'!$K$11:$K1028,'Livro Diario - FC'!$E$11:$E1028,$C$318,'Livro Diario - FC'!$D$11:$D1028,"&gt;=01/08"&amp;$C$7,'Livro Diario - FC'!$D$11:$D1028,"&lt;=31/08"&amp;$C$7)</f>
        <v>0</v>
      </c>
      <c r="AL318" s="256">
        <f>SUMIFS('Livro Diario - FC'!$M$11:$M1028,'Livro Diario - FC'!$E$11:$E1028,$C$318,'Livro Diario - FC'!$D$11:$D1028,"&gt;=01/08"&amp;$C$7,'Livro Diario - FC'!$D$11:$D1028,"&lt;=31/08"&amp;$C$7)</f>
        <v>0</v>
      </c>
      <c r="AM318" s="273"/>
      <c r="AN318" s="258"/>
      <c r="AO318" s="255">
        <f>SUMIFS('Livro Diario - FC'!$K$11:$K1028,'Livro Diario - FC'!$E$11:$E1028,$C$318,'Livro Diario - FC'!$D$11:$D1028,"&gt;=01/09"&amp;$C$7,'Livro Diario - FC'!$D$11:$D1028,"&lt;=30/09"&amp;$C$7)</f>
        <v>0</v>
      </c>
      <c r="AP318" s="256">
        <f>SUMIFS('Livro Diario - FC'!$M$11:$M1028,'Livro Diario - FC'!$E$11:$E1028,$C$318,'Livro Diario - FC'!$D$11:$D1028,"&gt;=01/09"&amp;$C$7,'Livro Diario - FC'!$D$11:$D1028,"&lt;=30/09"&amp;$C$7)</f>
        <v>0</v>
      </c>
      <c r="AQ318" s="273"/>
      <c r="AR318" s="258"/>
      <c r="AS318" s="255">
        <f>SUMIFS('Livro Diario - FC'!$K$11:$K1028,'Livro Diario - FC'!$E$11:$E1028,$C$318,'Livro Diario - FC'!$D$11:$D1028,"&gt;=01/10"&amp;$C$7,'Livro Diario - FC'!$D$11:$D1028,"&lt;=31/10"&amp;$C$7)</f>
        <v>0</v>
      </c>
      <c r="AT318" s="256">
        <f>SUMIFS('Livro Diario - FC'!$M$11:$M1028,'Livro Diario - FC'!$E$11:$E1028,$C$318,'Livro Diario - FC'!$D$11:$D1028,"&gt;=01/10"&amp;$C$7,'Livro Diario - FC'!$D$11:$D1028,"&lt;=31/10"&amp;$C$7)</f>
        <v>0</v>
      </c>
      <c r="AU318" s="273"/>
      <c r="AV318" s="258"/>
      <c r="AW318" s="255">
        <f>SUMIFS('Livro Diario - FC'!$K$11:$K1028,'Livro Diario - FC'!$E$11:$E1028,$C$318,'Livro Diario - FC'!$D$11:$D1028,"&gt;=01/11"&amp;$C$7,'Livro Diario - FC'!$D$11:$D1028,"&lt;=30/11"&amp;$C$7)</f>
        <v>0</v>
      </c>
      <c r="AX318" s="256">
        <f>SUMIFS('Livro Diario - FC'!$M$11:$M1028,'Livro Diario - FC'!$E$11:$E1028,$C$318,'Livro Diario - FC'!$D$11:$D1028,"&gt;=01/11"&amp;$C$7,'Livro Diario - FC'!$D$11:$D1028,"&lt;=30/11"&amp;$C$7)</f>
        <v>0</v>
      </c>
      <c r="AY318" s="273"/>
      <c r="AZ318" s="258"/>
      <c r="BA318" s="255">
        <f>SUMIFS('Livro Diario - FC'!$K$11:$K1028,'Livro Diario - FC'!$E$11:$E1028,$C$318,'Livro Diario - FC'!$D$11:$D1028,"&gt;=01/12"&amp;$C$7,'Livro Diario - FC'!$D$11:$D1028,"&lt;=31/12"&amp;$C$7)</f>
        <v>0</v>
      </c>
      <c r="BB318" s="256">
        <f>SUMIFS('Livro Diario - FC'!$M$11:$M1028,'Livro Diario - FC'!$E$11:$E1028,$C$318,'Livro Diario - FC'!$D$11:$D1028,"&gt;=01/12"&amp;$C$7,'Livro Diario - FC'!$D$11:$D1028,"&lt;=31/12"&amp;$C$7)</f>
        <v>0</v>
      </c>
      <c r="BC318" s="273"/>
      <c r="BD318" s="273"/>
      <c r="BE318" s="301">
        <f t="shared" ref="BE318:BF318" si="540">SUM(D318,I318,N318,S318,X318,AC318,AG318,AK318,AO318,AS318,AW318,BA318)</f>
        <v>0</v>
      </c>
      <c r="BF318" s="261">
        <f t="shared" si="540"/>
        <v>0</v>
      </c>
      <c r="BG318" s="262"/>
      <c r="BH318" s="302"/>
      <c r="BI318" s="303">
        <f>SUMIFS('Livro Diario - FC'!$M$11:$M1028,'Livro Diario - FC'!$E$11:$E1028,C318,'Livro Diario - FC'!$D$11:$D1028,"&gt;="&amp;$BK$8,'Livro Diario - FC'!$D$11:$D1028,"&lt;="&amp;$BK$9)</f>
        <v>0</v>
      </c>
      <c r="BJ318" s="271"/>
      <c r="BK318" s="304"/>
      <c r="BL318" s="339"/>
    </row>
    <row r="319">
      <c r="A319" s="1"/>
      <c r="B319" s="1"/>
      <c r="C319" s="338" t="str">
        <f>'Livro Diario - FC'!AE326</f>
        <v>6.4.2 Outros </v>
      </c>
      <c r="D319" s="255">
        <f>SUMIFS('Livro Diario - FC'!$K$11:$K1028,'Livro Diario - FC'!$E$11:$E1028,$C$319,'Livro Diario - FC'!$D$11:$D1028,"&gt;=01/01"&amp;$C$7,'Livro Diario - FC'!$D$11:$D1028,"&lt;=31/01"&amp;$C$7)</f>
        <v>0</v>
      </c>
      <c r="E319" s="256">
        <f>SUMIFS('Livro Diario - FC'!$M$11:$M1028,'Livro Diario - FC'!$E$11:$E1028,$C$319,'Livro Diario - FC'!$D$11:$D1028,"&gt;=01/01"&amp;$C$7,'Livro Diario - FC'!$D$11:$D1028,"&lt;=31/01"&amp;$C$7)</f>
        <v>0</v>
      </c>
      <c r="F319" s="273"/>
      <c r="G319" s="258"/>
      <c r="H319" s="157"/>
      <c r="I319" s="255">
        <f>SUMIFS('Livro Diario - FC'!$K$11:$K1028,'Livro Diario - FC'!$E$11:$E1028,$C$319,'Livro Diario - FC'!$D$11:$D1028,"&gt;=01/02"&amp;$C$7,'Livro Diario - FC'!$D$11:$D1028,"&lt;=29/02"&amp;$C$7)</f>
        <v>0</v>
      </c>
      <c r="J319" s="256">
        <f>SUMIFS('Livro Diario - FC'!$M$11:$M1028,'Livro Diario - FC'!$E$11:$E1028,$C$319,'Livro Diario - FC'!$D$11:$D1028,"&gt;=01/02"&amp;$C$7,'Livro Diario - FC'!$D$11:$D1028,"&lt;=29/02"&amp;$C$7)</f>
        <v>0</v>
      </c>
      <c r="K319" s="273"/>
      <c r="L319" s="258"/>
      <c r="M319" s="259"/>
      <c r="N319" s="255">
        <f>SUMIFS('Livro Diario - FC'!$K$11:$K1028,'Livro Diario - FC'!$E$11:$E1028,$C$319,'Livro Diario - FC'!$D$11:$D1028,"&gt;=01/03"&amp;$C$7,'Livro Diario - FC'!$D$11:$D1028,"&lt;=31/03"&amp;$C$7)</f>
        <v>0</v>
      </c>
      <c r="O319" s="256">
        <f>SUMIFS('Livro Diario - FC'!$M$11:$M1028,'Livro Diario - FC'!$E$11:$E1028,$C$319,'Livro Diario - FC'!$D$11:$D1028,"&gt;=01/03"&amp;$C$7,'Livro Diario - FC'!$D$11:$D1028,"&lt;=31/03"&amp;$C$7)</f>
        <v>0</v>
      </c>
      <c r="P319" s="273"/>
      <c r="Q319" s="258"/>
      <c r="R319" s="259"/>
      <c r="S319" s="255">
        <f>SUMIFS('Livro Diario - FC'!$K$11:$K1028,'Livro Diario - FC'!$E$11:$E1028,$C$319,'Livro Diario - FC'!$D$11:$D1028,"&gt;=01/04"&amp;$C$7,'Livro Diario - FC'!$D$11:$D1028,"&lt;=30/04"&amp;$C$7)</f>
        <v>0</v>
      </c>
      <c r="T319" s="256">
        <f>SUMIFS('Livro Diario - FC'!$M$11:$M1028,'Livro Diario - FC'!$E$11:$E1028,$C$319,'Livro Diario - FC'!$D$11:$D1028,"&gt;=01/04"&amp;$C$7,'Livro Diario - FC'!$D$11:$D1028,"&lt;=30/04"&amp;$C$7)</f>
        <v>0</v>
      </c>
      <c r="U319" s="273"/>
      <c r="V319" s="258"/>
      <c r="W319" s="259"/>
      <c r="X319" s="255">
        <f>SUMIFS('Livro Diario - FC'!$K$11:$K1028,'Livro Diario - FC'!$E$11:$E1028,$C$319,'Livro Diario - FC'!$D$11:$D1028,"&gt;=01/05"&amp;$C$7,'Livro Diario - FC'!$D$11:$D1028,"&lt;=31/05"&amp;$C$7)</f>
        <v>0</v>
      </c>
      <c r="Y319" s="256">
        <f>SUMIFS('Livro Diario - FC'!$M$11:$M1028,'Livro Diario - FC'!$E$11:$E1028,$C$319,'Livro Diario - FC'!$D$11:$D1028,"&gt;=01/05"&amp;$C$7,'Livro Diario - FC'!$D$11:$D1028,"&lt;=31/05"&amp;$C$7)</f>
        <v>0</v>
      </c>
      <c r="Z319" s="273"/>
      <c r="AA319" s="258"/>
      <c r="AB319" s="259"/>
      <c r="AC319" s="255">
        <f>SUMIFS('Livro Diario - FC'!$K$11:$K1028,'Livro Diario - FC'!$E$11:$E1028,$C$319,'Livro Diario - FC'!$D$11:$D1028,"&gt;=01/06"&amp;$C$7,'Livro Diario - FC'!$D$11:$D1028,"&lt;=30/06"&amp;$C$7)</f>
        <v>0</v>
      </c>
      <c r="AD319" s="256">
        <f>SUMIFS('Livro Diario - FC'!$M$11:$M1028,'Livro Diario - FC'!$E$11:$E1028,$C$319,'Livro Diario - FC'!$D$11:$D1028,"&gt;=01/06"&amp;$C$7,'Livro Diario - FC'!$D$11:$D1028,"&lt;=30/06"&amp;$C$7)</f>
        <v>0</v>
      </c>
      <c r="AE319" s="273"/>
      <c r="AF319" s="258"/>
      <c r="AG319" s="255">
        <f>SUMIFS('Livro Diario - FC'!$K$11:$K1028,'Livro Diario - FC'!$E$11:$E1028,$C$319,'Livro Diario - FC'!$D$11:$D1028,"&gt;=01/07"&amp;$C$7,'Livro Diario - FC'!$D$11:$D1028,"&lt;=31/07"&amp;$C$7)</f>
        <v>0</v>
      </c>
      <c r="AH319" s="256">
        <f>SUMIFS('Livro Diario - FC'!$M$11:$M1028,'Livro Diario - FC'!$E$11:$E1028,$C$319,'Livro Diario - FC'!$D$11:$D1028,"&gt;=01/07"&amp;$C$7,'Livro Diario - FC'!$D$11:$D1028,"&lt;=31/07"&amp;$C$7)</f>
        <v>0</v>
      </c>
      <c r="AI319" s="273"/>
      <c r="AJ319" s="258"/>
      <c r="AK319" s="255">
        <f>SUMIFS('Livro Diario - FC'!$K$11:$K1028,'Livro Diario - FC'!$E$11:$E1028,$C$319,'Livro Diario - FC'!$D$11:$D1028,"&gt;=01/08"&amp;$C$7,'Livro Diario - FC'!$D$11:$D1028,"&lt;=31/08"&amp;$C$7)</f>
        <v>0</v>
      </c>
      <c r="AL319" s="256">
        <f>SUMIFS('Livro Diario - FC'!$M$11:$M1028,'Livro Diario - FC'!$E$11:$E1028,$C$319,'Livro Diario - FC'!$D$11:$D1028,"&gt;=01/08"&amp;$C$7,'Livro Diario - FC'!$D$11:$D1028,"&lt;=31/08"&amp;$C$7)</f>
        <v>0</v>
      </c>
      <c r="AM319" s="273"/>
      <c r="AN319" s="258"/>
      <c r="AO319" s="255">
        <f>SUMIFS('Livro Diario - FC'!$K$11:$K1028,'Livro Diario - FC'!$E$11:$E1028,$C$319,'Livro Diario - FC'!$D$11:$D1028,"&gt;=01/09"&amp;$C$7,'Livro Diario - FC'!$D$11:$D1028,"&lt;=30/09"&amp;$C$7)</f>
        <v>0</v>
      </c>
      <c r="AP319" s="256">
        <f>SUMIFS('Livro Diario - FC'!$M$11:$M1028,'Livro Diario - FC'!$E$11:$E1028,$C$319,'Livro Diario - FC'!$D$11:$D1028,"&gt;=01/09"&amp;$C$7,'Livro Diario - FC'!$D$11:$D1028,"&lt;=30/09"&amp;$C$7)</f>
        <v>0</v>
      </c>
      <c r="AQ319" s="273"/>
      <c r="AR319" s="258"/>
      <c r="AS319" s="255">
        <f>SUMIFS('Livro Diario - FC'!$K$11:$K1028,'Livro Diario - FC'!$E$11:$E1028,$C$319,'Livro Diario - FC'!$D$11:$D1028,"&gt;=01/10"&amp;$C$7,'Livro Diario - FC'!$D$11:$D1028,"&lt;=31/10"&amp;$C$7)</f>
        <v>0</v>
      </c>
      <c r="AT319" s="256">
        <f>SUMIFS('Livro Diario - FC'!$M$11:$M1028,'Livro Diario - FC'!$E$11:$E1028,$C$319,'Livro Diario - FC'!$D$11:$D1028,"&gt;=01/10"&amp;$C$7,'Livro Diario - FC'!$D$11:$D1028,"&lt;=31/10"&amp;$C$7)</f>
        <v>0</v>
      </c>
      <c r="AU319" s="273"/>
      <c r="AV319" s="258"/>
      <c r="AW319" s="255">
        <f>SUMIFS('Livro Diario - FC'!$K$11:$K1028,'Livro Diario - FC'!$E$11:$E1028,$C$319,'Livro Diario - FC'!$D$11:$D1028,"&gt;=01/11"&amp;$C$7,'Livro Diario - FC'!$D$11:$D1028,"&lt;=30/11"&amp;$C$7)</f>
        <v>0</v>
      </c>
      <c r="AX319" s="256">
        <f>SUMIFS('Livro Diario - FC'!$M$11:$M1028,'Livro Diario - FC'!$E$11:$E1028,$C$319,'Livro Diario - FC'!$D$11:$D1028,"&gt;=01/11"&amp;$C$7,'Livro Diario - FC'!$D$11:$D1028,"&lt;=30/11"&amp;$C$7)</f>
        <v>0</v>
      </c>
      <c r="AY319" s="273"/>
      <c r="AZ319" s="258"/>
      <c r="BA319" s="255">
        <f>SUMIFS('Livro Diario - FC'!$K$11:$K1028,'Livro Diario - FC'!$E$11:$E1028,$C$319,'Livro Diario - FC'!$D$11:$D1028,"&gt;=01/12"&amp;$C$7,'Livro Diario - FC'!$D$11:$D1028,"&lt;=31/12"&amp;$C$7)</f>
        <v>0</v>
      </c>
      <c r="BB319" s="256">
        <f>SUMIFS('Livro Diario - FC'!$M$11:$M1028,'Livro Diario - FC'!$E$11:$E1028,$C$319,'Livro Diario - FC'!$D$11:$D1028,"&gt;=01/12"&amp;$C$7,'Livro Diario - FC'!$D$11:$D1028,"&lt;=31/12"&amp;$C$7)</f>
        <v>0</v>
      </c>
      <c r="BC319" s="273"/>
      <c r="BD319" s="273"/>
      <c r="BE319" s="305">
        <f t="shared" ref="BE319:BF319" si="541">SUM(D319,I319,N319,S319,X319,AC319,AG319,AK319,AO319,AS319,AW319,BA319)</f>
        <v>0</v>
      </c>
      <c r="BF319" s="268">
        <f t="shared" si="541"/>
        <v>0</v>
      </c>
      <c r="BG319" s="269"/>
      <c r="BH319" s="192"/>
      <c r="BI319" s="270">
        <f>SUMIFS('Livro Diario - FC'!$M$11:$M1028,'Livro Diario - FC'!$E$11:$E1028,C319,'Livro Diario - FC'!$D$11:$D1028,"&gt;="&amp;$BK$8,'Livro Diario - FC'!$D$11:$D1028,"&lt;="&amp;$BK$9)</f>
        <v>0</v>
      </c>
      <c r="BJ319" s="271"/>
      <c r="BK319" s="272"/>
      <c r="BL319" s="1"/>
    </row>
    <row r="320">
      <c r="A320" s="1"/>
      <c r="B320" s="1"/>
      <c r="C320" s="338" t="str">
        <f>'Livro Diario - FC'!AE327</f>
        <v>6.4.3 Outros Diversos</v>
      </c>
      <c r="D320" s="255">
        <f>SUMIFS('Livro Diario - FC'!$K$11:$K1028,'Livro Diario - FC'!$E$11:$E1028,$C$319,'Livro Diario - FC'!$D$11:$D1028,"&gt;=01/01"&amp;$C$7,'Livro Diario - FC'!$D$11:$D1028,"&lt;=31/01"&amp;$C$7)</f>
        <v>0</v>
      </c>
      <c r="E320" s="256">
        <f>SUMIFS('Livro Diario - FC'!$M$11:$M1028,'Livro Diario - FC'!$E$11:$E1028,$C$319,'Livro Diario - FC'!$D$11:$D1028,"&gt;=01/01"&amp;$C$7,'Livro Diario - FC'!$D$11:$D1028,"&lt;=31/01"&amp;$C$7)</f>
        <v>0</v>
      </c>
      <c r="F320" s="273"/>
      <c r="G320" s="258"/>
      <c r="H320" s="157"/>
      <c r="I320" s="255">
        <f>SUMIFS('Livro Diario - FC'!$K$11:$K1028,'Livro Diario - FC'!$E$11:$E1028,$C$319,'Livro Diario - FC'!$D$11:$D1028,"&gt;=01/02"&amp;$C$7,'Livro Diario - FC'!$D$11:$D1028,"&lt;=29/02"&amp;$C$7)</f>
        <v>0</v>
      </c>
      <c r="J320" s="256">
        <f>SUMIFS('Livro Diario - FC'!$M$11:$M1028,'Livro Diario - FC'!$E$11:$E1028,$C$319,'Livro Diario - FC'!$D$11:$D1028,"&gt;=01/02"&amp;$C$7,'Livro Diario - FC'!$D$11:$D1028,"&lt;=29/02"&amp;$C$7)</f>
        <v>0</v>
      </c>
      <c r="K320" s="273"/>
      <c r="L320" s="258"/>
      <c r="M320" s="259"/>
      <c r="N320" s="255">
        <f>SUMIFS('Livro Diario - FC'!$K$11:$K1028,'Livro Diario - FC'!$E$11:$E1028,$C$319,'Livro Diario - FC'!$D$11:$D1028,"&gt;=01/03"&amp;$C$7,'Livro Diario - FC'!$D$11:$D1028,"&lt;=31/03"&amp;$C$7)</f>
        <v>0</v>
      </c>
      <c r="O320" s="256">
        <f>SUMIFS('Livro Diario - FC'!$M$11:$M1028,'Livro Diario - FC'!$E$11:$E1028,$C$319,'Livro Diario - FC'!$D$11:$D1028,"&gt;=01/03"&amp;$C$7,'Livro Diario - FC'!$D$11:$D1028,"&lt;=31/03"&amp;$C$7)</f>
        <v>0</v>
      </c>
      <c r="P320" s="273"/>
      <c r="Q320" s="258"/>
      <c r="R320" s="259"/>
      <c r="S320" s="255">
        <f>SUMIFS('Livro Diario - FC'!$K$11:$K1028,'Livro Diario - FC'!$E$11:$E1028,$C$319,'Livro Diario - FC'!$D$11:$D1028,"&gt;=01/04"&amp;$C$7,'Livro Diario - FC'!$D$11:$D1028,"&lt;=30/04"&amp;$C$7)</f>
        <v>0</v>
      </c>
      <c r="T320" s="256">
        <f>SUMIFS('Livro Diario - FC'!$M$11:$M1028,'Livro Diario - FC'!$E$11:$E1028,$C$319,'Livro Diario - FC'!$D$11:$D1028,"&gt;=01/04"&amp;$C$7,'Livro Diario - FC'!$D$11:$D1028,"&lt;=30/04"&amp;$C$7)</f>
        <v>0</v>
      </c>
      <c r="U320" s="273"/>
      <c r="V320" s="258"/>
      <c r="W320" s="259"/>
      <c r="X320" s="255">
        <f>SUMIFS('Livro Diario - FC'!$K$11:$K1028,'Livro Diario - FC'!$E$11:$E1028,$C$319,'Livro Diario - FC'!$D$11:$D1028,"&gt;=01/05"&amp;$C$7,'Livro Diario - FC'!$D$11:$D1028,"&lt;=31/05"&amp;$C$7)</f>
        <v>0</v>
      </c>
      <c r="Y320" s="256">
        <f>SUMIFS('Livro Diario - FC'!$M$11:$M1028,'Livro Diario - FC'!$E$11:$E1028,$C$319,'Livro Diario - FC'!$D$11:$D1028,"&gt;=01/05"&amp;$C$7,'Livro Diario - FC'!$D$11:$D1028,"&lt;=31/05"&amp;$C$7)</f>
        <v>0</v>
      </c>
      <c r="Z320" s="273"/>
      <c r="AA320" s="258"/>
      <c r="AB320" s="259"/>
      <c r="AC320" s="255">
        <f>SUMIFS('Livro Diario - FC'!$K$11:$K1028,'Livro Diario - FC'!$E$11:$E1028,$C$319,'Livro Diario - FC'!$D$11:$D1028,"&gt;=01/06"&amp;$C$7,'Livro Diario - FC'!$D$11:$D1028,"&lt;=30/06"&amp;$C$7)</f>
        <v>0</v>
      </c>
      <c r="AD320" s="256">
        <f>SUMIFS('Livro Diario - FC'!$M$11:$M1028,'Livro Diario - FC'!$E$11:$E1028,$C$319,'Livro Diario - FC'!$D$11:$D1028,"&gt;=01/06"&amp;$C$7,'Livro Diario - FC'!$D$11:$D1028,"&lt;=30/06"&amp;$C$7)</f>
        <v>0</v>
      </c>
      <c r="AE320" s="273"/>
      <c r="AF320" s="258"/>
      <c r="AG320" s="255">
        <f>SUMIFS('Livro Diario - FC'!$K$11:$K1028,'Livro Diario - FC'!$E$11:$E1028,$C$319,'Livro Diario - FC'!$D$11:$D1028,"&gt;=01/07"&amp;$C$7,'Livro Diario - FC'!$D$11:$D1028,"&lt;=31/07"&amp;$C$7)</f>
        <v>0</v>
      </c>
      <c r="AH320" s="256">
        <f>SUMIFS('Livro Diario - FC'!$M$11:$M1028,'Livro Diario - FC'!$E$11:$E1028,$C$319,'Livro Diario - FC'!$D$11:$D1028,"&gt;=01/07"&amp;$C$7,'Livro Diario - FC'!$D$11:$D1028,"&lt;=31/07"&amp;$C$7)</f>
        <v>0</v>
      </c>
      <c r="AI320" s="273"/>
      <c r="AJ320" s="258"/>
      <c r="AK320" s="255">
        <f>SUMIFS('Livro Diario - FC'!$K$11:$K1028,'Livro Diario - FC'!$E$11:$E1028,$C$319,'Livro Diario - FC'!$D$11:$D1028,"&gt;=01/08"&amp;$C$7,'Livro Diario - FC'!$D$11:$D1028,"&lt;=31/08"&amp;$C$7)</f>
        <v>0</v>
      </c>
      <c r="AL320" s="256">
        <f>SUMIFS('Livro Diario - FC'!$M$11:$M1028,'Livro Diario - FC'!$E$11:$E1028,$C$319,'Livro Diario - FC'!$D$11:$D1028,"&gt;=01/08"&amp;$C$7,'Livro Diario - FC'!$D$11:$D1028,"&lt;=31/08"&amp;$C$7)</f>
        <v>0</v>
      </c>
      <c r="AM320" s="273"/>
      <c r="AN320" s="258"/>
      <c r="AO320" s="255">
        <f>SUMIFS('Livro Diario - FC'!$K$11:$K1028,'Livro Diario - FC'!$E$11:$E1028,$C$319,'Livro Diario - FC'!$D$11:$D1028,"&gt;=01/09"&amp;$C$7,'Livro Diario - FC'!$D$11:$D1028,"&lt;=30/09"&amp;$C$7)</f>
        <v>0</v>
      </c>
      <c r="AP320" s="256">
        <f>SUMIFS('Livro Diario - FC'!$M$11:$M1028,'Livro Diario - FC'!$E$11:$E1028,$C$319,'Livro Diario - FC'!$D$11:$D1028,"&gt;=01/09"&amp;$C$7,'Livro Diario - FC'!$D$11:$D1028,"&lt;=30/09"&amp;$C$7)</f>
        <v>0</v>
      </c>
      <c r="AQ320" s="273"/>
      <c r="AR320" s="258"/>
      <c r="AS320" s="255">
        <f>SUMIFS('Livro Diario - FC'!$K$11:$K1028,'Livro Diario - FC'!$E$11:$E1028,$C$319,'Livro Diario - FC'!$D$11:$D1028,"&gt;=01/10"&amp;$C$7,'Livro Diario - FC'!$D$11:$D1028,"&lt;=31/10"&amp;$C$7)</f>
        <v>0</v>
      </c>
      <c r="AT320" s="256">
        <f>SUMIFS('Livro Diario - FC'!$M$11:$M1028,'Livro Diario - FC'!$E$11:$E1028,$C$319,'Livro Diario - FC'!$D$11:$D1028,"&gt;=01/10"&amp;$C$7,'Livro Diario - FC'!$D$11:$D1028,"&lt;=31/10"&amp;$C$7)</f>
        <v>0</v>
      </c>
      <c r="AU320" s="273"/>
      <c r="AV320" s="258"/>
      <c r="AW320" s="255">
        <f>SUMIFS('Livro Diario - FC'!$K$11:$K1028,'Livro Diario - FC'!$E$11:$E1028,$C$319,'Livro Diario - FC'!$D$11:$D1028,"&gt;=01/11"&amp;$C$7,'Livro Diario - FC'!$D$11:$D1028,"&lt;=30/11"&amp;$C$7)</f>
        <v>0</v>
      </c>
      <c r="AX320" s="256">
        <f>SUMIFS('Livro Diario - FC'!$M$11:$M1028,'Livro Diario - FC'!$E$11:$E1028,$C$319,'Livro Diario - FC'!$D$11:$D1028,"&gt;=01/11"&amp;$C$7,'Livro Diario - FC'!$D$11:$D1028,"&lt;=30/11"&amp;$C$7)</f>
        <v>0</v>
      </c>
      <c r="AY320" s="273"/>
      <c r="AZ320" s="258"/>
      <c r="BA320" s="255">
        <f>SUMIFS('Livro Diario - FC'!$K$11:$K1028,'Livro Diario - FC'!$E$11:$E1028,$C$319,'Livro Diario - FC'!$D$11:$D1028,"&gt;=01/12"&amp;$C$7,'Livro Diario - FC'!$D$11:$D1028,"&lt;=31/12"&amp;$C$7)</f>
        <v>0</v>
      </c>
      <c r="BB320" s="256">
        <f>SUMIFS('Livro Diario - FC'!$M$11:$M1028,'Livro Diario - FC'!$E$11:$E1028,$C$319,'Livro Diario - FC'!$D$11:$D1028,"&gt;=01/12"&amp;$C$7,'Livro Diario - FC'!$D$11:$D1028,"&lt;=31/12"&amp;$C$7)</f>
        <v>0</v>
      </c>
      <c r="BC320" s="273"/>
      <c r="BD320" s="273"/>
      <c r="BE320" s="305">
        <f t="shared" ref="BE320:BF320" si="542">SUM(D320,I320,N320,S320,X320,AC320,AG320,AK320,AO320,AS320,AW320,BA320)</f>
        <v>0</v>
      </c>
      <c r="BF320" s="268">
        <f t="shared" si="542"/>
        <v>0</v>
      </c>
      <c r="BG320" s="269"/>
      <c r="BH320" s="192"/>
      <c r="BI320" s="270">
        <f>SUMIFS('Livro Diario - FC'!$M$11:$M1028,'Livro Diario - FC'!$E$11:$E1028,C320,'Livro Diario - FC'!$D$11:$D1028,"&gt;="&amp;$BK$8,'Livro Diario - FC'!$D$11:$D1028,"&lt;="&amp;$BK$9)</f>
        <v>0</v>
      </c>
      <c r="BJ320" s="271"/>
      <c r="BK320" s="272"/>
      <c r="BL320" s="1"/>
    </row>
    <row r="321">
      <c r="A321" s="209"/>
      <c r="B321" s="209"/>
      <c r="C321" s="274" t="s">
        <v>551</v>
      </c>
      <c r="D321" s="275">
        <f t="shared" ref="D321:E321" si="543">(D24+D250+D300)</f>
        <v>10921.25</v>
      </c>
      <c r="E321" s="276">
        <f t="shared" si="543"/>
        <v>10921.25</v>
      </c>
      <c r="F321" s="277">
        <f t="shared" ref="F321:F322" si="557">IF(E$11=0,"",E321/E$11)</f>
        <v>1.408521093</v>
      </c>
      <c r="G321" s="278" t="str">
        <f t="shared" ref="G321:G322" si="558">IF(A321=0,"",E321/A321-1)</f>
        <v/>
      </c>
      <c r="H321" s="279"/>
      <c r="I321" s="275">
        <f t="shared" ref="I321:J321" si="544">(I24+I250+I300)</f>
        <v>0</v>
      </c>
      <c r="J321" s="276">
        <f t="shared" si="544"/>
        <v>0</v>
      </c>
      <c r="K321" s="277" t="str">
        <f t="shared" ref="K321:K322" si="560">IF(J$11=0,"",J321/J$11)</f>
        <v/>
      </c>
      <c r="L321" s="278">
        <f t="shared" ref="L321:L322" si="561">IF(E321=0,"",J321/E321-1)</f>
        <v>-1</v>
      </c>
      <c r="M321" s="280"/>
      <c r="N321" s="275">
        <f t="shared" ref="N321:O321" si="545">(N24+N250+N300)</f>
        <v>0</v>
      </c>
      <c r="O321" s="276">
        <f t="shared" si="545"/>
        <v>0</v>
      </c>
      <c r="P321" s="277" t="str">
        <f t="shared" ref="P321:P322" si="563">IF(O$11=0,"",O321/O$11)</f>
        <v/>
      </c>
      <c r="Q321" s="278" t="str">
        <f t="shared" ref="Q321:Q322" si="564">IF(J321=0,"",O321/J321-1)</f>
        <v/>
      </c>
      <c r="R321" s="280"/>
      <c r="S321" s="275">
        <f t="shared" ref="S321:T321" si="546">(S24+S250+S300)</f>
        <v>0</v>
      </c>
      <c r="T321" s="276">
        <f t="shared" si="546"/>
        <v>0</v>
      </c>
      <c r="U321" s="277" t="str">
        <f t="shared" ref="U321:U322" si="566">IF(T$11=0,"",T321/T$11)</f>
        <v/>
      </c>
      <c r="V321" s="278" t="str">
        <f t="shared" ref="V321:V322" si="567">IF(O321=0,"",T321/O321-1)</f>
        <v/>
      </c>
      <c r="W321" s="280"/>
      <c r="X321" s="275">
        <f t="shared" ref="X321:Y321" si="547">(X24+X250+X300)</f>
        <v>0</v>
      </c>
      <c r="Y321" s="276">
        <f t="shared" si="547"/>
        <v>0</v>
      </c>
      <c r="Z321" s="277" t="str">
        <f t="shared" ref="Z321:Z322" si="569">IF(Y$11=0,"",Y321/Y$11)</f>
        <v/>
      </c>
      <c r="AA321" s="278" t="str">
        <f t="shared" ref="AA321:AA322" si="570">IF(T321=0,"",Y321/T321-1)</f>
        <v/>
      </c>
      <c r="AB321" s="280"/>
      <c r="AC321" s="275">
        <f t="shared" ref="AC321:AD321" si="548">(AC24+AC250+AC300)</f>
        <v>0</v>
      </c>
      <c r="AD321" s="276">
        <f t="shared" si="548"/>
        <v>0</v>
      </c>
      <c r="AE321" s="277" t="str">
        <f t="shared" ref="AE321:AE322" si="572">IF(AD$11=0,"",AD321/AD$11)</f>
        <v/>
      </c>
      <c r="AF321" s="278" t="str">
        <f t="shared" ref="AF321:AF322" si="573">IF(Y321=0,"",AD321/Y321-1)</f>
        <v/>
      </c>
      <c r="AG321" s="275">
        <f t="shared" ref="AG321:AH321" si="549">(AG24+AG250+AG300)</f>
        <v>0</v>
      </c>
      <c r="AH321" s="276">
        <f t="shared" si="549"/>
        <v>0</v>
      </c>
      <c r="AI321" s="277" t="str">
        <f t="shared" ref="AI321:AI322" si="575">IF(AH$11=0,"",AH321/AH$11)</f>
        <v/>
      </c>
      <c r="AJ321" s="278" t="str">
        <f t="shared" ref="AJ321:AJ322" si="576">IF(AD321=0,"",AH321/AD321-1)</f>
        <v/>
      </c>
      <c r="AK321" s="275">
        <f t="shared" ref="AK321:AL321" si="550">(AK24+AK250+AK300)</f>
        <v>0</v>
      </c>
      <c r="AL321" s="276">
        <f t="shared" si="550"/>
        <v>0</v>
      </c>
      <c r="AM321" s="277" t="str">
        <f t="shared" ref="AM321:AM322" si="578">IF(AL$11=0,"",AL321/AL$11)</f>
        <v/>
      </c>
      <c r="AN321" s="278" t="str">
        <f t="shared" ref="AN321:AN322" si="579">IF(AH321=0,"",AL321/AH321-1)</f>
        <v/>
      </c>
      <c r="AO321" s="275">
        <f t="shared" ref="AO321:AP321" si="551">(AO24+AO250+AO300)</f>
        <v>0</v>
      </c>
      <c r="AP321" s="276">
        <f t="shared" si="551"/>
        <v>0</v>
      </c>
      <c r="AQ321" s="277" t="str">
        <f t="shared" ref="AQ321:AQ322" si="581">IF(AP$11=0,"",AP321/AP$11)</f>
        <v/>
      </c>
      <c r="AR321" s="278" t="str">
        <f t="shared" ref="AR321:AR322" si="582">IF(AL321=0,"",AP321/AL321-1)</f>
        <v/>
      </c>
      <c r="AS321" s="275">
        <f t="shared" ref="AS321:AT321" si="552">(AS24+AS250+AS300)</f>
        <v>0</v>
      </c>
      <c r="AT321" s="276">
        <f t="shared" si="552"/>
        <v>0</v>
      </c>
      <c r="AU321" s="277" t="str">
        <f t="shared" ref="AU321:AU322" si="584">IF(AT$11=0,"",AT321/AT$11)</f>
        <v/>
      </c>
      <c r="AV321" s="278" t="str">
        <f t="shared" ref="AV321:AV322" si="585">IF(AP321=0,"",AT321/AP321-1)</f>
        <v/>
      </c>
      <c r="AW321" s="275">
        <f t="shared" ref="AW321:AX321" si="553">(AW24+AW250+AW300)</f>
        <v>0</v>
      </c>
      <c r="AX321" s="276">
        <f t="shared" si="553"/>
        <v>0</v>
      </c>
      <c r="AY321" s="277" t="str">
        <f t="shared" ref="AY321:AY322" si="587">IF(AX$11=0,"",AX321/AX$11)</f>
        <v/>
      </c>
      <c r="AZ321" s="278" t="str">
        <f t="shared" ref="AZ321:AZ322" si="588">IF(AT321=0,"",AX321/AT321-1)</f>
        <v/>
      </c>
      <c r="BA321" s="275">
        <f t="shared" ref="BA321:BB321" si="554">(BA24+BA250+BA300)</f>
        <v>0</v>
      </c>
      <c r="BB321" s="276">
        <f t="shared" si="554"/>
        <v>0</v>
      </c>
      <c r="BC321" s="277" t="str">
        <f t="shared" ref="BC321:BC322" si="590">IF(BB$11=0,"",BB321/BB$11)</f>
        <v/>
      </c>
      <c r="BD321" s="348" t="str">
        <f t="shared" ref="BD321:BD322" si="591">IF(AX321=0,"",BB321/AX321-1)</f>
        <v/>
      </c>
      <c r="BE321" s="235">
        <f t="shared" ref="BE321:BF321" si="555">SUM(D321,I321,N321,S321,X321,AC321,AG321,AK321,AO321,AS321,AW321,BA321)</f>
        <v>10921.25</v>
      </c>
      <c r="BF321" s="236">
        <f t="shared" si="555"/>
        <v>10921.25</v>
      </c>
      <c r="BG321" s="237">
        <f t="shared" ref="BG321:BG322" si="593">IF(BF$11=0,"",BF321/BF$11)</f>
        <v>1.408521093</v>
      </c>
      <c r="BH321" s="222"/>
      <c r="BI321" s="283">
        <f>BI24+BI180+BI294</f>
        <v>0</v>
      </c>
      <c r="BJ321" s="284" t="str">
        <f t="shared" ref="BJ321:BJ322" si="594">IF(BI$11=0,"",BI321/BI$11)</f>
        <v/>
      </c>
      <c r="BK321" s="349"/>
      <c r="BL321" s="209"/>
    </row>
    <row r="322">
      <c r="A322" s="209"/>
      <c r="B322" s="209"/>
      <c r="C322" s="274" t="s">
        <v>552</v>
      </c>
      <c r="D322" s="275">
        <f t="shared" ref="D322:E322" si="556">(D299-D300)</f>
        <v>-7645.25</v>
      </c>
      <c r="E322" s="276">
        <f t="shared" si="556"/>
        <v>-3167.55</v>
      </c>
      <c r="F322" s="277">
        <f t="shared" si="557"/>
        <v>-0.4085210932</v>
      </c>
      <c r="G322" s="278" t="str">
        <f t="shared" si="558"/>
        <v/>
      </c>
      <c r="H322" s="279"/>
      <c r="I322" s="275">
        <f t="shared" ref="I322:J322" si="559">(I299-I300)</f>
        <v>0</v>
      </c>
      <c r="J322" s="276">
        <f t="shared" si="559"/>
        <v>0</v>
      </c>
      <c r="K322" s="277" t="str">
        <f t="shared" si="560"/>
        <v/>
      </c>
      <c r="L322" s="278">
        <f t="shared" si="561"/>
        <v>-1</v>
      </c>
      <c r="M322" s="280"/>
      <c r="N322" s="275">
        <f t="shared" ref="N322:O322" si="562">(N299-N300)</f>
        <v>0</v>
      </c>
      <c r="O322" s="276">
        <f t="shared" si="562"/>
        <v>0</v>
      </c>
      <c r="P322" s="277" t="str">
        <f t="shared" si="563"/>
        <v/>
      </c>
      <c r="Q322" s="278" t="str">
        <f t="shared" si="564"/>
        <v/>
      </c>
      <c r="R322" s="280"/>
      <c r="S322" s="275">
        <f t="shared" ref="S322:T322" si="565">(S299-S300)</f>
        <v>0</v>
      </c>
      <c r="T322" s="276">
        <f t="shared" si="565"/>
        <v>0</v>
      </c>
      <c r="U322" s="277" t="str">
        <f t="shared" si="566"/>
        <v/>
      </c>
      <c r="V322" s="278" t="str">
        <f t="shared" si="567"/>
        <v/>
      </c>
      <c r="W322" s="280"/>
      <c r="X322" s="275">
        <f t="shared" ref="X322:Y322" si="568">(X299-X300)</f>
        <v>0</v>
      </c>
      <c r="Y322" s="276">
        <f t="shared" si="568"/>
        <v>0</v>
      </c>
      <c r="Z322" s="277" t="str">
        <f t="shared" si="569"/>
        <v/>
      </c>
      <c r="AA322" s="278" t="str">
        <f t="shared" si="570"/>
        <v/>
      </c>
      <c r="AB322" s="280"/>
      <c r="AC322" s="275">
        <f t="shared" ref="AC322:AD322" si="571">(AC299-AC300)</f>
        <v>0</v>
      </c>
      <c r="AD322" s="276">
        <f t="shared" si="571"/>
        <v>0</v>
      </c>
      <c r="AE322" s="277" t="str">
        <f t="shared" si="572"/>
        <v/>
      </c>
      <c r="AF322" s="278" t="str">
        <f t="shared" si="573"/>
        <v/>
      </c>
      <c r="AG322" s="275">
        <f t="shared" ref="AG322:AH322" si="574">(AG299-AG300)</f>
        <v>0</v>
      </c>
      <c r="AH322" s="276">
        <f t="shared" si="574"/>
        <v>0</v>
      </c>
      <c r="AI322" s="277" t="str">
        <f t="shared" si="575"/>
        <v/>
      </c>
      <c r="AJ322" s="278" t="str">
        <f t="shared" si="576"/>
        <v/>
      </c>
      <c r="AK322" s="275">
        <f t="shared" ref="AK322:AL322" si="577">(AK299-AK300)</f>
        <v>0</v>
      </c>
      <c r="AL322" s="276">
        <f t="shared" si="577"/>
        <v>0</v>
      </c>
      <c r="AM322" s="277" t="str">
        <f t="shared" si="578"/>
        <v/>
      </c>
      <c r="AN322" s="278" t="str">
        <f t="shared" si="579"/>
        <v/>
      </c>
      <c r="AO322" s="275">
        <f t="shared" ref="AO322:AP322" si="580">(AO299-AO300)</f>
        <v>0</v>
      </c>
      <c r="AP322" s="276">
        <f t="shared" si="580"/>
        <v>0</v>
      </c>
      <c r="AQ322" s="277" t="str">
        <f t="shared" si="581"/>
        <v/>
      </c>
      <c r="AR322" s="278" t="str">
        <f t="shared" si="582"/>
        <v/>
      </c>
      <c r="AS322" s="275">
        <f t="shared" ref="AS322:AT322" si="583">(AS299-AS300)</f>
        <v>0</v>
      </c>
      <c r="AT322" s="276">
        <f t="shared" si="583"/>
        <v>0</v>
      </c>
      <c r="AU322" s="277" t="str">
        <f t="shared" si="584"/>
        <v/>
      </c>
      <c r="AV322" s="278" t="str">
        <f t="shared" si="585"/>
        <v/>
      </c>
      <c r="AW322" s="275">
        <f t="shared" ref="AW322:AX322" si="586">(AW299-AW300)</f>
        <v>0</v>
      </c>
      <c r="AX322" s="276">
        <f t="shared" si="586"/>
        <v>0</v>
      </c>
      <c r="AY322" s="277" t="str">
        <f t="shared" si="587"/>
        <v/>
      </c>
      <c r="AZ322" s="278" t="str">
        <f t="shared" si="588"/>
        <v/>
      </c>
      <c r="BA322" s="275">
        <f t="shared" ref="BA322:BB322" si="589">(BA299-BA300)</f>
        <v>0</v>
      </c>
      <c r="BB322" s="276">
        <f t="shared" si="589"/>
        <v>0</v>
      </c>
      <c r="BC322" s="277" t="str">
        <f t="shared" si="590"/>
        <v/>
      </c>
      <c r="BD322" s="348" t="str">
        <f t="shared" si="591"/>
        <v/>
      </c>
      <c r="BE322" s="235">
        <f t="shared" ref="BE322:BF322" si="592">SUM(D322,I322,N322,S322,X322,AC322,AG322,AK322,AO322,AS322,AW322,BA322)</f>
        <v>-7645.25</v>
      </c>
      <c r="BF322" s="236">
        <f t="shared" si="592"/>
        <v>-3167.55</v>
      </c>
      <c r="BG322" s="237">
        <f t="shared" si="593"/>
        <v>-0.4085210932</v>
      </c>
      <c r="BH322" s="222"/>
      <c r="BI322" s="283">
        <f>BI299-BI300</f>
        <v>0</v>
      </c>
      <c r="BJ322" s="284" t="str">
        <f t="shared" si="594"/>
        <v/>
      </c>
      <c r="BK322" s="349"/>
      <c r="BL322" s="209"/>
    </row>
    <row r="323">
      <c r="A323" s="1"/>
      <c r="B323" s="1"/>
      <c r="C323" s="18"/>
      <c r="D323" s="420"/>
      <c r="E323" s="421"/>
      <c r="F323" s="422"/>
      <c r="G323" s="423"/>
      <c r="H323" s="424"/>
      <c r="I323" s="420"/>
      <c r="J323" s="421"/>
      <c r="K323" s="422"/>
      <c r="L323" s="423"/>
      <c r="M323" s="424"/>
      <c r="N323" s="420"/>
      <c r="O323" s="421"/>
      <c r="P323" s="422"/>
      <c r="Q323" s="423"/>
      <c r="R323" s="424"/>
      <c r="S323" s="420"/>
      <c r="T323" s="421"/>
      <c r="U323" s="422"/>
      <c r="V323" s="423"/>
      <c r="W323" s="424"/>
      <c r="X323" s="420"/>
      <c r="Y323" s="421"/>
      <c r="Z323" s="422"/>
      <c r="AA323" s="423"/>
      <c r="AB323" s="424"/>
      <c r="AC323" s="420"/>
      <c r="AD323" s="421"/>
      <c r="AE323" s="422"/>
      <c r="AF323" s="423"/>
      <c r="AG323" s="420"/>
      <c r="AH323" s="421"/>
      <c r="AI323" s="422"/>
      <c r="AJ323" s="423"/>
      <c r="AK323" s="420"/>
      <c r="AL323" s="421"/>
      <c r="AM323" s="422"/>
      <c r="AN323" s="423"/>
      <c r="AO323" s="420"/>
      <c r="AP323" s="421"/>
      <c r="AQ323" s="422"/>
      <c r="AR323" s="423"/>
      <c r="AS323" s="420"/>
      <c r="AT323" s="421"/>
      <c r="AU323" s="422"/>
      <c r="AV323" s="423"/>
      <c r="AW323" s="420"/>
      <c r="AX323" s="421"/>
      <c r="AY323" s="422"/>
      <c r="AZ323" s="423"/>
      <c r="BA323" s="420"/>
      <c r="BB323" s="421"/>
      <c r="BC323" s="422"/>
      <c r="BD323" s="425"/>
      <c r="BE323" s="267">
        <f t="shared" ref="BE323:BF323" si="595">SUM(D323,I323,N323,S323,X323,AC323,AG323,AK323,AO323,AS323,AW323,BA323)</f>
        <v>0</v>
      </c>
      <c r="BF323" s="268">
        <f t="shared" si="595"/>
        <v>0</v>
      </c>
      <c r="BG323" s="269"/>
      <c r="BH323" s="192"/>
      <c r="BI323" s="426"/>
      <c r="BJ323" s="427"/>
      <c r="BK323" s="272"/>
      <c r="BL323" s="1"/>
    </row>
    <row r="324">
      <c r="A324" s="209"/>
      <c r="B324" s="209"/>
      <c r="C324" s="428" t="s">
        <v>480</v>
      </c>
      <c r="D324" s="429">
        <f t="shared" ref="D324:E324" si="596">D325-D331</f>
        <v>0</v>
      </c>
      <c r="E324" s="430">
        <f t="shared" si="596"/>
        <v>0</v>
      </c>
      <c r="F324" s="431">
        <f t="shared" ref="F324:F325" si="609">IF(E$11=0,"",E324/E$11)</f>
        <v>0</v>
      </c>
      <c r="G324" s="432" t="str">
        <f>IF(A324=0,"",E324/A324-1)</f>
        <v/>
      </c>
      <c r="H324" s="433"/>
      <c r="I324" s="429">
        <f t="shared" ref="I324:J324" si="597">I325-I331</f>
        <v>0</v>
      </c>
      <c r="J324" s="430">
        <f t="shared" si="597"/>
        <v>0</v>
      </c>
      <c r="K324" s="431" t="str">
        <f t="shared" ref="K324:K325" si="610">IF(J$11=0,"",J324/J$11)</f>
        <v/>
      </c>
      <c r="L324" s="432" t="str">
        <f>IF(E324=0,"",J324/E324-1)</f>
        <v/>
      </c>
      <c r="M324" s="434"/>
      <c r="N324" s="429">
        <f t="shared" ref="N324:O324" si="598">N325-N331</f>
        <v>0</v>
      </c>
      <c r="O324" s="430">
        <f t="shared" si="598"/>
        <v>0</v>
      </c>
      <c r="P324" s="431" t="str">
        <f t="shared" ref="P324:P325" si="611">IF(O$11=0,"",O324/O$11)</f>
        <v/>
      </c>
      <c r="Q324" s="432" t="str">
        <f>IF(J324=0,"",O324/J324-1)</f>
        <v/>
      </c>
      <c r="R324" s="434"/>
      <c r="S324" s="429">
        <f t="shared" ref="S324:T324" si="599">S325-S331</f>
        <v>0</v>
      </c>
      <c r="T324" s="430">
        <f t="shared" si="599"/>
        <v>0</v>
      </c>
      <c r="U324" s="431" t="str">
        <f t="shared" ref="U324:U325" si="612">IF(T$11=0,"",T324/T$11)</f>
        <v/>
      </c>
      <c r="V324" s="432" t="str">
        <f>IF(O324=0,"",T324/O324-1)</f>
        <v/>
      </c>
      <c r="W324" s="434"/>
      <c r="X324" s="429">
        <f t="shared" ref="X324:Y324" si="600">X325-X331</f>
        <v>0</v>
      </c>
      <c r="Y324" s="430">
        <f t="shared" si="600"/>
        <v>0</v>
      </c>
      <c r="Z324" s="431" t="str">
        <f t="shared" ref="Z324:Z325" si="613">IF(Y$11=0,"",Y324/Y$11)</f>
        <v/>
      </c>
      <c r="AA324" s="432" t="str">
        <f>IF(T324=0,"",Y324/T324-1)</f>
        <v/>
      </c>
      <c r="AB324" s="434"/>
      <c r="AC324" s="429">
        <f t="shared" ref="AC324:AD324" si="601">AC325-AC331</f>
        <v>0</v>
      </c>
      <c r="AD324" s="430">
        <f t="shared" si="601"/>
        <v>0</v>
      </c>
      <c r="AE324" s="431" t="str">
        <f t="shared" ref="AE324:AE325" si="614">IF(AD$11=0,"",AD324/AD$11)</f>
        <v/>
      </c>
      <c r="AF324" s="432" t="str">
        <f>IF(Y324=0,"",AD324/Y324-1)</f>
        <v/>
      </c>
      <c r="AG324" s="429">
        <f t="shared" ref="AG324:AH324" si="602">AG325-AG331</f>
        <v>0</v>
      </c>
      <c r="AH324" s="430">
        <f t="shared" si="602"/>
        <v>0</v>
      </c>
      <c r="AI324" s="431" t="str">
        <f t="shared" ref="AI324:AI325" si="615">IF(AH$11=0,"",AH324/AH$11)</f>
        <v/>
      </c>
      <c r="AJ324" s="432" t="str">
        <f>IF(AD324=0,"",AH324/AD324-1)</f>
        <v/>
      </c>
      <c r="AK324" s="429">
        <f t="shared" ref="AK324:AL324" si="603">AK325-AK331</f>
        <v>0</v>
      </c>
      <c r="AL324" s="430">
        <f t="shared" si="603"/>
        <v>0</v>
      </c>
      <c r="AM324" s="431" t="str">
        <f t="shared" ref="AM324:AM325" si="616">IF(AL$11=0,"",AL324/AL$11)</f>
        <v/>
      </c>
      <c r="AN324" s="432" t="str">
        <f>IF(AH324=0,"",AL324/AH324-1)</f>
        <v/>
      </c>
      <c r="AO324" s="429">
        <f t="shared" ref="AO324:AP324" si="604">AO325-AO331</f>
        <v>0</v>
      </c>
      <c r="AP324" s="430">
        <f t="shared" si="604"/>
        <v>0</v>
      </c>
      <c r="AQ324" s="431" t="str">
        <f t="shared" ref="AQ324:AQ325" si="617">IF(AP$11=0,"",AP324/AP$11)</f>
        <v/>
      </c>
      <c r="AR324" s="432" t="str">
        <f>IF(AL324=0,"",AP324/AL324-1)</f>
        <v/>
      </c>
      <c r="AS324" s="429">
        <f t="shared" ref="AS324:AT324" si="605">AS325-AS331</f>
        <v>0</v>
      </c>
      <c r="AT324" s="430">
        <f t="shared" si="605"/>
        <v>0</v>
      </c>
      <c r="AU324" s="431" t="str">
        <f t="shared" ref="AU324:AU325" si="618">IF(AT$11=0,"",AT324/AT$11)</f>
        <v/>
      </c>
      <c r="AV324" s="432" t="str">
        <f>IF(AP324=0,"",AT324/AP324-1)</f>
        <v/>
      </c>
      <c r="AW324" s="429">
        <f t="shared" ref="AW324:AX324" si="606">AW325-AW331</f>
        <v>0</v>
      </c>
      <c r="AX324" s="430">
        <f t="shared" si="606"/>
        <v>0</v>
      </c>
      <c r="AY324" s="431" t="str">
        <f t="shared" ref="AY324:AY325" si="619">IF(AX$11=0,"",AX324/AX$11)</f>
        <v/>
      </c>
      <c r="AZ324" s="432" t="str">
        <f>IF(AT324=0,"",AX324/AT324-1)</f>
        <v/>
      </c>
      <c r="BA324" s="429">
        <f t="shared" ref="BA324:BB324" si="607">BA325-BA331</f>
        <v>0</v>
      </c>
      <c r="BB324" s="430">
        <f t="shared" si="607"/>
        <v>0</v>
      </c>
      <c r="BC324" s="431" t="str">
        <f t="shared" ref="BC324:BC325" si="620">IF(BB$11=0,"",BB324/BB$11)</f>
        <v/>
      </c>
      <c r="BD324" s="434" t="str">
        <f>IF(AX324=0,"",BB324/AX324-1)</f>
        <v/>
      </c>
      <c r="BE324" s="435">
        <f t="shared" ref="BE324:BF324" si="608">SUM(D324,I324,N324,S324,X324,AC324,AG324,AK324,AO324,AS324,AW324,BA324)</f>
        <v>0</v>
      </c>
      <c r="BF324" s="436">
        <f t="shared" si="608"/>
        <v>0</v>
      </c>
      <c r="BG324" s="437">
        <f>IF(BF$11=0,"",BF324/BF$11)</f>
        <v>0</v>
      </c>
      <c r="BH324" s="360"/>
      <c r="BI324" s="438">
        <f>BI325-BI331</f>
        <v>0</v>
      </c>
      <c r="BJ324" s="439" t="str">
        <f>IF(BI$11=0,"",BI324/BI$11)</f>
        <v/>
      </c>
      <c r="BK324" s="363"/>
      <c r="BL324" s="440"/>
    </row>
    <row r="325">
      <c r="A325" s="1"/>
      <c r="B325" s="40"/>
      <c r="C325" s="322" t="s">
        <v>481</v>
      </c>
      <c r="D325" s="441">
        <f>SUMIFS('Livro Diario - FC'!$J$11:$J1028,'Livro Diario - FC'!$E$11:$E1028,$C$325,'Livro Diario - FC'!$D$11:$D1028,"&gt;=01/01"&amp;$C$7,'Livro Diario - FC'!$D$11:$D1028,"&lt;=31/01"&amp;$C$7)+SUM(D326:D329)</f>
        <v>0</v>
      </c>
      <c r="E325" s="442">
        <f>SUMIFS('Livro Diario - FC'!$J$11:$J1028,'Livro Diario - FC'!$E$11:$E1028,$C$325,'Livro Diario - FC'!$D$11:$D1028,"&gt;=01/01"&amp;$C$7,'Livro Diario - FC'!$D$11:$D1028,"&lt;=31/01"&amp;$C$7)+SUM(E326:E329)</f>
        <v>0</v>
      </c>
      <c r="F325" s="325">
        <f t="shared" si="609"/>
        <v>0</v>
      </c>
      <c r="G325" s="326"/>
      <c r="H325" s="327"/>
      <c r="I325" s="441">
        <f>SUMIFS('Livro Diario - FC'!$J$11:$J1028,'Livro Diario - FC'!$E$11:$E1028,$C$325,'Livro Diario - FC'!$D$11:$D1028,"&gt;=01/02"&amp;$C$7,'Livro Diario - FC'!$D$11:$D1028,"&lt;=29/02"&amp;$C$7)+SUM(I326:I329)</f>
        <v>0</v>
      </c>
      <c r="J325" s="442">
        <f>SUMIFS('Livro Diario - FC'!$J$11:$J1028,'Livro Diario - FC'!$E$11:$E1028,$C$325,'Livro Diario - FC'!$D$11:$D1028,"&gt;=01/02"&amp;$C$7,'Livro Diario - FC'!$D$11:$D1028,"&lt;=29/02"&amp;$C$7)+SUM(J326:J329)</f>
        <v>0</v>
      </c>
      <c r="K325" s="325" t="str">
        <f t="shared" si="610"/>
        <v/>
      </c>
      <c r="L325" s="326"/>
      <c r="M325" s="328"/>
      <c r="N325" s="441">
        <f>SUMIFS('Livro Diario - FC'!$J$11:$J1028,'Livro Diario - FC'!$E$11:$E1028,$C$325,'Livro Diario - FC'!$D$11:$D1028,"&gt;=01/03"&amp;$C$7,'Livro Diario - FC'!$D$11:$D1028,"&lt;=31/03"&amp;$C$7)+SUM(N326:N329)</f>
        <v>0</v>
      </c>
      <c r="O325" s="442">
        <f>SUMIFS('Livro Diario - FC'!$J$11:$J1028,'Livro Diario - FC'!$E$11:$E1028,$C$325,'Livro Diario - FC'!$D$11:$D1028,"&gt;=01/03"&amp;$C$7,'Livro Diario - FC'!$D$11:$D1028,"&lt;=31/03"&amp;$C$7)+SUM(O326:O329)</f>
        <v>0</v>
      </c>
      <c r="P325" s="325" t="str">
        <f t="shared" si="611"/>
        <v/>
      </c>
      <c r="Q325" s="326"/>
      <c r="R325" s="328"/>
      <c r="S325" s="441">
        <f>SUMIFS('Livro Diario - FC'!$J$11:$J1028,'Livro Diario - FC'!$E$11:$E1028,$C$325,'Livro Diario - FC'!$D$11:$D1028,"&gt;=01/04"&amp;$C$7,'Livro Diario - FC'!$D$11:$D1028,"&lt;=30/04"&amp;$C$7)+SUM(S326:S329)</f>
        <v>0</v>
      </c>
      <c r="T325" s="442">
        <f>SUMIFS('Livro Diario - FC'!$J$11:$J1028,'Livro Diario - FC'!$E$11:$E1028,$C$325,'Livro Diario - FC'!$D$11:$D1028,"&gt;=01/04"&amp;$C$7,'Livro Diario - FC'!$D$11:$D1028,"&lt;=30/04"&amp;$C$7)+SUM(T326:T329)</f>
        <v>0</v>
      </c>
      <c r="U325" s="325" t="str">
        <f t="shared" si="612"/>
        <v/>
      </c>
      <c r="V325" s="326"/>
      <c r="W325" s="328"/>
      <c r="X325" s="441">
        <f>SUMIFS('Livro Diario - FC'!$J$11:$J1028,'Livro Diario - FC'!$E$11:$E1028,$C$325,'Livro Diario - FC'!$D$11:$D1028,"&gt;=01/05"&amp;$C$7,'Livro Diario - FC'!$D$11:$D1028,"&lt;=31/05"&amp;$C$7)+SUM(X326:X329)</f>
        <v>0</v>
      </c>
      <c r="Y325" s="442">
        <f>SUMIFS('Livro Diario - FC'!$J$11:$J1028,'Livro Diario - FC'!$E$11:$E1028,$C$325,'Livro Diario - FC'!$D$11:$D1028,"&gt;=01/05"&amp;$C$7,'Livro Diario - FC'!$D$11:$D1028,"&lt;=31/05"&amp;$C$7)+SUM(Y326:Y329)</f>
        <v>0</v>
      </c>
      <c r="Z325" s="325" t="str">
        <f t="shared" si="613"/>
        <v/>
      </c>
      <c r="AA325" s="326"/>
      <c r="AB325" s="328"/>
      <c r="AC325" s="441">
        <f>SUMIFS('Livro Diario - FC'!$J$11:$J1028,'Livro Diario - FC'!$E$11:$E1028,$C$325,'Livro Diario - FC'!$D$11:$D1028,"&gt;=01/06"&amp;$C$7,'Livro Diario - FC'!$D$11:$D1028,"&lt;=30/06"&amp;$C$7)+SUM(AC326:AC329)</f>
        <v>0</v>
      </c>
      <c r="AD325" s="442">
        <f>SUMIFS('Livro Diario - FC'!$J$11:$J1028,'Livro Diario - FC'!$E$11:$E1028,$C$325,'Livro Diario - FC'!$D$11:$D1028,"&gt;=01/06"&amp;$C$7,'Livro Diario - FC'!$D$11:$D1028,"&lt;=30/06"&amp;$C$7)+SUM(AD326:AD329)</f>
        <v>0</v>
      </c>
      <c r="AE325" s="325" t="str">
        <f t="shared" si="614"/>
        <v/>
      </c>
      <c r="AF325" s="326"/>
      <c r="AG325" s="441">
        <f>SUMIFS('Livro Diario - FC'!$J$11:$J1028,'Livro Diario - FC'!$E$11:$E1028,$C$325,'Livro Diario - FC'!$D$11:$D1028,"&gt;=01/07"&amp;$C$7,'Livro Diario - FC'!$D$11:$D1028,"&lt;=31/07"&amp;$C$7)+SUM(AG326:AG329)</f>
        <v>0</v>
      </c>
      <c r="AH325" s="442">
        <f>SUMIFS('Livro Diario - FC'!$J$11:$J1028,'Livro Diario - FC'!$E$11:$E1028,$C$325,'Livro Diario - FC'!$D$11:$D1028,"&gt;=01/07"&amp;$C$7,'Livro Diario - FC'!$D$11:$D1028,"&lt;=31/07"&amp;$C$7)+SUM(AH326:AH329)</f>
        <v>0</v>
      </c>
      <c r="AI325" s="325" t="str">
        <f t="shared" si="615"/>
        <v/>
      </c>
      <c r="AJ325" s="326"/>
      <c r="AK325" s="441">
        <f>SUMIFS('Livro Diario - FC'!$J$11:$J1028,'Livro Diario - FC'!$E$11:$E1028,$C$325,'Livro Diario - FC'!$D$11:$D1028,"&gt;=01/08"&amp;$C$7,'Livro Diario - FC'!$D$11:$D1028,"&lt;=31/08"&amp;$C$7)+SUM(AK326:AK329)</f>
        <v>0</v>
      </c>
      <c r="AL325" s="442">
        <f>SUMIFS('Livro Diario - FC'!$J$11:$J1028,'Livro Diario - FC'!$E$11:$E1028,$C$325,'Livro Diario - FC'!$D$11:$D1028,"&gt;=01/08"&amp;$C$7,'Livro Diario - FC'!$D$11:$D1028,"&lt;=31/08"&amp;$C$7)+SUM(AL326:AL329)</f>
        <v>0</v>
      </c>
      <c r="AM325" s="325" t="str">
        <f t="shared" si="616"/>
        <v/>
      </c>
      <c r="AN325" s="326"/>
      <c r="AO325" s="441">
        <f>SUMIFS('Livro Diario - FC'!$J$11:$J1028,'Livro Diario - FC'!$E$11:$E1028,$C$325,'Livro Diario - FC'!$D$11:$D1028,"&gt;=01/09"&amp;$C$7,'Livro Diario - FC'!$D$11:$D1028,"&lt;=30/09"&amp;$C$7)+SUM(AO326:AO329)</f>
        <v>0</v>
      </c>
      <c r="AP325" s="442">
        <f>SUMIFS('Livro Diario - FC'!$J$11:$J1028,'Livro Diario - FC'!$E$11:$E1028,$C$325,'Livro Diario - FC'!$D$11:$D1028,"&gt;=01/09"&amp;$C$7,'Livro Diario - FC'!$D$11:$D1028,"&lt;=30/09"&amp;$C$7)+SUM(AP326:AP329)</f>
        <v>0</v>
      </c>
      <c r="AQ325" s="325" t="str">
        <f t="shared" si="617"/>
        <v/>
      </c>
      <c r="AR325" s="326"/>
      <c r="AS325" s="441">
        <f>SUMIFS('Livro Diario - FC'!$J$11:$J1028,'Livro Diario - FC'!$E$11:$E1028,$C$325,'Livro Diario - FC'!$D$11:$D1028,"&gt;=01/10"&amp;$C$7,'Livro Diario - FC'!$D$11:$D1028,"&lt;=31/10"&amp;$C$7)+SUM(AS326:AS329)</f>
        <v>0</v>
      </c>
      <c r="AT325" s="442">
        <f>SUMIFS('Livro Diario - FC'!$J$11:$J1028,'Livro Diario - FC'!$E$11:$E1028,$C$325,'Livro Diario - FC'!$D$11:$D1028,"&gt;=01/10"&amp;$C$7,'Livro Diario - FC'!$D$11:$D1028,"&lt;=31/10"&amp;$C$7)+SUM(AT326:AT329)</f>
        <v>0</v>
      </c>
      <c r="AU325" s="325" t="str">
        <f t="shared" si="618"/>
        <v/>
      </c>
      <c r="AV325" s="326"/>
      <c r="AW325" s="441">
        <f>SUMIFS('Livro Diario - FC'!$J$11:$J1028,'Livro Diario - FC'!$E$11:$E1028,$C$325,'Livro Diario - FC'!$D$11:$D1028,"&gt;=01/11"&amp;$C$7,'Livro Diario - FC'!$D$11:$D1028,"&lt;=30/11"&amp;$C$7)+SUM(AW326:AW329)</f>
        <v>0</v>
      </c>
      <c r="AX325" s="442">
        <f>SUMIFS('Livro Diario - FC'!$J$11:$J1028,'Livro Diario - FC'!$E$11:$E1028,$C$325,'Livro Diario - FC'!$D$11:$D1028,"&gt;=01/11"&amp;$C$7,'Livro Diario - FC'!$D$11:$D1028,"&lt;=30/11"&amp;$C$7)+SUM(AX326:AX329)</f>
        <v>0</v>
      </c>
      <c r="AY325" s="325" t="str">
        <f t="shared" si="619"/>
        <v/>
      </c>
      <c r="AZ325" s="326"/>
      <c r="BA325" s="441">
        <f>SUMIFS('Livro Diario - FC'!$J$11:$J1028,'Livro Diario - FC'!$E$11:$E1028,$C$325,'Livro Diario - FC'!$D$11:$D1028,"&gt;=01/12"&amp;$C$7,'Livro Diario - FC'!$D$11:$D1028,"&lt;=31/12"&amp;$C$7)+SUM(BA326:BA329)</f>
        <v>0</v>
      </c>
      <c r="BB325" s="442">
        <f>SUMIFS('Livro Diario - FC'!$J$11:$J1028,'Livro Diario - FC'!$E$11:$E1028,$C$325,'Livro Diario - FC'!$D$11:$D1028,"&gt;=01/12"&amp;$C$7,'Livro Diario - FC'!$D$11:$D1028,"&lt;=31/12"&amp;$C$7)+SUM(BB326:BB329)</f>
        <v>0</v>
      </c>
      <c r="BC325" s="325" t="str">
        <f t="shared" si="620"/>
        <v/>
      </c>
      <c r="BD325" s="329"/>
      <c r="BE325" s="443">
        <f t="shared" ref="BE325:BF325" si="621">SUM(D325,I325,N325,S325,X325,AC325,AG325,AK325,AO325,AS325,AW325,BA325)</f>
        <v>0</v>
      </c>
      <c r="BF325" s="331">
        <f t="shared" si="621"/>
        <v>0</v>
      </c>
      <c r="BG325" s="332"/>
      <c r="BH325" s="333"/>
      <c r="BI325" s="334">
        <f>SUMIFS('Livro Diario - FC'!$M$11:$M1028,'Livro Diario - FC'!$E$11:$E1028,C331,'Livro Diario - FC'!$D$11:$D1028,"&gt;="&amp;$BK$8,'Livro Diario - FC'!$D$11:$D1028,"&lt;="&amp;$BK$9)+SUM(BI326:BI329)</f>
        <v>0</v>
      </c>
      <c r="BJ325" s="335"/>
      <c r="BK325" s="336"/>
      <c r="BL325" s="337"/>
    </row>
    <row r="326">
      <c r="A326" s="1"/>
      <c r="B326" s="1"/>
      <c r="C326" s="338" t="str">
        <f>'Livro Diario - FC'!AE330</f>
        <v>7.1.1 Empréstimos obtidos</v>
      </c>
      <c r="D326" s="255">
        <f>SUMIFS('Livro Diario - FC'!$J$11:$J1028,'Livro Diario - FC'!$E$11:$E1028,$C$326,'Livro Diario - FC'!$D$11:$D1028,"&gt;=01/01"&amp;$C$7,'Livro Diario - FC'!$D$11:$D1028,"&lt;=31/01"&amp;$C$7)</f>
        <v>0</v>
      </c>
      <c r="E326" s="256">
        <f>SUMIFS('Livro Diario - FC'!$L$11:$L1028,'Livro Diario - FC'!$E$11:$E1028,$C$326,'Livro Diario - FC'!$D$11:$D1028,"&gt;=01/01"&amp;$C$7,'Livro Diario - FC'!$D$11:$D1028,"&lt;=31/01"&amp;$C$7)</f>
        <v>0</v>
      </c>
      <c r="F326" s="273"/>
      <c r="G326" s="258"/>
      <c r="H326" s="157"/>
      <c r="I326" s="255">
        <f>SUMIFS('Livro Diario - FC'!$J$11:$J1028,'Livro Diario - FC'!$E$11:$E1028,$C$326,'Livro Diario - FC'!$D$11:$D1028,"&gt;=01/02"&amp;$C$7,'Livro Diario - FC'!$D$11:$D1028,"&lt;=29/02"&amp;$C$7)</f>
        <v>0</v>
      </c>
      <c r="J326" s="256">
        <f>SUMIFS('Livro Diario - FC'!$L$11:$L1028,'Livro Diario - FC'!$E$11:$E1028,$C$326,'Livro Diario - FC'!$D$11:$D1028,"&gt;=01/02"&amp;$C$7,'Livro Diario - FC'!$D$11:$D1028,"&lt;=29/02"&amp;$C$7)</f>
        <v>0</v>
      </c>
      <c r="K326" s="273"/>
      <c r="L326" s="258"/>
      <c r="M326" s="259"/>
      <c r="N326" s="255">
        <f>SUMIFS('Livro Diario - FC'!$J$11:$J1028,'Livro Diario - FC'!$E$11:$E1028,$C$326,'Livro Diario - FC'!$D$11:$D1028,"&gt;=01/03"&amp;$C$7,'Livro Diario - FC'!$D$11:$D1028,"&lt;=31/03"&amp;$C$7)</f>
        <v>0</v>
      </c>
      <c r="O326" s="256">
        <f>SUMIFS('Livro Diario - FC'!$L$11:$L1028,'Livro Diario - FC'!$E$11:$E1028,$C$326,'Livro Diario - FC'!$D$11:$D1028,"&gt;=01/03"&amp;$C$7,'Livro Diario - FC'!$D$11:$D1028,"&lt;=31/03"&amp;$C$7)</f>
        <v>0</v>
      </c>
      <c r="P326" s="273"/>
      <c r="Q326" s="258"/>
      <c r="R326" s="259"/>
      <c r="S326" s="255">
        <f>SUMIFS('Livro Diario - FC'!$J$11:$J1028,'Livro Diario - FC'!$E$11:$E1028,$C$326,'Livro Diario - FC'!$D$11:$D1028,"&gt;=01/04"&amp;$C$7,'Livro Diario - FC'!$D$11:$D1028,"&lt;=30/04"&amp;$C$7)</f>
        <v>0</v>
      </c>
      <c r="T326" s="256">
        <f>SUMIFS('Livro Diario - FC'!$L$11:$L1028,'Livro Diario - FC'!$E$11:$E1028,$C$326,'Livro Diario - FC'!$D$11:$D1028,"&gt;=01/04"&amp;$C$7,'Livro Diario - FC'!$D$11:$D1028,"&lt;=30/04"&amp;$C$7)</f>
        <v>0</v>
      </c>
      <c r="U326" s="273"/>
      <c r="V326" s="258"/>
      <c r="W326" s="259"/>
      <c r="X326" s="255">
        <f>SUMIFS('Livro Diario - FC'!$J$11:$J1028,'Livro Diario - FC'!$E$11:$E1028,$C$326,'Livro Diario - FC'!$D$11:$D1028,"&gt;=01/05"&amp;$C$7,'Livro Diario - FC'!$D$11:$D1028,"&lt;=31/05"&amp;$C$7)</f>
        <v>0</v>
      </c>
      <c r="Y326" s="256">
        <f>SUMIFS('Livro Diario - FC'!$L$11:$L1028,'Livro Diario - FC'!$E$11:$E1028,$C$326,'Livro Diario - FC'!$D$11:$D1028,"&gt;=01/05"&amp;$C$7,'Livro Diario - FC'!$D$11:$D1028,"&lt;=31/05"&amp;$C$7)</f>
        <v>0</v>
      </c>
      <c r="Z326" s="273"/>
      <c r="AA326" s="258"/>
      <c r="AB326" s="259"/>
      <c r="AC326" s="255">
        <f>SUMIFS('Livro Diario - FC'!$J$11:$J1028,'Livro Diario - FC'!$E$11:$E1028,$C$326,'Livro Diario - FC'!$D$11:$D1028,"&gt;=01/06"&amp;$C$7,'Livro Diario - FC'!$D$11:$D1028,"&lt;=30/06"&amp;$C$7)</f>
        <v>0</v>
      </c>
      <c r="AD326" s="256">
        <f>SUMIFS('Livro Diario - FC'!$L$11:$L1028,'Livro Diario - FC'!$E$11:$E1028,$C$326,'Livro Diario - FC'!$D$11:$D1028,"&gt;=01/06"&amp;$C$7,'Livro Diario - FC'!$D$11:$D1028,"&lt;=30/06"&amp;$C$7)</f>
        <v>0</v>
      </c>
      <c r="AE326" s="273"/>
      <c r="AF326" s="258"/>
      <c r="AG326" s="255">
        <f>SUMIFS('Livro Diario - FC'!$J$11:$J1028,'Livro Diario - FC'!$E$11:$E1028,$C$326,'Livro Diario - FC'!$D$11:$D1028,"&gt;=01/07"&amp;$C$7,'Livro Diario - FC'!$D$11:$D1028,"&lt;=31/07"&amp;$C$7)</f>
        <v>0</v>
      </c>
      <c r="AH326" s="256">
        <f>SUMIFS('Livro Diario - FC'!$L$11:$L1028,'Livro Diario - FC'!$E$11:$E1028,$C$326,'Livro Diario - FC'!$D$11:$D1028,"&gt;=01/07"&amp;$C$7,'Livro Diario - FC'!$D$11:$D1028,"&lt;=31/07"&amp;$C$7)</f>
        <v>0</v>
      </c>
      <c r="AI326" s="273"/>
      <c r="AJ326" s="258"/>
      <c r="AK326" s="255">
        <f>SUMIFS('Livro Diario - FC'!$J$11:$J1028,'Livro Diario - FC'!$E$11:$E1028,$C$326,'Livro Diario - FC'!$D$11:$D1028,"&gt;=01/08"&amp;$C$7,'Livro Diario - FC'!$D$11:$D1028,"&lt;=31/08"&amp;$C$7)</f>
        <v>0</v>
      </c>
      <c r="AL326" s="256">
        <f>SUMIFS('Livro Diario - FC'!$L$11:$L1028,'Livro Diario - FC'!$E$11:$E1028,$C$326,'Livro Diario - FC'!$D$11:$D1028,"&gt;=01/08"&amp;$C$7,'Livro Diario - FC'!$D$11:$D1028,"&lt;=31/08"&amp;$C$7)</f>
        <v>0</v>
      </c>
      <c r="AM326" s="273"/>
      <c r="AN326" s="258"/>
      <c r="AO326" s="255">
        <f>SUMIFS('Livro Diario - FC'!$J$11:$J1028,'Livro Diario - FC'!$E$11:$E1028,$C$326,'Livro Diario - FC'!$D$11:$D1028,"&gt;=01/09"&amp;$C$7,'Livro Diario - FC'!$D$11:$D1028,"&lt;=30/09"&amp;$C$7)</f>
        <v>0</v>
      </c>
      <c r="AP326" s="256">
        <f>SUMIFS('Livro Diario - FC'!$L$11:$L1028,'Livro Diario - FC'!$E$11:$E1028,$C$326,'Livro Diario - FC'!$D$11:$D1028,"&gt;=01/09"&amp;$C$7,'Livro Diario - FC'!$D$11:$D1028,"&lt;=30/09"&amp;$C$7)</f>
        <v>0</v>
      </c>
      <c r="AQ326" s="273"/>
      <c r="AR326" s="258"/>
      <c r="AS326" s="255">
        <f>SUMIFS('Livro Diario - FC'!$J$11:$J1028,'Livro Diario - FC'!$E$11:$E1028,$C$326,'Livro Diario - FC'!$D$11:$D1028,"&gt;=01/10"&amp;$C$7,'Livro Diario - FC'!$D$11:$D1028,"&lt;=31/10"&amp;$C$7)</f>
        <v>0</v>
      </c>
      <c r="AT326" s="256">
        <f>SUMIFS('Livro Diario - FC'!$L$11:$L1028,'Livro Diario - FC'!$E$11:$E1028,$C$326,'Livro Diario - FC'!$D$11:$D1028,"&gt;=01/10"&amp;$C$7,'Livro Diario - FC'!$D$11:$D1028,"&lt;=31/10"&amp;$C$7)</f>
        <v>0</v>
      </c>
      <c r="AU326" s="273"/>
      <c r="AV326" s="258"/>
      <c r="AW326" s="255">
        <f>SUMIFS('Livro Diario - FC'!$J$11:$J1028,'Livro Diario - FC'!$E$11:$E1028,$C$326,'Livro Diario - FC'!$D$11:$D1028,"&gt;=01/11"&amp;$C$7,'Livro Diario - FC'!$D$11:$D1028,"&lt;=30/11"&amp;$C$7)</f>
        <v>0</v>
      </c>
      <c r="AX326" s="256">
        <f>SUMIFS('Livro Diario - FC'!$L$11:$L1028,'Livro Diario - FC'!$E$11:$E1028,$C$326,'Livro Diario - FC'!$D$11:$D1028,"&gt;=01/11"&amp;$C$7,'Livro Diario - FC'!$D$11:$D1028,"&lt;=30/11"&amp;$C$7)</f>
        <v>0</v>
      </c>
      <c r="AY326" s="273"/>
      <c r="AZ326" s="258"/>
      <c r="BA326" s="255">
        <f>SUMIFS('Livro Diario - FC'!$J$11:$J1028,'Livro Diario - FC'!$E$11:$E1028,$C$326,'Livro Diario - FC'!$D$11:$D1028,"&gt;=01/12"&amp;$C$7,'Livro Diario - FC'!$D$11:$D1028,"&lt;=31/12"&amp;$C$7)</f>
        <v>0</v>
      </c>
      <c r="BB326" s="256">
        <f>SUMIFS('Livro Diario - FC'!$L$11:$L1028,'Livro Diario - FC'!$E$11:$E1028,$C$326,'Livro Diario - FC'!$D$11:$D1028,"&gt;=01/12"&amp;$C$7,'Livro Diario - FC'!$D$11:$D1028,"&lt;=31/12"&amp;$C$7)</f>
        <v>0</v>
      </c>
      <c r="BC326" s="273"/>
      <c r="BD326" s="273"/>
      <c r="BE326" s="301">
        <f t="shared" ref="BE326:BF326" si="622">SUM(D326,I326,N326,S326,X326,AC326,AG326,AK326,AO326,AS326,AW326,BA326)</f>
        <v>0</v>
      </c>
      <c r="BF326" s="261">
        <f t="shared" si="622"/>
        <v>0</v>
      </c>
      <c r="BG326" s="262"/>
      <c r="BH326" s="302"/>
      <c r="BI326" s="303">
        <f>SUMIFS('Livro Diario - FC'!$M$11:$M1028,'Livro Diario - FC'!$E$11:$E1028,C326,'Livro Diario - FC'!$D$11:$D1028,"&gt;="&amp;$BK$8,'Livro Diario - FC'!$D$11:$D1028,"&lt;="&amp;$BK$9)</f>
        <v>0</v>
      </c>
      <c r="BJ326" s="271"/>
      <c r="BK326" s="304"/>
      <c r="BL326" s="339"/>
    </row>
    <row r="327">
      <c r="A327" s="1"/>
      <c r="B327" s="1"/>
      <c r="C327" s="338" t="str">
        <f>'Livro Diario - FC'!AE331</f>
        <v>7.1.2 Capitalização dos sócios</v>
      </c>
      <c r="D327" s="255">
        <f>SUMIFS('Livro Diario - FC'!$J$11:$J1028,'Livro Diario - FC'!$E$11:$E1028,$C$327,'Livro Diario - FC'!$D$11:$D1028,"&gt;=01/01"&amp;$C$7,'Livro Diario - FC'!$D$11:$D1028,"&lt;=31/01"&amp;$C$7)</f>
        <v>0</v>
      </c>
      <c r="E327" s="256">
        <f>SUMIFS('Livro Diario - FC'!$L$11:$L1028,'Livro Diario - FC'!$E$11:$E1028,$C$327,'Livro Diario - FC'!$D$11:$D1028,"&gt;=01/01"&amp;$C$7,'Livro Diario - FC'!$D$11:$D1028,"&lt;=31/01"&amp;$C$7)</f>
        <v>0</v>
      </c>
      <c r="F327" s="273"/>
      <c r="G327" s="258"/>
      <c r="H327" s="157"/>
      <c r="I327" s="255">
        <f>SUMIFS('Livro Diario - FC'!$J$11:$J1028,'Livro Diario - FC'!$E$11:$E1028,$C$327,'Livro Diario - FC'!$D$11:$D1028,"&gt;=01/02"&amp;$C$7,'Livro Diario - FC'!$D$11:$D1028,"&lt;=29/02"&amp;$C$7)</f>
        <v>0</v>
      </c>
      <c r="J327" s="256">
        <f>SUMIFS('Livro Diario - FC'!$L$11:$L1028,'Livro Diario - FC'!$E$11:$E1028,$C$327,'Livro Diario - FC'!$D$11:$D1028,"&gt;=01/02"&amp;$C$7,'Livro Diario - FC'!$D$11:$D1028,"&lt;=29/02"&amp;$C$7)</f>
        <v>0</v>
      </c>
      <c r="K327" s="273"/>
      <c r="L327" s="258"/>
      <c r="M327" s="259"/>
      <c r="N327" s="255">
        <f>SUMIFS('Livro Diario - FC'!$J$11:$J1028,'Livro Diario - FC'!$E$11:$E1028,$C$327,'Livro Diario - FC'!$D$11:$D1028,"&gt;=01/03"&amp;$C$7,'Livro Diario - FC'!$D$11:$D1028,"&lt;=31/03"&amp;$C$7)</f>
        <v>0</v>
      </c>
      <c r="O327" s="256">
        <f>SUMIFS('Livro Diario - FC'!$L$11:$L1028,'Livro Diario - FC'!$E$11:$E1028,$C$327,'Livro Diario - FC'!$D$11:$D1028,"&gt;=01/03"&amp;$C$7,'Livro Diario - FC'!$D$11:$D1028,"&lt;=31/03"&amp;$C$7)</f>
        <v>0</v>
      </c>
      <c r="P327" s="273"/>
      <c r="Q327" s="258"/>
      <c r="R327" s="259"/>
      <c r="S327" s="255">
        <f>SUMIFS('Livro Diario - FC'!$J$11:$J1028,'Livro Diario - FC'!$E$11:$E1028,$C$327,'Livro Diario - FC'!$D$11:$D1028,"&gt;=01/04"&amp;$C$7,'Livro Diario - FC'!$D$11:$D1028,"&lt;=30/04"&amp;$C$7)</f>
        <v>0</v>
      </c>
      <c r="T327" s="256">
        <f>SUMIFS('Livro Diario - FC'!$L$11:$L1028,'Livro Diario - FC'!$E$11:$E1028,$C$327,'Livro Diario - FC'!$D$11:$D1028,"&gt;=01/04"&amp;$C$7,'Livro Diario - FC'!$D$11:$D1028,"&lt;=30/04"&amp;$C$7)</f>
        <v>0</v>
      </c>
      <c r="U327" s="273"/>
      <c r="V327" s="258"/>
      <c r="W327" s="259"/>
      <c r="X327" s="255">
        <f>SUMIFS('Livro Diario - FC'!$J$11:$J1028,'Livro Diario - FC'!$E$11:$E1028,$C$327,'Livro Diario - FC'!$D$11:$D1028,"&gt;=01/05"&amp;$C$7,'Livro Diario - FC'!$D$11:$D1028,"&lt;=31/05"&amp;$C$7)</f>
        <v>0</v>
      </c>
      <c r="Y327" s="256">
        <f>SUMIFS('Livro Diario - FC'!$L$11:$L1028,'Livro Diario - FC'!$E$11:$E1028,$C$327,'Livro Diario - FC'!$D$11:$D1028,"&gt;=01/05"&amp;$C$7,'Livro Diario - FC'!$D$11:$D1028,"&lt;=31/05"&amp;$C$7)</f>
        <v>0</v>
      </c>
      <c r="Z327" s="273"/>
      <c r="AA327" s="258"/>
      <c r="AB327" s="259"/>
      <c r="AC327" s="255">
        <f>SUMIFS('Livro Diario - FC'!$J$11:$J1028,'Livro Diario - FC'!$E$11:$E1028,$C$327,'Livro Diario - FC'!$D$11:$D1028,"&gt;=01/06"&amp;$C$7,'Livro Diario - FC'!$D$11:$D1028,"&lt;=30/06"&amp;$C$7)</f>
        <v>0</v>
      </c>
      <c r="AD327" s="256">
        <f>SUMIFS('Livro Diario - FC'!$L$11:$L1028,'Livro Diario - FC'!$E$11:$E1028,$C$327,'Livro Diario - FC'!$D$11:$D1028,"&gt;=01/06"&amp;$C$7,'Livro Diario - FC'!$D$11:$D1028,"&lt;=30/06"&amp;$C$7)</f>
        <v>0</v>
      </c>
      <c r="AE327" s="273"/>
      <c r="AF327" s="258"/>
      <c r="AG327" s="255">
        <f>SUMIFS('Livro Diario - FC'!$J$11:$J1028,'Livro Diario - FC'!$E$11:$E1028,$C$327,'Livro Diario - FC'!$D$11:$D1028,"&gt;=01/07"&amp;$C$7,'Livro Diario - FC'!$D$11:$D1028,"&lt;=31/07"&amp;$C$7)</f>
        <v>0</v>
      </c>
      <c r="AH327" s="256">
        <f>SUMIFS('Livro Diario - FC'!$L$11:$L1028,'Livro Diario - FC'!$E$11:$E1028,$C$327,'Livro Diario - FC'!$D$11:$D1028,"&gt;=01/07"&amp;$C$7,'Livro Diario - FC'!$D$11:$D1028,"&lt;=31/07"&amp;$C$7)</f>
        <v>0</v>
      </c>
      <c r="AI327" s="273"/>
      <c r="AJ327" s="258"/>
      <c r="AK327" s="255">
        <f>SUMIFS('Livro Diario - FC'!$J$11:$J1028,'Livro Diario - FC'!$E$11:$E1028,$C$327,'Livro Diario - FC'!$D$11:$D1028,"&gt;=01/08"&amp;$C$7,'Livro Diario - FC'!$D$11:$D1028,"&lt;=31/08"&amp;$C$7)</f>
        <v>0</v>
      </c>
      <c r="AL327" s="256">
        <f>SUMIFS('Livro Diario - FC'!$L$11:$L1028,'Livro Diario - FC'!$E$11:$E1028,$C$327,'Livro Diario - FC'!$D$11:$D1028,"&gt;=01/08"&amp;$C$7,'Livro Diario - FC'!$D$11:$D1028,"&lt;=31/08"&amp;$C$7)</f>
        <v>0</v>
      </c>
      <c r="AM327" s="273"/>
      <c r="AN327" s="258"/>
      <c r="AO327" s="255">
        <f>SUMIFS('Livro Diario - FC'!$J$11:$J1028,'Livro Diario - FC'!$E$11:$E1028,$C$327,'Livro Diario - FC'!$D$11:$D1028,"&gt;=01/09"&amp;$C$7,'Livro Diario - FC'!$D$11:$D1028,"&lt;=30/09"&amp;$C$7)</f>
        <v>0</v>
      </c>
      <c r="AP327" s="256">
        <f>SUMIFS('Livro Diario - FC'!$L$11:$L1028,'Livro Diario - FC'!$E$11:$E1028,$C$327,'Livro Diario - FC'!$D$11:$D1028,"&gt;=01/09"&amp;$C$7,'Livro Diario - FC'!$D$11:$D1028,"&lt;=30/09"&amp;$C$7)</f>
        <v>0</v>
      </c>
      <c r="AQ327" s="273"/>
      <c r="AR327" s="258"/>
      <c r="AS327" s="255">
        <f>SUMIFS('Livro Diario - FC'!$J$11:$J1028,'Livro Diario - FC'!$E$11:$E1028,$C$327,'Livro Diario - FC'!$D$11:$D1028,"&gt;=01/10"&amp;$C$7,'Livro Diario - FC'!$D$11:$D1028,"&lt;=31/10"&amp;$C$7)</f>
        <v>0</v>
      </c>
      <c r="AT327" s="256">
        <f>SUMIFS('Livro Diario - FC'!$L$11:$L1028,'Livro Diario - FC'!$E$11:$E1028,$C$327,'Livro Diario - FC'!$D$11:$D1028,"&gt;=01/10"&amp;$C$7,'Livro Diario - FC'!$D$11:$D1028,"&lt;=31/10"&amp;$C$7)</f>
        <v>0</v>
      </c>
      <c r="AU327" s="273"/>
      <c r="AV327" s="258"/>
      <c r="AW327" s="255">
        <f>SUMIFS('Livro Diario - FC'!$J$11:$J1028,'Livro Diario - FC'!$E$11:$E1028,$C$327,'Livro Diario - FC'!$D$11:$D1028,"&gt;=01/11"&amp;$C$7,'Livro Diario - FC'!$D$11:$D1028,"&lt;=30/11"&amp;$C$7)</f>
        <v>0</v>
      </c>
      <c r="AX327" s="256">
        <f>SUMIFS('Livro Diario - FC'!$L$11:$L1028,'Livro Diario - FC'!$E$11:$E1028,$C$327,'Livro Diario - FC'!$D$11:$D1028,"&gt;=01/11"&amp;$C$7,'Livro Diario - FC'!$D$11:$D1028,"&lt;=30/11"&amp;$C$7)</f>
        <v>0</v>
      </c>
      <c r="AY327" s="273"/>
      <c r="AZ327" s="258"/>
      <c r="BA327" s="255">
        <f>SUMIFS('Livro Diario - FC'!$J$11:$J1028,'Livro Diario - FC'!$E$11:$E1028,$C$327,'Livro Diario - FC'!$D$11:$D1028,"&gt;=01/12"&amp;$C$7,'Livro Diario - FC'!$D$11:$D1028,"&lt;=31/12"&amp;$C$7)</f>
        <v>0</v>
      </c>
      <c r="BB327" s="256">
        <f>SUMIFS('Livro Diario - FC'!$L$11:$L1028,'Livro Diario - FC'!$E$11:$E1028,$C$327,'Livro Diario - FC'!$D$11:$D1028,"&gt;=01/12"&amp;$C$7,'Livro Diario - FC'!$D$11:$D1028,"&lt;=31/12"&amp;$C$7)</f>
        <v>0</v>
      </c>
      <c r="BC327" s="273"/>
      <c r="BD327" s="273"/>
      <c r="BE327" s="305">
        <f t="shared" ref="BE327:BF327" si="623">SUM(D327,I327,N327,S327,X327,AC327,AG327,AK327,AO327,AS327,AW327,BA327)</f>
        <v>0</v>
      </c>
      <c r="BF327" s="268">
        <f t="shared" si="623"/>
        <v>0</v>
      </c>
      <c r="BG327" s="269"/>
      <c r="BH327" s="192"/>
      <c r="BI327" s="303">
        <f>SUMIFS('Livro Diario - FC'!$M$11:$M1028,'Livro Diario - FC'!$E$11:$E1028,C327,'Livro Diario - FC'!$D$11:$D1028,"&gt;="&amp;$BK$8,'Livro Diario - FC'!$D$11:$D1028,"&lt;="&amp;$BK$9)</f>
        <v>0</v>
      </c>
      <c r="BJ327" s="271"/>
      <c r="BK327" s="272"/>
      <c r="BL327" s="1"/>
    </row>
    <row r="328">
      <c r="A328" s="1"/>
      <c r="B328" s="1"/>
      <c r="C328" s="338" t="str">
        <f>'Livro Diario - FC'!AE332</f>
        <v>7.1.3 Venda de equipamentos usados</v>
      </c>
      <c r="D328" s="255">
        <f>SUMIFS('Livro Diario - FC'!$J$11:$J1028,'Livro Diario - FC'!$E$11:$E1028,$C$328,'Livro Diario - FC'!$D$11:$D1028,"&gt;=01/01"&amp;$C$7,'Livro Diario - FC'!$D$11:$D1028,"&lt;=31/01"&amp;$C$7)</f>
        <v>0</v>
      </c>
      <c r="E328" s="256">
        <f>SUMIFS('Livro Diario - FC'!$L$11:$L1028,'Livro Diario - FC'!$E$11:$E1028,$C$328,'Livro Diario - FC'!$D$11:$D1028,"&gt;=01/01"&amp;$C$7,'Livro Diario - FC'!$D$11:$D1028,"&lt;=31/01"&amp;$C$7)</f>
        <v>0</v>
      </c>
      <c r="F328" s="273"/>
      <c r="G328" s="258"/>
      <c r="H328" s="157"/>
      <c r="I328" s="255">
        <f>SUMIFS('Livro Diario - FC'!$J$11:$J1028,'Livro Diario - FC'!$E$11:$E1028,$C$328,'Livro Diario - FC'!$D$11:$D1028,"&gt;=01/02"&amp;$C$7,'Livro Diario - FC'!$D$11:$D1028,"&lt;=29/02"&amp;$C$7)</f>
        <v>0</v>
      </c>
      <c r="J328" s="256">
        <f>SUMIFS('Livro Diario - FC'!$L$11:$L1028,'Livro Diario - FC'!$E$11:$E1028,$C$328,'Livro Diario - FC'!$D$11:$D1028,"&gt;=01/02"&amp;$C$7,'Livro Diario - FC'!$D$11:$D1028,"&lt;=29/02"&amp;$C$7)</f>
        <v>0</v>
      </c>
      <c r="K328" s="273"/>
      <c r="L328" s="258"/>
      <c r="M328" s="259"/>
      <c r="N328" s="255">
        <f>SUMIFS('Livro Diario - FC'!$J$11:$J1028,'Livro Diario - FC'!$E$11:$E1028,$C$328,'Livro Diario - FC'!$D$11:$D1028,"&gt;=01/03"&amp;$C$7,'Livro Diario - FC'!$D$11:$D1028,"&lt;=31/03"&amp;$C$7)</f>
        <v>0</v>
      </c>
      <c r="O328" s="256">
        <f>SUMIFS('Livro Diario - FC'!$L$11:$L1028,'Livro Diario - FC'!$E$11:$E1028,$C$328,'Livro Diario - FC'!$D$11:$D1028,"&gt;=01/03"&amp;$C$7,'Livro Diario - FC'!$D$11:$D1028,"&lt;=31/03"&amp;$C$7)</f>
        <v>0</v>
      </c>
      <c r="P328" s="273"/>
      <c r="Q328" s="258"/>
      <c r="R328" s="259"/>
      <c r="S328" s="255">
        <f>SUMIFS('Livro Diario - FC'!$J$11:$J1028,'Livro Diario - FC'!$E$11:$E1028,$C$328,'Livro Diario - FC'!$D$11:$D1028,"&gt;=01/04"&amp;$C$7,'Livro Diario - FC'!$D$11:$D1028,"&lt;=30/04"&amp;$C$7)</f>
        <v>0</v>
      </c>
      <c r="T328" s="256">
        <f>SUMIFS('Livro Diario - FC'!$L$11:$L1028,'Livro Diario - FC'!$E$11:$E1028,$C$328,'Livro Diario - FC'!$D$11:$D1028,"&gt;=01/04"&amp;$C$7,'Livro Diario - FC'!$D$11:$D1028,"&lt;=30/04"&amp;$C$7)</f>
        <v>0</v>
      </c>
      <c r="U328" s="273"/>
      <c r="V328" s="258"/>
      <c r="W328" s="259"/>
      <c r="X328" s="255">
        <f>SUMIFS('Livro Diario - FC'!$J$11:$J1028,'Livro Diario - FC'!$E$11:$E1028,$C$328,'Livro Diario - FC'!$D$11:$D1028,"&gt;=01/05"&amp;$C$7,'Livro Diario - FC'!$D$11:$D1028,"&lt;=31/05"&amp;$C$7)</f>
        <v>0</v>
      </c>
      <c r="Y328" s="256">
        <f>SUMIFS('Livro Diario - FC'!$L$11:$L1028,'Livro Diario - FC'!$E$11:$E1028,$C$328,'Livro Diario - FC'!$D$11:$D1028,"&gt;=01/05"&amp;$C$7,'Livro Diario - FC'!$D$11:$D1028,"&lt;=31/05"&amp;$C$7)</f>
        <v>0</v>
      </c>
      <c r="Z328" s="273"/>
      <c r="AA328" s="258"/>
      <c r="AB328" s="259"/>
      <c r="AC328" s="255">
        <f>SUMIFS('Livro Diario - FC'!$J$11:$J1028,'Livro Diario - FC'!$E$11:$E1028,$C$328,'Livro Diario - FC'!$D$11:$D1028,"&gt;=01/06"&amp;$C$7,'Livro Diario - FC'!$D$11:$D1028,"&lt;=30/06"&amp;$C$7)</f>
        <v>0</v>
      </c>
      <c r="AD328" s="256">
        <f>SUMIFS('Livro Diario - FC'!$L$11:$L1028,'Livro Diario - FC'!$E$11:$E1028,$C$328,'Livro Diario - FC'!$D$11:$D1028,"&gt;=01/06"&amp;$C$7,'Livro Diario - FC'!$D$11:$D1028,"&lt;=30/06"&amp;$C$7)</f>
        <v>0</v>
      </c>
      <c r="AE328" s="273"/>
      <c r="AF328" s="258"/>
      <c r="AG328" s="255">
        <f>SUMIFS('Livro Diario - FC'!$J$11:$J1028,'Livro Diario - FC'!$E$11:$E1028,$C$328,'Livro Diario - FC'!$D$11:$D1028,"&gt;=01/07"&amp;$C$7,'Livro Diario - FC'!$D$11:$D1028,"&lt;=31/07"&amp;$C$7)</f>
        <v>0</v>
      </c>
      <c r="AH328" s="256">
        <f>SUMIFS('Livro Diario - FC'!$L$11:$L1028,'Livro Diario - FC'!$E$11:$E1028,$C$328,'Livro Diario - FC'!$D$11:$D1028,"&gt;=01/07"&amp;$C$7,'Livro Diario - FC'!$D$11:$D1028,"&lt;=31/07"&amp;$C$7)</f>
        <v>0</v>
      </c>
      <c r="AI328" s="273"/>
      <c r="AJ328" s="258"/>
      <c r="AK328" s="255">
        <f>SUMIFS('Livro Diario - FC'!$J$11:$J1028,'Livro Diario - FC'!$E$11:$E1028,$C$328,'Livro Diario - FC'!$D$11:$D1028,"&gt;=01/08"&amp;$C$7,'Livro Diario - FC'!$D$11:$D1028,"&lt;=31/08"&amp;$C$7)</f>
        <v>0</v>
      </c>
      <c r="AL328" s="256">
        <f>SUMIFS('Livro Diario - FC'!$L$11:$L1028,'Livro Diario - FC'!$E$11:$E1028,$C$328,'Livro Diario - FC'!$D$11:$D1028,"&gt;=01/08"&amp;$C$7,'Livro Diario - FC'!$D$11:$D1028,"&lt;=31/08"&amp;$C$7)</f>
        <v>0</v>
      </c>
      <c r="AM328" s="273"/>
      <c r="AN328" s="258"/>
      <c r="AO328" s="255">
        <f>SUMIFS('Livro Diario - FC'!$J$11:$J1028,'Livro Diario - FC'!$E$11:$E1028,$C$328,'Livro Diario - FC'!$D$11:$D1028,"&gt;=01/09"&amp;$C$7,'Livro Diario - FC'!$D$11:$D1028,"&lt;=30/09"&amp;$C$7)</f>
        <v>0</v>
      </c>
      <c r="AP328" s="256">
        <f>SUMIFS('Livro Diario - FC'!$L$11:$L1028,'Livro Diario - FC'!$E$11:$E1028,$C$328,'Livro Diario - FC'!$D$11:$D1028,"&gt;=01/09"&amp;$C$7,'Livro Diario - FC'!$D$11:$D1028,"&lt;=30/09"&amp;$C$7)</f>
        <v>0</v>
      </c>
      <c r="AQ328" s="273"/>
      <c r="AR328" s="258"/>
      <c r="AS328" s="255">
        <f>SUMIFS('Livro Diario - FC'!$J$11:$J1028,'Livro Diario - FC'!$E$11:$E1028,$C$328,'Livro Diario - FC'!$D$11:$D1028,"&gt;=01/10"&amp;$C$7,'Livro Diario - FC'!$D$11:$D1028,"&lt;=31/10"&amp;$C$7)</f>
        <v>0</v>
      </c>
      <c r="AT328" s="256">
        <f>SUMIFS('Livro Diario - FC'!$L$11:$L1028,'Livro Diario - FC'!$E$11:$E1028,$C$328,'Livro Diario - FC'!$D$11:$D1028,"&gt;=01/10"&amp;$C$7,'Livro Diario - FC'!$D$11:$D1028,"&lt;=31/10"&amp;$C$7)</f>
        <v>0</v>
      </c>
      <c r="AU328" s="273"/>
      <c r="AV328" s="258"/>
      <c r="AW328" s="255">
        <f>SUMIFS('Livro Diario - FC'!$J$11:$J1028,'Livro Diario - FC'!$E$11:$E1028,$C$328,'Livro Diario - FC'!$D$11:$D1028,"&gt;=01/11"&amp;$C$7,'Livro Diario - FC'!$D$11:$D1028,"&lt;=30/11"&amp;$C$7)</f>
        <v>0</v>
      </c>
      <c r="AX328" s="256">
        <f>SUMIFS('Livro Diario - FC'!$L$11:$L1028,'Livro Diario - FC'!$E$11:$E1028,$C$328,'Livro Diario - FC'!$D$11:$D1028,"&gt;=01/11"&amp;$C$7,'Livro Diario - FC'!$D$11:$D1028,"&lt;=30/11"&amp;$C$7)</f>
        <v>0</v>
      </c>
      <c r="AY328" s="273"/>
      <c r="AZ328" s="258"/>
      <c r="BA328" s="255">
        <f>SUMIFS('Livro Diario - FC'!$J$11:$J1028,'Livro Diario - FC'!$E$11:$E1028,$C$328,'Livro Diario - FC'!$D$11:$D1028,"&gt;=01/12"&amp;$C$7,'Livro Diario - FC'!$D$11:$D1028,"&lt;=31/12"&amp;$C$7)</f>
        <v>0</v>
      </c>
      <c r="BB328" s="256">
        <f>SUMIFS('Livro Diario - FC'!$L$11:$L1028,'Livro Diario - FC'!$E$11:$E1028,$C$328,'Livro Diario - FC'!$D$11:$D1028,"&gt;=01/12"&amp;$C$7,'Livro Diario - FC'!$D$11:$D1028,"&lt;=31/12"&amp;$C$7)</f>
        <v>0</v>
      </c>
      <c r="BC328" s="273"/>
      <c r="BD328" s="273"/>
      <c r="BE328" s="305">
        <f t="shared" ref="BE328:BF328" si="624">SUM(D328,I328,N328,S328,X328,AC328,AG328,AK328,AO328,AS328,AW328,BA328)</f>
        <v>0</v>
      </c>
      <c r="BF328" s="268">
        <f t="shared" si="624"/>
        <v>0</v>
      </c>
      <c r="BG328" s="269"/>
      <c r="BH328" s="192"/>
      <c r="BI328" s="303">
        <f>SUMIFS('Livro Diario - FC'!$M$11:$M1028,'Livro Diario - FC'!$E$11:$E1028,C328,'Livro Diario - FC'!$D$11:$D1028,"&gt;="&amp;$BK$8,'Livro Diario - FC'!$D$11:$D1028,"&lt;="&amp;$BK$9)</f>
        <v>0</v>
      </c>
      <c r="BJ328" s="271"/>
      <c r="BK328" s="272"/>
      <c r="BL328" s="1"/>
    </row>
    <row r="329">
      <c r="A329" s="1"/>
      <c r="B329" s="1"/>
      <c r="C329" s="338" t="str">
        <f>'Livro Diario - FC'!AE333</f>
        <v>7.1.4 .</v>
      </c>
      <c r="D329" s="255">
        <f>SUMIFS('Livro Diario - FC'!$J$11:$J1028,'Livro Diario - FC'!$E$11:$E1028,$C$329,'Livro Diario - FC'!$D$11:$D1028,"&gt;=01/01"&amp;$C$7,'Livro Diario - FC'!$D$11:$D1028,"&lt;=31/01"&amp;$C$7)</f>
        <v>0</v>
      </c>
      <c r="E329" s="256">
        <f>SUMIFS('Livro Diario - FC'!$L$11:$L1028,'Livro Diario - FC'!$E$11:$E1028,$C$329,'Livro Diario - FC'!$D$11:$D1028,"&gt;=01/01"&amp;$C$7,'Livro Diario - FC'!$D$11:$D1028,"&lt;=31/01"&amp;$C$7)</f>
        <v>0</v>
      </c>
      <c r="F329" s="273"/>
      <c r="G329" s="258"/>
      <c r="H329" s="157"/>
      <c r="I329" s="255">
        <f>SUMIFS('Livro Diario - FC'!$J$11:$J1028,'Livro Diario - FC'!$E$11:$E1028,$C$329,'Livro Diario - FC'!$D$11:$D1028,"&gt;=01/02"&amp;$C$7,'Livro Diario - FC'!$D$11:$D1028,"&lt;=29/02"&amp;$C$7)</f>
        <v>0</v>
      </c>
      <c r="J329" s="256">
        <f>SUMIFS('Livro Diario - FC'!$L$11:$L1028,'Livro Diario - FC'!$E$11:$E1028,$C$329,'Livro Diario - FC'!$D$11:$D1028,"&gt;=01/02"&amp;$C$7,'Livro Diario - FC'!$D$11:$D1028,"&lt;=29/02"&amp;$C$7)</f>
        <v>0</v>
      </c>
      <c r="K329" s="273"/>
      <c r="L329" s="258"/>
      <c r="M329" s="259"/>
      <c r="N329" s="255">
        <f>SUMIFS('Livro Diario - FC'!$J$11:$J1028,'Livro Diario - FC'!$E$11:$E1028,$C$329,'Livro Diario - FC'!$D$11:$D1028,"&gt;=01/03"&amp;$C$7,'Livro Diario - FC'!$D$11:$D1028,"&lt;=31/03"&amp;$C$7)</f>
        <v>0</v>
      </c>
      <c r="O329" s="256">
        <f>SUMIFS('Livro Diario - FC'!$L$11:$L1028,'Livro Diario - FC'!$E$11:$E1028,$C$329,'Livro Diario - FC'!$D$11:$D1028,"&gt;=01/03"&amp;$C$7,'Livro Diario - FC'!$D$11:$D1028,"&lt;=31/03"&amp;$C$7)</f>
        <v>0</v>
      </c>
      <c r="P329" s="273"/>
      <c r="Q329" s="258"/>
      <c r="R329" s="259"/>
      <c r="S329" s="255">
        <f>SUMIFS('Livro Diario - FC'!$J$11:$J1028,'Livro Diario - FC'!$E$11:$E1028,$C$329,'Livro Diario - FC'!$D$11:$D1028,"&gt;=01/04"&amp;$C$7,'Livro Diario - FC'!$D$11:$D1028,"&lt;=30/04"&amp;$C$7)</f>
        <v>0</v>
      </c>
      <c r="T329" s="256">
        <f>SUMIFS('Livro Diario - FC'!$L$11:$L1028,'Livro Diario - FC'!$E$11:$E1028,$C$329,'Livro Diario - FC'!$D$11:$D1028,"&gt;=01/04"&amp;$C$7,'Livro Diario - FC'!$D$11:$D1028,"&lt;=30/04"&amp;$C$7)</f>
        <v>0</v>
      </c>
      <c r="U329" s="273"/>
      <c r="V329" s="258"/>
      <c r="W329" s="259"/>
      <c r="X329" s="255">
        <f>SUMIFS('Livro Diario - FC'!$J$11:$J1028,'Livro Diario - FC'!$E$11:$E1028,$C$329,'Livro Diario - FC'!$D$11:$D1028,"&gt;=01/05"&amp;$C$7,'Livro Diario - FC'!$D$11:$D1028,"&lt;=31/05"&amp;$C$7)</f>
        <v>0</v>
      </c>
      <c r="Y329" s="256">
        <f>SUMIFS('Livro Diario - FC'!$L$11:$L1028,'Livro Diario - FC'!$E$11:$E1028,$C$329,'Livro Diario - FC'!$D$11:$D1028,"&gt;=01/05"&amp;$C$7,'Livro Diario - FC'!$D$11:$D1028,"&lt;=31/05"&amp;$C$7)</f>
        <v>0</v>
      </c>
      <c r="Z329" s="273"/>
      <c r="AA329" s="258"/>
      <c r="AB329" s="259"/>
      <c r="AC329" s="255">
        <f>SUMIFS('Livro Diario - FC'!$J$11:$J1028,'Livro Diario - FC'!$E$11:$E1028,$C$329,'Livro Diario - FC'!$D$11:$D1028,"&gt;=01/06"&amp;$C$7,'Livro Diario - FC'!$D$11:$D1028,"&lt;=30/06"&amp;$C$7)</f>
        <v>0</v>
      </c>
      <c r="AD329" s="256">
        <f>SUMIFS('Livro Diario - FC'!$L$11:$L1028,'Livro Diario - FC'!$E$11:$E1028,$C$329,'Livro Diario - FC'!$D$11:$D1028,"&gt;=01/06"&amp;$C$7,'Livro Diario - FC'!$D$11:$D1028,"&lt;=30/06"&amp;$C$7)</f>
        <v>0</v>
      </c>
      <c r="AE329" s="273"/>
      <c r="AF329" s="258"/>
      <c r="AG329" s="255">
        <f>SUMIFS('Livro Diario - FC'!$J$11:$J1028,'Livro Diario - FC'!$E$11:$E1028,$C$329,'Livro Diario - FC'!$D$11:$D1028,"&gt;=01/07"&amp;$C$7,'Livro Diario - FC'!$D$11:$D1028,"&lt;=31/07"&amp;$C$7)</f>
        <v>0</v>
      </c>
      <c r="AH329" s="256">
        <f>SUMIFS('Livro Diario - FC'!$L$11:$L1028,'Livro Diario - FC'!$E$11:$E1028,$C$329,'Livro Diario - FC'!$D$11:$D1028,"&gt;=01/07"&amp;$C$7,'Livro Diario - FC'!$D$11:$D1028,"&lt;=31/07"&amp;$C$7)</f>
        <v>0</v>
      </c>
      <c r="AI329" s="273"/>
      <c r="AJ329" s="258"/>
      <c r="AK329" s="255">
        <f>SUMIFS('Livro Diario - FC'!$J$11:$J1028,'Livro Diario - FC'!$E$11:$E1028,$C$329,'Livro Diario - FC'!$D$11:$D1028,"&gt;=01/08"&amp;$C$7,'Livro Diario - FC'!$D$11:$D1028,"&lt;=31/08"&amp;$C$7)</f>
        <v>0</v>
      </c>
      <c r="AL329" s="256">
        <f>SUMIFS('Livro Diario - FC'!$L$11:$L1028,'Livro Diario - FC'!$E$11:$E1028,$C$329,'Livro Diario - FC'!$D$11:$D1028,"&gt;=01/08"&amp;$C$7,'Livro Diario - FC'!$D$11:$D1028,"&lt;=31/08"&amp;$C$7)</f>
        <v>0</v>
      </c>
      <c r="AM329" s="273"/>
      <c r="AN329" s="258"/>
      <c r="AO329" s="255">
        <f>SUMIFS('Livro Diario - FC'!$J$11:$J1028,'Livro Diario - FC'!$E$11:$E1028,$C$329,'Livro Diario - FC'!$D$11:$D1028,"&gt;=01/09"&amp;$C$7,'Livro Diario - FC'!$D$11:$D1028,"&lt;=30/09"&amp;$C$7)</f>
        <v>0</v>
      </c>
      <c r="AP329" s="256">
        <f>SUMIFS('Livro Diario - FC'!$L$11:$L1028,'Livro Diario - FC'!$E$11:$E1028,$C$329,'Livro Diario - FC'!$D$11:$D1028,"&gt;=01/09"&amp;$C$7,'Livro Diario - FC'!$D$11:$D1028,"&lt;=30/09"&amp;$C$7)</f>
        <v>0</v>
      </c>
      <c r="AQ329" s="273"/>
      <c r="AR329" s="258"/>
      <c r="AS329" s="255">
        <f>SUMIFS('Livro Diario - FC'!$J$11:$J1028,'Livro Diario - FC'!$E$11:$E1028,$C$329,'Livro Diario - FC'!$D$11:$D1028,"&gt;=01/10"&amp;$C$7,'Livro Diario - FC'!$D$11:$D1028,"&lt;=31/10"&amp;$C$7)</f>
        <v>0</v>
      </c>
      <c r="AT329" s="256">
        <f>SUMIFS('Livro Diario - FC'!$L$11:$L1028,'Livro Diario - FC'!$E$11:$E1028,$C$329,'Livro Diario - FC'!$D$11:$D1028,"&gt;=01/10"&amp;$C$7,'Livro Diario - FC'!$D$11:$D1028,"&lt;=31/10"&amp;$C$7)</f>
        <v>0</v>
      </c>
      <c r="AU329" s="273"/>
      <c r="AV329" s="258"/>
      <c r="AW329" s="255">
        <f>SUMIFS('Livro Diario - FC'!$J$11:$J1028,'Livro Diario - FC'!$E$11:$E1028,$C$329,'Livro Diario - FC'!$D$11:$D1028,"&gt;=01/11"&amp;$C$7,'Livro Diario - FC'!$D$11:$D1028,"&lt;=30/11"&amp;$C$7)</f>
        <v>0</v>
      </c>
      <c r="AX329" s="256">
        <f>SUMIFS('Livro Diario - FC'!$L$11:$L1028,'Livro Diario - FC'!$E$11:$E1028,$C$329,'Livro Diario - FC'!$D$11:$D1028,"&gt;=01/11"&amp;$C$7,'Livro Diario - FC'!$D$11:$D1028,"&lt;=30/11"&amp;$C$7)</f>
        <v>0</v>
      </c>
      <c r="AY329" s="273"/>
      <c r="AZ329" s="258"/>
      <c r="BA329" s="255">
        <f>SUMIFS('Livro Diario - FC'!$J$11:$J1028,'Livro Diario - FC'!$E$11:$E1028,$C$329,'Livro Diario - FC'!$D$11:$D1028,"&gt;=01/12"&amp;$C$7,'Livro Diario - FC'!$D$11:$D1028,"&lt;=31/12"&amp;$C$7)</f>
        <v>0</v>
      </c>
      <c r="BB329" s="256">
        <f>SUMIFS('Livro Diario - FC'!$L$11:$L1028,'Livro Diario - FC'!$E$11:$E1028,$C$329,'Livro Diario - FC'!$D$11:$D1028,"&gt;=01/12"&amp;$C$7,'Livro Diario - FC'!$D$11:$D1028,"&lt;=31/12"&amp;$C$7)</f>
        <v>0</v>
      </c>
      <c r="BC329" s="273"/>
      <c r="BD329" s="273"/>
      <c r="BE329" s="419">
        <f t="shared" ref="BE329:BF329" si="625">SUM(D329,I329,N329,S329,X329,AC329,AG329,AK329,AO329,AS329,AW329,BA329)</f>
        <v>0</v>
      </c>
      <c r="BF329" s="342">
        <f t="shared" si="625"/>
        <v>0</v>
      </c>
      <c r="BG329" s="343"/>
      <c r="BH329" s="344"/>
      <c r="BI329" s="303">
        <f>SUMIFS('Livro Diario - FC'!$M$11:$M1028,'Livro Diario - FC'!$E$11:$E1028,C329,'Livro Diario - FC'!$D$11:$D1028,"&gt;="&amp;$BK$8,'Livro Diario - FC'!$D$11:$D1028,"&lt;="&amp;$BK$9)</f>
        <v>0</v>
      </c>
      <c r="BJ329" s="271"/>
      <c r="BK329" s="345"/>
      <c r="BL329" s="146"/>
    </row>
    <row r="330">
      <c r="A330" s="1"/>
      <c r="B330" s="40"/>
      <c r="C330" s="338" t="str">
        <f>'Livro Diario - FC'!AE334</f>
        <v>7.1.5 Outros entradas não operacionais</v>
      </c>
      <c r="D330" s="255">
        <f>SUMIFS('Livro Diario - FC'!$J$11:$J1028,'Livro Diario - FC'!$E$11:$E1028,$C$329,'Livro Diario - FC'!$D$11:$D1028,"&gt;=01/01"&amp;$C$7,'Livro Diario - FC'!$D$11:$D1028,"&lt;=31/01"&amp;$C$7)</f>
        <v>0</v>
      </c>
      <c r="E330" s="256">
        <f>SUMIFS('Livro Diario - FC'!$L$11:$L1028,'Livro Diario - FC'!$E$11:$E1028,$C$329,'Livro Diario - FC'!$D$11:$D1028,"&gt;=01/01"&amp;$C$7,'Livro Diario - FC'!$D$11:$D1028,"&lt;=31/01"&amp;$C$7)</f>
        <v>0</v>
      </c>
      <c r="F330" s="273"/>
      <c r="G330" s="258"/>
      <c r="H330" s="157"/>
      <c r="I330" s="255">
        <f>SUMIFS('Livro Diario - FC'!$J$11:$J1028,'Livro Diario - FC'!$E$11:$E1028,$C$329,'Livro Diario - FC'!$D$11:$D1028,"&gt;=01/02"&amp;$C$7,'Livro Diario - FC'!$D$11:$D1028,"&lt;=29/02"&amp;$C$7)</f>
        <v>0</v>
      </c>
      <c r="J330" s="256">
        <f>SUMIFS('Livro Diario - FC'!$L$11:$L1028,'Livro Diario - FC'!$E$11:$E1028,$C$329,'Livro Diario - FC'!$D$11:$D1028,"&gt;=01/02"&amp;$C$7,'Livro Diario - FC'!$D$11:$D1028,"&lt;=29/02"&amp;$C$7)</f>
        <v>0</v>
      </c>
      <c r="K330" s="273"/>
      <c r="L330" s="258"/>
      <c r="M330" s="259"/>
      <c r="N330" s="255">
        <f>SUMIFS('Livro Diario - FC'!$J$11:$J1028,'Livro Diario - FC'!$E$11:$E1028,$C$329,'Livro Diario - FC'!$D$11:$D1028,"&gt;=01/03"&amp;$C$7,'Livro Diario - FC'!$D$11:$D1028,"&lt;=31/03"&amp;$C$7)</f>
        <v>0</v>
      </c>
      <c r="O330" s="256">
        <f>SUMIFS('Livro Diario - FC'!$L$11:$L1028,'Livro Diario - FC'!$E$11:$E1028,$C$329,'Livro Diario - FC'!$D$11:$D1028,"&gt;=01/03"&amp;$C$7,'Livro Diario - FC'!$D$11:$D1028,"&lt;=31/03"&amp;$C$7)</f>
        <v>0</v>
      </c>
      <c r="P330" s="273"/>
      <c r="Q330" s="258"/>
      <c r="R330" s="259"/>
      <c r="S330" s="255">
        <f>SUMIFS('Livro Diario - FC'!$J$11:$J1028,'Livro Diario - FC'!$E$11:$E1028,$C$329,'Livro Diario - FC'!$D$11:$D1028,"&gt;=01/04"&amp;$C$7,'Livro Diario - FC'!$D$11:$D1028,"&lt;=30/04"&amp;$C$7)</f>
        <v>0</v>
      </c>
      <c r="T330" s="256">
        <f>SUMIFS('Livro Diario - FC'!$L$11:$L1028,'Livro Diario - FC'!$E$11:$E1028,$C$329,'Livro Diario - FC'!$D$11:$D1028,"&gt;=01/04"&amp;$C$7,'Livro Diario - FC'!$D$11:$D1028,"&lt;=30/04"&amp;$C$7)</f>
        <v>0</v>
      </c>
      <c r="U330" s="273"/>
      <c r="V330" s="258"/>
      <c r="W330" s="259"/>
      <c r="X330" s="255">
        <f>SUMIFS('Livro Diario - FC'!$J$11:$J1028,'Livro Diario - FC'!$E$11:$E1028,$C$329,'Livro Diario - FC'!$D$11:$D1028,"&gt;=01/05"&amp;$C$7,'Livro Diario - FC'!$D$11:$D1028,"&lt;=31/05"&amp;$C$7)</f>
        <v>0</v>
      </c>
      <c r="Y330" s="256">
        <f>SUMIFS('Livro Diario - FC'!$L$11:$L1028,'Livro Diario - FC'!$E$11:$E1028,$C$329,'Livro Diario - FC'!$D$11:$D1028,"&gt;=01/05"&amp;$C$7,'Livro Diario - FC'!$D$11:$D1028,"&lt;=31/05"&amp;$C$7)</f>
        <v>0</v>
      </c>
      <c r="Z330" s="273"/>
      <c r="AA330" s="258"/>
      <c r="AB330" s="259"/>
      <c r="AC330" s="255">
        <f>SUMIFS('Livro Diario - FC'!$J$11:$J1028,'Livro Diario - FC'!$E$11:$E1028,$C$329,'Livro Diario - FC'!$D$11:$D1028,"&gt;=01/06"&amp;$C$7,'Livro Diario - FC'!$D$11:$D1028,"&lt;=30/06"&amp;$C$7)</f>
        <v>0</v>
      </c>
      <c r="AD330" s="256">
        <f>SUMIFS('Livro Diario - FC'!$L$11:$L1028,'Livro Diario - FC'!$E$11:$E1028,$C$329,'Livro Diario - FC'!$D$11:$D1028,"&gt;=01/06"&amp;$C$7,'Livro Diario - FC'!$D$11:$D1028,"&lt;=30/06"&amp;$C$7)</f>
        <v>0</v>
      </c>
      <c r="AE330" s="273"/>
      <c r="AF330" s="258"/>
      <c r="AG330" s="255">
        <f>SUMIFS('Livro Diario - FC'!$J$11:$J1028,'Livro Diario - FC'!$E$11:$E1028,$C$329,'Livro Diario - FC'!$D$11:$D1028,"&gt;=01/07"&amp;$C$7,'Livro Diario - FC'!$D$11:$D1028,"&lt;=31/07"&amp;$C$7)</f>
        <v>0</v>
      </c>
      <c r="AH330" s="256">
        <f>SUMIFS('Livro Diario - FC'!$L$11:$L1028,'Livro Diario - FC'!$E$11:$E1028,$C$329,'Livro Diario - FC'!$D$11:$D1028,"&gt;=01/07"&amp;$C$7,'Livro Diario - FC'!$D$11:$D1028,"&lt;=31/07"&amp;$C$7)</f>
        <v>0</v>
      </c>
      <c r="AI330" s="273"/>
      <c r="AJ330" s="258"/>
      <c r="AK330" s="255">
        <f>SUMIFS('Livro Diario - FC'!$J$11:$J1028,'Livro Diario - FC'!$E$11:$E1028,$C$329,'Livro Diario - FC'!$D$11:$D1028,"&gt;=01/08"&amp;$C$7,'Livro Diario - FC'!$D$11:$D1028,"&lt;=31/08"&amp;$C$7)</f>
        <v>0</v>
      </c>
      <c r="AL330" s="256">
        <f>SUMIFS('Livro Diario - FC'!$L$11:$L1028,'Livro Diario - FC'!$E$11:$E1028,$C$329,'Livro Diario - FC'!$D$11:$D1028,"&gt;=01/08"&amp;$C$7,'Livro Diario - FC'!$D$11:$D1028,"&lt;=31/08"&amp;$C$7)</f>
        <v>0</v>
      </c>
      <c r="AM330" s="273"/>
      <c r="AN330" s="258"/>
      <c r="AO330" s="255">
        <f>SUMIFS('Livro Diario - FC'!$J$11:$J1028,'Livro Diario - FC'!$E$11:$E1028,$C$329,'Livro Diario - FC'!$D$11:$D1028,"&gt;=01/09"&amp;$C$7,'Livro Diario - FC'!$D$11:$D1028,"&lt;=30/09"&amp;$C$7)</f>
        <v>0</v>
      </c>
      <c r="AP330" s="256">
        <f>SUMIFS('Livro Diario - FC'!$L$11:$L1028,'Livro Diario - FC'!$E$11:$E1028,$C$329,'Livro Diario - FC'!$D$11:$D1028,"&gt;=01/09"&amp;$C$7,'Livro Diario - FC'!$D$11:$D1028,"&lt;=30/09"&amp;$C$7)</f>
        <v>0</v>
      </c>
      <c r="AQ330" s="273"/>
      <c r="AR330" s="258"/>
      <c r="AS330" s="255">
        <f>SUMIFS('Livro Diario - FC'!$J$11:$J1028,'Livro Diario - FC'!$E$11:$E1028,$C$329,'Livro Diario - FC'!$D$11:$D1028,"&gt;=01/10"&amp;$C$7,'Livro Diario - FC'!$D$11:$D1028,"&lt;=31/10"&amp;$C$7)</f>
        <v>0</v>
      </c>
      <c r="AT330" s="256">
        <f>SUMIFS('Livro Diario - FC'!$L$11:$L1028,'Livro Diario - FC'!$E$11:$E1028,$C$329,'Livro Diario - FC'!$D$11:$D1028,"&gt;=01/10"&amp;$C$7,'Livro Diario - FC'!$D$11:$D1028,"&lt;=31/10"&amp;$C$7)</f>
        <v>0</v>
      </c>
      <c r="AU330" s="273"/>
      <c r="AV330" s="258"/>
      <c r="AW330" s="255">
        <f>SUMIFS('Livro Diario - FC'!$J$11:$J1028,'Livro Diario - FC'!$E$11:$E1028,$C$329,'Livro Diario - FC'!$D$11:$D1028,"&gt;=01/11"&amp;$C$7,'Livro Diario - FC'!$D$11:$D1028,"&lt;=30/11"&amp;$C$7)</f>
        <v>0</v>
      </c>
      <c r="AX330" s="256">
        <f>SUMIFS('Livro Diario - FC'!$L$11:$L1028,'Livro Diario - FC'!$E$11:$E1028,$C$329,'Livro Diario - FC'!$D$11:$D1028,"&gt;=01/11"&amp;$C$7,'Livro Diario - FC'!$D$11:$D1028,"&lt;=30/11"&amp;$C$7)</f>
        <v>0</v>
      </c>
      <c r="AY330" s="273"/>
      <c r="AZ330" s="258"/>
      <c r="BA330" s="255">
        <f>SUMIFS('Livro Diario - FC'!$J$11:$J1028,'Livro Diario - FC'!$E$11:$E1028,$C$329,'Livro Diario - FC'!$D$11:$D1028,"&gt;=01/12"&amp;$C$7,'Livro Diario - FC'!$D$11:$D1028,"&lt;=31/12"&amp;$C$7)</f>
        <v>0</v>
      </c>
      <c r="BB330" s="256">
        <f>SUMIFS('Livro Diario - FC'!$L$11:$L1028,'Livro Diario - FC'!$E$11:$E1028,$C$329,'Livro Diario - FC'!$D$11:$D1028,"&gt;=01/12"&amp;$C$7,'Livro Diario - FC'!$D$11:$D1028,"&lt;=31/12"&amp;$C$7)</f>
        <v>0</v>
      </c>
      <c r="BC330" s="273"/>
      <c r="BD330" s="273"/>
      <c r="BE330" s="419">
        <f t="shared" ref="BE330:BF330" si="626">SUM(D330,I330,N330,S330,X330,AC330,AG330,AK330,AO330,AS330,AW330,BA330)</f>
        <v>0</v>
      </c>
      <c r="BF330" s="342">
        <f t="shared" si="626"/>
        <v>0</v>
      </c>
      <c r="BG330" s="343"/>
      <c r="BH330" s="344"/>
      <c r="BI330" s="303">
        <f>SUMIFS('Livro Diario - FC'!$M$11:$M1028,'Livro Diario - FC'!$E$11:$E1028,C330,'Livro Diario - FC'!$D$11:$D1028,"&gt;="&amp;$BK$8,'Livro Diario - FC'!$D$11:$D1028,"&lt;="&amp;$BK$9)</f>
        <v>0</v>
      </c>
      <c r="BJ330" s="271"/>
      <c r="BK330" s="345"/>
      <c r="BL330" s="146"/>
    </row>
    <row r="331">
      <c r="A331" s="1"/>
      <c r="B331" s="40"/>
      <c r="C331" s="386" t="s">
        <v>488</v>
      </c>
      <c r="D331" s="381">
        <f>SUMIFS('Livro Diario - FC'!$K$11:$K1028,'Livro Diario - FC'!$E$11:$E1028,$C$331,'Livro Diario - FC'!$D$11:$D1028,"&gt;=01/01"&amp;$C$7,'Livro Diario - FC'!$D$11:$D1028,"&lt;=31/01"&amp;$C$7)+SUM(D332:D337)</f>
        <v>0</v>
      </c>
      <c r="E331" s="387">
        <f>SUMIFS('Livro Diario - FC'!$M$11:$M1028,'Livro Diario - FC'!$E$11:$E1028,$C$331,'Livro Diario - FC'!$D$11:$D1028,"&gt;=01/01"&amp;$C$7,'Livro Diario - FC'!$D$11:$D1028,"&lt;=31/01"&amp;$C$7)+SUM(E332:E337)</f>
        <v>0</v>
      </c>
      <c r="F331" s="388">
        <f>IF(E$11=0,"",E331/E$11)</f>
        <v>0</v>
      </c>
      <c r="G331" s="389" t="str">
        <f>IF(A331=0,"",E331/A331-1)</f>
        <v/>
      </c>
      <c r="H331" s="327"/>
      <c r="I331" s="381">
        <f>SUMIFS('Livro Diario - FC'!$K$11:$K1028,'Livro Diario - FC'!$E$11:$E1028,$C$331,'Livro Diario - FC'!$D$11:$D1028,"&gt;=01/02"&amp;$C$7,'Livro Diario - FC'!$D$11:$D1028,"&lt;=29/02"&amp;$C$7)+SUM(I332:I337)</f>
        <v>0</v>
      </c>
      <c r="J331" s="387">
        <f>SUMIFS('Livro Diario - FC'!$M$11:$M1028,'Livro Diario - FC'!$E$11:$E1028,$C$331,'Livro Diario - FC'!$D$11:$D1028,"&gt;=01/02"&amp;$C$7,'Livro Diario - FC'!$D$11:$D1028,"&lt;=29/02"&amp;$C$7)+SUM(J332:J337)</f>
        <v>0</v>
      </c>
      <c r="K331" s="388" t="str">
        <f>IF(J$11=0,"",J331/J$11)</f>
        <v/>
      </c>
      <c r="L331" s="389" t="str">
        <f>IF(E331=0,"",J331/E331-1)</f>
        <v/>
      </c>
      <c r="M331" s="385"/>
      <c r="N331" s="381">
        <f>SUMIFS('Livro Diario - FC'!$K$11:$K1028,'Livro Diario - FC'!$E$11:$E1028,$C$331,'Livro Diario - FC'!$D$11:$D1028,"&gt;=01/03"&amp;$C$7,'Livro Diario - FC'!$D$11:$D1028,"&lt;=31/03"&amp;$C$7)+SUM(N332:N337)</f>
        <v>0</v>
      </c>
      <c r="O331" s="387">
        <f>SUMIFS('Livro Diario - FC'!$M$11:$M1028,'Livro Diario - FC'!$E$11:$E1028,$C$331,'Livro Diario - FC'!$D$11:$D1028,"&gt;=01/03"&amp;$C$7,'Livro Diario - FC'!$D$11:$D1028,"&lt;=31/03"&amp;$C$7)+SUM(O332:O337)</f>
        <v>0</v>
      </c>
      <c r="P331" s="388" t="str">
        <f>IF(O$11=0,"",O331/O$11)</f>
        <v/>
      </c>
      <c r="Q331" s="389" t="str">
        <f>IF(J331=0,"",O331/J331-1)</f>
        <v/>
      </c>
      <c r="R331" s="385"/>
      <c r="S331" s="381">
        <f>SUMIFS('Livro Diario - FC'!$K$11:$K1028,'Livro Diario - FC'!$E$11:$E1028,$C$331,'Livro Diario - FC'!$D$11:$D1028,"&gt;=01/04"&amp;$C$7,'Livro Diario - FC'!$D$11:$D1028,"&lt;=30/04"&amp;$C$7)+SUM(S332:S337)</f>
        <v>0</v>
      </c>
      <c r="T331" s="387">
        <f>SUMIFS('Livro Diario - FC'!$M$11:$M1028,'Livro Diario - FC'!$E$11:$E1028,$C$331,'Livro Diario - FC'!$D$11:$D1028,"&gt;=01/04"&amp;$C$7,'Livro Diario - FC'!$D$11:$D1028,"&lt;=30/04"&amp;$C$7)+SUM(T332:T337)</f>
        <v>0</v>
      </c>
      <c r="U331" s="388" t="str">
        <f>IF(T$11=0,"",T331/T$11)</f>
        <v/>
      </c>
      <c r="V331" s="389" t="str">
        <f>IF(O331=0,"",T331/O331-1)</f>
        <v/>
      </c>
      <c r="W331" s="385"/>
      <c r="X331" s="381">
        <f>SUMIFS('Livro Diario - FC'!$K$11:$K1028,'Livro Diario - FC'!$E$11:$E1028,$C$331,'Livro Diario - FC'!$D$11:$D1028,"&gt;=01/05"&amp;$C$7,'Livro Diario - FC'!$D$11:$D1028,"&lt;=31/05"&amp;$C$7)+SUM(X332:X337)</f>
        <v>0</v>
      </c>
      <c r="Y331" s="387">
        <f>SUMIFS('Livro Diario - FC'!$M$11:$M1028,'Livro Diario - FC'!$E$11:$E1028,$C$331,'Livro Diario - FC'!$D$11:$D1028,"&gt;=01/05"&amp;$C$7,'Livro Diario - FC'!$D$11:$D1028,"&lt;=31/05"&amp;$C$7)+SUM(Y332:Y337)</f>
        <v>0</v>
      </c>
      <c r="Z331" s="388" t="str">
        <f>IF(Y$11=0,"",Y331/Y$11)</f>
        <v/>
      </c>
      <c r="AA331" s="389" t="str">
        <f>IF(T331=0,"",Y331/T331-1)</f>
        <v/>
      </c>
      <c r="AB331" s="385"/>
      <c r="AC331" s="381">
        <f>SUMIFS('Livro Diario - FC'!$K$11:$K1028,'Livro Diario - FC'!$E$11:$E1028,$C$331,'Livro Diario - FC'!$D$11:$D1028,"&gt;=01/06"&amp;$C$7,'Livro Diario - FC'!$D$11:$D1028,"&lt;=30/06"&amp;$C$7)+SUM(AC332:AC337)</f>
        <v>0</v>
      </c>
      <c r="AD331" s="387">
        <f>SUMIFS('Livro Diario - FC'!$M$11:$M1028,'Livro Diario - FC'!$E$11:$E1028,$C$331,'Livro Diario - FC'!$D$11:$D1028,"&gt;=01/06"&amp;$C$7,'Livro Diario - FC'!$D$11:$D1028,"&lt;=30/06"&amp;$C$7)+SUM(AD332:AD337)</f>
        <v>0</v>
      </c>
      <c r="AE331" s="388" t="str">
        <f>IF(AD$11=0,"",AD331/AD$11)</f>
        <v/>
      </c>
      <c r="AF331" s="389" t="str">
        <f>IF(Y331=0,"",AD331/Y331-1)</f>
        <v/>
      </c>
      <c r="AG331" s="381">
        <f>SUMIFS('Livro Diario - FC'!$K$11:$K1028,'Livro Diario - FC'!$E$11:$E1028,$C$331,'Livro Diario - FC'!$D$11:$D1028,"&gt;=01/07"&amp;$C$7,'Livro Diario - FC'!$D$11:$D1028,"&lt;=31/07"&amp;$C$7)+SUM(AG332:AG337)</f>
        <v>0</v>
      </c>
      <c r="AH331" s="387">
        <f>SUMIFS('Livro Diario - FC'!$M$11:$M1028,'Livro Diario - FC'!$E$11:$E1028,$C$331,'Livro Diario - FC'!$D$11:$D1028,"&gt;=01/07"&amp;$C$7,'Livro Diario - FC'!$D$11:$D1028,"&lt;=31/07"&amp;$C$7)+SUM(AH332:AH337)</f>
        <v>0</v>
      </c>
      <c r="AI331" s="388" t="str">
        <f>IF(AH$11=0,"",AH331/AH$11)</f>
        <v/>
      </c>
      <c r="AJ331" s="389" t="str">
        <f>IF(AD331=0,"",AH331/AD331-1)</f>
        <v/>
      </c>
      <c r="AK331" s="381">
        <f>SUMIFS('Livro Diario - FC'!$K$11:$K1028,'Livro Diario - FC'!$E$11:$E1028,$C$331,'Livro Diario - FC'!$D$11:$D1028,"&gt;=01/08"&amp;$C$7,'Livro Diario - FC'!$D$11:$D1028,"&lt;=31/08"&amp;$C$7)+SUM(AK332:AK337)</f>
        <v>0</v>
      </c>
      <c r="AL331" s="387">
        <f>SUMIFS('Livro Diario - FC'!$M$11:$M1028,'Livro Diario - FC'!$E$11:$E1028,$C$331,'Livro Diario - FC'!$D$11:$D1028,"&gt;=01/08"&amp;$C$7,'Livro Diario - FC'!$D$11:$D1028,"&lt;=31/08"&amp;$C$7)+SUM(AL332:AL337)</f>
        <v>0</v>
      </c>
      <c r="AM331" s="388" t="str">
        <f>IF(AL$11=0,"",AL331/AL$11)</f>
        <v/>
      </c>
      <c r="AN331" s="389" t="str">
        <f>IF(AH331=0,"",AL331/AH331-1)</f>
        <v/>
      </c>
      <c r="AO331" s="381">
        <f>SUMIFS('Livro Diario - FC'!$K$11:$K1028,'Livro Diario - FC'!$E$11:$E1028,$C$331,'Livro Diario - FC'!$D$11:$D1028,"&gt;=01/09"&amp;$C$7,'Livro Diario - FC'!$D$11:$D1028,"&lt;=30/09"&amp;$C$7)+SUM(AO332:AO337)</f>
        <v>0</v>
      </c>
      <c r="AP331" s="387">
        <f>SUMIFS('Livro Diario - FC'!$M$11:$M1028,'Livro Diario - FC'!$E$11:$E1028,$C$331,'Livro Diario - FC'!$D$11:$D1028,"&gt;=01/09"&amp;$C$7,'Livro Diario - FC'!$D$11:$D1028,"&lt;=30/09"&amp;$C$7)+SUM(AP332:AP337)</f>
        <v>0</v>
      </c>
      <c r="AQ331" s="388" t="str">
        <f>IF(AP$11=0,"",AP331/AP$11)</f>
        <v/>
      </c>
      <c r="AR331" s="389" t="str">
        <f>IF(AL331=0,"",AP331/AL331-1)</f>
        <v/>
      </c>
      <c r="AS331" s="381">
        <f>SUMIFS('Livro Diario - FC'!$K$11:$K1028,'Livro Diario - FC'!$E$11:$E1028,$C$331,'Livro Diario - FC'!$D$11:$D1028,"&gt;=01/10"&amp;$C$7,'Livro Diario - FC'!$D$11:$D1028,"&lt;=31/10"&amp;$C$7)+SUM(AS332:AS337)</f>
        <v>0</v>
      </c>
      <c r="AT331" s="387">
        <f>SUMIFS('Livro Diario - FC'!$M$11:$M1028,'Livro Diario - FC'!$E$11:$E1028,$C$331,'Livro Diario - FC'!$D$11:$D1028,"&gt;=01/10"&amp;$C$7,'Livro Diario - FC'!$D$11:$D1028,"&lt;=31/10"&amp;$C$7)+SUM(AT332:AT337)</f>
        <v>0</v>
      </c>
      <c r="AU331" s="388" t="str">
        <f>IF(AT$11=0,"",AT331/AT$11)</f>
        <v/>
      </c>
      <c r="AV331" s="389" t="str">
        <f>IF(AP331=0,"",AT331/AP331-1)</f>
        <v/>
      </c>
      <c r="AW331" s="381">
        <f>SUMIFS('Livro Diario - FC'!$K$11:$K1028,'Livro Diario - FC'!$E$11:$E1028,$C$331,'Livro Diario - FC'!$D$11:$D1028,"&gt;=01/11"&amp;$C$7,'Livro Diario - FC'!$D$11:$D1028,"&lt;=30/11"&amp;$C$7)+SUM(AW332:AW337)</f>
        <v>0</v>
      </c>
      <c r="AX331" s="387">
        <f>SUMIFS('Livro Diario - FC'!$M$11:$M1028,'Livro Diario - FC'!$E$11:$E1028,$C$331,'Livro Diario - FC'!$D$11:$D1028,"&gt;=01/11"&amp;$C$7,'Livro Diario - FC'!$D$11:$D1028,"&lt;=30/11"&amp;$C$7)+SUM(AX332:AX337)</f>
        <v>0</v>
      </c>
      <c r="AY331" s="388" t="str">
        <f>IF(AX$11=0,"",AX331/AX$11)</f>
        <v/>
      </c>
      <c r="AZ331" s="389" t="str">
        <f>IF(AT331=0,"",AX331/AT331-1)</f>
        <v/>
      </c>
      <c r="BA331" s="381">
        <f>SUMIFS('Livro Diario - FC'!$K$11:$K1028,'Livro Diario - FC'!$E$11:$E1028,$C$331,'Livro Diario - FC'!$D$11:$D1028,"&gt;=01/12"&amp;$C$7,'Livro Diario - FC'!$D$11:$D1028,"&lt;=31/12"&amp;$C$7)+SUM(BA332:BA337)</f>
        <v>0</v>
      </c>
      <c r="BB331" s="387">
        <f>SUMIFS('Livro Diario - FC'!$M$11:$M1028,'Livro Diario - FC'!$E$11:$E1028,$C$331,'Livro Diario - FC'!$D$11:$D1028,"&gt;=01/12"&amp;$C$7,'Livro Diario - FC'!$D$11:$D1028,"&lt;=31/12"&amp;$C$7)+SUM(BB332:BB337)</f>
        <v>0</v>
      </c>
      <c r="BC331" s="388" t="str">
        <f>IF(BB$11=0,"",BB331/BB$11)</f>
        <v/>
      </c>
      <c r="BD331" s="390" t="str">
        <f>IF(AX331=0,"",BB331/AX331-1)</f>
        <v/>
      </c>
      <c r="BE331" s="443">
        <f t="shared" ref="BE331:BF331" si="627">SUM(D331,I331,N331,S331,X331,AC331,AG331,AK331,AO331,AS331,AW331,BA331)</f>
        <v>0</v>
      </c>
      <c r="BF331" s="331">
        <f t="shared" si="627"/>
        <v>0</v>
      </c>
      <c r="BG331" s="391">
        <f>IF(BF$11=0,"",BF331/BF$11)</f>
        <v>0</v>
      </c>
      <c r="BH331" s="333"/>
      <c r="BI331" s="334">
        <f>SUMIFS('Livro Diario - FC'!$M$11:$M1028,'Livro Diario - FC'!$E$11:$E1028,C331,'Livro Diario - FC'!$D$11:$D1028,"&gt;="&amp;$BK$8,'Livro Diario - FC'!$D$11:$D1028,"&lt;="&amp;$BK$9)+SUM(BI332:BI337)</f>
        <v>0</v>
      </c>
      <c r="BJ331" s="335" t="str">
        <f>IF(BI$11=0,"",BI331/BI$11)</f>
        <v/>
      </c>
      <c r="BK331" s="336"/>
      <c r="BL331" s="337"/>
    </row>
    <row r="332">
      <c r="A332" s="1"/>
      <c r="B332" s="1"/>
      <c r="C332" s="338" t="str">
        <f>'Livro Diario - FC'!AE336</f>
        <v>7.2.1 Pagamento de Empréstimos</v>
      </c>
      <c r="D332" s="255">
        <f>SUMIFS('Livro Diario - FC'!$K$11:$K1028,'Livro Diario - FC'!$E$11:$E1028,$C$332,'Livro Diario - FC'!$D$11:$D1028,"&gt;=01/01"&amp;$C$7,'Livro Diario - FC'!$D$11:$D1028,"&lt;=31/01"&amp;$C$7)</f>
        <v>0</v>
      </c>
      <c r="E332" s="256">
        <f>SUMIFS('Livro Diario - FC'!$M$11:$M1028,'Livro Diario - FC'!$E$11:$E1028,$C$332,'Livro Diario - FC'!$D$11:$D1028,"&gt;=01/01"&amp;$C$7,'Livro Diario - FC'!$D$11:$D1028,"&lt;=31/01"&amp;$C$7)</f>
        <v>0</v>
      </c>
      <c r="F332" s="273"/>
      <c r="G332" s="258"/>
      <c r="H332" s="157"/>
      <c r="I332" s="255">
        <f>SUMIFS('Livro Diario - FC'!$K$11:$K1028,'Livro Diario - FC'!$E$11:$E1028,$C$332,'Livro Diario - FC'!$D$11:$D1028,"&gt;=01/02"&amp;$C$7,'Livro Diario - FC'!$D$11:$D1028,"&lt;=29/02"&amp;$C$7)</f>
        <v>0</v>
      </c>
      <c r="J332" s="256">
        <f>SUMIFS('Livro Diario - FC'!$M$11:$M1028,'Livro Diario - FC'!$E$11:$E1028,$C$332,'Livro Diario - FC'!$D$11:$D1028,"&gt;=01/02"&amp;$C$7,'Livro Diario - FC'!$D$11:$D1028,"&lt;=29/02"&amp;$C$7)</f>
        <v>0</v>
      </c>
      <c r="K332" s="273"/>
      <c r="L332" s="258"/>
      <c r="M332" s="259"/>
      <c r="N332" s="255">
        <f>SUMIFS('Livro Diario - FC'!$K$11:$K1028,'Livro Diario - FC'!$E$11:$E1028,$C$332,'Livro Diario - FC'!$D$11:$D1028,"&gt;=01/03"&amp;$C$7,'Livro Diario - FC'!$D$11:$D1028,"&lt;=31/03"&amp;$C$7)</f>
        <v>0</v>
      </c>
      <c r="O332" s="256">
        <f>SUMIFS('Livro Diario - FC'!$M$11:$M1028,'Livro Diario - FC'!$E$11:$E1028,$C$332,'Livro Diario - FC'!$D$11:$D1028,"&gt;=01/03"&amp;$C$7,'Livro Diario - FC'!$D$11:$D1028,"&lt;=31/03"&amp;$C$7)</f>
        <v>0</v>
      </c>
      <c r="P332" s="273"/>
      <c r="Q332" s="258"/>
      <c r="R332" s="259"/>
      <c r="S332" s="255">
        <f>SUMIFS('Livro Diario - FC'!$K$11:$K1028,'Livro Diario - FC'!$E$11:$E1028,$C$332,'Livro Diario - FC'!$D$11:$D1028,"&gt;=01/04"&amp;$C$7,'Livro Diario - FC'!$D$11:$D1028,"&lt;=30/04"&amp;$C$7)</f>
        <v>0</v>
      </c>
      <c r="T332" s="256">
        <f>SUMIFS('Livro Diario - FC'!$M$11:$M1028,'Livro Diario - FC'!$E$11:$E1028,$C$332,'Livro Diario - FC'!$D$11:$D1028,"&gt;=01/04"&amp;$C$7,'Livro Diario - FC'!$D$11:$D1028,"&lt;=30/04"&amp;$C$7)</f>
        <v>0</v>
      </c>
      <c r="U332" s="273"/>
      <c r="V332" s="258"/>
      <c r="W332" s="259"/>
      <c r="X332" s="255">
        <f>SUMIFS('Livro Diario - FC'!$K$11:$K1028,'Livro Diario - FC'!$E$11:$E1028,$C$332,'Livro Diario - FC'!$D$11:$D1028,"&gt;=01/05"&amp;$C$7,'Livro Diario - FC'!$D$11:$D1028,"&lt;=31/05"&amp;$C$7)</f>
        <v>0</v>
      </c>
      <c r="Y332" s="256">
        <f>SUMIFS('Livro Diario - FC'!$M$11:$M1028,'Livro Diario - FC'!$E$11:$E1028,$C$332,'Livro Diario - FC'!$D$11:$D1028,"&gt;=01/05"&amp;$C$7,'Livro Diario - FC'!$D$11:$D1028,"&lt;=31/05"&amp;$C$7)</f>
        <v>0</v>
      </c>
      <c r="Z332" s="273"/>
      <c r="AA332" s="258"/>
      <c r="AB332" s="259"/>
      <c r="AC332" s="255">
        <f>SUMIFS('Livro Diario - FC'!$K$11:$K1028,'Livro Diario - FC'!$E$11:$E1028,$C$332,'Livro Diario - FC'!$D$11:$D1028,"&gt;=01/06"&amp;$C$7,'Livro Diario - FC'!$D$11:$D1028,"&lt;=30/06"&amp;$C$7)</f>
        <v>0</v>
      </c>
      <c r="AD332" s="256">
        <f>SUMIFS('Livro Diario - FC'!$M$11:$M1028,'Livro Diario - FC'!$E$11:$E1028,$C$332,'Livro Diario - FC'!$D$11:$D1028,"&gt;=01/06"&amp;$C$7,'Livro Diario - FC'!$D$11:$D1028,"&lt;=30/06"&amp;$C$7)</f>
        <v>0</v>
      </c>
      <c r="AE332" s="273"/>
      <c r="AF332" s="258"/>
      <c r="AG332" s="255">
        <f>SUMIFS('Livro Diario - FC'!$K$11:$K1028,'Livro Diario - FC'!$E$11:$E1028,$C$332,'Livro Diario - FC'!$D$11:$D1028,"&gt;=01/07"&amp;$C$7,'Livro Diario - FC'!$D$11:$D1028,"&lt;=31/07"&amp;$C$7)</f>
        <v>0</v>
      </c>
      <c r="AH332" s="256">
        <f>SUMIFS('Livro Diario - FC'!$M$11:$M1028,'Livro Diario - FC'!$E$11:$E1028,$C$332,'Livro Diario - FC'!$D$11:$D1028,"&gt;=01/07"&amp;$C$7,'Livro Diario - FC'!$D$11:$D1028,"&lt;=31/07"&amp;$C$7)</f>
        <v>0</v>
      </c>
      <c r="AI332" s="273"/>
      <c r="AJ332" s="258"/>
      <c r="AK332" s="255">
        <f>SUMIFS('Livro Diario - FC'!$K$11:$K1028,'Livro Diario - FC'!$E$11:$E1028,$C$332,'Livro Diario - FC'!$D$11:$D1028,"&gt;=01/08"&amp;$C$7,'Livro Diario - FC'!$D$11:$D1028,"&lt;=31/08"&amp;$C$7)</f>
        <v>0</v>
      </c>
      <c r="AL332" s="256">
        <f>SUMIFS('Livro Diario - FC'!$M$11:$M1028,'Livro Diario - FC'!$E$11:$E1028,$C$332,'Livro Diario - FC'!$D$11:$D1028,"&gt;=01/08"&amp;$C$7,'Livro Diario - FC'!$D$11:$D1028,"&lt;=31/08"&amp;$C$7)</f>
        <v>0</v>
      </c>
      <c r="AM332" s="273"/>
      <c r="AN332" s="258"/>
      <c r="AO332" s="255">
        <f>SUMIFS('Livro Diario - FC'!$K$11:$K1028,'Livro Diario - FC'!$E$11:$E1028,$C$332,'Livro Diario - FC'!$D$11:$D1028,"&gt;=01/09"&amp;$C$7,'Livro Diario - FC'!$D$11:$D1028,"&lt;=30/09"&amp;$C$7)</f>
        <v>0</v>
      </c>
      <c r="AP332" s="256">
        <f>SUMIFS('Livro Diario - FC'!$M$11:$M1028,'Livro Diario - FC'!$E$11:$E1028,$C$332,'Livro Diario - FC'!$D$11:$D1028,"&gt;=01/09"&amp;$C$7,'Livro Diario - FC'!$D$11:$D1028,"&lt;=30/09"&amp;$C$7)</f>
        <v>0</v>
      </c>
      <c r="AQ332" s="273"/>
      <c r="AR332" s="258"/>
      <c r="AS332" s="255">
        <f>SUMIFS('Livro Diario - FC'!$K$11:$K1028,'Livro Diario - FC'!$E$11:$E1028,$C$332,'Livro Diario - FC'!$D$11:$D1028,"&gt;=01/10"&amp;$C$7,'Livro Diario - FC'!$D$11:$D1028,"&lt;=31/10"&amp;$C$7)</f>
        <v>0</v>
      </c>
      <c r="AT332" s="256">
        <f>SUMIFS('Livro Diario - FC'!$M$11:$M1028,'Livro Diario - FC'!$E$11:$E1028,$C$332,'Livro Diario - FC'!$D$11:$D1028,"&gt;=01/10"&amp;$C$7,'Livro Diario - FC'!$D$11:$D1028,"&lt;=31/10"&amp;$C$7)</f>
        <v>0</v>
      </c>
      <c r="AU332" s="273"/>
      <c r="AV332" s="258"/>
      <c r="AW332" s="255">
        <f>SUMIFS('Livro Diario - FC'!$K$11:$K1028,'Livro Diario - FC'!$E$11:$E1028,$C$332,'Livro Diario - FC'!$D$11:$D1028,"&gt;=01/11"&amp;$C$7,'Livro Diario - FC'!$D$11:$D1028,"&lt;=30/11"&amp;$C$7)</f>
        <v>0</v>
      </c>
      <c r="AX332" s="256">
        <f>SUMIFS('Livro Diario - FC'!$M$11:$M1028,'Livro Diario - FC'!$E$11:$E1028,$C$332,'Livro Diario - FC'!$D$11:$D1028,"&gt;=01/11"&amp;$C$7,'Livro Diario - FC'!$D$11:$D1028,"&lt;=30/11"&amp;$C$7)</f>
        <v>0</v>
      </c>
      <c r="AY332" s="273"/>
      <c r="AZ332" s="258"/>
      <c r="BA332" s="255">
        <f>SUMIFS('Livro Diario - FC'!$K$11:$K1028,'Livro Diario - FC'!$E$11:$E1028,$C$332,'Livro Diario - FC'!$D$11:$D1028,"&gt;=01/12"&amp;$C$7,'Livro Diario - FC'!$D$11:$D1028,"&lt;=31/12"&amp;$C$7)</f>
        <v>0</v>
      </c>
      <c r="BB332" s="256">
        <f>SUMIFS('Livro Diario - FC'!$M$11:$M1028,'Livro Diario - FC'!$E$11:$E1028,$C$332,'Livro Diario - FC'!$D$11:$D1028,"&gt;=01/12"&amp;$C$7,'Livro Diario - FC'!$D$11:$D1028,"&lt;=31/12"&amp;$C$7)</f>
        <v>0</v>
      </c>
      <c r="BC332" s="273"/>
      <c r="BD332" s="273"/>
      <c r="BE332" s="301">
        <f t="shared" ref="BE332:BF332" si="628">SUM(D332,I332,N332,S332,X332,AC332,AG332,AK332,AO332,AS332,AW332,BA332)</f>
        <v>0</v>
      </c>
      <c r="BF332" s="261">
        <f t="shared" si="628"/>
        <v>0</v>
      </c>
      <c r="BG332" s="262"/>
      <c r="BH332" s="302"/>
      <c r="BI332" s="303">
        <f>SUMIFS('Livro Diario - FC'!$M$11:$M1028,'Livro Diario - FC'!$E$11:$E1028,C332,'Livro Diario - FC'!$D$11:$D1028,"&gt;="&amp;$BK$8,'Livro Diario - FC'!$D$11:$D1028,"&lt;="&amp;$BK$9)</f>
        <v>0</v>
      </c>
      <c r="BJ332" s="271"/>
      <c r="BK332" s="304"/>
      <c r="BL332" s="339"/>
    </row>
    <row r="333">
      <c r="A333" s="1"/>
      <c r="B333" s="1"/>
      <c r="C333" s="338" t="str">
        <f>'Livro Diario - FC'!AE337</f>
        <v>7.2.2 Juros Bancários e por Atraso</v>
      </c>
      <c r="D333" s="255">
        <f>SUMIFS('Livro Diario - FC'!$K$11:$K1028,'Livro Diario - FC'!$E$11:$E1028,$C$333,'Livro Diario - FC'!$D$11:$D1028,"&gt;=01/01"&amp;$C$7,'Livro Diario - FC'!$D$11:$D1028,"&lt;=31/01"&amp;$C$7)</f>
        <v>0</v>
      </c>
      <c r="E333" s="256">
        <f>SUMIFS('Livro Diario - FC'!$M$11:$M1028,'Livro Diario - FC'!$E$11:$E1028,$C$333,'Livro Diario - FC'!$D$11:$D1028,"&gt;=01/01"&amp;$C$7,'Livro Diario - FC'!$D$11:$D1028,"&lt;=31/01"&amp;$C$7)</f>
        <v>0</v>
      </c>
      <c r="F333" s="273"/>
      <c r="G333" s="258"/>
      <c r="H333" s="157"/>
      <c r="I333" s="255">
        <f>SUMIFS('Livro Diario - FC'!$K$11:$K1028,'Livro Diario - FC'!$E$11:$E1028,$C$333,'Livro Diario - FC'!$D$11:$D1028,"&gt;=01/02"&amp;$C$7,'Livro Diario - FC'!$D$11:$D1028,"&lt;=29/02"&amp;$C$7)</f>
        <v>0</v>
      </c>
      <c r="J333" s="256">
        <f>SUMIFS('Livro Diario - FC'!$M$11:$M1028,'Livro Diario - FC'!$E$11:$E1028,$C$333,'Livro Diario - FC'!$D$11:$D1028,"&gt;=01/02"&amp;$C$7,'Livro Diario - FC'!$D$11:$D1028,"&lt;=29/02"&amp;$C$7)</f>
        <v>0</v>
      </c>
      <c r="K333" s="273"/>
      <c r="L333" s="258"/>
      <c r="M333" s="259"/>
      <c r="N333" s="255">
        <f>SUMIFS('Livro Diario - FC'!$K$11:$K1028,'Livro Diario - FC'!$E$11:$E1028,$C$333,'Livro Diario - FC'!$D$11:$D1028,"&gt;=01/03"&amp;$C$7,'Livro Diario - FC'!$D$11:$D1028,"&lt;=31/03"&amp;$C$7)</f>
        <v>0</v>
      </c>
      <c r="O333" s="256">
        <f>SUMIFS('Livro Diario - FC'!$M$11:$M1028,'Livro Diario - FC'!$E$11:$E1028,$C$333,'Livro Diario - FC'!$D$11:$D1028,"&gt;=01/03"&amp;$C$7,'Livro Diario - FC'!$D$11:$D1028,"&lt;=31/03"&amp;$C$7)</f>
        <v>0</v>
      </c>
      <c r="P333" s="273"/>
      <c r="Q333" s="258"/>
      <c r="R333" s="259"/>
      <c r="S333" s="255">
        <f>SUMIFS('Livro Diario - FC'!$K$11:$K1028,'Livro Diario - FC'!$E$11:$E1028,$C$333,'Livro Diario - FC'!$D$11:$D1028,"&gt;=01/04"&amp;$C$7,'Livro Diario - FC'!$D$11:$D1028,"&lt;=30/04"&amp;$C$7)</f>
        <v>0</v>
      </c>
      <c r="T333" s="256">
        <f>SUMIFS('Livro Diario - FC'!$M$11:$M1028,'Livro Diario - FC'!$E$11:$E1028,$C$333,'Livro Diario - FC'!$D$11:$D1028,"&gt;=01/04"&amp;$C$7,'Livro Diario - FC'!$D$11:$D1028,"&lt;=30/04"&amp;$C$7)</f>
        <v>0</v>
      </c>
      <c r="U333" s="273"/>
      <c r="V333" s="258"/>
      <c r="W333" s="259"/>
      <c r="X333" s="255">
        <f>SUMIFS('Livro Diario - FC'!$K$11:$K1028,'Livro Diario - FC'!$E$11:$E1028,$C$333,'Livro Diario - FC'!$D$11:$D1028,"&gt;=01/05"&amp;$C$7,'Livro Diario - FC'!$D$11:$D1028,"&lt;=31/05"&amp;$C$7)</f>
        <v>0</v>
      </c>
      <c r="Y333" s="256">
        <f>SUMIFS('Livro Diario - FC'!$M$11:$M1028,'Livro Diario - FC'!$E$11:$E1028,$C$333,'Livro Diario - FC'!$D$11:$D1028,"&gt;=01/05"&amp;$C$7,'Livro Diario - FC'!$D$11:$D1028,"&lt;=31/05"&amp;$C$7)</f>
        <v>0</v>
      </c>
      <c r="Z333" s="273"/>
      <c r="AA333" s="258"/>
      <c r="AB333" s="259"/>
      <c r="AC333" s="255">
        <f>SUMIFS('Livro Diario - FC'!$K$11:$K1028,'Livro Diario - FC'!$E$11:$E1028,$C$333,'Livro Diario - FC'!$D$11:$D1028,"&gt;=01/06"&amp;$C$7,'Livro Diario - FC'!$D$11:$D1028,"&lt;=30/06"&amp;$C$7)</f>
        <v>0</v>
      </c>
      <c r="AD333" s="256">
        <f>SUMIFS('Livro Diario - FC'!$M$11:$M1028,'Livro Diario - FC'!$E$11:$E1028,$C$333,'Livro Diario - FC'!$D$11:$D1028,"&gt;=01/06"&amp;$C$7,'Livro Diario - FC'!$D$11:$D1028,"&lt;=30/06"&amp;$C$7)</f>
        <v>0</v>
      </c>
      <c r="AE333" s="273"/>
      <c r="AF333" s="258"/>
      <c r="AG333" s="255">
        <f>SUMIFS('Livro Diario - FC'!$K$11:$K1028,'Livro Diario - FC'!$E$11:$E1028,$C$333,'Livro Diario - FC'!$D$11:$D1028,"&gt;=01/07"&amp;$C$7,'Livro Diario - FC'!$D$11:$D1028,"&lt;=31/07"&amp;$C$7)</f>
        <v>0</v>
      </c>
      <c r="AH333" s="256">
        <f>SUMIFS('Livro Diario - FC'!$M$11:$M1028,'Livro Diario - FC'!$E$11:$E1028,$C$333,'Livro Diario - FC'!$D$11:$D1028,"&gt;=01/07"&amp;$C$7,'Livro Diario - FC'!$D$11:$D1028,"&lt;=31/07"&amp;$C$7)</f>
        <v>0</v>
      </c>
      <c r="AI333" s="273"/>
      <c r="AJ333" s="258"/>
      <c r="AK333" s="255">
        <f>SUMIFS('Livro Diario - FC'!$K$11:$K1028,'Livro Diario - FC'!$E$11:$E1028,$C$333,'Livro Diario - FC'!$D$11:$D1028,"&gt;=01/08"&amp;$C$7,'Livro Diario - FC'!$D$11:$D1028,"&lt;=31/08"&amp;$C$7)</f>
        <v>0</v>
      </c>
      <c r="AL333" s="256">
        <f>SUMIFS('Livro Diario - FC'!$M$11:$M1028,'Livro Diario - FC'!$E$11:$E1028,$C$333,'Livro Diario - FC'!$D$11:$D1028,"&gt;=01/08"&amp;$C$7,'Livro Diario - FC'!$D$11:$D1028,"&lt;=31/08"&amp;$C$7)</f>
        <v>0</v>
      </c>
      <c r="AM333" s="273"/>
      <c r="AN333" s="258"/>
      <c r="AO333" s="255">
        <f>SUMIFS('Livro Diario - FC'!$K$11:$K1028,'Livro Diario - FC'!$E$11:$E1028,$C$333,'Livro Diario - FC'!$D$11:$D1028,"&gt;=01/09"&amp;$C$7,'Livro Diario - FC'!$D$11:$D1028,"&lt;=30/09"&amp;$C$7)</f>
        <v>0</v>
      </c>
      <c r="AP333" s="256">
        <f>SUMIFS('Livro Diario - FC'!$M$11:$M1028,'Livro Diario - FC'!$E$11:$E1028,$C$333,'Livro Diario - FC'!$D$11:$D1028,"&gt;=01/09"&amp;$C$7,'Livro Diario - FC'!$D$11:$D1028,"&lt;=30/09"&amp;$C$7)</f>
        <v>0</v>
      </c>
      <c r="AQ333" s="273"/>
      <c r="AR333" s="258"/>
      <c r="AS333" s="255">
        <f>SUMIFS('Livro Diario - FC'!$K$11:$K1028,'Livro Diario - FC'!$E$11:$E1028,$C$333,'Livro Diario - FC'!$D$11:$D1028,"&gt;=01/10"&amp;$C$7,'Livro Diario - FC'!$D$11:$D1028,"&lt;=31/10"&amp;$C$7)</f>
        <v>0</v>
      </c>
      <c r="AT333" s="256">
        <f>SUMIFS('Livro Diario - FC'!$M$11:$M1028,'Livro Diario - FC'!$E$11:$E1028,$C$333,'Livro Diario - FC'!$D$11:$D1028,"&gt;=01/10"&amp;$C$7,'Livro Diario - FC'!$D$11:$D1028,"&lt;=31/10"&amp;$C$7)</f>
        <v>0</v>
      </c>
      <c r="AU333" s="273"/>
      <c r="AV333" s="258"/>
      <c r="AW333" s="255">
        <f>SUMIFS('Livro Diario - FC'!$K$11:$K1028,'Livro Diario - FC'!$E$11:$E1028,$C$333,'Livro Diario - FC'!$D$11:$D1028,"&gt;=01/11"&amp;$C$7,'Livro Diario - FC'!$D$11:$D1028,"&lt;=30/11"&amp;$C$7)</f>
        <v>0</v>
      </c>
      <c r="AX333" s="256">
        <f>SUMIFS('Livro Diario - FC'!$M$11:$M1028,'Livro Diario - FC'!$E$11:$E1028,$C$333,'Livro Diario - FC'!$D$11:$D1028,"&gt;=01/11"&amp;$C$7,'Livro Diario - FC'!$D$11:$D1028,"&lt;=30/11"&amp;$C$7)</f>
        <v>0</v>
      </c>
      <c r="AY333" s="273"/>
      <c r="AZ333" s="258"/>
      <c r="BA333" s="255">
        <f>SUMIFS('Livro Diario - FC'!$K$11:$K1028,'Livro Diario - FC'!$E$11:$E1028,$C$333,'Livro Diario - FC'!$D$11:$D1028,"&gt;=01/12"&amp;$C$7,'Livro Diario - FC'!$D$11:$D1028,"&lt;=31/12"&amp;$C$7)</f>
        <v>0</v>
      </c>
      <c r="BB333" s="256">
        <f>SUMIFS('Livro Diario - FC'!$M$11:$M1028,'Livro Diario - FC'!$E$11:$E1028,$C$333,'Livro Diario - FC'!$D$11:$D1028,"&gt;=01/12"&amp;$C$7,'Livro Diario - FC'!$D$11:$D1028,"&lt;=31/12"&amp;$C$7)</f>
        <v>0</v>
      </c>
      <c r="BC333" s="273"/>
      <c r="BD333" s="273"/>
      <c r="BE333" s="305">
        <f t="shared" ref="BE333:BF333" si="629">SUM(D333,I333,N333,S333,X333,AC333,AG333,AK333,AO333,AS333,AW333,BA333)</f>
        <v>0</v>
      </c>
      <c r="BF333" s="268">
        <f t="shared" si="629"/>
        <v>0</v>
      </c>
      <c r="BG333" s="269"/>
      <c r="BH333" s="192"/>
      <c r="BI333" s="303">
        <f>SUMIFS('Livro Diario - FC'!$M$11:$M1028,'Livro Diario - FC'!$E$11:$E1028,C333,'Livro Diario - FC'!$D$11:$D1028,"&gt;="&amp;$BK$8,'Livro Diario - FC'!$D$11:$D1028,"&lt;="&amp;$BK$9)</f>
        <v>0</v>
      </c>
      <c r="BJ333" s="271"/>
      <c r="BK333" s="272"/>
      <c r="BL333" s="1"/>
    </row>
    <row r="334">
      <c r="A334" s="1"/>
      <c r="B334" s="1"/>
      <c r="C334" s="338" t="str">
        <f>'Livro Diario - FC'!AE338</f>
        <v>7.2.3 Pagamento de dívidas passadas</v>
      </c>
      <c r="D334" s="255">
        <f>SUMIFS('Livro Diario - FC'!$K$11:$K1028,'Livro Diario - FC'!$E$11:$E1028,$C$334,'Livro Diario - FC'!$D$11:$D1028,"&gt;=01/01"&amp;$C$7,'Livro Diario - FC'!$D$11:$D1028,"&lt;=31/01"&amp;$C$7)</f>
        <v>0</v>
      </c>
      <c r="E334" s="256">
        <f>SUMIFS('Livro Diario - FC'!$M$11:$M1028,'Livro Diario - FC'!$E$11:$E1028,$C$334,'Livro Diario - FC'!$D$11:$D1028,"&gt;=01/01"&amp;$C$7,'Livro Diario - FC'!$D$11:$D1028,"&lt;=31/01"&amp;$C$7)</f>
        <v>0</v>
      </c>
      <c r="F334" s="273"/>
      <c r="G334" s="258"/>
      <c r="H334" s="157"/>
      <c r="I334" s="255">
        <f>SUMIFS('Livro Diario - FC'!$K$11:$K1028,'Livro Diario - FC'!$E$11:$E1028,$C$334,'Livro Diario - FC'!$D$11:$D1028,"&gt;=01/02"&amp;$C$7,'Livro Diario - FC'!$D$11:$D1028,"&lt;=29/02"&amp;$C$7)</f>
        <v>0</v>
      </c>
      <c r="J334" s="256">
        <f>SUMIFS('Livro Diario - FC'!$M$11:$M1028,'Livro Diario - FC'!$E$11:$E1028,$C$334,'Livro Diario - FC'!$D$11:$D1028,"&gt;=01/02"&amp;$C$7,'Livro Diario - FC'!$D$11:$D1028,"&lt;=29/02"&amp;$C$7)</f>
        <v>0</v>
      </c>
      <c r="K334" s="273"/>
      <c r="L334" s="258"/>
      <c r="M334" s="259"/>
      <c r="N334" s="255">
        <f>SUMIFS('Livro Diario - FC'!$K$11:$K1028,'Livro Diario - FC'!$E$11:$E1028,$C$334,'Livro Diario - FC'!$D$11:$D1028,"&gt;=01/03"&amp;$C$7,'Livro Diario - FC'!$D$11:$D1028,"&lt;=31/03"&amp;$C$7)</f>
        <v>0</v>
      </c>
      <c r="O334" s="256">
        <f>SUMIFS('Livro Diario - FC'!$M$11:$M1028,'Livro Diario - FC'!$E$11:$E1028,$C$334,'Livro Diario - FC'!$D$11:$D1028,"&gt;=01/03"&amp;$C$7,'Livro Diario - FC'!$D$11:$D1028,"&lt;=31/03"&amp;$C$7)</f>
        <v>0</v>
      </c>
      <c r="P334" s="273"/>
      <c r="Q334" s="258"/>
      <c r="R334" s="259"/>
      <c r="S334" s="255">
        <f>SUMIFS('Livro Diario - FC'!$K$11:$K1028,'Livro Diario - FC'!$E$11:$E1028,$C$334,'Livro Diario - FC'!$D$11:$D1028,"&gt;=01/04"&amp;$C$7,'Livro Diario - FC'!$D$11:$D1028,"&lt;=30/04"&amp;$C$7)</f>
        <v>0</v>
      </c>
      <c r="T334" s="256">
        <f>SUMIFS('Livro Diario - FC'!$M$11:$M1028,'Livro Diario - FC'!$E$11:$E1028,$C$334,'Livro Diario - FC'!$D$11:$D1028,"&gt;=01/04"&amp;$C$7,'Livro Diario - FC'!$D$11:$D1028,"&lt;=30/04"&amp;$C$7)</f>
        <v>0</v>
      </c>
      <c r="U334" s="273"/>
      <c r="V334" s="258"/>
      <c r="W334" s="259"/>
      <c r="X334" s="255">
        <f>SUMIFS('Livro Diario - FC'!$K$11:$K1028,'Livro Diario - FC'!$E$11:$E1028,$C$334,'Livro Diario - FC'!$D$11:$D1028,"&gt;=01/05"&amp;$C$7,'Livro Diario - FC'!$D$11:$D1028,"&lt;=31/05"&amp;$C$7)</f>
        <v>0</v>
      </c>
      <c r="Y334" s="256">
        <f>SUMIFS('Livro Diario - FC'!$M$11:$M1028,'Livro Diario - FC'!$E$11:$E1028,$C$334,'Livro Diario - FC'!$D$11:$D1028,"&gt;=01/05"&amp;$C$7,'Livro Diario - FC'!$D$11:$D1028,"&lt;=31/05"&amp;$C$7)</f>
        <v>0</v>
      </c>
      <c r="Z334" s="273"/>
      <c r="AA334" s="258"/>
      <c r="AB334" s="259"/>
      <c r="AC334" s="255">
        <f>SUMIFS('Livro Diario - FC'!$K$11:$K1028,'Livro Diario - FC'!$E$11:$E1028,$C$334,'Livro Diario - FC'!$D$11:$D1028,"&gt;=01/06"&amp;$C$7,'Livro Diario - FC'!$D$11:$D1028,"&lt;=30/06"&amp;$C$7)</f>
        <v>0</v>
      </c>
      <c r="AD334" s="256">
        <f>SUMIFS('Livro Diario - FC'!$M$11:$M1028,'Livro Diario - FC'!$E$11:$E1028,$C$334,'Livro Diario - FC'!$D$11:$D1028,"&gt;=01/06"&amp;$C$7,'Livro Diario - FC'!$D$11:$D1028,"&lt;=30/06"&amp;$C$7)</f>
        <v>0</v>
      </c>
      <c r="AE334" s="273"/>
      <c r="AF334" s="258"/>
      <c r="AG334" s="255">
        <f>SUMIFS('Livro Diario - FC'!$K$11:$K1028,'Livro Diario - FC'!$E$11:$E1028,$C$334,'Livro Diario - FC'!$D$11:$D1028,"&gt;=01/07"&amp;$C$7,'Livro Diario - FC'!$D$11:$D1028,"&lt;=31/07"&amp;$C$7)</f>
        <v>0</v>
      </c>
      <c r="AH334" s="256">
        <f>SUMIFS('Livro Diario - FC'!$M$11:$M1028,'Livro Diario - FC'!$E$11:$E1028,$C$334,'Livro Diario - FC'!$D$11:$D1028,"&gt;=01/07"&amp;$C$7,'Livro Diario - FC'!$D$11:$D1028,"&lt;=31/07"&amp;$C$7)</f>
        <v>0</v>
      </c>
      <c r="AI334" s="273"/>
      <c r="AJ334" s="258"/>
      <c r="AK334" s="255">
        <f>SUMIFS('Livro Diario - FC'!$K$11:$K1028,'Livro Diario - FC'!$E$11:$E1028,$C$334,'Livro Diario - FC'!$D$11:$D1028,"&gt;=01/08"&amp;$C$7,'Livro Diario - FC'!$D$11:$D1028,"&lt;=31/08"&amp;$C$7)</f>
        <v>0</v>
      </c>
      <c r="AL334" s="256">
        <f>SUMIFS('Livro Diario - FC'!$M$11:$M1028,'Livro Diario - FC'!$E$11:$E1028,$C$334,'Livro Diario - FC'!$D$11:$D1028,"&gt;=01/08"&amp;$C$7,'Livro Diario - FC'!$D$11:$D1028,"&lt;=31/08"&amp;$C$7)</f>
        <v>0</v>
      </c>
      <c r="AM334" s="273"/>
      <c r="AN334" s="258"/>
      <c r="AO334" s="255">
        <f>SUMIFS('Livro Diario - FC'!$K$11:$K1028,'Livro Diario - FC'!$E$11:$E1028,$C$334,'Livro Diario - FC'!$D$11:$D1028,"&gt;=01/09"&amp;$C$7,'Livro Diario - FC'!$D$11:$D1028,"&lt;=30/09"&amp;$C$7)</f>
        <v>0</v>
      </c>
      <c r="AP334" s="256">
        <f>SUMIFS('Livro Diario - FC'!$M$11:$M1028,'Livro Diario - FC'!$E$11:$E1028,$C$334,'Livro Diario - FC'!$D$11:$D1028,"&gt;=01/09"&amp;$C$7,'Livro Diario - FC'!$D$11:$D1028,"&lt;=30/09"&amp;$C$7)</f>
        <v>0</v>
      </c>
      <c r="AQ334" s="273"/>
      <c r="AR334" s="258"/>
      <c r="AS334" s="255">
        <f>SUMIFS('Livro Diario - FC'!$K$11:$K1028,'Livro Diario - FC'!$E$11:$E1028,$C$334,'Livro Diario - FC'!$D$11:$D1028,"&gt;=01/10"&amp;$C$7,'Livro Diario - FC'!$D$11:$D1028,"&lt;=31/10"&amp;$C$7)</f>
        <v>0</v>
      </c>
      <c r="AT334" s="256">
        <f>SUMIFS('Livro Diario - FC'!$M$11:$M1028,'Livro Diario - FC'!$E$11:$E1028,$C$334,'Livro Diario - FC'!$D$11:$D1028,"&gt;=01/10"&amp;$C$7,'Livro Diario - FC'!$D$11:$D1028,"&lt;=31/10"&amp;$C$7)</f>
        <v>0</v>
      </c>
      <c r="AU334" s="273"/>
      <c r="AV334" s="258"/>
      <c r="AW334" s="255">
        <f>SUMIFS('Livro Diario - FC'!$K$11:$K1028,'Livro Diario - FC'!$E$11:$E1028,$C$334,'Livro Diario - FC'!$D$11:$D1028,"&gt;=01/11"&amp;$C$7,'Livro Diario - FC'!$D$11:$D1028,"&lt;=30/11"&amp;$C$7)</f>
        <v>0</v>
      </c>
      <c r="AX334" s="256">
        <f>SUMIFS('Livro Diario - FC'!$M$11:$M1028,'Livro Diario - FC'!$E$11:$E1028,$C$334,'Livro Diario - FC'!$D$11:$D1028,"&gt;=01/11"&amp;$C$7,'Livro Diario - FC'!$D$11:$D1028,"&lt;=30/11"&amp;$C$7)</f>
        <v>0</v>
      </c>
      <c r="AY334" s="273"/>
      <c r="AZ334" s="258"/>
      <c r="BA334" s="255">
        <f>SUMIFS('Livro Diario - FC'!$K$11:$K1028,'Livro Diario - FC'!$E$11:$E1028,$C$334,'Livro Diario - FC'!$D$11:$D1028,"&gt;=01/12"&amp;$C$7,'Livro Diario - FC'!$D$11:$D1028,"&lt;=31/12"&amp;$C$7)</f>
        <v>0</v>
      </c>
      <c r="BB334" s="256">
        <f>SUMIFS('Livro Diario - FC'!$M$11:$M1028,'Livro Diario - FC'!$E$11:$E1028,$C$334,'Livro Diario - FC'!$D$11:$D1028,"&gt;=01/12"&amp;$C$7,'Livro Diario - FC'!$D$11:$D1028,"&lt;=31/12"&amp;$C$7)</f>
        <v>0</v>
      </c>
      <c r="BC334" s="273"/>
      <c r="BD334" s="273"/>
      <c r="BE334" s="305">
        <f t="shared" ref="BE334:BF334" si="630">SUM(D334,I334,N334,S334,X334,AC334,AG334,AK334,AO334,AS334,AW334,BA334)</f>
        <v>0</v>
      </c>
      <c r="BF334" s="268">
        <f t="shared" si="630"/>
        <v>0</v>
      </c>
      <c r="BG334" s="269"/>
      <c r="BH334" s="192"/>
      <c r="BI334" s="303">
        <f>SUMIFS('Livro Diario - FC'!$M$11:$M1028,'Livro Diario - FC'!$E$11:$E1028,C334,'Livro Diario - FC'!$D$11:$D1028,"&gt;="&amp;$BK$8,'Livro Diario - FC'!$D$11:$D1028,"&lt;="&amp;$BK$9)</f>
        <v>0</v>
      </c>
      <c r="BJ334" s="271"/>
      <c r="BK334" s="272"/>
      <c r="BL334" s="1"/>
    </row>
    <row r="335">
      <c r="A335" s="1"/>
      <c r="B335" s="1"/>
      <c r="C335" s="338" t="str">
        <f>'Livro Diario - FC'!AE339</f>
        <v>7.2.4 Distribuição de Lucros </v>
      </c>
      <c r="D335" s="255">
        <f>SUMIFS('Livro Diario - FC'!$K$11:$K1028,'Livro Diario - FC'!$E$11:$E1028,$C$335,'Livro Diario - FC'!$D$11:$D1028,"&gt;=01/01"&amp;$C$7,'Livro Diario - FC'!$D$11:$D1028,"&lt;=31/01"&amp;$C$7)</f>
        <v>0</v>
      </c>
      <c r="E335" s="256">
        <f>SUMIFS('Livro Diario - FC'!$M$11:$M1028,'Livro Diario - FC'!$E$11:$E1028,$C$335,'Livro Diario - FC'!$D$11:$D1028,"&gt;=01/01"&amp;$C$7,'Livro Diario - FC'!$D$11:$D1028,"&lt;=31/01"&amp;$C$7)</f>
        <v>0</v>
      </c>
      <c r="F335" s="273"/>
      <c r="G335" s="258"/>
      <c r="H335" s="157"/>
      <c r="I335" s="255">
        <f>SUMIFS('Livro Diario - FC'!$K$11:$K1028,'Livro Diario - FC'!$E$11:$E1028,$C$335,'Livro Diario - FC'!$D$11:$D1028,"&gt;=01/02"&amp;$C$7,'Livro Diario - FC'!$D$11:$D1028,"&lt;=29/02"&amp;$C$7)</f>
        <v>0</v>
      </c>
      <c r="J335" s="256">
        <f>SUMIFS('Livro Diario - FC'!$M$11:$M1028,'Livro Diario - FC'!$E$11:$E1028,$C$335,'Livro Diario - FC'!$D$11:$D1028,"&gt;=01/02"&amp;$C$7,'Livro Diario - FC'!$D$11:$D1028,"&lt;=29/02"&amp;$C$7)</f>
        <v>0</v>
      </c>
      <c r="K335" s="273"/>
      <c r="L335" s="258"/>
      <c r="M335" s="259"/>
      <c r="N335" s="255">
        <f>SUMIFS('Livro Diario - FC'!$K$11:$K1028,'Livro Diario - FC'!$E$11:$E1028,$C$335,'Livro Diario - FC'!$D$11:$D1028,"&gt;=01/03"&amp;$C$7,'Livro Diario - FC'!$D$11:$D1028,"&lt;=31/03"&amp;$C$7)</f>
        <v>0</v>
      </c>
      <c r="O335" s="256">
        <f>SUMIFS('Livro Diario - FC'!$M$11:$M1028,'Livro Diario - FC'!$E$11:$E1028,$C$335,'Livro Diario - FC'!$D$11:$D1028,"&gt;=01/03"&amp;$C$7,'Livro Diario - FC'!$D$11:$D1028,"&lt;=31/03"&amp;$C$7)</f>
        <v>0</v>
      </c>
      <c r="P335" s="273"/>
      <c r="Q335" s="258"/>
      <c r="R335" s="259"/>
      <c r="S335" s="255">
        <f>SUMIFS('Livro Diario - FC'!$K$11:$K1028,'Livro Diario - FC'!$E$11:$E1028,$C$335,'Livro Diario - FC'!$D$11:$D1028,"&gt;=01/04"&amp;$C$7,'Livro Diario - FC'!$D$11:$D1028,"&lt;=30/04"&amp;$C$7)</f>
        <v>0</v>
      </c>
      <c r="T335" s="256">
        <f>SUMIFS('Livro Diario - FC'!$M$11:$M1028,'Livro Diario - FC'!$E$11:$E1028,$C$335,'Livro Diario - FC'!$D$11:$D1028,"&gt;=01/04"&amp;$C$7,'Livro Diario - FC'!$D$11:$D1028,"&lt;=30/04"&amp;$C$7)</f>
        <v>0</v>
      </c>
      <c r="U335" s="273"/>
      <c r="V335" s="258"/>
      <c r="W335" s="259"/>
      <c r="X335" s="255">
        <f>SUMIFS('Livro Diario - FC'!$K$11:$K1028,'Livro Diario - FC'!$E$11:$E1028,$C$335,'Livro Diario - FC'!$D$11:$D1028,"&gt;=01/05"&amp;$C$7,'Livro Diario - FC'!$D$11:$D1028,"&lt;=31/05"&amp;$C$7)</f>
        <v>0</v>
      </c>
      <c r="Y335" s="256">
        <f>SUMIFS('Livro Diario - FC'!$M$11:$M1028,'Livro Diario - FC'!$E$11:$E1028,$C$335,'Livro Diario - FC'!$D$11:$D1028,"&gt;=01/05"&amp;$C$7,'Livro Diario - FC'!$D$11:$D1028,"&lt;=31/05"&amp;$C$7)</f>
        <v>0</v>
      </c>
      <c r="Z335" s="273"/>
      <c r="AA335" s="258"/>
      <c r="AB335" s="259"/>
      <c r="AC335" s="255">
        <f>SUMIFS('Livro Diario - FC'!$K$11:$K1028,'Livro Diario - FC'!$E$11:$E1028,$C$335,'Livro Diario - FC'!$D$11:$D1028,"&gt;=01/06"&amp;$C$7,'Livro Diario - FC'!$D$11:$D1028,"&lt;=30/06"&amp;$C$7)</f>
        <v>0</v>
      </c>
      <c r="AD335" s="256">
        <f>SUMIFS('Livro Diario - FC'!$M$11:$M1028,'Livro Diario - FC'!$E$11:$E1028,$C$335,'Livro Diario - FC'!$D$11:$D1028,"&gt;=01/06"&amp;$C$7,'Livro Diario - FC'!$D$11:$D1028,"&lt;=30/06"&amp;$C$7)</f>
        <v>0</v>
      </c>
      <c r="AE335" s="273"/>
      <c r="AF335" s="258"/>
      <c r="AG335" s="255">
        <f>SUMIFS('Livro Diario - FC'!$K$11:$K1028,'Livro Diario - FC'!$E$11:$E1028,$C$335,'Livro Diario - FC'!$D$11:$D1028,"&gt;=01/07"&amp;$C$7,'Livro Diario - FC'!$D$11:$D1028,"&lt;=31/07"&amp;$C$7)</f>
        <v>0</v>
      </c>
      <c r="AH335" s="256">
        <f>SUMIFS('Livro Diario - FC'!$M$11:$M1028,'Livro Diario - FC'!$E$11:$E1028,$C$335,'Livro Diario - FC'!$D$11:$D1028,"&gt;=01/07"&amp;$C$7,'Livro Diario - FC'!$D$11:$D1028,"&lt;=31/07"&amp;$C$7)</f>
        <v>0</v>
      </c>
      <c r="AI335" s="273"/>
      <c r="AJ335" s="258"/>
      <c r="AK335" s="255">
        <f>SUMIFS('Livro Diario - FC'!$K$11:$K1028,'Livro Diario - FC'!$E$11:$E1028,$C$335,'Livro Diario - FC'!$D$11:$D1028,"&gt;=01/08"&amp;$C$7,'Livro Diario - FC'!$D$11:$D1028,"&lt;=31/08"&amp;$C$7)</f>
        <v>0</v>
      </c>
      <c r="AL335" s="256">
        <f>SUMIFS('Livro Diario - FC'!$M$11:$M1028,'Livro Diario - FC'!$E$11:$E1028,$C$335,'Livro Diario - FC'!$D$11:$D1028,"&gt;=01/08"&amp;$C$7,'Livro Diario - FC'!$D$11:$D1028,"&lt;=31/08"&amp;$C$7)</f>
        <v>0</v>
      </c>
      <c r="AM335" s="273"/>
      <c r="AN335" s="258"/>
      <c r="AO335" s="255">
        <f>SUMIFS('Livro Diario - FC'!$K$11:$K1028,'Livro Diario - FC'!$E$11:$E1028,$C$335,'Livro Diario - FC'!$D$11:$D1028,"&gt;=01/09"&amp;$C$7,'Livro Diario - FC'!$D$11:$D1028,"&lt;=30/09"&amp;$C$7)</f>
        <v>0</v>
      </c>
      <c r="AP335" s="256">
        <f>SUMIFS('Livro Diario - FC'!$M$11:$M1028,'Livro Diario - FC'!$E$11:$E1028,$C$335,'Livro Diario - FC'!$D$11:$D1028,"&gt;=01/09"&amp;$C$7,'Livro Diario - FC'!$D$11:$D1028,"&lt;=30/09"&amp;$C$7)</f>
        <v>0</v>
      </c>
      <c r="AQ335" s="273"/>
      <c r="AR335" s="258"/>
      <c r="AS335" s="255">
        <f>SUMIFS('Livro Diario - FC'!$K$11:$K1028,'Livro Diario - FC'!$E$11:$E1028,$C$335,'Livro Diario - FC'!$D$11:$D1028,"&gt;=01/10"&amp;$C$7,'Livro Diario - FC'!$D$11:$D1028,"&lt;=31/10"&amp;$C$7)</f>
        <v>0</v>
      </c>
      <c r="AT335" s="256">
        <f>SUMIFS('Livro Diario - FC'!$M$11:$M1028,'Livro Diario - FC'!$E$11:$E1028,$C$335,'Livro Diario - FC'!$D$11:$D1028,"&gt;=01/10"&amp;$C$7,'Livro Diario - FC'!$D$11:$D1028,"&lt;=31/10"&amp;$C$7)</f>
        <v>0</v>
      </c>
      <c r="AU335" s="273"/>
      <c r="AV335" s="258"/>
      <c r="AW335" s="255">
        <f>SUMIFS('Livro Diario - FC'!$K$11:$K1028,'Livro Diario - FC'!$E$11:$E1028,$C$335,'Livro Diario - FC'!$D$11:$D1028,"&gt;=01/11"&amp;$C$7,'Livro Diario - FC'!$D$11:$D1028,"&lt;=30/11"&amp;$C$7)</f>
        <v>0</v>
      </c>
      <c r="AX335" s="256">
        <f>SUMIFS('Livro Diario - FC'!$M$11:$M1028,'Livro Diario - FC'!$E$11:$E1028,$C$335,'Livro Diario - FC'!$D$11:$D1028,"&gt;=01/11"&amp;$C$7,'Livro Diario - FC'!$D$11:$D1028,"&lt;=30/11"&amp;$C$7)</f>
        <v>0</v>
      </c>
      <c r="AY335" s="273"/>
      <c r="AZ335" s="258"/>
      <c r="BA335" s="255">
        <f>SUMIFS('Livro Diario - FC'!$K$11:$K1028,'Livro Diario - FC'!$E$11:$E1028,$C$335,'Livro Diario - FC'!$D$11:$D1028,"&gt;=01/12"&amp;$C$7,'Livro Diario - FC'!$D$11:$D1028,"&lt;=31/12"&amp;$C$7)</f>
        <v>0</v>
      </c>
      <c r="BB335" s="256">
        <f>SUMIFS('Livro Diario - FC'!$M$11:$M1028,'Livro Diario - FC'!$E$11:$E1028,$C$335,'Livro Diario - FC'!$D$11:$D1028,"&gt;=01/12"&amp;$C$7,'Livro Diario - FC'!$D$11:$D1028,"&lt;=31/12"&amp;$C$7)</f>
        <v>0</v>
      </c>
      <c r="BC335" s="273"/>
      <c r="BD335" s="273"/>
      <c r="BE335" s="305">
        <f t="shared" ref="BE335:BF335" si="631">SUM(D335,I335,N335,S335,X335,AC335,AG335,AK335,AO335,AS335,AW335,BA335)</f>
        <v>0</v>
      </c>
      <c r="BF335" s="268">
        <f t="shared" si="631"/>
        <v>0</v>
      </c>
      <c r="BG335" s="269"/>
      <c r="BH335" s="192"/>
      <c r="BI335" s="303">
        <f>SUMIFS('Livro Diario - FC'!$M$11:$M1028,'Livro Diario - FC'!$E$11:$E1028,C335,'Livro Diario - FC'!$D$11:$D1028,"&gt;="&amp;$BK$8,'Livro Diario - FC'!$D$11:$D1028,"&lt;="&amp;$BK$9)</f>
        <v>0</v>
      </c>
      <c r="BJ335" s="271"/>
      <c r="BK335" s="272"/>
      <c r="BL335" s="1"/>
    </row>
    <row r="336">
      <c r="A336" s="1"/>
      <c r="B336" s="1"/>
      <c r="C336" s="338" t="str">
        <f>'Livro Diario - FC'!AE340</f>
        <v>7.2.5 Outras saídas não operacionais</v>
      </c>
      <c r="D336" s="255">
        <f>SUMIFS('Livro Diario - FC'!$K$11:$K1028,'Livro Diario - FC'!$E$11:$E1028,$C$336,'Livro Diario - FC'!$D$11:$D1028,"&gt;=01/01"&amp;$C$7,'Livro Diario - FC'!$D$11:$D1028,"&lt;=31/01"&amp;$C$7)</f>
        <v>0</v>
      </c>
      <c r="E336" s="256">
        <f>SUMIFS('Livro Diario - FC'!$M$11:$M1028,'Livro Diario - FC'!$E$11:$E1028,$C$336,'Livro Diario - FC'!$D$11:$D1028,"&gt;=01/01"&amp;$C$7,'Livro Diario - FC'!$D$11:$D1028,"&lt;=31/01"&amp;$C$7)</f>
        <v>0</v>
      </c>
      <c r="F336" s="273"/>
      <c r="G336" s="258"/>
      <c r="H336" s="157"/>
      <c r="I336" s="255">
        <f>SUMIFS('Livro Diario - FC'!$K$11:$K1028,'Livro Diario - FC'!$E$11:$E1028,$C$336,'Livro Diario - FC'!$D$11:$D1028,"&gt;=01/02"&amp;$C$7,'Livro Diario - FC'!$D$11:$D1028,"&lt;=29/02"&amp;$C$7)</f>
        <v>0</v>
      </c>
      <c r="J336" s="256">
        <f>SUMIFS('Livro Diario - FC'!$M$11:$M1028,'Livro Diario - FC'!$E$11:$E1028,$C$336,'Livro Diario - FC'!$D$11:$D1028,"&gt;=01/02"&amp;$C$7,'Livro Diario - FC'!$D$11:$D1028,"&lt;=29/02"&amp;$C$7)</f>
        <v>0</v>
      </c>
      <c r="K336" s="273"/>
      <c r="L336" s="258"/>
      <c r="M336" s="259"/>
      <c r="N336" s="255">
        <f>SUMIFS('Livro Diario - FC'!$K$11:$K1028,'Livro Diario - FC'!$E$11:$E1028,$C$336,'Livro Diario - FC'!$D$11:$D1028,"&gt;=01/03"&amp;$C$7,'Livro Diario - FC'!$D$11:$D1028,"&lt;=31/03"&amp;$C$7)</f>
        <v>0</v>
      </c>
      <c r="O336" s="256">
        <f>SUMIFS('Livro Diario - FC'!$M$11:$M1028,'Livro Diario - FC'!$E$11:$E1028,$C$336,'Livro Diario - FC'!$D$11:$D1028,"&gt;=01/03"&amp;$C$7,'Livro Diario - FC'!$D$11:$D1028,"&lt;=31/03"&amp;$C$7)</f>
        <v>0</v>
      </c>
      <c r="P336" s="273"/>
      <c r="Q336" s="258"/>
      <c r="R336" s="259"/>
      <c r="S336" s="255">
        <f>SUMIFS('Livro Diario - FC'!$K$11:$K1028,'Livro Diario - FC'!$E$11:$E1028,$C$336,'Livro Diario - FC'!$D$11:$D1028,"&gt;=01/04"&amp;$C$7,'Livro Diario - FC'!$D$11:$D1028,"&lt;=30/04"&amp;$C$7)</f>
        <v>0</v>
      </c>
      <c r="T336" s="256">
        <f>SUMIFS('Livro Diario - FC'!$M$11:$M1028,'Livro Diario - FC'!$E$11:$E1028,$C$336,'Livro Diario - FC'!$D$11:$D1028,"&gt;=01/04"&amp;$C$7,'Livro Diario - FC'!$D$11:$D1028,"&lt;=30/04"&amp;$C$7)</f>
        <v>0</v>
      </c>
      <c r="U336" s="273"/>
      <c r="V336" s="258"/>
      <c r="W336" s="259"/>
      <c r="X336" s="255">
        <f>SUMIFS('Livro Diario - FC'!$K$11:$K1028,'Livro Diario - FC'!$E$11:$E1028,$C$336,'Livro Diario - FC'!$D$11:$D1028,"&gt;=01/05"&amp;$C$7,'Livro Diario - FC'!$D$11:$D1028,"&lt;=31/05"&amp;$C$7)</f>
        <v>0</v>
      </c>
      <c r="Y336" s="256">
        <f>SUMIFS('Livro Diario - FC'!$M$11:$M1028,'Livro Diario - FC'!$E$11:$E1028,$C$336,'Livro Diario - FC'!$D$11:$D1028,"&gt;=01/05"&amp;$C$7,'Livro Diario - FC'!$D$11:$D1028,"&lt;=31/05"&amp;$C$7)</f>
        <v>0</v>
      </c>
      <c r="Z336" s="273"/>
      <c r="AA336" s="258"/>
      <c r="AB336" s="259"/>
      <c r="AC336" s="255">
        <f>SUMIFS('Livro Diario - FC'!$K$11:$K1028,'Livro Diario - FC'!$E$11:$E1028,$C$336,'Livro Diario - FC'!$D$11:$D1028,"&gt;=01/06"&amp;$C$7,'Livro Diario - FC'!$D$11:$D1028,"&lt;=30/06"&amp;$C$7)</f>
        <v>0</v>
      </c>
      <c r="AD336" s="256">
        <f>SUMIFS('Livro Diario - FC'!$M$11:$M1028,'Livro Diario - FC'!$E$11:$E1028,$C$336,'Livro Diario - FC'!$D$11:$D1028,"&gt;=01/06"&amp;$C$7,'Livro Diario - FC'!$D$11:$D1028,"&lt;=30/06"&amp;$C$7)</f>
        <v>0</v>
      </c>
      <c r="AE336" s="273"/>
      <c r="AF336" s="258"/>
      <c r="AG336" s="255">
        <f>SUMIFS('Livro Diario - FC'!$K$11:$K1028,'Livro Diario - FC'!$E$11:$E1028,$C$336,'Livro Diario - FC'!$D$11:$D1028,"&gt;=01/07"&amp;$C$7,'Livro Diario - FC'!$D$11:$D1028,"&lt;=31/07"&amp;$C$7)</f>
        <v>0</v>
      </c>
      <c r="AH336" s="256">
        <f>SUMIFS('Livro Diario - FC'!$M$11:$M1028,'Livro Diario - FC'!$E$11:$E1028,$C$336,'Livro Diario - FC'!$D$11:$D1028,"&gt;=01/07"&amp;$C$7,'Livro Diario - FC'!$D$11:$D1028,"&lt;=31/07"&amp;$C$7)</f>
        <v>0</v>
      </c>
      <c r="AI336" s="273"/>
      <c r="AJ336" s="258"/>
      <c r="AK336" s="255">
        <f>SUMIFS('Livro Diario - FC'!$K$11:$K1028,'Livro Diario - FC'!$E$11:$E1028,$C$336,'Livro Diario - FC'!$D$11:$D1028,"&gt;=01/08"&amp;$C$7,'Livro Diario - FC'!$D$11:$D1028,"&lt;=31/08"&amp;$C$7)</f>
        <v>0</v>
      </c>
      <c r="AL336" s="256">
        <f>SUMIFS('Livro Diario - FC'!$M$11:$M1028,'Livro Diario - FC'!$E$11:$E1028,$C$336,'Livro Diario - FC'!$D$11:$D1028,"&gt;=01/08"&amp;$C$7,'Livro Diario - FC'!$D$11:$D1028,"&lt;=31/08"&amp;$C$7)</f>
        <v>0</v>
      </c>
      <c r="AM336" s="273"/>
      <c r="AN336" s="258"/>
      <c r="AO336" s="255">
        <f>SUMIFS('Livro Diario - FC'!$K$11:$K1028,'Livro Diario - FC'!$E$11:$E1028,$C$336,'Livro Diario - FC'!$D$11:$D1028,"&gt;=01/09"&amp;$C$7,'Livro Diario - FC'!$D$11:$D1028,"&lt;=30/09"&amp;$C$7)</f>
        <v>0</v>
      </c>
      <c r="AP336" s="256">
        <f>SUMIFS('Livro Diario - FC'!$M$11:$M1028,'Livro Diario - FC'!$E$11:$E1028,$C$336,'Livro Diario - FC'!$D$11:$D1028,"&gt;=01/09"&amp;$C$7,'Livro Diario - FC'!$D$11:$D1028,"&lt;=30/09"&amp;$C$7)</f>
        <v>0</v>
      </c>
      <c r="AQ336" s="273"/>
      <c r="AR336" s="258"/>
      <c r="AS336" s="255">
        <f>SUMIFS('Livro Diario - FC'!$K$11:$K1028,'Livro Diario - FC'!$E$11:$E1028,$C$336,'Livro Diario - FC'!$D$11:$D1028,"&gt;=01/10"&amp;$C$7,'Livro Diario - FC'!$D$11:$D1028,"&lt;=31/10"&amp;$C$7)</f>
        <v>0</v>
      </c>
      <c r="AT336" s="256">
        <f>SUMIFS('Livro Diario - FC'!$M$11:$M1028,'Livro Diario - FC'!$E$11:$E1028,$C$336,'Livro Diario - FC'!$D$11:$D1028,"&gt;=01/10"&amp;$C$7,'Livro Diario - FC'!$D$11:$D1028,"&lt;=31/10"&amp;$C$7)</f>
        <v>0</v>
      </c>
      <c r="AU336" s="273"/>
      <c r="AV336" s="258"/>
      <c r="AW336" s="255">
        <f>SUMIFS('Livro Diario - FC'!$K$11:$K1028,'Livro Diario - FC'!$E$11:$E1028,$C$336,'Livro Diario - FC'!$D$11:$D1028,"&gt;=01/11"&amp;$C$7,'Livro Diario - FC'!$D$11:$D1028,"&lt;=30/11"&amp;$C$7)</f>
        <v>0</v>
      </c>
      <c r="AX336" s="256">
        <f>SUMIFS('Livro Diario - FC'!$M$11:$M1028,'Livro Diario - FC'!$E$11:$E1028,$C$336,'Livro Diario - FC'!$D$11:$D1028,"&gt;=01/11"&amp;$C$7,'Livro Diario - FC'!$D$11:$D1028,"&lt;=30/11"&amp;$C$7)</f>
        <v>0</v>
      </c>
      <c r="AY336" s="273"/>
      <c r="AZ336" s="258"/>
      <c r="BA336" s="255">
        <f>SUMIFS('Livro Diario - FC'!$K$11:$K1028,'Livro Diario - FC'!$E$11:$E1028,$C$336,'Livro Diario - FC'!$D$11:$D1028,"&gt;=01/12"&amp;$C$7,'Livro Diario - FC'!$D$11:$D1028,"&lt;=31/12"&amp;$C$7)</f>
        <v>0</v>
      </c>
      <c r="BB336" s="256">
        <f>SUMIFS('Livro Diario - FC'!$M$11:$M1028,'Livro Diario - FC'!$E$11:$E1028,$C$336,'Livro Diario - FC'!$D$11:$D1028,"&gt;=01/12"&amp;$C$7,'Livro Diario - FC'!$D$11:$D1028,"&lt;=31/12"&amp;$C$7)</f>
        <v>0</v>
      </c>
      <c r="BC336" s="273"/>
      <c r="BD336" s="273"/>
      <c r="BE336" s="305">
        <f t="shared" ref="BE336:BF336" si="632">SUM(D336,I336,N336,S336,X336,AC336,AG336,AK336,AO336,AS336,AW336,BA336)</f>
        <v>0</v>
      </c>
      <c r="BF336" s="268">
        <f t="shared" si="632"/>
        <v>0</v>
      </c>
      <c r="BG336" s="269"/>
      <c r="BH336" s="192"/>
      <c r="BI336" s="303">
        <f>SUMIFS('Livro Diario - FC'!$M$11:$M1028,'Livro Diario - FC'!$E$11:$E1028,C336,'Livro Diario - FC'!$D$11:$D1028,"&gt;="&amp;$BK$8,'Livro Diario - FC'!$D$11:$D1028,"&lt;="&amp;$BK$9)</f>
        <v>0</v>
      </c>
      <c r="BJ336" s="271"/>
      <c r="BK336" s="272"/>
      <c r="BL336" s="1"/>
    </row>
    <row r="337">
      <c r="A337" s="1"/>
      <c r="B337" s="1"/>
      <c r="C337" s="338" t="str">
        <f>'Livro Diario - FC'!AE341</f>
        <v>7.2.6 Equipamentos quebrados por funcionarios</v>
      </c>
      <c r="D337" s="255">
        <f>SUMIFS('Livro Diario - FC'!$K$11:$K1028,'Livro Diario - FC'!$E$11:$E1028,$C$337,'Livro Diario - FC'!$D$11:$D1028,"&gt;=01/01"&amp;$C$7,'Livro Diario - FC'!$D$11:$D1028,"&lt;=31/01"&amp;$C$7)</f>
        <v>0</v>
      </c>
      <c r="E337" s="256">
        <f>SUMIFS('Livro Diario - FC'!$M$11:$M1028,'Livro Diario - FC'!$E$11:$E1028,$C$337,'Livro Diario - FC'!$D$11:$D1028,"&gt;=01/01"&amp;$C$7,'Livro Diario - FC'!$D$11:$D1028,"&lt;=31/01"&amp;$C$7)</f>
        <v>0</v>
      </c>
      <c r="F337" s="273"/>
      <c r="G337" s="258"/>
      <c r="H337" s="157"/>
      <c r="I337" s="255">
        <f>SUMIFS('Livro Diario - FC'!$K$11:$K1028,'Livro Diario - FC'!$E$11:$E1028,$C$337,'Livro Diario - FC'!$D$11:$D1028,"&gt;=01/02"&amp;$C$7,'Livro Diario - FC'!$D$11:$D1028,"&lt;=29/02"&amp;$C$7)</f>
        <v>0</v>
      </c>
      <c r="J337" s="256">
        <f>SUMIFS('Livro Diario - FC'!$M$11:$M1028,'Livro Diario - FC'!$E$11:$E1028,$C$337,'Livro Diario - FC'!$D$11:$D1028,"&gt;=01/02"&amp;$C$7,'Livro Diario - FC'!$D$11:$D1028,"&lt;=29/02"&amp;$C$7)</f>
        <v>0</v>
      </c>
      <c r="K337" s="273"/>
      <c r="L337" s="258"/>
      <c r="M337" s="259"/>
      <c r="N337" s="255">
        <f>SUMIFS('Livro Diario - FC'!$K$11:$K1028,'Livro Diario - FC'!$E$11:$E1028,$C$337,'Livro Diario - FC'!$D$11:$D1028,"&gt;=01/03"&amp;$C$7,'Livro Diario - FC'!$D$11:$D1028,"&lt;=31/03"&amp;$C$7)</f>
        <v>0</v>
      </c>
      <c r="O337" s="256">
        <f>SUMIFS('Livro Diario - FC'!$M$11:$M1028,'Livro Diario - FC'!$E$11:$E1028,$C$337,'Livro Diario - FC'!$D$11:$D1028,"&gt;=01/03"&amp;$C$7,'Livro Diario - FC'!$D$11:$D1028,"&lt;=31/03"&amp;$C$7)</f>
        <v>0</v>
      </c>
      <c r="P337" s="273"/>
      <c r="Q337" s="258"/>
      <c r="R337" s="259"/>
      <c r="S337" s="255">
        <f>SUMIFS('Livro Diario - FC'!$K$11:$K1028,'Livro Diario - FC'!$E$11:$E1028,$C$337,'Livro Diario - FC'!$D$11:$D1028,"&gt;=01/04"&amp;$C$7,'Livro Diario - FC'!$D$11:$D1028,"&lt;=30/04"&amp;$C$7)</f>
        <v>0</v>
      </c>
      <c r="T337" s="256">
        <f>SUMIFS('Livro Diario - FC'!$M$11:$M1028,'Livro Diario - FC'!$E$11:$E1028,$C$337,'Livro Diario - FC'!$D$11:$D1028,"&gt;=01/04"&amp;$C$7,'Livro Diario - FC'!$D$11:$D1028,"&lt;=30/04"&amp;$C$7)</f>
        <v>0</v>
      </c>
      <c r="U337" s="273"/>
      <c r="V337" s="258"/>
      <c r="W337" s="259"/>
      <c r="X337" s="255">
        <f>SUMIFS('Livro Diario - FC'!$K$11:$K1028,'Livro Diario - FC'!$E$11:$E1028,$C$337,'Livro Diario - FC'!$D$11:$D1028,"&gt;=01/05"&amp;$C$7,'Livro Diario - FC'!$D$11:$D1028,"&lt;=31/05"&amp;$C$7)</f>
        <v>0</v>
      </c>
      <c r="Y337" s="256">
        <f>SUMIFS('Livro Diario - FC'!$M$11:$M1028,'Livro Diario - FC'!$E$11:$E1028,$C$337,'Livro Diario - FC'!$D$11:$D1028,"&gt;=01/05"&amp;$C$7,'Livro Diario - FC'!$D$11:$D1028,"&lt;=31/05"&amp;$C$7)</f>
        <v>0</v>
      </c>
      <c r="Z337" s="273"/>
      <c r="AA337" s="258"/>
      <c r="AB337" s="259"/>
      <c r="AC337" s="255">
        <f>SUMIFS('Livro Diario - FC'!$K$11:$K1028,'Livro Diario - FC'!$E$11:$E1028,$C$337,'Livro Diario - FC'!$D$11:$D1028,"&gt;=01/06"&amp;$C$7,'Livro Diario - FC'!$D$11:$D1028,"&lt;=30/06"&amp;$C$7)</f>
        <v>0</v>
      </c>
      <c r="AD337" s="256">
        <f>SUMIFS('Livro Diario - FC'!$M$11:$M1028,'Livro Diario - FC'!$E$11:$E1028,$C$337,'Livro Diario - FC'!$D$11:$D1028,"&gt;=01/06"&amp;$C$7,'Livro Diario - FC'!$D$11:$D1028,"&lt;=30/06"&amp;$C$7)</f>
        <v>0</v>
      </c>
      <c r="AE337" s="273"/>
      <c r="AF337" s="258"/>
      <c r="AG337" s="255">
        <f>SUMIFS('Livro Diario - FC'!$K$11:$K1028,'Livro Diario - FC'!$E$11:$E1028,$C$337,'Livro Diario - FC'!$D$11:$D1028,"&gt;=01/07"&amp;$C$7,'Livro Diario - FC'!$D$11:$D1028,"&lt;=31/07"&amp;$C$7)</f>
        <v>0</v>
      </c>
      <c r="AH337" s="256">
        <f>SUMIFS('Livro Diario - FC'!$M$11:$M1028,'Livro Diario - FC'!$E$11:$E1028,$C$337,'Livro Diario - FC'!$D$11:$D1028,"&gt;=01/07"&amp;$C$7,'Livro Diario - FC'!$D$11:$D1028,"&lt;=31/07"&amp;$C$7)</f>
        <v>0</v>
      </c>
      <c r="AI337" s="273"/>
      <c r="AJ337" s="258"/>
      <c r="AK337" s="255">
        <f>SUMIFS('Livro Diario - FC'!$K$11:$K1028,'Livro Diario - FC'!$E$11:$E1028,$C$337,'Livro Diario - FC'!$D$11:$D1028,"&gt;=01/08"&amp;$C$7,'Livro Diario - FC'!$D$11:$D1028,"&lt;=31/08"&amp;$C$7)</f>
        <v>0</v>
      </c>
      <c r="AL337" s="256">
        <f>SUMIFS('Livro Diario - FC'!$M$11:$M1028,'Livro Diario - FC'!$E$11:$E1028,$C$337,'Livro Diario - FC'!$D$11:$D1028,"&gt;=01/08"&amp;$C$7,'Livro Diario - FC'!$D$11:$D1028,"&lt;=31/08"&amp;$C$7)</f>
        <v>0</v>
      </c>
      <c r="AM337" s="273"/>
      <c r="AN337" s="258"/>
      <c r="AO337" s="255">
        <f>SUMIFS('Livro Diario - FC'!$K$11:$K1028,'Livro Diario - FC'!$E$11:$E1028,$C$337,'Livro Diario - FC'!$D$11:$D1028,"&gt;=01/09"&amp;$C$7,'Livro Diario - FC'!$D$11:$D1028,"&lt;=30/09"&amp;$C$7)</f>
        <v>0</v>
      </c>
      <c r="AP337" s="256">
        <f>SUMIFS('Livro Diario - FC'!$M$11:$M1028,'Livro Diario - FC'!$E$11:$E1028,$C$337,'Livro Diario - FC'!$D$11:$D1028,"&gt;=01/09"&amp;$C$7,'Livro Diario - FC'!$D$11:$D1028,"&lt;=30/09"&amp;$C$7)</f>
        <v>0</v>
      </c>
      <c r="AQ337" s="273"/>
      <c r="AR337" s="258"/>
      <c r="AS337" s="255">
        <f>SUMIFS('Livro Diario - FC'!$K$11:$K1028,'Livro Diario - FC'!$E$11:$E1028,$C$337,'Livro Diario - FC'!$D$11:$D1028,"&gt;=01/10"&amp;$C$7,'Livro Diario - FC'!$D$11:$D1028,"&lt;=31/10"&amp;$C$7)</f>
        <v>0</v>
      </c>
      <c r="AT337" s="256">
        <f>SUMIFS('Livro Diario - FC'!$M$11:$M1028,'Livro Diario - FC'!$E$11:$E1028,$C$337,'Livro Diario - FC'!$D$11:$D1028,"&gt;=01/10"&amp;$C$7,'Livro Diario - FC'!$D$11:$D1028,"&lt;=31/10"&amp;$C$7)</f>
        <v>0</v>
      </c>
      <c r="AU337" s="273"/>
      <c r="AV337" s="258"/>
      <c r="AW337" s="255">
        <f>SUMIFS('Livro Diario - FC'!$K$11:$K1028,'Livro Diario - FC'!$E$11:$E1028,$C$337,'Livro Diario - FC'!$D$11:$D1028,"&gt;=01/11"&amp;$C$7,'Livro Diario - FC'!$D$11:$D1028,"&lt;=30/11"&amp;$C$7)</f>
        <v>0</v>
      </c>
      <c r="AX337" s="256">
        <f>SUMIFS('Livro Diario - FC'!$M$11:$M1028,'Livro Diario - FC'!$E$11:$E1028,$C$337,'Livro Diario - FC'!$D$11:$D1028,"&gt;=01/11"&amp;$C$7,'Livro Diario - FC'!$D$11:$D1028,"&lt;=30/11"&amp;$C$7)</f>
        <v>0</v>
      </c>
      <c r="AY337" s="273"/>
      <c r="AZ337" s="258"/>
      <c r="BA337" s="255">
        <f>SUMIFS('Livro Diario - FC'!$K$11:$K1028,'Livro Diario - FC'!$E$11:$E1028,$C$337,'Livro Diario - FC'!$D$11:$D1028,"&gt;=01/12"&amp;$C$7,'Livro Diario - FC'!$D$11:$D1028,"&lt;=31/12"&amp;$C$7)</f>
        <v>0</v>
      </c>
      <c r="BB337" s="256">
        <f>SUMIFS('Livro Diario - FC'!$M$11:$M1028,'Livro Diario - FC'!$E$11:$E1028,$C$337,'Livro Diario - FC'!$D$11:$D1028,"&gt;=01/12"&amp;$C$7,'Livro Diario - FC'!$D$11:$D1028,"&lt;=31/12"&amp;$C$7)</f>
        <v>0</v>
      </c>
      <c r="BC337" s="273"/>
      <c r="BD337" s="273"/>
      <c r="BE337" s="305">
        <f t="shared" ref="BE337:BF337" si="633">SUM(D337,I337,N337,S337,X337,AC337,AG337,AK337,AO337,AS337,AW337,BA337)</f>
        <v>0</v>
      </c>
      <c r="BF337" s="268">
        <f t="shared" si="633"/>
        <v>0</v>
      </c>
      <c r="BG337" s="269"/>
      <c r="BH337" s="192"/>
      <c r="BI337" s="303">
        <f>SUMIFS('Livro Diario - FC'!$M$11:$M1028,'Livro Diario - FC'!$E$11:$E1028,C337,'Livro Diario - FC'!$D$11:$D1028,"&gt;="&amp;$BK$8,'Livro Diario - FC'!$D$11:$D1028,"&lt;="&amp;$BK$9)</f>
        <v>0</v>
      </c>
      <c r="BJ337" s="271"/>
      <c r="BK337" s="272"/>
      <c r="BL337" s="1"/>
    </row>
    <row r="338">
      <c r="A338" s="1"/>
      <c r="B338" s="1"/>
      <c r="C338" s="274" t="s">
        <v>553</v>
      </c>
      <c r="D338" s="275">
        <f t="shared" ref="D338:E338" si="634">D322+D324</f>
        <v>-7645.25</v>
      </c>
      <c r="E338" s="276">
        <f t="shared" si="634"/>
        <v>-3167.55</v>
      </c>
      <c r="F338" s="277">
        <f>IF(E$11=0,"",E338/E$11)</f>
        <v>-0.4085210932</v>
      </c>
      <c r="G338" s="278" t="str">
        <f>IF(A338=0,"",E338/A338-1)</f>
        <v/>
      </c>
      <c r="H338" s="279"/>
      <c r="I338" s="275">
        <f t="shared" ref="I338:J338" si="635">I322+I324</f>
        <v>0</v>
      </c>
      <c r="J338" s="276">
        <f t="shared" si="635"/>
        <v>0</v>
      </c>
      <c r="K338" s="277" t="str">
        <f>IF(J$11=0,"",J338/J$11)</f>
        <v/>
      </c>
      <c r="L338" s="278">
        <f>IF(E338=0,"",J338/E338-1)</f>
        <v>-1</v>
      </c>
      <c r="M338" s="280"/>
      <c r="N338" s="275">
        <f t="shared" ref="N338:O338" si="636">N322+N324</f>
        <v>0</v>
      </c>
      <c r="O338" s="276">
        <f t="shared" si="636"/>
        <v>0</v>
      </c>
      <c r="P338" s="277" t="str">
        <f>IF(O$11=0,"",O338/O$11)</f>
        <v/>
      </c>
      <c r="Q338" s="278" t="str">
        <f>IF(J338=0,"",O338/J338-1)</f>
        <v/>
      </c>
      <c r="R338" s="280"/>
      <c r="S338" s="275">
        <f t="shared" ref="S338:T338" si="637">S322+S324</f>
        <v>0</v>
      </c>
      <c r="T338" s="276">
        <f t="shared" si="637"/>
        <v>0</v>
      </c>
      <c r="U338" s="277" t="str">
        <f>IF(T$11=0,"",T338/T$11)</f>
        <v/>
      </c>
      <c r="V338" s="278" t="str">
        <f>IF(O338=0,"",T338/O338-1)</f>
        <v/>
      </c>
      <c r="W338" s="280"/>
      <c r="X338" s="275">
        <f t="shared" ref="X338:Y338" si="638">X322+X324</f>
        <v>0</v>
      </c>
      <c r="Y338" s="276">
        <f t="shared" si="638"/>
        <v>0</v>
      </c>
      <c r="Z338" s="277" t="str">
        <f>IF(Y$11=0,"",Y338/Y$11)</f>
        <v/>
      </c>
      <c r="AA338" s="278" t="str">
        <f>IF(T338=0,"",Y338/T338-1)</f>
        <v/>
      </c>
      <c r="AB338" s="280"/>
      <c r="AC338" s="275">
        <f t="shared" ref="AC338:AD338" si="639">AC322+AC324</f>
        <v>0</v>
      </c>
      <c r="AD338" s="276">
        <f t="shared" si="639"/>
        <v>0</v>
      </c>
      <c r="AE338" s="277" t="str">
        <f>IF(AD$11=0,"",AD338/AD$11)</f>
        <v/>
      </c>
      <c r="AF338" s="278" t="str">
        <f>IF(Y338=0,"",AD338/Y338-1)</f>
        <v/>
      </c>
      <c r="AG338" s="275">
        <f t="shared" ref="AG338:AH338" si="640">AG322+AG324</f>
        <v>0</v>
      </c>
      <c r="AH338" s="276">
        <f t="shared" si="640"/>
        <v>0</v>
      </c>
      <c r="AI338" s="277" t="str">
        <f>IF(AH$11=0,"",AH338/AH$11)</f>
        <v/>
      </c>
      <c r="AJ338" s="278" t="str">
        <f>IF(AD338=0,"",AH338/AD338-1)</f>
        <v/>
      </c>
      <c r="AK338" s="275">
        <f t="shared" ref="AK338:AL338" si="641">AK322+AK324</f>
        <v>0</v>
      </c>
      <c r="AL338" s="276">
        <f t="shared" si="641"/>
        <v>0</v>
      </c>
      <c r="AM338" s="277" t="str">
        <f>IF(AL$11=0,"",AL338/AL$11)</f>
        <v/>
      </c>
      <c r="AN338" s="278" t="str">
        <f>IF(AH338=0,"",AL338/AH338-1)</f>
        <v/>
      </c>
      <c r="AO338" s="275">
        <f t="shared" ref="AO338:AP338" si="642">AO322+AO324</f>
        <v>0</v>
      </c>
      <c r="AP338" s="276">
        <f t="shared" si="642"/>
        <v>0</v>
      </c>
      <c r="AQ338" s="277" t="str">
        <f>IF(AP$11=0,"",AP338/AP$11)</f>
        <v/>
      </c>
      <c r="AR338" s="278" t="str">
        <f>IF(AL338=0,"",AP338/AL338-1)</f>
        <v/>
      </c>
      <c r="AS338" s="275">
        <f t="shared" ref="AS338:AT338" si="643">AS322+AS324</f>
        <v>0</v>
      </c>
      <c r="AT338" s="276">
        <f t="shared" si="643"/>
        <v>0</v>
      </c>
      <c r="AU338" s="277" t="str">
        <f>IF(AT$11=0,"",AT338/AT$11)</f>
        <v/>
      </c>
      <c r="AV338" s="278" t="str">
        <f>IF(AP338=0,"",AT338/AP338-1)</f>
        <v/>
      </c>
      <c r="AW338" s="275">
        <f t="shared" ref="AW338:AX338" si="644">AW322+AW324</f>
        <v>0</v>
      </c>
      <c r="AX338" s="276">
        <f t="shared" si="644"/>
        <v>0</v>
      </c>
      <c r="AY338" s="277" t="str">
        <f>IF(AX$11=0,"",AX338/AX$11)</f>
        <v/>
      </c>
      <c r="AZ338" s="278" t="str">
        <f>IF(AT338=0,"",AX338/AT338-1)</f>
        <v/>
      </c>
      <c r="BA338" s="275">
        <f t="shared" ref="BA338:BB338" si="645">BA322+BA324</f>
        <v>0</v>
      </c>
      <c r="BB338" s="276">
        <f t="shared" si="645"/>
        <v>0</v>
      </c>
      <c r="BC338" s="277" t="str">
        <f>IF(BB$11=0,"",BB338/BB$11)</f>
        <v/>
      </c>
      <c r="BD338" s="348" t="str">
        <f>IF(AX338=0,"",BB338/AX338-1)</f>
        <v/>
      </c>
      <c r="BE338" s="235">
        <f t="shared" ref="BE338:BF338" si="646">SUM(D338,I338,N338,S338,X338,AC338,AG338,AK338,AO338,AS338,AW338,BA338)</f>
        <v>-7645.25</v>
      </c>
      <c r="BF338" s="236">
        <f t="shared" si="646"/>
        <v>-3167.55</v>
      </c>
      <c r="BG338" s="237">
        <f>IF(BF$11=0,"",BF338/BF$11)</f>
        <v>-0.4085210932</v>
      </c>
      <c r="BH338" s="222"/>
      <c r="BI338" s="283" t="str">
        <f>BI322+#REF!</f>
        <v>#REF!</v>
      </c>
      <c r="BJ338" s="284" t="str">
        <f>IF(BI$11=0,"",BI338/BI$11)</f>
        <v/>
      </c>
      <c r="BK338" s="349"/>
      <c r="BL338" s="209"/>
    </row>
    <row r="339">
      <c r="A339" s="209"/>
      <c r="B339" s="209"/>
      <c r="C339" s="7"/>
      <c r="D339" s="444"/>
      <c r="E339" s="445"/>
      <c r="F339" s="446"/>
      <c r="G339" s="447"/>
      <c r="H339" s="448"/>
      <c r="I339" s="444"/>
      <c r="J339" s="445"/>
      <c r="K339" s="446"/>
      <c r="L339" s="447"/>
      <c r="M339" s="448"/>
      <c r="N339" s="444"/>
      <c r="O339" s="445"/>
      <c r="P339" s="446"/>
      <c r="Q339" s="447"/>
      <c r="R339" s="448"/>
      <c r="S339" s="444"/>
      <c r="T339" s="445"/>
      <c r="U339" s="446"/>
      <c r="V339" s="447"/>
      <c r="W339" s="448"/>
      <c r="X339" s="444"/>
      <c r="Y339" s="445"/>
      <c r="Z339" s="446"/>
      <c r="AA339" s="447"/>
      <c r="AB339" s="448"/>
      <c r="AC339" s="444"/>
      <c r="AD339" s="445"/>
      <c r="AE339" s="446"/>
      <c r="AF339" s="447"/>
      <c r="AG339" s="444"/>
      <c r="AH339" s="445"/>
      <c r="AI339" s="446"/>
      <c r="AJ339" s="447"/>
      <c r="AK339" s="444"/>
      <c r="AL339" s="445"/>
      <c r="AM339" s="446"/>
      <c r="AN339" s="447"/>
      <c r="AO339" s="444"/>
      <c r="AP339" s="445"/>
      <c r="AQ339" s="446"/>
      <c r="AR339" s="447"/>
      <c r="AS339" s="444"/>
      <c r="AT339" s="445"/>
      <c r="AU339" s="446"/>
      <c r="AV339" s="447"/>
      <c r="AW339" s="444"/>
      <c r="AX339" s="445"/>
      <c r="AY339" s="446"/>
      <c r="AZ339" s="447"/>
      <c r="BA339" s="444"/>
      <c r="BB339" s="445"/>
      <c r="BC339" s="446"/>
      <c r="BD339" s="449"/>
      <c r="BE339" s="268">
        <f t="shared" ref="BE339:BF339" si="647">SUM(D339,I339,N339,S339,X339,AC339,AG339,AK339,AO339,AS339,AW339,BA339)</f>
        <v>0</v>
      </c>
      <c r="BF339" s="268">
        <f t="shared" si="647"/>
        <v>0</v>
      </c>
      <c r="BG339" s="269"/>
      <c r="BH339" s="192"/>
      <c r="BI339" s="450"/>
      <c r="BJ339" s="427"/>
      <c r="BK339" s="272"/>
      <c r="BL339" s="1"/>
    </row>
    <row r="340">
      <c r="A340" s="1"/>
      <c r="B340" s="1"/>
      <c r="C340" s="451" t="s">
        <v>501</v>
      </c>
      <c r="D340" s="452">
        <f>SUMIFS('Livro Diario - FC'!$J$11:$J1028,'Livro Diario - FC'!$E$11:$E1028,$C$340,'Livro Diario - FC'!$D$11:$D1028,"&gt;=01/01"&amp;$C$7,'Livro Diario - FC'!$D$11:$D1028,"&lt;=31/01"&amp;$C$7)-SUMIFS('Livro Diario - FC'!$K$11:$K1028,'Livro Diario - FC'!$E$11:$E1028,$C$340,'Livro Diario - FC'!$D$11:$D1028,"&gt;=01/01"&amp;$C$7,'Livro Diario - FC'!$D$11:$D1028,"&lt;=31/01"&amp;$C$7)</f>
        <v>0</v>
      </c>
      <c r="E340" s="453">
        <f>SUMIFS('Livro Diario - FC'!$L$11:$L1028,'Livro Diario - FC'!$E$11:$E1028,D340,'Livro Diario - FC'!$D$11:$D1028,"&gt;=01/01"&amp;$C$7,'Livro Diario - FC'!$D$11:$D1028,"&lt;=31/01"&amp;$C$7)-SUMIFS('Livro Diario - FC'!$M$11:$M1028,'Livro Diario - FC'!$E$11:$E1028,D340,'Livro Diario - FC'!$D$11:$D1028,"&gt;=01/01"&amp;$C$7,'Livro Diario - FC'!$D$11:$D1028,"&lt;=31/01"&amp;$C$7)</f>
        <v>0</v>
      </c>
      <c r="F340" s="454"/>
      <c r="G340" s="455"/>
      <c r="H340" s="409"/>
      <c r="I340" s="452">
        <f>SUMIFS('Livro Diario - FC'!$J$11:$J1028,'Livro Diario - FC'!$E$11:$E1028,$C$340,'Livro Diario - FC'!$D$11:$D1028,"&gt;=01/02"&amp;$C$7,'Livro Diario - FC'!$D$11:$D1028,"&lt;=29/02"&amp;$C$7)-SUMIFS('Livro Diario - FC'!$K$11:$K1028,'Livro Diario - FC'!$E$11:$E1028,$C$340,'Livro Diario - FC'!$D$11:$D1028,"&gt;=01/02"&amp;$C$7,'Livro Diario - FC'!$D$11:$D1028,"&lt;=29/02"&amp;$C$7)</f>
        <v>0</v>
      </c>
      <c r="J340" s="453">
        <f>SUMIFS('Livro Diario - FC'!$L$11:$L1028,'Livro Diario - FC'!$E$11:$E1028,I340,'Livro Diario - FC'!$D$11:$D1028,"&gt;=01/02"&amp;$C$7,'Livro Diario - FC'!$D$11:$D1028,"&lt;=29/02"&amp;$C$7)-SUMIFS('Livro Diario - FC'!$M$11:$M1028,'Livro Diario - FC'!$E$11:$E1028,I340,'Livro Diario - FC'!$D$11:$D1028,"&gt;=01/02"&amp;$C$7,'Livro Diario - FC'!$D$11:$D1028,"&lt;=29/02"&amp;$C$7)</f>
        <v>0</v>
      </c>
      <c r="K340" s="454"/>
      <c r="L340" s="455"/>
      <c r="M340" s="456"/>
      <c r="N340" s="452">
        <f>SUMIFS('Livro Diario - FC'!$J$11:$J1028,'Livro Diario - FC'!$E$11:$E1028,$C$340,'Livro Diario - FC'!$D$11:$D1028,"&gt;=01/03"&amp;$C$7,'Livro Diario - FC'!$D$11:$D1028,"&lt;=31/03"&amp;$C$7)-SUMIFS('Livro Diario - FC'!$K$11:$K1028,'Livro Diario - FC'!$E$11:$E1028,$C$340,'Livro Diario - FC'!$D$11:$D1028,"&gt;=01/03"&amp;$C$7,'Livro Diario - FC'!$D$11:$D1028,"&lt;=31/03"&amp;$C$7)</f>
        <v>0</v>
      </c>
      <c r="O340" s="453">
        <f>SUMIFS('Livro Diario - FC'!$L$11:$L1028,'Livro Diario - FC'!$E$11:$E1028,N340,'Livro Diario - FC'!$D$11:$D1028,"&gt;=01/03"&amp;$C$7,'Livro Diario - FC'!$D$11:$D1028,"&lt;=31/03"&amp;$C$7)-SUMIFS('Livro Diario - FC'!$M$11:$M1028,'Livro Diario - FC'!$E$11:$E1028,N340,'Livro Diario - FC'!$D$11:$D1028,"&gt;=01/03"&amp;$C$7,'Livro Diario - FC'!$D$11:$D1028,"&lt;=31/03"&amp;$C$7)</f>
        <v>0</v>
      </c>
      <c r="P340" s="454"/>
      <c r="Q340" s="455"/>
      <c r="R340" s="456"/>
      <c r="S340" s="452">
        <f>SUMIFS('Livro Diario - FC'!$J$11:$J1028,'Livro Diario - FC'!$E$11:$E1028,$C$340,'Livro Diario - FC'!$D$11:$D1028,"&gt;=01/04"&amp;$C$7,'Livro Diario - FC'!$D$11:$D1028,"&lt;=30/04"&amp;$C$7)-SUMIFS('Livro Diario - FC'!$K$11:$K1028,'Livro Diario - FC'!$E$11:$E1028,$C$340,'Livro Diario - FC'!$D$11:$D1028,"&gt;=01/04"&amp;$C$7,'Livro Diario - FC'!$D$11:$D1028,"&lt;=30/04"&amp;$C$7)</f>
        <v>0</v>
      </c>
      <c r="T340" s="453">
        <f>SUMIFS('Livro Diario - FC'!$L$11:$L1028,'Livro Diario - FC'!$E$11:$E1028,S340,'Livro Diario - FC'!$D$11:$D1028,"&gt;=01/04"&amp;$C$7,'Livro Diario - FC'!$D$11:$D1028,"&lt;=30/04"&amp;$C$7)-SUMIFS('Livro Diario - FC'!$M$11:$M1028,'Livro Diario - FC'!$E$11:$E1028,S340,'Livro Diario - FC'!$D$11:$D1028,"&gt;=01/04"&amp;$C$7,'Livro Diario - FC'!$D$11:$D1028,"&lt;=30/04"&amp;$C$7)</f>
        <v>0</v>
      </c>
      <c r="U340" s="454"/>
      <c r="V340" s="455"/>
      <c r="W340" s="456"/>
      <c r="X340" s="452">
        <f>SUMIFS('Livro Diario - FC'!$J$11:$J1028,'Livro Diario - FC'!$E$11:$E1028,$C$340,'Livro Diario - FC'!$D$11:$D1028,"&gt;=01/05"&amp;$C$7,'Livro Diario - FC'!$D$11:$D1028,"&lt;=31/05"&amp;$C$7)-SUMIFS('Livro Diario - FC'!$K$11:$K1028,'Livro Diario - FC'!$E$11:$E1028,$C$340,'Livro Diario - FC'!$D$11:$D1028,"&gt;=01/05"&amp;$C$7,'Livro Diario - FC'!$D$11:$D1028,"&lt;=31/05"&amp;$C$7)</f>
        <v>0</v>
      </c>
      <c r="Y340" s="453">
        <f>SUMIFS('Livro Diario - FC'!$L$11:$L1028,'Livro Diario - FC'!$E$11:$E1028,X340,'Livro Diario - FC'!$D$11:$D1028,"&gt;=01/05"&amp;$C$7,'Livro Diario - FC'!$D$11:$D1028,"&lt;=31/05"&amp;$C$7)-SUMIFS('Livro Diario - FC'!$M$11:$M1028,'Livro Diario - FC'!$E$11:$E1028,X340,'Livro Diario - FC'!$D$11:$D1028,"&gt;=01/05"&amp;$C$7,'Livro Diario - FC'!$D$11:$D1028,"&lt;=31/05"&amp;$C$7)</f>
        <v>0</v>
      </c>
      <c r="Z340" s="454"/>
      <c r="AA340" s="455"/>
      <c r="AB340" s="456"/>
      <c r="AC340" s="452">
        <f>SUMIFS('Livro Diario - FC'!$J$11:$J1028,'Livro Diario - FC'!$E$11:$E1028,$C$340,'Livro Diario - FC'!$D$11:$D1028,"&gt;=01/06"&amp;$C$7,'Livro Diario - FC'!$D$11:$D1028,"&lt;=30/06"&amp;$C$7)-SUMIFS('Livro Diario - FC'!$K$11:$K1028,'Livro Diario - FC'!$E$11:$E1028,$C$340,'Livro Diario - FC'!$D$11:$D1028,"&gt;=01/06"&amp;$C$7,'Livro Diario - FC'!$D$11:$D1028,"&lt;=30/06"&amp;$C$7)</f>
        <v>0</v>
      </c>
      <c r="AD340" s="453">
        <f>SUMIFS('Livro Diario - FC'!$L$11:$L1028,'Livro Diario - FC'!$E$11:$E1028,AC340,'Livro Diario - FC'!$D$11:$D1028,"&gt;=01/06"&amp;$C$7,'Livro Diario - FC'!$D$11:$D1028,"&lt;=30/06"&amp;$C$7)-SUMIFS('Livro Diario - FC'!$M$11:$M1028,'Livro Diario - FC'!$E$11:$E1028,AC340,'Livro Diario - FC'!$D$11:$D1028,"&gt;=01/06"&amp;$C$7,'Livro Diario - FC'!$D$11:$D1028,"&lt;=30/06"&amp;$C$7)</f>
        <v>0</v>
      </c>
      <c r="AE340" s="454"/>
      <c r="AF340" s="455"/>
      <c r="AG340" s="452">
        <f>SUMIFS('Livro Diario - FC'!$J$11:$J1028,'Livro Diario - FC'!$E$11:$E1028,$C$340,'Livro Diario - FC'!$D$11:$D1028,"&gt;=01/07"&amp;$C$7,'Livro Diario - FC'!$D$11:$D1028,"&lt;=31/07"&amp;$C$7)-SUMIFS('Livro Diario - FC'!$K$11:$K1028,'Livro Diario - FC'!$E$11:$E1028,$C$340,'Livro Diario - FC'!$D$11:$D1028,"&gt;=01/07"&amp;$C$7,'Livro Diario - FC'!$D$11:$D1028,"&lt;=31/07"&amp;$C$7)</f>
        <v>0</v>
      </c>
      <c r="AH340" s="453">
        <f>SUMIFS('Livro Diario - FC'!$L$11:$L1028,'Livro Diario - FC'!$E$11:$E1028,AG340,'Livro Diario - FC'!$D$11:$D1028,"&gt;=01/07"&amp;$C$7,'Livro Diario - FC'!$D$11:$D1028,"&lt;=31/07"&amp;$C$7)-SUMIFS('Livro Diario - FC'!$M$11:$M1028,'Livro Diario - FC'!$E$11:$E1028,AG340,'Livro Diario - FC'!$D$11:$D1028,"&gt;=01/07"&amp;$C$7,'Livro Diario - FC'!$D$11:$D1028,"&lt;=31/07"&amp;$C$7)</f>
        <v>0</v>
      </c>
      <c r="AI340" s="454"/>
      <c r="AJ340" s="455"/>
      <c r="AK340" s="452">
        <f>SUMIFS('Livro Diario - FC'!$J$11:$J1028,'Livro Diario - FC'!$E$11:$E1028,$C$340,'Livro Diario - FC'!$D$11:$D1028,"&gt;=01/08"&amp;$C$7,'Livro Diario - FC'!$D$11:$D1028,"&lt;=31/08"&amp;$C$7)-SUMIFS('Livro Diario - FC'!$K$11:$K1028,'Livro Diario - FC'!$E$11:$E1028,$C$340,'Livro Diario - FC'!$D$11:$D1028,"&gt;=01/08"&amp;$C$7,'Livro Diario - FC'!$D$11:$D1028,"&lt;=31/08"&amp;$C$7)</f>
        <v>0</v>
      </c>
      <c r="AL340" s="453">
        <f>SUMIFS('Livro Diario - FC'!$L$11:$L1028,'Livro Diario - FC'!$E$11:$E1028,AK340,'Livro Diario - FC'!$D$11:$D1028,"&gt;=01/08"&amp;$C$7,'Livro Diario - FC'!$D$11:$D1028,"&lt;=31/08"&amp;$C$7)-SUMIFS('Livro Diario - FC'!$M$11:$M1028,'Livro Diario - FC'!$E$11:$E1028,AK340,'Livro Diario - FC'!$D$11:$D1028,"&gt;=01/08"&amp;$C$7,'Livro Diario - FC'!$D$11:$D1028,"&lt;=31/08"&amp;$C$7)</f>
        <v>0</v>
      </c>
      <c r="AM340" s="454"/>
      <c r="AN340" s="455"/>
      <c r="AO340" s="452">
        <f>SUMIFS('Livro Diario - FC'!$J$11:$J1028,'Livro Diario - FC'!$E$11:$E1028,$C$340,'Livro Diario - FC'!$D$11:$D1028,"&gt;=01/09"&amp;$C$7,'Livro Diario - FC'!$D$11:$D1028,"&lt;=30/09"&amp;$C$7)-SUMIFS('Livro Diario - FC'!$K$11:$K1028,'Livro Diario - FC'!$E$11:$E1028,$C$340,'Livro Diario - FC'!$D$11:$D1028,"&gt;=01/09"&amp;$C$7,'Livro Diario - FC'!$D$11:$D1028,"&lt;=30/09"&amp;$C$7)</f>
        <v>0</v>
      </c>
      <c r="AP340" s="453">
        <f>SUMIFS('Livro Diario - FC'!$L$11:$L1028,'Livro Diario - FC'!$E$11:$E1028,AO340,'Livro Diario - FC'!$D$11:$D1028,"&gt;=01/09"&amp;$C$7,'Livro Diario - FC'!$D$11:$D1028,"&lt;=30/09"&amp;$C$7)-SUMIFS('Livro Diario - FC'!$M$11:$M1028,'Livro Diario - FC'!$E$11:$E1028,AO340,'Livro Diario - FC'!$D$11:$D1028,"&gt;=01/09"&amp;$C$7,'Livro Diario - FC'!$D$11:$D1028,"&lt;=30/09"&amp;$C$7)</f>
        <v>0</v>
      </c>
      <c r="AQ340" s="454"/>
      <c r="AR340" s="455"/>
      <c r="AS340" s="452">
        <f>SUMIFS('Livro Diario - FC'!$J$11:$J1028,'Livro Diario - FC'!$E$11:$E1028,$C$340,'Livro Diario - FC'!$D$11:$D1028,"&gt;=01/10"&amp;$C$7,'Livro Diario - FC'!$D$11:$D1028,"&lt;=31/10"&amp;$C$7)-SUMIFS('Livro Diario - FC'!$K$11:$K1028,'Livro Diario - FC'!$E$11:$E1028,$C$340,'Livro Diario - FC'!$D$11:$D1028,"&gt;=01/10"&amp;$C$7,'Livro Diario - FC'!$D$11:$D1028,"&lt;=31/10"&amp;$C$7)</f>
        <v>0</v>
      </c>
      <c r="AT340" s="453">
        <f>SUMIFS('Livro Diario - FC'!$L$11:$L1028,'Livro Diario - FC'!$E$11:$E1028,AS340,'Livro Diario - FC'!$D$11:$D1028,"&gt;=01/10"&amp;$C$7,'Livro Diario - FC'!$D$11:$D1028,"&lt;=31/10"&amp;$C$7)-SUMIFS('Livro Diario - FC'!$M$11:$M1028,'Livro Diario - FC'!$E$11:$E1028,AS340,'Livro Diario - FC'!$D$11:$D1028,"&gt;=01/10"&amp;$C$7,'Livro Diario - FC'!$D$11:$D1028,"&lt;=31/10"&amp;$C$7)</f>
        <v>0</v>
      </c>
      <c r="AU340" s="454"/>
      <c r="AV340" s="455"/>
      <c r="AW340" s="452">
        <f>SUMIFS('Livro Diario - FC'!$J$11:$J1028,'Livro Diario - FC'!$E$11:$E1028,$C$340,'Livro Diario - FC'!$D$11:$D1028,"&gt;=01/11"&amp;$C$7,'Livro Diario - FC'!$D$11:$D1028,"&lt;=30/11"&amp;$C$7)-SUMIFS('Livro Diario - FC'!$K$11:$K1028,'Livro Diario - FC'!$E$11:$E1028,$C$340,'Livro Diario - FC'!$D$11:$D1028,"&gt;=01/11"&amp;$C$7,'Livro Diario - FC'!$D$11:$D1028,"&lt;=30/11"&amp;$C$7)</f>
        <v>0</v>
      </c>
      <c r="AX340" s="453">
        <f>SUMIFS('Livro Diario - FC'!$L$11:$L1028,'Livro Diario - FC'!$E$11:$E1028,AW340,'Livro Diario - FC'!$D$11:$D1028,"&gt;=01/11"&amp;$C$7,'Livro Diario - FC'!$D$11:$D1028,"&lt;=30/11"&amp;$C$7)-SUMIFS('Livro Diario - FC'!$M$11:$M1028,'Livro Diario - FC'!$E$11:$E1028,AW340,'Livro Diario - FC'!$D$11:$D1028,"&gt;=01/11"&amp;$C$7,'Livro Diario - FC'!$D$11:$D1028,"&lt;=30/11"&amp;$C$7)</f>
        <v>0</v>
      </c>
      <c r="AY340" s="454"/>
      <c r="AZ340" s="455"/>
      <c r="BA340" s="452">
        <f>SUMIFS('Livro Diario - FC'!$J$11:$J1028,'Livro Diario - FC'!$E$11:$E1028,$C$340,'Livro Diario - FC'!$D$11:$D1028,"&gt;=01/12"&amp;$C$7,'Livro Diario - FC'!$D$11:$D1028,"&lt;=31/12"&amp;$C$7)-SUMIFS('Livro Diario - FC'!$K$11:$K1028,'Livro Diario - FC'!$E$11:$E1028,$C$340,'Livro Diario - FC'!$D$11:$D1028,"&gt;=01/12"&amp;$C$7,'Livro Diario - FC'!$D$11:$D1028,"&lt;=31/12"&amp;$C$7)</f>
        <v>0</v>
      </c>
      <c r="BB340" s="453">
        <f>SUMIFS('Livro Diario - FC'!$L$11:$L1028,'Livro Diario - FC'!$E$11:$E1028,BA340,'Livro Diario - FC'!$D$11:$D1028,"&gt;=01/12"&amp;$C$7,'Livro Diario - FC'!$D$11:$D1028,"&lt;=31/12"&amp;$C$7)-SUMIFS('Livro Diario - FC'!$M$11:$M1028,'Livro Diario - FC'!$E$11:$E1028,BA340,'Livro Diario - FC'!$D$11:$D1028,"&gt;=01/12"&amp;$C$7,'Livro Diario - FC'!$D$11:$D1028,"&lt;=31/12"&amp;$C$7)</f>
        <v>0</v>
      </c>
      <c r="BC340" s="454"/>
      <c r="BD340" s="454"/>
      <c r="BE340" s="457">
        <f t="shared" ref="BE340:BF340" si="648">SUM(D340,I340,N340,S340,X340,AC340,AG340,AK340,AO340,AS340,AW340,BA340)</f>
        <v>0</v>
      </c>
      <c r="BF340" s="457">
        <f t="shared" si="648"/>
        <v>0</v>
      </c>
      <c r="BG340" s="458"/>
      <c r="BH340" s="192"/>
      <c r="BI340" s="459" t="str">
        <f>SOMASES('Livro Diario - FC'!$L$11:$L;'Livro Diario - FC'!$E$11:$E;C312;'Livro Diario - FC'!$D$11:$D;"&gt;="&amp;$BF$8;'Livro Diario - FC'!$D$11:$D;"&lt;="&amp;$BF$9)-=SOMASES('Livro Diario - FC'!$M$11:$M;'Livro Diario - FC'!$E$11:$E;C312;'Livro Diario - FC'!$D$11:$D;"&gt;="&amp;$BF$8;'Livro Diario - FC'!$D$11:$D;"&lt;="&amp;$BF$9)</f>
        <v>#ERROR!</v>
      </c>
      <c r="BJ340" s="271"/>
      <c r="BK340" s="272"/>
      <c r="BL340" s="1"/>
    </row>
    <row r="341">
      <c r="A341" s="1"/>
      <c r="B341" s="1"/>
      <c r="C341" s="7"/>
      <c r="D341" s="444"/>
      <c r="E341" s="445"/>
      <c r="F341" s="446"/>
      <c r="G341" s="447"/>
      <c r="H341" s="448"/>
      <c r="I341" s="444"/>
      <c r="J341" s="445"/>
      <c r="K341" s="446"/>
      <c r="L341" s="447"/>
      <c r="M341" s="448"/>
      <c r="N341" s="444"/>
      <c r="O341" s="445"/>
      <c r="P341" s="446"/>
      <c r="Q341" s="447"/>
      <c r="R341" s="448"/>
      <c r="S341" s="444"/>
      <c r="T341" s="445"/>
      <c r="U341" s="446"/>
      <c r="V341" s="447"/>
      <c r="W341" s="448"/>
      <c r="X341" s="444"/>
      <c r="Y341" s="445"/>
      <c r="Z341" s="446"/>
      <c r="AA341" s="447"/>
      <c r="AB341" s="448"/>
      <c r="AC341" s="444"/>
      <c r="AD341" s="445"/>
      <c r="AE341" s="446"/>
      <c r="AF341" s="447"/>
      <c r="AG341" s="444"/>
      <c r="AH341" s="445"/>
      <c r="AI341" s="446"/>
      <c r="AJ341" s="447"/>
      <c r="AK341" s="444"/>
      <c r="AL341" s="445"/>
      <c r="AM341" s="446"/>
      <c r="AN341" s="447"/>
      <c r="AO341" s="444"/>
      <c r="AP341" s="445"/>
      <c r="AQ341" s="446"/>
      <c r="AR341" s="447"/>
      <c r="AS341" s="444"/>
      <c r="AT341" s="445"/>
      <c r="AU341" s="446"/>
      <c r="AV341" s="447"/>
      <c r="AW341" s="444"/>
      <c r="AX341" s="445"/>
      <c r="AY341" s="446"/>
      <c r="AZ341" s="447"/>
      <c r="BA341" s="444"/>
      <c r="BB341" s="445"/>
      <c r="BC341" s="446"/>
      <c r="BD341" s="449"/>
      <c r="BE341" s="460"/>
      <c r="BF341" s="460"/>
      <c r="BG341" s="461"/>
      <c r="BH341" s="192"/>
      <c r="BI341" s="462"/>
      <c r="BJ341" s="463"/>
      <c r="BK341" s="464"/>
      <c r="BL341" s="1"/>
    </row>
    <row r="342">
      <c r="A342" s="1"/>
      <c r="B342" s="1"/>
      <c r="C342" s="396" t="s">
        <v>554</v>
      </c>
      <c r="D342" s="275">
        <f t="shared" ref="D342:E342" si="649">SUM(D343:D350)</f>
        <v>6033.05</v>
      </c>
      <c r="E342" s="276">
        <f t="shared" si="649"/>
        <v>0</v>
      </c>
      <c r="F342" s="465"/>
      <c r="G342" s="466"/>
      <c r="H342" s="355"/>
      <c r="I342" s="275">
        <f t="shared" ref="I342:J342" si="650">SUM(I343:I350)</f>
        <v>6033.05</v>
      </c>
      <c r="J342" s="276">
        <f t="shared" si="650"/>
        <v>0</v>
      </c>
      <c r="K342" s="465"/>
      <c r="L342" s="466"/>
      <c r="M342" s="356"/>
      <c r="N342" s="275">
        <f t="shared" ref="N342:O342" si="651">SUM(N343:N350)</f>
        <v>6033.05</v>
      </c>
      <c r="O342" s="276">
        <f t="shared" si="651"/>
        <v>0</v>
      </c>
      <c r="P342" s="465"/>
      <c r="Q342" s="466"/>
      <c r="R342" s="356"/>
      <c r="S342" s="275">
        <f t="shared" ref="S342:T342" si="652">SUM(S343:S350)</f>
        <v>6033.05</v>
      </c>
      <c r="T342" s="276">
        <f t="shared" si="652"/>
        <v>0</v>
      </c>
      <c r="U342" s="465"/>
      <c r="V342" s="466"/>
      <c r="W342" s="356"/>
      <c r="X342" s="275">
        <f t="shared" ref="X342:Y342" si="653">SUM(X343:X350)</f>
        <v>6033.05</v>
      </c>
      <c r="Y342" s="276">
        <f t="shared" si="653"/>
        <v>0</v>
      </c>
      <c r="Z342" s="465"/>
      <c r="AA342" s="466"/>
      <c r="AB342" s="356"/>
      <c r="AC342" s="275">
        <f t="shared" ref="AC342:AD342" si="654">SUM(AC343:AC350)</f>
        <v>6033.05</v>
      </c>
      <c r="AD342" s="276">
        <f t="shared" si="654"/>
        <v>0</v>
      </c>
      <c r="AE342" s="465"/>
      <c r="AF342" s="466"/>
      <c r="AG342" s="275">
        <f t="shared" ref="AG342:AH342" si="655">SUM(AG343:AG350)</f>
        <v>6033.05</v>
      </c>
      <c r="AH342" s="276">
        <f t="shared" si="655"/>
        <v>0</v>
      </c>
      <c r="AI342" s="465"/>
      <c r="AJ342" s="466"/>
      <c r="AK342" s="275">
        <f t="shared" ref="AK342:AL342" si="656">SUM(AK343:AK350)</f>
        <v>6033.05</v>
      </c>
      <c r="AL342" s="276">
        <f t="shared" si="656"/>
        <v>0</v>
      </c>
      <c r="AM342" s="465"/>
      <c r="AN342" s="466"/>
      <c r="AO342" s="275">
        <f t="shared" ref="AO342:AP342" si="657">SUM(AO343:AO350)</f>
        <v>6033.05</v>
      </c>
      <c r="AP342" s="276">
        <f t="shared" si="657"/>
        <v>0</v>
      </c>
      <c r="AQ342" s="465"/>
      <c r="AR342" s="466"/>
      <c r="AS342" s="275">
        <f t="shared" ref="AS342:AT342" si="658">SUM(AS343:AS350)</f>
        <v>6033.05</v>
      </c>
      <c r="AT342" s="276">
        <f t="shared" si="658"/>
        <v>0</v>
      </c>
      <c r="AU342" s="465"/>
      <c r="AV342" s="466"/>
      <c r="AW342" s="275">
        <f t="shared" ref="AW342:AX342" si="659">SUM(AW343:AW350)</f>
        <v>6033.05</v>
      </c>
      <c r="AX342" s="276">
        <f t="shared" si="659"/>
        <v>0</v>
      </c>
      <c r="AY342" s="465"/>
      <c r="AZ342" s="466"/>
      <c r="BA342" s="275">
        <f t="shared" ref="BA342:BB342" si="660">SUM(BA343:BA350)</f>
        <v>6033.05</v>
      </c>
      <c r="BB342" s="276">
        <f t="shared" si="660"/>
        <v>0</v>
      </c>
      <c r="BC342" s="465"/>
      <c r="BD342" s="467"/>
      <c r="BE342" s="219"/>
      <c r="BF342" s="220"/>
      <c r="BG342" s="468"/>
      <c r="BH342" s="226"/>
      <c r="BI342" s="469"/>
      <c r="BJ342" s="470"/>
      <c r="BK342" s="471"/>
      <c r="BL342" s="209"/>
    </row>
    <row r="343">
      <c r="A343" s="209"/>
      <c r="B343" s="209"/>
      <c r="C343" s="472" t="s">
        <v>555</v>
      </c>
      <c r="D343" s="473"/>
      <c r="E343" s="474"/>
      <c r="F343" s="475"/>
      <c r="G343" s="476"/>
      <c r="H343" s="477"/>
      <c r="I343" s="473"/>
      <c r="J343" s="478">
        <f>E352</f>
        <v>0</v>
      </c>
      <c r="K343" s="475"/>
      <c r="L343" s="476"/>
      <c r="M343" s="479"/>
      <c r="N343" s="473"/>
      <c r="O343" s="478">
        <f>J352</f>
        <v>0</v>
      </c>
      <c r="P343" s="475"/>
      <c r="Q343" s="476"/>
      <c r="R343" s="479"/>
      <c r="S343" s="473"/>
      <c r="T343" s="478">
        <f>O352</f>
        <v>0</v>
      </c>
      <c r="U343" s="475"/>
      <c r="V343" s="476"/>
      <c r="W343" s="479"/>
      <c r="X343" s="473"/>
      <c r="Y343" s="478">
        <f>T352</f>
        <v>0</v>
      </c>
      <c r="Z343" s="475"/>
      <c r="AA343" s="476"/>
      <c r="AB343" s="479"/>
      <c r="AC343" s="473"/>
      <c r="AD343" s="478">
        <f>Y352</f>
        <v>0</v>
      </c>
      <c r="AE343" s="475"/>
      <c r="AF343" s="476"/>
      <c r="AG343" s="473"/>
      <c r="AH343" s="478">
        <f>AD352</f>
        <v>0</v>
      </c>
      <c r="AI343" s="475"/>
      <c r="AJ343" s="476"/>
      <c r="AK343" s="473"/>
      <c r="AL343" s="478">
        <f>AH352</f>
        <v>0</v>
      </c>
      <c r="AM343" s="475"/>
      <c r="AN343" s="476"/>
      <c r="AO343" s="473"/>
      <c r="AP343" s="478">
        <f>AL352</f>
        <v>0</v>
      </c>
      <c r="AQ343" s="475"/>
      <c r="AR343" s="476"/>
      <c r="AS343" s="473"/>
      <c r="AT343" s="478">
        <f>AP352</f>
        <v>0</v>
      </c>
      <c r="AU343" s="475"/>
      <c r="AV343" s="476"/>
      <c r="AW343" s="473"/>
      <c r="AX343" s="478">
        <f>AT352</f>
        <v>0</v>
      </c>
      <c r="AY343" s="475"/>
      <c r="AZ343" s="476"/>
      <c r="BA343" s="473"/>
      <c r="BB343" s="478">
        <f>AX352</f>
        <v>0</v>
      </c>
      <c r="BC343" s="475"/>
      <c r="BD343" s="480"/>
      <c r="BE343" s="478"/>
      <c r="BF343" s="478"/>
      <c r="BG343" s="461"/>
      <c r="BH343" s="226"/>
      <c r="BI343" s="150"/>
      <c r="BJ343" s="151"/>
      <c r="BK343" s="209"/>
      <c r="BL343" s="209"/>
    </row>
    <row r="344">
      <c r="A344" s="209"/>
      <c r="B344" s="209"/>
      <c r="C344" s="472" t="s">
        <v>29</v>
      </c>
      <c r="D344" s="481">
        <v>1329.62</v>
      </c>
      <c r="E344" s="482"/>
      <c r="F344" s="483"/>
      <c r="G344" s="484"/>
      <c r="H344" s="414"/>
      <c r="I344" s="481">
        <f t="shared" ref="I344:J344" si="661">D353</f>
        <v>1329.62</v>
      </c>
      <c r="J344" s="485" t="str">
        <f t="shared" si="661"/>
        <v/>
      </c>
      <c r="K344" s="483"/>
      <c r="L344" s="484"/>
      <c r="M344" s="486"/>
      <c r="N344" s="481">
        <f t="shared" ref="N344:O344" si="662">I353</f>
        <v>1329.62</v>
      </c>
      <c r="O344" s="485" t="str">
        <f t="shared" si="662"/>
        <v/>
      </c>
      <c r="P344" s="483"/>
      <c r="Q344" s="484"/>
      <c r="R344" s="486"/>
      <c r="S344" s="481">
        <f t="shared" ref="S344:T344" si="663">N353</f>
        <v>1329.62</v>
      </c>
      <c r="T344" s="485" t="str">
        <f t="shared" si="663"/>
        <v/>
      </c>
      <c r="U344" s="483"/>
      <c r="V344" s="484"/>
      <c r="W344" s="486"/>
      <c r="X344" s="481">
        <f t="shared" ref="X344:Y344" si="664">S353</f>
        <v>1329.62</v>
      </c>
      <c r="Y344" s="485" t="str">
        <f t="shared" si="664"/>
        <v/>
      </c>
      <c r="Z344" s="483"/>
      <c r="AA344" s="484"/>
      <c r="AB344" s="486"/>
      <c r="AC344" s="481">
        <f t="shared" ref="AC344:AD344" si="665">X353</f>
        <v>1329.62</v>
      </c>
      <c r="AD344" s="485" t="str">
        <f t="shared" si="665"/>
        <v/>
      </c>
      <c r="AE344" s="483"/>
      <c r="AF344" s="484"/>
      <c r="AG344" s="481">
        <f t="shared" ref="AG344:AH344" si="666">AC353</f>
        <v>1329.62</v>
      </c>
      <c r="AH344" s="485" t="str">
        <f t="shared" si="666"/>
        <v/>
      </c>
      <c r="AI344" s="483"/>
      <c r="AJ344" s="484"/>
      <c r="AK344" s="481">
        <f t="shared" ref="AK344:AL344" si="667">AG353</f>
        <v>1329.62</v>
      </c>
      <c r="AL344" s="485" t="str">
        <f t="shared" si="667"/>
        <v/>
      </c>
      <c r="AM344" s="483"/>
      <c r="AN344" s="484"/>
      <c r="AO344" s="481">
        <f t="shared" ref="AO344:AP344" si="668">AK353</f>
        <v>1329.62</v>
      </c>
      <c r="AP344" s="485" t="str">
        <f t="shared" si="668"/>
        <v/>
      </c>
      <c r="AQ344" s="483"/>
      <c r="AR344" s="484"/>
      <c r="AS344" s="481">
        <f t="shared" ref="AS344:AT344" si="669">AO353</f>
        <v>1329.62</v>
      </c>
      <c r="AT344" s="485" t="str">
        <f t="shared" si="669"/>
        <v/>
      </c>
      <c r="AU344" s="483"/>
      <c r="AV344" s="484"/>
      <c r="AW344" s="481">
        <f t="shared" ref="AW344:AX344" si="670">AS353</f>
        <v>1329.62</v>
      </c>
      <c r="AX344" s="485" t="str">
        <f t="shared" si="670"/>
        <v/>
      </c>
      <c r="AY344" s="483"/>
      <c r="AZ344" s="484"/>
      <c r="BA344" s="481">
        <f t="shared" ref="BA344:BB344" si="671">AW353</f>
        <v>1329.62</v>
      </c>
      <c r="BB344" s="485" t="str">
        <f t="shared" si="671"/>
        <v/>
      </c>
      <c r="BC344" s="483"/>
      <c r="BD344" s="487"/>
      <c r="BE344" s="485"/>
      <c r="BF344" s="485"/>
      <c r="BG344" s="461"/>
      <c r="BH344" s="226"/>
      <c r="BI344" s="150"/>
      <c r="BJ344" s="151"/>
      <c r="BK344" s="209"/>
      <c r="BL344" s="209"/>
    </row>
    <row r="345">
      <c r="A345" s="209"/>
      <c r="B345" s="209"/>
      <c r="C345" s="472" t="s">
        <v>34</v>
      </c>
      <c r="D345" s="481">
        <v>475.65</v>
      </c>
      <c r="E345" s="482"/>
      <c r="F345" s="483"/>
      <c r="G345" s="484"/>
      <c r="H345" s="414"/>
      <c r="I345" s="481">
        <f t="shared" ref="I345:J345" si="672">D354</f>
        <v>475.65</v>
      </c>
      <c r="J345" s="485" t="str">
        <f t="shared" si="672"/>
        <v/>
      </c>
      <c r="K345" s="483"/>
      <c r="L345" s="484"/>
      <c r="M345" s="486"/>
      <c r="N345" s="481">
        <f t="shared" ref="N345:O345" si="673">I354</f>
        <v>475.65</v>
      </c>
      <c r="O345" s="485" t="str">
        <f t="shared" si="673"/>
        <v/>
      </c>
      <c r="P345" s="483"/>
      <c r="Q345" s="484"/>
      <c r="R345" s="486"/>
      <c r="S345" s="481">
        <f t="shared" ref="S345:T345" si="674">N354</f>
        <v>475.65</v>
      </c>
      <c r="T345" s="485" t="str">
        <f t="shared" si="674"/>
        <v/>
      </c>
      <c r="U345" s="483"/>
      <c r="V345" s="484"/>
      <c r="W345" s="486"/>
      <c r="X345" s="481">
        <f t="shared" ref="X345:Y345" si="675">S354</f>
        <v>475.65</v>
      </c>
      <c r="Y345" s="485" t="str">
        <f t="shared" si="675"/>
        <v/>
      </c>
      <c r="Z345" s="483"/>
      <c r="AA345" s="484"/>
      <c r="AB345" s="486"/>
      <c r="AC345" s="481">
        <f t="shared" ref="AC345:AD345" si="676">X354</f>
        <v>475.65</v>
      </c>
      <c r="AD345" s="485" t="str">
        <f t="shared" si="676"/>
        <v/>
      </c>
      <c r="AE345" s="483"/>
      <c r="AF345" s="484"/>
      <c r="AG345" s="481">
        <f t="shared" ref="AG345:AH345" si="677">AC354</f>
        <v>475.65</v>
      </c>
      <c r="AH345" s="485" t="str">
        <f t="shared" si="677"/>
        <v/>
      </c>
      <c r="AI345" s="483"/>
      <c r="AJ345" s="484"/>
      <c r="AK345" s="481">
        <f t="shared" ref="AK345:AL345" si="678">AG354</f>
        <v>475.65</v>
      </c>
      <c r="AL345" s="485" t="str">
        <f t="shared" si="678"/>
        <v/>
      </c>
      <c r="AM345" s="483"/>
      <c r="AN345" s="484"/>
      <c r="AO345" s="481">
        <f t="shared" ref="AO345:AP345" si="679">AK354</f>
        <v>475.65</v>
      </c>
      <c r="AP345" s="485" t="str">
        <f t="shared" si="679"/>
        <v/>
      </c>
      <c r="AQ345" s="483"/>
      <c r="AR345" s="484"/>
      <c r="AS345" s="481">
        <f t="shared" ref="AS345:AT345" si="680">AO354</f>
        <v>475.65</v>
      </c>
      <c r="AT345" s="485" t="str">
        <f t="shared" si="680"/>
        <v/>
      </c>
      <c r="AU345" s="483"/>
      <c r="AV345" s="484"/>
      <c r="AW345" s="481">
        <f t="shared" ref="AW345:AX345" si="681">AS354</f>
        <v>475.65</v>
      </c>
      <c r="AX345" s="485" t="str">
        <f t="shared" si="681"/>
        <v/>
      </c>
      <c r="AY345" s="483"/>
      <c r="AZ345" s="484"/>
      <c r="BA345" s="481">
        <f t="shared" ref="BA345:BB345" si="682">AW354</f>
        <v>475.65</v>
      </c>
      <c r="BB345" s="485" t="str">
        <f t="shared" si="682"/>
        <v/>
      </c>
      <c r="BC345" s="483"/>
      <c r="BD345" s="487"/>
      <c r="BE345" s="485"/>
      <c r="BF345" s="485"/>
      <c r="BG345" s="461"/>
      <c r="BH345" s="226"/>
      <c r="BI345" s="150"/>
      <c r="BJ345" s="151"/>
      <c r="BK345" s="209"/>
      <c r="BL345" s="209"/>
    </row>
    <row r="346">
      <c r="A346" s="209"/>
      <c r="B346" s="209"/>
      <c r="C346" s="472" t="s">
        <v>39</v>
      </c>
      <c r="D346" s="481">
        <v>3200.0</v>
      </c>
      <c r="E346" s="482"/>
      <c r="F346" s="483"/>
      <c r="G346" s="484"/>
      <c r="H346" s="414"/>
      <c r="I346" s="481">
        <f t="shared" ref="I346:J346" si="683">D355</f>
        <v>3200</v>
      </c>
      <c r="J346" s="485" t="str">
        <f t="shared" si="683"/>
        <v/>
      </c>
      <c r="K346" s="483"/>
      <c r="L346" s="484"/>
      <c r="M346" s="486"/>
      <c r="N346" s="481">
        <f t="shared" ref="N346:O346" si="684">I355</f>
        <v>3200</v>
      </c>
      <c r="O346" s="485" t="str">
        <f t="shared" si="684"/>
        <v/>
      </c>
      <c r="P346" s="483"/>
      <c r="Q346" s="484"/>
      <c r="R346" s="486"/>
      <c r="S346" s="481">
        <f t="shared" ref="S346:T346" si="685">N355</f>
        <v>3200</v>
      </c>
      <c r="T346" s="485" t="str">
        <f t="shared" si="685"/>
        <v/>
      </c>
      <c r="U346" s="483"/>
      <c r="V346" s="484"/>
      <c r="W346" s="486"/>
      <c r="X346" s="481">
        <f t="shared" ref="X346:Y346" si="686">S355</f>
        <v>3200</v>
      </c>
      <c r="Y346" s="485" t="str">
        <f t="shared" si="686"/>
        <v/>
      </c>
      <c r="Z346" s="483"/>
      <c r="AA346" s="484"/>
      <c r="AB346" s="486"/>
      <c r="AC346" s="481">
        <f t="shared" ref="AC346:AD346" si="687">X355</f>
        <v>3200</v>
      </c>
      <c r="AD346" s="485" t="str">
        <f t="shared" si="687"/>
        <v/>
      </c>
      <c r="AE346" s="483"/>
      <c r="AF346" s="484"/>
      <c r="AG346" s="481">
        <f t="shared" ref="AG346:AH346" si="688">AC355</f>
        <v>3200</v>
      </c>
      <c r="AH346" s="485" t="str">
        <f t="shared" si="688"/>
        <v/>
      </c>
      <c r="AI346" s="483"/>
      <c r="AJ346" s="484"/>
      <c r="AK346" s="481">
        <f t="shared" ref="AK346:AL346" si="689">AG355</f>
        <v>3200</v>
      </c>
      <c r="AL346" s="485" t="str">
        <f t="shared" si="689"/>
        <v/>
      </c>
      <c r="AM346" s="483"/>
      <c r="AN346" s="484"/>
      <c r="AO346" s="481">
        <f t="shared" ref="AO346:AP346" si="690">AK355</f>
        <v>3200</v>
      </c>
      <c r="AP346" s="485" t="str">
        <f t="shared" si="690"/>
        <v/>
      </c>
      <c r="AQ346" s="483"/>
      <c r="AR346" s="484"/>
      <c r="AS346" s="481">
        <f t="shared" ref="AS346:AT346" si="691">AO355</f>
        <v>3200</v>
      </c>
      <c r="AT346" s="485" t="str">
        <f t="shared" si="691"/>
        <v/>
      </c>
      <c r="AU346" s="483"/>
      <c r="AV346" s="484"/>
      <c r="AW346" s="481">
        <f t="shared" ref="AW346:AX346" si="692">AS355</f>
        <v>3200</v>
      </c>
      <c r="AX346" s="485" t="str">
        <f t="shared" si="692"/>
        <v/>
      </c>
      <c r="AY346" s="483"/>
      <c r="AZ346" s="484"/>
      <c r="BA346" s="481">
        <f t="shared" ref="BA346:BB346" si="693">AW355</f>
        <v>3200</v>
      </c>
      <c r="BB346" s="485" t="str">
        <f t="shared" si="693"/>
        <v/>
      </c>
      <c r="BC346" s="483"/>
      <c r="BD346" s="487"/>
      <c r="BE346" s="485"/>
      <c r="BF346" s="485"/>
      <c r="BG346" s="461"/>
      <c r="BH346" s="226"/>
      <c r="BI346" s="150"/>
      <c r="BJ346" s="151"/>
      <c r="BK346" s="209"/>
      <c r="BL346" s="209"/>
    </row>
    <row r="347">
      <c r="A347" s="209"/>
      <c r="B347" s="209"/>
      <c r="C347" s="472" t="s">
        <v>556</v>
      </c>
      <c r="D347" s="488"/>
      <c r="E347" s="482"/>
      <c r="F347" s="483"/>
      <c r="G347" s="484"/>
      <c r="H347" s="414"/>
      <c r="I347" s="488"/>
      <c r="J347" s="485">
        <f t="shared" ref="J347:J349" si="694">E356</f>
        <v>0</v>
      </c>
      <c r="K347" s="483"/>
      <c r="L347" s="484"/>
      <c r="M347" s="486"/>
      <c r="N347" s="488"/>
      <c r="O347" s="485">
        <f t="shared" ref="O347:O349" si="695">J356</f>
        <v>0</v>
      </c>
      <c r="P347" s="483"/>
      <c r="Q347" s="484"/>
      <c r="R347" s="486"/>
      <c r="S347" s="488"/>
      <c r="T347" s="485">
        <f t="shared" ref="T347:T349" si="696">O356</f>
        <v>0</v>
      </c>
      <c r="U347" s="483"/>
      <c r="V347" s="484"/>
      <c r="W347" s="486"/>
      <c r="X347" s="488"/>
      <c r="Y347" s="485">
        <f t="shared" ref="Y347:Y349" si="697">T356</f>
        <v>0</v>
      </c>
      <c r="Z347" s="483"/>
      <c r="AA347" s="484"/>
      <c r="AB347" s="486"/>
      <c r="AC347" s="488"/>
      <c r="AD347" s="485">
        <f t="shared" ref="AD347:AD349" si="698">Y356</f>
        <v>0</v>
      </c>
      <c r="AE347" s="483"/>
      <c r="AF347" s="484"/>
      <c r="AG347" s="488"/>
      <c r="AH347" s="485">
        <f t="shared" ref="AH347:AH349" si="699">AD356</f>
        <v>0</v>
      </c>
      <c r="AI347" s="483"/>
      <c r="AJ347" s="484"/>
      <c r="AK347" s="488"/>
      <c r="AL347" s="485">
        <f t="shared" ref="AL347:AL349" si="700">AH356</f>
        <v>0</v>
      </c>
      <c r="AM347" s="483"/>
      <c r="AN347" s="484"/>
      <c r="AO347" s="488"/>
      <c r="AP347" s="485">
        <f t="shared" ref="AP347:AP349" si="701">AL356</f>
        <v>0</v>
      </c>
      <c r="AQ347" s="483"/>
      <c r="AR347" s="484"/>
      <c r="AS347" s="488"/>
      <c r="AT347" s="485">
        <f t="shared" ref="AT347:AT349" si="702">AP356</f>
        <v>0</v>
      </c>
      <c r="AU347" s="483"/>
      <c r="AV347" s="484"/>
      <c r="AW347" s="488"/>
      <c r="AX347" s="485">
        <f t="shared" ref="AX347:AX349" si="703">AT356</f>
        <v>0</v>
      </c>
      <c r="AY347" s="483"/>
      <c r="AZ347" s="484"/>
      <c r="BA347" s="488"/>
      <c r="BB347" s="485">
        <f t="shared" ref="BB347:BB349" si="704">AX356</f>
        <v>0</v>
      </c>
      <c r="BC347" s="483"/>
      <c r="BD347" s="487"/>
      <c r="BE347" s="485"/>
      <c r="BF347" s="485"/>
      <c r="BG347" s="461"/>
      <c r="BH347" s="226"/>
      <c r="BI347" s="150"/>
      <c r="BJ347" s="151"/>
      <c r="BK347" s="209"/>
      <c r="BL347" s="209"/>
    </row>
    <row r="348">
      <c r="A348" s="209"/>
      <c r="B348" s="209"/>
      <c r="C348" s="472" t="s">
        <v>557</v>
      </c>
      <c r="D348" s="488"/>
      <c r="E348" s="482"/>
      <c r="F348" s="483"/>
      <c r="G348" s="484"/>
      <c r="H348" s="414"/>
      <c r="I348" s="488"/>
      <c r="J348" s="485">
        <f t="shared" si="694"/>
        <v>0</v>
      </c>
      <c r="K348" s="483"/>
      <c r="L348" s="484"/>
      <c r="M348" s="486"/>
      <c r="N348" s="488"/>
      <c r="O348" s="485">
        <f t="shared" si="695"/>
        <v>0</v>
      </c>
      <c r="P348" s="483"/>
      <c r="Q348" s="484"/>
      <c r="R348" s="486"/>
      <c r="S348" s="488"/>
      <c r="T348" s="485">
        <f t="shared" si="696"/>
        <v>0</v>
      </c>
      <c r="U348" s="483"/>
      <c r="V348" s="484"/>
      <c r="W348" s="486"/>
      <c r="X348" s="488"/>
      <c r="Y348" s="485">
        <f t="shared" si="697"/>
        <v>0</v>
      </c>
      <c r="Z348" s="483"/>
      <c r="AA348" s="484"/>
      <c r="AB348" s="486"/>
      <c r="AC348" s="488"/>
      <c r="AD348" s="485">
        <f t="shared" si="698"/>
        <v>0</v>
      </c>
      <c r="AE348" s="483"/>
      <c r="AF348" s="484"/>
      <c r="AG348" s="488"/>
      <c r="AH348" s="485">
        <f t="shared" si="699"/>
        <v>0</v>
      </c>
      <c r="AI348" s="483"/>
      <c r="AJ348" s="484"/>
      <c r="AK348" s="488"/>
      <c r="AL348" s="485">
        <f t="shared" si="700"/>
        <v>0</v>
      </c>
      <c r="AM348" s="483"/>
      <c r="AN348" s="484"/>
      <c r="AO348" s="488"/>
      <c r="AP348" s="485">
        <f t="shared" si="701"/>
        <v>0</v>
      </c>
      <c r="AQ348" s="483"/>
      <c r="AR348" s="484"/>
      <c r="AS348" s="488"/>
      <c r="AT348" s="485">
        <f t="shared" si="702"/>
        <v>0</v>
      </c>
      <c r="AU348" s="483"/>
      <c r="AV348" s="484"/>
      <c r="AW348" s="488"/>
      <c r="AX348" s="485">
        <f t="shared" si="703"/>
        <v>0</v>
      </c>
      <c r="AY348" s="483"/>
      <c r="AZ348" s="484"/>
      <c r="BA348" s="488"/>
      <c r="BB348" s="485">
        <f t="shared" si="704"/>
        <v>0</v>
      </c>
      <c r="BC348" s="483"/>
      <c r="BD348" s="487"/>
      <c r="BE348" s="485"/>
      <c r="BF348" s="485"/>
      <c r="BG348" s="461"/>
      <c r="BH348" s="226"/>
      <c r="BI348" s="150"/>
      <c r="BJ348" s="151"/>
      <c r="BK348" s="209"/>
      <c r="BL348" s="209"/>
    </row>
    <row r="349">
      <c r="A349" s="209"/>
      <c r="B349" s="209"/>
      <c r="C349" s="472" t="s">
        <v>558</v>
      </c>
      <c r="D349" s="488"/>
      <c r="E349" s="482"/>
      <c r="F349" s="483"/>
      <c r="G349" s="484"/>
      <c r="H349" s="414"/>
      <c r="I349" s="488"/>
      <c r="J349" s="485">
        <f t="shared" si="694"/>
        <v>0</v>
      </c>
      <c r="K349" s="483"/>
      <c r="L349" s="484"/>
      <c r="M349" s="486"/>
      <c r="N349" s="488"/>
      <c r="O349" s="485">
        <f t="shared" si="695"/>
        <v>0</v>
      </c>
      <c r="P349" s="483"/>
      <c r="Q349" s="484"/>
      <c r="R349" s="486"/>
      <c r="S349" s="488"/>
      <c r="T349" s="485">
        <f t="shared" si="696"/>
        <v>0</v>
      </c>
      <c r="U349" s="483"/>
      <c r="V349" s="484"/>
      <c r="W349" s="486"/>
      <c r="X349" s="488"/>
      <c r="Y349" s="485">
        <f t="shared" si="697"/>
        <v>0</v>
      </c>
      <c r="Z349" s="483"/>
      <c r="AA349" s="484"/>
      <c r="AB349" s="486"/>
      <c r="AC349" s="488"/>
      <c r="AD349" s="485">
        <f t="shared" si="698"/>
        <v>0</v>
      </c>
      <c r="AE349" s="483"/>
      <c r="AF349" s="484"/>
      <c r="AG349" s="488"/>
      <c r="AH349" s="485">
        <f t="shared" si="699"/>
        <v>0</v>
      </c>
      <c r="AI349" s="483"/>
      <c r="AJ349" s="484"/>
      <c r="AK349" s="488"/>
      <c r="AL349" s="485">
        <f t="shared" si="700"/>
        <v>0</v>
      </c>
      <c r="AM349" s="483"/>
      <c r="AN349" s="484"/>
      <c r="AO349" s="488"/>
      <c r="AP349" s="485">
        <f t="shared" si="701"/>
        <v>0</v>
      </c>
      <c r="AQ349" s="483"/>
      <c r="AR349" s="484"/>
      <c r="AS349" s="488"/>
      <c r="AT349" s="485">
        <f t="shared" si="702"/>
        <v>0</v>
      </c>
      <c r="AU349" s="483"/>
      <c r="AV349" s="484"/>
      <c r="AW349" s="488"/>
      <c r="AX349" s="485">
        <f t="shared" si="703"/>
        <v>0</v>
      </c>
      <c r="AY349" s="483"/>
      <c r="AZ349" s="484"/>
      <c r="BA349" s="488"/>
      <c r="BB349" s="485">
        <f t="shared" si="704"/>
        <v>0</v>
      </c>
      <c r="BC349" s="483"/>
      <c r="BD349" s="487"/>
      <c r="BE349" s="485"/>
      <c r="BF349" s="485"/>
      <c r="BG349" s="461"/>
      <c r="BH349" s="226"/>
      <c r="BI349" s="150"/>
      <c r="BJ349" s="151"/>
      <c r="BK349" s="209"/>
      <c r="BL349" s="209"/>
    </row>
    <row r="350">
      <c r="A350" s="209"/>
      <c r="B350" s="209"/>
      <c r="C350" s="472" t="s">
        <v>559</v>
      </c>
      <c r="D350" s="489">
        <v>1027.78</v>
      </c>
      <c r="E350" s="490"/>
      <c r="F350" s="491"/>
      <c r="G350" s="492"/>
      <c r="H350" s="493"/>
      <c r="I350" s="489">
        <f t="shared" ref="I350:J350" si="705">D359</f>
        <v>1027.78</v>
      </c>
      <c r="J350" s="494" t="str">
        <f t="shared" si="705"/>
        <v/>
      </c>
      <c r="K350" s="491"/>
      <c r="L350" s="492"/>
      <c r="M350" s="495"/>
      <c r="N350" s="489">
        <f t="shared" ref="N350:O350" si="706">I359</f>
        <v>1027.78</v>
      </c>
      <c r="O350" s="494" t="str">
        <f t="shared" si="706"/>
        <v/>
      </c>
      <c r="P350" s="491"/>
      <c r="Q350" s="492"/>
      <c r="R350" s="495"/>
      <c r="S350" s="489">
        <f t="shared" ref="S350:T350" si="707">N359</f>
        <v>1027.78</v>
      </c>
      <c r="T350" s="494" t="str">
        <f t="shared" si="707"/>
        <v/>
      </c>
      <c r="U350" s="491"/>
      <c r="V350" s="492"/>
      <c r="W350" s="495"/>
      <c r="X350" s="489">
        <f t="shared" ref="X350:Y350" si="708">S359</f>
        <v>1027.78</v>
      </c>
      <c r="Y350" s="494" t="str">
        <f t="shared" si="708"/>
        <v/>
      </c>
      <c r="Z350" s="491"/>
      <c r="AA350" s="492"/>
      <c r="AB350" s="495"/>
      <c r="AC350" s="489">
        <f t="shared" ref="AC350:AD350" si="709">X359</f>
        <v>1027.78</v>
      </c>
      <c r="AD350" s="494" t="str">
        <f t="shared" si="709"/>
        <v/>
      </c>
      <c r="AE350" s="491"/>
      <c r="AF350" s="492"/>
      <c r="AG350" s="489">
        <f t="shared" ref="AG350:AH350" si="710">AC359</f>
        <v>1027.78</v>
      </c>
      <c r="AH350" s="494" t="str">
        <f t="shared" si="710"/>
        <v/>
      </c>
      <c r="AI350" s="491"/>
      <c r="AJ350" s="492"/>
      <c r="AK350" s="489">
        <f t="shared" ref="AK350:AL350" si="711">AG359</f>
        <v>1027.78</v>
      </c>
      <c r="AL350" s="494" t="str">
        <f t="shared" si="711"/>
        <v/>
      </c>
      <c r="AM350" s="491"/>
      <c r="AN350" s="492"/>
      <c r="AO350" s="489">
        <f t="shared" ref="AO350:AP350" si="712">AK359</f>
        <v>1027.78</v>
      </c>
      <c r="AP350" s="494" t="str">
        <f t="shared" si="712"/>
        <v/>
      </c>
      <c r="AQ350" s="491"/>
      <c r="AR350" s="492"/>
      <c r="AS350" s="489">
        <f t="shared" ref="AS350:AT350" si="713">AO359</f>
        <v>1027.78</v>
      </c>
      <c r="AT350" s="494" t="str">
        <f t="shared" si="713"/>
        <v/>
      </c>
      <c r="AU350" s="491"/>
      <c r="AV350" s="492"/>
      <c r="AW350" s="489">
        <f t="shared" ref="AW350:AX350" si="714">AS359</f>
        <v>1027.78</v>
      </c>
      <c r="AX350" s="494" t="str">
        <f t="shared" si="714"/>
        <v/>
      </c>
      <c r="AY350" s="491"/>
      <c r="AZ350" s="492"/>
      <c r="BA350" s="489">
        <f t="shared" ref="BA350:BB350" si="715">AW359</f>
        <v>1027.78</v>
      </c>
      <c r="BB350" s="494" t="str">
        <f t="shared" si="715"/>
        <v/>
      </c>
      <c r="BC350" s="491"/>
      <c r="BD350" s="496"/>
      <c r="BE350" s="494"/>
      <c r="BF350" s="494"/>
      <c r="BG350" s="497"/>
      <c r="BH350" s="226"/>
      <c r="BI350" s="150"/>
      <c r="BJ350" s="151"/>
      <c r="BK350" s="209"/>
      <c r="BL350" s="209"/>
    </row>
    <row r="351">
      <c r="A351" s="209"/>
      <c r="B351" s="209"/>
      <c r="C351" s="274" t="s">
        <v>560</v>
      </c>
      <c r="D351" s="498"/>
      <c r="E351" s="352">
        <f>SUM(E352:E359)-0.01</f>
        <v>-0.01</v>
      </c>
      <c r="F351" s="499"/>
      <c r="G351" s="500"/>
      <c r="H351" s="433"/>
      <c r="I351" s="498"/>
      <c r="J351" s="352">
        <f>SUM(J352:J359)-0.01</f>
        <v>-0.01</v>
      </c>
      <c r="K351" s="499"/>
      <c r="L351" s="500"/>
      <c r="M351" s="434"/>
      <c r="N351" s="498"/>
      <c r="O351" s="352">
        <f>SUM(O352:O359)-0.01</f>
        <v>-0.01</v>
      </c>
      <c r="P351" s="499"/>
      <c r="Q351" s="500"/>
      <c r="R351" s="434"/>
      <c r="S351" s="498"/>
      <c r="T351" s="352">
        <f>SUM(T352:T359)-0.01</f>
        <v>-0.01</v>
      </c>
      <c r="U351" s="499"/>
      <c r="V351" s="500"/>
      <c r="W351" s="434"/>
      <c r="X351" s="498"/>
      <c r="Y351" s="352">
        <f>SUM(Y352:Y359)-0.01</f>
        <v>-0.01</v>
      </c>
      <c r="Z351" s="499"/>
      <c r="AA351" s="500"/>
      <c r="AB351" s="434"/>
      <c r="AC351" s="498"/>
      <c r="AD351" s="352">
        <f>SUM(AD352:AD359)-0.01</f>
        <v>-0.01</v>
      </c>
      <c r="AE351" s="499"/>
      <c r="AF351" s="500"/>
      <c r="AG351" s="498"/>
      <c r="AH351" s="352">
        <f>SUM(AH352:AH359)-0.01</f>
        <v>-0.01</v>
      </c>
      <c r="AI351" s="499"/>
      <c r="AJ351" s="500"/>
      <c r="AK351" s="498"/>
      <c r="AL351" s="352">
        <f>SUM(AL352:AL359)-0.01</f>
        <v>-0.01</v>
      </c>
      <c r="AM351" s="499"/>
      <c r="AN351" s="500"/>
      <c r="AO351" s="498"/>
      <c r="AP351" s="352">
        <f>SUM(AP352:AP359)-0.01</f>
        <v>-0.01</v>
      </c>
      <c r="AQ351" s="499"/>
      <c r="AR351" s="500"/>
      <c r="AS351" s="498"/>
      <c r="AT351" s="352">
        <f>SUM(AT352:AT359)-0.01</f>
        <v>-0.01</v>
      </c>
      <c r="AU351" s="499"/>
      <c r="AV351" s="500"/>
      <c r="AW351" s="498"/>
      <c r="AX351" s="352">
        <f>SUM(AX352:AX359)-0.01</f>
        <v>-0.01</v>
      </c>
      <c r="AY351" s="499"/>
      <c r="AZ351" s="500"/>
      <c r="BA351" s="498"/>
      <c r="BB351" s="352">
        <f>SUM(BB352:BB359)-0.01</f>
        <v>-0.01</v>
      </c>
      <c r="BC351" s="499"/>
      <c r="BD351" s="500"/>
      <c r="BE351" s="501"/>
      <c r="BF351" s="501"/>
      <c r="BG351" s="502"/>
      <c r="BH351" s="209"/>
      <c r="BI351" s="150"/>
      <c r="BJ351" s="151"/>
      <c r="BK351" s="209"/>
      <c r="BL351" s="209"/>
    </row>
    <row r="352">
      <c r="A352" s="209"/>
      <c r="B352" s="209"/>
      <c r="C352" s="472" t="s">
        <v>555</v>
      </c>
      <c r="D352" s="473"/>
      <c r="E352" s="503">
        <f>SUMIFS('Livro Diario - FC'!$L$11:$L1028,'Livro Diario - FC'!$N$11:$N1028,D352,'Livro Diario - FC'!$D$11:$D1028,"&gt;=01/01"&amp;$C$7,'Livro Diario - FC'!$D$11:$D1028,"&lt;=31/01"&amp;$C$7)-SUMIFS('Livro Diario - FC'!$M$11:$M1028,'Livro Diario - FC'!$N$11:$N1028,D352,'Livro Diario - FC'!$D$11:$D1028,"&gt;=01/01"&amp;$C$7,'Livro Diario - FC'!$D$11:$D1028,"&lt;=31/01"&amp;$C$7)+E343</f>
        <v>0</v>
      </c>
      <c r="F352" s="504"/>
      <c r="G352" s="505"/>
      <c r="H352" s="506"/>
      <c r="I352" s="473"/>
      <c r="J352" s="503">
        <f>SUMIFS('Livro Diario - FC'!$L$11:$L1028,'Livro Diario - FC'!$N$11:$N1028,I352,'Livro Diario - FC'!$D$11:$D1028,"&gt;=01/02"&amp;$C$7,'Livro Diario - FC'!$D$11:$D1028,"&lt;=29/02"&amp;$C$7)-SUMIFS('Livro Diario - FC'!$M$11:$M1028,'Livro Diario - FC'!$N$11:$N1028,I352,'Livro Diario - FC'!$D$11:$D1028,"&gt;=01/02"&amp;$C$7,'Livro Diario - FC'!$D$11:$D1028,"&lt;=29/02"&amp;$C$7)+J343</f>
        <v>0</v>
      </c>
      <c r="K352" s="504"/>
      <c r="L352" s="505"/>
      <c r="M352" s="507"/>
      <c r="N352" s="473"/>
      <c r="O352" s="503">
        <f>SUMIFS('Livro Diario - FC'!$L$11:$L1028,'Livro Diario - FC'!$N$11:$N1028,N352,'Livro Diario - FC'!$D$11:$D1028,"&gt;=01/03"&amp;$C$7,'Livro Diario - FC'!$D$11:$D1028,"&lt;=31/03"&amp;$C$7)-SUMIFS('Livro Diario - FC'!$M$11:$M1028,'Livro Diario - FC'!$N$11:$N1028,N352,'Livro Diario - FC'!$D$11:$D1028,"&gt;=01/03"&amp;$C$7,'Livro Diario - FC'!$D$11:$D1028,"&lt;=31/03"&amp;$C$7)+O343</f>
        <v>0</v>
      </c>
      <c r="P352" s="504"/>
      <c r="Q352" s="505"/>
      <c r="R352" s="507"/>
      <c r="S352" s="473"/>
      <c r="T352" s="503">
        <f>SUMIFS('Livro Diario - FC'!$L$11:$L1028,'Livro Diario - FC'!$N$11:$N1028,S352,'Livro Diario - FC'!$D$11:$D1028,"&gt;=01/04"&amp;$C$7,'Livro Diario - FC'!$D$11:$D1028,"&lt;=30/04"&amp;$C$7)-SUMIFS('Livro Diario - FC'!$M$11:$M1028,'Livro Diario - FC'!$N$11:$N1028,S352,'Livro Diario - FC'!$D$11:$D1028,"&gt;=01/04"&amp;$C$7,'Livro Diario - FC'!$D$11:$D1028,"&lt;=30/04"&amp;$C$7)+T343</f>
        <v>0</v>
      </c>
      <c r="U352" s="504"/>
      <c r="V352" s="505"/>
      <c r="W352" s="507"/>
      <c r="X352" s="473"/>
      <c r="Y352" s="503">
        <f>SUMIFS('Livro Diario - FC'!$L$11:$L1028,'Livro Diario - FC'!$N$11:$N1028,X352,'Livro Diario - FC'!$D$11:$D1028,"&gt;=01/05"&amp;$C$7,'Livro Diario - FC'!$D$11:$D1028,"&lt;=31/05"&amp;$C$7)-SUMIFS('Livro Diario - FC'!$M$11:$M1028,'Livro Diario - FC'!$N$11:$N1028,X352,'Livro Diario - FC'!$D$11:$D1028,"&gt;=01/05"&amp;$C$7,'Livro Diario - FC'!$D$11:$D1028,"&lt;=31/05"&amp;$C$7)+Y343</f>
        <v>0</v>
      </c>
      <c r="Z352" s="504"/>
      <c r="AA352" s="505"/>
      <c r="AB352" s="507"/>
      <c r="AC352" s="473"/>
      <c r="AD352" s="503">
        <f>SUMIFS('Livro Diario - FC'!$L$11:$L1028,'Livro Diario - FC'!$N$11:$N1028,AC352,'Livro Diario - FC'!$D$11:$D1028,"&gt;=01/06"&amp;$C$7,'Livro Diario - FC'!$D$11:$D1028,"&lt;=30/06"&amp;$C$7)-SUMIFS('Livro Diario - FC'!$M$11:$M1028,'Livro Diario - FC'!$N$11:$N1028,AC352,'Livro Diario - FC'!$D$11:$D1028,"&gt;=01/06"&amp;$C$7,'Livro Diario - FC'!$D$11:$D1028,"&lt;=30/06"&amp;$C$7)+AD343</f>
        <v>0</v>
      </c>
      <c r="AE352" s="504"/>
      <c r="AF352" s="505"/>
      <c r="AG352" s="473"/>
      <c r="AH352" s="503">
        <f>SUMIFS('Livro Diario - FC'!$L$11:$L1028,'Livro Diario - FC'!$N$11:$N1028,AG352,'Livro Diario - FC'!$D$11:$D1028,"&gt;=01/07"&amp;$C$7,'Livro Diario - FC'!$D$11:$D1028,"&lt;=31/07"&amp;$C$7)-SUMIFS('Livro Diario - FC'!$M$11:$M1028,'Livro Diario - FC'!$N$11:$N1028,AG352,'Livro Diario - FC'!$D$11:$D1028,"&gt;=01/07"&amp;$C$7,'Livro Diario - FC'!$D$11:$D1028,"&lt;=31/07"&amp;$C$7)+AH343</f>
        <v>0</v>
      </c>
      <c r="AI352" s="504"/>
      <c r="AJ352" s="505"/>
      <c r="AK352" s="473"/>
      <c r="AL352" s="503">
        <f>SUMIFS('Livro Diario - FC'!$L$11:$L1028,'Livro Diario - FC'!$N$11:$N1028,AK352,'Livro Diario - FC'!$D$11:$D1028,"&gt;=01/08"&amp;$C$7,'Livro Diario - FC'!$D$11:$D1028,"&lt;=31/08"&amp;$C$7)-SUMIFS('Livro Diario - FC'!$M$11:$M1028,'Livro Diario - FC'!$N$11:$N1028,AK352,'Livro Diario - FC'!$D$11:$D1028,"&gt;=01/08"&amp;$C$7,'Livro Diario - FC'!$D$11:$D1028,"&lt;=31/08"&amp;$C$7)+AL343</f>
        <v>0</v>
      </c>
      <c r="AM352" s="504"/>
      <c r="AN352" s="505"/>
      <c r="AO352" s="473"/>
      <c r="AP352" s="503">
        <f>SUMIFS('Livro Diario - FC'!$L$11:$L1028,'Livro Diario - FC'!$N$11:$N1028,AO352,'Livro Diario - FC'!$D$11:$D1028,"&gt;=01/09"&amp;$C$7,'Livro Diario - FC'!$D$11:$D1028,"&lt;=30/09"&amp;$C$7)-SUMIFS('Livro Diario - FC'!$M$11:$M1028,'Livro Diario - FC'!$N$11:$N1028,AO352,'Livro Diario - FC'!$D$11:$D1028,"&gt;=01/09"&amp;$C$7,'Livro Diario - FC'!$D$11:$D1028,"&lt;=30/09"&amp;$C$7)+AP343</f>
        <v>0</v>
      </c>
      <c r="AQ352" s="504"/>
      <c r="AR352" s="505"/>
      <c r="AS352" s="473"/>
      <c r="AT352" s="503">
        <f>SUMIFS('Livro Diario - FC'!$L$11:$L1028,'Livro Diario - FC'!$N$11:$N1028,AS352,'Livro Diario - FC'!$D$11:$D1028,"&gt;=01/10"&amp;$C$7,'Livro Diario - FC'!$D$11:$D1028,"&lt;=31/10"&amp;$C$7)-SUMIFS('Livro Diario - FC'!$M$11:$M1028,'Livro Diario - FC'!$N$11:$N1028,AS352,'Livro Diario - FC'!$D$11:$D1028,"&gt;=01/10"&amp;$C$7,'Livro Diario - FC'!$D$11:$D1028,"&lt;=31/10"&amp;$C$7)+AT343</f>
        <v>0</v>
      </c>
      <c r="AU352" s="504"/>
      <c r="AV352" s="505"/>
      <c r="AW352" s="473"/>
      <c r="AX352" s="503">
        <f>SUMIFS('Livro Diario - FC'!$L$11:$L1028,'Livro Diario - FC'!$N$11:$N1028,AW352,'Livro Diario - FC'!$D$11:$D1028,"&gt;=01/11"&amp;$C$7,'Livro Diario - FC'!$D$11:$D1028,"&lt;=30/11"&amp;$C$7)-SUMIFS('Livro Diario - FC'!$M$11:$M1028,'Livro Diario - FC'!$N$11:$N1028,AW352,'Livro Diario - FC'!$D$11:$D1028,"&gt;=01/11"&amp;$C$7,'Livro Diario - FC'!$D$11:$D1028,"&lt;=30/11"&amp;$C$7)+AX343</f>
        <v>0</v>
      </c>
      <c r="AY352" s="504"/>
      <c r="AZ352" s="505"/>
      <c r="BA352" s="473"/>
      <c r="BB352" s="503">
        <f>SUMIFS('Livro Diario - FC'!$L$11:$L1028,'Livro Diario - FC'!$N$11:$N1028,BA352,'Livro Diario - FC'!$D$11:$D1028,"&gt;=01/12"&amp;$C$7,'Livro Diario - FC'!$D$11:$D1028,"&lt;=31/12"&amp;$C$7)-SUMIFS('Livro Diario - FC'!$M$11:$M1028,'Livro Diario - FC'!$N$11:$N1028,BA352,'Livro Diario - FC'!$D$11:$D1028,"&gt;=01/12"&amp;$C$7,'Livro Diario - FC'!$D$11:$D1028,"&lt;=31/12"&amp;$C$7)+BB343</f>
        <v>0</v>
      </c>
      <c r="BC352" s="504"/>
      <c r="BD352" s="505"/>
      <c r="BE352" s="508"/>
      <c r="BF352" s="508"/>
      <c r="BG352" s="149"/>
      <c r="BH352" s="209"/>
      <c r="BI352" s="150"/>
      <c r="BJ352" s="151"/>
      <c r="BK352" s="209"/>
      <c r="BL352" s="209"/>
    </row>
    <row r="353">
      <c r="A353" s="209"/>
      <c r="B353" s="209"/>
      <c r="C353" s="472" t="s">
        <v>29</v>
      </c>
      <c r="D353" s="509">
        <f>SUMIFS('Livro Diario - FC'!$L$11:$L1028,'Livro Diario - FC'!$N$11:$N1028,C353,'Livro Diario - FC'!$D$11:$D1028,"&gt;=01/01"&amp;$C$7,'Livro Diario - FC'!$D$11:$D1028,"&lt;=31/01"&amp;$C$7)-SUMIFS('Livro Diario - FC'!$M$11:$M1028,'Livro Diario - FC'!$N$11:$N1028,C353,'Livro Diario - FC'!$D$11:$D1028,"&gt;=01/01"&amp;$C$7,'Livro Diario - FC'!$D$11:$D1028,"&lt;=31/01"&amp;$C$7)+D344</f>
        <v>1329.62</v>
      </c>
      <c r="E353" s="510"/>
      <c r="F353" s="273"/>
      <c r="G353" s="258"/>
      <c r="H353" s="157"/>
      <c r="I353" s="509">
        <f>SUMIFS('Livro Diario - FC'!$L$11:$L1028,'Livro Diario - FC'!$N$11:$N1028,G353,'Livro Diario - FC'!$D$11:$D1028,"&gt;=01/02"&amp;$C$7,'Livro Diario - FC'!$D$11:$D1028,"&lt;=29/02"&amp;$C$7)-SUMIFS('Livro Diario - FC'!$M$11:$M1028,'Livro Diario - FC'!$N$11:$N1028,G353,'Livro Diario - FC'!$D$11:$D1028,"&gt;=01/02"&amp;$C$7,'Livro Diario - FC'!$D$11:$D1028,"&lt;=29/02"&amp;$C$7)+I344</f>
        <v>1329.62</v>
      </c>
      <c r="J353" s="510"/>
      <c r="K353" s="273"/>
      <c r="L353" s="258"/>
      <c r="M353" s="259"/>
      <c r="N353" s="509">
        <f>SUMIFS('Livro Diario - FC'!$L$11:$L1028,'Livro Diario - FC'!$N$11:$N1028,L353,'Livro Diario - FC'!$D$11:$D1028,"&gt;=01/03"&amp;$C$7,'Livro Diario - FC'!$D$11:$D1028,"&lt;=31/03"&amp;$C$7)-SUMIFS('Livro Diario - FC'!$M$11:$M1028,'Livro Diario - FC'!$N$11:$N1028,L353,'Livro Diario - FC'!$D$11:$D1028,"&gt;=01/03"&amp;$C$7,'Livro Diario - FC'!$D$11:$D1028,"&lt;=31/03"&amp;$C$7)+N344</f>
        <v>1329.62</v>
      </c>
      <c r="O353" s="510"/>
      <c r="P353" s="273"/>
      <c r="Q353" s="258"/>
      <c r="R353" s="259"/>
      <c r="S353" s="509">
        <f>SUMIFS('Livro Diario - FC'!$L$11:$L1028,'Livro Diario - FC'!$N$11:$N1028,Q353,'Livro Diario - FC'!$D$11:$D1028,"&gt;=01/04"&amp;$C$7,'Livro Diario - FC'!$D$11:$D1028,"&lt;=30/04"&amp;$C$7)-SUMIFS('Livro Diario - FC'!$M$11:$M1028,'Livro Diario - FC'!$N$11:$N1028,Q353,'Livro Diario - FC'!$D$11:$D1028,"&gt;=01/04"&amp;$C$7,'Livro Diario - FC'!$D$11:$D1028,"&lt;=30/04"&amp;$C$7)+S344</f>
        <v>1329.62</v>
      </c>
      <c r="T353" s="510"/>
      <c r="U353" s="273"/>
      <c r="V353" s="258"/>
      <c r="W353" s="259"/>
      <c r="X353" s="509">
        <f>SUMIFS('Livro Diario - FC'!$L$11:$L1028,'Livro Diario - FC'!$N$11:$N1028,V353,'Livro Diario - FC'!$D$11:$D1028,"&gt;=01/05"&amp;$C$7,'Livro Diario - FC'!$D$11:$D1028,"&lt;=31/05"&amp;$C$7)-SUMIFS('Livro Diario - FC'!$M$11:$M1028,'Livro Diario - FC'!$N$11:$N1028,V353,'Livro Diario - FC'!$D$11:$D1028,"&gt;=01/05"&amp;$C$7,'Livro Diario - FC'!$D$11:$D1028,"&lt;=31/05"&amp;$C$7)+X344</f>
        <v>1329.62</v>
      </c>
      <c r="Y353" s="510"/>
      <c r="Z353" s="273"/>
      <c r="AA353" s="258"/>
      <c r="AB353" s="259"/>
      <c r="AC353" s="509">
        <f>SUMIFS('Livro Diario - FC'!$L$11:$L1028,'Livro Diario - FC'!$N$11:$N1028,AA353,'Livro Diario - FC'!$D$11:$D1028,"&gt;=01/06"&amp;$C$7,'Livro Diario - FC'!$D$11:$D1028,"&lt;=30/06"&amp;$C$7)-SUMIFS('Livro Diario - FC'!$M$11:$M1028,'Livro Diario - FC'!$N$11:$N1028,AA353,'Livro Diario - FC'!$D$11:$D1028,"&gt;=01/06"&amp;$C$7,'Livro Diario - FC'!$D$11:$D1028,"&lt;=30/06"&amp;$C$7)+AC344</f>
        <v>1329.62</v>
      </c>
      <c r="AD353" s="510"/>
      <c r="AE353" s="273"/>
      <c r="AF353" s="258"/>
      <c r="AG353" s="509">
        <f>SUMIFS('Livro Diario - FC'!$L$11:$L1028,'Livro Diario - FC'!$N$11:$N1028,AF353,'Livro Diario - FC'!$D$11:$D1028,"&gt;=01/07"&amp;$C$7,'Livro Diario - FC'!$D$11:$D1028,"&lt;=31/07"&amp;$C$7)-SUMIFS('Livro Diario - FC'!$M$11:$M1028,'Livro Diario - FC'!$N$11:$N1028,AF353,'Livro Diario - FC'!$D$11:$D1028,"&gt;=01/07"&amp;$C$7,'Livro Diario - FC'!$D$11:$D1028,"&lt;=31/07"&amp;$C$7)+AG344</f>
        <v>1329.62</v>
      </c>
      <c r="AH353" s="510"/>
      <c r="AI353" s="273"/>
      <c r="AJ353" s="258"/>
      <c r="AK353" s="509">
        <f>SUMIFS('Livro Diario - FC'!$L$11:$L1028,'Livro Diario - FC'!$N$11:$N1028,AJ353,'Livro Diario - FC'!$D$11:$D1028,"&gt;=01/08"&amp;$C$7,'Livro Diario - FC'!$D$11:$D1028,"&lt;=31/08"&amp;$C$7)-SUMIFS('Livro Diario - FC'!$M$11:$M1028,'Livro Diario - FC'!$N$11:$N1028,AJ353,'Livro Diario - FC'!$D$11:$D1028,"&gt;=01/08"&amp;$C$7,'Livro Diario - FC'!$D$11:$D1028,"&lt;=31/08"&amp;$C$7)+AK344</f>
        <v>1329.62</v>
      </c>
      <c r="AL353" s="510"/>
      <c r="AM353" s="273"/>
      <c r="AN353" s="258"/>
      <c r="AO353" s="509">
        <f>SUMIFS('Livro Diario - FC'!$L$11:$L1028,'Livro Diario - FC'!$N$11:$N1028,AN353,'Livro Diario - FC'!$D$11:$D1028,"&gt;=01/09"&amp;$C$7,'Livro Diario - FC'!$D$11:$D1028,"&lt;=30/09"&amp;$C$7)-SUMIFS('Livro Diario - FC'!$M$11:$M1028,'Livro Diario - FC'!$N$11:$N1028,AN353,'Livro Diario - FC'!$D$11:$D1028,"&gt;=01/09"&amp;$C$7,'Livro Diario - FC'!$D$11:$D1028,"&lt;=30/09"&amp;$C$7)+AO344</f>
        <v>1329.62</v>
      </c>
      <c r="AP353" s="510"/>
      <c r="AQ353" s="273"/>
      <c r="AR353" s="258"/>
      <c r="AS353" s="509">
        <f>SUMIFS('Livro Diario - FC'!$L$11:$L1028,'Livro Diario - FC'!$N$11:$N1028,AR353,'Livro Diario - FC'!$D$11:$D1028,"&gt;=01/10"&amp;$C$7,'Livro Diario - FC'!$D$11:$D1028,"&lt;=31/10"&amp;$C$7)-SUMIFS('Livro Diario - FC'!$M$11:$M1028,'Livro Diario - FC'!$N$11:$N1028,AR353,'Livro Diario - FC'!$D$11:$D1028,"&gt;=01/10"&amp;$C$7,'Livro Diario - FC'!$D$11:$D1028,"&lt;=31/10"&amp;$C$7)+AS344</f>
        <v>1329.62</v>
      </c>
      <c r="AT353" s="510"/>
      <c r="AU353" s="273"/>
      <c r="AV353" s="258"/>
      <c r="AW353" s="509">
        <f>SUMIFS('Livro Diario - FC'!$L$11:$L1028,'Livro Diario - FC'!$N$11:$N1028,AV353,'Livro Diario - FC'!$D$11:$D1028,"&gt;=01/11"&amp;$C$7,'Livro Diario - FC'!$D$11:$D1028,"&lt;=30/11"&amp;$C$7)-SUMIFS('Livro Diario - FC'!$M$11:$M1028,'Livro Diario - FC'!$N$11:$N1028,AV353,'Livro Diario - FC'!$D$11:$D1028,"&gt;=01/11"&amp;$C$7,'Livro Diario - FC'!$D$11:$D1028,"&lt;=30/11"&amp;$C$7)+AW344</f>
        <v>1329.62</v>
      </c>
      <c r="AX353" s="510"/>
      <c r="AY353" s="273"/>
      <c r="AZ353" s="258"/>
      <c r="BA353" s="509">
        <f>SUMIFS('Livro Diario - FC'!$L$11:$L1028,'Livro Diario - FC'!$N$11:$N1028,AZ353,'Livro Diario - FC'!$D$11:$D1028,"&gt;=01/12"&amp;$C$7,'Livro Diario - FC'!$D$11:$D1028,"&lt;=31/12"&amp;$C$7)-SUMIFS('Livro Diario - FC'!$M$11:$M1028,'Livro Diario - FC'!$N$11:$N1028,AZ353,'Livro Diario - FC'!$D$11:$D1028,"&gt;=01/12"&amp;$C$7,'Livro Diario - FC'!$D$11:$D1028,"&lt;=31/12"&amp;$C$7)+BA344</f>
        <v>1329.62</v>
      </c>
      <c r="BB353" s="510"/>
      <c r="BC353" s="273"/>
      <c r="BD353" s="258"/>
      <c r="BE353" s="508"/>
      <c r="BF353" s="508"/>
      <c r="BG353" s="149"/>
      <c r="BH353" s="209"/>
      <c r="BI353" s="150"/>
      <c r="BJ353" s="151"/>
      <c r="BK353" s="209"/>
      <c r="BL353" s="209"/>
    </row>
    <row r="354">
      <c r="A354" s="209"/>
      <c r="B354" s="209"/>
      <c r="C354" s="472" t="s">
        <v>34</v>
      </c>
      <c r="D354" s="509">
        <f>SUMIFS('Livro Diario - FC'!$L$11:$L1028,'Livro Diario - FC'!$N$11:$N1028,C354,'Livro Diario - FC'!$D$11:$D1028,"&gt;=01/01"&amp;$C$7,'Livro Diario - FC'!$D$11:$D1028,"&lt;=31/01"&amp;$C$7)-SUMIFS('Livro Diario - FC'!$M$11:$M1028,'Livro Diario - FC'!$N$11:$N1028,C354,'Livro Diario - FC'!$D$11:$D1028,"&gt;=01/01"&amp;$C$7,'Livro Diario - FC'!$D$11:$D1028,"&lt;=31/01"&amp;$C$7)+D345</f>
        <v>475.65</v>
      </c>
      <c r="E354" s="510"/>
      <c r="F354" s="273"/>
      <c r="G354" s="258"/>
      <c r="H354" s="157"/>
      <c r="I354" s="509">
        <f>SUMIFS('Livro Diario - FC'!$L$11:$L1028,'Livro Diario - FC'!$N$11:$N1028,G354,'Livro Diario - FC'!$D$11:$D1028,"&gt;=01/02"&amp;$C$7,'Livro Diario - FC'!$D$11:$D1028,"&lt;=29/02"&amp;$C$7)-SUMIFS('Livro Diario - FC'!$M$11:$M1028,'Livro Diario - FC'!$N$11:$N1028,G354,'Livro Diario - FC'!$D$11:$D1028,"&gt;=01/02"&amp;$C$7,'Livro Diario - FC'!$D$11:$D1028,"&lt;=29/02"&amp;$C$7)+I345</f>
        <v>475.65</v>
      </c>
      <c r="J354" s="510"/>
      <c r="K354" s="273"/>
      <c r="L354" s="258"/>
      <c r="M354" s="259"/>
      <c r="N354" s="509">
        <f>SUMIFS('Livro Diario - FC'!$L$11:$L1028,'Livro Diario - FC'!$N$11:$N1028,L354,'Livro Diario - FC'!$D$11:$D1028,"&gt;=01/03"&amp;$C$7,'Livro Diario - FC'!$D$11:$D1028,"&lt;=31/03"&amp;$C$7)-SUMIFS('Livro Diario - FC'!$M$11:$M1028,'Livro Diario - FC'!$N$11:$N1028,L354,'Livro Diario - FC'!$D$11:$D1028,"&gt;=01/03"&amp;$C$7,'Livro Diario - FC'!$D$11:$D1028,"&lt;=31/03"&amp;$C$7)+N345</f>
        <v>475.65</v>
      </c>
      <c r="O354" s="510"/>
      <c r="P354" s="273"/>
      <c r="Q354" s="258"/>
      <c r="R354" s="259"/>
      <c r="S354" s="509">
        <f>SUMIFS('Livro Diario - FC'!$L$11:$L1028,'Livro Diario - FC'!$N$11:$N1028,Q354,'Livro Diario - FC'!$D$11:$D1028,"&gt;=01/04"&amp;$C$7,'Livro Diario - FC'!$D$11:$D1028,"&lt;=30/04"&amp;$C$7)-SUMIFS('Livro Diario - FC'!$M$11:$M1028,'Livro Diario - FC'!$N$11:$N1028,Q354,'Livro Diario - FC'!$D$11:$D1028,"&gt;=01/04"&amp;$C$7,'Livro Diario - FC'!$D$11:$D1028,"&lt;=30/04"&amp;$C$7)+S345</f>
        <v>475.65</v>
      </c>
      <c r="T354" s="510"/>
      <c r="U354" s="273"/>
      <c r="V354" s="258"/>
      <c r="W354" s="259"/>
      <c r="X354" s="509">
        <f>SUMIFS('Livro Diario - FC'!$L$11:$L1028,'Livro Diario - FC'!$N$11:$N1028,V354,'Livro Diario - FC'!$D$11:$D1028,"&gt;=01/05"&amp;$C$7,'Livro Diario - FC'!$D$11:$D1028,"&lt;=31/05"&amp;$C$7)-SUMIFS('Livro Diario - FC'!$M$11:$M1028,'Livro Diario - FC'!$N$11:$N1028,V354,'Livro Diario - FC'!$D$11:$D1028,"&gt;=01/05"&amp;$C$7,'Livro Diario - FC'!$D$11:$D1028,"&lt;=31/05"&amp;$C$7)+X345</f>
        <v>475.65</v>
      </c>
      <c r="Y354" s="510"/>
      <c r="Z354" s="273"/>
      <c r="AA354" s="258"/>
      <c r="AB354" s="259"/>
      <c r="AC354" s="509">
        <f>SUMIFS('Livro Diario - FC'!$L$11:$L1028,'Livro Diario - FC'!$N$11:$N1028,AA354,'Livro Diario - FC'!$D$11:$D1028,"&gt;=01/06"&amp;$C$7,'Livro Diario - FC'!$D$11:$D1028,"&lt;=30/06"&amp;$C$7)-SUMIFS('Livro Diario - FC'!$M$11:$M1028,'Livro Diario - FC'!$N$11:$N1028,AA354,'Livro Diario - FC'!$D$11:$D1028,"&gt;=01/06"&amp;$C$7,'Livro Diario - FC'!$D$11:$D1028,"&lt;=30/06"&amp;$C$7)+AC345</f>
        <v>475.65</v>
      </c>
      <c r="AD354" s="510"/>
      <c r="AE354" s="273"/>
      <c r="AF354" s="258"/>
      <c r="AG354" s="509">
        <f>SUMIFS('Livro Diario - FC'!$L$11:$L1028,'Livro Diario - FC'!$N$11:$N1028,AF354,'Livro Diario - FC'!$D$11:$D1028,"&gt;=01/07"&amp;$C$7,'Livro Diario - FC'!$D$11:$D1028,"&lt;=31/07"&amp;$C$7)-SUMIFS('Livro Diario - FC'!$M$11:$M1028,'Livro Diario - FC'!$N$11:$N1028,AF354,'Livro Diario - FC'!$D$11:$D1028,"&gt;=01/07"&amp;$C$7,'Livro Diario - FC'!$D$11:$D1028,"&lt;=31/07"&amp;$C$7)+AG345</f>
        <v>475.65</v>
      </c>
      <c r="AH354" s="510"/>
      <c r="AI354" s="273"/>
      <c r="AJ354" s="258"/>
      <c r="AK354" s="509">
        <f>SUMIFS('Livro Diario - FC'!$L$11:$L1028,'Livro Diario - FC'!$N$11:$N1028,AJ354,'Livro Diario - FC'!$D$11:$D1028,"&gt;=01/08"&amp;$C$7,'Livro Diario - FC'!$D$11:$D1028,"&lt;=31/08"&amp;$C$7)-SUMIFS('Livro Diario - FC'!$M$11:$M1028,'Livro Diario - FC'!$N$11:$N1028,AJ354,'Livro Diario - FC'!$D$11:$D1028,"&gt;=01/08"&amp;$C$7,'Livro Diario - FC'!$D$11:$D1028,"&lt;=31/08"&amp;$C$7)+AK345</f>
        <v>475.65</v>
      </c>
      <c r="AL354" s="510"/>
      <c r="AM354" s="273"/>
      <c r="AN354" s="258"/>
      <c r="AO354" s="509">
        <f>SUMIFS('Livro Diario - FC'!$L$11:$L1028,'Livro Diario - FC'!$N$11:$N1028,AN354,'Livro Diario - FC'!$D$11:$D1028,"&gt;=01/09"&amp;$C$7,'Livro Diario - FC'!$D$11:$D1028,"&lt;=30/09"&amp;$C$7)-SUMIFS('Livro Diario - FC'!$M$11:$M1028,'Livro Diario - FC'!$N$11:$N1028,AN354,'Livro Diario - FC'!$D$11:$D1028,"&gt;=01/09"&amp;$C$7,'Livro Diario - FC'!$D$11:$D1028,"&lt;=30/09"&amp;$C$7)+AO345</f>
        <v>475.65</v>
      </c>
      <c r="AP354" s="510"/>
      <c r="AQ354" s="273"/>
      <c r="AR354" s="258"/>
      <c r="AS354" s="509">
        <f>SUMIFS('Livro Diario - FC'!$L$11:$L1028,'Livro Diario - FC'!$N$11:$N1028,AR354,'Livro Diario - FC'!$D$11:$D1028,"&gt;=01/10"&amp;$C$7,'Livro Diario - FC'!$D$11:$D1028,"&lt;=31/10"&amp;$C$7)-SUMIFS('Livro Diario - FC'!$M$11:$M1028,'Livro Diario - FC'!$N$11:$N1028,AR354,'Livro Diario - FC'!$D$11:$D1028,"&gt;=01/10"&amp;$C$7,'Livro Diario - FC'!$D$11:$D1028,"&lt;=31/10"&amp;$C$7)+AS345</f>
        <v>475.65</v>
      </c>
      <c r="AT354" s="510"/>
      <c r="AU354" s="273"/>
      <c r="AV354" s="258"/>
      <c r="AW354" s="509">
        <f>SUMIFS('Livro Diario - FC'!$L$11:$L1028,'Livro Diario - FC'!$N$11:$N1028,AV354,'Livro Diario - FC'!$D$11:$D1028,"&gt;=01/11"&amp;$C$7,'Livro Diario - FC'!$D$11:$D1028,"&lt;=30/11"&amp;$C$7)-SUMIFS('Livro Diario - FC'!$M$11:$M1028,'Livro Diario - FC'!$N$11:$N1028,AV354,'Livro Diario - FC'!$D$11:$D1028,"&gt;=01/11"&amp;$C$7,'Livro Diario - FC'!$D$11:$D1028,"&lt;=30/11"&amp;$C$7)+AW345</f>
        <v>475.65</v>
      </c>
      <c r="AX354" s="510"/>
      <c r="AY354" s="273"/>
      <c r="AZ354" s="258"/>
      <c r="BA354" s="509">
        <f>SUMIFS('Livro Diario - FC'!$L$11:$L1028,'Livro Diario - FC'!$N$11:$N1028,AZ354,'Livro Diario - FC'!$D$11:$D1028,"&gt;=01/12"&amp;$C$7,'Livro Diario - FC'!$D$11:$D1028,"&lt;=31/12"&amp;$C$7)-SUMIFS('Livro Diario - FC'!$M$11:$M1028,'Livro Diario - FC'!$N$11:$N1028,AZ354,'Livro Diario - FC'!$D$11:$D1028,"&gt;=01/12"&amp;$C$7,'Livro Diario - FC'!$D$11:$D1028,"&lt;=31/12"&amp;$C$7)+BA345</f>
        <v>475.65</v>
      </c>
      <c r="BB354" s="510"/>
      <c r="BC354" s="273"/>
      <c r="BD354" s="258"/>
      <c r="BE354" s="508"/>
      <c r="BF354" s="508"/>
      <c r="BG354" s="149"/>
      <c r="BH354" s="209"/>
      <c r="BI354" s="150"/>
      <c r="BJ354" s="151"/>
      <c r="BK354" s="209"/>
      <c r="BL354" s="209"/>
    </row>
    <row r="355">
      <c r="A355" s="209"/>
      <c r="B355" s="209"/>
      <c r="C355" s="472" t="s">
        <v>39</v>
      </c>
      <c r="D355" s="255">
        <f>SUMIFS('Livro Diario - FC'!$L$11:$L1028,'Livro Diario - FC'!$N$11:$N1028,C355,'Livro Diario - FC'!$D$11:$D1028,"&gt;=01/01"&amp;$C$7,'Livro Diario - FC'!$D$11:$D1028,"&lt;=31/01"&amp;$C$7)-SUMIFS('Livro Diario - FC'!$M$11:$M1028,'Livro Diario - FC'!$N$11:$N1028,C355,'Livro Diario - FC'!$D$11:$D1028,"&gt;=01/01"&amp;$C$7,'Livro Diario - FC'!$D$11:$D1028,"&lt;=31/01"&amp;$C$7)+D346</f>
        <v>3200</v>
      </c>
      <c r="E355" s="485"/>
      <c r="F355" s="273"/>
      <c r="G355" s="258"/>
      <c r="H355" s="157"/>
      <c r="I355" s="255">
        <f>SUMIFS('Livro Diario - FC'!$L$11:$L1028,'Livro Diario - FC'!$N$11:$N1028,G355,'Livro Diario - FC'!$D$11:$D1028,"&gt;=01/02"&amp;$C$7,'Livro Diario - FC'!$D$11:$D1028,"&lt;=29/02"&amp;$C$7)-SUMIFS('Livro Diario - FC'!$M$11:$M1028,'Livro Diario - FC'!$N$11:$N1028,G355,'Livro Diario - FC'!$D$11:$D1028,"&gt;=01/02"&amp;$C$7,'Livro Diario - FC'!$D$11:$D1028,"&lt;=29/02"&amp;$C$7)+I346</f>
        <v>3200</v>
      </c>
      <c r="J355" s="485"/>
      <c r="K355" s="273"/>
      <c r="L355" s="258"/>
      <c r="M355" s="259"/>
      <c r="N355" s="255">
        <f>SUMIFS('Livro Diario - FC'!$L$11:$L1028,'Livro Diario - FC'!$N$11:$N1028,L355,'Livro Diario - FC'!$D$11:$D1028,"&gt;=01/03"&amp;$C$7,'Livro Diario - FC'!$D$11:$D1028,"&lt;=31/03"&amp;$C$7)-SUMIFS('Livro Diario - FC'!$M$11:$M1028,'Livro Diario - FC'!$N$11:$N1028,L355,'Livro Diario - FC'!$D$11:$D1028,"&gt;=01/03"&amp;$C$7,'Livro Diario - FC'!$D$11:$D1028,"&lt;=31/03"&amp;$C$7)+N346</f>
        <v>3200</v>
      </c>
      <c r="O355" s="485"/>
      <c r="P355" s="273"/>
      <c r="Q355" s="258"/>
      <c r="R355" s="259"/>
      <c r="S355" s="255">
        <f>SUMIFS('Livro Diario - FC'!$L$11:$L1028,'Livro Diario - FC'!$N$11:$N1028,Q355,'Livro Diario - FC'!$D$11:$D1028,"&gt;=01/04"&amp;$C$7,'Livro Diario - FC'!$D$11:$D1028,"&lt;=30/04"&amp;$C$7)-SUMIFS('Livro Diario - FC'!$M$11:$M1028,'Livro Diario - FC'!$N$11:$N1028,Q355,'Livro Diario - FC'!$D$11:$D1028,"&gt;=01/04"&amp;$C$7,'Livro Diario - FC'!$D$11:$D1028,"&lt;=30/04"&amp;$C$7)+S346</f>
        <v>3200</v>
      </c>
      <c r="T355" s="485"/>
      <c r="U355" s="273"/>
      <c r="V355" s="258"/>
      <c r="W355" s="259"/>
      <c r="X355" s="255">
        <f>SUMIFS('Livro Diario - FC'!$L$11:$L1028,'Livro Diario - FC'!$N$11:$N1028,V355,'Livro Diario - FC'!$D$11:$D1028,"&gt;=01/05"&amp;$C$7,'Livro Diario - FC'!$D$11:$D1028,"&lt;=31/05"&amp;$C$7)-SUMIFS('Livro Diario - FC'!$M$11:$M1028,'Livro Diario - FC'!$N$11:$N1028,V355,'Livro Diario - FC'!$D$11:$D1028,"&gt;=01/05"&amp;$C$7,'Livro Diario - FC'!$D$11:$D1028,"&lt;=31/05"&amp;$C$7)+X346</f>
        <v>3200</v>
      </c>
      <c r="Y355" s="485"/>
      <c r="Z355" s="273"/>
      <c r="AA355" s="258"/>
      <c r="AB355" s="259"/>
      <c r="AC355" s="255">
        <f>SUMIFS('Livro Diario - FC'!$L$11:$L1028,'Livro Diario - FC'!$N$11:$N1028,AA355,'Livro Diario - FC'!$D$11:$D1028,"&gt;=01/06"&amp;$C$7,'Livro Diario - FC'!$D$11:$D1028,"&lt;=30/06"&amp;$C$7)-SUMIFS('Livro Diario - FC'!$M$11:$M1028,'Livro Diario - FC'!$N$11:$N1028,AA355,'Livro Diario - FC'!$D$11:$D1028,"&gt;=01/06"&amp;$C$7,'Livro Diario - FC'!$D$11:$D1028,"&lt;=30/06"&amp;$C$7)+AC346</f>
        <v>3200</v>
      </c>
      <c r="AD355" s="485"/>
      <c r="AE355" s="273"/>
      <c r="AF355" s="258"/>
      <c r="AG355" s="255">
        <f>SUMIFS('Livro Diario - FC'!$L$11:$L1028,'Livro Diario - FC'!$N$11:$N1028,AF355,'Livro Diario - FC'!$D$11:$D1028,"&gt;=01/07"&amp;$C$7,'Livro Diario - FC'!$D$11:$D1028,"&lt;=31/07"&amp;$C$7)-SUMIFS('Livro Diario - FC'!$M$11:$M1028,'Livro Diario - FC'!$N$11:$N1028,AF355,'Livro Diario - FC'!$D$11:$D1028,"&gt;=01/07"&amp;$C$7,'Livro Diario - FC'!$D$11:$D1028,"&lt;=31/07"&amp;$C$7)+AG346</f>
        <v>3200</v>
      </c>
      <c r="AH355" s="485"/>
      <c r="AI355" s="273"/>
      <c r="AJ355" s="258"/>
      <c r="AK355" s="255">
        <f>SUMIFS('Livro Diario - FC'!$L$11:$L1028,'Livro Diario - FC'!$N$11:$N1028,AJ355,'Livro Diario - FC'!$D$11:$D1028,"&gt;=01/08"&amp;$C$7,'Livro Diario - FC'!$D$11:$D1028,"&lt;=31/08"&amp;$C$7)-SUMIFS('Livro Diario - FC'!$M$11:$M1028,'Livro Diario - FC'!$N$11:$N1028,AJ355,'Livro Diario - FC'!$D$11:$D1028,"&gt;=01/08"&amp;$C$7,'Livro Diario - FC'!$D$11:$D1028,"&lt;=31/08"&amp;$C$7)+AK346</f>
        <v>3200</v>
      </c>
      <c r="AL355" s="485"/>
      <c r="AM355" s="273"/>
      <c r="AN355" s="258"/>
      <c r="AO355" s="255">
        <f>SUMIFS('Livro Diario - FC'!$L$11:$L1028,'Livro Diario - FC'!$N$11:$N1028,AN355,'Livro Diario - FC'!$D$11:$D1028,"&gt;=01/09"&amp;$C$7,'Livro Diario - FC'!$D$11:$D1028,"&lt;=30/09"&amp;$C$7)-SUMIFS('Livro Diario - FC'!$M$11:$M1028,'Livro Diario - FC'!$N$11:$N1028,AN355,'Livro Diario - FC'!$D$11:$D1028,"&gt;=01/09"&amp;$C$7,'Livro Diario - FC'!$D$11:$D1028,"&lt;=30/09"&amp;$C$7)+AO346</f>
        <v>3200</v>
      </c>
      <c r="AP355" s="485"/>
      <c r="AQ355" s="273"/>
      <c r="AR355" s="258"/>
      <c r="AS355" s="255">
        <f>SUMIFS('Livro Diario - FC'!$L$11:$L1028,'Livro Diario - FC'!$N$11:$N1028,AR355,'Livro Diario - FC'!$D$11:$D1028,"&gt;=01/10"&amp;$C$7,'Livro Diario - FC'!$D$11:$D1028,"&lt;=31/10"&amp;$C$7)-SUMIFS('Livro Diario - FC'!$M$11:$M1028,'Livro Diario - FC'!$N$11:$N1028,AR355,'Livro Diario - FC'!$D$11:$D1028,"&gt;=01/10"&amp;$C$7,'Livro Diario - FC'!$D$11:$D1028,"&lt;=31/10"&amp;$C$7)+AS346</f>
        <v>3200</v>
      </c>
      <c r="AT355" s="485"/>
      <c r="AU355" s="273"/>
      <c r="AV355" s="258"/>
      <c r="AW355" s="255">
        <f>SUMIFS('Livro Diario - FC'!$L$11:$L1028,'Livro Diario - FC'!$N$11:$N1028,AV355,'Livro Diario - FC'!$D$11:$D1028,"&gt;=01/11"&amp;$C$7,'Livro Diario - FC'!$D$11:$D1028,"&lt;=30/11"&amp;$C$7)-SUMIFS('Livro Diario - FC'!$M$11:$M1028,'Livro Diario - FC'!$N$11:$N1028,AV355,'Livro Diario - FC'!$D$11:$D1028,"&gt;=01/11"&amp;$C$7,'Livro Diario - FC'!$D$11:$D1028,"&lt;=30/11"&amp;$C$7)+AW346</f>
        <v>3200</v>
      </c>
      <c r="AX355" s="485"/>
      <c r="AY355" s="273"/>
      <c r="AZ355" s="258"/>
      <c r="BA355" s="255">
        <f>SUMIFS('Livro Diario - FC'!$L$11:$L1028,'Livro Diario - FC'!$N$11:$N1028,AZ355,'Livro Diario - FC'!$D$11:$D1028,"&gt;=01/12"&amp;$C$7,'Livro Diario - FC'!$D$11:$D1028,"&lt;=31/12"&amp;$C$7)-SUMIFS('Livro Diario - FC'!$M$11:$M1028,'Livro Diario - FC'!$N$11:$N1028,AZ355,'Livro Diario - FC'!$D$11:$D1028,"&gt;=01/12"&amp;$C$7,'Livro Diario - FC'!$D$11:$D1028,"&lt;=31/12"&amp;$C$7)+BA346</f>
        <v>3200</v>
      </c>
      <c r="BB355" s="485"/>
      <c r="BC355" s="273"/>
      <c r="BD355" s="258"/>
      <c r="BE355" s="508"/>
      <c r="BF355" s="508"/>
      <c r="BG355" s="149"/>
      <c r="BH355" s="209"/>
      <c r="BI355" s="150"/>
      <c r="BJ355" s="151"/>
      <c r="BK355" s="209"/>
      <c r="BL355" s="209"/>
    </row>
    <row r="356">
      <c r="A356" s="209"/>
      <c r="B356" s="209"/>
      <c r="C356" s="472" t="s">
        <v>556</v>
      </c>
      <c r="D356" s="511"/>
      <c r="E356" s="373">
        <f>SUMIFS('Livro Diario - FC'!$L$11:$L1028,'Livro Diario - FC'!$N$11:$N1028,D356,'Livro Diario - FC'!$D$11:$D1028,"&gt;=01/01"&amp;$C$7,'Livro Diario - FC'!$D$11:$D1028,"&lt;=31/01"&amp;$C$7)-SUMIFS('Livro Diario - FC'!$M$11:$M1028,'Livro Diario - FC'!$N$11:$N1028,D356,'Livro Diario - FC'!$D$11:$D1028,"&gt;=01/01"&amp;$C$7,'Livro Diario - FC'!$D$11:$D1028,"&lt;=31/01"&amp;$C$7)+E347</f>
        <v>0</v>
      </c>
      <c r="F356" s="259"/>
      <c r="G356" s="258"/>
      <c r="H356" s="157"/>
      <c r="I356" s="511"/>
      <c r="J356" s="373">
        <f>SUMIFS('Livro Diario - FC'!$L$11:$L1028,'Livro Diario - FC'!$N$11:$N1028,I356,'Livro Diario - FC'!$D$11:$D1028,"&gt;=01/02"&amp;$C$7,'Livro Diario - FC'!$D$11:$D1028,"&lt;=29/02"&amp;$C$7)-SUMIFS('Livro Diario - FC'!$M$11:$M1028,'Livro Diario - FC'!$N$11:$N1028,I356,'Livro Diario - FC'!$D$11:$D1028,"&gt;=01/02"&amp;$C$7,'Livro Diario - FC'!$D$11:$D1028,"&lt;=29/02"&amp;$C$7)+J347</f>
        <v>0</v>
      </c>
      <c r="K356" s="259"/>
      <c r="L356" s="258"/>
      <c r="M356" s="259"/>
      <c r="N356" s="511"/>
      <c r="O356" s="373">
        <f>SUMIFS('Livro Diario - FC'!$L$11:$L1028,'Livro Diario - FC'!$N$11:$N1028,N356,'Livro Diario - FC'!$D$11:$D1028,"&gt;=01/03"&amp;$C$7,'Livro Diario - FC'!$D$11:$D1028,"&lt;=31/03"&amp;$C$7)-SUMIFS('Livro Diario - FC'!$M$11:$M1028,'Livro Diario - FC'!$N$11:$N1028,N356,'Livro Diario - FC'!$D$11:$D1028,"&gt;=01/03"&amp;$C$7,'Livro Diario - FC'!$D$11:$D1028,"&lt;=31/03"&amp;$C$7)+O347</f>
        <v>0</v>
      </c>
      <c r="P356" s="259"/>
      <c r="Q356" s="258"/>
      <c r="R356" s="259"/>
      <c r="S356" s="511"/>
      <c r="T356" s="373">
        <f>SUMIFS('Livro Diario - FC'!$L$11:$L1028,'Livro Diario - FC'!$N$11:$N1028,S356,'Livro Diario - FC'!$D$11:$D1028,"&gt;=01/04"&amp;$C$7,'Livro Diario - FC'!$D$11:$D1028,"&lt;=30/04"&amp;$C$7)-SUMIFS('Livro Diario - FC'!$M$11:$M1028,'Livro Diario - FC'!$N$11:$N1028,S356,'Livro Diario - FC'!$D$11:$D1028,"&gt;=01/04"&amp;$C$7,'Livro Diario - FC'!$D$11:$D1028,"&lt;=30/04"&amp;$C$7)+T347</f>
        <v>0</v>
      </c>
      <c r="U356" s="259"/>
      <c r="V356" s="258"/>
      <c r="W356" s="259"/>
      <c r="X356" s="511"/>
      <c r="Y356" s="373">
        <f>SUMIFS('Livro Diario - FC'!$L$11:$L1028,'Livro Diario - FC'!$N$11:$N1028,X356,'Livro Diario - FC'!$D$11:$D1028,"&gt;=01/05"&amp;$C$7,'Livro Diario - FC'!$D$11:$D1028,"&lt;=31/05"&amp;$C$7)-SUMIFS('Livro Diario - FC'!$M$11:$M1028,'Livro Diario - FC'!$N$11:$N1028,X356,'Livro Diario - FC'!$D$11:$D1028,"&gt;=01/05"&amp;$C$7,'Livro Diario - FC'!$D$11:$D1028,"&lt;=31/05"&amp;$C$7)+Y347</f>
        <v>0</v>
      </c>
      <c r="Z356" s="259"/>
      <c r="AA356" s="258"/>
      <c r="AB356" s="259"/>
      <c r="AC356" s="511"/>
      <c r="AD356" s="373">
        <f>SUMIFS('Livro Diario - FC'!$L$11:$L1028,'Livro Diario - FC'!$N$11:$N1028,AC356,'Livro Diario - FC'!$D$11:$D1028,"&gt;=01/06"&amp;$C$7,'Livro Diario - FC'!$D$11:$D1028,"&lt;=30/06"&amp;$C$7)-SUMIFS('Livro Diario - FC'!$M$11:$M1028,'Livro Diario - FC'!$N$11:$N1028,AC356,'Livro Diario - FC'!$D$11:$D1028,"&gt;=01/06"&amp;$C$7,'Livro Diario - FC'!$D$11:$D1028,"&lt;=30/06"&amp;$C$7)+AD347</f>
        <v>0</v>
      </c>
      <c r="AE356" s="259"/>
      <c r="AF356" s="258"/>
      <c r="AG356" s="511"/>
      <c r="AH356" s="373">
        <f>SUMIFS('Livro Diario - FC'!$L$11:$L1028,'Livro Diario - FC'!$N$11:$N1028,AG356,'Livro Diario - FC'!$D$11:$D1028,"&gt;=01/07"&amp;$C$7,'Livro Diario - FC'!$D$11:$D1028,"&lt;=31/07"&amp;$C$7)-SUMIFS('Livro Diario - FC'!$M$11:$M1028,'Livro Diario - FC'!$N$11:$N1028,AG356,'Livro Diario - FC'!$D$11:$D1028,"&gt;=01/07"&amp;$C$7,'Livro Diario - FC'!$D$11:$D1028,"&lt;=31/07"&amp;$C$7)+AH347</f>
        <v>0</v>
      </c>
      <c r="AI356" s="259"/>
      <c r="AJ356" s="258"/>
      <c r="AK356" s="511"/>
      <c r="AL356" s="373">
        <f>SUMIFS('Livro Diario - FC'!$L$11:$L1028,'Livro Diario - FC'!$N$11:$N1028,AK356,'Livro Diario - FC'!$D$11:$D1028,"&gt;=01/08"&amp;$C$7,'Livro Diario - FC'!$D$11:$D1028,"&lt;=31/08"&amp;$C$7)-SUMIFS('Livro Diario - FC'!$M$11:$M1028,'Livro Diario - FC'!$N$11:$N1028,AK356,'Livro Diario - FC'!$D$11:$D1028,"&gt;=01/08"&amp;$C$7,'Livro Diario - FC'!$D$11:$D1028,"&lt;=31/08"&amp;$C$7)+AL347</f>
        <v>0</v>
      </c>
      <c r="AM356" s="259"/>
      <c r="AN356" s="258"/>
      <c r="AO356" s="511"/>
      <c r="AP356" s="373">
        <f>SUMIFS('Livro Diario - FC'!$L$11:$L1028,'Livro Diario - FC'!$N$11:$N1028,AO356,'Livro Diario - FC'!$D$11:$D1028,"&gt;=01/09"&amp;$C$7,'Livro Diario - FC'!$D$11:$D1028,"&lt;=30/09"&amp;$C$7)-SUMIFS('Livro Diario - FC'!$M$11:$M1028,'Livro Diario - FC'!$N$11:$N1028,AO356,'Livro Diario - FC'!$D$11:$D1028,"&gt;=01/09"&amp;$C$7,'Livro Diario - FC'!$D$11:$D1028,"&lt;=30/09"&amp;$C$7)+AP347</f>
        <v>0</v>
      </c>
      <c r="AQ356" s="259"/>
      <c r="AR356" s="258"/>
      <c r="AS356" s="511"/>
      <c r="AT356" s="373">
        <f>SUMIFS('Livro Diario - FC'!$L$11:$L1028,'Livro Diario - FC'!$N$11:$N1028,AS356,'Livro Diario - FC'!$D$11:$D1028,"&gt;=01/10"&amp;$C$7,'Livro Diario - FC'!$D$11:$D1028,"&lt;=31/10"&amp;$C$7)-SUMIFS('Livro Diario - FC'!$M$11:$M1028,'Livro Diario - FC'!$N$11:$N1028,AS356,'Livro Diario - FC'!$D$11:$D1028,"&gt;=01/10"&amp;$C$7,'Livro Diario - FC'!$D$11:$D1028,"&lt;=31/10"&amp;$C$7)+AT347</f>
        <v>0</v>
      </c>
      <c r="AU356" s="259"/>
      <c r="AV356" s="258"/>
      <c r="AW356" s="511"/>
      <c r="AX356" s="373">
        <f>SUMIFS('Livro Diario - FC'!$L$11:$L1028,'Livro Diario - FC'!$N$11:$N1028,AW356,'Livro Diario - FC'!$D$11:$D1028,"&gt;=01/11"&amp;$C$7,'Livro Diario - FC'!$D$11:$D1028,"&lt;=30/11"&amp;$C$7)-SUMIFS('Livro Diario - FC'!$M$11:$M1028,'Livro Diario - FC'!$N$11:$N1028,AW356,'Livro Diario - FC'!$D$11:$D1028,"&gt;=01/11"&amp;$C$7,'Livro Diario - FC'!$D$11:$D1028,"&lt;=30/11"&amp;$C$7)+AX347</f>
        <v>0</v>
      </c>
      <c r="AY356" s="259"/>
      <c r="AZ356" s="258"/>
      <c r="BA356" s="511"/>
      <c r="BB356" s="373">
        <f>SUMIFS('Livro Diario - FC'!$L$11:$L1028,'Livro Diario - FC'!$N$11:$N1028,BA356,'Livro Diario - FC'!$D$11:$D1028,"&gt;=01/12"&amp;$C$7,'Livro Diario - FC'!$D$11:$D1028,"&lt;=31/12"&amp;$C$7)-SUMIFS('Livro Diario - FC'!$M$11:$M1028,'Livro Diario - FC'!$N$11:$N1028,BA356,'Livro Diario - FC'!$D$11:$D1028,"&gt;=01/12"&amp;$C$7,'Livro Diario - FC'!$D$11:$D1028,"&lt;=31/12"&amp;$C$7)+BB347</f>
        <v>0</v>
      </c>
      <c r="BC356" s="259"/>
      <c r="BD356" s="258"/>
      <c r="BE356" s="508"/>
      <c r="BF356" s="508"/>
      <c r="BG356" s="149"/>
      <c r="BH356" s="209"/>
      <c r="BI356" s="150"/>
      <c r="BJ356" s="151"/>
      <c r="BK356" s="209"/>
      <c r="BL356" s="209"/>
    </row>
    <row r="357">
      <c r="A357" s="209"/>
      <c r="B357" s="209"/>
      <c r="C357" s="472" t="s">
        <v>557</v>
      </c>
      <c r="D357" s="511"/>
      <c r="E357" s="373">
        <f>SUMIFS('Livro Diario - FC'!$L$11:$L1028,'Livro Diario - FC'!$N$11:$N1028,D357,'Livro Diario - FC'!$D$11:$D1028,"&gt;=01/01"&amp;$C$7,'Livro Diario - FC'!$D$11:$D1028,"&lt;=31/01"&amp;$C$7)-SUMIFS('Livro Diario - FC'!$M$11:$M1028,'Livro Diario - FC'!$N$11:$N1028,D357,'Livro Diario - FC'!$D$11:$D1028,"&gt;=01/01"&amp;$C$7,'Livro Diario - FC'!$D$11:$D1028,"&lt;=31/01"&amp;$C$7)+E348</f>
        <v>0</v>
      </c>
      <c r="F357" s="259"/>
      <c r="G357" s="258"/>
      <c r="H357" s="157"/>
      <c r="I357" s="511"/>
      <c r="J357" s="373">
        <f>SUMIFS('Livro Diario - FC'!$L$11:$L1028,'Livro Diario - FC'!$N$11:$N1028,I357,'Livro Diario - FC'!$D$11:$D1028,"&gt;=01/02"&amp;$C$7,'Livro Diario - FC'!$D$11:$D1028,"&lt;=29/02"&amp;$C$7)-SUMIFS('Livro Diario - FC'!$M$11:$M1028,'Livro Diario - FC'!$N$11:$N1028,I357,'Livro Diario - FC'!$D$11:$D1028,"&gt;=01/02"&amp;$C$7,'Livro Diario - FC'!$D$11:$D1028,"&lt;=29/02"&amp;$C$7)+J348</f>
        <v>0</v>
      </c>
      <c r="K357" s="259"/>
      <c r="L357" s="258"/>
      <c r="M357" s="259"/>
      <c r="N357" s="511"/>
      <c r="O357" s="373">
        <f>SUMIFS('Livro Diario - FC'!$L$11:$L1028,'Livro Diario - FC'!$N$11:$N1028,N357,'Livro Diario - FC'!$D$11:$D1028,"&gt;=01/03"&amp;$C$7,'Livro Diario - FC'!$D$11:$D1028,"&lt;=31/03"&amp;$C$7)-SUMIFS('Livro Diario - FC'!$M$11:$M1028,'Livro Diario - FC'!$N$11:$N1028,N357,'Livro Diario - FC'!$D$11:$D1028,"&gt;=01/03"&amp;$C$7,'Livro Diario - FC'!$D$11:$D1028,"&lt;=31/03"&amp;$C$7)+O348</f>
        <v>0</v>
      </c>
      <c r="P357" s="259"/>
      <c r="Q357" s="258"/>
      <c r="R357" s="259"/>
      <c r="S357" s="511"/>
      <c r="T357" s="373">
        <f>SUMIFS('Livro Diario - FC'!$L$11:$L1028,'Livro Diario - FC'!$N$11:$N1028,S357,'Livro Diario - FC'!$D$11:$D1028,"&gt;=01/04"&amp;$C$7,'Livro Diario - FC'!$D$11:$D1028,"&lt;=30/04"&amp;$C$7)-SUMIFS('Livro Diario - FC'!$M$11:$M1028,'Livro Diario - FC'!$N$11:$N1028,S357,'Livro Diario - FC'!$D$11:$D1028,"&gt;=01/04"&amp;$C$7,'Livro Diario - FC'!$D$11:$D1028,"&lt;=30/04"&amp;$C$7)+T348</f>
        <v>0</v>
      </c>
      <c r="U357" s="259"/>
      <c r="V357" s="258"/>
      <c r="W357" s="259"/>
      <c r="X357" s="511"/>
      <c r="Y357" s="373">
        <f>SUMIFS('Livro Diario - FC'!$L$11:$L1028,'Livro Diario - FC'!$N$11:$N1028,X357,'Livro Diario - FC'!$D$11:$D1028,"&gt;=01/05"&amp;$C$7,'Livro Diario - FC'!$D$11:$D1028,"&lt;=31/05"&amp;$C$7)-SUMIFS('Livro Diario - FC'!$M$11:$M1028,'Livro Diario - FC'!$N$11:$N1028,X357,'Livro Diario - FC'!$D$11:$D1028,"&gt;=01/05"&amp;$C$7,'Livro Diario - FC'!$D$11:$D1028,"&lt;=31/05"&amp;$C$7)+Y348</f>
        <v>0</v>
      </c>
      <c r="Z357" s="259"/>
      <c r="AA357" s="258"/>
      <c r="AB357" s="259"/>
      <c r="AC357" s="511"/>
      <c r="AD357" s="373">
        <f>SUMIFS('Livro Diario - FC'!$L$11:$L1028,'Livro Diario - FC'!$N$11:$N1028,AC357,'Livro Diario - FC'!$D$11:$D1028,"&gt;=01/06"&amp;$C$7,'Livro Diario - FC'!$D$11:$D1028,"&lt;=30/06"&amp;$C$7)-SUMIFS('Livro Diario - FC'!$M$11:$M1028,'Livro Diario - FC'!$N$11:$N1028,AC357,'Livro Diario - FC'!$D$11:$D1028,"&gt;=01/06"&amp;$C$7,'Livro Diario - FC'!$D$11:$D1028,"&lt;=30/06"&amp;$C$7)+AD348</f>
        <v>0</v>
      </c>
      <c r="AE357" s="259"/>
      <c r="AF357" s="258"/>
      <c r="AG357" s="511"/>
      <c r="AH357" s="373">
        <f>SUMIFS('Livro Diario - FC'!$L$11:$L1028,'Livro Diario - FC'!$N$11:$N1028,AG357,'Livro Diario - FC'!$D$11:$D1028,"&gt;=01/07"&amp;$C$7,'Livro Diario - FC'!$D$11:$D1028,"&lt;=31/07"&amp;$C$7)-SUMIFS('Livro Diario - FC'!$M$11:$M1028,'Livro Diario - FC'!$N$11:$N1028,AG357,'Livro Diario - FC'!$D$11:$D1028,"&gt;=01/07"&amp;$C$7,'Livro Diario - FC'!$D$11:$D1028,"&lt;=31/07"&amp;$C$7)+AH348</f>
        <v>0</v>
      </c>
      <c r="AI357" s="259"/>
      <c r="AJ357" s="258"/>
      <c r="AK357" s="511"/>
      <c r="AL357" s="373">
        <f>SUMIFS('Livro Diario - FC'!$L$11:$L1028,'Livro Diario - FC'!$N$11:$N1028,AK357,'Livro Diario - FC'!$D$11:$D1028,"&gt;=01/08"&amp;$C$7,'Livro Diario - FC'!$D$11:$D1028,"&lt;=31/08"&amp;$C$7)-SUMIFS('Livro Diario - FC'!$M$11:$M1028,'Livro Diario - FC'!$N$11:$N1028,AK357,'Livro Diario - FC'!$D$11:$D1028,"&gt;=01/08"&amp;$C$7,'Livro Diario - FC'!$D$11:$D1028,"&lt;=31/08"&amp;$C$7)+AL348</f>
        <v>0</v>
      </c>
      <c r="AM357" s="259"/>
      <c r="AN357" s="258"/>
      <c r="AO357" s="511"/>
      <c r="AP357" s="373">
        <f>SUMIFS('Livro Diario - FC'!$L$11:$L1028,'Livro Diario - FC'!$N$11:$N1028,AO357,'Livro Diario - FC'!$D$11:$D1028,"&gt;=01/09"&amp;$C$7,'Livro Diario - FC'!$D$11:$D1028,"&lt;=30/09"&amp;$C$7)-SUMIFS('Livro Diario - FC'!$M$11:$M1028,'Livro Diario - FC'!$N$11:$N1028,AO357,'Livro Diario - FC'!$D$11:$D1028,"&gt;=01/09"&amp;$C$7,'Livro Diario - FC'!$D$11:$D1028,"&lt;=30/09"&amp;$C$7)+AP348</f>
        <v>0</v>
      </c>
      <c r="AQ357" s="259"/>
      <c r="AR357" s="258"/>
      <c r="AS357" s="511"/>
      <c r="AT357" s="373">
        <f>SUMIFS('Livro Diario - FC'!$L$11:$L1028,'Livro Diario - FC'!$N$11:$N1028,AS357,'Livro Diario - FC'!$D$11:$D1028,"&gt;=01/10"&amp;$C$7,'Livro Diario - FC'!$D$11:$D1028,"&lt;=31/10"&amp;$C$7)-SUMIFS('Livro Diario - FC'!$M$11:$M1028,'Livro Diario - FC'!$N$11:$N1028,AS357,'Livro Diario - FC'!$D$11:$D1028,"&gt;=01/10"&amp;$C$7,'Livro Diario - FC'!$D$11:$D1028,"&lt;=31/10"&amp;$C$7)+AT348</f>
        <v>0</v>
      </c>
      <c r="AU357" s="259"/>
      <c r="AV357" s="258"/>
      <c r="AW357" s="511"/>
      <c r="AX357" s="373">
        <f>SUMIFS('Livro Diario - FC'!$L$11:$L1028,'Livro Diario - FC'!$N$11:$N1028,AW357,'Livro Diario - FC'!$D$11:$D1028,"&gt;=01/11"&amp;$C$7,'Livro Diario - FC'!$D$11:$D1028,"&lt;=30/11"&amp;$C$7)-SUMIFS('Livro Diario - FC'!$M$11:$M1028,'Livro Diario - FC'!$N$11:$N1028,AW357,'Livro Diario - FC'!$D$11:$D1028,"&gt;=01/11"&amp;$C$7,'Livro Diario - FC'!$D$11:$D1028,"&lt;=30/11"&amp;$C$7)+AX348</f>
        <v>0</v>
      </c>
      <c r="AY357" s="259"/>
      <c r="AZ357" s="258"/>
      <c r="BA357" s="511"/>
      <c r="BB357" s="373">
        <f>SUMIFS('Livro Diario - FC'!$L$11:$L1028,'Livro Diario - FC'!$N$11:$N1028,BA357,'Livro Diario - FC'!$D$11:$D1028,"&gt;=01/12"&amp;$C$7,'Livro Diario - FC'!$D$11:$D1028,"&lt;=31/12"&amp;$C$7)-SUMIFS('Livro Diario - FC'!$M$11:$M1028,'Livro Diario - FC'!$N$11:$N1028,BA357,'Livro Diario - FC'!$D$11:$D1028,"&gt;=01/12"&amp;$C$7,'Livro Diario - FC'!$D$11:$D1028,"&lt;=31/12"&amp;$C$7)+BB348</f>
        <v>0</v>
      </c>
      <c r="BC357" s="259"/>
      <c r="BD357" s="258"/>
      <c r="BE357" s="508"/>
      <c r="BF357" s="508"/>
      <c r="BG357" s="149"/>
      <c r="BH357" s="209"/>
      <c r="BI357" s="150"/>
      <c r="BJ357" s="151"/>
      <c r="BK357" s="209"/>
      <c r="BL357" s="209"/>
    </row>
    <row r="358">
      <c r="A358" s="209"/>
      <c r="B358" s="209"/>
      <c r="C358" s="472" t="s">
        <v>558</v>
      </c>
      <c r="D358" s="488"/>
      <c r="E358" s="512">
        <f>SUMIFS('Livro Diario - FC'!$L$11:$L1028,'Livro Diario - FC'!$N$11:$N1028,D358,'Livro Diario - FC'!$D$11:$D1028,"&gt;=01/01"&amp;$C$7,'Livro Diario - FC'!$D$11:$D1028,"&lt;=31/01"&amp;$C$7)-SUMIFS('Livro Diario - FC'!$M$11:$M1028,'Livro Diario - FC'!$N$11:$N1028,D358,'Livro Diario - FC'!$D$11:$D1028,"&gt;=01/01"&amp;$C$7,'Livro Diario - FC'!$D$11:$D1028,"&lt;=31/01"&amp;$C$7)+E349</f>
        <v>0</v>
      </c>
      <c r="F358" s="273"/>
      <c r="G358" s="258"/>
      <c r="H358" s="157"/>
      <c r="I358" s="488"/>
      <c r="J358" s="512">
        <f>SUMIFS('Livro Diario - FC'!$L$11:$L1028,'Livro Diario - FC'!$N$11:$N1028,I358,'Livro Diario - FC'!$D$11:$D1028,"&gt;=01/02"&amp;$C$7,'Livro Diario - FC'!$D$11:$D1028,"&lt;=29/02"&amp;$C$7)-SUMIFS('Livro Diario - FC'!$M$11:$M1028,'Livro Diario - FC'!$N$11:$N1028,I358,'Livro Diario - FC'!$D$11:$D1028,"&gt;=01/02"&amp;$C$7,'Livro Diario - FC'!$D$11:$D1028,"&lt;=29/02"&amp;$C$7)+J349</f>
        <v>0</v>
      </c>
      <c r="K358" s="273"/>
      <c r="L358" s="258"/>
      <c r="M358" s="259"/>
      <c r="N358" s="488"/>
      <c r="O358" s="512">
        <f>SUMIFS('Livro Diario - FC'!$L$11:$L1028,'Livro Diario - FC'!$N$11:$N1028,N358,'Livro Diario - FC'!$D$11:$D1028,"&gt;=01/03"&amp;$C$7,'Livro Diario - FC'!$D$11:$D1028,"&lt;=31/03"&amp;$C$7)-SUMIFS('Livro Diario - FC'!$M$11:$M1028,'Livro Diario - FC'!$N$11:$N1028,N358,'Livro Diario - FC'!$D$11:$D1028,"&gt;=01/03"&amp;$C$7,'Livro Diario - FC'!$D$11:$D1028,"&lt;=31/03"&amp;$C$7)+O349</f>
        <v>0</v>
      </c>
      <c r="P358" s="273"/>
      <c r="Q358" s="258"/>
      <c r="R358" s="259"/>
      <c r="S358" s="488"/>
      <c r="T358" s="512">
        <f>SUMIFS('Livro Diario - FC'!$L$11:$L1028,'Livro Diario - FC'!$N$11:$N1028,S358,'Livro Diario - FC'!$D$11:$D1028,"&gt;=01/04"&amp;$C$7,'Livro Diario - FC'!$D$11:$D1028,"&lt;=30/04"&amp;$C$7)-SUMIFS('Livro Diario - FC'!$M$11:$M1028,'Livro Diario - FC'!$N$11:$N1028,S358,'Livro Diario - FC'!$D$11:$D1028,"&gt;=01/04"&amp;$C$7,'Livro Diario - FC'!$D$11:$D1028,"&lt;=30/04"&amp;$C$7)+T349</f>
        <v>0</v>
      </c>
      <c r="U358" s="273"/>
      <c r="V358" s="258"/>
      <c r="W358" s="259"/>
      <c r="X358" s="488"/>
      <c r="Y358" s="512">
        <f>SUMIFS('Livro Diario - FC'!$L$11:$L1028,'Livro Diario - FC'!$N$11:$N1028,X358,'Livro Diario - FC'!$D$11:$D1028,"&gt;=01/05"&amp;$C$7,'Livro Diario - FC'!$D$11:$D1028,"&lt;=31/05"&amp;$C$7)-SUMIFS('Livro Diario - FC'!$M$11:$M1028,'Livro Diario - FC'!$N$11:$N1028,X358,'Livro Diario - FC'!$D$11:$D1028,"&gt;=01/05"&amp;$C$7,'Livro Diario - FC'!$D$11:$D1028,"&lt;=31/05"&amp;$C$7)+Y349</f>
        <v>0</v>
      </c>
      <c r="Z358" s="273"/>
      <c r="AA358" s="258"/>
      <c r="AB358" s="259"/>
      <c r="AC358" s="488"/>
      <c r="AD358" s="512">
        <f>SUMIFS('Livro Diario - FC'!$L$11:$L1028,'Livro Diario - FC'!$N$11:$N1028,AC358,'Livro Diario - FC'!$D$11:$D1028,"&gt;=01/06"&amp;$C$7,'Livro Diario - FC'!$D$11:$D1028,"&lt;=30/06"&amp;$C$7)-SUMIFS('Livro Diario - FC'!$M$11:$M1028,'Livro Diario - FC'!$N$11:$N1028,AC358,'Livro Diario - FC'!$D$11:$D1028,"&gt;=01/06"&amp;$C$7,'Livro Diario - FC'!$D$11:$D1028,"&lt;=30/06"&amp;$C$7)+AD349</f>
        <v>0</v>
      </c>
      <c r="AE358" s="273"/>
      <c r="AF358" s="258"/>
      <c r="AG358" s="488"/>
      <c r="AH358" s="512">
        <f>SUMIFS('Livro Diario - FC'!$L$11:$L1028,'Livro Diario - FC'!$N$11:$N1028,AG358,'Livro Diario - FC'!$D$11:$D1028,"&gt;=01/07"&amp;$C$7,'Livro Diario - FC'!$D$11:$D1028,"&lt;=31/07"&amp;$C$7)-SUMIFS('Livro Diario - FC'!$M$11:$M1028,'Livro Diario - FC'!$N$11:$N1028,AG358,'Livro Diario - FC'!$D$11:$D1028,"&gt;=01/07"&amp;$C$7,'Livro Diario - FC'!$D$11:$D1028,"&lt;=31/07"&amp;$C$7)+AH349</f>
        <v>0</v>
      </c>
      <c r="AI358" s="273"/>
      <c r="AJ358" s="258"/>
      <c r="AK358" s="488"/>
      <c r="AL358" s="512">
        <f>SUMIFS('Livro Diario - FC'!$L$11:$L1028,'Livro Diario - FC'!$N$11:$N1028,AK358,'Livro Diario - FC'!$D$11:$D1028,"&gt;=01/08"&amp;$C$7,'Livro Diario - FC'!$D$11:$D1028,"&lt;=31/08"&amp;$C$7)-SUMIFS('Livro Diario - FC'!$M$11:$M1028,'Livro Diario - FC'!$N$11:$N1028,AK358,'Livro Diario - FC'!$D$11:$D1028,"&gt;=01/08"&amp;$C$7,'Livro Diario - FC'!$D$11:$D1028,"&lt;=31/08"&amp;$C$7)+AL349</f>
        <v>0</v>
      </c>
      <c r="AM358" s="273"/>
      <c r="AN358" s="258"/>
      <c r="AO358" s="488"/>
      <c r="AP358" s="512">
        <f>SUMIFS('Livro Diario - FC'!$L$11:$L1028,'Livro Diario - FC'!$N$11:$N1028,AO358,'Livro Diario - FC'!$D$11:$D1028,"&gt;=01/09"&amp;$C$7,'Livro Diario - FC'!$D$11:$D1028,"&lt;=30/09"&amp;$C$7)-SUMIFS('Livro Diario - FC'!$M$11:$M1028,'Livro Diario - FC'!$N$11:$N1028,AO358,'Livro Diario - FC'!$D$11:$D1028,"&gt;=01/09"&amp;$C$7,'Livro Diario - FC'!$D$11:$D1028,"&lt;=30/09"&amp;$C$7)+AP349</f>
        <v>0</v>
      </c>
      <c r="AQ358" s="273"/>
      <c r="AR358" s="258"/>
      <c r="AS358" s="488"/>
      <c r="AT358" s="512">
        <f>SUMIFS('Livro Diario - FC'!$L$11:$L1028,'Livro Diario - FC'!$N$11:$N1028,AS358,'Livro Diario - FC'!$D$11:$D1028,"&gt;=01/10"&amp;$C$7,'Livro Diario - FC'!$D$11:$D1028,"&lt;=31/10"&amp;$C$7)-SUMIFS('Livro Diario - FC'!$M$11:$M1028,'Livro Diario - FC'!$N$11:$N1028,AS358,'Livro Diario - FC'!$D$11:$D1028,"&gt;=01/10"&amp;$C$7,'Livro Diario - FC'!$D$11:$D1028,"&lt;=31/10"&amp;$C$7)+AT349</f>
        <v>0</v>
      </c>
      <c r="AU358" s="273"/>
      <c r="AV358" s="258"/>
      <c r="AW358" s="488"/>
      <c r="AX358" s="512">
        <f>SUMIFS('Livro Diario - FC'!$L$11:$L1028,'Livro Diario - FC'!$N$11:$N1028,AW358,'Livro Diario - FC'!$D$11:$D1028,"&gt;=01/11"&amp;$C$7,'Livro Diario - FC'!$D$11:$D1028,"&lt;=30/11"&amp;$C$7)-SUMIFS('Livro Diario - FC'!$M$11:$M1028,'Livro Diario - FC'!$N$11:$N1028,AW358,'Livro Diario - FC'!$D$11:$D1028,"&gt;=01/11"&amp;$C$7,'Livro Diario - FC'!$D$11:$D1028,"&lt;=30/11"&amp;$C$7)+AX349</f>
        <v>0</v>
      </c>
      <c r="AY358" s="273"/>
      <c r="AZ358" s="258"/>
      <c r="BA358" s="488"/>
      <c r="BB358" s="512">
        <f>SUMIFS('Livro Diario - FC'!$L$11:$L1028,'Livro Diario - FC'!$N$11:$N1028,BA358,'Livro Diario - FC'!$D$11:$D1028,"&gt;=01/12"&amp;$C$7,'Livro Diario - FC'!$D$11:$D1028,"&lt;=31/12"&amp;$C$7)-SUMIFS('Livro Diario - FC'!$M$11:$M1028,'Livro Diario - FC'!$N$11:$N1028,BA358,'Livro Diario - FC'!$D$11:$D1028,"&gt;=01/12"&amp;$C$7,'Livro Diario - FC'!$D$11:$D1028,"&lt;=31/12"&amp;$C$7)+BB349</f>
        <v>0</v>
      </c>
      <c r="BC358" s="273"/>
      <c r="BD358" s="258"/>
      <c r="BE358" s="508"/>
      <c r="BF358" s="508"/>
      <c r="BG358" s="149"/>
      <c r="BH358" s="209"/>
      <c r="BI358" s="150"/>
      <c r="BJ358" s="151"/>
      <c r="BK358" s="209"/>
      <c r="BL358" s="209"/>
    </row>
    <row r="359">
      <c r="A359" s="209"/>
      <c r="B359" s="209"/>
      <c r="C359" s="513" t="s">
        <v>559</v>
      </c>
      <c r="D359" s="514">
        <f>SUMIFS('Livro Diario - FC'!$L$11:$L1028,'Livro Diario - FC'!$N$11:$N1028,C359,'Livro Diario - FC'!$D$11:$D1028,"&gt;=01/01"&amp;$C$7,'Livro Diario - FC'!$D$11:$D1028,"&lt;=31/01"&amp;$C$7)-SUMIFS('Livro Diario - FC'!$M$11:$M1028,'Livro Diario - FC'!$N$11:$N1028,C359,'Livro Diario - FC'!$D$11:$D1028,"&gt;=01/01"&amp;$C$7,'Livro Diario - FC'!$D$11:$D1028,"&lt;=31/01"&amp;$C$7)+D350</f>
        <v>1027.78</v>
      </c>
      <c r="E359" s="494"/>
      <c r="F359" s="248"/>
      <c r="G359" s="245"/>
      <c r="H359" s="246"/>
      <c r="I359" s="514">
        <f>SUMIFS('Livro Diario - FC'!$L$11:$L1028,'Livro Diario - FC'!$N$11:$N1028,G359,'Livro Diario - FC'!$D$11:$D1028,"&gt;=01/02"&amp;$C$7,'Livro Diario - FC'!$D$11:$D1028,"&lt;=29/02"&amp;$C$7)-SUMIFS('Livro Diario - FC'!$M$11:$M1028,'Livro Diario - FC'!$N$11:$N1028,G359,'Livro Diario - FC'!$D$11:$D1028,"&gt;=01/02"&amp;$C$7,'Livro Diario - FC'!$D$11:$D1028,"&lt;=29/02"&amp;$C$7)+I350</f>
        <v>1027.78</v>
      </c>
      <c r="J359" s="494"/>
      <c r="K359" s="248"/>
      <c r="L359" s="245"/>
      <c r="M359" s="247"/>
      <c r="N359" s="514">
        <f>SUMIFS('Livro Diario - FC'!$L$11:$L1028,'Livro Diario - FC'!$N$11:$N1028,L359,'Livro Diario - FC'!$D$11:$D1028,"&gt;=01/03"&amp;$C$7,'Livro Diario - FC'!$D$11:$D1028,"&lt;=31/03"&amp;$C$7)-SUMIFS('Livro Diario - FC'!$M$11:$M1028,'Livro Diario - FC'!$N$11:$N1028,L359,'Livro Diario - FC'!$D$11:$D1028,"&gt;=01/03"&amp;$C$7,'Livro Diario - FC'!$D$11:$D1028,"&lt;=31/03"&amp;$C$7)+N350</f>
        <v>1027.78</v>
      </c>
      <c r="O359" s="494"/>
      <c r="P359" s="248"/>
      <c r="Q359" s="245"/>
      <c r="R359" s="247"/>
      <c r="S359" s="514">
        <f>SUMIFS('Livro Diario - FC'!$L$11:$L1028,'Livro Diario - FC'!$N$11:$N1028,Q359,'Livro Diario - FC'!$D$11:$D1028,"&gt;=01/04"&amp;$C$7,'Livro Diario - FC'!$D$11:$D1028,"&lt;=30/04"&amp;$C$7)-SUMIFS('Livro Diario - FC'!$M$11:$M1028,'Livro Diario - FC'!$N$11:$N1028,Q359,'Livro Diario - FC'!$D$11:$D1028,"&gt;=01/04"&amp;$C$7,'Livro Diario - FC'!$D$11:$D1028,"&lt;=30/04"&amp;$C$7)+S350</f>
        <v>1027.78</v>
      </c>
      <c r="T359" s="494"/>
      <c r="U359" s="248"/>
      <c r="V359" s="245"/>
      <c r="W359" s="247"/>
      <c r="X359" s="514">
        <f>SUMIFS('Livro Diario - FC'!$L$11:$L1028,'Livro Diario - FC'!$N$11:$N1028,V359,'Livro Diario - FC'!$D$11:$D1028,"&gt;=01/05"&amp;$C$7,'Livro Diario - FC'!$D$11:$D1028,"&lt;=31/05"&amp;$C$7)-SUMIFS('Livro Diario - FC'!$M$11:$M1028,'Livro Diario - FC'!$N$11:$N1028,V359,'Livro Diario - FC'!$D$11:$D1028,"&gt;=01/05"&amp;$C$7,'Livro Diario - FC'!$D$11:$D1028,"&lt;=31/05"&amp;$C$7)+X350</f>
        <v>1027.78</v>
      </c>
      <c r="Y359" s="494"/>
      <c r="Z359" s="248"/>
      <c r="AA359" s="245"/>
      <c r="AB359" s="247"/>
      <c r="AC359" s="514">
        <f>SUMIFS('Livro Diario - FC'!$L$11:$L1028,'Livro Diario - FC'!$N$11:$N1028,AA359,'Livro Diario - FC'!$D$11:$D1028,"&gt;=01/06"&amp;$C$7,'Livro Diario - FC'!$D$11:$D1028,"&lt;=30/06"&amp;$C$7)-SUMIFS('Livro Diario - FC'!$M$11:$M1028,'Livro Diario - FC'!$N$11:$N1028,AA359,'Livro Diario - FC'!$D$11:$D1028,"&gt;=01/06"&amp;$C$7,'Livro Diario - FC'!$D$11:$D1028,"&lt;=30/06"&amp;$C$7)+AC350</f>
        <v>1027.78</v>
      </c>
      <c r="AD359" s="494"/>
      <c r="AE359" s="248"/>
      <c r="AF359" s="245"/>
      <c r="AG359" s="514">
        <f>SUMIFS('Livro Diario - FC'!$L$11:$L1028,'Livro Diario - FC'!$N$11:$N1028,AF359,'Livro Diario - FC'!$D$11:$D1028,"&gt;=01/07"&amp;$C$7,'Livro Diario - FC'!$D$11:$D1028,"&lt;=31/07"&amp;$C$7)-SUMIFS('Livro Diario - FC'!$M$11:$M1028,'Livro Diario - FC'!$N$11:$N1028,AF359,'Livro Diario - FC'!$D$11:$D1028,"&gt;=01/07"&amp;$C$7,'Livro Diario - FC'!$D$11:$D1028,"&lt;=31/07"&amp;$C$7)+AG350</f>
        <v>1027.78</v>
      </c>
      <c r="AH359" s="494"/>
      <c r="AI359" s="248"/>
      <c r="AJ359" s="245"/>
      <c r="AK359" s="514">
        <f>SUMIFS('Livro Diario - FC'!$L$11:$L1028,'Livro Diario - FC'!$N$11:$N1028,AJ359,'Livro Diario - FC'!$D$11:$D1028,"&gt;=01/08"&amp;$C$7,'Livro Diario - FC'!$D$11:$D1028,"&lt;=31/08"&amp;$C$7)-SUMIFS('Livro Diario - FC'!$M$11:$M1028,'Livro Diario - FC'!$N$11:$N1028,AJ359,'Livro Diario - FC'!$D$11:$D1028,"&gt;=01/08"&amp;$C$7,'Livro Diario - FC'!$D$11:$D1028,"&lt;=31/08"&amp;$C$7)+AK350</f>
        <v>1027.78</v>
      </c>
      <c r="AL359" s="494"/>
      <c r="AM359" s="248"/>
      <c r="AN359" s="245"/>
      <c r="AO359" s="514">
        <f>SUMIFS('Livro Diario - FC'!$L$11:$L1028,'Livro Diario - FC'!$N$11:$N1028,AN359,'Livro Diario - FC'!$D$11:$D1028,"&gt;=01/09"&amp;$C$7,'Livro Diario - FC'!$D$11:$D1028,"&lt;=30/09"&amp;$C$7)-SUMIFS('Livro Diario - FC'!$M$11:$M1028,'Livro Diario - FC'!$N$11:$N1028,AN359,'Livro Diario - FC'!$D$11:$D1028,"&gt;=01/09"&amp;$C$7,'Livro Diario - FC'!$D$11:$D1028,"&lt;=30/09"&amp;$C$7)+AO350</f>
        <v>1027.78</v>
      </c>
      <c r="AP359" s="494"/>
      <c r="AQ359" s="248"/>
      <c r="AR359" s="245"/>
      <c r="AS359" s="514">
        <f>SUMIFS('Livro Diario - FC'!$L$11:$L1028,'Livro Diario - FC'!$N$11:$N1028,AR359,'Livro Diario - FC'!$D$11:$D1028,"&gt;=01/10"&amp;$C$7,'Livro Diario - FC'!$D$11:$D1028,"&lt;=31/10"&amp;$C$7)-SUMIFS('Livro Diario - FC'!$M$11:$M1028,'Livro Diario - FC'!$N$11:$N1028,AR359,'Livro Diario - FC'!$D$11:$D1028,"&gt;=01/10"&amp;$C$7,'Livro Diario - FC'!$D$11:$D1028,"&lt;=31/10"&amp;$C$7)+AS350</f>
        <v>1027.78</v>
      </c>
      <c r="AT359" s="494"/>
      <c r="AU359" s="248"/>
      <c r="AV359" s="245"/>
      <c r="AW359" s="514">
        <f>SUMIFS('Livro Diario - FC'!$L$11:$L1028,'Livro Diario - FC'!$N$11:$N1028,AV359,'Livro Diario - FC'!$D$11:$D1028,"&gt;=01/11"&amp;$C$7,'Livro Diario - FC'!$D$11:$D1028,"&lt;=30/11"&amp;$C$7)-SUMIFS('Livro Diario - FC'!$M$11:$M1028,'Livro Diario - FC'!$N$11:$N1028,AV359,'Livro Diario - FC'!$D$11:$D1028,"&gt;=01/11"&amp;$C$7,'Livro Diario - FC'!$D$11:$D1028,"&lt;=30/11"&amp;$C$7)+AW350</f>
        <v>1027.78</v>
      </c>
      <c r="AX359" s="494"/>
      <c r="AY359" s="248"/>
      <c r="AZ359" s="245"/>
      <c r="BA359" s="514">
        <f>SUMIFS('Livro Diario - FC'!$L$11:$L1028,'Livro Diario - FC'!$N$11:$N1028,AZ359,'Livro Diario - FC'!$D$11:$D1028,"&gt;=01/12"&amp;$C$7,'Livro Diario - FC'!$D$11:$D1028,"&lt;=31/12"&amp;$C$7)-SUMIFS('Livro Diario - FC'!$M$11:$M1028,'Livro Diario - FC'!$N$11:$N1028,AZ359,'Livro Diario - FC'!$D$11:$D1028,"&gt;=01/12"&amp;$C$7,'Livro Diario - FC'!$D$11:$D1028,"&lt;=31/12"&amp;$C$7)+BA350</f>
        <v>1027.78</v>
      </c>
      <c r="BB359" s="494"/>
      <c r="BC359" s="248"/>
      <c r="BD359" s="245"/>
      <c r="BE359" s="508"/>
      <c r="BF359" s="508"/>
      <c r="BG359" s="149"/>
      <c r="BH359" s="209"/>
      <c r="BI359" s="150"/>
      <c r="BJ359" s="151"/>
      <c r="BK359" s="209"/>
      <c r="BL359" s="209"/>
    </row>
    <row r="360">
      <c r="A360" s="209"/>
      <c r="B360" s="209"/>
      <c r="C360" s="515"/>
      <c r="D360" s="516"/>
      <c r="E360" s="1"/>
      <c r="F360" s="148"/>
      <c r="G360" s="517"/>
      <c r="H360" s="448"/>
      <c r="I360" s="518"/>
      <c r="J360" s="1"/>
      <c r="K360" s="148"/>
      <c r="L360" s="148"/>
      <c r="M360" s="148"/>
      <c r="N360" s="1"/>
      <c r="O360" s="1"/>
      <c r="P360" s="148"/>
      <c r="Q360" s="148"/>
      <c r="R360" s="148"/>
      <c r="S360" s="1"/>
      <c r="T360" s="1"/>
      <c r="U360" s="148"/>
      <c r="V360" s="148"/>
      <c r="W360" s="148"/>
      <c r="X360" s="1"/>
      <c r="Y360" s="1"/>
      <c r="Z360" s="148"/>
      <c r="AA360" s="148"/>
      <c r="AB360" s="148"/>
      <c r="AC360" s="1"/>
      <c r="AD360" s="1"/>
      <c r="AE360" s="148"/>
      <c r="AF360" s="148"/>
      <c r="AG360" s="1"/>
      <c r="AH360" s="1"/>
      <c r="AI360" s="148"/>
      <c r="AJ360" s="148"/>
      <c r="AK360" s="1"/>
      <c r="AL360" s="1"/>
      <c r="AM360" s="148"/>
      <c r="AN360" s="148"/>
      <c r="AO360" s="1"/>
      <c r="AP360" s="1"/>
      <c r="AQ360" s="148"/>
      <c r="AR360" s="148"/>
      <c r="AS360" s="1"/>
      <c r="AT360" s="1"/>
      <c r="AU360" s="148"/>
      <c r="AV360" s="148"/>
      <c r="AW360" s="1"/>
      <c r="AX360" s="1"/>
      <c r="AY360" s="148"/>
      <c r="AZ360" s="148"/>
      <c r="BA360" s="1"/>
      <c r="BB360" s="1"/>
      <c r="BC360" s="148"/>
      <c r="BD360" s="148"/>
      <c r="BE360" s="1"/>
      <c r="BF360" s="1"/>
      <c r="BG360" s="149"/>
      <c r="BH360" s="1"/>
      <c r="BI360" s="150"/>
      <c r="BJ360" s="151"/>
      <c r="BK360" s="1"/>
      <c r="BL360" s="1"/>
    </row>
    <row r="361">
      <c r="A361" s="1"/>
      <c r="B361" s="1"/>
      <c r="C361" s="7"/>
      <c r="D361" s="519"/>
      <c r="E361" s="7"/>
      <c r="F361" s="7"/>
      <c r="G361" s="520"/>
      <c r="H361" s="9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521"/>
      <c r="BJ361" s="18"/>
      <c r="BK361" s="7"/>
      <c r="BL361" s="7"/>
    </row>
    <row r="362">
      <c r="A362" s="1"/>
      <c r="B362" s="1"/>
      <c r="C362" s="522" t="s">
        <v>29</v>
      </c>
      <c r="D362" s="523"/>
      <c r="E362" s="1"/>
      <c r="F362" s="148"/>
      <c r="G362" s="517"/>
      <c r="H362" s="448"/>
      <c r="I362" s="518"/>
      <c r="J362" s="1"/>
      <c r="K362" s="148"/>
      <c r="L362" s="148"/>
      <c r="M362" s="148"/>
      <c r="N362" s="1"/>
      <c r="O362" s="1"/>
      <c r="P362" s="148"/>
      <c r="Q362" s="148"/>
      <c r="R362" s="148"/>
      <c r="S362" s="1"/>
      <c r="T362" s="1"/>
      <c r="U362" s="148"/>
      <c r="V362" s="148"/>
      <c r="W362" s="148"/>
      <c r="X362" s="1"/>
      <c r="Y362" s="1"/>
      <c r="Z362" s="148"/>
      <c r="AA362" s="148"/>
      <c r="AB362" s="148"/>
      <c r="AC362" s="1"/>
      <c r="AD362" s="1"/>
      <c r="AE362" s="148"/>
      <c r="AF362" s="148"/>
      <c r="AG362" s="1"/>
      <c r="AH362" s="1"/>
      <c r="AI362" s="148"/>
      <c r="AJ362" s="148"/>
      <c r="AK362" s="1"/>
      <c r="AL362" s="1"/>
      <c r="AM362" s="148"/>
      <c r="AN362" s="148"/>
      <c r="AO362" s="1"/>
      <c r="AP362" s="1"/>
      <c r="AQ362" s="148"/>
      <c r="AR362" s="148"/>
      <c r="AS362" s="1"/>
      <c r="AT362" s="1"/>
      <c r="AU362" s="148"/>
      <c r="AV362" s="148"/>
      <c r="AW362" s="1"/>
      <c r="AX362" s="1"/>
      <c r="AY362" s="148"/>
      <c r="AZ362" s="148"/>
      <c r="BA362" s="1"/>
      <c r="BB362" s="1"/>
      <c r="BC362" s="148"/>
      <c r="BD362" s="148"/>
      <c r="BE362" s="1"/>
      <c r="BF362" s="1"/>
      <c r="BG362" s="149"/>
      <c r="BH362" s="1"/>
      <c r="BI362" s="150"/>
      <c r="BJ362" s="151"/>
      <c r="BK362" s="1"/>
      <c r="BL362" s="1"/>
    </row>
    <row r="363">
      <c r="A363" s="1"/>
      <c r="B363" s="1"/>
      <c r="C363" s="522" t="s">
        <v>34</v>
      </c>
      <c r="D363" s="523"/>
      <c r="E363" s="1"/>
      <c r="F363" s="148"/>
      <c r="G363" s="517"/>
      <c r="H363" s="448"/>
      <c r="I363" s="518"/>
      <c r="J363" s="1"/>
      <c r="K363" s="148"/>
      <c r="L363" s="148"/>
      <c r="M363" s="148"/>
      <c r="N363" s="1"/>
      <c r="O363" s="1"/>
      <c r="P363" s="148"/>
      <c r="Q363" s="148"/>
      <c r="R363" s="148"/>
      <c r="S363" s="1"/>
      <c r="T363" s="1"/>
      <c r="U363" s="148"/>
      <c r="V363" s="148"/>
      <c r="W363" s="148"/>
      <c r="X363" s="1"/>
      <c r="Y363" s="1"/>
      <c r="Z363" s="148"/>
      <c r="AA363" s="148"/>
      <c r="AB363" s="148"/>
      <c r="AC363" s="1"/>
      <c r="AD363" s="1"/>
      <c r="AE363" s="148"/>
      <c r="AF363" s="148"/>
      <c r="AG363" s="1"/>
      <c r="AH363" s="1"/>
      <c r="AI363" s="148"/>
      <c r="AJ363" s="148"/>
      <c r="AK363" s="1"/>
      <c r="AL363" s="1"/>
      <c r="AM363" s="148"/>
      <c r="AN363" s="148"/>
      <c r="AO363" s="1"/>
      <c r="AP363" s="1"/>
      <c r="AQ363" s="148"/>
      <c r="AR363" s="148"/>
      <c r="AS363" s="1"/>
      <c r="AT363" s="1"/>
      <c r="AU363" s="148"/>
      <c r="AV363" s="148"/>
      <c r="AW363" s="1"/>
      <c r="AX363" s="1"/>
      <c r="AY363" s="148"/>
      <c r="AZ363" s="148"/>
      <c r="BA363" s="1"/>
      <c r="BB363" s="1"/>
      <c r="BC363" s="148"/>
      <c r="BD363" s="148"/>
      <c r="BE363" s="1"/>
      <c r="BF363" s="1"/>
      <c r="BG363" s="149"/>
      <c r="BH363" s="1"/>
      <c r="BI363" s="150"/>
      <c r="BJ363" s="151"/>
      <c r="BK363" s="1"/>
      <c r="BL363" s="1"/>
    </row>
    <row r="364">
      <c r="A364" s="1"/>
      <c r="B364" s="1"/>
      <c r="C364" s="522" t="s">
        <v>39</v>
      </c>
      <c r="D364" s="523"/>
      <c r="E364" s="1"/>
      <c r="F364" s="148"/>
      <c r="G364" s="517"/>
      <c r="H364" s="448"/>
      <c r="I364" s="518"/>
      <c r="J364" s="1"/>
      <c r="K364" s="148"/>
      <c r="L364" s="148"/>
      <c r="M364" s="148"/>
      <c r="N364" s="1"/>
      <c r="O364" s="1"/>
      <c r="P364" s="148"/>
      <c r="Q364" s="148"/>
      <c r="R364" s="148"/>
      <c r="S364" s="1"/>
      <c r="T364" s="1"/>
      <c r="U364" s="148"/>
      <c r="V364" s="148"/>
      <c r="W364" s="148"/>
      <c r="X364" s="1"/>
      <c r="Y364" s="1"/>
      <c r="Z364" s="148"/>
      <c r="AA364" s="148"/>
      <c r="AB364" s="148"/>
      <c r="AC364" s="1"/>
      <c r="AD364" s="1"/>
      <c r="AE364" s="148"/>
      <c r="AF364" s="148"/>
      <c r="AG364" s="1"/>
      <c r="AH364" s="1"/>
      <c r="AI364" s="148"/>
      <c r="AJ364" s="148"/>
      <c r="AK364" s="1"/>
      <c r="AL364" s="1"/>
      <c r="AM364" s="148"/>
      <c r="AN364" s="148"/>
      <c r="AO364" s="1"/>
      <c r="AP364" s="1"/>
      <c r="AQ364" s="148"/>
      <c r="AR364" s="148"/>
      <c r="AS364" s="1"/>
      <c r="AT364" s="1"/>
      <c r="AU364" s="148"/>
      <c r="AV364" s="148"/>
      <c r="AW364" s="1"/>
      <c r="AX364" s="1"/>
      <c r="AY364" s="148"/>
      <c r="AZ364" s="148"/>
      <c r="BA364" s="1"/>
      <c r="BB364" s="1"/>
      <c r="BC364" s="148"/>
      <c r="BD364" s="148"/>
      <c r="BE364" s="1"/>
      <c r="BF364" s="1"/>
      <c r="BG364" s="149"/>
      <c r="BH364" s="1"/>
      <c r="BI364" s="150"/>
      <c r="BJ364" s="151"/>
      <c r="BK364" s="1"/>
      <c r="BL364" s="1"/>
    </row>
    <row r="365">
      <c r="A365" s="1"/>
      <c r="B365" s="1"/>
      <c r="C365" s="522" t="s">
        <v>556</v>
      </c>
      <c r="D365" s="523"/>
      <c r="E365" s="1"/>
      <c r="F365" s="148"/>
      <c r="G365" s="517"/>
      <c r="H365" s="448"/>
      <c r="I365" s="518"/>
      <c r="J365" s="1"/>
      <c r="K365" s="148"/>
      <c r="L365" s="148"/>
      <c r="M365" s="148"/>
      <c r="N365" s="1"/>
      <c r="O365" s="1"/>
      <c r="P365" s="148"/>
      <c r="Q365" s="148"/>
      <c r="R365" s="148"/>
      <c r="S365" s="1"/>
      <c r="T365" s="1"/>
      <c r="U365" s="148"/>
      <c r="V365" s="148"/>
      <c r="W365" s="148"/>
      <c r="X365" s="1"/>
      <c r="Y365" s="1"/>
      <c r="Z365" s="148"/>
      <c r="AA365" s="148"/>
      <c r="AB365" s="148"/>
      <c r="AC365" s="1"/>
      <c r="AD365" s="1"/>
      <c r="AE365" s="148"/>
      <c r="AF365" s="148"/>
      <c r="AG365" s="1"/>
      <c r="AH365" s="1"/>
      <c r="AI365" s="148"/>
      <c r="AJ365" s="148"/>
      <c r="AK365" s="1"/>
      <c r="AL365" s="1"/>
      <c r="AM365" s="148"/>
      <c r="AN365" s="148"/>
      <c r="AO365" s="1"/>
      <c r="AP365" s="1"/>
      <c r="AQ365" s="148"/>
      <c r="AR365" s="148"/>
      <c r="AS365" s="1"/>
      <c r="AT365" s="1"/>
      <c r="AU365" s="148"/>
      <c r="AV365" s="148"/>
      <c r="AW365" s="1"/>
      <c r="AX365" s="1"/>
      <c r="AY365" s="148"/>
      <c r="AZ365" s="148"/>
      <c r="BA365" s="1"/>
      <c r="BB365" s="1"/>
      <c r="BC365" s="148"/>
      <c r="BD365" s="148"/>
      <c r="BE365" s="1"/>
      <c r="BF365" s="1"/>
      <c r="BG365" s="149"/>
      <c r="BH365" s="1"/>
      <c r="BI365" s="150"/>
      <c r="BJ365" s="151"/>
      <c r="BK365" s="1"/>
      <c r="BL365" s="1"/>
    </row>
    <row r="366">
      <c r="A366" s="1"/>
      <c r="B366" s="1"/>
      <c r="C366" s="522" t="s">
        <v>557</v>
      </c>
      <c r="D366" s="523"/>
      <c r="E366" s="1"/>
      <c r="F366" s="148"/>
      <c r="G366" s="517"/>
      <c r="H366" s="448"/>
      <c r="I366" s="518"/>
      <c r="J366" s="1"/>
      <c r="K366" s="148"/>
      <c r="L366" s="148"/>
      <c r="M366" s="148"/>
      <c r="N366" s="1"/>
      <c r="O366" s="1"/>
      <c r="P366" s="148"/>
      <c r="Q366" s="148"/>
      <c r="R366" s="148"/>
      <c r="S366" s="1"/>
      <c r="T366" s="1"/>
      <c r="U366" s="148"/>
      <c r="V366" s="148"/>
      <c r="W366" s="148"/>
      <c r="X366" s="1"/>
      <c r="Y366" s="1"/>
      <c r="Z366" s="148"/>
      <c r="AA366" s="148"/>
      <c r="AB366" s="148"/>
      <c r="AC366" s="1"/>
      <c r="AD366" s="1"/>
      <c r="AE366" s="148"/>
      <c r="AF366" s="148"/>
      <c r="AG366" s="1"/>
      <c r="AH366" s="1"/>
      <c r="AI366" s="148"/>
      <c r="AJ366" s="148"/>
      <c r="AK366" s="1"/>
      <c r="AL366" s="1"/>
      <c r="AM366" s="148"/>
      <c r="AN366" s="148"/>
      <c r="AO366" s="1"/>
      <c r="AP366" s="1"/>
      <c r="AQ366" s="148"/>
      <c r="AR366" s="148"/>
      <c r="AS366" s="1"/>
      <c r="AT366" s="1"/>
      <c r="AU366" s="148"/>
      <c r="AV366" s="148"/>
      <c r="AW366" s="1"/>
      <c r="AX366" s="1"/>
      <c r="AY366" s="148"/>
      <c r="AZ366" s="148"/>
      <c r="BA366" s="1"/>
      <c r="BB366" s="1"/>
      <c r="BC366" s="148"/>
      <c r="BD366" s="148"/>
      <c r="BE366" s="1"/>
      <c r="BF366" s="1"/>
      <c r="BG366" s="149"/>
      <c r="BH366" s="1"/>
      <c r="BI366" s="150"/>
      <c r="BJ366" s="151"/>
      <c r="BK366" s="1"/>
      <c r="BL366" s="1"/>
    </row>
    <row r="367">
      <c r="A367" s="1"/>
      <c r="B367" s="1"/>
      <c r="C367" s="522" t="s">
        <v>558</v>
      </c>
      <c r="D367" s="523"/>
      <c r="E367" s="1"/>
      <c r="F367" s="148"/>
      <c r="G367" s="517"/>
      <c r="H367" s="448"/>
      <c r="I367" s="518"/>
      <c r="J367" s="1"/>
      <c r="K367" s="148"/>
      <c r="L367" s="148"/>
      <c r="M367" s="148"/>
      <c r="N367" s="1"/>
      <c r="O367" s="1"/>
      <c r="P367" s="148"/>
      <c r="Q367" s="148"/>
      <c r="R367" s="148"/>
      <c r="S367" s="1"/>
      <c r="T367" s="1"/>
      <c r="U367" s="148"/>
      <c r="V367" s="148"/>
      <c r="W367" s="148"/>
      <c r="X367" s="1"/>
      <c r="Y367" s="1"/>
      <c r="Z367" s="148"/>
      <c r="AA367" s="148"/>
      <c r="AB367" s="148"/>
      <c r="AC367" s="1"/>
      <c r="AD367" s="1"/>
      <c r="AE367" s="148"/>
      <c r="AF367" s="148"/>
      <c r="AG367" s="1"/>
      <c r="AH367" s="1"/>
      <c r="AI367" s="148"/>
      <c r="AJ367" s="148"/>
      <c r="AK367" s="1"/>
      <c r="AL367" s="1"/>
      <c r="AM367" s="148"/>
      <c r="AN367" s="148"/>
      <c r="AO367" s="1"/>
      <c r="AP367" s="1"/>
      <c r="AQ367" s="148"/>
      <c r="AR367" s="148"/>
      <c r="AS367" s="1"/>
      <c r="AT367" s="1"/>
      <c r="AU367" s="148"/>
      <c r="AV367" s="148"/>
      <c r="AW367" s="1"/>
      <c r="AX367" s="1"/>
      <c r="AY367" s="148"/>
      <c r="AZ367" s="148"/>
      <c r="BA367" s="1"/>
      <c r="BB367" s="1"/>
      <c r="BC367" s="148"/>
      <c r="BD367" s="148"/>
      <c r="BE367" s="1"/>
      <c r="BF367" s="1"/>
      <c r="BG367" s="149"/>
      <c r="BH367" s="1"/>
      <c r="BI367" s="150"/>
      <c r="BJ367" s="151"/>
      <c r="BK367" s="1"/>
      <c r="BL367" s="1"/>
    </row>
    <row r="368">
      <c r="A368" s="1"/>
      <c r="B368" s="1"/>
      <c r="C368" s="522" t="s">
        <v>559</v>
      </c>
      <c r="D368" s="523"/>
      <c r="E368" s="1"/>
      <c r="F368" s="148"/>
      <c r="G368" s="517"/>
      <c r="H368" s="448"/>
      <c r="I368" s="518"/>
      <c r="J368" s="1"/>
      <c r="K368" s="148"/>
      <c r="L368" s="148"/>
      <c r="M368" s="148"/>
      <c r="N368" s="1"/>
      <c r="O368" s="1"/>
      <c r="P368" s="148"/>
      <c r="Q368" s="148"/>
      <c r="R368" s="148"/>
      <c r="S368" s="1"/>
      <c r="T368" s="1"/>
      <c r="U368" s="148"/>
      <c r="V368" s="148"/>
      <c r="W368" s="148"/>
      <c r="X368" s="1"/>
      <c r="Y368" s="1"/>
      <c r="Z368" s="148"/>
      <c r="AA368" s="148"/>
      <c r="AB368" s="148"/>
      <c r="AC368" s="1"/>
      <c r="AD368" s="1"/>
      <c r="AE368" s="148"/>
      <c r="AF368" s="148"/>
      <c r="AG368" s="1"/>
      <c r="AH368" s="1"/>
      <c r="AI368" s="148"/>
      <c r="AJ368" s="148"/>
      <c r="AK368" s="1"/>
      <c r="AL368" s="1"/>
      <c r="AM368" s="148"/>
      <c r="AN368" s="148"/>
      <c r="AO368" s="1"/>
      <c r="AP368" s="1"/>
      <c r="AQ368" s="148"/>
      <c r="AR368" s="148"/>
      <c r="AS368" s="1"/>
      <c r="AT368" s="1"/>
      <c r="AU368" s="148"/>
      <c r="AV368" s="148"/>
      <c r="AW368" s="1"/>
      <c r="AX368" s="1"/>
      <c r="AY368" s="148"/>
      <c r="AZ368" s="148"/>
      <c r="BA368" s="1"/>
      <c r="BB368" s="1"/>
      <c r="BC368" s="148"/>
      <c r="BD368" s="148"/>
      <c r="BE368" s="1"/>
      <c r="BF368" s="1"/>
      <c r="BG368" s="149"/>
      <c r="BH368" s="1"/>
      <c r="BI368" s="150"/>
      <c r="BJ368" s="151"/>
      <c r="BK368" s="1"/>
      <c r="BL368" s="1"/>
    </row>
    <row r="369">
      <c r="A369" s="1"/>
      <c r="B369" s="1"/>
      <c r="C369" s="86" t="str">
        <f>C360</f>
        <v/>
      </c>
      <c r="D369" s="524"/>
      <c r="E369" s="525"/>
      <c r="F369" s="526"/>
      <c r="G369" s="527"/>
      <c r="H369" s="528"/>
      <c r="I369" s="518"/>
      <c r="J369" s="1"/>
      <c r="K369" s="148"/>
      <c r="L369" s="148"/>
      <c r="M369" s="148"/>
      <c r="N369" s="1"/>
      <c r="O369" s="1"/>
      <c r="P369" s="148"/>
      <c r="Q369" s="148"/>
      <c r="R369" s="148"/>
      <c r="S369" s="1"/>
      <c r="T369" s="1"/>
      <c r="U369" s="148"/>
      <c r="V369" s="148"/>
      <c r="W369" s="148"/>
      <c r="X369" s="1"/>
      <c r="Y369" s="1"/>
      <c r="Z369" s="148"/>
      <c r="AA369" s="148"/>
      <c r="AB369" s="148"/>
      <c r="AC369" s="1"/>
      <c r="AD369" s="1"/>
      <c r="AE369" s="148"/>
      <c r="AF369" s="148"/>
      <c r="AG369" s="1"/>
      <c r="AH369" s="1"/>
      <c r="AI369" s="148"/>
      <c r="AJ369" s="148"/>
      <c r="AK369" s="1"/>
      <c r="AL369" s="1"/>
      <c r="AM369" s="148"/>
      <c r="AN369" s="148"/>
      <c r="AO369" s="1"/>
      <c r="AP369" s="1"/>
      <c r="AQ369" s="148"/>
      <c r="AR369" s="148"/>
      <c r="AS369" s="1"/>
      <c r="AT369" s="1"/>
      <c r="AU369" s="148"/>
      <c r="AV369" s="148"/>
      <c r="AW369" s="1"/>
      <c r="AX369" s="1"/>
      <c r="AY369" s="148"/>
      <c r="AZ369" s="148"/>
      <c r="BA369" s="1"/>
      <c r="BB369" s="1"/>
      <c r="BC369" s="148"/>
      <c r="BD369" s="148"/>
      <c r="BE369" s="1"/>
      <c r="BF369" s="1"/>
      <c r="BG369" s="149"/>
      <c r="BH369" s="1"/>
      <c r="BI369" s="150"/>
      <c r="BJ369" s="151"/>
      <c r="BK369" s="1"/>
      <c r="BL369" s="1"/>
    </row>
    <row r="370">
      <c r="A370" s="1"/>
      <c r="B370" s="1"/>
      <c r="C370" s="1"/>
      <c r="D370" s="339"/>
      <c r="E370" s="339"/>
      <c r="F370" s="529"/>
      <c r="G370" s="529"/>
      <c r="H370" s="529"/>
      <c r="I370" s="1"/>
      <c r="J370" s="1"/>
      <c r="K370" s="148"/>
      <c r="L370" s="148"/>
      <c r="M370" s="148"/>
      <c r="N370" s="1"/>
      <c r="O370" s="1"/>
      <c r="P370" s="148"/>
      <c r="Q370" s="148"/>
      <c r="R370" s="148"/>
      <c r="S370" s="1"/>
      <c r="T370" s="1"/>
      <c r="U370" s="148"/>
      <c r="V370" s="148"/>
      <c r="W370" s="148"/>
      <c r="X370" s="1"/>
      <c r="Y370" s="1"/>
      <c r="Z370" s="148"/>
      <c r="AA370" s="148"/>
      <c r="AB370" s="148"/>
      <c r="AC370" s="1"/>
      <c r="AD370" s="1"/>
      <c r="AE370" s="148"/>
      <c r="AF370" s="148"/>
      <c r="AG370" s="1"/>
      <c r="AH370" s="1"/>
      <c r="AI370" s="148"/>
      <c r="AJ370" s="148"/>
      <c r="AK370" s="1"/>
      <c r="AL370" s="1"/>
      <c r="AM370" s="148"/>
      <c r="AN370" s="148"/>
      <c r="AO370" s="1"/>
      <c r="AP370" s="1"/>
      <c r="AQ370" s="148"/>
      <c r="AR370" s="148"/>
      <c r="AS370" s="1"/>
      <c r="AT370" s="1"/>
      <c r="AU370" s="148"/>
      <c r="AV370" s="148"/>
      <c r="AW370" s="1"/>
      <c r="AX370" s="1"/>
      <c r="AY370" s="148"/>
      <c r="AZ370" s="148"/>
      <c r="BA370" s="1"/>
      <c r="BB370" s="1"/>
      <c r="BC370" s="148"/>
      <c r="BD370" s="148"/>
      <c r="BE370" s="1"/>
      <c r="BF370" s="1"/>
      <c r="BG370" s="149"/>
      <c r="BH370" s="1"/>
      <c r="BI370" s="150"/>
      <c r="BJ370" s="151"/>
      <c r="BK370" s="1"/>
      <c r="BL370" s="1"/>
    </row>
    <row r="371">
      <c r="A371" s="1"/>
      <c r="B371" s="1"/>
      <c r="C371" s="1"/>
      <c r="D371" s="1"/>
      <c r="E371" s="1"/>
      <c r="F371" s="148"/>
      <c r="G371" s="1"/>
      <c r="H371" s="1"/>
      <c r="I371" s="1"/>
      <c r="J371" s="1"/>
      <c r="K371" s="148"/>
      <c r="L371" s="148"/>
      <c r="M371" s="148"/>
      <c r="N371" s="1"/>
      <c r="O371" s="1"/>
      <c r="P371" s="148"/>
      <c r="Q371" s="148"/>
      <c r="R371" s="148"/>
      <c r="S371" s="1"/>
      <c r="T371" s="1"/>
      <c r="U371" s="148"/>
      <c r="V371" s="148"/>
      <c r="W371" s="148"/>
      <c r="X371" s="1"/>
      <c r="Y371" s="1"/>
      <c r="Z371" s="148"/>
      <c r="AA371" s="148"/>
      <c r="AB371" s="148"/>
      <c r="AC371" s="1"/>
      <c r="AD371" s="1"/>
      <c r="AE371" s="148"/>
      <c r="AF371" s="148"/>
      <c r="AG371" s="1"/>
      <c r="AH371" s="1"/>
      <c r="AI371" s="148"/>
      <c r="AJ371" s="148"/>
      <c r="AK371" s="1"/>
      <c r="AL371" s="1"/>
      <c r="AM371" s="148"/>
      <c r="AN371" s="148"/>
      <c r="AO371" s="1"/>
      <c r="AP371" s="1"/>
      <c r="AQ371" s="148"/>
      <c r="AR371" s="148"/>
      <c r="AS371" s="1"/>
      <c r="AT371" s="1"/>
      <c r="AU371" s="148"/>
      <c r="AV371" s="148"/>
      <c r="AW371" s="1"/>
      <c r="AX371" s="1"/>
      <c r="AY371" s="148"/>
      <c r="AZ371" s="148"/>
      <c r="BA371" s="1"/>
      <c r="BB371" s="1"/>
      <c r="BC371" s="148"/>
      <c r="BD371" s="148"/>
      <c r="BE371" s="1"/>
      <c r="BF371" s="1"/>
      <c r="BG371" s="149"/>
      <c r="BH371" s="1"/>
      <c r="BI371" s="150"/>
      <c r="BJ371" s="151"/>
      <c r="BK371" s="1"/>
      <c r="BL371" s="1"/>
    </row>
    <row r="372">
      <c r="A372" s="1"/>
      <c r="B372" s="1"/>
      <c r="C372" s="1"/>
      <c r="D372" s="1"/>
      <c r="E372" s="1"/>
      <c r="F372" s="148"/>
      <c r="G372" s="1"/>
      <c r="H372" s="1"/>
      <c r="I372" s="1"/>
      <c r="J372" s="1"/>
      <c r="K372" s="148"/>
      <c r="L372" s="148"/>
      <c r="M372" s="148"/>
      <c r="N372" s="1"/>
      <c r="O372" s="1"/>
      <c r="P372" s="148"/>
      <c r="Q372" s="148"/>
      <c r="R372" s="148"/>
      <c r="S372" s="1"/>
      <c r="T372" s="1"/>
      <c r="U372" s="148"/>
      <c r="V372" s="148"/>
      <c r="W372" s="148"/>
      <c r="X372" s="1"/>
      <c r="Y372" s="1"/>
      <c r="Z372" s="148"/>
      <c r="AA372" s="148"/>
      <c r="AB372" s="148"/>
      <c r="AC372" s="1"/>
      <c r="AD372" s="1"/>
      <c r="AE372" s="148"/>
      <c r="AF372" s="148"/>
      <c r="AG372" s="1"/>
      <c r="AH372" s="1"/>
      <c r="AI372" s="148"/>
      <c r="AJ372" s="148"/>
      <c r="AK372" s="1"/>
      <c r="AL372" s="1"/>
      <c r="AM372" s="148"/>
      <c r="AN372" s="148"/>
      <c r="AO372" s="1"/>
      <c r="AP372" s="1"/>
      <c r="AQ372" s="148"/>
      <c r="AR372" s="148"/>
      <c r="AS372" s="1"/>
      <c r="AT372" s="1"/>
      <c r="AU372" s="148"/>
      <c r="AV372" s="148"/>
      <c r="AW372" s="1"/>
      <c r="AX372" s="1"/>
      <c r="AY372" s="148"/>
      <c r="AZ372" s="148"/>
      <c r="BA372" s="1"/>
      <c r="BB372" s="1"/>
      <c r="BC372" s="148"/>
      <c r="BD372" s="148"/>
      <c r="BE372" s="1"/>
      <c r="BF372" s="1"/>
      <c r="BG372" s="149"/>
      <c r="BH372" s="1"/>
      <c r="BI372" s="150"/>
      <c r="BJ372" s="151"/>
      <c r="BK372" s="1"/>
      <c r="BL372" s="1"/>
    </row>
    <row r="373">
      <c r="A373" s="1"/>
      <c r="B373" s="1"/>
      <c r="C373" s="1"/>
      <c r="D373" s="1"/>
      <c r="E373" s="1"/>
      <c r="F373" s="148"/>
      <c r="G373" s="1"/>
      <c r="H373" s="1"/>
      <c r="I373" s="1"/>
      <c r="J373" s="1"/>
      <c r="K373" s="148"/>
      <c r="L373" s="148"/>
      <c r="M373" s="148"/>
      <c r="N373" s="1"/>
      <c r="O373" s="1"/>
      <c r="P373" s="148"/>
      <c r="Q373" s="148"/>
      <c r="R373" s="148"/>
      <c r="S373" s="1"/>
      <c r="T373" s="1"/>
      <c r="U373" s="148"/>
      <c r="V373" s="148"/>
      <c r="W373" s="148"/>
      <c r="X373" s="1"/>
      <c r="Y373" s="1"/>
      <c r="Z373" s="148"/>
      <c r="AA373" s="148"/>
      <c r="AB373" s="148"/>
      <c r="AC373" s="1"/>
      <c r="AD373" s="1"/>
      <c r="AE373" s="148"/>
      <c r="AF373" s="148"/>
      <c r="AG373" s="1"/>
      <c r="AH373" s="1"/>
      <c r="AI373" s="148"/>
      <c r="AJ373" s="148"/>
      <c r="AK373" s="1"/>
      <c r="AL373" s="1"/>
      <c r="AM373" s="148"/>
      <c r="AN373" s="148"/>
      <c r="AO373" s="1"/>
      <c r="AP373" s="1"/>
      <c r="AQ373" s="148"/>
      <c r="AR373" s="148"/>
      <c r="AS373" s="1"/>
      <c r="AT373" s="1"/>
      <c r="AU373" s="148"/>
      <c r="AV373" s="148"/>
      <c r="AW373" s="1"/>
      <c r="AX373" s="1"/>
      <c r="AY373" s="148"/>
      <c r="AZ373" s="148"/>
      <c r="BA373" s="1"/>
      <c r="BB373" s="1"/>
      <c r="BC373" s="148"/>
      <c r="BD373" s="148"/>
      <c r="BE373" s="1"/>
      <c r="BF373" s="1"/>
      <c r="BG373" s="149"/>
      <c r="BH373" s="1"/>
      <c r="BI373" s="150"/>
      <c r="BJ373" s="151"/>
      <c r="BK373" s="1"/>
      <c r="BL373" s="1"/>
    </row>
    <row r="374">
      <c r="A374" s="1"/>
      <c r="B374" s="1"/>
      <c r="C374" s="1"/>
      <c r="D374" s="1"/>
      <c r="E374" s="1"/>
      <c r="F374" s="148"/>
      <c r="G374" s="1"/>
      <c r="H374" s="1"/>
      <c r="I374" s="1"/>
      <c r="J374" s="1"/>
      <c r="K374" s="148"/>
      <c r="L374" s="148"/>
      <c r="M374" s="148"/>
      <c r="N374" s="1"/>
      <c r="O374" s="1"/>
      <c r="P374" s="148"/>
      <c r="Q374" s="148"/>
      <c r="R374" s="148"/>
      <c r="S374" s="1"/>
      <c r="T374" s="1"/>
      <c r="U374" s="148"/>
      <c r="V374" s="148"/>
      <c r="W374" s="148"/>
      <c r="X374" s="1"/>
      <c r="Y374" s="1"/>
      <c r="Z374" s="148"/>
      <c r="AA374" s="148"/>
      <c r="AB374" s="148"/>
      <c r="AC374" s="1"/>
      <c r="AD374" s="1"/>
      <c r="AE374" s="148"/>
      <c r="AF374" s="148"/>
      <c r="AG374" s="1"/>
      <c r="AH374" s="1"/>
      <c r="AI374" s="148"/>
      <c r="AJ374" s="148"/>
      <c r="AK374" s="1"/>
      <c r="AL374" s="1"/>
      <c r="AM374" s="148"/>
      <c r="AN374" s="148"/>
      <c r="AO374" s="1"/>
      <c r="AP374" s="1"/>
      <c r="AQ374" s="148"/>
      <c r="AR374" s="148"/>
      <c r="AS374" s="1"/>
      <c r="AT374" s="1"/>
      <c r="AU374" s="148"/>
      <c r="AV374" s="148"/>
      <c r="AW374" s="1"/>
      <c r="AX374" s="1"/>
      <c r="AY374" s="148"/>
      <c r="AZ374" s="148"/>
      <c r="BA374" s="1"/>
      <c r="BB374" s="1"/>
      <c r="BC374" s="148"/>
      <c r="BD374" s="148"/>
      <c r="BE374" s="1"/>
      <c r="BF374" s="1"/>
      <c r="BG374" s="149"/>
      <c r="BH374" s="1"/>
      <c r="BI374" s="150"/>
      <c r="BJ374" s="151"/>
      <c r="BK374" s="1"/>
      <c r="BL374" s="1"/>
    </row>
    <row r="375">
      <c r="A375" s="1"/>
      <c r="B375" s="1"/>
      <c r="C375" s="1"/>
      <c r="D375" s="1"/>
      <c r="E375" s="1"/>
      <c r="F375" s="148"/>
      <c r="G375" s="1"/>
      <c r="H375" s="1"/>
      <c r="I375" s="1"/>
      <c r="J375" s="1"/>
      <c r="K375" s="148"/>
      <c r="L375" s="148"/>
      <c r="M375" s="148"/>
      <c r="N375" s="1"/>
      <c r="O375" s="1"/>
      <c r="P375" s="148"/>
      <c r="Q375" s="148"/>
      <c r="R375" s="148"/>
      <c r="S375" s="1"/>
      <c r="T375" s="1"/>
      <c r="U375" s="148"/>
      <c r="V375" s="148"/>
      <c r="W375" s="148"/>
      <c r="X375" s="1"/>
      <c r="Y375" s="1"/>
      <c r="Z375" s="148"/>
      <c r="AA375" s="148"/>
      <c r="AB375" s="148"/>
      <c r="AC375" s="1"/>
      <c r="AD375" s="1"/>
      <c r="AE375" s="148"/>
      <c r="AF375" s="148"/>
      <c r="AG375" s="1"/>
      <c r="AH375" s="1"/>
      <c r="AI375" s="148"/>
      <c r="AJ375" s="148"/>
      <c r="AK375" s="1"/>
      <c r="AL375" s="1"/>
      <c r="AM375" s="148"/>
      <c r="AN375" s="148"/>
      <c r="AO375" s="1"/>
      <c r="AP375" s="1"/>
      <c r="AQ375" s="148"/>
      <c r="AR375" s="148"/>
      <c r="AS375" s="1"/>
      <c r="AT375" s="1"/>
      <c r="AU375" s="148"/>
      <c r="AV375" s="148"/>
      <c r="AW375" s="1"/>
      <c r="AX375" s="1"/>
      <c r="AY375" s="148"/>
      <c r="AZ375" s="148"/>
      <c r="BA375" s="1"/>
      <c r="BB375" s="1"/>
      <c r="BC375" s="148"/>
      <c r="BD375" s="148"/>
      <c r="BE375" s="1"/>
      <c r="BF375" s="1"/>
      <c r="BG375" s="149"/>
      <c r="BH375" s="1"/>
      <c r="BI375" s="150"/>
      <c r="BJ375" s="151"/>
      <c r="BK375" s="1"/>
      <c r="BL375" s="1"/>
    </row>
    <row r="376">
      <c r="A376" s="1"/>
      <c r="B376" s="1"/>
      <c r="C376" s="1"/>
      <c r="D376" s="1"/>
      <c r="E376" s="1"/>
      <c r="F376" s="148"/>
      <c r="G376" s="1"/>
      <c r="H376" s="1"/>
      <c r="I376" s="1"/>
      <c r="J376" s="1"/>
      <c r="K376" s="148"/>
      <c r="L376" s="148"/>
      <c r="M376" s="148"/>
      <c r="N376" s="1"/>
      <c r="O376" s="1"/>
      <c r="P376" s="148"/>
      <c r="Q376" s="148"/>
      <c r="R376" s="148"/>
      <c r="S376" s="1"/>
      <c r="T376" s="1"/>
      <c r="U376" s="148"/>
      <c r="V376" s="148"/>
      <c r="W376" s="148"/>
      <c r="X376" s="1"/>
      <c r="Y376" s="1"/>
      <c r="Z376" s="148"/>
      <c r="AA376" s="148"/>
      <c r="AB376" s="148"/>
      <c r="AC376" s="1"/>
      <c r="AD376" s="1"/>
      <c r="AE376" s="148"/>
      <c r="AF376" s="148"/>
      <c r="AG376" s="1"/>
      <c r="AH376" s="1"/>
      <c r="AI376" s="148"/>
      <c r="AJ376" s="148"/>
      <c r="AK376" s="1"/>
      <c r="AL376" s="1"/>
      <c r="AM376" s="148"/>
      <c r="AN376" s="148"/>
      <c r="AO376" s="1"/>
      <c r="AP376" s="1"/>
      <c r="AQ376" s="148"/>
      <c r="AR376" s="148"/>
      <c r="AS376" s="1"/>
      <c r="AT376" s="1"/>
      <c r="AU376" s="148"/>
      <c r="AV376" s="148"/>
      <c r="AW376" s="1"/>
      <c r="AX376" s="1"/>
      <c r="AY376" s="148"/>
      <c r="AZ376" s="148"/>
      <c r="BA376" s="1"/>
      <c r="BB376" s="1"/>
      <c r="BC376" s="148"/>
      <c r="BD376" s="148"/>
      <c r="BE376" s="1"/>
      <c r="BF376" s="1"/>
      <c r="BG376" s="149"/>
      <c r="BH376" s="1"/>
      <c r="BI376" s="150"/>
      <c r="BJ376" s="151"/>
      <c r="BK376" s="1"/>
      <c r="BL376" s="1"/>
    </row>
    <row r="377">
      <c r="A377" s="1"/>
      <c r="B377" s="1"/>
      <c r="C377" s="1"/>
      <c r="D377" s="1"/>
      <c r="E377" s="1"/>
      <c r="F377" s="148"/>
      <c r="G377" s="1"/>
      <c r="H377" s="1"/>
      <c r="I377" s="1"/>
      <c r="J377" s="1"/>
      <c r="K377" s="148"/>
      <c r="L377" s="148"/>
      <c r="M377" s="148"/>
      <c r="N377" s="1"/>
      <c r="O377" s="1"/>
      <c r="P377" s="148"/>
      <c r="Q377" s="148"/>
      <c r="R377" s="148"/>
      <c r="S377" s="1"/>
      <c r="T377" s="1"/>
      <c r="U377" s="148"/>
      <c r="V377" s="148"/>
      <c r="W377" s="148"/>
      <c r="X377" s="1"/>
      <c r="Y377" s="1"/>
      <c r="Z377" s="148"/>
      <c r="AA377" s="148"/>
      <c r="AB377" s="148"/>
      <c r="AC377" s="1"/>
      <c r="AD377" s="1"/>
      <c r="AE377" s="148"/>
      <c r="AF377" s="148"/>
      <c r="AG377" s="1"/>
      <c r="AH377" s="1"/>
      <c r="AI377" s="148"/>
      <c r="AJ377" s="148"/>
      <c r="AK377" s="1"/>
      <c r="AL377" s="1"/>
      <c r="AM377" s="148"/>
      <c r="AN377" s="148"/>
      <c r="AO377" s="1"/>
      <c r="AP377" s="1"/>
      <c r="AQ377" s="148"/>
      <c r="AR377" s="148"/>
      <c r="AS377" s="1"/>
      <c r="AT377" s="1"/>
      <c r="AU377" s="148"/>
      <c r="AV377" s="148"/>
      <c r="AW377" s="1"/>
      <c r="AX377" s="1"/>
      <c r="AY377" s="148"/>
      <c r="AZ377" s="148"/>
      <c r="BA377" s="1"/>
      <c r="BB377" s="1"/>
      <c r="BC377" s="148"/>
      <c r="BD377" s="148"/>
      <c r="BE377" s="1"/>
      <c r="BF377" s="1"/>
      <c r="BG377" s="149"/>
      <c r="BH377" s="1"/>
      <c r="BI377" s="150"/>
      <c r="BJ377" s="151"/>
      <c r="BK377" s="1"/>
      <c r="BL377" s="1"/>
    </row>
    <row r="378">
      <c r="A378" s="1"/>
      <c r="B378" s="1"/>
      <c r="C378" s="1"/>
      <c r="D378" s="1"/>
      <c r="E378" s="1"/>
      <c r="F378" s="148"/>
      <c r="G378" s="1"/>
      <c r="H378" s="1"/>
      <c r="I378" s="1"/>
      <c r="J378" s="1"/>
      <c r="K378" s="148"/>
      <c r="L378" s="148"/>
      <c r="M378" s="148"/>
      <c r="N378" s="1"/>
      <c r="O378" s="1"/>
      <c r="P378" s="148"/>
      <c r="Q378" s="148"/>
      <c r="R378" s="148"/>
      <c r="S378" s="1"/>
      <c r="T378" s="1"/>
      <c r="U378" s="148"/>
      <c r="V378" s="148"/>
      <c r="W378" s="148"/>
      <c r="X378" s="1"/>
      <c r="Y378" s="1"/>
      <c r="Z378" s="148"/>
      <c r="AA378" s="148"/>
      <c r="AB378" s="148"/>
      <c r="AC378" s="1"/>
      <c r="AD378" s="1"/>
      <c r="AE378" s="148"/>
      <c r="AF378" s="148"/>
      <c r="AG378" s="1"/>
      <c r="AH378" s="1"/>
      <c r="AI378" s="148"/>
      <c r="AJ378" s="148"/>
      <c r="AK378" s="1"/>
      <c r="AL378" s="1"/>
      <c r="AM378" s="148"/>
      <c r="AN378" s="148"/>
      <c r="AO378" s="1"/>
      <c r="AP378" s="1"/>
      <c r="AQ378" s="148"/>
      <c r="AR378" s="148"/>
      <c r="AS378" s="1"/>
      <c r="AT378" s="1"/>
      <c r="AU378" s="148"/>
      <c r="AV378" s="148"/>
      <c r="AW378" s="1"/>
      <c r="AX378" s="1"/>
      <c r="AY378" s="148"/>
      <c r="AZ378" s="148"/>
      <c r="BA378" s="1"/>
      <c r="BB378" s="1"/>
      <c r="BC378" s="148"/>
      <c r="BD378" s="148"/>
      <c r="BE378" s="1"/>
      <c r="BF378" s="1"/>
      <c r="BG378" s="149"/>
      <c r="BH378" s="1"/>
      <c r="BI378" s="150"/>
      <c r="BJ378" s="151"/>
      <c r="BK378" s="1"/>
      <c r="BL378" s="1"/>
    </row>
    <row r="379">
      <c r="A379" s="1"/>
      <c r="B379" s="1"/>
      <c r="C379" s="1"/>
      <c r="D379" s="1"/>
      <c r="E379" s="1"/>
      <c r="F379" s="148"/>
      <c r="G379" s="1"/>
      <c r="H379" s="1"/>
      <c r="I379" s="1"/>
      <c r="J379" s="1"/>
      <c r="K379" s="148"/>
      <c r="L379" s="148"/>
      <c r="M379" s="148"/>
      <c r="N379" s="1"/>
      <c r="O379" s="1"/>
      <c r="P379" s="148"/>
      <c r="Q379" s="148"/>
      <c r="R379" s="148"/>
      <c r="S379" s="1"/>
      <c r="T379" s="1"/>
      <c r="U379" s="148"/>
      <c r="V379" s="148"/>
      <c r="W379" s="148"/>
      <c r="X379" s="1"/>
      <c r="Y379" s="1"/>
      <c r="Z379" s="148"/>
      <c r="AA379" s="148"/>
      <c r="AB379" s="148"/>
      <c r="AC379" s="1"/>
      <c r="AD379" s="1"/>
      <c r="AE379" s="148"/>
      <c r="AF379" s="148"/>
      <c r="AG379" s="1"/>
      <c r="AH379" s="1"/>
      <c r="AI379" s="148"/>
      <c r="AJ379" s="148"/>
      <c r="AK379" s="1"/>
      <c r="AL379" s="1"/>
      <c r="AM379" s="148"/>
      <c r="AN379" s="148"/>
      <c r="AO379" s="1"/>
      <c r="AP379" s="1"/>
      <c r="AQ379" s="148"/>
      <c r="AR379" s="148"/>
      <c r="AS379" s="1"/>
      <c r="AT379" s="1"/>
      <c r="AU379" s="148"/>
      <c r="AV379" s="148"/>
      <c r="AW379" s="1"/>
      <c r="AX379" s="1"/>
      <c r="AY379" s="148"/>
      <c r="AZ379" s="148"/>
      <c r="BA379" s="1"/>
      <c r="BB379" s="1"/>
      <c r="BC379" s="148"/>
      <c r="BD379" s="148"/>
      <c r="BE379" s="1"/>
      <c r="BF379" s="1"/>
      <c r="BG379" s="149"/>
      <c r="BH379" s="1"/>
      <c r="BI379" s="150"/>
      <c r="BJ379" s="151"/>
      <c r="BK379" s="1"/>
      <c r="BL379" s="1"/>
    </row>
    <row r="380">
      <c r="H380" s="530"/>
      <c r="BI380" s="531"/>
      <c r="BJ380" s="532"/>
    </row>
    <row r="381">
      <c r="H381" s="530"/>
      <c r="BI381" s="531"/>
      <c r="BJ381" s="532"/>
    </row>
    <row r="382">
      <c r="H382" s="530"/>
      <c r="BI382" s="531"/>
      <c r="BJ382" s="532"/>
    </row>
    <row r="383">
      <c r="H383" s="530"/>
      <c r="BI383" s="531"/>
      <c r="BJ383" s="532"/>
    </row>
    <row r="384">
      <c r="H384" s="530"/>
      <c r="BI384" s="531"/>
      <c r="BJ384" s="532"/>
    </row>
    <row r="385">
      <c r="H385" s="530"/>
      <c r="BI385" s="531"/>
      <c r="BJ385" s="532"/>
    </row>
    <row r="386">
      <c r="H386" s="530"/>
      <c r="BI386" s="531"/>
      <c r="BJ386" s="532"/>
    </row>
    <row r="387">
      <c r="H387" s="530"/>
      <c r="BI387" s="531"/>
      <c r="BJ387" s="532"/>
    </row>
    <row r="388">
      <c r="H388" s="530"/>
      <c r="BI388" s="531"/>
      <c r="BJ388" s="532"/>
    </row>
    <row r="389">
      <c r="H389" s="530"/>
      <c r="BI389" s="531"/>
      <c r="BJ389" s="532"/>
    </row>
    <row r="390">
      <c r="H390" s="530"/>
      <c r="BI390" s="531"/>
      <c r="BJ390" s="532"/>
    </row>
    <row r="391">
      <c r="H391" s="530"/>
      <c r="BI391" s="531"/>
      <c r="BJ391" s="532"/>
    </row>
    <row r="392">
      <c r="H392" s="530"/>
      <c r="BI392" s="531"/>
      <c r="BJ392" s="532"/>
    </row>
    <row r="393">
      <c r="H393" s="530"/>
      <c r="BI393" s="531"/>
      <c r="BJ393" s="532"/>
    </row>
    <row r="394">
      <c r="H394" s="530"/>
      <c r="BI394" s="531"/>
      <c r="BJ394" s="532"/>
    </row>
    <row r="395">
      <c r="H395" s="530"/>
      <c r="BI395" s="531"/>
      <c r="BJ395" s="532"/>
    </row>
    <row r="396">
      <c r="H396" s="530"/>
      <c r="BI396" s="531"/>
      <c r="BJ396" s="532"/>
    </row>
    <row r="397">
      <c r="H397" s="530"/>
      <c r="BI397" s="531"/>
      <c r="BJ397" s="532"/>
    </row>
    <row r="398">
      <c r="H398" s="530"/>
      <c r="BI398" s="531"/>
      <c r="BJ398" s="532"/>
    </row>
    <row r="399">
      <c r="H399" s="530"/>
      <c r="BI399" s="531"/>
      <c r="BJ399" s="532"/>
    </row>
    <row r="400">
      <c r="H400" s="530"/>
      <c r="BI400" s="531"/>
      <c r="BJ400" s="532"/>
    </row>
    <row r="401">
      <c r="H401" s="530"/>
      <c r="BI401" s="531"/>
      <c r="BJ401" s="532"/>
    </row>
    <row r="402">
      <c r="H402" s="530"/>
      <c r="BI402" s="531"/>
      <c r="BJ402" s="532"/>
    </row>
    <row r="403">
      <c r="H403" s="530"/>
      <c r="BI403" s="531"/>
      <c r="BJ403" s="532"/>
    </row>
    <row r="404">
      <c r="H404" s="530"/>
      <c r="BI404" s="531"/>
      <c r="BJ404" s="532"/>
    </row>
    <row r="405">
      <c r="H405" s="530"/>
      <c r="BI405" s="531"/>
      <c r="BJ405" s="532"/>
    </row>
    <row r="406">
      <c r="H406" s="530"/>
      <c r="BI406" s="531"/>
      <c r="BJ406" s="532"/>
    </row>
    <row r="407">
      <c r="H407" s="530"/>
      <c r="BI407" s="531"/>
      <c r="BJ407" s="532"/>
    </row>
    <row r="408">
      <c r="H408" s="530"/>
      <c r="BI408" s="531"/>
      <c r="BJ408" s="532"/>
    </row>
    <row r="409">
      <c r="H409" s="530"/>
      <c r="BI409" s="531"/>
      <c r="BJ409" s="532"/>
    </row>
    <row r="410">
      <c r="H410" s="530"/>
      <c r="BI410" s="531"/>
      <c r="BJ410" s="532"/>
    </row>
    <row r="411">
      <c r="H411" s="530"/>
      <c r="BI411" s="531"/>
      <c r="BJ411" s="532"/>
    </row>
    <row r="412">
      <c r="H412" s="530"/>
      <c r="BI412" s="531"/>
      <c r="BJ412" s="532"/>
    </row>
    <row r="413">
      <c r="H413" s="530"/>
      <c r="BI413" s="531"/>
      <c r="BJ413" s="532"/>
    </row>
    <row r="414">
      <c r="H414" s="530"/>
      <c r="BI414" s="531"/>
      <c r="BJ414" s="532"/>
    </row>
    <row r="415">
      <c r="H415" s="530"/>
      <c r="BI415" s="531"/>
      <c r="BJ415" s="532"/>
    </row>
    <row r="416">
      <c r="H416" s="530"/>
      <c r="BI416" s="531"/>
      <c r="BJ416" s="532"/>
    </row>
    <row r="417">
      <c r="H417" s="530"/>
      <c r="BI417" s="531"/>
      <c r="BJ417" s="532"/>
    </row>
    <row r="418">
      <c r="H418" s="530"/>
      <c r="BI418" s="531"/>
      <c r="BJ418" s="532"/>
    </row>
    <row r="419">
      <c r="H419" s="530"/>
      <c r="BI419" s="531"/>
      <c r="BJ419" s="532"/>
    </row>
    <row r="420">
      <c r="H420" s="530"/>
      <c r="BI420" s="531"/>
      <c r="BJ420" s="532"/>
    </row>
    <row r="421">
      <c r="H421" s="530"/>
      <c r="BI421" s="531"/>
      <c r="BJ421" s="532"/>
    </row>
    <row r="422">
      <c r="H422" s="530"/>
      <c r="BI422" s="531"/>
      <c r="BJ422" s="532"/>
    </row>
    <row r="423">
      <c r="H423" s="530"/>
      <c r="BI423" s="531"/>
      <c r="BJ423" s="532"/>
    </row>
    <row r="424">
      <c r="H424" s="530"/>
      <c r="BI424" s="531"/>
      <c r="BJ424" s="532"/>
    </row>
    <row r="425">
      <c r="H425" s="530"/>
      <c r="BI425" s="531"/>
      <c r="BJ425" s="532"/>
    </row>
    <row r="426">
      <c r="H426" s="530"/>
      <c r="BI426" s="531"/>
      <c r="BJ426" s="532"/>
    </row>
    <row r="427">
      <c r="H427" s="530"/>
      <c r="BI427" s="531"/>
      <c r="BJ427" s="532"/>
    </row>
    <row r="428">
      <c r="H428" s="530"/>
      <c r="BI428" s="531"/>
      <c r="BJ428" s="532"/>
    </row>
    <row r="429">
      <c r="H429" s="530"/>
      <c r="BI429" s="531"/>
      <c r="BJ429" s="532"/>
    </row>
    <row r="430">
      <c r="H430" s="530"/>
      <c r="BI430" s="531"/>
      <c r="BJ430" s="532"/>
    </row>
    <row r="431">
      <c r="H431" s="530"/>
      <c r="BI431" s="531"/>
      <c r="BJ431" s="532"/>
    </row>
    <row r="432">
      <c r="H432" s="530"/>
      <c r="BI432" s="531"/>
      <c r="BJ432" s="532"/>
    </row>
    <row r="433">
      <c r="H433" s="530"/>
      <c r="BI433" s="531"/>
      <c r="BJ433" s="532"/>
    </row>
    <row r="434">
      <c r="H434" s="530"/>
      <c r="BI434" s="531"/>
      <c r="BJ434" s="532"/>
    </row>
    <row r="435">
      <c r="H435" s="530"/>
      <c r="BI435" s="531"/>
      <c r="BJ435" s="532"/>
    </row>
    <row r="436">
      <c r="H436" s="530"/>
      <c r="BI436" s="531"/>
      <c r="BJ436" s="532"/>
    </row>
    <row r="437">
      <c r="H437" s="530"/>
      <c r="BI437" s="531"/>
      <c r="BJ437" s="532"/>
    </row>
    <row r="438">
      <c r="H438" s="530"/>
      <c r="BI438" s="531"/>
      <c r="BJ438" s="532"/>
    </row>
    <row r="439">
      <c r="H439" s="530"/>
      <c r="BI439" s="531"/>
      <c r="BJ439" s="532"/>
    </row>
    <row r="440">
      <c r="H440" s="530"/>
      <c r="BI440" s="531"/>
      <c r="BJ440" s="532"/>
    </row>
    <row r="441">
      <c r="H441" s="530"/>
      <c r="BI441" s="531"/>
      <c r="BJ441" s="532"/>
    </row>
    <row r="442">
      <c r="H442" s="530"/>
      <c r="BI442" s="531"/>
      <c r="BJ442" s="532"/>
    </row>
    <row r="443">
      <c r="H443" s="530"/>
      <c r="BI443" s="531"/>
      <c r="BJ443" s="532"/>
    </row>
    <row r="444">
      <c r="H444" s="530"/>
      <c r="BI444" s="531"/>
      <c r="BJ444" s="532"/>
    </row>
    <row r="445">
      <c r="H445" s="530"/>
      <c r="BI445" s="531"/>
      <c r="BJ445" s="532"/>
    </row>
    <row r="446">
      <c r="H446" s="530"/>
      <c r="BI446" s="531"/>
      <c r="BJ446" s="532"/>
    </row>
    <row r="447">
      <c r="H447" s="530"/>
      <c r="BI447" s="531"/>
      <c r="BJ447" s="532"/>
    </row>
    <row r="448">
      <c r="H448" s="530"/>
      <c r="BI448" s="531"/>
      <c r="BJ448" s="532"/>
    </row>
    <row r="449">
      <c r="H449" s="530"/>
      <c r="BI449" s="531"/>
      <c r="BJ449" s="532"/>
    </row>
    <row r="450">
      <c r="H450" s="530"/>
      <c r="BI450" s="531"/>
      <c r="BJ450" s="532"/>
    </row>
    <row r="451">
      <c r="H451" s="530"/>
      <c r="BI451" s="531"/>
      <c r="BJ451" s="532"/>
    </row>
    <row r="452">
      <c r="H452" s="530"/>
      <c r="BI452" s="531"/>
      <c r="BJ452" s="532"/>
    </row>
    <row r="453">
      <c r="H453" s="530"/>
      <c r="BI453" s="531"/>
      <c r="BJ453" s="532"/>
    </row>
    <row r="454">
      <c r="H454" s="530"/>
      <c r="BI454" s="531"/>
      <c r="BJ454" s="532"/>
    </row>
    <row r="455">
      <c r="H455" s="530"/>
      <c r="BI455" s="531"/>
      <c r="BJ455" s="532"/>
    </row>
    <row r="456">
      <c r="H456" s="530"/>
      <c r="BI456" s="531"/>
      <c r="BJ456" s="532"/>
    </row>
    <row r="457">
      <c r="H457" s="530"/>
      <c r="BI457" s="531"/>
      <c r="BJ457" s="532"/>
    </row>
    <row r="458">
      <c r="H458" s="530"/>
      <c r="BI458" s="531"/>
      <c r="BJ458" s="532"/>
    </row>
    <row r="459">
      <c r="H459" s="530"/>
      <c r="BI459" s="531"/>
      <c r="BJ459" s="532"/>
    </row>
    <row r="460">
      <c r="H460" s="530"/>
      <c r="BI460" s="531"/>
      <c r="BJ460" s="532"/>
    </row>
    <row r="461">
      <c r="H461" s="530"/>
      <c r="BI461" s="531"/>
      <c r="BJ461" s="532"/>
    </row>
    <row r="462">
      <c r="H462" s="530"/>
      <c r="BI462" s="531"/>
      <c r="BJ462" s="532"/>
    </row>
    <row r="463">
      <c r="H463" s="530"/>
      <c r="BI463" s="531"/>
      <c r="BJ463" s="532"/>
    </row>
    <row r="464">
      <c r="H464" s="530"/>
      <c r="BI464" s="531"/>
      <c r="BJ464" s="532"/>
    </row>
    <row r="465">
      <c r="H465" s="530"/>
      <c r="BI465" s="531"/>
      <c r="BJ465" s="532"/>
    </row>
    <row r="466">
      <c r="H466" s="530"/>
      <c r="BI466" s="531"/>
      <c r="BJ466" s="532"/>
    </row>
    <row r="467">
      <c r="H467" s="530"/>
      <c r="BI467" s="531"/>
      <c r="BJ467" s="532"/>
    </row>
    <row r="468">
      <c r="H468" s="530"/>
      <c r="BI468" s="531"/>
      <c r="BJ468" s="532"/>
    </row>
    <row r="469">
      <c r="H469" s="530"/>
      <c r="BI469" s="531"/>
      <c r="BJ469" s="532"/>
    </row>
    <row r="470">
      <c r="H470" s="530"/>
      <c r="BI470" s="531"/>
      <c r="BJ470" s="532"/>
    </row>
    <row r="471">
      <c r="H471" s="530"/>
      <c r="BI471" s="531"/>
      <c r="BJ471" s="532"/>
    </row>
    <row r="472">
      <c r="H472" s="530"/>
      <c r="BI472" s="531"/>
      <c r="BJ472" s="532"/>
    </row>
    <row r="473">
      <c r="H473" s="530"/>
      <c r="BI473" s="531"/>
      <c r="BJ473" s="532"/>
    </row>
    <row r="474">
      <c r="H474" s="530"/>
      <c r="BI474" s="531"/>
      <c r="BJ474" s="532"/>
    </row>
    <row r="475">
      <c r="H475" s="530"/>
      <c r="BI475" s="531"/>
      <c r="BJ475" s="532"/>
    </row>
    <row r="476">
      <c r="H476" s="530"/>
      <c r="BI476" s="531"/>
      <c r="BJ476" s="532"/>
    </row>
    <row r="477">
      <c r="H477" s="530"/>
      <c r="BI477" s="531"/>
      <c r="BJ477" s="532"/>
    </row>
    <row r="478">
      <c r="H478" s="530"/>
      <c r="BI478" s="531"/>
      <c r="BJ478" s="532"/>
    </row>
    <row r="479">
      <c r="H479" s="530"/>
      <c r="BI479" s="531"/>
      <c r="BJ479" s="532"/>
    </row>
    <row r="480">
      <c r="H480" s="530"/>
      <c r="BI480" s="531"/>
      <c r="BJ480" s="532"/>
    </row>
    <row r="481">
      <c r="H481" s="530"/>
      <c r="BI481" s="531"/>
      <c r="BJ481" s="532"/>
    </row>
    <row r="482">
      <c r="H482" s="530"/>
      <c r="BI482" s="531"/>
      <c r="BJ482" s="532"/>
    </row>
    <row r="483">
      <c r="H483" s="530"/>
      <c r="BI483" s="531"/>
      <c r="BJ483" s="532"/>
    </row>
    <row r="484">
      <c r="H484" s="530"/>
      <c r="BI484" s="531"/>
      <c r="BJ484" s="532"/>
    </row>
    <row r="485">
      <c r="H485" s="530"/>
      <c r="BI485" s="531"/>
      <c r="BJ485" s="532"/>
    </row>
    <row r="486">
      <c r="H486" s="530"/>
      <c r="BI486" s="531"/>
      <c r="BJ486" s="532"/>
    </row>
    <row r="487">
      <c r="H487" s="530"/>
      <c r="BI487" s="531"/>
      <c r="BJ487" s="532"/>
    </row>
    <row r="488">
      <c r="H488" s="530"/>
      <c r="BI488" s="531"/>
      <c r="BJ488" s="532"/>
    </row>
    <row r="489">
      <c r="H489" s="530"/>
      <c r="BI489" s="531"/>
      <c r="BJ489" s="532"/>
    </row>
    <row r="490">
      <c r="H490" s="530"/>
      <c r="BI490" s="531"/>
      <c r="BJ490" s="532"/>
    </row>
    <row r="491">
      <c r="H491" s="530"/>
      <c r="BI491" s="531"/>
      <c r="BJ491" s="532"/>
    </row>
    <row r="492">
      <c r="H492" s="530"/>
      <c r="BI492" s="531"/>
      <c r="BJ492" s="532"/>
    </row>
    <row r="493">
      <c r="H493" s="530"/>
      <c r="BI493" s="531"/>
      <c r="BJ493" s="532"/>
    </row>
    <row r="494">
      <c r="H494" s="530"/>
      <c r="BI494" s="531"/>
      <c r="BJ494" s="532"/>
    </row>
    <row r="495">
      <c r="H495" s="530"/>
      <c r="BI495" s="531"/>
      <c r="BJ495" s="532"/>
    </row>
    <row r="496">
      <c r="H496" s="530"/>
      <c r="BI496" s="531"/>
      <c r="BJ496" s="532"/>
    </row>
    <row r="497">
      <c r="H497" s="530"/>
      <c r="BI497" s="531"/>
      <c r="BJ497" s="532"/>
    </row>
    <row r="498">
      <c r="H498" s="530"/>
      <c r="BI498" s="531"/>
      <c r="BJ498" s="532"/>
    </row>
    <row r="499">
      <c r="H499" s="530"/>
      <c r="BI499" s="531"/>
      <c r="BJ499" s="532"/>
    </row>
    <row r="500">
      <c r="H500" s="530"/>
      <c r="BI500" s="531"/>
      <c r="BJ500" s="532"/>
    </row>
    <row r="501">
      <c r="H501" s="530"/>
      <c r="BI501" s="531"/>
      <c r="BJ501" s="532"/>
    </row>
    <row r="502">
      <c r="H502" s="530"/>
      <c r="BI502" s="531"/>
      <c r="BJ502" s="532"/>
    </row>
    <row r="503">
      <c r="H503" s="530"/>
      <c r="BI503" s="531"/>
      <c r="BJ503" s="532"/>
    </row>
    <row r="504">
      <c r="H504" s="530"/>
      <c r="BI504" s="531"/>
      <c r="BJ504" s="532"/>
    </row>
    <row r="505">
      <c r="H505" s="530"/>
      <c r="BI505" s="531"/>
      <c r="BJ505" s="532"/>
    </row>
    <row r="506">
      <c r="H506" s="530"/>
      <c r="BI506" s="531"/>
      <c r="BJ506" s="532"/>
    </row>
    <row r="507">
      <c r="H507" s="530"/>
      <c r="BI507" s="531"/>
      <c r="BJ507" s="532"/>
    </row>
    <row r="508">
      <c r="H508" s="530"/>
      <c r="BI508" s="531"/>
      <c r="BJ508" s="532"/>
    </row>
    <row r="509">
      <c r="H509" s="530"/>
      <c r="BI509" s="531"/>
      <c r="BJ509" s="532"/>
    </row>
    <row r="510">
      <c r="H510" s="530"/>
      <c r="BI510" s="531"/>
      <c r="BJ510" s="532"/>
    </row>
    <row r="511">
      <c r="H511" s="530"/>
      <c r="BI511" s="531"/>
      <c r="BJ511" s="532"/>
    </row>
    <row r="512">
      <c r="H512" s="530"/>
      <c r="BI512" s="531"/>
      <c r="BJ512" s="532"/>
    </row>
    <row r="513">
      <c r="H513" s="530"/>
      <c r="BI513" s="531"/>
      <c r="BJ513" s="532"/>
    </row>
    <row r="514">
      <c r="H514" s="530"/>
      <c r="BI514" s="531"/>
      <c r="BJ514" s="532"/>
    </row>
    <row r="515">
      <c r="H515" s="530"/>
      <c r="BI515" s="531"/>
      <c r="BJ515" s="532"/>
    </row>
    <row r="516">
      <c r="H516" s="530"/>
      <c r="BI516" s="531"/>
      <c r="BJ516" s="532"/>
    </row>
    <row r="517">
      <c r="H517" s="530"/>
      <c r="BI517" s="531"/>
      <c r="BJ517" s="532"/>
    </row>
    <row r="518">
      <c r="H518" s="530"/>
      <c r="BI518" s="531"/>
      <c r="BJ518" s="532"/>
    </row>
    <row r="519">
      <c r="H519" s="530"/>
      <c r="BI519" s="531"/>
      <c r="BJ519" s="532"/>
    </row>
    <row r="520">
      <c r="H520" s="530"/>
      <c r="BI520" s="531"/>
      <c r="BJ520" s="532"/>
    </row>
    <row r="521">
      <c r="H521" s="530"/>
      <c r="BI521" s="531"/>
      <c r="BJ521" s="532"/>
    </row>
    <row r="522">
      <c r="H522" s="530"/>
      <c r="BI522" s="531"/>
      <c r="BJ522" s="532"/>
    </row>
    <row r="523">
      <c r="H523" s="530"/>
      <c r="BI523" s="531"/>
      <c r="BJ523" s="532"/>
    </row>
    <row r="524">
      <c r="H524" s="530"/>
      <c r="BI524" s="531"/>
      <c r="BJ524" s="532"/>
    </row>
    <row r="525">
      <c r="H525" s="530"/>
      <c r="BI525" s="531"/>
      <c r="BJ525" s="532"/>
    </row>
    <row r="526">
      <c r="H526" s="530"/>
      <c r="BI526" s="531"/>
      <c r="BJ526" s="532"/>
    </row>
    <row r="527">
      <c r="H527" s="530"/>
      <c r="BI527" s="531"/>
      <c r="BJ527" s="532"/>
    </row>
    <row r="528">
      <c r="H528" s="530"/>
      <c r="BI528" s="531"/>
      <c r="BJ528" s="532"/>
    </row>
    <row r="529">
      <c r="H529" s="530"/>
      <c r="BI529" s="531"/>
      <c r="BJ529" s="532"/>
    </row>
    <row r="530">
      <c r="H530" s="530"/>
      <c r="BI530" s="531"/>
      <c r="BJ530" s="532"/>
    </row>
    <row r="531">
      <c r="H531" s="530"/>
      <c r="BI531" s="531"/>
      <c r="BJ531" s="532"/>
    </row>
    <row r="532">
      <c r="H532" s="530"/>
      <c r="BI532" s="531"/>
      <c r="BJ532" s="532"/>
    </row>
    <row r="533">
      <c r="H533" s="530"/>
      <c r="BI533" s="531"/>
      <c r="BJ533" s="532"/>
    </row>
    <row r="534">
      <c r="H534" s="530"/>
      <c r="BI534" s="531"/>
      <c r="BJ534" s="532"/>
    </row>
    <row r="535">
      <c r="H535" s="530"/>
      <c r="BI535" s="531"/>
      <c r="BJ535" s="532"/>
    </row>
    <row r="536">
      <c r="H536" s="530"/>
      <c r="BI536" s="531"/>
      <c r="BJ536" s="532"/>
    </row>
    <row r="537">
      <c r="H537" s="530"/>
      <c r="BI537" s="531"/>
      <c r="BJ537" s="532"/>
    </row>
    <row r="538">
      <c r="H538" s="530"/>
      <c r="BI538" s="531"/>
      <c r="BJ538" s="532"/>
    </row>
    <row r="539">
      <c r="H539" s="530"/>
      <c r="BI539" s="531"/>
      <c r="BJ539" s="532"/>
    </row>
    <row r="540">
      <c r="H540" s="530"/>
      <c r="BI540" s="531"/>
      <c r="BJ540" s="532"/>
    </row>
    <row r="541">
      <c r="H541" s="530"/>
      <c r="BI541" s="531"/>
      <c r="BJ541" s="532"/>
    </row>
    <row r="542">
      <c r="H542" s="530"/>
      <c r="BI542" s="531"/>
      <c r="BJ542" s="532"/>
    </row>
    <row r="543">
      <c r="H543" s="530"/>
      <c r="BI543" s="531"/>
      <c r="BJ543" s="532"/>
    </row>
    <row r="544">
      <c r="H544" s="530"/>
      <c r="BI544" s="531"/>
      <c r="BJ544" s="532"/>
    </row>
    <row r="545">
      <c r="H545" s="530"/>
      <c r="BI545" s="531"/>
      <c r="BJ545" s="532"/>
    </row>
    <row r="546">
      <c r="H546" s="530"/>
      <c r="BI546" s="531"/>
      <c r="BJ546" s="532"/>
    </row>
    <row r="547">
      <c r="H547" s="530"/>
      <c r="BI547" s="531"/>
      <c r="BJ547" s="532"/>
    </row>
    <row r="548">
      <c r="H548" s="530"/>
      <c r="BI548" s="531"/>
      <c r="BJ548" s="532"/>
    </row>
    <row r="549">
      <c r="H549" s="530"/>
      <c r="BI549" s="531"/>
      <c r="BJ549" s="532"/>
    </row>
    <row r="550">
      <c r="H550" s="530"/>
      <c r="BI550" s="531"/>
      <c r="BJ550" s="532"/>
    </row>
    <row r="551">
      <c r="H551" s="530"/>
      <c r="BI551" s="531"/>
      <c r="BJ551" s="532"/>
    </row>
    <row r="552">
      <c r="H552" s="530"/>
      <c r="BI552" s="531"/>
      <c r="BJ552" s="532"/>
    </row>
    <row r="553">
      <c r="H553" s="530"/>
      <c r="BI553" s="531"/>
      <c r="BJ553" s="532"/>
    </row>
    <row r="554">
      <c r="H554" s="530"/>
      <c r="BI554" s="531"/>
      <c r="BJ554" s="532"/>
    </row>
    <row r="555">
      <c r="H555" s="530"/>
      <c r="BI555" s="531"/>
      <c r="BJ555" s="532"/>
    </row>
    <row r="556">
      <c r="H556" s="530"/>
      <c r="BI556" s="531"/>
      <c r="BJ556" s="532"/>
    </row>
    <row r="557">
      <c r="H557" s="530"/>
      <c r="BI557" s="531"/>
      <c r="BJ557" s="532"/>
    </row>
    <row r="558">
      <c r="H558" s="530"/>
      <c r="BI558" s="531"/>
      <c r="BJ558" s="532"/>
    </row>
    <row r="559">
      <c r="H559" s="530"/>
      <c r="BI559" s="531"/>
      <c r="BJ559" s="532"/>
    </row>
    <row r="560">
      <c r="H560" s="530"/>
      <c r="BI560" s="531"/>
      <c r="BJ560" s="532"/>
    </row>
    <row r="561">
      <c r="H561" s="530"/>
      <c r="BI561" s="531"/>
      <c r="BJ561" s="532"/>
    </row>
    <row r="562">
      <c r="H562" s="530"/>
      <c r="BI562" s="531"/>
      <c r="BJ562" s="532"/>
    </row>
    <row r="563">
      <c r="H563" s="530"/>
      <c r="BI563" s="531"/>
      <c r="BJ563" s="532"/>
    </row>
    <row r="564">
      <c r="H564" s="530"/>
      <c r="BI564" s="531"/>
      <c r="BJ564" s="532"/>
    </row>
    <row r="565">
      <c r="H565" s="530"/>
      <c r="BI565" s="531"/>
      <c r="BJ565" s="532"/>
    </row>
    <row r="566">
      <c r="H566" s="530"/>
      <c r="BI566" s="531"/>
      <c r="BJ566" s="532"/>
    </row>
    <row r="567">
      <c r="H567" s="530"/>
      <c r="BI567" s="531"/>
      <c r="BJ567" s="532"/>
    </row>
    <row r="568">
      <c r="H568" s="530"/>
      <c r="BI568" s="531"/>
      <c r="BJ568" s="532"/>
    </row>
    <row r="569">
      <c r="H569" s="530"/>
      <c r="BI569" s="531"/>
      <c r="BJ569" s="532"/>
    </row>
    <row r="570">
      <c r="H570" s="530"/>
      <c r="BI570" s="531"/>
      <c r="BJ570" s="532"/>
    </row>
    <row r="571">
      <c r="H571" s="530"/>
      <c r="BI571" s="531"/>
      <c r="BJ571" s="532"/>
    </row>
    <row r="572">
      <c r="H572" s="530"/>
      <c r="BI572" s="531"/>
      <c r="BJ572" s="532"/>
    </row>
    <row r="573">
      <c r="H573" s="530"/>
      <c r="BI573" s="531"/>
      <c r="BJ573" s="532"/>
    </row>
    <row r="574">
      <c r="H574" s="530"/>
      <c r="BI574" s="531"/>
      <c r="BJ574" s="532"/>
    </row>
    <row r="575">
      <c r="H575" s="530"/>
      <c r="BI575" s="531"/>
      <c r="BJ575" s="532"/>
    </row>
    <row r="576">
      <c r="H576" s="530"/>
      <c r="BI576" s="531"/>
      <c r="BJ576" s="532"/>
    </row>
    <row r="577">
      <c r="H577" s="530"/>
      <c r="BI577" s="531"/>
      <c r="BJ577" s="532"/>
    </row>
    <row r="578">
      <c r="H578" s="530"/>
      <c r="BI578" s="531"/>
      <c r="BJ578" s="532"/>
    </row>
    <row r="579">
      <c r="H579" s="530"/>
      <c r="BI579" s="531"/>
      <c r="BJ579" s="532"/>
    </row>
    <row r="580">
      <c r="H580" s="530"/>
      <c r="BI580" s="531"/>
      <c r="BJ580" s="532"/>
    </row>
    <row r="581">
      <c r="H581" s="530"/>
      <c r="BI581" s="531"/>
      <c r="BJ581" s="532"/>
    </row>
    <row r="582">
      <c r="H582" s="530"/>
      <c r="BI582" s="531"/>
      <c r="BJ582" s="532"/>
    </row>
    <row r="583">
      <c r="H583" s="530"/>
      <c r="BI583" s="531"/>
      <c r="BJ583" s="532"/>
    </row>
    <row r="584">
      <c r="H584" s="530"/>
      <c r="BI584" s="531"/>
      <c r="BJ584" s="532"/>
    </row>
    <row r="585">
      <c r="H585" s="530"/>
      <c r="BI585" s="531"/>
      <c r="BJ585" s="532"/>
    </row>
    <row r="586">
      <c r="H586" s="530"/>
      <c r="BI586" s="531"/>
      <c r="BJ586" s="532"/>
    </row>
    <row r="587">
      <c r="H587" s="530"/>
      <c r="BI587" s="531"/>
      <c r="BJ587" s="532"/>
    </row>
    <row r="588">
      <c r="H588" s="530"/>
      <c r="BI588" s="531"/>
      <c r="BJ588" s="532"/>
    </row>
    <row r="589">
      <c r="H589" s="530"/>
      <c r="BI589" s="531"/>
      <c r="BJ589" s="532"/>
    </row>
    <row r="590">
      <c r="H590" s="530"/>
      <c r="BI590" s="531"/>
      <c r="BJ590" s="532"/>
    </row>
    <row r="591">
      <c r="H591" s="530"/>
      <c r="BI591" s="531"/>
      <c r="BJ591" s="532"/>
    </row>
    <row r="592">
      <c r="H592" s="530"/>
      <c r="BI592" s="531"/>
      <c r="BJ592" s="532"/>
    </row>
    <row r="593">
      <c r="H593" s="530"/>
      <c r="BI593" s="531"/>
      <c r="BJ593" s="532"/>
    </row>
    <row r="594">
      <c r="H594" s="530"/>
      <c r="BI594" s="531"/>
      <c r="BJ594" s="532"/>
    </row>
    <row r="595">
      <c r="H595" s="530"/>
      <c r="BI595" s="531"/>
      <c r="BJ595" s="532"/>
    </row>
    <row r="596">
      <c r="H596" s="530"/>
      <c r="BI596" s="531"/>
      <c r="BJ596" s="532"/>
    </row>
    <row r="597">
      <c r="H597" s="530"/>
      <c r="BI597" s="531"/>
      <c r="BJ597" s="532"/>
    </row>
    <row r="598">
      <c r="H598" s="530"/>
      <c r="BI598" s="531"/>
      <c r="BJ598" s="532"/>
    </row>
    <row r="599">
      <c r="H599" s="530"/>
      <c r="BI599" s="531"/>
      <c r="BJ599" s="532"/>
    </row>
    <row r="600">
      <c r="H600" s="530"/>
      <c r="BI600" s="531"/>
      <c r="BJ600" s="532"/>
    </row>
    <row r="601">
      <c r="H601" s="530"/>
      <c r="BI601" s="531"/>
      <c r="BJ601" s="532"/>
    </row>
    <row r="602">
      <c r="H602" s="530"/>
      <c r="BI602" s="531"/>
      <c r="BJ602" s="532"/>
    </row>
    <row r="603">
      <c r="H603" s="530"/>
      <c r="BI603" s="531"/>
      <c r="BJ603" s="532"/>
    </row>
    <row r="604">
      <c r="H604" s="530"/>
      <c r="BI604" s="531"/>
      <c r="BJ604" s="532"/>
    </row>
    <row r="605">
      <c r="H605" s="530"/>
      <c r="BI605" s="531"/>
      <c r="BJ605" s="532"/>
    </row>
    <row r="606">
      <c r="H606" s="530"/>
      <c r="BI606" s="531"/>
      <c r="BJ606" s="532"/>
    </row>
    <row r="607">
      <c r="H607" s="530"/>
      <c r="BI607" s="531"/>
      <c r="BJ607" s="532"/>
    </row>
    <row r="608">
      <c r="H608" s="530"/>
      <c r="BI608" s="531"/>
      <c r="BJ608" s="532"/>
    </row>
    <row r="609">
      <c r="H609" s="530"/>
      <c r="BI609" s="531"/>
      <c r="BJ609" s="532"/>
    </row>
    <row r="610">
      <c r="H610" s="530"/>
      <c r="BI610" s="531"/>
      <c r="BJ610" s="532"/>
    </row>
    <row r="611">
      <c r="H611" s="530"/>
      <c r="BI611" s="531"/>
      <c r="BJ611" s="532"/>
    </row>
    <row r="612">
      <c r="H612" s="530"/>
      <c r="BI612" s="531"/>
      <c r="BJ612" s="532"/>
    </row>
    <row r="613">
      <c r="H613" s="530"/>
      <c r="BI613" s="531"/>
      <c r="BJ613" s="532"/>
    </row>
    <row r="614">
      <c r="H614" s="530"/>
      <c r="BI614" s="531"/>
      <c r="BJ614" s="532"/>
    </row>
    <row r="615">
      <c r="H615" s="530"/>
      <c r="BI615" s="531"/>
      <c r="BJ615" s="532"/>
    </row>
    <row r="616">
      <c r="H616" s="530"/>
      <c r="BI616" s="531"/>
      <c r="BJ616" s="532"/>
    </row>
    <row r="617">
      <c r="H617" s="530"/>
      <c r="BI617" s="531"/>
      <c r="BJ617" s="532"/>
    </row>
    <row r="618">
      <c r="H618" s="530"/>
      <c r="BI618" s="531"/>
      <c r="BJ618" s="532"/>
    </row>
    <row r="619">
      <c r="H619" s="530"/>
      <c r="BI619" s="531"/>
      <c r="BJ619" s="532"/>
    </row>
    <row r="620">
      <c r="H620" s="530"/>
      <c r="BI620" s="531"/>
      <c r="BJ620" s="532"/>
    </row>
    <row r="621">
      <c r="H621" s="530"/>
      <c r="BI621" s="531"/>
      <c r="BJ621" s="532"/>
    </row>
    <row r="622">
      <c r="H622" s="530"/>
      <c r="BI622" s="531"/>
      <c r="BJ622" s="532"/>
    </row>
    <row r="623">
      <c r="H623" s="530"/>
      <c r="BI623" s="531"/>
      <c r="BJ623" s="532"/>
    </row>
    <row r="624">
      <c r="H624" s="530"/>
      <c r="BI624" s="531"/>
      <c r="BJ624" s="532"/>
    </row>
    <row r="625">
      <c r="H625" s="530"/>
      <c r="BI625" s="531"/>
      <c r="BJ625" s="532"/>
    </row>
    <row r="626">
      <c r="H626" s="530"/>
      <c r="BI626" s="531"/>
      <c r="BJ626" s="532"/>
    </row>
    <row r="627">
      <c r="H627" s="530"/>
      <c r="BI627" s="531"/>
      <c r="BJ627" s="532"/>
    </row>
    <row r="628">
      <c r="H628" s="530"/>
      <c r="BI628" s="531"/>
      <c r="BJ628" s="532"/>
    </row>
    <row r="629">
      <c r="H629" s="530"/>
      <c r="BI629" s="531"/>
      <c r="BJ629" s="532"/>
    </row>
    <row r="630">
      <c r="H630" s="530"/>
      <c r="BI630" s="531"/>
      <c r="BJ630" s="532"/>
    </row>
    <row r="631">
      <c r="H631" s="530"/>
      <c r="BI631" s="531"/>
      <c r="BJ631" s="532"/>
    </row>
    <row r="632">
      <c r="H632" s="530"/>
      <c r="BI632" s="531"/>
      <c r="BJ632" s="532"/>
    </row>
    <row r="633">
      <c r="H633" s="530"/>
      <c r="BI633" s="531"/>
      <c r="BJ633" s="532"/>
    </row>
    <row r="634">
      <c r="H634" s="530"/>
      <c r="BI634" s="531"/>
      <c r="BJ634" s="532"/>
    </row>
    <row r="635">
      <c r="H635" s="530"/>
      <c r="BI635" s="531"/>
      <c r="BJ635" s="532"/>
    </row>
    <row r="636">
      <c r="H636" s="530"/>
      <c r="BI636" s="531"/>
      <c r="BJ636" s="532"/>
    </row>
    <row r="637">
      <c r="H637" s="530"/>
      <c r="BI637" s="531"/>
      <c r="BJ637" s="532"/>
    </row>
    <row r="638">
      <c r="H638" s="530"/>
      <c r="BI638" s="531"/>
      <c r="BJ638" s="532"/>
    </row>
    <row r="639">
      <c r="H639" s="530"/>
      <c r="BI639" s="531"/>
      <c r="BJ639" s="532"/>
    </row>
    <row r="640">
      <c r="H640" s="530"/>
      <c r="BI640" s="531"/>
      <c r="BJ640" s="532"/>
    </row>
    <row r="641">
      <c r="H641" s="530"/>
      <c r="BI641" s="531"/>
      <c r="BJ641" s="532"/>
    </row>
    <row r="642">
      <c r="H642" s="530"/>
      <c r="BI642" s="531"/>
      <c r="BJ642" s="532"/>
    </row>
    <row r="643">
      <c r="H643" s="530"/>
      <c r="BI643" s="531"/>
      <c r="BJ643" s="532"/>
    </row>
    <row r="644">
      <c r="H644" s="530"/>
      <c r="BI644" s="531"/>
      <c r="BJ644" s="532"/>
    </row>
    <row r="645">
      <c r="H645" s="530"/>
      <c r="BI645" s="531"/>
      <c r="BJ645" s="532"/>
    </row>
    <row r="646">
      <c r="H646" s="530"/>
      <c r="BI646" s="531"/>
      <c r="BJ646" s="532"/>
    </row>
    <row r="647">
      <c r="H647" s="530"/>
      <c r="BI647" s="531"/>
      <c r="BJ647" s="532"/>
    </row>
    <row r="648">
      <c r="H648" s="530"/>
      <c r="BI648" s="531"/>
      <c r="BJ648" s="532"/>
    </row>
    <row r="649">
      <c r="H649" s="530"/>
      <c r="BI649" s="531"/>
      <c r="BJ649" s="532"/>
    </row>
    <row r="650">
      <c r="H650" s="530"/>
      <c r="BI650" s="531"/>
      <c r="BJ650" s="532"/>
    </row>
    <row r="651">
      <c r="H651" s="530"/>
      <c r="BI651" s="531"/>
      <c r="BJ651" s="532"/>
    </row>
    <row r="652">
      <c r="H652" s="530"/>
      <c r="BI652" s="531"/>
      <c r="BJ652" s="532"/>
    </row>
    <row r="653">
      <c r="H653" s="530"/>
      <c r="BI653" s="531"/>
      <c r="BJ653" s="532"/>
    </row>
    <row r="654">
      <c r="H654" s="530"/>
      <c r="BI654" s="531"/>
      <c r="BJ654" s="532"/>
    </row>
    <row r="655">
      <c r="H655" s="530"/>
      <c r="BI655" s="531"/>
      <c r="BJ655" s="532"/>
    </row>
    <row r="656">
      <c r="H656" s="530"/>
      <c r="BI656" s="531"/>
      <c r="BJ656" s="532"/>
    </row>
    <row r="657">
      <c r="H657" s="530"/>
      <c r="BI657" s="531"/>
      <c r="BJ657" s="532"/>
    </row>
    <row r="658">
      <c r="H658" s="530"/>
      <c r="BI658" s="531"/>
      <c r="BJ658" s="532"/>
    </row>
    <row r="659">
      <c r="H659" s="530"/>
      <c r="BI659" s="531"/>
      <c r="BJ659" s="532"/>
    </row>
    <row r="660">
      <c r="H660" s="530"/>
      <c r="BI660" s="531"/>
      <c r="BJ660" s="532"/>
    </row>
    <row r="661">
      <c r="H661" s="530"/>
      <c r="BI661" s="531"/>
      <c r="BJ661" s="532"/>
    </row>
    <row r="662">
      <c r="H662" s="530"/>
      <c r="BI662" s="531"/>
      <c r="BJ662" s="532"/>
    </row>
    <row r="663">
      <c r="H663" s="530"/>
      <c r="BI663" s="531"/>
      <c r="BJ663" s="532"/>
    </row>
    <row r="664">
      <c r="H664" s="530"/>
      <c r="BI664" s="531"/>
      <c r="BJ664" s="532"/>
    </row>
    <row r="665">
      <c r="H665" s="530"/>
      <c r="BI665" s="531"/>
      <c r="BJ665" s="532"/>
    </row>
    <row r="666">
      <c r="H666" s="530"/>
      <c r="BI666" s="531"/>
      <c r="BJ666" s="532"/>
    </row>
    <row r="667">
      <c r="H667" s="530"/>
      <c r="BI667" s="531"/>
      <c r="BJ667" s="532"/>
    </row>
    <row r="668">
      <c r="H668" s="530"/>
      <c r="BI668" s="531"/>
      <c r="BJ668" s="532"/>
    </row>
    <row r="669">
      <c r="H669" s="530"/>
      <c r="BI669" s="531"/>
      <c r="BJ669" s="532"/>
    </row>
    <row r="670">
      <c r="H670" s="530"/>
      <c r="BI670" s="531"/>
      <c r="BJ670" s="532"/>
    </row>
    <row r="671">
      <c r="H671" s="530"/>
      <c r="BI671" s="531"/>
      <c r="BJ671" s="532"/>
    </row>
    <row r="672">
      <c r="H672" s="530"/>
      <c r="BI672" s="531"/>
      <c r="BJ672" s="532"/>
    </row>
    <row r="673">
      <c r="H673" s="530"/>
      <c r="BI673" s="531"/>
      <c r="BJ673" s="532"/>
    </row>
    <row r="674">
      <c r="H674" s="530"/>
      <c r="BI674" s="531"/>
      <c r="BJ674" s="532"/>
    </row>
    <row r="675">
      <c r="H675" s="530"/>
      <c r="BI675" s="531"/>
      <c r="BJ675" s="532"/>
    </row>
    <row r="676">
      <c r="H676" s="530"/>
      <c r="BI676" s="531"/>
      <c r="BJ676" s="532"/>
    </row>
    <row r="677">
      <c r="H677" s="530"/>
      <c r="BI677" s="531"/>
      <c r="BJ677" s="532"/>
    </row>
    <row r="678">
      <c r="H678" s="530"/>
      <c r="BI678" s="531"/>
      <c r="BJ678" s="532"/>
    </row>
    <row r="679">
      <c r="H679" s="530"/>
      <c r="BI679" s="531"/>
      <c r="BJ679" s="532"/>
    </row>
    <row r="680">
      <c r="H680" s="530"/>
      <c r="BI680" s="531"/>
      <c r="BJ680" s="532"/>
    </row>
    <row r="681">
      <c r="H681" s="530"/>
      <c r="BI681" s="531"/>
      <c r="BJ681" s="532"/>
    </row>
    <row r="682">
      <c r="H682" s="530"/>
      <c r="BI682" s="531"/>
      <c r="BJ682" s="532"/>
    </row>
    <row r="683">
      <c r="H683" s="530"/>
      <c r="BI683" s="531"/>
      <c r="BJ683" s="532"/>
    </row>
    <row r="684">
      <c r="H684" s="530"/>
      <c r="BI684" s="531"/>
      <c r="BJ684" s="532"/>
    </row>
    <row r="685">
      <c r="H685" s="530"/>
      <c r="BI685" s="531"/>
      <c r="BJ685" s="532"/>
    </row>
    <row r="686">
      <c r="H686" s="530"/>
      <c r="BI686" s="531"/>
      <c r="BJ686" s="532"/>
    </row>
    <row r="687">
      <c r="H687" s="530"/>
      <c r="BI687" s="531"/>
      <c r="BJ687" s="532"/>
    </row>
    <row r="688">
      <c r="H688" s="530"/>
      <c r="BI688" s="531"/>
      <c r="BJ688" s="532"/>
    </row>
    <row r="689">
      <c r="H689" s="530"/>
      <c r="BI689" s="531"/>
      <c r="BJ689" s="532"/>
    </row>
    <row r="690">
      <c r="H690" s="530"/>
      <c r="BI690" s="531"/>
      <c r="BJ690" s="532"/>
    </row>
    <row r="691">
      <c r="H691" s="530"/>
      <c r="BI691" s="531"/>
      <c r="BJ691" s="532"/>
    </row>
    <row r="692">
      <c r="H692" s="530"/>
      <c r="BI692" s="531"/>
      <c r="BJ692" s="532"/>
    </row>
    <row r="693">
      <c r="H693" s="530"/>
      <c r="BI693" s="531"/>
      <c r="BJ693" s="532"/>
    </row>
    <row r="694">
      <c r="H694" s="530"/>
      <c r="BI694" s="531"/>
      <c r="BJ694" s="532"/>
    </row>
    <row r="695">
      <c r="H695" s="530"/>
      <c r="BI695" s="531"/>
      <c r="BJ695" s="532"/>
    </row>
    <row r="696">
      <c r="H696" s="530"/>
      <c r="BI696" s="531"/>
      <c r="BJ696" s="532"/>
    </row>
    <row r="697">
      <c r="H697" s="530"/>
      <c r="BI697" s="531"/>
      <c r="BJ697" s="532"/>
    </row>
    <row r="698">
      <c r="H698" s="530"/>
      <c r="BI698" s="531"/>
      <c r="BJ698" s="532"/>
    </row>
    <row r="699">
      <c r="H699" s="530"/>
      <c r="BI699" s="531"/>
      <c r="BJ699" s="532"/>
    </row>
    <row r="700">
      <c r="H700" s="530"/>
      <c r="BI700" s="531"/>
      <c r="BJ700" s="532"/>
    </row>
    <row r="701">
      <c r="H701" s="530"/>
      <c r="BI701" s="531"/>
      <c r="BJ701" s="532"/>
    </row>
    <row r="702">
      <c r="H702" s="530"/>
      <c r="BI702" s="531"/>
      <c r="BJ702" s="532"/>
    </row>
    <row r="703">
      <c r="H703" s="530"/>
      <c r="BI703" s="531"/>
      <c r="BJ703" s="532"/>
    </row>
    <row r="704">
      <c r="H704" s="530"/>
      <c r="BI704" s="531"/>
      <c r="BJ704" s="532"/>
    </row>
    <row r="705">
      <c r="H705" s="530"/>
      <c r="BI705" s="531"/>
      <c r="BJ705" s="532"/>
    </row>
    <row r="706">
      <c r="H706" s="530"/>
      <c r="BI706" s="531"/>
      <c r="BJ706" s="532"/>
    </row>
    <row r="707">
      <c r="H707" s="530"/>
      <c r="BI707" s="531"/>
      <c r="BJ707" s="532"/>
    </row>
    <row r="708">
      <c r="H708" s="530"/>
      <c r="BI708" s="531"/>
      <c r="BJ708" s="532"/>
    </row>
    <row r="709">
      <c r="H709" s="530"/>
      <c r="BI709" s="531"/>
      <c r="BJ709" s="532"/>
    </row>
    <row r="710">
      <c r="H710" s="530"/>
      <c r="BI710" s="531"/>
      <c r="BJ710" s="532"/>
    </row>
    <row r="711">
      <c r="H711" s="530"/>
      <c r="BI711" s="531"/>
      <c r="BJ711" s="532"/>
    </row>
    <row r="712">
      <c r="H712" s="530"/>
      <c r="BI712" s="531"/>
      <c r="BJ712" s="532"/>
    </row>
    <row r="713">
      <c r="H713" s="530"/>
      <c r="BI713" s="531"/>
      <c r="BJ713" s="532"/>
    </row>
    <row r="714">
      <c r="H714" s="530"/>
      <c r="BI714" s="531"/>
      <c r="BJ714" s="532"/>
    </row>
    <row r="715">
      <c r="H715" s="530"/>
      <c r="BI715" s="531"/>
      <c r="BJ715" s="532"/>
    </row>
    <row r="716">
      <c r="H716" s="530"/>
      <c r="BI716" s="531"/>
      <c r="BJ716" s="532"/>
    </row>
    <row r="717">
      <c r="H717" s="530"/>
      <c r="BI717" s="531"/>
      <c r="BJ717" s="532"/>
    </row>
    <row r="718">
      <c r="H718" s="530"/>
      <c r="BI718" s="531"/>
      <c r="BJ718" s="532"/>
    </row>
    <row r="719">
      <c r="H719" s="530"/>
      <c r="BI719" s="531"/>
      <c r="BJ719" s="532"/>
    </row>
    <row r="720">
      <c r="H720" s="530"/>
      <c r="BI720" s="531"/>
      <c r="BJ720" s="532"/>
    </row>
    <row r="721">
      <c r="H721" s="530"/>
      <c r="BI721" s="531"/>
      <c r="BJ721" s="532"/>
    </row>
    <row r="722">
      <c r="H722" s="530"/>
      <c r="BI722" s="531"/>
      <c r="BJ722" s="532"/>
    </row>
    <row r="723">
      <c r="H723" s="530"/>
      <c r="BI723" s="531"/>
      <c r="BJ723" s="532"/>
    </row>
    <row r="724">
      <c r="H724" s="530"/>
      <c r="BI724" s="531"/>
      <c r="BJ724" s="532"/>
    </row>
    <row r="725">
      <c r="H725" s="530"/>
      <c r="BI725" s="531"/>
      <c r="BJ725" s="532"/>
    </row>
    <row r="726">
      <c r="H726" s="530"/>
      <c r="BI726" s="531"/>
      <c r="BJ726" s="532"/>
    </row>
    <row r="727">
      <c r="H727" s="530"/>
      <c r="BI727" s="531"/>
      <c r="BJ727" s="532"/>
    </row>
    <row r="728">
      <c r="H728" s="530"/>
      <c r="BI728" s="531"/>
      <c r="BJ728" s="532"/>
    </row>
    <row r="729">
      <c r="H729" s="530"/>
      <c r="BI729" s="531"/>
      <c r="BJ729" s="532"/>
    </row>
    <row r="730">
      <c r="H730" s="530"/>
      <c r="BI730" s="531"/>
      <c r="BJ730" s="532"/>
    </row>
    <row r="731">
      <c r="H731" s="530"/>
      <c r="BI731" s="531"/>
      <c r="BJ731" s="532"/>
    </row>
    <row r="732">
      <c r="H732" s="530"/>
      <c r="BI732" s="531"/>
      <c r="BJ732" s="532"/>
    </row>
    <row r="733">
      <c r="H733" s="530"/>
      <c r="BI733" s="531"/>
      <c r="BJ733" s="532"/>
    </row>
    <row r="734">
      <c r="H734" s="530"/>
      <c r="BI734" s="531"/>
      <c r="BJ734" s="532"/>
    </row>
    <row r="735">
      <c r="H735" s="530"/>
      <c r="BI735" s="531"/>
      <c r="BJ735" s="532"/>
    </row>
    <row r="736">
      <c r="H736" s="530"/>
      <c r="BI736" s="531"/>
      <c r="BJ736" s="532"/>
    </row>
    <row r="737">
      <c r="H737" s="530"/>
      <c r="BI737" s="531"/>
      <c r="BJ737" s="532"/>
    </row>
    <row r="738">
      <c r="H738" s="530"/>
      <c r="BI738" s="531"/>
      <c r="BJ738" s="532"/>
    </row>
    <row r="739">
      <c r="H739" s="530"/>
      <c r="BI739" s="531"/>
      <c r="BJ739" s="532"/>
    </row>
    <row r="740">
      <c r="H740" s="530"/>
      <c r="BI740" s="531"/>
      <c r="BJ740" s="532"/>
    </row>
    <row r="741">
      <c r="H741" s="530"/>
      <c r="BI741" s="531"/>
      <c r="BJ741" s="532"/>
    </row>
    <row r="742">
      <c r="H742" s="530"/>
      <c r="BI742" s="531"/>
      <c r="BJ742" s="532"/>
    </row>
    <row r="743">
      <c r="H743" s="530"/>
      <c r="BI743" s="531"/>
      <c r="BJ743" s="532"/>
    </row>
    <row r="744">
      <c r="H744" s="530"/>
      <c r="BI744" s="531"/>
      <c r="BJ744" s="532"/>
    </row>
    <row r="745">
      <c r="H745" s="530"/>
      <c r="BI745" s="531"/>
      <c r="BJ745" s="532"/>
    </row>
    <row r="746">
      <c r="H746" s="530"/>
      <c r="BI746" s="531"/>
      <c r="BJ746" s="532"/>
    </row>
    <row r="747">
      <c r="H747" s="530"/>
      <c r="BI747" s="531"/>
      <c r="BJ747" s="532"/>
    </row>
    <row r="748">
      <c r="H748" s="530"/>
      <c r="BI748" s="531"/>
      <c r="BJ748" s="532"/>
    </row>
    <row r="749">
      <c r="H749" s="530"/>
      <c r="BI749" s="531"/>
      <c r="BJ749" s="532"/>
    </row>
    <row r="750">
      <c r="H750" s="530"/>
      <c r="BI750" s="531"/>
      <c r="BJ750" s="532"/>
    </row>
    <row r="751">
      <c r="H751" s="530"/>
      <c r="BI751" s="531"/>
      <c r="BJ751" s="532"/>
    </row>
    <row r="752">
      <c r="H752" s="530"/>
      <c r="BI752" s="531"/>
      <c r="BJ752" s="532"/>
    </row>
    <row r="753">
      <c r="H753" s="530"/>
      <c r="BI753" s="531"/>
      <c r="BJ753" s="532"/>
    </row>
    <row r="754">
      <c r="H754" s="530"/>
      <c r="BI754" s="531"/>
      <c r="BJ754" s="532"/>
    </row>
    <row r="755">
      <c r="H755" s="530"/>
      <c r="BI755" s="531"/>
      <c r="BJ755" s="532"/>
    </row>
    <row r="756">
      <c r="H756" s="530"/>
      <c r="BI756" s="531"/>
      <c r="BJ756" s="532"/>
    </row>
    <row r="757">
      <c r="H757" s="530"/>
      <c r="BI757" s="531"/>
      <c r="BJ757" s="532"/>
    </row>
    <row r="758">
      <c r="H758" s="530"/>
      <c r="BI758" s="531"/>
      <c r="BJ758" s="532"/>
    </row>
    <row r="759">
      <c r="H759" s="530"/>
      <c r="BI759" s="531"/>
      <c r="BJ759" s="532"/>
    </row>
    <row r="760">
      <c r="H760" s="530"/>
      <c r="BI760" s="531"/>
      <c r="BJ760" s="532"/>
    </row>
    <row r="761">
      <c r="H761" s="530"/>
      <c r="BI761" s="531"/>
      <c r="BJ761" s="532"/>
    </row>
    <row r="762">
      <c r="H762" s="530"/>
      <c r="BI762" s="531"/>
      <c r="BJ762" s="532"/>
    </row>
    <row r="763">
      <c r="H763" s="530"/>
      <c r="BI763" s="531"/>
      <c r="BJ763" s="532"/>
    </row>
    <row r="764">
      <c r="H764" s="530"/>
      <c r="BI764" s="531"/>
      <c r="BJ764" s="532"/>
    </row>
    <row r="765">
      <c r="H765" s="530"/>
      <c r="BI765" s="531"/>
      <c r="BJ765" s="532"/>
    </row>
    <row r="766">
      <c r="H766" s="530"/>
      <c r="BI766" s="531"/>
      <c r="BJ766" s="532"/>
    </row>
    <row r="767">
      <c r="H767" s="530"/>
      <c r="BI767" s="531"/>
      <c r="BJ767" s="532"/>
    </row>
    <row r="768">
      <c r="H768" s="530"/>
      <c r="BI768" s="531"/>
      <c r="BJ768" s="532"/>
    </row>
    <row r="769">
      <c r="H769" s="530"/>
      <c r="BI769" s="531"/>
      <c r="BJ769" s="532"/>
    </row>
    <row r="770">
      <c r="H770" s="530"/>
      <c r="BI770" s="531"/>
      <c r="BJ770" s="532"/>
    </row>
    <row r="771">
      <c r="H771" s="530"/>
      <c r="BI771" s="531"/>
      <c r="BJ771" s="532"/>
    </row>
    <row r="772">
      <c r="H772" s="530"/>
      <c r="BI772" s="531"/>
      <c r="BJ772" s="532"/>
    </row>
    <row r="773">
      <c r="H773" s="530"/>
      <c r="BI773" s="531"/>
      <c r="BJ773" s="532"/>
    </row>
    <row r="774">
      <c r="H774" s="530"/>
      <c r="BI774" s="531"/>
      <c r="BJ774" s="532"/>
    </row>
    <row r="775">
      <c r="H775" s="530"/>
      <c r="BI775" s="531"/>
      <c r="BJ775" s="532"/>
    </row>
    <row r="776">
      <c r="H776" s="530"/>
      <c r="BI776" s="531"/>
      <c r="BJ776" s="532"/>
    </row>
    <row r="777">
      <c r="H777" s="530"/>
      <c r="BI777" s="531"/>
      <c r="BJ777" s="532"/>
    </row>
    <row r="778">
      <c r="H778" s="530"/>
      <c r="BI778" s="531"/>
      <c r="BJ778" s="532"/>
    </row>
    <row r="779">
      <c r="H779" s="530"/>
      <c r="BI779" s="531"/>
      <c r="BJ779" s="532"/>
    </row>
    <row r="780">
      <c r="H780" s="530"/>
      <c r="BI780" s="531"/>
      <c r="BJ780" s="532"/>
    </row>
    <row r="781">
      <c r="H781" s="530"/>
      <c r="BI781" s="531"/>
      <c r="BJ781" s="532"/>
    </row>
    <row r="782">
      <c r="H782" s="530"/>
      <c r="BI782" s="531"/>
      <c r="BJ782" s="532"/>
    </row>
    <row r="783">
      <c r="H783" s="530"/>
      <c r="BI783" s="531"/>
      <c r="BJ783" s="532"/>
    </row>
    <row r="784">
      <c r="H784" s="530"/>
      <c r="BI784" s="531"/>
      <c r="BJ784" s="532"/>
    </row>
    <row r="785">
      <c r="H785" s="530"/>
      <c r="BI785" s="531"/>
      <c r="BJ785" s="532"/>
    </row>
    <row r="786">
      <c r="H786" s="530"/>
      <c r="BI786" s="531"/>
      <c r="BJ786" s="532"/>
    </row>
    <row r="787">
      <c r="H787" s="530"/>
      <c r="BI787" s="531"/>
      <c r="BJ787" s="532"/>
    </row>
    <row r="788">
      <c r="H788" s="530"/>
      <c r="BI788" s="531"/>
      <c r="BJ788" s="532"/>
    </row>
    <row r="789">
      <c r="H789" s="530"/>
      <c r="BI789" s="531"/>
      <c r="BJ789" s="532"/>
    </row>
    <row r="790">
      <c r="H790" s="530"/>
      <c r="BI790" s="531"/>
      <c r="BJ790" s="532"/>
    </row>
    <row r="791">
      <c r="H791" s="530"/>
      <c r="BI791" s="531"/>
      <c r="BJ791" s="532"/>
    </row>
    <row r="792">
      <c r="H792" s="530"/>
      <c r="BI792" s="531"/>
      <c r="BJ792" s="532"/>
    </row>
    <row r="793">
      <c r="H793" s="530"/>
      <c r="BI793" s="531"/>
      <c r="BJ793" s="532"/>
    </row>
    <row r="794">
      <c r="H794" s="530"/>
      <c r="BI794" s="531"/>
      <c r="BJ794" s="532"/>
    </row>
    <row r="795">
      <c r="H795" s="530"/>
      <c r="BI795" s="531"/>
      <c r="BJ795" s="532"/>
    </row>
    <row r="796">
      <c r="H796" s="530"/>
      <c r="BI796" s="531"/>
      <c r="BJ796" s="532"/>
    </row>
    <row r="797">
      <c r="H797" s="530"/>
      <c r="BI797" s="531"/>
      <c r="BJ797" s="532"/>
    </row>
    <row r="798">
      <c r="H798" s="530"/>
      <c r="BI798" s="531"/>
      <c r="BJ798" s="532"/>
    </row>
    <row r="799">
      <c r="H799" s="530"/>
      <c r="BI799" s="531"/>
      <c r="BJ799" s="532"/>
    </row>
    <row r="800">
      <c r="H800" s="530"/>
      <c r="BI800" s="531"/>
      <c r="BJ800" s="532"/>
    </row>
    <row r="801">
      <c r="H801" s="530"/>
      <c r="BI801" s="531"/>
      <c r="BJ801" s="532"/>
    </row>
    <row r="802">
      <c r="H802" s="530"/>
      <c r="BI802" s="531"/>
      <c r="BJ802" s="532"/>
    </row>
    <row r="803">
      <c r="H803" s="530"/>
      <c r="BI803" s="531"/>
      <c r="BJ803" s="532"/>
    </row>
    <row r="804">
      <c r="H804" s="530"/>
      <c r="BI804" s="531"/>
      <c r="BJ804" s="532"/>
    </row>
    <row r="805">
      <c r="H805" s="530"/>
      <c r="BI805" s="531"/>
      <c r="BJ805" s="532"/>
    </row>
    <row r="806">
      <c r="H806" s="530"/>
      <c r="BI806" s="531"/>
      <c r="BJ806" s="532"/>
    </row>
    <row r="807">
      <c r="H807" s="530"/>
      <c r="BI807" s="531"/>
      <c r="BJ807" s="532"/>
    </row>
    <row r="808">
      <c r="H808" s="530"/>
      <c r="BI808" s="531"/>
      <c r="BJ808" s="532"/>
    </row>
    <row r="809">
      <c r="H809" s="530"/>
      <c r="BI809" s="531"/>
      <c r="BJ809" s="532"/>
    </row>
    <row r="810">
      <c r="H810" s="530"/>
      <c r="BI810" s="531"/>
      <c r="BJ810" s="532"/>
    </row>
    <row r="811">
      <c r="H811" s="530"/>
      <c r="BI811" s="531"/>
      <c r="BJ811" s="532"/>
    </row>
    <row r="812">
      <c r="H812" s="530"/>
      <c r="BI812" s="531"/>
      <c r="BJ812" s="532"/>
    </row>
    <row r="813">
      <c r="H813" s="530"/>
      <c r="BI813" s="531"/>
      <c r="BJ813" s="532"/>
    </row>
    <row r="814">
      <c r="H814" s="530"/>
      <c r="BI814" s="531"/>
      <c r="BJ814" s="532"/>
    </row>
    <row r="815">
      <c r="H815" s="530"/>
      <c r="BI815" s="531"/>
      <c r="BJ815" s="532"/>
    </row>
    <row r="816">
      <c r="H816" s="530"/>
      <c r="BI816" s="531"/>
      <c r="BJ816" s="532"/>
    </row>
    <row r="817">
      <c r="H817" s="530"/>
      <c r="BI817" s="531"/>
      <c r="BJ817" s="532"/>
    </row>
    <row r="818">
      <c r="H818" s="530"/>
      <c r="BI818" s="531"/>
      <c r="BJ818" s="532"/>
    </row>
    <row r="819">
      <c r="H819" s="530"/>
      <c r="BI819" s="531"/>
      <c r="BJ819" s="532"/>
    </row>
    <row r="820">
      <c r="H820" s="530"/>
      <c r="BI820" s="531"/>
      <c r="BJ820" s="532"/>
    </row>
    <row r="821">
      <c r="H821" s="530"/>
      <c r="BI821" s="531"/>
      <c r="BJ821" s="532"/>
    </row>
    <row r="822">
      <c r="H822" s="530"/>
      <c r="BI822" s="531"/>
      <c r="BJ822" s="532"/>
    </row>
    <row r="823">
      <c r="H823" s="530"/>
      <c r="BI823" s="531"/>
      <c r="BJ823" s="532"/>
    </row>
    <row r="824">
      <c r="H824" s="530"/>
      <c r="BI824" s="531"/>
      <c r="BJ824" s="532"/>
    </row>
    <row r="825">
      <c r="H825" s="530"/>
      <c r="BI825" s="531"/>
      <c r="BJ825" s="532"/>
    </row>
    <row r="826">
      <c r="H826" s="530"/>
      <c r="BI826" s="531"/>
      <c r="BJ826" s="532"/>
    </row>
    <row r="827">
      <c r="H827" s="530"/>
      <c r="BI827" s="531"/>
      <c r="BJ827" s="532"/>
    </row>
    <row r="828">
      <c r="H828" s="530"/>
      <c r="BI828" s="531"/>
      <c r="BJ828" s="532"/>
    </row>
    <row r="829">
      <c r="H829" s="530"/>
      <c r="BI829" s="531"/>
      <c r="BJ829" s="532"/>
    </row>
    <row r="830">
      <c r="H830" s="530"/>
      <c r="BI830" s="531"/>
      <c r="BJ830" s="532"/>
    </row>
    <row r="831">
      <c r="H831" s="530"/>
      <c r="BI831" s="531"/>
      <c r="BJ831" s="532"/>
    </row>
    <row r="832">
      <c r="H832" s="530"/>
      <c r="BI832" s="531"/>
      <c r="BJ832" s="532"/>
    </row>
    <row r="833">
      <c r="H833" s="530"/>
      <c r="BI833" s="531"/>
      <c r="BJ833" s="532"/>
    </row>
    <row r="834">
      <c r="H834" s="530"/>
      <c r="BI834" s="531"/>
      <c r="BJ834" s="532"/>
    </row>
    <row r="835">
      <c r="H835" s="530"/>
      <c r="BI835" s="531"/>
      <c r="BJ835" s="532"/>
    </row>
    <row r="836">
      <c r="H836" s="530"/>
      <c r="BI836" s="531"/>
      <c r="BJ836" s="532"/>
    </row>
    <row r="837">
      <c r="H837" s="530"/>
      <c r="BI837" s="531"/>
      <c r="BJ837" s="532"/>
    </row>
    <row r="838">
      <c r="H838" s="530"/>
      <c r="BI838" s="531"/>
      <c r="BJ838" s="532"/>
    </row>
    <row r="839">
      <c r="H839" s="530"/>
      <c r="BI839" s="531"/>
      <c r="BJ839" s="532"/>
    </row>
    <row r="840">
      <c r="H840" s="530"/>
      <c r="BI840" s="531"/>
      <c r="BJ840" s="532"/>
    </row>
    <row r="841">
      <c r="H841" s="530"/>
      <c r="BI841" s="531"/>
      <c r="BJ841" s="532"/>
    </row>
    <row r="842">
      <c r="H842" s="530"/>
      <c r="BI842" s="531"/>
      <c r="BJ842" s="532"/>
    </row>
    <row r="843">
      <c r="H843" s="530"/>
      <c r="BI843" s="531"/>
      <c r="BJ843" s="532"/>
    </row>
    <row r="844">
      <c r="H844" s="530"/>
      <c r="BI844" s="531"/>
      <c r="BJ844" s="532"/>
    </row>
    <row r="845">
      <c r="H845" s="530"/>
      <c r="BI845" s="531"/>
      <c r="BJ845" s="532"/>
    </row>
    <row r="846">
      <c r="H846" s="530"/>
      <c r="BI846" s="531"/>
      <c r="BJ846" s="532"/>
    </row>
    <row r="847">
      <c r="H847" s="530"/>
      <c r="BI847" s="531"/>
      <c r="BJ847" s="532"/>
    </row>
    <row r="848">
      <c r="H848" s="530"/>
      <c r="BI848" s="531"/>
      <c r="BJ848" s="532"/>
    </row>
    <row r="849">
      <c r="H849" s="530"/>
      <c r="BI849" s="531"/>
      <c r="BJ849" s="532"/>
    </row>
    <row r="850">
      <c r="H850" s="530"/>
      <c r="BI850" s="531"/>
      <c r="BJ850" s="532"/>
    </row>
    <row r="851">
      <c r="H851" s="530"/>
      <c r="BI851" s="531"/>
      <c r="BJ851" s="532"/>
    </row>
    <row r="852">
      <c r="H852" s="530"/>
      <c r="BI852" s="531"/>
      <c r="BJ852" s="532"/>
    </row>
    <row r="853">
      <c r="H853" s="530"/>
      <c r="BI853" s="531"/>
      <c r="BJ853" s="532"/>
    </row>
    <row r="854">
      <c r="H854" s="530"/>
      <c r="BI854" s="531"/>
      <c r="BJ854" s="532"/>
    </row>
    <row r="855">
      <c r="H855" s="530"/>
      <c r="BI855" s="531"/>
      <c r="BJ855" s="532"/>
    </row>
    <row r="856">
      <c r="H856" s="530"/>
      <c r="BI856" s="531"/>
      <c r="BJ856" s="532"/>
    </row>
    <row r="857">
      <c r="H857" s="530"/>
      <c r="BI857" s="531"/>
      <c r="BJ857" s="532"/>
    </row>
    <row r="858">
      <c r="H858" s="530"/>
      <c r="BI858" s="531"/>
      <c r="BJ858" s="532"/>
    </row>
    <row r="859">
      <c r="H859" s="530"/>
      <c r="BI859" s="531"/>
      <c r="BJ859" s="532"/>
    </row>
    <row r="860">
      <c r="H860" s="530"/>
      <c r="BI860" s="531"/>
      <c r="BJ860" s="532"/>
    </row>
    <row r="861">
      <c r="H861" s="530"/>
      <c r="BI861" s="531"/>
      <c r="BJ861" s="532"/>
    </row>
    <row r="862">
      <c r="H862" s="530"/>
      <c r="BI862" s="531"/>
      <c r="BJ862" s="532"/>
    </row>
    <row r="863">
      <c r="H863" s="530"/>
      <c r="BI863" s="531"/>
      <c r="BJ863" s="532"/>
    </row>
    <row r="864">
      <c r="H864" s="530"/>
      <c r="BI864" s="531"/>
      <c r="BJ864" s="532"/>
    </row>
    <row r="865">
      <c r="H865" s="530"/>
      <c r="BI865" s="531"/>
      <c r="BJ865" s="532"/>
    </row>
    <row r="866">
      <c r="H866" s="530"/>
      <c r="BI866" s="531"/>
      <c r="BJ866" s="532"/>
    </row>
    <row r="867">
      <c r="H867" s="530"/>
      <c r="BI867" s="531"/>
      <c r="BJ867" s="532"/>
    </row>
    <row r="868">
      <c r="H868" s="530"/>
      <c r="BI868" s="531"/>
      <c r="BJ868" s="532"/>
    </row>
    <row r="869">
      <c r="H869" s="530"/>
      <c r="BI869" s="531"/>
      <c r="BJ869" s="532"/>
    </row>
    <row r="870">
      <c r="H870" s="530"/>
      <c r="BI870" s="531"/>
      <c r="BJ870" s="532"/>
    </row>
    <row r="871">
      <c r="H871" s="530"/>
      <c r="BI871" s="531"/>
      <c r="BJ871" s="532"/>
    </row>
    <row r="872">
      <c r="H872" s="530"/>
      <c r="BI872" s="531"/>
      <c r="BJ872" s="532"/>
    </row>
    <row r="873">
      <c r="H873" s="530"/>
      <c r="BI873" s="531"/>
      <c r="BJ873" s="532"/>
    </row>
    <row r="874">
      <c r="H874" s="530"/>
      <c r="BI874" s="531"/>
      <c r="BJ874" s="532"/>
    </row>
    <row r="875">
      <c r="H875" s="530"/>
      <c r="BI875" s="531"/>
      <c r="BJ875" s="532"/>
    </row>
    <row r="876">
      <c r="H876" s="530"/>
      <c r="BI876" s="531"/>
      <c r="BJ876" s="532"/>
    </row>
    <row r="877">
      <c r="H877" s="530"/>
      <c r="BI877" s="531"/>
      <c r="BJ877" s="532"/>
    </row>
    <row r="878">
      <c r="H878" s="530"/>
      <c r="BI878" s="531"/>
      <c r="BJ878" s="532"/>
    </row>
    <row r="879">
      <c r="H879" s="530"/>
      <c r="BI879" s="531"/>
      <c r="BJ879" s="532"/>
    </row>
    <row r="880">
      <c r="H880" s="530"/>
      <c r="BI880" s="531"/>
      <c r="BJ880" s="532"/>
    </row>
    <row r="881">
      <c r="H881" s="530"/>
      <c r="BI881" s="531"/>
      <c r="BJ881" s="532"/>
    </row>
    <row r="882">
      <c r="H882" s="530"/>
      <c r="BI882" s="531"/>
      <c r="BJ882" s="532"/>
    </row>
    <row r="883">
      <c r="H883" s="530"/>
      <c r="BI883" s="531"/>
      <c r="BJ883" s="532"/>
    </row>
    <row r="884">
      <c r="H884" s="530"/>
      <c r="BI884" s="531"/>
      <c r="BJ884" s="532"/>
    </row>
    <row r="885">
      <c r="H885" s="530"/>
      <c r="BI885" s="531"/>
      <c r="BJ885" s="532"/>
    </row>
    <row r="886">
      <c r="H886" s="530"/>
      <c r="BI886" s="531"/>
      <c r="BJ886" s="532"/>
    </row>
    <row r="887">
      <c r="H887" s="530"/>
      <c r="BI887" s="531"/>
      <c r="BJ887" s="532"/>
    </row>
    <row r="888">
      <c r="H888" s="530"/>
      <c r="BI888" s="531"/>
      <c r="BJ888" s="532"/>
    </row>
    <row r="889">
      <c r="H889" s="530"/>
      <c r="BI889" s="531"/>
      <c r="BJ889" s="532"/>
    </row>
    <row r="890">
      <c r="H890" s="530"/>
      <c r="BI890" s="531"/>
      <c r="BJ890" s="532"/>
    </row>
    <row r="891">
      <c r="H891" s="530"/>
      <c r="BI891" s="531"/>
      <c r="BJ891" s="532"/>
    </row>
    <row r="892">
      <c r="H892" s="530"/>
      <c r="BI892" s="531"/>
      <c r="BJ892" s="532"/>
    </row>
    <row r="893">
      <c r="H893" s="530"/>
      <c r="BI893" s="531"/>
      <c r="BJ893" s="532"/>
    </row>
    <row r="894">
      <c r="H894" s="530"/>
      <c r="BI894" s="531"/>
      <c r="BJ894" s="532"/>
    </row>
    <row r="895">
      <c r="H895" s="530"/>
      <c r="BI895" s="531"/>
      <c r="BJ895" s="532"/>
    </row>
    <row r="896">
      <c r="H896" s="530"/>
      <c r="BI896" s="531"/>
      <c r="BJ896" s="532"/>
    </row>
    <row r="897">
      <c r="H897" s="530"/>
      <c r="BI897" s="531"/>
      <c r="BJ897" s="532"/>
    </row>
    <row r="898">
      <c r="H898" s="530"/>
      <c r="BI898" s="531"/>
      <c r="BJ898" s="532"/>
    </row>
    <row r="899">
      <c r="H899" s="530"/>
      <c r="BI899" s="531"/>
      <c r="BJ899" s="532"/>
    </row>
    <row r="900">
      <c r="H900" s="530"/>
      <c r="BI900" s="531"/>
      <c r="BJ900" s="532"/>
    </row>
    <row r="901">
      <c r="H901" s="530"/>
      <c r="BI901" s="531"/>
      <c r="BJ901" s="532"/>
    </row>
    <row r="902">
      <c r="H902" s="530"/>
      <c r="BI902" s="531"/>
      <c r="BJ902" s="532"/>
    </row>
    <row r="903">
      <c r="H903" s="530"/>
      <c r="BI903" s="531"/>
      <c r="BJ903" s="532"/>
    </row>
    <row r="904">
      <c r="H904" s="530"/>
      <c r="BI904" s="531"/>
      <c r="BJ904" s="532"/>
    </row>
    <row r="905">
      <c r="H905" s="530"/>
      <c r="BI905" s="531"/>
      <c r="BJ905" s="532"/>
    </row>
    <row r="906">
      <c r="H906" s="530"/>
      <c r="BI906" s="531"/>
      <c r="BJ906" s="532"/>
    </row>
    <row r="907">
      <c r="H907" s="530"/>
      <c r="BI907" s="531"/>
      <c r="BJ907" s="532"/>
    </row>
    <row r="908">
      <c r="H908" s="530"/>
      <c r="BI908" s="531"/>
      <c r="BJ908" s="532"/>
    </row>
    <row r="909">
      <c r="H909" s="530"/>
      <c r="BI909" s="531"/>
      <c r="BJ909" s="532"/>
    </row>
    <row r="910">
      <c r="H910" s="530"/>
      <c r="BI910" s="531"/>
      <c r="BJ910" s="532"/>
    </row>
    <row r="911">
      <c r="H911" s="530"/>
      <c r="BI911" s="531"/>
      <c r="BJ911" s="532"/>
    </row>
    <row r="912">
      <c r="H912" s="530"/>
      <c r="BI912" s="531"/>
      <c r="BJ912" s="532"/>
    </row>
    <row r="913">
      <c r="H913" s="530"/>
      <c r="BI913" s="531"/>
      <c r="BJ913" s="532"/>
    </row>
    <row r="914">
      <c r="H914" s="530"/>
      <c r="BI914" s="531"/>
      <c r="BJ914" s="532"/>
    </row>
    <row r="915">
      <c r="H915" s="530"/>
      <c r="BI915" s="531"/>
      <c r="BJ915" s="532"/>
    </row>
    <row r="916">
      <c r="H916" s="530"/>
      <c r="BI916" s="531"/>
      <c r="BJ916" s="532"/>
    </row>
    <row r="917">
      <c r="H917" s="530"/>
      <c r="BI917" s="531"/>
      <c r="BJ917" s="532"/>
    </row>
    <row r="918">
      <c r="H918" s="530"/>
      <c r="BI918" s="531"/>
      <c r="BJ918" s="532"/>
    </row>
    <row r="919">
      <c r="H919" s="530"/>
      <c r="BI919" s="531"/>
      <c r="BJ919" s="532"/>
    </row>
    <row r="920">
      <c r="H920" s="530"/>
      <c r="BI920" s="531"/>
      <c r="BJ920" s="532"/>
    </row>
    <row r="921">
      <c r="H921" s="530"/>
      <c r="BI921" s="531"/>
      <c r="BJ921" s="532"/>
    </row>
    <row r="922">
      <c r="H922" s="530"/>
      <c r="BI922" s="531"/>
      <c r="BJ922" s="532"/>
    </row>
    <row r="923">
      <c r="H923" s="530"/>
      <c r="BI923" s="531"/>
      <c r="BJ923" s="532"/>
    </row>
    <row r="924">
      <c r="H924" s="530"/>
      <c r="BI924" s="531"/>
      <c r="BJ924" s="532"/>
    </row>
    <row r="925">
      <c r="H925" s="530"/>
      <c r="BI925" s="531"/>
      <c r="BJ925" s="532"/>
    </row>
    <row r="926">
      <c r="H926" s="530"/>
      <c r="BI926" s="531"/>
      <c r="BJ926" s="532"/>
    </row>
    <row r="927">
      <c r="H927" s="530"/>
      <c r="BI927" s="531"/>
      <c r="BJ927" s="532"/>
    </row>
    <row r="928">
      <c r="H928" s="530"/>
      <c r="BI928" s="531"/>
      <c r="BJ928" s="532"/>
    </row>
    <row r="929">
      <c r="H929" s="530"/>
      <c r="BI929" s="531"/>
      <c r="BJ929" s="532"/>
    </row>
    <row r="930">
      <c r="H930" s="530"/>
      <c r="BI930" s="531"/>
      <c r="BJ930" s="532"/>
    </row>
    <row r="931">
      <c r="H931" s="530"/>
      <c r="BI931" s="531"/>
      <c r="BJ931" s="532"/>
    </row>
    <row r="932">
      <c r="H932" s="530"/>
      <c r="BI932" s="531"/>
      <c r="BJ932" s="532"/>
    </row>
    <row r="933">
      <c r="H933" s="530"/>
      <c r="BI933" s="531"/>
      <c r="BJ933" s="532"/>
    </row>
    <row r="934">
      <c r="H934" s="530"/>
      <c r="BI934" s="531"/>
      <c r="BJ934" s="532"/>
    </row>
    <row r="935">
      <c r="H935" s="530"/>
      <c r="BI935" s="531"/>
      <c r="BJ935" s="532"/>
    </row>
    <row r="936">
      <c r="H936" s="530"/>
      <c r="BI936" s="531"/>
      <c r="BJ936" s="532"/>
    </row>
    <row r="937">
      <c r="H937" s="530"/>
      <c r="BI937" s="531"/>
      <c r="BJ937" s="532"/>
    </row>
    <row r="938">
      <c r="H938" s="530"/>
      <c r="BI938" s="531"/>
      <c r="BJ938" s="532"/>
    </row>
    <row r="939">
      <c r="H939" s="530"/>
      <c r="BI939" s="531"/>
      <c r="BJ939" s="532"/>
    </row>
    <row r="940">
      <c r="H940" s="530"/>
      <c r="BI940" s="531"/>
      <c r="BJ940" s="532"/>
    </row>
    <row r="941">
      <c r="H941" s="530"/>
      <c r="BI941" s="531"/>
      <c r="BJ941" s="532"/>
    </row>
    <row r="942">
      <c r="H942" s="530"/>
      <c r="BI942" s="531"/>
      <c r="BJ942" s="532"/>
    </row>
    <row r="943">
      <c r="H943" s="530"/>
      <c r="BI943" s="531"/>
      <c r="BJ943" s="532"/>
    </row>
    <row r="944">
      <c r="H944" s="530"/>
      <c r="BI944" s="531"/>
      <c r="BJ944" s="532"/>
    </row>
    <row r="945">
      <c r="H945" s="530"/>
      <c r="BI945" s="531"/>
      <c r="BJ945" s="532"/>
    </row>
    <row r="946">
      <c r="H946" s="530"/>
      <c r="BI946" s="531"/>
      <c r="BJ946" s="532"/>
    </row>
    <row r="947">
      <c r="H947" s="530"/>
      <c r="BI947" s="531"/>
      <c r="BJ947" s="532"/>
    </row>
    <row r="948">
      <c r="H948" s="530"/>
      <c r="BI948" s="531"/>
      <c r="BJ948" s="532"/>
    </row>
    <row r="949">
      <c r="H949" s="530"/>
      <c r="BI949" s="531"/>
      <c r="BJ949" s="532"/>
    </row>
    <row r="950">
      <c r="H950" s="530"/>
      <c r="BI950" s="531"/>
      <c r="BJ950" s="532"/>
    </row>
    <row r="951">
      <c r="H951" s="530"/>
      <c r="BI951" s="531"/>
      <c r="BJ951" s="532"/>
    </row>
    <row r="952">
      <c r="H952" s="530"/>
      <c r="BI952" s="531"/>
      <c r="BJ952" s="532"/>
    </row>
    <row r="953">
      <c r="H953" s="530"/>
      <c r="BI953" s="531"/>
      <c r="BJ953" s="532"/>
    </row>
    <row r="954">
      <c r="H954" s="530"/>
      <c r="BI954" s="531"/>
      <c r="BJ954" s="532"/>
    </row>
    <row r="955">
      <c r="H955" s="530"/>
      <c r="BI955" s="531"/>
      <c r="BJ955" s="532"/>
    </row>
    <row r="956">
      <c r="H956" s="530"/>
      <c r="BI956" s="531"/>
      <c r="BJ956" s="532"/>
    </row>
    <row r="957">
      <c r="H957" s="530"/>
      <c r="BI957" s="531"/>
      <c r="BJ957" s="532"/>
    </row>
    <row r="958">
      <c r="H958" s="530"/>
      <c r="BI958" s="531"/>
      <c r="BJ958" s="532"/>
    </row>
    <row r="959">
      <c r="H959" s="530"/>
      <c r="BI959" s="531"/>
      <c r="BJ959" s="532"/>
    </row>
    <row r="960">
      <c r="H960" s="530"/>
      <c r="BI960" s="531"/>
      <c r="BJ960" s="532"/>
    </row>
    <row r="961">
      <c r="H961" s="530"/>
      <c r="BI961" s="531"/>
      <c r="BJ961" s="532"/>
    </row>
    <row r="962">
      <c r="H962" s="530"/>
      <c r="BI962" s="531"/>
      <c r="BJ962" s="532"/>
    </row>
    <row r="963">
      <c r="H963" s="530"/>
      <c r="BI963" s="531"/>
      <c r="BJ963" s="532"/>
    </row>
    <row r="964">
      <c r="H964" s="530"/>
      <c r="BI964" s="531"/>
      <c r="BJ964" s="532"/>
    </row>
    <row r="965">
      <c r="H965" s="530"/>
      <c r="BI965" s="531"/>
      <c r="BJ965" s="532"/>
    </row>
    <row r="966">
      <c r="H966" s="530"/>
      <c r="BI966" s="531"/>
      <c r="BJ966" s="532"/>
    </row>
    <row r="967">
      <c r="H967" s="530"/>
      <c r="BI967" s="531"/>
      <c r="BJ967" s="532"/>
    </row>
    <row r="968">
      <c r="H968" s="530"/>
      <c r="BI968" s="531"/>
      <c r="BJ968" s="532"/>
    </row>
    <row r="969">
      <c r="H969" s="530"/>
      <c r="BI969" s="531"/>
      <c r="BJ969" s="532"/>
    </row>
    <row r="970">
      <c r="H970" s="530"/>
      <c r="BI970" s="531"/>
      <c r="BJ970" s="532"/>
    </row>
    <row r="971">
      <c r="H971" s="530"/>
      <c r="BI971" s="531"/>
      <c r="BJ971" s="532"/>
    </row>
    <row r="972">
      <c r="H972" s="530"/>
      <c r="BI972" s="531"/>
      <c r="BJ972" s="532"/>
    </row>
    <row r="973">
      <c r="H973" s="530"/>
      <c r="BI973" s="531"/>
      <c r="BJ973" s="532"/>
    </row>
    <row r="974">
      <c r="H974" s="530"/>
      <c r="BI974" s="531"/>
      <c r="BJ974" s="532"/>
    </row>
    <row r="975">
      <c r="H975" s="530"/>
      <c r="BI975" s="531"/>
      <c r="BJ975" s="532"/>
    </row>
    <row r="976">
      <c r="H976" s="530"/>
      <c r="BI976" s="531"/>
      <c r="BJ976" s="532"/>
    </row>
    <row r="977">
      <c r="H977" s="530"/>
      <c r="BI977" s="531"/>
      <c r="BJ977" s="532"/>
    </row>
    <row r="978">
      <c r="H978" s="530"/>
      <c r="BI978" s="531"/>
      <c r="BJ978" s="532"/>
    </row>
    <row r="979">
      <c r="H979" s="530"/>
      <c r="BI979" s="531"/>
      <c r="BJ979" s="532"/>
    </row>
    <row r="980">
      <c r="H980" s="530"/>
      <c r="BI980" s="531"/>
      <c r="BJ980" s="532"/>
    </row>
    <row r="981">
      <c r="H981" s="530"/>
      <c r="BI981" s="531"/>
      <c r="BJ981" s="532"/>
    </row>
    <row r="982">
      <c r="H982" s="530"/>
      <c r="BI982" s="531"/>
      <c r="BJ982" s="532"/>
    </row>
    <row r="983">
      <c r="H983" s="530"/>
      <c r="BI983" s="531"/>
      <c r="BJ983" s="532"/>
    </row>
    <row r="984">
      <c r="H984" s="530"/>
      <c r="BI984" s="531"/>
      <c r="BJ984" s="532"/>
    </row>
    <row r="985">
      <c r="H985" s="530"/>
      <c r="BI985" s="531"/>
      <c r="BJ985" s="532"/>
    </row>
    <row r="986">
      <c r="H986" s="530"/>
      <c r="BI986" s="531"/>
      <c r="BJ986" s="532"/>
    </row>
    <row r="987">
      <c r="H987" s="530"/>
      <c r="BI987" s="531"/>
      <c r="BJ987" s="532"/>
    </row>
    <row r="988">
      <c r="H988" s="530"/>
      <c r="BI988" s="531"/>
      <c r="BJ988" s="532"/>
    </row>
    <row r="989">
      <c r="H989" s="530"/>
      <c r="BI989" s="531"/>
      <c r="BJ989" s="532"/>
    </row>
    <row r="990">
      <c r="H990" s="530"/>
      <c r="BI990" s="531"/>
      <c r="BJ990" s="532"/>
    </row>
    <row r="991">
      <c r="H991" s="530"/>
      <c r="BI991" s="531"/>
      <c r="BJ991" s="532"/>
    </row>
    <row r="992">
      <c r="H992" s="530"/>
      <c r="BI992" s="531"/>
      <c r="BJ992" s="532"/>
    </row>
    <row r="993">
      <c r="H993" s="530"/>
      <c r="BI993" s="531"/>
      <c r="BJ993" s="532"/>
    </row>
    <row r="994">
      <c r="H994" s="530"/>
      <c r="BI994" s="531"/>
      <c r="BJ994" s="532"/>
    </row>
    <row r="995">
      <c r="H995" s="530"/>
      <c r="BI995" s="531"/>
      <c r="BJ995" s="532"/>
    </row>
    <row r="996">
      <c r="H996" s="530"/>
      <c r="BI996" s="531"/>
      <c r="BJ996" s="532"/>
    </row>
    <row r="997">
      <c r="H997" s="530"/>
      <c r="BI997" s="531"/>
      <c r="BJ997" s="532"/>
    </row>
    <row r="998">
      <c r="H998" s="530"/>
      <c r="BI998" s="531"/>
      <c r="BJ998" s="532"/>
    </row>
    <row r="999">
      <c r="H999" s="530"/>
      <c r="BI999" s="531"/>
      <c r="BJ999" s="532"/>
    </row>
    <row r="1000">
      <c r="H1000" s="530"/>
      <c r="BI1000" s="531"/>
      <c r="BJ1000" s="532"/>
    </row>
    <row r="1001">
      <c r="H1001" s="530"/>
      <c r="BI1001" s="531"/>
      <c r="BJ1001" s="532"/>
    </row>
    <row r="1002">
      <c r="H1002" s="530"/>
      <c r="BI1002" s="531"/>
      <c r="BJ1002" s="532"/>
    </row>
    <row r="1003">
      <c r="H1003" s="530"/>
      <c r="BI1003" s="531"/>
      <c r="BJ1003" s="532"/>
    </row>
    <row r="1004">
      <c r="H1004" s="530"/>
      <c r="BI1004" s="531"/>
      <c r="BJ1004" s="532"/>
    </row>
    <row r="1005">
      <c r="H1005" s="530"/>
      <c r="BI1005" s="531"/>
      <c r="BJ1005" s="532"/>
    </row>
    <row r="1006">
      <c r="H1006" s="530"/>
      <c r="BI1006" s="531"/>
      <c r="BJ1006" s="532"/>
    </row>
    <row r="1007">
      <c r="H1007" s="530"/>
      <c r="BI1007" s="531"/>
      <c r="BJ1007" s="532"/>
    </row>
    <row r="1008">
      <c r="H1008" s="530"/>
      <c r="BI1008" s="531"/>
      <c r="BJ1008" s="532"/>
    </row>
    <row r="1009">
      <c r="H1009" s="530"/>
      <c r="BI1009" s="531"/>
      <c r="BJ1009" s="532"/>
    </row>
    <row r="1010">
      <c r="H1010" s="530"/>
      <c r="BI1010" s="531"/>
      <c r="BJ1010" s="532"/>
    </row>
    <row r="1011">
      <c r="H1011" s="530"/>
      <c r="BI1011" s="531"/>
      <c r="BJ1011" s="532"/>
    </row>
    <row r="1012">
      <c r="H1012" s="530"/>
      <c r="BI1012" s="531"/>
      <c r="BJ1012" s="532"/>
    </row>
    <row r="1013">
      <c r="H1013" s="530"/>
      <c r="BI1013" s="531"/>
      <c r="BJ1013" s="532"/>
    </row>
    <row r="1014">
      <c r="H1014" s="530"/>
      <c r="BI1014" s="531"/>
      <c r="BJ1014" s="532"/>
    </row>
    <row r="1015">
      <c r="H1015" s="530"/>
      <c r="BI1015" s="531"/>
      <c r="BJ1015" s="532"/>
    </row>
    <row r="1016">
      <c r="H1016" s="530"/>
      <c r="BI1016" s="531"/>
      <c r="BJ1016" s="532"/>
    </row>
    <row r="1017">
      <c r="H1017" s="530"/>
      <c r="BI1017" s="531"/>
      <c r="BJ1017" s="532"/>
    </row>
    <row r="1018">
      <c r="H1018" s="530"/>
      <c r="BI1018" s="531"/>
      <c r="BJ1018" s="532"/>
    </row>
    <row r="1019">
      <c r="H1019" s="530"/>
      <c r="BI1019" s="531"/>
      <c r="BJ1019" s="532"/>
    </row>
    <row r="1020">
      <c r="H1020" s="530"/>
      <c r="BI1020" s="531"/>
      <c r="BJ1020" s="532"/>
    </row>
    <row r="1021">
      <c r="H1021" s="530"/>
      <c r="BI1021" s="531"/>
      <c r="BJ1021" s="532"/>
    </row>
    <row r="1022">
      <c r="H1022" s="530"/>
      <c r="BI1022" s="531"/>
      <c r="BJ1022" s="532"/>
    </row>
    <row r="1023">
      <c r="H1023" s="530"/>
      <c r="BI1023" s="531"/>
      <c r="BJ1023" s="532"/>
    </row>
    <row r="1024">
      <c r="H1024" s="530"/>
      <c r="BI1024" s="531"/>
      <c r="BJ1024" s="532"/>
    </row>
    <row r="1025">
      <c r="H1025" s="530"/>
      <c r="BI1025" s="531"/>
      <c r="BJ1025" s="532"/>
    </row>
    <row r="1026">
      <c r="H1026" s="530"/>
      <c r="BI1026" s="531"/>
      <c r="BJ1026" s="532"/>
    </row>
    <row r="1027">
      <c r="H1027" s="530"/>
      <c r="BI1027" s="531"/>
      <c r="BJ1027" s="532"/>
    </row>
    <row r="1028">
      <c r="H1028" s="530"/>
      <c r="BI1028" s="531"/>
      <c r="BJ1028" s="532"/>
    </row>
  </sheetData>
  <mergeCells count="17">
    <mergeCell ref="C6:C7"/>
    <mergeCell ref="C8:C9"/>
    <mergeCell ref="D8:G8"/>
    <mergeCell ref="I8:L8"/>
    <mergeCell ref="N8:Q8"/>
    <mergeCell ref="S8:V8"/>
    <mergeCell ref="X8:AA8"/>
    <mergeCell ref="C10:C11"/>
    <mergeCell ref="BE8:BG8"/>
    <mergeCell ref="BI8:BJ8"/>
    <mergeCell ref="AC8:AF8"/>
    <mergeCell ref="AG8:AJ8"/>
    <mergeCell ref="AK8:AN8"/>
    <mergeCell ref="AO8:AR8"/>
    <mergeCell ref="AS8:AV8"/>
    <mergeCell ref="AW8:AZ8"/>
    <mergeCell ref="BA8:BD8"/>
  </mergeCells>
  <drawing r:id="rId2"/>
  <legacyDrawing r:id="rId3"/>
  <tableParts count="170"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  <tablePart r:id="rId249"/>
    <tablePart r:id="rId250"/>
    <tablePart r:id="rId251"/>
    <tablePart r:id="rId252"/>
    <tablePart r:id="rId253"/>
    <tablePart r:id="rId254"/>
    <tablePart r:id="rId255"/>
    <tablePart r:id="rId256"/>
    <tablePart r:id="rId257"/>
    <tablePart r:id="rId258"/>
    <tablePart r:id="rId259"/>
    <tablePart r:id="rId260"/>
    <tablePart r:id="rId261"/>
    <tablePart r:id="rId262"/>
    <tablePart r:id="rId263"/>
    <tablePart r:id="rId264"/>
    <tablePart r:id="rId265"/>
    <tablePart r:id="rId266"/>
    <tablePart r:id="rId267"/>
    <tablePart r:id="rId268"/>
    <tablePart r:id="rId269"/>
    <tablePart r:id="rId270"/>
    <tablePart r:id="rId271"/>
    <tablePart r:id="rId272"/>
    <tablePart r:id="rId273"/>
    <tablePart r:id="rId274"/>
    <tablePart r:id="rId275"/>
    <tablePart r:id="rId276"/>
    <tablePart r:id="rId277"/>
    <tablePart r:id="rId278"/>
    <tablePart r:id="rId279"/>
    <tablePart r:id="rId280"/>
    <tablePart r:id="rId281"/>
    <tablePart r:id="rId282"/>
    <tablePart r:id="rId283"/>
    <tablePart r:id="rId284"/>
    <tablePart r:id="rId285"/>
    <tablePart r:id="rId286"/>
    <tablePart r:id="rId287"/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  <tablePart r:id="rId298"/>
    <tablePart r:id="rId299"/>
    <tablePart r:id="rId300"/>
    <tablePart r:id="rId301"/>
    <tablePart r:id="rId302"/>
    <tablePart r:id="rId303"/>
    <tablePart r:id="rId304"/>
    <tablePart r:id="rId305"/>
    <tablePart r:id="rId306"/>
    <tablePart r:id="rId307"/>
    <tablePart r:id="rId308"/>
    <tablePart r:id="rId309"/>
    <tablePart r:id="rId310"/>
    <tablePart r:id="rId311"/>
    <tablePart r:id="rId312"/>
    <tablePart r:id="rId313"/>
    <tablePart r:id="rId314"/>
    <tablePart r:id="rId315"/>
    <tablePart r:id="rId316"/>
    <tablePart r:id="rId317"/>
    <tablePart r:id="rId318"/>
    <tablePart r:id="rId319"/>
    <tablePart r:id="rId320"/>
    <tablePart r:id="rId321"/>
    <tablePart r:id="rId322"/>
    <tablePart r:id="rId323"/>
    <tablePart r:id="rId324"/>
    <tablePart r:id="rId325"/>
    <tablePart r:id="rId326"/>
    <tablePart r:id="rId327"/>
    <tablePart r:id="rId328"/>
    <tablePart r:id="rId329"/>
    <tablePart r:id="rId330"/>
    <tablePart r:id="rId331"/>
    <tablePart r:id="rId332"/>
    <tablePart r:id="rId333"/>
    <tablePart r:id="rId334"/>
    <tablePart r:id="rId335"/>
    <tablePart r:id="rId336"/>
    <tablePart r:id="rId337"/>
    <tablePart r:id="rId338"/>
    <tablePart r:id="rId339"/>
    <tablePart r:id="rId340"/>
    <tablePart r:id="rId341"/>
    <tablePart r:id="rId342"/>
    <tablePart r:id="rId34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3.25"/>
    <col customWidth="1" min="3" max="3" width="38.5"/>
    <col customWidth="1" min="4" max="5" width="18.5"/>
    <col customWidth="1" min="6" max="6" width="14.75"/>
    <col customWidth="1" min="7" max="8" width="14.38"/>
    <col customWidth="1" min="9" max="9" width="4.88"/>
    <col customWidth="1" min="10" max="11" width="18.5"/>
    <col customWidth="1" min="12" max="12" width="14.75"/>
    <col customWidth="1" min="13" max="14" width="14.13"/>
    <col customWidth="1" min="15" max="15" width="4.25"/>
    <col customWidth="1" min="16" max="17" width="18.5"/>
    <col customWidth="1" min="18" max="18" width="14.75"/>
    <col customWidth="1" min="19" max="20" width="14.13"/>
    <col customWidth="1" min="21" max="21" width="4.38"/>
    <col customWidth="1" min="22" max="23" width="18.5"/>
    <col customWidth="1" min="24" max="24" width="14.75"/>
    <col customWidth="1" min="25" max="26" width="14.13"/>
    <col customWidth="1" min="27" max="27" width="4.75"/>
    <col customWidth="1" min="28" max="29" width="18.5"/>
    <col customWidth="1" min="30" max="30" width="14.75"/>
    <col customWidth="1" min="31" max="32" width="14.13"/>
    <col customWidth="1" min="33" max="33" width="4.5"/>
    <col customWidth="1" min="34" max="35" width="18.5"/>
    <col customWidth="1" min="36" max="36" width="14.75"/>
    <col customWidth="1" min="37" max="38" width="14.13"/>
    <col customWidth="1" min="39" max="39" width="4.13"/>
    <col customWidth="1" min="40" max="41" width="18.5"/>
    <col customWidth="1" min="42" max="42" width="14.75"/>
    <col customWidth="1" min="43" max="44" width="14.13"/>
    <col customWidth="1" min="45" max="45" width="4.25"/>
    <col customWidth="1" min="46" max="47" width="18.5"/>
    <col customWidth="1" min="48" max="48" width="14.75"/>
    <col customWidth="1" min="49" max="50" width="14.13"/>
    <col customWidth="1" min="51" max="51" width="4.13"/>
    <col customWidth="1" min="52" max="53" width="18.5"/>
    <col customWidth="1" min="54" max="54" width="14.75"/>
    <col customWidth="1" min="55" max="56" width="14.13"/>
    <col customWidth="1" min="57" max="57" width="4.63"/>
    <col customWidth="1" min="58" max="59" width="18.5"/>
    <col customWidth="1" min="60" max="60" width="14.75"/>
    <col customWidth="1" min="61" max="62" width="14.13"/>
    <col customWidth="1" min="63" max="63" width="4.5"/>
    <col customWidth="1" min="64" max="65" width="18.5"/>
    <col customWidth="1" min="66" max="66" width="14.75"/>
    <col customWidth="1" min="67" max="68" width="14.13"/>
    <col customWidth="1" min="69" max="69" width="4.25"/>
    <col customWidth="1" min="70" max="71" width="18.5"/>
    <col customWidth="1" min="72" max="72" width="14.75"/>
    <col customWidth="1" min="73" max="74" width="14.13"/>
    <col customWidth="1" min="75" max="75" width="4.75"/>
    <col customWidth="1" min="76" max="77" width="19.88"/>
  </cols>
  <sheetData>
    <row r="1">
      <c r="A1" s="1"/>
      <c r="B1" s="1"/>
      <c r="C1" s="1"/>
      <c r="D1" s="1"/>
      <c r="E1" s="533">
        <v>0.0</v>
      </c>
      <c r="F1" s="1"/>
      <c r="G1" s="40"/>
      <c r="N1" s="530"/>
      <c r="O1" s="530"/>
      <c r="T1" s="530"/>
      <c r="U1" s="530"/>
      <c r="Z1" s="530"/>
      <c r="AA1" s="530"/>
      <c r="AF1" s="530"/>
      <c r="AG1" s="530"/>
      <c r="AL1" s="530"/>
      <c r="AM1" s="530"/>
      <c r="AR1" s="530"/>
      <c r="AS1" s="530"/>
      <c r="AX1" s="530"/>
      <c r="AY1" s="530"/>
      <c r="BD1" s="530"/>
      <c r="BE1" s="530"/>
      <c r="BJ1" s="530"/>
      <c r="BK1" s="530"/>
      <c r="BP1" s="530"/>
      <c r="BQ1" s="530"/>
      <c r="BV1" s="530"/>
      <c r="BW1" s="530"/>
    </row>
    <row r="2">
      <c r="A2" s="1"/>
      <c r="B2" s="9"/>
      <c r="C2" s="534" t="s">
        <v>561</v>
      </c>
      <c r="D2" s="16"/>
      <c r="E2" s="16"/>
      <c r="F2" s="16"/>
      <c r="G2" s="17"/>
      <c r="N2" s="530"/>
      <c r="O2" s="530"/>
      <c r="T2" s="530"/>
      <c r="U2" s="530"/>
      <c r="Z2" s="530"/>
      <c r="AA2" s="530"/>
      <c r="AF2" s="530"/>
      <c r="AG2" s="530"/>
      <c r="AL2" s="530"/>
      <c r="AM2" s="530"/>
      <c r="AR2" s="530"/>
      <c r="AS2" s="530"/>
      <c r="AX2" s="530"/>
      <c r="AY2" s="530"/>
      <c r="BD2" s="530"/>
      <c r="BE2" s="530"/>
      <c r="BJ2" s="530"/>
      <c r="BK2" s="530"/>
      <c r="BP2" s="530"/>
      <c r="BQ2" s="530"/>
      <c r="BV2" s="530"/>
      <c r="BW2" s="530"/>
    </row>
    <row r="3">
      <c r="A3" s="13"/>
      <c r="N3" s="530"/>
      <c r="O3" s="530"/>
      <c r="T3" s="530"/>
      <c r="U3" s="530"/>
      <c r="Z3" s="530"/>
      <c r="AA3" s="530"/>
      <c r="AF3" s="530"/>
      <c r="AG3" s="530"/>
      <c r="AL3" s="530"/>
      <c r="AM3" s="530"/>
      <c r="AR3" s="530"/>
      <c r="AS3" s="530"/>
      <c r="AX3" s="530"/>
      <c r="AY3" s="530"/>
      <c r="BD3" s="530"/>
      <c r="BE3" s="530"/>
      <c r="BJ3" s="530"/>
      <c r="BK3" s="530"/>
      <c r="BP3" s="530"/>
      <c r="BQ3" s="530"/>
      <c r="BV3" s="530"/>
      <c r="BW3" s="530"/>
    </row>
    <row r="4">
      <c r="A4" s="13"/>
      <c r="C4" s="535">
        <f>TODAY()</f>
        <v>46144</v>
      </c>
      <c r="D4" s="183" t="s">
        <v>528</v>
      </c>
      <c r="E4" s="184"/>
      <c r="F4" s="184"/>
      <c r="G4" s="185"/>
      <c r="H4" s="536"/>
      <c r="I4" s="536"/>
      <c r="J4" s="187" t="s">
        <v>529</v>
      </c>
      <c r="K4" s="184"/>
      <c r="L4" s="184"/>
      <c r="M4" s="184"/>
      <c r="N4" s="185"/>
      <c r="O4" s="537"/>
      <c r="P4" s="187" t="s">
        <v>530</v>
      </c>
      <c r="Q4" s="184"/>
      <c r="R4" s="184"/>
      <c r="S4" s="184"/>
      <c r="T4" s="185"/>
      <c r="U4" s="537"/>
      <c r="V4" s="187" t="s">
        <v>531</v>
      </c>
      <c r="W4" s="184"/>
      <c r="X4" s="184"/>
      <c r="Y4" s="184"/>
      <c r="Z4" s="185"/>
      <c r="AA4" s="537"/>
      <c r="AB4" s="187" t="s">
        <v>532</v>
      </c>
      <c r="AC4" s="184"/>
      <c r="AD4" s="184"/>
      <c r="AE4" s="184"/>
      <c r="AF4" s="185"/>
      <c r="AG4" s="537"/>
      <c r="AH4" s="187" t="s">
        <v>533</v>
      </c>
      <c r="AI4" s="184"/>
      <c r="AJ4" s="184"/>
      <c r="AK4" s="184"/>
      <c r="AL4" s="185"/>
      <c r="AM4" s="537"/>
      <c r="AN4" s="187" t="s">
        <v>534</v>
      </c>
      <c r="AO4" s="184"/>
      <c r="AP4" s="184"/>
      <c r="AQ4" s="184"/>
      <c r="AR4" s="185"/>
      <c r="AS4" s="537"/>
      <c r="AT4" s="187" t="s">
        <v>535</v>
      </c>
      <c r="AU4" s="184"/>
      <c r="AV4" s="184"/>
      <c r="AW4" s="184"/>
      <c r="AX4" s="185"/>
      <c r="AY4" s="537"/>
      <c r="AZ4" s="187" t="s">
        <v>536</v>
      </c>
      <c r="BA4" s="184"/>
      <c r="BB4" s="184"/>
      <c r="BC4" s="184"/>
      <c r="BD4" s="185"/>
      <c r="BE4" s="537"/>
      <c r="BF4" s="187" t="s">
        <v>537</v>
      </c>
      <c r="BG4" s="184"/>
      <c r="BH4" s="184"/>
      <c r="BI4" s="184"/>
      <c r="BJ4" s="185"/>
      <c r="BK4" s="537"/>
      <c r="BL4" s="187" t="s">
        <v>538</v>
      </c>
      <c r="BM4" s="184"/>
      <c r="BN4" s="184"/>
      <c r="BO4" s="184"/>
      <c r="BP4" s="185"/>
      <c r="BQ4" s="537"/>
      <c r="BR4" s="187" t="s">
        <v>539</v>
      </c>
      <c r="BS4" s="184"/>
      <c r="BT4" s="184"/>
      <c r="BU4" s="184"/>
      <c r="BV4" s="185"/>
      <c r="BW4" s="537"/>
      <c r="BX4" s="538" t="s">
        <v>540</v>
      </c>
      <c r="BY4" s="539"/>
      <c r="BZ4" s="540"/>
      <c r="CA4" s="192"/>
      <c r="CB4" s="193" t="s">
        <v>541</v>
      </c>
      <c r="CC4" s="194"/>
      <c r="CD4" s="195">
        <v>45292.0</v>
      </c>
    </row>
    <row r="5">
      <c r="A5" s="13"/>
      <c r="C5" s="541">
        <v>2025.0</v>
      </c>
      <c r="D5" s="197" t="s">
        <v>542</v>
      </c>
      <c r="E5" s="198" t="s">
        <v>543</v>
      </c>
      <c r="F5" s="199" t="s">
        <v>544</v>
      </c>
      <c r="G5" s="200" t="s">
        <v>545</v>
      </c>
      <c r="H5" s="542"/>
      <c r="I5" s="542"/>
      <c r="J5" s="197" t="s">
        <v>542</v>
      </c>
      <c r="K5" s="198" t="s">
        <v>543</v>
      </c>
      <c r="L5" s="199" t="s">
        <v>544</v>
      </c>
      <c r="M5" s="202" t="s">
        <v>545</v>
      </c>
      <c r="N5" s="543"/>
      <c r="O5" s="542"/>
      <c r="P5" s="197" t="s">
        <v>542</v>
      </c>
      <c r="Q5" s="198" t="s">
        <v>543</v>
      </c>
      <c r="R5" s="199" t="s">
        <v>544</v>
      </c>
      <c r="S5" s="202" t="s">
        <v>545</v>
      </c>
      <c r="T5" s="543"/>
      <c r="U5" s="542"/>
      <c r="V5" s="197" t="s">
        <v>542</v>
      </c>
      <c r="W5" s="198" t="s">
        <v>543</v>
      </c>
      <c r="X5" s="199" t="s">
        <v>544</v>
      </c>
      <c r="Y5" s="202" t="s">
        <v>545</v>
      </c>
      <c r="Z5" s="543"/>
      <c r="AA5" s="542"/>
      <c r="AB5" s="197" t="s">
        <v>542</v>
      </c>
      <c r="AC5" s="198" t="s">
        <v>543</v>
      </c>
      <c r="AD5" s="199" t="s">
        <v>544</v>
      </c>
      <c r="AE5" s="202" t="s">
        <v>545</v>
      </c>
      <c r="AF5" s="543"/>
      <c r="AG5" s="542"/>
      <c r="AH5" s="197" t="s">
        <v>542</v>
      </c>
      <c r="AI5" s="198" t="s">
        <v>543</v>
      </c>
      <c r="AJ5" s="199" t="s">
        <v>544</v>
      </c>
      <c r="AK5" s="202" t="s">
        <v>545</v>
      </c>
      <c r="AL5" s="543"/>
      <c r="AM5" s="542"/>
      <c r="AN5" s="197" t="s">
        <v>542</v>
      </c>
      <c r="AO5" s="198" t="s">
        <v>543</v>
      </c>
      <c r="AP5" s="199" t="s">
        <v>544</v>
      </c>
      <c r="AQ5" s="202" t="s">
        <v>545</v>
      </c>
      <c r="AR5" s="543"/>
      <c r="AS5" s="542"/>
      <c r="AT5" s="197" t="s">
        <v>542</v>
      </c>
      <c r="AU5" s="198" t="s">
        <v>543</v>
      </c>
      <c r="AV5" s="199" t="s">
        <v>544</v>
      </c>
      <c r="AW5" s="202" t="s">
        <v>545</v>
      </c>
      <c r="AX5" s="543"/>
      <c r="AY5" s="542"/>
      <c r="AZ5" s="197" t="s">
        <v>542</v>
      </c>
      <c r="BA5" s="198" t="s">
        <v>543</v>
      </c>
      <c r="BB5" s="199" t="s">
        <v>544</v>
      </c>
      <c r="BC5" s="202" t="s">
        <v>545</v>
      </c>
      <c r="BD5" s="543"/>
      <c r="BE5" s="542"/>
      <c r="BF5" s="197" t="s">
        <v>542</v>
      </c>
      <c r="BG5" s="198" t="s">
        <v>543</v>
      </c>
      <c r="BH5" s="199" t="s">
        <v>544</v>
      </c>
      <c r="BI5" s="202" t="s">
        <v>545</v>
      </c>
      <c r="BJ5" s="543"/>
      <c r="BK5" s="542"/>
      <c r="BL5" s="197" t="s">
        <v>542</v>
      </c>
      <c r="BM5" s="198" t="s">
        <v>543</v>
      </c>
      <c r="BN5" s="199" t="s">
        <v>544</v>
      </c>
      <c r="BO5" s="202" t="s">
        <v>545</v>
      </c>
      <c r="BP5" s="543"/>
      <c r="BQ5" s="542"/>
      <c r="BR5" s="197" t="s">
        <v>542</v>
      </c>
      <c r="BS5" s="198" t="s">
        <v>543</v>
      </c>
      <c r="BT5" s="199" t="s">
        <v>544</v>
      </c>
      <c r="BU5" s="202" t="s">
        <v>545</v>
      </c>
      <c r="BV5" s="543"/>
      <c r="BW5" s="542"/>
      <c r="BX5" s="544" t="s">
        <v>542</v>
      </c>
      <c r="BY5" s="204" t="s">
        <v>543</v>
      </c>
      <c r="BZ5" s="545" t="s">
        <v>546</v>
      </c>
      <c r="CA5" s="192"/>
      <c r="CB5" s="206" t="s">
        <v>543</v>
      </c>
      <c r="CC5" s="207" t="s">
        <v>544</v>
      </c>
      <c r="CD5" s="208">
        <v>45657.0</v>
      </c>
    </row>
    <row r="6">
      <c r="A6" s="13"/>
      <c r="C6" s="546" t="s">
        <v>547</v>
      </c>
      <c r="D6" s="217" t="s">
        <v>548</v>
      </c>
      <c r="E6" s="213" t="str">
        <f t="shared" ref="E6:F6" si="1">E302</f>
        <v/>
      </c>
      <c r="F6" s="214" t="str">
        <f t="shared" si="1"/>
        <v/>
      </c>
      <c r="G6" s="215"/>
      <c r="H6" s="157"/>
      <c r="I6" s="157"/>
      <c r="J6" s="217" t="s">
        <v>548</v>
      </c>
      <c r="K6" s="213" t="str">
        <f t="shared" ref="K6:L6" si="2">K302</f>
        <v/>
      </c>
      <c r="L6" s="214" t="str">
        <f t="shared" si="2"/>
        <v/>
      </c>
      <c r="M6" s="218"/>
      <c r="N6" s="547"/>
      <c r="O6" s="157"/>
      <c r="P6" s="217" t="s">
        <v>548</v>
      </c>
      <c r="Q6" s="213" t="str">
        <f t="shared" ref="Q6:R6" si="3">Q302</f>
        <v/>
      </c>
      <c r="R6" s="214" t="str">
        <f t="shared" si="3"/>
        <v/>
      </c>
      <c r="S6" s="218"/>
      <c r="T6" s="547"/>
      <c r="U6" s="157"/>
      <c r="V6" s="217" t="s">
        <v>548</v>
      </c>
      <c r="W6" s="213" t="str">
        <f t="shared" ref="W6:X6" si="4">W302</f>
        <v/>
      </c>
      <c r="X6" s="214" t="str">
        <f t="shared" si="4"/>
        <v/>
      </c>
      <c r="Y6" s="218"/>
      <c r="Z6" s="547"/>
      <c r="AA6" s="157"/>
      <c r="AB6" s="217" t="s">
        <v>548</v>
      </c>
      <c r="AC6" s="213" t="str">
        <f t="shared" ref="AC6:AD6" si="5">AC302</f>
        <v/>
      </c>
      <c r="AD6" s="214" t="str">
        <f t="shared" si="5"/>
        <v/>
      </c>
      <c r="AE6" s="218"/>
      <c r="AF6" s="547"/>
      <c r="AG6" s="157"/>
      <c r="AH6" s="217" t="s">
        <v>548</v>
      </c>
      <c r="AI6" s="213" t="str">
        <f t="shared" ref="AI6:AJ6" si="6">AI302</f>
        <v/>
      </c>
      <c r="AJ6" s="214" t="str">
        <f t="shared" si="6"/>
        <v/>
      </c>
      <c r="AK6" s="218"/>
      <c r="AL6" s="547"/>
      <c r="AM6" s="157"/>
      <c r="AN6" s="217" t="s">
        <v>548</v>
      </c>
      <c r="AO6" s="213" t="str">
        <f t="shared" ref="AO6:AP6" si="7">AO302</f>
        <v/>
      </c>
      <c r="AP6" s="214" t="str">
        <f t="shared" si="7"/>
        <v/>
      </c>
      <c r="AQ6" s="218"/>
      <c r="AR6" s="547"/>
      <c r="AS6" s="157"/>
      <c r="AT6" s="217" t="s">
        <v>548</v>
      </c>
      <c r="AU6" s="213" t="str">
        <f t="shared" ref="AU6:AV6" si="8">AU302</f>
        <v/>
      </c>
      <c r="AV6" s="214" t="str">
        <f t="shared" si="8"/>
        <v/>
      </c>
      <c r="AW6" s="218"/>
      <c r="AX6" s="547"/>
      <c r="AY6" s="157"/>
      <c r="AZ6" s="217" t="s">
        <v>548</v>
      </c>
      <c r="BA6" s="213" t="str">
        <f t="shared" ref="BA6:BB6" si="9">BA302</f>
        <v/>
      </c>
      <c r="BB6" s="214" t="str">
        <f t="shared" si="9"/>
        <v/>
      </c>
      <c r="BC6" s="218"/>
      <c r="BD6" s="547"/>
      <c r="BE6" s="157"/>
      <c r="BF6" s="217" t="s">
        <v>548</v>
      </c>
      <c r="BG6" s="213" t="str">
        <f t="shared" ref="BG6:BH6" si="10">BG302</f>
        <v/>
      </c>
      <c r="BH6" s="214" t="str">
        <f t="shared" si="10"/>
        <v/>
      </c>
      <c r="BI6" s="218"/>
      <c r="BJ6" s="547"/>
      <c r="BK6" s="157"/>
      <c r="BL6" s="217" t="s">
        <v>548</v>
      </c>
      <c r="BM6" s="213" t="str">
        <f t="shared" ref="BM6:BN6" si="11">BM302</f>
        <v/>
      </c>
      <c r="BN6" s="214" t="str">
        <f t="shared" si="11"/>
        <v/>
      </c>
      <c r="BO6" s="218"/>
      <c r="BP6" s="547"/>
      <c r="BQ6" s="157"/>
      <c r="BR6" s="217" t="s">
        <v>548</v>
      </c>
      <c r="BS6" s="213" t="str">
        <f t="shared" ref="BS6:BT6" si="12">BS302</f>
        <v/>
      </c>
      <c r="BT6" s="214" t="str">
        <f t="shared" si="12"/>
        <v/>
      </c>
      <c r="BU6" s="218"/>
      <c r="BV6" s="547"/>
      <c r="BW6" s="157"/>
      <c r="BX6" s="548"/>
      <c r="BY6" s="220"/>
      <c r="BZ6" s="549"/>
      <c r="CA6" s="222"/>
      <c r="CB6" s="223"/>
      <c r="CC6" s="224"/>
      <c r="CD6" s="225">
        <f>ROUND((CD5-CD4)/30,0.1)</f>
        <v>12</v>
      </c>
    </row>
    <row r="7">
      <c r="A7" s="13"/>
      <c r="C7" s="550"/>
      <c r="D7" s="233">
        <f t="shared" ref="D7:E7" si="13">D8</f>
        <v>0</v>
      </c>
      <c r="E7" s="229">
        <f t="shared" si="13"/>
        <v>0</v>
      </c>
      <c r="F7" s="230" t="str">
        <f t="shared" ref="F7:F15" si="26">IF(E$9=0,"",E7/E$9)</f>
        <v/>
      </c>
      <c r="G7" s="231" t="str">
        <f t="shared" ref="G7:G12" si="27">IF(A7=0,"",E7/A7-1)</f>
        <v/>
      </c>
      <c r="H7" s="551"/>
      <c r="I7" s="551"/>
      <c r="J7" s="233">
        <f t="shared" ref="J7:K7" si="14">J8</f>
        <v>0</v>
      </c>
      <c r="K7" s="229">
        <f t="shared" si="14"/>
        <v>0</v>
      </c>
      <c r="L7" s="230" t="str">
        <f t="shared" ref="L7:L15" si="28">IF(K$9=0,"",K7/K$9)</f>
        <v/>
      </c>
      <c r="M7" s="234" t="str">
        <f t="shared" ref="M7:M12" si="29">IF(D7=0,"",K7/D7-1)</f>
        <v/>
      </c>
      <c r="N7" s="547"/>
      <c r="O7" s="551"/>
      <c r="P7" s="233">
        <f t="shared" ref="P7:Q7" si="15">P8</f>
        <v>0</v>
      </c>
      <c r="Q7" s="229">
        <f t="shared" si="15"/>
        <v>0</v>
      </c>
      <c r="R7" s="230" t="str">
        <f t="shared" ref="R7:R15" si="30">IF(Q$9=0,"",Q7/Q$9)</f>
        <v/>
      </c>
      <c r="S7" s="234" t="str">
        <f t="shared" ref="S7:S12" si="31">IF(K7=0,"",Q7/K7-1)</f>
        <v/>
      </c>
      <c r="T7" s="547"/>
      <c r="U7" s="551"/>
      <c r="V7" s="233">
        <f t="shared" ref="V7:W7" si="16">V8</f>
        <v>0</v>
      </c>
      <c r="W7" s="229">
        <f t="shared" si="16"/>
        <v>0</v>
      </c>
      <c r="X7" s="230" t="str">
        <f t="shared" ref="X7:X15" si="32">IF(W$9=0,"",W7/W$9)</f>
        <v/>
      </c>
      <c r="Y7" s="234" t="str">
        <f t="shared" ref="Y7:Y12" si="33">IF(Q7=0,"",W7/Q7-1)</f>
        <v/>
      </c>
      <c r="Z7" s="547"/>
      <c r="AA7" s="551"/>
      <c r="AB7" s="233">
        <f t="shared" ref="AB7:AC7" si="17">AB8</f>
        <v>0</v>
      </c>
      <c r="AC7" s="229">
        <f t="shared" si="17"/>
        <v>0</v>
      </c>
      <c r="AD7" s="230" t="str">
        <f t="shared" ref="AD7:AD15" si="34">IF(AC$9=0,"",AC7/AC$9)</f>
        <v/>
      </c>
      <c r="AE7" s="234" t="str">
        <f t="shared" ref="AE7:AE12" si="35">IF(W7=0,"",AC7/W7-1)</f>
        <v/>
      </c>
      <c r="AF7" s="547"/>
      <c r="AG7" s="551"/>
      <c r="AH7" s="233">
        <f t="shared" ref="AH7:AI7" si="18">AH8</f>
        <v>0</v>
      </c>
      <c r="AI7" s="229">
        <f t="shared" si="18"/>
        <v>0</v>
      </c>
      <c r="AJ7" s="230" t="str">
        <f t="shared" ref="AJ7:AJ15" si="36">IF(AI$9=0,"",AI7/AI$9)</f>
        <v/>
      </c>
      <c r="AK7" s="234" t="str">
        <f t="shared" ref="AK7:AK12" si="37">IF(AC7=0,"",AI7/AC7-1)</f>
        <v/>
      </c>
      <c r="AL7" s="547"/>
      <c r="AM7" s="551"/>
      <c r="AN7" s="233">
        <f t="shared" ref="AN7:AO7" si="19">AN8</f>
        <v>0</v>
      </c>
      <c r="AO7" s="229">
        <f t="shared" si="19"/>
        <v>0</v>
      </c>
      <c r="AP7" s="230" t="str">
        <f t="shared" ref="AP7:AP15" si="38">IF(AO$9=0,"",AO7/AO$9)</f>
        <v/>
      </c>
      <c r="AQ7" s="234" t="str">
        <f t="shared" ref="AQ7:AQ12" si="39">IF(AI7=0,"",AO7/AI7-1)</f>
        <v/>
      </c>
      <c r="AR7" s="547"/>
      <c r="AS7" s="551"/>
      <c r="AT7" s="233">
        <f t="shared" ref="AT7:AU7" si="20">AT8</f>
        <v>0</v>
      </c>
      <c r="AU7" s="229">
        <f t="shared" si="20"/>
        <v>0</v>
      </c>
      <c r="AV7" s="230" t="str">
        <f t="shared" ref="AV7:AV15" si="40">IF(AU$9=0,"",AU7/AU$9)</f>
        <v/>
      </c>
      <c r="AW7" s="234" t="str">
        <f t="shared" ref="AW7:AW12" si="41">IF(AO7=0,"",AU7/AO7-1)</f>
        <v/>
      </c>
      <c r="AX7" s="547"/>
      <c r="AY7" s="551"/>
      <c r="AZ7" s="233">
        <f t="shared" ref="AZ7:BA7" si="21">AZ8</f>
        <v>0</v>
      </c>
      <c r="BA7" s="229">
        <f t="shared" si="21"/>
        <v>0</v>
      </c>
      <c r="BB7" s="230" t="str">
        <f t="shared" ref="BB7:BB15" si="42">IF(BA$9=0,"",BA7/BA$9)</f>
        <v/>
      </c>
      <c r="BC7" s="234" t="str">
        <f t="shared" ref="BC7:BC12" si="43">IF(AU7=0,"",BA7/AU7-1)</f>
        <v/>
      </c>
      <c r="BD7" s="547"/>
      <c r="BE7" s="551"/>
      <c r="BF7" s="233">
        <f t="shared" ref="BF7:BG7" si="22">BF8</f>
        <v>0</v>
      </c>
      <c r="BG7" s="229">
        <f t="shared" si="22"/>
        <v>0</v>
      </c>
      <c r="BH7" s="230" t="str">
        <f t="shared" ref="BH7:BH15" si="44">IF(BG$9=0,"",BG7/BG$9)</f>
        <v/>
      </c>
      <c r="BI7" s="234" t="str">
        <f t="shared" ref="BI7:BI12" si="45">IF(BA7=0,"",BG7/BA7-1)</f>
        <v/>
      </c>
      <c r="BJ7" s="547"/>
      <c r="BK7" s="551"/>
      <c r="BL7" s="233">
        <f t="shared" ref="BL7:BM7" si="23">BL8</f>
        <v>0</v>
      </c>
      <c r="BM7" s="229">
        <f t="shared" si="23"/>
        <v>0</v>
      </c>
      <c r="BN7" s="230" t="str">
        <f t="shared" ref="BN7:BN15" si="46">IF(BM$9=0,"",BM7/BM$9)</f>
        <v/>
      </c>
      <c r="BO7" s="234" t="str">
        <f t="shared" ref="BO7:BO12" si="47">IF(BG7=0,"",BM7/BG7-1)</f>
        <v/>
      </c>
      <c r="BP7" s="547"/>
      <c r="BQ7" s="551"/>
      <c r="BR7" s="233">
        <f t="shared" ref="BR7:BS7" si="24">BR8</f>
        <v>0</v>
      </c>
      <c r="BS7" s="229">
        <f t="shared" si="24"/>
        <v>0</v>
      </c>
      <c r="BT7" s="230" t="str">
        <f t="shared" ref="BT7:BT15" si="48">IF(BS$9=0,"",BS7/BS$9)</f>
        <v/>
      </c>
      <c r="BU7" s="234" t="str">
        <f t="shared" ref="BU7:BU12" si="49">IF(BM7=0,"",BS7/BM7-1)</f>
        <v/>
      </c>
      <c r="BV7" s="547"/>
      <c r="BW7" s="551"/>
      <c r="BX7" s="552">
        <f t="shared" ref="BX7:BY7" si="25">SUM(D7,J7,P7,V7,AB7,AH7,AN7,AT7,AZ7,BF7,BL7,BR7)</f>
        <v>0</v>
      </c>
      <c r="BY7" s="236">
        <f t="shared" si="25"/>
        <v>0</v>
      </c>
      <c r="BZ7" s="553" t="str">
        <f t="shared" ref="BZ7:BZ8" si="51">IF(BY$9=0,"",BY7/BY$9)</f>
        <v/>
      </c>
      <c r="CA7" s="238"/>
      <c r="CB7" s="239">
        <f>CB8</f>
        <v>0</v>
      </c>
      <c r="CC7" s="224" t="str">
        <f t="shared" ref="CC7:CC8" si="52">IF(CB$9=0,"",CB7/CB$9)</f>
        <v/>
      </c>
      <c r="CD7" s="225" t="s">
        <v>549</v>
      </c>
    </row>
    <row r="8">
      <c r="A8" s="13"/>
      <c r="C8" s="241" t="s">
        <v>24</v>
      </c>
      <c r="D8" s="242">
        <f>SUMIFS('Livro Diario - FC'!$J$11:$J1032,'Livro Diario - FC'!$E$11:$E1032,$C$10,'Livro Diario - FC'!$D$11:$D1032,"&gt;=01/01"&amp;$C$5,'Livro Diario - FC'!$D$11:$D1032,"&lt;=31/01"&amp;$C$5)+SUM(D9:D19)</f>
        <v>0</v>
      </c>
      <c r="E8" s="243">
        <f>SUMIFS('Livro Diario - FC'!$L$11:$L1032,'Livro Diario - FC'!$E$11:$E1032,$C$10,'Livro Diario - FC'!$D$11:$D1032,"&gt;=01/01"&amp;$C$5,'Livro Diario - FC'!$D$11:$D1032,"&lt;=31/01"&amp;$C$5)+SUM(E9:E19)</f>
        <v>0</v>
      </c>
      <c r="F8" s="244" t="str">
        <f t="shared" si="26"/>
        <v/>
      </c>
      <c r="G8" s="245" t="str">
        <f t="shared" si="27"/>
        <v/>
      </c>
      <c r="H8" s="157"/>
      <c r="I8" s="157"/>
      <c r="J8" s="554">
        <f>SUMIFS('Livro Diario - FC'!$J$11:$J1032,'Livro Diario - FC'!$E$11:$E1032,$C$10,'Livro Diario - FC'!$D$11:$D1032,"&gt;=01/02"&amp;$C$5,'Livro Diario - FC'!$D$11:$D1032,"&lt;=29/02"&amp;$C$5)+SUM(J9:J19)</f>
        <v>0</v>
      </c>
      <c r="K8" s="555">
        <f>SUMIFS('Livro Diario - FC'!$L$11:$L1032,'Livro Diario - FC'!$E$11:$E1032,$C$10,'Livro Diario - FC'!$D$11:$D1032,"&gt;=01/02"&amp;$C$5,'Livro Diario - FC'!$D$11:$D1032,"&lt;=29/02"&amp;$C$5)+SUM(K9:K19)</f>
        <v>0</v>
      </c>
      <c r="L8" s="556" t="str">
        <f t="shared" si="28"/>
        <v/>
      </c>
      <c r="M8" s="557" t="str">
        <f t="shared" si="29"/>
        <v/>
      </c>
      <c r="N8" s="558"/>
      <c r="O8" s="157"/>
      <c r="P8" s="554">
        <f>SUMIFS('Livro Diario - FC'!$J$11:$J1032,'Livro Diario - FC'!$E$11:$E1032,$C$10,'Livro Diario - FC'!$D$11:$D1032,"&gt;=01/03"&amp;$C$5,'Livro Diario - FC'!$D$11:$D1032,"&lt;=31/03"&amp;$C$5)+SUM(P9:P19)</f>
        <v>0</v>
      </c>
      <c r="Q8" s="555">
        <f>SUMIFS('Livro Diario - FC'!$L$11:$L1032,'Livro Diario - FC'!$E$11:$E1032,$C$10,'Livro Diario - FC'!$D$11:$D1032,"&gt;=01/03"&amp;$C$5,'Livro Diario - FC'!$D$11:$D1032,"&lt;=31/03"&amp;$C$5)+SUM(Q9:Q19)</f>
        <v>0</v>
      </c>
      <c r="R8" s="556" t="str">
        <f t="shared" si="30"/>
        <v/>
      </c>
      <c r="S8" s="557" t="str">
        <f t="shared" si="31"/>
        <v/>
      </c>
      <c r="T8" s="558"/>
      <c r="U8" s="157"/>
      <c r="V8" s="554">
        <f>SUMIFS('Livro Diario - FC'!$J$11:$J1032,'Livro Diario - FC'!$E$11:$E1032,$C$10,'Livro Diario - FC'!$D$11:$D1032,"&gt;=01/04"&amp;$C$5,'Livro Diario - FC'!$D$11:$D1032,"&lt;=30/04"&amp;$C$5)+SUM(V9:V19)</f>
        <v>0</v>
      </c>
      <c r="W8" s="555">
        <f>SUMIFS('Livro Diario - FC'!$L$11:$L1032,'Livro Diario - FC'!$E$11:$E1032,$C$10,'Livro Diario - FC'!$D$11:$D1032,"&gt;=01/04"&amp;$C$5,'Livro Diario - FC'!$D$11:$D1032,"&lt;=30/04"&amp;$C$5)+SUM(W9:W19)</f>
        <v>0</v>
      </c>
      <c r="X8" s="556" t="str">
        <f t="shared" si="32"/>
        <v/>
      </c>
      <c r="Y8" s="557" t="str">
        <f t="shared" si="33"/>
        <v/>
      </c>
      <c r="Z8" s="558"/>
      <c r="AA8" s="157"/>
      <c r="AB8" s="554">
        <f>SUMIFS('Livro Diario - FC'!$J$11:$J1032,'Livro Diario - FC'!$E$11:$E1032,$C$10,'Livro Diario - FC'!$D$11:$D1032,"&gt;=01/05"&amp;$C$5,'Livro Diario - FC'!$D$11:$D1032,"&lt;=31/05"&amp;$C$5)+SUM(AB9:AB19)</f>
        <v>0</v>
      </c>
      <c r="AC8" s="555">
        <f>SUMIFS('Livro Diario - FC'!$L$11:$L1032,'Livro Diario - FC'!$E$11:$E1032,$C$10,'Livro Diario - FC'!$D$11:$D1032,"&gt;=01/05"&amp;$C$5,'Livro Diario - FC'!$D$11:$D1032,"&lt;=31/05"&amp;$C$5)+SUM(AC9:AC19)</f>
        <v>0</v>
      </c>
      <c r="AD8" s="556" t="str">
        <f t="shared" si="34"/>
        <v/>
      </c>
      <c r="AE8" s="557" t="str">
        <f t="shared" si="35"/>
        <v/>
      </c>
      <c r="AF8" s="558"/>
      <c r="AG8" s="157"/>
      <c r="AH8" s="554">
        <f>SUMIFS('Livro Diario - FC'!$J$11:$J1032,'Livro Diario - FC'!$E$11:$E1032,$C$10,'Livro Diario - FC'!$D$11:$D1032,"&gt;=01/06"&amp;$C$5,'Livro Diario - FC'!$D$11:$D1032,"&lt;=30/06"&amp;$C$5)+SUM(AH9:AH19)</f>
        <v>0</v>
      </c>
      <c r="AI8" s="555">
        <f>SUMIFS('Livro Diario - FC'!$L$11:$L1032,'Livro Diario - FC'!$E$11:$E1032,$C$10,'Livro Diario - FC'!$D$11:$D1032,"&gt;=01/06"&amp;$C$5,'Livro Diario - FC'!$D$11:$D1032,"&lt;=30/06"&amp;$C$5)+SUM(AI9:AI19)</f>
        <v>0</v>
      </c>
      <c r="AJ8" s="556" t="str">
        <f t="shared" si="36"/>
        <v/>
      </c>
      <c r="AK8" s="557" t="str">
        <f t="shared" si="37"/>
        <v/>
      </c>
      <c r="AL8" s="558"/>
      <c r="AM8" s="157"/>
      <c r="AN8" s="554">
        <f>SUMIFS('Livro Diario - FC'!$J$11:$J1032,'Livro Diario - FC'!$E$11:$E1032,$C$10,'Livro Diario - FC'!$D$11:$D1032,"&gt;=01/07"&amp;$C$5,'Livro Diario - FC'!$D$11:$D1032,"&lt;=31/07"&amp;$C$5)+SUM(AN9:AN19)</f>
        <v>0</v>
      </c>
      <c r="AO8" s="555">
        <f>SUMIFS('Livro Diario - FC'!$L$11:$L1032,'Livro Diario - FC'!$E$11:$E1032,$C$10,'Livro Diario - FC'!$D$11:$D1032,"&gt;=01/07"&amp;$C$5,'Livro Diario - FC'!$D$11:$D1032,"&lt;=31/07"&amp;$C$5)+SUM(AO9:AO19)</f>
        <v>0</v>
      </c>
      <c r="AP8" s="556" t="str">
        <f t="shared" si="38"/>
        <v/>
      </c>
      <c r="AQ8" s="557" t="str">
        <f t="shared" si="39"/>
        <v/>
      </c>
      <c r="AR8" s="558"/>
      <c r="AS8" s="157"/>
      <c r="AT8" s="554">
        <f>SUMIFS('Livro Diario - FC'!$J$11:$J1032,'Livro Diario - FC'!$E$11:$E1032,$C$10,'Livro Diario - FC'!$D$11:$D1032,"&gt;=01/08"&amp;$C$5,'Livro Diario - FC'!$D$11:$D1032,"&lt;=31/08"&amp;$C$5)+SUM(AT9:AT19)</f>
        <v>0</v>
      </c>
      <c r="AU8" s="555">
        <f>SUMIFS('Livro Diario - FC'!$L$11:$L1032,'Livro Diario - FC'!$E$11:$E1032,$C$10,'Livro Diario - FC'!$D$11:$D1032,"&gt;=01/08"&amp;$C$5,'Livro Diario - FC'!$D$11:$D1032,"&lt;=31/08"&amp;$C$5)+SUM(AU9:AU19)</f>
        <v>0</v>
      </c>
      <c r="AV8" s="556" t="str">
        <f t="shared" si="40"/>
        <v/>
      </c>
      <c r="AW8" s="557" t="str">
        <f t="shared" si="41"/>
        <v/>
      </c>
      <c r="AX8" s="558"/>
      <c r="AY8" s="157"/>
      <c r="AZ8" s="554">
        <f>SUMIFS('Livro Diario - FC'!$J$11:$J1032,'Livro Diario - FC'!$E$11:$E1032,$C$10,'Livro Diario - FC'!$D$11:$D1032,"&gt;=01/09"&amp;$C$5,'Livro Diario - FC'!$D$11:$D1032,"&lt;=30/09"&amp;$C$5)+SUM(AZ9:AZ19)</f>
        <v>0</v>
      </c>
      <c r="BA8" s="555">
        <f>SUMIFS('Livro Diario - FC'!$L$11:$L1032,'Livro Diario - FC'!$E$11:$E1032,$C$10,'Livro Diario - FC'!$D$11:$D1032,"&gt;=01/09"&amp;$C$5,'Livro Diario - FC'!$D$11:$D1032,"&lt;=30/09"&amp;$C$5)+SUM(BA9:BA19)</f>
        <v>0</v>
      </c>
      <c r="BB8" s="556" t="str">
        <f t="shared" si="42"/>
        <v/>
      </c>
      <c r="BC8" s="557" t="str">
        <f t="shared" si="43"/>
        <v/>
      </c>
      <c r="BD8" s="558"/>
      <c r="BE8" s="157"/>
      <c r="BF8" s="554">
        <f>SUMIFS('Livro Diario - FC'!$J$11:$J1032,'Livro Diario - FC'!$E$11:$E1032,$C$10,'Livro Diario - FC'!$D$11:$D1032,"&gt;=01/10"&amp;$C$5,'Livro Diario - FC'!$D$11:$D1032,"&lt;=31/10"&amp;$C$5)+SUM(BF9:BF19)</f>
        <v>0</v>
      </c>
      <c r="BG8" s="555">
        <f>SUMIFS('Livro Diario - FC'!$L$11:$L1032,'Livro Diario - FC'!$E$11:$E1032,$C$10,'Livro Diario - FC'!$D$11:$D1032,"&gt;=01/10"&amp;$C$5,'Livro Diario - FC'!$D$11:$D1032,"&lt;=31/10"&amp;$C$5)+SUM(BG9:BG19)</f>
        <v>0</v>
      </c>
      <c r="BH8" s="556" t="str">
        <f t="shared" si="44"/>
        <v/>
      </c>
      <c r="BI8" s="557" t="str">
        <f t="shared" si="45"/>
        <v/>
      </c>
      <c r="BJ8" s="558"/>
      <c r="BK8" s="157"/>
      <c r="BL8" s="554">
        <f>SUMIFS('Livro Diario - FC'!$J$11:$J1032,'Livro Diario - FC'!$E$11:$E1032,$C$10,'Livro Diario - FC'!$D$11:$D1032,"&gt;=01/11"&amp;$C$5,'Livro Diario - FC'!$D$11:$D1032,"&lt;=30/11"&amp;$C$5)+SUM(BL9:BL19)</f>
        <v>0</v>
      </c>
      <c r="BM8" s="555">
        <f>SUMIFS('Livro Diario - FC'!$L$11:$L1032,'Livro Diario - FC'!$E$11:$E1032,$C$10,'Livro Diario - FC'!$D$11:$D1032,"&gt;=01/11"&amp;$C$5,'Livro Diario - FC'!$D$11:$D1032,"&lt;=30/11"&amp;$C$5)+SUM(BM9:BM19)</f>
        <v>0</v>
      </c>
      <c r="BN8" s="556" t="str">
        <f t="shared" si="46"/>
        <v/>
      </c>
      <c r="BO8" s="557" t="str">
        <f t="shared" si="47"/>
        <v/>
      </c>
      <c r="BP8" s="558"/>
      <c r="BQ8" s="157"/>
      <c r="BR8" s="554">
        <f>SUMIFS('Livro Diario - FC'!$J$11:$J1032,'Livro Diario - FC'!$E$11:$E1032,$C$10,'Livro Diario - FC'!$D$11:$D1032,"&gt;=01/12"&amp;$C$5,'Livro Diario - FC'!$D$11:$D1032,"&lt;=31/12"&amp;$C$5)+SUM(BR9:BR19)</f>
        <v>0</v>
      </c>
      <c r="BS8" s="555">
        <f>SUMIFS('Livro Diario - FC'!$L$11:$L1032,'Livro Diario - FC'!$E$11:$E1032,$C$10,'Livro Diario - FC'!$D$11:$D1032,"&gt;=01/12"&amp;$C$5,'Livro Diario - FC'!$D$11:$D1032,"&lt;=31/12"&amp;$C$5)+SUM(BS9:BS19)</f>
        <v>0</v>
      </c>
      <c r="BT8" s="556" t="str">
        <f t="shared" si="48"/>
        <v/>
      </c>
      <c r="BU8" s="557" t="str">
        <f t="shared" si="49"/>
        <v/>
      </c>
      <c r="BV8" s="558"/>
      <c r="BW8" s="157"/>
      <c r="BX8" s="559">
        <f t="shared" ref="BX8:BY8" si="50">SUM(D8,J8,P8,V8,AB8,AH8,AN8,AT8,AZ8,BF8,BL8,BR8)</f>
        <v>0</v>
      </c>
      <c r="BY8" s="250">
        <f t="shared" si="50"/>
        <v>0</v>
      </c>
      <c r="BZ8" s="560" t="str">
        <f t="shared" si="51"/>
        <v/>
      </c>
      <c r="CA8" s="9"/>
      <c r="CB8" s="252">
        <f>SUMIFS('Livro Diario - FC'!$L$11:$L1032,'Livro Diario - FC'!$E$11:$E1032,C9,'Livro Diario - FC'!$D$11:$D1032,"&gt;="&amp;$CD$6,'Livro Diario - FC'!$D$11:$D1032,"&lt;="&amp;$CD$7)+SUM(CB9:CB19)</f>
        <v>0</v>
      </c>
      <c r="CC8" s="253" t="str">
        <f t="shared" si="52"/>
        <v/>
      </c>
      <c r="CD8" s="254"/>
    </row>
    <row r="9">
      <c r="A9" s="13"/>
      <c r="C9" s="338" t="s">
        <v>562</v>
      </c>
      <c r="D9" s="255">
        <f>SUMIFS('Livro Diario - FC'!$J$11:$J1032,'Livro Diario - FC'!$E$11:$E1032,$C$9,'Livro Diario - FC'!$D$11:$D1032,"&gt;=01/01"&amp;$C$5,'Livro Diario - FC'!$D$11:$D1032,"&lt;=31/01"&amp;$C$7)</f>
        <v>0</v>
      </c>
      <c r="E9" s="256">
        <f>SUMIFS('Livro Diario - FC'!$L$11:$L1032,'Livro Diario - FC'!$E$11:$E1032,$C9,'Livro Diario - FC'!$D$11:$D1032,"&gt;=01/01"&amp;$C$5,'Livro Diario - FC'!$D$11:$D1032,"&lt;=31/01"&amp;$C$5)</f>
        <v>0</v>
      </c>
      <c r="F9" s="257" t="str">
        <f t="shared" si="26"/>
        <v/>
      </c>
      <c r="G9" s="258" t="str">
        <f t="shared" si="27"/>
        <v/>
      </c>
      <c r="H9" s="157"/>
      <c r="I9" s="157"/>
      <c r="J9" s="561">
        <f>SUMIFS('Livro Diario - FC'!$J$11:$J1032,'Livro Diario - FC'!$E$11:$E1032,$C9,'Livro Diario - FC'!$D$11:$D1032,"&gt;=01/02"&amp;$C$5,'Livro Diario - FC'!$D$11:$D1032,"&lt;=29/02"&amp;$C$5)</f>
        <v>0</v>
      </c>
      <c r="K9" s="562">
        <f>SUMIFS('Livro Diario - FC'!$L$11:$L1032,'Livro Diario - FC'!$E$11:$E1032,$C9,'Livro Diario - FC'!$D$11:$D1032,"&gt;=01/02"&amp;$C$5,'Livro Diario - FC'!$D$11:$D1032,"&lt;=29/02"&amp;$C$5)</f>
        <v>0</v>
      </c>
      <c r="L9" s="563" t="str">
        <f t="shared" si="28"/>
        <v/>
      </c>
      <c r="M9" s="564" t="str">
        <f t="shared" si="29"/>
        <v/>
      </c>
      <c r="N9" s="565"/>
      <c r="O9" s="157"/>
      <c r="P9" s="561">
        <f>SUMIFS('Livro Diario - FC'!$J$11:$J1032,'Livro Diario - FC'!$E$11:$E1032,$C9,'Livro Diario - FC'!$D$11:$D1032,"&gt;=01/03",'Livro Diario - FC'!$D$11:$D1032,"&lt;=31/03")</f>
        <v>0</v>
      </c>
      <c r="Q9" s="562">
        <f>SUMIFS('Livro Diario - FC'!$L$11:$L1032,'Livro Diario - FC'!$E$11:$E1032,$C9,'Livro Diario - FC'!$D$11:$D1032,"&gt;=01/03",'Livro Diario - FC'!$D$11:$D1032,"&lt;=31/03")</f>
        <v>0</v>
      </c>
      <c r="R9" s="563" t="str">
        <f t="shared" si="30"/>
        <v/>
      </c>
      <c r="S9" s="564" t="str">
        <f t="shared" si="31"/>
        <v/>
      </c>
      <c r="T9" s="565"/>
      <c r="U9" s="157"/>
      <c r="V9" s="561">
        <f>SUMIFS('Livro Diario - FC'!$J$11:$J1032,'Livro Diario - FC'!$E$11:$E1032,$C9,'Livro Diario - FC'!$D$11:$D1032,"&gt;=01/04",'Livro Diario - FC'!$D$11:$D1032,"&lt;=30/04")</f>
        <v>0</v>
      </c>
      <c r="W9" s="562">
        <f>SUMIFS('Livro Diario - FC'!$L$11:$L1032,'Livro Diario - FC'!$E$11:$E1032,$C9,'Livro Diario - FC'!$D$11:$D1032,"&gt;=01/04",'Livro Diario - FC'!$D$11:$D1032,"&lt;=30/04")</f>
        <v>0</v>
      </c>
      <c r="X9" s="563" t="str">
        <f t="shared" si="32"/>
        <v/>
      </c>
      <c r="Y9" s="564" t="str">
        <f t="shared" si="33"/>
        <v/>
      </c>
      <c r="Z9" s="565"/>
      <c r="AA9" s="157"/>
      <c r="AB9" s="561">
        <f>SUMIFS('Livro Diario - FC'!$J$11:$J1032,'Livro Diario - FC'!$E$11:$E1032,$C9,'Livro Diario - FC'!$D$11:$D1032,"&gt;=01/05",'Livro Diario - FC'!$D$11:$D1032,"&lt;=31/05")</f>
        <v>0</v>
      </c>
      <c r="AC9" s="562">
        <f>SUMIFS('Livro Diario - FC'!$L$11:$L1032,'Livro Diario - FC'!$E$11:$E1032,$C9,'Livro Diario - FC'!$D$11:$D1032,"&gt;=01/05",'Livro Diario - FC'!$D$11:$D1032,"&lt;=31/05")</f>
        <v>0</v>
      </c>
      <c r="AD9" s="563" t="str">
        <f t="shared" si="34"/>
        <v/>
      </c>
      <c r="AE9" s="564" t="str">
        <f t="shared" si="35"/>
        <v/>
      </c>
      <c r="AF9" s="565"/>
      <c r="AG9" s="157"/>
      <c r="AH9" s="561">
        <f>SUMIFS('Livro Diario - FC'!$J$11:$J1032,'Livro Diario - FC'!$E$11:$E1032,$C9,'Livro Diario - FC'!$D$11:$D1032,"&gt;=01/06",'Livro Diario - FC'!$D$11:$D1032,"&lt;=30/06")</f>
        <v>0</v>
      </c>
      <c r="AI9" s="562">
        <f>SUMIFS('Livro Diario - FC'!$L$11:$L1032,'Livro Diario - FC'!$E$11:$E1032,$C9,'Livro Diario - FC'!$D$11:$D1032,"&gt;=01/06",'Livro Diario - FC'!$D$11:$D1032,"&lt;=30/06")</f>
        <v>0</v>
      </c>
      <c r="AJ9" s="563" t="str">
        <f t="shared" si="36"/>
        <v/>
      </c>
      <c r="AK9" s="564" t="str">
        <f t="shared" si="37"/>
        <v/>
      </c>
      <c r="AL9" s="565"/>
      <c r="AM9" s="157"/>
      <c r="AN9" s="561">
        <f>SUMIFS('Livro Diario - FC'!$J$11:$J1032,'Livro Diario - FC'!$E$11:$E1032,$C9,'Livro Diario - FC'!$D$11:$D1032,"&gt;=01/07",'Livro Diario - FC'!$D$11:$D1032,"&lt;=31/07")</f>
        <v>0</v>
      </c>
      <c r="AO9" s="562">
        <f>SUMIFS('Livro Diario - FC'!$L$11:$L1032,'Livro Diario - FC'!$E$11:$E1032,$C9,'Livro Diario - FC'!$D$11:$D1032,"&gt;=01/07",'Livro Diario - FC'!$D$11:$D1032,"&lt;=31/07")</f>
        <v>0</v>
      </c>
      <c r="AP9" s="563" t="str">
        <f t="shared" si="38"/>
        <v/>
      </c>
      <c r="AQ9" s="564" t="str">
        <f t="shared" si="39"/>
        <v/>
      </c>
      <c r="AR9" s="565"/>
      <c r="AS9" s="157"/>
      <c r="AT9" s="561">
        <f>SUMIFS('Livro Diario - FC'!$J$11:$J1032,'Livro Diario - FC'!$E$11:$E1032,$C9,'Livro Diario - FC'!$D$11:$D1032,"&gt;=01/08",'Livro Diario - FC'!$D$11:$D1032,"&lt;=31/08")</f>
        <v>0</v>
      </c>
      <c r="AU9" s="562">
        <f>SUMIFS('Livro Diario - FC'!$L$11:$L1032,'Livro Diario - FC'!$E$11:$E1032,$C9,'Livro Diario - FC'!$D$11:$D1032,"&gt;=01/08",'Livro Diario - FC'!$D$11:$D1032,"&lt;=31/08")</f>
        <v>0</v>
      </c>
      <c r="AV9" s="563" t="str">
        <f t="shared" si="40"/>
        <v/>
      </c>
      <c r="AW9" s="564" t="str">
        <f t="shared" si="41"/>
        <v/>
      </c>
      <c r="AX9" s="565"/>
      <c r="AY9" s="157"/>
      <c r="AZ9" s="561">
        <f>SUMIFS('Livro Diario - FC'!$J$11:$J1032,'Livro Diario - FC'!$E$11:$E1032,$C9,'Livro Diario - FC'!$D$11:$D1032,"&gt;=01/09",'Livro Diario - FC'!$D$11:$D1032,"&lt;=30/09")</f>
        <v>0</v>
      </c>
      <c r="BA9" s="562">
        <f>SUMIFS('Livro Diario - FC'!$L$11:$L1032,'Livro Diario - FC'!$E$11:$E1032,$C9,'Livro Diario - FC'!$D$11:$D1032,"&gt;=01/09",'Livro Diario - FC'!$D$11:$D1032,"&lt;=30/09")</f>
        <v>0</v>
      </c>
      <c r="BB9" s="563" t="str">
        <f t="shared" si="42"/>
        <v/>
      </c>
      <c r="BC9" s="564" t="str">
        <f t="shared" si="43"/>
        <v/>
      </c>
      <c r="BD9" s="565"/>
      <c r="BE9" s="157"/>
      <c r="BF9" s="561">
        <f>SUMIFS('Livro Diario - FC'!$J$11:$J1032,'Livro Diario - FC'!$E$11:$E1032,$C9,'Livro Diario - FC'!$D$11:$D1032,"&gt;=01/10",'Livro Diario - FC'!$D$11:$D1032,"&lt;=31/10")</f>
        <v>0</v>
      </c>
      <c r="BG9" s="562">
        <f>SUMIFS('Livro Diario - FC'!$L$11:$L1032,'Livro Diario - FC'!$E$11:$E1032,$C9,'Livro Diario - FC'!$D$11:$D1032,"&gt;=01/10",'Livro Diario - FC'!$D$11:$D1032,"&lt;=31/10")</f>
        <v>0</v>
      </c>
      <c r="BH9" s="563" t="str">
        <f t="shared" si="44"/>
        <v/>
      </c>
      <c r="BI9" s="564" t="str">
        <f t="shared" si="45"/>
        <v/>
      </c>
      <c r="BJ9" s="565"/>
      <c r="BK9" s="157"/>
      <c r="BL9" s="561">
        <f>SUMIFS('Livro Diario - FC'!$J$11:$J1032,'Livro Diario - FC'!$E$11:$E1032,$C9,'Livro Diario - FC'!$D$11:$D1032,"&gt;=01/11",'Livro Diario - FC'!$D$11:$D1032,"&lt;=30/11")</f>
        <v>0</v>
      </c>
      <c r="BM9" s="562">
        <f>SUMIFS('Livro Diario - FC'!$L$11:$L1032,'Livro Diario - FC'!$E$11:$E1032,$C9,'Livro Diario - FC'!$D$11:$D1032,"&gt;=01/11",'Livro Diario - FC'!$D$11:$D1032,"&lt;=30/11")</f>
        <v>0</v>
      </c>
      <c r="BN9" s="563" t="str">
        <f t="shared" si="46"/>
        <v/>
      </c>
      <c r="BO9" s="564" t="str">
        <f t="shared" si="47"/>
        <v/>
      </c>
      <c r="BP9" s="565"/>
      <c r="BQ9" s="157"/>
      <c r="BR9" s="561">
        <f>SUMIFS('Livro Diario - FC'!$J$11:$J1032,'Livro Diario - FC'!$E$11:$E1032,$C9,'Livro Diario - FC'!$D$11:$D1032,"&gt;=01/12",'Livro Diario - FC'!$D$11:$D1032,"&lt;=31/12")</f>
        <v>0</v>
      </c>
      <c r="BS9" s="562">
        <f>SUMIFS('Livro Diario - FC'!$L$11:$L1032,'Livro Diario - FC'!$E$11:$E1032,$C9,'Livro Diario - FC'!$D$11:$D1032,"&gt;=01/12",'Livro Diario - FC'!$D$11:$D1032,"&lt;=31/12")</f>
        <v>0</v>
      </c>
      <c r="BT9" s="563" t="str">
        <f t="shared" si="48"/>
        <v/>
      </c>
      <c r="BU9" s="564" t="str">
        <f t="shared" si="49"/>
        <v/>
      </c>
      <c r="BV9" s="565"/>
      <c r="BW9" s="157"/>
      <c r="BX9" s="566">
        <f t="shared" ref="BX9:BY9" si="53">SUM(D9,J9,P9,V9,AB9,AH9,AN9,AT9,AZ9,BF9,BL9,BR9)</f>
        <v>0</v>
      </c>
      <c r="BY9" s="261">
        <f t="shared" si="53"/>
        <v>0</v>
      </c>
      <c r="BZ9" s="567"/>
      <c r="CA9" s="302"/>
      <c r="CB9" s="264">
        <f>SUMIFS('Livro Diario - FC'!$L$11:$L1032,'Livro Diario - FC'!$E$11:$E1032,C9,'Livro Diario - FC'!$D$11:$D1032,"&gt;="&amp;$CD$6,'Livro Diario - FC'!$D$11:$D1032,"&lt;="&amp;$CD$7)</f>
        <v>0</v>
      </c>
      <c r="CC9" s="265"/>
      <c r="CD9" s="266"/>
    </row>
    <row r="10">
      <c r="A10" s="13"/>
      <c r="C10" s="300" t="s">
        <v>25</v>
      </c>
      <c r="D10" s="255">
        <f>SUMIFS('Livro Diario - FC'!$J$11:$J1032,'Livro Diario - FC'!$E$11:$E1032,$C10,'Livro Diario - FC'!$D$11:$D1032,"&gt;=01/01"&amp;$C$5,'Livro Diario - FC'!$D$11:$D1032,"&lt;=31/01"&amp;$C$5)</f>
        <v>0</v>
      </c>
      <c r="E10" s="256">
        <f>SUMIFS('Livro Diario - FC'!$L$11:$L1032,'Livro Diario - FC'!$E$11:$E1032,$C10,'Livro Diario - FC'!$D$11:$D1032,"&gt;=01/01"&amp;$C$5,'Livro Diario - FC'!$D$11:$D1032,"&lt;=31/01"&amp;$C$5)</f>
        <v>0</v>
      </c>
      <c r="F10" s="257" t="str">
        <f t="shared" si="26"/>
        <v/>
      </c>
      <c r="G10" s="258" t="str">
        <f t="shared" si="27"/>
        <v/>
      </c>
      <c r="H10" s="157"/>
      <c r="I10" s="157"/>
      <c r="J10" s="568">
        <f>SUMIFS('Livro Diario - FC'!$J$11:$J1032,'Livro Diario - FC'!$E$11:$E1032,$C10,'Livro Diario - FC'!$D$11:$D1032,"&gt;=01/02"&amp;$C$5,'Livro Diario - FC'!$D$11:$D1032,"&lt;=29/02"&amp;$C$5)</f>
        <v>0</v>
      </c>
      <c r="K10" s="569">
        <f>SUMIFS('Livro Diario - FC'!$L$11:$L1032,'Livro Diario - FC'!$E$11:$E1032,$C10,'Livro Diario - FC'!$D$11:$D1032,"&gt;=01/02"&amp;$C$5,'Livro Diario - FC'!$D$11:$D1032,"&lt;=29/02"&amp;$C$5)</f>
        <v>0</v>
      </c>
      <c r="L10" s="570" t="str">
        <f t="shared" si="28"/>
        <v/>
      </c>
      <c r="M10" s="571" t="str">
        <f t="shared" si="29"/>
        <v/>
      </c>
      <c r="N10" s="572"/>
      <c r="O10" s="157"/>
      <c r="P10" s="568">
        <f>SUMIFS('Livro Diario - FC'!$J$11:$J1032,'Livro Diario - FC'!$E$11:$E1032,$C10,'Livro Diario - FC'!$D$11:$D1032,"&gt;=01/03",'Livro Diario - FC'!$D$11:$D1032,"&lt;=31/03")</f>
        <v>0</v>
      </c>
      <c r="Q10" s="569">
        <f>SUMIFS('Livro Diario - FC'!$L$11:$L1032,'Livro Diario - FC'!$E$11:$E1032,$C10,'Livro Diario - FC'!$D$11:$D1032,"&gt;=01/03",'Livro Diario - FC'!$D$11:$D1032,"&lt;=31/03")</f>
        <v>0</v>
      </c>
      <c r="R10" s="570" t="str">
        <f t="shared" si="30"/>
        <v/>
      </c>
      <c r="S10" s="571" t="str">
        <f t="shared" si="31"/>
        <v/>
      </c>
      <c r="T10" s="572"/>
      <c r="U10" s="157"/>
      <c r="V10" s="568">
        <f>SUMIFS('Livro Diario - FC'!$J$11:$J1032,'Livro Diario - FC'!$E$11:$E1032,$C10,'Livro Diario - FC'!$D$11:$D1032,"&gt;=01/04",'Livro Diario - FC'!$D$11:$D1032,"&lt;=30/04")</f>
        <v>0</v>
      </c>
      <c r="W10" s="569">
        <f>SUMIFS('Livro Diario - FC'!$L$11:$L1032,'Livro Diario - FC'!$E$11:$E1032,$C10,'Livro Diario - FC'!$D$11:$D1032,"&gt;=01/04",'Livro Diario - FC'!$D$11:$D1032,"&lt;=30/04")</f>
        <v>0</v>
      </c>
      <c r="X10" s="570" t="str">
        <f t="shared" si="32"/>
        <v/>
      </c>
      <c r="Y10" s="571" t="str">
        <f t="shared" si="33"/>
        <v/>
      </c>
      <c r="Z10" s="572"/>
      <c r="AA10" s="157"/>
      <c r="AB10" s="568">
        <f>SUMIFS('Livro Diario - FC'!$J$11:$J1032,'Livro Diario - FC'!$E$11:$E1032,$C10,'Livro Diario - FC'!$D$11:$D1032,"&gt;=01/05",'Livro Diario - FC'!$D$11:$D1032,"&lt;=31/05")</f>
        <v>0</v>
      </c>
      <c r="AC10" s="569">
        <f>SUMIFS('Livro Diario - FC'!$L$11:$L1032,'Livro Diario - FC'!$E$11:$E1032,$C10,'Livro Diario - FC'!$D$11:$D1032,"&gt;=01/05",'Livro Diario - FC'!$D$11:$D1032,"&lt;=31/05")</f>
        <v>0</v>
      </c>
      <c r="AD10" s="570" t="str">
        <f t="shared" si="34"/>
        <v/>
      </c>
      <c r="AE10" s="571" t="str">
        <f t="shared" si="35"/>
        <v/>
      </c>
      <c r="AF10" s="572"/>
      <c r="AG10" s="157"/>
      <c r="AH10" s="568">
        <f>SUMIFS('Livro Diario - FC'!$J$11:$J1032,'Livro Diario - FC'!$E$11:$E1032,$C10,'Livro Diario - FC'!$D$11:$D1032,"&gt;=01/06",'Livro Diario - FC'!$D$11:$D1032,"&lt;=30/06")</f>
        <v>0</v>
      </c>
      <c r="AI10" s="569">
        <f>SUMIFS('Livro Diario - FC'!$L$11:$L1032,'Livro Diario - FC'!$E$11:$E1032,$C10,'Livro Diario - FC'!$D$11:$D1032,"&gt;=01/06",'Livro Diario - FC'!$D$11:$D1032,"&lt;=30/06")</f>
        <v>0</v>
      </c>
      <c r="AJ10" s="570" t="str">
        <f t="shared" si="36"/>
        <v/>
      </c>
      <c r="AK10" s="571" t="str">
        <f t="shared" si="37"/>
        <v/>
      </c>
      <c r="AL10" s="572"/>
      <c r="AM10" s="157"/>
      <c r="AN10" s="568">
        <f>SUMIFS('Livro Diario - FC'!$J$11:$J1032,'Livro Diario - FC'!$E$11:$E1032,$C10,'Livro Diario - FC'!$D$11:$D1032,"&gt;=01/07",'Livro Diario - FC'!$D$11:$D1032,"&lt;=31/07")</f>
        <v>0</v>
      </c>
      <c r="AO10" s="569">
        <f>SUMIFS('Livro Diario - FC'!$L$11:$L1032,'Livro Diario - FC'!$E$11:$E1032,$C10,'Livro Diario - FC'!$D$11:$D1032,"&gt;=01/07",'Livro Diario - FC'!$D$11:$D1032,"&lt;=31/07")</f>
        <v>0</v>
      </c>
      <c r="AP10" s="570" t="str">
        <f t="shared" si="38"/>
        <v/>
      </c>
      <c r="AQ10" s="571" t="str">
        <f t="shared" si="39"/>
        <v/>
      </c>
      <c r="AR10" s="572"/>
      <c r="AS10" s="157"/>
      <c r="AT10" s="568">
        <f>SUMIFS('Livro Diario - FC'!$J$11:$J1032,'Livro Diario - FC'!$E$11:$E1032,$C10,'Livro Diario - FC'!$D$11:$D1032,"&gt;=01/08",'Livro Diario - FC'!$D$11:$D1032,"&lt;=31/08")</f>
        <v>0</v>
      </c>
      <c r="AU10" s="569">
        <f>SUMIFS('Livro Diario - FC'!$L$11:$L1032,'Livro Diario - FC'!$E$11:$E1032,$C10,'Livro Diario - FC'!$D$11:$D1032,"&gt;=01/08",'Livro Diario - FC'!$D$11:$D1032,"&lt;=31/08")</f>
        <v>0</v>
      </c>
      <c r="AV10" s="570" t="str">
        <f t="shared" si="40"/>
        <v/>
      </c>
      <c r="AW10" s="571" t="str">
        <f t="shared" si="41"/>
        <v/>
      </c>
      <c r="AX10" s="572"/>
      <c r="AY10" s="157"/>
      <c r="AZ10" s="568">
        <f>SUMIFS('Livro Diario - FC'!$J$11:$J1032,'Livro Diario - FC'!$E$11:$E1032,$C10,'Livro Diario - FC'!$D$11:$D1032,"&gt;=01/09",'Livro Diario - FC'!$D$11:$D1032,"&lt;=30/09")</f>
        <v>0</v>
      </c>
      <c r="BA10" s="569">
        <f>SUMIFS('Livro Diario - FC'!$L$11:$L1032,'Livro Diario - FC'!$E$11:$E1032,$C10,'Livro Diario - FC'!$D$11:$D1032,"&gt;=01/09",'Livro Diario - FC'!$D$11:$D1032,"&lt;=30/09")</f>
        <v>0</v>
      </c>
      <c r="BB10" s="570" t="str">
        <f t="shared" si="42"/>
        <v/>
      </c>
      <c r="BC10" s="571" t="str">
        <f t="shared" si="43"/>
        <v/>
      </c>
      <c r="BD10" s="572"/>
      <c r="BE10" s="157"/>
      <c r="BF10" s="568">
        <f>SUMIFS('Livro Diario - FC'!$J$11:$J1032,'Livro Diario - FC'!$E$11:$E1032,$C10,'Livro Diario - FC'!$D$11:$D1032,"&gt;=01/10",'Livro Diario - FC'!$D$11:$D1032,"&lt;=31/10")</f>
        <v>0</v>
      </c>
      <c r="BG10" s="569">
        <f>SUMIFS('Livro Diario - FC'!$L$11:$L1032,'Livro Diario - FC'!$E$11:$E1032,$C10,'Livro Diario - FC'!$D$11:$D1032,"&gt;=01/10",'Livro Diario - FC'!$D$11:$D1032,"&lt;=31/10")</f>
        <v>0</v>
      </c>
      <c r="BH10" s="570" t="str">
        <f t="shared" si="44"/>
        <v/>
      </c>
      <c r="BI10" s="571" t="str">
        <f t="shared" si="45"/>
        <v/>
      </c>
      <c r="BJ10" s="572"/>
      <c r="BK10" s="157"/>
      <c r="BL10" s="568">
        <f>SUMIFS('Livro Diario - FC'!$J$11:$J1032,'Livro Diario - FC'!$E$11:$E1032,$C10,'Livro Diario - FC'!$D$11:$D1032,"&gt;=01/11",'Livro Diario - FC'!$D$11:$D1032,"&lt;=30/11")</f>
        <v>0</v>
      </c>
      <c r="BM10" s="569">
        <f>SUMIFS('Livro Diario - FC'!$L$11:$L1032,'Livro Diario - FC'!$E$11:$E1032,$C10,'Livro Diario - FC'!$D$11:$D1032,"&gt;=01/11",'Livro Diario - FC'!$D$11:$D1032,"&lt;=30/11")</f>
        <v>0</v>
      </c>
      <c r="BN10" s="570" t="str">
        <f t="shared" si="46"/>
        <v/>
      </c>
      <c r="BO10" s="571" t="str">
        <f t="shared" si="47"/>
        <v/>
      </c>
      <c r="BP10" s="572"/>
      <c r="BQ10" s="157"/>
      <c r="BR10" s="568">
        <f>SUMIFS('Livro Diario - FC'!$J$11:$J1032,'Livro Diario - FC'!$E$11:$E1032,$C10,'Livro Diario - FC'!$D$11:$D1032,"&gt;=01/12",'Livro Diario - FC'!$D$11:$D1032,"&lt;=31/12")</f>
        <v>0</v>
      </c>
      <c r="BS10" s="569">
        <f>SUMIFS('Livro Diario - FC'!$L$11:$L1032,'Livro Diario - FC'!$E$11:$E1032,$C10,'Livro Diario - FC'!$D$11:$D1032,"&gt;=01/12",'Livro Diario - FC'!$D$11:$D1032,"&lt;=31/12")</f>
        <v>0</v>
      </c>
      <c r="BT10" s="570" t="str">
        <f t="shared" si="48"/>
        <v/>
      </c>
      <c r="BU10" s="571" t="str">
        <f t="shared" si="49"/>
        <v/>
      </c>
      <c r="BV10" s="572"/>
      <c r="BW10" s="157"/>
      <c r="BX10" s="573">
        <f t="shared" ref="BX10:BY10" si="54">SUM(D10,J10,P10,V10,AB10,AH10,AN10,AT10,AZ10,BF10,BL10,BR10)</f>
        <v>0</v>
      </c>
      <c r="BY10" s="268">
        <f t="shared" si="54"/>
        <v>0</v>
      </c>
      <c r="BZ10" s="574"/>
      <c r="CA10" s="192"/>
      <c r="CB10" s="270">
        <f>SUMIFS('Livro Diario - FC'!$L$11:$L1032,'Livro Diario - FC'!$E$11:$E1032,C10,'Livro Diario - FC'!$D$11:$D1032,"&gt;="&amp;$CD$6,'Livro Diario - FC'!$D$11:$D1032,"&lt;="&amp;$CD$7)</f>
        <v>0</v>
      </c>
      <c r="CC10" s="271"/>
      <c r="CD10" s="272"/>
    </row>
    <row r="11">
      <c r="A11" s="13"/>
      <c r="C11" s="300" t="s">
        <v>563</v>
      </c>
      <c r="D11" s="255">
        <f>SUMIFS('Livro Diario - FC'!$J$11:$J1032,'Livro Diario - FC'!$E$11:$E1032,$C11,'Livro Diario - FC'!$D$11:$D1032,"&gt;=01/01"&amp;$C$5,'Livro Diario - FC'!$D$11:$D1032,"&lt;=31/01"&amp;$C$5)</f>
        <v>0</v>
      </c>
      <c r="E11" s="256">
        <f>SUMIFS('Livro Diario - FC'!$L$11:$L1032,'Livro Diario - FC'!$E$11:$E1032,$C11,'Livro Diario - FC'!$D$11:$D1032,"&gt;=01/01"&amp;$C$5,'Livro Diario - FC'!$D$11:$D1032,"&lt;=31/01"&amp;$C$5)</f>
        <v>0</v>
      </c>
      <c r="F11" s="257" t="str">
        <f t="shared" si="26"/>
        <v/>
      </c>
      <c r="G11" s="258" t="str">
        <f t="shared" si="27"/>
        <v/>
      </c>
      <c r="H11" s="157"/>
      <c r="I11" s="157"/>
      <c r="J11" s="561">
        <f>SUMIFS('Livro Diario - FC'!$J$11:$J1032,'Livro Diario - FC'!$E$11:$E1032,$C11,'Livro Diario - FC'!$D$11:$D1032,"&gt;=01/02"&amp;$C$5,'Livro Diario - FC'!$D$11:$D1032,"&lt;=29/02"&amp;$C$5)</f>
        <v>0</v>
      </c>
      <c r="K11" s="562">
        <f>SUMIFS('Livro Diario - FC'!$L$11:$L1032,'Livro Diario - FC'!$E$11:$E1032,$C11,'Livro Diario - FC'!$D$11:$D1032,"&gt;=01/02"&amp;$C$5,'Livro Diario - FC'!$D$11:$D1032,"&lt;=29/02"&amp;$C$5)</f>
        <v>0</v>
      </c>
      <c r="L11" s="563" t="str">
        <f t="shared" si="28"/>
        <v/>
      </c>
      <c r="M11" s="564" t="str">
        <f t="shared" si="29"/>
        <v/>
      </c>
      <c r="N11" s="565"/>
      <c r="O11" s="157"/>
      <c r="P11" s="561">
        <f>SUMIFS('Livro Diario - FC'!$J$11:$J1032,'Livro Diario - FC'!$E$11:$E1032,$C11,'Livro Diario - FC'!$D$11:$D1032,"&gt;=01/03",'Livro Diario - FC'!$D$11:$D1032,"&lt;=31/03")</f>
        <v>0</v>
      </c>
      <c r="Q11" s="562">
        <f>SUMIFS('Livro Diario - FC'!$L$11:$L1032,'Livro Diario - FC'!$E$11:$E1032,$C11,'Livro Diario - FC'!$D$11:$D1032,"&gt;=01/03",'Livro Diario - FC'!$D$11:$D1032,"&lt;=31/03")</f>
        <v>0</v>
      </c>
      <c r="R11" s="563" t="str">
        <f t="shared" si="30"/>
        <v/>
      </c>
      <c r="S11" s="564" t="str">
        <f t="shared" si="31"/>
        <v/>
      </c>
      <c r="T11" s="565"/>
      <c r="U11" s="157"/>
      <c r="V11" s="561">
        <f>SUMIFS('Livro Diario - FC'!$J$11:$J1032,'Livro Diario - FC'!$E$11:$E1032,$C11,'Livro Diario - FC'!$D$11:$D1032,"&gt;=01/04",'Livro Diario - FC'!$D$11:$D1032,"&lt;=30/04")</f>
        <v>0</v>
      </c>
      <c r="W11" s="562">
        <f>SUMIFS('Livro Diario - FC'!$L$11:$L1032,'Livro Diario - FC'!$E$11:$E1032,$C11,'Livro Diario - FC'!$D$11:$D1032,"&gt;=01/04",'Livro Diario - FC'!$D$11:$D1032,"&lt;=30/04")</f>
        <v>0</v>
      </c>
      <c r="X11" s="563" t="str">
        <f t="shared" si="32"/>
        <v/>
      </c>
      <c r="Y11" s="564" t="str">
        <f t="shared" si="33"/>
        <v/>
      </c>
      <c r="Z11" s="565"/>
      <c r="AA11" s="157"/>
      <c r="AB11" s="561">
        <f>SUMIFS('Livro Diario - FC'!$J$11:$J1032,'Livro Diario - FC'!$E$11:$E1032,$C11,'Livro Diario - FC'!$D$11:$D1032,"&gt;=01/05",'Livro Diario - FC'!$D$11:$D1032,"&lt;=31/05")</f>
        <v>0</v>
      </c>
      <c r="AC11" s="562">
        <f>SUMIFS('Livro Diario - FC'!$L$11:$L1032,'Livro Diario - FC'!$E$11:$E1032,$C11,'Livro Diario - FC'!$D$11:$D1032,"&gt;=01/05",'Livro Diario - FC'!$D$11:$D1032,"&lt;=31/05")</f>
        <v>0</v>
      </c>
      <c r="AD11" s="563" t="str">
        <f t="shared" si="34"/>
        <v/>
      </c>
      <c r="AE11" s="564" t="str">
        <f t="shared" si="35"/>
        <v/>
      </c>
      <c r="AF11" s="565"/>
      <c r="AG11" s="157"/>
      <c r="AH11" s="561">
        <f>SUMIFS('Livro Diario - FC'!$J$11:$J1032,'Livro Diario - FC'!$E$11:$E1032,$C11,'Livro Diario - FC'!$D$11:$D1032,"&gt;=01/06",'Livro Diario - FC'!$D$11:$D1032,"&lt;=30/06")</f>
        <v>0</v>
      </c>
      <c r="AI11" s="562">
        <f>SUMIFS('Livro Diario - FC'!$L$11:$L1032,'Livro Diario - FC'!$E$11:$E1032,$C11,'Livro Diario - FC'!$D$11:$D1032,"&gt;=01/06",'Livro Diario - FC'!$D$11:$D1032,"&lt;=30/06")</f>
        <v>0</v>
      </c>
      <c r="AJ11" s="563" t="str">
        <f t="shared" si="36"/>
        <v/>
      </c>
      <c r="AK11" s="564" t="str">
        <f t="shared" si="37"/>
        <v/>
      </c>
      <c r="AL11" s="565"/>
      <c r="AM11" s="157"/>
      <c r="AN11" s="561">
        <f>SUMIFS('Livro Diario - FC'!$J$11:$J1032,'Livro Diario - FC'!$E$11:$E1032,$C11,'Livro Diario - FC'!$D$11:$D1032,"&gt;=01/07",'Livro Diario - FC'!$D$11:$D1032,"&lt;=31/07")</f>
        <v>0</v>
      </c>
      <c r="AO11" s="562">
        <f>SUMIFS('Livro Diario - FC'!$L$11:$L1032,'Livro Diario - FC'!$E$11:$E1032,$C11,'Livro Diario - FC'!$D$11:$D1032,"&gt;=01/07",'Livro Diario - FC'!$D$11:$D1032,"&lt;=31/07")</f>
        <v>0</v>
      </c>
      <c r="AP11" s="563" t="str">
        <f t="shared" si="38"/>
        <v/>
      </c>
      <c r="AQ11" s="564" t="str">
        <f t="shared" si="39"/>
        <v/>
      </c>
      <c r="AR11" s="565"/>
      <c r="AS11" s="157"/>
      <c r="AT11" s="561">
        <f>SUMIFS('Livro Diario - FC'!$J$11:$J1032,'Livro Diario - FC'!$E$11:$E1032,$C11,'Livro Diario - FC'!$D$11:$D1032,"&gt;=01/08",'Livro Diario - FC'!$D$11:$D1032,"&lt;=31/08")</f>
        <v>0</v>
      </c>
      <c r="AU11" s="562">
        <f>SUMIFS('Livro Diario - FC'!$L$11:$L1032,'Livro Diario - FC'!$E$11:$E1032,$C11,'Livro Diario - FC'!$D$11:$D1032,"&gt;=01/08",'Livro Diario - FC'!$D$11:$D1032,"&lt;=31/08")</f>
        <v>0</v>
      </c>
      <c r="AV11" s="563" t="str">
        <f t="shared" si="40"/>
        <v/>
      </c>
      <c r="AW11" s="564" t="str">
        <f t="shared" si="41"/>
        <v/>
      </c>
      <c r="AX11" s="565"/>
      <c r="AY11" s="157"/>
      <c r="AZ11" s="561">
        <f>SUMIFS('Livro Diario - FC'!$J$11:$J1032,'Livro Diario - FC'!$E$11:$E1032,$C11,'Livro Diario - FC'!$D$11:$D1032,"&gt;=01/09",'Livro Diario - FC'!$D$11:$D1032,"&lt;=30/09")</f>
        <v>0</v>
      </c>
      <c r="BA11" s="562">
        <f>SUMIFS('Livro Diario - FC'!$L$11:$L1032,'Livro Diario - FC'!$E$11:$E1032,$C11,'Livro Diario - FC'!$D$11:$D1032,"&gt;=01/09",'Livro Diario - FC'!$D$11:$D1032,"&lt;=30/09")</f>
        <v>0</v>
      </c>
      <c r="BB11" s="563" t="str">
        <f t="shared" si="42"/>
        <v/>
      </c>
      <c r="BC11" s="564" t="str">
        <f t="shared" si="43"/>
        <v/>
      </c>
      <c r="BD11" s="565"/>
      <c r="BE11" s="157"/>
      <c r="BF11" s="561">
        <f>SUMIFS('Livro Diario - FC'!$J$11:$J1032,'Livro Diario - FC'!$E$11:$E1032,$C11,'Livro Diario - FC'!$D$11:$D1032,"&gt;=01/10",'Livro Diario - FC'!$D$11:$D1032,"&lt;=31/10")</f>
        <v>0</v>
      </c>
      <c r="BG11" s="562">
        <f>SUMIFS('Livro Diario - FC'!$L$11:$L1032,'Livro Diario - FC'!$E$11:$E1032,$C11,'Livro Diario - FC'!$D$11:$D1032,"&gt;=01/10",'Livro Diario - FC'!$D$11:$D1032,"&lt;=31/10")</f>
        <v>0</v>
      </c>
      <c r="BH11" s="563" t="str">
        <f t="shared" si="44"/>
        <v/>
      </c>
      <c r="BI11" s="564" t="str">
        <f t="shared" si="45"/>
        <v/>
      </c>
      <c r="BJ11" s="565"/>
      <c r="BK11" s="157"/>
      <c r="BL11" s="561">
        <f>SUMIFS('Livro Diario - FC'!$J$11:$J1032,'Livro Diario - FC'!$E$11:$E1032,$C11,'Livro Diario - FC'!$D$11:$D1032,"&gt;=01/11",'Livro Diario - FC'!$D$11:$D1032,"&lt;=30/11")</f>
        <v>0</v>
      </c>
      <c r="BM11" s="562">
        <f>SUMIFS('Livro Diario - FC'!$L$11:$L1032,'Livro Diario - FC'!$E$11:$E1032,$C11,'Livro Diario - FC'!$D$11:$D1032,"&gt;=01/11",'Livro Diario - FC'!$D$11:$D1032,"&lt;=30/11")</f>
        <v>0</v>
      </c>
      <c r="BN11" s="563" t="str">
        <f t="shared" si="46"/>
        <v/>
      </c>
      <c r="BO11" s="564" t="str">
        <f t="shared" si="47"/>
        <v/>
      </c>
      <c r="BP11" s="565"/>
      <c r="BQ11" s="157"/>
      <c r="BR11" s="561">
        <f>SUMIFS('Livro Diario - FC'!$J$11:$J1032,'Livro Diario - FC'!$E$11:$E1032,$C11,'Livro Diario - FC'!$D$11:$D1032,"&gt;=01/12",'Livro Diario - FC'!$D$11:$D1032,"&lt;=31/12")</f>
        <v>0</v>
      </c>
      <c r="BS11" s="562">
        <f>SUMIFS('Livro Diario - FC'!$L$11:$L1032,'Livro Diario - FC'!$E$11:$E1032,$C11,'Livro Diario - FC'!$D$11:$D1032,"&gt;=01/12",'Livro Diario - FC'!$D$11:$D1032,"&lt;=31/12")</f>
        <v>0</v>
      </c>
      <c r="BT11" s="563" t="str">
        <f t="shared" si="48"/>
        <v/>
      </c>
      <c r="BU11" s="564" t="str">
        <f t="shared" si="49"/>
        <v/>
      </c>
      <c r="BV11" s="565"/>
      <c r="BW11" s="157"/>
      <c r="BX11" s="573">
        <f t="shared" ref="BX11:BY11" si="55">SUM(D11,J11,P11,V11,AB11,AH11,AN11,AT11,AZ11,BF11,BL11,BR11)</f>
        <v>0</v>
      </c>
      <c r="BY11" s="268">
        <f t="shared" si="55"/>
        <v>0</v>
      </c>
      <c r="BZ11" s="574"/>
      <c r="CA11" s="192"/>
      <c r="CB11" s="270">
        <f>SUMIFS('Livro Diario - FC'!$L$11:$L1032,'Livro Diario - FC'!$E$11:$E1032,C11,'Livro Diario - FC'!$D$11:$D1032,"&gt;="&amp;$CD$6,'Livro Diario - FC'!$D$11:$D1032,"&lt;="&amp;$CD$7)</f>
        <v>0</v>
      </c>
      <c r="CC11" s="271"/>
      <c r="CD11" s="272"/>
    </row>
    <row r="12">
      <c r="A12" s="13"/>
      <c r="C12" s="300" t="s">
        <v>564</v>
      </c>
      <c r="D12" s="255">
        <f>SUMIFS('Livro Diario - FC'!$J$11:$J1032,'Livro Diario - FC'!$E$11:$E1032,$C12,'Livro Diario - FC'!$D$11:$D1032,"&gt;=01/01"&amp;$C$5,'Livro Diario - FC'!$D$11:$D1032,"&lt;=31/01"&amp;$C$5)</f>
        <v>0</v>
      </c>
      <c r="E12" s="256">
        <f>SUMIFS('Livro Diario - FC'!$L$11:$L1032,'Livro Diario - FC'!$E$11:$E1032,$C12,'Livro Diario - FC'!$D$11:$D1032,"&gt;=01/01"&amp;$C$5,'Livro Diario - FC'!$D$11:$D1032,"&lt;=31/01"&amp;$C$5)</f>
        <v>0</v>
      </c>
      <c r="F12" s="257" t="str">
        <f t="shared" si="26"/>
        <v/>
      </c>
      <c r="G12" s="258" t="str">
        <f t="shared" si="27"/>
        <v/>
      </c>
      <c r="H12" s="157"/>
      <c r="I12" s="157"/>
      <c r="J12" s="568">
        <f>SUMIFS('Livro Diario - FC'!$J$11:$J1032,'Livro Diario - FC'!$E$11:$E1032,$C12,'Livro Diario - FC'!$D$11:$D1032,"&gt;=01/02"&amp;$C$5,'Livro Diario - FC'!$D$11:$D1032,"&lt;=29/02"&amp;$C$5)</f>
        <v>0</v>
      </c>
      <c r="K12" s="569">
        <f>SUMIFS('Livro Diario - FC'!$L$11:$L1032,'Livro Diario - FC'!$E$11:$E1032,$C12,'Livro Diario - FC'!$D$11:$D1032,"&gt;=01/02"&amp;$C$5,'Livro Diario - FC'!$D$11:$D1032,"&lt;=29/02"&amp;$C$5)</f>
        <v>0</v>
      </c>
      <c r="L12" s="570" t="str">
        <f t="shared" si="28"/>
        <v/>
      </c>
      <c r="M12" s="571" t="str">
        <f t="shared" si="29"/>
        <v/>
      </c>
      <c r="N12" s="572"/>
      <c r="O12" s="157"/>
      <c r="P12" s="568">
        <f>SUMIFS('Livro Diario - FC'!$J$11:$J1032,'Livro Diario - FC'!$E$11:$E1032,$C12,'Livro Diario - FC'!$D$11:$D1032,"&gt;=01/03",'Livro Diario - FC'!$D$11:$D1032,"&lt;=31/03")</f>
        <v>0</v>
      </c>
      <c r="Q12" s="569">
        <f>SUMIFS('Livro Diario - FC'!$L$11:$L1032,'Livro Diario - FC'!$E$11:$E1032,$C12,'Livro Diario - FC'!$D$11:$D1032,"&gt;=01/03",'Livro Diario - FC'!$D$11:$D1032,"&lt;=31/03")</f>
        <v>0</v>
      </c>
      <c r="R12" s="570" t="str">
        <f t="shared" si="30"/>
        <v/>
      </c>
      <c r="S12" s="571" t="str">
        <f t="shared" si="31"/>
        <v/>
      </c>
      <c r="T12" s="572"/>
      <c r="U12" s="157"/>
      <c r="V12" s="568">
        <f>SUMIFS('Livro Diario - FC'!$J$11:$J1032,'Livro Diario - FC'!$E$11:$E1032,$C12,'Livro Diario - FC'!$D$11:$D1032,"&gt;=01/04",'Livro Diario - FC'!$D$11:$D1032,"&lt;=30/04")</f>
        <v>0</v>
      </c>
      <c r="W12" s="569">
        <f>SUMIFS('Livro Diario - FC'!$L$11:$L1032,'Livro Diario - FC'!$E$11:$E1032,$C12,'Livro Diario - FC'!$D$11:$D1032,"&gt;=01/04",'Livro Diario - FC'!$D$11:$D1032,"&lt;=30/04")</f>
        <v>0</v>
      </c>
      <c r="X12" s="570" t="str">
        <f t="shared" si="32"/>
        <v/>
      </c>
      <c r="Y12" s="571" t="str">
        <f t="shared" si="33"/>
        <v/>
      </c>
      <c r="Z12" s="572"/>
      <c r="AA12" s="157"/>
      <c r="AB12" s="568">
        <f>SUMIFS('Livro Diario - FC'!$J$11:$J1032,'Livro Diario - FC'!$E$11:$E1032,$C12,'Livro Diario - FC'!$D$11:$D1032,"&gt;=01/05",'Livro Diario - FC'!$D$11:$D1032,"&lt;=31/05")</f>
        <v>0</v>
      </c>
      <c r="AC12" s="569">
        <f>SUMIFS('Livro Diario - FC'!$L$11:$L1032,'Livro Diario - FC'!$E$11:$E1032,$C12,'Livro Diario - FC'!$D$11:$D1032,"&gt;=01/05",'Livro Diario - FC'!$D$11:$D1032,"&lt;=31/05")</f>
        <v>0</v>
      </c>
      <c r="AD12" s="570" t="str">
        <f t="shared" si="34"/>
        <v/>
      </c>
      <c r="AE12" s="571" t="str">
        <f t="shared" si="35"/>
        <v/>
      </c>
      <c r="AF12" s="572"/>
      <c r="AG12" s="157"/>
      <c r="AH12" s="568">
        <f>SUMIFS('Livro Diario - FC'!$J$11:$J1032,'Livro Diario - FC'!$E$11:$E1032,$C12,'Livro Diario - FC'!$D$11:$D1032,"&gt;=01/06",'Livro Diario - FC'!$D$11:$D1032,"&lt;=30/06")</f>
        <v>0</v>
      </c>
      <c r="AI12" s="569">
        <f>SUMIFS('Livro Diario - FC'!$L$11:$L1032,'Livro Diario - FC'!$E$11:$E1032,$C12,'Livro Diario - FC'!$D$11:$D1032,"&gt;=01/06",'Livro Diario - FC'!$D$11:$D1032,"&lt;=30/06")</f>
        <v>0</v>
      </c>
      <c r="AJ12" s="570" t="str">
        <f t="shared" si="36"/>
        <v/>
      </c>
      <c r="AK12" s="571" t="str">
        <f t="shared" si="37"/>
        <v/>
      </c>
      <c r="AL12" s="572"/>
      <c r="AM12" s="157"/>
      <c r="AN12" s="568">
        <f>SUMIFS('Livro Diario - FC'!$J$11:$J1032,'Livro Diario - FC'!$E$11:$E1032,$C12,'Livro Diario - FC'!$D$11:$D1032,"&gt;=01/07",'Livro Diario - FC'!$D$11:$D1032,"&lt;=31/07")</f>
        <v>0</v>
      </c>
      <c r="AO12" s="569">
        <f>SUMIFS('Livro Diario - FC'!$L$11:$L1032,'Livro Diario - FC'!$E$11:$E1032,$C12,'Livro Diario - FC'!$D$11:$D1032,"&gt;=01/07",'Livro Diario - FC'!$D$11:$D1032,"&lt;=31/07")</f>
        <v>0</v>
      </c>
      <c r="AP12" s="570" t="str">
        <f t="shared" si="38"/>
        <v/>
      </c>
      <c r="AQ12" s="571" t="str">
        <f t="shared" si="39"/>
        <v/>
      </c>
      <c r="AR12" s="572"/>
      <c r="AS12" s="157"/>
      <c r="AT12" s="568">
        <f>SUMIFS('Livro Diario - FC'!$J$11:$J1032,'Livro Diario - FC'!$E$11:$E1032,$C12,'Livro Diario - FC'!$D$11:$D1032,"&gt;=01/08",'Livro Diario - FC'!$D$11:$D1032,"&lt;=31/08")</f>
        <v>0</v>
      </c>
      <c r="AU12" s="569">
        <f>SUMIFS('Livro Diario - FC'!$L$11:$L1032,'Livro Diario - FC'!$E$11:$E1032,$C12,'Livro Diario - FC'!$D$11:$D1032,"&gt;=01/08",'Livro Diario - FC'!$D$11:$D1032,"&lt;=31/08")</f>
        <v>0</v>
      </c>
      <c r="AV12" s="570" t="str">
        <f t="shared" si="40"/>
        <v/>
      </c>
      <c r="AW12" s="571" t="str">
        <f t="shared" si="41"/>
        <v/>
      </c>
      <c r="AX12" s="572"/>
      <c r="AY12" s="157"/>
      <c r="AZ12" s="568">
        <f>SUMIFS('Livro Diario - FC'!$J$11:$J1032,'Livro Diario - FC'!$E$11:$E1032,$C12,'Livro Diario - FC'!$D$11:$D1032,"&gt;=01/09",'Livro Diario - FC'!$D$11:$D1032,"&lt;=30/09")</f>
        <v>0</v>
      </c>
      <c r="BA12" s="569">
        <f>SUMIFS('Livro Diario - FC'!$L$11:$L1032,'Livro Diario - FC'!$E$11:$E1032,$C12,'Livro Diario - FC'!$D$11:$D1032,"&gt;=01/09",'Livro Diario - FC'!$D$11:$D1032,"&lt;=30/09")</f>
        <v>0</v>
      </c>
      <c r="BB12" s="570" t="str">
        <f t="shared" si="42"/>
        <v/>
      </c>
      <c r="BC12" s="571" t="str">
        <f t="shared" si="43"/>
        <v/>
      </c>
      <c r="BD12" s="572"/>
      <c r="BE12" s="157"/>
      <c r="BF12" s="568">
        <f>SUMIFS('Livro Diario - FC'!$J$11:$J1032,'Livro Diario - FC'!$E$11:$E1032,$C12,'Livro Diario - FC'!$D$11:$D1032,"&gt;=01/10",'Livro Diario - FC'!$D$11:$D1032,"&lt;=31/10")</f>
        <v>0</v>
      </c>
      <c r="BG12" s="569">
        <f>SUMIFS('Livro Diario - FC'!$L$11:$L1032,'Livro Diario - FC'!$E$11:$E1032,$C12,'Livro Diario - FC'!$D$11:$D1032,"&gt;=01/10",'Livro Diario - FC'!$D$11:$D1032,"&lt;=31/10")</f>
        <v>0</v>
      </c>
      <c r="BH12" s="570" t="str">
        <f t="shared" si="44"/>
        <v/>
      </c>
      <c r="BI12" s="571" t="str">
        <f t="shared" si="45"/>
        <v/>
      </c>
      <c r="BJ12" s="572"/>
      <c r="BK12" s="157"/>
      <c r="BL12" s="568">
        <f>SUMIFS('Livro Diario - FC'!$J$11:$J1032,'Livro Diario - FC'!$E$11:$E1032,$C12,'Livro Diario - FC'!$D$11:$D1032,"&gt;=01/11",'Livro Diario - FC'!$D$11:$D1032,"&lt;=30/11")</f>
        <v>0</v>
      </c>
      <c r="BM12" s="569">
        <f>SUMIFS('Livro Diario - FC'!$L$11:$L1032,'Livro Diario - FC'!$E$11:$E1032,$C12,'Livro Diario - FC'!$D$11:$D1032,"&gt;=01/11",'Livro Diario - FC'!$D$11:$D1032,"&lt;=30/11")</f>
        <v>0</v>
      </c>
      <c r="BN12" s="570" t="str">
        <f t="shared" si="46"/>
        <v/>
      </c>
      <c r="BO12" s="571" t="str">
        <f t="shared" si="47"/>
        <v/>
      </c>
      <c r="BP12" s="572"/>
      <c r="BQ12" s="157"/>
      <c r="BR12" s="568">
        <f>SUMIFS('Livro Diario - FC'!$J$11:$J1032,'Livro Diario - FC'!$E$11:$E1032,$C12,'Livro Diario - FC'!$D$11:$D1032,"&gt;=01/12",'Livro Diario - FC'!$D$11:$D1032,"&lt;=31/12")</f>
        <v>0</v>
      </c>
      <c r="BS12" s="569">
        <f>SUMIFS('Livro Diario - FC'!$L$11:$L1032,'Livro Diario - FC'!$E$11:$E1032,$C12,'Livro Diario - FC'!$D$11:$D1032,"&gt;=01/12",'Livro Diario - FC'!$D$11:$D1032,"&lt;=31/12")</f>
        <v>0</v>
      </c>
      <c r="BT12" s="570" t="str">
        <f t="shared" si="48"/>
        <v/>
      </c>
      <c r="BU12" s="571" t="str">
        <f t="shared" si="49"/>
        <v/>
      </c>
      <c r="BV12" s="572"/>
      <c r="BW12" s="157"/>
      <c r="BX12" s="573">
        <f t="shared" ref="BX12:BY12" si="56">SUM(D12,J12,P12,V12,AB12,AH12,AN12,AT12,AZ12,BF12,BL12,BR12)</f>
        <v>0</v>
      </c>
      <c r="BY12" s="268">
        <f t="shared" si="56"/>
        <v>0</v>
      </c>
      <c r="BZ12" s="574"/>
      <c r="CA12" s="192"/>
      <c r="CB12" s="270">
        <f>SUMIFS('Livro Diario - FC'!$L$11:$L1032,'Livro Diario - FC'!$E$11:$E1032,C12,'Livro Diario - FC'!$D$11:$D1032,"&gt;="&amp;$CD$6,'Livro Diario - FC'!$D$11:$D1032,"&lt;="&amp;$CD$7)</f>
        <v>0</v>
      </c>
      <c r="CC12" s="271"/>
      <c r="CD12" s="272"/>
    </row>
    <row r="13">
      <c r="A13" s="13"/>
      <c r="C13" s="300" t="s">
        <v>565</v>
      </c>
      <c r="D13" s="255">
        <f>SUMIFS('Livro Diario - FC'!$J$11:$J1032,'Livro Diario - FC'!$E$11:$E1032,$C13,'Livro Diario - FC'!$D$11:$D1032,"&gt;=01/01"&amp;$C$5,'Livro Diario - FC'!$D$11:$D1032,"&lt;=31/01"&amp;$C$5)</f>
        <v>0</v>
      </c>
      <c r="E13" s="256">
        <f>SUMIFS('Livro Diario - FC'!$L$11:$L1032,'Livro Diario - FC'!$E$11:$E1032,$C13,'Livro Diario - FC'!$D$11:$D1032,"&gt;=01/01"&amp;$C$5,'Livro Diario - FC'!$D$11:$D1032,"&lt;=31/01"&amp;$C$5)</f>
        <v>0</v>
      </c>
      <c r="F13" s="257" t="str">
        <f t="shared" si="26"/>
        <v/>
      </c>
      <c r="G13" s="258"/>
      <c r="H13" s="157"/>
      <c r="I13" s="157"/>
      <c r="J13" s="561">
        <f>SUMIFS('Livro Diario - FC'!$J$11:$J1032,'Livro Diario - FC'!$E$11:$E1032,$C13,'Livro Diario - FC'!$D$11:$D1032,"&gt;=01/02"&amp;$C$5,'Livro Diario - FC'!$D$11:$D1032,"&lt;=29/02"&amp;$C$5)</f>
        <v>0</v>
      </c>
      <c r="K13" s="562">
        <f>SUMIFS('Livro Diario - FC'!$L$11:$L1032,'Livro Diario - FC'!$E$11:$E1032,$C13,'Livro Diario - FC'!$D$11:$D1032,"&gt;=01/02"&amp;$C$5,'Livro Diario - FC'!$D$11:$D1032,"&lt;=29/02"&amp;$C$5)</f>
        <v>0</v>
      </c>
      <c r="L13" s="563" t="str">
        <f t="shared" si="28"/>
        <v/>
      </c>
      <c r="M13" s="564"/>
      <c r="N13" s="565"/>
      <c r="O13" s="157"/>
      <c r="P13" s="561">
        <f>SUMIFS('Livro Diario - FC'!$J$11:$J1032,'Livro Diario - FC'!$E$11:$E1032,$C13,'Livro Diario - FC'!$D$11:$D1032,"&gt;=01/03",'Livro Diario - FC'!$D$11:$D1032,"&lt;=31/03")</f>
        <v>0</v>
      </c>
      <c r="Q13" s="562">
        <f>SUMIFS('Livro Diario - FC'!$L$11:$L1032,'Livro Diario - FC'!$E$11:$E1032,$C13,'Livro Diario - FC'!$D$11:$D1032,"&gt;=01/03",'Livro Diario - FC'!$D$11:$D1032,"&lt;=31/03")</f>
        <v>0</v>
      </c>
      <c r="R13" s="563" t="str">
        <f t="shared" si="30"/>
        <v/>
      </c>
      <c r="S13" s="564"/>
      <c r="T13" s="565"/>
      <c r="U13" s="157"/>
      <c r="V13" s="561">
        <f>SUMIFS('Livro Diario - FC'!$J$11:$J1032,'Livro Diario - FC'!$E$11:$E1032,$C13,'Livro Diario - FC'!$D$11:$D1032,"&gt;=01/04",'Livro Diario - FC'!$D$11:$D1032,"&lt;=30/04")</f>
        <v>0</v>
      </c>
      <c r="W13" s="562">
        <f>SUMIFS('Livro Diario - FC'!$L$11:$L1032,'Livro Diario - FC'!$E$11:$E1032,$C13,'Livro Diario - FC'!$D$11:$D1032,"&gt;=01/04",'Livro Diario - FC'!$D$11:$D1032,"&lt;=30/04")</f>
        <v>0</v>
      </c>
      <c r="X13" s="563" t="str">
        <f t="shared" si="32"/>
        <v/>
      </c>
      <c r="Y13" s="564"/>
      <c r="Z13" s="565"/>
      <c r="AA13" s="157"/>
      <c r="AB13" s="561">
        <f>SUMIFS('Livro Diario - FC'!$J$11:$J1032,'Livro Diario - FC'!$E$11:$E1032,$C13,'Livro Diario - FC'!$D$11:$D1032,"&gt;=01/05",'Livro Diario - FC'!$D$11:$D1032,"&lt;=31/05")</f>
        <v>0</v>
      </c>
      <c r="AC13" s="562">
        <f>SUMIFS('Livro Diario - FC'!$L$11:$L1032,'Livro Diario - FC'!$E$11:$E1032,$C13,'Livro Diario - FC'!$D$11:$D1032,"&gt;=01/05",'Livro Diario - FC'!$D$11:$D1032,"&lt;=31/05")</f>
        <v>0</v>
      </c>
      <c r="AD13" s="563" t="str">
        <f t="shared" si="34"/>
        <v/>
      </c>
      <c r="AE13" s="564"/>
      <c r="AF13" s="565"/>
      <c r="AG13" s="157"/>
      <c r="AH13" s="561">
        <f>SUMIFS('Livro Diario - FC'!$J$11:$J1032,'Livro Diario - FC'!$E$11:$E1032,$C13,'Livro Diario - FC'!$D$11:$D1032,"&gt;=01/06",'Livro Diario - FC'!$D$11:$D1032,"&lt;=30/06")</f>
        <v>0</v>
      </c>
      <c r="AI13" s="562">
        <f>SUMIFS('Livro Diario - FC'!$L$11:$L1032,'Livro Diario - FC'!$E$11:$E1032,$C13,'Livro Diario - FC'!$D$11:$D1032,"&gt;=01/06",'Livro Diario - FC'!$D$11:$D1032,"&lt;=30/06")</f>
        <v>0</v>
      </c>
      <c r="AJ13" s="563" t="str">
        <f t="shared" si="36"/>
        <v/>
      </c>
      <c r="AK13" s="564"/>
      <c r="AL13" s="565"/>
      <c r="AM13" s="157"/>
      <c r="AN13" s="561">
        <f>SUMIFS('Livro Diario - FC'!$J$11:$J1032,'Livro Diario - FC'!$E$11:$E1032,$C13,'Livro Diario - FC'!$D$11:$D1032,"&gt;=01/07",'Livro Diario - FC'!$D$11:$D1032,"&lt;=31/07")</f>
        <v>0</v>
      </c>
      <c r="AO13" s="562">
        <f>SUMIFS('Livro Diario - FC'!$L$11:$L1032,'Livro Diario - FC'!$E$11:$E1032,$C13,'Livro Diario - FC'!$D$11:$D1032,"&gt;=01/07",'Livro Diario - FC'!$D$11:$D1032,"&lt;=31/07")</f>
        <v>0</v>
      </c>
      <c r="AP13" s="563" t="str">
        <f t="shared" si="38"/>
        <v/>
      </c>
      <c r="AQ13" s="564"/>
      <c r="AR13" s="565"/>
      <c r="AS13" s="157"/>
      <c r="AT13" s="561">
        <f>SUMIFS('Livro Diario - FC'!$J$11:$J1032,'Livro Diario - FC'!$E$11:$E1032,$C13,'Livro Diario - FC'!$D$11:$D1032,"&gt;=01/08",'Livro Diario - FC'!$D$11:$D1032,"&lt;=31/08")</f>
        <v>0</v>
      </c>
      <c r="AU13" s="562">
        <f>SUMIFS('Livro Diario - FC'!$L$11:$L1032,'Livro Diario - FC'!$E$11:$E1032,$C13,'Livro Diario - FC'!$D$11:$D1032,"&gt;=01/08",'Livro Diario - FC'!$D$11:$D1032,"&lt;=31/08")</f>
        <v>0</v>
      </c>
      <c r="AV13" s="563" t="str">
        <f t="shared" si="40"/>
        <v/>
      </c>
      <c r="AW13" s="564"/>
      <c r="AX13" s="565"/>
      <c r="AY13" s="157"/>
      <c r="AZ13" s="561">
        <f>SUMIFS('Livro Diario - FC'!$J$11:$J1032,'Livro Diario - FC'!$E$11:$E1032,$C13,'Livro Diario - FC'!$D$11:$D1032,"&gt;=01/09",'Livro Diario - FC'!$D$11:$D1032,"&lt;=30/09")</f>
        <v>0</v>
      </c>
      <c r="BA13" s="562">
        <f>SUMIFS('Livro Diario - FC'!$L$11:$L1032,'Livro Diario - FC'!$E$11:$E1032,$C13,'Livro Diario - FC'!$D$11:$D1032,"&gt;=01/09",'Livro Diario - FC'!$D$11:$D1032,"&lt;=30/09")</f>
        <v>0</v>
      </c>
      <c r="BB13" s="563" t="str">
        <f t="shared" si="42"/>
        <v/>
      </c>
      <c r="BC13" s="564"/>
      <c r="BD13" s="565"/>
      <c r="BE13" s="157"/>
      <c r="BF13" s="561">
        <f>SUMIFS('Livro Diario - FC'!$J$11:$J1032,'Livro Diario - FC'!$E$11:$E1032,$C13,'Livro Diario - FC'!$D$11:$D1032,"&gt;=01/10",'Livro Diario - FC'!$D$11:$D1032,"&lt;=31/10")</f>
        <v>0</v>
      </c>
      <c r="BG13" s="562">
        <f>SUMIFS('Livro Diario - FC'!$L$11:$L1032,'Livro Diario - FC'!$E$11:$E1032,$C13,'Livro Diario - FC'!$D$11:$D1032,"&gt;=01/10",'Livro Diario - FC'!$D$11:$D1032,"&lt;=31/10")</f>
        <v>0</v>
      </c>
      <c r="BH13" s="563" t="str">
        <f t="shared" si="44"/>
        <v/>
      </c>
      <c r="BI13" s="564"/>
      <c r="BJ13" s="565"/>
      <c r="BK13" s="157"/>
      <c r="BL13" s="561">
        <f>SUMIFS('Livro Diario - FC'!$J$11:$J1032,'Livro Diario - FC'!$E$11:$E1032,$C13,'Livro Diario - FC'!$D$11:$D1032,"&gt;=01/11",'Livro Diario - FC'!$D$11:$D1032,"&lt;=30/11")</f>
        <v>0</v>
      </c>
      <c r="BM13" s="562">
        <f>SUMIFS('Livro Diario - FC'!$L$11:$L1032,'Livro Diario - FC'!$E$11:$E1032,$C13,'Livro Diario - FC'!$D$11:$D1032,"&gt;=01/11",'Livro Diario - FC'!$D$11:$D1032,"&lt;=30/11")</f>
        <v>0</v>
      </c>
      <c r="BN13" s="563" t="str">
        <f t="shared" si="46"/>
        <v/>
      </c>
      <c r="BO13" s="564"/>
      <c r="BP13" s="565"/>
      <c r="BQ13" s="157"/>
      <c r="BR13" s="561">
        <f>SUMIFS('Livro Diario - FC'!$J$11:$J1032,'Livro Diario - FC'!$E$11:$E1032,$C13,'Livro Diario - FC'!$D$11:$D1032,"&gt;=01/12",'Livro Diario - FC'!$D$11:$D1032,"&lt;=31/12")</f>
        <v>0</v>
      </c>
      <c r="BS13" s="562">
        <f>SUMIFS('Livro Diario - FC'!$L$11:$L1032,'Livro Diario - FC'!$E$11:$E1032,$C13,'Livro Diario - FC'!$D$11:$D1032,"&gt;=01/12",'Livro Diario - FC'!$D$11:$D1032,"&lt;=31/12")</f>
        <v>0</v>
      </c>
      <c r="BT13" s="563" t="str">
        <f t="shared" si="48"/>
        <v/>
      </c>
      <c r="BU13" s="564"/>
      <c r="BV13" s="565"/>
      <c r="BW13" s="157"/>
      <c r="BX13" s="573">
        <f t="shared" ref="BX13:BY13" si="57">SUM(D13,J13,P13,V13,AB13,AH13,AN13,AT13,AZ13,BF13,BL13,BR13)</f>
        <v>0</v>
      </c>
      <c r="BY13" s="268">
        <f t="shared" si="57"/>
        <v>0</v>
      </c>
      <c r="BZ13" s="574"/>
      <c r="CA13" s="192"/>
      <c r="CB13" s="270">
        <f>SUMIFS('Livro Diario - FC'!$L$11:$L1032,'Livro Diario - FC'!$E$11:$E1032,C13,'Livro Diario - FC'!$D$11:$D1032,"&gt;="&amp;$CD$6,'Livro Diario - FC'!$D$11:$D1032,"&lt;="&amp;$CD$7)</f>
        <v>0</v>
      </c>
      <c r="CC13" s="271"/>
      <c r="CD13" s="272"/>
    </row>
    <row r="14">
      <c r="A14" s="13"/>
      <c r="C14" s="300" t="s">
        <v>566</v>
      </c>
      <c r="D14" s="255">
        <f>SUMIFS('Livro Diario - FC'!$J$11:$J1032,'Livro Diario - FC'!$E$11:$E1032,$C14,'Livro Diario - FC'!$D$11:$D1032,"&gt;=01/01"&amp;$C$5,'Livro Diario - FC'!$D$11:$D1032,"&lt;=31/01"&amp;$C$5)</f>
        <v>0</v>
      </c>
      <c r="E14" s="256">
        <f>SUMIFS('Livro Diario - FC'!$L$11:$L1032,'Livro Diario - FC'!$E$11:$E1032,$C14,'Livro Diario - FC'!$D$11:$D1032,"&gt;=01/01"&amp;$C$5,'Livro Diario - FC'!$D$11:$D1032,"&lt;=31/01"&amp;$C$5)</f>
        <v>0</v>
      </c>
      <c r="F14" s="257" t="str">
        <f t="shared" si="26"/>
        <v/>
      </c>
      <c r="G14" s="258"/>
      <c r="H14" s="157"/>
      <c r="I14" s="157"/>
      <c r="J14" s="568">
        <f>SUMIFS('Livro Diario - FC'!$J$11:$J1032,'Livro Diario - FC'!$E$11:$E1032,$C14,'Livro Diario - FC'!$D$11:$D1032,"&gt;=01/02"&amp;$C$5,'Livro Diario - FC'!$D$11:$D1032,"&lt;=29/02"&amp;$C$5)</f>
        <v>0</v>
      </c>
      <c r="K14" s="569">
        <f>SUMIFS('Livro Diario - FC'!$L$11:$L1032,'Livro Diario - FC'!$E$11:$E1032,$C14,'Livro Diario - FC'!$D$11:$D1032,"&gt;=01/02"&amp;$C$5,'Livro Diario - FC'!$D$11:$D1032,"&lt;=29/02"&amp;$C$5)</f>
        <v>0</v>
      </c>
      <c r="L14" s="570" t="str">
        <f t="shared" si="28"/>
        <v/>
      </c>
      <c r="M14" s="571"/>
      <c r="N14" s="572"/>
      <c r="O14" s="157"/>
      <c r="P14" s="568">
        <f>SUMIFS('Livro Diario - FC'!$J$11:$J1032,'Livro Diario - FC'!$E$11:$E1032,$C14,'Livro Diario - FC'!$D$11:$D1032,"&gt;=01/03",'Livro Diario - FC'!$D$11:$D1032,"&lt;=31/03")</f>
        <v>0</v>
      </c>
      <c r="Q14" s="569">
        <f>SUMIFS('Livro Diario - FC'!$L$11:$L1032,'Livro Diario - FC'!$E$11:$E1032,$C14,'Livro Diario - FC'!$D$11:$D1032,"&gt;=01/03",'Livro Diario - FC'!$D$11:$D1032,"&lt;=31/03")</f>
        <v>0</v>
      </c>
      <c r="R14" s="570" t="str">
        <f t="shared" si="30"/>
        <v/>
      </c>
      <c r="S14" s="571"/>
      <c r="T14" s="572"/>
      <c r="U14" s="157"/>
      <c r="V14" s="568">
        <f>SUMIFS('Livro Diario - FC'!$J$11:$J1032,'Livro Diario - FC'!$E$11:$E1032,$C14,'Livro Diario - FC'!$D$11:$D1032,"&gt;=01/04",'Livro Diario - FC'!$D$11:$D1032,"&lt;=30/04")</f>
        <v>0</v>
      </c>
      <c r="W14" s="569">
        <f>SUMIFS('Livro Diario - FC'!$L$11:$L1032,'Livro Diario - FC'!$E$11:$E1032,$C14,'Livro Diario - FC'!$D$11:$D1032,"&gt;=01/04",'Livro Diario - FC'!$D$11:$D1032,"&lt;=30/04")</f>
        <v>0</v>
      </c>
      <c r="X14" s="570" t="str">
        <f t="shared" si="32"/>
        <v/>
      </c>
      <c r="Y14" s="571"/>
      <c r="Z14" s="572"/>
      <c r="AA14" s="157"/>
      <c r="AB14" s="568">
        <f>SUMIFS('Livro Diario - FC'!$J$11:$J1032,'Livro Diario - FC'!$E$11:$E1032,$C14,'Livro Diario - FC'!$D$11:$D1032,"&gt;=01/05",'Livro Diario - FC'!$D$11:$D1032,"&lt;=31/05")</f>
        <v>0</v>
      </c>
      <c r="AC14" s="569">
        <f>SUMIFS('Livro Diario - FC'!$L$11:$L1032,'Livro Diario - FC'!$E$11:$E1032,$C14,'Livro Diario - FC'!$D$11:$D1032,"&gt;=01/05",'Livro Diario - FC'!$D$11:$D1032,"&lt;=31/05")</f>
        <v>0</v>
      </c>
      <c r="AD14" s="570" t="str">
        <f t="shared" si="34"/>
        <v/>
      </c>
      <c r="AE14" s="571"/>
      <c r="AF14" s="572"/>
      <c r="AG14" s="157"/>
      <c r="AH14" s="568">
        <f>SUMIFS('Livro Diario - FC'!$J$11:$J1032,'Livro Diario - FC'!$E$11:$E1032,$C14,'Livro Diario - FC'!$D$11:$D1032,"&gt;=01/06",'Livro Diario - FC'!$D$11:$D1032,"&lt;=30/06")</f>
        <v>0</v>
      </c>
      <c r="AI14" s="569">
        <f>SUMIFS('Livro Diario - FC'!$L$11:$L1032,'Livro Diario - FC'!$E$11:$E1032,$C14,'Livro Diario - FC'!$D$11:$D1032,"&gt;=01/06",'Livro Diario - FC'!$D$11:$D1032,"&lt;=30/06")</f>
        <v>0</v>
      </c>
      <c r="AJ14" s="570" t="str">
        <f t="shared" si="36"/>
        <v/>
      </c>
      <c r="AK14" s="571"/>
      <c r="AL14" s="572"/>
      <c r="AM14" s="157"/>
      <c r="AN14" s="568">
        <f>SUMIFS('Livro Diario - FC'!$J$11:$J1032,'Livro Diario - FC'!$E$11:$E1032,$C14,'Livro Diario - FC'!$D$11:$D1032,"&gt;=01/07",'Livro Diario - FC'!$D$11:$D1032,"&lt;=31/07")</f>
        <v>0</v>
      </c>
      <c r="AO14" s="569">
        <f>SUMIFS('Livro Diario - FC'!$L$11:$L1032,'Livro Diario - FC'!$E$11:$E1032,$C14,'Livro Diario - FC'!$D$11:$D1032,"&gt;=01/07",'Livro Diario - FC'!$D$11:$D1032,"&lt;=31/07")</f>
        <v>0</v>
      </c>
      <c r="AP14" s="570" t="str">
        <f t="shared" si="38"/>
        <v/>
      </c>
      <c r="AQ14" s="571"/>
      <c r="AR14" s="572"/>
      <c r="AS14" s="157"/>
      <c r="AT14" s="568">
        <f>SUMIFS('Livro Diario - FC'!$J$11:$J1032,'Livro Diario - FC'!$E$11:$E1032,$C14,'Livro Diario - FC'!$D$11:$D1032,"&gt;=01/08",'Livro Diario - FC'!$D$11:$D1032,"&lt;=31/08")</f>
        <v>0</v>
      </c>
      <c r="AU14" s="569">
        <f>SUMIFS('Livro Diario - FC'!$L$11:$L1032,'Livro Diario - FC'!$E$11:$E1032,$C14,'Livro Diario - FC'!$D$11:$D1032,"&gt;=01/08",'Livro Diario - FC'!$D$11:$D1032,"&lt;=31/08")</f>
        <v>0</v>
      </c>
      <c r="AV14" s="570" t="str">
        <f t="shared" si="40"/>
        <v/>
      </c>
      <c r="AW14" s="571"/>
      <c r="AX14" s="572"/>
      <c r="AY14" s="157"/>
      <c r="AZ14" s="568">
        <f>SUMIFS('Livro Diario - FC'!$J$11:$J1032,'Livro Diario - FC'!$E$11:$E1032,$C14,'Livro Diario - FC'!$D$11:$D1032,"&gt;=01/09",'Livro Diario - FC'!$D$11:$D1032,"&lt;=30/09")</f>
        <v>0</v>
      </c>
      <c r="BA14" s="569">
        <f>SUMIFS('Livro Diario - FC'!$L$11:$L1032,'Livro Diario - FC'!$E$11:$E1032,$C14,'Livro Diario - FC'!$D$11:$D1032,"&gt;=01/09",'Livro Diario - FC'!$D$11:$D1032,"&lt;=30/09")</f>
        <v>0</v>
      </c>
      <c r="BB14" s="570" t="str">
        <f t="shared" si="42"/>
        <v/>
      </c>
      <c r="BC14" s="571"/>
      <c r="BD14" s="572"/>
      <c r="BE14" s="157"/>
      <c r="BF14" s="568">
        <f>SUMIFS('Livro Diario - FC'!$J$11:$J1032,'Livro Diario - FC'!$E$11:$E1032,$C14,'Livro Diario - FC'!$D$11:$D1032,"&gt;=01/10",'Livro Diario - FC'!$D$11:$D1032,"&lt;=31/10")</f>
        <v>0</v>
      </c>
      <c r="BG14" s="569">
        <f>SUMIFS('Livro Diario - FC'!$L$11:$L1032,'Livro Diario - FC'!$E$11:$E1032,$C14,'Livro Diario - FC'!$D$11:$D1032,"&gt;=01/10",'Livro Diario - FC'!$D$11:$D1032,"&lt;=31/10")</f>
        <v>0</v>
      </c>
      <c r="BH14" s="570" t="str">
        <f t="shared" si="44"/>
        <v/>
      </c>
      <c r="BI14" s="571"/>
      <c r="BJ14" s="572"/>
      <c r="BK14" s="157"/>
      <c r="BL14" s="568">
        <f>SUMIFS('Livro Diario - FC'!$J$11:$J1032,'Livro Diario - FC'!$E$11:$E1032,$C14,'Livro Diario - FC'!$D$11:$D1032,"&gt;=01/11",'Livro Diario - FC'!$D$11:$D1032,"&lt;=30/11")</f>
        <v>0</v>
      </c>
      <c r="BM14" s="569">
        <f>SUMIFS('Livro Diario - FC'!$L$11:$L1032,'Livro Diario - FC'!$E$11:$E1032,$C14,'Livro Diario - FC'!$D$11:$D1032,"&gt;=01/11",'Livro Diario - FC'!$D$11:$D1032,"&lt;=30/11")</f>
        <v>0</v>
      </c>
      <c r="BN14" s="570" t="str">
        <f t="shared" si="46"/>
        <v/>
      </c>
      <c r="BO14" s="571"/>
      <c r="BP14" s="572"/>
      <c r="BQ14" s="157"/>
      <c r="BR14" s="568">
        <f>SUMIFS('Livro Diario - FC'!$J$11:$J1032,'Livro Diario - FC'!$E$11:$E1032,$C14,'Livro Diario - FC'!$D$11:$D1032,"&gt;=01/12",'Livro Diario - FC'!$D$11:$D1032,"&lt;=31/12")</f>
        <v>0</v>
      </c>
      <c r="BS14" s="569">
        <f>SUMIFS('Livro Diario - FC'!$L$11:$L1032,'Livro Diario - FC'!$E$11:$E1032,$C14,'Livro Diario - FC'!$D$11:$D1032,"&gt;=01/12",'Livro Diario - FC'!$D$11:$D1032,"&lt;=31/12")</f>
        <v>0</v>
      </c>
      <c r="BT14" s="570" t="str">
        <f t="shared" si="48"/>
        <v/>
      </c>
      <c r="BU14" s="571"/>
      <c r="BV14" s="572"/>
      <c r="BW14" s="157"/>
      <c r="BX14" s="573">
        <f t="shared" ref="BX14:BY14" si="58">SUM(D14,J14,P14,V14,AB14,AH14,AN14,AT14,AZ14,BF14,BL14,BR14)</f>
        <v>0</v>
      </c>
      <c r="BY14" s="268">
        <f t="shared" si="58"/>
        <v>0</v>
      </c>
      <c r="BZ14" s="574"/>
      <c r="CA14" s="192"/>
      <c r="CB14" s="270">
        <f>SUMIFS('Livro Diario - FC'!$L$11:$L1032,'Livro Diario - FC'!$E$11:$E1032,C14,'Livro Diario - FC'!$D$11:$D1032,"&gt;="&amp;$CD$6,'Livro Diario - FC'!$D$11:$D1032,"&lt;="&amp;$CD$7)</f>
        <v>0</v>
      </c>
      <c r="CC14" s="271"/>
      <c r="CD14" s="272"/>
    </row>
    <row r="15">
      <c r="A15" s="13"/>
      <c r="C15" s="300" t="s">
        <v>567</v>
      </c>
      <c r="D15" s="255">
        <f>SUMIFS('Livro Diario - FC'!$J$11:$J1032,'Livro Diario - FC'!$E$11:$E1032,$C15,'Livro Diario - FC'!$D$11:$D1032,"&gt;=01/01"&amp;$C$5,'Livro Diario - FC'!$D$11:$D1032,"&lt;=31/01"&amp;$C$5)</f>
        <v>0</v>
      </c>
      <c r="E15" s="256">
        <f>SUMIFS('Livro Diario - FC'!$L$11:$L1032,'Livro Diario - FC'!$E$11:$E1032,$C15,'Livro Diario - FC'!$D$11:$D1032,"&gt;=01/01"&amp;$C$5,'Livro Diario - FC'!$D$11:$D1032,"&lt;=31/01"&amp;$C$5)</f>
        <v>0</v>
      </c>
      <c r="F15" s="257" t="str">
        <f t="shared" si="26"/>
        <v/>
      </c>
      <c r="G15" s="258"/>
      <c r="H15" s="157"/>
      <c r="I15" s="157"/>
      <c r="J15" s="561">
        <f>SUMIFS('Livro Diario - FC'!$J$11:$J1032,'Livro Diario - FC'!$E$11:$E1032,$C15,'Livro Diario - FC'!$D$11:$D1032,"&gt;=01/02"&amp;$C$5,'Livro Diario - FC'!$D$11:$D1032,"&lt;=29/02"&amp;$C$5)</f>
        <v>0</v>
      </c>
      <c r="K15" s="562">
        <f>SUMIFS('Livro Diario - FC'!$L$11:$L1032,'Livro Diario - FC'!$E$11:$E1032,$C15,'Livro Diario - FC'!$D$11:$D1032,"&gt;=01/02"&amp;$C$5,'Livro Diario - FC'!$D$11:$D1032,"&lt;=29/02"&amp;$C$5)</f>
        <v>0</v>
      </c>
      <c r="L15" s="563" t="str">
        <f t="shared" si="28"/>
        <v/>
      </c>
      <c r="M15" s="564"/>
      <c r="N15" s="565"/>
      <c r="O15" s="157"/>
      <c r="P15" s="561">
        <f>SUMIFS('Livro Diario - FC'!$J$11:$J1032,'Livro Diario - FC'!$E$11:$E1032,$C15,'Livro Diario - FC'!$D$11:$D1032,"&gt;=01/03",'Livro Diario - FC'!$D$11:$D1032,"&lt;=31/03")</f>
        <v>0</v>
      </c>
      <c r="Q15" s="562">
        <f>SUMIFS('Livro Diario - FC'!$L$11:$L1032,'Livro Diario - FC'!$E$11:$E1032,$C15,'Livro Diario - FC'!$D$11:$D1032,"&gt;=01/03",'Livro Diario - FC'!$D$11:$D1032,"&lt;=31/03")</f>
        <v>0</v>
      </c>
      <c r="R15" s="563" t="str">
        <f t="shared" si="30"/>
        <v/>
      </c>
      <c r="S15" s="564"/>
      <c r="T15" s="565"/>
      <c r="U15" s="157"/>
      <c r="V15" s="561">
        <f>SUMIFS('Livro Diario - FC'!$J$11:$J1032,'Livro Diario - FC'!$E$11:$E1032,$C15,'Livro Diario - FC'!$D$11:$D1032,"&gt;=01/04",'Livro Diario - FC'!$D$11:$D1032,"&lt;=30/04")</f>
        <v>0</v>
      </c>
      <c r="W15" s="562">
        <f>SUMIFS('Livro Diario - FC'!$L$11:$L1032,'Livro Diario - FC'!$E$11:$E1032,$C15,'Livro Diario - FC'!$D$11:$D1032,"&gt;=01/04",'Livro Diario - FC'!$D$11:$D1032,"&lt;=30/04")</f>
        <v>0</v>
      </c>
      <c r="X15" s="563" t="str">
        <f t="shared" si="32"/>
        <v/>
      </c>
      <c r="Y15" s="564"/>
      <c r="Z15" s="565"/>
      <c r="AA15" s="157"/>
      <c r="AB15" s="561">
        <f>SUMIFS('Livro Diario - FC'!$J$11:$J1032,'Livro Diario - FC'!$E$11:$E1032,$C15,'Livro Diario - FC'!$D$11:$D1032,"&gt;=01/05",'Livro Diario - FC'!$D$11:$D1032,"&lt;=31/05")</f>
        <v>0</v>
      </c>
      <c r="AC15" s="562">
        <f>SUMIFS('Livro Diario - FC'!$L$11:$L1032,'Livro Diario - FC'!$E$11:$E1032,$C15,'Livro Diario - FC'!$D$11:$D1032,"&gt;=01/05",'Livro Diario - FC'!$D$11:$D1032,"&lt;=31/05")</f>
        <v>0</v>
      </c>
      <c r="AD15" s="563" t="str">
        <f t="shared" si="34"/>
        <v/>
      </c>
      <c r="AE15" s="564"/>
      <c r="AF15" s="565"/>
      <c r="AG15" s="157"/>
      <c r="AH15" s="561">
        <f>SUMIFS('Livro Diario - FC'!$J$11:$J1032,'Livro Diario - FC'!$E$11:$E1032,$C15,'Livro Diario - FC'!$D$11:$D1032,"&gt;=01/06",'Livro Diario - FC'!$D$11:$D1032,"&lt;=30/06")</f>
        <v>0</v>
      </c>
      <c r="AI15" s="562">
        <f>SUMIFS('Livro Diario - FC'!$L$11:$L1032,'Livro Diario - FC'!$E$11:$E1032,$C15,'Livro Diario - FC'!$D$11:$D1032,"&gt;=01/06",'Livro Diario - FC'!$D$11:$D1032,"&lt;=30/06")</f>
        <v>0</v>
      </c>
      <c r="AJ15" s="563" t="str">
        <f t="shared" si="36"/>
        <v/>
      </c>
      <c r="AK15" s="564"/>
      <c r="AL15" s="565"/>
      <c r="AM15" s="157"/>
      <c r="AN15" s="561">
        <f>SUMIFS('Livro Diario - FC'!$J$11:$J1032,'Livro Diario - FC'!$E$11:$E1032,$C15,'Livro Diario - FC'!$D$11:$D1032,"&gt;=01/07",'Livro Diario - FC'!$D$11:$D1032,"&lt;=31/07")</f>
        <v>0</v>
      </c>
      <c r="AO15" s="562">
        <f>SUMIFS('Livro Diario - FC'!$L$11:$L1032,'Livro Diario - FC'!$E$11:$E1032,$C15,'Livro Diario - FC'!$D$11:$D1032,"&gt;=01/07",'Livro Diario - FC'!$D$11:$D1032,"&lt;=31/07")</f>
        <v>0</v>
      </c>
      <c r="AP15" s="563" t="str">
        <f t="shared" si="38"/>
        <v/>
      </c>
      <c r="AQ15" s="564"/>
      <c r="AR15" s="565"/>
      <c r="AS15" s="157"/>
      <c r="AT15" s="561">
        <f>SUMIFS('Livro Diario - FC'!$J$11:$J1032,'Livro Diario - FC'!$E$11:$E1032,$C15,'Livro Diario - FC'!$D$11:$D1032,"&gt;=01/08",'Livro Diario - FC'!$D$11:$D1032,"&lt;=31/08")</f>
        <v>0</v>
      </c>
      <c r="AU15" s="562">
        <f>SUMIFS('Livro Diario - FC'!$L$11:$L1032,'Livro Diario - FC'!$E$11:$E1032,$C15,'Livro Diario - FC'!$D$11:$D1032,"&gt;=01/08",'Livro Diario - FC'!$D$11:$D1032,"&lt;=31/08")</f>
        <v>0</v>
      </c>
      <c r="AV15" s="563" t="str">
        <f t="shared" si="40"/>
        <v/>
      </c>
      <c r="AW15" s="564"/>
      <c r="AX15" s="565"/>
      <c r="AY15" s="157"/>
      <c r="AZ15" s="561">
        <f>SUMIFS('Livro Diario - FC'!$J$11:$J1032,'Livro Diario - FC'!$E$11:$E1032,$C15,'Livro Diario - FC'!$D$11:$D1032,"&gt;=01/09",'Livro Diario - FC'!$D$11:$D1032,"&lt;=30/09")</f>
        <v>0</v>
      </c>
      <c r="BA15" s="562">
        <f>SUMIFS('Livro Diario - FC'!$L$11:$L1032,'Livro Diario - FC'!$E$11:$E1032,$C15,'Livro Diario - FC'!$D$11:$D1032,"&gt;=01/09",'Livro Diario - FC'!$D$11:$D1032,"&lt;=30/09")</f>
        <v>0</v>
      </c>
      <c r="BB15" s="563" t="str">
        <f t="shared" si="42"/>
        <v/>
      </c>
      <c r="BC15" s="564"/>
      <c r="BD15" s="565"/>
      <c r="BE15" s="157"/>
      <c r="BF15" s="561">
        <f>SUMIFS('Livro Diario - FC'!$J$11:$J1032,'Livro Diario - FC'!$E$11:$E1032,$C15,'Livro Diario - FC'!$D$11:$D1032,"&gt;=01/10",'Livro Diario - FC'!$D$11:$D1032,"&lt;=31/10")</f>
        <v>0</v>
      </c>
      <c r="BG15" s="562">
        <f>SUMIFS('Livro Diario - FC'!$L$11:$L1032,'Livro Diario - FC'!$E$11:$E1032,$C15,'Livro Diario - FC'!$D$11:$D1032,"&gt;=01/10",'Livro Diario - FC'!$D$11:$D1032,"&lt;=31/10")</f>
        <v>0</v>
      </c>
      <c r="BH15" s="563" t="str">
        <f t="shared" si="44"/>
        <v/>
      </c>
      <c r="BI15" s="564"/>
      <c r="BJ15" s="565"/>
      <c r="BK15" s="157"/>
      <c r="BL15" s="561">
        <f>SUMIFS('Livro Diario - FC'!$J$11:$J1032,'Livro Diario - FC'!$E$11:$E1032,$C15,'Livro Diario - FC'!$D$11:$D1032,"&gt;=01/11",'Livro Diario - FC'!$D$11:$D1032,"&lt;=30/11")</f>
        <v>0</v>
      </c>
      <c r="BM15" s="562">
        <f>SUMIFS('Livro Diario - FC'!$L$11:$L1032,'Livro Diario - FC'!$E$11:$E1032,$C15,'Livro Diario - FC'!$D$11:$D1032,"&gt;=01/11",'Livro Diario - FC'!$D$11:$D1032,"&lt;=30/11")</f>
        <v>0</v>
      </c>
      <c r="BN15" s="563" t="str">
        <f t="shared" si="46"/>
        <v/>
      </c>
      <c r="BO15" s="564"/>
      <c r="BP15" s="565"/>
      <c r="BQ15" s="157"/>
      <c r="BR15" s="561">
        <f>SUMIFS('Livro Diario - FC'!$J$11:$J1032,'Livro Diario - FC'!$E$11:$E1032,$C15,'Livro Diario - FC'!$D$11:$D1032,"&gt;=01/12",'Livro Diario - FC'!$D$11:$D1032,"&lt;=31/12")</f>
        <v>0</v>
      </c>
      <c r="BS15" s="562">
        <f>SUMIFS('Livro Diario - FC'!$L$11:$L1032,'Livro Diario - FC'!$E$11:$E1032,$C15,'Livro Diario - FC'!$D$11:$D1032,"&gt;=01/12",'Livro Diario - FC'!$D$11:$D1032,"&lt;=31/12")</f>
        <v>0</v>
      </c>
      <c r="BT15" s="563" t="str">
        <f t="shared" si="48"/>
        <v/>
      </c>
      <c r="BU15" s="564"/>
      <c r="BV15" s="565"/>
      <c r="BW15" s="157"/>
      <c r="BX15" s="573">
        <f t="shared" ref="BX15:BY15" si="59">SUM(D15,J15,P15,V15,AB15,AH15,AN15,AT15,AZ15,BF15,BL15,BR15)</f>
        <v>0</v>
      </c>
      <c r="BY15" s="268">
        <f t="shared" si="59"/>
        <v>0</v>
      </c>
      <c r="BZ15" s="574"/>
      <c r="CA15" s="192"/>
      <c r="CB15" s="270">
        <f>SUMIFS('Livro Diario - FC'!$L$11:$L1032,'Livro Diario - FC'!$E$11:$E1032,C15,'Livro Diario - FC'!$D$11:$D1032,"&gt;="&amp;$CD$6,'Livro Diario - FC'!$D$11:$D1032,"&lt;="&amp;$CD$7)</f>
        <v>0</v>
      </c>
      <c r="CC15" s="271"/>
      <c r="CD15" s="272"/>
    </row>
    <row r="16">
      <c r="A16" s="13"/>
      <c r="C16" s="575" t="s">
        <v>568</v>
      </c>
      <c r="D16" s="255">
        <f>SUMIFS('Livro Diario - FC'!$J$11:$J1032,'Livro Diario - FC'!$E$11:$E1032,$C16,'Livro Diario - FC'!$D$11:$D1032,"&gt;=01/01"&amp;$C$5,'Livro Diario - FC'!$D$11:$D1032,"&lt;=31/01"&amp;$C$5)</f>
        <v>0</v>
      </c>
      <c r="E16" s="256">
        <f>SUMIFS('Livro Diario - FC'!$L$11:$L1032,'Livro Diario - FC'!$E$11:$E1032,$C16,'Livro Diario - FC'!$D$11:$D1032,"&gt;=01/01"&amp;$C$5,'Livro Diario - FC'!$D$11:$D1032,"&lt;=31/01"&amp;$C$5)</f>
        <v>0</v>
      </c>
      <c r="F16" s="273"/>
      <c r="G16" s="258"/>
      <c r="H16" s="157"/>
      <c r="I16" s="157"/>
      <c r="J16" s="568">
        <f>SUMIFS('Livro Diario - FC'!$J$11:$J1032,'Livro Diario - FC'!$E$11:$E1032,$C16,'Livro Diario - FC'!$D$11:$D1032,"&gt;=01/02"&amp;$C$5,'Livro Diario - FC'!$D$11:$D1032,"&lt;=29/02"&amp;$C$5)</f>
        <v>0</v>
      </c>
      <c r="K16" s="569">
        <f>SUMIFS('Livro Diario - FC'!$L$11:$L1032,'Livro Diario - FC'!$E$11:$E1032,$C16,'Livro Diario - FC'!$D$11:$D1032,"&gt;=01/02"&amp;$C$5,'Livro Diario - FC'!$D$11:$D1032,"&lt;=29/02"&amp;$C$5)</f>
        <v>0</v>
      </c>
      <c r="L16" s="571"/>
      <c r="M16" s="571"/>
      <c r="N16" s="572"/>
      <c r="O16" s="157"/>
      <c r="P16" s="568">
        <f>SUMIFS('Livro Diario - FC'!$J$11:$J1032,'Livro Diario - FC'!$E$11:$E1032,$C16,'Livro Diario - FC'!$D$11:$D1032,"&gt;=01/03",'Livro Diario - FC'!$D$11:$D1032,"&lt;=31/03")</f>
        <v>0</v>
      </c>
      <c r="Q16" s="569">
        <f>SUMIFS('Livro Diario - FC'!$L$11:$L1032,'Livro Diario - FC'!$E$11:$E1032,$C16,'Livro Diario - FC'!$D$11:$D1032,"&gt;=01/03",'Livro Diario - FC'!$D$11:$D1032,"&lt;=31/03")</f>
        <v>0</v>
      </c>
      <c r="R16" s="571"/>
      <c r="S16" s="571"/>
      <c r="T16" s="572"/>
      <c r="U16" s="157"/>
      <c r="V16" s="568">
        <f>SUMIFS('Livro Diario - FC'!$J$11:$J1032,'Livro Diario - FC'!$E$11:$E1032,$C16,'Livro Diario - FC'!$D$11:$D1032,"&gt;=01/04",'Livro Diario - FC'!$D$11:$D1032,"&lt;=30/04")</f>
        <v>0</v>
      </c>
      <c r="W16" s="569">
        <f>SUMIFS('Livro Diario - FC'!$L$11:$L1032,'Livro Diario - FC'!$E$11:$E1032,$C16,'Livro Diario - FC'!$D$11:$D1032,"&gt;=01/04",'Livro Diario - FC'!$D$11:$D1032,"&lt;=30/04")</f>
        <v>0</v>
      </c>
      <c r="X16" s="571"/>
      <c r="Y16" s="571"/>
      <c r="Z16" s="572"/>
      <c r="AA16" s="157"/>
      <c r="AB16" s="568">
        <f>SUMIFS('Livro Diario - FC'!$J$11:$J1032,'Livro Diario - FC'!$E$11:$E1032,$C16,'Livro Diario - FC'!$D$11:$D1032,"&gt;=01/05",'Livro Diario - FC'!$D$11:$D1032,"&lt;=31/05")</f>
        <v>0</v>
      </c>
      <c r="AC16" s="569">
        <f>SUMIFS('Livro Diario - FC'!$L$11:$L1032,'Livro Diario - FC'!$E$11:$E1032,$C16,'Livro Diario - FC'!$D$11:$D1032,"&gt;=01/05",'Livro Diario - FC'!$D$11:$D1032,"&lt;=31/05")</f>
        <v>0</v>
      </c>
      <c r="AD16" s="571"/>
      <c r="AE16" s="571"/>
      <c r="AF16" s="572"/>
      <c r="AG16" s="157"/>
      <c r="AH16" s="568">
        <f>SUMIFS('Livro Diario - FC'!$J$11:$J1032,'Livro Diario - FC'!$E$11:$E1032,$C16,'Livro Diario - FC'!$D$11:$D1032,"&gt;=01/06",'Livro Diario - FC'!$D$11:$D1032,"&lt;=30/06")</f>
        <v>0</v>
      </c>
      <c r="AI16" s="569">
        <f>SUMIFS('Livro Diario - FC'!$L$11:$L1032,'Livro Diario - FC'!$E$11:$E1032,$C16,'Livro Diario - FC'!$D$11:$D1032,"&gt;=01/06",'Livro Diario - FC'!$D$11:$D1032,"&lt;=30/06")</f>
        <v>0</v>
      </c>
      <c r="AJ16" s="571"/>
      <c r="AK16" s="571"/>
      <c r="AL16" s="572"/>
      <c r="AM16" s="157"/>
      <c r="AN16" s="568">
        <f>SUMIFS('Livro Diario - FC'!$J$11:$J1032,'Livro Diario - FC'!$E$11:$E1032,$C16,'Livro Diario - FC'!$D$11:$D1032,"&gt;=01/07",'Livro Diario - FC'!$D$11:$D1032,"&lt;=31/07")</f>
        <v>0</v>
      </c>
      <c r="AO16" s="569">
        <f>SUMIFS('Livro Diario - FC'!$L$11:$L1032,'Livro Diario - FC'!$E$11:$E1032,$C16,'Livro Diario - FC'!$D$11:$D1032,"&gt;=01/07",'Livro Diario - FC'!$D$11:$D1032,"&lt;=31/07")</f>
        <v>0</v>
      </c>
      <c r="AP16" s="571"/>
      <c r="AQ16" s="571"/>
      <c r="AR16" s="572"/>
      <c r="AS16" s="157"/>
      <c r="AT16" s="568">
        <f>SUMIFS('Livro Diario - FC'!$J$11:$J1032,'Livro Diario - FC'!$E$11:$E1032,$C16,'Livro Diario - FC'!$D$11:$D1032,"&gt;=01/08",'Livro Diario - FC'!$D$11:$D1032,"&lt;=31/08")</f>
        <v>0</v>
      </c>
      <c r="AU16" s="569">
        <f>SUMIFS('Livro Diario - FC'!$L$11:$L1032,'Livro Diario - FC'!$E$11:$E1032,$C16,'Livro Diario - FC'!$D$11:$D1032,"&gt;=01/08",'Livro Diario - FC'!$D$11:$D1032,"&lt;=31/08")</f>
        <v>0</v>
      </c>
      <c r="AV16" s="571"/>
      <c r="AW16" s="571"/>
      <c r="AX16" s="572"/>
      <c r="AY16" s="157"/>
      <c r="AZ16" s="568">
        <f>SUMIFS('Livro Diario - FC'!$J$11:$J1032,'Livro Diario - FC'!$E$11:$E1032,$C16,'Livro Diario - FC'!$D$11:$D1032,"&gt;=01/09",'Livro Diario - FC'!$D$11:$D1032,"&lt;=30/09")</f>
        <v>0</v>
      </c>
      <c r="BA16" s="569">
        <f>SUMIFS('Livro Diario - FC'!$L$11:$L1032,'Livro Diario - FC'!$E$11:$E1032,$C16,'Livro Diario - FC'!$D$11:$D1032,"&gt;=01/09",'Livro Diario - FC'!$D$11:$D1032,"&lt;=30/09")</f>
        <v>0</v>
      </c>
      <c r="BB16" s="571"/>
      <c r="BC16" s="571"/>
      <c r="BD16" s="572"/>
      <c r="BE16" s="157"/>
      <c r="BF16" s="568">
        <f>SUMIFS('Livro Diario - FC'!$J$11:$J1032,'Livro Diario - FC'!$E$11:$E1032,$C16,'Livro Diario - FC'!$D$11:$D1032,"&gt;=01/10",'Livro Diario - FC'!$D$11:$D1032,"&lt;=31/10")</f>
        <v>0</v>
      </c>
      <c r="BG16" s="569">
        <f>SUMIFS('Livro Diario - FC'!$L$11:$L1032,'Livro Diario - FC'!$E$11:$E1032,$C16,'Livro Diario - FC'!$D$11:$D1032,"&gt;=01/10",'Livro Diario - FC'!$D$11:$D1032,"&lt;=31/10")</f>
        <v>0</v>
      </c>
      <c r="BH16" s="571"/>
      <c r="BI16" s="571"/>
      <c r="BJ16" s="572"/>
      <c r="BK16" s="157"/>
      <c r="BL16" s="568">
        <f>SUMIFS('Livro Diario - FC'!$J$11:$J1032,'Livro Diario - FC'!$E$11:$E1032,$C16,'Livro Diario - FC'!$D$11:$D1032,"&gt;=01/11",'Livro Diario - FC'!$D$11:$D1032,"&lt;=30/11")</f>
        <v>0</v>
      </c>
      <c r="BM16" s="569">
        <f>SUMIFS('Livro Diario - FC'!$L$11:$L1032,'Livro Diario - FC'!$E$11:$E1032,$C16,'Livro Diario - FC'!$D$11:$D1032,"&gt;=01/11",'Livro Diario - FC'!$D$11:$D1032,"&lt;=30/11")</f>
        <v>0</v>
      </c>
      <c r="BN16" s="571"/>
      <c r="BO16" s="571"/>
      <c r="BP16" s="572"/>
      <c r="BQ16" s="157"/>
      <c r="BR16" s="568">
        <f>SUMIFS('Livro Diario - FC'!$J$11:$J1032,'Livro Diario - FC'!$E$11:$E1032,$C16,'Livro Diario - FC'!$D$11:$D1032,"&gt;=01/12",'Livro Diario - FC'!$D$11:$D1032,"&lt;=31/12")</f>
        <v>0</v>
      </c>
      <c r="BS16" s="569">
        <f>SUMIFS('Livro Diario - FC'!$L$11:$L1032,'Livro Diario - FC'!$E$11:$E1032,$C16,'Livro Diario - FC'!$D$11:$D1032,"&gt;=01/12",'Livro Diario - FC'!$D$11:$D1032,"&lt;=31/12")</f>
        <v>0</v>
      </c>
      <c r="BT16" s="571"/>
      <c r="BU16" s="571"/>
      <c r="BV16" s="572"/>
      <c r="BW16" s="157"/>
      <c r="BX16" s="573">
        <f t="shared" ref="BX16:BY16" si="60">SUM(D16,J16,P16,V16,AB16,AH16,AN16,AT16,AZ16,BF16,BL16,BR16)</f>
        <v>0</v>
      </c>
      <c r="BY16" s="268">
        <f t="shared" si="60"/>
        <v>0</v>
      </c>
      <c r="BZ16" s="574"/>
      <c r="CA16" s="192"/>
      <c r="CB16" s="270">
        <f>SUMIFS('Livro Diario - FC'!$L$11:$L1032,'Livro Diario - FC'!$E$11:$E1032,C16,'Livro Diario - FC'!$D$11:$D1032,"&gt;="&amp;$CD$6,'Livro Diario - FC'!$D$11:$D1032,"&lt;="&amp;$CD$7)</f>
        <v>0</v>
      </c>
      <c r="CC16" s="271"/>
      <c r="CD16" s="272"/>
    </row>
    <row r="17">
      <c r="A17" s="13"/>
      <c r="C17" s="575" t="s">
        <v>569</v>
      </c>
      <c r="D17" s="255">
        <f>SUMIFS('Livro Diario - FC'!$J$11:$J1032,'Livro Diario - FC'!$E$11:$E1032,$C17,'Livro Diario - FC'!$D$11:$D1032,"&gt;=01/01"&amp;$C$5,'Livro Diario - FC'!$D$11:$D1032,"&lt;=31/01"&amp;$C$5)</f>
        <v>0</v>
      </c>
      <c r="E17" s="256">
        <f>SUMIFS('Livro Diario - FC'!$L$11:$L1032,'Livro Diario - FC'!$E$11:$E1032,$C17,'Livro Diario - FC'!$D$11:$D1032,"&gt;=01/01"&amp;$C$5,'Livro Diario - FC'!$D$11:$D1032,"&lt;=31/01"&amp;$C$5)</f>
        <v>0</v>
      </c>
      <c r="F17" s="273"/>
      <c r="G17" s="258"/>
      <c r="H17" s="157"/>
      <c r="I17" s="157"/>
      <c r="J17" s="561">
        <f>SUMIFS('Livro Diario - FC'!$J$11:$J1032,'Livro Diario - FC'!$E$11:$E1032,$C17,'Livro Diario - FC'!$D$11:$D1032,"&gt;=01/02"&amp;$C$5,'Livro Diario - FC'!$D$11:$D1032,"&lt;=29/02"&amp;$C$5)</f>
        <v>0</v>
      </c>
      <c r="K17" s="562">
        <f>SUMIFS('Livro Diario - FC'!$L$11:$L1032,'Livro Diario - FC'!$E$11:$E1032,$C17,'Livro Diario - FC'!$D$11:$D1032,"&gt;=01/02"&amp;$C$5,'Livro Diario - FC'!$D$11:$D1032,"&lt;=29/02"&amp;$C$5)</f>
        <v>0</v>
      </c>
      <c r="L17" s="564"/>
      <c r="M17" s="564"/>
      <c r="N17" s="565"/>
      <c r="O17" s="157"/>
      <c r="P17" s="561">
        <f>SUMIFS('Livro Diario - FC'!$J$11:$J1032,'Livro Diario - FC'!$E$11:$E1032,$C17,'Livro Diario - FC'!$D$11:$D1032,"&gt;=01/03",'Livro Diario - FC'!$D$11:$D1032,"&lt;=31/03")</f>
        <v>0</v>
      </c>
      <c r="Q17" s="562">
        <f>SUMIFS('Livro Diario - FC'!$L$11:$L1032,'Livro Diario - FC'!$E$11:$E1032,$C17,'Livro Diario - FC'!$D$11:$D1032,"&gt;=01/03",'Livro Diario - FC'!$D$11:$D1032,"&lt;=31/03")</f>
        <v>0</v>
      </c>
      <c r="R17" s="564"/>
      <c r="S17" s="564"/>
      <c r="T17" s="565"/>
      <c r="U17" s="157"/>
      <c r="V17" s="561">
        <f>SUMIFS('Livro Diario - FC'!$J$11:$J1032,'Livro Diario - FC'!$E$11:$E1032,$C17,'Livro Diario - FC'!$D$11:$D1032,"&gt;=01/04",'Livro Diario - FC'!$D$11:$D1032,"&lt;=30/04")</f>
        <v>0</v>
      </c>
      <c r="W17" s="562">
        <f>SUMIFS('Livro Diario - FC'!$L$11:$L1032,'Livro Diario - FC'!$E$11:$E1032,$C17,'Livro Diario - FC'!$D$11:$D1032,"&gt;=01/04",'Livro Diario - FC'!$D$11:$D1032,"&lt;=30/04")</f>
        <v>0</v>
      </c>
      <c r="X17" s="564"/>
      <c r="Y17" s="564"/>
      <c r="Z17" s="565"/>
      <c r="AA17" s="157"/>
      <c r="AB17" s="561">
        <f>SUMIFS('Livro Diario - FC'!$J$11:$J1032,'Livro Diario - FC'!$E$11:$E1032,$C17,'Livro Diario - FC'!$D$11:$D1032,"&gt;=01/05",'Livro Diario - FC'!$D$11:$D1032,"&lt;=31/05")</f>
        <v>0</v>
      </c>
      <c r="AC17" s="562">
        <f>SUMIFS('Livro Diario - FC'!$L$11:$L1032,'Livro Diario - FC'!$E$11:$E1032,$C17,'Livro Diario - FC'!$D$11:$D1032,"&gt;=01/05",'Livro Diario - FC'!$D$11:$D1032,"&lt;=31/05")</f>
        <v>0</v>
      </c>
      <c r="AD17" s="564"/>
      <c r="AE17" s="564"/>
      <c r="AF17" s="565"/>
      <c r="AG17" s="157"/>
      <c r="AH17" s="561">
        <f>SUMIFS('Livro Diario - FC'!$J$11:$J1032,'Livro Diario - FC'!$E$11:$E1032,$C17,'Livro Diario - FC'!$D$11:$D1032,"&gt;=01/06",'Livro Diario - FC'!$D$11:$D1032,"&lt;=30/06")</f>
        <v>0</v>
      </c>
      <c r="AI17" s="562">
        <f>SUMIFS('Livro Diario - FC'!$L$11:$L1032,'Livro Diario - FC'!$E$11:$E1032,$C17,'Livro Diario - FC'!$D$11:$D1032,"&gt;=01/06",'Livro Diario - FC'!$D$11:$D1032,"&lt;=30/06")</f>
        <v>0</v>
      </c>
      <c r="AJ17" s="564"/>
      <c r="AK17" s="564"/>
      <c r="AL17" s="565"/>
      <c r="AM17" s="157"/>
      <c r="AN17" s="561">
        <f>SUMIFS('Livro Diario - FC'!$J$11:$J1032,'Livro Diario - FC'!$E$11:$E1032,$C17,'Livro Diario - FC'!$D$11:$D1032,"&gt;=01/07",'Livro Diario - FC'!$D$11:$D1032,"&lt;=31/07")</f>
        <v>0</v>
      </c>
      <c r="AO17" s="562">
        <f>SUMIFS('Livro Diario - FC'!$L$11:$L1032,'Livro Diario - FC'!$E$11:$E1032,$C17,'Livro Diario - FC'!$D$11:$D1032,"&gt;=01/07",'Livro Diario - FC'!$D$11:$D1032,"&lt;=31/07")</f>
        <v>0</v>
      </c>
      <c r="AP17" s="564"/>
      <c r="AQ17" s="564"/>
      <c r="AR17" s="565"/>
      <c r="AS17" s="157"/>
      <c r="AT17" s="561">
        <f>SUMIFS('Livro Diario - FC'!$J$11:$J1032,'Livro Diario - FC'!$E$11:$E1032,$C17,'Livro Diario - FC'!$D$11:$D1032,"&gt;=01/08",'Livro Diario - FC'!$D$11:$D1032,"&lt;=31/08")</f>
        <v>0</v>
      </c>
      <c r="AU17" s="562">
        <f>SUMIFS('Livro Diario - FC'!$L$11:$L1032,'Livro Diario - FC'!$E$11:$E1032,$C17,'Livro Diario - FC'!$D$11:$D1032,"&gt;=01/08",'Livro Diario - FC'!$D$11:$D1032,"&lt;=31/08")</f>
        <v>0</v>
      </c>
      <c r="AV17" s="564"/>
      <c r="AW17" s="564"/>
      <c r="AX17" s="565"/>
      <c r="AY17" s="157"/>
      <c r="AZ17" s="561">
        <f>SUMIFS('Livro Diario - FC'!$J$11:$J1032,'Livro Diario - FC'!$E$11:$E1032,$C17,'Livro Diario - FC'!$D$11:$D1032,"&gt;=01/09",'Livro Diario - FC'!$D$11:$D1032,"&lt;=30/09")</f>
        <v>0</v>
      </c>
      <c r="BA17" s="562">
        <f>SUMIFS('Livro Diario - FC'!$L$11:$L1032,'Livro Diario - FC'!$E$11:$E1032,$C17,'Livro Diario - FC'!$D$11:$D1032,"&gt;=01/09",'Livro Diario - FC'!$D$11:$D1032,"&lt;=30/09")</f>
        <v>0</v>
      </c>
      <c r="BB17" s="564"/>
      <c r="BC17" s="564"/>
      <c r="BD17" s="565"/>
      <c r="BE17" s="157"/>
      <c r="BF17" s="561">
        <f>SUMIFS('Livro Diario - FC'!$J$11:$J1032,'Livro Diario - FC'!$E$11:$E1032,$C17,'Livro Diario - FC'!$D$11:$D1032,"&gt;=01/10",'Livro Diario - FC'!$D$11:$D1032,"&lt;=31/10")</f>
        <v>0</v>
      </c>
      <c r="BG17" s="562">
        <f>SUMIFS('Livro Diario - FC'!$L$11:$L1032,'Livro Diario - FC'!$E$11:$E1032,$C17,'Livro Diario - FC'!$D$11:$D1032,"&gt;=01/10",'Livro Diario - FC'!$D$11:$D1032,"&lt;=31/10")</f>
        <v>0</v>
      </c>
      <c r="BH17" s="564"/>
      <c r="BI17" s="564"/>
      <c r="BJ17" s="565"/>
      <c r="BK17" s="157"/>
      <c r="BL17" s="561">
        <f>SUMIFS('Livro Diario - FC'!$J$11:$J1032,'Livro Diario - FC'!$E$11:$E1032,$C17,'Livro Diario - FC'!$D$11:$D1032,"&gt;=01/11",'Livro Diario - FC'!$D$11:$D1032,"&lt;=30/11")</f>
        <v>0</v>
      </c>
      <c r="BM17" s="562">
        <f>SUMIFS('Livro Diario - FC'!$L$11:$L1032,'Livro Diario - FC'!$E$11:$E1032,$C17,'Livro Diario - FC'!$D$11:$D1032,"&gt;=01/11",'Livro Diario - FC'!$D$11:$D1032,"&lt;=30/11")</f>
        <v>0</v>
      </c>
      <c r="BN17" s="564"/>
      <c r="BO17" s="564"/>
      <c r="BP17" s="565"/>
      <c r="BQ17" s="157"/>
      <c r="BR17" s="561">
        <f>SUMIFS('Livro Diario - FC'!$J$11:$J1032,'Livro Diario - FC'!$E$11:$E1032,$C17,'Livro Diario - FC'!$D$11:$D1032,"&gt;=01/12",'Livro Diario - FC'!$D$11:$D1032,"&lt;=31/12")</f>
        <v>0</v>
      </c>
      <c r="BS17" s="562">
        <f>SUMIFS('Livro Diario - FC'!$L$11:$L1032,'Livro Diario - FC'!$E$11:$E1032,$C17,'Livro Diario - FC'!$D$11:$D1032,"&gt;=01/12",'Livro Diario - FC'!$D$11:$D1032,"&lt;=31/12")</f>
        <v>0</v>
      </c>
      <c r="BT17" s="564"/>
      <c r="BU17" s="564"/>
      <c r="BV17" s="565"/>
      <c r="BW17" s="157"/>
      <c r="BX17" s="573">
        <f t="shared" ref="BX17:BY17" si="61">SUM(D17,J17,P17,V17,AB17,AH17,AN17,AT17,AZ17,BF17,BL17,BR17)</f>
        <v>0</v>
      </c>
      <c r="BY17" s="268">
        <f t="shared" si="61"/>
        <v>0</v>
      </c>
      <c r="BZ17" s="574"/>
      <c r="CA17" s="192"/>
      <c r="CB17" s="270">
        <f>SUMIFS('Livro Diario - FC'!$L$11:$L1032,'Livro Diario - FC'!$E$11:$E1032,C17,'Livro Diario - FC'!$D$11:$D1032,"&gt;="&amp;$CD$6,'Livro Diario - FC'!$D$11:$D1032,"&lt;="&amp;$CD$7)</f>
        <v>0</v>
      </c>
      <c r="CC17" s="271"/>
      <c r="CD17" s="272"/>
    </row>
    <row r="18">
      <c r="A18" s="13"/>
      <c r="C18" s="576" t="s">
        <v>61</v>
      </c>
      <c r="D18" s="255"/>
      <c r="E18" s="256"/>
      <c r="F18" s="273"/>
      <c r="G18" s="258"/>
      <c r="H18" s="157"/>
      <c r="I18" s="157"/>
      <c r="J18" s="568"/>
      <c r="K18" s="569"/>
      <c r="L18" s="571"/>
      <c r="M18" s="577"/>
      <c r="N18" s="577"/>
      <c r="O18" s="157"/>
      <c r="P18" s="568"/>
      <c r="Q18" s="569"/>
      <c r="R18" s="571"/>
      <c r="S18" s="577"/>
      <c r="T18" s="577"/>
      <c r="U18" s="157"/>
      <c r="V18" s="568"/>
      <c r="W18" s="569"/>
      <c r="X18" s="571"/>
      <c r="Y18" s="577"/>
      <c r="Z18" s="577"/>
      <c r="AA18" s="157"/>
      <c r="AB18" s="568"/>
      <c r="AC18" s="569"/>
      <c r="AD18" s="571"/>
      <c r="AE18" s="577"/>
      <c r="AF18" s="577"/>
      <c r="AG18" s="157"/>
      <c r="AH18" s="568"/>
      <c r="AI18" s="569"/>
      <c r="AJ18" s="571"/>
      <c r="AK18" s="577"/>
      <c r="AL18" s="577"/>
      <c r="AM18" s="157"/>
      <c r="AN18" s="568"/>
      <c r="AO18" s="569"/>
      <c r="AP18" s="571"/>
      <c r="AQ18" s="577"/>
      <c r="AR18" s="577"/>
      <c r="AS18" s="157"/>
      <c r="AT18" s="568"/>
      <c r="AU18" s="569"/>
      <c r="AV18" s="571"/>
      <c r="AW18" s="577"/>
      <c r="AX18" s="577"/>
      <c r="AY18" s="157"/>
      <c r="AZ18" s="568"/>
      <c r="BA18" s="569"/>
      <c r="BB18" s="571"/>
      <c r="BC18" s="577"/>
      <c r="BD18" s="577"/>
      <c r="BE18" s="157"/>
      <c r="BF18" s="568"/>
      <c r="BG18" s="569"/>
      <c r="BH18" s="571"/>
      <c r="BI18" s="577"/>
      <c r="BJ18" s="577"/>
      <c r="BK18" s="157"/>
      <c r="BL18" s="568"/>
      <c r="BM18" s="569"/>
      <c r="BN18" s="571"/>
      <c r="BO18" s="577"/>
      <c r="BP18" s="577"/>
      <c r="BQ18" s="157"/>
      <c r="BR18" s="568"/>
      <c r="BS18" s="569"/>
      <c r="BT18" s="571"/>
      <c r="BU18" s="577"/>
      <c r="BV18" s="577"/>
      <c r="BW18" s="157"/>
      <c r="BX18" s="578"/>
      <c r="BY18" s="342"/>
      <c r="BZ18" s="579"/>
      <c r="CA18" s="192"/>
      <c r="CB18" s="270"/>
      <c r="CC18" s="271"/>
      <c r="CD18" s="272"/>
    </row>
    <row r="19">
      <c r="A19" s="13"/>
      <c r="C19" s="580" t="s">
        <v>570</v>
      </c>
      <c r="D19" s="581">
        <f>SUMIFS('Livro Diario - FC'!$J$11:$J1032,'Livro Diario - FC'!$E$11:$E1032,$C19,'Livro Diario - FC'!$D$11:$D1032,"&gt;=01/01"&amp;$C$5,'Livro Diario - FC'!$D$11:$D1032,"&lt;=31/01"&amp;$C$5)</f>
        <v>0</v>
      </c>
      <c r="E19" s="582">
        <f>SUMIFS('Livro Diario - FC'!$L$11:$L1032,'Livro Diario - FC'!$E$11:$E1032,$C19,'Livro Diario - FC'!$D$11:$D1032,"&gt;=01/01"&amp;$C$5,'Livro Diario - FC'!$D$11:$D1032,"&lt;=31/01"&amp;$C$5)</f>
        <v>0</v>
      </c>
      <c r="F19" s="583"/>
      <c r="G19" s="584"/>
      <c r="H19" s="157"/>
      <c r="I19" s="157"/>
      <c r="J19" s="585">
        <f>SUMIFS('Livro Diario - FC'!$J$11:$J1032,'Livro Diario - FC'!$E$11:$E1032,$C19,'Livro Diario - FC'!$D$11:$D1032,"&gt;=01/02"&amp;$C$5,'Livro Diario - FC'!$D$11:$D1032,"&lt;=29/02"&amp;$C$5)</f>
        <v>0</v>
      </c>
      <c r="K19" s="586">
        <f>SUMIFS('Livro Diario - FC'!$L$11:$L1032,'Livro Diario - FC'!$E$11:$E1032,$C19,'Livro Diario - FC'!$D$11:$D1032,"&gt;=01/02"&amp;$C$5,'Livro Diario - FC'!$D$11:$D1032,"&lt;=29/02"&amp;$C$5)</f>
        <v>0</v>
      </c>
      <c r="L19" s="587"/>
      <c r="M19" s="587"/>
      <c r="N19" s="588"/>
      <c r="O19" s="157"/>
      <c r="P19" s="585">
        <f>SUMIFS('Livro Diario - FC'!$J$11:$J1032,'Livro Diario - FC'!$E$11:$E1032,$C19,'Livro Diario - FC'!$D$11:$D1032,"&gt;=01/03",'Livro Diario - FC'!$D$11:$D1032,"&lt;=31/03")</f>
        <v>0</v>
      </c>
      <c r="Q19" s="586">
        <f>SUMIFS('Livro Diario - FC'!$L$11:$L1032,'Livro Diario - FC'!$E$11:$E1032,$C19,'Livro Diario - FC'!$D$11:$D1032,"&gt;=01/03",'Livro Diario - FC'!$D$11:$D1032,"&lt;=31/03")</f>
        <v>0</v>
      </c>
      <c r="R19" s="587"/>
      <c r="S19" s="587"/>
      <c r="T19" s="588"/>
      <c r="U19" s="157"/>
      <c r="V19" s="585">
        <f>SUMIFS('Livro Diario - FC'!$J$11:$J1032,'Livro Diario - FC'!$E$11:$E1032,$C19,'Livro Diario - FC'!$D$11:$D1032,"&gt;=01/04",'Livro Diario - FC'!$D$11:$D1032,"&lt;=30/04")</f>
        <v>0</v>
      </c>
      <c r="W19" s="586">
        <f>SUMIFS('Livro Diario - FC'!$L$11:$L1032,'Livro Diario - FC'!$E$11:$E1032,$C19,'Livro Diario - FC'!$D$11:$D1032,"&gt;=01/04",'Livro Diario - FC'!$D$11:$D1032,"&lt;=30/04")</f>
        <v>0</v>
      </c>
      <c r="X19" s="587"/>
      <c r="Y19" s="587"/>
      <c r="Z19" s="588"/>
      <c r="AA19" s="157"/>
      <c r="AB19" s="585">
        <f>SUMIFS('Livro Diario - FC'!$J$11:$J1032,'Livro Diario - FC'!$E$11:$E1032,$C19,'Livro Diario - FC'!$D$11:$D1032,"&gt;=01/05",'Livro Diario - FC'!$D$11:$D1032,"&lt;=31/05")</f>
        <v>0</v>
      </c>
      <c r="AC19" s="586">
        <f>SUMIFS('Livro Diario - FC'!$L$11:$L1032,'Livro Diario - FC'!$E$11:$E1032,$C19,'Livro Diario - FC'!$D$11:$D1032,"&gt;=01/05",'Livro Diario - FC'!$D$11:$D1032,"&lt;=31/05")</f>
        <v>0</v>
      </c>
      <c r="AD19" s="587"/>
      <c r="AE19" s="587"/>
      <c r="AF19" s="588"/>
      <c r="AG19" s="157"/>
      <c r="AH19" s="585">
        <f>SUMIFS('Livro Diario - FC'!$J$11:$J1032,'Livro Diario - FC'!$E$11:$E1032,$C19,'Livro Diario - FC'!$D$11:$D1032,"&gt;=01/06",'Livro Diario - FC'!$D$11:$D1032,"&lt;=30/06")</f>
        <v>0</v>
      </c>
      <c r="AI19" s="586">
        <f>SUMIFS('Livro Diario - FC'!$L$11:$L1032,'Livro Diario - FC'!$E$11:$E1032,$C19,'Livro Diario - FC'!$D$11:$D1032,"&gt;=01/06",'Livro Diario - FC'!$D$11:$D1032,"&lt;=30/06")</f>
        <v>0</v>
      </c>
      <c r="AJ19" s="587"/>
      <c r="AK19" s="587"/>
      <c r="AL19" s="588"/>
      <c r="AM19" s="157"/>
      <c r="AN19" s="585">
        <f>SUMIFS('Livro Diario - FC'!$J$11:$J1032,'Livro Diario - FC'!$E$11:$E1032,$C19,'Livro Diario - FC'!$D$11:$D1032,"&gt;=01/07",'Livro Diario - FC'!$D$11:$D1032,"&lt;=31/07")</f>
        <v>0</v>
      </c>
      <c r="AO19" s="586">
        <f>SUMIFS('Livro Diario - FC'!$L$11:$L1032,'Livro Diario - FC'!$E$11:$E1032,$C19,'Livro Diario - FC'!$D$11:$D1032,"&gt;=01/07",'Livro Diario - FC'!$D$11:$D1032,"&lt;=31/07")</f>
        <v>0</v>
      </c>
      <c r="AP19" s="587"/>
      <c r="AQ19" s="587"/>
      <c r="AR19" s="588"/>
      <c r="AS19" s="157"/>
      <c r="AT19" s="585">
        <f>SUMIFS('Livro Diario - FC'!$J$11:$J1032,'Livro Diario - FC'!$E$11:$E1032,$C19,'Livro Diario - FC'!$D$11:$D1032,"&gt;=01/08",'Livro Diario - FC'!$D$11:$D1032,"&lt;=31/08")</f>
        <v>0</v>
      </c>
      <c r="AU19" s="586">
        <f>SUMIFS('Livro Diario - FC'!$L$11:$L1032,'Livro Diario - FC'!$E$11:$E1032,$C19,'Livro Diario - FC'!$D$11:$D1032,"&gt;=01/08",'Livro Diario - FC'!$D$11:$D1032,"&lt;=31/08")</f>
        <v>0</v>
      </c>
      <c r="AV19" s="587"/>
      <c r="AW19" s="587"/>
      <c r="AX19" s="588"/>
      <c r="AY19" s="157"/>
      <c r="AZ19" s="585">
        <f>SUMIFS('Livro Diario - FC'!$J$11:$J1032,'Livro Diario - FC'!$E$11:$E1032,$C19,'Livro Diario - FC'!$D$11:$D1032,"&gt;=01/09",'Livro Diario - FC'!$D$11:$D1032,"&lt;=30/09")</f>
        <v>0</v>
      </c>
      <c r="BA19" s="586">
        <f>SUMIFS('Livro Diario - FC'!$L$11:$L1032,'Livro Diario - FC'!$E$11:$E1032,$C19,'Livro Diario - FC'!$D$11:$D1032,"&gt;=01/09",'Livro Diario - FC'!$D$11:$D1032,"&lt;=30/09")</f>
        <v>0</v>
      </c>
      <c r="BB19" s="587"/>
      <c r="BC19" s="587"/>
      <c r="BD19" s="588"/>
      <c r="BE19" s="157"/>
      <c r="BF19" s="585">
        <f>SUMIFS('Livro Diario - FC'!$J$11:$J1032,'Livro Diario - FC'!$E$11:$E1032,$C19,'Livro Diario - FC'!$D$11:$D1032,"&gt;=01/10",'Livro Diario - FC'!$D$11:$D1032,"&lt;=31/10")</f>
        <v>0</v>
      </c>
      <c r="BG19" s="586">
        <f>SUMIFS('Livro Diario - FC'!$L$11:$L1032,'Livro Diario - FC'!$E$11:$E1032,$C19,'Livro Diario - FC'!$D$11:$D1032,"&gt;=01/10",'Livro Diario - FC'!$D$11:$D1032,"&lt;=31/10")</f>
        <v>0</v>
      </c>
      <c r="BH19" s="587"/>
      <c r="BI19" s="587"/>
      <c r="BJ19" s="588"/>
      <c r="BK19" s="157"/>
      <c r="BL19" s="585">
        <f>SUMIFS('Livro Diario - FC'!$J$11:$J1032,'Livro Diario - FC'!$E$11:$E1032,$C19,'Livro Diario - FC'!$D$11:$D1032,"&gt;=01/11",'Livro Diario - FC'!$D$11:$D1032,"&lt;=30/11")</f>
        <v>0</v>
      </c>
      <c r="BM19" s="586">
        <f>SUMIFS('Livro Diario - FC'!$L$11:$L1032,'Livro Diario - FC'!$E$11:$E1032,$C19,'Livro Diario - FC'!$D$11:$D1032,"&gt;=01/11",'Livro Diario - FC'!$D$11:$D1032,"&lt;=30/11")</f>
        <v>0</v>
      </c>
      <c r="BN19" s="587"/>
      <c r="BO19" s="587"/>
      <c r="BP19" s="588"/>
      <c r="BQ19" s="157"/>
      <c r="BR19" s="585">
        <f>SUMIFS('Livro Diario - FC'!$J$11:$J1032,'Livro Diario - FC'!$E$11:$E1032,$C19,'Livro Diario - FC'!$D$11:$D1032,"&gt;=01/12",'Livro Diario - FC'!$D$11:$D1032,"&lt;=31/12")</f>
        <v>0</v>
      </c>
      <c r="BS19" s="586">
        <f>SUMIFS('Livro Diario - FC'!$L$11:$L1032,'Livro Diario - FC'!$E$11:$E1032,$C19,'Livro Diario - FC'!$D$11:$D1032,"&gt;=01/12",'Livro Diario - FC'!$D$11:$D1032,"&lt;=31/12")</f>
        <v>0</v>
      </c>
      <c r="BT19" s="587"/>
      <c r="BU19" s="587"/>
      <c r="BV19" s="588"/>
      <c r="BW19" s="157"/>
      <c r="BX19" s="589">
        <f t="shared" ref="BX19:BY19" si="62">SUM(D19,J19,P19,V19,AB19,AH19,AN19,AT19,AZ19,BF19,BL19,BR19)</f>
        <v>0</v>
      </c>
      <c r="BY19" s="590">
        <f t="shared" si="62"/>
        <v>0</v>
      </c>
      <c r="BZ19" s="591"/>
      <c r="CA19" s="192"/>
      <c r="CB19" s="270">
        <f>SUMIFS('Livro Diario - FC'!$L$11:$L1032,'Livro Diario - FC'!$E$11:$E1032,C19,'Livro Diario - FC'!$D$11:$D1032,"&gt;="&amp;$CD$6,'Livro Diario - FC'!$D$11:$D1032,"&lt;="&amp;$CD$7)</f>
        <v>0</v>
      </c>
      <c r="CC19" s="271"/>
      <c r="CD19" s="272"/>
    </row>
    <row r="20">
      <c r="A20" s="13"/>
      <c r="N20" s="530"/>
      <c r="O20" s="530"/>
      <c r="T20" s="530"/>
      <c r="U20" s="530"/>
      <c r="Z20" s="530"/>
      <c r="AA20" s="530"/>
      <c r="AF20" s="530"/>
      <c r="AG20" s="530"/>
      <c r="AL20" s="530"/>
      <c r="AM20" s="530"/>
      <c r="AR20" s="530"/>
      <c r="AS20" s="530"/>
      <c r="AX20" s="530"/>
      <c r="AY20" s="530"/>
      <c r="BD20" s="530"/>
      <c r="BE20" s="530"/>
      <c r="BJ20" s="530"/>
      <c r="BK20" s="530"/>
      <c r="BP20" s="530"/>
      <c r="BQ20" s="530"/>
      <c r="BV20" s="530"/>
      <c r="BW20" s="530"/>
    </row>
    <row r="21">
      <c r="A21" s="13"/>
      <c r="D21" s="592" t="s">
        <v>571</v>
      </c>
      <c r="E21" s="593"/>
      <c r="F21" s="593"/>
      <c r="G21" s="594"/>
      <c r="K21" s="592" t="s">
        <v>571</v>
      </c>
      <c r="L21" s="593"/>
      <c r="M21" s="593"/>
      <c r="N21" s="594"/>
      <c r="O21" s="530"/>
      <c r="Q21" s="592" t="s">
        <v>571</v>
      </c>
      <c r="R21" s="593"/>
      <c r="S21" s="593"/>
      <c r="T21" s="594"/>
      <c r="U21" s="530"/>
      <c r="V21" s="7"/>
      <c r="W21" s="595" t="s">
        <v>571</v>
      </c>
      <c r="X21" s="593"/>
      <c r="Y21" s="593"/>
      <c r="Z21" s="594"/>
      <c r="AA21" s="530"/>
      <c r="AB21" s="7"/>
      <c r="AC21" s="595" t="s">
        <v>571</v>
      </c>
      <c r="AD21" s="593"/>
      <c r="AE21" s="593"/>
      <c r="AF21" s="594"/>
      <c r="AG21" s="530"/>
      <c r="AH21" s="7"/>
      <c r="AI21" s="595" t="s">
        <v>571</v>
      </c>
      <c r="AJ21" s="593"/>
      <c r="AK21" s="593"/>
      <c r="AL21" s="594"/>
      <c r="AM21" s="530"/>
      <c r="AN21" s="7"/>
      <c r="AO21" s="595" t="s">
        <v>571</v>
      </c>
      <c r="AP21" s="593"/>
      <c r="AQ21" s="593"/>
      <c r="AR21" s="594"/>
      <c r="AS21" s="530"/>
      <c r="AT21" s="7"/>
      <c r="AU21" s="595" t="s">
        <v>571</v>
      </c>
      <c r="AV21" s="593"/>
      <c r="AW21" s="593"/>
      <c r="AX21" s="594"/>
      <c r="AY21" s="530"/>
      <c r="AZ21" s="7"/>
      <c r="BA21" s="595" t="s">
        <v>571</v>
      </c>
      <c r="BB21" s="593"/>
      <c r="BC21" s="593"/>
      <c r="BD21" s="594"/>
      <c r="BE21" s="530"/>
      <c r="BF21" s="7"/>
      <c r="BG21" s="595" t="s">
        <v>571</v>
      </c>
      <c r="BH21" s="593"/>
      <c r="BI21" s="593"/>
      <c r="BJ21" s="594"/>
      <c r="BK21" s="530"/>
      <c r="BL21" s="7"/>
      <c r="BM21" s="595" t="s">
        <v>571</v>
      </c>
      <c r="BN21" s="593"/>
      <c r="BO21" s="593"/>
      <c r="BP21" s="594"/>
      <c r="BQ21" s="530"/>
      <c r="BR21" s="7"/>
      <c r="BS21" s="595" t="s">
        <v>571</v>
      </c>
      <c r="BT21" s="593"/>
      <c r="BU21" s="593"/>
      <c r="BV21" s="594"/>
      <c r="BW21" s="530"/>
    </row>
    <row r="22">
      <c r="A22" s="13"/>
      <c r="D22" s="596" t="s">
        <v>3</v>
      </c>
      <c r="E22" s="597" t="s">
        <v>572</v>
      </c>
      <c r="F22" s="598"/>
      <c r="G22" s="599"/>
      <c r="K22" s="596" t="s">
        <v>3</v>
      </c>
      <c r="L22" s="597" t="s">
        <v>572</v>
      </c>
      <c r="M22" s="598"/>
      <c r="N22" s="599"/>
      <c r="O22" s="530"/>
      <c r="Q22" s="596" t="s">
        <v>3</v>
      </c>
      <c r="R22" s="597" t="s">
        <v>572</v>
      </c>
      <c r="S22" s="598"/>
      <c r="T22" s="599"/>
      <c r="U22" s="530"/>
      <c r="V22" s="7"/>
      <c r="W22" s="600" t="s">
        <v>3</v>
      </c>
      <c r="X22" s="601" t="s">
        <v>572</v>
      </c>
      <c r="Y22" s="598"/>
      <c r="Z22" s="599"/>
      <c r="AA22" s="530"/>
      <c r="AB22" s="7"/>
      <c r="AC22" s="600" t="s">
        <v>3</v>
      </c>
      <c r="AD22" s="601" t="s">
        <v>572</v>
      </c>
      <c r="AE22" s="598"/>
      <c r="AF22" s="599"/>
      <c r="AG22" s="530"/>
      <c r="AH22" s="7"/>
      <c r="AI22" s="600" t="s">
        <v>3</v>
      </c>
      <c r="AJ22" s="601" t="s">
        <v>572</v>
      </c>
      <c r="AK22" s="598"/>
      <c r="AL22" s="599"/>
      <c r="AM22" s="530"/>
      <c r="AN22" s="7"/>
      <c r="AO22" s="600" t="s">
        <v>3</v>
      </c>
      <c r="AP22" s="601" t="s">
        <v>572</v>
      </c>
      <c r="AQ22" s="598"/>
      <c r="AR22" s="599"/>
      <c r="AS22" s="530"/>
      <c r="AT22" s="7"/>
      <c r="AU22" s="600" t="s">
        <v>3</v>
      </c>
      <c r="AV22" s="601" t="s">
        <v>572</v>
      </c>
      <c r="AW22" s="598"/>
      <c r="AX22" s="599"/>
      <c r="AY22" s="530"/>
      <c r="AZ22" s="7"/>
      <c r="BA22" s="600" t="s">
        <v>3</v>
      </c>
      <c r="BB22" s="601" t="s">
        <v>572</v>
      </c>
      <c r="BC22" s="598"/>
      <c r="BD22" s="599"/>
      <c r="BE22" s="530"/>
      <c r="BF22" s="7"/>
      <c r="BG22" s="600" t="s">
        <v>3</v>
      </c>
      <c r="BH22" s="601" t="s">
        <v>572</v>
      </c>
      <c r="BI22" s="598"/>
      <c r="BJ22" s="599"/>
      <c r="BK22" s="530"/>
      <c r="BL22" s="7"/>
      <c r="BM22" s="600" t="s">
        <v>3</v>
      </c>
      <c r="BN22" s="601" t="s">
        <v>572</v>
      </c>
      <c r="BO22" s="598"/>
      <c r="BP22" s="599"/>
      <c r="BQ22" s="530"/>
      <c r="BR22" s="7"/>
      <c r="BS22" s="600" t="s">
        <v>3</v>
      </c>
      <c r="BT22" s="601" t="s">
        <v>572</v>
      </c>
      <c r="BU22" s="598"/>
      <c r="BV22" s="599"/>
      <c r="BW22" s="530"/>
    </row>
    <row r="23">
      <c r="A23" s="13"/>
      <c r="D23" s="602" t="s">
        <v>558</v>
      </c>
      <c r="E23" s="603">
        <f>E13</f>
        <v>0</v>
      </c>
      <c r="F23" s="598"/>
      <c r="G23" s="599"/>
      <c r="K23" s="602" t="s">
        <v>558</v>
      </c>
      <c r="L23" s="603" t="str">
        <f>L13</f>
        <v/>
      </c>
      <c r="M23" s="598"/>
      <c r="N23" s="599"/>
      <c r="O23" s="530"/>
      <c r="Q23" s="602" t="s">
        <v>558</v>
      </c>
      <c r="R23" s="603" t="str">
        <f>R13</f>
        <v/>
      </c>
      <c r="S23" s="598"/>
      <c r="T23" s="599"/>
      <c r="U23" s="530"/>
      <c r="V23" s="7"/>
      <c r="W23" s="602" t="s">
        <v>558</v>
      </c>
      <c r="X23" s="604" t="str">
        <f>X13</f>
        <v/>
      </c>
      <c r="Y23" s="598"/>
      <c r="Z23" s="599"/>
      <c r="AA23" s="530"/>
      <c r="AB23" s="7"/>
      <c r="AC23" s="602" t="s">
        <v>558</v>
      </c>
      <c r="AD23" s="604" t="str">
        <f>AD13</f>
        <v/>
      </c>
      <c r="AE23" s="598"/>
      <c r="AF23" s="599"/>
      <c r="AG23" s="530"/>
      <c r="AH23" s="7"/>
      <c r="AI23" s="602" t="s">
        <v>558</v>
      </c>
      <c r="AJ23" s="604" t="str">
        <f>AJ13</f>
        <v/>
      </c>
      <c r="AK23" s="598"/>
      <c r="AL23" s="599"/>
      <c r="AM23" s="530"/>
      <c r="AN23" s="7"/>
      <c r="AO23" s="602" t="s">
        <v>558</v>
      </c>
      <c r="AP23" s="604" t="str">
        <f>AP13</f>
        <v/>
      </c>
      <c r="AQ23" s="598"/>
      <c r="AR23" s="599"/>
      <c r="AS23" s="530"/>
      <c r="AT23" s="7"/>
      <c r="AU23" s="602" t="s">
        <v>558</v>
      </c>
      <c r="AV23" s="604" t="str">
        <f>AV13</f>
        <v/>
      </c>
      <c r="AW23" s="598"/>
      <c r="AX23" s="599"/>
      <c r="AY23" s="530"/>
      <c r="AZ23" s="7"/>
      <c r="BA23" s="602" t="s">
        <v>558</v>
      </c>
      <c r="BB23" s="604" t="str">
        <f>BB13</f>
        <v/>
      </c>
      <c r="BC23" s="598"/>
      <c r="BD23" s="599"/>
      <c r="BE23" s="530"/>
      <c r="BF23" s="7"/>
      <c r="BG23" s="602" t="s">
        <v>558</v>
      </c>
      <c r="BH23" s="604" t="str">
        <f>BH13</f>
        <v/>
      </c>
      <c r="BI23" s="598"/>
      <c r="BJ23" s="599"/>
      <c r="BK23" s="530"/>
      <c r="BL23" s="7"/>
      <c r="BM23" s="602" t="s">
        <v>558</v>
      </c>
      <c r="BN23" s="604" t="str">
        <f>BN13</f>
        <v/>
      </c>
      <c r="BO23" s="598"/>
      <c r="BP23" s="599"/>
      <c r="BQ23" s="530"/>
      <c r="BR23" s="7"/>
      <c r="BS23" s="602" t="s">
        <v>558</v>
      </c>
      <c r="BT23" s="604" t="str">
        <f>BT13</f>
        <v/>
      </c>
      <c r="BU23" s="598"/>
      <c r="BV23" s="599"/>
      <c r="BW23" s="530"/>
    </row>
    <row r="24">
      <c r="A24" s="13"/>
      <c r="D24" s="605" t="s">
        <v>573</v>
      </c>
      <c r="E24" s="606">
        <f>E10</f>
        <v>0</v>
      </c>
      <c r="F24" s="598"/>
      <c r="G24" s="599"/>
      <c r="K24" s="605" t="s">
        <v>573</v>
      </c>
      <c r="L24" s="606" t="str">
        <f>L10</f>
        <v/>
      </c>
      <c r="M24" s="598"/>
      <c r="N24" s="599"/>
      <c r="O24" s="530"/>
      <c r="Q24" s="605" t="s">
        <v>573</v>
      </c>
      <c r="R24" s="606" t="str">
        <f>R10</f>
        <v/>
      </c>
      <c r="S24" s="598"/>
      <c r="T24" s="599"/>
      <c r="U24" s="530"/>
      <c r="V24" s="7"/>
      <c r="W24" s="605" t="s">
        <v>573</v>
      </c>
      <c r="X24" s="607" t="str">
        <f>X10</f>
        <v/>
      </c>
      <c r="Y24" s="598"/>
      <c r="Z24" s="599"/>
      <c r="AA24" s="530"/>
      <c r="AB24" s="7"/>
      <c r="AC24" s="605" t="s">
        <v>573</v>
      </c>
      <c r="AD24" s="607" t="str">
        <f>AD10</f>
        <v/>
      </c>
      <c r="AE24" s="598"/>
      <c r="AF24" s="599"/>
      <c r="AG24" s="530"/>
      <c r="AH24" s="7"/>
      <c r="AI24" s="605" t="s">
        <v>573</v>
      </c>
      <c r="AJ24" s="607" t="str">
        <f>AJ10</f>
        <v/>
      </c>
      <c r="AK24" s="598"/>
      <c r="AL24" s="599"/>
      <c r="AM24" s="530"/>
      <c r="AN24" s="7"/>
      <c r="AO24" s="605" t="s">
        <v>573</v>
      </c>
      <c r="AP24" s="607" t="str">
        <f>AP10</f>
        <v/>
      </c>
      <c r="AQ24" s="598"/>
      <c r="AR24" s="599"/>
      <c r="AS24" s="530"/>
      <c r="AT24" s="7"/>
      <c r="AU24" s="605" t="s">
        <v>573</v>
      </c>
      <c r="AV24" s="607" t="str">
        <f>AV10</f>
        <v/>
      </c>
      <c r="AW24" s="598"/>
      <c r="AX24" s="599"/>
      <c r="AY24" s="530"/>
      <c r="AZ24" s="7"/>
      <c r="BA24" s="605" t="s">
        <v>573</v>
      </c>
      <c r="BB24" s="607" t="str">
        <f>BB10</f>
        <v/>
      </c>
      <c r="BC24" s="598"/>
      <c r="BD24" s="599"/>
      <c r="BE24" s="530"/>
      <c r="BF24" s="7"/>
      <c r="BG24" s="605" t="s">
        <v>573</v>
      </c>
      <c r="BH24" s="607" t="str">
        <f>BH10</f>
        <v/>
      </c>
      <c r="BI24" s="598"/>
      <c r="BJ24" s="599"/>
      <c r="BK24" s="530"/>
      <c r="BL24" s="7"/>
      <c r="BM24" s="605" t="s">
        <v>573</v>
      </c>
      <c r="BN24" s="607" t="str">
        <f>BN10</f>
        <v/>
      </c>
      <c r="BO24" s="598"/>
      <c r="BP24" s="599"/>
      <c r="BQ24" s="530"/>
      <c r="BR24" s="7"/>
      <c r="BS24" s="605" t="s">
        <v>573</v>
      </c>
      <c r="BT24" s="607" t="str">
        <f>BT10</f>
        <v/>
      </c>
      <c r="BU24" s="598"/>
      <c r="BV24" s="599"/>
      <c r="BW24" s="530"/>
    </row>
    <row r="25">
      <c r="A25" s="13"/>
      <c r="D25" s="602" t="s">
        <v>574</v>
      </c>
      <c r="E25" s="603">
        <f>SUM(D9+D11)</f>
        <v>0</v>
      </c>
      <c r="F25" s="598"/>
      <c r="G25" s="599"/>
      <c r="K25" s="602" t="s">
        <v>574</v>
      </c>
      <c r="L25" s="603">
        <f>SUM(K9+K11)</f>
        <v>0</v>
      </c>
      <c r="M25" s="598"/>
      <c r="N25" s="599"/>
      <c r="O25" s="530"/>
      <c r="Q25" s="602" t="s">
        <v>574</v>
      </c>
      <c r="R25" s="603">
        <f>SUM(Q9+Q11)</f>
        <v>0</v>
      </c>
      <c r="S25" s="598"/>
      <c r="T25" s="599"/>
      <c r="U25" s="530"/>
      <c r="V25" s="7"/>
      <c r="W25" s="602" t="s">
        <v>574</v>
      </c>
      <c r="X25" s="604">
        <f>SUM(W9+W11)</f>
        <v>0</v>
      </c>
      <c r="Y25" s="598"/>
      <c r="Z25" s="599"/>
      <c r="AA25" s="530"/>
      <c r="AB25" s="7"/>
      <c r="AC25" s="602" t="s">
        <v>574</v>
      </c>
      <c r="AD25" s="604">
        <f>SUM(AC9+AC11)</f>
        <v>0</v>
      </c>
      <c r="AE25" s="598"/>
      <c r="AF25" s="599"/>
      <c r="AG25" s="530"/>
      <c r="AH25" s="7"/>
      <c r="AI25" s="602" t="s">
        <v>574</v>
      </c>
      <c r="AJ25" s="604">
        <f>SUM(AI9+AI11)</f>
        <v>0</v>
      </c>
      <c r="AK25" s="598"/>
      <c r="AL25" s="599"/>
      <c r="AM25" s="530"/>
      <c r="AN25" s="7"/>
      <c r="AO25" s="602" t="s">
        <v>574</v>
      </c>
      <c r="AP25" s="604">
        <f>SUM(AO9+AO11)</f>
        <v>0</v>
      </c>
      <c r="AQ25" s="598"/>
      <c r="AR25" s="599"/>
      <c r="AS25" s="530"/>
      <c r="AT25" s="7"/>
      <c r="AU25" s="602" t="s">
        <v>574</v>
      </c>
      <c r="AV25" s="604">
        <f>SUM(AU9+AU11)</f>
        <v>0</v>
      </c>
      <c r="AW25" s="598"/>
      <c r="AX25" s="599"/>
      <c r="AY25" s="530"/>
      <c r="AZ25" s="7"/>
      <c r="BA25" s="602" t="s">
        <v>574</v>
      </c>
      <c r="BB25" s="604">
        <f>SUM(BA9+BA11)</f>
        <v>0</v>
      </c>
      <c r="BC25" s="598"/>
      <c r="BD25" s="599"/>
      <c r="BE25" s="530"/>
      <c r="BF25" s="7"/>
      <c r="BG25" s="602" t="s">
        <v>574</v>
      </c>
      <c r="BH25" s="604">
        <f>SUM(BG9+BG11)</f>
        <v>0</v>
      </c>
      <c r="BI25" s="598"/>
      <c r="BJ25" s="599"/>
      <c r="BK25" s="530"/>
      <c r="BL25" s="7"/>
      <c r="BM25" s="602" t="s">
        <v>574</v>
      </c>
      <c r="BN25" s="604">
        <f>SUM(BM9+BM11)</f>
        <v>0</v>
      </c>
      <c r="BO25" s="598"/>
      <c r="BP25" s="599"/>
      <c r="BQ25" s="530"/>
      <c r="BR25" s="7"/>
      <c r="BS25" s="602" t="s">
        <v>574</v>
      </c>
      <c r="BT25" s="604">
        <f>SUM(BS9+BS11)</f>
        <v>0</v>
      </c>
      <c r="BU25" s="598"/>
      <c r="BV25" s="599"/>
      <c r="BW25" s="530"/>
    </row>
    <row r="26">
      <c r="A26" s="13"/>
      <c r="D26" s="605" t="s">
        <v>575</v>
      </c>
      <c r="E26" s="606">
        <f>E12</f>
        <v>0</v>
      </c>
      <c r="F26" s="598"/>
      <c r="G26" s="599"/>
      <c r="K26" s="605" t="s">
        <v>575</v>
      </c>
      <c r="L26" s="606" t="str">
        <f>L12</f>
        <v/>
      </c>
      <c r="M26" s="598"/>
      <c r="N26" s="599"/>
      <c r="O26" s="530"/>
      <c r="Q26" s="605" t="s">
        <v>575</v>
      </c>
      <c r="R26" s="606" t="str">
        <f>R12</f>
        <v/>
      </c>
      <c r="S26" s="598"/>
      <c r="T26" s="599"/>
      <c r="U26" s="530"/>
      <c r="V26" s="7"/>
      <c r="W26" s="605" t="s">
        <v>575</v>
      </c>
      <c r="X26" s="607" t="str">
        <f>X12</f>
        <v/>
      </c>
      <c r="Y26" s="598"/>
      <c r="Z26" s="599"/>
      <c r="AA26" s="530"/>
      <c r="AB26" s="7"/>
      <c r="AC26" s="605" t="s">
        <v>575</v>
      </c>
      <c r="AD26" s="607" t="str">
        <f>AD12</f>
        <v/>
      </c>
      <c r="AE26" s="598"/>
      <c r="AF26" s="599"/>
      <c r="AG26" s="530"/>
      <c r="AH26" s="7"/>
      <c r="AI26" s="605" t="s">
        <v>575</v>
      </c>
      <c r="AJ26" s="607" t="str">
        <f>AJ12</f>
        <v/>
      </c>
      <c r="AK26" s="598"/>
      <c r="AL26" s="599"/>
      <c r="AM26" s="530"/>
      <c r="AN26" s="7"/>
      <c r="AO26" s="605" t="s">
        <v>575</v>
      </c>
      <c r="AP26" s="607" t="str">
        <f>AP12</f>
        <v/>
      </c>
      <c r="AQ26" s="598"/>
      <c r="AR26" s="599"/>
      <c r="AS26" s="530"/>
      <c r="AT26" s="7"/>
      <c r="AU26" s="605" t="s">
        <v>575</v>
      </c>
      <c r="AV26" s="607" t="str">
        <f>AV12</f>
        <v/>
      </c>
      <c r="AW26" s="598"/>
      <c r="AX26" s="599"/>
      <c r="AY26" s="530"/>
      <c r="AZ26" s="7"/>
      <c r="BA26" s="605" t="s">
        <v>575</v>
      </c>
      <c r="BB26" s="607" t="str">
        <f>BB12</f>
        <v/>
      </c>
      <c r="BC26" s="598"/>
      <c r="BD26" s="599"/>
      <c r="BE26" s="530"/>
      <c r="BF26" s="7"/>
      <c r="BG26" s="605" t="s">
        <v>575</v>
      </c>
      <c r="BH26" s="607" t="str">
        <f>BH12</f>
        <v/>
      </c>
      <c r="BI26" s="598"/>
      <c r="BJ26" s="599"/>
      <c r="BK26" s="530"/>
      <c r="BL26" s="7"/>
      <c r="BM26" s="605" t="s">
        <v>575</v>
      </c>
      <c r="BN26" s="607" t="str">
        <f>BN12</f>
        <v/>
      </c>
      <c r="BO26" s="598"/>
      <c r="BP26" s="599"/>
      <c r="BQ26" s="530"/>
      <c r="BR26" s="7"/>
      <c r="BS26" s="605" t="s">
        <v>575</v>
      </c>
      <c r="BT26" s="607" t="str">
        <f>BT12</f>
        <v/>
      </c>
      <c r="BU26" s="598"/>
      <c r="BV26" s="599"/>
      <c r="BW26" s="530"/>
    </row>
    <row r="27">
      <c r="A27" s="13"/>
      <c r="D27" s="602" t="s">
        <v>576</v>
      </c>
      <c r="E27" s="603">
        <f t="shared" ref="E27:E28" si="63">E16</f>
        <v>0</v>
      </c>
      <c r="F27" s="598"/>
      <c r="G27" s="599"/>
      <c r="K27" s="602" t="s">
        <v>576</v>
      </c>
      <c r="L27" s="603" t="str">
        <f t="shared" ref="L27:L28" si="64">L16</f>
        <v/>
      </c>
      <c r="M27" s="598"/>
      <c r="N27" s="599"/>
      <c r="O27" s="530"/>
      <c r="Q27" s="602" t="s">
        <v>576</v>
      </c>
      <c r="R27" s="603" t="str">
        <f t="shared" ref="R27:R28" si="65">R16</f>
        <v/>
      </c>
      <c r="S27" s="598"/>
      <c r="T27" s="599"/>
      <c r="U27" s="530"/>
      <c r="V27" s="7"/>
      <c r="W27" s="602" t="s">
        <v>576</v>
      </c>
      <c r="X27" s="604" t="str">
        <f t="shared" ref="X27:X28" si="66">X16</f>
        <v/>
      </c>
      <c r="Y27" s="598"/>
      <c r="Z27" s="599"/>
      <c r="AA27" s="530"/>
      <c r="AB27" s="7"/>
      <c r="AC27" s="602" t="s">
        <v>576</v>
      </c>
      <c r="AD27" s="604" t="str">
        <f t="shared" ref="AD27:AD28" si="67">AD16</f>
        <v/>
      </c>
      <c r="AE27" s="598"/>
      <c r="AF27" s="599"/>
      <c r="AG27" s="530"/>
      <c r="AH27" s="7"/>
      <c r="AI27" s="602" t="s">
        <v>576</v>
      </c>
      <c r="AJ27" s="604" t="str">
        <f t="shared" ref="AJ27:AJ28" si="68">AJ16</f>
        <v/>
      </c>
      <c r="AK27" s="598"/>
      <c r="AL27" s="599"/>
      <c r="AM27" s="530"/>
      <c r="AN27" s="7"/>
      <c r="AO27" s="602" t="s">
        <v>576</v>
      </c>
      <c r="AP27" s="604" t="str">
        <f t="shared" ref="AP27:AP28" si="69">AP16</f>
        <v/>
      </c>
      <c r="AQ27" s="598"/>
      <c r="AR27" s="599"/>
      <c r="AS27" s="530"/>
      <c r="AT27" s="7"/>
      <c r="AU27" s="602" t="s">
        <v>576</v>
      </c>
      <c r="AV27" s="604" t="str">
        <f t="shared" ref="AV27:AV28" si="70">AV16</f>
        <v/>
      </c>
      <c r="AW27" s="598"/>
      <c r="AX27" s="599"/>
      <c r="AY27" s="530"/>
      <c r="AZ27" s="7"/>
      <c r="BA27" s="602" t="s">
        <v>576</v>
      </c>
      <c r="BB27" s="604" t="str">
        <f t="shared" ref="BB27:BB28" si="71">BB16</f>
        <v/>
      </c>
      <c r="BC27" s="598"/>
      <c r="BD27" s="599"/>
      <c r="BE27" s="530"/>
      <c r="BF27" s="7"/>
      <c r="BG27" s="602" t="s">
        <v>576</v>
      </c>
      <c r="BH27" s="604" t="str">
        <f t="shared" ref="BH27:BH28" si="72">BH16</f>
        <v/>
      </c>
      <c r="BI27" s="598"/>
      <c r="BJ27" s="599"/>
      <c r="BK27" s="530"/>
      <c r="BL27" s="7"/>
      <c r="BM27" s="602" t="s">
        <v>576</v>
      </c>
      <c r="BN27" s="604" t="str">
        <f t="shared" ref="BN27:BN28" si="73">BN16</f>
        <v/>
      </c>
      <c r="BO27" s="598"/>
      <c r="BP27" s="599"/>
      <c r="BQ27" s="530"/>
      <c r="BR27" s="7"/>
      <c r="BS27" s="602" t="s">
        <v>576</v>
      </c>
      <c r="BT27" s="604" t="str">
        <f t="shared" ref="BT27:BT28" si="74">BT16</f>
        <v/>
      </c>
      <c r="BU27" s="598"/>
      <c r="BV27" s="599"/>
      <c r="BW27" s="530"/>
    </row>
    <row r="28">
      <c r="A28" s="13"/>
      <c r="D28" s="608" t="s">
        <v>577</v>
      </c>
      <c r="E28" s="609">
        <f t="shared" si="63"/>
        <v>0</v>
      </c>
      <c r="G28" s="610"/>
      <c r="K28" s="608" t="s">
        <v>577</v>
      </c>
      <c r="L28" s="609" t="str">
        <f t="shared" si="64"/>
        <v/>
      </c>
      <c r="N28" s="610"/>
      <c r="O28" s="530"/>
      <c r="Q28" s="608" t="s">
        <v>577</v>
      </c>
      <c r="R28" s="609" t="str">
        <f t="shared" si="65"/>
        <v/>
      </c>
      <c r="T28" s="610"/>
      <c r="U28" s="530"/>
      <c r="V28" s="7"/>
      <c r="W28" s="611" t="s">
        <v>577</v>
      </c>
      <c r="X28" s="612" t="str">
        <f t="shared" si="66"/>
        <v/>
      </c>
      <c r="Z28" s="610"/>
      <c r="AA28" s="530"/>
      <c r="AB28" s="7"/>
      <c r="AC28" s="611" t="s">
        <v>577</v>
      </c>
      <c r="AD28" s="612" t="str">
        <f t="shared" si="67"/>
        <v/>
      </c>
      <c r="AF28" s="610"/>
      <c r="AG28" s="530"/>
      <c r="AH28" s="7"/>
      <c r="AI28" s="611" t="s">
        <v>577</v>
      </c>
      <c r="AJ28" s="612" t="str">
        <f t="shared" si="68"/>
        <v/>
      </c>
      <c r="AL28" s="610"/>
      <c r="AM28" s="530"/>
      <c r="AN28" s="7"/>
      <c r="AO28" s="611" t="s">
        <v>577</v>
      </c>
      <c r="AP28" s="612" t="str">
        <f t="shared" si="69"/>
        <v/>
      </c>
      <c r="AR28" s="610"/>
      <c r="AS28" s="530"/>
      <c r="AT28" s="7"/>
      <c r="AU28" s="611" t="s">
        <v>577</v>
      </c>
      <c r="AV28" s="612" t="str">
        <f t="shared" si="70"/>
        <v/>
      </c>
      <c r="AX28" s="610"/>
      <c r="AY28" s="530"/>
      <c r="AZ28" s="7"/>
      <c r="BA28" s="611" t="s">
        <v>577</v>
      </c>
      <c r="BB28" s="612" t="str">
        <f t="shared" si="71"/>
        <v/>
      </c>
      <c r="BD28" s="610"/>
      <c r="BE28" s="530"/>
      <c r="BF28" s="7"/>
      <c r="BG28" s="611" t="s">
        <v>577</v>
      </c>
      <c r="BH28" s="612" t="str">
        <f t="shared" si="72"/>
        <v/>
      </c>
      <c r="BJ28" s="610"/>
      <c r="BK28" s="530"/>
      <c r="BL28" s="7"/>
      <c r="BM28" s="611" t="s">
        <v>577</v>
      </c>
      <c r="BN28" s="612" t="str">
        <f t="shared" si="73"/>
        <v/>
      </c>
      <c r="BP28" s="610"/>
      <c r="BQ28" s="530"/>
      <c r="BR28" s="7"/>
      <c r="BS28" s="611" t="s">
        <v>577</v>
      </c>
      <c r="BT28" s="612" t="str">
        <f t="shared" si="74"/>
        <v/>
      </c>
      <c r="BV28" s="610"/>
      <c r="BW28" s="530"/>
    </row>
    <row r="29">
      <c r="A29" s="13"/>
      <c r="D29" s="613"/>
      <c r="E29" s="614" t="s">
        <v>578</v>
      </c>
      <c r="F29" s="615">
        <f>SUM(E23:G28)+E19</f>
        <v>0</v>
      </c>
      <c r="G29" s="616"/>
      <c r="K29" s="613"/>
      <c r="L29" s="614" t="s">
        <v>578</v>
      </c>
      <c r="M29" s="615">
        <f>SUM(L23:N28)+L19</f>
        <v>0</v>
      </c>
      <c r="N29" s="616"/>
      <c r="O29" s="530"/>
      <c r="Q29" s="613"/>
      <c r="R29" s="614" t="s">
        <v>578</v>
      </c>
      <c r="S29" s="615">
        <f>SUM(R23:T28)+R19</f>
        <v>0</v>
      </c>
      <c r="T29" s="616"/>
      <c r="U29" s="530"/>
      <c r="V29" s="7"/>
      <c r="W29" s="613"/>
      <c r="X29" s="614" t="s">
        <v>578</v>
      </c>
      <c r="Y29" s="615">
        <f>SUM(X23:Z28)+X19</f>
        <v>0</v>
      </c>
      <c r="Z29" s="616"/>
      <c r="AA29" s="530"/>
      <c r="AB29" s="7"/>
      <c r="AC29" s="613"/>
      <c r="AD29" s="614" t="s">
        <v>578</v>
      </c>
      <c r="AE29" s="615">
        <f>SUM(AD23:AF28)+AD19</f>
        <v>0</v>
      </c>
      <c r="AF29" s="616"/>
      <c r="AG29" s="530"/>
      <c r="AH29" s="7"/>
      <c r="AI29" s="613"/>
      <c r="AJ29" s="614" t="s">
        <v>578</v>
      </c>
      <c r="AK29" s="615">
        <f>SUM(AJ23:AL28)+AJ19</f>
        <v>0</v>
      </c>
      <c r="AL29" s="616"/>
      <c r="AM29" s="530"/>
      <c r="AN29" s="7"/>
      <c r="AO29" s="613"/>
      <c r="AP29" s="614" t="s">
        <v>578</v>
      </c>
      <c r="AQ29" s="615">
        <f>SUM(AP23:AR28)+AP19</f>
        <v>0</v>
      </c>
      <c r="AR29" s="616"/>
      <c r="AS29" s="530"/>
      <c r="AT29" s="7"/>
      <c r="AU29" s="613"/>
      <c r="AV29" s="614" t="s">
        <v>578</v>
      </c>
      <c r="AW29" s="615">
        <f>SUM(AV23:AX28)+AV19</f>
        <v>0</v>
      </c>
      <c r="AX29" s="616"/>
      <c r="AY29" s="530"/>
      <c r="AZ29" s="7"/>
      <c r="BA29" s="613"/>
      <c r="BB29" s="614" t="s">
        <v>578</v>
      </c>
      <c r="BC29" s="615">
        <f>SUM(BB23:BD28)+BB19</f>
        <v>0</v>
      </c>
      <c r="BD29" s="616"/>
      <c r="BE29" s="530"/>
      <c r="BF29" s="7"/>
      <c r="BG29" s="613"/>
      <c r="BH29" s="614" t="s">
        <v>578</v>
      </c>
      <c r="BI29" s="615">
        <f>SUM(BH23:BJ28)+BH19</f>
        <v>0</v>
      </c>
      <c r="BJ29" s="616"/>
      <c r="BK29" s="530"/>
      <c r="BL29" s="7"/>
      <c r="BM29" s="613"/>
      <c r="BN29" s="614" t="s">
        <v>578</v>
      </c>
      <c r="BO29" s="615">
        <f>SUM(BN23:BP28)+BN19</f>
        <v>0</v>
      </c>
      <c r="BP29" s="616"/>
      <c r="BQ29" s="530"/>
      <c r="BR29" s="7"/>
      <c r="BS29" s="613"/>
      <c r="BT29" s="614" t="s">
        <v>578</v>
      </c>
      <c r="BU29" s="615">
        <f>SUM(BT23:BV28)+BT19</f>
        <v>0</v>
      </c>
      <c r="BV29" s="616"/>
      <c r="BW29" s="530"/>
    </row>
    <row r="30">
      <c r="A30" s="13"/>
      <c r="O30" s="530"/>
      <c r="U30" s="530"/>
      <c r="V30" s="7"/>
      <c r="W30" s="7"/>
      <c r="X30" s="7"/>
      <c r="Y30" s="7"/>
      <c r="Z30" s="7"/>
      <c r="AA30" s="530"/>
      <c r="AB30" s="7"/>
      <c r="AC30" s="7"/>
      <c r="AD30" s="7"/>
      <c r="AE30" s="7"/>
      <c r="AF30" s="7"/>
      <c r="AG30" s="530"/>
      <c r="AH30" s="7"/>
      <c r="AI30" s="7"/>
      <c r="AJ30" s="7"/>
      <c r="AK30" s="7"/>
      <c r="AL30" s="7"/>
      <c r="AM30" s="530"/>
      <c r="AN30" s="7"/>
      <c r="AO30" s="7"/>
      <c r="AP30" s="7"/>
      <c r="AQ30" s="7"/>
      <c r="AR30" s="7"/>
      <c r="AS30" s="530"/>
      <c r="AT30" s="7"/>
      <c r="AU30" s="7"/>
      <c r="AV30" s="7"/>
      <c r="AW30" s="7"/>
      <c r="AX30" s="7"/>
      <c r="AY30" s="530"/>
      <c r="AZ30" s="7"/>
      <c r="BA30" s="7"/>
      <c r="BB30" s="7"/>
      <c r="BC30" s="7"/>
      <c r="BD30" s="7"/>
      <c r="BE30" s="530"/>
      <c r="BF30" s="7"/>
      <c r="BG30" s="7"/>
      <c r="BH30" s="7"/>
      <c r="BI30" s="7"/>
      <c r="BJ30" s="7"/>
      <c r="BK30" s="530"/>
      <c r="BL30" s="7"/>
      <c r="BM30" s="7"/>
      <c r="BN30" s="7"/>
      <c r="BO30" s="7"/>
      <c r="BP30" s="7"/>
      <c r="BQ30" s="530"/>
      <c r="BR30" s="7"/>
      <c r="BS30" s="7"/>
      <c r="BT30" s="7"/>
      <c r="BU30" s="7"/>
      <c r="BV30" s="7"/>
      <c r="BW30" s="530"/>
    </row>
    <row r="31">
      <c r="A31" s="13"/>
      <c r="C31" s="617" t="s">
        <v>579</v>
      </c>
      <c r="D31" s="593"/>
      <c r="E31" s="593"/>
      <c r="F31" s="593"/>
      <c r="G31" s="594"/>
      <c r="J31" s="617" t="s">
        <v>579</v>
      </c>
      <c r="K31" s="593"/>
      <c r="L31" s="593"/>
      <c r="M31" s="593"/>
      <c r="N31" s="594"/>
      <c r="O31" s="530"/>
      <c r="P31" s="617" t="s">
        <v>579</v>
      </c>
      <c r="Q31" s="593"/>
      <c r="R31" s="593"/>
      <c r="S31" s="593"/>
      <c r="T31" s="594"/>
      <c r="U31" s="530"/>
      <c r="V31" s="595" t="s">
        <v>579</v>
      </c>
      <c r="W31" s="593"/>
      <c r="X31" s="593"/>
      <c r="Y31" s="593"/>
      <c r="Z31" s="594"/>
      <c r="AA31" s="530"/>
      <c r="AB31" s="595" t="s">
        <v>579</v>
      </c>
      <c r="AC31" s="593"/>
      <c r="AD31" s="593"/>
      <c r="AE31" s="593"/>
      <c r="AF31" s="594"/>
      <c r="AG31" s="530"/>
      <c r="AH31" s="595" t="s">
        <v>579</v>
      </c>
      <c r="AI31" s="593"/>
      <c r="AJ31" s="593"/>
      <c r="AK31" s="593"/>
      <c r="AL31" s="594"/>
      <c r="AM31" s="530"/>
      <c r="AN31" s="595" t="s">
        <v>579</v>
      </c>
      <c r="AO31" s="593"/>
      <c r="AP31" s="593"/>
      <c r="AQ31" s="593"/>
      <c r="AR31" s="594"/>
      <c r="AS31" s="530"/>
      <c r="AT31" s="595" t="s">
        <v>579</v>
      </c>
      <c r="AU31" s="593"/>
      <c r="AV31" s="593"/>
      <c r="AW31" s="593"/>
      <c r="AX31" s="594"/>
      <c r="AY31" s="530"/>
      <c r="AZ31" s="595" t="s">
        <v>579</v>
      </c>
      <c r="BA31" s="593"/>
      <c r="BB31" s="593"/>
      <c r="BC31" s="593"/>
      <c r="BD31" s="594"/>
      <c r="BE31" s="530"/>
      <c r="BF31" s="595" t="s">
        <v>579</v>
      </c>
      <c r="BG31" s="593"/>
      <c r="BH31" s="593"/>
      <c r="BI31" s="593"/>
      <c r="BJ31" s="594"/>
      <c r="BK31" s="530"/>
      <c r="BL31" s="595" t="s">
        <v>579</v>
      </c>
      <c r="BM31" s="593"/>
      <c r="BN31" s="593"/>
      <c r="BO31" s="593"/>
      <c r="BP31" s="594"/>
      <c r="BQ31" s="530"/>
      <c r="BR31" s="595" t="s">
        <v>579</v>
      </c>
      <c r="BS31" s="593"/>
      <c r="BT31" s="593"/>
      <c r="BU31" s="593"/>
      <c r="BV31" s="594"/>
      <c r="BW31" s="530"/>
    </row>
    <row r="32">
      <c r="A32" s="13"/>
      <c r="C32" s="618" t="s">
        <v>580</v>
      </c>
      <c r="D32" s="619" t="s">
        <v>581</v>
      </c>
      <c r="E32" s="619" t="s">
        <v>582</v>
      </c>
      <c r="F32" s="620" t="s">
        <v>583</v>
      </c>
      <c r="G32" s="621" t="s">
        <v>584</v>
      </c>
      <c r="J32" s="618" t="s">
        <v>580</v>
      </c>
      <c r="K32" s="622" t="s">
        <v>585</v>
      </c>
      <c r="L32" s="622" t="s">
        <v>586</v>
      </c>
      <c r="M32" s="620" t="s">
        <v>583</v>
      </c>
      <c r="N32" s="621" t="s">
        <v>584</v>
      </c>
      <c r="O32" s="530"/>
      <c r="P32" s="618" t="s">
        <v>580</v>
      </c>
      <c r="Q32" s="622" t="s">
        <v>585</v>
      </c>
      <c r="R32" s="622" t="s">
        <v>586</v>
      </c>
      <c r="S32" s="620" t="s">
        <v>583</v>
      </c>
      <c r="T32" s="621" t="s">
        <v>584</v>
      </c>
      <c r="U32" s="530"/>
      <c r="V32" s="618" t="s">
        <v>580</v>
      </c>
      <c r="W32" s="622" t="s">
        <v>585</v>
      </c>
      <c r="X32" s="622" t="s">
        <v>586</v>
      </c>
      <c r="Y32" s="620" t="s">
        <v>583</v>
      </c>
      <c r="Z32" s="621" t="s">
        <v>584</v>
      </c>
      <c r="AA32" s="530"/>
      <c r="AB32" s="618" t="s">
        <v>580</v>
      </c>
      <c r="AC32" s="622" t="s">
        <v>585</v>
      </c>
      <c r="AD32" s="622" t="s">
        <v>586</v>
      </c>
      <c r="AE32" s="620" t="s">
        <v>583</v>
      </c>
      <c r="AF32" s="621" t="s">
        <v>584</v>
      </c>
      <c r="AG32" s="530"/>
      <c r="AH32" s="618" t="s">
        <v>580</v>
      </c>
      <c r="AI32" s="622" t="s">
        <v>585</v>
      </c>
      <c r="AJ32" s="622" t="s">
        <v>586</v>
      </c>
      <c r="AK32" s="620" t="s">
        <v>583</v>
      </c>
      <c r="AL32" s="621" t="s">
        <v>584</v>
      </c>
      <c r="AM32" s="530"/>
      <c r="AN32" s="618" t="s">
        <v>580</v>
      </c>
      <c r="AO32" s="622" t="s">
        <v>585</v>
      </c>
      <c r="AP32" s="622" t="s">
        <v>586</v>
      </c>
      <c r="AQ32" s="620" t="s">
        <v>583</v>
      </c>
      <c r="AR32" s="621" t="s">
        <v>584</v>
      </c>
      <c r="AS32" s="530"/>
      <c r="AT32" s="618" t="s">
        <v>580</v>
      </c>
      <c r="AU32" s="622" t="s">
        <v>585</v>
      </c>
      <c r="AV32" s="622" t="s">
        <v>586</v>
      </c>
      <c r="AW32" s="620" t="s">
        <v>583</v>
      </c>
      <c r="AX32" s="621" t="s">
        <v>584</v>
      </c>
      <c r="AY32" s="530"/>
      <c r="AZ32" s="618" t="s">
        <v>580</v>
      </c>
      <c r="BA32" s="622" t="s">
        <v>585</v>
      </c>
      <c r="BB32" s="622" t="s">
        <v>586</v>
      </c>
      <c r="BC32" s="620" t="s">
        <v>583</v>
      </c>
      <c r="BD32" s="621" t="s">
        <v>584</v>
      </c>
      <c r="BE32" s="530"/>
      <c r="BF32" s="618" t="s">
        <v>580</v>
      </c>
      <c r="BG32" s="622" t="s">
        <v>585</v>
      </c>
      <c r="BH32" s="622" t="s">
        <v>586</v>
      </c>
      <c r="BI32" s="620" t="s">
        <v>583</v>
      </c>
      <c r="BJ32" s="621" t="s">
        <v>584</v>
      </c>
      <c r="BK32" s="530"/>
      <c r="BL32" s="618" t="s">
        <v>580</v>
      </c>
      <c r="BM32" s="622" t="s">
        <v>585</v>
      </c>
      <c r="BN32" s="622" t="s">
        <v>586</v>
      </c>
      <c r="BO32" s="620" t="s">
        <v>583</v>
      </c>
      <c r="BP32" s="621" t="s">
        <v>584</v>
      </c>
      <c r="BQ32" s="530"/>
      <c r="BR32" s="618" t="s">
        <v>580</v>
      </c>
      <c r="BS32" s="622" t="s">
        <v>585</v>
      </c>
      <c r="BT32" s="622" t="s">
        <v>586</v>
      </c>
      <c r="BU32" s="620" t="s">
        <v>583</v>
      </c>
      <c r="BV32" s="621" t="s">
        <v>584</v>
      </c>
      <c r="BW32" s="530"/>
    </row>
    <row r="33">
      <c r="A33" s="13"/>
      <c r="C33" s="623" t="s">
        <v>558</v>
      </c>
      <c r="D33" s="624">
        <v>350.0</v>
      </c>
      <c r="E33" s="625">
        <v>0.0</v>
      </c>
      <c r="F33" s="624">
        <f t="shared" ref="F33:F38" si="75">D33</f>
        <v>350</v>
      </c>
      <c r="G33" s="626">
        <f t="shared" ref="G33:G38" si="76">SUM(E33+F33)</f>
        <v>350</v>
      </c>
      <c r="J33" s="623" t="s">
        <v>558</v>
      </c>
      <c r="K33" s="625">
        <f t="shared" ref="K33:K38" si="77">G33</f>
        <v>350</v>
      </c>
      <c r="L33" s="625">
        <v>0.0</v>
      </c>
      <c r="M33" s="624">
        <f t="shared" ref="M33:M38" si="78">K33</f>
        <v>350</v>
      </c>
      <c r="N33" s="626">
        <f t="shared" ref="N33:N38" si="79">SUM(L33+M33)</f>
        <v>350</v>
      </c>
      <c r="O33" s="530"/>
      <c r="P33" s="623" t="s">
        <v>558</v>
      </c>
      <c r="Q33" s="625">
        <f t="shared" ref="Q33:Q38" si="80">N33</f>
        <v>350</v>
      </c>
      <c r="R33" s="625">
        <v>0.0</v>
      </c>
      <c r="S33" s="624">
        <f t="shared" ref="S33:S38" si="81">Q33</f>
        <v>350</v>
      </c>
      <c r="T33" s="626">
        <f t="shared" ref="T33:T38" si="82">SUM(R33+S33)</f>
        <v>350</v>
      </c>
      <c r="U33" s="530"/>
      <c r="V33" s="623" t="s">
        <v>558</v>
      </c>
      <c r="W33" s="625">
        <f t="shared" ref="W33:W38" si="83">T33</f>
        <v>350</v>
      </c>
      <c r="X33" s="625">
        <v>0.0</v>
      </c>
      <c r="Y33" s="624">
        <f t="shared" ref="Y33:Y38" si="84">W33</f>
        <v>350</v>
      </c>
      <c r="Z33" s="626">
        <f t="shared" ref="Z33:Z38" si="85">SUM(X33+Y33)</f>
        <v>350</v>
      </c>
      <c r="AA33" s="530"/>
      <c r="AB33" s="623" t="s">
        <v>558</v>
      </c>
      <c r="AC33" s="625">
        <f t="shared" ref="AC33:AC38" si="86">Z33</f>
        <v>350</v>
      </c>
      <c r="AD33" s="625">
        <v>0.0</v>
      </c>
      <c r="AE33" s="624">
        <f t="shared" ref="AE33:AE38" si="87">AC33</f>
        <v>350</v>
      </c>
      <c r="AF33" s="626">
        <f t="shared" ref="AF33:AF38" si="88">SUM(AD33+AE33)</f>
        <v>350</v>
      </c>
      <c r="AG33" s="530"/>
      <c r="AH33" s="623" t="s">
        <v>558</v>
      </c>
      <c r="AI33" s="625">
        <f t="shared" ref="AI33:AI38" si="89">AF33</f>
        <v>350</v>
      </c>
      <c r="AJ33" s="625">
        <v>0.0</v>
      </c>
      <c r="AK33" s="624">
        <f t="shared" ref="AK33:AK38" si="90">AI33</f>
        <v>350</v>
      </c>
      <c r="AL33" s="626">
        <f t="shared" ref="AL33:AL38" si="91">SUM(AJ33+AK33)</f>
        <v>350</v>
      </c>
      <c r="AM33" s="530"/>
      <c r="AN33" s="623" t="s">
        <v>558</v>
      </c>
      <c r="AO33" s="625">
        <f t="shared" ref="AO33:AO38" si="92">AL33</f>
        <v>350</v>
      </c>
      <c r="AP33" s="625">
        <v>0.0</v>
      </c>
      <c r="AQ33" s="624">
        <f t="shared" ref="AQ33:AQ38" si="93">AO33</f>
        <v>350</v>
      </c>
      <c r="AR33" s="626">
        <f t="shared" ref="AR33:AR38" si="94">SUM(AP33+AQ33)</f>
        <v>350</v>
      </c>
      <c r="AS33" s="530"/>
      <c r="AT33" s="623" t="s">
        <v>558</v>
      </c>
      <c r="AU33" s="625">
        <f t="shared" ref="AU33:AU38" si="95">AR33</f>
        <v>350</v>
      </c>
      <c r="AV33" s="625">
        <v>0.0</v>
      </c>
      <c r="AW33" s="624">
        <f t="shared" ref="AW33:AW38" si="96">AU33</f>
        <v>350</v>
      </c>
      <c r="AX33" s="626">
        <f t="shared" ref="AX33:AX38" si="97">SUM(AV33+AW33)</f>
        <v>350</v>
      </c>
      <c r="AY33" s="530"/>
      <c r="AZ33" s="623" t="s">
        <v>558</v>
      </c>
      <c r="BA33" s="625">
        <f t="shared" ref="BA33:BA38" si="98">AX33</f>
        <v>350</v>
      </c>
      <c r="BB33" s="625">
        <v>0.0</v>
      </c>
      <c r="BC33" s="624">
        <f t="shared" ref="BC33:BC38" si="99">BA33</f>
        <v>350</v>
      </c>
      <c r="BD33" s="626">
        <f t="shared" ref="BD33:BD38" si="100">SUM(BB33+BC33)</f>
        <v>350</v>
      </c>
      <c r="BE33" s="530"/>
      <c r="BF33" s="623" t="s">
        <v>558</v>
      </c>
      <c r="BG33" s="625">
        <f t="shared" ref="BG33:BG38" si="101">BD33</f>
        <v>350</v>
      </c>
      <c r="BH33" s="625">
        <v>0.0</v>
      </c>
      <c r="BI33" s="624">
        <f t="shared" ref="BI33:BI38" si="102">BG33</f>
        <v>350</v>
      </c>
      <c r="BJ33" s="626">
        <f t="shared" ref="BJ33:BJ38" si="103">SUM(BH33+BI33)</f>
        <v>350</v>
      </c>
      <c r="BK33" s="530"/>
      <c r="BL33" s="623" t="s">
        <v>558</v>
      </c>
      <c r="BM33" s="625">
        <f t="shared" ref="BM33:BM38" si="104">BJ33</f>
        <v>350</v>
      </c>
      <c r="BN33" s="625">
        <v>0.0</v>
      </c>
      <c r="BO33" s="624">
        <f t="shared" ref="BO33:BO38" si="105">BM33</f>
        <v>350</v>
      </c>
      <c r="BP33" s="626">
        <f t="shared" ref="BP33:BP38" si="106">SUM(BN33+BO33)</f>
        <v>350</v>
      </c>
      <c r="BQ33" s="530"/>
      <c r="BR33" s="623" t="s">
        <v>558</v>
      </c>
      <c r="BS33" s="625">
        <f t="shared" ref="BS33:BS38" si="107">BP33</f>
        <v>350</v>
      </c>
      <c r="BT33" s="625">
        <v>0.0</v>
      </c>
      <c r="BU33" s="624">
        <f t="shared" ref="BU33:BU38" si="108">BS33</f>
        <v>350</v>
      </c>
      <c r="BV33" s="626">
        <f t="shared" ref="BV33:BV38" si="109">SUM(BT33+BU33)</f>
        <v>350</v>
      </c>
      <c r="BW33" s="530"/>
    </row>
    <row r="34">
      <c r="A34" s="13"/>
      <c r="C34" s="627" t="s">
        <v>575</v>
      </c>
      <c r="D34" s="628">
        <v>62.0</v>
      </c>
      <c r="E34" s="629">
        <v>0.0</v>
      </c>
      <c r="F34" s="630">
        <f t="shared" si="75"/>
        <v>62</v>
      </c>
      <c r="G34" s="631">
        <f t="shared" si="76"/>
        <v>62</v>
      </c>
      <c r="J34" s="627" t="s">
        <v>575</v>
      </c>
      <c r="K34" s="629">
        <f t="shared" si="77"/>
        <v>62</v>
      </c>
      <c r="L34" s="629">
        <v>0.0</v>
      </c>
      <c r="M34" s="630">
        <f t="shared" si="78"/>
        <v>62</v>
      </c>
      <c r="N34" s="631">
        <f t="shared" si="79"/>
        <v>62</v>
      </c>
      <c r="O34" s="530"/>
      <c r="P34" s="627" t="s">
        <v>575</v>
      </c>
      <c r="Q34" s="629">
        <f t="shared" si="80"/>
        <v>62</v>
      </c>
      <c r="R34" s="629">
        <v>0.0</v>
      </c>
      <c r="S34" s="630">
        <f t="shared" si="81"/>
        <v>62</v>
      </c>
      <c r="T34" s="631">
        <f t="shared" si="82"/>
        <v>62</v>
      </c>
      <c r="U34" s="530"/>
      <c r="V34" s="627" t="s">
        <v>575</v>
      </c>
      <c r="W34" s="629">
        <f t="shared" si="83"/>
        <v>62</v>
      </c>
      <c r="X34" s="629">
        <v>0.0</v>
      </c>
      <c r="Y34" s="630">
        <f t="shared" si="84"/>
        <v>62</v>
      </c>
      <c r="Z34" s="631">
        <f t="shared" si="85"/>
        <v>62</v>
      </c>
      <c r="AA34" s="530"/>
      <c r="AB34" s="627" t="s">
        <v>575</v>
      </c>
      <c r="AC34" s="629">
        <f t="shared" si="86"/>
        <v>62</v>
      </c>
      <c r="AD34" s="629">
        <v>0.0</v>
      </c>
      <c r="AE34" s="630">
        <f t="shared" si="87"/>
        <v>62</v>
      </c>
      <c r="AF34" s="631">
        <f t="shared" si="88"/>
        <v>62</v>
      </c>
      <c r="AG34" s="530"/>
      <c r="AH34" s="627" t="s">
        <v>575</v>
      </c>
      <c r="AI34" s="629">
        <f t="shared" si="89"/>
        <v>62</v>
      </c>
      <c r="AJ34" s="629">
        <v>0.0</v>
      </c>
      <c r="AK34" s="630">
        <f t="shared" si="90"/>
        <v>62</v>
      </c>
      <c r="AL34" s="631">
        <f t="shared" si="91"/>
        <v>62</v>
      </c>
      <c r="AM34" s="530"/>
      <c r="AN34" s="627" t="s">
        <v>575</v>
      </c>
      <c r="AO34" s="629">
        <f t="shared" si="92"/>
        <v>62</v>
      </c>
      <c r="AP34" s="629">
        <v>0.0</v>
      </c>
      <c r="AQ34" s="630">
        <f t="shared" si="93"/>
        <v>62</v>
      </c>
      <c r="AR34" s="631">
        <f t="shared" si="94"/>
        <v>62</v>
      </c>
      <c r="AS34" s="530"/>
      <c r="AT34" s="627" t="s">
        <v>575</v>
      </c>
      <c r="AU34" s="629">
        <f t="shared" si="95"/>
        <v>62</v>
      </c>
      <c r="AV34" s="629">
        <v>0.0</v>
      </c>
      <c r="AW34" s="630">
        <f t="shared" si="96"/>
        <v>62</v>
      </c>
      <c r="AX34" s="631">
        <f t="shared" si="97"/>
        <v>62</v>
      </c>
      <c r="AY34" s="530"/>
      <c r="AZ34" s="627" t="s">
        <v>575</v>
      </c>
      <c r="BA34" s="629">
        <f t="shared" si="98"/>
        <v>62</v>
      </c>
      <c r="BB34" s="629">
        <v>0.0</v>
      </c>
      <c r="BC34" s="630">
        <f t="shared" si="99"/>
        <v>62</v>
      </c>
      <c r="BD34" s="631">
        <f t="shared" si="100"/>
        <v>62</v>
      </c>
      <c r="BE34" s="530"/>
      <c r="BF34" s="627" t="s">
        <v>575</v>
      </c>
      <c r="BG34" s="629">
        <f t="shared" si="101"/>
        <v>62</v>
      </c>
      <c r="BH34" s="629">
        <v>0.0</v>
      </c>
      <c r="BI34" s="630">
        <f t="shared" si="102"/>
        <v>62</v>
      </c>
      <c r="BJ34" s="631">
        <f t="shared" si="103"/>
        <v>62</v>
      </c>
      <c r="BK34" s="530"/>
      <c r="BL34" s="627" t="s">
        <v>575</v>
      </c>
      <c r="BM34" s="629">
        <f t="shared" si="104"/>
        <v>62</v>
      </c>
      <c r="BN34" s="629">
        <v>0.0</v>
      </c>
      <c r="BO34" s="630">
        <f t="shared" si="105"/>
        <v>62</v>
      </c>
      <c r="BP34" s="631">
        <f t="shared" si="106"/>
        <v>62</v>
      </c>
      <c r="BQ34" s="530"/>
      <c r="BR34" s="627" t="s">
        <v>575</v>
      </c>
      <c r="BS34" s="629">
        <f t="shared" si="107"/>
        <v>62</v>
      </c>
      <c r="BT34" s="629">
        <v>0.0</v>
      </c>
      <c r="BU34" s="630">
        <f t="shared" si="108"/>
        <v>62</v>
      </c>
      <c r="BV34" s="631">
        <f t="shared" si="109"/>
        <v>62</v>
      </c>
      <c r="BW34" s="530"/>
    </row>
    <row r="35">
      <c r="A35" s="13"/>
      <c r="C35" s="623" t="s">
        <v>587</v>
      </c>
      <c r="D35" s="624">
        <v>2950.0</v>
      </c>
      <c r="E35" s="624">
        <v>0.0</v>
      </c>
      <c r="F35" s="632">
        <f t="shared" si="75"/>
        <v>2950</v>
      </c>
      <c r="G35" s="633">
        <f t="shared" si="76"/>
        <v>2950</v>
      </c>
      <c r="J35" s="623" t="s">
        <v>587</v>
      </c>
      <c r="K35" s="625">
        <f t="shared" si="77"/>
        <v>2950</v>
      </c>
      <c r="L35" s="625">
        <v>3000.0</v>
      </c>
      <c r="M35" s="632">
        <f t="shared" si="78"/>
        <v>2950</v>
      </c>
      <c r="N35" s="633">
        <f t="shared" si="79"/>
        <v>5950</v>
      </c>
      <c r="O35" s="530"/>
      <c r="P35" s="623" t="s">
        <v>587</v>
      </c>
      <c r="Q35" s="625">
        <f t="shared" si="80"/>
        <v>5950</v>
      </c>
      <c r="R35" s="625">
        <v>3000.0</v>
      </c>
      <c r="S35" s="632">
        <f t="shared" si="81"/>
        <v>5950</v>
      </c>
      <c r="T35" s="633">
        <f t="shared" si="82"/>
        <v>8950</v>
      </c>
      <c r="U35" s="530"/>
      <c r="V35" s="623" t="s">
        <v>587</v>
      </c>
      <c r="W35" s="625">
        <f t="shared" si="83"/>
        <v>8950</v>
      </c>
      <c r="X35" s="625">
        <v>3000.0</v>
      </c>
      <c r="Y35" s="632">
        <f t="shared" si="84"/>
        <v>8950</v>
      </c>
      <c r="Z35" s="633">
        <f t="shared" si="85"/>
        <v>11950</v>
      </c>
      <c r="AA35" s="530"/>
      <c r="AB35" s="623" t="s">
        <v>587</v>
      </c>
      <c r="AC35" s="625">
        <f t="shared" si="86"/>
        <v>11950</v>
      </c>
      <c r="AD35" s="625">
        <v>3000.0</v>
      </c>
      <c r="AE35" s="632">
        <f t="shared" si="87"/>
        <v>11950</v>
      </c>
      <c r="AF35" s="633">
        <f t="shared" si="88"/>
        <v>14950</v>
      </c>
      <c r="AG35" s="530"/>
      <c r="AH35" s="623" t="s">
        <v>587</v>
      </c>
      <c r="AI35" s="625">
        <f t="shared" si="89"/>
        <v>14950</v>
      </c>
      <c r="AJ35" s="625">
        <v>3000.0</v>
      </c>
      <c r="AK35" s="632">
        <f t="shared" si="90"/>
        <v>14950</v>
      </c>
      <c r="AL35" s="633">
        <f t="shared" si="91"/>
        <v>17950</v>
      </c>
      <c r="AM35" s="530"/>
      <c r="AN35" s="623" t="s">
        <v>587</v>
      </c>
      <c r="AO35" s="625">
        <f t="shared" si="92"/>
        <v>17950</v>
      </c>
      <c r="AP35" s="625">
        <v>3000.0</v>
      </c>
      <c r="AQ35" s="632">
        <f t="shared" si="93"/>
        <v>17950</v>
      </c>
      <c r="AR35" s="633">
        <f t="shared" si="94"/>
        <v>20950</v>
      </c>
      <c r="AS35" s="530"/>
      <c r="AT35" s="623" t="s">
        <v>587</v>
      </c>
      <c r="AU35" s="625">
        <f t="shared" si="95"/>
        <v>20950</v>
      </c>
      <c r="AV35" s="625">
        <v>3000.0</v>
      </c>
      <c r="AW35" s="632">
        <f t="shared" si="96"/>
        <v>20950</v>
      </c>
      <c r="AX35" s="633">
        <f t="shared" si="97"/>
        <v>23950</v>
      </c>
      <c r="AY35" s="530"/>
      <c r="AZ35" s="623" t="s">
        <v>587</v>
      </c>
      <c r="BA35" s="625">
        <f t="shared" si="98"/>
        <v>23950</v>
      </c>
      <c r="BB35" s="625">
        <v>3000.0</v>
      </c>
      <c r="BC35" s="632">
        <f t="shared" si="99"/>
        <v>23950</v>
      </c>
      <c r="BD35" s="633">
        <f t="shared" si="100"/>
        <v>26950</v>
      </c>
      <c r="BE35" s="530"/>
      <c r="BF35" s="623" t="s">
        <v>587</v>
      </c>
      <c r="BG35" s="625">
        <f t="shared" si="101"/>
        <v>26950</v>
      </c>
      <c r="BH35" s="625">
        <v>3000.0</v>
      </c>
      <c r="BI35" s="632">
        <f t="shared" si="102"/>
        <v>26950</v>
      </c>
      <c r="BJ35" s="633">
        <f t="shared" si="103"/>
        <v>29950</v>
      </c>
      <c r="BK35" s="530"/>
      <c r="BL35" s="623" t="s">
        <v>587</v>
      </c>
      <c r="BM35" s="625">
        <f t="shared" si="104"/>
        <v>29950</v>
      </c>
      <c r="BN35" s="625">
        <v>3000.0</v>
      </c>
      <c r="BO35" s="632">
        <f t="shared" si="105"/>
        <v>29950</v>
      </c>
      <c r="BP35" s="633">
        <f t="shared" si="106"/>
        <v>32950</v>
      </c>
      <c r="BQ35" s="530"/>
      <c r="BR35" s="623" t="s">
        <v>587</v>
      </c>
      <c r="BS35" s="625">
        <f t="shared" si="107"/>
        <v>32950</v>
      </c>
      <c r="BT35" s="625">
        <v>3000.0</v>
      </c>
      <c r="BU35" s="632">
        <f t="shared" si="108"/>
        <v>32950</v>
      </c>
      <c r="BV35" s="633">
        <f t="shared" si="109"/>
        <v>35950</v>
      </c>
      <c r="BW35" s="530"/>
    </row>
    <row r="36">
      <c r="A36" s="13"/>
      <c r="C36" s="634" t="s">
        <v>576</v>
      </c>
      <c r="D36" s="635">
        <v>53.0</v>
      </c>
      <c r="E36" s="636">
        <v>0.0</v>
      </c>
      <c r="F36" s="635">
        <f t="shared" si="75"/>
        <v>53</v>
      </c>
      <c r="G36" s="631">
        <f t="shared" si="76"/>
        <v>53</v>
      </c>
      <c r="J36" s="634" t="s">
        <v>576</v>
      </c>
      <c r="K36" s="636">
        <f t="shared" si="77"/>
        <v>53</v>
      </c>
      <c r="L36" s="636">
        <v>0.0</v>
      </c>
      <c r="M36" s="635">
        <f t="shared" si="78"/>
        <v>53</v>
      </c>
      <c r="N36" s="631">
        <f t="shared" si="79"/>
        <v>53</v>
      </c>
      <c r="O36" s="530"/>
      <c r="P36" s="634" t="s">
        <v>576</v>
      </c>
      <c r="Q36" s="636">
        <f t="shared" si="80"/>
        <v>53</v>
      </c>
      <c r="R36" s="636">
        <v>0.0</v>
      </c>
      <c r="S36" s="635">
        <f t="shared" si="81"/>
        <v>53</v>
      </c>
      <c r="T36" s="631">
        <f t="shared" si="82"/>
        <v>53</v>
      </c>
      <c r="U36" s="530"/>
      <c r="V36" s="634" t="s">
        <v>576</v>
      </c>
      <c r="W36" s="636">
        <f t="shared" si="83"/>
        <v>53</v>
      </c>
      <c r="X36" s="636">
        <v>0.0</v>
      </c>
      <c r="Y36" s="635">
        <f t="shared" si="84"/>
        <v>53</v>
      </c>
      <c r="Z36" s="631">
        <f t="shared" si="85"/>
        <v>53</v>
      </c>
      <c r="AA36" s="530"/>
      <c r="AB36" s="634" t="s">
        <v>576</v>
      </c>
      <c r="AC36" s="636">
        <f t="shared" si="86"/>
        <v>53</v>
      </c>
      <c r="AD36" s="636">
        <v>0.0</v>
      </c>
      <c r="AE36" s="635">
        <f t="shared" si="87"/>
        <v>53</v>
      </c>
      <c r="AF36" s="631">
        <f t="shared" si="88"/>
        <v>53</v>
      </c>
      <c r="AG36" s="530"/>
      <c r="AH36" s="634" t="s">
        <v>576</v>
      </c>
      <c r="AI36" s="636">
        <f t="shared" si="89"/>
        <v>53</v>
      </c>
      <c r="AJ36" s="636">
        <v>0.0</v>
      </c>
      <c r="AK36" s="635">
        <f t="shared" si="90"/>
        <v>53</v>
      </c>
      <c r="AL36" s="631">
        <f t="shared" si="91"/>
        <v>53</v>
      </c>
      <c r="AM36" s="530"/>
      <c r="AN36" s="634" t="s">
        <v>576</v>
      </c>
      <c r="AO36" s="636">
        <f t="shared" si="92"/>
        <v>53</v>
      </c>
      <c r="AP36" s="636">
        <v>0.0</v>
      </c>
      <c r="AQ36" s="635">
        <f t="shared" si="93"/>
        <v>53</v>
      </c>
      <c r="AR36" s="631">
        <f t="shared" si="94"/>
        <v>53</v>
      </c>
      <c r="AS36" s="530"/>
      <c r="AT36" s="634" t="s">
        <v>576</v>
      </c>
      <c r="AU36" s="636">
        <f t="shared" si="95"/>
        <v>53</v>
      </c>
      <c r="AV36" s="636">
        <v>0.0</v>
      </c>
      <c r="AW36" s="635">
        <f t="shared" si="96"/>
        <v>53</v>
      </c>
      <c r="AX36" s="631">
        <f t="shared" si="97"/>
        <v>53</v>
      </c>
      <c r="AY36" s="530"/>
      <c r="AZ36" s="634" t="s">
        <v>576</v>
      </c>
      <c r="BA36" s="636">
        <f t="shared" si="98"/>
        <v>53</v>
      </c>
      <c r="BB36" s="636">
        <v>0.0</v>
      </c>
      <c r="BC36" s="635">
        <f t="shared" si="99"/>
        <v>53</v>
      </c>
      <c r="BD36" s="631">
        <f t="shared" si="100"/>
        <v>53</v>
      </c>
      <c r="BE36" s="530"/>
      <c r="BF36" s="634" t="s">
        <v>576</v>
      </c>
      <c r="BG36" s="636">
        <f t="shared" si="101"/>
        <v>53</v>
      </c>
      <c r="BH36" s="636">
        <v>0.0</v>
      </c>
      <c r="BI36" s="635">
        <f t="shared" si="102"/>
        <v>53</v>
      </c>
      <c r="BJ36" s="631">
        <f t="shared" si="103"/>
        <v>53</v>
      </c>
      <c r="BK36" s="530"/>
      <c r="BL36" s="634" t="s">
        <v>576</v>
      </c>
      <c r="BM36" s="636">
        <f t="shared" si="104"/>
        <v>53</v>
      </c>
      <c r="BN36" s="636">
        <v>0.0</v>
      </c>
      <c r="BO36" s="635">
        <f t="shared" si="105"/>
        <v>53</v>
      </c>
      <c r="BP36" s="631">
        <f t="shared" si="106"/>
        <v>53</v>
      </c>
      <c r="BQ36" s="530"/>
      <c r="BR36" s="634" t="s">
        <v>576</v>
      </c>
      <c r="BS36" s="636">
        <f t="shared" si="107"/>
        <v>53</v>
      </c>
      <c r="BT36" s="636">
        <v>0.0</v>
      </c>
      <c r="BU36" s="635">
        <f t="shared" si="108"/>
        <v>53</v>
      </c>
      <c r="BV36" s="631">
        <f t="shared" si="109"/>
        <v>53</v>
      </c>
      <c r="BW36" s="530"/>
    </row>
    <row r="37">
      <c r="A37" s="13"/>
      <c r="C37" s="637" t="s">
        <v>588</v>
      </c>
      <c r="D37" s="638">
        <v>0.0</v>
      </c>
      <c r="E37" s="638">
        <v>0.0</v>
      </c>
      <c r="F37" s="639">
        <f t="shared" si="75"/>
        <v>0</v>
      </c>
      <c r="G37" s="640">
        <f t="shared" si="76"/>
        <v>0</v>
      </c>
      <c r="J37" s="637" t="s">
        <v>588</v>
      </c>
      <c r="K37" s="638">
        <f t="shared" si="77"/>
        <v>0</v>
      </c>
      <c r="L37" s="638">
        <v>0.0</v>
      </c>
      <c r="M37" s="639">
        <f t="shared" si="78"/>
        <v>0</v>
      </c>
      <c r="N37" s="640">
        <f t="shared" si="79"/>
        <v>0</v>
      </c>
      <c r="O37" s="530"/>
      <c r="P37" s="637" t="s">
        <v>588</v>
      </c>
      <c r="Q37" s="638">
        <f t="shared" si="80"/>
        <v>0</v>
      </c>
      <c r="R37" s="638">
        <v>0.0</v>
      </c>
      <c r="S37" s="639">
        <f t="shared" si="81"/>
        <v>0</v>
      </c>
      <c r="T37" s="640">
        <f t="shared" si="82"/>
        <v>0</v>
      </c>
      <c r="U37" s="530"/>
      <c r="V37" s="641" t="s">
        <v>588</v>
      </c>
      <c r="W37" s="638">
        <f t="shared" si="83"/>
        <v>0</v>
      </c>
      <c r="X37" s="638">
        <v>0.0</v>
      </c>
      <c r="Y37" s="639">
        <f t="shared" si="84"/>
        <v>0</v>
      </c>
      <c r="Z37" s="640">
        <f t="shared" si="85"/>
        <v>0</v>
      </c>
      <c r="AA37" s="530"/>
      <c r="AB37" s="641" t="s">
        <v>588</v>
      </c>
      <c r="AC37" s="638">
        <f t="shared" si="86"/>
        <v>0</v>
      </c>
      <c r="AD37" s="638">
        <v>0.0</v>
      </c>
      <c r="AE37" s="639">
        <f t="shared" si="87"/>
        <v>0</v>
      </c>
      <c r="AF37" s="640">
        <f t="shared" si="88"/>
        <v>0</v>
      </c>
      <c r="AG37" s="530"/>
      <c r="AH37" s="641" t="s">
        <v>588</v>
      </c>
      <c r="AI37" s="638">
        <f t="shared" si="89"/>
        <v>0</v>
      </c>
      <c r="AJ37" s="638">
        <v>0.0</v>
      </c>
      <c r="AK37" s="639">
        <f t="shared" si="90"/>
        <v>0</v>
      </c>
      <c r="AL37" s="640">
        <f t="shared" si="91"/>
        <v>0</v>
      </c>
      <c r="AM37" s="530"/>
      <c r="AN37" s="641" t="s">
        <v>588</v>
      </c>
      <c r="AO37" s="638">
        <f t="shared" si="92"/>
        <v>0</v>
      </c>
      <c r="AP37" s="638">
        <v>0.0</v>
      </c>
      <c r="AQ37" s="639">
        <f t="shared" si="93"/>
        <v>0</v>
      </c>
      <c r="AR37" s="640">
        <f t="shared" si="94"/>
        <v>0</v>
      </c>
      <c r="AS37" s="530"/>
      <c r="AT37" s="641" t="s">
        <v>588</v>
      </c>
      <c r="AU37" s="638">
        <f t="shared" si="95"/>
        <v>0</v>
      </c>
      <c r="AV37" s="638">
        <v>0.0</v>
      </c>
      <c r="AW37" s="639">
        <f t="shared" si="96"/>
        <v>0</v>
      </c>
      <c r="AX37" s="640">
        <f t="shared" si="97"/>
        <v>0</v>
      </c>
      <c r="AY37" s="530"/>
      <c r="AZ37" s="641" t="s">
        <v>588</v>
      </c>
      <c r="BA37" s="638">
        <f t="shared" si="98"/>
        <v>0</v>
      </c>
      <c r="BB37" s="638">
        <v>0.0</v>
      </c>
      <c r="BC37" s="639">
        <f t="shared" si="99"/>
        <v>0</v>
      </c>
      <c r="BD37" s="640">
        <f t="shared" si="100"/>
        <v>0</v>
      </c>
      <c r="BE37" s="530"/>
      <c r="BF37" s="641" t="s">
        <v>588</v>
      </c>
      <c r="BG37" s="638">
        <f t="shared" si="101"/>
        <v>0</v>
      </c>
      <c r="BH37" s="638">
        <v>0.0</v>
      </c>
      <c r="BI37" s="639">
        <f t="shared" si="102"/>
        <v>0</v>
      </c>
      <c r="BJ37" s="640">
        <f t="shared" si="103"/>
        <v>0</v>
      </c>
      <c r="BK37" s="530"/>
      <c r="BL37" s="641" t="s">
        <v>588</v>
      </c>
      <c r="BM37" s="638">
        <f t="shared" si="104"/>
        <v>0</v>
      </c>
      <c r="BN37" s="638">
        <v>0.0</v>
      </c>
      <c r="BO37" s="639">
        <f t="shared" si="105"/>
        <v>0</v>
      </c>
      <c r="BP37" s="640">
        <f t="shared" si="106"/>
        <v>0</v>
      </c>
      <c r="BQ37" s="530"/>
      <c r="BR37" s="641" t="s">
        <v>588</v>
      </c>
      <c r="BS37" s="638">
        <f t="shared" si="107"/>
        <v>0</v>
      </c>
      <c r="BT37" s="638">
        <v>0.0</v>
      </c>
      <c r="BU37" s="639">
        <f t="shared" si="108"/>
        <v>0</v>
      </c>
      <c r="BV37" s="640">
        <f t="shared" si="109"/>
        <v>0</v>
      </c>
      <c r="BW37" s="530"/>
    </row>
    <row r="38">
      <c r="A38" s="13"/>
      <c r="C38" s="642" t="s">
        <v>573</v>
      </c>
      <c r="D38" s="643">
        <f>SUM(C40+D40)</f>
        <v>169.66</v>
      </c>
      <c r="E38" s="643">
        <v>0.0</v>
      </c>
      <c r="F38" s="644">
        <f t="shared" si="75"/>
        <v>169.66</v>
      </c>
      <c r="G38" s="645">
        <f t="shared" si="76"/>
        <v>169.66</v>
      </c>
      <c r="J38" s="642" t="s">
        <v>573</v>
      </c>
      <c r="K38" s="643">
        <f t="shared" si="77"/>
        <v>169.66</v>
      </c>
      <c r="L38" s="643">
        <v>0.0</v>
      </c>
      <c r="M38" s="644">
        <f t="shared" si="78"/>
        <v>169.66</v>
      </c>
      <c r="N38" s="645">
        <f t="shared" si="79"/>
        <v>169.66</v>
      </c>
      <c r="O38" s="530"/>
      <c r="P38" s="642" t="s">
        <v>573</v>
      </c>
      <c r="Q38" s="643">
        <f t="shared" si="80"/>
        <v>169.66</v>
      </c>
      <c r="R38" s="643">
        <v>0.0</v>
      </c>
      <c r="S38" s="644">
        <f t="shared" si="81"/>
        <v>169.66</v>
      </c>
      <c r="T38" s="645">
        <f t="shared" si="82"/>
        <v>169.66</v>
      </c>
      <c r="U38" s="530"/>
      <c r="V38" s="642" t="s">
        <v>573</v>
      </c>
      <c r="W38" s="643">
        <f t="shared" si="83"/>
        <v>169.66</v>
      </c>
      <c r="X38" s="643">
        <v>0.0</v>
      </c>
      <c r="Y38" s="644">
        <f t="shared" si="84"/>
        <v>169.66</v>
      </c>
      <c r="Z38" s="645">
        <f t="shared" si="85"/>
        <v>169.66</v>
      </c>
      <c r="AA38" s="530"/>
      <c r="AB38" s="642" t="s">
        <v>573</v>
      </c>
      <c r="AC38" s="643">
        <f t="shared" si="86"/>
        <v>169.66</v>
      </c>
      <c r="AD38" s="643">
        <v>0.0</v>
      </c>
      <c r="AE38" s="644">
        <f t="shared" si="87"/>
        <v>169.66</v>
      </c>
      <c r="AF38" s="645">
        <f t="shared" si="88"/>
        <v>169.66</v>
      </c>
      <c r="AG38" s="530"/>
      <c r="AH38" s="642" t="s">
        <v>573</v>
      </c>
      <c r="AI38" s="643">
        <f t="shared" si="89"/>
        <v>169.66</v>
      </c>
      <c r="AJ38" s="643">
        <v>0.0</v>
      </c>
      <c r="AK38" s="644">
        <f t="shared" si="90"/>
        <v>169.66</v>
      </c>
      <c r="AL38" s="645">
        <f t="shared" si="91"/>
        <v>169.66</v>
      </c>
      <c r="AM38" s="530"/>
      <c r="AN38" s="642" t="s">
        <v>573</v>
      </c>
      <c r="AO38" s="643">
        <f t="shared" si="92"/>
        <v>169.66</v>
      </c>
      <c r="AP38" s="643">
        <v>0.0</v>
      </c>
      <c r="AQ38" s="644">
        <f t="shared" si="93"/>
        <v>169.66</v>
      </c>
      <c r="AR38" s="645">
        <f t="shared" si="94"/>
        <v>169.66</v>
      </c>
      <c r="AS38" s="530"/>
      <c r="AT38" s="642" t="s">
        <v>573</v>
      </c>
      <c r="AU38" s="643">
        <f t="shared" si="95"/>
        <v>169.66</v>
      </c>
      <c r="AV38" s="643">
        <v>0.0</v>
      </c>
      <c r="AW38" s="644">
        <f t="shared" si="96"/>
        <v>169.66</v>
      </c>
      <c r="AX38" s="645">
        <f t="shared" si="97"/>
        <v>169.66</v>
      </c>
      <c r="AY38" s="530"/>
      <c r="AZ38" s="642" t="s">
        <v>573</v>
      </c>
      <c r="BA38" s="643">
        <f t="shared" si="98"/>
        <v>169.66</v>
      </c>
      <c r="BB38" s="643">
        <v>0.0</v>
      </c>
      <c r="BC38" s="644">
        <f t="shared" si="99"/>
        <v>169.66</v>
      </c>
      <c r="BD38" s="645">
        <f t="shared" si="100"/>
        <v>169.66</v>
      </c>
      <c r="BE38" s="530"/>
      <c r="BF38" s="642" t="s">
        <v>573</v>
      </c>
      <c r="BG38" s="643">
        <f t="shared" si="101"/>
        <v>169.66</v>
      </c>
      <c r="BH38" s="643">
        <v>0.0</v>
      </c>
      <c r="BI38" s="644">
        <f t="shared" si="102"/>
        <v>169.66</v>
      </c>
      <c r="BJ38" s="645">
        <f t="shared" si="103"/>
        <v>169.66</v>
      </c>
      <c r="BK38" s="530"/>
      <c r="BL38" s="642" t="s">
        <v>573</v>
      </c>
      <c r="BM38" s="643">
        <f t="shared" si="104"/>
        <v>169.66</v>
      </c>
      <c r="BN38" s="643">
        <v>0.0</v>
      </c>
      <c r="BO38" s="644">
        <f t="shared" si="105"/>
        <v>169.66</v>
      </c>
      <c r="BP38" s="645">
        <f t="shared" si="106"/>
        <v>169.66</v>
      </c>
      <c r="BQ38" s="530"/>
      <c r="BR38" s="642" t="s">
        <v>573</v>
      </c>
      <c r="BS38" s="643">
        <f t="shared" si="107"/>
        <v>169.66</v>
      </c>
      <c r="BT38" s="643">
        <v>0.0</v>
      </c>
      <c r="BU38" s="644">
        <f t="shared" si="108"/>
        <v>169.66</v>
      </c>
      <c r="BV38" s="645">
        <f t="shared" si="109"/>
        <v>169.66</v>
      </c>
      <c r="BW38" s="530"/>
    </row>
    <row r="39">
      <c r="A39" s="13"/>
      <c r="C39" s="646" t="s">
        <v>589</v>
      </c>
      <c r="D39" s="646" t="s">
        <v>590</v>
      </c>
      <c r="E39" s="647" t="s">
        <v>134</v>
      </c>
      <c r="F39" s="648">
        <f t="shared" ref="F39:G39" si="110">SUM(F33:F38)</f>
        <v>3584.66</v>
      </c>
      <c r="G39" s="649">
        <f t="shared" si="110"/>
        <v>3584.66</v>
      </c>
      <c r="J39" s="646" t="s">
        <v>589</v>
      </c>
      <c r="K39" s="646" t="s">
        <v>590</v>
      </c>
      <c r="L39" s="647" t="s">
        <v>134</v>
      </c>
      <c r="M39" s="648">
        <f t="shared" ref="M39:N39" si="111">SUM(M33:M38)</f>
        <v>3584.66</v>
      </c>
      <c r="N39" s="649">
        <f t="shared" si="111"/>
        <v>6584.66</v>
      </c>
      <c r="O39" s="530"/>
      <c r="P39" s="646" t="s">
        <v>589</v>
      </c>
      <c r="Q39" s="646" t="s">
        <v>590</v>
      </c>
      <c r="R39" s="647" t="s">
        <v>134</v>
      </c>
      <c r="S39" s="648">
        <f t="shared" ref="S39:T39" si="112">SUM(S33:S38)</f>
        <v>6584.66</v>
      </c>
      <c r="T39" s="649">
        <f t="shared" si="112"/>
        <v>9584.66</v>
      </c>
      <c r="U39" s="530"/>
      <c r="V39" s="646" t="s">
        <v>589</v>
      </c>
      <c r="W39" s="646" t="s">
        <v>590</v>
      </c>
      <c r="X39" s="647" t="s">
        <v>134</v>
      </c>
      <c r="Y39" s="648">
        <f t="shared" ref="Y39:Z39" si="113">SUM(Y33:Y38)</f>
        <v>9584.66</v>
      </c>
      <c r="Z39" s="649">
        <f t="shared" si="113"/>
        <v>12584.66</v>
      </c>
      <c r="AA39" s="530"/>
      <c r="AB39" s="646" t="s">
        <v>589</v>
      </c>
      <c r="AC39" s="646" t="s">
        <v>590</v>
      </c>
      <c r="AD39" s="647" t="s">
        <v>134</v>
      </c>
      <c r="AE39" s="648">
        <f t="shared" ref="AE39:AF39" si="114">SUM(AE33:AE38)</f>
        <v>12584.66</v>
      </c>
      <c r="AF39" s="649">
        <f t="shared" si="114"/>
        <v>15584.66</v>
      </c>
      <c r="AG39" s="530"/>
      <c r="AH39" s="646" t="s">
        <v>589</v>
      </c>
      <c r="AI39" s="646" t="s">
        <v>590</v>
      </c>
      <c r="AJ39" s="647" t="s">
        <v>134</v>
      </c>
      <c r="AK39" s="648">
        <f t="shared" ref="AK39:AL39" si="115">SUM(AK33:AK38)</f>
        <v>15584.66</v>
      </c>
      <c r="AL39" s="649">
        <f t="shared" si="115"/>
        <v>18584.66</v>
      </c>
      <c r="AM39" s="530"/>
      <c r="AN39" s="646" t="s">
        <v>589</v>
      </c>
      <c r="AO39" s="646" t="s">
        <v>590</v>
      </c>
      <c r="AP39" s="647" t="s">
        <v>134</v>
      </c>
      <c r="AQ39" s="648">
        <f t="shared" ref="AQ39:AR39" si="116">SUM(AQ33:AQ38)</f>
        <v>18584.66</v>
      </c>
      <c r="AR39" s="649">
        <f t="shared" si="116"/>
        <v>21584.66</v>
      </c>
      <c r="AS39" s="530"/>
      <c r="AT39" s="646" t="s">
        <v>589</v>
      </c>
      <c r="AU39" s="646" t="s">
        <v>590</v>
      </c>
      <c r="AV39" s="647" t="s">
        <v>134</v>
      </c>
      <c r="AW39" s="648">
        <f t="shared" ref="AW39:AX39" si="117">SUM(AW33:AW38)</f>
        <v>21584.66</v>
      </c>
      <c r="AX39" s="649">
        <f t="shared" si="117"/>
        <v>24584.66</v>
      </c>
      <c r="AY39" s="530"/>
      <c r="AZ39" s="646" t="s">
        <v>589</v>
      </c>
      <c r="BA39" s="646" t="s">
        <v>590</v>
      </c>
      <c r="BB39" s="647" t="s">
        <v>134</v>
      </c>
      <c r="BC39" s="648">
        <f t="shared" ref="BC39:BD39" si="118">SUM(BC33:BC38)</f>
        <v>24584.66</v>
      </c>
      <c r="BD39" s="649">
        <f t="shared" si="118"/>
        <v>27584.66</v>
      </c>
      <c r="BE39" s="530"/>
      <c r="BF39" s="646" t="s">
        <v>589</v>
      </c>
      <c r="BG39" s="646" t="s">
        <v>590</v>
      </c>
      <c r="BH39" s="647" t="s">
        <v>134</v>
      </c>
      <c r="BI39" s="648">
        <f t="shared" ref="BI39:BJ39" si="119">SUM(BI33:BI38)</f>
        <v>27584.66</v>
      </c>
      <c r="BJ39" s="649">
        <f t="shared" si="119"/>
        <v>30584.66</v>
      </c>
      <c r="BK39" s="530"/>
      <c r="BL39" s="646" t="s">
        <v>589</v>
      </c>
      <c r="BM39" s="646" t="s">
        <v>590</v>
      </c>
      <c r="BN39" s="647" t="s">
        <v>134</v>
      </c>
      <c r="BO39" s="648">
        <f t="shared" ref="BO39:BP39" si="120">SUM(BO33:BO38)</f>
        <v>30584.66</v>
      </c>
      <c r="BP39" s="649">
        <f t="shared" si="120"/>
        <v>33584.66</v>
      </c>
      <c r="BQ39" s="530"/>
      <c r="BR39" s="646" t="s">
        <v>589</v>
      </c>
      <c r="BS39" s="646" t="s">
        <v>590</v>
      </c>
      <c r="BT39" s="647" t="s">
        <v>134</v>
      </c>
      <c r="BU39" s="648">
        <f t="shared" ref="BU39:BV39" si="121">SUM(BU33:BU38)</f>
        <v>33584.66</v>
      </c>
      <c r="BV39" s="649">
        <f t="shared" si="121"/>
        <v>36584.66</v>
      </c>
      <c r="BW39" s="530"/>
    </row>
    <row r="40">
      <c r="A40" s="13"/>
      <c r="C40" s="650">
        <v>100.0</v>
      </c>
      <c r="D40" s="650">
        <v>69.66</v>
      </c>
      <c r="E40" s="647"/>
      <c r="F40" s="7"/>
      <c r="G40" s="9"/>
      <c r="J40" s="651">
        <v>762.0</v>
      </c>
      <c r="K40" s="651">
        <v>940.0</v>
      </c>
      <c r="L40" s="647"/>
      <c r="M40" s="7"/>
      <c r="N40" s="9"/>
      <c r="O40" s="530"/>
      <c r="P40" s="651">
        <v>762.0</v>
      </c>
      <c r="Q40" s="651">
        <v>940.0</v>
      </c>
      <c r="R40" s="647"/>
      <c r="S40" s="7"/>
      <c r="T40" s="9"/>
      <c r="U40" s="530"/>
      <c r="V40" s="651">
        <v>762.0</v>
      </c>
      <c r="W40" s="651">
        <v>940.0</v>
      </c>
      <c r="X40" s="117"/>
      <c r="Y40" s="7"/>
      <c r="Z40" s="9"/>
      <c r="AA40" s="530"/>
      <c r="AB40" s="651">
        <v>762.0</v>
      </c>
      <c r="AC40" s="651">
        <v>940.0</v>
      </c>
      <c r="AD40" s="117"/>
      <c r="AE40" s="7"/>
      <c r="AF40" s="9"/>
      <c r="AG40" s="530"/>
      <c r="AH40" s="651">
        <v>762.0</v>
      </c>
      <c r="AI40" s="651">
        <v>940.0</v>
      </c>
      <c r="AJ40" s="117"/>
      <c r="AK40" s="7"/>
      <c r="AL40" s="9"/>
      <c r="AM40" s="530"/>
      <c r="AN40" s="651">
        <v>762.0</v>
      </c>
      <c r="AO40" s="651">
        <v>940.0</v>
      </c>
      <c r="AP40" s="117"/>
      <c r="AQ40" s="7"/>
      <c r="AR40" s="9"/>
      <c r="AS40" s="530"/>
      <c r="AT40" s="651">
        <v>762.0</v>
      </c>
      <c r="AU40" s="651">
        <v>940.0</v>
      </c>
      <c r="AV40" s="117"/>
      <c r="AW40" s="7"/>
      <c r="AX40" s="9"/>
      <c r="AY40" s="530"/>
      <c r="AZ40" s="651">
        <v>762.0</v>
      </c>
      <c r="BA40" s="651">
        <v>940.0</v>
      </c>
      <c r="BB40" s="117"/>
      <c r="BC40" s="7"/>
      <c r="BD40" s="9"/>
      <c r="BE40" s="530"/>
      <c r="BF40" s="651">
        <v>762.0</v>
      </c>
      <c r="BG40" s="651">
        <v>940.0</v>
      </c>
      <c r="BH40" s="117"/>
      <c r="BI40" s="7"/>
      <c r="BJ40" s="9"/>
      <c r="BK40" s="530"/>
      <c r="BL40" s="651">
        <v>762.0</v>
      </c>
      <c r="BM40" s="651">
        <v>940.0</v>
      </c>
      <c r="BN40" s="117"/>
      <c r="BO40" s="7"/>
      <c r="BP40" s="9"/>
      <c r="BQ40" s="530"/>
      <c r="BR40" s="651">
        <v>762.0</v>
      </c>
      <c r="BS40" s="651">
        <v>940.0</v>
      </c>
      <c r="BT40" s="117"/>
      <c r="BU40" s="7"/>
      <c r="BV40" s="9"/>
      <c r="BW40" s="530"/>
    </row>
    <row r="41">
      <c r="A41" s="13"/>
      <c r="O41" s="530"/>
      <c r="U41" s="530"/>
      <c r="V41" s="7"/>
      <c r="W41" s="7"/>
      <c r="X41" s="7"/>
      <c r="Y41" s="7"/>
      <c r="Z41" s="7"/>
      <c r="AA41" s="530"/>
      <c r="AB41" s="7"/>
      <c r="AC41" s="7"/>
      <c r="AD41" s="7"/>
      <c r="AE41" s="7"/>
      <c r="AF41" s="7"/>
      <c r="AG41" s="530"/>
      <c r="AH41" s="7"/>
      <c r="AI41" s="7"/>
      <c r="AJ41" s="7"/>
      <c r="AK41" s="7"/>
      <c r="AL41" s="7"/>
      <c r="AM41" s="530"/>
      <c r="AN41" s="7"/>
      <c r="AO41" s="7"/>
      <c r="AP41" s="7"/>
      <c r="AQ41" s="7"/>
      <c r="AR41" s="7"/>
      <c r="AS41" s="530"/>
      <c r="AT41" s="7"/>
      <c r="AU41" s="7"/>
      <c r="AV41" s="7"/>
      <c r="AW41" s="7"/>
      <c r="AX41" s="7"/>
      <c r="AY41" s="530"/>
      <c r="AZ41" s="7"/>
      <c r="BA41" s="7"/>
      <c r="BB41" s="7"/>
      <c r="BC41" s="7"/>
      <c r="BD41" s="7"/>
      <c r="BE41" s="530"/>
      <c r="BF41" s="7"/>
      <c r="BG41" s="7"/>
      <c r="BH41" s="7"/>
      <c r="BI41" s="7"/>
      <c r="BJ41" s="7"/>
      <c r="BK41" s="530"/>
      <c r="BL41" s="7"/>
      <c r="BM41" s="7"/>
      <c r="BN41" s="7"/>
      <c r="BO41" s="7"/>
      <c r="BP41" s="7"/>
      <c r="BQ41" s="530"/>
      <c r="BR41" s="7"/>
      <c r="BS41" s="7"/>
      <c r="BT41" s="7"/>
      <c r="BU41" s="7"/>
      <c r="BV41" s="7"/>
      <c r="BW41" s="530"/>
    </row>
    <row r="42">
      <c r="A42" s="1"/>
      <c r="B42" s="1"/>
      <c r="H42" s="652"/>
      <c r="I42" s="652"/>
      <c r="O42" s="530"/>
      <c r="U42" s="530"/>
      <c r="V42" s="7"/>
      <c r="W42" s="7"/>
      <c r="X42" s="7"/>
      <c r="Y42" s="7"/>
      <c r="Z42" s="7"/>
      <c r="AA42" s="530"/>
      <c r="AB42" s="7"/>
      <c r="AC42" s="7"/>
      <c r="AD42" s="7"/>
      <c r="AE42" s="7"/>
      <c r="AF42" s="7"/>
      <c r="AG42" s="530"/>
      <c r="AH42" s="7"/>
      <c r="AI42" s="7"/>
      <c r="AJ42" s="7"/>
      <c r="AK42" s="7"/>
      <c r="AL42" s="7"/>
      <c r="AM42" s="530"/>
      <c r="AN42" s="7"/>
      <c r="AO42" s="7"/>
      <c r="AP42" s="7"/>
      <c r="AQ42" s="7"/>
      <c r="AR42" s="7"/>
      <c r="AS42" s="530"/>
      <c r="AT42" s="7"/>
      <c r="AU42" s="7"/>
      <c r="AV42" s="7"/>
      <c r="AW42" s="7"/>
      <c r="AX42" s="7"/>
      <c r="AY42" s="530"/>
      <c r="AZ42" s="7"/>
      <c r="BA42" s="7"/>
      <c r="BB42" s="7"/>
      <c r="BC42" s="7"/>
      <c r="BD42" s="7"/>
      <c r="BE42" s="530"/>
      <c r="BF42" s="7"/>
      <c r="BG42" s="7"/>
      <c r="BH42" s="7"/>
      <c r="BI42" s="7"/>
      <c r="BJ42" s="7"/>
      <c r="BK42" s="530"/>
      <c r="BL42" s="7"/>
      <c r="BM42" s="7"/>
      <c r="BN42" s="7"/>
      <c r="BO42" s="7"/>
      <c r="BP42" s="7"/>
      <c r="BQ42" s="530"/>
      <c r="BR42" s="7"/>
      <c r="BS42" s="7"/>
      <c r="BT42" s="7"/>
      <c r="BU42" s="7"/>
      <c r="BV42" s="7"/>
      <c r="BW42" s="530"/>
    </row>
    <row r="43">
      <c r="A43" s="1"/>
      <c r="B43" s="1"/>
      <c r="C43" s="617" t="s">
        <v>591</v>
      </c>
      <c r="D43" s="593"/>
      <c r="E43" s="593"/>
      <c r="F43" s="594"/>
      <c r="J43" s="617" t="s">
        <v>591</v>
      </c>
      <c r="K43" s="593"/>
      <c r="L43" s="593"/>
      <c r="M43" s="594"/>
      <c r="O43" s="530"/>
      <c r="P43" s="617" t="s">
        <v>591</v>
      </c>
      <c r="Q43" s="593"/>
      <c r="R43" s="593"/>
      <c r="S43" s="594"/>
      <c r="U43" s="530"/>
      <c r="V43" s="595" t="s">
        <v>591</v>
      </c>
      <c r="W43" s="593"/>
      <c r="X43" s="593"/>
      <c r="Y43" s="594"/>
      <c r="Z43" s="7"/>
      <c r="AA43" s="530"/>
      <c r="AB43" s="595" t="s">
        <v>591</v>
      </c>
      <c r="AC43" s="593"/>
      <c r="AD43" s="593"/>
      <c r="AE43" s="594"/>
      <c r="AF43" s="7"/>
      <c r="AG43" s="530"/>
      <c r="AH43" s="595" t="s">
        <v>591</v>
      </c>
      <c r="AI43" s="593"/>
      <c r="AJ43" s="593"/>
      <c r="AK43" s="594"/>
      <c r="AL43" s="7"/>
      <c r="AM43" s="530"/>
      <c r="AN43" s="595" t="s">
        <v>591</v>
      </c>
      <c r="AO43" s="593"/>
      <c r="AP43" s="593"/>
      <c r="AQ43" s="594"/>
      <c r="AR43" s="7"/>
      <c r="AS43" s="530"/>
      <c r="AT43" s="595" t="s">
        <v>591</v>
      </c>
      <c r="AU43" s="593"/>
      <c r="AV43" s="593"/>
      <c r="AW43" s="594"/>
      <c r="AX43" s="7"/>
      <c r="AY43" s="530"/>
      <c r="AZ43" s="595" t="s">
        <v>591</v>
      </c>
      <c r="BA43" s="593"/>
      <c r="BB43" s="593"/>
      <c r="BC43" s="594"/>
      <c r="BD43" s="7"/>
      <c r="BE43" s="530"/>
      <c r="BF43" s="595" t="s">
        <v>591</v>
      </c>
      <c r="BG43" s="593"/>
      <c r="BH43" s="593"/>
      <c r="BI43" s="594"/>
      <c r="BJ43" s="7"/>
      <c r="BK43" s="530"/>
      <c r="BL43" s="595" t="s">
        <v>591</v>
      </c>
      <c r="BM43" s="593"/>
      <c r="BN43" s="593"/>
      <c r="BO43" s="594"/>
      <c r="BP43" s="7"/>
      <c r="BQ43" s="530"/>
      <c r="BR43" s="595" t="s">
        <v>591</v>
      </c>
      <c r="BS43" s="593"/>
      <c r="BT43" s="593"/>
      <c r="BU43" s="594"/>
      <c r="BV43" s="7"/>
      <c r="BW43" s="530"/>
    </row>
    <row r="44">
      <c r="A44" s="1"/>
      <c r="B44" s="1"/>
      <c r="C44" s="653" t="s">
        <v>592</v>
      </c>
      <c r="D44" s="654" t="s">
        <v>593</v>
      </c>
      <c r="E44" s="655" t="s">
        <v>594</v>
      </c>
      <c r="F44" s="654" t="s">
        <v>526</v>
      </c>
      <c r="J44" s="653" t="s">
        <v>592</v>
      </c>
      <c r="K44" s="654" t="s">
        <v>593</v>
      </c>
      <c r="L44" s="655" t="s">
        <v>594</v>
      </c>
      <c r="M44" s="654" t="s">
        <v>526</v>
      </c>
      <c r="O44" s="530"/>
      <c r="P44" s="653" t="s">
        <v>592</v>
      </c>
      <c r="Q44" s="654" t="s">
        <v>593</v>
      </c>
      <c r="R44" s="655" t="s">
        <v>594</v>
      </c>
      <c r="S44" s="654" t="s">
        <v>526</v>
      </c>
      <c r="U44" s="530"/>
      <c r="V44" s="656" t="s">
        <v>592</v>
      </c>
      <c r="W44" s="657" t="s">
        <v>593</v>
      </c>
      <c r="X44" s="657" t="s">
        <v>594</v>
      </c>
      <c r="Y44" s="657" t="s">
        <v>526</v>
      </c>
      <c r="Z44" s="7"/>
      <c r="AA44" s="530"/>
      <c r="AB44" s="656" t="s">
        <v>592</v>
      </c>
      <c r="AC44" s="657" t="s">
        <v>593</v>
      </c>
      <c r="AD44" s="657" t="s">
        <v>594</v>
      </c>
      <c r="AE44" s="657" t="s">
        <v>526</v>
      </c>
      <c r="AF44" s="7"/>
      <c r="AG44" s="530"/>
      <c r="AH44" s="656" t="s">
        <v>592</v>
      </c>
      <c r="AI44" s="657" t="s">
        <v>593</v>
      </c>
      <c r="AJ44" s="657" t="s">
        <v>594</v>
      </c>
      <c r="AK44" s="657" t="s">
        <v>526</v>
      </c>
      <c r="AL44" s="7"/>
      <c r="AM44" s="530"/>
      <c r="AN44" s="656" t="s">
        <v>592</v>
      </c>
      <c r="AO44" s="657" t="s">
        <v>593</v>
      </c>
      <c r="AP44" s="657" t="s">
        <v>594</v>
      </c>
      <c r="AQ44" s="657" t="s">
        <v>526</v>
      </c>
      <c r="AR44" s="7"/>
      <c r="AS44" s="530"/>
      <c r="AT44" s="656" t="s">
        <v>592</v>
      </c>
      <c r="AU44" s="657" t="s">
        <v>593</v>
      </c>
      <c r="AV44" s="657" t="s">
        <v>594</v>
      </c>
      <c r="AW44" s="657" t="s">
        <v>526</v>
      </c>
      <c r="AX44" s="7"/>
      <c r="AY44" s="530"/>
      <c r="AZ44" s="656" t="s">
        <v>592</v>
      </c>
      <c r="BA44" s="657" t="s">
        <v>593</v>
      </c>
      <c r="BB44" s="657" t="s">
        <v>594</v>
      </c>
      <c r="BC44" s="657" t="s">
        <v>526</v>
      </c>
      <c r="BD44" s="7"/>
      <c r="BE44" s="530"/>
      <c r="BF44" s="656" t="s">
        <v>592</v>
      </c>
      <c r="BG44" s="657" t="s">
        <v>593</v>
      </c>
      <c r="BH44" s="657" t="s">
        <v>594</v>
      </c>
      <c r="BI44" s="657" t="s">
        <v>526</v>
      </c>
      <c r="BJ44" s="7"/>
      <c r="BK44" s="530"/>
      <c r="BL44" s="656" t="s">
        <v>592</v>
      </c>
      <c r="BM44" s="657" t="s">
        <v>593</v>
      </c>
      <c r="BN44" s="657" t="s">
        <v>594</v>
      </c>
      <c r="BO44" s="657" t="s">
        <v>526</v>
      </c>
      <c r="BP44" s="7"/>
      <c r="BQ44" s="530"/>
      <c r="BR44" s="656" t="s">
        <v>592</v>
      </c>
      <c r="BS44" s="657" t="s">
        <v>593</v>
      </c>
      <c r="BT44" s="657" t="s">
        <v>594</v>
      </c>
      <c r="BU44" s="657" t="s">
        <v>526</v>
      </c>
      <c r="BV44" s="7"/>
      <c r="BW44" s="530"/>
    </row>
    <row r="45">
      <c r="A45" s="1"/>
      <c r="B45" s="1"/>
      <c r="C45" s="658" t="s">
        <v>573</v>
      </c>
      <c r="D45" s="659">
        <f>G38</f>
        <v>169.66</v>
      </c>
      <c r="E45" s="660">
        <f>ABS(SUM(SUMIF(E54:E110,"Caixa",G54:G110)-SUMIF(E54:E110,"Caixa",H54:H110)))</f>
        <v>0</v>
      </c>
      <c r="F45" s="661">
        <f t="shared" ref="F45:F50" si="122">D45-E45</f>
        <v>169.66</v>
      </c>
      <c r="J45" s="658" t="s">
        <v>595</v>
      </c>
      <c r="K45" s="659">
        <v>100.0</v>
      </c>
      <c r="L45" s="140">
        <f t="shared" ref="L45:L50" si="123">IFERROR(VLOOKUP(J45,L54:N1032,3)+K45,0)</f>
        <v>200</v>
      </c>
      <c r="M45" s="661">
        <f t="shared" ref="M45:M50" si="124">K45-L45</f>
        <v>-100</v>
      </c>
      <c r="O45" s="530"/>
      <c r="P45" s="658" t="s">
        <v>595</v>
      </c>
      <c r="Q45" s="659">
        <v>100.0</v>
      </c>
      <c r="R45" s="140">
        <f t="shared" ref="R45:R50" si="125">IFERROR(VLOOKUP(P45,R54:T1032,3)+Q45,0)</f>
        <v>200</v>
      </c>
      <c r="S45" s="661">
        <f t="shared" ref="S45:S50" si="126">Q45-R45</f>
        <v>-100</v>
      </c>
      <c r="U45" s="530"/>
      <c r="V45" s="662" t="s">
        <v>595</v>
      </c>
      <c r="W45" s="663">
        <v>100.0</v>
      </c>
      <c r="X45" s="664">
        <f t="shared" ref="X45:X50" si="127">IFERROR(VLOOKUP(V45,X54:Z1032,3)+W45,0)</f>
        <v>200</v>
      </c>
      <c r="Y45" s="665">
        <f t="shared" ref="Y45:Y50" si="128">W45-X45</f>
        <v>-100</v>
      </c>
      <c r="Z45" s="7"/>
      <c r="AA45" s="530"/>
      <c r="AB45" s="662" t="s">
        <v>595</v>
      </c>
      <c r="AC45" s="663">
        <v>100.0</v>
      </c>
      <c r="AD45" s="664">
        <f t="shared" ref="AD45:AD50" si="129">IFERROR(VLOOKUP(AB45,AD54:AF1032,3)+AC45,0)</f>
        <v>200</v>
      </c>
      <c r="AE45" s="665">
        <f t="shared" ref="AE45:AE50" si="130">AC45-AD45</f>
        <v>-100</v>
      </c>
      <c r="AF45" s="7"/>
      <c r="AG45" s="530"/>
      <c r="AH45" s="662" t="s">
        <v>595</v>
      </c>
      <c r="AI45" s="663">
        <v>100.0</v>
      </c>
      <c r="AJ45" s="664">
        <f t="shared" ref="AJ45:AJ50" si="131">IFERROR(VLOOKUP(AH45,AJ54:AL1032,3)+AI45,0)</f>
        <v>200</v>
      </c>
      <c r="AK45" s="665">
        <f t="shared" ref="AK45:AK50" si="132">AI45-AJ45</f>
        <v>-100</v>
      </c>
      <c r="AL45" s="7"/>
      <c r="AM45" s="530"/>
      <c r="AN45" s="662" t="s">
        <v>595</v>
      </c>
      <c r="AO45" s="663">
        <v>100.0</v>
      </c>
      <c r="AP45" s="664">
        <f t="shared" ref="AP45:AP50" si="133">IFERROR(VLOOKUP(AN45,AP54:AR1032,3)+AO45,0)</f>
        <v>200</v>
      </c>
      <c r="AQ45" s="665">
        <f t="shared" ref="AQ45:AQ50" si="134">AO45-AP45</f>
        <v>-100</v>
      </c>
      <c r="AR45" s="7"/>
      <c r="AS45" s="530"/>
      <c r="AT45" s="662" t="s">
        <v>595</v>
      </c>
      <c r="AU45" s="663">
        <v>100.0</v>
      </c>
      <c r="AV45" s="664">
        <f t="shared" ref="AV45:AV50" si="135">IFERROR(VLOOKUP(AT45,AV54:AX1032,3)+AU45,0)</f>
        <v>200</v>
      </c>
      <c r="AW45" s="665">
        <f t="shared" ref="AW45:AW50" si="136">AU45-AV45</f>
        <v>-100</v>
      </c>
      <c r="AX45" s="7"/>
      <c r="AY45" s="530"/>
      <c r="AZ45" s="662" t="s">
        <v>595</v>
      </c>
      <c r="BA45" s="663">
        <v>100.0</v>
      </c>
      <c r="BB45" s="664">
        <f t="shared" ref="BB45:BB50" si="137">IFERROR(VLOOKUP(AZ45,BB54:BD1032,3)+BA45,0)</f>
        <v>200</v>
      </c>
      <c r="BC45" s="665">
        <f t="shared" ref="BC45:BC50" si="138">BA45-BB45</f>
        <v>-100</v>
      </c>
      <c r="BD45" s="7"/>
      <c r="BE45" s="530"/>
      <c r="BF45" s="662" t="s">
        <v>595</v>
      </c>
      <c r="BG45" s="663">
        <v>100.0</v>
      </c>
      <c r="BH45" s="664">
        <f t="shared" ref="BH45:BH50" si="139">IFERROR(VLOOKUP(BF45,BH54:BJ1032,3)+BG45,0)</f>
        <v>200</v>
      </c>
      <c r="BI45" s="665">
        <f t="shared" ref="BI45:BI50" si="140">BG45-BH45</f>
        <v>-100</v>
      </c>
      <c r="BJ45" s="7"/>
      <c r="BK45" s="530"/>
      <c r="BL45" s="662" t="s">
        <v>595</v>
      </c>
      <c r="BM45" s="663">
        <v>100.0</v>
      </c>
      <c r="BN45" s="664">
        <f t="shared" ref="BN45:BN50" si="141">IFERROR(VLOOKUP(BL45,BN54:BP1032,3)+BM45,0)</f>
        <v>200</v>
      </c>
      <c r="BO45" s="665">
        <f t="shared" ref="BO45:BO50" si="142">BM45-BN45</f>
        <v>-100</v>
      </c>
      <c r="BP45" s="7"/>
      <c r="BQ45" s="530"/>
      <c r="BR45" s="662" t="s">
        <v>595</v>
      </c>
      <c r="BS45" s="663">
        <v>100.0</v>
      </c>
      <c r="BT45" s="664">
        <f t="shared" ref="BT45:BT50" si="143">IFERROR(VLOOKUP(BR45,BT54:BV1032,3)+BS45,0)</f>
        <v>200</v>
      </c>
      <c r="BU45" s="665">
        <f t="shared" ref="BU45:BU50" si="144">BS45-BT45</f>
        <v>-100</v>
      </c>
      <c r="BV45" s="7"/>
      <c r="BW45" s="530"/>
    </row>
    <row r="46">
      <c r="A46" s="1"/>
      <c r="B46" s="1"/>
      <c r="C46" s="658" t="s">
        <v>558</v>
      </c>
      <c r="D46" s="666">
        <f t="shared" ref="D46:D47" si="145">G33</f>
        <v>350</v>
      </c>
      <c r="E46" s="667">
        <f>ABS(SUM(SUMIF(E54:E110,"Ifood",G54:G110)-SUMIF(E54:E110,"Ifood",H54:H110)))</f>
        <v>0</v>
      </c>
      <c r="F46" s="668">
        <f t="shared" si="122"/>
        <v>350</v>
      </c>
      <c r="J46" s="658" t="s">
        <v>558</v>
      </c>
      <c r="K46" s="666">
        <v>100.0</v>
      </c>
      <c r="L46" s="669">
        <f t="shared" si="123"/>
        <v>0</v>
      </c>
      <c r="M46" s="668">
        <f t="shared" si="124"/>
        <v>100</v>
      </c>
      <c r="O46" s="530"/>
      <c r="P46" s="658" t="s">
        <v>558</v>
      </c>
      <c r="Q46" s="666">
        <v>100.0</v>
      </c>
      <c r="R46" s="669">
        <f t="shared" si="125"/>
        <v>0</v>
      </c>
      <c r="S46" s="668">
        <f t="shared" si="126"/>
        <v>100</v>
      </c>
      <c r="U46" s="530"/>
      <c r="V46" s="662" t="s">
        <v>558</v>
      </c>
      <c r="W46" s="670">
        <v>100.0</v>
      </c>
      <c r="X46" s="671">
        <f t="shared" si="127"/>
        <v>0</v>
      </c>
      <c r="Y46" s="672">
        <f t="shared" si="128"/>
        <v>100</v>
      </c>
      <c r="Z46" s="7"/>
      <c r="AA46" s="530"/>
      <c r="AB46" s="662" t="s">
        <v>558</v>
      </c>
      <c r="AC46" s="670">
        <v>100.0</v>
      </c>
      <c r="AD46" s="671">
        <f t="shared" si="129"/>
        <v>0</v>
      </c>
      <c r="AE46" s="672">
        <f t="shared" si="130"/>
        <v>100</v>
      </c>
      <c r="AF46" s="7"/>
      <c r="AG46" s="530"/>
      <c r="AH46" s="662" t="s">
        <v>558</v>
      </c>
      <c r="AI46" s="670">
        <v>100.0</v>
      </c>
      <c r="AJ46" s="671">
        <f t="shared" si="131"/>
        <v>0</v>
      </c>
      <c r="AK46" s="672">
        <f t="shared" si="132"/>
        <v>100</v>
      </c>
      <c r="AL46" s="7"/>
      <c r="AM46" s="530"/>
      <c r="AN46" s="662" t="s">
        <v>558</v>
      </c>
      <c r="AO46" s="670">
        <v>100.0</v>
      </c>
      <c r="AP46" s="671">
        <f t="shared" si="133"/>
        <v>0</v>
      </c>
      <c r="AQ46" s="672">
        <f t="shared" si="134"/>
        <v>100</v>
      </c>
      <c r="AR46" s="7"/>
      <c r="AS46" s="530"/>
      <c r="AT46" s="662" t="s">
        <v>558</v>
      </c>
      <c r="AU46" s="670">
        <v>100.0</v>
      </c>
      <c r="AV46" s="671">
        <f t="shared" si="135"/>
        <v>0</v>
      </c>
      <c r="AW46" s="672">
        <f t="shared" si="136"/>
        <v>100</v>
      </c>
      <c r="AX46" s="7"/>
      <c r="AY46" s="530"/>
      <c r="AZ46" s="662" t="s">
        <v>558</v>
      </c>
      <c r="BA46" s="670">
        <v>100.0</v>
      </c>
      <c r="BB46" s="671">
        <f t="shared" si="137"/>
        <v>0</v>
      </c>
      <c r="BC46" s="672">
        <f t="shared" si="138"/>
        <v>100</v>
      </c>
      <c r="BD46" s="7"/>
      <c r="BE46" s="530"/>
      <c r="BF46" s="662" t="s">
        <v>558</v>
      </c>
      <c r="BG46" s="670">
        <v>100.0</v>
      </c>
      <c r="BH46" s="671">
        <f t="shared" si="139"/>
        <v>0</v>
      </c>
      <c r="BI46" s="672">
        <f t="shared" si="140"/>
        <v>100</v>
      </c>
      <c r="BJ46" s="7"/>
      <c r="BK46" s="530"/>
      <c r="BL46" s="662" t="s">
        <v>558</v>
      </c>
      <c r="BM46" s="670">
        <v>100.0</v>
      </c>
      <c r="BN46" s="671">
        <f t="shared" si="141"/>
        <v>0</v>
      </c>
      <c r="BO46" s="672">
        <f t="shared" si="142"/>
        <v>100</v>
      </c>
      <c r="BP46" s="7"/>
      <c r="BQ46" s="530"/>
      <c r="BR46" s="662" t="s">
        <v>558</v>
      </c>
      <c r="BS46" s="670">
        <v>100.0</v>
      </c>
      <c r="BT46" s="671">
        <f t="shared" si="143"/>
        <v>0</v>
      </c>
      <c r="BU46" s="672">
        <f t="shared" si="144"/>
        <v>100</v>
      </c>
      <c r="BV46" s="7"/>
      <c r="BW46" s="530"/>
    </row>
    <row r="47">
      <c r="A47" s="1"/>
      <c r="B47" s="1"/>
      <c r="C47" s="658" t="s">
        <v>596</v>
      </c>
      <c r="D47" s="45">
        <f t="shared" si="145"/>
        <v>62</v>
      </c>
      <c r="E47" s="660">
        <f>ABS(SUM(SUMIF(E54:E110,"Pag Bank",G54:G110)-SUMIF(E54:E110,"Pag Bank",H54:H110)))</f>
        <v>0</v>
      </c>
      <c r="F47" s="673">
        <f t="shared" si="122"/>
        <v>62</v>
      </c>
      <c r="J47" s="658" t="s">
        <v>596</v>
      </c>
      <c r="K47" s="45">
        <v>100.0</v>
      </c>
      <c r="L47" s="140">
        <f t="shared" si="123"/>
        <v>0</v>
      </c>
      <c r="M47" s="673">
        <f t="shared" si="124"/>
        <v>100</v>
      </c>
      <c r="O47" s="530"/>
      <c r="P47" s="658" t="s">
        <v>596</v>
      </c>
      <c r="Q47" s="45">
        <v>100.0</v>
      </c>
      <c r="R47" s="140">
        <f t="shared" si="125"/>
        <v>0</v>
      </c>
      <c r="S47" s="673">
        <f t="shared" si="126"/>
        <v>100</v>
      </c>
      <c r="U47" s="530"/>
      <c r="V47" s="662" t="s">
        <v>596</v>
      </c>
      <c r="W47" s="674">
        <v>100.0</v>
      </c>
      <c r="X47" s="664">
        <f t="shared" si="127"/>
        <v>0</v>
      </c>
      <c r="Y47" s="675">
        <f t="shared" si="128"/>
        <v>100</v>
      </c>
      <c r="Z47" s="7"/>
      <c r="AA47" s="530"/>
      <c r="AB47" s="662" t="s">
        <v>596</v>
      </c>
      <c r="AC47" s="674">
        <v>100.0</v>
      </c>
      <c r="AD47" s="664">
        <f t="shared" si="129"/>
        <v>0</v>
      </c>
      <c r="AE47" s="675">
        <f t="shared" si="130"/>
        <v>100</v>
      </c>
      <c r="AF47" s="7"/>
      <c r="AG47" s="530"/>
      <c r="AH47" s="662" t="s">
        <v>596</v>
      </c>
      <c r="AI47" s="674">
        <v>100.0</v>
      </c>
      <c r="AJ47" s="664">
        <f t="shared" si="131"/>
        <v>0</v>
      </c>
      <c r="AK47" s="675">
        <f t="shared" si="132"/>
        <v>100</v>
      </c>
      <c r="AL47" s="7"/>
      <c r="AM47" s="530"/>
      <c r="AN47" s="662" t="s">
        <v>596</v>
      </c>
      <c r="AO47" s="674">
        <v>100.0</v>
      </c>
      <c r="AP47" s="664">
        <f t="shared" si="133"/>
        <v>0</v>
      </c>
      <c r="AQ47" s="675">
        <f t="shared" si="134"/>
        <v>100</v>
      </c>
      <c r="AR47" s="7"/>
      <c r="AS47" s="530"/>
      <c r="AT47" s="662" t="s">
        <v>596</v>
      </c>
      <c r="AU47" s="674">
        <v>100.0</v>
      </c>
      <c r="AV47" s="664">
        <f t="shared" si="135"/>
        <v>0</v>
      </c>
      <c r="AW47" s="675">
        <f t="shared" si="136"/>
        <v>100</v>
      </c>
      <c r="AX47" s="7"/>
      <c r="AY47" s="530"/>
      <c r="AZ47" s="662" t="s">
        <v>596</v>
      </c>
      <c r="BA47" s="674">
        <v>100.0</v>
      </c>
      <c r="BB47" s="664">
        <f t="shared" si="137"/>
        <v>0</v>
      </c>
      <c r="BC47" s="675">
        <f t="shared" si="138"/>
        <v>100</v>
      </c>
      <c r="BD47" s="7"/>
      <c r="BE47" s="530"/>
      <c r="BF47" s="662" t="s">
        <v>596</v>
      </c>
      <c r="BG47" s="674">
        <v>100.0</v>
      </c>
      <c r="BH47" s="664">
        <f t="shared" si="139"/>
        <v>0</v>
      </c>
      <c r="BI47" s="675">
        <f t="shared" si="140"/>
        <v>100</v>
      </c>
      <c r="BJ47" s="7"/>
      <c r="BK47" s="530"/>
      <c r="BL47" s="662" t="s">
        <v>596</v>
      </c>
      <c r="BM47" s="674">
        <v>100.0</v>
      </c>
      <c r="BN47" s="664">
        <f t="shared" si="141"/>
        <v>0</v>
      </c>
      <c r="BO47" s="675">
        <f t="shared" si="142"/>
        <v>100</v>
      </c>
      <c r="BP47" s="7"/>
      <c r="BQ47" s="530"/>
      <c r="BR47" s="662" t="s">
        <v>596</v>
      </c>
      <c r="BS47" s="674">
        <v>100.0</v>
      </c>
      <c r="BT47" s="664">
        <f t="shared" si="143"/>
        <v>0</v>
      </c>
      <c r="BU47" s="675">
        <f t="shared" si="144"/>
        <v>100</v>
      </c>
      <c r="BV47" s="7"/>
      <c r="BW47" s="530"/>
    </row>
    <row r="48">
      <c r="A48" s="1"/>
      <c r="B48" s="1"/>
      <c r="C48" s="658" t="s">
        <v>576</v>
      </c>
      <c r="D48" s="666">
        <f t="shared" ref="D48:D49" si="146">G36</f>
        <v>53</v>
      </c>
      <c r="E48" s="667">
        <f>ABS(SUM(SUMIF(E54:E110,"Stone",G54:G110)-SUMIF(E54:E110,"Stone",H54:H110)))</f>
        <v>0</v>
      </c>
      <c r="F48" s="668">
        <f t="shared" si="122"/>
        <v>53</v>
      </c>
      <c r="J48" s="658" t="s">
        <v>576</v>
      </c>
      <c r="K48" s="666">
        <v>100.0</v>
      </c>
      <c r="L48" s="669">
        <f t="shared" si="123"/>
        <v>0</v>
      </c>
      <c r="M48" s="668">
        <f t="shared" si="124"/>
        <v>100</v>
      </c>
      <c r="O48" s="530"/>
      <c r="P48" s="658" t="s">
        <v>576</v>
      </c>
      <c r="Q48" s="666">
        <v>100.0</v>
      </c>
      <c r="R48" s="669">
        <f t="shared" si="125"/>
        <v>0</v>
      </c>
      <c r="S48" s="668">
        <f t="shared" si="126"/>
        <v>100</v>
      </c>
      <c r="U48" s="530"/>
      <c r="V48" s="662" t="s">
        <v>576</v>
      </c>
      <c r="W48" s="670">
        <v>100.0</v>
      </c>
      <c r="X48" s="671">
        <f t="shared" si="127"/>
        <v>0</v>
      </c>
      <c r="Y48" s="672">
        <f t="shared" si="128"/>
        <v>100</v>
      </c>
      <c r="Z48" s="7"/>
      <c r="AA48" s="530"/>
      <c r="AB48" s="662" t="s">
        <v>576</v>
      </c>
      <c r="AC48" s="670">
        <v>100.0</v>
      </c>
      <c r="AD48" s="671">
        <f t="shared" si="129"/>
        <v>0</v>
      </c>
      <c r="AE48" s="672">
        <f t="shared" si="130"/>
        <v>100</v>
      </c>
      <c r="AF48" s="7"/>
      <c r="AG48" s="530"/>
      <c r="AH48" s="662" t="s">
        <v>576</v>
      </c>
      <c r="AI48" s="670">
        <v>100.0</v>
      </c>
      <c r="AJ48" s="671">
        <f t="shared" si="131"/>
        <v>0</v>
      </c>
      <c r="AK48" s="672">
        <f t="shared" si="132"/>
        <v>100</v>
      </c>
      <c r="AL48" s="7"/>
      <c r="AM48" s="530"/>
      <c r="AN48" s="662" t="s">
        <v>576</v>
      </c>
      <c r="AO48" s="670">
        <v>100.0</v>
      </c>
      <c r="AP48" s="671">
        <f t="shared" si="133"/>
        <v>0</v>
      </c>
      <c r="AQ48" s="672">
        <f t="shared" si="134"/>
        <v>100</v>
      </c>
      <c r="AR48" s="7"/>
      <c r="AS48" s="530"/>
      <c r="AT48" s="662" t="s">
        <v>576</v>
      </c>
      <c r="AU48" s="670">
        <v>100.0</v>
      </c>
      <c r="AV48" s="671">
        <f t="shared" si="135"/>
        <v>0</v>
      </c>
      <c r="AW48" s="672">
        <f t="shared" si="136"/>
        <v>100</v>
      </c>
      <c r="AX48" s="7"/>
      <c r="AY48" s="530"/>
      <c r="AZ48" s="662" t="s">
        <v>576</v>
      </c>
      <c r="BA48" s="670">
        <v>100.0</v>
      </c>
      <c r="BB48" s="671">
        <f t="shared" si="137"/>
        <v>0</v>
      </c>
      <c r="BC48" s="672">
        <f t="shared" si="138"/>
        <v>100</v>
      </c>
      <c r="BD48" s="7"/>
      <c r="BE48" s="530"/>
      <c r="BF48" s="662" t="s">
        <v>576</v>
      </c>
      <c r="BG48" s="670">
        <v>100.0</v>
      </c>
      <c r="BH48" s="671">
        <f t="shared" si="139"/>
        <v>0</v>
      </c>
      <c r="BI48" s="672">
        <f t="shared" si="140"/>
        <v>100</v>
      </c>
      <c r="BJ48" s="7"/>
      <c r="BK48" s="530"/>
      <c r="BL48" s="662" t="s">
        <v>576</v>
      </c>
      <c r="BM48" s="670">
        <v>100.0</v>
      </c>
      <c r="BN48" s="671">
        <f t="shared" si="141"/>
        <v>0</v>
      </c>
      <c r="BO48" s="672">
        <f t="shared" si="142"/>
        <v>100</v>
      </c>
      <c r="BP48" s="7"/>
      <c r="BQ48" s="530"/>
      <c r="BR48" s="662" t="s">
        <v>576</v>
      </c>
      <c r="BS48" s="670">
        <v>100.0</v>
      </c>
      <c r="BT48" s="671">
        <f t="shared" si="143"/>
        <v>0</v>
      </c>
      <c r="BU48" s="672">
        <f t="shared" si="144"/>
        <v>100</v>
      </c>
      <c r="BV48" s="7"/>
      <c r="BW48" s="530"/>
    </row>
    <row r="49">
      <c r="A49" s="1"/>
      <c r="B49" s="676"/>
      <c r="C49" s="658" t="s">
        <v>588</v>
      </c>
      <c r="D49" s="45">
        <f t="shared" si="146"/>
        <v>0</v>
      </c>
      <c r="E49" s="140">
        <f>ABS(SUM(SUMIF(E54:E110,"Nubank",G54:G110)-SUMIF(E54:E110,"Nubank",H54:H110)))</f>
        <v>0</v>
      </c>
      <c r="F49" s="673">
        <f t="shared" si="122"/>
        <v>0</v>
      </c>
      <c r="G49" s="9"/>
      <c r="J49" s="658" t="s">
        <v>588</v>
      </c>
      <c r="K49" s="45">
        <v>100.0</v>
      </c>
      <c r="L49" s="140">
        <f t="shared" si="123"/>
        <v>0</v>
      </c>
      <c r="M49" s="673">
        <f t="shared" si="124"/>
        <v>100</v>
      </c>
      <c r="N49" s="9"/>
      <c r="O49" s="530"/>
      <c r="P49" s="658" t="s">
        <v>588</v>
      </c>
      <c r="Q49" s="45">
        <v>100.0</v>
      </c>
      <c r="R49" s="140">
        <f t="shared" si="125"/>
        <v>0</v>
      </c>
      <c r="S49" s="673">
        <f t="shared" si="126"/>
        <v>100</v>
      </c>
      <c r="T49" s="9"/>
      <c r="U49" s="530"/>
      <c r="V49" s="662" t="s">
        <v>588</v>
      </c>
      <c r="W49" s="674">
        <v>100.0</v>
      </c>
      <c r="X49" s="664">
        <f t="shared" si="127"/>
        <v>0</v>
      </c>
      <c r="Y49" s="675">
        <f t="shared" si="128"/>
        <v>100</v>
      </c>
      <c r="Z49" s="9"/>
      <c r="AA49" s="530"/>
      <c r="AB49" s="662" t="s">
        <v>588</v>
      </c>
      <c r="AC49" s="674">
        <v>100.0</v>
      </c>
      <c r="AD49" s="664">
        <f t="shared" si="129"/>
        <v>0</v>
      </c>
      <c r="AE49" s="675">
        <f t="shared" si="130"/>
        <v>100</v>
      </c>
      <c r="AF49" s="9"/>
      <c r="AG49" s="530"/>
      <c r="AH49" s="662" t="s">
        <v>588</v>
      </c>
      <c r="AI49" s="674">
        <v>100.0</v>
      </c>
      <c r="AJ49" s="664">
        <f t="shared" si="131"/>
        <v>0</v>
      </c>
      <c r="AK49" s="675">
        <f t="shared" si="132"/>
        <v>100</v>
      </c>
      <c r="AL49" s="9"/>
      <c r="AM49" s="530"/>
      <c r="AN49" s="662" t="s">
        <v>588</v>
      </c>
      <c r="AO49" s="674">
        <v>100.0</v>
      </c>
      <c r="AP49" s="664">
        <f t="shared" si="133"/>
        <v>0</v>
      </c>
      <c r="AQ49" s="675">
        <f t="shared" si="134"/>
        <v>100</v>
      </c>
      <c r="AR49" s="9"/>
      <c r="AS49" s="530"/>
      <c r="AT49" s="662" t="s">
        <v>588</v>
      </c>
      <c r="AU49" s="674">
        <v>100.0</v>
      </c>
      <c r="AV49" s="664">
        <f t="shared" si="135"/>
        <v>0</v>
      </c>
      <c r="AW49" s="675">
        <f t="shared" si="136"/>
        <v>100</v>
      </c>
      <c r="AX49" s="9"/>
      <c r="AY49" s="530"/>
      <c r="AZ49" s="662" t="s">
        <v>588</v>
      </c>
      <c r="BA49" s="674">
        <v>100.0</v>
      </c>
      <c r="BB49" s="664">
        <f t="shared" si="137"/>
        <v>0</v>
      </c>
      <c r="BC49" s="675">
        <f t="shared" si="138"/>
        <v>100</v>
      </c>
      <c r="BD49" s="9"/>
      <c r="BE49" s="530"/>
      <c r="BF49" s="662" t="s">
        <v>588</v>
      </c>
      <c r="BG49" s="674">
        <v>100.0</v>
      </c>
      <c r="BH49" s="664">
        <f t="shared" si="139"/>
        <v>0</v>
      </c>
      <c r="BI49" s="675">
        <f t="shared" si="140"/>
        <v>100</v>
      </c>
      <c r="BJ49" s="9"/>
      <c r="BK49" s="530"/>
      <c r="BL49" s="662" t="s">
        <v>588</v>
      </c>
      <c r="BM49" s="674">
        <v>100.0</v>
      </c>
      <c r="BN49" s="664">
        <f t="shared" si="141"/>
        <v>0</v>
      </c>
      <c r="BO49" s="675">
        <f t="shared" si="142"/>
        <v>100</v>
      </c>
      <c r="BP49" s="9"/>
      <c r="BQ49" s="530"/>
      <c r="BR49" s="662" t="s">
        <v>588</v>
      </c>
      <c r="BS49" s="674">
        <v>100.0</v>
      </c>
      <c r="BT49" s="664">
        <f t="shared" si="143"/>
        <v>0</v>
      </c>
      <c r="BU49" s="675">
        <f t="shared" si="144"/>
        <v>100</v>
      </c>
      <c r="BV49" s="9"/>
      <c r="BW49" s="530"/>
    </row>
    <row r="50">
      <c r="A50" s="1"/>
      <c r="B50" s="676"/>
      <c r="C50" s="658" t="s">
        <v>587</v>
      </c>
      <c r="D50" s="677">
        <f>G35</f>
        <v>2950</v>
      </c>
      <c r="E50" s="678">
        <f>ABS(SUM(SUMIF(E54:E110,"Cash",G54:G110)-SUMIF(E54:E110,"Cash",H54:H110)))</f>
        <v>1500</v>
      </c>
      <c r="F50" s="679">
        <f t="shared" si="122"/>
        <v>1450</v>
      </c>
      <c r="G50" s="9"/>
      <c r="J50" s="658" t="s">
        <v>587</v>
      </c>
      <c r="K50" s="677">
        <v>0.0</v>
      </c>
      <c r="L50" s="678">
        <f t="shared" si="123"/>
        <v>0</v>
      </c>
      <c r="M50" s="679">
        <f t="shared" si="124"/>
        <v>0</v>
      </c>
      <c r="N50" s="9"/>
      <c r="O50" s="530"/>
      <c r="P50" s="658" t="s">
        <v>587</v>
      </c>
      <c r="Q50" s="677">
        <v>0.0</v>
      </c>
      <c r="R50" s="678">
        <f t="shared" si="125"/>
        <v>0</v>
      </c>
      <c r="S50" s="679">
        <f t="shared" si="126"/>
        <v>0</v>
      </c>
      <c r="T50" s="9"/>
      <c r="U50" s="530"/>
      <c r="V50" s="662" t="s">
        <v>587</v>
      </c>
      <c r="W50" s="680">
        <v>0.0</v>
      </c>
      <c r="X50" s="681">
        <f t="shared" si="127"/>
        <v>0</v>
      </c>
      <c r="Y50" s="682">
        <f t="shared" si="128"/>
        <v>0</v>
      </c>
      <c r="Z50" s="9"/>
      <c r="AA50" s="530"/>
      <c r="AB50" s="662" t="s">
        <v>587</v>
      </c>
      <c r="AC50" s="680">
        <v>0.0</v>
      </c>
      <c r="AD50" s="681">
        <f t="shared" si="129"/>
        <v>0</v>
      </c>
      <c r="AE50" s="682">
        <f t="shared" si="130"/>
        <v>0</v>
      </c>
      <c r="AF50" s="9"/>
      <c r="AG50" s="530"/>
      <c r="AH50" s="662" t="s">
        <v>587</v>
      </c>
      <c r="AI50" s="680">
        <v>0.0</v>
      </c>
      <c r="AJ50" s="681">
        <f t="shared" si="131"/>
        <v>0</v>
      </c>
      <c r="AK50" s="682">
        <f t="shared" si="132"/>
        <v>0</v>
      </c>
      <c r="AL50" s="9"/>
      <c r="AM50" s="530"/>
      <c r="AN50" s="662" t="s">
        <v>587</v>
      </c>
      <c r="AO50" s="680">
        <v>0.0</v>
      </c>
      <c r="AP50" s="681">
        <f t="shared" si="133"/>
        <v>0</v>
      </c>
      <c r="AQ50" s="682">
        <f t="shared" si="134"/>
        <v>0</v>
      </c>
      <c r="AR50" s="9"/>
      <c r="AS50" s="530"/>
      <c r="AT50" s="662" t="s">
        <v>587</v>
      </c>
      <c r="AU50" s="680">
        <v>0.0</v>
      </c>
      <c r="AV50" s="681">
        <f t="shared" si="135"/>
        <v>0</v>
      </c>
      <c r="AW50" s="682">
        <f t="shared" si="136"/>
        <v>0</v>
      </c>
      <c r="AX50" s="9"/>
      <c r="AY50" s="530"/>
      <c r="AZ50" s="662" t="s">
        <v>587</v>
      </c>
      <c r="BA50" s="680">
        <v>0.0</v>
      </c>
      <c r="BB50" s="681">
        <f t="shared" si="137"/>
        <v>0</v>
      </c>
      <c r="BC50" s="682">
        <f t="shared" si="138"/>
        <v>0</v>
      </c>
      <c r="BD50" s="9"/>
      <c r="BE50" s="530"/>
      <c r="BF50" s="662" t="s">
        <v>587</v>
      </c>
      <c r="BG50" s="680">
        <v>0.0</v>
      </c>
      <c r="BH50" s="681">
        <f t="shared" si="139"/>
        <v>0</v>
      </c>
      <c r="BI50" s="682">
        <f t="shared" si="140"/>
        <v>0</v>
      </c>
      <c r="BJ50" s="9"/>
      <c r="BK50" s="530"/>
      <c r="BL50" s="662" t="s">
        <v>587</v>
      </c>
      <c r="BM50" s="680">
        <v>0.0</v>
      </c>
      <c r="BN50" s="681">
        <f t="shared" si="141"/>
        <v>0</v>
      </c>
      <c r="BO50" s="682">
        <f t="shared" si="142"/>
        <v>0</v>
      </c>
      <c r="BP50" s="9"/>
      <c r="BQ50" s="530"/>
      <c r="BR50" s="662" t="s">
        <v>587</v>
      </c>
      <c r="BS50" s="680">
        <v>0.0</v>
      </c>
      <c r="BT50" s="681">
        <f t="shared" si="143"/>
        <v>0</v>
      </c>
      <c r="BU50" s="682">
        <f t="shared" si="144"/>
        <v>0</v>
      </c>
      <c r="BV50" s="9"/>
      <c r="BW50" s="530"/>
    </row>
    <row r="51">
      <c r="A51" s="1"/>
      <c r="B51" s="676"/>
      <c r="D51" s="683"/>
      <c r="E51" s="684"/>
      <c r="F51" s="684"/>
      <c r="G51" s="685"/>
      <c r="K51" s="683"/>
      <c r="L51" s="684"/>
      <c r="M51" s="684"/>
      <c r="N51" s="685"/>
      <c r="O51" s="530"/>
      <c r="Q51" s="683"/>
      <c r="R51" s="684"/>
      <c r="S51" s="684"/>
      <c r="T51" s="685"/>
      <c r="U51" s="530"/>
      <c r="V51" s="7"/>
      <c r="W51" s="683"/>
      <c r="X51" s="684"/>
      <c r="Y51" s="684"/>
      <c r="Z51" s="685"/>
      <c r="AA51" s="530"/>
      <c r="AB51" s="7"/>
      <c r="AC51" s="683"/>
      <c r="AD51" s="684"/>
      <c r="AE51" s="684"/>
      <c r="AF51" s="685"/>
      <c r="AG51" s="530"/>
      <c r="AH51" s="7"/>
      <c r="AI51" s="683"/>
      <c r="AJ51" s="684"/>
      <c r="AK51" s="684"/>
      <c r="AL51" s="685"/>
      <c r="AM51" s="530"/>
      <c r="AN51" s="7"/>
      <c r="AO51" s="683"/>
      <c r="AP51" s="684"/>
      <c r="AQ51" s="684"/>
      <c r="AR51" s="685"/>
      <c r="AS51" s="530"/>
      <c r="AT51" s="7"/>
      <c r="AU51" s="683"/>
      <c r="AV51" s="684"/>
      <c r="AW51" s="684"/>
      <c r="AX51" s="685"/>
      <c r="AY51" s="530"/>
      <c r="AZ51" s="7"/>
      <c r="BA51" s="683"/>
      <c r="BB51" s="684"/>
      <c r="BC51" s="684"/>
      <c r="BD51" s="685"/>
      <c r="BE51" s="530"/>
      <c r="BF51" s="7"/>
      <c r="BG51" s="683"/>
      <c r="BH51" s="684"/>
      <c r="BI51" s="684"/>
      <c r="BJ51" s="685"/>
      <c r="BK51" s="530"/>
      <c r="BL51" s="7"/>
      <c r="BM51" s="683"/>
      <c r="BN51" s="684"/>
      <c r="BO51" s="684"/>
      <c r="BP51" s="685"/>
      <c r="BQ51" s="530"/>
      <c r="BR51" s="7"/>
      <c r="BS51" s="683"/>
      <c r="BT51" s="684"/>
      <c r="BU51" s="684"/>
      <c r="BV51" s="685"/>
      <c r="BW51" s="530"/>
    </row>
    <row r="52">
      <c r="A52" s="1"/>
      <c r="B52" s="686"/>
      <c r="C52" s="687" t="s">
        <v>597</v>
      </c>
      <c r="D52" s="593"/>
      <c r="E52" s="593"/>
      <c r="F52" s="593"/>
      <c r="G52" s="593"/>
      <c r="H52" s="594"/>
      <c r="J52" s="687" t="s">
        <v>597</v>
      </c>
      <c r="K52" s="593"/>
      <c r="L52" s="593"/>
      <c r="M52" s="593"/>
      <c r="N52" s="594"/>
      <c r="O52" s="9"/>
      <c r="P52" s="687" t="s">
        <v>597</v>
      </c>
      <c r="Q52" s="593"/>
      <c r="R52" s="593"/>
      <c r="S52" s="593"/>
      <c r="T52" s="594"/>
      <c r="U52" s="530"/>
      <c r="V52" s="688" t="s">
        <v>597</v>
      </c>
      <c r="W52" s="593"/>
      <c r="X52" s="593"/>
      <c r="Y52" s="593"/>
      <c r="Z52" s="594"/>
      <c r="AA52" s="530"/>
      <c r="AB52" s="688" t="s">
        <v>597</v>
      </c>
      <c r="AC52" s="593"/>
      <c r="AD52" s="593"/>
      <c r="AE52" s="593"/>
      <c r="AF52" s="594"/>
      <c r="AG52" s="530"/>
      <c r="AH52" s="688" t="s">
        <v>597</v>
      </c>
      <c r="AI52" s="593"/>
      <c r="AJ52" s="593"/>
      <c r="AK52" s="593"/>
      <c r="AL52" s="594"/>
      <c r="AM52" s="530"/>
      <c r="AN52" s="688" t="s">
        <v>597</v>
      </c>
      <c r="AO52" s="593"/>
      <c r="AP52" s="593"/>
      <c r="AQ52" s="593"/>
      <c r="AR52" s="594"/>
      <c r="AS52" s="530"/>
      <c r="AT52" s="688" t="s">
        <v>597</v>
      </c>
      <c r="AU52" s="593"/>
      <c r="AV52" s="593"/>
      <c r="AW52" s="593"/>
      <c r="AX52" s="594"/>
      <c r="AY52" s="530"/>
      <c r="AZ52" s="688" t="s">
        <v>597</v>
      </c>
      <c r="BA52" s="593"/>
      <c r="BB52" s="593"/>
      <c r="BC52" s="593"/>
      <c r="BD52" s="594"/>
      <c r="BE52" s="530"/>
      <c r="BF52" s="688" t="s">
        <v>597</v>
      </c>
      <c r="BG52" s="593"/>
      <c r="BH52" s="593"/>
      <c r="BI52" s="593"/>
      <c r="BJ52" s="594"/>
      <c r="BK52" s="530"/>
      <c r="BL52" s="688" t="s">
        <v>597</v>
      </c>
      <c r="BM52" s="593"/>
      <c r="BN52" s="593"/>
      <c r="BO52" s="593"/>
      <c r="BP52" s="594"/>
      <c r="BQ52" s="530"/>
      <c r="BR52" s="688" t="s">
        <v>597</v>
      </c>
      <c r="BS52" s="593"/>
      <c r="BT52" s="593"/>
      <c r="BU52" s="593"/>
      <c r="BV52" s="594"/>
      <c r="BW52" s="530"/>
    </row>
    <row r="53">
      <c r="A53" s="1"/>
      <c r="B53" s="686"/>
      <c r="C53" s="689" t="s">
        <v>4</v>
      </c>
      <c r="D53" s="690" t="s">
        <v>5</v>
      </c>
      <c r="E53" s="690" t="s">
        <v>3</v>
      </c>
      <c r="F53" s="691" t="s">
        <v>9</v>
      </c>
      <c r="G53" s="692" t="s">
        <v>598</v>
      </c>
      <c r="H53" s="692" t="s">
        <v>599</v>
      </c>
      <c r="J53" s="689" t="s">
        <v>4</v>
      </c>
      <c r="K53" s="690" t="s">
        <v>5</v>
      </c>
      <c r="L53" s="690" t="s">
        <v>3</v>
      </c>
      <c r="M53" s="691" t="s">
        <v>9</v>
      </c>
      <c r="N53" s="692" t="s">
        <v>600</v>
      </c>
      <c r="P53" s="689" t="s">
        <v>4</v>
      </c>
      <c r="Q53" s="690" t="s">
        <v>5</v>
      </c>
      <c r="R53" s="690" t="s">
        <v>3</v>
      </c>
      <c r="S53" s="691" t="s">
        <v>9</v>
      </c>
      <c r="T53" s="692" t="s">
        <v>600</v>
      </c>
      <c r="U53" s="530"/>
      <c r="V53" s="689" t="s">
        <v>4</v>
      </c>
      <c r="W53" s="690" t="s">
        <v>5</v>
      </c>
      <c r="X53" s="690" t="s">
        <v>3</v>
      </c>
      <c r="Y53" s="691" t="s">
        <v>9</v>
      </c>
      <c r="Z53" s="693" t="s">
        <v>600</v>
      </c>
      <c r="AA53" s="530"/>
      <c r="AB53" s="689" t="s">
        <v>4</v>
      </c>
      <c r="AC53" s="690" t="s">
        <v>5</v>
      </c>
      <c r="AD53" s="690" t="s">
        <v>3</v>
      </c>
      <c r="AE53" s="691" t="s">
        <v>9</v>
      </c>
      <c r="AF53" s="693" t="s">
        <v>600</v>
      </c>
      <c r="AG53" s="530"/>
      <c r="AH53" s="689" t="s">
        <v>4</v>
      </c>
      <c r="AI53" s="690" t="s">
        <v>5</v>
      </c>
      <c r="AJ53" s="690" t="s">
        <v>3</v>
      </c>
      <c r="AK53" s="691" t="s">
        <v>9</v>
      </c>
      <c r="AL53" s="693" t="s">
        <v>600</v>
      </c>
      <c r="AM53" s="530"/>
      <c r="AN53" s="689" t="s">
        <v>4</v>
      </c>
      <c r="AO53" s="690" t="s">
        <v>5</v>
      </c>
      <c r="AP53" s="690" t="s">
        <v>3</v>
      </c>
      <c r="AQ53" s="691" t="s">
        <v>9</v>
      </c>
      <c r="AR53" s="693" t="s">
        <v>600</v>
      </c>
      <c r="AS53" s="530"/>
      <c r="AT53" s="689" t="s">
        <v>4</v>
      </c>
      <c r="AU53" s="690" t="s">
        <v>5</v>
      </c>
      <c r="AV53" s="690" t="s">
        <v>3</v>
      </c>
      <c r="AW53" s="691" t="s">
        <v>9</v>
      </c>
      <c r="AX53" s="693" t="s">
        <v>600</v>
      </c>
      <c r="AY53" s="530"/>
      <c r="AZ53" s="689" t="s">
        <v>4</v>
      </c>
      <c r="BA53" s="690" t="s">
        <v>5</v>
      </c>
      <c r="BB53" s="690" t="s">
        <v>3</v>
      </c>
      <c r="BC53" s="691" t="s">
        <v>9</v>
      </c>
      <c r="BD53" s="693" t="s">
        <v>600</v>
      </c>
      <c r="BE53" s="530"/>
      <c r="BF53" s="689" t="s">
        <v>4</v>
      </c>
      <c r="BG53" s="690" t="s">
        <v>5</v>
      </c>
      <c r="BH53" s="690" t="s">
        <v>3</v>
      </c>
      <c r="BI53" s="691" t="s">
        <v>9</v>
      </c>
      <c r="BJ53" s="693" t="s">
        <v>600</v>
      </c>
      <c r="BK53" s="530"/>
      <c r="BL53" s="689" t="s">
        <v>4</v>
      </c>
      <c r="BM53" s="690" t="s">
        <v>5</v>
      </c>
      <c r="BN53" s="690" t="s">
        <v>3</v>
      </c>
      <c r="BO53" s="691" t="s">
        <v>9</v>
      </c>
      <c r="BP53" s="693" t="s">
        <v>600</v>
      </c>
      <c r="BQ53" s="530"/>
      <c r="BR53" s="689" t="s">
        <v>4</v>
      </c>
      <c r="BS53" s="690" t="s">
        <v>5</v>
      </c>
      <c r="BT53" s="690" t="s">
        <v>3</v>
      </c>
      <c r="BU53" s="691" t="s">
        <v>9</v>
      </c>
      <c r="BV53" s="693" t="s">
        <v>600</v>
      </c>
      <c r="BW53" s="530"/>
    </row>
    <row r="54">
      <c r="A54" s="40"/>
      <c r="B54" s="9"/>
      <c r="C54" s="694" t="s">
        <v>601</v>
      </c>
      <c r="D54" s="695">
        <v>45659.0</v>
      </c>
      <c r="E54" s="696" t="s">
        <v>587</v>
      </c>
      <c r="F54" s="697" t="s">
        <v>602</v>
      </c>
      <c r="G54" s="698"/>
      <c r="H54" s="698">
        <v>1500.0</v>
      </c>
      <c r="J54" s="694" t="s">
        <v>603</v>
      </c>
      <c r="K54" s="695">
        <v>45600.0</v>
      </c>
      <c r="L54" s="696" t="s">
        <v>595</v>
      </c>
      <c r="M54" s="699" t="s">
        <v>604</v>
      </c>
      <c r="N54" s="698">
        <v>100.0</v>
      </c>
      <c r="P54" s="694" t="s">
        <v>603</v>
      </c>
      <c r="Q54" s="695">
        <v>45600.0</v>
      </c>
      <c r="R54" s="696" t="s">
        <v>595</v>
      </c>
      <c r="S54" s="699" t="s">
        <v>604</v>
      </c>
      <c r="T54" s="698">
        <v>100.0</v>
      </c>
      <c r="U54" s="530"/>
      <c r="V54" s="700" t="s">
        <v>603</v>
      </c>
      <c r="W54" s="701">
        <v>45600.0</v>
      </c>
      <c r="X54" s="702" t="s">
        <v>595</v>
      </c>
      <c r="Y54" s="703" t="s">
        <v>604</v>
      </c>
      <c r="Z54" s="704">
        <v>100.0</v>
      </c>
      <c r="AA54" s="530"/>
      <c r="AB54" s="700" t="s">
        <v>603</v>
      </c>
      <c r="AC54" s="701">
        <v>45600.0</v>
      </c>
      <c r="AD54" s="702" t="s">
        <v>595</v>
      </c>
      <c r="AE54" s="703" t="s">
        <v>604</v>
      </c>
      <c r="AF54" s="704">
        <v>100.0</v>
      </c>
      <c r="AG54" s="530"/>
      <c r="AH54" s="700" t="s">
        <v>603</v>
      </c>
      <c r="AI54" s="701">
        <v>45600.0</v>
      </c>
      <c r="AJ54" s="702" t="s">
        <v>595</v>
      </c>
      <c r="AK54" s="703" t="s">
        <v>604</v>
      </c>
      <c r="AL54" s="704">
        <v>100.0</v>
      </c>
      <c r="AM54" s="530"/>
      <c r="AN54" s="700" t="s">
        <v>603</v>
      </c>
      <c r="AO54" s="701">
        <v>45600.0</v>
      </c>
      <c r="AP54" s="702" t="s">
        <v>595</v>
      </c>
      <c r="AQ54" s="703" t="s">
        <v>604</v>
      </c>
      <c r="AR54" s="704">
        <v>100.0</v>
      </c>
      <c r="AS54" s="530"/>
      <c r="AT54" s="700" t="s">
        <v>603</v>
      </c>
      <c r="AU54" s="701">
        <v>45600.0</v>
      </c>
      <c r="AV54" s="702" t="s">
        <v>595</v>
      </c>
      <c r="AW54" s="703" t="s">
        <v>604</v>
      </c>
      <c r="AX54" s="704">
        <v>100.0</v>
      </c>
      <c r="AY54" s="530"/>
      <c r="AZ54" s="700" t="s">
        <v>603</v>
      </c>
      <c r="BA54" s="701">
        <v>45600.0</v>
      </c>
      <c r="BB54" s="702" t="s">
        <v>595</v>
      </c>
      <c r="BC54" s="703" t="s">
        <v>604</v>
      </c>
      <c r="BD54" s="704">
        <v>100.0</v>
      </c>
      <c r="BE54" s="530"/>
      <c r="BF54" s="700" t="s">
        <v>603</v>
      </c>
      <c r="BG54" s="701">
        <v>45600.0</v>
      </c>
      <c r="BH54" s="702" t="s">
        <v>595</v>
      </c>
      <c r="BI54" s="703" t="s">
        <v>604</v>
      </c>
      <c r="BJ54" s="704">
        <v>100.0</v>
      </c>
      <c r="BK54" s="530"/>
      <c r="BL54" s="700" t="s">
        <v>603</v>
      </c>
      <c r="BM54" s="701">
        <v>45600.0</v>
      </c>
      <c r="BN54" s="702" t="s">
        <v>595</v>
      </c>
      <c r="BO54" s="703" t="s">
        <v>604</v>
      </c>
      <c r="BP54" s="704">
        <v>100.0</v>
      </c>
      <c r="BQ54" s="530"/>
      <c r="BR54" s="700" t="s">
        <v>603</v>
      </c>
      <c r="BS54" s="701">
        <v>45600.0</v>
      </c>
      <c r="BT54" s="702" t="s">
        <v>595</v>
      </c>
      <c r="BU54" s="703" t="s">
        <v>604</v>
      </c>
      <c r="BV54" s="704">
        <v>100.0</v>
      </c>
      <c r="BW54" s="530"/>
    </row>
    <row r="55">
      <c r="A55" s="40"/>
      <c r="B55" s="9"/>
      <c r="C55" s="705"/>
      <c r="D55" s="706"/>
      <c r="E55" s="696"/>
      <c r="F55" s="707"/>
      <c r="G55" s="698"/>
      <c r="H55" s="698"/>
      <c r="J55" s="705"/>
      <c r="K55" s="706"/>
      <c r="L55" s="708"/>
      <c r="M55" s="707"/>
      <c r="N55" s="709"/>
      <c r="P55" s="705"/>
      <c r="Q55" s="706"/>
      <c r="R55" s="708"/>
      <c r="S55" s="707"/>
      <c r="T55" s="709"/>
      <c r="U55" s="530"/>
      <c r="V55" s="710"/>
      <c r="W55" s="711"/>
      <c r="X55" s="712"/>
      <c r="Y55" s="713"/>
      <c r="Z55" s="714"/>
      <c r="AA55" s="530"/>
      <c r="AB55" s="710"/>
      <c r="AC55" s="711"/>
      <c r="AD55" s="712"/>
      <c r="AE55" s="713"/>
      <c r="AF55" s="714"/>
      <c r="AG55" s="530"/>
      <c r="AH55" s="710"/>
      <c r="AI55" s="711"/>
      <c r="AJ55" s="712"/>
      <c r="AK55" s="713"/>
      <c r="AL55" s="714"/>
      <c r="AM55" s="530"/>
      <c r="AN55" s="710"/>
      <c r="AO55" s="711"/>
      <c r="AP55" s="712"/>
      <c r="AQ55" s="713"/>
      <c r="AR55" s="714"/>
      <c r="AS55" s="530"/>
      <c r="AT55" s="710"/>
      <c r="AU55" s="711"/>
      <c r="AV55" s="712"/>
      <c r="AW55" s="713"/>
      <c r="AX55" s="714"/>
      <c r="AY55" s="530"/>
      <c r="AZ55" s="710"/>
      <c r="BA55" s="711"/>
      <c r="BB55" s="712"/>
      <c r="BC55" s="713"/>
      <c r="BD55" s="714"/>
      <c r="BE55" s="530"/>
      <c r="BF55" s="710"/>
      <c r="BG55" s="711"/>
      <c r="BH55" s="712"/>
      <c r="BI55" s="713"/>
      <c r="BJ55" s="714"/>
      <c r="BK55" s="530"/>
      <c r="BL55" s="710"/>
      <c r="BM55" s="711"/>
      <c r="BN55" s="712"/>
      <c r="BO55" s="713"/>
      <c r="BP55" s="714"/>
      <c r="BQ55" s="530"/>
      <c r="BR55" s="710"/>
      <c r="BS55" s="711"/>
      <c r="BT55" s="712"/>
      <c r="BU55" s="713"/>
      <c r="BV55" s="714"/>
      <c r="BW55" s="530"/>
    </row>
    <row r="56">
      <c r="A56" s="40"/>
      <c r="B56" s="9"/>
      <c r="C56" s="705"/>
      <c r="D56" s="706"/>
      <c r="E56" s="708"/>
      <c r="F56" s="707"/>
      <c r="G56" s="709"/>
      <c r="H56" s="709"/>
      <c r="J56" s="705"/>
      <c r="K56" s="706"/>
      <c r="L56" s="708"/>
      <c r="M56" s="707"/>
      <c r="N56" s="709"/>
      <c r="P56" s="705"/>
      <c r="Q56" s="706"/>
      <c r="R56" s="708"/>
      <c r="S56" s="707"/>
      <c r="T56" s="709"/>
      <c r="U56" s="530"/>
      <c r="V56" s="715"/>
      <c r="W56" s="716"/>
      <c r="X56" s="717"/>
      <c r="Y56" s="718"/>
      <c r="Z56" s="719"/>
      <c r="AA56" s="530"/>
      <c r="AB56" s="715"/>
      <c r="AC56" s="716"/>
      <c r="AD56" s="717"/>
      <c r="AE56" s="718"/>
      <c r="AF56" s="719"/>
      <c r="AG56" s="530"/>
      <c r="AH56" s="715"/>
      <c r="AI56" s="716"/>
      <c r="AJ56" s="717"/>
      <c r="AK56" s="718"/>
      <c r="AL56" s="719"/>
      <c r="AM56" s="530"/>
      <c r="AN56" s="715"/>
      <c r="AO56" s="716"/>
      <c r="AP56" s="717"/>
      <c r="AQ56" s="718"/>
      <c r="AR56" s="719"/>
      <c r="AS56" s="530"/>
      <c r="AT56" s="715"/>
      <c r="AU56" s="716"/>
      <c r="AV56" s="717"/>
      <c r="AW56" s="718"/>
      <c r="AX56" s="719"/>
      <c r="AY56" s="530"/>
      <c r="AZ56" s="715"/>
      <c r="BA56" s="716"/>
      <c r="BB56" s="717"/>
      <c r="BC56" s="718"/>
      <c r="BD56" s="719"/>
      <c r="BE56" s="530"/>
      <c r="BF56" s="715"/>
      <c r="BG56" s="716"/>
      <c r="BH56" s="717"/>
      <c r="BI56" s="718"/>
      <c r="BJ56" s="719"/>
      <c r="BK56" s="530"/>
      <c r="BL56" s="715"/>
      <c r="BM56" s="716"/>
      <c r="BN56" s="717"/>
      <c r="BO56" s="718"/>
      <c r="BP56" s="719"/>
      <c r="BQ56" s="530"/>
      <c r="BR56" s="715"/>
      <c r="BS56" s="716"/>
      <c r="BT56" s="717"/>
      <c r="BU56" s="718"/>
      <c r="BV56" s="719"/>
      <c r="BW56" s="530"/>
    </row>
    <row r="57">
      <c r="A57" s="40"/>
      <c r="B57" s="9"/>
      <c r="C57" s="705"/>
      <c r="D57" s="706"/>
      <c r="E57" s="708"/>
      <c r="F57" s="707"/>
      <c r="G57" s="709"/>
      <c r="H57" s="709"/>
      <c r="J57" s="705"/>
      <c r="K57" s="706"/>
      <c r="L57" s="708"/>
      <c r="M57" s="707"/>
      <c r="N57" s="709"/>
      <c r="P57" s="705"/>
      <c r="Q57" s="706"/>
      <c r="R57" s="708"/>
      <c r="S57" s="707"/>
      <c r="T57" s="709"/>
      <c r="U57" s="530"/>
      <c r="V57" s="710"/>
      <c r="W57" s="711"/>
      <c r="X57" s="712"/>
      <c r="Y57" s="713"/>
      <c r="Z57" s="714"/>
      <c r="AA57" s="530"/>
      <c r="AB57" s="710"/>
      <c r="AC57" s="711"/>
      <c r="AD57" s="712"/>
      <c r="AE57" s="713"/>
      <c r="AF57" s="714"/>
      <c r="AG57" s="530"/>
      <c r="AH57" s="710"/>
      <c r="AI57" s="711"/>
      <c r="AJ57" s="712"/>
      <c r="AK57" s="713"/>
      <c r="AL57" s="714"/>
      <c r="AM57" s="530"/>
      <c r="AN57" s="710"/>
      <c r="AO57" s="711"/>
      <c r="AP57" s="712"/>
      <c r="AQ57" s="713"/>
      <c r="AR57" s="714"/>
      <c r="AS57" s="530"/>
      <c r="AT57" s="710"/>
      <c r="AU57" s="711"/>
      <c r="AV57" s="712"/>
      <c r="AW57" s="713"/>
      <c r="AX57" s="714"/>
      <c r="AY57" s="530"/>
      <c r="AZ57" s="710"/>
      <c r="BA57" s="711"/>
      <c r="BB57" s="712"/>
      <c r="BC57" s="713"/>
      <c r="BD57" s="714"/>
      <c r="BE57" s="530"/>
      <c r="BF57" s="710"/>
      <c r="BG57" s="711"/>
      <c r="BH57" s="712"/>
      <c r="BI57" s="713"/>
      <c r="BJ57" s="714"/>
      <c r="BK57" s="530"/>
      <c r="BL57" s="710"/>
      <c r="BM57" s="711"/>
      <c r="BN57" s="712"/>
      <c r="BO57" s="713"/>
      <c r="BP57" s="714"/>
      <c r="BQ57" s="530"/>
      <c r="BR57" s="710"/>
      <c r="BS57" s="711"/>
      <c r="BT57" s="712"/>
      <c r="BU57" s="713"/>
      <c r="BV57" s="714"/>
      <c r="BW57" s="530"/>
    </row>
    <row r="58">
      <c r="A58" s="40"/>
      <c r="B58" s="9"/>
      <c r="C58" s="705"/>
      <c r="D58" s="706"/>
      <c r="E58" s="708"/>
      <c r="F58" s="707"/>
      <c r="G58" s="709"/>
      <c r="H58" s="709"/>
      <c r="J58" s="705"/>
      <c r="K58" s="706"/>
      <c r="L58" s="708"/>
      <c r="M58" s="707"/>
      <c r="N58" s="709"/>
      <c r="P58" s="705"/>
      <c r="Q58" s="706"/>
      <c r="R58" s="708"/>
      <c r="S58" s="707"/>
      <c r="T58" s="709"/>
      <c r="U58" s="530"/>
      <c r="V58" s="715"/>
      <c r="W58" s="716"/>
      <c r="X58" s="717"/>
      <c r="Y58" s="718"/>
      <c r="Z58" s="719"/>
      <c r="AA58" s="530"/>
      <c r="AB58" s="715"/>
      <c r="AC58" s="716"/>
      <c r="AD58" s="717"/>
      <c r="AE58" s="718"/>
      <c r="AF58" s="719"/>
      <c r="AG58" s="530"/>
      <c r="AH58" s="715"/>
      <c r="AI58" s="716"/>
      <c r="AJ58" s="717"/>
      <c r="AK58" s="718"/>
      <c r="AL58" s="719"/>
      <c r="AM58" s="530"/>
      <c r="AN58" s="715"/>
      <c r="AO58" s="716"/>
      <c r="AP58" s="717"/>
      <c r="AQ58" s="718"/>
      <c r="AR58" s="719"/>
      <c r="AS58" s="530"/>
      <c r="AT58" s="715"/>
      <c r="AU58" s="716"/>
      <c r="AV58" s="717"/>
      <c r="AW58" s="718"/>
      <c r="AX58" s="719"/>
      <c r="AY58" s="530"/>
      <c r="AZ58" s="715"/>
      <c r="BA58" s="716"/>
      <c r="BB58" s="717"/>
      <c r="BC58" s="718"/>
      <c r="BD58" s="719"/>
      <c r="BE58" s="530"/>
      <c r="BF58" s="715"/>
      <c r="BG58" s="716"/>
      <c r="BH58" s="717"/>
      <c r="BI58" s="718"/>
      <c r="BJ58" s="719"/>
      <c r="BK58" s="530"/>
      <c r="BL58" s="715"/>
      <c r="BM58" s="716"/>
      <c r="BN58" s="717"/>
      <c r="BO58" s="718"/>
      <c r="BP58" s="719"/>
      <c r="BQ58" s="530"/>
      <c r="BR58" s="715"/>
      <c r="BS58" s="716"/>
      <c r="BT58" s="717"/>
      <c r="BU58" s="718"/>
      <c r="BV58" s="719"/>
      <c r="BW58" s="530"/>
    </row>
    <row r="59">
      <c r="A59" s="40"/>
      <c r="B59" s="9"/>
      <c r="C59" s="705"/>
      <c r="D59" s="706"/>
      <c r="E59" s="708"/>
      <c r="F59" s="707"/>
      <c r="G59" s="707"/>
      <c r="H59" s="707"/>
      <c r="J59" s="705"/>
      <c r="K59" s="706"/>
      <c r="L59" s="708"/>
      <c r="M59" s="707"/>
      <c r="N59" s="707"/>
      <c r="P59" s="705"/>
      <c r="Q59" s="706"/>
      <c r="R59" s="708"/>
      <c r="S59" s="707"/>
      <c r="T59" s="707"/>
      <c r="U59" s="530"/>
      <c r="V59" s="710"/>
      <c r="W59" s="711"/>
      <c r="X59" s="712"/>
      <c r="Y59" s="713"/>
      <c r="Z59" s="713"/>
      <c r="AA59" s="530"/>
      <c r="AB59" s="710"/>
      <c r="AC59" s="711"/>
      <c r="AD59" s="712"/>
      <c r="AE59" s="713"/>
      <c r="AF59" s="713"/>
      <c r="AG59" s="530"/>
      <c r="AH59" s="710"/>
      <c r="AI59" s="711"/>
      <c r="AJ59" s="712"/>
      <c r="AK59" s="713"/>
      <c r="AL59" s="713"/>
      <c r="AM59" s="530"/>
      <c r="AN59" s="710"/>
      <c r="AO59" s="711"/>
      <c r="AP59" s="712"/>
      <c r="AQ59" s="713"/>
      <c r="AR59" s="713"/>
      <c r="AS59" s="530"/>
      <c r="AT59" s="710"/>
      <c r="AU59" s="711"/>
      <c r="AV59" s="712"/>
      <c r="AW59" s="713"/>
      <c r="AX59" s="713"/>
      <c r="AY59" s="530"/>
      <c r="AZ59" s="710"/>
      <c r="BA59" s="711"/>
      <c r="BB59" s="712"/>
      <c r="BC59" s="713"/>
      <c r="BD59" s="713"/>
      <c r="BE59" s="530"/>
      <c r="BF59" s="710"/>
      <c r="BG59" s="711"/>
      <c r="BH59" s="712"/>
      <c r="BI59" s="713"/>
      <c r="BJ59" s="713"/>
      <c r="BK59" s="530"/>
      <c r="BL59" s="710"/>
      <c r="BM59" s="711"/>
      <c r="BN59" s="712"/>
      <c r="BO59" s="713"/>
      <c r="BP59" s="713"/>
      <c r="BQ59" s="530"/>
      <c r="BR59" s="710"/>
      <c r="BS59" s="711"/>
      <c r="BT59" s="712"/>
      <c r="BU59" s="713"/>
      <c r="BV59" s="713"/>
      <c r="BW59" s="530"/>
    </row>
    <row r="60">
      <c r="A60" s="40"/>
      <c r="B60" s="9"/>
      <c r="C60" s="705"/>
      <c r="D60" s="706"/>
      <c r="E60" s="708"/>
      <c r="F60" s="707"/>
      <c r="G60" s="707"/>
      <c r="H60" s="707"/>
      <c r="J60" s="705"/>
      <c r="K60" s="706"/>
      <c r="L60" s="708"/>
      <c r="M60" s="707"/>
      <c r="N60" s="707"/>
      <c r="P60" s="705"/>
      <c r="Q60" s="706"/>
      <c r="R60" s="708"/>
      <c r="S60" s="707"/>
      <c r="T60" s="707"/>
      <c r="U60" s="530"/>
      <c r="V60" s="715"/>
      <c r="W60" s="716"/>
      <c r="X60" s="717"/>
      <c r="Y60" s="718"/>
      <c r="Z60" s="718"/>
      <c r="AA60" s="530"/>
      <c r="AB60" s="715"/>
      <c r="AC60" s="716"/>
      <c r="AD60" s="717"/>
      <c r="AE60" s="718"/>
      <c r="AF60" s="718"/>
      <c r="AG60" s="530"/>
      <c r="AH60" s="715"/>
      <c r="AI60" s="716"/>
      <c r="AJ60" s="717"/>
      <c r="AK60" s="718"/>
      <c r="AL60" s="718"/>
      <c r="AM60" s="530"/>
      <c r="AN60" s="715"/>
      <c r="AO60" s="716"/>
      <c r="AP60" s="717"/>
      <c r="AQ60" s="718"/>
      <c r="AR60" s="718"/>
      <c r="AS60" s="530"/>
      <c r="AT60" s="715"/>
      <c r="AU60" s="716"/>
      <c r="AV60" s="717"/>
      <c r="AW60" s="718"/>
      <c r="AX60" s="718"/>
      <c r="AY60" s="530"/>
      <c r="AZ60" s="715"/>
      <c r="BA60" s="716"/>
      <c r="BB60" s="717"/>
      <c r="BC60" s="718"/>
      <c r="BD60" s="718"/>
      <c r="BE60" s="530"/>
      <c r="BF60" s="715"/>
      <c r="BG60" s="716"/>
      <c r="BH60" s="717"/>
      <c r="BI60" s="718"/>
      <c r="BJ60" s="718"/>
      <c r="BK60" s="530"/>
      <c r="BL60" s="715"/>
      <c r="BM60" s="716"/>
      <c r="BN60" s="717"/>
      <c r="BO60" s="718"/>
      <c r="BP60" s="718"/>
      <c r="BQ60" s="530"/>
      <c r="BR60" s="715"/>
      <c r="BS60" s="716"/>
      <c r="BT60" s="717"/>
      <c r="BU60" s="718"/>
      <c r="BV60" s="718"/>
      <c r="BW60" s="530"/>
    </row>
    <row r="61">
      <c r="A61" s="40"/>
      <c r="B61" s="9"/>
      <c r="C61" s="705"/>
      <c r="D61" s="706"/>
      <c r="E61" s="708"/>
      <c r="F61" s="707"/>
      <c r="G61" s="707"/>
      <c r="H61" s="707"/>
      <c r="J61" s="705"/>
      <c r="K61" s="706"/>
      <c r="L61" s="708"/>
      <c r="M61" s="707"/>
      <c r="N61" s="707"/>
      <c r="P61" s="705"/>
      <c r="Q61" s="706"/>
      <c r="R61" s="708"/>
      <c r="S61" s="707"/>
      <c r="T61" s="707"/>
      <c r="U61" s="530"/>
      <c r="V61" s="710"/>
      <c r="W61" s="711"/>
      <c r="X61" s="712"/>
      <c r="Y61" s="713"/>
      <c r="Z61" s="713"/>
      <c r="AA61" s="530"/>
      <c r="AB61" s="710"/>
      <c r="AC61" s="711"/>
      <c r="AD61" s="712"/>
      <c r="AE61" s="713"/>
      <c r="AF61" s="713"/>
      <c r="AG61" s="530"/>
      <c r="AH61" s="710"/>
      <c r="AI61" s="711"/>
      <c r="AJ61" s="712"/>
      <c r="AK61" s="713"/>
      <c r="AL61" s="713"/>
      <c r="AM61" s="530"/>
      <c r="AN61" s="710"/>
      <c r="AO61" s="711"/>
      <c r="AP61" s="712"/>
      <c r="AQ61" s="713"/>
      <c r="AR61" s="713"/>
      <c r="AS61" s="530"/>
      <c r="AT61" s="710"/>
      <c r="AU61" s="711"/>
      <c r="AV61" s="712"/>
      <c r="AW61" s="713"/>
      <c r="AX61" s="713"/>
      <c r="AY61" s="530"/>
      <c r="AZ61" s="710"/>
      <c r="BA61" s="711"/>
      <c r="BB61" s="712"/>
      <c r="BC61" s="713"/>
      <c r="BD61" s="713"/>
      <c r="BE61" s="530"/>
      <c r="BF61" s="710"/>
      <c r="BG61" s="711"/>
      <c r="BH61" s="712"/>
      <c r="BI61" s="713"/>
      <c r="BJ61" s="713"/>
      <c r="BK61" s="530"/>
      <c r="BL61" s="710"/>
      <c r="BM61" s="711"/>
      <c r="BN61" s="712"/>
      <c r="BO61" s="713"/>
      <c r="BP61" s="713"/>
      <c r="BQ61" s="530"/>
      <c r="BR61" s="710"/>
      <c r="BS61" s="711"/>
      <c r="BT61" s="712"/>
      <c r="BU61" s="713"/>
      <c r="BV61" s="713"/>
      <c r="BW61" s="530"/>
    </row>
    <row r="62">
      <c r="A62" s="40"/>
      <c r="B62" s="9"/>
      <c r="C62" s="705"/>
      <c r="D62" s="706"/>
      <c r="E62" s="708"/>
      <c r="F62" s="707"/>
      <c r="G62" s="707"/>
      <c r="H62" s="707"/>
      <c r="J62" s="705"/>
      <c r="K62" s="706"/>
      <c r="L62" s="708"/>
      <c r="M62" s="707"/>
      <c r="N62" s="707"/>
      <c r="O62" s="9"/>
      <c r="P62" s="705"/>
      <c r="Q62" s="706"/>
      <c r="R62" s="708"/>
      <c r="S62" s="707"/>
      <c r="T62" s="707"/>
      <c r="U62" s="530"/>
      <c r="V62" s="715"/>
      <c r="W62" s="716"/>
      <c r="X62" s="717"/>
      <c r="Y62" s="718"/>
      <c r="Z62" s="718"/>
      <c r="AA62" s="530"/>
      <c r="AB62" s="715"/>
      <c r="AC62" s="716"/>
      <c r="AD62" s="717"/>
      <c r="AE62" s="718"/>
      <c r="AF62" s="718"/>
      <c r="AG62" s="530"/>
      <c r="AH62" s="715"/>
      <c r="AI62" s="716"/>
      <c r="AJ62" s="717"/>
      <c r="AK62" s="718"/>
      <c r="AL62" s="718"/>
      <c r="AM62" s="530"/>
      <c r="AN62" s="715"/>
      <c r="AO62" s="716"/>
      <c r="AP62" s="717"/>
      <c r="AQ62" s="718"/>
      <c r="AR62" s="718"/>
      <c r="AS62" s="530"/>
      <c r="AT62" s="715"/>
      <c r="AU62" s="716"/>
      <c r="AV62" s="717"/>
      <c r="AW62" s="718"/>
      <c r="AX62" s="718"/>
      <c r="AY62" s="530"/>
      <c r="AZ62" s="715"/>
      <c r="BA62" s="716"/>
      <c r="BB62" s="717"/>
      <c r="BC62" s="718"/>
      <c r="BD62" s="718"/>
      <c r="BE62" s="530"/>
      <c r="BF62" s="715"/>
      <c r="BG62" s="716"/>
      <c r="BH62" s="717"/>
      <c r="BI62" s="718"/>
      <c r="BJ62" s="718"/>
      <c r="BK62" s="530"/>
      <c r="BL62" s="715"/>
      <c r="BM62" s="716"/>
      <c r="BN62" s="717"/>
      <c r="BO62" s="718"/>
      <c r="BP62" s="718"/>
      <c r="BQ62" s="530"/>
      <c r="BR62" s="715"/>
      <c r="BS62" s="716"/>
      <c r="BT62" s="717"/>
      <c r="BU62" s="718"/>
      <c r="BV62" s="718"/>
      <c r="BW62" s="530"/>
    </row>
    <row r="63">
      <c r="B63" s="530"/>
      <c r="C63" s="705"/>
      <c r="D63" s="706"/>
      <c r="E63" s="708"/>
      <c r="F63" s="707"/>
      <c r="G63" s="707"/>
      <c r="H63" s="707"/>
      <c r="J63" s="705"/>
      <c r="K63" s="706"/>
      <c r="L63" s="708"/>
      <c r="M63" s="707"/>
      <c r="N63" s="707"/>
      <c r="O63" s="530"/>
      <c r="P63" s="705"/>
      <c r="Q63" s="706"/>
      <c r="R63" s="708"/>
      <c r="S63" s="707"/>
      <c r="T63" s="707"/>
      <c r="U63" s="530"/>
      <c r="V63" s="710"/>
      <c r="W63" s="711"/>
      <c r="X63" s="712"/>
      <c r="Y63" s="713"/>
      <c r="Z63" s="713"/>
      <c r="AA63" s="530"/>
      <c r="AB63" s="710"/>
      <c r="AC63" s="711"/>
      <c r="AD63" s="712"/>
      <c r="AE63" s="713"/>
      <c r="AF63" s="713"/>
      <c r="AG63" s="530"/>
      <c r="AH63" s="710"/>
      <c r="AI63" s="711"/>
      <c r="AJ63" s="712"/>
      <c r="AK63" s="713"/>
      <c r="AL63" s="713"/>
      <c r="AM63" s="530"/>
      <c r="AN63" s="710"/>
      <c r="AO63" s="711"/>
      <c r="AP63" s="712"/>
      <c r="AQ63" s="713"/>
      <c r="AR63" s="713"/>
      <c r="AS63" s="530"/>
      <c r="AT63" s="710"/>
      <c r="AU63" s="711"/>
      <c r="AV63" s="712"/>
      <c r="AW63" s="713"/>
      <c r="AX63" s="713"/>
      <c r="AY63" s="530"/>
      <c r="AZ63" s="710"/>
      <c r="BA63" s="711"/>
      <c r="BB63" s="712"/>
      <c r="BC63" s="713"/>
      <c r="BD63" s="713"/>
      <c r="BE63" s="530"/>
      <c r="BF63" s="710"/>
      <c r="BG63" s="711"/>
      <c r="BH63" s="712"/>
      <c r="BI63" s="713"/>
      <c r="BJ63" s="713"/>
      <c r="BK63" s="530"/>
      <c r="BL63" s="710"/>
      <c r="BM63" s="711"/>
      <c r="BN63" s="712"/>
      <c r="BO63" s="713"/>
      <c r="BP63" s="713"/>
      <c r="BQ63" s="530"/>
      <c r="BR63" s="710"/>
      <c r="BS63" s="711"/>
      <c r="BT63" s="712"/>
      <c r="BU63" s="713"/>
      <c r="BV63" s="713"/>
      <c r="BW63" s="530"/>
    </row>
    <row r="64">
      <c r="B64" s="530"/>
      <c r="C64" s="705"/>
      <c r="D64" s="706"/>
      <c r="E64" s="708"/>
      <c r="F64" s="707"/>
      <c r="G64" s="707"/>
      <c r="H64" s="707"/>
      <c r="J64" s="705"/>
      <c r="K64" s="706"/>
      <c r="L64" s="708"/>
      <c r="M64" s="707"/>
      <c r="N64" s="707"/>
      <c r="O64" s="530"/>
      <c r="P64" s="705"/>
      <c r="Q64" s="706"/>
      <c r="R64" s="708"/>
      <c r="S64" s="707"/>
      <c r="T64" s="707"/>
      <c r="U64" s="530"/>
      <c r="V64" s="715"/>
      <c r="W64" s="716"/>
      <c r="X64" s="717"/>
      <c r="Y64" s="718"/>
      <c r="Z64" s="718"/>
      <c r="AA64" s="530"/>
      <c r="AB64" s="715"/>
      <c r="AC64" s="716"/>
      <c r="AD64" s="717"/>
      <c r="AE64" s="718"/>
      <c r="AF64" s="718"/>
      <c r="AG64" s="530"/>
      <c r="AH64" s="715"/>
      <c r="AI64" s="716"/>
      <c r="AJ64" s="717"/>
      <c r="AK64" s="718"/>
      <c r="AL64" s="718"/>
      <c r="AM64" s="530"/>
      <c r="AN64" s="715"/>
      <c r="AO64" s="716"/>
      <c r="AP64" s="717"/>
      <c r="AQ64" s="718"/>
      <c r="AR64" s="718"/>
      <c r="AS64" s="530"/>
      <c r="AT64" s="715"/>
      <c r="AU64" s="716"/>
      <c r="AV64" s="717"/>
      <c r="AW64" s="718"/>
      <c r="AX64" s="718"/>
      <c r="AY64" s="530"/>
      <c r="AZ64" s="715"/>
      <c r="BA64" s="716"/>
      <c r="BB64" s="717"/>
      <c r="BC64" s="718"/>
      <c r="BD64" s="718"/>
      <c r="BE64" s="530"/>
      <c r="BF64" s="715"/>
      <c r="BG64" s="716"/>
      <c r="BH64" s="717"/>
      <c r="BI64" s="718"/>
      <c r="BJ64" s="718"/>
      <c r="BK64" s="530"/>
      <c r="BL64" s="715"/>
      <c r="BM64" s="716"/>
      <c r="BN64" s="717"/>
      <c r="BO64" s="718"/>
      <c r="BP64" s="718"/>
      <c r="BQ64" s="530"/>
      <c r="BR64" s="715"/>
      <c r="BS64" s="716"/>
      <c r="BT64" s="717"/>
      <c r="BU64" s="718"/>
      <c r="BV64" s="718"/>
      <c r="BW64" s="530"/>
    </row>
    <row r="65">
      <c r="C65" s="705"/>
      <c r="D65" s="706"/>
      <c r="E65" s="708"/>
      <c r="F65" s="707"/>
      <c r="G65" s="707"/>
      <c r="H65" s="707"/>
      <c r="J65" s="705"/>
      <c r="K65" s="706"/>
      <c r="L65" s="708"/>
      <c r="M65" s="707"/>
      <c r="N65" s="707"/>
      <c r="O65" s="530"/>
      <c r="P65" s="705"/>
      <c r="Q65" s="706"/>
      <c r="R65" s="708"/>
      <c r="S65" s="707"/>
      <c r="T65" s="707"/>
      <c r="U65" s="530"/>
      <c r="V65" s="710"/>
      <c r="W65" s="711"/>
      <c r="X65" s="712"/>
      <c r="Y65" s="713"/>
      <c r="Z65" s="713"/>
      <c r="AA65" s="530"/>
      <c r="AB65" s="710"/>
      <c r="AC65" s="711"/>
      <c r="AD65" s="712"/>
      <c r="AE65" s="713"/>
      <c r="AF65" s="713"/>
      <c r="AG65" s="530"/>
      <c r="AH65" s="710"/>
      <c r="AI65" s="711"/>
      <c r="AJ65" s="712"/>
      <c r="AK65" s="713"/>
      <c r="AL65" s="713"/>
      <c r="AM65" s="530"/>
      <c r="AN65" s="710"/>
      <c r="AO65" s="711"/>
      <c r="AP65" s="712"/>
      <c r="AQ65" s="713"/>
      <c r="AR65" s="713"/>
      <c r="AS65" s="530"/>
      <c r="AT65" s="710"/>
      <c r="AU65" s="711"/>
      <c r="AV65" s="712"/>
      <c r="AW65" s="713"/>
      <c r="AX65" s="713"/>
      <c r="AY65" s="530"/>
      <c r="AZ65" s="710"/>
      <c r="BA65" s="711"/>
      <c r="BB65" s="712"/>
      <c r="BC65" s="713"/>
      <c r="BD65" s="713"/>
      <c r="BE65" s="530"/>
      <c r="BF65" s="710"/>
      <c r="BG65" s="711"/>
      <c r="BH65" s="712"/>
      <c r="BI65" s="713"/>
      <c r="BJ65" s="713"/>
      <c r="BK65" s="530"/>
      <c r="BL65" s="710"/>
      <c r="BM65" s="711"/>
      <c r="BN65" s="712"/>
      <c r="BO65" s="713"/>
      <c r="BP65" s="713"/>
      <c r="BQ65" s="530"/>
      <c r="BR65" s="710"/>
      <c r="BS65" s="711"/>
      <c r="BT65" s="712"/>
      <c r="BU65" s="713"/>
      <c r="BV65" s="713"/>
      <c r="BW65" s="530"/>
    </row>
    <row r="66">
      <c r="C66" s="705"/>
      <c r="D66" s="706"/>
      <c r="E66" s="708"/>
      <c r="F66" s="707"/>
      <c r="G66" s="707"/>
      <c r="H66" s="707"/>
      <c r="J66" s="705"/>
      <c r="K66" s="706"/>
      <c r="L66" s="708"/>
      <c r="M66" s="707"/>
      <c r="N66" s="707"/>
      <c r="O66" s="530"/>
      <c r="P66" s="705"/>
      <c r="Q66" s="706"/>
      <c r="R66" s="708"/>
      <c r="S66" s="707"/>
      <c r="T66" s="707"/>
      <c r="U66" s="530"/>
      <c r="V66" s="715"/>
      <c r="W66" s="716"/>
      <c r="X66" s="717"/>
      <c r="Y66" s="718"/>
      <c r="Z66" s="718"/>
      <c r="AA66" s="530"/>
      <c r="AB66" s="715"/>
      <c r="AC66" s="716"/>
      <c r="AD66" s="717"/>
      <c r="AE66" s="718"/>
      <c r="AF66" s="718"/>
      <c r="AG66" s="530"/>
      <c r="AH66" s="715"/>
      <c r="AI66" s="716"/>
      <c r="AJ66" s="717"/>
      <c r="AK66" s="718"/>
      <c r="AL66" s="718"/>
      <c r="AM66" s="530"/>
      <c r="AN66" s="715"/>
      <c r="AO66" s="716"/>
      <c r="AP66" s="717"/>
      <c r="AQ66" s="718"/>
      <c r="AR66" s="718"/>
      <c r="AS66" s="530"/>
      <c r="AT66" s="715"/>
      <c r="AU66" s="716"/>
      <c r="AV66" s="717"/>
      <c r="AW66" s="718"/>
      <c r="AX66" s="718"/>
      <c r="AY66" s="530"/>
      <c r="AZ66" s="715"/>
      <c r="BA66" s="716"/>
      <c r="BB66" s="717"/>
      <c r="BC66" s="718"/>
      <c r="BD66" s="718"/>
      <c r="BE66" s="530"/>
      <c r="BF66" s="715"/>
      <c r="BG66" s="716"/>
      <c r="BH66" s="717"/>
      <c r="BI66" s="718"/>
      <c r="BJ66" s="718"/>
      <c r="BK66" s="530"/>
      <c r="BL66" s="715"/>
      <c r="BM66" s="716"/>
      <c r="BN66" s="717"/>
      <c r="BO66" s="718"/>
      <c r="BP66" s="718"/>
      <c r="BQ66" s="530"/>
      <c r="BR66" s="715"/>
      <c r="BS66" s="716"/>
      <c r="BT66" s="717"/>
      <c r="BU66" s="718"/>
      <c r="BV66" s="718"/>
      <c r="BW66" s="530"/>
    </row>
    <row r="67">
      <c r="C67" s="705"/>
      <c r="D67" s="706"/>
      <c r="E67" s="708"/>
      <c r="F67" s="707"/>
      <c r="G67" s="707"/>
      <c r="H67" s="707"/>
      <c r="J67" s="705"/>
      <c r="K67" s="706"/>
      <c r="L67" s="708"/>
      <c r="M67" s="707"/>
      <c r="N67" s="707"/>
      <c r="O67" s="530"/>
      <c r="P67" s="705"/>
      <c r="Q67" s="706"/>
      <c r="R67" s="708"/>
      <c r="S67" s="707"/>
      <c r="T67" s="707"/>
      <c r="U67" s="530"/>
      <c r="V67" s="710"/>
      <c r="W67" s="711"/>
      <c r="X67" s="712"/>
      <c r="Y67" s="713"/>
      <c r="Z67" s="713"/>
      <c r="AA67" s="530"/>
      <c r="AB67" s="710"/>
      <c r="AC67" s="711"/>
      <c r="AD67" s="712"/>
      <c r="AE67" s="713"/>
      <c r="AF67" s="713"/>
      <c r="AG67" s="530"/>
      <c r="AH67" s="710"/>
      <c r="AI67" s="711"/>
      <c r="AJ67" s="712"/>
      <c r="AK67" s="713"/>
      <c r="AL67" s="713"/>
      <c r="AM67" s="530"/>
      <c r="AN67" s="710"/>
      <c r="AO67" s="711"/>
      <c r="AP67" s="712"/>
      <c r="AQ67" s="713"/>
      <c r="AR67" s="713"/>
      <c r="AS67" s="530"/>
      <c r="AT67" s="710"/>
      <c r="AU67" s="711"/>
      <c r="AV67" s="712"/>
      <c r="AW67" s="713"/>
      <c r="AX67" s="713"/>
      <c r="AY67" s="530"/>
      <c r="AZ67" s="710"/>
      <c r="BA67" s="711"/>
      <c r="BB67" s="712"/>
      <c r="BC67" s="713"/>
      <c r="BD67" s="713"/>
      <c r="BE67" s="530"/>
      <c r="BF67" s="710"/>
      <c r="BG67" s="711"/>
      <c r="BH67" s="712"/>
      <c r="BI67" s="713"/>
      <c r="BJ67" s="713"/>
      <c r="BK67" s="530"/>
      <c r="BL67" s="710"/>
      <c r="BM67" s="711"/>
      <c r="BN67" s="712"/>
      <c r="BO67" s="713"/>
      <c r="BP67" s="713"/>
      <c r="BQ67" s="530"/>
      <c r="BR67" s="710"/>
      <c r="BS67" s="711"/>
      <c r="BT67" s="712"/>
      <c r="BU67" s="713"/>
      <c r="BV67" s="713"/>
      <c r="BW67" s="530"/>
    </row>
    <row r="68">
      <c r="C68" s="705"/>
      <c r="D68" s="706"/>
      <c r="E68" s="708"/>
      <c r="F68" s="707"/>
      <c r="G68" s="707"/>
      <c r="H68" s="707"/>
      <c r="J68" s="705"/>
      <c r="K68" s="706"/>
      <c r="L68" s="708"/>
      <c r="M68" s="707"/>
      <c r="N68" s="707"/>
      <c r="O68" s="530"/>
      <c r="P68" s="705"/>
      <c r="Q68" s="706"/>
      <c r="R68" s="708"/>
      <c r="S68" s="707"/>
      <c r="T68" s="707"/>
      <c r="U68" s="530"/>
      <c r="V68" s="715"/>
      <c r="W68" s="716"/>
      <c r="X68" s="717"/>
      <c r="Y68" s="718"/>
      <c r="Z68" s="718"/>
      <c r="AA68" s="530"/>
      <c r="AB68" s="715"/>
      <c r="AC68" s="716"/>
      <c r="AD68" s="717"/>
      <c r="AE68" s="718"/>
      <c r="AF68" s="718"/>
      <c r="AG68" s="530"/>
      <c r="AH68" s="715"/>
      <c r="AI68" s="716"/>
      <c r="AJ68" s="717"/>
      <c r="AK68" s="718"/>
      <c r="AL68" s="718"/>
      <c r="AM68" s="530"/>
      <c r="AN68" s="715"/>
      <c r="AO68" s="716"/>
      <c r="AP68" s="717"/>
      <c r="AQ68" s="718"/>
      <c r="AR68" s="718"/>
      <c r="AS68" s="530"/>
      <c r="AT68" s="715"/>
      <c r="AU68" s="716"/>
      <c r="AV68" s="717"/>
      <c r="AW68" s="718"/>
      <c r="AX68" s="718"/>
      <c r="AY68" s="530"/>
      <c r="AZ68" s="715"/>
      <c r="BA68" s="716"/>
      <c r="BB68" s="717"/>
      <c r="BC68" s="718"/>
      <c r="BD68" s="718"/>
      <c r="BE68" s="530"/>
      <c r="BF68" s="715"/>
      <c r="BG68" s="716"/>
      <c r="BH68" s="717"/>
      <c r="BI68" s="718"/>
      <c r="BJ68" s="718"/>
      <c r="BK68" s="530"/>
      <c r="BL68" s="715"/>
      <c r="BM68" s="716"/>
      <c r="BN68" s="717"/>
      <c r="BO68" s="718"/>
      <c r="BP68" s="718"/>
      <c r="BQ68" s="530"/>
      <c r="BR68" s="715"/>
      <c r="BS68" s="716"/>
      <c r="BT68" s="717"/>
      <c r="BU68" s="718"/>
      <c r="BV68" s="718"/>
      <c r="BW68" s="530"/>
    </row>
    <row r="69">
      <c r="C69" s="705"/>
      <c r="D69" s="706"/>
      <c r="E69" s="708"/>
      <c r="F69" s="707"/>
      <c r="G69" s="707"/>
      <c r="H69" s="707"/>
      <c r="J69" s="705"/>
      <c r="K69" s="706"/>
      <c r="L69" s="708"/>
      <c r="M69" s="707"/>
      <c r="N69" s="707"/>
      <c r="O69" s="530"/>
      <c r="P69" s="705"/>
      <c r="Q69" s="706"/>
      <c r="R69" s="708"/>
      <c r="S69" s="707"/>
      <c r="T69" s="707"/>
      <c r="U69" s="530"/>
      <c r="V69" s="710"/>
      <c r="W69" s="711"/>
      <c r="X69" s="712"/>
      <c r="Y69" s="713"/>
      <c r="Z69" s="713"/>
      <c r="AA69" s="530"/>
      <c r="AB69" s="710"/>
      <c r="AC69" s="711"/>
      <c r="AD69" s="712"/>
      <c r="AE69" s="713"/>
      <c r="AF69" s="713"/>
      <c r="AG69" s="530"/>
      <c r="AH69" s="710"/>
      <c r="AI69" s="711"/>
      <c r="AJ69" s="712"/>
      <c r="AK69" s="713"/>
      <c r="AL69" s="713"/>
      <c r="AM69" s="530"/>
      <c r="AN69" s="710"/>
      <c r="AO69" s="711"/>
      <c r="AP69" s="712"/>
      <c r="AQ69" s="713"/>
      <c r="AR69" s="713"/>
      <c r="AS69" s="530"/>
      <c r="AT69" s="710"/>
      <c r="AU69" s="711"/>
      <c r="AV69" s="712"/>
      <c r="AW69" s="713"/>
      <c r="AX69" s="713"/>
      <c r="AY69" s="530"/>
      <c r="AZ69" s="710"/>
      <c r="BA69" s="711"/>
      <c r="BB69" s="712"/>
      <c r="BC69" s="713"/>
      <c r="BD69" s="713"/>
      <c r="BE69" s="530"/>
      <c r="BF69" s="710"/>
      <c r="BG69" s="711"/>
      <c r="BH69" s="712"/>
      <c r="BI69" s="713"/>
      <c r="BJ69" s="713"/>
      <c r="BK69" s="530"/>
      <c r="BL69" s="710"/>
      <c r="BM69" s="711"/>
      <c r="BN69" s="712"/>
      <c r="BO69" s="713"/>
      <c r="BP69" s="713"/>
      <c r="BQ69" s="530"/>
      <c r="BR69" s="710"/>
      <c r="BS69" s="711"/>
      <c r="BT69" s="712"/>
      <c r="BU69" s="713"/>
      <c r="BV69" s="713"/>
      <c r="BW69" s="530"/>
    </row>
    <row r="70">
      <c r="C70" s="705"/>
      <c r="D70" s="706"/>
      <c r="E70" s="708"/>
      <c r="F70" s="707"/>
      <c r="G70" s="707"/>
      <c r="H70" s="707"/>
      <c r="J70" s="705"/>
      <c r="K70" s="706"/>
      <c r="L70" s="708"/>
      <c r="M70" s="707"/>
      <c r="N70" s="707"/>
      <c r="O70" s="530"/>
      <c r="P70" s="705"/>
      <c r="Q70" s="706"/>
      <c r="R70" s="708"/>
      <c r="S70" s="707"/>
      <c r="T70" s="707"/>
      <c r="U70" s="530"/>
      <c r="V70" s="715"/>
      <c r="W70" s="716"/>
      <c r="X70" s="717"/>
      <c r="Y70" s="718"/>
      <c r="Z70" s="718"/>
      <c r="AA70" s="530"/>
      <c r="AB70" s="715"/>
      <c r="AC70" s="716"/>
      <c r="AD70" s="717"/>
      <c r="AE70" s="718"/>
      <c r="AF70" s="718"/>
      <c r="AG70" s="530"/>
      <c r="AH70" s="715"/>
      <c r="AI70" s="716"/>
      <c r="AJ70" s="717"/>
      <c r="AK70" s="718"/>
      <c r="AL70" s="718"/>
      <c r="AM70" s="530"/>
      <c r="AN70" s="715"/>
      <c r="AO70" s="716"/>
      <c r="AP70" s="717"/>
      <c r="AQ70" s="718"/>
      <c r="AR70" s="718"/>
      <c r="AS70" s="530"/>
      <c r="AT70" s="715"/>
      <c r="AU70" s="716"/>
      <c r="AV70" s="717"/>
      <c r="AW70" s="718"/>
      <c r="AX70" s="718"/>
      <c r="AY70" s="530"/>
      <c r="AZ70" s="715"/>
      <c r="BA70" s="716"/>
      <c r="BB70" s="717"/>
      <c r="BC70" s="718"/>
      <c r="BD70" s="718"/>
      <c r="BE70" s="530"/>
      <c r="BF70" s="715"/>
      <c r="BG70" s="716"/>
      <c r="BH70" s="717"/>
      <c r="BI70" s="718"/>
      <c r="BJ70" s="718"/>
      <c r="BK70" s="530"/>
      <c r="BL70" s="715"/>
      <c r="BM70" s="716"/>
      <c r="BN70" s="717"/>
      <c r="BO70" s="718"/>
      <c r="BP70" s="718"/>
      <c r="BQ70" s="530"/>
      <c r="BR70" s="715"/>
      <c r="BS70" s="716"/>
      <c r="BT70" s="717"/>
      <c r="BU70" s="718"/>
      <c r="BV70" s="718"/>
      <c r="BW70" s="530"/>
    </row>
    <row r="71">
      <c r="C71" s="705"/>
      <c r="D71" s="706"/>
      <c r="E71" s="708"/>
      <c r="F71" s="707"/>
      <c r="G71" s="707"/>
      <c r="H71" s="707"/>
      <c r="J71" s="705"/>
      <c r="K71" s="706"/>
      <c r="L71" s="708"/>
      <c r="M71" s="707"/>
      <c r="N71" s="707"/>
      <c r="O71" s="530"/>
      <c r="P71" s="705"/>
      <c r="Q71" s="706"/>
      <c r="R71" s="708"/>
      <c r="S71" s="707"/>
      <c r="T71" s="707"/>
      <c r="U71" s="530"/>
      <c r="V71" s="710"/>
      <c r="W71" s="711"/>
      <c r="X71" s="712"/>
      <c r="Y71" s="713"/>
      <c r="Z71" s="713"/>
      <c r="AA71" s="530"/>
      <c r="AB71" s="710"/>
      <c r="AC71" s="711"/>
      <c r="AD71" s="712"/>
      <c r="AE71" s="713"/>
      <c r="AF71" s="713"/>
      <c r="AG71" s="530"/>
      <c r="AH71" s="710"/>
      <c r="AI71" s="711"/>
      <c r="AJ71" s="712"/>
      <c r="AK71" s="713"/>
      <c r="AL71" s="713"/>
      <c r="AM71" s="530"/>
      <c r="AN71" s="710"/>
      <c r="AO71" s="711"/>
      <c r="AP71" s="712"/>
      <c r="AQ71" s="713"/>
      <c r="AR71" s="713"/>
      <c r="AS71" s="530"/>
      <c r="AT71" s="710"/>
      <c r="AU71" s="711"/>
      <c r="AV71" s="712"/>
      <c r="AW71" s="713"/>
      <c r="AX71" s="713"/>
      <c r="AY71" s="530"/>
      <c r="AZ71" s="710"/>
      <c r="BA71" s="711"/>
      <c r="BB71" s="712"/>
      <c r="BC71" s="713"/>
      <c r="BD71" s="713"/>
      <c r="BE71" s="530"/>
      <c r="BF71" s="710"/>
      <c r="BG71" s="711"/>
      <c r="BH71" s="712"/>
      <c r="BI71" s="713"/>
      <c r="BJ71" s="713"/>
      <c r="BK71" s="530"/>
      <c r="BL71" s="710"/>
      <c r="BM71" s="711"/>
      <c r="BN71" s="712"/>
      <c r="BO71" s="713"/>
      <c r="BP71" s="713"/>
      <c r="BQ71" s="530"/>
      <c r="BR71" s="710"/>
      <c r="BS71" s="711"/>
      <c r="BT71" s="712"/>
      <c r="BU71" s="713"/>
      <c r="BV71" s="713"/>
      <c r="BW71" s="530"/>
    </row>
    <row r="72">
      <c r="C72" s="705"/>
      <c r="D72" s="706"/>
      <c r="E72" s="708"/>
      <c r="F72" s="707"/>
      <c r="G72" s="707"/>
      <c r="H72" s="707"/>
      <c r="J72" s="705"/>
      <c r="K72" s="706"/>
      <c r="L72" s="708"/>
      <c r="M72" s="707"/>
      <c r="N72" s="707"/>
      <c r="O72" s="530"/>
      <c r="P72" s="705"/>
      <c r="Q72" s="706"/>
      <c r="R72" s="708"/>
      <c r="S72" s="707"/>
      <c r="T72" s="707"/>
      <c r="U72" s="530"/>
      <c r="V72" s="715"/>
      <c r="W72" s="716"/>
      <c r="X72" s="717"/>
      <c r="Y72" s="718"/>
      <c r="Z72" s="718"/>
      <c r="AA72" s="530"/>
      <c r="AB72" s="715"/>
      <c r="AC72" s="716"/>
      <c r="AD72" s="717"/>
      <c r="AE72" s="718"/>
      <c r="AF72" s="718"/>
      <c r="AG72" s="530"/>
      <c r="AH72" s="715"/>
      <c r="AI72" s="716"/>
      <c r="AJ72" s="717"/>
      <c r="AK72" s="718"/>
      <c r="AL72" s="718"/>
      <c r="AM72" s="530"/>
      <c r="AN72" s="715"/>
      <c r="AO72" s="716"/>
      <c r="AP72" s="717"/>
      <c r="AQ72" s="718"/>
      <c r="AR72" s="718"/>
      <c r="AS72" s="530"/>
      <c r="AT72" s="715"/>
      <c r="AU72" s="716"/>
      <c r="AV72" s="717"/>
      <c r="AW72" s="718"/>
      <c r="AX72" s="718"/>
      <c r="AY72" s="530"/>
      <c r="AZ72" s="715"/>
      <c r="BA72" s="716"/>
      <c r="BB72" s="717"/>
      <c r="BC72" s="718"/>
      <c r="BD72" s="718"/>
      <c r="BE72" s="530"/>
      <c r="BF72" s="715"/>
      <c r="BG72" s="716"/>
      <c r="BH72" s="717"/>
      <c r="BI72" s="718"/>
      <c r="BJ72" s="718"/>
      <c r="BK72" s="530"/>
      <c r="BL72" s="715"/>
      <c r="BM72" s="716"/>
      <c r="BN72" s="717"/>
      <c r="BO72" s="718"/>
      <c r="BP72" s="718"/>
      <c r="BQ72" s="530"/>
      <c r="BR72" s="715"/>
      <c r="BS72" s="716"/>
      <c r="BT72" s="717"/>
      <c r="BU72" s="718"/>
      <c r="BV72" s="718"/>
      <c r="BW72" s="530"/>
    </row>
    <row r="73">
      <c r="C73" s="705"/>
      <c r="D73" s="706"/>
      <c r="E73" s="708"/>
      <c r="F73" s="707"/>
      <c r="G73" s="707"/>
      <c r="H73" s="707"/>
      <c r="J73" s="705"/>
      <c r="K73" s="706"/>
      <c r="L73" s="708"/>
      <c r="M73" s="707"/>
      <c r="N73" s="707"/>
      <c r="O73" s="530"/>
      <c r="P73" s="705"/>
      <c r="Q73" s="706"/>
      <c r="R73" s="708"/>
      <c r="S73" s="707"/>
      <c r="T73" s="707"/>
      <c r="U73" s="530"/>
      <c r="V73" s="710"/>
      <c r="W73" s="711"/>
      <c r="X73" s="712"/>
      <c r="Y73" s="713"/>
      <c r="Z73" s="713"/>
      <c r="AA73" s="530"/>
      <c r="AB73" s="710"/>
      <c r="AC73" s="711"/>
      <c r="AD73" s="712"/>
      <c r="AE73" s="713"/>
      <c r="AF73" s="713"/>
      <c r="AG73" s="530"/>
      <c r="AH73" s="710"/>
      <c r="AI73" s="711"/>
      <c r="AJ73" s="712"/>
      <c r="AK73" s="713"/>
      <c r="AL73" s="713"/>
      <c r="AM73" s="530"/>
      <c r="AN73" s="710"/>
      <c r="AO73" s="711"/>
      <c r="AP73" s="712"/>
      <c r="AQ73" s="713"/>
      <c r="AR73" s="713"/>
      <c r="AS73" s="530"/>
      <c r="AT73" s="710"/>
      <c r="AU73" s="711"/>
      <c r="AV73" s="712"/>
      <c r="AW73" s="713"/>
      <c r="AX73" s="713"/>
      <c r="AY73" s="530"/>
      <c r="AZ73" s="710"/>
      <c r="BA73" s="711"/>
      <c r="BB73" s="712"/>
      <c r="BC73" s="713"/>
      <c r="BD73" s="713"/>
      <c r="BE73" s="530"/>
      <c r="BF73" s="710"/>
      <c r="BG73" s="711"/>
      <c r="BH73" s="712"/>
      <c r="BI73" s="713"/>
      <c r="BJ73" s="713"/>
      <c r="BK73" s="530"/>
      <c r="BL73" s="710"/>
      <c r="BM73" s="711"/>
      <c r="BN73" s="712"/>
      <c r="BO73" s="713"/>
      <c r="BP73" s="713"/>
      <c r="BQ73" s="530"/>
      <c r="BR73" s="710"/>
      <c r="BS73" s="711"/>
      <c r="BT73" s="712"/>
      <c r="BU73" s="713"/>
      <c r="BV73" s="713"/>
      <c r="BW73" s="530"/>
    </row>
    <row r="74">
      <c r="C74" s="705"/>
      <c r="D74" s="706"/>
      <c r="E74" s="708"/>
      <c r="F74" s="707"/>
      <c r="G74" s="707"/>
      <c r="H74" s="707"/>
      <c r="J74" s="705"/>
      <c r="K74" s="706"/>
      <c r="L74" s="708"/>
      <c r="M74" s="707"/>
      <c r="N74" s="707"/>
      <c r="O74" s="530"/>
      <c r="P74" s="705"/>
      <c r="Q74" s="706"/>
      <c r="R74" s="708"/>
      <c r="S74" s="707"/>
      <c r="T74" s="707"/>
      <c r="U74" s="530"/>
      <c r="V74" s="715"/>
      <c r="W74" s="716"/>
      <c r="X74" s="717"/>
      <c r="Y74" s="718"/>
      <c r="Z74" s="718"/>
      <c r="AA74" s="530"/>
      <c r="AB74" s="715"/>
      <c r="AC74" s="716"/>
      <c r="AD74" s="717"/>
      <c r="AE74" s="718"/>
      <c r="AF74" s="718"/>
      <c r="AG74" s="530"/>
      <c r="AH74" s="715"/>
      <c r="AI74" s="716"/>
      <c r="AJ74" s="717"/>
      <c r="AK74" s="718"/>
      <c r="AL74" s="718"/>
      <c r="AM74" s="530"/>
      <c r="AN74" s="715"/>
      <c r="AO74" s="716"/>
      <c r="AP74" s="717"/>
      <c r="AQ74" s="718"/>
      <c r="AR74" s="718"/>
      <c r="AS74" s="530"/>
      <c r="AT74" s="715"/>
      <c r="AU74" s="716"/>
      <c r="AV74" s="717"/>
      <c r="AW74" s="718"/>
      <c r="AX74" s="718"/>
      <c r="AY74" s="530"/>
      <c r="AZ74" s="715"/>
      <c r="BA74" s="716"/>
      <c r="BB74" s="717"/>
      <c r="BC74" s="718"/>
      <c r="BD74" s="718"/>
      <c r="BE74" s="530"/>
      <c r="BF74" s="715"/>
      <c r="BG74" s="716"/>
      <c r="BH74" s="717"/>
      <c r="BI74" s="718"/>
      <c r="BJ74" s="718"/>
      <c r="BK74" s="530"/>
      <c r="BL74" s="715"/>
      <c r="BM74" s="716"/>
      <c r="BN74" s="717"/>
      <c r="BO74" s="718"/>
      <c r="BP74" s="718"/>
      <c r="BQ74" s="530"/>
      <c r="BR74" s="715"/>
      <c r="BS74" s="716"/>
      <c r="BT74" s="717"/>
      <c r="BU74" s="718"/>
      <c r="BV74" s="718"/>
      <c r="BW74" s="530"/>
    </row>
    <row r="75">
      <c r="C75" s="705"/>
      <c r="D75" s="706"/>
      <c r="E75" s="708"/>
      <c r="F75" s="707"/>
      <c r="G75" s="707"/>
      <c r="H75" s="707"/>
      <c r="J75" s="705"/>
      <c r="K75" s="706"/>
      <c r="L75" s="708"/>
      <c r="M75" s="707"/>
      <c r="N75" s="707"/>
      <c r="O75" s="530"/>
      <c r="P75" s="705"/>
      <c r="Q75" s="706"/>
      <c r="R75" s="708"/>
      <c r="S75" s="707"/>
      <c r="T75" s="707"/>
      <c r="U75" s="530"/>
      <c r="V75" s="710"/>
      <c r="W75" s="711"/>
      <c r="X75" s="712"/>
      <c r="Y75" s="713"/>
      <c r="Z75" s="713"/>
      <c r="AA75" s="530"/>
      <c r="AB75" s="710"/>
      <c r="AC75" s="711"/>
      <c r="AD75" s="712"/>
      <c r="AE75" s="713"/>
      <c r="AF75" s="713"/>
      <c r="AG75" s="530"/>
      <c r="AH75" s="710"/>
      <c r="AI75" s="711"/>
      <c r="AJ75" s="712"/>
      <c r="AK75" s="713"/>
      <c r="AL75" s="713"/>
      <c r="AM75" s="530"/>
      <c r="AN75" s="710"/>
      <c r="AO75" s="711"/>
      <c r="AP75" s="712"/>
      <c r="AQ75" s="713"/>
      <c r="AR75" s="713"/>
      <c r="AS75" s="530"/>
      <c r="AT75" s="710"/>
      <c r="AU75" s="711"/>
      <c r="AV75" s="712"/>
      <c r="AW75" s="713"/>
      <c r="AX75" s="713"/>
      <c r="AY75" s="530"/>
      <c r="AZ75" s="710"/>
      <c r="BA75" s="711"/>
      <c r="BB75" s="712"/>
      <c r="BC75" s="713"/>
      <c r="BD75" s="713"/>
      <c r="BE75" s="530"/>
      <c r="BF75" s="710"/>
      <c r="BG75" s="711"/>
      <c r="BH75" s="712"/>
      <c r="BI75" s="713"/>
      <c r="BJ75" s="713"/>
      <c r="BK75" s="530"/>
      <c r="BL75" s="710"/>
      <c r="BM75" s="711"/>
      <c r="BN75" s="712"/>
      <c r="BO75" s="713"/>
      <c r="BP75" s="713"/>
      <c r="BQ75" s="530"/>
      <c r="BR75" s="710"/>
      <c r="BS75" s="711"/>
      <c r="BT75" s="712"/>
      <c r="BU75" s="713"/>
      <c r="BV75" s="713"/>
      <c r="BW75" s="530"/>
    </row>
    <row r="76">
      <c r="C76" s="705"/>
      <c r="D76" s="706"/>
      <c r="E76" s="708"/>
      <c r="F76" s="707"/>
      <c r="G76" s="707"/>
      <c r="H76" s="707"/>
      <c r="J76" s="705"/>
      <c r="K76" s="706"/>
      <c r="L76" s="708"/>
      <c r="M76" s="707"/>
      <c r="N76" s="707"/>
      <c r="O76" s="530"/>
      <c r="P76" s="705"/>
      <c r="Q76" s="706"/>
      <c r="R76" s="708"/>
      <c r="S76" s="707"/>
      <c r="T76" s="707"/>
      <c r="U76" s="530"/>
      <c r="V76" s="715"/>
      <c r="W76" s="716"/>
      <c r="X76" s="717"/>
      <c r="Y76" s="718"/>
      <c r="Z76" s="718"/>
      <c r="AA76" s="530"/>
      <c r="AB76" s="715"/>
      <c r="AC76" s="716"/>
      <c r="AD76" s="717"/>
      <c r="AE76" s="718"/>
      <c r="AF76" s="718"/>
      <c r="AG76" s="530"/>
      <c r="AH76" s="715"/>
      <c r="AI76" s="716"/>
      <c r="AJ76" s="717"/>
      <c r="AK76" s="718"/>
      <c r="AL76" s="718"/>
      <c r="AM76" s="530"/>
      <c r="AN76" s="715"/>
      <c r="AO76" s="716"/>
      <c r="AP76" s="717"/>
      <c r="AQ76" s="718"/>
      <c r="AR76" s="718"/>
      <c r="AS76" s="530"/>
      <c r="AT76" s="715"/>
      <c r="AU76" s="716"/>
      <c r="AV76" s="717"/>
      <c r="AW76" s="718"/>
      <c r="AX76" s="718"/>
      <c r="AY76" s="530"/>
      <c r="AZ76" s="715"/>
      <c r="BA76" s="716"/>
      <c r="BB76" s="717"/>
      <c r="BC76" s="718"/>
      <c r="BD76" s="718"/>
      <c r="BE76" s="530"/>
      <c r="BF76" s="715"/>
      <c r="BG76" s="716"/>
      <c r="BH76" s="717"/>
      <c r="BI76" s="718"/>
      <c r="BJ76" s="718"/>
      <c r="BK76" s="530"/>
      <c r="BL76" s="715"/>
      <c r="BM76" s="716"/>
      <c r="BN76" s="717"/>
      <c r="BO76" s="718"/>
      <c r="BP76" s="718"/>
      <c r="BQ76" s="530"/>
      <c r="BR76" s="715"/>
      <c r="BS76" s="716"/>
      <c r="BT76" s="717"/>
      <c r="BU76" s="718"/>
      <c r="BV76" s="718"/>
      <c r="BW76" s="530"/>
    </row>
    <row r="77">
      <c r="C77" s="705"/>
      <c r="D77" s="706"/>
      <c r="E77" s="708"/>
      <c r="F77" s="707"/>
      <c r="G77" s="707"/>
      <c r="H77" s="707"/>
      <c r="J77" s="705"/>
      <c r="K77" s="706"/>
      <c r="L77" s="708"/>
      <c r="M77" s="707"/>
      <c r="N77" s="707"/>
      <c r="O77" s="530"/>
      <c r="P77" s="705"/>
      <c r="Q77" s="706"/>
      <c r="R77" s="708"/>
      <c r="S77" s="707"/>
      <c r="T77" s="707"/>
      <c r="U77" s="530"/>
      <c r="V77" s="710"/>
      <c r="W77" s="711"/>
      <c r="X77" s="712"/>
      <c r="Y77" s="713"/>
      <c r="Z77" s="713"/>
      <c r="AA77" s="530"/>
      <c r="AB77" s="710"/>
      <c r="AC77" s="711"/>
      <c r="AD77" s="712"/>
      <c r="AE77" s="713"/>
      <c r="AF77" s="713"/>
      <c r="AG77" s="530"/>
      <c r="AH77" s="710"/>
      <c r="AI77" s="711"/>
      <c r="AJ77" s="712"/>
      <c r="AK77" s="713"/>
      <c r="AL77" s="713"/>
      <c r="AM77" s="530"/>
      <c r="AN77" s="710"/>
      <c r="AO77" s="711"/>
      <c r="AP77" s="712"/>
      <c r="AQ77" s="713"/>
      <c r="AR77" s="713"/>
      <c r="AS77" s="530"/>
      <c r="AT77" s="710"/>
      <c r="AU77" s="711"/>
      <c r="AV77" s="712"/>
      <c r="AW77" s="713"/>
      <c r="AX77" s="713"/>
      <c r="AY77" s="530"/>
      <c r="AZ77" s="710"/>
      <c r="BA77" s="711"/>
      <c r="BB77" s="712"/>
      <c r="BC77" s="713"/>
      <c r="BD77" s="713"/>
      <c r="BE77" s="530"/>
      <c r="BF77" s="710"/>
      <c r="BG77" s="711"/>
      <c r="BH77" s="712"/>
      <c r="BI77" s="713"/>
      <c r="BJ77" s="713"/>
      <c r="BK77" s="530"/>
      <c r="BL77" s="710"/>
      <c r="BM77" s="711"/>
      <c r="BN77" s="712"/>
      <c r="BO77" s="713"/>
      <c r="BP77" s="713"/>
      <c r="BQ77" s="530"/>
      <c r="BR77" s="710"/>
      <c r="BS77" s="711"/>
      <c r="BT77" s="712"/>
      <c r="BU77" s="713"/>
      <c r="BV77" s="713"/>
      <c r="BW77" s="530"/>
    </row>
    <row r="78">
      <c r="C78" s="705"/>
      <c r="D78" s="706"/>
      <c r="E78" s="708"/>
      <c r="F78" s="707"/>
      <c r="G78" s="707"/>
      <c r="H78" s="707"/>
      <c r="J78" s="705"/>
      <c r="K78" s="706"/>
      <c r="L78" s="708"/>
      <c r="M78" s="707"/>
      <c r="N78" s="707"/>
      <c r="O78" s="530"/>
      <c r="P78" s="705"/>
      <c r="Q78" s="706"/>
      <c r="R78" s="708"/>
      <c r="S78" s="707"/>
      <c r="T78" s="707"/>
      <c r="U78" s="530"/>
      <c r="V78" s="715"/>
      <c r="W78" s="716"/>
      <c r="X78" s="717"/>
      <c r="Y78" s="718"/>
      <c r="Z78" s="718"/>
      <c r="AA78" s="530"/>
      <c r="AB78" s="715"/>
      <c r="AC78" s="716"/>
      <c r="AD78" s="717"/>
      <c r="AE78" s="718"/>
      <c r="AF78" s="718"/>
      <c r="AG78" s="530"/>
      <c r="AH78" s="715"/>
      <c r="AI78" s="716"/>
      <c r="AJ78" s="717"/>
      <c r="AK78" s="718"/>
      <c r="AL78" s="718"/>
      <c r="AM78" s="530"/>
      <c r="AN78" s="715"/>
      <c r="AO78" s="716"/>
      <c r="AP78" s="717"/>
      <c r="AQ78" s="718"/>
      <c r="AR78" s="718"/>
      <c r="AS78" s="530"/>
      <c r="AT78" s="715"/>
      <c r="AU78" s="716"/>
      <c r="AV78" s="717"/>
      <c r="AW78" s="718"/>
      <c r="AX78" s="718"/>
      <c r="AY78" s="530"/>
      <c r="AZ78" s="715"/>
      <c r="BA78" s="716"/>
      <c r="BB78" s="717"/>
      <c r="BC78" s="718"/>
      <c r="BD78" s="718"/>
      <c r="BE78" s="530"/>
      <c r="BF78" s="715"/>
      <c r="BG78" s="716"/>
      <c r="BH78" s="717"/>
      <c r="BI78" s="718"/>
      <c r="BJ78" s="718"/>
      <c r="BK78" s="530"/>
      <c r="BL78" s="715"/>
      <c r="BM78" s="716"/>
      <c r="BN78" s="717"/>
      <c r="BO78" s="718"/>
      <c r="BP78" s="718"/>
      <c r="BQ78" s="530"/>
      <c r="BR78" s="715"/>
      <c r="BS78" s="716"/>
      <c r="BT78" s="717"/>
      <c r="BU78" s="718"/>
      <c r="BV78" s="718"/>
      <c r="BW78" s="530"/>
    </row>
    <row r="79">
      <c r="C79" s="705"/>
      <c r="D79" s="706"/>
      <c r="E79" s="708"/>
      <c r="F79" s="707"/>
      <c r="G79" s="707"/>
      <c r="H79" s="707"/>
      <c r="J79" s="705"/>
      <c r="K79" s="706"/>
      <c r="L79" s="708"/>
      <c r="M79" s="707"/>
      <c r="N79" s="707"/>
      <c r="O79" s="530"/>
      <c r="P79" s="705"/>
      <c r="Q79" s="706"/>
      <c r="R79" s="708"/>
      <c r="S79" s="707"/>
      <c r="T79" s="707"/>
      <c r="U79" s="530"/>
      <c r="V79" s="710"/>
      <c r="W79" s="711"/>
      <c r="X79" s="712"/>
      <c r="Y79" s="713"/>
      <c r="Z79" s="713"/>
      <c r="AA79" s="530"/>
      <c r="AB79" s="710"/>
      <c r="AC79" s="711"/>
      <c r="AD79" s="712"/>
      <c r="AE79" s="713"/>
      <c r="AF79" s="713"/>
      <c r="AG79" s="530"/>
      <c r="AH79" s="710"/>
      <c r="AI79" s="711"/>
      <c r="AJ79" s="712"/>
      <c r="AK79" s="713"/>
      <c r="AL79" s="713"/>
      <c r="AM79" s="530"/>
      <c r="AN79" s="710"/>
      <c r="AO79" s="711"/>
      <c r="AP79" s="712"/>
      <c r="AQ79" s="713"/>
      <c r="AR79" s="713"/>
      <c r="AS79" s="530"/>
      <c r="AT79" s="710"/>
      <c r="AU79" s="711"/>
      <c r="AV79" s="712"/>
      <c r="AW79" s="713"/>
      <c r="AX79" s="713"/>
      <c r="AY79" s="530"/>
      <c r="AZ79" s="710"/>
      <c r="BA79" s="711"/>
      <c r="BB79" s="712"/>
      <c r="BC79" s="713"/>
      <c r="BD79" s="713"/>
      <c r="BE79" s="530"/>
      <c r="BF79" s="710"/>
      <c r="BG79" s="711"/>
      <c r="BH79" s="712"/>
      <c r="BI79" s="713"/>
      <c r="BJ79" s="713"/>
      <c r="BK79" s="530"/>
      <c r="BL79" s="710"/>
      <c r="BM79" s="711"/>
      <c r="BN79" s="712"/>
      <c r="BO79" s="713"/>
      <c r="BP79" s="713"/>
      <c r="BQ79" s="530"/>
      <c r="BR79" s="710"/>
      <c r="BS79" s="711"/>
      <c r="BT79" s="712"/>
      <c r="BU79" s="713"/>
      <c r="BV79" s="713"/>
      <c r="BW79" s="530"/>
    </row>
    <row r="80">
      <c r="C80" s="705"/>
      <c r="D80" s="706"/>
      <c r="E80" s="708"/>
      <c r="F80" s="707"/>
      <c r="G80" s="707"/>
      <c r="H80" s="707"/>
      <c r="J80" s="705"/>
      <c r="K80" s="706"/>
      <c r="L80" s="708"/>
      <c r="M80" s="707"/>
      <c r="N80" s="707"/>
      <c r="O80" s="530"/>
      <c r="P80" s="705"/>
      <c r="Q80" s="706"/>
      <c r="R80" s="708"/>
      <c r="S80" s="707"/>
      <c r="T80" s="707"/>
      <c r="U80" s="530"/>
      <c r="V80" s="715"/>
      <c r="W80" s="716"/>
      <c r="X80" s="717"/>
      <c r="Y80" s="718"/>
      <c r="Z80" s="718"/>
      <c r="AA80" s="530"/>
      <c r="AB80" s="715"/>
      <c r="AC80" s="716"/>
      <c r="AD80" s="717"/>
      <c r="AE80" s="718"/>
      <c r="AF80" s="718"/>
      <c r="AG80" s="530"/>
      <c r="AH80" s="715"/>
      <c r="AI80" s="716"/>
      <c r="AJ80" s="717"/>
      <c r="AK80" s="718"/>
      <c r="AL80" s="718"/>
      <c r="AM80" s="530"/>
      <c r="AN80" s="715"/>
      <c r="AO80" s="716"/>
      <c r="AP80" s="717"/>
      <c r="AQ80" s="718"/>
      <c r="AR80" s="718"/>
      <c r="AS80" s="530"/>
      <c r="AT80" s="715"/>
      <c r="AU80" s="716"/>
      <c r="AV80" s="717"/>
      <c r="AW80" s="718"/>
      <c r="AX80" s="718"/>
      <c r="AY80" s="530"/>
      <c r="AZ80" s="715"/>
      <c r="BA80" s="716"/>
      <c r="BB80" s="717"/>
      <c r="BC80" s="718"/>
      <c r="BD80" s="718"/>
      <c r="BE80" s="530"/>
      <c r="BF80" s="715"/>
      <c r="BG80" s="716"/>
      <c r="BH80" s="717"/>
      <c r="BI80" s="718"/>
      <c r="BJ80" s="718"/>
      <c r="BK80" s="530"/>
      <c r="BL80" s="715"/>
      <c r="BM80" s="716"/>
      <c r="BN80" s="717"/>
      <c r="BO80" s="718"/>
      <c r="BP80" s="718"/>
      <c r="BQ80" s="530"/>
      <c r="BR80" s="715"/>
      <c r="BS80" s="716"/>
      <c r="BT80" s="717"/>
      <c r="BU80" s="718"/>
      <c r="BV80" s="718"/>
      <c r="BW80" s="530"/>
    </row>
    <row r="81">
      <c r="C81" s="705"/>
      <c r="D81" s="706"/>
      <c r="E81" s="708"/>
      <c r="F81" s="707"/>
      <c r="G81" s="707"/>
      <c r="H81" s="707"/>
      <c r="J81" s="705"/>
      <c r="K81" s="706"/>
      <c r="L81" s="708"/>
      <c r="M81" s="707"/>
      <c r="N81" s="707"/>
      <c r="O81" s="530"/>
      <c r="P81" s="705"/>
      <c r="Q81" s="706"/>
      <c r="R81" s="708"/>
      <c r="S81" s="707"/>
      <c r="T81" s="707"/>
      <c r="U81" s="530"/>
      <c r="V81" s="710"/>
      <c r="W81" s="711"/>
      <c r="X81" s="712"/>
      <c r="Y81" s="713"/>
      <c r="Z81" s="713"/>
      <c r="AA81" s="530"/>
      <c r="AB81" s="710"/>
      <c r="AC81" s="711"/>
      <c r="AD81" s="712"/>
      <c r="AE81" s="713"/>
      <c r="AF81" s="713"/>
      <c r="AG81" s="530"/>
      <c r="AH81" s="710"/>
      <c r="AI81" s="711"/>
      <c r="AJ81" s="712"/>
      <c r="AK81" s="713"/>
      <c r="AL81" s="713"/>
      <c r="AM81" s="530"/>
      <c r="AN81" s="710"/>
      <c r="AO81" s="711"/>
      <c r="AP81" s="712"/>
      <c r="AQ81" s="713"/>
      <c r="AR81" s="713"/>
      <c r="AS81" s="530"/>
      <c r="AT81" s="710"/>
      <c r="AU81" s="711"/>
      <c r="AV81" s="712"/>
      <c r="AW81" s="713"/>
      <c r="AX81" s="713"/>
      <c r="AY81" s="530"/>
      <c r="AZ81" s="710"/>
      <c r="BA81" s="711"/>
      <c r="BB81" s="712"/>
      <c r="BC81" s="713"/>
      <c r="BD81" s="713"/>
      <c r="BE81" s="530"/>
      <c r="BF81" s="710"/>
      <c r="BG81" s="711"/>
      <c r="BH81" s="712"/>
      <c r="BI81" s="713"/>
      <c r="BJ81" s="713"/>
      <c r="BK81" s="530"/>
      <c r="BL81" s="710"/>
      <c r="BM81" s="711"/>
      <c r="BN81" s="712"/>
      <c r="BO81" s="713"/>
      <c r="BP81" s="713"/>
      <c r="BQ81" s="530"/>
      <c r="BR81" s="710"/>
      <c r="BS81" s="711"/>
      <c r="BT81" s="712"/>
      <c r="BU81" s="713"/>
      <c r="BV81" s="713"/>
      <c r="BW81" s="530"/>
    </row>
    <row r="82">
      <c r="C82" s="705"/>
      <c r="D82" s="706"/>
      <c r="E82" s="708"/>
      <c r="F82" s="707"/>
      <c r="G82" s="707"/>
      <c r="H82" s="707"/>
      <c r="J82" s="705"/>
      <c r="K82" s="706"/>
      <c r="L82" s="708"/>
      <c r="M82" s="707"/>
      <c r="N82" s="707"/>
      <c r="O82" s="530"/>
      <c r="P82" s="705"/>
      <c r="Q82" s="706"/>
      <c r="R82" s="708"/>
      <c r="S82" s="707"/>
      <c r="T82" s="707"/>
      <c r="U82" s="530"/>
      <c r="V82" s="715"/>
      <c r="W82" s="716"/>
      <c r="X82" s="717"/>
      <c r="Y82" s="718"/>
      <c r="Z82" s="718"/>
      <c r="AA82" s="530"/>
      <c r="AB82" s="715"/>
      <c r="AC82" s="716"/>
      <c r="AD82" s="717"/>
      <c r="AE82" s="718"/>
      <c r="AF82" s="718"/>
      <c r="AG82" s="530"/>
      <c r="AH82" s="715"/>
      <c r="AI82" s="716"/>
      <c r="AJ82" s="717"/>
      <c r="AK82" s="718"/>
      <c r="AL82" s="718"/>
      <c r="AM82" s="530"/>
      <c r="AN82" s="715"/>
      <c r="AO82" s="716"/>
      <c r="AP82" s="717"/>
      <c r="AQ82" s="718"/>
      <c r="AR82" s="718"/>
      <c r="AS82" s="530"/>
      <c r="AT82" s="715"/>
      <c r="AU82" s="716"/>
      <c r="AV82" s="717"/>
      <c r="AW82" s="718"/>
      <c r="AX82" s="718"/>
      <c r="AY82" s="530"/>
      <c r="AZ82" s="715"/>
      <c r="BA82" s="716"/>
      <c r="BB82" s="717"/>
      <c r="BC82" s="718"/>
      <c r="BD82" s="718"/>
      <c r="BE82" s="530"/>
      <c r="BF82" s="715"/>
      <c r="BG82" s="716"/>
      <c r="BH82" s="717"/>
      <c r="BI82" s="718"/>
      <c r="BJ82" s="718"/>
      <c r="BK82" s="530"/>
      <c r="BL82" s="715"/>
      <c r="BM82" s="716"/>
      <c r="BN82" s="717"/>
      <c r="BO82" s="718"/>
      <c r="BP82" s="718"/>
      <c r="BQ82" s="530"/>
      <c r="BR82" s="715"/>
      <c r="BS82" s="716"/>
      <c r="BT82" s="717"/>
      <c r="BU82" s="718"/>
      <c r="BV82" s="718"/>
      <c r="BW82" s="530"/>
    </row>
    <row r="83">
      <c r="C83" s="705"/>
      <c r="D83" s="706"/>
      <c r="E83" s="708"/>
      <c r="F83" s="707"/>
      <c r="G83" s="707"/>
      <c r="H83" s="707"/>
      <c r="J83" s="705"/>
      <c r="K83" s="706"/>
      <c r="L83" s="708"/>
      <c r="M83" s="707"/>
      <c r="N83" s="707"/>
      <c r="O83" s="530"/>
      <c r="P83" s="705"/>
      <c r="Q83" s="706"/>
      <c r="R83" s="708"/>
      <c r="S83" s="707"/>
      <c r="T83" s="707"/>
      <c r="U83" s="530"/>
      <c r="V83" s="710"/>
      <c r="W83" s="711"/>
      <c r="X83" s="712"/>
      <c r="Y83" s="713"/>
      <c r="Z83" s="713"/>
      <c r="AA83" s="530"/>
      <c r="AB83" s="710"/>
      <c r="AC83" s="711"/>
      <c r="AD83" s="712"/>
      <c r="AE83" s="713"/>
      <c r="AF83" s="713"/>
      <c r="AG83" s="530"/>
      <c r="AH83" s="710"/>
      <c r="AI83" s="711"/>
      <c r="AJ83" s="712"/>
      <c r="AK83" s="713"/>
      <c r="AL83" s="713"/>
      <c r="AM83" s="530"/>
      <c r="AN83" s="710"/>
      <c r="AO83" s="711"/>
      <c r="AP83" s="712"/>
      <c r="AQ83" s="713"/>
      <c r="AR83" s="713"/>
      <c r="AS83" s="530"/>
      <c r="AT83" s="710"/>
      <c r="AU83" s="711"/>
      <c r="AV83" s="712"/>
      <c r="AW83" s="713"/>
      <c r="AX83" s="713"/>
      <c r="AY83" s="530"/>
      <c r="AZ83" s="710"/>
      <c r="BA83" s="711"/>
      <c r="BB83" s="712"/>
      <c r="BC83" s="713"/>
      <c r="BD83" s="713"/>
      <c r="BE83" s="530"/>
      <c r="BF83" s="710"/>
      <c r="BG83" s="711"/>
      <c r="BH83" s="712"/>
      <c r="BI83" s="713"/>
      <c r="BJ83" s="713"/>
      <c r="BK83" s="530"/>
      <c r="BL83" s="710"/>
      <c r="BM83" s="711"/>
      <c r="BN83" s="712"/>
      <c r="BO83" s="713"/>
      <c r="BP83" s="713"/>
      <c r="BQ83" s="530"/>
      <c r="BR83" s="710"/>
      <c r="BS83" s="711"/>
      <c r="BT83" s="712"/>
      <c r="BU83" s="713"/>
      <c r="BV83" s="713"/>
      <c r="BW83" s="530"/>
    </row>
    <row r="84">
      <c r="C84" s="705"/>
      <c r="D84" s="706"/>
      <c r="E84" s="708"/>
      <c r="F84" s="707"/>
      <c r="G84" s="707"/>
      <c r="H84" s="707"/>
      <c r="J84" s="705"/>
      <c r="K84" s="706"/>
      <c r="L84" s="708"/>
      <c r="M84" s="707"/>
      <c r="N84" s="707"/>
      <c r="O84" s="530"/>
      <c r="P84" s="705"/>
      <c r="Q84" s="706"/>
      <c r="R84" s="708"/>
      <c r="S84" s="707"/>
      <c r="T84" s="707"/>
      <c r="U84" s="530"/>
      <c r="V84" s="715"/>
      <c r="W84" s="716"/>
      <c r="X84" s="717"/>
      <c r="Y84" s="718"/>
      <c r="Z84" s="718"/>
      <c r="AA84" s="530"/>
      <c r="AB84" s="715"/>
      <c r="AC84" s="716"/>
      <c r="AD84" s="717"/>
      <c r="AE84" s="718"/>
      <c r="AF84" s="718"/>
      <c r="AG84" s="530"/>
      <c r="AH84" s="715"/>
      <c r="AI84" s="716"/>
      <c r="AJ84" s="717"/>
      <c r="AK84" s="718"/>
      <c r="AL84" s="718"/>
      <c r="AM84" s="530"/>
      <c r="AN84" s="715"/>
      <c r="AO84" s="716"/>
      <c r="AP84" s="717"/>
      <c r="AQ84" s="718"/>
      <c r="AR84" s="718"/>
      <c r="AS84" s="530"/>
      <c r="AT84" s="715"/>
      <c r="AU84" s="716"/>
      <c r="AV84" s="717"/>
      <c r="AW84" s="718"/>
      <c r="AX84" s="718"/>
      <c r="AY84" s="530"/>
      <c r="AZ84" s="715"/>
      <c r="BA84" s="716"/>
      <c r="BB84" s="717"/>
      <c r="BC84" s="718"/>
      <c r="BD84" s="718"/>
      <c r="BE84" s="530"/>
      <c r="BF84" s="715"/>
      <c r="BG84" s="716"/>
      <c r="BH84" s="717"/>
      <c r="BI84" s="718"/>
      <c r="BJ84" s="718"/>
      <c r="BK84" s="530"/>
      <c r="BL84" s="715"/>
      <c r="BM84" s="716"/>
      <c r="BN84" s="717"/>
      <c r="BO84" s="718"/>
      <c r="BP84" s="718"/>
      <c r="BQ84" s="530"/>
      <c r="BR84" s="715"/>
      <c r="BS84" s="716"/>
      <c r="BT84" s="717"/>
      <c r="BU84" s="718"/>
      <c r="BV84" s="718"/>
      <c r="BW84" s="530"/>
    </row>
    <row r="85">
      <c r="C85" s="705"/>
      <c r="D85" s="706"/>
      <c r="E85" s="708"/>
      <c r="F85" s="707"/>
      <c r="G85" s="707"/>
      <c r="H85" s="707"/>
      <c r="J85" s="705"/>
      <c r="K85" s="706"/>
      <c r="L85" s="708"/>
      <c r="M85" s="707"/>
      <c r="N85" s="707"/>
      <c r="O85" s="530"/>
      <c r="P85" s="705"/>
      <c r="Q85" s="706"/>
      <c r="R85" s="708"/>
      <c r="S85" s="707"/>
      <c r="T85" s="707"/>
      <c r="U85" s="530"/>
      <c r="V85" s="710"/>
      <c r="W85" s="711"/>
      <c r="X85" s="712"/>
      <c r="Y85" s="713"/>
      <c r="Z85" s="713"/>
      <c r="AA85" s="530"/>
      <c r="AB85" s="710"/>
      <c r="AC85" s="711"/>
      <c r="AD85" s="712"/>
      <c r="AE85" s="713"/>
      <c r="AF85" s="713"/>
      <c r="AG85" s="530"/>
      <c r="AH85" s="710"/>
      <c r="AI85" s="711"/>
      <c r="AJ85" s="712"/>
      <c r="AK85" s="713"/>
      <c r="AL85" s="713"/>
      <c r="AM85" s="530"/>
      <c r="AN85" s="710"/>
      <c r="AO85" s="711"/>
      <c r="AP85" s="712"/>
      <c r="AQ85" s="713"/>
      <c r="AR85" s="713"/>
      <c r="AS85" s="530"/>
      <c r="AT85" s="710"/>
      <c r="AU85" s="711"/>
      <c r="AV85" s="712"/>
      <c r="AW85" s="713"/>
      <c r="AX85" s="713"/>
      <c r="AY85" s="530"/>
      <c r="AZ85" s="710"/>
      <c r="BA85" s="711"/>
      <c r="BB85" s="712"/>
      <c r="BC85" s="713"/>
      <c r="BD85" s="713"/>
      <c r="BE85" s="530"/>
      <c r="BF85" s="710"/>
      <c r="BG85" s="711"/>
      <c r="BH85" s="712"/>
      <c r="BI85" s="713"/>
      <c r="BJ85" s="713"/>
      <c r="BK85" s="530"/>
      <c r="BL85" s="710"/>
      <c r="BM85" s="711"/>
      <c r="BN85" s="712"/>
      <c r="BO85" s="713"/>
      <c r="BP85" s="713"/>
      <c r="BQ85" s="530"/>
      <c r="BR85" s="710"/>
      <c r="BS85" s="711"/>
      <c r="BT85" s="712"/>
      <c r="BU85" s="713"/>
      <c r="BV85" s="713"/>
      <c r="BW85" s="530"/>
    </row>
    <row r="86">
      <c r="C86" s="705"/>
      <c r="D86" s="706"/>
      <c r="E86" s="708"/>
      <c r="F86" s="707"/>
      <c r="G86" s="707"/>
      <c r="H86" s="707"/>
      <c r="J86" s="705"/>
      <c r="K86" s="706"/>
      <c r="L86" s="708"/>
      <c r="M86" s="707"/>
      <c r="N86" s="707"/>
      <c r="O86" s="530"/>
      <c r="P86" s="705"/>
      <c r="Q86" s="706"/>
      <c r="R86" s="708"/>
      <c r="S86" s="707"/>
      <c r="T86" s="707"/>
      <c r="U86" s="530"/>
      <c r="V86" s="715"/>
      <c r="W86" s="716"/>
      <c r="X86" s="717"/>
      <c r="Y86" s="718"/>
      <c r="Z86" s="718"/>
      <c r="AA86" s="530"/>
      <c r="AB86" s="715"/>
      <c r="AC86" s="716"/>
      <c r="AD86" s="717"/>
      <c r="AE86" s="718"/>
      <c r="AF86" s="718"/>
      <c r="AG86" s="530"/>
      <c r="AH86" s="715"/>
      <c r="AI86" s="716"/>
      <c r="AJ86" s="717"/>
      <c r="AK86" s="718"/>
      <c r="AL86" s="718"/>
      <c r="AM86" s="530"/>
      <c r="AN86" s="715"/>
      <c r="AO86" s="716"/>
      <c r="AP86" s="717"/>
      <c r="AQ86" s="718"/>
      <c r="AR86" s="718"/>
      <c r="AS86" s="530"/>
      <c r="AT86" s="715"/>
      <c r="AU86" s="716"/>
      <c r="AV86" s="717"/>
      <c r="AW86" s="718"/>
      <c r="AX86" s="718"/>
      <c r="AY86" s="530"/>
      <c r="AZ86" s="715"/>
      <c r="BA86" s="716"/>
      <c r="BB86" s="717"/>
      <c r="BC86" s="718"/>
      <c r="BD86" s="718"/>
      <c r="BE86" s="530"/>
      <c r="BF86" s="715"/>
      <c r="BG86" s="716"/>
      <c r="BH86" s="717"/>
      <c r="BI86" s="718"/>
      <c r="BJ86" s="718"/>
      <c r="BK86" s="530"/>
      <c r="BL86" s="715"/>
      <c r="BM86" s="716"/>
      <c r="BN86" s="717"/>
      <c r="BO86" s="718"/>
      <c r="BP86" s="718"/>
      <c r="BQ86" s="530"/>
      <c r="BR86" s="715"/>
      <c r="BS86" s="716"/>
      <c r="BT86" s="717"/>
      <c r="BU86" s="718"/>
      <c r="BV86" s="718"/>
      <c r="BW86" s="530"/>
    </row>
    <row r="87">
      <c r="C87" s="705"/>
      <c r="D87" s="706"/>
      <c r="E87" s="708"/>
      <c r="F87" s="707"/>
      <c r="G87" s="707"/>
      <c r="H87" s="707"/>
      <c r="J87" s="705"/>
      <c r="K87" s="706"/>
      <c r="L87" s="708"/>
      <c r="M87" s="707"/>
      <c r="N87" s="707"/>
      <c r="O87" s="530"/>
      <c r="P87" s="705"/>
      <c r="Q87" s="706"/>
      <c r="R87" s="708"/>
      <c r="S87" s="707"/>
      <c r="T87" s="707"/>
      <c r="U87" s="530"/>
      <c r="V87" s="710"/>
      <c r="W87" s="711"/>
      <c r="X87" s="712"/>
      <c r="Y87" s="713"/>
      <c r="Z87" s="713"/>
      <c r="AA87" s="530"/>
      <c r="AB87" s="710"/>
      <c r="AC87" s="711"/>
      <c r="AD87" s="712"/>
      <c r="AE87" s="713"/>
      <c r="AF87" s="713"/>
      <c r="AG87" s="530"/>
      <c r="AH87" s="710"/>
      <c r="AI87" s="711"/>
      <c r="AJ87" s="712"/>
      <c r="AK87" s="713"/>
      <c r="AL87" s="713"/>
      <c r="AM87" s="530"/>
      <c r="AN87" s="710"/>
      <c r="AO87" s="711"/>
      <c r="AP87" s="712"/>
      <c r="AQ87" s="713"/>
      <c r="AR87" s="713"/>
      <c r="AS87" s="530"/>
      <c r="AT87" s="710"/>
      <c r="AU87" s="711"/>
      <c r="AV87" s="712"/>
      <c r="AW87" s="713"/>
      <c r="AX87" s="713"/>
      <c r="AY87" s="530"/>
      <c r="AZ87" s="710"/>
      <c r="BA87" s="711"/>
      <c r="BB87" s="712"/>
      <c r="BC87" s="713"/>
      <c r="BD87" s="713"/>
      <c r="BE87" s="530"/>
      <c r="BF87" s="710"/>
      <c r="BG87" s="711"/>
      <c r="BH87" s="712"/>
      <c r="BI87" s="713"/>
      <c r="BJ87" s="713"/>
      <c r="BK87" s="530"/>
      <c r="BL87" s="710"/>
      <c r="BM87" s="711"/>
      <c r="BN87" s="712"/>
      <c r="BO87" s="713"/>
      <c r="BP87" s="713"/>
      <c r="BQ87" s="530"/>
      <c r="BR87" s="710"/>
      <c r="BS87" s="711"/>
      <c r="BT87" s="712"/>
      <c r="BU87" s="713"/>
      <c r="BV87" s="713"/>
      <c r="BW87" s="530"/>
    </row>
    <row r="88">
      <c r="C88" s="705"/>
      <c r="D88" s="706"/>
      <c r="E88" s="708"/>
      <c r="F88" s="707"/>
      <c r="G88" s="707"/>
      <c r="H88" s="707"/>
      <c r="J88" s="705"/>
      <c r="K88" s="706"/>
      <c r="L88" s="708"/>
      <c r="M88" s="707"/>
      <c r="N88" s="707"/>
      <c r="O88" s="530"/>
      <c r="P88" s="705"/>
      <c r="Q88" s="706"/>
      <c r="R88" s="708"/>
      <c r="S88" s="707"/>
      <c r="T88" s="707"/>
      <c r="U88" s="530"/>
      <c r="V88" s="715"/>
      <c r="W88" s="716"/>
      <c r="X88" s="717"/>
      <c r="Y88" s="718"/>
      <c r="Z88" s="718"/>
      <c r="AA88" s="530"/>
      <c r="AB88" s="715"/>
      <c r="AC88" s="716"/>
      <c r="AD88" s="717"/>
      <c r="AE88" s="718"/>
      <c r="AF88" s="718"/>
      <c r="AG88" s="530"/>
      <c r="AH88" s="715"/>
      <c r="AI88" s="716"/>
      <c r="AJ88" s="717"/>
      <c r="AK88" s="718"/>
      <c r="AL88" s="718"/>
      <c r="AM88" s="530"/>
      <c r="AN88" s="715"/>
      <c r="AO88" s="716"/>
      <c r="AP88" s="717"/>
      <c r="AQ88" s="718"/>
      <c r="AR88" s="718"/>
      <c r="AS88" s="530"/>
      <c r="AT88" s="715"/>
      <c r="AU88" s="716"/>
      <c r="AV88" s="717"/>
      <c r="AW88" s="718"/>
      <c r="AX88" s="718"/>
      <c r="AY88" s="530"/>
      <c r="AZ88" s="715"/>
      <c r="BA88" s="716"/>
      <c r="BB88" s="717"/>
      <c r="BC88" s="718"/>
      <c r="BD88" s="718"/>
      <c r="BE88" s="530"/>
      <c r="BF88" s="715"/>
      <c r="BG88" s="716"/>
      <c r="BH88" s="717"/>
      <c r="BI88" s="718"/>
      <c r="BJ88" s="718"/>
      <c r="BK88" s="530"/>
      <c r="BL88" s="715"/>
      <c r="BM88" s="716"/>
      <c r="BN88" s="717"/>
      <c r="BO88" s="718"/>
      <c r="BP88" s="718"/>
      <c r="BQ88" s="530"/>
      <c r="BR88" s="715"/>
      <c r="BS88" s="716"/>
      <c r="BT88" s="717"/>
      <c r="BU88" s="718"/>
      <c r="BV88" s="718"/>
      <c r="BW88" s="530"/>
    </row>
    <row r="89">
      <c r="C89" s="705"/>
      <c r="D89" s="706"/>
      <c r="E89" s="708"/>
      <c r="F89" s="707"/>
      <c r="G89" s="707"/>
      <c r="H89" s="707"/>
      <c r="J89" s="705"/>
      <c r="K89" s="706"/>
      <c r="L89" s="708"/>
      <c r="M89" s="707"/>
      <c r="N89" s="707"/>
      <c r="O89" s="530"/>
      <c r="P89" s="705"/>
      <c r="Q89" s="706"/>
      <c r="R89" s="708"/>
      <c r="S89" s="707"/>
      <c r="T89" s="707"/>
      <c r="U89" s="530"/>
      <c r="V89" s="710"/>
      <c r="W89" s="711"/>
      <c r="X89" s="712"/>
      <c r="Y89" s="713"/>
      <c r="Z89" s="713"/>
      <c r="AA89" s="530"/>
      <c r="AB89" s="710"/>
      <c r="AC89" s="711"/>
      <c r="AD89" s="712"/>
      <c r="AE89" s="713"/>
      <c r="AF89" s="713"/>
      <c r="AG89" s="530"/>
      <c r="AH89" s="710"/>
      <c r="AI89" s="711"/>
      <c r="AJ89" s="712"/>
      <c r="AK89" s="713"/>
      <c r="AL89" s="713"/>
      <c r="AM89" s="530"/>
      <c r="AN89" s="710"/>
      <c r="AO89" s="711"/>
      <c r="AP89" s="712"/>
      <c r="AQ89" s="713"/>
      <c r="AR89" s="713"/>
      <c r="AS89" s="530"/>
      <c r="AT89" s="710"/>
      <c r="AU89" s="711"/>
      <c r="AV89" s="712"/>
      <c r="AW89" s="713"/>
      <c r="AX89" s="713"/>
      <c r="AY89" s="530"/>
      <c r="AZ89" s="710"/>
      <c r="BA89" s="711"/>
      <c r="BB89" s="712"/>
      <c r="BC89" s="713"/>
      <c r="BD89" s="713"/>
      <c r="BE89" s="530"/>
      <c r="BF89" s="710"/>
      <c r="BG89" s="711"/>
      <c r="BH89" s="712"/>
      <c r="BI89" s="713"/>
      <c r="BJ89" s="713"/>
      <c r="BK89" s="530"/>
      <c r="BL89" s="710"/>
      <c r="BM89" s="711"/>
      <c r="BN89" s="712"/>
      <c r="BO89" s="713"/>
      <c r="BP89" s="713"/>
      <c r="BQ89" s="530"/>
      <c r="BR89" s="710"/>
      <c r="BS89" s="711"/>
      <c r="BT89" s="712"/>
      <c r="BU89" s="713"/>
      <c r="BV89" s="713"/>
      <c r="BW89" s="530"/>
    </row>
    <row r="90">
      <c r="C90" s="705"/>
      <c r="D90" s="706"/>
      <c r="E90" s="708"/>
      <c r="F90" s="707"/>
      <c r="G90" s="707"/>
      <c r="H90" s="707"/>
      <c r="J90" s="705"/>
      <c r="K90" s="706"/>
      <c r="L90" s="708"/>
      <c r="M90" s="707"/>
      <c r="N90" s="707"/>
      <c r="O90" s="530"/>
      <c r="P90" s="705"/>
      <c r="Q90" s="706"/>
      <c r="R90" s="708"/>
      <c r="S90" s="707"/>
      <c r="T90" s="707"/>
      <c r="U90" s="530"/>
      <c r="V90" s="715"/>
      <c r="W90" s="716"/>
      <c r="X90" s="717"/>
      <c r="Y90" s="718"/>
      <c r="Z90" s="718"/>
      <c r="AA90" s="530"/>
      <c r="AB90" s="715"/>
      <c r="AC90" s="716"/>
      <c r="AD90" s="717"/>
      <c r="AE90" s="718"/>
      <c r="AF90" s="718"/>
      <c r="AG90" s="530"/>
      <c r="AH90" s="715"/>
      <c r="AI90" s="716"/>
      <c r="AJ90" s="717"/>
      <c r="AK90" s="718"/>
      <c r="AL90" s="718"/>
      <c r="AM90" s="530"/>
      <c r="AN90" s="715"/>
      <c r="AO90" s="716"/>
      <c r="AP90" s="717"/>
      <c r="AQ90" s="718"/>
      <c r="AR90" s="718"/>
      <c r="AS90" s="530"/>
      <c r="AT90" s="715"/>
      <c r="AU90" s="716"/>
      <c r="AV90" s="717"/>
      <c r="AW90" s="718"/>
      <c r="AX90" s="718"/>
      <c r="AY90" s="530"/>
      <c r="AZ90" s="715"/>
      <c r="BA90" s="716"/>
      <c r="BB90" s="717"/>
      <c r="BC90" s="718"/>
      <c r="BD90" s="718"/>
      <c r="BE90" s="530"/>
      <c r="BF90" s="715"/>
      <c r="BG90" s="716"/>
      <c r="BH90" s="717"/>
      <c r="BI90" s="718"/>
      <c r="BJ90" s="718"/>
      <c r="BK90" s="530"/>
      <c r="BL90" s="715"/>
      <c r="BM90" s="716"/>
      <c r="BN90" s="717"/>
      <c r="BO90" s="718"/>
      <c r="BP90" s="718"/>
      <c r="BQ90" s="530"/>
      <c r="BR90" s="715"/>
      <c r="BS90" s="716"/>
      <c r="BT90" s="717"/>
      <c r="BU90" s="718"/>
      <c r="BV90" s="718"/>
      <c r="BW90" s="530"/>
    </row>
    <row r="91">
      <c r="C91" s="705"/>
      <c r="D91" s="706"/>
      <c r="E91" s="708"/>
      <c r="F91" s="707"/>
      <c r="G91" s="707"/>
      <c r="H91" s="707"/>
      <c r="J91" s="705"/>
      <c r="K91" s="706"/>
      <c r="L91" s="708"/>
      <c r="M91" s="707"/>
      <c r="N91" s="707"/>
      <c r="O91" s="530"/>
      <c r="P91" s="705"/>
      <c r="Q91" s="706"/>
      <c r="R91" s="708"/>
      <c r="S91" s="707"/>
      <c r="T91" s="707"/>
      <c r="U91" s="530"/>
      <c r="V91" s="710"/>
      <c r="W91" s="711"/>
      <c r="X91" s="712"/>
      <c r="Y91" s="713"/>
      <c r="Z91" s="713"/>
      <c r="AA91" s="530"/>
      <c r="AB91" s="710"/>
      <c r="AC91" s="711"/>
      <c r="AD91" s="712"/>
      <c r="AE91" s="713"/>
      <c r="AF91" s="713"/>
      <c r="AG91" s="530"/>
      <c r="AH91" s="710"/>
      <c r="AI91" s="711"/>
      <c r="AJ91" s="712"/>
      <c r="AK91" s="713"/>
      <c r="AL91" s="713"/>
      <c r="AM91" s="530"/>
      <c r="AN91" s="710"/>
      <c r="AO91" s="711"/>
      <c r="AP91" s="712"/>
      <c r="AQ91" s="713"/>
      <c r="AR91" s="713"/>
      <c r="AS91" s="530"/>
      <c r="AT91" s="710"/>
      <c r="AU91" s="711"/>
      <c r="AV91" s="712"/>
      <c r="AW91" s="713"/>
      <c r="AX91" s="713"/>
      <c r="AY91" s="530"/>
      <c r="AZ91" s="710"/>
      <c r="BA91" s="711"/>
      <c r="BB91" s="712"/>
      <c r="BC91" s="713"/>
      <c r="BD91" s="713"/>
      <c r="BE91" s="530"/>
      <c r="BF91" s="710"/>
      <c r="BG91" s="711"/>
      <c r="BH91" s="712"/>
      <c r="BI91" s="713"/>
      <c r="BJ91" s="713"/>
      <c r="BK91" s="530"/>
      <c r="BL91" s="710"/>
      <c r="BM91" s="711"/>
      <c r="BN91" s="712"/>
      <c r="BO91" s="713"/>
      <c r="BP91" s="713"/>
      <c r="BQ91" s="530"/>
      <c r="BR91" s="710"/>
      <c r="BS91" s="711"/>
      <c r="BT91" s="712"/>
      <c r="BU91" s="713"/>
      <c r="BV91" s="713"/>
      <c r="BW91" s="530"/>
    </row>
    <row r="92">
      <c r="C92" s="705"/>
      <c r="D92" s="706"/>
      <c r="E92" s="708"/>
      <c r="F92" s="707"/>
      <c r="G92" s="707"/>
      <c r="H92" s="707"/>
      <c r="J92" s="705"/>
      <c r="K92" s="706"/>
      <c r="L92" s="708"/>
      <c r="M92" s="707"/>
      <c r="N92" s="707"/>
      <c r="O92" s="530"/>
      <c r="P92" s="705"/>
      <c r="Q92" s="706"/>
      <c r="R92" s="708"/>
      <c r="S92" s="707"/>
      <c r="T92" s="707"/>
      <c r="U92" s="530"/>
      <c r="V92" s="715"/>
      <c r="W92" s="716"/>
      <c r="X92" s="717"/>
      <c r="Y92" s="718"/>
      <c r="Z92" s="718"/>
      <c r="AA92" s="530"/>
      <c r="AB92" s="715"/>
      <c r="AC92" s="716"/>
      <c r="AD92" s="717"/>
      <c r="AE92" s="718"/>
      <c r="AF92" s="718"/>
      <c r="AG92" s="530"/>
      <c r="AH92" s="715"/>
      <c r="AI92" s="716"/>
      <c r="AJ92" s="717"/>
      <c r="AK92" s="718"/>
      <c r="AL92" s="718"/>
      <c r="AM92" s="530"/>
      <c r="AN92" s="715"/>
      <c r="AO92" s="716"/>
      <c r="AP92" s="717"/>
      <c r="AQ92" s="718"/>
      <c r="AR92" s="718"/>
      <c r="AS92" s="530"/>
      <c r="AT92" s="715"/>
      <c r="AU92" s="716"/>
      <c r="AV92" s="717"/>
      <c r="AW92" s="718"/>
      <c r="AX92" s="718"/>
      <c r="AY92" s="530"/>
      <c r="AZ92" s="715"/>
      <c r="BA92" s="716"/>
      <c r="BB92" s="717"/>
      <c r="BC92" s="718"/>
      <c r="BD92" s="718"/>
      <c r="BE92" s="530"/>
      <c r="BF92" s="715"/>
      <c r="BG92" s="716"/>
      <c r="BH92" s="717"/>
      <c r="BI92" s="718"/>
      <c r="BJ92" s="718"/>
      <c r="BK92" s="530"/>
      <c r="BL92" s="715"/>
      <c r="BM92" s="716"/>
      <c r="BN92" s="717"/>
      <c r="BO92" s="718"/>
      <c r="BP92" s="718"/>
      <c r="BQ92" s="530"/>
      <c r="BR92" s="715"/>
      <c r="BS92" s="716"/>
      <c r="BT92" s="717"/>
      <c r="BU92" s="718"/>
      <c r="BV92" s="718"/>
      <c r="BW92" s="530"/>
    </row>
    <row r="93">
      <c r="C93" s="705"/>
      <c r="D93" s="706"/>
      <c r="E93" s="708"/>
      <c r="F93" s="707"/>
      <c r="G93" s="707"/>
      <c r="H93" s="707"/>
      <c r="J93" s="705"/>
      <c r="K93" s="706"/>
      <c r="L93" s="708"/>
      <c r="M93" s="707"/>
      <c r="N93" s="707"/>
      <c r="O93" s="530"/>
      <c r="P93" s="705"/>
      <c r="Q93" s="706"/>
      <c r="R93" s="708"/>
      <c r="S93" s="707"/>
      <c r="T93" s="707"/>
      <c r="U93" s="530"/>
      <c r="V93" s="710"/>
      <c r="W93" s="711"/>
      <c r="X93" s="712"/>
      <c r="Y93" s="713"/>
      <c r="Z93" s="713"/>
      <c r="AA93" s="530"/>
      <c r="AB93" s="710"/>
      <c r="AC93" s="711"/>
      <c r="AD93" s="712"/>
      <c r="AE93" s="713"/>
      <c r="AF93" s="713"/>
      <c r="AG93" s="530"/>
      <c r="AH93" s="710"/>
      <c r="AI93" s="711"/>
      <c r="AJ93" s="712"/>
      <c r="AK93" s="713"/>
      <c r="AL93" s="713"/>
      <c r="AM93" s="530"/>
      <c r="AN93" s="710"/>
      <c r="AO93" s="711"/>
      <c r="AP93" s="712"/>
      <c r="AQ93" s="713"/>
      <c r="AR93" s="713"/>
      <c r="AS93" s="530"/>
      <c r="AT93" s="710"/>
      <c r="AU93" s="711"/>
      <c r="AV93" s="712"/>
      <c r="AW93" s="713"/>
      <c r="AX93" s="713"/>
      <c r="AY93" s="530"/>
      <c r="AZ93" s="710"/>
      <c r="BA93" s="711"/>
      <c r="BB93" s="712"/>
      <c r="BC93" s="713"/>
      <c r="BD93" s="713"/>
      <c r="BE93" s="530"/>
      <c r="BF93" s="710"/>
      <c r="BG93" s="711"/>
      <c r="BH93" s="712"/>
      <c r="BI93" s="713"/>
      <c r="BJ93" s="713"/>
      <c r="BK93" s="530"/>
      <c r="BL93" s="710"/>
      <c r="BM93" s="711"/>
      <c r="BN93" s="712"/>
      <c r="BO93" s="713"/>
      <c r="BP93" s="713"/>
      <c r="BQ93" s="530"/>
      <c r="BR93" s="710"/>
      <c r="BS93" s="711"/>
      <c r="BT93" s="712"/>
      <c r="BU93" s="713"/>
      <c r="BV93" s="713"/>
      <c r="BW93" s="530"/>
    </row>
    <row r="94">
      <c r="C94" s="705"/>
      <c r="D94" s="706"/>
      <c r="E94" s="708"/>
      <c r="F94" s="707"/>
      <c r="G94" s="707"/>
      <c r="H94" s="707"/>
      <c r="J94" s="705"/>
      <c r="K94" s="706"/>
      <c r="L94" s="708"/>
      <c r="M94" s="707"/>
      <c r="N94" s="707"/>
      <c r="O94" s="530"/>
      <c r="P94" s="705"/>
      <c r="Q94" s="706"/>
      <c r="R94" s="708"/>
      <c r="S94" s="707"/>
      <c r="T94" s="707"/>
      <c r="U94" s="530"/>
      <c r="V94" s="715"/>
      <c r="W94" s="716"/>
      <c r="X94" s="717"/>
      <c r="Y94" s="718"/>
      <c r="Z94" s="718"/>
      <c r="AA94" s="530"/>
      <c r="AB94" s="715"/>
      <c r="AC94" s="716"/>
      <c r="AD94" s="717"/>
      <c r="AE94" s="718"/>
      <c r="AF94" s="718"/>
      <c r="AG94" s="530"/>
      <c r="AH94" s="715"/>
      <c r="AI94" s="716"/>
      <c r="AJ94" s="717"/>
      <c r="AK94" s="718"/>
      <c r="AL94" s="718"/>
      <c r="AM94" s="530"/>
      <c r="AN94" s="715"/>
      <c r="AO94" s="716"/>
      <c r="AP94" s="717"/>
      <c r="AQ94" s="718"/>
      <c r="AR94" s="718"/>
      <c r="AS94" s="530"/>
      <c r="AT94" s="715"/>
      <c r="AU94" s="716"/>
      <c r="AV94" s="717"/>
      <c r="AW94" s="718"/>
      <c r="AX94" s="718"/>
      <c r="AY94" s="530"/>
      <c r="AZ94" s="715"/>
      <c r="BA94" s="716"/>
      <c r="BB94" s="717"/>
      <c r="BC94" s="718"/>
      <c r="BD94" s="718"/>
      <c r="BE94" s="530"/>
      <c r="BF94" s="715"/>
      <c r="BG94" s="716"/>
      <c r="BH94" s="717"/>
      <c r="BI94" s="718"/>
      <c r="BJ94" s="718"/>
      <c r="BK94" s="530"/>
      <c r="BL94" s="715"/>
      <c r="BM94" s="716"/>
      <c r="BN94" s="717"/>
      <c r="BO94" s="718"/>
      <c r="BP94" s="718"/>
      <c r="BQ94" s="530"/>
      <c r="BR94" s="715"/>
      <c r="BS94" s="716"/>
      <c r="BT94" s="717"/>
      <c r="BU94" s="718"/>
      <c r="BV94" s="718"/>
      <c r="BW94" s="530"/>
    </row>
    <row r="95">
      <c r="C95" s="705"/>
      <c r="D95" s="706"/>
      <c r="E95" s="708"/>
      <c r="F95" s="707"/>
      <c r="G95" s="707"/>
      <c r="H95" s="707"/>
      <c r="J95" s="705"/>
      <c r="K95" s="706"/>
      <c r="L95" s="708"/>
      <c r="M95" s="707"/>
      <c r="N95" s="707"/>
      <c r="O95" s="530"/>
      <c r="P95" s="705"/>
      <c r="Q95" s="706"/>
      <c r="R95" s="708"/>
      <c r="S95" s="707"/>
      <c r="T95" s="707"/>
      <c r="U95" s="530"/>
      <c r="V95" s="710"/>
      <c r="W95" s="711"/>
      <c r="X95" s="712"/>
      <c r="Y95" s="713"/>
      <c r="Z95" s="713"/>
      <c r="AA95" s="530"/>
      <c r="AB95" s="710"/>
      <c r="AC95" s="711"/>
      <c r="AD95" s="712"/>
      <c r="AE95" s="713"/>
      <c r="AF95" s="713"/>
      <c r="AG95" s="530"/>
      <c r="AH95" s="710"/>
      <c r="AI95" s="711"/>
      <c r="AJ95" s="712"/>
      <c r="AK95" s="713"/>
      <c r="AL95" s="713"/>
      <c r="AM95" s="530"/>
      <c r="AN95" s="710"/>
      <c r="AO95" s="711"/>
      <c r="AP95" s="712"/>
      <c r="AQ95" s="713"/>
      <c r="AR95" s="713"/>
      <c r="AS95" s="530"/>
      <c r="AT95" s="710"/>
      <c r="AU95" s="711"/>
      <c r="AV95" s="712"/>
      <c r="AW95" s="713"/>
      <c r="AX95" s="713"/>
      <c r="AY95" s="530"/>
      <c r="AZ95" s="710"/>
      <c r="BA95" s="711"/>
      <c r="BB95" s="712"/>
      <c r="BC95" s="713"/>
      <c r="BD95" s="713"/>
      <c r="BE95" s="530"/>
      <c r="BF95" s="710"/>
      <c r="BG95" s="711"/>
      <c r="BH95" s="712"/>
      <c r="BI95" s="713"/>
      <c r="BJ95" s="713"/>
      <c r="BK95" s="530"/>
      <c r="BL95" s="710"/>
      <c r="BM95" s="711"/>
      <c r="BN95" s="712"/>
      <c r="BO95" s="713"/>
      <c r="BP95" s="713"/>
      <c r="BQ95" s="530"/>
      <c r="BR95" s="710"/>
      <c r="BS95" s="711"/>
      <c r="BT95" s="712"/>
      <c r="BU95" s="713"/>
      <c r="BV95" s="713"/>
      <c r="BW95" s="530"/>
    </row>
    <row r="96">
      <c r="C96" s="705"/>
      <c r="D96" s="706"/>
      <c r="E96" s="708"/>
      <c r="F96" s="707"/>
      <c r="G96" s="707"/>
      <c r="H96" s="707"/>
      <c r="J96" s="705"/>
      <c r="K96" s="706"/>
      <c r="L96" s="708"/>
      <c r="M96" s="707"/>
      <c r="N96" s="707"/>
      <c r="O96" s="530"/>
      <c r="P96" s="705"/>
      <c r="Q96" s="706"/>
      <c r="R96" s="708"/>
      <c r="S96" s="707"/>
      <c r="T96" s="707"/>
      <c r="U96" s="530"/>
      <c r="V96" s="715"/>
      <c r="W96" s="716"/>
      <c r="X96" s="717"/>
      <c r="Y96" s="718"/>
      <c r="Z96" s="718"/>
      <c r="AA96" s="530"/>
      <c r="AB96" s="715"/>
      <c r="AC96" s="716"/>
      <c r="AD96" s="717"/>
      <c r="AE96" s="718"/>
      <c r="AF96" s="718"/>
      <c r="AG96" s="530"/>
      <c r="AH96" s="715"/>
      <c r="AI96" s="716"/>
      <c r="AJ96" s="717"/>
      <c r="AK96" s="718"/>
      <c r="AL96" s="718"/>
      <c r="AM96" s="530"/>
      <c r="AN96" s="715"/>
      <c r="AO96" s="716"/>
      <c r="AP96" s="717"/>
      <c r="AQ96" s="718"/>
      <c r="AR96" s="718"/>
      <c r="AS96" s="530"/>
      <c r="AT96" s="715"/>
      <c r="AU96" s="716"/>
      <c r="AV96" s="717"/>
      <c r="AW96" s="718"/>
      <c r="AX96" s="718"/>
      <c r="AY96" s="530"/>
      <c r="AZ96" s="715"/>
      <c r="BA96" s="716"/>
      <c r="BB96" s="717"/>
      <c r="BC96" s="718"/>
      <c r="BD96" s="718"/>
      <c r="BE96" s="530"/>
      <c r="BF96" s="715"/>
      <c r="BG96" s="716"/>
      <c r="BH96" s="717"/>
      <c r="BI96" s="718"/>
      <c r="BJ96" s="718"/>
      <c r="BK96" s="530"/>
      <c r="BL96" s="715"/>
      <c r="BM96" s="716"/>
      <c r="BN96" s="717"/>
      <c r="BO96" s="718"/>
      <c r="BP96" s="718"/>
      <c r="BQ96" s="530"/>
      <c r="BR96" s="715"/>
      <c r="BS96" s="716"/>
      <c r="BT96" s="717"/>
      <c r="BU96" s="718"/>
      <c r="BV96" s="718"/>
      <c r="BW96" s="530"/>
    </row>
    <row r="97">
      <c r="C97" s="705"/>
      <c r="D97" s="706"/>
      <c r="E97" s="708"/>
      <c r="F97" s="707"/>
      <c r="G97" s="707"/>
      <c r="H97" s="707"/>
      <c r="J97" s="705"/>
      <c r="K97" s="706"/>
      <c r="L97" s="708"/>
      <c r="M97" s="707"/>
      <c r="N97" s="707"/>
      <c r="O97" s="530"/>
      <c r="P97" s="705"/>
      <c r="Q97" s="706"/>
      <c r="R97" s="708"/>
      <c r="S97" s="707"/>
      <c r="T97" s="707"/>
      <c r="U97" s="530"/>
      <c r="V97" s="710"/>
      <c r="W97" s="711"/>
      <c r="X97" s="712"/>
      <c r="Y97" s="713"/>
      <c r="Z97" s="713"/>
      <c r="AA97" s="530"/>
      <c r="AB97" s="710"/>
      <c r="AC97" s="711"/>
      <c r="AD97" s="712"/>
      <c r="AE97" s="713"/>
      <c r="AF97" s="713"/>
      <c r="AG97" s="530"/>
      <c r="AH97" s="710"/>
      <c r="AI97" s="711"/>
      <c r="AJ97" s="712"/>
      <c r="AK97" s="713"/>
      <c r="AL97" s="713"/>
      <c r="AM97" s="530"/>
      <c r="AN97" s="710"/>
      <c r="AO97" s="711"/>
      <c r="AP97" s="712"/>
      <c r="AQ97" s="713"/>
      <c r="AR97" s="713"/>
      <c r="AS97" s="530"/>
      <c r="AT97" s="710"/>
      <c r="AU97" s="711"/>
      <c r="AV97" s="712"/>
      <c r="AW97" s="713"/>
      <c r="AX97" s="713"/>
      <c r="AY97" s="530"/>
      <c r="AZ97" s="710"/>
      <c r="BA97" s="711"/>
      <c r="BB97" s="712"/>
      <c r="BC97" s="713"/>
      <c r="BD97" s="713"/>
      <c r="BE97" s="530"/>
      <c r="BF97" s="710"/>
      <c r="BG97" s="711"/>
      <c r="BH97" s="712"/>
      <c r="BI97" s="713"/>
      <c r="BJ97" s="713"/>
      <c r="BK97" s="530"/>
      <c r="BL97" s="710"/>
      <c r="BM97" s="711"/>
      <c r="BN97" s="712"/>
      <c r="BO97" s="713"/>
      <c r="BP97" s="713"/>
      <c r="BQ97" s="530"/>
      <c r="BR97" s="710"/>
      <c r="BS97" s="711"/>
      <c r="BT97" s="712"/>
      <c r="BU97" s="713"/>
      <c r="BV97" s="713"/>
      <c r="BW97" s="530"/>
    </row>
    <row r="98">
      <c r="C98" s="705"/>
      <c r="D98" s="706"/>
      <c r="E98" s="708"/>
      <c r="F98" s="707"/>
      <c r="G98" s="707"/>
      <c r="H98" s="707"/>
      <c r="J98" s="705"/>
      <c r="K98" s="706"/>
      <c r="L98" s="708"/>
      <c r="M98" s="707"/>
      <c r="N98" s="707"/>
      <c r="O98" s="530"/>
      <c r="P98" s="705"/>
      <c r="Q98" s="706"/>
      <c r="R98" s="708"/>
      <c r="S98" s="707"/>
      <c r="T98" s="707"/>
      <c r="U98" s="530"/>
      <c r="V98" s="715"/>
      <c r="W98" s="716"/>
      <c r="X98" s="717"/>
      <c r="Y98" s="718"/>
      <c r="Z98" s="718"/>
      <c r="AA98" s="530"/>
      <c r="AB98" s="715"/>
      <c r="AC98" s="716"/>
      <c r="AD98" s="717"/>
      <c r="AE98" s="718"/>
      <c r="AF98" s="718"/>
      <c r="AG98" s="530"/>
      <c r="AH98" s="715"/>
      <c r="AI98" s="716"/>
      <c r="AJ98" s="717"/>
      <c r="AK98" s="718"/>
      <c r="AL98" s="718"/>
      <c r="AM98" s="530"/>
      <c r="AN98" s="715"/>
      <c r="AO98" s="716"/>
      <c r="AP98" s="717"/>
      <c r="AQ98" s="718"/>
      <c r="AR98" s="718"/>
      <c r="AS98" s="530"/>
      <c r="AT98" s="715"/>
      <c r="AU98" s="716"/>
      <c r="AV98" s="717"/>
      <c r="AW98" s="718"/>
      <c r="AX98" s="718"/>
      <c r="AY98" s="530"/>
      <c r="AZ98" s="715"/>
      <c r="BA98" s="716"/>
      <c r="BB98" s="717"/>
      <c r="BC98" s="718"/>
      <c r="BD98" s="718"/>
      <c r="BE98" s="530"/>
      <c r="BF98" s="715"/>
      <c r="BG98" s="716"/>
      <c r="BH98" s="717"/>
      <c r="BI98" s="718"/>
      <c r="BJ98" s="718"/>
      <c r="BK98" s="530"/>
      <c r="BL98" s="715"/>
      <c r="BM98" s="716"/>
      <c r="BN98" s="717"/>
      <c r="BO98" s="718"/>
      <c r="BP98" s="718"/>
      <c r="BQ98" s="530"/>
      <c r="BR98" s="715"/>
      <c r="BS98" s="716"/>
      <c r="BT98" s="717"/>
      <c r="BU98" s="718"/>
      <c r="BV98" s="718"/>
      <c r="BW98" s="530"/>
    </row>
    <row r="99">
      <c r="C99" s="705"/>
      <c r="D99" s="706"/>
      <c r="E99" s="708"/>
      <c r="F99" s="707"/>
      <c r="G99" s="707"/>
      <c r="H99" s="707"/>
      <c r="J99" s="705"/>
      <c r="K99" s="706"/>
      <c r="L99" s="708"/>
      <c r="M99" s="707"/>
      <c r="N99" s="707"/>
      <c r="O99" s="530"/>
      <c r="P99" s="705"/>
      <c r="Q99" s="706"/>
      <c r="R99" s="708"/>
      <c r="S99" s="707"/>
      <c r="T99" s="707"/>
      <c r="U99" s="530"/>
      <c r="V99" s="710"/>
      <c r="W99" s="711"/>
      <c r="X99" s="712"/>
      <c r="Y99" s="713"/>
      <c r="Z99" s="713"/>
      <c r="AA99" s="530"/>
      <c r="AB99" s="710"/>
      <c r="AC99" s="711"/>
      <c r="AD99" s="712"/>
      <c r="AE99" s="713"/>
      <c r="AF99" s="713"/>
      <c r="AG99" s="530"/>
      <c r="AH99" s="710"/>
      <c r="AI99" s="711"/>
      <c r="AJ99" s="712"/>
      <c r="AK99" s="713"/>
      <c r="AL99" s="713"/>
      <c r="AM99" s="530"/>
      <c r="AN99" s="710"/>
      <c r="AO99" s="711"/>
      <c r="AP99" s="712"/>
      <c r="AQ99" s="713"/>
      <c r="AR99" s="713"/>
      <c r="AS99" s="530"/>
      <c r="AT99" s="710"/>
      <c r="AU99" s="711"/>
      <c r="AV99" s="712"/>
      <c r="AW99" s="713"/>
      <c r="AX99" s="713"/>
      <c r="AY99" s="530"/>
      <c r="AZ99" s="710"/>
      <c r="BA99" s="711"/>
      <c r="BB99" s="712"/>
      <c r="BC99" s="713"/>
      <c r="BD99" s="713"/>
      <c r="BE99" s="530"/>
      <c r="BF99" s="710"/>
      <c r="BG99" s="711"/>
      <c r="BH99" s="712"/>
      <c r="BI99" s="713"/>
      <c r="BJ99" s="713"/>
      <c r="BK99" s="530"/>
      <c r="BL99" s="710"/>
      <c r="BM99" s="711"/>
      <c r="BN99" s="712"/>
      <c r="BO99" s="713"/>
      <c r="BP99" s="713"/>
      <c r="BQ99" s="530"/>
      <c r="BR99" s="710"/>
      <c r="BS99" s="711"/>
      <c r="BT99" s="712"/>
      <c r="BU99" s="713"/>
      <c r="BV99" s="713"/>
      <c r="BW99" s="530"/>
    </row>
    <row r="100">
      <c r="C100" s="705"/>
      <c r="D100" s="706"/>
      <c r="E100" s="708"/>
      <c r="F100" s="707"/>
      <c r="G100" s="707"/>
      <c r="H100" s="707"/>
      <c r="J100" s="705"/>
      <c r="K100" s="706"/>
      <c r="L100" s="708"/>
      <c r="M100" s="707"/>
      <c r="N100" s="707"/>
      <c r="O100" s="530"/>
      <c r="P100" s="705"/>
      <c r="Q100" s="706"/>
      <c r="R100" s="708"/>
      <c r="S100" s="707"/>
      <c r="T100" s="707"/>
      <c r="U100" s="530"/>
      <c r="V100" s="715"/>
      <c r="W100" s="716"/>
      <c r="X100" s="717"/>
      <c r="Y100" s="718"/>
      <c r="Z100" s="718"/>
      <c r="AA100" s="530"/>
      <c r="AB100" s="715"/>
      <c r="AC100" s="716"/>
      <c r="AD100" s="717"/>
      <c r="AE100" s="718"/>
      <c r="AF100" s="718"/>
      <c r="AG100" s="530"/>
      <c r="AH100" s="715"/>
      <c r="AI100" s="716"/>
      <c r="AJ100" s="717"/>
      <c r="AK100" s="718"/>
      <c r="AL100" s="718"/>
      <c r="AM100" s="530"/>
      <c r="AN100" s="715"/>
      <c r="AO100" s="716"/>
      <c r="AP100" s="717"/>
      <c r="AQ100" s="718"/>
      <c r="AR100" s="718"/>
      <c r="AS100" s="530"/>
      <c r="AT100" s="715"/>
      <c r="AU100" s="716"/>
      <c r="AV100" s="717"/>
      <c r="AW100" s="718"/>
      <c r="AX100" s="718"/>
      <c r="AY100" s="530"/>
      <c r="AZ100" s="715"/>
      <c r="BA100" s="716"/>
      <c r="BB100" s="717"/>
      <c r="BC100" s="718"/>
      <c r="BD100" s="718"/>
      <c r="BE100" s="530"/>
      <c r="BF100" s="715"/>
      <c r="BG100" s="716"/>
      <c r="BH100" s="717"/>
      <c r="BI100" s="718"/>
      <c r="BJ100" s="718"/>
      <c r="BK100" s="530"/>
      <c r="BL100" s="715"/>
      <c r="BM100" s="716"/>
      <c r="BN100" s="717"/>
      <c r="BO100" s="718"/>
      <c r="BP100" s="718"/>
      <c r="BQ100" s="530"/>
      <c r="BR100" s="715"/>
      <c r="BS100" s="716"/>
      <c r="BT100" s="717"/>
      <c r="BU100" s="718"/>
      <c r="BV100" s="718"/>
      <c r="BW100" s="530"/>
    </row>
    <row r="101">
      <c r="C101" s="705"/>
      <c r="D101" s="706"/>
      <c r="E101" s="708"/>
      <c r="F101" s="707"/>
      <c r="G101" s="707"/>
      <c r="H101" s="707"/>
      <c r="J101" s="705"/>
      <c r="K101" s="706"/>
      <c r="L101" s="708"/>
      <c r="M101" s="707"/>
      <c r="N101" s="707"/>
      <c r="O101" s="530"/>
      <c r="P101" s="705"/>
      <c r="Q101" s="706"/>
      <c r="R101" s="708"/>
      <c r="S101" s="707"/>
      <c r="T101" s="707"/>
      <c r="U101" s="530"/>
      <c r="V101" s="710"/>
      <c r="W101" s="711"/>
      <c r="X101" s="712"/>
      <c r="Y101" s="713"/>
      <c r="Z101" s="713"/>
      <c r="AA101" s="530"/>
      <c r="AB101" s="710"/>
      <c r="AC101" s="711"/>
      <c r="AD101" s="712"/>
      <c r="AE101" s="713"/>
      <c r="AF101" s="713"/>
      <c r="AG101" s="530"/>
      <c r="AH101" s="710"/>
      <c r="AI101" s="711"/>
      <c r="AJ101" s="712"/>
      <c r="AK101" s="713"/>
      <c r="AL101" s="713"/>
      <c r="AM101" s="530"/>
      <c r="AN101" s="710"/>
      <c r="AO101" s="711"/>
      <c r="AP101" s="712"/>
      <c r="AQ101" s="713"/>
      <c r="AR101" s="713"/>
      <c r="AS101" s="530"/>
      <c r="AT101" s="710"/>
      <c r="AU101" s="711"/>
      <c r="AV101" s="712"/>
      <c r="AW101" s="713"/>
      <c r="AX101" s="713"/>
      <c r="AY101" s="530"/>
      <c r="AZ101" s="710"/>
      <c r="BA101" s="711"/>
      <c r="BB101" s="712"/>
      <c r="BC101" s="713"/>
      <c r="BD101" s="713"/>
      <c r="BE101" s="530"/>
      <c r="BF101" s="710"/>
      <c r="BG101" s="711"/>
      <c r="BH101" s="712"/>
      <c r="BI101" s="713"/>
      <c r="BJ101" s="713"/>
      <c r="BK101" s="530"/>
      <c r="BL101" s="710"/>
      <c r="BM101" s="711"/>
      <c r="BN101" s="712"/>
      <c r="BO101" s="713"/>
      <c r="BP101" s="713"/>
      <c r="BQ101" s="530"/>
      <c r="BR101" s="710"/>
      <c r="BS101" s="711"/>
      <c r="BT101" s="712"/>
      <c r="BU101" s="713"/>
      <c r="BV101" s="713"/>
      <c r="BW101" s="530"/>
    </row>
    <row r="102">
      <c r="C102" s="705"/>
      <c r="D102" s="706"/>
      <c r="E102" s="708"/>
      <c r="F102" s="707"/>
      <c r="G102" s="707"/>
      <c r="H102" s="707"/>
      <c r="J102" s="705"/>
      <c r="K102" s="706"/>
      <c r="L102" s="708"/>
      <c r="M102" s="707"/>
      <c r="N102" s="707"/>
      <c r="O102" s="530"/>
      <c r="P102" s="705"/>
      <c r="Q102" s="706"/>
      <c r="R102" s="708"/>
      <c r="S102" s="707"/>
      <c r="T102" s="707"/>
      <c r="U102" s="530"/>
      <c r="V102" s="715"/>
      <c r="W102" s="716"/>
      <c r="X102" s="717"/>
      <c r="Y102" s="718"/>
      <c r="Z102" s="718"/>
      <c r="AA102" s="530"/>
      <c r="AB102" s="715"/>
      <c r="AC102" s="716"/>
      <c r="AD102" s="717"/>
      <c r="AE102" s="718"/>
      <c r="AF102" s="718"/>
      <c r="AG102" s="530"/>
      <c r="AH102" s="715"/>
      <c r="AI102" s="716"/>
      <c r="AJ102" s="717"/>
      <c r="AK102" s="718"/>
      <c r="AL102" s="718"/>
      <c r="AM102" s="530"/>
      <c r="AN102" s="715"/>
      <c r="AO102" s="716"/>
      <c r="AP102" s="717"/>
      <c r="AQ102" s="718"/>
      <c r="AR102" s="718"/>
      <c r="AS102" s="530"/>
      <c r="AT102" s="715"/>
      <c r="AU102" s="716"/>
      <c r="AV102" s="717"/>
      <c r="AW102" s="718"/>
      <c r="AX102" s="718"/>
      <c r="AY102" s="530"/>
      <c r="AZ102" s="715"/>
      <c r="BA102" s="716"/>
      <c r="BB102" s="717"/>
      <c r="BC102" s="718"/>
      <c r="BD102" s="718"/>
      <c r="BE102" s="530"/>
      <c r="BF102" s="715"/>
      <c r="BG102" s="716"/>
      <c r="BH102" s="717"/>
      <c r="BI102" s="718"/>
      <c r="BJ102" s="718"/>
      <c r="BK102" s="530"/>
      <c r="BL102" s="715"/>
      <c r="BM102" s="716"/>
      <c r="BN102" s="717"/>
      <c r="BO102" s="718"/>
      <c r="BP102" s="718"/>
      <c r="BQ102" s="530"/>
      <c r="BR102" s="715"/>
      <c r="BS102" s="716"/>
      <c r="BT102" s="717"/>
      <c r="BU102" s="718"/>
      <c r="BV102" s="718"/>
      <c r="BW102" s="530"/>
    </row>
    <row r="103">
      <c r="C103" s="705"/>
      <c r="D103" s="706"/>
      <c r="E103" s="708"/>
      <c r="F103" s="707"/>
      <c r="G103" s="707"/>
      <c r="H103" s="707"/>
      <c r="J103" s="705"/>
      <c r="K103" s="706"/>
      <c r="L103" s="708"/>
      <c r="M103" s="707"/>
      <c r="N103" s="707"/>
      <c r="O103" s="530"/>
      <c r="P103" s="705"/>
      <c r="Q103" s="706"/>
      <c r="R103" s="708"/>
      <c r="S103" s="707"/>
      <c r="T103" s="707"/>
      <c r="U103" s="530"/>
      <c r="V103" s="710"/>
      <c r="W103" s="711"/>
      <c r="X103" s="712"/>
      <c r="Y103" s="713"/>
      <c r="Z103" s="713"/>
      <c r="AA103" s="530"/>
      <c r="AB103" s="710"/>
      <c r="AC103" s="711"/>
      <c r="AD103" s="712"/>
      <c r="AE103" s="713"/>
      <c r="AF103" s="713"/>
      <c r="AG103" s="530"/>
      <c r="AH103" s="710"/>
      <c r="AI103" s="711"/>
      <c r="AJ103" s="712"/>
      <c r="AK103" s="713"/>
      <c r="AL103" s="713"/>
      <c r="AM103" s="530"/>
      <c r="AN103" s="710"/>
      <c r="AO103" s="711"/>
      <c r="AP103" s="712"/>
      <c r="AQ103" s="713"/>
      <c r="AR103" s="713"/>
      <c r="AS103" s="530"/>
      <c r="AT103" s="710"/>
      <c r="AU103" s="711"/>
      <c r="AV103" s="712"/>
      <c r="AW103" s="713"/>
      <c r="AX103" s="713"/>
      <c r="AY103" s="530"/>
      <c r="AZ103" s="710"/>
      <c r="BA103" s="711"/>
      <c r="BB103" s="712"/>
      <c r="BC103" s="713"/>
      <c r="BD103" s="713"/>
      <c r="BE103" s="530"/>
      <c r="BF103" s="710"/>
      <c r="BG103" s="711"/>
      <c r="BH103" s="712"/>
      <c r="BI103" s="713"/>
      <c r="BJ103" s="713"/>
      <c r="BK103" s="530"/>
      <c r="BL103" s="710"/>
      <c r="BM103" s="711"/>
      <c r="BN103" s="712"/>
      <c r="BO103" s="713"/>
      <c r="BP103" s="713"/>
      <c r="BQ103" s="530"/>
      <c r="BR103" s="710"/>
      <c r="BS103" s="711"/>
      <c r="BT103" s="712"/>
      <c r="BU103" s="713"/>
      <c r="BV103" s="713"/>
      <c r="BW103" s="530"/>
    </row>
    <row r="104">
      <c r="C104" s="705"/>
      <c r="D104" s="706"/>
      <c r="E104" s="708"/>
      <c r="F104" s="707"/>
      <c r="G104" s="707"/>
      <c r="H104" s="707"/>
      <c r="J104" s="705"/>
      <c r="K104" s="706"/>
      <c r="L104" s="708"/>
      <c r="M104" s="707"/>
      <c r="N104" s="707"/>
      <c r="O104" s="530"/>
      <c r="P104" s="705"/>
      <c r="Q104" s="706"/>
      <c r="R104" s="708"/>
      <c r="S104" s="707"/>
      <c r="T104" s="707"/>
      <c r="U104" s="530"/>
      <c r="V104" s="715"/>
      <c r="W104" s="716"/>
      <c r="X104" s="717"/>
      <c r="Y104" s="718"/>
      <c r="Z104" s="718"/>
      <c r="AA104" s="530"/>
      <c r="AB104" s="715"/>
      <c r="AC104" s="716"/>
      <c r="AD104" s="717"/>
      <c r="AE104" s="718"/>
      <c r="AF104" s="718"/>
      <c r="AG104" s="530"/>
      <c r="AH104" s="715"/>
      <c r="AI104" s="716"/>
      <c r="AJ104" s="717"/>
      <c r="AK104" s="718"/>
      <c r="AL104" s="718"/>
      <c r="AM104" s="530"/>
      <c r="AN104" s="715"/>
      <c r="AO104" s="716"/>
      <c r="AP104" s="717"/>
      <c r="AQ104" s="718"/>
      <c r="AR104" s="718"/>
      <c r="AS104" s="530"/>
      <c r="AT104" s="715"/>
      <c r="AU104" s="716"/>
      <c r="AV104" s="717"/>
      <c r="AW104" s="718"/>
      <c r="AX104" s="718"/>
      <c r="AY104" s="530"/>
      <c r="AZ104" s="715"/>
      <c r="BA104" s="716"/>
      <c r="BB104" s="717"/>
      <c r="BC104" s="718"/>
      <c r="BD104" s="718"/>
      <c r="BE104" s="530"/>
      <c r="BF104" s="715"/>
      <c r="BG104" s="716"/>
      <c r="BH104" s="717"/>
      <c r="BI104" s="718"/>
      <c r="BJ104" s="718"/>
      <c r="BK104" s="530"/>
      <c r="BL104" s="715"/>
      <c r="BM104" s="716"/>
      <c r="BN104" s="717"/>
      <c r="BO104" s="718"/>
      <c r="BP104" s="718"/>
      <c r="BQ104" s="530"/>
      <c r="BR104" s="715"/>
      <c r="BS104" s="716"/>
      <c r="BT104" s="717"/>
      <c r="BU104" s="718"/>
      <c r="BV104" s="718"/>
      <c r="BW104" s="530"/>
    </row>
    <row r="105">
      <c r="C105" s="705"/>
      <c r="D105" s="706"/>
      <c r="E105" s="708"/>
      <c r="F105" s="707"/>
      <c r="G105" s="707"/>
      <c r="H105" s="707"/>
      <c r="J105" s="705"/>
      <c r="K105" s="706"/>
      <c r="L105" s="708"/>
      <c r="M105" s="707"/>
      <c r="N105" s="707"/>
      <c r="O105" s="530"/>
      <c r="P105" s="705"/>
      <c r="Q105" s="706"/>
      <c r="R105" s="708"/>
      <c r="S105" s="707"/>
      <c r="T105" s="707"/>
      <c r="U105" s="530"/>
      <c r="V105" s="710"/>
      <c r="W105" s="711"/>
      <c r="X105" s="712"/>
      <c r="Y105" s="713"/>
      <c r="Z105" s="713"/>
      <c r="AA105" s="530"/>
      <c r="AB105" s="710"/>
      <c r="AC105" s="711"/>
      <c r="AD105" s="712"/>
      <c r="AE105" s="713"/>
      <c r="AF105" s="713"/>
      <c r="AG105" s="530"/>
      <c r="AH105" s="710"/>
      <c r="AI105" s="711"/>
      <c r="AJ105" s="712"/>
      <c r="AK105" s="713"/>
      <c r="AL105" s="713"/>
      <c r="AM105" s="530"/>
      <c r="AN105" s="710"/>
      <c r="AO105" s="711"/>
      <c r="AP105" s="712"/>
      <c r="AQ105" s="713"/>
      <c r="AR105" s="713"/>
      <c r="AS105" s="530"/>
      <c r="AT105" s="710"/>
      <c r="AU105" s="711"/>
      <c r="AV105" s="712"/>
      <c r="AW105" s="713"/>
      <c r="AX105" s="713"/>
      <c r="AY105" s="530"/>
      <c r="AZ105" s="710"/>
      <c r="BA105" s="711"/>
      <c r="BB105" s="712"/>
      <c r="BC105" s="713"/>
      <c r="BD105" s="713"/>
      <c r="BE105" s="530"/>
      <c r="BF105" s="710"/>
      <c r="BG105" s="711"/>
      <c r="BH105" s="712"/>
      <c r="BI105" s="713"/>
      <c r="BJ105" s="713"/>
      <c r="BK105" s="530"/>
      <c r="BL105" s="710"/>
      <c r="BM105" s="711"/>
      <c r="BN105" s="712"/>
      <c r="BO105" s="713"/>
      <c r="BP105" s="713"/>
      <c r="BQ105" s="530"/>
      <c r="BR105" s="710"/>
      <c r="BS105" s="711"/>
      <c r="BT105" s="712"/>
      <c r="BU105" s="713"/>
      <c r="BV105" s="713"/>
      <c r="BW105" s="530"/>
    </row>
    <row r="106">
      <c r="C106" s="705"/>
      <c r="D106" s="706"/>
      <c r="E106" s="708"/>
      <c r="F106" s="707"/>
      <c r="G106" s="707"/>
      <c r="H106" s="707"/>
      <c r="J106" s="705"/>
      <c r="K106" s="706"/>
      <c r="L106" s="708"/>
      <c r="M106" s="707"/>
      <c r="N106" s="707"/>
      <c r="O106" s="530"/>
      <c r="P106" s="705"/>
      <c r="Q106" s="706"/>
      <c r="R106" s="708"/>
      <c r="S106" s="707"/>
      <c r="T106" s="707"/>
      <c r="U106" s="530"/>
      <c r="V106" s="715"/>
      <c r="W106" s="716"/>
      <c r="X106" s="717"/>
      <c r="Y106" s="718"/>
      <c r="Z106" s="718"/>
      <c r="AA106" s="530"/>
      <c r="AB106" s="715"/>
      <c r="AC106" s="716"/>
      <c r="AD106" s="717"/>
      <c r="AE106" s="718"/>
      <c r="AF106" s="718"/>
      <c r="AG106" s="530"/>
      <c r="AH106" s="715"/>
      <c r="AI106" s="716"/>
      <c r="AJ106" s="717"/>
      <c r="AK106" s="718"/>
      <c r="AL106" s="718"/>
      <c r="AM106" s="530"/>
      <c r="AN106" s="715"/>
      <c r="AO106" s="716"/>
      <c r="AP106" s="717"/>
      <c r="AQ106" s="718"/>
      <c r="AR106" s="718"/>
      <c r="AS106" s="530"/>
      <c r="AT106" s="715"/>
      <c r="AU106" s="716"/>
      <c r="AV106" s="717"/>
      <c r="AW106" s="718"/>
      <c r="AX106" s="718"/>
      <c r="AY106" s="530"/>
      <c r="AZ106" s="715"/>
      <c r="BA106" s="716"/>
      <c r="BB106" s="717"/>
      <c r="BC106" s="718"/>
      <c r="BD106" s="718"/>
      <c r="BE106" s="530"/>
      <c r="BF106" s="715"/>
      <c r="BG106" s="716"/>
      <c r="BH106" s="717"/>
      <c r="BI106" s="718"/>
      <c r="BJ106" s="718"/>
      <c r="BK106" s="530"/>
      <c r="BL106" s="715"/>
      <c r="BM106" s="716"/>
      <c r="BN106" s="717"/>
      <c r="BO106" s="718"/>
      <c r="BP106" s="718"/>
      <c r="BQ106" s="530"/>
      <c r="BR106" s="715"/>
      <c r="BS106" s="716"/>
      <c r="BT106" s="717"/>
      <c r="BU106" s="718"/>
      <c r="BV106" s="718"/>
      <c r="BW106" s="530"/>
    </row>
    <row r="107">
      <c r="C107" s="705"/>
      <c r="D107" s="706"/>
      <c r="E107" s="708"/>
      <c r="F107" s="707"/>
      <c r="G107" s="707"/>
      <c r="H107" s="707"/>
      <c r="J107" s="705"/>
      <c r="K107" s="706"/>
      <c r="L107" s="708"/>
      <c r="M107" s="707"/>
      <c r="N107" s="707"/>
      <c r="O107" s="530"/>
      <c r="P107" s="705"/>
      <c r="Q107" s="706"/>
      <c r="R107" s="708"/>
      <c r="S107" s="707"/>
      <c r="T107" s="707"/>
      <c r="U107" s="530"/>
      <c r="V107" s="710"/>
      <c r="W107" s="711"/>
      <c r="X107" s="712"/>
      <c r="Y107" s="713"/>
      <c r="Z107" s="713"/>
      <c r="AA107" s="530"/>
      <c r="AB107" s="710"/>
      <c r="AC107" s="711"/>
      <c r="AD107" s="712"/>
      <c r="AE107" s="713"/>
      <c r="AF107" s="713"/>
      <c r="AG107" s="530"/>
      <c r="AH107" s="710"/>
      <c r="AI107" s="711"/>
      <c r="AJ107" s="712"/>
      <c r="AK107" s="713"/>
      <c r="AL107" s="713"/>
      <c r="AM107" s="530"/>
      <c r="AN107" s="710"/>
      <c r="AO107" s="711"/>
      <c r="AP107" s="712"/>
      <c r="AQ107" s="713"/>
      <c r="AR107" s="713"/>
      <c r="AS107" s="530"/>
      <c r="AT107" s="710"/>
      <c r="AU107" s="711"/>
      <c r="AV107" s="712"/>
      <c r="AW107" s="713"/>
      <c r="AX107" s="713"/>
      <c r="AY107" s="530"/>
      <c r="AZ107" s="710"/>
      <c r="BA107" s="711"/>
      <c r="BB107" s="712"/>
      <c r="BC107" s="713"/>
      <c r="BD107" s="713"/>
      <c r="BE107" s="530"/>
      <c r="BF107" s="710"/>
      <c r="BG107" s="711"/>
      <c r="BH107" s="712"/>
      <c r="BI107" s="713"/>
      <c r="BJ107" s="713"/>
      <c r="BK107" s="530"/>
      <c r="BL107" s="710"/>
      <c r="BM107" s="711"/>
      <c r="BN107" s="712"/>
      <c r="BO107" s="713"/>
      <c r="BP107" s="713"/>
      <c r="BQ107" s="530"/>
      <c r="BR107" s="710"/>
      <c r="BS107" s="711"/>
      <c r="BT107" s="712"/>
      <c r="BU107" s="713"/>
      <c r="BV107" s="713"/>
      <c r="BW107" s="530"/>
    </row>
    <row r="108">
      <c r="C108" s="705"/>
      <c r="D108" s="706"/>
      <c r="E108" s="708"/>
      <c r="F108" s="707"/>
      <c r="G108" s="707"/>
      <c r="H108" s="707"/>
      <c r="J108" s="705"/>
      <c r="K108" s="706"/>
      <c r="L108" s="708"/>
      <c r="M108" s="707"/>
      <c r="N108" s="707"/>
      <c r="O108" s="530"/>
      <c r="P108" s="705"/>
      <c r="Q108" s="706"/>
      <c r="R108" s="708"/>
      <c r="S108" s="707"/>
      <c r="T108" s="707"/>
      <c r="U108" s="530"/>
      <c r="V108" s="715"/>
      <c r="W108" s="716"/>
      <c r="X108" s="717"/>
      <c r="Y108" s="718"/>
      <c r="Z108" s="718"/>
      <c r="AA108" s="530"/>
      <c r="AB108" s="715"/>
      <c r="AC108" s="716"/>
      <c r="AD108" s="717"/>
      <c r="AE108" s="718"/>
      <c r="AF108" s="718"/>
      <c r="AG108" s="530"/>
      <c r="AH108" s="715"/>
      <c r="AI108" s="716"/>
      <c r="AJ108" s="717"/>
      <c r="AK108" s="718"/>
      <c r="AL108" s="718"/>
      <c r="AM108" s="530"/>
      <c r="AN108" s="715"/>
      <c r="AO108" s="716"/>
      <c r="AP108" s="717"/>
      <c r="AQ108" s="718"/>
      <c r="AR108" s="718"/>
      <c r="AS108" s="530"/>
      <c r="AT108" s="715"/>
      <c r="AU108" s="716"/>
      <c r="AV108" s="717"/>
      <c r="AW108" s="718"/>
      <c r="AX108" s="718"/>
      <c r="AY108" s="530"/>
      <c r="AZ108" s="715"/>
      <c r="BA108" s="716"/>
      <c r="BB108" s="717"/>
      <c r="BC108" s="718"/>
      <c r="BD108" s="718"/>
      <c r="BE108" s="530"/>
      <c r="BF108" s="715"/>
      <c r="BG108" s="716"/>
      <c r="BH108" s="717"/>
      <c r="BI108" s="718"/>
      <c r="BJ108" s="718"/>
      <c r="BK108" s="530"/>
      <c r="BL108" s="715"/>
      <c r="BM108" s="716"/>
      <c r="BN108" s="717"/>
      <c r="BO108" s="718"/>
      <c r="BP108" s="718"/>
      <c r="BQ108" s="530"/>
      <c r="BR108" s="715"/>
      <c r="BS108" s="716"/>
      <c r="BT108" s="717"/>
      <c r="BU108" s="718"/>
      <c r="BV108" s="718"/>
      <c r="BW108" s="530"/>
    </row>
    <row r="109">
      <c r="C109" s="705"/>
      <c r="D109" s="706"/>
      <c r="E109" s="708"/>
      <c r="F109" s="707"/>
      <c r="G109" s="707"/>
      <c r="H109" s="707"/>
      <c r="J109" s="705"/>
      <c r="K109" s="706"/>
      <c r="L109" s="708"/>
      <c r="M109" s="707"/>
      <c r="N109" s="707"/>
      <c r="O109" s="530"/>
      <c r="P109" s="705"/>
      <c r="Q109" s="706"/>
      <c r="R109" s="708"/>
      <c r="S109" s="707"/>
      <c r="T109" s="707"/>
      <c r="U109" s="530"/>
      <c r="V109" s="710"/>
      <c r="W109" s="711"/>
      <c r="X109" s="712"/>
      <c r="Y109" s="713"/>
      <c r="Z109" s="713"/>
      <c r="AA109" s="530"/>
      <c r="AB109" s="710"/>
      <c r="AC109" s="711"/>
      <c r="AD109" s="712"/>
      <c r="AE109" s="713"/>
      <c r="AF109" s="713"/>
      <c r="AG109" s="530"/>
      <c r="AH109" s="710"/>
      <c r="AI109" s="711"/>
      <c r="AJ109" s="712"/>
      <c r="AK109" s="713"/>
      <c r="AL109" s="713"/>
      <c r="AM109" s="530"/>
      <c r="AN109" s="710"/>
      <c r="AO109" s="711"/>
      <c r="AP109" s="712"/>
      <c r="AQ109" s="713"/>
      <c r="AR109" s="713"/>
      <c r="AS109" s="530"/>
      <c r="AT109" s="710"/>
      <c r="AU109" s="711"/>
      <c r="AV109" s="712"/>
      <c r="AW109" s="713"/>
      <c r="AX109" s="713"/>
      <c r="AY109" s="530"/>
      <c r="AZ109" s="710"/>
      <c r="BA109" s="711"/>
      <c r="BB109" s="712"/>
      <c r="BC109" s="713"/>
      <c r="BD109" s="713"/>
      <c r="BE109" s="530"/>
      <c r="BF109" s="710"/>
      <c r="BG109" s="711"/>
      <c r="BH109" s="712"/>
      <c r="BI109" s="713"/>
      <c r="BJ109" s="713"/>
      <c r="BK109" s="530"/>
      <c r="BL109" s="710"/>
      <c r="BM109" s="711"/>
      <c r="BN109" s="712"/>
      <c r="BO109" s="713"/>
      <c r="BP109" s="713"/>
      <c r="BQ109" s="530"/>
      <c r="BR109" s="710"/>
      <c r="BS109" s="711"/>
      <c r="BT109" s="712"/>
      <c r="BU109" s="713"/>
      <c r="BV109" s="713"/>
      <c r="BW109" s="530"/>
    </row>
    <row r="110">
      <c r="C110" s="705"/>
      <c r="D110" s="706"/>
      <c r="E110" s="708"/>
      <c r="F110" s="707"/>
      <c r="G110" s="707"/>
      <c r="H110" s="707"/>
      <c r="J110" s="705"/>
      <c r="K110" s="706"/>
      <c r="L110" s="708"/>
      <c r="M110" s="707"/>
      <c r="N110" s="707"/>
      <c r="O110" s="530"/>
      <c r="P110" s="705"/>
      <c r="Q110" s="706"/>
      <c r="R110" s="708"/>
      <c r="S110" s="707"/>
      <c r="T110" s="707"/>
      <c r="U110" s="530"/>
      <c r="V110" s="715"/>
      <c r="W110" s="716"/>
      <c r="X110" s="717"/>
      <c r="Y110" s="718"/>
      <c r="Z110" s="718"/>
      <c r="AA110" s="530"/>
      <c r="AB110" s="715"/>
      <c r="AC110" s="716"/>
      <c r="AD110" s="717"/>
      <c r="AE110" s="718"/>
      <c r="AF110" s="718"/>
      <c r="AG110" s="530"/>
      <c r="AH110" s="715"/>
      <c r="AI110" s="716"/>
      <c r="AJ110" s="717"/>
      <c r="AK110" s="718"/>
      <c r="AL110" s="718"/>
      <c r="AM110" s="530"/>
      <c r="AN110" s="715"/>
      <c r="AO110" s="716"/>
      <c r="AP110" s="717"/>
      <c r="AQ110" s="718"/>
      <c r="AR110" s="718"/>
      <c r="AS110" s="530"/>
      <c r="AT110" s="715"/>
      <c r="AU110" s="716"/>
      <c r="AV110" s="717"/>
      <c r="AW110" s="718"/>
      <c r="AX110" s="718"/>
      <c r="AY110" s="530"/>
      <c r="AZ110" s="715"/>
      <c r="BA110" s="716"/>
      <c r="BB110" s="717"/>
      <c r="BC110" s="718"/>
      <c r="BD110" s="718"/>
      <c r="BE110" s="530"/>
      <c r="BF110" s="715"/>
      <c r="BG110" s="716"/>
      <c r="BH110" s="717"/>
      <c r="BI110" s="718"/>
      <c r="BJ110" s="718"/>
      <c r="BK110" s="530"/>
      <c r="BL110" s="715"/>
      <c r="BM110" s="716"/>
      <c r="BN110" s="717"/>
      <c r="BO110" s="718"/>
      <c r="BP110" s="718"/>
      <c r="BQ110" s="530"/>
      <c r="BR110" s="715"/>
      <c r="BS110" s="716"/>
      <c r="BT110" s="717"/>
      <c r="BU110" s="718"/>
      <c r="BV110" s="718"/>
      <c r="BW110" s="530"/>
    </row>
    <row r="111">
      <c r="C111" s="705"/>
      <c r="D111" s="706"/>
      <c r="E111" s="708"/>
      <c r="F111" s="707"/>
      <c r="G111" s="707"/>
      <c r="N111" s="530"/>
      <c r="O111" s="530"/>
      <c r="T111" s="530"/>
      <c r="U111" s="530"/>
      <c r="Z111" s="530"/>
      <c r="AA111" s="530"/>
      <c r="AF111" s="530"/>
      <c r="AG111" s="530"/>
      <c r="AL111" s="530"/>
      <c r="AM111" s="530"/>
      <c r="AR111" s="530"/>
      <c r="AS111" s="530"/>
      <c r="AX111" s="530"/>
      <c r="AY111" s="530"/>
      <c r="BD111" s="530"/>
      <c r="BE111" s="530"/>
      <c r="BJ111" s="530"/>
      <c r="BK111" s="530"/>
      <c r="BP111" s="530"/>
      <c r="BQ111" s="530"/>
      <c r="BV111" s="530"/>
      <c r="BW111" s="530"/>
    </row>
    <row r="112">
      <c r="N112" s="530"/>
      <c r="O112" s="530"/>
      <c r="T112" s="530"/>
      <c r="U112" s="530"/>
      <c r="Z112" s="530"/>
      <c r="AA112" s="530"/>
      <c r="AF112" s="530"/>
      <c r="AG112" s="530"/>
      <c r="AL112" s="530"/>
      <c r="AM112" s="530"/>
      <c r="AR112" s="530"/>
      <c r="AS112" s="530"/>
      <c r="AX112" s="530"/>
      <c r="AY112" s="530"/>
      <c r="BD112" s="530"/>
      <c r="BE112" s="530"/>
      <c r="BJ112" s="530"/>
      <c r="BK112" s="530"/>
      <c r="BP112" s="530"/>
      <c r="BQ112" s="530"/>
      <c r="BV112" s="530"/>
      <c r="BW112" s="530"/>
    </row>
    <row r="113">
      <c r="N113" s="530"/>
      <c r="O113" s="530"/>
      <c r="T113" s="530"/>
      <c r="U113" s="530"/>
      <c r="Z113" s="530"/>
      <c r="AA113" s="530"/>
      <c r="AF113" s="530"/>
      <c r="AG113" s="530"/>
      <c r="AL113" s="530"/>
      <c r="AM113" s="530"/>
      <c r="AR113" s="530"/>
      <c r="AS113" s="530"/>
      <c r="AX113" s="530"/>
      <c r="AY113" s="530"/>
      <c r="BD113" s="530"/>
      <c r="BE113" s="530"/>
      <c r="BJ113" s="530"/>
      <c r="BK113" s="530"/>
      <c r="BP113" s="530"/>
      <c r="BQ113" s="530"/>
      <c r="BV113" s="530"/>
      <c r="BW113" s="530"/>
    </row>
    <row r="114">
      <c r="N114" s="530"/>
      <c r="O114" s="530"/>
      <c r="T114" s="530"/>
      <c r="U114" s="530"/>
      <c r="Z114" s="530"/>
      <c r="AA114" s="530"/>
      <c r="AF114" s="530"/>
      <c r="AG114" s="530"/>
      <c r="AL114" s="530"/>
      <c r="AM114" s="530"/>
      <c r="AR114" s="530"/>
      <c r="AS114" s="530"/>
      <c r="AX114" s="530"/>
      <c r="AY114" s="530"/>
      <c r="BD114" s="530"/>
      <c r="BE114" s="530"/>
      <c r="BJ114" s="530"/>
      <c r="BK114" s="530"/>
      <c r="BP114" s="530"/>
      <c r="BQ114" s="530"/>
      <c r="BV114" s="530"/>
      <c r="BW114" s="530"/>
    </row>
    <row r="115">
      <c r="N115" s="530"/>
      <c r="O115" s="530"/>
      <c r="T115" s="530"/>
      <c r="U115" s="530"/>
      <c r="Z115" s="530"/>
      <c r="AA115" s="530"/>
      <c r="AF115" s="530"/>
      <c r="AG115" s="530"/>
      <c r="AL115" s="530"/>
      <c r="AM115" s="530"/>
      <c r="AR115" s="530"/>
      <c r="AS115" s="530"/>
      <c r="AX115" s="530"/>
      <c r="AY115" s="530"/>
      <c r="BD115" s="530"/>
      <c r="BE115" s="530"/>
      <c r="BJ115" s="530"/>
      <c r="BK115" s="530"/>
      <c r="BP115" s="530"/>
      <c r="BQ115" s="530"/>
      <c r="BV115" s="530"/>
      <c r="BW115" s="530"/>
    </row>
    <row r="116">
      <c r="N116" s="530"/>
      <c r="O116" s="530"/>
      <c r="T116" s="530"/>
      <c r="U116" s="530"/>
      <c r="Z116" s="530"/>
      <c r="AA116" s="530"/>
      <c r="AF116" s="530"/>
      <c r="AG116" s="530"/>
      <c r="AL116" s="530"/>
      <c r="AM116" s="530"/>
      <c r="AR116" s="530"/>
      <c r="AS116" s="530"/>
      <c r="AX116" s="530"/>
      <c r="AY116" s="530"/>
      <c r="BD116" s="530"/>
      <c r="BE116" s="530"/>
      <c r="BJ116" s="530"/>
      <c r="BK116" s="530"/>
      <c r="BP116" s="530"/>
      <c r="BQ116" s="530"/>
      <c r="BV116" s="530"/>
      <c r="BW116" s="530"/>
    </row>
    <row r="117">
      <c r="N117" s="530"/>
      <c r="O117" s="530"/>
      <c r="T117" s="530"/>
      <c r="U117" s="530"/>
      <c r="Z117" s="530"/>
      <c r="AA117" s="530"/>
      <c r="AF117" s="530"/>
      <c r="AG117" s="530"/>
      <c r="AL117" s="530"/>
      <c r="AM117" s="530"/>
      <c r="AR117" s="530"/>
      <c r="AS117" s="530"/>
      <c r="AX117" s="530"/>
      <c r="AY117" s="530"/>
      <c r="BD117" s="530"/>
      <c r="BE117" s="530"/>
      <c r="BJ117" s="530"/>
      <c r="BK117" s="530"/>
      <c r="BP117" s="530"/>
      <c r="BQ117" s="530"/>
      <c r="BV117" s="530"/>
      <c r="BW117" s="530"/>
    </row>
    <row r="118">
      <c r="N118" s="530"/>
      <c r="O118" s="530"/>
      <c r="T118" s="530"/>
      <c r="U118" s="530"/>
      <c r="Z118" s="530"/>
      <c r="AA118" s="530"/>
      <c r="AF118" s="530"/>
      <c r="AG118" s="530"/>
      <c r="AL118" s="530"/>
      <c r="AM118" s="530"/>
      <c r="AR118" s="530"/>
      <c r="AS118" s="530"/>
      <c r="AX118" s="530"/>
      <c r="AY118" s="530"/>
      <c r="BD118" s="530"/>
      <c r="BE118" s="530"/>
      <c r="BJ118" s="530"/>
      <c r="BK118" s="530"/>
      <c r="BP118" s="530"/>
      <c r="BQ118" s="530"/>
      <c r="BV118" s="530"/>
      <c r="BW118" s="530"/>
    </row>
    <row r="119">
      <c r="N119" s="530"/>
      <c r="O119" s="530"/>
      <c r="T119" s="530"/>
      <c r="U119" s="530"/>
      <c r="Z119" s="530"/>
      <c r="AA119" s="530"/>
      <c r="AF119" s="530"/>
      <c r="AG119" s="530"/>
      <c r="AL119" s="530"/>
      <c r="AM119" s="530"/>
      <c r="AR119" s="530"/>
      <c r="AS119" s="530"/>
      <c r="AX119" s="530"/>
      <c r="AY119" s="530"/>
      <c r="BD119" s="530"/>
      <c r="BE119" s="530"/>
      <c r="BJ119" s="530"/>
      <c r="BK119" s="530"/>
      <c r="BP119" s="530"/>
      <c r="BQ119" s="530"/>
      <c r="BV119" s="530"/>
      <c r="BW119" s="530"/>
    </row>
    <row r="120">
      <c r="N120" s="530"/>
      <c r="O120" s="530"/>
      <c r="T120" s="530"/>
      <c r="U120" s="530"/>
      <c r="Z120" s="530"/>
      <c r="AA120" s="530"/>
      <c r="AF120" s="530"/>
      <c r="AG120" s="530"/>
      <c r="AL120" s="530"/>
      <c r="AM120" s="530"/>
      <c r="AR120" s="530"/>
      <c r="AS120" s="530"/>
      <c r="AX120" s="530"/>
      <c r="AY120" s="530"/>
      <c r="BD120" s="530"/>
      <c r="BE120" s="530"/>
      <c r="BJ120" s="530"/>
      <c r="BK120" s="530"/>
      <c r="BP120" s="530"/>
      <c r="BQ120" s="530"/>
      <c r="BV120" s="530"/>
      <c r="BW120" s="530"/>
    </row>
    <row r="121">
      <c r="N121" s="530"/>
      <c r="O121" s="530"/>
      <c r="T121" s="530"/>
      <c r="U121" s="530"/>
      <c r="Z121" s="530"/>
      <c r="AA121" s="530"/>
      <c r="AF121" s="530"/>
      <c r="AG121" s="530"/>
      <c r="AL121" s="530"/>
      <c r="AM121" s="530"/>
      <c r="AR121" s="530"/>
      <c r="AS121" s="530"/>
      <c r="AX121" s="530"/>
      <c r="AY121" s="530"/>
      <c r="BD121" s="530"/>
      <c r="BE121" s="530"/>
      <c r="BJ121" s="530"/>
      <c r="BK121" s="530"/>
      <c r="BP121" s="530"/>
      <c r="BQ121" s="530"/>
      <c r="BV121" s="530"/>
      <c r="BW121" s="530"/>
    </row>
    <row r="122">
      <c r="N122" s="530"/>
      <c r="O122" s="530"/>
      <c r="T122" s="530"/>
      <c r="U122" s="530"/>
      <c r="Z122" s="530"/>
      <c r="AA122" s="530"/>
      <c r="AF122" s="530"/>
      <c r="AG122" s="530"/>
      <c r="AL122" s="530"/>
      <c r="AM122" s="530"/>
      <c r="AR122" s="530"/>
      <c r="AS122" s="530"/>
      <c r="AX122" s="530"/>
      <c r="AY122" s="530"/>
      <c r="BD122" s="530"/>
      <c r="BE122" s="530"/>
      <c r="BJ122" s="530"/>
      <c r="BK122" s="530"/>
      <c r="BP122" s="530"/>
      <c r="BQ122" s="530"/>
      <c r="BV122" s="530"/>
      <c r="BW122" s="530"/>
    </row>
    <row r="123">
      <c r="N123" s="530"/>
      <c r="O123" s="530"/>
      <c r="T123" s="530"/>
      <c r="U123" s="530"/>
      <c r="Z123" s="530"/>
      <c r="AA123" s="530"/>
      <c r="AF123" s="530"/>
      <c r="AG123" s="530"/>
      <c r="AL123" s="530"/>
      <c r="AM123" s="530"/>
      <c r="AR123" s="530"/>
      <c r="AS123" s="530"/>
      <c r="AX123" s="530"/>
      <c r="AY123" s="530"/>
      <c r="BD123" s="530"/>
      <c r="BE123" s="530"/>
      <c r="BJ123" s="530"/>
      <c r="BK123" s="530"/>
      <c r="BP123" s="530"/>
      <c r="BQ123" s="530"/>
      <c r="BV123" s="530"/>
      <c r="BW123" s="530"/>
    </row>
    <row r="124">
      <c r="N124" s="530"/>
      <c r="O124" s="530"/>
      <c r="T124" s="530"/>
      <c r="U124" s="530"/>
      <c r="Z124" s="530"/>
      <c r="AA124" s="530"/>
      <c r="AF124" s="530"/>
      <c r="AG124" s="530"/>
      <c r="AL124" s="530"/>
      <c r="AM124" s="530"/>
      <c r="AR124" s="530"/>
      <c r="AS124" s="530"/>
      <c r="AX124" s="530"/>
      <c r="AY124" s="530"/>
      <c r="BD124" s="530"/>
      <c r="BE124" s="530"/>
      <c r="BJ124" s="530"/>
      <c r="BK124" s="530"/>
      <c r="BP124" s="530"/>
      <c r="BQ124" s="530"/>
      <c r="BV124" s="530"/>
      <c r="BW124" s="530"/>
    </row>
    <row r="125">
      <c r="N125" s="530"/>
      <c r="O125" s="530"/>
      <c r="T125" s="530"/>
      <c r="U125" s="530"/>
      <c r="Z125" s="530"/>
      <c r="AA125" s="530"/>
      <c r="AF125" s="530"/>
      <c r="AG125" s="530"/>
      <c r="AL125" s="530"/>
      <c r="AM125" s="530"/>
      <c r="AR125" s="530"/>
      <c r="AS125" s="530"/>
      <c r="AX125" s="530"/>
      <c r="AY125" s="530"/>
      <c r="BD125" s="530"/>
      <c r="BE125" s="530"/>
      <c r="BJ125" s="530"/>
      <c r="BK125" s="530"/>
      <c r="BP125" s="530"/>
      <c r="BQ125" s="530"/>
      <c r="BV125" s="530"/>
      <c r="BW125" s="530"/>
    </row>
    <row r="126">
      <c r="N126" s="530"/>
      <c r="O126" s="530"/>
      <c r="T126" s="530"/>
      <c r="U126" s="530"/>
      <c r="Z126" s="530"/>
      <c r="AA126" s="530"/>
      <c r="AF126" s="530"/>
      <c r="AG126" s="530"/>
      <c r="AL126" s="530"/>
      <c r="AM126" s="530"/>
      <c r="AR126" s="530"/>
      <c r="AS126" s="530"/>
      <c r="AX126" s="530"/>
      <c r="AY126" s="530"/>
      <c r="BD126" s="530"/>
      <c r="BE126" s="530"/>
      <c r="BJ126" s="530"/>
      <c r="BK126" s="530"/>
      <c r="BP126" s="530"/>
      <c r="BQ126" s="530"/>
      <c r="BV126" s="530"/>
      <c r="BW126" s="530"/>
    </row>
    <row r="127">
      <c r="N127" s="530"/>
      <c r="O127" s="530"/>
      <c r="T127" s="530"/>
      <c r="U127" s="530"/>
      <c r="Z127" s="530"/>
      <c r="AA127" s="530"/>
      <c r="AF127" s="530"/>
      <c r="AG127" s="530"/>
      <c r="AL127" s="530"/>
      <c r="AM127" s="530"/>
      <c r="AR127" s="530"/>
      <c r="AS127" s="530"/>
      <c r="AX127" s="530"/>
      <c r="AY127" s="530"/>
      <c r="BD127" s="530"/>
      <c r="BE127" s="530"/>
      <c r="BJ127" s="530"/>
      <c r="BK127" s="530"/>
      <c r="BP127" s="530"/>
      <c r="BQ127" s="530"/>
      <c r="BV127" s="530"/>
      <c r="BW127" s="530"/>
    </row>
    <row r="128">
      <c r="N128" s="530"/>
      <c r="O128" s="530"/>
      <c r="T128" s="530"/>
      <c r="U128" s="530"/>
      <c r="Z128" s="530"/>
      <c r="AA128" s="530"/>
      <c r="AF128" s="530"/>
      <c r="AG128" s="530"/>
      <c r="AL128" s="530"/>
      <c r="AM128" s="530"/>
      <c r="AR128" s="530"/>
      <c r="AS128" s="530"/>
      <c r="AX128" s="530"/>
      <c r="AY128" s="530"/>
      <c r="BD128" s="530"/>
      <c r="BE128" s="530"/>
      <c r="BJ128" s="530"/>
      <c r="BK128" s="530"/>
      <c r="BP128" s="530"/>
      <c r="BQ128" s="530"/>
      <c r="BV128" s="530"/>
      <c r="BW128" s="530"/>
    </row>
    <row r="129">
      <c r="N129" s="530"/>
      <c r="O129" s="530"/>
      <c r="T129" s="530"/>
      <c r="U129" s="530"/>
      <c r="Z129" s="530"/>
      <c r="AA129" s="530"/>
      <c r="AF129" s="530"/>
      <c r="AG129" s="530"/>
      <c r="AL129" s="530"/>
      <c r="AM129" s="530"/>
      <c r="AR129" s="530"/>
      <c r="AS129" s="530"/>
      <c r="AX129" s="530"/>
      <c r="AY129" s="530"/>
      <c r="BD129" s="530"/>
      <c r="BE129" s="530"/>
      <c r="BJ129" s="530"/>
      <c r="BK129" s="530"/>
      <c r="BP129" s="530"/>
      <c r="BQ129" s="530"/>
      <c r="BV129" s="530"/>
      <c r="BW129" s="530"/>
    </row>
    <row r="130">
      <c r="N130" s="530"/>
      <c r="O130" s="530"/>
      <c r="T130" s="530"/>
      <c r="U130" s="530"/>
      <c r="Z130" s="530"/>
      <c r="AA130" s="530"/>
      <c r="AF130" s="530"/>
      <c r="AG130" s="530"/>
      <c r="AL130" s="530"/>
      <c r="AM130" s="530"/>
      <c r="AR130" s="530"/>
      <c r="AS130" s="530"/>
      <c r="AX130" s="530"/>
      <c r="AY130" s="530"/>
      <c r="BD130" s="530"/>
      <c r="BE130" s="530"/>
      <c r="BJ130" s="530"/>
      <c r="BK130" s="530"/>
      <c r="BP130" s="530"/>
      <c r="BQ130" s="530"/>
      <c r="BV130" s="530"/>
      <c r="BW130" s="530"/>
    </row>
    <row r="131">
      <c r="N131" s="530"/>
      <c r="O131" s="530"/>
      <c r="T131" s="530"/>
      <c r="U131" s="530"/>
      <c r="Z131" s="530"/>
      <c r="AA131" s="530"/>
      <c r="AF131" s="530"/>
      <c r="AG131" s="530"/>
      <c r="AL131" s="530"/>
      <c r="AM131" s="530"/>
      <c r="AR131" s="530"/>
      <c r="AS131" s="530"/>
      <c r="AX131" s="530"/>
      <c r="AY131" s="530"/>
      <c r="BD131" s="530"/>
      <c r="BE131" s="530"/>
      <c r="BJ131" s="530"/>
      <c r="BK131" s="530"/>
      <c r="BP131" s="530"/>
      <c r="BQ131" s="530"/>
      <c r="BV131" s="530"/>
      <c r="BW131" s="530"/>
    </row>
    <row r="132">
      <c r="N132" s="530"/>
      <c r="O132" s="530"/>
      <c r="T132" s="530"/>
      <c r="U132" s="530"/>
      <c r="Z132" s="530"/>
      <c r="AA132" s="530"/>
      <c r="AF132" s="530"/>
      <c r="AG132" s="530"/>
      <c r="AL132" s="530"/>
      <c r="AM132" s="530"/>
      <c r="AR132" s="530"/>
      <c r="AS132" s="530"/>
      <c r="AX132" s="530"/>
      <c r="AY132" s="530"/>
      <c r="BD132" s="530"/>
      <c r="BE132" s="530"/>
      <c r="BJ132" s="530"/>
      <c r="BK132" s="530"/>
      <c r="BP132" s="530"/>
      <c r="BQ132" s="530"/>
      <c r="BV132" s="530"/>
      <c r="BW132" s="530"/>
    </row>
    <row r="133">
      <c r="N133" s="530"/>
      <c r="O133" s="530"/>
      <c r="T133" s="530"/>
      <c r="U133" s="530"/>
      <c r="Z133" s="530"/>
      <c r="AA133" s="530"/>
      <c r="AF133" s="530"/>
      <c r="AG133" s="530"/>
      <c r="AL133" s="530"/>
      <c r="AM133" s="530"/>
      <c r="AR133" s="530"/>
      <c r="AS133" s="530"/>
      <c r="AX133" s="530"/>
      <c r="AY133" s="530"/>
      <c r="BD133" s="530"/>
      <c r="BE133" s="530"/>
      <c r="BJ133" s="530"/>
      <c r="BK133" s="530"/>
      <c r="BP133" s="530"/>
      <c r="BQ133" s="530"/>
      <c r="BV133" s="530"/>
      <c r="BW133" s="530"/>
    </row>
    <row r="134">
      <c r="N134" s="530"/>
      <c r="O134" s="530"/>
      <c r="T134" s="530"/>
      <c r="U134" s="530"/>
      <c r="Z134" s="530"/>
      <c r="AA134" s="530"/>
      <c r="AF134" s="530"/>
      <c r="AG134" s="530"/>
      <c r="AL134" s="530"/>
      <c r="AM134" s="530"/>
      <c r="AR134" s="530"/>
      <c r="AS134" s="530"/>
      <c r="AX134" s="530"/>
      <c r="AY134" s="530"/>
      <c r="BD134" s="530"/>
      <c r="BE134" s="530"/>
      <c r="BJ134" s="530"/>
      <c r="BK134" s="530"/>
      <c r="BP134" s="530"/>
      <c r="BQ134" s="530"/>
      <c r="BV134" s="530"/>
      <c r="BW134" s="530"/>
    </row>
    <row r="135">
      <c r="N135" s="530"/>
      <c r="O135" s="530"/>
      <c r="T135" s="530"/>
      <c r="U135" s="530"/>
      <c r="Z135" s="530"/>
      <c r="AA135" s="530"/>
      <c r="AF135" s="530"/>
      <c r="AG135" s="530"/>
      <c r="AL135" s="530"/>
      <c r="AM135" s="530"/>
      <c r="AR135" s="530"/>
      <c r="AS135" s="530"/>
      <c r="AX135" s="530"/>
      <c r="AY135" s="530"/>
      <c r="BD135" s="530"/>
      <c r="BE135" s="530"/>
      <c r="BJ135" s="530"/>
      <c r="BK135" s="530"/>
      <c r="BP135" s="530"/>
      <c r="BQ135" s="530"/>
      <c r="BV135" s="530"/>
      <c r="BW135" s="530"/>
    </row>
    <row r="136">
      <c r="N136" s="530"/>
      <c r="O136" s="530"/>
      <c r="T136" s="530"/>
      <c r="U136" s="530"/>
      <c r="Z136" s="530"/>
      <c r="AA136" s="530"/>
      <c r="AF136" s="530"/>
      <c r="AG136" s="530"/>
      <c r="AL136" s="530"/>
      <c r="AM136" s="530"/>
      <c r="AR136" s="530"/>
      <c r="AS136" s="530"/>
      <c r="AX136" s="530"/>
      <c r="AY136" s="530"/>
      <c r="BD136" s="530"/>
      <c r="BE136" s="530"/>
      <c r="BJ136" s="530"/>
      <c r="BK136" s="530"/>
      <c r="BP136" s="530"/>
      <c r="BQ136" s="530"/>
      <c r="BV136" s="530"/>
      <c r="BW136" s="530"/>
    </row>
    <row r="137">
      <c r="N137" s="530"/>
      <c r="O137" s="530"/>
      <c r="T137" s="530"/>
      <c r="U137" s="530"/>
      <c r="Z137" s="530"/>
      <c r="AA137" s="530"/>
      <c r="AF137" s="530"/>
      <c r="AG137" s="530"/>
      <c r="AL137" s="530"/>
      <c r="AM137" s="530"/>
      <c r="AR137" s="530"/>
      <c r="AS137" s="530"/>
      <c r="AX137" s="530"/>
      <c r="AY137" s="530"/>
      <c r="BD137" s="530"/>
      <c r="BE137" s="530"/>
      <c r="BJ137" s="530"/>
      <c r="BK137" s="530"/>
      <c r="BP137" s="530"/>
      <c r="BQ137" s="530"/>
      <c r="BV137" s="530"/>
      <c r="BW137" s="530"/>
    </row>
    <row r="138">
      <c r="N138" s="530"/>
      <c r="O138" s="530"/>
      <c r="T138" s="530"/>
      <c r="U138" s="530"/>
      <c r="Z138" s="530"/>
      <c r="AA138" s="530"/>
      <c r="AF138" s="530"/>
      <c r="AG138" s="530"/>
      <c r="AL138" s="530"/>
      <c r="AM138" s="530"/>
      <c r="AR138" s="530"/>
      <c r="AS138" s="530"/>
      <c r="AX138" s="530"/>
      <c r="AY138" s="530"/>
      <c r="BD138" s="530"/>
      <c r="BE138" s="530"/>
      <c r="BJ138" s="530"/>
      <c r="BK138" s="530"/>
      <c r="BP138" s="530"/>
      <c r="BQ138" s="530"/>
      <c r="BV138" s="530"/>
      <c r="BW138" s="530"/>
    </row>
    <row r="139">
      <c r="N139" s="530"/>
      <c r="O139" s="530"/>
      <c r="T139" s="530"/>
      <c r="U139" s="530"/>
      <c r="Z139" s="530"/>
      <c r="AA139" s="530"/>
      <c r="AF139" s="530"/>
      <c r="AG139" s="530"/>
      <c r="AL139" s="530"/>
      <c r="AM139" s="530"/>
      <c r="AR139" s="530"/>
      <c r="AS139" s="530"/>
      <c r="AX139" s="530"/>
      <c r="AY139" s="530"/>
      <c r="BD139" s="530"/>
      <c r="BE139" s="530"/>
      <c r="BJ139" s="530"/>
      <c r="BK139" s="530"/>
      <c r="BP139" s="530"/>
      <c r="BQ139" s="530"/>
      <c r="BV139" s="530"/>
      <c r="BW139" s="530"/>
    </row>
    <row r="140">
      <c r="N140" s="530"/>
      <c r="O140" s="530"/>
      <c r="T140" s="530"/>
      <c r="U140" s="530"/>
      <c r="Z140" s="530"/>
      <c r="AA140" s="530"/>
      <c r="AF140" s="530"/>
      <c r="AG140" s="530"/>
      <c r="AL140" s="530"/>
      <c r="AM140" s="530"/>
      <c r="AR140" s="530"/>
      <c r="AS140" s="530"/>
      <c r="AX140" s="530"/>
      <c r="AY140" s="530"/>
      <c r="BD140" s="530"/>
      <c r="BE140" s="530"/>
      <c r="BJ140" s="530"/>
      <c r="BK140" s="530"/>
      <c r="BP140" s="530"/>
      <c r="BQ140" s="530"/>
      <c r="BV140" s="530"/>
      <c r="BW140" s="530"/>
    </row>
    <row r="141">
      <c r="N141" s="530"/>
      <c r="O141" s="530"/>
      <c r="T141" s="530"/>
      <c r="U141" s="530"/>
      <c r="Z141" s="530"/>
      <c r="AA141" s="530"/>
      <c r="AF141" s="530"/>
      <c r="AG141" s="530"/>
      <c r="AL141" s="530"/>
      <c r="AM141" s="530"/>
      <c r="AR141" s="530"/>
      <c r="AS141" s="530"/>
      <c r="AX141" s="530"/>
      <c r="AY141" s="530"/>
      <c r="BD141" s="530"/>
      <c r="BE141" s="530"/>
      <c r="BJ141" s="530"/>
      <c r="BK141" s="530"/>
      <c r="BP141" s="530"/>
      <c r="BQ141" s="530"/>
      <c r="BV141" s="530"/>
      <c r="BW141" s="530"/>
    </row>
    <row r="142">
      <c r="N142" s="530"/>
      <c r="O142" s="530"/>
      <c r="T142" s="530"/>
      <c r="U142" s="530"/>
      <c r="Z142" s="530"/>
      <c r="AA142" s="530"/>
      <c r="AF142" s="530"/>
      <c r="AG142" s="530"/>
      <c r="AL142" s="530"/>
      <c r="AM142" s="530"/>
      <c r="AR142" s="530"/>
      <c r="AS142" s="530"/>
      <c r="AX142" s="530"/>
      <c r="AY142" s="530"/>
      <c r="BD142" s="530"/>
      <c r="BE142" s="530"/>
      <c r="BJ142" s="530"/>
      <c r="BK142" s="530"/>
      <c r="BP142" s="530"/>
      <c r="BQ142" s="530"/>
      <c r="BV142" s="530"/>
      <c r="BW142" s="530"/>
    </row>
    <row r="143">
      <c r="N143" s="530"/>
      <c r="O143" s="530"/>
      <c r="T143" s="530"/>
      <c r="U143" s="530"/>
      <c r="Z143" s="530"/>
      <c r="AA143" s="530"/>
      <c r="AF143" s="530"/>
      <c r="AG143" s="530"/>
      <c r="AL143" s="530"/>
      <c r="AM143" s="530"/>
      <c r="AR143" s="530"/>
      <c r="AS143" s="530"/>
      <c r="AX143" s="530"/>
      <c r="AY143" s="530"/>
      <c r="BD143" s="530"/>
      <c r="BE143" s="530"/>
      <c r="BJ143" s="530"/>
      <c r="BK143" s="530"/>
      <c r="BP143" s="530"/>
      <c r="BQ143" s="530"/>
      <c r="BV143" s="530"/>
      <c r="BW143" s="530"/>
    </row>
    <row r="144">
      <c r="N144" s="530"/>
      <c r="O144" s="530"/>
      <c r="T144" s="530"/>
      <c r="U144" s="530"/>
      <c r="Z144" s="530"/>
      <c r="AA144" s="530"/>
      <c r="AF144" s="530"/>
      <c r="AG144" s="530"/>
      <c r="AL144" s="530"/>
      <c r="AM144" s="530"/>
      <c r="AR144" s="530"/>
      <c r="AS144" s="530"/>
      <c r="AX144" s="530"/>
      <c r="AY144" s="530"/>
      <c r="BD144" s="530"/>
      <c r="BE144" s="530"/>
      <c r="BJ144" s="530"/>
      <c r="BK144" s="530"/>
      <c r="BP144" s="530"/>
      <c r="BQ144" s="530"/>
      <c r="BV144" s="530"/>
      <c r="BW144" s="530"/>
    </row>
    <row r="145">
      <c r="N145" s="530"/>
      <c r="O145" s="530"/>
      <c r="T145" s="530"/>
      <c r="U145" s="530"/>
      <c r="Z145" s="530"/>
      <c r="AA145" s="530"/>
      <c r="AF145" s="530"/>
      <c r="AG145" s="530"/>
      <c r="AL145" s="530"/>
      <c r="AM145" s="530"/>
      <c r="AR145" s="530"/>
      <c r="AS145" s="530"/>
      <c r="AX145" s="530"/>
      <c r="AY145" s="530"/>
      <c r="BD145" s="530"/>
      <c r="BE145" s="530"/>
      <c r="BJ145" s="530"/>
      <c r="BK145" s="530"/>
      <c r="BP145" s="530"/>
      <c r="BQ145" s="530"/>
      <c r="BV145" s="530"/>
      <c r="BW145" s="530"/>
    </row>
    <row r="146">
      <c r="N146" s="530"/>
      <c r="O146" s="530"/>
      <c r="T146" s="530"/>
      <c r="U146" s="530"/>
      <c r="Z146" s="530"/>
      <c r="AA146" s="530"/>
      <c r="AF146" s="530"/>
      <c r="AG146" s="530"/>
      <c r="AL146" s="530"/>
      <c r="AM146" s="530"/>
      <c r="AR146" s="530"/>
      <c r="AS146" s="530"/>
      <c r="AX146" s="530"/>
      <c r="AY146" s="530"/>
      <c r="BD146" s="530"/>
      <c r="BE146" s="530"/>
      <c r="BJ146" s="530"/>
      <c r="BK146" s="530"/>
      <c r="BP146" s="530"/>
      <c r="BQ146" s="530"/>
      <c r="BV146" s="530"/>
      <c r="BW146" s="530"/>
    </row>
    <row r="147">
      <c r="N147" s="530"/>
      <c r="O147" s="530"/>
      <c r="T147" s="530"/>
      <c r="U147" s="530"/>
      <c r="Z147" s="530"/>
      <c r="AA147" s="530"/>
      <c r="AF147" s="530"/>
      <c r="AG147" s="530"/>
      <c r="AL147" s="530"/>
      <c r="AM147" s="530"/>
      <c r="AR147" s="530"/>
      <c r="AS147" s="530"/>
      <c r="AX147" s="530"/>
      <c r="AY147" s="530"/>
      <c r="BD147" s="530"/>
      <c r="BE147" s="530"/>
      <c r="BJ147" s="530"/>
      <c r="BK147" s="530"/>
      <c r="BP147" s="530"/>
      <c r="BQ147" s="530"/>
      <c r="BV147" s="530"/>
      <c r="BW147" s="530"/>
    </row>
    <row r="148">
      <c r="N148" s="530"/>
      <c r="O148" s="530"/>
      <c r="T148" s="530"/>
      <c r="U148" s="530"/>
      <c r="Z148" s="530"/>
      <c r="AA148" s="530"/>
      <c r="AF148" s="530"/>
      <c r="AG148" s="530"/>
      <c r="AL148" s="530"/>
      <c r="AM148" s="530"/>
      <c r="AR148" s="530"/>
      <c r="AS148" s="530"/>
      <c r="AX148" s="530"/>
      <c r="AY148" s="530"/>
      <c r="BD148" s="530"/>
      <c r="BE148" s="530"/>
      <c r="BJ148" s="530"/>
      <c r="BK148" s="530"/>
      <c r="BP148" s="530"/>
      <c r="BQ148" s="530"/>
      <c r="BV148" s="530"/>
      <c r="BW148" s="530"/>
    </row>
    <row r="149">
      <c r="N149" s="530"/>
      <c r="O149" s="530"/>
      <c r="T149" s="530"/>
      <c r="U149" s="530"/>
      <c r="Z149" s="530"/>
      <c r="AA149" s="530"/>
      <c r="AF149" s="530"/>
      <c r="AG149" s="530"/>
      <c r="AL149" s="530"/>
      <c r="AM149" s="530"/>
      <c r="AR149" s="530"/>
      <c r="AS149" s="530"/>
      <c r="AX149" s="530"/>
      <c r="AY149" s="530"/>
      <c r="BD149" s="530"/>
      <c r="BE149" s="530"/>
      <c r="BJ149" s="530"/>
      <c r="BK149" s="530"/>
      <c r="BP149" s="530"/>
      <c r="BQ149" s="530"/>
      <c r="BV149" s="530"/>
      <c r="BW149" s="530"/>
    </row>
    <row r="150">
      <c r="N150" s="530"/>
      <c r="O150" s="530"/>
      <c r="T150" s="530"/>
      <c r="U150" s="530"/>
      <c r="Z150" s="530"/>
      <c r="AA150" s="530"/>
      <c r="AF150" s="530"/>
      <c r="AG150" s="530"/>
      <c r="AL150" s="530"/>
      <c r="AM150" s="530"/>
      <c r="AR150" s="530"/>
      <c r="AS150" s="530"/>
      <c r="AX150" s="530"/>
      <c r="AY150" s="530"/>
      <c r="BD150" s="530"/>
      <c r="BE150" s="530"/>
      <c r="BJ150" s="530"/>
      <c r="BK150" s="530"/>
      <c r="BP150" s="530"/>
      <c r="BQ150" s="530"/>
      <c r="BV150" s="530"/>
      <c r="BW150" s="530"/>
    </row>
    <row r="151">
      <c r="N151" s="530"/>
      <c r="O151" s="530"/>
      <c r="T151" s="530"/>
      <c r="U151" s="530"/>
      <c r="Z151" s="530"/>
      <c r="AA151" s="530"/>
      <c r="AF151" s="530"/>
      <c r="AG151" s="530"/>
      <c r="AL151" s="530"/>
      <c r="AM151" s="530"/>
      <c r="AR151" s="530"/>
      <c r="AS151" s="530"/>
      <c r="AX151" s="530"/>
      <c r="AY151" s="530"/>
      <c r="BD151" s="530"/>
      <c r="BE151" s="530"/>
      <c r="BJ151" s="530"/>
      <c r="BK151" s="530"/>
      <c r="BP151" s="530"/>
      <c r="BQ151" s="530"/>
      <c r="BV151" s="530"/>
      <c r="BW151" s="530"/>
    </row>
    <row r="152">
      <c r="N152" s="530"/>
      <c r="O152" s="530"/>
      <c r="T152" s="530"/>
      <c r="U152" s="530"/>
      <c r="Z152" s="530"/>
      <c r="AA152" s="530"/>
      <c r="AF152" s="530"/>
      <c r="AG152" s="530"/>
      <c r="AL152" s="530"/>
      <c r="AM152" s="530"/>
      <c r="AR152" s="530"/>
      <c r="AS152" s="530"/>
      <c r="AX152" s="530"/>
      <c r="AY152" s="530"/>
      <c r="BD152" s="530"/>
      <c r="BE152" s="530"/>
      <c r="BJ152" s="530"/>
      <c r="BK152" s="530"/>
      <c r="BP152" s="530"/>
      <c r="BQ152" s="530"/>
      <c r="BV152" s="530"/>
      <c r="BW152" s="530"/>
    </row>
    <row r="153">
      <c r="N153" s="530"/>
      <c r="O153" s="530"/>
      <c r="T153" s="530"/>
      <c r="U153" s="530"/>
      <c r="Z153" s="530"/>
      <c r="AA153" s="530"/>
      <c r="AF153" s="530"/>
      <c r="AG153" s="530"/>
      <c r="AL153" s="530"/>
      <c r="AM153" s="530"/>
      <c r="AR153" s="530"/>
      <c r="AS153" s="530"/>
      <c r="AX153" s="530"/>
      <c r="AY153" s="530"/>
      <c r="BD153" s="530"/>
      <c r="BE153" s="530"/>
      <c r="BJ153" s="530"/>
      <c r="BK153" s="530"/>
      <c r="BP153" s="530"/>
      <c r="BQ153" s="530"/>
      <c r="BV153" s="530"/>
      <c r="BW153" s="530"/>
    </row>
    <row r="154">
      <c r="N154" s="530"/>
      <c r="O154" s="530"/>
      <c r="T154" s="530"/>
      <c r="U154" s="530"/>
      <c r="Z154" s="530"/>
      <c r="AA154" s="530"/>
      <c r="AF154" s="530"/>
      <c r="AG154" s="530"/>
      <c r="AL154" s="530"/>
      <c r="AM154" s="530"/>
      <c r="AR154" s="530"/>
      <c r="AS154" s="530"/>
      <c r="AX154" s="530"/>
      <c r="AY154" s="530"/>
      <c r="BD154" s="530"/>
      <c r="BE154" s="530"/>
      <c r="BJ154" s="530"/>
      <c r="BK154" s="530"/>
      <c r="BP154" s="530"/>
      <c r="BQ154" s="530"/>
      <c r="BV154" s="530"/>
      <c r="BW154" s="530"/>
    </row>
    <row r="155">
      <c r="N155" s="530"/>
      <c r="O155" s="530"/>
      <c r="T155" s="530"/>
      <c r="U155" s="530"/>
      <c r="Z155" s="530"/>
      <c r="AA155" s="530"/>
      <c r="AF155" s="530"/>
      <c r="AG155" s="530"/>
      <c r="AL155" s="530"/>
      <c r="AM155" s="530"/>
      <c r="AR155" s="530"/>
      <c r="AS155" s="530"/>
      <c r="AX155" s="530"/>
      <c r="AY155" s="530"/>
      <c r="BD155" s="530"/>
      <c r="BE155" s="530"/>
      <c r="BJ155" s="530"/>
      <c r="BK155" s="530"/>
      <c r="BP155" s="530"/>
      <c r="BQ155" s="530"/>
      <c r="BV155" s="530"/>
      <c r="BW155" s="530"/>
    </row>
    <row r="156">
      <c r="N156" s="530"/>
      <c r="O156" s="530"/>
      <c r="T156" s="530"/>
      <c r="U156" s="530"/>
      <c r="Z156" s="530"/>
      <c r="AA156" s="530"/>
      <c r="AF156" s="530"/>
      <c r="AG156" s="530"/>
      <c r="AL156" s="530"/>
      <c r="AM156" s="530"/>
      <c r="AR156" s="530"/>
      <c r="AS156" s="530"/>
      <c r="AX156" s="530"/>
      <c r="AY156" s="530"/>
      <c r="BD156" s="530"/>
      <c r="BE156" s="530"/>
      <c r="BJ156" s="530"/>
      <c r="BK156" s="530"/>
      <c r="BP156" s="530"/>
      <c r="BQ156" s="530"/>
      <c r="BV156" s="530"/>
      <c r="BW156" s="530"/>
    </row>
    <row r="157">
      <c r="N157" s="530"/>
      <c r="O157" s="530"/>
      <c r="T157" s="530"/>
      <c r="U157" s="530"/>
      <c r="Z157" s="530"/>
      <c r="AA157" s="530"/>
      <c r="AF157" s="530"/>
      <c r="AG157" s="530"/>
      <c r="AL157" s="530"/>
      <c r="AM157" s="530"/>
      <c r="AR157" s="530"/>
      <c r="AS157" s="530"/>
      <c r="AX157" s="530"/>
      <c r="AY157" s="530"/>
      <c r="BD157" s="530"/>
      <c r="BE157" s="530"/>
      <c r="BJ157" s="530"/>
      <c r="BK157" s="530"/>
      <c r="BP157" s="530"/>
      <c r="BQ157" s="530"/>
      <c r="BV157" s="530"/>
      <c r="BW157" s="530"/>
    </row>
    <row r="158">
      <c r="N158" s="530"/>
      <c r="O158" s="530"/>
      <c r="T158" s="530"/>
      <c r="U158" s="530"/>
      <c r="Z158" s="530"/>
      <c r="AA158" s="530"/>
      <c r="AF158" s="530"/>
      <c r="AG158" s="530"/>
      <c r="AL158" s="530"/>
      <c r="AM158" s="530"/>
      <c r="AR158" s="530"/>
      <c r="AS158" s="530"/>
      <c r="AX158" s="530"/>
      <c r="AY158" s="530"/>
      <c r="BD158" s="530"/>
      <c r="BE158" s="530"/>
      <c r="BJ158" s="530"/>
      <c r="BK158" s="530"/>
      <c r="BP158" s="530"/>
      <c r="BQ158" s="530"/>
      <c r="BV158" s="530"/>
      <c r="BW158" s="530"/>
    </row>
    <row r="159">
      <c r="N159" s="530"/>
      <c r="O159" s="530"/>
      <c r="T159" s="530"/>
      <c r="U159" s="530"/>
      <c r="Z159" s="530"/>
      <c r="AA159" s="530"/>
      <c r="AF159" s="530"/>
      <c r="AG159" s="530"/>
      <c r="AL159" s="530"/>
      <c r="AM159" s="530"/>
      <c r="AR159" s="530"/>
      <c r="AS159" s="530"/>
      <c r="AX159" s="530"/>
      <c r="AY159" s="530"/>
      <c r="BD159" s="530"/>
      <c r="BE159" s="530"/>
      <c r="BJ159" s="530"/>
      <c r="BK159" s="530"/>
      <c r="BP159" s="530"/>
      <c r="BQ159" s="530"/>
      <c r="BV159" s="530"/>
      <c r="BW159" s="530"/>
    </row>
    <row r="160">
      <c r="N160" s="530"/>
      <c r="O160" s="530"/>
      <c r="T160" s="530"/>
      <c r="U160" s="530"/>
      <c r="Z160" s="530"/>
      <c r="AA160" s="530"/>
      <c r="AF160" s="530"/>
      <c r="AG160" s="530"/>
      <c r="AL160" s="530"/>
      <c r="AM160" s="530"/>
      <c r="AR160" s="530"/>
      <c r="AS160" s="530"/>
      <c r="AX160" s="530"/>
      <c r="AY160" s="530"/>
      <c r="BD160" s="530"/>
      <c r="BE160" s="530"/>
      <c r="BJ160" s="530"/>
      <c r="BK160" s="530"/>
      <c r="BP160" s="530"/>
      <c r="BQ160" s="530"/>
      <c r="BV160" s="530"/>
      <c r="BW160" s="530"/>
    </row>
    <row r="161">
      <c r="N161" s="530"/>
      <c r="O161" s="530"/>
      <c r="T161" s="530"/>
      <c r="U161" s="530"/>
      <c r="Z161" s="530"/>
      <c r="AA161" s="530"/>
      <c r="AF161" s="530"/>
      <c r="AG161" s="530"/>
      <c r="AL161" s="530"/>
      <c r="AM161" s="530"/>
      <c r="AR161" s="530"/>
      <c r="AS161" s="530"/>
      <c r="AX161" s="530"/>
      <c r="AY161" s="530"/>
      <c r="BD161" s="530"/>
      <c r="BE161" s="530"/>
      <c r="BJ161" s="530"/>
      <c r="BK161" s="530"/>
      <c r="BP161" s="530"/>
      <c r="BQ161" s="530"/>
      <c r="BV161" s="530"/>
      <c r="BW161" s="530"/>
    </row>
    <row r="162">
      <c r="N162" s="530"/>
      <c r="O162" s="530"/>
      <c r="T162" s="530"/>
      <c r="U162" s="530"/>
      <c r="Z162" s="530"/>
      <c r="AA162" s="530"/>
      <c r="AF162" s="530"/>
      <c r="AG162" s="530"/>
      <c r="AL162" s="530"/>
      <c r="AM162" s="530"/>
      <c r="AR162" s="530"/>
      <c r="AS162" s="530"/>
      <c r="AX162" s="530"/>
      <c r="AY162" s="530"/>
      <c r="BD162" s="530"/>
      <c r="BE162" s="530"/>
      <c r="BJ162" s="530"/>
      <c r="BK162" s="530"/>
      <c r="BP162" s="530"/>
      <c r="BQ162" s="530"/>
      <c r="BV162" s="530"/>
      <c r="BW162" s="530"/>
    </row>
    <row r="163">
      <c r="N163" s="530"/>
      <c r="O163" s="530"/>
      <c r="T163" s="530"/>
      <c r="U163" s="530"/>
      <c r="Z163" s="530"/>
      <c r="AA163" s="530"/>
      <c r="AF163" s="530"/>
      <c r="AG163" s="530"/>
      <c r="AL163" s="530"/>
      <c r="AM163" s="530"/>
      <c r="AR163" s="530"/>
      <c r="AS163" s="530"/>
      <c r="AX163" s="530"/>
      <c r="AY163" s="530"/>
      <c r="BD163" s="530"/>
      <c r="BE163" s="530"/>
      <c r="BJ163" s="530"/>
      <c r="BK163" s="530"/>
      <c r="BP163" s="530"/>
      <c r="BQ163" s="530"/>
      <c r="BV163" s="530"/>
      <c r="BW163" s="530"/>
    </row>
    <row r="164">
      <c r="N164" s="530"/>
      <c r="O164" s="530"/>
      <c r="T164" s="530"/>
      <c r="U164" s="530"/>
      <c r="Z164" s="530"/>
      <c r="AA164" s="530"/>
      <c r="AF164" s="530"/>
      <c r="AG164" s="530"/>
      <c r="AL164" s="530"/>
      <c r="AM164" s="530"/>
      <c r="AR164" s="530"/>
      <c r="AS164" s="530"/>
      <c r="AX164" s="530"/>
      <c r="AY164" s="530"/>
      <c r="BD164" s="530"/>
      <c r="BE164" s="530"/>
      <c r="BJ164" s="530"/>
      <c r="BK164" s="530"/>
      <c r="BP164" s="530"/>
      <c r="BQ164" s="530"/>
      <c r="BV164" s="530"/>
      <c r="BW164" s="530"/>
    </row>
    <row r="165">
      <c r="N165" s="530"/>
      <c r="O165" s="530"/>
      <c r="T165" s="530"/>
      <c r="U165" s="530"/>
      <c r="Z165" s="530"/>
      <c r="AA165" s="530"/>
      <c r="AF165" s="530"/>
      <c r="AG165" s="530"/>
      <c r="AL165" s="530"/>
      <c r="AM165" s="530"/>
      <c r="AR165" s="530"/>
      <c r="AS165" s="530"/>
      <c r="AX165" s="530"/>
      <c r="AY165" s="530"/>
      <c r="BD165" s="530"/>
      <c r="BE165" s="530"/>
      <c r="BJ165" s="530"/>
      <c r="BK165" s="530"/>
      <c r="BP165" s="530"/>
      <c r="BQ165" s="530"/>
      <c r="BV165" s="530"/>
      <c r="BW165" s="530"/>
    </row>
    <row r="166">
      <c r="N166" s="530"/>
      <c r="O166" s="530"/>
      <c r="T166" s="530"/>
      <c r="U166" s="530"/>
      <c r="Z166" s="530"/>
      <c r="AA166" s="530"/>
      <c r="AF166" s="530"/>
      <c r="AG166" s="530"/>
      <c r="AL166" s="530"/>
      <c r="AM166" s="530"/>
      <c r="AR166" s="530"/>
      <c r="AS166" s="530"/>
      <c r="AX166" s="530"/>
      <c r="AY166" s="530"/>
      <c r="BD166" s="530"/>
      <c r="BE166" s="530"/>
      <c r="BJ166" s="530"/>
      <c r="BK166" s="530"/>
      <c r="BP166" s="530"/>
      <c r="BQ166" s="530"/>
      <c r="BV166" s="530"/>
      <c r="BW166" s="530"/>
    </row>
    <row r="167">
      <c r="N167" s="530"/>
      <c r="O167" s="530"/>
      <c r="T167" s="530"/>
      <c r="U167" s="530"/>
      <c r="Z167" s="530"/>
      <c r="AA167" s="530"/>
      <c r="AF167" s="530"/>
      <c r="AG167" s="530"/>
      <c r="AL167" s="530"/>
      <c r="AM167" s="530"/>
      <c r="AR167" s="530"/>
      <c r="AS167" s="530"/>
      <c r="AX167" s="530"/>
      <c r="AY167" s="530"/>
      <c r="BD167" s="530"/>
      <c r="BE167" s="530"/>
      <c r="BJ167" s="530"/>
      <c r="BK167" s="530"/>
      <c r="BP167" s="530"/>
      <c r="BQ167" s="530"/>
      <c r="BV167" s="530"/>
      <c r="BW167" s="530"/>
    </row>
    <row r="168">
      <c r="N168" s="530"/>
      <c r="O168" s="530"/>
      <c r="T168" s="530"/>
      <c r="U168" s="530"/>
      <c r="Z168" s="530"/>
      <c r="AA168" s="530"/>
      <c r="AF168" s="530"/>
      <c r="AG168" s="530"/>
      <c r="AL168" s="530"/>
      <c r="AM168" s="530"/>
      <c r="AR168" s="530"/>
      <c r="AS168" s="530"/>
      <c r="AX168" s="530"/>
      <c r="AY168" s="530"/>
      <c r="BD168" s="530"/>
      <c r="BE168" s="530"/>
      <c r="BJ168" s="530"/>
      <c r="BK168" s="530"/>
      <c r="BP168" s="530"/>
      <c r="BQ168" s="530"/>
      <c r="BV168" s="530"/>
      <c r="BW168" s="530"/>
    </row>
    <row r="169">
      <c r="N169" s="530"/>
      <c r="O169" s="530"/>
      <c r="T169" s="530"/>
      <c r="U169" s="530"/>
      <c r="Z169" s="530"/>
      <c r="AA169" s="530"/>
      <c r="AF169" s="530"/>
      <c r="AG169" s="530"/>
      <c r="AL169" s="530"/>
      <c r="AM169" s="530"/>
      <c r="AR169" s="530"/>
      <c r="AS169" s="530"/>
      <c r="AX169" s="530"/>
      <c r="AY169" s="530"/>
      <c r="BD169" s="530"/>
      <c r="BE169" s="530"/>
      <c r="BJ169" s="530"/>
      <c r="BK169" s="530"/>
      <c r="BP169" s="530"/>
      <c r="BQ169" s="530"/>
      <c r="BV169" s="530"/>
      <c r="BW169" s="530"/>
    </row>
    <row r="170">
      <c r="N170" s="530"/>
      <c r="O170" s="530"/>
      <c r="T170" s="530"/>
      <c r="U170" s="530"/>
      <c r="Z170" s="530"/>
      <c r="AA170" s="530"/>
      <c r="AF170" s="530"/>
      <c r="AG170" s="530"/>
      <c r="AL170" s="530"/>
      <c r="AM170" s="530"/>
      <c r="AR170" s="530"/>
      <c r="AS170" s="530"/>
      <c r="AX170" s="530"/>
      <c r="AY170" s="530"/>
      <c r="BD170" s="530"/>
      <c r="BE170" s="530"/>
      <c r="BJ170" s="530"/>
      <c r="BK170" s="530"/>
      <c r="BP170" s="530"/>
      <c r="BQ170" s="530"/>
      <c r="BV170" s="530"/>
      <c r="BW170" s="530"/>
    </row>
    <row r="171">
      <c r="N171" s="530"/>
      <c r="O171" s="530"/>
      <c r="T171" s="530"/>
      <c r="U171" s="530"/>
      <c r="Z171" s="530"/>
      <c r="AA171" s="530"/>
      <c r="AF171" s="530"/>
      <c r="AG171" s="530"/>
      <c r="AL171" s="530"/>
      <c r="AM171" s="530"/>
      <c r="AR171" s="530"/>
      <c r="AS171" s="530"/>
      <c r="AX171" s="530"/>
      <c r="AY171" s="530"/>
      <c r="BD171" s="530"/>
      <c r="BE171" s="530"/>
      <c r="BJ171" s="530"/>
      <c r="BK171" s="530"/>
      <c r="BP171" s="530"/>
      <c r="BQ171" s="530"/>
      <c r="BV171" s="530"/>
      <c r="BW171" s="530"/>
    </row>
    <row r="172">
      <c r="N172" s="530"/>
      <c r="O172" s="530"/>
      <c r="T172" s="530"/>
      <c r="U172" s="530"/>
      <c r="Z172" s="530"/>
      <c r="AA172" s="530"/>
      <c r="AF172" s="530"/>
      <c r="AG172" s="530"/>
      <c r="AL172" s="530"/>
      <c r="AM172" s="530"/>
      <c r="AR172" s="530"/>
      <c r="AS172" s="530"/>
      <c r="AX172" s="530"/>
      <c r="AY172" s="530"/>
      <c r="BD172" s="530"/>
      <c r="BE172" s="530"/>
      <c r="BJ172" s="530"/>
      <c r="BK172" s="530"/>
      <c r="BP172" s="530"/>
      <c r="BQ172" s="530"/>
      <c r="BV172" s="530"/>
      <c r="BW172" s="530"/>
    </row>
    <row r="173">
      <c r="N173" s="530"/>
      <c r="O173" s="530"/>
      <c r="T173" s="530"/>
      <c r="U173" s="530"/>
      <c r="Z173" s="530"/>
      <c r="AA173" s="530"/>
      <c r="AF173" s="530"/>
      <c r="AG173" s="530"/>
      <c r="AL173" s="530"/>
      <c r="AM173" s="530"/>
      <c r="AR173" s="530"/>
      <c r="AS173" s="530"/>
      <c r="AX173" s="530"/>
      <c r="AY173" s="530"/>
      <c r="BD173" s="530"/>
      <c r="BE173" s="530"/>
      <c r="BJ173" s="530"/>
      <c r="BK173" s="530"/>
      <c r="BP173" s="530"/>
      <c r="BQ173" s="530"/>
      <c r="BV173" s="530"/>
      <c r="BW173" s="530"/>
    </row>
    <row r="174">
      <c r="N174" s="530"/>
      <c r="O174" s="530"/>
      <c r="T174" s="530"/>
      <c r="U174" s="530"/>
      <c r="Z174" s="530"/>
      <c r="AA174" s="530"/>
      <c r="AF174" s="530"/>
      <c r="AG174" s="530"/>
      <c r="AL174" s="530"/>
      <c r="AM174" s="530"/>
      <c r="AR174" s="530"/>
      <c r="AS174" s="530"/>
      <c r="AX174" s="530"/>
      <c r="AY174" s="530"/>
      <c r="BD174" s="530"/>
      <c r="BE174" s="530"/>
      <c r="BJ174" s="530"/>
      <c r="BK174" s="530"/>
      <c r="BP174" s="530"/>
      <c r="BQ174" s="530"/>
      <c r="BV174" s="530"/>
      <c r="BW174" s="530"/>
    </row>
    <row r="175">
      <c r="N175" s="530"/>
      <c r="O175" s="530"/>
      <c r="T175" s="530"/>
      <c r="U175" s="530"/>
      <c r="Z175" s="530"/>
      <c r="AA175" s="530"/>
      <c r="AF175" s="530"/>
      <c r="AG175" s="530"/>
      <c r="AL175" s="530"/>
      <c r="AM175" s="530"/>
      <c r="AR175" s="530"/>
      <c r="AS175" s="530"/>
      <c r="AX175" s="530"/>
      <c r="AY175" s="530"/>
      <c r="BD175" s="530"/>
      <c r="BE175" s="530"/>
      <c r="BJ175" s="530"/>
      <c r="BK175" s="530"/>
      <c r="BP175" s="530"/>
      <c r="BQ175" s="530"/>
      <c r="BV175" s="530"/>
      <c r="BW175" s="530"/>
    </row>
    <row r="176">
      <c r="N176" s="530"/>
      <c r="O176" s="530"/>
      <c r="T176" s="530"/>
      <c r="U176" s="530"/>
      <c r="Z176" s="530"/>
      <c r="AA176" s="530"/>
      <c r="AF176" s="530"/>
      <c r="AG176" s="530"/>
      <c r="AL176" s="530"/>
      <c r="AM176" s="530"/>
      <c r="AR176" s="530"/>
      <c r="AS176" s="530"/>
      <c r="AX176" s="530"/>
      <c r="AY176" s="530"/>
      <c r="BD176" s="530"/>
      <c r="BE176" s="530"/>
      <c r="BJ176" s="530"/>
      <c r="BK176" s="530"/>
      <c r="BP176" s="530"/>
      <c r="BQ176" s="530"/>
      <c r="BV176" s="530"/>
      <c r="BW176" s="530"/>
    </row>
    <row r="177">
      <c r="N177" s="530"/>
      <c r="O177" s="530"/>
      <c r="T177" s="530"/>
      <c r="U177" s="530"/>
      <c r="Z177" s="530"/>
      <c r="AA177" s="530"/>
      <c r="AF177" s="530"/>
      <c r="AG177" s="530"/>
      <c r="AL177" s="530"/>
      <c r="AM177" s="530"/>
      <c r="AR177" s="530"/>
      <c r="AS177" s="530"/>
      <c r="AX177" s="530"/>
      <c r="AY177" s="530"/>
      <c r="BD177" s="530"/>
      <c r="BE177" s="530"/>
      <c r="BJ177" s="530"/>
      <c r="BK177" s="530"/>
      <c r="BP177" s="530"/>
      <c r="BQ177" s="530"/>
      <c r="BV177" s="530"/>
      <c r="BW177" s="530"/>
    </row>
    <row r="178">
      <c r="N178" s="530"/>
      <c r="O178" s="530"/>
      <c r="T178" s="530"/>
      <c r="U178" s="530"/>
      <c r="Z178" s="530"/>
      <c r="AA178" s="530"/>
      <c r="AF178" s="530"/>
      <c r="AG178" s="530"/>
      <c r="AL178" s="530"/>
      <c r="AM178" s="530"/>
      <c r="AR178" s="530"/>
      <c r="AS178" s="530"/>
      <c r="AX178" s="530"/>
      <c r="AY178" s="530"/>
      <c r="BD178" s="530"/>
      <c r="BE178" s="530"/>
      <c r="BJ178" s="530"/>
      <c r="BK178" s="530"/>
      <c r="BP178" s="530"/>
      <c r="BQ178" s="530"/>
      <c r="BV178" s="530"/>
      <c r="BW178" s="530"/>
    </row>
    <row r="179">
      <c r="N179" s="530"/>
      <c r="O179" s="530"/>
      <c r="T179" s="530"/>
      <c r="U179" s="530"/>
      <c r="Z179" s="530"/>
      <c r="AA179" s="530"/>
      <c r="AF179" s="530"/>
      <c r="AG179" s="530"/>
      <c r="AL179" s="530"/>
      <c r="AM179" s="530"/>
      <c r="AR179" s="530"/>
      <c r="AS179" s="530"/>
      <c r="AX179" s="530"/>
      <c r="AY179" s="530"/>
      <c r="BD179" s="530"/>
      <c r="BE179" s="530"/>
      <c r="BJ179" s="530"/>
      <c r="BK179" s="530"/>
      <c r="BP179" s="530"/>
      <c r="BQ179" s="530"/>
      <c r="BV179" s="530"/>
      <c r="BW179" s="530"/>
    </row>
    <row r="180">
      <c r="N180" s="530"/>
      <c r="O180" s="530"/>
      <c r="T180" s="530"/>
      <c r="U180" s="530"/>
      <c r="Z180" s="530"/>
      <c r="AA180" s="530"/>
      <c r="AF180" s="530"/>
      <c r="AG180" s="530"/>
      <c r="AL180" s="530"/>
      <c r="AM180" s="530"/>
      <c r="AR180" s="530"/>
      <c r="AS180" s="530"/>
      <c r="AX180" s="530"/>
      <c r="AY180" s="530"/>
      <c r="BD180" s="530"/>
      <c r="BE180" s="530"/>
      <c r="BJ180" s="530"/>
      <c r="BK180" s="530"/>
      <c r="BP180" s="530"/>
      <c r="BQ180" s="530"/>
      <c r="BV180" s="530"/>
      <c r="BW180" s="530"/>
    </row>
    <row r="181">
      <c r="N181" s="530"/>
      <c r="O181" s="530"/>
      <c r="T181" s="530"/>
      <c r="U181" s="530"/>
      <c r="Z181" s="530"/>
      <c r="AA181" s="530"/>
      <c r="AF181" s="530"/>
      <c r="AG181" s="530"/>
      <c r="AL181" s="530"/>
      <c r="AM181" s="530"/>
      <c r="AR181" s="530"/>
      <c r="AS181" s="530"/>
      <c r="AX181" s="530"/>
      <c r="AY181" s="530"/>
      <c r="BD181" s="530"/>
      <c r="BE181" s="530"/>
      <c r="BJ181" s="530"/>
      <c r="BK181" s="530"/>
      <c r="BP181" s="530"/>
      <c r="BQ181" s="530"/>
      <c r="BV181" s="530"/>
      <c r="BW181" s="530"/>
    </row>
    <row r="182">
      <c r="N182" s="530"/>
      <c r="O182" s="530"/>
      <c r="T182" s="530"/>
      <c r="U182" s="530"/>
      <c r="Z182" s="530"/>
      <c r="AA182" s="530"/>
      <c r="AF182" s="530"/>
      <c r="AG182" s="530"/>
      <c r="AL182" s="530"/>
      <c r="AM182" s="530"/>
      <c r="AR182" s="530"/>
      <c r="AS182" s="530"/>
      <c r="AX182" s="530"/>
      <c r="AY182" s="530"/>
      <c r="BD182" s="530"/>
      <c r="BE182" s="530"/>
      <c r="BJ182" s="530"/>
      <c r="BK182" s="530"/>
      <c r="BP182" s="530"/>
      <c r="BQ182" s="530"/>
      <c r="BV182" s="530"/>
      <c r="BW182" s="530"/>
    </row>
    <row r="183">
      <c r="N183" s="530"/>
      <c r="O183" s="530"/>
      <c r="T183" s="530"/>
      <c r="U183" s="530"/>
      <c r="Z183" s="530"/>
      <c r="AA183" s="530"/>
      <c r="AF183" s="530"/>
      <c r="AG183" s="530"/>
      <c r="AL183" s="530"/>
      <c r="AM183" s="530"/>
      <c r="AR183" s="530"/>
      <c r="AS183" s="530"/>
      <c r="AX183" s="530"/>
      <c r="AY183" s="530"/>
      <c r="BD183" s="530"/>
      <c r="BE183" s="530"/>
      <c r="BJ183" s="530"/>
      <c r="BK183" s="530"/>
      <c r="BP183" s="530"/>
      <c r="BQ183" s="530"/>
      <c r="BV183" s="530"/>
      <c r="BW183" s="530"/>
    </row>
    <row r="184">
      <c r="N184" s="530"/>
      <c r="O184" s="530"/>
      <c r="T184" s="530"/>
      <c r="U184" s="530"/>
      <c r="Z184" s="530"/>
      <c r="AA184" s="530"/>
      <c r="AF184" s="530"/>
      <c r="AG184" s="530"/>
      <c r="AL184" s="530"/>
      <c r="AM184" s="530"/>
      <c r="AR184" s="530"/>
      <c r="AS184" s="530"/>
      <c r="AX184" s="530"/>
      <c r="AY184" s="530"/>
      <c r="BD184" s="530"/>
      <c r="BE184" s="530"/>
      <c r="BJ184" s="530"/>
      <c r="BK184" s="530"/>
      <c r="BP184" s="530"/>
      <c r="BQ184" s="530"/>
      <c r="BV184" s="530"/>
      <c r="BW184" s="530"/>
    </row>
    <row r="185">
      <c r="N185" s="530"/>
      <c r="O185" s="530"/>
      <c r="T185" s="530"/>
      <c r="U185" s="530"/>
      <c r="Z185" s="530"/>
      <c r="AA185" s="530"/>
      <c r="AF185" s="530"/>
      <c r="AG185" s="530"/>
      <c r="AL185" s="530"/>
      <c r="AM185" s="530"/>
      <c r="AR185" s="530"/>
      <c r="AS185" s="530"/>
      <c r="AX185" s="530"/>
      <c r="AY185" s="530"/>
      <c r="BD185" s="530"/>
      <c r="BE185" s="530"/>
      <c r="BJ185" s="530"/>
      <c r="BK185" s="530"/>
      <c r="BP185" s="530"/>
      <c r="BQ185" s="530"/>
      <c r="BV185" s="530"/>
      <c r="BW185" s="530"/>
    </row>
    <row r="186">
      <c r="N186" s="530"/>
      <c r="O186" s="530"/>
      <c r="T186" s="530"/>
      <c r="U186" s="530"/>
      <c r="Z186" s="530"/>
      <c r="AA186" s="530"/>
      <c r="AF186" s="530"/>
      <c r="AG186" s="530"/>
      <c r="AL186" s="530"/>
      <c r="AM186" s="530"/>
      <c r="AR186" s="530"/>
      <c r="AS186" s="530"/>
      <c r="AX186" s="530"/>
      <c r="AY186" s="530"/>
      <c r="BD186" s="530"/>
      <c r="BE186" s="530"/>
      <c r="BJ186" s="530"/>
      <c r="BK186" s="530"/>
      <c r="BP186" s="530"/>
      <c r="BQ186" s="530"/>
      <c r="BV186" s="530"/>
      <c r="BW186" s="530"/>
    </row>
    <row r="187">
      <c r="N187" s="530"/>
      <c r="O187" s="530"/>
      <c r="T187" s="530"/>
      <c r="U187" s="530"/>
      <c r="Z187" s="530"/>
      <c r="AA187" s="530"/>
      <c r="AF187" s="530"/>
      <c r="AG187" s="530"/>
      <c r="AL187" s="530"/>
      <c r="AM187" s="530"/>
      <c r="AR187" s="530"/>
      <c r="AS187" s="530"/>
      <c r="AX187" s="530"/>
      <c r="AY187" s="530"/>
      <c r="BD187" s="530"/>
      <c r="BE187" s="530"/>
      <c r="BJ187" s="530"/>
      <c r="BK187" s="530"/>
      <c r="BP187" s="530"/>
      <c r="BQ187" s="530"/>
      <c r="BV187" s="530"/>
      <c r="BW187" s="530"/>
    </row>
    <row r="188">
      <c r="N188" s="530"/>
      <c r="O188" s="530"/>
      <c r="T188" s="530"/>
      <c r="U188" s="530"/>
      <c r="Z188" s="530"/>
      <c r="AA188" s="530"/>
      <c r="AF188" s="530"/>
      <c r="AG188" s="530"/>
      <c r="AL188" s="530"/>
      <c r="AM188" s="530"/>
      <c r="AR188" s="530"/>
      <c r="AS188" s="530"/>
      <c r="AX188" s="530"/>
      <c r="AY188" s="530"/>
      <c r="BD188" s="530"/>
      <c r="BE188" s="530"/>
      <c r="BJ188" s="530"/>
      <c r="BK188" s="530"/>
      <c r="BP188" s="530"/>
      <c r="BQ188" s="530"/>
      <c r="BV188" s="530"/>
      <c r="BW188" s="530"/>
    </row>
    <row r="189">
      <c r="N189" s="530"/>
      <c r="O189" s="530"/>
      <c r="T189" s="530"/>
      <c r="U189" s="530"/>
      <c r="Z189" s="530"/>
      <c r="AA189" s="530"/>
      <c r="AF189" s="530"/>
      <c r="AG189" s="530"/>
      <c r="AL189" s="530"/>
      <c r="AM189" s="530"/>
      <c r="AR189" s="530"/>
      <c r="AS189" s="530"/>
      <c r="AX189" s="530"/>
      <c r="AY189" s="530"/>
      <c r="BD189" s="530"/>
      <c r="BE189" s="530"/>
      <c r="BJ189" s="530"/>
      <c r="BK189" s="530"/>
      <c r="BP189" s="530"/>
      <c r="BQ189" s="530"/>
      <c r="BV189" s="530"/>
      <c r="BW189" s="530"/>
    </row>
    <row r="190">
      <c r="N190" s="530"/>
      <c r="O190" s="530"/>
      <c r="T190" s="530"/>
      <c r="U190" s="530"/>
      <c r="Z190" s="530"/>
      <c r="AA190" s="530"/>
      <c r="AF190" s="530"/>
      <c r="AG190" s="530"/>
      <c r="AL190" s="530"/>
      <c r="AM190" s="530"/>
      <c r="AR190" s="530"/>
      <c r="AS190" s="530"/>
      <c r="AX190" s="530"/>
      <c r="AY190" s="530"/>
      <c r="BD190" s="530"/>
      <c r="BE190" s="530"/>
      <c r="BJ190" s="530"/>
      <c r="BK190" s="530"/>
      <c r="BP190" s="530"/>
      <c r="BQ190" s="530"/>
      <c r="BV190" s="530"/>
      <c r="BW190" s="530"/>
    </row>
    <row r="191">
      <c r="N191" s="530"/>
      <c r="O191" s="530"/>
      <c r="T191" s="530"/>
      <c r="U191" s="530"/>
      <c r="Z191" s="530"/>
      <c r="AA191" s="530"/>
      <c r="AF191" s="530"/>
      <c r="AG191" s="530"/>
      <c r="AL191" s="530"/>
      <c r="AM191" s="530"/>
      <c r="AR191" s="530"/>
      <c r="AS191" s="530"/>
      <c r="AX191" s="530"/>
      <c r="AY191" s="530"/>
      <c r="BD191" s="530"/>
      <c r="BE191" s="530"/>
      <c r="BJ191" s="530"/>
      <c r="BK191" s="530"/>
      <c r="BP191" s="530"/>
      <c r="BQ191" s="530"/>
      <c r="BV191" s="530"/>
      <c r="BW191" s="530"/>
    </row>
    <row r="192">
      <c r="N192" s="530"/>
      <c r="O192" s="530"/>
      <c r="T192" s="530"/>
      <c r="U192" s="530"/>
      <c r="Z192" s="530"/>
      <c r="AA192" s="530"/>
      <c r="AF192" s="530"/>
      <c r="AG192" s="530"/>
      <c r="AL192" s="530"/>
      <c r="AM192" s="530"/>
      <c r="AR192" s="530"/>
      <c r="AS192" s="530"/>
      <c r="AX192" s="530"/>
      <c r="AY192" s="530"/>
      <c r="BD192" s="530"/>
      <c r="BE192" s="530"/>
      <c r="BJ192" s="530"/>
      <c r="BK192" s="530"/>
      <c r="BP192" s="530"/>
      <c r="BQ192" s="530"/>
      <c r="BV192" s="530"/>
      <c r="BW192" s="530"/>
    </row>
    <row r="193">
      <c r="N193" s="530"/>
      <c r="O193" s="530"/>
      <c r="T193" s="530"/>
      <c r="U193" s="530"/>
      <c r="Z193" s="530"/>
      <c r="AA193" s="530"/>
      <c r="AF193" s="530"/>
      <c r="AG193" s="530"/>
      <c r="AL193" s="530"/>
      <c r="AM193" s="530"/>
      <c r="AR193" s="530"/>
      <c r="AS193" s="530"/>
      <c r="AX193" s="530"/>
      <c r="AY193" s="530"/>
      <c r="BD193" s="530"/>
      <c r="BE193" s="530"/>
      <c r="BJ193" s="530"/>
      <c r="BK193" s="530"/>
      <c r="BP193" s="530"/>
      <c r="BQ193" s="530"/>
      <c r="BV193" s="530"/>
      <c r="BW193" s="530"/>
    </row>
    <row r="194">
      <c r="N194" s="530"/>
      <c r="O194" s="530"/>
      <c r="T194" s="530"/>
      <c r="U194" s="530"/>
      <c r="Z194" s="530"/>
      <c r="AA194" s="530"/>
      <c r="AF194" s="530"/>
      <c r="AG194" s="530"/>
      <c r="AL194" s="530"/>
      <c r="AM194" s="530"/>
      <c r="AR194" s="530"/>
      <c r="AS194" s="530"/>
      <c r="AX194" s="530"/>
      <c r="AY194" s="530"/>
      <c r="BD194" s="530"/>
      <c r="BE194" s="530"/>
      <c r="BJ194" s="530"/>
      <c r="BK194" s="530"/>
      <c r="BP194" s="530"/>
      <c r="BQ194" s="530"/>
      <c r="BV194" s="530"/>
      <c r="BW194" s="530"/>
    </row>
    <row r="195">
      <c r="N195" s="530"/>
      <c r="O195" s="530"/>
      <c r="T195" s="530"/>
      <c r="U195" s="530"/>
      <c r="Z195" s="530"/>
      <c r="AA195" s="530"/>
      <c r="AF195" s="530"/>
      <c r="AG195" s="530"/>
      <c r="AL195" s="530"/>
      <c r="AM195" s="530"/>
      <c r="AR195" s="530"/>
      <c r="AS195" s="530"/>
      <c r="AX195" s="530"/>
      <c r="AY195" s="530"/>
      <c r="BD195" s="530"/>
      <c r="BE195" s="530"/>
      <c r="BJ195" s="530"/>
      <c r="BK195" s="530"/>
      <c r="BP195" s="530"/>
      <c r="BQ195" s="530"/>
      <c r="BV195" s="530"/>
      <c r="BW195" s="530"/>
    </row>
    <row r="196">
      <c r="N196" s="530"/>
      <c r="O196" s="530"/>
      <c r="T196" s="530"/>
      <c r="U196" s="530"/>
      <c r="Z196" s="530"/>
      <c r="AA196" s="530"/>
      <c r="AF196" s="530"/>
      <c r="AG196" s="530"/>
      <c r="AL196" s="530"/>
      <c r="AM196" s="530"/>
      <c r="AR196" s="530"/>
      <c r="AS196" s="530"/>
      <c r="AX196" s="530"/>
      <c r="AY196" s="530"/>
      <c r="BD196" s="530"/>
      <c r="BE196" s="530"/>
      <c r="BJ196" s="530"/>
      <c r="BK196" s="530"/>
      <c r="BP196" s="530"/>
      <c r="BQ196" s="530"/>
      <c r="BV196" s="530"/>
      <c r="BW196" s="530"/>
    </row>
    <row r="197">
      <c r="N197" s="530"/>
      <c r="O197" s="530"/>
      <c r="T197" s="530"/>
      <c r="U197" s="530"/>
      <c r="Z197" s="530"/>
      <c r="AA197" s="530"/>
      <c r="AF197" s="530"/>
      <c r="AG197" s="530"/>
      <c r="AL197" s="530"/>
      <c r="AM197" s="530"/>
      <c r="AR197" s="530"/>
      <c r="AS197" s="530"/>
      <c r="AX197" s="530"/>
      <c r="AY197" s="530"/>
      <c r="BD197" s="530"/>
      <c r="BE197" s="530"/>
      <c r="BJ197" s="530"/>
      <c r="BK197" s="530"/>
      <c r="BP197" s="530"/>
      <c r="BQ197" s="530"/>
      <c r="BV197" s="530"/>
      <c r="BW197" s="530"/>
    </row>
    <row r="198">
      <c r="N198" s="530"/>
      <c r="O198" s="530"/>
      <c r="T198" s="530"/>
      <c r="U198" s="530"/>
      <c r="Z198" s="530"/>
      <c r="AA198" s="530"/>
      <c r="AF198" s="530"/>
      <c r="AG198" s="530"/>
      <c r="AL198" s="530"/>
      <c r="AM198" s="530"/>
      <c r="AR198" s="530"/>
      <c r="AS198" s="530"/>
      <c r="AX198" s="530"/>
      <c r="AY198" s="530"/>
      <c r="BD198" s="530"/>
      <c r="BE198" s="530"/>
      <c r="BJ198" s="530"/>
      <c r="BK198" s="530"/>
      <c r="BP198" s="530"/>
      <c r="BQ198" s="530"/>
      <c r="BV198" s="530"/>
      <c r="BW198" s="530"/>
    </row>
    <row r="199">
      <c r="N199" s="530"/>
      <c r="O199" s="530"/>
      <c r="T199" s="530"/>
      <c r="U199" s="530"/>
      <c r="Z199" s="530"/>
      <c r="AA199" s="530"/>
      <c r="AF199" s="530"/>
      <c r="AG199" s="530"/>
      <c r="AL199" s="530"/>
      <c r="AM199" s="530"/>
      <c r="AR199" s="530"/>
      <c r="AS199" s="530"/>
      <c r="AX199" s="530"/>
      <c r="AY199" s="530"/>
      <c r="BD199" s="530"/>
      <c r="BE199" s="530"/>
      <c r="BJ199" s="530"/>
      <c r="BK199" s="530"/>
      <c r="BP199" s="530"/>
      <c r="BQ199" s="530"/>
      <c r="BV199" s="530"/>
      <c r="BW199" s="530"/>
    </row>
    <row r="200">
      <c r="N200" s="530"/>
      <c r="O200" s="530"/>
      <c r="T200" s="530"/>
      <c r="U200" s="530"/>
      <c r="Z200" s="530"/>
      <c r="AA200" s="530"/>
      <c r="AF200" s="530"/>
      <c r="AG200" s="530"/>
      <c r="AL200" s="530"/>
      <c r="AM200" s="530"/>
      <c r="AR200" s="530"/>
      <c r="AS200" s="530"/>
      <c r="AX200" s="530"/>
      <c r="AY200" s="530"/>
      <c r="BD200" s="530"/>
      <c r="BE200" s="530"/>
      <c r="BJ200" s="530"/>
      <c r="BK200" s="530"/>
      <c r="BP200" s="530"/>
      <c r="BQ200" s="530"/>
      <c r="BV200" s="530"/>
      <c r="BW200" s="530"/>
    </row>
    <row r="201">
      <c r="N201" s="530"/>
      <c r="O201" s="530"/>
      <c r="T201" s="530"/>
      <c r="U201" s="530"/>
      <c r="Z201" s="530"/>
      <c r="AA201" s="530"/>
      <c r="AF201" s="530"/>
      <c r="AG201" s="530"/>
      <c r="AL201" s="530"/>
      <c r="AM201" s="530"/>
      <c r="AR201" s="530"/>
      <c r="AS201" s="530"/>
      <c r="AX201" s="530"/>
      <c r="AY201" s="530"/>
      <c r="BD201" s="530"/>
      <c r="BE201" s="530"/>
      <c r="BJ201" s="530"/>
      <c r="BK201" s="530"/>
      <c r="BP201" s="530"/>
      <c r="BQ201" s="530"/>
      <c r="BV201" s="530"/>
      <c r="BW201" s="530"/>
    </row>
    <row r="202">
      <c r="N202" s="530"/>
      <c r="O202" s="530"/>
      <c r="T202" s="530"/>
      <c r="U202" s="530"/>
      <c r="Z202" s="530"/>
      <c r="AA202" s="530"/>
      <c r="AF202" s="530"/>
      <c r="AG202" s="530"/>
      <c r="AL202" s="530"/>
      <c r="AM202" s="530"/>
      <c r="AR202" s="530"/>
      <c r="AS202" s="530"/>
      <c r="AX202" s="530"/>
      <c r="AY202" s="530"/>
      <c r="BD202" s="530"/>
      <c r="BE202" s="530"/>
      <c r="BJ202" s="530"/>
      <c r="BK202" s="530"/>
      <c r="BP202" s="530"/>
      <c r="BQ202" s="530"/>
      <c r="BV202" s="530"/>
      <c r="BW202" s="530"/>
    </row>
    <row r="203">
      <c r="N203" s="530"/>
      <c r="O203" s="530"/>
      <c r="T203" s="530"/>
      <c r="U203" s="530"/>
      <c r="Z203" s="530"/>
      <c r="AA203" s="530"/>
      <c r="AF203" s="530"/>
      <c r="AG203" s="530"/>
      <c r="AL203" s="530"/>
      <c r="AM203" s="530"/>
      <c r="AR203" s="530"/>
      <c r="AS203" s="530"/>
      <c r="AX203" s="530"/>
      <c r="AY203" s="530"/>
      <c r="BD203" s="530"/>
      <c r="BE203" s="530"/>
      <c r="BJ203" s="530"/>
      <c r="BK203" s="530"/>
      <c r="BP203" s="530"/>
      <c r="BQ203" s="530"/>
      <c r="BV203" s="530"/>
      <c r="BW203" s="530"/>
    </row>
    <row r="204">
      <c r="N204" s="530"/>
      <c r="O204" s="530"/>
      <c r="T204" s="530"/>
      <c r="U204" s="530"/>
      <c r="Z204" s="530"/>
      <c r="AA204" s="530"/>
      <c r="AF204" s="530"/>
      <c r="AG204" s="530"/>
      <c r="AL204" s="530"/>
      <c r="AM204" s="530"/>
      <c r="AR204" s="530"/>
      <c r="AS204" s="530"/>
      <c r="AX204" s="530"/>
      <c r="AY204" s="530"/>
      <c r="BD204" s="530"/>
      <c r="BE204" s="530"/>
      <c r="BJ204" s="530"/>
      <c r="BK204" s="530"/>
      <c r="BP204" s="530"/>
      <c r="BQ204" s="530"/>
      <c r="BV204" s="530"/>
      <c r="BW204" s="530"/>
    </row>
    <row r="205">
      <c r="N205" s="530"/>
      <c r="O205" s="530"/>
      <c r="T205" s="530"/>
      <c r="U205" s="530"/>
      <c r="Z205" s="530"/>
      <c r="AA205" s="530"/>
      <c r="AF205" s="530"/>
      <c r="AG205" s="530"/>
      <c r="AL205" s="530"/>
      <c r="AM205" s="530"/>
      <c r="AR205" s="530"/>
      <c r="AS205" s="530"/>
      <c r="AX205" s="530"/>
      <c r="AY205" s="530"/>
      <c r="BD205" s="530"/>
      <c r="BE205" s="530"/>
      <c r="BJ205" s="530"/>
      <c r="BK205" s="530"/>
      <c r="BP205" s="530"/>
      <c r="BQ205" s="530"/>
      <c r="BV205" s="530"/>
      <c r="BW205" s="530"/>
    </row>
    <row r="206">
      <c r="N206" s="530"/>
      <c r="O206" s="530"/>
      <c r="T206" s="530"/>
      <c r="U206" s="530"/>
      <c r="Z206" s="530"/>
      <c r="AA206" s="530"/>
      <c r="AF206" s="530"/>
      <c r="AG206" s="530"/>
      <c r="AL206" s="530"/>
      <c r="AM206" s="530"/>
      <c r="AR206" s="530"/>
      <c r="AS206" s="530"/>
      <c r="AX206" s="530"/>
      <c r="AY206" s="530"/>
      <c r="BD206" s="530"/>
      <c r="BE206" s="530"/>
      <c r="BJ206" s="530"/>
      <c r="BK206" s="530"/>
      <c r="BP206" s="530"/>
      <c r="BQ206" s="530"/>
      <c r="BV206" s="530"/>
      <c r="BW206" s="530"/>
    </row>
    <row r="207">
      <c r="N207" s="530"/>
      <c r="O207" s="530"/>
      <c r="T207" s="530"/>
      <c r="U207" s="530"/>
      <c r="Z207" s="530"/>
      <c r="AA207" s="530"/>
      <c r="AF207" s="530"/>
      <c r="AG207" s="530"/>
      <c r="AL207" s="530"/>
      <c r="AM207" s="530"/>
      <c r="AR207" s="530"/>
      <c r="AS207" s="530"/>
      <c r="AX207" s="530"/>
      <c r="AY207" s="530"/>
      <c r="BD207" s="530"/>
      <c r="BE207" s="530"/>
      <c r="BJ207" s="530"/>
      <c r="BK207" s="530"/>
      <c r="BP207" s="530"/>
      <c r="BQ207" s="530"/>
      <c r="BV207" s="530"/>
      <c r="BW207" s="530"/>
    </row>
    <row r="208">
      <c r="N208" s="530"/>
      <c r="O208" s="530"/>
      <c r="T208" s="530"/>
      <c r="U208" s="530"/>
      <c r="Z208" s="530"/>
      <c r="AA208" s="530"/>
      <c r="AF208" s="530"/>
      <c r="AG208" s="530"/>
      <c r="AL208" s="530"/>
      <c r="AM208" s="530"/>
      <c r="AR208" s="530"/>
      <c r="AS208" s="530"/>
      <c r="AX208" s="530"/>
      <c r="AY208" s="530"/>
      <c r="BD208" s="530"/>
      <c r="BE208" s="530"/>
      <c r="BJ208" s="530"/>
      <c r="BK208" s="530"/>
      <c r="BP208" s="530"/>
      <c r="BQ208" s="530"/>
      <c r="BV208" s="530"/>
      <c r="BW208" s="530"/>
    </row>
    <row r="209">
      <c r="N209" s="530"/>
      <c r="O209" s="530"/>
      <c r="T209" s="530"/>
      <c r="U209" s="530"/>
      <c r="Z209" s="530"/>
      <c r="AA209" s="530"/>
      <c r="AF209" s="530"/>
      <c r="AG209" s="530"/>
      <c r="AL209" s="530"/>
      <c r="AM209" s="530"/>
      <c r="AR209" s="530"/>
      <c r="AS209" s="530"/>
      <c r="AX209" s="530"/>
      <c r="AY209" s="530"/>
      <c r="BD209" s="530"/>
      <c r="BE209" s="530"/>
      <c r="BJ209" s="530"/>
      <c r="BK209" s="530"/>
      <c r="BP209" s="530"/>
      <c r="BQ209" s="530"/>
      <c r="BV209" s="530"/>
      <c r="BW209" s="530"/>
    </row>
    <row r="210">
      <c r="N210" s="530"/>
      <c r="O210" s="530"/>
      <c r="T210" s="530"/>
      <c r="U210" s="530"/>
      <c r="Z210" s="530"/>
      <c r="AA210" s="530"/>
      <c r="AF210" s="530"/>
      <c r="AG210" s="530"/>
      <c r="AL210" s="530"/>
      <c r="AM210" s="530"/>
      <c r="AR210" s="530"/>
      <c r="AS210" s="530"/>
      <c r="AX210" s="530"/>
      <c r="AY210" s="530"/>
      <c r="BD210" s="530"/>
      <c r="BE210" s="530"/>
      <c r="BJ210" s="530"/>
      <c r="BK210" s="530"/>
      <c r="BP210" s="530"/>
      <c r="BQ210" s="530"/>
      <c r="BV210" s="530"/>
      <c r="BW210" s="530"/>
    </row>
    <row r="211">
      <c r="N211" s="530"/>
      <c r="O211" s="530"/>
      <c r="T211" s="530"/>
      <c r="U211" s="530"/>
      <c r="Z211" s="530"/>
      <c r="AA211" s="530"/>
      <c r="AF211" s="530"/>
      <c r="AG211" s="530"/>
      <c r="AL211" s="530"/>
      <c r="AM211" s="530"/>
      <c r="AR211" s="530"/>
      <c r="AS211" s="530"/>
      <c r="AX211" s="530"/>
      <c r="AY211" s="530"/>
      <c r="BD211" s="530"/>
      <c r="BE211" s="530"/>
      <c r="BJ211" s="530"/>
      <c r="BK211" s="530"/>
      <c r="BP211" s="530"/>
      <c r="BQ211" s="530"/>
      <c r="BV211" s="530"/>
      <c r="BW211" s="530"/>
    </row>
    <row r="212">
      <c r="N212" s="530"/>
      <c r="O212" s="530"/>
      <c r="T212" s="530"/>
      <c r="U212" s="530"/>
      <c r="Z212" s="530"/>
      <c r="AA212" s="530"/>
      <c r="AF212" s="530"/>
      <c r="AG212" s="530"/>
      <c r="AL212" s="530"/>
      <c r="AM212" s="530"/>
      <c r="AR212" s="530"/>
      <c r="AS212" s="530"/>
      <c r="AX212" s="530"/>
      <c r="AY212" s="530"/>
      <c r="BD212" s="530"/>
      <c r="BE212" s="530"/>
      <c r="BJ212" s="530"/>
      <c r="BK212" s="530"/>
      <c r="BP212" s="530"/>
      <c r="BQ212" s="530"/>
      <c r="BV212" s="530"/>
      <c r="BW212" s="530"/>
    </row>
    <row r="213">
      <c r="N213" s="530"/>
      <c r="O213" s="530"/>
      <c r="T213" s="530"/>
      <c r="U213" s="530"/>
      <c r="Z213" s="530"/>
      <c r="AA213" s="530"/>
      <c r="AF213" s="530"/>
      <c r="AG213" s="530"/>
      <c r="AL213" s="530"/>
      <c r="AM213" s="530"/>
      <c r="AR213" s="530"/>
      <c r="AS213" s="530"/>
      <c r="AX213" s="530"/>
      <c r="AY213" s="530"/>
      <c r="BD213" s="530"/>
      <c r="BE213" s="530"/>
      <c r="BJ213" s="530"/>
      <c r="BK213" s="530"/>
      <c r="BP213" s="530"/>
      <c r="BQ213" s="530"/>
      <c r="BV213" s="530"/>
      <c r="BW213" s="530"/>
    </row>
    <row r="214">
      <c r="N214" s="530"/>
      <c r="O214" s="530"/>
      <c r="T214" s="530"/>
      <c r="U214" s="530"/>
      <c r="Z214" s="530"/>
      <c r="AA214" s="530"/>
      <c r="AF214" s="530"/>
      <c r="AG214" s="530"/>
      <c r="AL214" s="530"/>
      <c r="AM214" s="530"/>
      <c r="AR214" s="530"/>
      <c r="AS214" s="530"/>
      <c r="AX214" s="530"/>
      <c r="AY214" s="530"/>
      <c r="BD214" s="530"/>
      <c r="BE214" s="530"/>
      <c r="BJ214" s="530"/>
      <c r="BK214" s="530"/>
      <c r="BP214" s="530"/>
      <c r="BQ214" s="530"/>
      <c r="BV214" s="530"/>
      <c r="BW214" s="530"/>
    </row>
    <row r="215">
      <c r="N215" s="530"/>
      <c r="O215" s="530"/>
      <c r="T215" s="530"/>
      <c r="U215" s="530"/>
      <c r="Z215" s="530"/>
      <c r="AA215" s="530"/>
      <c r="AF215" s="530"/>
      <c r="AG215" s="530"/>
      <c r="AL215" s="530"/>
      <c r="AM215" s="530"/>
      <c r="AR215" s="530"/>
      <c r="AS215" s="530"/>
      <c r="AX215" s="530"/>
      <c r="AY215" s="530"/>
      <c r="BD215" s="530"/>
      <c r="BE215" s="530"/>
      <c r="BJ215" s="530"/>
      <c r="BK215" s="530"/>
      <c r="BP215" s="530"/>
      <c r="BQ215" s="530"/>
      <c r="BV215" s="530"/>
      <c r="BW215" s="530"/>
    </row>
    <row r="216">
      <c r="N216" s="530"/>
      <c r="O216" s="530"/>
      <c r="T216" s="530"/>
      <c r="U216" s="530"/>
      <c r="Z216" s="530"/>
      <c r="AA216" s="530"/>
      <c r="AF216" s="530"/>
      <c r="AG216" s="530"/>
      <c r="AL216" s="530"/>
      <c r="AM216" s="530"/>
      <c r="AR216" s="530"/>
      <c r="AS216" s="530"/>
      <c r="AX216" s="530"/>
      <c r="AY216" s="530"/>
      <c r="BD216" s="530"/>
      <c r="BE216" s="530"/>
      <c r="BJ216" s="530"/>
      <c r="BK216" s="530"/>
      <c r="BP216" s="530"/>
      <c r="BQ216" s="530"/>
      <c r="BV216" s="530"/>
      <c r="BW216" s="530"/>
    </row>
    <row r="217">
      <c r="N217" s="530"/>
      <c r="O217" s="530"/>
      <c r="T217" s="530"/>
      <c r="U217" s="530"/>
      <c r="Z217" s="530"/>
      <c r="AA217" s="530"/>
      <c r="AF217" s="530"/>
      <c r="AG217" s="530"/>
      <c r="AL217" s="530"/>
      <c r="AM217" s="530"/>
      <c r="AR217" s="530"/>
      <c r="AS217" s="530"/>
      <c r="AX217" s="530"/>
      <c r="AY217" s="530"/>
      <c r="BD217" s="530"/>
      <c r="BE217" s="530"/>
      <c r="BJ217" s="530"/>
      <c r="BK217" s="530"/>
      <c r="BP217" s="530"/>
      <c r="BQ217" s="530"/>
      <c r="BV217" s="530"/>
      <c r="BW217" s="530"/>
    </row>
    <row r="218">
      <c r="N218" s="530"/>
      <c r="O218" s="530"/>
      <c r="T218" s="530"/>
      <c r="U218" s="530"/>
      <c r="Z218" s="530"/>
      <c r="AA218" s="530"/>
      <c r="AF218" s="530"/>
      <c r="AG218" s="530"/>
      <c r="AL218" s="530"/>
      <c r="AM218" s="530"/>
      <c r="AR218" s="530"/>
      <c r="AS218" s="530"/>
      <c r="AX218" s="530"/>
      <c r="AY218" s="530"/>
      <c r="BD218" s="530"/>
      <c r="BE218" s="530"/>
      <c r="BJ218" s="530"/>
      <c r="BK218" s="530"/>
      <c r="BP218" s="530"/>
      <c r="BQ218" s="530"/>
      <c r="BV218" s="530"/>
      <c r="BW218" s="530"/>
    </row>
    <row r="219">
      <c r="N219" s="530"/>
      <c r="O219" s="530"/>
      <c r="T219" s="530"/>
      <c r="U219" s="530"/>
      <c r="Z219" s="530"/>
      <c r="AA219" s="530"/>
      <c r="AF219" s="530"/>
      <c r="AG219" s="530"/>
      <c r="AL219" s="530"/>
      <c r="AM219" s="530"/>
      <c r="AR219" s="530"/>
      <c r="AS219" s="530"/>
      <c r="AX219" s="530"/>
      <c r="AY219" s="530"/>
      <c r="BD219" s="530"/>
      <c r="BE219" s="530"/>
      <c r="BJ219" s="530"/>
      <c r="BK219" s="530"/>
      <c r="BP219" s="530"/>
      <c r="BQ219" s="530"/>
      <c r="BV219" s="530"/>
      <c r="BW219" s="530"/>
    </row>
    <row r="220">
      <c r="N220" s="530"/>
      <c r="O220" s="530"/>
      <c r="T220" s="530"/>
      <c r="U220" s="530"/>
      <c r="Z220" s="530"/>
      <c r="AA220" s="530"/>
      <c r="AF220" s="530"/>
      <c r="AG220" s="530"/>
      <c r="AL220" s="530"/>
      <c r="AM220" s="530"/>
      <c r="AR220" s="530"/>
      <c r="AS220" s="530"/>
      <c r="AX220" s="530"/>
      <c r="AY220" s="530"/>
      <c r="BD220" s="530"/>
      <c r="BE220" s="530"/>
      <c r="BJ220" s="530"/>
      <c r="BK220" s="530"/>
      <c r="BP220" s="530"/>
      <c r="BQ220" s="530"/>
      <c r="BV220" s="530"/>
      <c r="BW220" s="530"/>
    </row>
    <row r="221">
      <c r="N221" s="530"/>
      <c r="O221" s="530"/>
      <c r="T221" s="530"/>
      <c r="U221" s="530"/>
      <c r="Z221" s="530"/>
      <c r="AA221" s="530"/>
      <c r="AF221" s="530"/>
      <c r="AG221" s="530"/>
      <c r="AL221" s="530"/>
      <c r="AM221" s="530"/>
      <c r="AR221" s="530"/>
      <c r="AS221" s="530"/>
      <c r="AX221" s="530"/>
      <c r="AY221" s="530"/>
      <c r="BD221" s="530"/>
      <c r="BE221" s="530"/>
      <c r="BJ221" s="530"/>
      <c r="BK221" s="530"/>
      <c r="BP221" s="530"/>
      <c r="BQ221" s="530"/>
      <c r="BV221" s="530"/>
      <c r="BW221" s="530"/>
    </row>
    <row r="222">
      <c r="N222" s="530"/>
      <c r="O222" s="530"/>
      <c r="T222" s="530"/>
      <c r="U222" s="530"/>
      <c r="Z222" s="530"/>
      <c r="AA222" s="530"/>
      <c r="AF222" s="530"/>
      <c r="AG222" s="530"/>
      <c r="AL222" s="530"/>
      <c r="AM222" s="530"/>
      <c r="AR222" s="530"/>
      <c r="AS222" s="530"/>
      <c r="AX222" s="530"/>
      <c r="AY222" s="530"/>
      <c r="BD222" s="530"/>
      <c r="BE222" s="530"/>
      <c r="BJ222" s="530"/>
      <c r="BK222" s="530"/>
      <c r="BP222" s="530"/>
      <c r="BQ222" s="530"/>
      <c r="BV222" s="530"/>
      <c r="BW222" s="530"/>
    </row>
    <row r="223">
      <c r="N223" s="530"/>
      <c r="O223" s="530"/>
      <c r="T223" s="530"/>
      <c r="U223" s="530"/>
      <c r="Z223" s="530"/>
      <c r="AA223" s="530"/>
      <c r="AF223" s="530"/>
      <c r="AG223" s="530"/>
      <c r="AL223" s="530"/>
      <c r="AM223" s="530"/>
      <c r="AR223" s="530"/>
      <c r="AS223" s="530"/>
      <c r="AX223" s="530"/>
      <c r="AY223" s="530"/>
      <c r="BD223" s="530"/>
      <c r="BE223" s="530"/>
      <c r="BJ223" s="530"/>
      <c r="BK223" s="530"/>
      <c r="BP223" s="530"/>
      <c r="BQ223" s="530"/>
      <c r="BV223" s="530"/>
      <c r="BW223" s="530"/>
    </row>
    <row r="224">
      <c r="N224" s="530"/>
      <c r="O224" s="530"/>
      <c r="T224" s="530"/>
      <c r="U224" s="530"/>
      <c r="Z224" s="530"/>
      <c r="AA224" s="530"/>
      <c r="AF224" s="530"/>
      <c r="AG224" s="530"/>
      <c r="AL224" s="530"/>
      <c r="AM224" s="530"/>
      <c r="AR224" s="530"/>
      <c r="AS224" s="530"/>
      <c r="AX224" s="530"/>
      <c r="AY224" s="530"/>
      <c r="BD224" s="530"/>
      <c r="BE224" s="530"/>
      <c r="BJ224" s="530"/>
      <c r="BK224" s="530"/>
      <c r="BP224" s="530"/>
      <c r="BQ224" s="530"/>
      <c r="BV224" s="530"/>
      <c r="BW224" s="530"/>
    </row>
    <row r="225">
      <c r="N225" s="530"/>
      <c r="O225" s="530"/>
      <c r="T225" s="530"/>
      <c r="U225" s="530"/>
      <c r="Z225" s="530"/>
      <c r="AA225" s="530"/>
      <c r="AF225" s="530"/>
      <c r="AG225" s="530"/>
      <c r="AL225" s="530"/>
      <c r="AM225" s="530"/>
      <c r="AR225" s="530"/>
      <c r="AS225" s="530"/>
      <c r="AX225" s="530"/>
      <c r="AY225" s="530"/>
      <c r="BD225" s="530"/>
      <c r="BE225" s="530"/>
      <c r="BJ225" s="530"/>
      <c r="BK225" s="530"/>
      <c r="BP225" s="530"/>
      <c r="BQ225" s="530"/>
      <c r="BV225" s="530"/>
      <c r="BW225" s="530"/>
    </row>
    <row r="226">
      <c r="N226" s="530"/>
      <c r="O226" s="530"/>
      <c r="T226" s="530"/>
      <c r="U226" s="530"/>
      <c r="Z226" s="530"/>
      <c r="AA226" s="530"/>
      <c r="AF226" s="530"/>
      <c r="AG226" s="530"/>
      <c r="AL226" s="530"/>
      <c r="AM226" s="530"/>
      <c r="AR226" s="530"/>
      <c r="AS226" s="530"/>
      <c r="AX226" s="530"/>
      <c r="AY226" s="530"/>
      <c r="BD226" s="530"/>
      <c r="BE226" s="530"/>
      <c r="BJ226" s="530"/>
      <c r="BK226" s="530"/>
      <c r="BP226" s="530"/>
      <c r="BQ226" s="530"/>
      <c r="BV226" s="530"/>
      <c r="BW226" s="530"/>
    </row>
    <row r="227">
      <c r="N227" s="530"/>
      <c r="O227" s="530"/>
      <c r="T227" s="530"/>
      <c r="U227" s="530"/>
      <c r="Z227" s="530"/>
      <c r="AA227" s="530"/>
      <c r="AF227" s="530"/>
      <c r="AG227" s="530"/>
      <c r="AL227" s="530"/>
      <c r="AM227" s="530"/>
      <c r="AR227" s="530"/>
      <c r="AS227" s="530"/>
      <c r="AX227" s="530"/>
      <c r="AY227" s="530"/>
      <c r="BD227" s="530"/>
      <c r="BE227" s="530"/>
      <c r="BJ227" s="530"/>
      <c r="BK227" s="530"/>
      <c r="BP227" s="530"/>
      <c r="BQ227" s="530"/>
      <c r="BV227" s="530"/>
      <c r="BW227" s="530"/>
    </row>
    <row r="228">
      <c r="N228" s="530"/>
      <c r="O228" s="530"/>
      <c r="T228" s="530"/>
      <c r="U228" s="530"/>
      <c r="Z228" s="530"/>
      <c r="AA228" s="530"/>
      <c r="AF228" s="530"/>
      <c r="AG228" s="530"/>
      <c r="AL228" s="530"/>
      <c r="AM228" s="530"/>
      <c r="AR228" s="530"/>
      <c r="AS228" s="530"/>
      <c r="AX228" s="530"/>
      <c r="AY228" s="530"/>
      <c r="BD228" s="530"/>
      <c r="BE228" s="530"/>
      <c r="BJ228" s="530"/>
      <c r="BK228" s="530"/>
      <c r="BP228" s="530"/>
      <c r="BQ228" s="530"/>
      <c r="BV228" s="530"/>
      <c r="BW228" s="530"/>
    </row>
    <row r="229">
      <c r="N229" s="530"/>
      <c r="O229" s="530"/>
      <c r="T229" s="530"/>
      <c r="U229" s="530"/>
      <c r="Z229" s="530"/>
      <c r="AA229" s="530"/>
      <c r="AF229" s="530"/>
      <c r="AG229" s="530"/>
      <c r="AL229" s="530"/>
      <c r="AM229" s="530"/>
      <c r="AR229" s="530"/>
      <c r="AS229" s="530"/>
      <c r="AX229" s="530"/>
      <c r="AY229" s="530"/>
      <c r="BD229" s="530"/>
      <c r="BE229" s="530"/>
      <c r="BJ229" s="530"/>
      <c r="BK229" s="530"/>
      <c r="BP229" s="530"/>
      <c r="BQ229" s="530"/>
      <c r="BV229" s="530"/>
      <c r="BW229" s="530"/>
    </row>
    <row r="230">
      <c r="N230" s="530"/>
      <c r="O230" s="530"/>
      <c r="T230" s="530"/>
      <c r="U230" s="530"/>
      <c r="Z230" s="530"/>
      <c r="AA230" s="530"/>
      <c r="AF230" s="530"/>
      <c r="AG230" s="530"/>
      <c r="AL230" s="530"/>
      <c r="AM230" s="530"/>
      <c r="AR230" s="530"/>
      <c r="AS230" s="530"/>
      <c r="AX230" s="530"/>
      <c r="AY230" s="530"/>
      <c r="BD230" s="530"/>
      <c r="BE230" s="530"/>
      <c r="BJ230" s="530"/>
      <c r="BK230" s="530"/>
      <c r="BP230" s="530"/>
      <c r="BQ230" s="530"/>
      <c r="BV230" s="530"/>
      <c r="BW230" s="530"/>
    </row>
    <row r="231">
      <c r="N231" s="530"/>
      <c r="O231" s="530"/>
      <c r="T231" s="530"/>
      <c r="U231" s="530"/>
      <c r="Z231" s="530"/>
      <c r="AA231" s="530"/>
      <c r="AF231" s="530"/>
      <c r="AG231" s="530"/>
      <c r="AL231" s="530"/>
      <c r="AM231" s="530"/>
      <c r="AR231" s="530"/>
      <c r="AS231" s="530"/>
      <c r="AX231" s="530"/>
      <c r="AY231" s="530"/>
      <c r="BD231" s="530"/>
      <c r="BE231" s="530"/>
      <c r="BJ231" s="530"/>
      <c r="BK231" s="530"/>
      <c r="BP231" s="530"/>
      <c r="BQ231" s="530"/>
      <c r="BV231" s="530"/>
      <c r="BW231" s="530"/>
    </row>
    <row r="232">
      <c r="N232" s="530"/>
      <c r="O232" s="530"/>
      <c r="T232" s="530"/>
      <c r="U232" s="530"/>
      <c r="Z232" s="530"/>
      <c r="AA232" s="530"/>
      <c r="AF232" s="530"/>
      <c r="AG232" s="530"/>
      <c r="AL232" s="530"/>
      <c r="AM232" s="530"/>
      <c r="AR232" s="530"/>
      <c r="AS232" s="530"/>
      <c r="AX232" s="530"/>
      <c r="AY232" s="530"/>
      <c r="BD232" s="530"/>
      <c r="BE232" s="530"/>
      <c r="BJ232" s="530"/>
      <c r="BK232" s="530"/>
      <c r="BP232" s="530"/>
      <c r="BQ232" s="530"/>
      <c r="BV232" s="530"/>
      <c r="BW232" s="530"/>
    </row>
    <row r="233">
      <c r="N233" s="530"/>
      <c r="O233" s="530"/>
      <c r="T233" s="530"/>
      <c r="U233" s="530"/>
      <c r="Z233" s="530"/>
      <c r="AA233" s="530"/>
      <c r="AF233" s="530"/>
      <c r="AG233" s="530"/>
      <c r="AL233" s="530"/>
      <c r="AM233" s="530"/>
      <c r="AR233" s="530"/>
      <c r="AS233" s="530"/>
      <c r="AX233" s="530"/>
      <c r="AY233" s="530"/>
      <c r="BD233" s="530"/>
      <c r="BE233" s="530"/>
      <c r="BJ233" s="530"/>
      <c r="BK233" s="530"/>
      <c r="BP233" s="530"/>
      <c r="BQ233" s="530"/>
      <c r="BV233" s="530"/>
      <c r="BW233" s="530"/>
    </row>
    <row r="234">
      <c r="N234" s="530"/>
      <c r="O234" s="530"/>
      <c r="T234" s="530"/>
      <c r="U234" s="530"/>
      <c r="Z234" s="530"/>
      <c r="AA234" s="530"/>
      <c r="AF234" s="530"/>
      <c r="AG234" s="530"/>
      <c r="AL234" s="530"/>
      <c r="AM234" s="530"/>
      <c r="AR234" s="530"/>
      <c r="AS234" s="530"/>
      <c r="AX234" s="530"/>
      <c r="AY234" s="530"/>
      <c r="BD234" s="530"/>
      <c r="BE234" s="530"/>
      <c r="BJ234" s="530"/>
      <c r="BK234" s="530"/>
      <c r="BP234" s="530"/>
      <c r="BQ234" s="530"/>
      <c r="BV234" s="530"/>
      <c r="BW234" s="530"/>
    </row>
    <row r="235">
      <c r="N235" s="530"/>
      <c r="O235" s="530"/>
      <c r="T235" s="530"/>
      <c r="U235" s="530"/>
      <c r="Z235" s="530"/>
      <c r="AA235" s="530"/>
      <c r="AF235" s="530"/>
      <c r="AG235" s="530"/>
      <c r="AL235" s="530"/>
      <c r="AM235" s="530"/>
      <c r="AR235" s="530"/>
      <c r="AS235" s="530"/>
      <c r="AX235" s="530"/>
      <c r="AY235" s="530"/>
      <c r="BD235" s="530"/>
      <c r="BE235" s="530"/>
      <c r="BJ235" s="530"/>
      <c r="BK235" s="530"/>
      <c r="BP235" s="530"/>
      <c r="BQ235" s="530"/>
      <c r="BV235" s="530"/>
      <c r="BW235" s="530"/>
    </row>
    <row r="236">
      <c r="N236" s="530"/>
      <c r="O236" s="530"/>
      <c r="T236" s="530"/>
      <c r="U236" s="530"/>
      <c r="Z236" s="530"/>
      <c r="AA236" s="530"/>
      <c r="AF236" s="530"/>
      <c r="AG236" s="530"/>
      <c r="AL236" s="530"/>
      <c r="AM236" s="530"/>
      <c r="AR236" s="530"/>
      <c r="AS236" s="530"/>
      <c r="AX236" s="530"/>
      <c r="AY236" s="530"/>
      <c r="BD236" s="530"/>
      <c r="BE236" s="530"/>
      <c r="BJ236" s="530"/>
      <c r="BK236" s="530"/>
      <c r="BP236" s="530"/>
      <c r="BQ236" s="530"/>
      <c r="BV236" s="530"/>
      <c r="BW236" s="530"/>
    </row>
    <row r="237">
      <c r="N237" s="530"/>
      <c r="O237" s="530"/>
      <c r="T237" s="530"/>
      <c r="U237" s="530"/>
      <c r="Z237" s="530"/>
      <c r="AA237" s="530"/>
      <c r="AF237" s="530"/>
      <c r="AG237" s="530"/>
      <c r="AL237" s="530"/>
      <c r="AM237" s="530"/>
      <c r="AR237" s="530"/>
      <c r="AS237" s="530"/>
      <c r="AX237" s="530"/>
      <c r="AY237" s="530"/>
      <c r="BD237" s="530"/>
      <c r="BE237" s="530"/>
      <c r="BJ237" s="530"/>
      <c r="BK237" s="530"/>
      <c r="BP237" s="530"/>
      <c r="BQ237" s="530"/>
      <c r="BV237" s="530"/>
      <c r="BW237" s="530"/>
    </row>
    <row r="238">
      <c r="N238" s="530"/>
      <c r="O238" s="530"/>
      <c r="T238" s="530"/>
      <c r="U238" s="530"/>
      <c r="Z238" s="530"/>
      <c r="AA238" s="530"/>
      <c r="AF238" s="530"/>
      <c r="AG238" s="530"/>
      <c r="AL238" s="530"/>
      <c r="AM238" s="530"/>
      <c r="AR238" s="530"/>
      <c r="AS238" s="530"/>
      <c r="AX238" s="530"/>
      <c r="AY238" s="530"/>
      <c r="BD238" s="530"/>
      <c r="BE238" s="530"/>
      <c r="BJ238" s="530"/>
      <c r="BK238" s="530"/>
      <c r="BP238" s="530"/>
      <c r="BQ238" s="530"/>
      <c r="BV238" s="530"/>
      <c r="BW238" s="530"/>
    </row>
    <row r="239">
      <c r="N239" s="530"/>
      <c r="O239" s="530"/>
      <c r="T239" s="530"/>
      <c r="U239" s="530"/>
      <c r="Z239" s="530"/>
      <c r="AA239" s="530"/>
      <c r="AF239" s="530"/>
      <c r="AG239" s="530"/>
      <c r="AL239" s="530"/>
      <c r="AM239" s="530"/>
      <c r="AR239" s="530"/>
      <c r="AS239" s="530"/>
      <c r="AX239" s="530"/>
      <c r="AY239" s="530"/>
      <c r="BD239" s="530"/>
      <c r="BE239" s="530"/>
      <c r="BJ239" s="530"/>
      <c r="BK239" s="530"/>
      <c r="BP239" s="530"/>
      <c r="BQ239" s="530"/>
      <c r="BV239" s="530"/>
      <c r="BW239" s="530"/>
    </row>
    <row r="240">
      <c r="N240" s="530"/>
      <c r="O240" s="530"/>
      <c r="T240" s="530"/>
      <c r="U240" s="530"/>
      <c r="Z240" s="530"/>
      <c r="AA240" s="530"/>
      <c r="AF240" s="530"/>
      <c r="AG240" s="530"/>
      <c r="AL240" s="530"/>
      <c r="AM240" s="530"/>
      <c r="AR240" s="530"/>
      <c r="AS240" s="530"/>
      <c r="AX240" s="530"/>
      <c r="AY240" s="530"/>
      <c r="BD240" s="530"/>
      <c r="BE240" s="530"/>
      <c r="BJ240" s="530"/>
      <c r="BK240" s="530"/>
      <c r="BP240" s="530"/>
      <c r="BQ240" s="530"/>
      <c r="BV240" s="530"/>
      <c r="BW240" s="530"/>
    </row>
    <row r="241">
      <c r="N241" s="530"/>
      <c r="O241" s="530"/>
      <c r="T241" s="530"/>
      <c r="U241" s="530"/>
      <c r="Z241" s="530"/>
      <c r="AA241" s="530"/>
      <c r="AF241" s="530"/>
      <c r="AG241" s="530"/>
      <c r="AL241" s="530"/>
      <c r="AM241" s="530"/>
      <c r="AR241" s="530"/>
      <c r="AS241" s="530"/>
      <c r="AX241" s="530"/>
      <c r="AY241" s="530"/>
      <c r="BD241" s="530"/>
      <c r="BE241" s="530"/>
      <c r="BJ241" s="530"/>
      <c r="BK241" s="530"/>
      <c r="BP241" s="530"/>
      <c r="BQ241" s="530"/>
      <c r="BV241" s="530"/>
      <c r="BW241" s="530"/>
    </row>
    <row r="242">
      <c r="N242" s="530"/>
      <c r="O242" s="530"/>
      <c r="T242" s="530"/>
      <c r="U242" s="530"/>
      <c r="Z242" s="530"/>
      <c r="AA242" s="530"/>
      <c r="AF242" s="530"/>
      <c r="AG242" s="530"/>
      <c r="AL242" s="530"/>
      <c r="AM242" s="530"/>
      <c r="AR242" s="530"/>
      <c r="AS242" s="530"/>
      <c r="AX242" s="530"/>
      <c r="AY242" s="530"/>
      <c r="BD242" s="530"/>
      <c r="BE242" s="530"/>
      <c r="BJ242" s="530"/>
      <c r="BK242" s="530"/>
      <c r="BP242" s="530"/>
      <c r="BQ242" s="530"/>
      <c r="BV242" s="530"/>
      <c r="BW242" s="530"/>
    </row>
    <row r="243">
      <c r="N243" s="530"/>
      <c r="O243" s="530"/>
      <c r="T243" s="530"/>
      <c r="U243" s="530"/>
      <c r="Z243" s="530"/>
      <c r="AA243" s="530"/>
      <c r="AF243" s="530"/>
      <c r="AG243" s="530"/>
      <c r="AL243" s="530"/>
      <c r="AM243" s="530"/>
      <c r="AR243" s="530"/>
      <c r="AS243" s="530"/>
      <c r="AX243" s="530"/>
      <c r="AY243" s="530"/>
      <c r="BD243" s="530"/>
      <c r="BE243" s="530"/>
      <c r="BJ243" s="530"/>
      <c r="BK243" s="530"/>
      <c r="BP243" s="530"/>
      <c r="BQ243" s="530"/>
      <c r="BV243" s="530"/>
      <c r="BW243" s="530"/>
    </row>
    <row r="244">
      <c r="N244" s="530"/>
      <c r="O244" s="530"/>
      <c r="T244" s="530"/>
      <c r="U244" s="530"/>
      <c r="Z244" s="530"/>
      <c r="AA244" s="530"/>
      <c r="AF244" s="530"/>
      <c r="AG244" s="530"/>
      <c r="AL244" s="530"/>
      <c r="AM244" s="530"/>
      <c r="AR244" s="530"/>
      <c r="AS244" s="530"/>
      <c r="AX244" s="530"/>
      <c r="AY244" s="530"/>
      <c r="BD244" s="530"/>
      <c r="BE244" s="530"/>
      <c r="BJ244" s="530"/>
      <c r="BK244" s="530"/>
      <c r="BP244" s="530"/>
      <c r="BQ244" s="530"/>
      <c r="BV244" s="530"/>
      <c r="BW244" s="530"/>
    </row>
    <row r="245">
      <c r="N245" s="530"/>
      <c r="O245" s="530"/>
      <c r="T245" s="530"/>
      <c r="U245" s="530"/>
      <c r="Z245" s="530"/>
      <c r="AA245" s="530"/>
      <c r="AF245" s="530"/>
      <c r="AG245" s="530"/>
      <c r="AL245" s="530"/>
      <c r="AM245" s="530"/>
      <c r="AR245" s="530"/>
      <c r="AS245" s="530"/>
      <c r="AX245" s="530"/>
      <c r="AY245" s="530"/>
      <c r="BD245" s="530"/>
      <c r="BE245" s="530"/>
      <c r="BJ245" s="530"/>
      <c r="BK245" s="530"/>
      <c r="BP245" s="530"/>
      <c r="BQ245" s="530"/>
      <c r="BV245" s="530"/>
      <c r="BW245" s="530"/>
    </row>
    <row r="246">
      <c r="N246" s="530"/>
      <c r="O246" s="530"/>
      <c r="T246" s="530"/>
      <c r="U246" s="530"/>
      <c r="Z246" s="530"/>
      <c r="AA246" s="530"/>
      <c r="AF246" s="530"/>
      <c r="AG246" s="530"/>
      <c r="AL246" s="530"/>
      <c r="AM246" s="530"/>
      <c r="AR246" s="530"/>
      <c r="AS246" s="530"/>
      <c r="AX246" s="530"/>
      <c r="AY246" s="530"/>
      <c r="BD246" s="530"/>
      <c r="BE246" s="530"/>
      <c r="BJ246" s="530"/>
      <c r="BK246" s="530"/>
      <c r="BP246" s="530"/>
      <c r="BQ246" s="530"/>
      <c r="BV246" s="530"/>
      <c r="BW246" s="530"/>
    </row>
    <row r="247">
      <c r="N247" s="530"/>
      <c r="O247" s="530"/>
      <c r="T247" s="530"/>
      <c r="U247" s="530"/>
      <c r="Z247" s="530"/>
      <c r="AA247" s="530"/>
      <c r="AF247" s="530"/>
      <c r="AG247" s="530"/>
      <c r="AL247" s="530"/>
      <c r="AM247" s="530"/>
      <c r="AR247" s="530"/>
      <c r="AS247" s="530"/>
      <c r="AX247" s="530"/>
      <c r="AY247" s="530"/>
      <c r="BD247" s="530"/>
      <c r="BE247" s="530"/>
      <c r="BJ247" s="530"/>
      <c r="BK247" s="530"/>
      <c r="BP247" s="530"/>
      <c r="BQ247" s="530"/>
      <c r="BV247" s="530"/>
      <c r="BW247" s="530"/>
    </row>
    <row r="248">
      <c r="N248" s="530"/>
      <c r="O248" s="530"/>
      <c r="T248" s="530"/>
      <c r="U248" s="530"/>
      <c r="Z248" s="530"/>
      <c r="AA248" s="530"/>
      <c r="AF248" s="530"/>
      <c r="AG248" s="530"/>
      <c r="AL248" s="530"/>
      <c r="AM248" s="530"/>
      <c r="AR248" s="530"/>
      <c r="AS248" s="530"/>
      <c r="AX248" s="530"/>
      <c r="AY248" s="530"/>
      <c r="BD248" s="530"/>
      <c r="BE248" s="530"/>
      <c r="BJ248" s="530"/>
      <c r="BK248" s="530"/>
      <c r="BP248" s="530"/>
      <c r="BQ248" s="530"/>
      <c r="BV248" s="530"/>
      <c r="BW248" s="530"/>
    </row>
    <row r="249">
      <c r="N249" s="530"/>
      <c r="O249" s="530"/>
      <c r="T249" s="530"/>
      <c r="U249" s="530"/>
      <c r="Z249" s="530"/>
      <c r="AA249" s="530"/>
      <c r="AF249" s="530"/>
      <c r="AG249" s="530"/>
      <c r="AL249" s="530"/>
      <c r="AM249" s="530"/>
      <c r="AR249" s="530"/>
      <c r="AS249" s="530"/>
      <c r="AX249" s="530"/>
      <c r="AY249" s="530"/>
      <c r="BD249" s="530"/>
      <c r="BE249" s="530"/>
      <c r="BJ249" s="530"/>
      <c r="BK249" s="530"/>
      <c r="BP249" s="530"/>
      <c r="BQ249" s="530"/>
      <c r="BV249" s="530"/>
      <c r="BW249" s="530"/>
    </row>
    <row r="250">
      <c r="N250" s="530"/>
      <c r="O250" s="530"/>
      <c r="T250" s="530"/>
      <c r="U250" s="530"/>
      <c r="Z250" s="530"/>
      <c r="AA250" s="530"/>
      <c r="AF250" s="530"/>
      <c r="AG250" s="530"/>
      <c r="AL250" s="530"/>
      <c r="AM250" s="530"/>
      <c r="AR250" s="530"/>
      <c r="AS250" s="530"/>
      <c r="AX250" s="530"/>
      <c r="AY250" s="530"/>
      <c r="BD250" s="530"/>
      <c r="BE250" s="530"/>
      <c r="BJ250" s="530"/>
      <c r="BK250" s="530"/>
      <c r="BP250" s="530"/>
      <c r="BQ250" s="530"/>
      <c r="BV250" s="530"/>
      <c r="BW250" s="530"/>
    </row>
    <row r="251">
      <c r="N251" s="530"/>
      <c r="O251" s="530"/>
      <c r="T251" s="530"/>
      <c r="U251" s="530"/>
      <c r="Z251" s="530"/>
      <c r="AA251" s="530"/>
      <c r="AF251" s="530"/>
      <c r="AG251" s="530"/>
      <c r="AL251" s="530"/>
      <c r="AM251" s="530"/>
      <c r="AR251" s="530"/>
      <c r="AS251" s="530"/>
      <c r="AX251" s="530"/>
      <c r="AY251" s="530"/>
      <c r="BD251" s="530"/>
      <c r="BE251" s="530"/>
      <c r="BJ251" s="530"/>
      <c r="BK251" s="530"/>
      <c r="BP251" s="530"/>
      <c r="BQ251" s="530"/>
      <c r="BV251" s="530"/>
      <c r="BW251" s="530"/>
    </row>
    <row r="252">
      <c r="N252" s="530"/>
      <c r="O252" s="530"/>
      <c r="T252" s="530"/>
      <c r="U252" s="530"/>
      <c r="Z252" s="530"/>
      <c r="AA252" s="530"/>
      <c r="AF252" s="530"/>
      <c r="AG252" s="530"/>
      <c r="AL252" s="530"/>
      <c r="AM252" s="530"/>
      <c r="AR252" s="530"/>
      <c r="AS252" s="530"/>
      <c r="AX252" s="530"/>
      <c r="AY252" s="530"/>
      <c r="BD252" s="530"/>
      <c r="BE252" s="530"/>
      <c r="BJ252" s="530"/>
      <c r="BK252" s="530"/>
      <c r="BP252" s="530"/>
      <c r="BQ252" s="530"/>
      <c r="BV252" s="530"/>
      <c r="BW252" s="530"/>
    </row>
    <row r="253">
      <c r="N253" s="530"/>
      <c r="O253" s="530"/>
      <c r="T253" s="530"/>
      <c r="U253" s="530"/>
      <c r="Z253" s="530"/>
      <c r="AA253" s="530"/>
      <c r="AF253" s="530"/>
      <c r="AG253" s="530"/>
      <c r="AL253" s="530"/>
      <c r="AM253" s="530"/>
      <c r="AR253" s="530"/>
      <c r="AS253" s="530"/>
      <c r="AX253" s="530"/>
      <c r="AY253" s="530"/>
      <c r="BD253" s="530"/>
      <c r="BE253" s="530"/>
      <c r="BJ253" s="530"/>
      <c r="BK253" s="530"/>
      <c r="BP253" s="530"/>
      <c r="BQ253" s="530"/>
      <c r="BV253" s="530"/>
      <c r="BW253" s="530"/>
    </row>
    <row r="254">
      <c r="N254" s="530"/>
      <c r="O254" s="530"/>
      <c r="T254" s="530"/>
      <c r="U254" s="530"/>
      <c r="Z254" s="530"/>
      <c r="AA254" s="530"/>
      <c r="AF254" s="530"/>
      <c r="AG254" s="530"/>
      <c r="AL254" s="530"/>
      <c r="AM254" s="530"/>
      <c r="AR254" s="530"/>
      <c r="AS254" s="530"/>
      <c r="AX254" s="530"/>
      <c r="AY254" s="530"/>
      <c r="BD254" s="530"/>
      <c r="BE254" s="530"/>
      <c r="BJ254" s="530"/>
      <c r="BK254" s="530"/>
      <c r="BP254" s="530"/>
      <c r="BQ254" s="530"/>
      <c r="BV254" s="530"/>
      <c r="BW254" s="530"/>
    </row>
    <row r="255">
      <c r="N255" s="530"/>
      <c r="O255" s="530"/>
      <c r="T255" s="530"/>
      <c r="U255" s="530"/>
      <c r="Z255" s="530"/>
      <c r="AA255" s="530"/>
      <c r="AF255" s="530"/>
      <c r="AG255" s="530"/>
      <c r="AL255" s="530"/>
      <c r="AM255" s="530"/>
      <c r="AR255" s="530"/>
      <c r="AS255" s="530"/>
      <c r="AX255" s="530"/>
      <c r="AY255" s="530"/>
      <c r="BD255" s="530"/>
      <c r="BE255" s="530"/>
      <c r="BJ255" s="530"/>
      <c r="BK255" s="530"/>
      <c r="BP255" s="530"/>
      <c r="BQ255" s="530"/>
      <c r="BV255" s="530"/>
      <c r="BW255" s="530"/>
    </row>
    <row r="256">
      <c r="N256" s="530"/>
      <c r="O256" s="530"/>
      <c r="T256" s="530"/>
      <c r="U256" s="530"/>
      <c r="Z256" s="530"/>
      <c r="AA256" s="530"/>
      <c r="AF256" s="530"/>
      <c r="AG256" s="530"/>
      <c r="AL256" s="530"/>
      <c r="AM256" s="530"/>
      <c r="AR256" s="530"/>
      <c r="AS256" s="530"/>
      <c r="AX256" s="530"/>
      <c r="AY256" s="530"/>
      <c r="BD256" s="530"/>
      <c r="BE256" s="530"/>
      <c r="BJ256" s="530"/>
      <c r="BK256" s="530"/>
      <c r="BP256" s="530"/>
      <c r="BQ256" s="530"/>
      <c r="BV256" s="530"/>
      <c r="BW256" s="530"/>
    </row>
    <row r="257">
      <c r="N257" s="530"/>
      <c r="O257" s="530"/>
      <c r="T257" s="530"/>
      <c r="U257" s="530"/>
      <c r="Z257" s="530"/>
      <c r="AA257" s="530"/>
      <c r="AF257" s="530"/>
      <c r="AG257" s="530"/>
      <c r="AL257" s="530"/>
      <c r="AM257" s="530"/>
      <c r="AR257" s="530"/>
      <c r="AS257" s="530"/>
      <c r="AX257" s="530"/>
      <c r="AY257" s="530"/>
      <c r="BD257" s="530"/>
      <c r="BE257" s="530"/>
      <c r="BJ257" s="530"/>
      <c r="BK257" s="530"/>
      <c r="BP257" s="530"/>
      <c r="BQ257" s="530"/>
      <c r="BV257" s="530"/>
      <c r="BW257" s="530"/>
    </row>
    <row r="258">
      <c r="N258" s="530"/>
      <c r="O258" s="530"/>
      <c r="T258" s="530"/>
      <c r="U258" s="530"/>
      <c r="Z258" s="530"/>
      <c r="AA258" s="530"/>
      <c r="AF258" s="530"/>
      <c r="AG258" s="530"/>
      <c r="AL258" s="530"/>
      <c r="AM258" s="530"/>
      <c r="AR258" s="530"/>
      <c r="AS258" s="530"/>
      <c r="AX258" s="530"/>
      <c r="AY258" s="530"/>
      <c r="BD258" s="530"/>
      <c r="BE258" s="530"/>
      <c r="BJ258" s="530"/>
      <c r="BK258" s="530"/>
      <c r="BP258" s="530"/>
      <c r="BQ258" s="530"/>
      <c r="BV258" s="530"/>
      <c r="BW258" s="530"/>
    </row>
    <row r="259">
      <c r="N259" s="530"/>
      <c r="O259" s="530"/>
      <c r="T259" s="530"/>
      <c r="U259" s="530"/>
      <c r="Z259" s="530"/>
      <c r="AA259" s="530"/>
      <c r="AF259" s="530"/>
      <c r="AG259" s="530"/>
      <c r="AL259" s="530"/>
      <c r="AM259" s="530"/>
      <c r="AR259" s="530"/>
      <c r="AS259" s="530"/>
      <c r="AX259" s="530"/>
      <c r="AY259" s="530"/>
      <c r="BD259" s="530"/>
      <c r="BE259" s="530"/>
      <c r="BJ259" s="530"/>
      <c r="BK259" s="530"/>
      <c r="BP259" s="530"/>
      <c r="BQ259" s="530"/>
      <c r="BV259" s="530"/>
      <c r="BW259" s="530"/>
    </row>
    <row r="260">
      <c r="N260" s="530"/>
      <c r="O260" s="530"/>
      <c r="T260" s="530"/>
      <c r="U260" s="530"/>
      <c r="Z260" s="530"/>
      <c r="AA260" s="530"/>
      <c r="AF260" s="530"/>
      <c r="AG260" s="530"/>
      <c r="AL260" s="530"/>
      <c r="AM260" s="530"/>
      <c r="AR260" s="530"/>
      <c r="AS260" s="530"/>
      <c r="AX260" s="530"/>
      <c r="AY260" s="530"/>
      <c r="BD260" s="530"/>
      <c r="BE260" s="530"/>
      <c r="BJ260" s="530"/>
      <c r="BK260" s="530"/>
      <c r="BP260" s="530"/>
      <c r="BQ260" s="530"/>
      <c r="BV260" s="530"/>
      <c r="BW260" s="530"/>
    </row>
    <row r="261">
      <c r="N261" s="530"/>
      <c r="O261" s="530"/>
      <c r="T261" s="530"/>
      <c r="U261" s="530"/>
      <c r="Z261" s="530"/>
      <c r="AA261" s="530"/>
      <c r="AF261" s="530"/>
      <c r="AG261" s="530"/>
      <c r="AL261" s="530"/>
      <c r="AM261" s="530"/>
      <c r="AR261" s="530"/>
      <c r="AS261" s="530"/>
      <c r="AX261" s="530"/>
      <c r="AY261" s="530"/>
      <c r="BD261" s="530"/>
      <c r="BE261" s="530"/>
      <c r="BJ261" s="530"/>
      <c r="BK261" s="530"/>
      <c r="BP261" s="530"/>
      <c r="BQ261" s="530"/>
      <c r="BV261" s="530"/>
      <c r="BW261" s="530"/>
    </row>
    <row r="262">
      <c r="N262" s="530"/>
      <c r="O262" s="530"/>
      <c r="T262" s="530"/>
      <c r="U262" s="530"/>
      <c r="Z262" s="530"/>
      <c r="AA262" s="530"/>
      <c r="AF262" s="530"/>
      <c r="AG262" s="530"/>
      <c r="AL262" s="530"/>
      <c r="AM262" s="530"/>
      <c r="AR262" s="530"/>
      <c r="AS262" s="530"/>
      <c r="AX262" s="530"/>
      <c r="AY262" s="530"/>
      <c r="BD262" s="530"/>
      <c r="BE262" s="530"/>
      <c r="BJ262" s="530"/>
      <c r="BK262" s="530"/>
      <c r="BP262" s="530"/>
      <c r="BQ262" s="530"/>
      <c r="BV262" s="530"/>
      <c r="BW262" s="530"/>
    </row>
    <row r="263">
      <c r="N263" s="530"/>
      <c r="O263" s="530"/>
      <c r="T263" s="530"/>
      <c r="U263" s="530"/>
      <c r="Z263" s="530"/>
      <c r="AA263" s="530"/>
      <c r="AF263" s="530"/>
      <c r="AG263" s="530"/>
      <c r="AL263" s="530"/>
      <c r="AM263" s="530"/>
      <c r="AR263" s="530"/>
      <c r="AS263" s="530"/>
      <c r="AX263" s="530"/>
      <c r="AY263" s="530"/>
      <c r="BD263" s="530"/>
      <c r="BE263" s="530"/>
      <c r="BJ263" s="530"/>
      <c r="BK263" s="530"/>
      <c r="BP263" s="530"/>
      <c r="BQ263" s="530"/>
      <c r="BV263" s="530"/>
      <c r="BW263" s="530"/>
    </row>
    <row r="264">
      <c r="N264" s="530"/>
      <c r="O264" s="530"/>
      <c r="T264" s="530"/>
      <c r="U264" s="530"/>
      <c r="Z264" s="530"/>
      <c r="AA264" s="530"/>
      <c r="AF264" s="530"/>
      <c r="AG264" s="530"/>
      <c r="AL264" s="530"/>
      <c r="AM264" s="530"/>
      <c r="AR264" s="530"/>
      <c r="AS264" s="530"/>
      <c r="AX264" s="530"/>
      <c r="AY264" s="530"/>
      <c r="BD264" s="530"/>
      <c r="BE264" s="530"/>
      <c r="BJ264" s="530"/>
      <c r="BK264" s="530"/>
      <c r="BP264" s="530"/>
      <c r="BQ264" s="530"/>
      <c r="BV264" s="530"/>
      <c r="BW264" s="530"/>
    </row>
    <row r="265">
      <c r="N265" s="530"/>
      <c r="O265" s="530"/>
      <c r="T265" s="530"/>
      <c r="U265" s="530"/>
      <c r="Z265" s="530"/>
      <c r="AA265" s="530"/>
      <c r="AF265" s="530"/>
      <c r="AG265" s="530"/>
      <c r="AL265" s="530"/>
      <c r="AM265" s="530"/>
      <c r="AR265" s="530"/>
      <c r="AS265" s="530"/>
      <c r="AX265" s="530"/>
      <c r="AY265" s="530"/>
      <c r="BD265" s="530"/>
      <c r="BE265" s="530"/>
      <c r="BJ265" s="530"/>
      <c r="BK265" s="530"/>
      <c r="BP265" s="530"/>
      <c r="BQ265" s="530"/>
      <c r="BV265" s="530"/>
      <c r="BW265" s="530"/>
    </row>
    <row r="266">
      <c r="N266" s="530"/>
      <c r="O266" s="530"/>
      <c r="T266" s="530"/>
      <c r="U266" s="530"/>
      <c r="Z266" s="530"/>
      <c r="AA266" s="530"/>
      <c r="AF266" s="530"/>
      <c r="AG266" s="530"/>
      <c r="AL266" s="530"/>
      <c r="AM266" s="530"/>
      <c r="AR266" s="530"/>
      <c r="AS266" s="530"/>
      <c r="AX266" s="530"/>
      <c r="AY266" s="530"/>
      <c r="BD266" s="530"/>
      <c r="BE266" s="530"/>
      <c r="BJ266" s="530"/>
      <c r="BK266" s="530"/>
      <c r="BP266" s="530"/>
      <c r="BQ266" s="530"/>
      <c r="BV266" s="530"/>
      <c r="BW266" s="530"/>
    </row>
    <row r="267">
      <c r="N267" s="530"/>
      <c r="O267" s="530"/>
      <c r="T267" s="530"/>
      <c r="U267" s="530"/>
      <c r="Z267" s="530"/>
      <c r="AA267" s="530"/>
      <c r="AF267" s="530"/>
      <c r="AG267" s="530"/>
      <c r="AL267" s="530"/>
      <c r="AM267" s="530"/>
      <c r="AR267" s="530"/>
      <c r="AS267" s="530"/>
      <c r="AX267" s="530"/>
      <c r="AY267" s="530"/>
      <c r="BD267" s="530"/>
      <c r="BE267" s="530"/>
      <c r="BJ267" s="530"/>
      <c r="BK267" s="530"/>
      <c r="BP267" s="530"/>
      <c r="BQ267" s="530"/>
      <c r="BV267" s="530"/>
      <c r="BW267" s="530"/>
    </row>
    <row r="268">
      <c r="N268" s="530"/>
      <c r="O268" s="530"/>
      <c r="T268" s="530"/>
      <c r="U268" s="530"/>
      <c r="Z268" s="530"/>
      <c r="AA268" s="530"/>
      <c r="AF268" s="530"/>
      <c r="AG268" s="530"/>
      <c r="AL268" s="530"/>
      <c r="AM268" s="530"/>
      <c r="AR268" s="530"/>
      <c r="AS268" s="530"/>
      <c r="AX268" s="530"/>
      <c r="AY268" s="530"/>
      <c r="BD268" s="530"/>
      <c r="BE268" s="530"/>
      <c r="BJ268" s="530"/>
      <c r="BK268" s="530"/>
      <c r="BP268" s="530"/>
      <c r="BQ268" s="530"/>
      <c r="BV268" s="530"/>
      <c r="BW268" s="530"/>
    </row>
    <row r="269">
      <c r="N269" s="530"/>
      <c r="O269" s="530"/>
      <c r="T269" s="530"/>
      <c r="U269" s="530"/>
      <c r="Z269" s="530"/>
      <c r="AA269" s="530"/>
      <c r="AF269" s="530"/>
      <c r="AG269" s="530"/>
      <c r="AL269" s="530"/>
      <c r="AM269" s="530"/>
      <c r="AR269" s="530"/>
      <c r="AS269" s="530"/>
      <c r="AX269" s="530"/>
      <c r="AY269" s="530"/>
      <c r="BD269" s="530"/>
      <c r="BE269" s="530"/>
      <c r="BJ269" s="530"/>
      <c r="BK269" s="530"/>
      <c r="BP269" s="530"/>
      <c r="BQ269" s="530"/>
      <c r="BV269" s="530"/>
      <c r="BW269" s="530"/>
    </row>
    <row r="270">
      <c r="N270" s="530"/>
      <c r="O270" s="530"/>
      <c r="T270" s="530"/>
      <c r="U270" s="530"/>
      <c r="Z270" s="530"/>
      <c r="AA270" s="530"/>
      <c r="AF270" s="530"/>
      <c r="AG270" s="530"/>
      <c r="AL270" s="530"/>
      <c r="AM270" s="530"/>
      <c r="AR270" s="530"/>
      <c r="AS270" s="530"/>
      <c r="AX270" s="530"/>
      <c r="AY270" s="530"/>
      <c r="BD270" s="530"/>
      <c r="BE270" s="530"/>
      <c r="BJ270" s="530"/>
      <c r="BK270" s="530"/>
      <c r="BP270" s="530"/>
      <c r="BQ270" s="530"/>
      <c r="BV270" s="530"/>
      <c r="BW270" s="530"/>
    </row>
    <row r="271">
      <c r="N271" s="530"/>
      <c r="O271" s="530"/>
      <c r="T271" s="530"/>
      <c r="U271" s="530"/>
      <c r="Z271" s="530"/>
      <c r="AA271" s="530"/>
      <c r="AF271" s="530"/>
      <c r="AG271" s="530"/>
      <c r="AL271" s="530"/>
      <c r="AM271" s="530"/>
      <c r="AR271" s="530"/>
      <c r="AS271" s="530"/>
      <c r="AX271" s="530"/>
      <c r="AY271" s="530"/>
      <c r="BD271" s="530"/>
      <c r="BE271" s="530"/>
      <c r="BJ271" s="530"/>
      <c r="BK271" s="530"/>
      <c r="BP271" s="530"/>
      <c r="BQ271" s="530"/>
      <c r="BV271" s="530"/>
      <c r="BW271" s="530"/>
    </row>
    <row r="272">
      <c r="N272" s="530"/>
      <c r="O272" s="530"/>
      <c r="T272" s="530"/>
      <c r="U272" s="530"/>
      <c r="Z272" s="530"/>
      <c r="AA272" s="530"/>
      <c r="AF272" s="530"/>
      <c r="AG272" s="530"/>
      <c r="AL272" s="530"/>
      <c r="AM272" s="530"/>
      <c r="AR272" s="530"/>
      <c r="AS272" s="530"/>
      <c r="AX272" s="530"/>
      <c r="AY272" s="530"/>
      <c r="BD272" s="530"/>
      <c r="BE272" s="530"/>
      <c r="BJ272" s="530"/>
      <c r="BK272" s="530"/>
      <c r="BP272" s="530"/>
      <c r="BQ272" s="530"/>
      <c r="BV272" s="530"/>
      <c r="BW272" s="530"/>
    </row>
    <row r="273">
      <c r="N273" s="530"/>
      <c r="O273" s="530"/>
      <c r="T273" s="530"/>
      <c r="U273" s="530"/>
      <c r="Z273" s="530"/>
      <c r="AA273" s="530"/>
      <c r="AF273" s="530"/>
      <c r="AG273" s="530"/>
      <c r="AL273" s="530"/>
      <c r="AM273" s="530"/>
      <c r="AR273" s="530"/>
      <c r="AS273" s="530"/>
      <c r="AX273" s="530"/>
      <c r="AY273" s="530"/>
      <c r="BD273" s="530"/>
      <c r="BE273" s="530"/>
      <c r="BJ273" s="530"/>
      <c r="BK273" s="530"/>
      <c r="BP273" s="530"/>
      <c r="BQ273" s="530"/>
      <c r="BV273" s="530"/>
      <c r="BW273" s="530"/>
    </row>
    <row r="274">
      <c r="N274" s="530"/>
      <c r="O274" s="530"/>
      <c r="T274" s="530"/>
      <c r="U274" s="530"/>
      <c r="Z274" s="530"/>
      <c r="AA274" s="530"/>
      <c r="AF274" s="530"/>
      <c r="AG274" s="530"/>
      <c r="AL274" s="530"/>
      <c r="AM274" s="530"/>
      <c r="AR274" s="530"/>
      <c r="AS274" s="530"/>
      <c r="AX274" s="530"/>
      <c r="AY274" s="530"/>
      <c r="BD274" s="530"/>
      <c r="BE274" s="530"/>
      <c r="BJ274" s="530"/>
      <c r="BK274" s="530"/>
      <c r="BP274" s="530"/>
      <c r="BQ274" s="530"/>
      <c r="BV274" s="530"/>
      <c r="BW274" s="530"/>
    </row>
    <row r="275">
      <c r="N275" s="530"/>
      <c r="O275" s="530"/>
      <c r="T275" s="530"/>
      <c r="U275" s="530"/>
      <c r="Z275" s="530"/>
      <c r="AA275" s="530"/>
      <c r="AF275" s="530"/>
      <c r="AG275" s="530"/>
      <c r="AL275" s="530"/>
      <c r="AM275" s="530"/>
      <c r="AR275" s="530"/>
      <c r="AS275" s="530"/>
      <c r="AX275" s="530"/>
      <c r="AY275" s="530"/>
      <c r="BD275" s="530"/>
      <c r="BE275" s="530"/>
      <c r="BJ275" s="530"/>
      <c r="BK275" s="530"/>
      <c r="BP275" s="530"/>
      <c r="BQ275" s="530"/>
      <c r="BV275" s="530"/>
      <c r="BW275" s="530"/>
    </row>
    <row r="276">
      <c r="N276" s="530"/>
      <c r="O276" s="530"/>
      <c r="T276" s="530"/>
      <c r="U276" s="530"/>
      <c r="Z276" s="530"/>
      <c r="AA276" s="530"/>
      <c r="AF276" s="530"/>
      <c r="AG276" s="530"/>
      <c r="AL276" s="530"/>
      <c r="AM276" s="530"/>
      <c r="AR276" s="530"/>
      <c r="AS276" s="530"/>
      <c r="AX276" s="530"/>
      <c r="AY276" s="530"/>
      <c r="BD276" s="530"/>
      <c r="BE276" s="530"/>
      <c r="BJ276" s="530"/>
      <c r="BK276" s="530"/>
      <c r="BP276" s="530"/>
      <c r="BQ276" s="530"/>
      <c r="BV276" s="530"/>
      <c r="BW276" s="530"/>
    </row>
    <row r="277">
      <c r="N277" s="530"/>
      <c r="O277" s="530"/>
      <c r="T277" s="530"/>
      <c r="U277" s="530"/>
      <c r="Z277" s="530"/>
      <c r="AA277" s="530"/>
      <c r="AF277" s="530"/>
      <c r="AG277" s="530"/>
      <c r="AL277" s="530"/>
      <c r="AM277" s="530"/>
      <c r="AR277" s="530"/>
      <c r="AS277" s="530"/>
      <c r="AX277" s="530"/>
      <c r="AY277" s="530"/>
      <c r="BD277" s="530"/>
      <c r="BE277" s="530"/>
      <c r="BJ277" s="530"/>
      <c r="BK277" s="530"/>
      <c r="BP277" s="530"/>
      <c r="BQ277" s="530"/>
      <c r="BV277" s="530"/>
      <c r="BW277" s="530"/>
    </row>
    <row r="278">
      <c r="N278" s="530"/>
      <c r="O278" s="530"/>
      <c r="T278" s="530"/>
      <c r="U278" s="530"/>
      <c r="Z278" s="530"/>
      <c r="AA278" s="530"/>
      <c r="AF278" s="530"/>
      <c r="AG278" s="530"/>
      <c r="AL278" s="530"/>
      <c r="AM278" s="530"/>
      <c r="AR278" s="530"/>
      <c r="AS278" s="530"/>
      <c r="AX278" s="530"/>
      <c r="AY278" s="530"/>
      <c r="BD278" s="530"/>
      <c r="BE278" s="530"/>
      <c r="BJ278" s="530"/>
      <c r="BK278" s="530"/>
      <c r="BP278" s="530"/>
      <c r="BQ278" s="530"/>
      <c r="BV278" s="530"/>
      <c r="BW278" s="530"/>
    </row>
    <row r="279">
      <c r="N279" s="530"/>
      <c r="O279" s="530"/>
      <c r="T279" s="530"/>
      <c r="U279" s="530"/>
      <c r="Z279" s="530"/>
      <c r="AA279" s="530"/>
      <c r="AF279" s="530"/>
      <c r="AG279" s="530"/>
      <c r="AL279" s="530"/>
      <c r="AM279" s="530"/>
      <c r="AR279" s="530"/>
      <c r="AS279" s="530"/>
      <c r="AX279" s="530"/>
      <c r="AY279" s="530"/>
      <c r="BD279" s="530"/>
      <c r="BE279" s="530"/>
      <c r="BJ279" s="530"/>
      <c r="BK279" s="530"/>
      <c r="BP279" s="530"/>
      <c r="BQ279" s="530"/>
      <c r="BV279" s="530"/>
      <c r="BW279" s="530"/>
    </row>
    <row r="280">
      <c r="N280" s="530"/>
      <c r="O280" s="530"/>
      <c r="T280" s="530"/>
      <c r="U280" s="530"/>
      <c r="Z280" s="530"/>
      <c r="AA280" s="530"/>
      <c r="AF280" s="530"/>
      <c r="AG280" s="530"/>
      <c r="AL280" s="530"/>
      <c r="AM280" s="530"/>
      <c r="AR280" s="530"/>
      <c r="AS280" s="530"/>
      <c r="AX280" s="530"/>
      <c r="AY280" s="530"/>
      <c r="BD280" s="530"/>
      <c r="BE280" s="530"/>
      <c r="BJ280" s="530"/>
      <c r="BK280" s="530"/>
      <c r="BP280" s="530"/>
      <c r="BQ280" s="530"/>
      <c r="BV280" s="530"/>
      <c r="BW280" s="530"/>
    </row>
    <row r="281">
      <c r="N281" s="530"/>
      <c r="O281" s="530"/>
      <c r="T281" s="530"/>
      <c r="U281" s="530"/>
      <c r="Z281" s="530"/>
      <c r="AA281" s="530"/>
      <c r="AF281" s="530"/>
      <c r="AG281" s="530"/>
      <c r="AL281" s="530"/>
      <c r="AM281" s="530"/>
      <c r="AR281" s="530"/>
      <c r="AS281" s="530"/>
      <c r="AX281" s="530"/>
      <c r="AY281" s="530"/>
      <c r="BD281" s="530"/>
      <c r="BE281" s="530"/>
      <c r="BJ281" s="530"/>
      <c r="BK281" s="530"/>
      <c r="BP281" s="530"/>
      <c r="BQ281" s="530"/>
      <c r="BV281" s="530"/>
      <c r="BW281" s="530"/>
    </row>
    <row r="282">
      <c r="N282" s="530"/>
      <c r="O282" s="530"/>
      <c r="T282" s="530"/>
      <c r="U282" s="530"/>
      <c r="Z282" s="530"/>
      <c r="AA282" s="530"/>
      <c r="AF282" s="530"/>
      <c r="AG282" s="530"/>
      <c r="AL282" s="530"/>
      <c r="AM282" s="530"/>
      <c r="AR282" s="530"/>
      <c r="AS282" s="530"/>
      <c r="AX282" s="530"/>
      <c r="AY282" s="530"/>
      <c r="BD282" s="530"/>
      <c r="BE282" s="530"/>
      <c r="BJ282" s="530"/>
      <c r="BK282" s="530"/>
      <c r="BP282" s="530"/>
      <c r="BQ282" s="530"/>
      <c r="BV282" s="530"/>
      <c r="BW282" s="530"/>
    </row>
    <row r="283">
      <c r="N283" s="530"/>
      <c r="O283" s="530"/>
      <c r="T283" s="530"/>
      <c r="U283" s="530"/>
      <c r="Z283" s="530"/>
      <c r="AA283" s="530"/>
      <c r="AF283" s="530"/>
      <c r="AG283" s="530"/>
      <c r="AL283" s="530"/>
      <c r="AM283" s="530"/>
      <c r="AR283" s="530"/>
      <c r="AS283" s="530"/>
      <c r="AX283" s="530"/>
      <c r="AY283" s="530"/>
      <c r="BD283" s="530"/>
      <c r="BE283" s="530"/>
      <c r="BJ283" s="530"/>
      <c r="BK283" s="530"/>
      <c r="BP283" s="530"/>
      <c r="BQ283" s="530"/>
      <c r="BV283" s="530"/>
      <c r="BW283" s="530"/>
    </row>
    <row r="284">
      <c r="N284" s="530"/>
      <c r="O284" s="530"/>
      <c r="T284" s="530"/>
      <c r="U284" s="530"/>
      <c r="Z284" s="530"/>
      <c r="AA284" s="530"/>
      <c r="AF284" s="530"/>
      <c r="AG284" s="530"/>
      <c r="AL284" s="530"/>
      <c r="AM284" s="530"/>
      <c r="AR284" s="530"/>
      <c r="AS284" s="530"/>
      <c r="AX284" s="530"/>
      <c r="AY284" s="530"/>
      <c r="BD284" s="530"/>
      <c r="BE284" s="530"/>
      <c r="BJ284" s="530"/>
      <c r="BK284" s="530"/>
      <c r="BP284" s="530"/>
      <c r="BQ284" s="530"/>
      <c r="BV284" s="530"/>
      <c r="BW284" s="530"/>
    </row>
    <row r="285">
      <c r="N285" s="530"/>
      <c r="O285" s="530"/>
      <c r="T285" s="530"/>
      <c r="U285" s="530"/>
      <c r="Z285" s="530"/>
      <c r="AA285" s="530"/>
      <c r="AF285" s="530"/>
      <c r="AG285" s="530"/>
      <c r="AL285" s="530"/>
      <c r="AM285" s="530"/>
      <c r="AR285" s="530"/>
      <c r="AS285" s="530"/>
      <c r="AX285" s="530"/>
      <c r="AY285" s="530"/>
      <c r="BD285" s="530"/>
      <c r="BE285" s="530"/>
      <c r="BJ285" s="530"/>
      <c r="BK285" s="530"/>
      <c r="BP285" s="530"/>
      <c r="BQ285" s="530"/>
      <c r="BV285" s="530"/>
      <c r="BW285" s="530"/>
    </row>
    <row r="286">
      <c r="N286" s="530"/>
      <c r="O286" s="530"/>
      <c r="T286" s="530"/>
      <c r="U286" s="530"/>
      <c r="Z286" s="530"/>
      <c r="AA286" s="530"/>
      <c r="AF286" s="530"/>
      <c r="AG286" s="530"/>
      <c r="AL286" s="530"/>
      <c r="AM286" s="530"/>
      <c r="AR286" s="530"/>
      <c r="AS286" s="530"/>
      <c r="AX286" s="530"/>
      <c r="AY286" s="530"/>
      <c r="BD286" s="530"/>
      <c r="BE286" s="530"/>
      <c r="BJ286" s="530"/>
      <c r="BK286" s="530"/>
      <c r="BP286" s="530"/>
      <c r="BQ286" s="530"/>
      <c r="BV286" s="530"/>
      <c r="BW286" s="530"/>
    </row>
    <row r="287">
      <c r="N287" s="530"/>
      <c r="O287" s="530"/>
      <c r="T287" s="530"/>
      <c r="U287" s="530"/>
      <c r="Z287" s="530"/>
      <c r="AA287" s="530"/>
      <c r="AF287" s="530"/>
      <c r="AG287" s="530"/>
      <c r="AL287" s="530"/>
      <c r="AM287" s="530"/>
      <c r="AR287" s="530"/>
      <c r="AS287" s="530"/>
      <c r="AX287" s="530"/>
      <c r="AY287" s="530"/>
      <c r="BD287" s="530"/>
      <c r="BE287" s="530"/>
      <c r="BJ287" s="530"/>
      <c r="BK287" s="530"/>
      <c r="BP287" s="530"/>
      <c r="BQ287" s="530"/>
      <c r="BV287" s="530"/>
      <c r="BW287" s="530"/>
    </row>
    <row r="288">
      <c r="N288" s="530"/>
      <c r="O288" s="530"/>
      <c r="T288" s="530"/>
      <c r="U288" s="530"/>
      <c r="Z288" s="530"/>
      <c r="AA288" s="530"/>
      <c r="AF288" s="530"/>
      <c r="AG288" s="530"/>
      <c r="AL288" s="530"/>
      <c r="AM288" s="530"/>
      <c r="AR288" s="530"/>
      <c r="AS288" s="530"/>
      <c r="AX288" s="530"/>
      <c r="AY288" s="530"/>
      <c r="BD288" s="530"/>
      <c r="BE288" s="530"/>
      <c r="BJ288" s="530"/>
      <c r="BK288" s="530"/>
      <c r="BP288" s="530"/>
      <c r="BQ288" s="530"/>
      <c r="BV288" s="530"/>
      <c r="BW288" s="530"/>
    </row>
    <row r="289">
      <c r="N289" s="530"/>
      <c r="O289" s="530"/>
      <c r="T289" s="530"/>
      <c r="U289" s="530"/>
      <c r="Z289" s="530"/>
      <c r="AA289" s="530"/>
      <c r="AF289" s="530"/>
      <c r="AG289" s="530"/>
      <c r="AL289" s="530"/>
      <c r="AM289" s="530"/>
      <c r="AR289" s="530"/>
      <c r="AS289" s="530"/>
      <c r="AX289" s="530"/>
      <c r="AY289" s="530"/>
      <c r="BD289" s="530"/>
      <c r="BE289" s="530"/>
      <c r="BJ289" s="530"/>
      <c r="BK289" s="530"/>
      <c r="BP289" s="530"/>
      <c r="BQ289" s="530"/>
      <c r="BV289" s="530"/>
      <c r="BW289" s="530"/>
    </row>
    <row r="290">
      <c r="N290" s="530"/>
      <c r="O290" s="530"/>
      <c r="T290" s="530"/>
      <c r="U290" s="530"/>
      <c r="Z290" s="530"/>
      <c r="AA290" s="530"/>
      <c r="AF290" s="530"/>
      <c r="AG290" s="530"/>
      <c r="AL290" s="530"/>
      <c r="AM290" s="530"/>
      <c r="AR290" s="530"/>
      <c r="AS290" s="530"/>
      <c r="AX290" s="530"/>
      <c r="AY290" s="530"/>
      <c r="BD290" s="530"/>
      <c r="BE290" s="530"/>
      <c r="BJ290" s="530"/>
      <c r="BK290" s="530"/>
      <c r="BP290" s="530"/>
      <c r="BQ290" s="530"/>
      <c r="BV290" s="530"/>
      <c r="BW290" s="530"/>
    </row>
    <row r="291">
      <c r="N291" s="530"/>
      <c r="O291" s="530"/>
      <c r="T291" s="530"/>
      <c r="U291" s="530"/>
      <c r="Z291" s="530"/>
      <c r="AA291" s="530"/>
      <c r="AF291" s="530"/>
      <c r="AG291" s="530"/>
      <c r="AL291" s="530"/>
      <c r="AM291" s="530"/>
      <c r="AR291" s="530"/>
      <c r="AS291" s="530"/>
      <c r="AX291" s="530"/>
      <c r="AY291" s="530"/>
      <c r="BD291" s="530"/>
      <c r="BE291" s="530"/>
      <c r="BJ291" s="530"/>
      <c r="BK291" s="530"/>
      <c r="BP291" s="530"/>
      <c r="BQ291" s="530"/>
      <c r="BV291" s="530"/>
      <c r="BW291" s="530"/>
    </row>
    <row r="292">
      <c r="N292" s="530"/>
      <c r="O292" s="530"/>
      <c r="T292" s="530"/>
      <c r="U292" s="530"/>
      <c r="Z292" s="530"/>
      <c r="AA292" s="530"/>
      <c r="AF292" s="530"/>
      <c r="AG292" s="530"/>
      <c r="AL292" s="530"/>
      <c r="AM292" s="530"/>
      <c r="AR292" s="530"/>
      <c r="AS292" s="530"/>
      <c r="AX292" s="530"/>
      <c r="AY292" s="530"/>
      <c r="BD292" s="530"/>
      <c r="BE292" s="530"/>
      <c r="BJ292" s="530"/>
      <c r="BK292" s="530"/>
      <c r="BP292" s="530"/>
      <c r="BQ292" s="530"/>
      <c r="BV292" s="530"/>
      <c r="BW292" s="530"/>
    </row>
    <row r="293">
      <c r="N293" s="530"/>
      <c r="O293" s="530"/>
      <c r="T293" s="530"/>
      <c r="U293" s="530"/>
      <c r="Z293" s="530"/>
      <c r="AA293" s="530"/>
      <c r="AF293" s="530"/>
      <c r="AG293" s="530"/>
      <c r="AL293" s="530"/>
      <c r="AM293" s="530"/>
      <c r="AR293" s="530"/>
      <c r="AS293" s="530"/>
      <c r="AX293" s="530"/>
      <c r="AY293" s="530"/>
      <c r="BD293" s="530"/>
      <c r="BE293" s="530"/>
      <c r="BJ293" s="530"/>
      <c r="BK293" s="530"/>
      <c r="BP293" s="530"/>
      <c r="BQ293" s="530"/>
      <c r="BV293" s="530"/>
      <c r="BW293" s="530"/>
    </row>
    <row r="294">
      <c r="N294" s="530"/>
      <c r="O294" s="530"/>
      <c r="T294" s="530"/>
      <c r="U294" s="530"/>
      <c r="Z294" s="530"/>
      <c r="AA294" s="530"/>
      <c r="AF294" s="530"/>
      <c r="AG294" s="530"/>
      <c r="AL294" s="530"/>
      <c r="AM294" s="530"/>
      <c r="AR294" s="530"/>
      <c r="AS294" s="530"/>
      <c r="AX294" s="530"/>
      <c r="AY294" s="530"/>
      <c r="BD294" s="530"/>
      <c r="BE294" s="530"/>
      <c r="BJ294" s="530"/>
      <c r="BK294" s="530"/>
      <c r="BP294" s="530"/>
      <c r="BQ294" s="530"/>
      <c r="BV294" s="530"/>
      <c r="BW294" s="530"/>
    </row>
    <row r="295">
      <c r="N295" s="530"/>
      <c r="O295" s="530"/>
      <c r="T295" s="530"/>
      <c r="U295" s="530"/>
      <c r="Z295" s="530"/>
      <c r="AA295" s="530"/>
      <c r="AF295" s="530"/>
      <c r="AG295" s="530"/>
      <c r="AL295" s="530"/>
      <c r="AM295" s="530"/>
      <c r="AR295" s="530"/>
      <c r="AS295" s="530"/>
      <c r="AX295" s="530"/>
      <c r="AY295" s="530"/>
      <c r="BD295" s="530"/>
      <c r="BE295" s="530"/>
      <c r="BJ295" s="530"/>
      <c r="BK295" s="530"/>
      <c r="BP295" s="530"/>
      <c r="BQ295" s="530"/>
      <c r="BV295" s="530"/>
      <c r="BW295" s="530"/>
    </row>
    <row r="296">
      <c r="N296" s="530"/>
      <c r="O296" s="530"/>
      <c r="T296" s="530"/>
      <c r="U296" s="530"/>
      <c r="Z296" s="530"/>
      <c r="AA296" s="530"/>
      <c r="AF296" s="530"/>
      <c r="AG296" s="530"/>
      <c r="AL296" s="530"/>
      <c r="AM296" s="530"/>
      <c r="AR296" s="530"/>
      <c r="AS296" s="530"/>
      <c r="AX296" s="530"/>
      <c r="AY296" s="530"/>
      <c r="BD296" s="530"/>
      <c r="BE296" s="530"/>
      <c r="BJ296" s="530"/>
      <c r="BK296" s="530"/>
      <c r="BP296" s="530"/>
      <c r="BQ296" s="530"/>
      <c r="BV296" s="530"/>
      <c r="BW296" s="530"/>
    </row>
    <row r="297">
      <c r="N297" s="530"/>
      <c r="O297" s="530"/>
      <c r="T297" s="530"/>
      <c r="U297" s="530"/>
      <c r="Z297" s="530"/>
      <c r="AA297" s="530"/>
      <c r="AF297" s="530"/>
      <c r="AG297" s="530"/>
      <c r="AL297" s="530"/>
      <c r="AM297" s="530"/>
      <c r="AR297" s="530"/>
      <c r="AS297" s="530"/>
      <c r="AX297" s="530"/>
      <c r="AY297" s="530"/>
      <c r="BD297" s="530"/>
      <c r="BE297" s="530"/>
      <c r="BJ297" s="530"/>
      <c r="BK297" s="530"/>
      <c r="BP297" s="530"/>
      <c r="BQ297" s="530"/>
      <c r="BV297" s="530"/>
      <c r="BW297" s="530"/>
    </row>
    <row r="298">
      <c r="N298" s="530"/>
      <c r="O298" s="530"/>
      <c r="T298" s="530"/>
      <c r="U298" s="530"/>
      <c r="Z298" s="530"/>
      <c r="AA298" s="530"/>
      <c r="AF298" s="530"/>
      <c r="AG298" s="530"/>
      <c r="AL298" s="530"/>
      <c r="AM298" s="530"/>
      <c r="AR298" s="530"/>
      <c r="AS298" s="530"/>
      <c r="AX298" s="530"/>
      <c r="AY298" s="530"/>
      <c r="BD298" s="530"/>
      <c r="BE298" s="530"/>
      <c r="BJ298" s="530"/>
      <c r="BK298" s="530"/>
      <c r="BP298" s="530"/>
      <c r="BQ298" s="530"/>
      <c r="BV298" s="530"/>
      <c r="BW298" s="530"/>
    </row>
    <row r="299">
      <c r="N299" s="530"/>
      <c r="O299" s="530"/>
      <c r="T299" s="530"/>
      <c r="U299" s="530"/>
      <c r="Z299" s="530"/>
      <c r="AA299" s="530"/>
      <c r="AF299" s="530"/>
      <c r="AG299" s="530"/>
      <c r="AL299" s="530"/>
      <c r="AM299" s="530"/>
      <c r="AR299" s="530"/>
      <c r="AS299" s="530"/>
      <c r="AX299" s="530"/>
      <c r="AY299" s="530"/>
      <c r="BD299" s="530"/>
      <c r="BE299" s="530"/>
      <c r="BJ299" s="530"/>
      <c r="BK299" s="530"/>
      <c r="BP299" s="530"/>
      <c r="BQ299" s="530"/>
      <c r="BV299" s="530"/>
      <c r="BW299" s="530"/>
    </row>
    <row r="300">
      <c r="N300" s="530"/>
      <c r="O300" s="530"/>
      <c r="T300" s="530"/>
      <c r="U300" s="530"/>
      <c r="Z300" s="530"/>
      <c r="AA300" s="530"/>
      <c r="AF300" s="530"/>
      <c r="AG300" s="530"/>
      <c r="AL300" s="530"/>
      <c r="AM300" s="530"/>
      <c r="AR300" s="530"/>
      <c r="AS300" s="530"/>
      <c r="AX300" s="530"/>
      <c r="AY300" s="530"/>
      <c r="BD300" s="530"/>
      <c r="BE300" s="530"/>
      <c r="BJ300" s="530"/>
      <c r="BK300" s="530"/>
      <c r="BP300" s="530"/>
      <c r="BQ300" s="530"/>
      <c r="BV300" s="530"/>
      <c r="BW300" s="530"/>
    </row>
    <row r="301">
      <c r="N301" s="530"/>
      <c r="O301" s="530"/>
      <c r="T301" s="530"/>
      <c r="U301" s="530"/>
      <c r="Z301" s="530"/>
      <c r="AA301" s="530"/>
      <c r="AF301" s="530"/>
      <c r="AG301" s="530"/>
      <c r="AL301" s="530"/>
      <c r="AM301" s="530"/>
      <c r="AR301" s="530"/>
      <c r="AS301" s="530"/>
      <c r="AX301" s="530"/>
      <c r="AY301" s="530"/>
      <c r="BD301" s="530"/>
      <c r="BE301" s="530"/>
      <c r="BJ301" s="530"/>
      <c r="BK301" s="530"/>
      <c r="BP301" s="530"/>
      <c r="BQ301" s="530"/>
      <c r="BV301" s="530"/>
      <c r="BW301" s="530"/>
    </row>
    <row r="302">
      <c r="N302" s="530"/>
      <c r="O302" s="530"/>
      <c r="T302" s="530"/>
      <c r="U302" s="530"/>
      <c r="Z302" s="530"/>
      <c r="AA302" s="530"/>
      <c r="AF302" s="530"/>
      <c r="AG302" s="530"/>
      <c r="AL302" s="530"/>
      <c r="AM302" s="530"/>
      <c r="AR302" s="530"/>
      <c r="AS302" s="530"/>
      <c r="AX302" s="530"/>
      <c r="AY302" s="530"/>
      <c r="BD302" s="530"/>
      <c r="BE302" s="530"/>
      <c r="BJ302" s="530"/>
      <c r="BK302" s="530"/>
      <c r="BP302" s="530"/>
      <c r="BQ302" s="530"/>
      <c r="BV302" s="530"/>
      <c r="BW302" s="530"/>
    </row>
    <row r="303">
      <c r="N303" s="530"/>
      <c r="O303" s="530"/>
      <c r="T303" s="530"/>
      <c r="U303" s="530"/>
      <c r="Z303" s="530"/>
      <c r="AA303" s="530"/>
      <c r="AF303" s="530"/>
      <c r="AG303" s="530"/>
      <c r="AL303" s="530"/>
      <c r="AM303" s="530"/>
      <c r="AR303" s="530"/>
      <c r="AS303" s="530"/>
      <c r="AX303" s="530"/>
      <c r="AY303" s="530"/>
      <c r="BD303" s="530"/>
      <c r="BE303" s="530"/>
      <c r="BJ303" s="530"/>
      <c r="BK303" s="530"/>
      <c r="BP303" s="530"/>
      <c r="BQ303" s="530"/>
      <c r="BV303" s="530"/>
      <c r="BW303" s="530"/>
    </row>
    <row r="304">
      <c r="N304" s="530"/>
      <c r="O304" s="530"/>
      <c r="T304" s="530"/>
      <c r="U304" s="530"/>
      <c r="Z304" s="530"/>
      <c r="AA304" s="530"/>
      <c r="AF304" s="530"/>
      <c r="AG304" s="530"/>
      <c r="AL304" s="530"/>
      <c r="AM304" s="530"/>
      <c r="AR304" s="530"/>
      <c r="AS304" s="530"/>
      <c r="AX304" s="530"/>
      <c r="AY304" s="530"/>
      <c r="BD304" s="530"/>
      <c r="BE304" s="530"/>
      <c r="BJ304" s="530"/>
      <c r="BK304" s="530"/>
      <c r="BP304" s="530"/>
      <c r="BQ304" s="530"/>
      <c r="BV304" s="530"/>
      <c r="BW304" s="530"/>
    </row>
    <row r="305">
      <c r="N305" s="530"/>
      <c r="O305" s="530"/>
      <c r="T305" s="530"/>
      <c r="U305" s="530"/>
      <c r="Z305" s="530"/>
      <c r="AA305" s="530"/>
      <c r="AF305" s="530"/>
      <c r="AG305" s="530"/>
      <c r="AL305" s="530"/>
      <c r="AM305" s="530"/>
      <c r="AR305" s="530"/>
      <c r="AS305" s="530"/>
      <c r="AX305" s="530"/>
      <c r="AY305" s="530"/>
      <c r="BD305" s="530"/>
      <c r="BE305" s="530"/>
      <c r="BJ305" s="530"/>
      <c r="BK305" s="530"/>
      <c r="BP305" s="530"/>
      <c r="BQ305" s="530"/>
      <c r="BV305" s="530"/>
      <c r="BW305" s="530"/>
    </row>
    <row r="306">
      <c r="N306" s="530"/>
      <c r="O306" s="530"/>
      <c r="T306" s="530"/>
      <c r="U306" s="530"/>
      <c r="Z306" s="530"/>
      <c r="AA306" s="530"/>
      <c r="AF306" s="530"/>
      <c r="AG306" s="530"/>
      <c r="AL306" s="530"/>
      <c r="AM306" s="530"/>
      <c r="AR306" s="530"/>
      <c r="AS306" s="530"/>
      <c r="AX306" s="530"/>
      <c r="AY306" s="530"/>
      <c r="BD306" s="530"/>
      <c r="BE306" s="530"/>
      <c r="BJ306" s="530"/>
      <c r="BK306" s="530"/>
      <c r="BP306" s="530"/>
      <c r="BQ306" s="530"/>
      <c r="BV306" s="530"/>
      <c r="BW306" s="530"/>
    </row>
    <row r="307">
      <c r="N307" s="530"/>
      <c r="O307" s="530"/>
      <c r="T307" s="530"/>
      <c r="U307" s="530"/>
      <c r="Z307" s="530"/>
      <c r="AA307" s="530"/>
      <c r="AF307" s="530"/>
      <c r="AG307" s="530"/>
      <c r="AL307" s="530"/>
      <c r="AM307" s="530"/>
      <c r="AR307" s="530"/>
      <c r="AS307" s="530"/>
      <c r="AX307" s="530"/>
      <c r="AY307" s="530"/>
      <c r="BD307" s="530"/>
      <c r="BE307" s="530"/>
      <c r="BJ307" s="530"/>
      <c r="BK307" s="530"/>
      <c r="BP307" s="530"/>
      <c r="BQ307" s="530"/>
      <c r="BV307" s="530"/>
      <c r="BW307" s="530"/>
    </row>
    <row r="308">
      <c r="N308" s="530"/>
      <c r="O308" s="530"/>
      <c r="T308" s="530"/>
      <c r="U308" s="530"/>
      <c r="Z308" s="530"/>
      <c r="AA308" s="530"/>
      <c r="AF308" s="530"/>
      <c r="AG308" s="530"/>
      <c r="AL308" s="530"/>
      <c r="AM308" s="530"/>
      <c r="AR308" s="530"/>
      <c r="AS308" s="530"/>
      <c r="AX308" s="530"/>
      <c r="AY308" s="530"/>
      <c r="BD308" s="530"/>
      <c r="BE308" s="530"/>
      <c r="BJ308" s="530"/>
      <c r="BK308" s="530"/>
      <c r="BP308" s="530"/>
      <c r="BQ308" s="530"/>
      <c r="BV308" s="530"/>
      <c r="BW308" s="530"/>
    </row>
    <row r="309">
      <c r="N309" s="530"/>
      <c r="O309" s="530"/>
      <c r="T309" s="530"/>
      <c r="U309" s="530"/>
      <c r="Z309" s="530"/>
      <c r="AA309" s="530"/>
      <c r="AF309" s="530"/>
      <c r="AG309" s="530"/>
      <c r="AL309" s="530"/>
      <c r="AM309" s="530"/>
      <c r="AR309" s="530"/>
      <c r="AS309" s="530"/>
      <c r="AX309" s="530"/>
      <c r="AY309" s="530"/>
      <c r="BD309" s="530"/>
      <c r="BE309" s="530"/>
      <c r="BJ309" s="530"/>
      <c r="BK309" s="530"/>
      <c r="BP309" s="530"/>
      <c r="BQ309" s="530"/>
      <c r="BV309" s="530"/>
      <c r="BW309" s="530"/>
    </row>
    <row r="310">
      <c r="N310" s="530"/>
      <c r="O310" s="530"/>
      <c r="T310" s="530"/>
      <c r="U310" s="530"/>
      <c r="Z310" s="530"/>
      <c r="AA310" s="530"/>
      <c r="AF310" s="530"/>
      <c r="AG310" s="530"/>
      <c r="AL310" s="530"/>
      <c r="AM310" s="530"/>
      <c r="AR310" s="530"/>
      <c r="AS310" s="530"/>
      <c r="AX310" s="530"/>
      <c r="AY310" s="530"/>
      <c r="BD310" s="530"/>
      <c r="BE310" s="530"/>
      <c r="BJ310" s="530"/>
      <c r="BK310" s="530"/>
      <c r="BP310" s="530"/>
      <c r="BQ310" s="530"/>
      <c r="BV310" s="530"/>
      <c r="BW310" s="530"/>
    </row>
    <row r="311">
      <c r="N311" s="530"/>
      <c r="O311" s="530"/>
      <c r="T311" s="530"/>
      <c r="U311" s="530"/>
      <c r="Z311" s="530"/>
      <c r="AA311" s="530"/>
      <c r="AF311" s="530"/>
      <c r="AG311" s="530"/>
      <c r="AL311" s="530"/>
      <c r="AM311" s="530"/>
      <c r="AR311" s="530"/>
      <c r="AS311" s="530"/>
      <c r="AX311" s="530"/>
      <c r="AY311" s="530"/>
      <c r="BD311" s="530"/>
      <c r="BE311" s="530"/>
      <c r="BJ311" s="530"/>
      <c r="BK311" s="530"/>
      <c r="BP311" s="530"/>
      <c r="BQ311" s="530"/>
      <c r="BV311" s="530"/>
      <c r="BW311" s="530"/>
    </row>
    <row r="312">
      <c r="N312" s="530"/>
      <c r="O312" s="530"/>
      <c r="T312" s="530"/>
      <c r="U312" s="530"/>
      <c r="Z312" s="530"/>
      <c r="AA312" s="530"/>
      <c r="AF312" s="530"/>
      <c r="AG312" s="530"/>
      <c r="AL312" s="530"/>
      <c r="AM312" s="530"/>
      <c r="AR312" s="530"/>
      <c r="AS312" s="530"/>
      <c r="AX312" s="530"/>
      <c r="AY312" s="530"/>
      <c r="BD312" s="530"/>
      <c r="BE312" s="530"/>
      <c r="BJ312" s="530"/>
      <c r="BK312" s="530"/>
      <c r="BP312" s="530"/>
      <c r="BQ312" s="530"/>
      <c r="BV312" s="530"/>
      <c r="BW312" s="530"/>
    </row>
    <row r="313">
      <c r="N313" s="530"/>
      <c r="O313" s="530"/>
      <c r="T313" s="530"/>
      <c r="U313" s="530"/>
      <c r="Z313" s="530"/>
      <c r="AA313" s="530"/>
      <c r="AF313" s="530"/>
      <c r="AG313" s="530"/>
      <c r="AL313" s="530"/>
      <c r="AM313" s="530"/>
      <c r="AR313" s="530"/>
      <c r="AS313" s="530"/>
      <c r="AX313" s="530"/>
      <c r="AY313" s="530"/>
      <c r="BD313" s="530"/>
      <c r="BE313" s="530"/>
      <c r="BJ313" s="530"/>
      <c r="BK313" s="530"/>
      <c r="BP313" s="530"/>
      <c r="BQ313" s="530"/>
      <c r="BV313" s="530"/>
      <c r="BW313" s="530"/>
    </row>
    <row r="314">
      <c r="N314" s="530"/>
      <c r="O314" s="530"/>
      <c r="T314" s="530"/>
      <c r="U314" s="530"/>
      <c r="Z314" s="530"/>
      <c r="AA314" s="530"/>
      <c r="AF314" s="530"/>
      <c r="AG314" s="530"/>
      <c r="AL314" s="530"/>
      <c r="AM314" s="530"/>
      <c r="AR314" s="530"/>
      <c r="AS314" s="530"/>
      <c r="AX314" s="530"/>
      <c r="AY314" s="530"/>
      <c r="BD314" s="530"/>
      <c r="BE314" s="530"/>
      <c r="BJ314" s="530"/>
      <c r="BK314" s="530"/>
      <c r="BP314" s="530"/>
      <c r="BQ314" s="530"/>
      <c r="BV314" s="530"/>
      <c r="BW314" s="530"/>
    </row>
    <row r="315">
      <c r="N315" s="530"/>
      <c r="O315" s="530"/>
      <c r="T315" s="530"/>
      <c r="U315" s="530"/>
      <c r="Z315" s="530"/>
      <c r="AA315" s="530"/>
      <c r="AF315" s="530"/>
      <c r="AG315" s="530"/>
      <c r="AL315" s="530"/>
      <c r="AM315" s="530"/>
      <c r="AR315" s="530"/>
      <c r="AS315" s="530"/>
      <c r="AX315" s="530"/>
      <c r="AY315" s="530"/>
      <c r="BD315" s="530"/>
      <c r="BE315" s="530"/>
      <c r="BJ315" s="530"/>
      <c r="BK315" s="530"/>
      <c r="BP315" s="530"/>
      <c r="BQ315" s="530"/>
      <c r="BV315" s="530"/>
      <c r="BW315" s="530"/>
    </row>
    <row r="316">
      <c r="N316" s="530"/>
      <c r="O316" s="530"/>
      <c r="T316" s="530"/>
      <c r="U316" s="530"/>
      <c r="Z316" s="530"/>
      <c r="AA316" s="530"/>
      <c r="AF316" s="530"/>
      <c r="AG316" s="530"/>
      <c r="AL316" s="530"/>
      <c r="AM316" s="530"/>
      <c r="AR316" s="530"/>
      <c r="AS316" s="530"/>
      <c r="AX316" s="530"/>
      <c r="AY316" s="530"/>
      <c r="BD316" s="530"/>
      <c r="BE316" s="530"/>
      <c r="BJ316" s="530"/>
      <c r="BK316" s="530"/>
      <c r="BP316" s="530"/>
      <c r="BQ316" s="530"/>
      <c r="BV316" s="530"/>
      <c r="BW316" s="530"/>
    </row>
    <row r="317">
      <c r="N317" s="530"/>
      <c r="O317" s="530"/>
      <c r="T317" s="530"/>
      <c r="U317" s="530"/>
      <c r="Z317" s="530"/>
      <c r="AA317" s="530"/>
      <c r="AF317" s="530"/>
      <c r="AG317" s="530"/>
      <c r="AL317" s="530"/>
      <c r="AM317" s="530"/>
      <c r="AR317" s="530"/>
      <c r="AS317" s="530"/>
      <c r="AX317" s="530"/>
      <c r="AY317" s="530"/>
      <c r="BD317" s="530"/>
      <c r="BE317" s="530"/>
      <c r="BJ317" s="530"/>
      <c r="BK317" s="530"/>
      <c r="BP317" s="530"/>
      <c r="BQ317" s="530"/>
      <c r="BV317" s="530"/>
      <c r="BW317" s="530"/>
    </row>
    <row r="318">
      <c r="N318" s="530"/>
      <c r="O318" s="530"/>
      <c r="T318" s="530"/>
      <c r="U318" s="530"/>
      <c r="Z318" s="530"/>
      <c r="AA318" s="530"/>
      <c r="AF318" s="530"/>
      <c r="AG318" s="530"/>
      <c r="AL318" s="530"/>
      <c r="AM318" s="530"/>
      <c r="AR318" s="530"/>
      <c r="AS318" s="530"/>
      <c r="AX318" s="530"/>
      <c r="AY318" s="530"/>
      <c r="BD318" s="530"/>
      <c r="BE318" s="530"/>
      <c r="BJ318" s="530"/>
      <c r="BK318" s="530"/>
      <c r="BP318" s="530"/>
      <c r="BQ318" s="530"/>
      <c r="BV318" s="530"/>
      <c r="BW318" s="530"/>
    </row>
    <row r="319">
      <c r="N319" s="530"/>
      <c r="O319" s="530"/>
      <c r="T319" s="530"/>
      <c r="U319" s="530"/>
      <c r="Z319" s="530"/>
      <c r="AA319" s="530"/>
      <c r="AF319" s="530"/>
      <c r="AG319" s="530"/>
      <c r="AL319" s="530"/>
      <c r="AM319" s="530"/>
      <c r="AR319" s="530"/>
      <c r="AS319" s="530"/>
      <c r="AX319" s="530"/>
      <c r="AY319" s="530"/>
      <c r="BD319" s="530"/>
      <c r="BE319" s="530"/>
      <c r="BJ319" s="530"/>
      <c r="BK319" s="530"/>
      <c r="BP319" s="530"/>
      <c r="BQ319" s="530"/>
      <c r="BV319" s="530"/>
      <c r="BW319" s="530"/>
    </row>
    <row r="320">
      <c r="N320" s="530"/>
      <c r="O320" s="530"/>
      <c r="T320" s="530"/>
      <c r="U320" s="530"/>
      <c r="Z320" s="530"/>
      <c r="AA320" s="530"/>
      <c r="AF320" s="530"/>
      <c r="AG320" s="530"/>
      <c r="AL320" s="530"/>
      <c r="AM320" s="530"/>
      <c r="AR320" s="530"/>
      <c r="AS320" s="530"/>
      <c r="AX320" s="530"/>
      <c r="AY320" s="530"/>
      <c r="BD320" s="530"/>
      <c r="BE320" s="530"/>
      <c r="BJ320" s="530"/>
      <c r="BK320" s="530"/>
      <c r="BP320" s="530"/>
      <c r="BQ320" s="530"/>
      <c r="BV320" s="530"/>
      <c r="BW320" s="530"/>
    </row>
    <row r="321">
      <c r="N321" s="530"/>
      <c r="O321" s="530"/>
      <c r="T321" s="530"/>
      <c r="U321" s="530"/>
      <c r="Z321" s="530"/>
      <c r="AA321" s="530"/>
      <c r="AF321" s="530"/>
      <c r="AG321" s="530"/>
      <c r="AL321" s="530"/>
      <c r="AM321" s="530"/>
      <c r="AR321" s="530"/>
      <c r="AS321" s="530"/>
      <c r="AX321" s="530"/>
      <c r="AY321" s="530"/>
      <c r="BD321" s="530"/>
      <c r="BE321" s="530"/>
      <c r="BJ321" s="530"/>
      <c r="BK321" s="530"/>
      <c r="BP321" s="530"/>
      <c r="BQ321" s="530"/>
      <c r="BV321" s="530"/>
      <c r="BW321" s="530"/>
    </row>
    <row r="322">
      <c r="N322" s="530"/>
      <c r="O322" s="530"/>
      <c r="T322" s="530"/>
      <c r="U322" s="530"/>
      <c r="Z322" s="530"/>
      <c r="AA322" s="530"/>
      <c r="AF322" s="530"/>
      <c r="AG322" s="530"/>
      <c r="AL322" s="530"/>
      <c r="AM322" s="530"/>
      <c r="AR322" s="530"/>
      <c r="AS322" s="530"/>
      <c r="AX322" s="530"/>
      <c r="AY322" s="530"/>
      <c r="BD322" s="530"/>
      <c r="BE322" s="530"/>
      <c r="BJ322" s="530"/>
      <c r="BK322" s="530"/>
      <c r="BP322" s="530"/>
      <c r="BQ322" s="530"/>
      <c r="BV322" s="530"/>
      <c r="BW322" s="530"/>
    </row>
    <row r="323">
      <c r="N323" s="530"/>
      <c r="O323" s="530"/>
      <c r="T323" s="530"/>
      <c r="U323" s="530"/>
      <c r="Z323" s="530"/>
      <c r="AA323" s="530"/>
      <c r="AF323" s="530"/>
      <c r="AG323" s="530"/>
      <c r="AL323" s="530"/>
      <c r="AM323" s="530"/>
      <c r="AR323" s="530"/>
      <c r="AS323" s="530"/>
      <c r="AX323" s="530"/>
      <c r="AY323" s="530"/>
      <c r="BD323" s="530"/>
      <c r="BE323" s="530"/>
      <c r="BJ323" s="530"/>
      <c r="BK323" s="530"/>
      <c r="BP323" s="530"/>
      <c r="BQ323" s="530"/>
      <c r="BV323" s="530"/>
      <c r="BW323" s="530"/>
    </row>
    <row r="324">
      <c r="N324" s="530"/>
      <c r="O324" s="530"/>
      <c r="T324" s="530"/>
      <c r="U324" s="530"/>
      <c r="Z324" s="530"/>
      <c r="AA324" s="530"/>
      <c r="AF324" s="530"/>
      <c r="AG324" s="530"/>
      <c r="AL324" s="530"/>
      <c r="AM324" s="530"/>
      <c r="AR324" s="530"/>
      <c r="AS324" s="530"/>
      <c r="AX324" s="530"/>
      <c r="AY324" s="530"/>
      <c r="BD324" s="530"/>
      <c r="BE324" s="530"/>
      <c r="BJ324" s="530"/>
      <c r="BK324" s="530"/>
      <c r="BP324" s="530"/>
      <c r="BQ324" s="530"/>
      <c r="BV324" s="530"/>
      <c r="BW324" s="530"/>
    </row>
    <row r="325">
      <c r="N325" s="530"/>
      <c r="O325" s="530"/>
      <c r="T325" s="530"/>
      <c r="U325" s="530"/>
      <c r="Z325" s="530"/>
      <c r="AA325" s="530"/>
      <c r="AF325" s="530"/>
      <c r="AG325" s="530"/>
      <c r="AL325" s="530"/>
      <c r="AM325" s="530"/>
      <c r="AR325" s="530"/>
      <c r="AS325" s="530"/>
      <c r="AX325" s="530"/>
      <c r="AY325" s="530"/>
      <c r="BD325" s="530"/>
      <c r="BE325" s="530"/>
      <c r="BJ325" s="530"/>
      <c r="BK325" s="530"/>
      <c r="BP325" s="530"/>
      <c r="BQ325" s="530"/>
      <c r="BV325" s="530"/>
      <c r="BW325" s="530"/>
    </row>
    <row r="326">
      <c r="N326" s="530"/>
      <c r="O326" s="530"/>
      <c r="T326" s="530"/>
      <c r="U326" s="530"/>
      <c r="Z326" s="530"/>
      <c r="AA326" s="530"/>
      <c r="AF326" s="530"/>
      <c r="AG326" s="530"/>
      <c r="AL326" s="530"/>
      <c r="AM326" s="530"/>
      <c r="AR326" s="530"/>
      <c r="AS326" s="530"/>
      <c r="AX326" s="530"/>
      <c r="AY326" s="530"/>
      <c r="BD326" s="530"/>
      <c r="BE326" s="530"/>
      <c r="BJ326" s="530"/>
      <c r="BK326" s="530"/>
      <c r="BP326" s="530"/>
      <c r="BQ326" s="530"/>
      <c r="BV326" s="530"/>
      <c r="BW326" s="530"/>
    </row>
    <row r="327">
      <c r="N327" s="530"/>
      <c r="O327" s="530"/>
      <c r="T327" s="530"/>
      <c r="U327" s="530"/>
      <c r="Z327" s="530"/>
      <c r="AA327" s="530"/>
      <c r="AF327" s="530"/>
      <c r="AG327" s="530"/>
      <c r="AL327" s="530"/>
      <c r="AM327" s="530"/>
      <c r="AR327" s="530"/>
      <c r="AS327" s="530"/>
      <c r="AX327" s="530"/>
      <c r="AY327" s="530"/>
      <c r="BD327" s="530"/>
      <c r="BE327" s="530"/>
      <c r="BJ327" s="530"/>
      <c r="BK327" s="530"/>
      <c r="BP327" s="530"/>
      <c r="BQ327" s="530"/>
      <c r="BV327" s="530"/>
      <c r="BW327" s="530"/>
    </row>
    <row r="328">
      <c r="N328" s="530"/>
      <c r="O328" s="530"/>
      <c r="T328" s="530"/>
      <c r="U328" s="530"/>
      <c r="Z328" s="530"/>
      <c r="AA328" s="530"/>
      <c r="AF328" s="530"/>
      <c r="AG328" s="530"/>
      <c r="AL328" s="530"/>
      <c r="AM328" s="530"/>
      <c r="AR328" s="530"/>
      <c r="AS328" s="530"/>
      <c r="AX328" s="530"/>
      <c r="AY328" s="530"/>
      <c r="BD328" s="530"/>
      <c r="BE328" s="530"/>
      <c r="BJ328" s="530"/>
      <c r="BK328" s="530"/>
      <c r="BP328" s="530"/>
      <c r="BQ328" s="530"/>
      <c r="BV328" s="530"/>
      <c r="BW328" s="530"/>
    </row>
    <row r="329">
      <c r="N329" s="530"/>
      <c r="O329" s="530"/>
      <c r="T329" s="530"/>
      <c r="U329" s="530"/>
      <c r="Z329" s="530"/>
      <c r="AA329" s="530"/>
      <c r="AF329" s="530"/>
      <c r="AG329" s="530"/>
      <c r="AL329" s="530"/>
      <c r="AM329" s="530"/>
      <c r="AR329" s="530"/>
      <c r="AS329" s="530"/>
      <c r="AX329" s="530"/>
      <c r="AY329" s="530"/>
      <c r="BD329" s="530"/>
      <c r="BE329" s="530"/>
      <c r="BJ329" s="530"/>
      <c r="BK329" s="530"/>
      <c r="BP329" s="530"/>
      <c r="BQ329" s="530"/>
      <c r="BV329" s="530"/>
      <c r="BW329" s="530"/>
    </row>
    <row r="330">
      <c r="N330" s="530"/>
      <c r="O330" s="530"/>
      <c r="T330" s="530"/>
      <c r="U330" s="530"/>
      <c r="Z330" s="530"/>
      <c r="AA330" s="530"/>
      <c r="AF330" s="530"/>
      <c r="AG330" s="530"/>
      <c r="AL330" s="530"/>
      <c r="AM330" s="530"/>
      <c r="AR330" s="530"/>
      <c r="AS330" s="530"/>
      <c r="AX330" s="530"/>
      <c r="AY330" s="530"/>
      <c r="BD330" s="530"/>
      <c r="BE330" s="530"/>
      <c r="BJ330" s="530"/>
      <c r="BK330" s="530"/>
      <c r="BP330" s="530"/>
      <c r="BQ330" s="530"/>
      <c r="BV330" s="530"/>
      <c r="BW330" s="530"/>
    </row>
    <row r="331">
      <c r="N331" s="530"/>
      <c r="O331" s="530"/>
      <c r="T331" s="530"/>
      <c r="U331" s="530"/>
      <c r="Z331" s="530"/>
      <c r="AA331" s="530"/>
      <c r="AF331" s="530"/>
      <c r="AG331" s="530"/>
      <c r="AL331" s="530"/>
      <c r="AM331" s="530"/>
      <c r="AR331" s="530"/>
      <c r="AS331" s="530"/>
      <c r="AX331" s="530"/>
      <c r="AY331" s="530"/>
      <c r="BD331" s="530"/>
      <c r="BE331" s="530"/>
      <c r="BJ331" s="530"/>
      <c r="BK331" s="530"/>
      <c r="BP331" s="530"/>
      <c r="BQ331" s="530"/>
      <c r="BV331" s="530"/>
      <c r="BW331" s="530"/>
    </row>
    <row r="332">
      <c r="N332" s="530"/>
      <c r="O332" s="530"/>
      <c r="T332" s="530"/>
      <c r="U332" s="530"/>
      <c r="Z332" s="530"/>
      <c r="AA332" s="530"/>
      <c r="AF332" s="530"/>
      <c r="AG332" s="530"/>
      <c r="AL332" s="530"/>
      <c r="AM332" s="530"/>
      <c r="AR332" s="530"/>
      <c r="AS332" s="530"/>
      <c r="AX332" s="530"/>
      <c r="AY332" s="530"/>
      <c r="BD332" s="530"/>
      <c r="BE332" s="530"/>
      <c r="BJ332" s="530"/>
      <c r="BK332" s="530"/>
      <c r="BP332" s="530"/>
      <c r="BQ332" s="530"/>
      <c r="BV332" s="530"/>
      <c r="BW332" s="530"/>
    </row>
    <row r="333">
      <c r="N333" s="530"/>
      <c r="O333" s="530"/>
      <c r="T333" s="530"/>
      <c r="U333" s="530"/>
      <c r="Z333" s="530"/>
      <c r="AA333" s="530"/>
      <c r="AF333" s="530"/>
      <c r="AG333" s="530"/>
      <c r="AL333" s="530"/>
      <c r="AM333" s="530"/>
      <c r="AR333" s="530"/>
      <c r="AS333" s="530"/>
      <c r="AX333" s="530"/>
      <c r="AY333" s="530"/>
      <c r="BD333" s="530"/>
      <c r="BE333" s="530"/>
      <c r="BJ333" s="530"/>
      <c r="BK333" s="530"/>
      <c r="BP333" s="530"/>
      <c r="BQ333" s="530"/>
      <c r="BV333" s="530"/>
      <c r="BW333" s="530"/>
    </row>
    <row r="334">
      <c r="N334" s="530"/>
      <c r="O334" s="530"/>
      <c r="T334" s="530"/>
      <c r="U334" s="530"/>
      <c r="Z334" s="530"/>
      <c r="AA334" s="530"/>
      <c r="AF334" s="530"/>
      <c r="AG334" s="530"/>
      <c r="AL334" s="530"/>
      <c r="AM334" s="530"/>
      <c r="AR334" s="530"/>
      <c r="AS334" s="530"/>
      <c r="AX334" s="530"/>
      <c r="AY334" s="530"/>
      <c r="BD334" s="530"/>
      <c r="BE334" s="530"/>
      <c r="BJ334" s="530"/>
      <c r="BK334" s="530"/>
      <c r="BP334" s="530"/>
      <c r="BQ334" s="530"/>
      <c r="BV334" s="530"/>
      <c r="BW334" s="530"/>
    </row>
    <row r="335">
      <c r="N335" s="530"/>
      <c r="O335" s="530"/>
      <c r="T335" s="530"/>
      <c r="U335" s="530"/>
      <c r="Z335" s="530"/>
      <c r="AA335" s="530"/>
      <c r="AF335" s="530"/>
      <c r="AG335" s="530"/>
      <c r="AL335" s="530"/>
      <c r="AM335" s="530"/>
      <c r="AR335" s="530"/>
      <c r="AS335" s="530"/>
      <c r="AX335" s="530"/>
      <c r="AY335" s="530"/>
      <c r="BD335" s="530"/>
      <c r="BE335" s="530"/>
      <c r="BJ335" s="530"/>
      <c r="BK335" s="530"/>
      <c r="BP335" s="530"/>
      <c r="BQ335" s="530"/>
      <c r="BV335" s="530"/>
      <c r="BW335" s="530"/>
    </row>
    <row r="336">
      <c r="N336" s="530"/>
      <c r="O336" s="530"/>
      <c r="T336" s="530"/>
      <c r="U336" s="530"/>
      <c r="Z336" s="530"/>
      <c r="AA336" s="530"/>
      <c r="AF336" s="530"/>
      <c r="AG336" s="530"/>
      <c r="AL336" s="530"/>
      <c r="AM336" s="530"/>
      <c r="AR336" s="530"/>
      <c r="AS336" s="530"/>
      <c r="AX336" s="530"/>
      <c r="AY336" s="530"/>
      <c r="BD336" s="530"/>
      <c r="BE336" s="530"/>
      <c r="BJ336" s="530"/>
      <c r="BK336" s="530"/>
      <c r="BP336" s="530"/>
      <c r="BQ336" s="530"/>
      <c r="BV336" s="530"/>
      <c r="BW336" s="530"/>
    </row>
    <row r="337">
      <c r="N337" s="530"/>
      <c r="O337" s="530"/>
      <c r="T337" s="530"/>
      <c r="U337" s="530"/>
      <c r="Z337" s="530"/>
      <c r="AA337" s="530"/>
      <c r="AF337" s="530"/>
      <c r="AG337" s="530"/>
      <c r="AL337" s="530"/>
      <c r="AM337" s="530"/>
      <c r="AR337" s="530"/>
      <c r="AS337" s="530"/>
      <c r="AX337" s="530"/>
      <c r="AY337" s="530"/>
      <c r="BD337" s="530"/>
      <c r="BE337" s="530"/>
      <c r="BJ337" s="530"/>
      <c r="BK337" s="530"/>
      <c r="BP337" s="530"/>
      <c r="BQ337" s="530"/>
      <c r="BV337" s="530"/>
      <c r="BW337" s="530"/>
    </row>
    <row r="338">
      <c r="N338" s="530"/>
      <c r="O338" s="530"/>
      <c r="T338" s="530"/>
      <c r="U338" s="530"/>
      <c r="Z338" s="530"/>
      <c r="AA338" s="530"/>
      <c r="AF338" s="530"/>
      <c r="AG338" s="530"/>
      <c r="AL338" s="530"/>
      <c r="AM338" s="530"/>
      <c r="AR338" s="530"/>
      <c r="AS338" s="530"/>
      <c r="AX338" s="530"/>
      <c r="AY338" s="530"/>
      <c r="BD338" s="530"/>
      <c r="BE338" s="530"/>
      <c r="BJ338" s="530"/>
      <c r="BK338" s="530"/>
      <c r="BP338" s="530"/>
      <c r="BQ338" s="530"/>
      <c r="BV338" s="530"/>
      <c r="BW338" s="530"/>
    </row>
    <row r="339">
      <c r="N339" s="530"/>
      <c r="O339" s="530"/>
      <c r="T339" s="530"/>
      <c r="U339" s="530"/>
      <c r="Z339" s="530"/>
      <c r="AA339" s="530"/>
      <c r="AF339" s="530"/>
      <c r="AG339" s="530"/>
      <c r="AL339" s="530"/>
      <c r="AM339" s="530"/>
      <c r="AR339" s="530"/>
      <c r="AS339" s="530"/>
      <c r="AX339" s="530"/>
      <c r="AY339" s="530"/>
      <c r="BD339" s="530"/>
      <c r="BE339" s="530"/>
      <c r="BJ339" s="530"/>
      <c r="BK339" s="530"/>
      <c r="BP339" s="530"/>
      <c r="BQ339" s="530"/>
      <c r="BV339" s="530"/>
      <c r="BW339" s="530"/>
    </row>
    <row r="340">
      <c r="N340" s="530"/>
      <c r="O340" s="530"/>
      <c r="T340" s="530"/>
      <c r="U340" s="530"/>
      <c r="Z340" s="530"/>
      <c r="AA340" s="530"/>
      <c r="AF340" s="530"/>
      <c r="AG340" s="530"/>
      <c r="AL340" s="530"/>
      <c r="AM340" s="530"/>
      <c r="AR340" s="530"/>
      <c r="AS340" s="530"/>
      <c r="AX340" s="530"/>
      <c r="AY340" s="530"/>
      <c r="BD340" s="530"/>
      <c r="BE340" s="530"/>
      <c r="BJ340" s="530"/>
      <c r="BK340" s="530"/>
      <c r="BP340" s="530"/>
      <c r="BQ340" s="530"/>
      <c r="BV340" s="530"/>
      <c r="BW340" s="530"/>
    </row>
    <row r="341">
      <c r="N341" s="530"/>
      <c r="O341" s="530"/>
      <c r="T341" s="530"/>
      <c r="U341" s="530"/>
      <c r="Z341" s="530"/>
      <c r="AA341" s="530"/>
      <c r="AF341" s="530"/>
      <c r="AG341" s="530"/>
      <c r="AL341" s="530"/>
      <c r="AM341" s="530"/>
      <c r="AR341" s="530"/>
      <c r="AS341" s="530"/>
      <c r="AX341" s="530"/>
      <c r="AY341" s="530"/>
      <c r="BD341" s="530"/>
      <c r="BE341" s="530"/>
      <c r="BJ341" s="530"/>
      <c r="BK341" s="530"/>
      <c r="BP341" s="530"/>
      <c r="BQ341" s="530"/>
      <c r="BV341" s="530"/>
      <c r="BW341" s="530"/>
    </row>
    <row r="342">
      <c r="N342" s="530"/>
      <c r="O342" s="530"/>
      <c r="T342" s="530"/>
      <c r="U342" s="530"/>
      <c r="Z342" s="530"/>
      <c r="AA342" s="530"/>
      <c r="AF342" s="530"/>
      <c r="AG342" s="530"/>
      <c r="AL342" s="530"/>
      <c r="AM342" s="530"/>
      <c r="AR342" s="530"/>
      <c r="AS342" s="530"/>
      <c r="AX342" s="530"/>
      <c r="AY342" s="530"/>
      <c r="BD342" s="530"/>
      <c r="BE342" s="530"/>
      <c r="BJ342" s="530"/>
      <c r="BK342" s="530"/>
      <c r="BP342" s="530"/>
      <c r="BQ342" s="530"/>
      <c r="BV342" s="530"/>
      <c r="BW342" s="530"/>
    </row>
    <row r="343">
      <c r="N343" s="530"/>
      <c r="O343" s="530"/>
      <c r="T343" s="530"/>
      <c r="U343" s="530"/>
      <c r="Z343" s="530"/>
      <c r="AA343" s="530"/>
      <c r="AF343" s="530"/>
      <c r="AG343" s="530"/>
      <c r="AL343" s="530"/>
      <c r="AM343" s="530"/>
      <c r="AR343" s="530"/>
      <c r="AS343" s="530"/>
      <c r="AX343" s="530"/>
      <c r="AY343" s="530"/>
      <c r="BD343" s="530"/>
      <c r="BE343" s="530"/>
      <c r="BJ343" s="530"/>
      <c r="BK343" s="530"/>
      <c r="BP343" s="530"/>
      <c r="BQ343" s="530"/>
      <c r="BV343" s="530"/>
      <c r="BW343" s="530"/>
    </row>
    <row r="344">
      <c r="N344" s="530"/>
      <c r="O344" s="530"/>
      <c r="T344" s="530"/>
      <c r="U344" s="530"/>
      <c r="Z344" s="530"/>
      <c r="AA344" s="530"/>
      <c r="AF344" s="530"/>
      <c r="AG344" s="530"/>
      <c r="AL344" s="530"/>
      <c r="AM344" s="530"/>
      <c r="AR344" s="530"/>
      <c r="AS344" s="530"/>
      <c r="AX344" s="530"/>
      <c r="AY344" s="530"/>
      <c r="BD344" s="530"/>
      <c r="BE344" s="530"/>
      <c r="BJ344" s="530"/>
      <c r="BK344" s="530"/>
      <c r="BP344" s="530"/>
      <c r="BQ344" s="530"/>
      <c r="BV344" s="530"/>
      <c r="BW344" s="530"/>
    </row>
    <row r="345">
      <c r="N345" s="530"/>
      <c r="O345" s="530"/>
      <c r="T345" s="530"/>
      <c r="U345" s="530"/>
      <c r="Z345" s="530"/>
      <c r="AA345" s="530"/>
      <c r="AF345" s="530"/>
      <c r="AG345" s="530"/>
      <c r="AL345" s="530"/>
      <c r="AM345" s="530"/>
      <c r="AR345" s="530"/>
      <c r="AS345" s="530"/>
      <c r="AX345" s="530"/>
      <c r="AY345" s="530"/>
      <c r="BD345" s="530"/>
      <c r="BE345" s="530"/>
      <c r="BJ345" s="530"/>
      <c r="BK345" s="530"/>
      <c r="BP345" s="530"/>
      <c r="BQ345" s="530"/>
      <c r="BV345" s="530"/>
      <c r="BW345" s="530"/>
    </row>
    <row r="346">
      <c r="N346" s="530"/>
      <c r="O346" s="530"/>
      <c r="T346" s="530"/>
      <c r="U346" s="530"/>
      <c r="Z346" s="530"/>
      <c r="AA346" s="530"/>
      <c r="AF346" s="530"/>
      <c r="AG346" s="530"/>
      <c r="AL346" s="530"/>
      <c r="AM346" s="530"/>
      <c r="AR346" s="530"/>
      <c r="AS346" s="530"/>
      <c r="AX346" s="530"/>
      <c r="AY346" s="530"/>
      <c r="BD346" s="530"/>
      <c r="BE346" s="530"/>
      <c r="BJ346" s="530"/>
      <c r="BK346" s="530"/>
      <c r="BP346" s="530"/>
      <c r="BQ346" s="530"/>
      <c r="BV346" s="530"/>
      <c r="BW346" s="530"/>
    </row>
    <row r="347">
      <c r="N347" s="530"/>
      <c r="O347" s="530"/>
      <c r="T347" s="530"/>
      <c r="U347" s="530"/>
      <c r="Z347" s="530"/>
      <c r="AA347" s="530"/>
      <c r="AF347" s="530"/>
      <c r="AG347" s="530"/>
      <c r="AL347" s="530"/>
      <c r="AM347" s="530"/>
      <c r="AR347" s="530"/>
      <c r="AS347" s="530"/>
      <c r="AX347" s="530"/>
      <c r="AY347" s="530"/>
      <c r="BD347" s="530"/>
      <c r="BE347" s="530"/>
      <c r="BJ347" s="530"/>
      <c r="BK347" s="530"/>
      <c r="BP347" s="530"/>
      <c r="BQ347" s="530"/>
      <c r="BV347" s="530"/>
      <c r="BW347" s="530"/>
    </row>
    <row r="348">
      <c r="N348" s="530"/>
      <c r="O348" s="530"/>
      <c r="T348" s="530"/>
      <c r="U348" s="530"/>
      <c r="Z348" s="530"/>
      <c r="AA348" s="530"/>
      <c r="AF348" s="530"/>
      <c r="AG348" s="530"/>
      <c r="AL348" s="530"/>
      <c r="AM348" s="530"/>
      <c r="AR348" s="530"/>
      <c r="AS348" s="530"/>
      <c r="AX348" s="530"/>
      <c r="AY348" s="530"/>
      <c r="BD348" s="530"/>
      <c r="BE348" s="530"/>
      <c r="BJ348" s="530"/>
      <c r="BK348" s="530"/>
      <c r="BP348" s="530"/>
      <c r="BQ348" s="530"/>
      <c r="BV348" s="530"/>
      <c r="BW348" s="530"/>
    </row>
    <row r="349">
      <c r="N349" s="530"/>
      <c r="O349" s="530"/>
      <c r="T349" s="530"/>
      <c r="U349" s="530"/>
      <c r="Z349" s="530"/>
      <c r="AA349" s="530"/>
      <c r="AF349" s="530"/>
      <c r="AG349" s="530"/>
      <c r="AL349" s="530"/>
      <c r="AM349" s="530"/>
      <c r="AR349" s="530"/>
      <c r="AS349" s="530"/>
      <c r="AX349" s="530"/>
      <c r="AY349" s="530"/>
      <c r="BD349" s="530"/>
      <c r="BE349" s="530"/>
      <c r="BJ349" s="530"/>
      <c r="BK349" s="530"/>
      <c r="BP349" s="530"/>
      <c r="BQ349" s="530"/>
      <c r="BV349" s="530"/>
      <c r="BW349" s="530"/>
    </row>
    <row r="350">
      <c r="N350" s="530"/>
      <c r="O350" s="530"/>
      <c r="T350" s="530"/>
      <c r="U350" s="530"/>
      <c r="Z350" s="530"/>
      <c r="AA350" s="530"/>
      <c r="AF350" s="530"/>
      <c r="AG350" s="530"/>
      <c r="AL350" s="530"/>
      <c r="AM350" s="530"/>
      <c r="AR350" s="530"/>
      <c r="AS350" s="530"/>
      <c r="AX350" s="530"/>
      <c r="AY350" s="530"/>
      <c r="BD350" s="530"/>
      <c r="BE350" s="530"/>
      <c r="BJ350" s="530"/>
      <c r="BK350" s="530"/>
      <c r="BP350" s="530"/>
      <c r="BQ350" s="530"/>
      <c r="BV350" s="530"/>
      <c r="BW350" s="530"/>
    </row>
    <row r="351">
      <c r="N351" s="530"/>
      <c r="O351" s="530"/>
      <c r="T351" s="530"/>
      <c r="U351" s="530"/>
      <c r="Z351" s="530"/>
      <c r="AA351" s="530"/>
      <c r="AF351" s="530"/>
      <c r="AG351" s="530"/>
      <c r="AL351" s="530"/>
      <c r="AM351" s="530"/>
      <c r="AR351" s="530"/>
      <c r="AS351" s="530"/>
      <c r="AX351" s="530"/>
      <c r="AY351" s="530"/>
      <c r="BD351" s="530"/>
      <c r="BE351" s="530"/>
      <c r="BJ351" s="530"/>
      <c r="BK351" s="530"/>
      <c r="BP351" s="530"/>
      <c r="BQ351" s="530"/>
      <c r="BV351" s="530"/>
      <c r="BW351" s="530"/>
    </row>
    <row r="352">
      <c r="N352" s="530"/>
      <c r="O352" s="530"/>
      <c r="T352" s="530"/>
      <c r="U352" s="530"/>
      <c r="Z352" s="530"/>
      <c r="AA352" s="530"/>
      <c r="AF352" s="530"/>
      <c r="AG352" s="530"/>
      <c r="AL352" s="530"/>
      <c r="AM352" s="530"/>
      <c r="AR352" s="530"/>
      <c r="AS352" s="530"/>
      <c r="AX352" s="530"/>
      <c r="AY352" s="530"/>
      <c r="BD352" s="530"/>
      <c r="BE352" s="530"/>
      <c r="BJ352" s="530"/>
      <c r="BK352" s="530"/>
      <c r="BP352" s="530"/>
      <c r="BQ352" s="530"/>
      <c r="BV352" s="530"/>
      <c r="BW352" s="530"/>
    </row>
    <row r="353">
      <c r="N353" s="530"/>
      <c r="O353" s="530"/>
      <c r="T353" s="530"/>
      <c r="U353" s="530"/>
      <c r="Z353" s="530"/>
      <c r="AA353" s="530"/>
      <c r="AF353" s="530"/>
      <c r="AG353" s="530"/>
      <c r="AL353" s="530"/>
      <c r="AM353" s="530"/>
      <c r="AR353" s="530"/>
      <c r="AS353" s="530"/>
      <c r="AX353" s="530"/>
      <c r="AY353" s="530"/>
      <c r="BD353" s="530"/>
      <c r="BE353" s="530"/>
      <c r="BJ353" s="530"/>
      <c r="BK353" s="530"/>
      <c r="BP353" s="530"/>
      <c r="BQ353" s="530"/>
      <c r="BV353" s="530"/>
      <c r="BW353" s="530"/>
    </row>
    <row r="354">
      <c r="N354" s="530"/>
      <c r="O354" s="530"/>
      <c r="T354" s="530"/>
      <c r="U354" s="530"/>
      <c r="Z354" s="530"/>
      <c r="AA354" s="530"/>
      <c r="AF354" s="530"/>
      <c r="AG354" s="530"/>
      <c r="AL354" s="530"/>
      <c r="AM354" s="530"/>
      <c r="AR354" s="530"/>
      <c r="AS354" s="530"/>
      <c r="AX354" s="530"/>
      <c r="AY354" s="530"/>
      <c r="BD354" s="530"/>
      <c r="BE354" s="530"/>
      <c r="BJ354" s="530"/>
      <c r="BK354" s="530"/>
      <c r="BP354" s="530"/>
      <c r="BQ354" s="530"/>
      <c r="BV354" s="530"/>
      <c r="BW354" s="530"/>
    </row>
    <row r="355">
      <c r="N355" s="530"/>
      <c r="O355" s="530"/>
      <c r="T355" s="530"/>
      <c r="U355" s="530"/>
      <c r="Z355" s="530"/>
      <c r="AA355" s="530"/>
      <c r="AF355" s="530"/>
      <c r="AG355" s="530"/>
      <c r="AL355" s="530"/>
      <c r="AM355" s="530"/>
      <c r="AR355" s="530"/>
      <c r="AS355" s="530"/>
      <c r="AX355" s="530"/>
      <c r="AY355" s="530"/>
      <c r="BD355" s="530"/>
      <c r="BE355" s="530"/>
      <c r="BJ355" s="530"/>
      <c r="BK355" s="530"/>
      <c r="BP355" s="530"/>
      <c r="BQ355" s="530"/>
      <c r="BV355" s="530"/>
      <c r="BW355" s="530"/>
    </row>
    <row r="356">
      <c r="N356" s="530"/>
      <c r="O356" s="530"/>
      <c r="T356" s="530"/>
      <c r="U356" s="530"/>
      <c r="Z356" s="530"/>
      <c r="AA356" s="530"/>
      <c r="AF356" s="530"/>
      <c r="AG356" s="530"/>
      <c r="AL356" s="530"/>
      <c r="AM356" s="530"/>
      <c r="AR356" s="530"/>
      <c r="AS356" s="530"/>
      <c r="AX356" s="530"/>
      <c r="AY356" s="530"/>
      <c r="BD356" s="530"/>
      <c r="BE356" s="530"/>
      <c r="BJ356" s="530"/>
      <c r="BK356" s="530"/>
      <c r="BP356" s="530"/>
      <c r="BQ356" s="530"/>
      <c r="BV356" s="530"/>
      <c r="BW356" s="530"/>
    </row>
    <row r="357">
      <c r="N357" s="530"/>
      <c r="O357" s="530"/>
      <c r="T357" s="530"/>
      <c r="U357" s="530"/>
      <c r="Z357" s="530"/>
      <c r="AA357" s="530"/>
      <c r="AF357" s="530"/>
      <c r="AG357" s="530"/>
      <c r="AL357" s="530"/>
      <c r="AM357" s="530"/>
      <c r="AR357" s="530"/>
      <c r="AS357" s="530"/>
      <c r="AX357" s="530"/>
      <c r="AY357" s="530"/>
      <c r="BD357" s="530"/>
      <c r="BE357" s="530"/>
      <c r="BJ357" s="530"/>
      <c r="BK357" s="530"/>
      <c r="BP357" s="530"/>
      <c r="BQ357" s="530"/>
      <c r="BV357" s="530"/>
      <c r="BW357" s="530"/>
    </row>
    <row r="358">
      <c r="N358" s="530"/>
      <c r="O358" s="530"/>
      <c r="T358" s="530"/>
      <c r="U358" s="530"/>
      <c r="Z358" s="530"/>
      <c r="AA358" s="530"/>
      <c r="AF358" s="530"/>
      <c r="AG358" s="530"/>
      <c r="AL358" s="530"/>
      <c r="AM358" s="530"/>
      <c r="AR358" s="530"/>
      <c r="AS358" s="530"/>
      <c r="AX358" s="530"/>
      <c r="AY358" s="530"/>
      <c r="BD358" s="530"/>
      <c r="BE358" s="530"/>
      <c r="BJ358" s="530"/>
      <c r="BK358" s="530"/>
      <c r="BP358" s="530"/>
      <c r="BQ358" s="530"/>
      <c r="BV358" s="530"/>
      <c r="BW358" s="530"/>
    </row>
    <row r="359">
      <c r="N359" s="530"/>
      <c r="O359" s="530"/>
      <c r="T359" s="530"/>
      <c r="U359" s="530"/>
      <c r="Z359" s="530"/>
      <c r="AA359" s="530"/>
      <c r="AF359" s="530"/>
      <c r="AG359" s="530"/>
      <c r="AL359" s="530"/>
      <c r="AM359" s="530"/>
      <c r="AR359" s="530"/>
      <c r="AS359" s="530"/>
      <c r="AX359" s="530"/>
      <c r="AY359" s="530"/>
      <c r="BD359" s="530"/>
      <c r="BE359" s="530"/>
      <c r="BJ359" s="530"/>
      <c r="BK359" s="530"/>
      <c r="BP359" s="530"/>
      <c r="BQ359" s="530"/>
      <c r="BV359" s="530"/>
      <c r="BW359" s="530"/>
    </row>
    <row r="360">
      <c r="N360" s="530"/>
      <c r="O360" s="530"/>
      <c r="T360" s="530"/>
      <c r="U360" s="530"/>
      <c r="Z360" s="530"/>
      <c r="AA360" s="530"/>
      <c r="AF360" s="530"/>
      <c r="AG360" s="530"/>
      <c r="AL360" s="530"/>
      <c r="AM360" s="530"/>
      <c r="AR360" s="530"/>
      <c r="AS360" s="530"/>
      <c r="AX360" s="530"/>
      <c r="AY360" s="530"/>
      <c r="BD360" s="530"/>
      <c r="BE360" s="530"/>
      <c r="BJ360" s="530"/>
      <c r="BK360" s="530"/>
      <c r="BP360" s="530"/>
      <c r="BQ360" s="530"/>
      <c r="BV360" s="530"/>
      <c r="BW360" s="530"/>
    </row>
    <row r="361">
      <c r="N361" s="530"/>
      <c r="O361" s="530"/>
      <c r="T361" s="530"/>
      <c r="U361" s="530"/>
      <c r="Z361" s="530"/>
      <c r="AA361" s="530"/>
      <c r="AF361" s="530"/>
      <c r="AG361" s="530"/>
      <c r="AL361" s="530"/>
      <c r="AM361" s="530"/>
      <c r="AR361" s="530"/>
      <c r="AS361" s="530"/>
      <c r="AX361" s="530"/>
      <c r="AY361" s="530"/>
      <c r="BD361" s="530"/>
      <c r="BE361" s="530"/>
      <c r="BJ361" s="530"/>
      <c r="BK361" s="530"/>
      <c r="BP361" s="530"/>
      <c r="BQ361" s="530"/>
      <c r="BV361" s="530"/>
      <c r="BW361" s="530"/>
    </row>
    <row r="362">
      <c r="N362" s="530"/>
      <c r="O362" s="530"/>
      <c r="T362" s="530"/>
      <c r="U362" s="530"/>
      <c r="Z362" s="530"/>
      <c r="AA362" s="530"/>
      <c r="AF362" s="530"/>
      <c r="AG362" s="530"/>
      <c r="AL362" s="530"/>
      <c r="AM362" s="530"/>
      <c r="AR362" s="530"/>
      <c r="AS362" s="530"/>
      <c r="AX362" s="530"/>
      <c r="AY362" s="530"/>
      <c r="BD362" s="530"/>
      <c r="BE362" s="530"/>
      <c r="BJ362" s="530"/>
      <c r="BK362" s="530"/>
      <c r="BP362" s="530"/>
      <c r="BQ362" s="530"/>
      <c r="BV362" s="530"/>
      <c r="BW362" s="530"/>
    </row>
    <row r="363">
      <c r="N363" s="530"/>
      <c r="O363" s="530"/>
      <c r="T363" s="530"/>
      <c r="U363" s="530"/>
      <c r="Z363" s="530"/>
      <c r="AA363" s="530"/>
      <c r="AF363" s="530"/>
      <c r="AG363" s="530"/>
      <c r="AL363" s="530"/>
      <c r="AM363" s="530"/>
      <c r="AR363" s="530"/>
      <c r="AS363" s="530"/>
      <c r="AX363" s="530"/>
      <c r="AY363" s="530"/>
      <c r="BD363" s="530"/>
      <c r="BE363" s="530"/>
      <c r="BJ363" s="530"/>
      <c r="BK363" s="530"/>
      <c r="BP363" s="530"/>
      <c r="BQ363" s="530"/>
      <c r="BV363" s="530"/>
      <c r="BW363" s="530"/>
    </row>
    <row r="364">
      <c r="N364" s="530"/>
      <c r="O364" s="530"/>
      <c r="T364" s="530"/>
      <c r="U364" s="530"/>
      <c r="Z364" s="530"/>
      <c r="AA364" s="530"/>
      <c r="AF364" s="530"/>
      <c r="AG364" s="530"/>
      <c r="AL364" s="530"/>
      <c r="AM364" s="530"/>
      <c r="AR364" s="530"/>
      <c r="AS364" s="530"/>
      <c r="AX364" s="530"/>
      <c r="AY364" s="530"/>
      <c r="BD364" s="530"/>
      <c r="BE364" s="530"/>
      <c r="BJ364" s="530"/>
      <c r="BK364" s="530"/>
      <c r="BP364" s="530"/>
      <c r="BQ364" s="530"/>
      <c r="BV364" s="530"/>
      <c r="BW364" s="530"/>
    </row>
    <row r="365">
      <c r="N365" s="530"/>
      <c r="O365" s="530"/>
      <c r="T365" s="530"/>
      <c r="U365" s="530"/>
      <c r="Z365" s="530"/>
      <c r="AA365" s="530"/>
      <c r="AF365" s="530"/>
      <c r="AG365" s="530"/>
      <c r="AL365" s="530"/>
      <c r="AM365" s="530"/>
      <c r="AR365" s="530"/>
      <c r="AS365" s="530"/>
      <c r="AX365" s="530"/>
      <c r="AY365" s="530"/>
      <c r="BD365" s="530"/>
      <c r="BE365" s="530"/>
      <c r="BJ365" s="530"/>
      <c r="BK365" s="530"/>
      <c r="BP365" s="530"/>
      <c r="BQ365" s="530"/>
      <c r="BV365" s="530"/>
      <c r="BW365" s="530"/>
    </row>
    <row r="366">
      <c r="N366" s="530"/>
      <c r="O366" s="530"/>
      <c r="T366" s="530"/>
      <c r="U366" s="530"/>
      <c r="Z366" s="530"/>
      <c r="AA366" s="530"/>
      <c r="AF366" s="530"/>
      <c r="AG366" s="530"/>
      <c r="AL366" s="530"/>
      <c r="AM366" s="530"/>
      <c r="AR366" s="530"/>
      <c r="AS366" s="530"/>
      <c r="AX366" s="530"/>
      <c r="AY366" s="530"/>
      <c r="BD366" s="530"/>
      <c r="BE366" s="530"/>
      <c r="BJ366" s="530"/>
      <c r="BK366" s="530"/>
      <c r="BP366" s="530"/>
      <c r="BQ366" s="530"/>
      <c r="BV366" s="530"/>
      <c r="BW366" s="530"/>
    </row>
    <row r="367">
      <c r="N367" s="530"/>
      <c r="O367" s="530"/>
      <c r="T367" s="530"/>
      <c r="U367" s="530"/>
      <c r="Z367" s="530"/>
      <c r="AA367" s="530"/>
      <c r="AF367" s="530"/>
      <c r="AG367" s="530"/>
      <c r="AL367" s="530"/>
      <c r="AM367" s="530"/>
      <c r="AR367" s="530"/>
      <c r="AS367" s="530"/>
      <c r="AX367" s="530"/>
      <c r="AY367" s="530"/>
      <c r="BD367" s="530"/>
      <c r="BE367" s="530"/>
      <c r="BJ367" s="530"/>
      <c r="BK367" s="530"/>
      <c r="BP367" s="530"/>
      <c r="BQ367" s="530"/>
      <c r="BV367" s="530"/>
      <c r="BW367" s="530"/>
    </row>
    <row r="368">
      <c r="N368" s="530"/>
      <c r="O368" s="530"/>
      <c r="T368" s="530"/>
      <c r="U368" s="530"/>
      <c r="Z368" s="530"/>
      <c r="AA368" s="530"/>
      <c r="AF368" s="530"/>
      <c r="AG368" s="530"/>
      <c r="AL368" s="530"/>
      <c r="AM368" s="530"/>
      <c r="AR368" s="530"/>
      <c r="AS368" s="530"/>
      <c r="AX368" s="530"/>
      <c r="AY368" s="530"/>
      <c r="BD368" s="530"/>
      <c r="BE368" s="530"/>
      <c r="BJ368" s="530"/>
      <c r="BK368" s="530"/>
      <c r="BP368" s="530"/>
      <c r="BQ368" s="530"/>
      <c r="BV368" s="530"/>
      <c r="BW368" s="530"/>
    </row>
    <row r="369">
      <c r="N369" s="530"/>
      <c r="O369" s="530"/>
      <c r="T369" s="530"/>
      <c r="U369" s="530"/>
      <c r="Z369" s="530"/>
      <c r="AA369" s="530"/>
      <c r="AF369" s="530"/>
      <c r="AG369" s="530"/>
      <c r="AL369" s="530"/>
      <c r="AM369" s="530"/>
      <c r="AR369" s="530"/>
      <c r="AS369" s="530"/>
      <c r="AX369" s="530"/>
      <c r="AY369" s="530"/>
      <c r="BD369" s="530"/>
      <c r="BE369" s="530"/>
      <c r="BJ369" s="530"/>
      <c r="BK369" s="530"/>
      <c r="BP369" s="530"/>
      <c r="BQ369" s="530"/>
      <c r="BV369" s="530"/>
      <c r="BW369" s="530"/>
    </row>
    <row r="370">
      <c r="N370" s="530"/>
      <c r="O370" s="530"/>
      <c r="T370" s="530"/>
      <c r="U370" s="530"/>
      <c r="Z370" s="530"/>
      <c r="AA370" s="530"/>
      <c r="AF370" s="530"/>
      <c r="AG370" s="530"/>
      <c r="AL370" s="530"/>
      <c r="AM370" s="530"/>
      <c r="AR370" s="530"/>
      <c r="AS370" s="530"/>
      <c r="AX370" s="530"/>
      <c r="AY370" s="530"/>
      <c r="BD370" s="530"/>
      <c r="BE370" s="530"/>
      <c r="BJ370" s="530"/>
      <c r="BK370" s="530"/>
      <c r="BP370" s="530"/>
      <c r="BQ370" s="530"/>
      <c r="BV370" s="530"/>
      <c r="BW370" s="530"/>
    </row>
    <row r="371">
      <c r="N371" s="530"/>
      <c r="O371" s="530"/>
      <c r="T371" s="530"/>
      <c r="U371" s="530"/>
      <c r="Z371" s="530"/>
      <c r="AA371" s="530"/>
      <c r="AF371" s="530"/>
      <c r="AG371" s="530"/>
      <c r="AL371" s="530"/>
      <c r="AM371" s="530"/>
      <c r="AR371" s="530"/>
      <c r="AS371" s="530"/>
      <c r="AX371" s="530"/>
      <c r="AY371" s="530"/>
      <c r="BD371" s="530"/>
      <c r="BE371" s="530"/>
      <c r="BJ371" s="530"/>
      <c r="BK371" s="530"/>
      <c r="BP371" s="530"/>
      <c r="BQ371" s="530"/>
      <c r="BV371" s="530"/>
      <c r="BW371" s="530"/>
    </row>
    <row r="372">
      <c r="N372" s="530"/>
      <c r="O372" s="530"/>
      <c r="T372" s="530"/>
      <c r="U372" s="530"/>
      <c r="Z372" s="530"/>
      <c r="AA372" s="530"/>
      <c r="AF372" s="530"/>
      <c r="AG372" s="530"/>
      <c r="AL372" s="530"/>
      <c r="AM372" s="530"/>
      <c r="AR372" s="530"/>
      <c r="AS372" s="530"/>
      <c r="AX372" s="530"/>
      <c r="AY372" s="530"/>
      <c r="BD372" s="530"/>
      <c r="BE372" s="530"/>
      <c r="BJ372" s="530"/>
      <c r="BK372" s="530"/>
      <c r="BP372" s="530"/>
      <c r="BQ372" s="530"/>
      <c r="BV372" s="530"/>
      <c r="BW372" s="530"/>
    </row>
    <row r="373">
      <c r="N373" s="530"/>
      <c r="O373" s="530"/>
      <c r="T373" s="530"/>
      <c r="U373" s="530"/>
      <c r="Z373" s="530"/>
      <c r="AA373" s="530"/>
      <c r="AF373" s="530"/>
      <c r="AG373" s="530"/>
      <c r="AL373" s="530"/>
      <c r="AM373" s="530"/>
      <c r="AR373" s="530"/>
      <c r="AS373" s="530"/>
      <c r="AX373" s="530"/>
      <c r="AY373" s="530"/>
      <c r="BD373" s="530"/>
      <c r="BE373" s="530"/>
      <c r="BJ373" s="530"/>
      <c r="BK373" s="530"/>
      <c r="BP373" s="530"/>
      <c r="BQ373" s="530"/>
      <c r="BV373" s="530"/>
      <c r="BW373" s="530"/>
    </row>
    <row r="374">
      <c r="N374" s="530"/>
      <c r="O374" s="530"/>
      <c r="T374" s="530"/>
      <c r="U374" s="530"/>
      <c r="Z374" s="530"/>
      <c r="AA374" s="530"/>
      <c r="AF374" s="530"/>
      <c r="AG374" s="530"/>
      <c r="AL374" s="530"/>
      <c r="AM374" s="530"/>
      <c r="AR374" s="530"/>
      <c r="AS374" s="530"/>
      <c r="AX374" s="530"/>
      <c r="AY374" s="530"/>
      <c r="BD374" s="530"/>
      <c r="BE374" s="530"/>
      <c r="BJ374" s="530"/>
      <c r="BK374" s="530"/>
      <c r="BP374" s="530"/>
      <c r="BQ374" s="530"/>
      <c r="BV374" s="530"/>
      <c r="BW374" s="530"/>
    </row>
    <row r="375">
      <c r="N375" s="530"/>
      <c r="O375" s="530"/>
      <c r="T375" s="530"/>
      <c r="U375" s="530"/>
      <c r="Z375" s="530"/>
      <c r="AA375" s="530"/>
      <c r="AF375" s="530"/>
      <c r="AG375" s="530"/>
      <c r="AL375" s="530"/>
      <c r="AM375" s="530"/>
      <c r="AR375" s="530"/>
      <c r="AS375" s="530"/>
      <c r="AX375" s="530"/>
      <c r="AY375" s="530"/>
      <c r="BD375" s="530"/>
      <c r="BE375" s="530"/>
      <c r="BJ375" s="530"/>
      <c r="BK375" s="530"/>
      <c r="BP375" s="530"/>
      <c r="BQ375" s="530"/>
      <c r="BV375" s="530"/>
      <c r="BW375" s="530"/>
    </row>
    <row r="376">
      <c r="N376" s="530"/>
      <c r="O376" s="530"/>
      <c r="T376" s="530"/>
      <c r="U376" s="530"/>
      <c r="Z376" s="530"/>
      <c r="AA376" s="530"/>
      <c r="AF376" s="530"/>
      <c r="AG376" s="530"/>
      <c r="AL376" s="530"/>
      <c r="AM376" s="530"/>
      <c r="AR376" s="530"/>
      <c r="AS376" s="530"/>
      <c r="AX376" s="530"/>
      <c r="AY376" s="530"/>
      <c r="BD376" s="530"/>
      <c r="BE376" s="530"/>
      <c r="BJ376" s="530"/>
      <c r="BK376" s="530"/>
      <c r="BP376" s="530"/>
      <c r="BQ376" s="530"/>
      <c r="BV376" s="530"/>
      <c r="BW376" s="530"/>
    </row>
    <row r="377">
      <c r="N377" s="530"/>
      <c r="O377" s="530"/>
      <c r="T377" s="530"/>
      <c r="U377" s="530"/>
      <c r="Z377" s="530"/>
      <c r="AA377" s="530"/>
      <c r="AF377" s="530"/>
      <c r="AG377" s="530"/>
      <c r="AL377" s="530"/>
      <c r="AM377" s="530"/>
      <c r="AR377" s="530"/>
      <c r="AS377" s="530"/>
      <c r="AX377" s="530"/>
      <c r="AY377" s="530"/>
      <c r="BD377" s="530"/>
      <c r="BE377" s="530"/>
      <c r="BJ377" s="530"/>
      <c r="BK377" s="530"/>
      <c r="BP377" s="530"/>
      <c r="BQ377" s="530"/>
      <c r="BV377" s="530"/>
      <c r="BW377" s="530"/>
    </row>
    <row r="378">
      <c r="N378" s="530"/>
      <c r="O378" s="530"/>
      <c r="T378" s="530"/>
      <c r="U378" s="530"/>
      <c r="Z378" s="530"/>
      <c r="AA378" s="530"/>
      <c r="AF378" s="530"/>
      <c r="AG378" s="530"/>
      <c r="AL378" s="530"/>
      <c r="AM378" s="530"/>
      <c r="AR378" s="530"/>
      <c r="AS378" s="530"/>
      <c r="AX378" s="530"/>
      <c r="AY378" s="530"/>
      <c r="BD378" s="530"/>
      <c r="BE378" s="530"/>
      <c r="BJ378" s="530"/>
      <c r="BK378" s="530"/>
      <c r="BP378" s="530"/>
      <c r="BQ378" s="530"/>
      <c r="BV378" s="530"/>
      <c r="BW378" s="530"/>
    </row>
    <row r="379">
      <c r="N379" s="530"/>
      <c r="O379" s="530"/>
      <c r="T379" s="530"/>
      <c r="U379" s="530"/>
      <c r="Z379" s="530"/>
      <c r="AA379" s="530"/>
      <c r="AF379" s="530"/>
      <c r="AG379" s="530"/>
      <c r="AL379" s="530"/>
      <c r="AM379" s="530"/>
      <c r="AR379" s="530"/>
      <c r="AS379" s="530"/>
      <c r="AX379" s="530"/>
      <c r="AY379" s="530"/>
      <c r="BD379" s="530"/>
      <c r="BE379" s="530"/>
      <c r="BJ379" s="530"/>
      <c r="BK379" s="530"/>
      <c r="BP379" s="530"/>
      <c r="BQ379" s="530"/>
      <c r="BV379" s="530"/>
      <c r="BW379" s="530"/>
    </row>
    <row r="380">
      <c r="N380" s="530"/>
      <c r="O380" s="530"/>
      <c r="T380" s="530"/>
      <c r="U380" s="530"/>
      <c r="Z380" s="530"/>
      <c r="AA380" s="530"/>
      <c r="AF380" s="530"/>
      <c r="AG380" s="530"/>
      <c r="AL380" s="530"/>
      <c r="AM380" s="530"/>
      <c r="AR380" s="530"/>
      <c r="AS380" s="530"/>
      <c r="AX380" s="530"/>
      <c r="AY380" s="530"/>
      <c r="BD380" s="530"/>
      <c r="BE380" s="530"/>
      <c r="BJ380" s="530"/>
      <c r="BK380" s="530"/>
      <c r="BP380" s="530"/>
      <c r="BQ380" s="530"/>
      <c r="BV380" s="530"/>
      <c r="BW380" s="530"/>
    </row>
    <row r="381">
      <c r="N381" s="530"/>
      <c r="O381" s="530"/>
      <c r="T381" s="530"/>
      <c r="U381" s="530"/>
      <c r="Z381" s="530"/>
      <c r="AA381" s="530"/>
      <c r="AF381" s="530"/>
      <c r="AG381" s="530"/>
      <c r="AL381" s="530"/>
      <c r="AM381" s="530"/>
      <c r="AR381" s="530"/>
      <c r="AS381" s="530"/>
      <c r="AX381" s="530"/>
      <c r="AY381" s="530"/>
      <c r="BD381" s="530"/>
      <c r="BE381" s="530"/>
      <c r="BJ381" s="530"/>
      <c r="BK381" s="530"/>
      <c r="BP381" s="530"/>
      <c r="BQ381" s="530"/>
      <c r="BV381" s="530"/>
      <c r="BW381" s="530"/>
    </row>
    <row r="382">
      <c r="N382" s="530"/>
      <c r="O382" s="530"/>
      <c r="T382" s="530"/>
      <c r="U382" s="530"/>
      <c r="Z382" s="530"/>
      <c r="AA382" s="530"/>
      <c r="AF382" s="530"/>
      <c r="AG382" s="530"/>
      <c r="AL382" s="530"/>
      <c r="AM382" s="530"/>
      <c r="AR382" s="530"/>
      <c r="AS382" s="530"/>
      <c r="AX382" s="530"/>
      <c r="AY382" s="530"/>
      <c r="BD382" s="530"/>
      <c r="BE382" s="530"/>
      <c r="BJ382" s="530"/>
      <c r="BK382" s="530"/>
      <c r="BP382" s="530"/>
      <c r="BQ382" s="530"/>
      <c r="BV382" s="530"/>
      <c r="BW382" s="530"/>
    </row>
    <row r="383">
      <c r="N383" s="530"/>
      <c r="O383" s="530"/>
      <c r="T383" s="530"/>
      <c r="U383" s="530"/>
      <c r="Z383" s="530"/>
      <c r="AA383" s="530"/>
      <c r="AF383" s="530"/>
      <c r="AG383" s="530"/>
      <c r="AL383" s="530"/>
      <c r="AM383" s="530"/>
      <c r="AR383" s="530"/>
      <c r="AS383" s="530"/>
      <c r="AX383" s="530"/>
      <c r="AY383" s="530"/>
      <c r="BD383" s="530"/>
      <c r="BE383" s="530"/>
      <c r="BJ383" s="530"/>
      <c r="BK383" s="530"/>
      <c r="BP383" s="530"/>
      <c r="BQ383" s="530"/>
      <c r="BV383" s="530"/>
      <c r="BW383" s="530"/>
    </row>
    <row r="384">
      <c r="N384" s="530"/>
      <c r="O384" s="530"/>
      <c r="T384" s="530"/>
      <c r="U384" s="530"/>
      <c r="Z384" s="530"/>
      <c r="AA384" s="530"/>
      <c r="AF384" s="530"/>
      <c r="AG384" s="530"/>
      <c r="AL384" s="530"/>
      <c r="AM384" s="530"/>
      <c r="AR384" s="530"/>
      <c r="AS384" s="530"/>
      <c r="AX384" s="530"/>
      <c r="AY384" s="530"/>
      <c r="BD384" s="530"/>
      <c r="BE384" s="530"/>
      <c r="BJ384" s="530"/>
      <c r="BK384" s="530"/>
      <c r="BP384" s="530"/>
      <c r="BQ384" s="530"/>
      <c r="BV384" s="530"/>
      <c r="BW384" s="530"/>
    </row>
    <row r="385">
      <c r="N385" s="530"/>
      <c r="O385" s="530"/>
      <c r="T385" s="530"/>
      <c r="U385" s="530"/>
      <c r="Z385" s="530"/>
      <c r="AA385" s="530"/>
      <c r="AF385" s="530"/>
      <c r="AG385" s="530"/>
      <c r="AL385" s="530"/>
      <c r="AM385" s="530"/>
      <c r="AR385" s="530"/>
      <c r="AS385" s="530"/>
      <c r="AX385" s="530"/>
      <c r="AY385" s="530"/>
      <c r="BD385" s="530"/>
      <c r="BE385" s="530"/>
      <c r="BJ385" s="530"/>
      <c r="BK385" s="530"/>
      <c r="BP385" s="530"/>
      <c r="BQ385" s="530"/>
      <c r="BV385" s="530"/>
      <c r="BW385" s="530"/>
    </row>
    <row r="386">
      <c r="N386" s="530"/>
      <c r="O386" s="530"/>
      <c r="T386" s="530"/>
      <c r="U386" s="530"/>
      <c r="Z386" s="530"/>
      <c r="AA386" s="530"/>
      <c r="AF386" s="530"/>
      <c r="AG386" s="530"/>
      <c r="AL386" s="530"/>
      <c r="AM386" s="530"/>
      <c r="AR386" s="530"/>
      <c r="AS386" s="530"/>
      <c r="AX386" s="530"/>
      <c r="AY386" s="530"/>
      <c r="BD386" s="530"/>
      <c r="BE386" s="530"/>
      <c r="BJ386" s="530"/>
      <c r="BK386" s="530"/>
      <c r="BP386" s="530"/>
      <c r="BQ386" s="530"/>
      <c r="BV386" s="530"/>
      <c r="BW386" s="530"/>
    </row>
    <row r="387">
      <c r="N387" s="530"/>
      <c r="O387" s="530"/>
      <c r="T387" s="530"/>
      <c r="U387" s="530"/>
      <c r="Z387" s="530"/>
      <c r="AA387" s="530"/>
      <c r="AF387" s="530"/>
      <c r="AG387" s="530"/>
      <c r="AL387" s="530"/>
      <c r="AM387" s="530"/>
      <c r="AR387" s="530"/>
      <c r="AS387" s="530"/>
      <c r="AX387" s="530"/>
      <c r="AY387" s="530"/>
      <c r="BD387" s="530"/>
      <c r="BE387" s="530"/>
      <c r="BJ387" s="530"/>
      <c r="BK387" s="530"/>
      <c r="BP387" s="530"/>
      <c r="BQ387" s="530"/>
      <c r="BV387" s="530"/>
      <c r="BW387" s="530"/>
    </row>
    <row r="388">
      <c r="N388" s="530"/>
      <c r="O388" s="530"/>
      <c r="T388" s="530"/>
      <c r="U388" s="530"/>
      <c r="Z388" s="530"/>
      <c r="AA388" s="530"/>
      <c r="AF388" s="530"/>
      <c r="AG388" s="530"/>
      <c r="AL388" s="530"/>
      <c r="AM388" s="530"/>
      <c r="AR388" s="530"/>
      <c r="AS388" s="530"/>
      <c r="AX388" s="530"/>
      <c r="AY388" s="530"/>
      <c r="BD388" s="530"/>
      <c r="BE388" s="530"/>
      <c r="BJ388" s="530"/>
      <c r="BK388" s="530"/>
      <c r="BP388" s="530"/>
      <c r="BQ388" s="530"/>
      <c r="BV388" s="530"/>
      <c r="BW388" s="530"/>
    </row>
    <row r="389">
      <c r="N389" s="530"/>
      <c r="O389" s="530"/>
      <c r="T389" s="530"/>
      <c r="U389" s="530"/>
      <c r="Z389" s="530"/>
      <c r="AA389" s="530"/>
      <c r="AF389" s="530"/>
      <c r="AG389" s="530"/>
      <c r="AL389" s="530"/>
      <c r="AM389" s="530"/>
      <c r="AR389" s="530"/>
      <c r="AS389" s="530"/>
      <c r="AX389" s="530"/>
      <c r="AY389" s="530"/>
      <c r="BD389" s="530"/>
      <c r="BE389" s="530"/>
      <c r="BJ389" s="530"/>
      <c r="BK389" s="530"/>
      <c r="BP389" s="530"/>
      <c r="BQ389" s="530"/>
      <c r="BV389" s="530"/>
      <c r="BW389" s="530"/>
    </row>
    <row r="390">
      <c r="N390" s="530"/>
      <c r="O390" s="530"/>
      <c r="T390" s="530"/>
      <c r="U390" s="530"/>
      <c r="Z390" s="530"/>
      <c r="AA390" s="530"/>
      <c r="AF390" s="530"/>
      <c r="AG390" s="530"/>
      <c r="AL390" s="530"/>
      <c r="AM390" s="530"/>
      <c r="AR390" s="530"/>
      <c r="AS390" s="530"/>
      <c r="AX390" s="530"/>
      <c r="AY390" s="530"/>
      <c r="BD390" s="530"/>
      <c r="BE390" s="530"/>
      <c r="BJ390" s="530"/>
      <c r="BK390" s="530"/>
      <c r="BP390" s="530"/>
      <c r="BQ390" s="530"/>
      <c r="BV390" s="530"/>
      <c r="BW390" s="530"/>
    </row>
    <row r="391">
      <c r="N391" s="530"/>
      <c r="O391" s="530"/>
      <c r="T391" s="530"/>
      <c r="U391" s="530"/>
      <c r="Z391" s="530"/>
      <c r="AA391" s="530"/>
      <c r="AF391" s="530"/>
      <c r="AG391" s="530"/>
      <c r="AL391" s="530"/>
      <c r="AM391" s="530"/>
      <c r="AR391" s="530"/>
      <c r="AS391" s="530"/>
      <c r="AX391" s="530"/>
      <c r="AY391" s="530"/>
      <c r="BD391" s="530"/>
      <c r="BE391" s="530"/>
      <c r="BJ391" s="530"/>
      <c r="BK391" s="530"/>
      <c r="BP391" s="530"/>
      <c r="BQ391" s="530"/>
      <c r="BV391" s="530"/>
      <c r="BW391" s="530"/>
    </row>
    <row r="392">
      <c r="N392" s="530"/>
      <c r="O392" s="530"/>
      <c r="T392" s="530"/>
      <c r="U392" s="530"/>
      <c r="Z392" s="530"/>
      <c r="AA392" s="530"/>
      <c r="AF392" s="530"/>
      <c r="AG392" s="530"/>
      <c r="AL392" s="530"/>
      <c r="AM392" s="530"/>
      <c r="AR392" s="530"/>
      <c r="AS392" s="530"/>
      <c r="AX392" s="530"/>
      <c r="AY392" s="530"/>
      <c r="BD392" s="530"/>
      <c r="BE392" s="530"/>
      <c r="BJ392" s="530"/>
      <c r="BK392" s="530"/>
      <c r="BP392" s="530"/>
      <c r="BQ392" s="530"/>
      <c r="BV392" s="530"/>
      <c r="BW392" s="530"/>
    </row>
    <row r="393">
      <c r="N393" s="530"/>
      <c r="O393" s="530"/>
      <c r="T393" s="530"/>
      <c r="U393" s="530"/>
      <c r="Z393" s="530"/>
      <c r="AA393" s="530"/>
      <c r="AF393" s="530"/>
      <c r="AG393" s="530"/>
      <c r="AL393" s="530"/>
      <c r="AM393" s="530"/>
      <c r="AR393" s="530"/>
      <c r="AS393" s="530"/>
      <c r="AX393" s="530"/>
      <c r="AY393" s="530"/>
      <c r="BD393" s="530"/>
      <c r="BE393" s="530"/>
      <c r="BJ393" s="530"/>
      <c r="BK393" s="530"/>
      <c r="BP393" s="530"/>
      <c r="BQ393" s="530"/>
      <c r="BV393" s="530"/>
      <c r="BW393" s="530"/>
    </row>
    <row r="394">
      <c r="N394" s="530"/>
      <c r="O394" s="530"/>
      <c r="T394" s="530"/>
      <c r="U394" s="530"/>
      <c r="Z394" s="530"/>
      <c r="AA394" s="530"/>
      <c r="AF394" s="530"/>
      <c r="AG394" s="530"/>
      <c r="AL394" s="530"/>
      <c r="AM394" s="530"/>
      <c r="AR394" s="530"/>
      <c r="AS394" s="530"/>
      <c r="AX394" s="530"/>
      <c r="AY394" s="530"/>
      <c r="BD394" s="530"/>
      <c r="BE394" s="530"/>
      <c r="BJ394" s="530"/>
      <c r="BK394" s="530"/>
      <c r="BP394" s="530"/>
      <c r="BQ394" s="530"/>
      <c r="BV394" s="530"/>
      <c r="BW394" s="530"/>
    </row>
    <row r="395">
      <c r="N395" s="530"/>
      <c r="O395" s="530"/>
      <c r="T395" s="530"/>
      <c r="U395" s="530"/>
      <c r="Z395" s="530"/>
      <c r="AA395" s="530"/>
      <c r="AF395" s="530"/>
      <c r="AG395" s="530"/>
      <c r="AL395" s="530"/>
      <c r="AM395" s="530"/>
      <c r="AR395" s="530"/>
      <c r="AS395" s="530"/>
      <c r="AX395" s="530"/>
      <c r="AY395" s="530"/>
      <c r="BD395" s="530"/>
      <c r="BE395" s="530"/>
      <c r="BJ395" s="530"/>
      <c r="BK395" s="530"/>
      <c r="BP395" s="530"/>
      <c r="BQ395" s="530"/>
      <c r="BV395" s="530"/>
      <c r="BW395" s="530"/>
    </row>
    <row r="396">
      <c r="N396" s="530"/>
      <c r="O396" s="530"/>
      <c r="T396" s="530"/>
      <c r="U396" s="530"/>
      <c r="Z396" s="530"/>
      <c r="AA396" s="530"/>
      <c r="AF396" s="530"/>
      <c r="AG396" s="530"/>
      <c r="AL396" s="530"/>
      <c r="AM396" s="530"/>
      <c r="AR396" s="530"/>
      <c r="AS396" s="530"/>
      <c r="AX396" s="530"/>
      <c r="AY396" s="530"/>
      <c r="BD396" s="530"/>
      <c r="BE396" s="530"/>
      <c r="BJ396" s="530"/>
      <c r="BK396" s="530"/>
      <c r="BP396" s="530"/>
      <c r="BQ396" s="530"/>
      <c r="BV396" s="530"/>
      <c r="BW396" s="530"/>
    </row>
    <row r="397">
      <c r="N397" s="530"/>
      <c r="O397" s="530"/>
      <c r="T397" s="530"/>
      <c r="U397" s="530"/>
      <c r="Z397" s="530"/>
      <c r="AA397" s="530"/>
      <c r="AF397" s="530"/>
      <c r="AG397" s="530"/>
      <c r="AL397" s="530"/>
      <c r="AM397" s="530"/>
      <c r="AR397" s="530"/>
      <c r="AS397" s="530"/>
      <c r="AX397" s="530"/>
      <c r="AY397" s="530"/>
      <c r="BD397" s="530"/>
      <c r="BE397" s="530"/>
      <c r="BJ397" s="530"/>
      <c r="BK397" s="530"/>
      <c r="BP397" s="530"/>
      <c r="BQ397" s="530"/>
      <c r="BV397" s="530"/>
      <c r="BW397" s="530"/>
    </row>
    <row r="398">
      <c r="N398" s="530"/>
      <c r="O398" s="530"/>
      <c r="T398" s="530"/>
      <c r="U398" s="530"/>
      <c r="Z398" s="530"/>
      <c r="AA398" s="530"/>
      <c r="AF398" s="530"/>
      <c r="AG398" s="530"/>
      <c r="AL398" s="530"/>
      <c r="AM398" s="530"/>
      <c r="AR398" s="530"/>
      <c r="AS398" s="530"/>
      <c r="AX398" s="530"/>
      <c r="AY398" s="530"/>
      <c r="BD398" s="530"/>
      <c r="BE398" s="530"/>
      <c r="BJ398" s="530"/>
      <c r="BK398" s="530"/>
      <c r="BP398" s="530"/>
      <c r="BQ398" s="530"/>
      <c r="BV398" s="530"/>
      <c r="BW398" s="530"/>
    </row>
    <row r="399">
      <c r="N399" s="530"/>
      <c r="O399" s="530"/>
      <c r="T399" s="530"/>
      <c r="U399" s="530"/>
      <c r="Z399" s="530"/>
      <c r="AA399" s="530"/>
      <c r="AF399" s="530"/>
      <c r="AG399" s="530"/>
      <c r="AL399" s="530"/>
      <c r="AM399" s="530"/>
      <c r="AR399" s="530"/>
      <c r="AS399" s="530"/>
      <c r="AX399" s="530"/>
      <c r="AY399" s="530"/>
      <c r="BD399" s="530"/>
      <c r="BE399" s="530"/>
      <c r="BJ399" s="530"/>
      <c r="BK399" s="530"/>
      <c r="BP399" s="530"/>
      <c r="BQ399" s="530"/>
      <c r="BV399" s="530"/>
      <c r="BW399" s="530"/>
    </row>
    <row r="400">
      <c r="N400" s="530"/>
      <c r="O400" s="530"/>
      <c r="T400" s="530"/>
      <c r="U400" s="530"/>
      <c r="Z400" s="530"/>
      <c r="AA400" s="530"/>
      <c r="AF400" s="530"/>
      <c r="AG400" s="530"/>
      <c r="AL400" s="530"/>
      <c r="AM400" s="530"/>
      <c r="AR400" s="530"/>
      <c r="AS400" s="530"/>
      <c r="AX400" s="530"/>
      <c r="AY400" s="530"/>
      <c r="BD400" s="530"/>
      <c r="BE400" s="530"/>
      <c r="BJ400" s="530"/>
      <c r="BK400" s="530"/>
      <c r="BP400" s="530"/>
      <c r="BQ400" s="530"/>
      <c r="BV400" s="530"/>
      <c r="BW400" s="530"/>
    </row>
    <row r="401">
      <c r="N401" s="530"/>
      <c r="O401" s="530"/>
      <c r="T401" s="530"/>
      <c r="U401" s="530"/>
      <c r="Z401" s="530"/>
      <c r="AA401" s="530"/>
      <c r="AF401" s="530"/>
      <c r="AG401" s="530"/>
      <c r="AL401" s="530"/>
      <c r="AM401" s="530"/>
      <c r="AR401" s="530"/>
      <c r="AS401" s="530"/>
      <c r="AX401" s="530"/>
      <c r="AY401" s="530"/>
      <c r="BD401" s="530"/>
      <c r="BE401" s="530"/>
      <c r="BJ401" s="530"/>
      <c r="BK401" s="530"/>
      <c r="BP401" s="530"/>
      <c r="BQ401" s="530"/>
      <c r="BV401" s="530"/>
      <c r="BW401" s="530"/>
    </row>
    <row r="402">
      <c r="N402" s="530"/>
      <c r="O402" s="530"/>
      <c r="T402" s="530"/>
      <c r="U402" s="530"/>
      <c r="Z402" s="530"/>
      <c r="AA402" s="530"/>
      <c r="AF402" s="530"/>
      <c r="AG402" s="530"/>
      <c r="AL402" s="530"/>
      <c r="AM402" s="530"/>
      <c r="AR402" s="530"/>
      <c r="AS402" s="530"/>
      <c r="AX402" s="530"/>
      <c r="AY402" s="530"/>
      <c r="BD402" s="530"/>
      <c r="BE402" s="530"/>
      <c r="BJ402" s="530"/>
      <c r="BK402" s="530"/>
      <c r="BP402" s="530"/>
      <c r="BQ402" s="530"/>
      <c r="BV402" s="530"/>
      <c r="BW402" s="530"/>
    </row>
    <row r="403">
      <c r="N403" s="530"/>
      <c r="O403" s="530"/>
      <c r="T403" s="530"/>
      <c r="U403" s="530"/>
      <c r="Z403" s="530"/>
      <c r="AA403" s="530"/>
      <c r="AF403" s="530"/>
      <c r="AG403" s="530"/>
      <c r="AL403" s="530"/>
      <c r="AM403" s="530"/>
      <c r="AR403" s="530"/>
      <c r="AS403" s="530"/>
      <c r="AX403" s="530"/>
      <c r="AY403" s="530"/>
      <c r="BD403" s="530"/>
      <c r="BE403" s="530"/>
      <c r="BJ403" s="530"/>
      <c r="BK403" s="530"/>
      <c r="BP403" s="530"/>
      <c r="BQ403" s="530"/>
      <c r="BV403" s="530"/>
      <c r="BW403" s="530"/>
    </row>
    <row r="404">
      <c r="N404" s="530"/>
      <c r="O404" s="530"/>
      <c r="T404" s="530"/>
      <c r="U404" s="530"/>
      <c r="Z404" s="530"/>
      <c r="AA404" s="530"/>
      <c r="AF404" s="530"/>
      <c r="AG404" s="530"/>
      <c r="AL404" s="530"/>
      <c r="AM404" s="530"/>
      <c r="AR404" s="530"/>
      <c r="AS404" s="530"/>
      <c r="AX404" s="530"/>
      <c r="AY404" s="530"/>
      <c r="BD404" s="530"/>
      <c r="BE404" s="530"/>
      <c r="BJ404" s="530"/>
      <c r="BK404" s="530"/>
      <c r="BP404" s="530"/>
      <c r="BQ404" s="530"/>
      <c r="BV404" s="530"/>
      <c r="BW404" s="530"/>
    </row>
    <row r="405">
      <c r="N405" s="530"/>
      <c r="O405" s="530"/>
      <c r="T405" s="530"/>
      <c r="U405" s="530"/>
      <c r="Z405" s="530"/>
      <c r="AA405" s="530"/>
      <c r="AF405" s="530"/>
      <c r="AG405" s="530"/>
      <c r="AL405" s="530"/>
      <c r="AM405" s="530"/>
      <c r="AR405" s="530"/>
      <c r="AS405" s="530"/>
      <c r="AX405" s="530"/>
      <c r="AY405" s="530"/>
      <c r="BD405" s="530"/>
      <c r="BE405" s="530"/>
      <c r="BJ405" s="530"/>
      <c r="BK405" s="530"/>
      <c r="BP405" s="530"/>
      <c r="BQ405" s="530"/>
      <c r="BV405" s="530"/>
      <c r="BW405" s="530"/>
    </row>
    <row r="406">
      <c r="N406" s="530"/>
      <c r="O406" s="530"/>
      <c r="T406" s="530"/>
      <c r="U406" s="530"/>
      <c r="Z406" s="530"/>
      <c r="AA406" s="530"/>
      <c r="AF406" s="530"/>
      <c r="AG406" s="530"/>
      <c r="AL406" s="530"/>
      <c r="AM406" s="530"/>
      <c r="AR406" s="530"/>
      <c r="AS406" s="530"/>
      <c r="AX406" s="530"/>
      <c r="AY406" s="530"/>
      <c r="BD406" s="530"/>
      <c r="BE406" s="530"/>
      <c r="BJ406" s="530"/>
      <c r="BK406" s="530"/>
      <c r="BP406" s="530"/>
      <c r="BQ406" s="530"/>
      <c r="BV406" s="530"/>
      <c r="BW406" s="530"/>
    </row>
    <row r="407">
      <c r="N407" s="530"/>
      <c r="O407" s="530"/>
      <c r="T407" s="530"/>
      <c r="U407" s="530"/>
      <c r="Z407" s="530"/>
      <c r="AA407" s="530"/>
      <c r="AF407" s="530"/>
      <c r="AG407" s="530"/>
      <c r="AL407" s="530"/>
      <c r="AM407" s="530"/>
      <c r="AR407" s="530"/>
      <c r="AS407" s="530"/>
      <c r="AX407" s="530"/>
      <c r="AY407" s="530"/>
      <c r="BD407" s="530"/>
      <c r="BE407" s="530"/>
      <c r="BJ407" s="530"/>
      <c r="BK407" s="530"/>
      <c r="BP407" s="530"/>
      <c r="BQ407" s="530"/>
      <c r="BV407" s="530"/>
      <c r="BW407" s="530"/>
    </row>
    <row r="408">
      <c r="N408" s="530"/>
      <c r="O408" s="530"/>
      <c r="T408" s="530"/>
      <c r="U408" s="530"/>
      <c r="Z408" s="530"/>
      <c r="AA408" s="530"/>
      <c r="AF408" s="530"/>
      <c r="AG408" s="530"/>
      <c r="AL408" s="530"/>
      <c r="AM408" s="530"/>
      <c r="AR408" s="530"/>
      <c r="AS408" s="530"/>
      <c r="AX408" s="530"/>
      <c r="AY408" s="530"/>
      <c r="BD408" s="530"/>
      <c r="BE408" s="530"/>
      <c r="BJ408" s="530"/>
      <c r="BK408" s="530"/>
      <c r="BP408" s="530"/>
      <c r="BQ408" s="530"/>
      <c r="BV408" s="530"/>
      <c r="BW408" s="530"/>
    </row>
    <row r="409">
      <c r="N409" s="530"/>
      <c r="O409" s="530"/>
      <c r="T409" s="530"/>
      <c r="U409" s="530"/>
      <c r="Z409" s="530"/>
      <c r="AA409" s="530"/>
      <c r="AF409" s="530"/>
      <c r="AG409" s="530"/>
      <c r="AL409" s="530"/>
      <c r="AM409" s="530"/>
      <c r="AR409" s="530"/>
      <c r="AS409" s="530"/>
      <c r="AX409" s="530"/>
      <c r="AY409" s="530"/>
      <c r="BD409" s="530"/>
      <c r="BE409" s="530"/>
      <c r="BJ409" s="530"/>
      <c r="BK409" s="530"/>
      <c r="BP409" s="530"/>
      <c r="BQ409" s="530"/>
      <c r="BV409" s="530"/>
      <c r="BW409" s="530"/>
    </row>
    <row r="410">
      <c r="N410" s="530"/>
      <c r="O410" s="530"/>
      <c r="T410" s="530"/>
      <c r="U410" s="530"/>
      <c r="Z410" s="530"/>
      <c r="AA410" s="530"/>
      <c r="AF410" s="530"/>
      <c r="AG410" s="530"/>
      <c r="AL410" s="530"/>
      <c r="AM410" s="530"/>
      <c r="AR410" s="530"/>
      <c r="AS410" s="530"/>
      <c r="AX410" s="530"/>
      <c r="AY410" s="530"/>
      <c r="BD410" s="530"/>
      <c r="BE410" s="530"/>
      <c r="BJ410" s="530"/>
      <c r="BK410" s="530"/>
      <c r="BP410" s="530"/>
      <c r="BQ410" s="530"/>
      <c r="BV410" s="530"/>
      <c r="BW410" s="530"/>
    </row>
    <row r="411">
      <c r="N411" s="530"/>
      <c r="O411" s="530"/>
      <c r="T411" s="530"/>
      <c r="U411" s="530"/>
      <c r="Z411" s="530"/>
      <c r="AA411" s="530"/>
      <c r="AF411" s="530"/>
      <c r="AG411" s="530"/>
      <c r="AL411" s="530"/>
      <c r="AM411" s="530"/>
      <c r="AR411" s="530"/>
      <c r="AS411" s="530"/>
      <c r="AX411" s="530"/>
      <c r="AY411" s="530"/>
      <c r="BD411" s="530"/>
      <c r="BE411" s="530"/>
      <c r="BJ411" s="530"/>
      <c r="BK411" s="530"/>
      <c r="BP411" s="530"/>
      <c r="BQ411" s="530"/>
      <c r="BV411" s="530"/>
      <c r="BW411" s="530"/>
    </row>
    <row r="412">
      <c r="N412" s="530"/>
      <c r="O412" s="530"/>
      <c r="T412" s="530"/>
      <c r="U412" s="530"/>
      <c r="Z412" s="530"/>
      <c r="AA412" s="530"/>
      <c r="AF412" s="530"/>
      <c r="AG412" s="530"/>
      <c r="AL412" s="530"/>
      <c r="AM412" s="530"/>
      <c r="AR412" s="530"/>
      <c r="AS412" s="530"/>
      <c r="AX412" s="530"/>
      <c r="AY412" s="530"/>
      <c r="BD412" s="530"/>
      <c r="BE412" s="530"/>
      <c r="BJ412" s="530"/>
      <c r="BK412" s="530"/>
      <c r="BP412" s="530"/>
      <c r="BQ412" s="530"/>
      <c r="BV412" s="530"/>
      <c r="BW412" s="530"/>
    </row>
    <row r="413">
      <c r="N413" s="530"/>
      <c r="O413" s="530"/>
      <c r="T413" s="530"/>
      <c r="U413" s="530"/>
      <c r="Z413" s="530"/>
      <c r="AA413" s="530"/>
      <c r="AF413" s="530"/>
      <c r="AG413" s="530"/>
      <c r="AL413" s="530"/>
      <c r="AM413" s="530"/>
      <c r="AR413" s="530"/>
      <c r="AS413" s="530"/>
      <c r="AX413" s="530"/>
      <c r="AY413" s="530"/>
      <c r="BD413" s="530"/>
      <c r="BE413" s="530"/>
      <c r="BJ413" s="530"/>
      <c r="BK413" s="530"/>
      <c r="BP413" s="530"/>
      <c r="BQ413" s="530"/>
      <c r="BV413" s="530"/>
      <c r="BW413" s="530"/>
    </row>
    <row r="414">
      <c r="N414" s="530"/>
      <c r="O414" s="530"/>
      <c r="T414" s="530"/>
      <c r="U414" s="530"/>
      <c r="Z414" s="530"/>
      <c r="AA414" s="530"/>
      <c r="AF414" s="530"/>
      <c r="AG414" s="530"/>
      <c r="AL414" s="530"/>
      <c r="AM414" s="530"/>
      <c r="AR414" s="530"/>
      <c r="AS414" s="530"/>
      <c r="AX414" s="530"/>
      <c r="AY414" s="530"/>
      <c r="BD414" s="530"/>
      <c r="BE414" s="530"/>
      <c r="BJ414" s="530"/>
      <c r="BK414" s="530"/>
      <c r="BP414" s="530"/>
      <c r="BQ414" s="530"/>
      <c r="BV414" s="530"/>
      <c r="BW414" s="530"/>
    </row>
    <row r="415">
      <c r="N415" s="530"/>
      <c r="O415" s="530"/>
      <c r="T415" s="530"/>
      <c r="U415" s="530"/>
      <c r="Z415" s="530"/>
      <c r="AA415" s="530"/>
      <c r="AF415" s="530"/>
      <c r="AG415" s="530"/>
      <c r="AL415" s="530"/>
      <c r="AM415" s="530"/>
      <c r="AR415" s="530"/>
      <c r="AS415" s="530"/>
      <c r="AX415" s="530"/>
      <c r="AY415" s="530"/>
      <c r="BD415" s="530"/>
      <c r="BE415" s="530"/>
      <c r="BJ415" s="530"/>
      <c r="BK415" s="530"/>
      <c r="BP415" s="530"/>
      <c r="BQ415" s="530"/>
      <c r="BV415" s="530"/>
      <c r="BW415" s="530"/>
    </row>
    <row r="416">
      <c r="N416" s="530"/>
      <c r="O416" s="530"/>
      <c r="T416" s="530"/>
      <c r="U416" s="530"/>
      <c r="Z416" s="530"/>
      <c r="AA416" s="530"/>
      <c r="AF416" s="530"/>
      <c r="AG416" s="530"/>
      <c r="AL416" s="530"/>
      <c r="AM416" s="530"/>
      <c r="AR416" s="530"/>
      <c r="AS416" s="530"/>
      <c r="AX416" s="530"/>
      <c r="AY416" s="530"/>
      <c r="BD416" s="530"/>
      <c r="BE416" s="530"/>
      <c r="BJ416" s="530"/>
      <c r="BK416" s="530"/>
      <c r="BP416" s="530"/>
      <c r="BQ416" s="530"/>
      <c r="BV416" s="530"/>
      <c r="BW416" s="530"/>
    </row>
    <row r="417">
      <c r="N417" s="530"/>
      <c r="O417" s="530"/>
      <c r="T417" s="530"/>
      <c r="U417" s="530"/>
      <c r="Z417" s="530"/>
      <c r="AA417" s="530"/>
      <c r="AF417" s="530"/>
      <c r="AG417" s="530"/>
      <c r="AL417" s="530"/>
      <c r="AM417" s="530"/>
      <c r="AR417" s="530"/>
      <c r="AS417" s="530"/>
      <c r="AX417" s="530"/>
      <c r="AY417" s="530"/>
      <c r="BD417" s="530"/>
      <c r="BE417" s="530"/>
      <c r="BJ417" s="530"/>
      <c r="BK417" s="530"/>
      <c r="BP417" s="530"/>
      <c r="BQ417" s="530"/>
      <c r="BV417" s="530"/>
      <c r="BW417" s="530"/>
    </row>
    <row r="418">
      <c r="N418" s="530"/>
      <c r="O418" s="530"/>
      <c r="T418" s="530"/>
      <c r="U418" s="530"/>
      <c r="Z418" s="530"/>
      <c r="AA418" s="530"/>
      <c r="AF418" s="530"/>
      <c r="AG418" s="530"/>
      <c r="AL418" s="530"/>
      <c r="AM418" s="530"/>
      <c r="AR418" s="530"/>
      <c r="AS418" s="530"/>
      <c r="AX418" s="530"/>
      <c r="AY418" s="530"/>
      <c r="BD418" s="530"/>
      <c r="BE418" s="530"/>
      <c r="BJ418" s="530"/>
      <c r="BK418" s="530"/>
      <c r="BP418" s="530"/>
      <c r="BQ418" s="530"/>
      <c r="BV418" s="530"/>
      <c r="BW418" s="530"/>
    </row>
    <row r="419">
      <c r="N419" s="530"/>
      <c r="O419" s="530"/>
      <c r="T419" s="530"/>
      <c r="U419" s="530"/>
      <c r="Z419" s="530"/>
      <c r="AA419" s="530"/>
      <c r="AF419" s="530"/>
      <c r="AG419" s="530"/>
      <c r="AL419" s="530"/>
      <c r="AM419" s="530"/>
      <c r="AR419" s="530"/>
      <c r="AS419" s="530"/>
      <c r="AX419" s="530"/>
      <c r="AY419" s="530"/>
      <c r="BD419" s="530"/>
      <c r="BE419" s="530"/>
      <c r="BJ419" s="530"/>
      <c r="BK419" s="530"/>
      <c r="BP419" s="530"/>
      <c r="BQ419" s="530"/>
      <c r="BV419" s="530"/>
      <c r="BW419" s="530"/>
    </row>
    <row r="420">
      <c r="N420" s="530"/>
      <c r="O420" s="530"/>
      <c r="T420" s="530"/>
      <c r="U420" s="530"/>
      <c r="Z420" s="530"/>
      <c r="AA420" s="530"/>
      <c r="AF420" s="530"/>
      <c r="AG420" s="530"/>
      <c r="AL420" s="530"/>
      <c r="AM420" s="530"/>
      <c r="AR420" s="530"/>
      <c r="AS420" s="530"/>
      <c r="AX420" s="530"/>
      <c r="AY420" s="530"/>
      <c r="BD420" s="530"/>
      <c r="BE420" s="530"/>
      <c r="BJ420" s="530"/>
      <c r="BK420" s="530"/>
      <c r="BP420" s="530"/>
      <c r="BQ420" s="530"/>
      <c r="BV420" s="530"/>
      <c r="BW420" s="530"/>
    </row>
    <row r="421">
      <c r="N421" s="530"/>
      <c r="O421" s="530"/>
      <c r="T421" s="530"/>
      <c r="U421" s="530"/>
      <c r="Z421" s="530"/>
      <c r="AA421" s="530"/>
      <c r="AF421" s="530"/>
      <c r="AG421" s="530"/>
      <c r="AL421" s="530"/>
      <c r="AM421" s="530"/>
      <c r="AR421" s="530"/>
      <c r="AS421" s="530"/>
      <c r="AX421" s="530"/>
      <c r="AY421" s="530"/>
      <c r="BD421" s="530"/>
      <c r="BE421" s="530"/>
      <c r="BJ421" s="530"/>
      <c r="BK421" s="530"/>
      <c r="BP421" s="530"/>
      <c r="BQ421" s="530"/>
      <c r="BV421" s="530"/>
      <c r="BW421" s="530"/>
    </row>
    <row r="422">
      <c r="N422" s="530"/>
      <c r="O422" s="530"/>
      <c r="T422" s="530"/>
      <c r="U422" s="530"/>
      <c r="Z422" s="530"/>
      <c r="AA422" s="530"/>
      <c r="AF422" s="530"/>
      <c r="AG422" s="530"/>
      <c r="AL422" s="530"/>
      <c r="AM422" s="530"/>
      <c r="AR422" s="530"/>
      <c r="AS422" s="530"/>
      <c r="AX422" s="530"/>
      <c r="AY422" s="530"/>
      <c r="BD422" s="530"/>
      <c r="BE422" s="530"/>
      <c r="BJ422" s="530"/>
      <c r="BK422" s="530"/>
      <c r="BP422" s="530"/>
      <c r="BQ422" s="530"/>
      <c r="BV422" s="530"/>
      <c r="BW422" s="530"/>
    </row>
    <row r="423">
      <c r="N423" s="530"/>
      <c r="O423" s="530"/>
      <c r="T423" s="530"/>
      <c r="U423" s="530"/>
      <c r="Z423" s="530"/>
      <c r="AA423" s="530"/>
      <c r="AF423" s="530"/>
      <c r="AG423" s="530"/>
      <c r="AL423" s="530"/>
      <c r="AM423" s="530"/>
      <c r="AR423" s="530"/>
      <c r="AS423" s="530"/>
      <c r="AX423" s="530"/>
      <c r="AY423" s="530"/>
      <c r="BD423" s="530"/>
      <c r="BE423" s="530"/>
      <c r="BJ423" s="530"/>
      <c r="BK423" s="530"/>
      <c r="BP423" s="530"/>
      <c r="BQ423" s="530"/>
      <c r="BV423" s="530"/>
      <c r="BW423" s="530"/>
    </row>
    <row r="424">
      <c r="N424" s="530"/>
      <c r="O424" s="530"/>
      <c r="T424" s="530"/>
      <c r="U424" s="530"/>
      <c r="Z424" s="530"/>
      <c r="AA424" s="530"/>
      <c r="AF424" s="530"/>
      <c r="AG424" s="530"/>
      <c r="AL424" s="530"/>
      <c r="AM424" s="530"/>
      <c r="AR424" s="530"/>
      <c r="AS424" s="530"/>
      <c r="AX424" s="530"/>
      <c r="AY424" s="530"/>
      <c r="BD424" s="530"/>
      <c r="BE424" s="530"/>
      <c r="BJ424" s="530"/>
      <c r="BK424" s="530"/>
      <c r="BP424" s="530"/>
      <c r="BQ424" s="530"/>
      <c r="BV424" s="530"/>
      <c r="BW424" s="530"/>
    </row>
    <row r="425">
      <c r="N425" s="530"/>
      <c r="O425" s="530"/>
      <c r="T425" s="530"/>
      <c r="U425" s="530"/>
      <c r="Z425" s="530"/>
      <c r="AA425" s="530"/>
      <c r="AF425" s="530"/>
      <c r="AG425" s="530"/>
      <c r="AL425" s="530"/>
      <c r="AM425" s="530"/>
      <c r="AR425" s="530"/>
      <c r="AS425" s="530"/>
      <c r="AX425" s="530"/>
      <c r="AY425" s="530"/>
      <c r="BD425" s="530"/>
      <c r="BE425" s="530"/>
      <c r="BJ425" s="530"/>
      <c r="BK425" s="530"/>
      <c r="BP425" s="530"/>
      <c r="BQ425" s="530"/>
      <c r="BV425" s="530"/>
      <c r="BW425" s="530"/>
    </row>
    <row r="426">
      <c r="N426" s="530"/>
      <c r="O426" s="530"/>
      <c r="T426" s="530"/>
      <c r="U426" s="530"/>
      <c r="Z426" s="530"/>
      <c r="AA426" s="530"/>
      <c r="AF426" s="530"/>
      <c r="AG426" s="530"/>
      <c r="AL426" s="530"/>
      <c r="AM426" s="530"/>
      <c r="AR426" s="530"/>
      <c r="AS426" s="530"/>
      <c r="AX426" s="530"/>
      <c r="AY426" s="530"/>
      <c r="BD426" s="530"/>
      <c r="BE426" s="530"/>
      <c r="BJ426" s="530"/>
      <c r="BK426" s="530"/>
      <c r="BP426" s="530"/>
      <c r="BQ426" s="530"/>
      <c r="BV426" s="530"/>
      <c r="BW426" s="530"/>
    </row>
    <row r="427">
      <c r="N427" s="530"/>
      <c r="O427" s="530"/>
      <c r="T427" s="530"/>
      <c r="U427" s="530"/>
      <c r="Z427" s="530"/>
      <c r="AA427" s="530"/>
      <c r="AF427" s="530"/>
      <c r="AG427" s="530"/>
      <c r="AL427" s="530"/>
      <c r="AM427" s="530"/>
      <c r="AR427" s="530"/>
      <c r="AS427" s="530"/>
      <c r="AX427" s="530"/>
      <c r="AY427" s="530"/>
      <c r="BD427" s="530"/>
      <c r="BE427" s="530"/>
      <c r="BJ427" s="530"/>
      <c r="BK427" s="530"/>
      <c r="BP427" s="530"/>
      <c r="BQ427" s="530"/>
      <c r="BV427" s="530"/>
      <c r="BW427" s="530"/>
    </row>
    <row r="428">
      <c r="N428" s="530"/>
      <c r="O428" s="530"/>
      <c r="T428" s="530"/>
      <c r="U428" s="530"/>
      <c r="Z428" s="530"/>
      <c r="AA428" s="530"/>
      <c r="AF428" s="530"/>
      <c r="AG428" s="530"/>
      <c r="AL428" s="530"/>
      <c r="AM428" s="530"/>
      <c r="AR428" s="530"/>
      <c r="AS428" s="530"/>
      <c r="AX428" s="530"/>
      <c r="AY428" s="530"/>
      <c r="BD428" s="530"/>
      <c r="BE428" s="530"/>
      <c r="BJ428" s="530"/>
      <c r="BK428" s="530"/>
      <c r="BP428" s="530"/>
      <c r="BQ428" s="530"/>
      <c r="BV428" s="530"/>
      <c r="BW428" s="530"/>
    </row>
    <row r="429">
      <c r="N429" s="530"/>
      <c r="O429" s="530"/>
      <c r="T429" s="530"/>
      <c r="U429" s="530"/>
      <c r="Z429" s="530"/>
      <c r="AA429" s="530"/>
      <c r="AF429" s="530"/>
      <c r="AG429" s="530"/>
      <c r="AL429" s="530"/>
      <c r="AM429" s="530"/>
      <c r="AR429" s="530"/>
      <c r="AS429" s="530"/>
      <c r="AX429" s="530"/>
      <c r="AY429" s="530"/>
      <c r="BD429" s="530"/>
      <c r="BE429" s="530"/>
      <c r="BJ429" s="530"/>
      <c r="BK429" s="530"/>
      <c r="BP429" s="530"/>
      <c r="BQ429" s="530"/>
      <c r="BV429" s="530"/>
      <c r="BW429" s="530"/>
    </row>
    <row r="430">
      <c r="N430" s="530"/>
      <c r="O430" s="530"/>
      <c r="T430" s="530"/>
      <c r="U430" s="530"/>
      <c r="Z430" s="530"/>
      <c r="AA430" s="530"/>
      <c r="AF430" s="530"/>
      <c r="AG430" s="530"/>
      <c r="AL430" s="530"/>
      <c r="AM430" s="530"/>
      <c r="AR430" s="530"/>
      <c r="AS430" s="530"/>
      <c r="AX430" s="530"/>
      <c r="AY430" s="530"/>
      <c r="BD430" s="530"/>
      <c r="BE430" s="530"/>
      <c r="BJ430" s="530"/>
      <c r="BK430" s="530"/>
      <c r="BP430" s="530"/>
      <c r="BQ430" s="530"/>
      <c r="BV430" s="530"/>
      <c r="BW430" s="530"/>
    </row>
    <row r="431">
      <c r="N431" s="530"/>
      <c r="O431" s="530"/>
      <c r="T431" s="530"/>
      <c r="U431" s="530"/>
      <c r="Z431" s="530"/>
      <c r="AA431" s="530"/>
      <c r="AF431" s="530"/>
      <c r="AG431" s="530"/>
      <c r="AL431" s="530"/>
      <c r="AM431" s="530"/>
      <c r="AR431" s="530"/>
      <c r="AS431" s="530"/>
      <c r="AX431" s="530"/>
      <c r="AY431" s="530"/>
      <c r="BD431" s="530"/>
      <c r="BE431" s="530"/>
      <c r="BJ431" s="530"/>
      <c r="BK431" s="530"/>
      <c r="BP431" s="530"/>
      <c r="BQ431" s="530"/>
      <c r="BV431" s="530"/>
      <c r="BW431" s="530"/>
    </row>
    <row r="432">
      <c r="N432" s="530"/>
      <c r="O432" s="530"/>
      <c r="T432" s="530"/>
      <c r="U432" s="530"/>
      <c r="Z432" s="530"/>
      <c r="AA432" s="530"/>
      <c r="AF432" s="530"/>
      <c r="AG432" s="530"/>
      <c r="AL432" s="530"/>
      <c r="AM432" s="530"/>
      <c r="AR432" s="530"/>
      <c r="AS432" s="530"/>
      <c r="AX432" s="530"/>
      <c r="AY432" s="530"/>
      <c r="BD432" s="530"/>
      <c r="BE432" s="530"/>
      <c r="BJ432" s="530"/>
      <c r="BK432" s="530"/>
      <c r="BP432" s="530"/>
      <c r="BQ432" s="530"/>
      <c r="BV432" s="530"/>
      <c r="BW432" s="530"/>
    </row>
    <row r="433">
      <c r="N433" s="530"/>
      <c r="O433" s="530"/>
      <c r="T433" s="530"/>
      <c r="U433" s="530"/>
      <c r="Z433" s="530"/>
      <c r="AA433" s="530"/>
      <c r="AF433" s="530"/>
      <c r="AG433" s="530"/>
      <c r="AL433" s="530"/>
      <c r="AM433" s="530"/>
      <c r="AR433" s="530"/>
      <c r="AS433" s="530"/>
      <c r="AX433" s="530"/>
      <c r="AY433" s="530"/>
      <c r="BD433" s="530"/>
      <c r="BE433" s="530"/>
      <c r="BJ433" s="530"/>
      <c r="BK433" s="530"/>
      <c r="BP433" s="530"/>
      <c r="BQ433" s="530"/>
      <c r="BV433" s="530"/>
      <c r="BW433" s="530"/>
    </row>
    <row r="434">
      <c r="N434" s="530"/>
      <c r="O434" s="530"/>
      <c r="T434" s="530"/>
      <c r="U434" s="530"/>
      <c r="Z434" s="530"/>
      <c r="AA434" s="530"/>
      <c r="AF434" s="530"/>
      <c r="AG434" s="530"/>
      <c r="AL434" s="530"/>
      <c r="AM434" s="530"/>
      <c r="AR434" s="530"/>
      <c r="AS434" s="530"/>
      <c r="AX434" s="530"/>
      <c r="AY434" s="530"/>
      <c r="BD434" s="530"/>
      <c r="BE434" s="530"/>
      <c r="BJ434" s="530"/>
      <c r="BK434" s="530"/>
      <c r="BP434" s="530"/>
      <c r="BQ434" s="530"/>
      <c r="BV434" s="530"/>
      <c r="BW434" s="530"/>
    </row>
    <row r="435">
      <c r="N435" s="530"/>
      <c r="O435" s="530"/>
      <c r="T435" s="530"/>
      <c r="U435" s="530"/>
      <c r="Z435" s="530"/>
      <c r="AA435" s="530"/>
      <c r="AF435" s="530"/>
      <c r="AG435" s="530"/>
      <c r="AL435" s="530"/>
      <c r="AM435" s="530"/>
      <c r="AR435" s="530"/>
      <c r="AS435" s="530"/>
      <c r="AX435" s="530"/>
      <c r="AY435" s="530"/>
      <c r="BD435" s="530"/>
      <c r="BE435" s="530"/>
      <c r="BJ435" s="530"/>
      <c r="BK435" s="530"/>
      <c r="BP435" s="530"/>
      <c r="BQ435" s="530"/>
      <c r="BV435" s="530"/>
      <c r="BW435" s="530"/>
    </row>
    <row r="436">
      <c r="N436" s="530"/>
      <c r="O436" s="530"/>
      <c r="T436" s="530"/>
      <c r="U436" s="530"/>
      <c r="Z436" s="530"/>
      <c r="AA436" s="530"/>
      <c r="AF436" s="530"/>
      <c r="AG436" s="530"/>
      <c r="AL436" s="530"/>
      <c r="AM436" s="530"/>
      <c r="AR436" s="530"/>
      <c r="AS436" s="530"/>
      <c r="AX436" s="530"/>
      <c r="AY436" s="530"/>
      <c r="BD436" s="530"/>
      <c r="BE436" s="530"/>
      <c r="BJ436" s="530"/>
      <c r="BK436" s="530"/>
      <c r="BP436" s="530"/>
      <c r="BQ436" s="530"/>
      <c r="BV436" s="530"/>
      <c r="BW436" s="530"/>
    </row>
    <row r="437">
      <c r="N437" s="530"/>
      <c r="O437" s="530"/>
      <c r="T437" s="530"/>
      <c r="U437" s="530"/>
      <c r="Z437" s="530"/>
      <c r="AA437" s="530"/>
      <c r="AF437" s="530"/>
      <c r="AG437" s="530"/>
      <c r="AL437" s="530"/>
      <c r="AM437" s="530"/>
      <c r="AR437" s="530"/>
      <c r="AS437" s="530"/>
      <c r="AX437" s="530"/>
      <c r="AY437" s="530"/>
      <c r="BD437" s="530"/>
      <c r="BE437" s="530"/>
      <c r="BJ437" s="530"/>
      <c r="BK437" s="530"/>
      <c r="BP437" s="530"/>
      <c r="BQ437" s="530"/>
      <c r="BV437" s="530"/>
      <c r="BW437" s="530"/>
    </row>
    <row r="438">
      <c r="N438" s="530"/>
      <c r="O438" s="530"/>
      <c r="T438" s="530"/>
      <c r="U438" s="530"/>
      <c r="Z438" s="530"/>
      <c r="AA438" s="530"/>
      <c r="AF438" s="530"/>
      <c r="AG438" s="530"/>
      <c r="AL438" s="530"/>
      <c r="AM438" s="530"/>
      <c r="AR438" s="530"/>
      <c r="AS438" s="530"/>
      <c r="AX438" s="530"/>
      <c r="AY438" s="530"/>
      <c r="BD438" s="530"/>
      <c r="BE438" s="530"/>
      <c r="BJ438" s="530"/>
      <c r="BK438" s="530"/>
      <c r="BP438" s="530"/>
      <c r="BQ438" s="530"/>
      <c r="BV438" s="530"/>
      <c r="BW438" s="530"/>
    </row>
    <row r="439">
      <c r="N439" s="530"/>
      <c r="O439" s="530"/>
      <c r="T439" s="530"/>
      <c r="U439" s="530"/>
      <c r="Z439" s="530"/>
      <c r="AA439" s="530"/>
      <c r="AF439" s="530"/>
      <c r="AG439" s="530"/>
      <c r="AL439" s="530"/>
      <c r="AM439" s="530"/>
      <c r="AR439" s="530"/>
      <c r="AS439" s="530"/>
      <c r="AX439" s="530"/>
      <c r="AY439" s="530"/>
      <c r="BD439" s="530"/>
      <c r="BE439" s="530"/>
      <c r="BJ439" s="530"/>
      <c r="BK439" s="530"/>
      <c r="BP439" s="530"/>
      <c r="BQ439" s="530"/>
      <c r="BV439" s="530"/>
      <c r="BW439" s="530"/>
    </row>
    <row r="440">
      <c r="N440" s="530"/>
      <c r="O440" s="530"/>
      <c r="T440" s="530"/>
      <c r="U440" s="530"/>
      <c r="Z440" s="530"/>
      <c r="AA440" s="530"/>
      <c r="AF440" s="530"/>
      <c r="AG440" s="530"/>
      <c r="AL440" s="530"/>
      <c r="AM440" s="530"/>
      <c r="AR440" s="530"/>
      <c r="AS440" s="530"/>
      <c r="AX440" s="530"/>
      <c r="AY440" s="530"/>
      <c r="BD440" s="530"/>
      <c r="BE440" s="530"/>
      <c r="BJ440" s="530"/>
      <c r="BK440" s="530"/>
      <c r="BP440" s="530"/>
      <c r="BQ440" s="530"/>
      <c r="BV440" s="530"/>
      <c r="BW440" s="530"/>
    </row>
    <row r="441">
      <c r="N441" s="530"/>
      <c r="O441" s="530"/>
      <c r="T441" s="530"/>
      <c r="U441" s="530"/>
      <c r="Z441" s="530"/>
      <c r="AA441" s="530"/>
      <c r="AF441" s="530"/>
      <c r="AG441" s="530"/>
      <c r="AL441" s="530"/>
      <c r="AM441" s="530"/>
      <c r="AR441" s="530"/>
      <c r="AS441" s="530"/>
      <c r="AX441" s="530"/>
      <c r="AY441" s="530"/>
      <c r="BD441" s="530"/>
      <c r="BE441" s="530"/>
      <c r="BJ441" s="530"/>
      <c r="BK441" s="530"/>
      <c r="BP441" s="530"/>
      <c r="BQ441" s="530"/>
      <c r="BV441" s="530"/>
      <c r="BW441" s="530"/>
    </row>
    <row r="442">
      <c r="N442" s="530"/>
      <c r="O442" s="530"/>
      <c r="T442" s="530"/>
      <c r="U442" s="530"/>
      <c r="Z442" s="530"/>
      <c r="AA442" s="530"/>
      <c r="AF442" s="530"/>
      <c r="AG442" s="530"/>
      <c r="AL442" s="530"/>
      <c r="AM442" s="530"/>
      <c r="AR442" s="530"/>
      <c r="AS442" s="530"/>
      <c r="AX442" s="530"/>
      <c r="AY442" s="530"/>
      <c r="BD442" s="530"/>
      <c r="BE442" s="530"/>
      <c r="BJ442" s="530"/>
      <c r="BK442" s="530"/>
      <c r="BP442" s="530"/>
      <c r="BQ442" s="530"/>
      <c r="BV442" s="530"/>
      <c r="BW442" s="530"/>
    </row>
    <row r="443">
      <c r="N443" s="530"/>
      <c r="O443" s="530"/>
      <c r="T443" s="530"/>
      <c r="U443" s="530"/>
      <c r="Z443" s="530"/>
      <c r="AA443" s="530"/>
      <c r="AF443" s="530"/>
      <c r="AG443" s="530"/>
      <c r="AL443" s="530"/>
      <c r="AM443" s="530"/>
      <c r="AR443" s="530"/>
      <c r="AS443" s="530"/>
      <c r="AX443" s="530"/>
      <c r="AY443" s="530"/>
      <c r="BD443" s="530"/>
      <c r="BE443" s="530"/>
      <c r="BJ443" s="530"/>
      <c r="BK443" s="530"/>
      <c r="BP443" s="530"/>
      <c r="BQ443" s="530"/>
      <c r="BV443" s="530"/>
      <c r="BW443" s="530"/>
    </row>
    <row r="444">
      <c r="N444" s="530"/>
      <c r="O444" s="530"/>
      <c r="T444" s="530"/>
      <c r="U444" s="530"/>
      <c r="Z444" s="530"/>
      <c r="AA444" s="530"/>
      <c r="AF444" s="530"/>
      <c r="AG444" s="530"/>
      <c r="AL444" s="530"/>
      <c r="AM444" s="530"/>
      <c r="AR444" s="530"/>
      <c r="AS444" s="530"/>
      <c r="AX444" s="530"/>
      <c r="AY444" s="530"/>
      <c r="BD444" s="530"/>
      <c r="BE444" s="530"/>
      <c r="BJ444" s="530"/>
      <c r="BK444" s="530"/>
      <c r="BP444" s="530"/>
      <c r="BQ444" s="530"/>
      <c r="BV444" s="530"/>
      <c r="BW444" s="530"/>
    </row>
    <row r="445">
      <c r="N445" s="530"/>
      <c r="O445" s="530"/>
      <c r="T445" s="530"/>
      <c r="U445" s="530"/>
      <c r="Z445" s="530"/>
      <c r="AA445" s="530"/>
      <c r="AF445" s="530"/>
      <c r="AG445" s="530"/>
      <c r="AL445" s="530"/>
      <c r="AM445" s="530"/>
      <c r="AR445" s="530"/>
      <c r="AS445" s="530"/>
      <c r="AX445" s="530"/>
      <c r="AY445" s="530"/>
      <c r="BD445" s="530"/>
      <c r="BE445" s="530"/>
      <c r="BJ445" s="530"/>
      <c r="BK445" s="530"/>
      <c r="BP445" s="530"/>
      <c r="BQ445" s="530"/>
      <c r="BV445" s="530"/>
      <c r="BW445" s="530"/>
    </row>
    <row r="446">
      <c r="N446" s="530"/>
      <c r="O446" s="530"/>
      <c r="T446" s="530"/>
      <c r="U446" s="530"/>
      <c r="Z446" s="530"/>
      <c r="AA446" s="530"/>
      <c r="AF446" s="530"/>
      <c r="AG446" s="530"/>
      <c r="AL446" s="530"/>
      <c r="AM446" s="530"/>
      <c r="AR446" s="530"/>
      <c r="AS446" s="530"/>
      <c r="AX446" s="530"/>
      <c r="AY446" s="530"/>
      <c r="BD446" s="530"/>
      <c r="BE446" s="530"/>
      <c r="BJ446" s="530"/>
      <c r="BK446" s="530"/>
      <c r="BP446" s="530"/>
      <c r="BQ446" s="530"/>
      <c r="BV446" s="530"/>
      <c r="BW446" s="530"/>
    </row>
    <row r="447">
      <c r="N447" s="530"/>
      <c r="O447" s="530"/>
      <c r="T447" s="530"/>
      <c r="U447" s="530"/>
      <c r="Z447" s="530"/>
      <c r="AA447" s="530"/>
      <c r="AF447" s="530"/>
      <c r="AG447" s="530"/>
      <c r="AL447" s="530"/>
      <c r="AM447" s="530"/>
      <c r="AR447" s="530"/>
      <c r="AS447" s="530"/>
      <c r="AX447" s="530"/>
      <c r="AY447" s="530"/>
      <c r="BD447" s="530"/>
      <c r="BE447" s="530"/>
      <c r="BJ447" s="530"/>
      <c r="BK447" s="530"/>
      <c r="BP447" s="530"/>
      <c r="BQ447" s="530"/>
      <c r="BV447" s="530"/>
      <c r="BW447" s="530"/>
    </row>
    <row r="448">
      <c r="N448" s="530"/>
      <c r="O448" s="530"/>
      <c r="T448" s="530"/>
      <c r="U448" s="530"/>
      <c r="Z448" s="530"/>
      <c r="AA448" s="530"/>
      <c r="AF448" s="530"/>
      <c r="AG448" s="530"/>
      <c r="AL448" s="530"/>
      <c r="AM448" s="530"/>
      <c r="AR448" s="530"/>
      <c r="AS448" s="530"/>
      <c r="AX448" s="530"/>
      <c r="AY448" s="530"/>
      <c r="BD448" s="530"/>
      <c r="BE448" s="530"/>
      <c r="BJ448" s="530"/>
      <c r="BK448" s="530"/>
      <c r="BP448" s="530"/>
      <c r="BQ448" s="530"/>
      <c r="BV448" s="530"/>
      <c r="BW448" s="530"/>
    </row>
    <row r="449">
      <c r="N449" s="530"/>
      <c r="O449" s="530"/>
      <c r="T449" s="530"/>
      <c r="U449" s="530"/>
      <c r="Z449" s="530"/>
      <c r="AA449" s="530"/>
      <c r="AF449" s="530"/>
      <c r="AG449" s="530"/>
      <c r="AL449" s="530"/>
      <c r="AM449" s="530"/>
      <c r="AR449" s="530"/>
      <c r="AS449" s="530"/>
      <c r="AX449" s="530"/>
      <c r="AY449" s="530"/>
      <c r="BD449" s="530"/>
      <c r="BE449" s="530"/>
      <c r="BJ449" s="530"/>
      <c r="BK449" s="530"/>
      <c r="BP449" s="530"/>
      <c r="BQ449" s="530"/>
      <c r="BV449" s="530"/>
      <c r="BW449" s="530"/>
    </row>
    <row r="450">
      <c r="N450" s="530"/>
      <c r="O450" s="530"/>
      <c r="T450" s="530"/>
      <c r="U450" s="530"/>
      <c r="Z450" s="530"/>
      <c r="AA450" s="530"/>
      <c r="AF450" s="530"/>
      <c r="AG450" s="530"/>
      <c r="AL450" s="530"/>
      <c r="AM450" s="530"/>
      <c r="AR450" s="530"/>
      <c r="AS450" s="530"/>
      <c r="AX450" s="530"/>
      <c r="AY450" s="530"/>
      <c r="BD450" s="530"/>
      <c r="BE450" s="530"/>
      <c r="BJ450" s="530"/>
      <c r="BK450" s="530"/>
      <c r="BP450" s="530"/>
      <c r="BQ450" s="530"/>
      <c r="BV450" s="530"/>
      <c r="BW450" s="530"/>
    </row>
    <row r="451">
      <c r="N451" s="530"/>
      <c r="O451" s="530"/>
      <c r="T451" s="530"/>
      <c r="U451" s="530"/>
      <c r="Z451" s="530"/>
      <c r="AA451" s="530"/>
      <c r="AF451" s="530"/>
      <c r="AG451" s="530"/>
      <c r="AL451" s="530"/>
      <c r="AM451" s="530"/>
      <c r="AR451" s="530"/>
      <c r="AS451" s="530"/>
      <c r="AX451" s="530"/>
      <c r="AY451" s="530"/>
      <c r="BD451" s="530"/>
      <c r="BE451" s="530"/>
      <c r="BJ451" s="530"/>
      <c r="BK451" s="530"/>
      <c r="BP451" s="530"/>
      <c r="BQ451" s="530"/>
      <c r="BV451" s="530"/>
      <c r="BW451" s="530"/>
    </row>
    <row r="452">
      <c r="N452" s="530"/>
      <c r="O452" s="530"/>
      <c r="T452" s="530"/>
      <c r="U452" s="530"/>
      <c r="Z452" s="530"/>
      <c r="AA452" s="530"/>
      <c r="AF452" s="530"/>
      <c r="AG452" s="530"/>
      <c r="AL452" s="530"/>
      <c r="AM452" s="530"/>
      <c r="AR452" s="530"/>
      <c r="AS452" s="530"/>
      <c r="AX452" s="530"/>
      <c r="AY452" s="530"/>
      <c r="BD452" s="530"/>
      <c r="BE452" s="530"/>
      <c r="BJ452" s="530"/>
      <c r="BK452" s="530"/>
      <c r="BP452" s="530"/>
      <c r="BQ452" s="530"/>
      <c r="BV452" s="530"/>
      <c r="BW452" s="530"/>
    </row>
    <row r="453">
      <c r="N453" s="530"/>
      <c r="O453" s="530"/>
      <c r="T453" s="530"/>
      <c r="U453" s="530"/>
      <c r="Z453" s="530"/>
      <c r="AA453" s="530"/>
      <c r="AF453" s="530"/>
      <c r="AG453" s="530"/>
      <c r="AL453" s="530"/>
      <c r="AM453" s="530"/>
      <c r="AR453" s="530"/>
      <c r="AS453" s="530"/>
      <c r="AX453" s="530"/>
      <c r="AY453" s="530"/>
      <c r="BD453" s="530"/>
      <c r="BE453" s="530"/>
      <c r="BJ453" s="530"/>
      <c r="BK453" s="530"/>
      <c r="BP453" s="530"/>
      <c r="BQ453" s="530"/>
      <c r="BV453" s="530"/>
      <c r="BW453" s="530"/>
    </row>
    <row r="454">
      <c r="N454" s="530"/>
      <c r="O454" s="530"/>
      <c r="T454" s="530"/>
      <c r="U454" s="530"/>
      <c r="Z454" s="530"/>
      <c r="AA454" s="530"/>
      <c r="AF454" s="530"/>
      <c r="AG454" s="530"/>
      <c r="AL454" s="530"/>
      <c r="AM454" s="530"/>
      <c r="AR454" s="530"/>
      <c r="AS454" s="530"/>
      <c r="AX454" s="530"/>
      <c r="AY454" s="530"/>
      <c r="BD454" s="530"/>
      <c r="BE454" s="530"/>
      <c r="BJ454" s="530"/>
      <c r="BK454" s="530"/>
      <c r="BP454" s="530"/>
      <c r="BQ454" s="530"/>
      <c r="BV454" s="530"/>
      <c r="BW454" s="530"/>
    </row>
    <row r="455">
      <c r="N455" s="530"/>
      <c r="O455" s="530"/>
      <c r="T455" s="530"/>
      <c r="U455" s="530"/>
      <c r="Z455" s="530"/>
      <c r="AA455" s="530"/>
      <c r="AF455" s="530"/>
      <c r="AG455" s="530"/>
      <c r="AL455" s="530"/>
      <c r="AM455" s="530"/>
      <c r="AR455" s="530"/>
      <c r="AS455" s="530"/>
      <c r="AX455" s="530"/>
      <c r="AY455" s="530"/>
      <c r="BD455" s="530"/>
      <c r="BE455" s="530"/>
      <c r="BJ455" s="530"/>
      <c r="BK455" s="530"/>
      <c r="BP455" s="530"/>
      <c r="BQ455" s="530"/>
      <c r="BV455" s="530"/>
      <c r="BW455" s="530"/>
    </row>
    <row r="456">
      <c r="N456" s="530"/>
      <c r="O456" s="530"/>
      <c r="T456" s="530"/>
      <c r="U456" s="530"/>
      <c r="Z456" s="530"/>
      <c r="AA456" s="530"/>
      <c r="AF456" s="530"/>
      <c r="AG456" s="530"/>
      <c r="AL456" s="530"/>
      <c r="AM456" s="530"/>
      <c r="AR456" s="530"/>
      <c r="AS456" s="530"/>
      <c r="AX456" s="530"/>
      <c r="AY456" s="530"/>
      <c r="BD456" s="530"/>
      <c r="BE456" s="530"/>
      <c r="BJ456" s="530"/>
      <c r="BK456" s="530"/>
      <c r="BP456" s="530"/>
      <c r="BQ456" s="530"/>
      <c r="BV456" s="530"/>
      <c r="BW456" s="530"/>
    </row>
    <row r="457">
      <c r="N457" s="530"/>
      <c r="O457" s="530"/>
      <c r="T457" s="530"/>
      <c r="U457" s="530"/>
      <c r="Z457" s="530"/>
      <c r="AA457" s="530"/>
      <c r="AF457" s="530"/>
      <c r="AG457" s="530"/>
      <c r="AL457" s="530"/>
      <c r="AM457" s="530"/>
      <c r="AR457" s="530"/>
      <c r="AS457" s="530"/>
      <c r="AX457" s="530"/>
      <c r="AY457" s="530"/>
      <c r="BD457" s="530"/>
      <c r="BE457" s="530"/>
      <c r="BJ457" s="530"/>
      <c r="BK457" s="530"/>
      <c r="BP457" s="530"/>
      <c r="BQ457" s="530"/>
      <c r="BV457" s="530"/>
      <c r="BW457" s="530"/>
    </row>
    <row r="458">
      <c r="N458" s="530"/>
      <c r="O458" s="530"/>
      <c r="T458" s="530"/>
      <c r="U458" s="530"/>
      <c r="Z458" s="530"/>
      <c r="AA458" s="530"/>
      <c r="AF458" s="530"/>
      <c r="AG458" s="530"/>
      <c r="AL458" s="530"/>
      <c r="AM458" s="530"/>
      <c r="AR458" s="530"/>
      <c r="AS458" s="530"/>
      <c r="AX458" s="530"/>
      <c r="AY458" s="530"/>
      <c r="BD458" s="530"/>
      <c r="BE458" s="530"/>
      <c r="BJ458" s="530"/>
      <c r="BK458" s="530"/>
      <c r="BP458" s="530"/>
      <c r="BQ458" s="530"/>
      <c r="BV458" s="530"/>
      <c r="BW458" s="530"/>
    </row>
    <row r="459">
      <c r="N459" s="530"/>
      <c r="O459" s="530"/>
      <c r="T459" s="530"/>
      <c r="U459" s="530"/>
      <c r="Z459" s="530"/>
      <c r="AA459" s="530"/>
      <c r="AF459" s="530"/>
      <c r="AG459" s="530"/>
      <c r="AL459" s="530"/>
      <c r="AM459" s="530"/>
      <c r="AR459" s="530"/>
      <c r="AS459" s="530"/>
      <c r="AX459" s="530"/>
      <c r="AY459" s="530"/>
      <c r="BD459" s="530"/>
      <c r="BE459" s="530"/>
      <c r="BJ459" s="530"/>
      <c r="BK459" s="530"/>
      <c r="BP459" s="530"/>
      <c r="BQ459" s="530"/>
      <c r="BV459" s="530"/>
      <c r="BW459" s="530"/>
    </row>
    <row r="460">
      <c r="N460" s="530"/>
      <c r="O460" s="530"/>
      <c r="T460" s="530"/>
      <c r="U460" s="530"/>
      <c r="Z460" s="530"/>
      <c r="AA460" s="530"/>
      <c r="AF460" s="530"/>
      <c r="AG460" s="530"/>
      <c r="AL460" s="530"/>
      <c r="AM460" s="530"/>
      <c r="AR460" s="530"/>
      <c r="AS460" s="530"/>
      <c r="AX460" s="530"/>
      <c r="AY460" s="530"/>
      <c r="BD460" s="530"/>
      <c r="BE460" s="530"/>
      <c r="BJ460" s="530"/>
      <c r="BK460" s="530"/>
      <c r="BP460" s="530"/>
      <c r="BQ460" s="530"/>
      <c r="BV460" s="530"/>
      <c r="BW460" s="530"/>
    </row>
    <row r="461">
      <c r="N461" s="530"/>
      <c r="O461" s="530"/>
      <c r="T461" s="530"/>
      <c r="U461" s="530"/>
      <c r="Z461" s="530"/>
      <c r="AA461" s="530"/>
      <c r="AF461" s="530"/>
      <c r="AG461" s="530"/>
      <c r="AL461" s="530"/>
      <c r="AM461" s="530"/>
      <c r="AR461" s="530"/>
      <c r="AS461" s="530"/>
      <c r="AX461" s="530"/>
      <c r="AY461" s="530"/>
      <c r="BD461" s="530"/>
      <c r="BE461" s="530"/>
      <c r="BJ461" s="530"/>
      <c r="BK461" s="530"/>
      <c r="BP461" s="530"/>
      <c r="BQ461" s="530"/>
      <c r="BV461" s="530"/>
      <c r="BW461" s="530"/>
    </row>
    <row r="462">
      <c r="N462" s="530"/>
      <c r="O462" s="530"/>
      <c r="T462" s="530"/>
      <c r="U462" s="530"/>
      <c r="Z462" s="530"/>
      <c r="AA462" s="530"/>
      <c r="AF462" s="530"/>
      <c r="AG462" s="530"/>
      <c r="AL462" s="530"/>
      <c r="AM462" s="530"/>
      <c r="AR462" s="530"/>
      <c r="AS462" s="530"/>
      <c r="AX462" s="530"/>
      <c r="AY462" s="530"/>
      <c r="BD462" s="530"/>
      <c r="BE462" s="530"/>
      <c r="BJ462" s="530"/>
      <c r="BK462" s="530"/>
      <c r="BP462" s="530"/>
      <c r="BQ462" s="530"/>
      <c r="BV462" s="530"/>
      <c r="BW462" s="530"/>
    </row>
    <row r="463">
      <c r="N463" s="530"/>
      <c r="O463" s="530"/>
      <c r="T463" s="530"/>
      <c r="U463" s="530"/>
      <c r="Z463" s="530"/>
      <c r="AA463" s="530"/>
      <c r="AF463" s="530"/>
      <c r="AG463" s="530"/>
      <c r="AL463" s="530"/>
      <c r="AM463" s="530"/>
      <c r="AR463" s="530"/>
      <c r="AS463" s="530"/>
      <c r="AX463" s="530"/>
      <c r="AY463" s="530"/>
      <c r="BD463" s="530"/>
      <c r="BE463" s="530"/>
      <c r="BJ463" s="530"/>
      <c r="BK463" s="530"/>
      <c r="BP463" s="530"/>
      <c r="BQ463" s="530"/>
      <c r="BV463" s="530"/>
      <c r="BW463" s="530"/>
    </row>
    <row r="464">
      <c r="N464" s="530"/>
      <c r="O464" s="530"/>
      <c r="T464" s="530"/>
      <c r="U464" s="530"/>
      <c r="Z464" s="530"/>
      <c r="AA464" s="530"/>
      <c r="AF464" s="530"/>
      <c r="AG464" s="530"/>
      <c r="AL464" s="530"/>
      <c r="AM464" s="530"/>
      <c r="AR464" s="530"/>
      <c r="AS464" s="530"/>
      <c r="AX464" s="530"/>
      <c r="AY464" s="530"/>
      <c r="BD464" s="530"/>
      <c r="BE464" s="530"/>
      <c r="BJ464" s="530"/>
      <c r="BK464" s="530"/>
      <c r="BP464" s="530"/>
      <c r="BQ464" s="530"/>
      <c r="BV464" s="530"/>
      <c r="BW464" s="530"/>
    </row>
    <row r="465">
      <c r="N465" s="530"/>
      <c r="O465" s="530"/>
      <c r="T465" s="530"/>
      <c r="U465" s="530"/>
      <c r="Z465" s="530"/>
      <c r="AA465" s="530"/>
      <c r="AF465" s="530"/>
      <c r="AG465" s="530"/>
      <c r="AL465" s="530"/>
      <c r="AM465" s="530"/>
      <c r="AR465" s="530"/>
      <c r="AS465" s="530"/>
      <c r="AX465" s="530"/>
      <c r="AY465" s="530"/>
      <c r="BD465" s="530"/>
      <c r="BE465" s="530"/>
      <c r="BJ465" s="530"/>
      <c r="BK465" s="530"/>
      <c r="BP465" s="530"/>
      <c r="BQ465" s="530"/>
      <c r="BV465" s="530"/>
      <c r="BW465" s="530"/>
    </row>
    <row r="466">
      <c r="N466" s="530"/>
      <c r="O466" s="530"/>
      <c r="T466" s="530"/>
      <c r="U466" s="530"/>
      <c r="Z466" s="530"/>
      <c r="AA466" s="530"/>
      <c r="AF466" s="530"/>
      <c r="AG466" s="530"/>
      <c r="AL466" s="530"/>
      <c r="AM466" s="530"/>
      <c r="AR466" s="530"/>
      <c r="AS466" s="530"/>
      <c r="AX466" s="530"/>
      <c r="AY466" s="530"/>
      <c r="BD466" s="530"/>
      <c r="BE466" s="530"/>
      <c r="BJ466" s="530"/>
      <c r="BK466" s="530"/>
      <c r="BP466" s="530"/>
      <c r="BQ466" s="530"/>
      <c r="BV466" s="530"/>
      <c r="BW466" s="530"/>
    </row>
    <row r="467">
      <c r="N467" s="530"/>
      <c r="O467" s="530"/>
      <c r="T467" s="530"/>
      <c r="U467" s="530"/>
      <c r="Z467" s="530"/>
      <c r="AA467" s="530"/>
      <c r="AF467" s="530"/>
      <c r="AG467" s="530"/>
      <c r="AL467" s="530"/>
      <c r="AM467" s="530"/>
      <c r="AR467" s="530"/>
      <c r="AS467" s="530"/>
      <c r="AX467" s="530"/>
      <c r="AY467" s="530"/>
      <c r="BD467" s="530"/>
      <c r="BE467" s="530"/>
      <c r="BJ467" s="530"/>
      <c r="BK467" s="530"/>
      <c r="BP467" s="530"/>
      <c r="BQ467" s="530"/>
      <c r="BV467" s="530"/>
      <c r="BW467" s="530"/>
    </row>
    <row r="468">
      <c r="N468" s="530"/>
      <c r="O468" s="530"/>
      <c r="T468" s="530"/>
      <c r="U468" s="530"/>
      <c r="Z468" s="530"/>
      <c r="AA468" s="530"/>
      <c r="AF468" s="530"/>
      <c r="AG468" s="530"/>
      <c r="AL468" s="530"/>
      <c r="AM468" s="530"/>
      <c r="AR468" s="530"/>
      <c r="AS468" s="530"/>
      <c r="AX468" s="530"/>
      <c r="AY468" s="530"/>
      <c r="BD468" s="530"/>
      <c r="BE468" s="530"/>
      <c r="BJ468" s="530"/>
      <c r="BK468" s="530"/>
      <c r="BP468" s="530"/>
      <c r="BQ468" s="530"/>
      <c r="BV468" s="530"/>
      <c r="BW468" s="530"/>
    </row>
    <row r="469">
      <c r="N469" s="530"/>
      <c r="O469" s="530"/>
      <c r="T469" s="530"/>
      <c r="U469" s="530"/>
      <c r="Z469" s="530"/>
      <c r="AA469" s="530"/>
      <c r="AF469" s="530"/>
      <c r="AG469" s="530"/>
      <c r="AL469" s="530"/>
      <c r="AM469" s="530"/>
      <c r="AR469" s="530"/>
      <c r="AS469" s="530"/>
      <c r="AX469" s="530"/>
      <c r="AY469" s="530"/>
      <c r="BD469" s="530"/>
      <c r="BE469" s="530"/>
      <c r="BJ469" s="530"/>
      <c r="BK469" s="530"/>
      <c r="BP469" s="530"/>
      <c r="BQ469" s="530"/>
      <c r="BV469" s="530"/>
      <c r="BW469" s="530"/>
    </row>
    <row r="470">
      <c r="N470" s="530"/>
      <c r="O470" s="530"/>
      <c r="T470" s="530"/>
      <c r="U470" s="530"/>
      <c r="Z470" s="530"/>
      <c r="AA470" s="530"/>
      <c r="AF470" s="530"/>
      <c r="AG470" s="530"/>
      <c r="AL470" s="530"/>
      <c r="AM470" s="530"/>
      <c r="AR470" s="530"/>
      <c r="AS470" s="530"/>
      <c r="AX470" s="530"/>
      <c r="AY470" s="530"/>
      <c r="BD470" s="530"/>
      <c r="BE470" s="530"/>
      <c r="BJ470" s="530"/>
      <c r="BK470" s="530"/>
      <c r="BP470" s="530"/>
      <c r="BQ470" s="530"/>
      <c r="BV470" s="530"/>
      <c r="BW470" s="530"/>
    </row>
    <row r="471">
      <c r="N471" s="530"/>
      <c r="O471" s="530"/>
      <c r="T471" s="530"/>
      <c r="U471" s="530"/>
      <c r="Z471" s="530"/>
      <c r="AA471" s="530"/>
      <c r="AF471" s="530"/>
      <c r="AG471" s="530"/>
      <c r="AL471" s="530"/>
      <c r="AM471" s="530"/>
      <c r="AR471" s="530"/>
      <c r="AS471" s="530"/>
      <c r="AX471" s="530"/>
      <c r="AY471" s="530"/>
      <c r="BD471" s="530"/>
      <c r="BE471" s="530"/>
      <c r="BJ471" s="530"/>
      <c r="BK471" s="530"/>
      <c r="BP471" s="530"/>
      <c r="BQ471" s="530"/>
      <c r="BV471" s="530"/>
      <c r="BW471" s="530"/>
    </row>
    <row r="472">
      <c r="N472" s="530"/>
      <c r="O472" s="530"/>
      <c r="T472" s="530"/>
      <c r="U472" s="530"/>
      <c r="Z472" s="530"/>
      <c r="AA472" s="530"/>
      <c r="AF472" s="530"/>
      <c r="AG472" s="530"/>
      <c r="AL472" s="530"/>
      <c r="AM472" s="530"/>
      <c r="AR472" s="530"/>
      <c r="AS472" s="530"/>
      <c r="AX472" s="530"/>
      <c r="AY472" s="530"/>
      <c r="BD472" s="530"/>
      <c r="BE472" s="530"/>
      <c r="BJ472" s="530"/>
      <c r="BK472" s="530"/>
      <c r="BP472" s="530"/>
      <c r="BQ472" s="530"/>
      <c r="BV472" s="530"/>
      <c r="BW472" s="530"/>
    </row>
    <row r="473">
      <c r="N473" s="530"/>
      <c r="O473" s="530"/>
      <c r="T473" s="530"/>
      <c r="U473" s="530"/>
      <c r="Z473" s="530"/>
      <c r="AA473" s="530"/>
      <c r="AF473" s="530"/>
      <c r="AG473" s="530"/>
      <c r="AL473" s="530"/>
      <c r="AM473" s="530"/>
      <c r="AR473" s="530"/>
      <c r="AS473" s="530"/>
      <c r="AX473" s="530"/>
      <c r="AY473" s="530"/>
      <c r="BD473" s="530"/>
      <c r="BE473" s="530"/>
      <c r="BJ473" s="530"/>
      <c r="BK473" s="530"/>
      <c r="BP473" s="530"/>
      <c r="BQ473" s="530"/>
      <c r="BV473" s="530"/>
      <c r="BW473" s="530"/>
    </row>
    <row r="474">
      <c r="N474" s="530"/>
      <c r="O474" s="530"/>
      <c r="T474" s="530"/>
      <c r="U474" s="530"/>
      <c r="Z474" s="530"/>
      <c r="AA474" s="530"/>
      <c r="AF474" s="530"/>
      <c r="AG474" s="530"/>
      <c r="AL474" s="530"/>
      <c r="AM474" s="530"/>
      <c r="AR474" s="530"/>
      <c r="AS474" s="530"/>
      <c r="AX474" s="530"/>
      <c r="AY474" s="530"/>
      <c r="BD474" s="530"/>
      <c r="BE474" s="530"/>
      <c r="BJ474" s="530"/>
      <c r="BK474" s="530"/>
      <c r="BP474" s="530"/>
      <c r="BQ474" s="530"/>
      <c r="BV474" s="530"/>
      <c r="BW474" s="530"/>
    </row>
    <row r="475">
      <c r="N475" s="530"/>
      <c r="O475" s="530"/>
      <c r="T475" s="530"/>
      <c r="U475" s="530"/>
      <c r="Z475" s="530"/>
      <c r="AA475" s="530"/>
      <c r="AF475" s="530"/>
      <c r="AG475" s="530"/>
      <c r="AL475" s="530"/>
      <c r="AM475" s="530"/>
      <c r="AR475" s="530"/>
      <c r="AS475" s="530"/>
      <c r="AX475" s="530"/>
      <c r="AY475" s="530"/>
      <c r="BD475" s="530"/>
      <c r="BE475" s="530"/>
      <c r="BJ475" s="530"/>
      <c r="BK475" s="530"/>
      <c r="BP475" s="530"/>
      <c r="BQ475" s="530"/>
      <c r="BV475" s="530"/>
      <c r="BW475" s="530"/>
    </row>
    <row r="476">
      <c r="N476" s="530"/>
      <c r="O476" s="530"/>
      <c r="T476" s="530"/>
      <c r="U476" s="530"/>
      <c r="Z476" s="530"/>
      <c r="AA476" s="530"/>
      <c r="AF476" s="530"/>
      <c r="AG476" s="530"/>
      <c r="AL476" s="530"/>
      <c r="AM476" s="530"/>
      <c r="AR476" s="530"/>
      <c r="AS476" s="530"/>
      <c r="AX476" s="530"/>
      <c r="AY476" s="530"/>
      <c r="BD476" s="530"/>
      <c r="BE476" s="530"/>
      <c r="BJ476" s="530"/>
      <c r="BK476" s="530"/>
      <c r="BP476" s="530"/>
      <c r="BQ476" s="530"/>
      <c r="BV476" s="530"/>
      <c r="BW476" s="530"/>
    </row>
    <row r="477">
      <c r="N477" s="530"/>
      <c r="O477" s="530"/>
      <c r="T477" s="530"/>
      <c r="U477" s="530"/>
      <c r="Z477" s="530"/>
      <c r="AA477" s="530"/>
      <c r="AF477" s="530"/>
      <c r="AG477" s="530"/>
      <c r="AL477" s="530"/>
      <c r="AM477" s="530"/>
      <c r="AR477" s="530"/>
      <c r="AS477" s="530"/>
      <c r="AX477" s="530"/>
      <c r="AY477" s="530"/>
      <c r="BD477" s="530"/>
      <c r="BE477" s="530"/>
      <c r="BJ477" s="530"/>
      <c r="BK477" s="530"/>
      <c r="BP477" s="530"/>
      <c r="BQ477" s="530"/>
      <c r="BV477" s="530"/>
      <c r="BW477" s="530"/>
    </row>
    <row r="478">
      <c r="N478" s="530"/>
      <c r="O478" s="530"/>
      <c r="T478" s="530"/>
      <c r="U478" s="530"/>
      <c r="Z478" s="530"/>
      <c r="AA478" s="530"/>
      <c r="AF478" s="530"/>
      <c r="AG478" s="530"/>
      <c r="AL478" s="530"/>
      <c r="AM478" s="530"/>
      <c r="AR478" s="530"/>
      <c r="AS478" s="530"/>
      <c r="AX478" s="530"/>
      <c r="AY478" s="530"/>
      <c r="BD478" s="530"/>
      <c r="BE478" s="530"/>
      <c r="BJ478" s="530"/>
      <c r="BK478" s="530"/>
      <c r="BP478" s="530"/>
      <c r="BQ478" s="530"/>
      <c r="BV478" s="530"/>
      <c r="BW478" s="530"/>
    </row>
    <row r="479">
      <c r="N479" s="530"/>
      <c r="O479" s="530"/>
      <c r="T479" s="530"/>
      <c r="U479" s="530"/>
      <c r="Z479" s="530"/>
      <c r="AA479" s="530"/>
      <c r="AF479" s="530"/>
      <c r="AG479" s="530"/>
      <c r="AL479" s="530"/>
      <c r="AM479" s="530"/>
      <c r="AR479" s="530"/>
      <c r="AS479" s="530"/>
      <c r="AX479" s="530"/>
      <c r="AY479" s="530"/>
      <c r="BD479" s="530"/>
      <c r="BE479" s="530"/>
      <c r="BJ479" s="530"/>
      <c r="BK479" s="530"/>
      <c r="BP479" s="530"/>
      <c r="BQ479" s="530"/>
      <c r="BV479" s="530"/>
      <c r="BW479" s="530"/>
    </row>
    <row r="480">
      <c r="N480" s="530"/>
      <c r="O480" s="530"/>
      <c r="T480" s="530"/>
      <c r="U480" s="530"/>
      <c r="Z480" s="530"/>
      <c r="AA480" s="530"/>
      <c r="AF480" s="530"/>
      <c r="AG480" s="530"/>
      <c r="AL480" s="530"/>
      <c r="AM480" s="530"/>
      <c r="AR480" s="530"/>
      <c r="AS480" s="530"/>
      <c r="AX480" s="530"/>
      <c r="AY480" s="530"/>
      <c r="BD480" s="530"/>
      <c r="BE480" s="530"/>
      <c r="BJ480" s="530"/>
      <c r="BK480" s="530"/>
      <c r="BP480" s="530"/>
      <c r="BQ480" s="530"/>
      <c r="BV480" s="530"/>
      <c r="BW480" s="530"/>
    </row>
    <row r="481">
      <c r="N481" s="530"/>
      <c r="O481" s="530"/>
      <c r="T481" s="530"/>
      <c r="U481" s="530"/>
      <c r="Z481" s="530"/>
      <c r="AA481" s="530"/>
      <c r="AF481" s="530"/>
      <c r="AG481" s="530"/>
      <c r="AL481" s="530"/>
      <c r="AM481" s="530"/>
      <c r="AR481" s="530"/>
      <c r="AS481" s="530"/>
      <c r="AX481" s="530"/>
      <c r="AY481" s="530"/>
      <c r="BD481" s="530"/>
      <c r="BE481" s="530"/>
      <c r="BJ481" s="530"/>
      <c r="BK481" s="530"/>
      <c r="BP481" s="530"/>
      <c r="BQ481" s="530"/>
      <c r="BV481" s="530"/>
      <c r="BW481" s="530"/>
    </row>
    <row r="482">
      <c r="N482" s="530"/>
      <c r="O482" s="530"/>
      <c r="T482" s="530"/>
      <c r="U482" s="530"/>
      <c r="Z482" s="530"/>
      <c r="AA482" s="530"/>
      <c r="AF482" s="530"/>
      <c r="AG482" s="530"/>
      <c r="AL482" s="530"/>
      <c r="AM482" s="530"/>
      <c r="AR482" s="530"/>
      <c r="AS482" s="530"/>
      <c r="AX482" s="530"/>
      <c r="AY482" s="530"/>
      <c r="BD482" s="530"/>
      <c r="BE482" s="530"/>
      <c r="BJ482" s="530"/>
      <c r="BK482" s="530"/>
      <c r="BP482" s="530"/>
      <c r="BQ482" s="530"/>
      <c r="BV482" s="530"/>
      <c r="BW482" s="530"/>
    </row>
    <row r="483">
      <c r="N483" s="530"/>
      <c r="O483" s="530"/>
      <c r="T483" s="530"/>
      <c r="U483" s="530"/>
      <c r="Z483" s="530"/>
      <c r="AA483" s="530"/>
      <c r="AF483" s="530"/>
      <c r="AG483" s="530"/>
      <c r="AL483" s="530"/>
      <c r="AM483" s="530"/>
      <c r="AR483" s="530"/>
      <c r="AS483" s="530"/>
      <c r="AX483" s="530"/>
      <c r="AY483" s="530"/>
      <c r="BD483" s="530"/>
      <c r="BE483" s="530"/>
      <c r="BJ483" s="530"/>
      <c r="BK483" s="530"/>
      <c r="BP483" s="530"/>
      <c r="BQ483" s="530"/>
      <c r="BV483" s="530"/>
      <c r="BW483" s="530"/>
    </row>
    <row r="484">
      <c r="N484" s="530"/>
      <c r="O484" s="530"/>
      <c r="T484" s="530"/>
      <c r="U484" s="530"/>
      <c r="Z484" s="530"/>
      <c r="AA484" s="530"/>
      <c r="AF484" s="530"/>
      <c r="AG484" s="530"/>
      <c r="AL484" s="530"/>
      <c r="AM484" s="530"/>
      <c r="AR484" s="530"/>
      <c r="AS484" s="530"/>
      <c r="AX484" s="530"/>
      <c r="AY484" s="530"/>
      <c r="BD484" s="530"/>
      <c r="BE484" s="530"/>
      <c r="BJ484" s="530"/>
      <c r="BK484" s="530"/>
      <c r="BP484" s="530"/>
      <c r="BQ484" s="530"/>
      <c r="BV484" s="530"/>
      <c r="BW484" s="530"/>
    </row>
    <row r="485">
      <c r="N485" s="530"/>
      <c r="O485" s="530"/>
      <c r="T485" s="530"/>
      <c r="U485" s="530"/>
      <c r="Z485" s="530"/>
      <c r="AA485" s="530"/>
      <c r="AF485" s="530"/>
      <c r="AG485" s="530"/>
      <c r="AL485" s="530"/>
      <c r="AM485" s="530"/>
      <c r="AR485" s="530"/>
      <c r="AS485" s="530"/>
      <c r="AX485" s="530"/>
      <c r="AY485" s="530"/>
      <c r="BD485" s="530"/>
      <c r="BE485" s="530"/>
      <c r="BJ485" s="530"/>
      <c r="BK485" s="530"/>
      <c r="BP485" s="530"/>
      <c r="BQ485" s="530"/>
      <c r="BV485" s="530"/>
      <c r="BW485" s="530"/>
    </row>
    <row r="486">
      <c r="N486" s="530"/>
      <c r="O486" s="530"/>
      <c r="T486" s="530"/>
      <c r="U486" s="530"/>
      <c r="Z486" s="530"/>
      <c r="AA486" s="530"/>
      <c r="AF486" s="530"/>
      <c r="AG486" s="530"/>
      <c r="AL486" s="530"/>
      <c r="AM486" s="530"/>
      <c r="AR486" s="530"/>
      <c r="AS486" s="530"/>
      <c r="AX486" s="530"/>
      <c r="AY486" s="530"/>
      <c r="BD486" s="530"/>
      <c r="BE486" s="530"/>
      <c r="BJ486" s="530"/>
      <c r="BK486" s="530"/>
      <c r="BP486" s="530"/>
      <c r="BQ486" s="530"/>
      <c r="BV486" s="530"/>
      <c r="BW486" s="530"/>
    </row>
    <row r="487">
      <c r="N487" s="530"/>
      <c r="O487" s="530"/>
      <c r="T487" s="530"/>
      <c r="U487" s="530"/>
      <c r="Z487" s="530"/>
      <c r="AA487" s="530"/>
      <c r="AF487" s="530"/>
      <c r="AG487" s="530"/>
      <c r="AL487" s="530"/>
      <c r="AM487" s="530"/>
      <c r="AR487" s="530"/>
      <c r="AS487" s="530"/>
      <c r="AX487" s="530"/>
      <c r="AY487" s="530"/>
      <c r="BD487" s="530"/>
      <c r="BE487" s="530"/>
      <c r="BJ487" s="530"/>
      <c r="BK487" s="530"/>
      <c r="BP487" s="530"/>
      <c r="BQ487" s="530"/>
      <c r="BV487" s="530"/>
      <c r="BW487" s="530"/>
    </row>
    <row r="488">
      <c r="N488" s="530"/>
      <c r="O488" s="530"/>
      <c r="T488" s="530"/>
      <c r="U488" s="530"/>
      <c r="Z488" s="530"/>
      <c r="AA488" s="530"/>
      <c r="AF488" s="530"/>
      <c r="AG488" s="530"/>
      <c r="AL488" s="530"/>
      <c r="AM488" s="530"/>
      <c r="AR488" s="530"/>
      <c r="AS488" s="530"/>
      <c r="AX488" s="530"/>
      <c r="AY488" s="530"/>
      <c r="BD488" s="530"/>
      <c r="BE488" s="530"/>
      <c r="BJ488" s="530"/>
      <c r="BK488" s="530"/>
      <c r="BP488" s="530"/>
      <c r="BQ488" s="530"/>
      <c r="BV488" s="530"/>
      <c r="BW488" s="530"/>
    </row>
    <row r="489">
      <c r="N489" s="530"/>
      <c r="O489" s="530"/>
      <c r="T489" s="530"/>
      <c r="U489" s="530"/>
      <c r="Z489" s="530"/>
      <c r="AA489" s="530"/>
      <c r="AF489" s="530"/>
      <c r="AG489" s="530"/>
      <c r="AL489" s="530"/>
      <c r="AM489" s="530"/>
      <c r="AR489" s="530"/>
      <c r="AS489" s="530"/>
      <c r="AX489" s="530"/>
      <c r="AY489" s="530"/>
      <c r="BD489" s="530"/>
      <c r="BE489" s="530"/>
      <c r="BJ489" s="530"/>
      <c r="BK489" s="530"/>
      <c r="BP489" s="530"/>
      <c r="BQ489" s="530"/>
      <c r="BV489" s="530"/>
      <c r="BW489" s="530"/>
    </row>
    <row r="490">
      <c r="N490" s="530"/>
      <c r="O490" s="530"/>
      <c r="T490" s="530"/>
      <c r="U490" s="530"/>
      <c r="Z490" s="530"/>
      <c r="AA490" s="530"/>
      <c r="AF490" s="530"/>
      <c r="AG490" s="530"/>
      <c r="AL490" s="530"/>
      <c r="AM490" s="530"/>
      <c r="AR490" s="530"/>
      <c r="AS490" s="530"/>
      <c r="AX490" s="530"/>
      <c r="AY490" s="530"/>
      <c r="BD490" s="530"/>
      <c r="BE490" s="530"/>
      <c r="BJ490" s="530"/>
      <c r="BK490" s="530"/>
      <c r="BP490" s="530"/>
      <c r="BQ490" s="530"/>
      <c r="BV490" s="530"/>
      <c r="BW490" s="530"/>
    </row>
    <row r="491">
      <c r="N491" s="530"/>
      <c r="O491" s="530"/>
      <c r="T491" s="530"/>
      <c r="U491" s="530"/>
      <c r="Z491" s="530"/>
      <c r="AA491" s="530"/>
      <c r="AF491" s="530"/>
      <c r="AG491" s="530"/>
      <c r="AL491" s="530"/>
      <c r="AM491" s="530"/>
      <c r="AR491" s="530"/>
      <c r="AS491" s="530"/>
      <c r="AX491" s="530"/>
      <c r="AY491" s="530"/>
      <c r="BD491" s="530"/>
      <c r="BE491" s="530"/>
      <c r="BJ491" s="530"/>
      <c r="BK491" s="530"/>
      <c r="BP491" s="530"/>
      <c r="BQ491" s="530"/>
      <c r="BV491" s="530"/>
      <c r="BW491" s="530"/>
    </row>
    <row r="492">
      <c r="N492" s="530"/>
      <c r="O492" s="530"/>
      <c r="T492" s="530"/>
      <c r="U492" s="530"/>
      <c r="Z492" s="530"/>
      <c r="AA492" s="530"/>
      <c r="AF492" s="530"/>
      <c r="AG492" s="530"/>
      <c r="AL492" s="530"/>
      <c r="AM492" s="530"/>
      <c r="AR492" s="530"/>
      <c r="AS492" s="530"/>
      <c r="AX492" s="530"/>
      <c r="AY492" s="530"/>
      <c r="BD492" s="530"/>
      <c r="BE492" s="530"/>
      <c r="BJ492" s="530"/>
      <c r="BK492" s="530"/>
      <c r="BP492" s="530"/>
      <c r="BQ492" s="530"/>
      <c r="BV492" s="530"/>
      <c r="BW492" s="530"/>
    </row>
    <row r="493">
      <c r="N493" s="530"/>
      <c r="O493" s="530"/>
      <c r="T493" s="530"/>
      <c r="U493" s="530"/>
      <c r="Z493" s="530"/>
      <c r="AA493" s="530"/>
      <c r="AF493" s="530"/>
      <c r="AG493" s="530"/>
      <c r="AL493" s="530"/>
      <c r="AM493" s="530"/>
      <c r="AR493" s="530"/>
      <c r="AS493" s="530"/>
      <c r="AX493" s="530"/>
      <c r="AY493" s="530"/>
      <c r="BD493" s="530"/>
      <c r="BE493" s="530"/>
      <c r="BJ493" s="530"/>
      <c r="BK493" s="530"/>
      <c r="BP493" s="530"/>
      <c r="BQ493" s="530"/>
      <c r="BV493" s="530"/>
      <c r="BW493" s="530"/>
    </row>
    <row r="494">
      <c r="N494" s="530"/>
      <c r="O494" s="530"/>
      <c r="T494" s="530"/>
      <c r="U494" s="530"/>
      <c r="Z494" s="530"/>
      <c r="AA494" s="530"/>
      <c r="AF494" s="530"/>
      <c r="AG494" s="530"/>
      <c r="AL494" s="530"/>
      <c r="AM494" s="530"/>
      <c r="AR494" s="530"/>
      <c r="AS494" s="530"/>
      <c r="AX494" s="530"/>
      <c r="AY494" s="530"/>
      <c r="BD494" s="530"/>
      <c r="BE494" s="530"/>
      <c r="BJ494" s="530"/>
      <c r="BK494" s="530"/>
      <c r="BP494" s="530"/>
      <c r="BQ494" s="530"/>
      <c r="BV494" s="530"/>
      <c r="BW494" s="530"/>
    </row>
    <row r="495">
      <c r="N495" s="530"/>
      <c r="O495" s="530"/>
      <c r="T495" s="530"/>
      <c r="U495" s="530"/>
      <c r="Z495" s="530"/>
      <c r="AA495" s="530"/>
      <c r="AF495" s="530"/>
      <c r="AG495" s="530"/>
      <c r="AL495" s="530"/>
      <c r="AM495" s="530"/>
      <c r="AR495" s="530"/>
      <c r="AS495" s="530"/>
      <c r="AX495" s="530"/>
      <c r="AY495" s="530"/>
      <c r="BD495" s="530"/>
      <c r="BE495" s="530"/>
      <c r="BJ495" s="530"/>
      <c r="BK495" s="530"/>
      <c r="BP495" s="530"/>
      <c r="BQ495" s="530"/>
      <c r="BV495" s="530"/>
      <c r="BW495" s="530"/>
    </row>
    <row r="496">
      <c r="N496" s="530"/>
      <c r="O496" s="530"/>
      <c r="T496" s="530"/>
      <c r="U496" s="530"/>
      <c r="Z496" s="530"/>
      <c r="AA496" s="530"/>
      <c r="AF496" s="530"/>
      <c r="AG496" s="530"/>
      <c r="AL496" s="530"/>
      <c r="AM496" s="530"/>
      <c r="AR496" s="530"/>
      <c r="AS496" s="530"/>
      <c r="AX496" s="530"/>
      <c r="AY496" s="530"/>
      <c r="BD496" s="530"/>
      <c r="BE496" s="530"/>
      <c r="BJ496" s="530"/>
      <c r="BK496" s="530"/>
      <c r="BP496" s="530"/>
      <c r="BQ496" s="530"/>
      <c r="BV496" s="530"/>
      <c r="BW496" s="530"/>
    </row>
    <row r="497">
      <c r="N497" s="530"/>
      <c r="O497" s="530"/>
      <c r="T497" s="530"/>
      <c r="U497" s="530"/>
      <c r="Z497" s="530"/>
      <c r="AA497" s="530"/>
      <c r="AF497" s="530"/>
      <c r="AG497" s="530"/>
      <c r="AL497" s="530"/>
      <c r="AM497" s="530"/>
      <c r="AR497" s="530"/>
      <c r="AS497" s="530"/>
      <c r="AX497" s="530"/>
      <c r="AY497" s="530"/>
      <c r="BD497" s="530"/>
      <c r="BE497" s="530"/>
      <c r="BJ497" s="530"/>
      <c r="BK497" s="530"/>
      <c r="BP497" s="530"/>
      <c r="BQ497" s="530"/>
      <c r="BV497" s="530"/>
      <c r="BW497" s="530"/>
    </row>
    <row r="498">
      <c r="N498" s="530"/>
      <c r="O498" s="530"/>
      <c r="T498" s="530"/>
      <c r="U498" s="530"/>
      <c r="Z498" s="530"/>
      <c r="AA498" s="530"/>
      <c r="AF498" s="530"/>
      <c r="AG498" s="530"/>
      <c r="AL498" s="530"/>
      <c r="AM498" s="530"/>
      <c r="AR498" s="530"/>
      <c r="AS498" s="530"/>
      <c r="AX498" s="530"/>
      <c r="AY498" s="530"/>
      <c r="BD498" s="530"/>
      <c r="BE498" s="530"/>
      <c r="BJ498" s="530"/>
      <c r="BK498" s="530"/>
      <c r="BP498" s="530"/>
      <c r="BQ498" s="530"/>
      <c r="BV498" s="530"/>
      <c r="BW498" s="530"/>
    </row>
    <row r="499">
      <c r="N499" s="530"/>
      <c r="O499" s="530"/>
      <c r="T499" s="530"/>
      <c r="U499" s="530"/>
      <c r="Z499" s="530"/>
      <c r="AA499" s="530"/>
      <c r="AF499" s="530"/>
      <c r="AG499" s="530"/>
      <c r="AL499" s="530"/>
      <c r="AM499" s="530"/>
      <c r="AR499" s="530"/>
      <c r="AS499" s="530"/>
      <c r="AX499" s="530"/>
      <c r="AY499" s="530"/>
      <c r="BD499" s="530"/>
      <c r="BE499" s="530"/>
      <c r="BJ499" s="530"/>
      <c r="BK499" s="530"/>
      <c r="BP499" s="530"/>
      <c r="BQ499" s="530"/>
      <c r="BV499" s="530"/>
      <c r="BW499" s="530"/>
    </row>
    <row r="500">
      <c r="N500" s="530"/>
      <c r="O500" s="530"/>
      <c r="T500" s="530"/>
      <c r="U500" s="530"/>
      <c r="Z500" s="530"/>
      <c r="AA500" s="530"/>
      <c r="AF500" s="530"/>
      <c r="AG500" s="530"/>
      <c r="AL500" s="530"/>
      <c r="AM500" s="530"/>
      <c r="AR500" s="530"/>
      <c r="AS500" s="530"/>
      <c r="AX500" s="530"/>
      <c r="AY500" s="530"/>
      <c r="BD500" s="530"/>
      <c r="BE500" s="530"/>
      <c r="BJ500" s="530"/>
      <c r="BK500" s="530"/>
      <c r="BP500" s="530"/>
      <c r="BQ500" s="530"/>
      <c r="BV500" s="530"/>
      <c r="BW500" s="530"/>
    </row>
    <row r="501">
      <c r="N501" s="530"/>
      <c r="O501" s="530"/>
      <c r="T501" s="530"/>
      <c r="U501" s="530"/>
      <c r="Z501" s="530"/>
      <c r="AA501" s="530"/>
      <c r="AF501" s="530"/>
      <c r="AG501" s="530"/>
      <c r="AL501" s="530"/>
      <c r="AM501" s="530"/>
      <c r="AR501" s="530"/>
      <c r="AS501" s="530"/>
      <c r="AX501" s="530"/>
      <c r="AY501" s="530"/>
      <c r="BD501" s="530"/>
      <c r="BE501" s="530"/>
      <c r="BJ501" s="530"/>
      <c r="BK501" s="530"/>
      <c r="BP501" s="530"/>
      <c r="BQ501" s="530"/>
      <c r="BV501" s="530"/>
      <c r="BW501" s="530"/>
    </row>
    <row r="502">
      <c r="N502" s="530"/>
      <c r="O502" s="530"/>
      <c r="T502" s="530"/>
      <c r="U502" s="530"/>
      <c r="Z502" s="530"/>
      <c r="AA502" s="530"/>
      <c r="AF502" s="530"/>
      <c r="AG502" s="530"/>
      <c r="AL502" s="530"/>
      <c r="AM502" s="530"/>
      <c r="AR502" s="530"/>
      <c r="AS502" s="530"/>
      <c r="AX502" s="530"/>
      <c r="AY502" s="530"/>
      <c r="BD502" s="530"/>
      <c r="BE502" s="530"/>
      <c r="BJ502" s="530"/>
      <c r="BK502" s="530"/>
      <c r="BP502" s="530"/>
      <c r="BQ502" s="530"/>
      <c r="BV502" s="530"/>
      <c r="BW502" s="530"/>
    </row>
    <row r="503">
      <c r="N503" s="530"/>
      <c r="O503" s="530"/>
      <c r="T503" s="530"/>
      <c r="U503" s="530"/>
      <c r="Z503" s="530"/>
      <c r="AA503" s="530"/>
      <c r="AF503" s="530"/>
      <c r="AG503" s="530"/>
      <c r="AL503" s="530"/>
      <c r="AM503" s="530"/>
      <c r="AR503" s="530"/>
      <c r="AS503" s="530"/>
      <c r="AX503" s="530"/>
      <c r="AY503" s="530"/>
      <c r="BD503" s="530"/>
      <c r="BE503" s="530"/>
      <c r="BJ503" s="530"/>
      <c r="BK503" s="530"/>
      <c r="BP503" s="530"/>
      <c r="BQ503" s="530"/>
      <c r="BV503" s="530"/>
      <c r="BW503" s="530"/>
    </row>
    <row r="504">
      <c r="N504" s="530"/>
      <c r="O504" s="530"/>
      <c r="T504" s="530"/>
      <c r="U504" s="530"/>
      <c r="Z504" s="530"/>
      <c r="AA504" s="530"/>
      <c r="AF504" s="530"/>
      <c r="AG504" s="530"/>
      <c r="AL504" s="530"/>
      <c r="AM504" s="530"/>
      <c r="AR504" s="530"/>
      <c r="AS504" s="530"/>
      <c r="AX504" s="530"/>
      <c r="AY504" s="530"/>
      <c r="BD504" s="530"/>
      <c r="BE504" s="530"/>
      <c r="BJ504" s="530"/>
      <c r="BK504" s="530"/>
      <c r="BP504" s="530"/>
      <c r="BQ504" s="530"/>
      <c r="BV504" s="530"/>
      <c r="BW504" s="530"/>
    </row>
    <row r="505">
      <c r="N505" s="530"/>
      <c r="O505" s="530"/>
      <c r="T505" s="530"/>
      <c r="U505" s="530"/>
      <c r="Z505" s="530"/>
      <c r="AA505" s="530"/>
      <c r="AF505" s="530"/>
      <c r="AG505" s="530"/>
      <c r="AL505" s="530"/>
      <c r="AM505" s="530"/>
      <c r="AR505" s="530"/>
      <c r="AS505" s="530"/>
      <c r="AX505" s="530"/>
      <c r="AY505" s="530"/>
      <c r="BD505" s="530"/>
      <c r="BE505" s="530"/>
      <c r="BJ505" s="530"/>
      <c r="BK505" s="530"/>
      <c r="BP505" s="530"/>
      <c r="BQ505" s="530"/>
      <c r="BV505" s="530"/>
      <c r="BW505" s="530"/>
    </row>
    <row r="506">
      <c r="N506" s="530"/>
      <c r="O506" s="530"/>
      <c r="T506" s="530"/>
      <c r="U506" s="530"/>
      <c r="Z506" s="530"/>
      <c r="AA506" s="530"/>
      <c r="AF506" s="530"/>
      <c r="AG506" s="530"/>
      <c r="AL506" s="530"/>
      <c r="AM506" s="530"/>
      <c r="AR506" s="530"/>
      <c r="AS506" s="530"/>
      <c r="AX506" s="530"/>
      <c r="AY506" s="530"/>
      <c r="BD506" s="530"/>
      <c r="BE506" s="530"/>
      <c r="BJ506" s="530"/>
      <c r="BK506" s="530"/>
      <c r="BP506" s="530"/>
      <c r="BQ506" s="530"/>
      <c r="BV506" s="530"/>
      <c r="BW506" s="530"/>
    </row>
    <row r="507">
      <c r="N507" s="530"/>
      <c r="O507" s="530"/>
      <c r="T507" s="530"/>
      <c r="U507" s="530"/>
      <c r="Z507" s="530"/>
      <c r="AA507" s="530"/>
      <c r="AF507" s="530"/>
      <c r="AG507" s="530"/>
      <c r="AL507" s="530"/>
      <c r="AM507" s="530"/>
      <c r="AR507" s="530"/>
      <c r="AS507" s="530"/>
      <c r="AX507" s="530"/>
      <c r="AY507" s="530"/>
      <c r="BD507" s="530"/>
      <c r="BE507" s="530"/>
      <c r="BJ507" s="530"/>
      <c r="BK507" s="530"/>
      <c r="BP507" s="530"/>
      <c r="BQ507" s="530"/>
      <c r="BV507" s="530"/>
      <c r="BW507" s="530"/>
    </row>
    <row r="508">
      <c r="N508" s="530"/>
      <c r="O508" s="530"/>
      <c r="T508" s="530"/>
      <c r="U508" s="530"/>
      <c r="Z508" s="530"/>
      <c r="AA508" s="530"/>
      <c r="AF508" s="530"/>
      <c r="AG508" s="530"/>
      <c r="AL508" s="530"/>
      <c r="AM508" s="530"/>
      <c r="AR508" s="530"/>
      <c r="AS508" s="530"/>
      <c r="AX508" s="530"/>
      <c r="AY508" s="530"/>
      <c r="BD508" s="530"/>
      <c r="BE508" s="530"/>
      <c r="BJ508" s="530"/>
      <c r="BK508" s="530"/>
      <c r="BP508" s="530"/>
      <c r="BQ508" s="530"/>
      <c r="BV508" s="530"/>
      <c r="BW508" s="530"/>
    </row>
    <row r="509">
      <c r="N509" s="530"/>
      <c r="O509" s="530"/>
      <c r="T509" s="530"/>
      <c r="U509" s="530"/>
      <c r="Z509" s="530"/>
      <c r="AA509" s="530"/>
      <c r="AF509" s="530"/>
      <c r="AG509" s="530"/>
      <c r="AL509" s="530"/>
      <c r="AM509" s="530"/>
      <c r="AR509" s="530"/>
      <c r="AS509" s="530"/>
      <c r="AX509" s="530"/>
      <c r="AY509" s="530"/>
      <c r="BD509" s="530"/>
      <c r="BE509" s="530"/>
      <c r="BJ509" s="530"/>
      <c r="BK509" s="530"/>
      <c r="BP509" s="530"/>
      <c r="BQ509" s="530"/>
      <c r="BV509" s="530"/>
      <c r="BW509" s="530"/>
    </row>
    <row r="510">
      <c r="N510" s="530"/>
      <c r="O510" s="530"/>
      <c r="T510" s="530"/>
      <c r="U510" s="530"/>
      <c r="Z510" s="530"/>
      <c r="AA510" s="530"/>
      <c r="AF510" s="530"/>
      <c r="AG510" s="530"/>
      <c r="AL510" s="530"/>
      <c r="AM510" s="530"/>
      <c r="AR510" s="530"/>
      <c r="AS510" s="530"/>
      <c r="AX510" s="530"/>
      <c r="AY510" s="530"/>
      <c r="BD510" s="530"/>
      <c r="BE510" s="530"/>
      <c r="BJ510" s="530"/>
      <c r="BK510" s="530"/>
      <c r="BP510" s="530"/>
      <c r="BQ510" s="530"/>
      <c r="BV510" s="530"/>
      <c r="BW510" s="530"/>
    </row>
    <row r="511">
      <c r="N511" s="530"/>
      <c r="O511" s="530"/>
      <c r="T511" s="530"/>
      <c r="U511" s="530"/>
      <c r="Z511" s="530"/>
      <c r="AA511" s="530"/>
      <c r="AF511" s="530"/>
      <c r="AG511" s="530"/>
      <c r="AL511" s="530"/>
      <c r="AM511" s="530"/>
      <c r="AR511" s="530"/>
      <c r="AS511" s="530"/>
      <c r="AX511" s="530"/>
      <c r="AY511" s="530"/>
      <c r="BD511" s="530"/>
      <c r="BE511" s="530"/>
      <c r="BJ511" s="530"/>
      <c r="BK511" s="530"/>
      <c r="BP511" s="530"/>
      <c r="BQ511" s="530"/>
      <c r="BV511" s="530"/>
      <c r="BW511" s="530"/>
    </row>
    <row r="512">
      <c r="N512" s="530"/>
      <c r="O512" s="530"/>
      <c r="T512" s="530"/>
      <c r="U512" s="530"/>
      <c r="Z512" s="530"/>
      <c r="AA512" s="530"/>
      <c r="AF512" s="530"/>
      <c r="AG512" s="530"/>
      <c r="AL512" s="530"/>
      <c r="AM512" s="530"/>
      <c r="AR512" s="530"/>
      <c r="AS512" s="530"/>
      <c r="AX512" s="530"/>
      <c r="AY512" s="530"/>
      <c r="BD512" s="530"/>
      <c r="BE512" s="530"/>
      <c r="BJ512" s="530"/>
      <c r="BK512" s="530"/>
      <c r="BP512" s="530"/>
      <c r="BQ512" s="530"/>
      <c r="BV512" s="530"/>
      <c r="BW512" s="530"/>
    </row>
    <row r="513">
      <c r="N513" s="530"/>
      <c r="O513" s="530"/>
      <c r="T513" s="530"/>
      <c r="U513" s="530"/>
      <c r="Z513" s="530"/>
      <c r="AA513" s="530"/>
      <c r="AF513" s="530"/>
      <c r="AG513" s="530"/>
      <c r="AL513" s="530"/>
      <c r="AM513" s="530"/>
      <c r="AR513" s="530"/>
      <c r="AS513" s="530"/>
      <c r="AX513" s="530"/>
      <c r="AY513" s="530"/>
      <c r="BD513" s="530"/>
      <c r="BE513" s="530"/>
      <c r="BJ513" s="530"/>
      <c r="BK513" s="530"/>
      <c r="BP513" s="530"/>
      <c r="BQ513" s="530"/>
      <c r="BV513" s="530"/>
      <c r="BW513" s="530"/>
    </row>
    <row r="514">
      <c r="N514" s="530"/>
      <c r="O514" s="530"/>
      <c r="T514" s="530"/>
      <c r="U514" s="530"/>
      <c r="Z514" s="530"/>
      <c r="AA514" s="530"/>
      <c r="AF514" s="530"/>
      <c r="AG514" s="530"/>
      <c r="AL514" s="530"/>
      <c r="AM514" s="530"/>
      <c r="AR514" s="530"/>
      <c r="AS514" s="530"/>
      <c r="AX514" s="530"/>
      <c r="AY514" s="530"/>
      <c r="BD514" s="530"/>
      <c r="BE514" s="530"/>
      <c r="BJ514" s="530"/>
      <c r="BK514" s="530"/>
      <c r="BP514" s="530"/>
      <c r="BQ514" s="530"/>
      <c r="BV514" s="530"/>
      <c r="BW514" s="530"/>
    </row>
    <row r="515">
      <c r="N515" s="530"/>
      <c r="O515" s="530"/>
      <c r="T515" s="530"/>
      <c r="U515" s="530"/>
      <c r="Z515" s="530"/>
      <c r="AA515" s="530"/>
      <c r="AF515" s="530"/>
      <c r="AG515" s="530"/>
      <c r="AL515" s="530"/>
      <c r="AM515" s="530"/>
      <c r="AR515" s="530"/>
      <c r="AS515" s="530"/>
      <c r="AX515" s="530"/>
      <c r="AY515" s="530"/>
      <c r="BD515" s="530"/>
      <c r="BE515" s="530"/>
      <c r="BJ515" s="530"/>
      <c r="BK515" s="530"/>
      <c r="BP515" s="530"/>
      <c r="BQ515" s="530"/>
      <c r="BV515" s="530"/>
      <c r="BW515" s="530"/>
    </row>
    <row r="516">
      <c r="N516" s="530"/>
      <c r="O516" s="530"/>
      <c r="T516" s="530"/>
      <c r="U516" s="530"/>
      <c r="Z516" s="530"/>
      <c r="AA516" s="530"/>
      <c r="AF516" s="530"/>
      <c r="AG516" s="530"/>
      <c r="AL516" s="530"/>
      <c r="AM516" s="530"/>
      <c r="AR516" s="530"/>
      <c r="AS516" s="530"/>
      <c r="AX516" s="530"/>
      <c r="AY516" s="530"/>
      <c r="BD516" s="530"/>
      <c r="BE516" s="530"/>
      <c r="BJ516" s="530"/>
      <c r="BK516" s="530"/>
      <c r="BP516" s="530"/>
      <c r="BQ516" s="530"/>
      <c r="BV516" s="530"/>
      <c r="BW516" s="530"/>
    </row>
    <row r="517">
      <c r="N517" s="530"/>
      <c r="O517" s="530"/>
      <c r="T517" s="530"/>
      <c r="U517" s="530"/>
      <c r="Z517" s="530"/>
      <c r="AA517" s="530"/>
      <c r="AF517" s="530"/>
      <c r="AG517" s="530"/>
      <c r="AL517" s="530"/>
      <c r="AM517" s="530"/>
      <c r="AR517" s="530"/>
      <c r="AS517" s="530"/>
      <c r="AX517" s="530"/>
      <c r="AY517" s="530"/>
      <c r="BD517" s="530"/>
      <c r="BE517" s="530"/>
      <c r="BJ517" s="530"/>
      <c r="BK517" s="530"/>
      <c r="BP517" s="530"/>
      <c r="BQ517" s="530"/>
      <c r="BV517" s="530"/>
      <c r="BW517" s="530"/>
    </row>
    <row r="518">
      <c r="N518" s="530"/>
      <c r="O518" s="530"/>
      <c r="T518" s="530"/>
      <c r="U518" s="530"/>
      <c r="Z518" s="530"/>
      <c r="AA518" s="530"/>
      <c r="AF518" s="530"/>
      <c r="AG518" s="530"/>
      <c r="AL518" s="530"/>
      <c r="AM518" s="530"/>
      <c r="AR518" s="530"/>
      <c r="AS518" s="530"/>
      <c r="AX518" s="530"/>
      <c r="AY518" s="530"/>
      <c r="BD518" s="530"/>
      <c r="BE518" s="530"/>
      <c r="BJ518" s="530"/>
      <c r="BK518" s="530"/>
      <c r="BP518" s="530"/>
      <c r="BQ518" s="530"/>
      <c r="BV518" s="530"/>
      <c r="BW518" s="530"/>
    </row>
    <row r="519">
      <c r="N519" s="530"/>
      <c r="O519" s="530"/>
      <c r="T519" s="530"/>
      <c r="U519" s="530"/>
      <c r="Z519" s="530"/>
      <c r="AA519" s="530"/>
      <c r="AF519" s="530"/>
      <c r="AG519" s="530"/>
      <c r="AL519" s="530"/>
      <c r="AM519" s="530"/>
      <c r="AR519" s="530"/>
      <c r="AS519" s="530"/>
      <c r="AX519" s="530"/>
      <c r="AY519" s="530"/>
      <c r="BD519" s="530"/>
      <c r="BE519" s="530"/>
      <c r="BJ519" s="530"/>
      <c r="BK519" s="530"/>
      <c r="BP519" s="530"/>
      <c r="BQ519" s="530"/>
      <c r="BV519" s="530"/>
      <c r="BW519" s="530"/>
    </row>
    <row r="520">
      <c r="N520" s="530"/>
      <c r="O520" s="530"/>
      <c r="T520" s="530"/>
      <c r="U520" s="530"/>
      <c r="Z520" s="530"/>
      <c r="AA520" s="530"/>
      <c r="AF520" s="530"/>
      <c r="AG520" s="530"/>
      <c r="AL520" s="530"/>
      <c r="AM520" s="530"/>
      <c r="AR520" s="530"/>
      <c r="AS520" s="530"/>
      <c r="AX520" s="530"/>
      <c r="AY520" s="530"/>
      <c r="BD520" s="530"/>
      <c r="BE520" s="530"/>
      <c r="BJ520" s="530"/>
      <c r="BK520" s="530"/>
      <c r="BP520" s="530"/>
      <c r="BQ520" s="530"/>
      <c r="BV520" s="530"/>
      <c r="BW520" s="530"/>
    </row>
    <row r="521">
      <c r="N521" s="530"/>
      <c r="O521" s="530"/>
      <c r="T521" s="530"/>
      <c r="U521" s="530"/>
      <c r="Z521" s="530"/>
      <c r="AA521" s="530"/>
      <c r="AF521" s="530"/>
      <c r="AG521" s="530"/>
      <c r="AL521" s="530"/>
      <c r="AM521" s="530"/>
      <c r="AR521" s="530"/>
      <c r="AS521" s="530"/>
      <c r="AX521" s="530"/>
      <c r="AY521" s="530"/>
      <c r="BD521" s="530"/>
      <c r="BE521" s="530"/>
      <c r="BJ521" s="530"/>
      <c r="BK521" s="530"/>
      <c r="BP521" s="530"/>
      <c r="BQ521" s="530"/>
      <c r="BV521" s="530"/>
      <c r="BW521" s="530"/>
    </row>
    <row r="522">
      <c r="N522" s="530"/>
      <c r="O522" s="530"/>
      <c r="T522" s="530"/>
      <c r="U522" s="530"/>
      <c r="Z522" s="530"/>
      <c r="AA522" s="530"/>
      <c r="AF522" s="530"/>
      <c r="AG522" s="530"/>
      <c r="AL522" s="530"/>
      <c r="AM522" s="530"/>
      <c r="AR522" s="530"/>
      <c r="AS522" s="530"/>
      <c r="AX522" s="530"/>
      <c r="AY522" s="530"/>
      <c r="BD522" s="530"/>
      <c r="BE522" s="530"/>
      <c r="BJ522" s="530"/>
      <c r="BK522" s="530"/>
      <c r="BP522" s="530"/>
      <c r="BQ522" s="530"/>
      <c r="BV522" s="530"/>
      <c r="BW522" s="530"/>
    </row>
    <row r="523">
      <c r="N523" s="530"/>
      <c r="O523" s="530"/>
      <c r="T523" s="530"/>
      <c r="U523" s="530"/>
      <c r="Z523" s="530"/>
      <c r="AA523" s="530"/>
      <c r="AF523" s="530"/>
      <c r="AG523" s="530"/>
      <c r="AL523" s="530"/>
      <c r="AM523" s="530"/>
      <c r="AR523" s="530"/>
      <c r="AS523" s="530"/>
      <c r="AX523" s="530"/>
      <c r="AY523" s="530"/>
      <c r="BD523" s="530"/>
      <c r="BE523" s="530"/>
      <c r="BJ523" s="530"/>
      <c r="BK523" s="530"/>
      <c r="BP523" s="530"/>
      <c r="BQ523" s="530"/>
      <c r="BV523" s="530"/>
      <c r="BW523" s="530"/>
    </row>
    <row r="524">
      <c r="N524" s="530"/>
      <c r="O524" s="530"/>
      <c r="T524" s="530"/>
      <c r="U524" s="530"/>
      <c r="Z524" s="530"/>
      <c r="AA524" s="530"/>
      <c r="AF524" s="530"/>
      <c r="AG524" s="530"/>
      <c r="AL524" s="530"/>
      <c r="AM524" s="530"/>
      <c r="AR524" s="530"/>
      <c r="AS524" s="530"/>
      <c r="AX524" s="530"/>
      <c r="AY524" s="530"/>
      <c r="BD524" s="530"/>
      <c r="BE524" s="530"/>
      <c r="BJ524" s="530"/>
      <c r="BK524" s="530"/>
      <c r="BP524" s="530"/>
      <c r="BQ524" s="530"/>
      <c r="BV524" s="530"/>
      <c r="BW524" s="530"/>
    </row>
    <row r="525">
      <c r="N525" s="530"/>
      <c r="O525" s="530"/>
      <c r="T525" s="530"/>
      <c r="U525" s="530"/>
      <c r="Z525" s="530"/>
      <c r="AA525" s="530"/>
      <c r="AF525" s="530"/>
      <c r="AG525" s="530"/>
      <c r="AL525" s="530"/>
      <c r="AM525" s="530"/>
      <c r="AR525" s="530"/>
      <c r="AS525" s="530"/>
      <c r="AX525" s="530"/>
      <c r="AY525" s="530"/>
      <c r="BD525" s="530"/>
      <c r="BE525" s="530"/>
      <c r="BJ525" s="530"/>
      <c r="BK525" s="530"/>
      <c r="BP525" s="530"/>
      <c r="BQ525" s="530"/>
      <c r="BV525" s="530"/>
      <c r="BW525" s="530"/>
    </row>
    <row r="526">
      <c r="N526" s="530"/>
      <c r="O526" s="530"/>
      <c r="T526" s="530"/>
      <c r="U526" s="530"/>
      <c r="Z526" s="530"/>
      <c r="AA526" s="530"/>
      <c r="AF526" s="530"/>
      <c r="AG526" s="530"/>
      <c r="AL526" s="530"/>
      <c r="AM526" s="530"/>
      <c r="AR526" s="530"/>
      <c r="AS526" s="530"/>
      <c r="AX526" s="530"/>
      <c r="AY526" s="530"/>
      <c r="BD526" s="530"/>
      <c r="BE526" s="530"/>
      <c r="BJ526" s="530"/>
      <c r="BK526" s="530"/>
      <c r="BP526" s="530"/>
      <c r="BQ526" s="530"/>
      <c r="BV526" s="530"/>
      <c r="BW526" s="530"/>
    </row>
    <row r="527">
      <c r="N527" s="530"/>
      <c r="O527" s="530"/>
      <c r="T527" s="530"/>
      <c r="U527" s="530"/>
      <c r="Z527" s="530"/>
      <c r="AA527" s="530"/>
      <c r="AF527" s="530"/>
      <c r="AG527" s="530"/>
      <c r="AL527" s="530"/>
      <c r="AM527" s="530"/>
      <c r="AR527" s="530"/>
      <c r="AS527" s="530"/>
      <c r="AX527" s="530"/>
      <c r="AY527" s="530"/>
      <c r="BD527" s="530"/>
      <c r="BE527" s="530"/>
      <c r="BJ527" s="530"/>
      <c r="BK527" s="530"/>
      <c r="BP527" s="530"/>
      <c r="BQ527" s="530"/>
      <c r="BV527" s="530"/>
      <c r="BW527" s="530"/>
    </row>
    <row r="528">
      <c r="N528" s="530"/>
      <c r="O528" s="530"/>
      <c r="T528" s="530"/>
      <c r="U528" s="530"/>
      <c r="Z528" s="530"/>
      <c r="AA528" s="530"/>
      <c r="AF528" s="530"/>
      <c r="AG528" s="530"/>
      <c r="AL528" s="530"/>
      <c r="AM528" s="530"/>
      <c r="AR528" s="530"/>
      <c r="AS528" s="530"/>
      <c r="AX528" s="530"/>
      <c r="AY528" s="530"/>
      <c r="BD528" s="530"/>
      <c r="BE528" s="530"/>
      <c r="BJ528" s="530"/>
      <c r="BK528" s="530"/>
      <c r="BP528" s="530"/>
      <c r="BQ528" s="530"/>
      <c r="BV528" s="530"/>
      <c r="BW528" s="530"/>
    </row>
    <row r="529">
      <c r="N529" s="530"/>
      <c r="O529" s="530"/>
      <c r="T529" s="530"/>
      <c r="U529" s="530"/>
      <c r="Z529" s="530"/>
      <c r="AA529" s="530"/>
      <c r="AF529" s="530"/>
      <c r="AG529" s="530"/>
      <c r="AL529" s="530"/>
      <c r="AM529" s="530"/>
      <c r="AR529" s="530"/>
      <c r="AS529" s="530"/>
      <c r="AX529" s="530"/>
      <c r="AY529" s="530"/>
      <c r="BD529" s="530"/>
      <c r="BE529" s="530"/>
      <c r="BJ529" s="530"/>
      <c r="BK529" s="530"/>
      <c r="BP529" s="530"/>
      <c r="BQ529" s="530"/>
      <c r="BV529" s="530"/>
      <c r="BW529" s="530"/>
    </row>
    <row r="530">
      <c r="N530" s="530"/>
      <c r="O530" s="530"/>
      <c r="T530" s="530"/>
      <c r="U530" s="530"/>
      <c r="Z530" s="530"/>
      <c r="AA530" s="530"/>
      <c r="AF530" s="530"/>
      <c r="AG530" s="530"/>
      <c r="AL530" s="530"/>
      <c r="AM530" s="530"/>
      <c r="AR530" s="530"/>
      <c r="AS530" s="530"/>
      <c r="AX530" s="530"/>
      <c r="AY530" s="530"/>
      <c r="BD530" s="530"/>
      <c r="BE530" s="530"/>
      <c r="BJ530" s="530"/>
      <c r="BK530" s="530"/>
      <c r="BP530" s="530"/>
      <c r="BQ530" s="530"/>
      <c r="BV530" s="530"/>
      <c r="BW530" s="530"/>
    </row>
    <row r="531">
      <c r="N531" s="530"/>
      <c r="O531" s="530"/>
      <c r="T531" s="530"/>
      <c r="U531" s="530"/>
      <c r="Z531" s="530"/>
      <c r="AA531" s="530"/>
      <c r="AF531" s="530"/>
      <c r="AG531" s="530"/>
      <c r="AL531" s="530"/>
      <c r="AM531" s="530"/>
      <c r="AR531" s="530"/>
      <c r="AS531" s="530"/>
      <c r="AX531" s="530"/>
      <c r="AY531" s="530"/>
      <c r="BD531" s="530"/>
      <c r="BE531" s="530"/>
      <c r="BJ531" s="530"/>
      <c r="BK531" s="530"/>
      <c r="BP531" s="530"/>
      <c r="BQ531" s="530"/>
      <c r="BV531" s="530"/>
      <c r="BW531" s="530"/>
    </row>
    <row r="532">
      <c r="N532" s="530"/>
      <c r="O532" s="530"/>
      <c r="T532" s="530"/>
      <c r="U532" s="530"/>
      <c r="Z532" s="530"/>
      <c r="AA532" s="530"/>
      <c r="AF532" s="530"/>
      <c r="AG532" s="530"/>
      <c r="AL532" s="530"/>
      <c r="AM532" s="530"/>
      <c r="AR532" s="530"/>
      <c r="AS532" s="530"/>
      <c r="AX532" s="530"/>
      <c r="AY532" s="530"/>
      <c r="BD532" s="530"/>
      <c r="BE532" s="530"/>
      <c r="BJ532" s="530"/>
      <c r="BK532" s="530"/>
      <c r="BP532" s="530"/>
      <c r="BQ532" s="530"/>
      <c r="BV532" s="530"/>
      <c r="BW532" s="530"/>
    </row>
    <row r="533">
      <c r="N533" s="530"/>
      <c r="O533" s="530"/>
      <c r="T533" s="530"/>
      <c r="U533" s="530"/>
      <c r="Z533" s="530"/>
      <c r="AA533" s="530"/>
      <c r="AF533" s="530"/>
      <c r="AG533" s="530"/>
      <c r="AL533" s="530"/>
      <c r="AM533" s="530"/>
      <c r="AR533" s="530"/>
      <c r="AS533" s="530"/>
      <c r="AX533" s="530"/>
      <c r="AY533" s="530"/>
      <c r="BD533" s="530"/>
      <c r="BE533" s="530"/>
      <c r="BJ533" s="530"/>
      <c r="BK533" s="530"/>
      <c r="BP533" s="530"/>
      <c r="BQ533" s="530"/>
      <c r="BV533" s="530"/>
      <c r="BW533" s="530"/>
    </row>
    <row r="534">
      <c r="N534" s="530"/>
      <c r="O534" s="530"/>
      <c r="T534" s="530"/>
      <c r="U534" s="530"/>
      <c r="Z534" s="530"/>
      <c r="AA534" s="530"/>
      <c r="AF534" s="530"/>
      <c r="AG534" s="530"/>
      <c r="AL534" s="530"/>
      <c r="AM534" s="530"/>
      <c r="AR534" s="530"/>
      <c r="AS534" s="530"/>
      <c r="AX534" s="530"/>
      <c r="AY534" s="530"/>
      <c r="BD534" s="530"/>
      <c r="BE534" s="530"/>
      <c r="BJ534" s="530"/>
      <c r="BK534" s="530"/>
      <c r="BP534" s="530"/>
      <c r="BQ534" s="530"/>
      <c r="BV534" s="530"/>
      <c r="BW534" s="530"/>
    </row>
    <row r="535">
      <c r="N535" s="530"/>
      <c r="O535" s="530"/>
      <c r="T535" s="530"/>
      <c r="U535" s="530"/>
      <c r="Z535" s="530"/>
      <c r="AA535" s="530"/>
      <c r="AF535" s="530"/>
      <c r="AG535" s="530"/>
      <c r="AL535" s="530"/>
      <c r="AM535" s="530"/>
      <c r="AR535" s="530"/>
      <c r="AS535" s="530"/>
      <c r="AX535" s="530"/>
      <c r="AY535" s="530"/>
      <c r="BD535" s="530"/>
      <c r="BE535" s="530"/>
      <c r="BJ535" s="530"/>
      <c r="BK535" s="530"/>
      <c r="BP535" s="530"/>
      <c r="BQ535" s="530"/>
      <c r="BV535" s="530"/>
      <c r="BW535" s="530"/>
    </row>
    <row r="536">
      <c r="N536" s="530"/>
      <c r="O536" s="530"/>
      <c r="T536" s="530"/>
      <c r="U536" s="530"/>
      <c r="Z536" s="530"/>
      <c r="AA536" s="530"/>
      <c r="AF536" s="530"/>
      <c r="AG536" s="530"/>
      <c r="AL536" s="530"/>
      <c r="AM536" s="530"/>
      <c r="AR536" s="530"/>
      <c r="AS536" s="530"/>
      <c r="AX536" s="530"/>
      <c r="AY536" s="530"/>
      <c r="BD536" s="530"/>
      <c r="BE536" s="530"/>
      <c r="BJ536" s="530"/>
      <c r="BK536" s="530"/>
      <c r="BP536" s="530"/>
      <c r="BQ536" s="530"/>
      <c r="BV536" s="530"/>
      <c r="BW536" s="530"/>
    </row>
    <row r="537">
      <c r="N537" s="530"/>
      <c r="O537" s="530"/>
      <c r="T537" s="530"/>
      <c r="U537" s="530"/>
      <c r="Z537" s="530"/>
      <c r="AA537" s="530"/>
      <c r="AF537" s="530"/>
      <c r="AG537" s="530"/>
      <c r="AL537" s="530"/>
      <c r="AM537" s="530"/>
      <c r="AR537" s="530"/>
      <c r="AS537" s="530"/>
      <c r="AX537" s="530"/>
      <c r="AY537" s="530"/>
      <c r="BD537" s="530"/>
      <c r="BE537" s="530"/>
      <c r="BJ537" s="530"/>
      <c r="BK537" s="530"/>
      <c r="BP537" s="530"/>
      <c r="BQ537" s="530"/>
      <c r="BV537" s="530"/>
      <c r="BW537" s="530"/>
    </row>
    <row r="538">
      <c r="N538" s="530"/>
      <c r="O538" s="530"/>
      <c r="T538" s="530"/>
      <c r="U538" s="530"/>
      <c r="Z538" s="530"/>
      <c r="AA538" s="530"/>
      <c r="AF538" s="530"/>
      <c r="AG538" s="530"/>
      <c r="AL538" s="530"/>
      <c r="AM538" s="530"/>
      <c r="AR538" s="530"/>
      <c r="AS538" s="530"/>
      <c r="AX538" s="530"/>
      <c r="AY538" s="530"/>
      <c r="BD538" s="530"/>
      <c r="BE538" s="530"/>
      <c r="BJ538" s="530"/>
      <c r="BK538" s="530"/>
      <c r="BP538" s="530"/>
      <c r="BQ538" s="530"/>
      <c r="BV538" s="530"/>
      <c r="BW538" s="530"/>
    </row>
    <row r="539">
      <c r="N539" s="530"/>
      <c r="O539" s="530"/>
      <c r="T539" s="530"/>
      <c r="U539" s="530"/>
      <c r="Z539" s="530"/>
      <c r="AA539" s="530"/>
      <c r="AF539" s="530"/>
      <c r="AG539" s="530"/>
      <c r="AL539" s="530"/>
      <c r="AM539" s="530"/>
      <c r="AR539" s="530"/>
      <c r="AS539" s="530"/>
      <c r="AX539" s="530"/>
      <c r="AY539" s="530"/>
      <c r="BD539" s="530"/>
      <c r="BE539" s="530"/>
      <c r="BJ539" s="530"/>
      <c r="BK539" s="530"/>
      <c r="BP539" s="530"/>
      <c r="BQ539" s="530"/>
      <c r="BV539" s="530"/>
      <c r="BW539" s="530"/>
    </row>
    <row r="540">
      <c r="N540" s="530"/>
      <c r="O540" s="530"/>
      <c r="T540" s="530"/>
      <c r="U540" s="530"/>
      <c r="Z540" s="530"/>
      <c r="AA540" s="530"/>
      <c r="AF540" s="530"/>
      <c r="AG540" s="530"/>
      <c r="AL540" s="530"/>
      <c r="AM540" s="530"/>
      <c r="AR540" s="530"/>
      <c r="AS540" s="530"/>
      <c r="AX540" s="530"/>
      <c r="AY540" s="530"/>
      <c r="BD540" s="530"/>
      <c r="BE540" s="530"/>
      <c r="BJ540" s="530"/>
      <c r="BK540" s="530"/>
      <c r="BP540" s="530"/>
      <c r="BQ540" s="530"/>
      <c r="BV540" s="530"/>
      <c r="BW540" s="530"/>
    </row>
    <row r="541">
      <c r="N541" s="530"/>
      <c r="O541" s="530"/>
      <c r="T541" s="530"/>
      <c r="U541" s="530"/>
      <c r="Z541" s="530"/>
      <c r="AA541" s="530"/>
      <c r="AF541" s="530"/>
      <c r="AG541" s="530"/>
      <c r="AL541" s="530"/>
      <c r="AM541" s="530"/>
      <c r="AR541" s="530"/>
      <c r="AS541" s="530"/>
      <c r="AX541" s="530"/>
      <c r="AY541" s="530"/>
      <c r="BD541" s="530"/>
      <c r="BE541" s="530"/>
      <c r="BJ541" s="530"/>
      <c r="BK541" s="530"/>
      <c r="BP541" s="530"/>
      <c r="BQ541" s="530"/>
      <c r="BV541" s="530"/>
      <c r="BW541" s="530"/>
    </row>
    <row r="542">
      <c r="N542" s="530"/>
      <c r="O542" s="530"/>
      <c r="T542" s="530"/>
      <c r="U542" s="530"/>
      <c r="Z542" s="530"/>
      <c r="AA542" s="530"/>
      <c r="AF542" s="530"/>
      <c r="AG542" s="530"/>
      <c r="AL542" s="530"/>
      <c r="AM542" s="530"/>
      <c r="AR542" s="530"/>
      <c r="AS542" s="530"/>
      <c r="AX542" s="530"/>
      <c r="AY542" s="530"/>
      <c r="BD542" s="530"/>
      <c r="BE542" s="530"/>
      <c r="BJ542" s="530"/>
      <c r="BK542" s="530"/>
      <c r="BP542" s="530"/>
      <c r="BQ542" s="530"/>
      <c r="BV542" s="530"/>
      <c r="BW542" s="530"/>
    </row>
    <row r="543">
      <c r="N543" s="530"/>
      <c r="O543" s="530"/>
      <c r="T543" s="530"/>
      <c r="U543" s="530"/>
      <c r="Z543" s="530"/>
      <c r="AA543" s="530"/>
      <c r="AF543" s="530"/>
      <c r="AG543" s="530"/>
      <c r="AL543" s="530"/>
      <c r="AM543" s="530"/>
      <c r="AR543" s="530"/>
      <c r="AS543" s="530"/>
      <c r="AX543" s="530"/>
      <c r="AY543" s="530"/>
      <c r="BD543" s="530"/>
      <c r="BE543" s="530"/>
      <c r="BJ543" s="530"/>
      <c r="BK543" s="530"/>
      <c r="BP543" s="530"/>
      <c r="BQ543" s="530"/>
      <c r="BV543" s="530"/>
      <c r="BW543" s="530"/>
    </row>
    <row r="544">
      <c r="N544" s="530"/>
      <c r="O544" s="530"/>
      <c r="T544" s="530"/>
      <c r="U544" s="530"/>
      <c r="Z544" s="530"/>
      <c r="AA544" s="530"/>
      <c r="AF544" s="530"/>
      <c r="AG544" s="530"/>
      <c r="AL544" s="530"/>
      <c r="AM544" s="530"/>
      <c r="AR544" s="530"/>
      <c r="AS544" s="530"/>
      <c r="AX544" s="530"/>
      <c r="AY544" s="530"/>
      <c r="BD544" s="530"/>
      <c r="BE544" s="530"/>
      <c r="BJ544" s="530"/>
      <c r="BK544" s="530"/>
      <c r="BP544" s="530"/>
      <c r="BQ544" s="530"/>
      <c r="BV544" s="530"/>
      <c r="BW544" s="530"/>
    </row>
    <row r="545">
      <c r="N545" s="530"/>
      <c r="O545" s="530"/>
      <c r="T545" s="530"/>
      <c r="U545" s="530"/>
      <c r="Z545" s="530"/>
      <c r="AA545" s="530"/>
      <c r="AF545" s="530"/>
      <c r="AG545" s="530"/>
      <c r="AL545" s="530"/>
      <c r="AM545" s="530"/>
      <c r="AR545" s="530"/>
      <c r="AS545" s="530"/>
      <c r="AX545" s="530"/>
      <c r="AY545" s="530"/>
      <c r="BD545" s="530"/>
      <c r="BE545" s="530"/>
      <c r="BJ545" s="530"/>
      <c r="BK545" s="530"/>
      <c r="BP545" s="530"/>
      <c r="BQ545" s="530"/>
      <c r="BV545" s="530"/>
      <c r="BW545" s="530"/>
    </row>
    <row r="546">
      <c r="N546" s="530"/>
      <c r="O546" s="530"/>
      <c r="T546" s="530"/>
      <c r="U546" s="530"/>
      <c r="Z546" s="530"/>
      <c r="AA546" s="530"/>
      <c r="AF546" s="530"/>
      <c r="AG546" s="530"/>
      <c r="AL546" s="530"/>
      <c r="AM546" s="530"/>
      <c r="AR546" s="530"/>
      <c r="AS546" s="530"/>
      <c r="AX546" s="530"/>
      <c r="AY546" s="530"/>
      <c r="BD546" s="530"/>
      <c r="BE546" s="530"/>
      <c r="BJ546" s="530"/>
      <c r="BK546" s="530"/>
      <c r="BP546" s="530"/>
      <c r="BQ546" s="530"/>
      <c r="BV546" s="530"/>
      <c r="BW546" s="530"/>
    </row>
    <row r="547">
      <c r="N547" s="530"/>
      <c r="O547" s="530"/>
      <c r="T547" s="530"/>
      <c r="U547" s="530"/>
      <c r="Z547" s="530"/>
      <c r="AA547" s="530"/>
      <c r="AF547" s="530"/>
      <c r="AG547" s="530"/>
      <c r="AL547" s="530"/>
      <c r="AM547" s="530"/>
      <c r="AR547" s="530"/>
      <c r="AS547" s="530"/>
      <c r="AX547" s="530"/>
      <c r="AY547" s="530"/>
      <c r="BD547" s="530"/>
      <c r="BE547" s="530"/>
      <c r="BJ547" s="530"/>
      <c r="BK547" s="530"/>
      <c r="BP547" s="530"/>
      <c r="BQ547" s="530"/>
      <c r="BV547" s="530"/>
      <c r="BW547" s="530"/>
    </row>
    <row r="548">
      <c r="N548" s="530"/>
      <c r="O548" s="530"/>
      <c r="T548" s="530"/>
      <c r="U548" s="530"/>
      <c r="Z548" s="530"/>
      <c r="AA548" s="530"/>
      <c r="AF548" s="530"/>
      <c r="AG548" s="530"/>
      <c r="AL548" s="530"/>
      <c r="AM548" s="530"/>
      <c r="AR548" s="530"/>
      <c r="AS548" s="530"/>
      <c r="AX548" s="530"/>
      <c r="AY548" s="530"/>
      <c r="BD548" s="530"/>
      <c r="BE548" s="530"/>
      <c r="BJ548" s="530"/>
      <c r="BK548" s="530"/>
      <c r="BP548" s="530"/>
      <c r="BQ548" s="530"/>
      <c r="BV548" s="530"/>
      <c r="BW548" s="530"/>
    </row>
    <row r="549">
      <c r="N549" s="530"/>
      <c r="O549" s="530"/>
      <c r="T549" s="530"/>
      <c r="U549" s="530"/>
      <c r="Z549" s="530"/>
      <c r="AA549" s="530"/>
      <c r="AF549" s="530"/>
      <c r="AG549" s="530"/>
      <c r="AL549" s="530"/>
      <c r="AM549" s="530"/>
      <c r="AR549" s="530"/>
      <c r="AS549" s="530"/>
      <c r="AX549" s="530"/>
      <c r="AY549" s="530"/>
      <c r="BD549" s="530"/>
      <c r="BE549" s="530"/>
      <c r="BJ549" s="530"/>
      <c r="BK549" s="530"/>
      <c r="BP549" s="530"/>
      <c r="BQ549" s="530"/>
      <c r="BV549" s="530"/>
      <c r="BW549" s="530"/>
    </row>
    <row r="550">
      <c r="N550" s="530"/>
      <c r="O550" s="530"/>
      <c r="T550" s="530"/>
      <c r="U550" s="530"/>
      <c r="Z550" s="530"/>
      <c r="AA550" s="530"/>
      <c r="AF550" s="530"/>
      <c r="AG550" s="530"/>
      <c r="AL550" s="530"/>
      <c r="AM550" s="530"/>
      <c r="AR550" s="530"/>
      <c r="AS550" s="530"/>
      <c r="AX550" s="530"/>
      <c r="AY550" s="530"/>
      <c r="BD550" s="530"/>
      <c r="BE550" s="530"/>
      <c r="BJ550" s="530"/>
      <c r="BK550" s="530"/>
      <c r="BP550" s="530"/>
      <c r="BQ550" s="530"/>
      <c r="BV550" s="530"/>
      <c r="BW550" s="530"/>
    </row>
    <row r="551">
      <c r="N551" s="530"/>
      <c r="O551" s="530"/>
      <c r="T551" s="530"/>
      <c r="U551" s="530"/>
      <c r="Z551" s="530"/>
      <c r="AA551" s="530"/>
      <c r="AF551" s="530"/>
      <c r="AG551" s="530"/>
      <c r="AL551" s="530"/>
      <c r="AM551" s="530"/>
      <c r="AR551" s="530"/>
      <c r="AS551" s="530"/>
      <c r="AX551" s="530"/>
      <c r="AY551" s="530"/>
      <c r="BD551" s="530"/>
      <c r="BE551" s="530"/>
      <c r="BJ551" s="530"/>
      <c r="BK551" s="530"/>
      <c r="BP551" s="530"/>
      <c r="BQ551" s="530"/>
      <c r="BV551" s="530"/>
      <c r="BW551" s="530"/>
    </row>
    <row r="552">
      <c r="N552" s="530"/>
      <c r="O552" s="530"/>
      <c r="T552" s="530"/>
      <c r="U552" s="530"/>
      <c r="Z552" s="530"/>
      <c r="AA552" s="530"/>
      <c r="AF552" s="530"/>
      <c r="AG552" s="530"/>
      <c r="AL552" s="530"/>
      <c r="AM552" s="530"/>
      <c r="AR552" s="530"/>
      <c r="AS552" s="530"/>
      <c r="AX552" s="530"/>
      <c r="AY552" s="530"/>
      <c r="BD552" s="530"/>
      <c r="BE552" s="530"/>
      <c r="BJ552" s="530"/>
      <c r="BK552" s="530"/>
      <c r="BP552" s="530"/>
      <c r="BQ552" s="530"/>
      <c r="BV552" s="530"/>
      <c r="BW552" s="530"/>
    </row>
    <row r="553">
      <c r="N553" s="530"/>
      <c r="O553" s="530"/>
      <c r="T553" s="530"/>
      <c r="U553" s="530"/>
      <c r="Z553" s="530"/>
      <c r="AA553" s="530"/>
      <c r="AF553" s="530"/>
      <c r="AG553" s="530"/>
      <c r="AL553" s="530"/>
      <c r="AM553" s="530"/>
      <c r="AR553" s="530"/>
      <c r="AS553" s="530"/>
      <c r="AX553" s="530"/>
      <c r="AY553" s="530"/>
      <c r="BD553" s="530"/>
      <c r="BE553" s="530"/>
      <c r="BJ553" s="530"/>
      <c r="BK553" s="530"/>
      <c r="BP553" s="530"/>
      <c r="BQ553" s="530"/>
      <c r="BV553" s="530"/>
      <c r="BW553" s="530"/>
    </row>
    <row r="554">
      <c r="N554" s="530"/>
      <c r="O554" s="530"/>
      <c r="T554" s="530"/>
      <c r="U554" s="530"/>
      <c r="Z554" s="530"/>
      <c r="AA554" s="530"/>
      <c r="AF554" s="530"/>
      <c r="AG554" s="530"/>
      <c r="AL554" s="530"/>
      <c r="AM554" s="530"/>
      <c r="AR554" s="530"/>
      <c r="AS554" s="530"/>
      <c r="AX554" s="530"/>
      <c r="AY554" s="530"/>
      <c r="BD554" s="530"/>
      <c r="BE554" s="530"/>
      <c r="BJ554" s="530"/>
      <c r="BK554" s="530"/>
      <c r="BP554" s="530"/>
      <c r="BQ554" s="530"/>
      <c r="BV554" s="530"/>
      <c r="BW554" s="530"/>
    </row>
    <row r="555">
      <c r="N555" s="530"/>
      <c r="O555" s="530"/>
      <c r="T555" s="530"/>
      <c r="U555" s="530"/>
      <c r="Z555" s="530"/>
      <c r="AA555" s="530"/>
      <c r="AF555" s="530"/>
      <c r="AG555" s="530"/>
      <c r="AL555" s="530"/>
      <c r="AM555" s="530"/>
      <c r="AR555" s="530"/>
      <c r="AS555" s="530"/>
      <c r="AX555" s="530"/>
      <c r="AY555" s="530"/>
      <c r="BD555" s="530"/>
      <c r="BE555" s="530"/>
      <c r="BJ555" s="530"/>
      <c r="BK555" s="530"/>
      <c r="BP555" s="530"/>
      <c r="BQ555" s="530"/>
      <c r="BV555" s="530"/>
      <c r="BW555" s="530"/>
    </row>
    <row r="556">
      <c r="N556" s="530"/>
      <c r="O556" s="530"/>
      <c r="T556" s="530"/>
      <c r="U556" s="530"/>
      <c r="Z556" s="530"/>
      <c r="AA556" s="530"/>
      <c r="AF556" s="530"/>
      <c r="AG556" s="530"/>
      <c r="AL556" s="530"/>
      <c r="AM556" s="530"/>
      <c r="AR556" s="530"/>
      <c r="AS556" s="530"/>
      <c r="AX556" s="530"/>
      <c r="AY556" s="530"/>
      <c r="BD556" s="530"/>
      <c r="BE556" s="530"/>
      <c r="BJ556" s="530"/>
      <c r="BK556" s="530"/>
      <c r="BP556" s="530"/>
      <c r="BQ556" s="530"/>
      <c r="BV556" s="530"/>
      <c r="BW556" s="530"/>
    </row>
    <row r="557">
      <c r="N557" s="530"/>
      <c r="O557" s="530"/>
      <c r="T557" s="530"/>
      <c r="U557" s="530"/>
      <c r="Z557" s="530"/>
      <c r="AA557" s="530"/>
      <c r="AF557" s="530"/>
      <c r="AG557" s="530"/>
      <c r="AL557" s="530"/>
      <c r="AM557" s="530"/>
      <c r="AR557" s="530"/>
      <c r="AS557" s="530"/>
      <c r="AX557" s="530"/>
      <c r="AY557" s="530"/>
      <c r="BD557" s="530"/>
      <c r="BE557" s="530"/>
      <c r="BJ557" s="530"/>
      <c r="BK557" s="530"/>
      <c r="BP557" s="530"/>
      <c r="BQ557" s="530"/>
      <c r="BV557" s="530"/>
      <c r="BW557" s="530"/>
    </row>
    <row r="558">
      <c r="N558" s="530"/>
      <c r="O558" s="530"/>
      <c r="T558" s="530"/>
      <c r="U558" s="530"/>
      <c r="Z558" s="530"/>
      <c r="AA558" s="530"/>
      <c r="AF558" s="530"/>
      <c r="AG558" s="530"/>
      <c r="AL558" s="530"/>
      <c r="AM558" s="530"/>
      <c r="AR558" s="530"/>
      <c r="AS558" s="530"/>
      <c r="AX558" s="530"/>
      <c r="AY558" s="530"/>
      <c r="BD558" s="530"/>
      <c r="BE558" s="530"/>
      <c r="BJ558" s="530"/>
      <c r="BK558" s="530"/>
      <c r="BP558" s="530"/>
      <c r="BQ558" s="530"/>
      <c r="BV558" s="530"/>
      <c r="BW558" s="530"/>
    </row>
    <row r="559">
      <c r="N559" s="530"/>
      <c r="O559" s="530"/>
      <c r="T559" s="530"/>
      <c r="U559" s="530"/>
      <c r="Z559" s="530"/>
      <c r="AA559" s="530"/>
      <c r="AF559" s="530"/>
      <c r="AG559" s="530"/>
      <c r="AL559" s="530"/>
      <c r="AM559" s="530"/>
      <c r="AR559" s="530"/>
      <c r="AS559" s="530"/>
      <c r="AX559" s="530"/>
      <c r="AY559" s="530"/>
      <c r="BD559" s="530"/>
      <c r="BE559" s="530"/>
      <c r="BJ559" s="530"/>
      <c r="BK559" s="530"/>
      <c r="BP559" s="530"/>
      <c r="BQ559" s="530"/>
      <c r="BV559" s="530"/>
      <c r="BW559" s="530"/>
    </row>
    <row r="560">
      <c r="N560" s="530"/>
      <c r="O560" s="530"/>
      <c r="T560" s="530"/>
      <c r="U560" s="530"/>
      <c r="Z560" s="530"/>
      <c r="AA560" s="530"/>
      <c r="AF560" s="530"/>
      <c r="AG560" s="530"/>
      <c r="AL560" s="530"/>
      <c r="AM560" s="530"/>
      <c r="AR560" s="530"/>
      <c r="AS560" s="530"/>
      <c r="AX560" s="530"/>
      <c r="AY560" s="530"/>
      <c r="BD560" s="530"/>
      <c r="BE560" s="530"/>
      <c r="BJ560" s="530"/>
      <c r="BK560" s="530"/>
      <c r="BP560" s="530"/>
      <c r="BQ560" s="530"/>
      <c r="BV560" s="530"/>
      <c r="BW560" s="530"/>
    </row>
    <row r="561">
      <c r="N561" s="530"/>
      <c r="O561" s="530"/>
      <c r="T561" s="530"/>
      <c r="U561" s="530"/>
      <c r="Z561" s="530"/>
      <c r="AA561" s="530"/>
      <c r="AF561" s="530"/>
      <c r="AG561" s="530"/>
      <c r="AL561" s="530"/>
      <c r="AM561" s="530"/>
      <c r="AR561" s="530"/>
      <c r="AS561" s="530"/>
      <c r="AX561" s="530"/>
      <c r="AY561" s="530"/>
      <c r="BD561" s="530"/>
      <c r="BE561" s="530"/>
      <c r="BJ561" s="530"/>
      <c r="BK561" s="530"/>
      <c r="BP561" s="530"/>
      <c r="BQ561" s="530"/>
      <c r="BV561" s="530"/>
      <c r="BW561" s="530"/>
    </row>
    <row r="562">
      <c r="N562" s="530"/>
      <c r="O562" s="530"/>
      <c r="T562" s="530"/>
      <c r="U562" s="530"/>
      <c r="Z562" s="530"/>
      <c r="AA562" s="530"/>
      <c r="AF562" s="530"/>
      <c r="AG562" s="530"/>
      <c r="AL562" s="530"/>
      <c r="AM562" s="530"/>
      <c r="AR562" s="530"/>
      <c r="AS562" s="530"/>
      <c r="AX562" s="530"/>
      <c r="AY562" s="530"/>
      <c r="BD562" s="530"/>
      <c r="BE562" s="530"/>
      <c r="BJ562" s="530"/>
      <c r="BK562" s="530"/>
      <c r="BP562" s="530"/>
      <c r="BQ562" s="530"/>
      <c r="BV562" s="530"/>
      <c r="BW562" s="530"/>
    </row>
    <row r="563">
      <c r="N563" s="530"/>
      <c r="O563" s="530"/>
      <c r="T563" s="530"/>
      <c r="U563" s="530"/>
      <c r="Z563" s="530"/>
      <c r="AA563" s="530"/>
      <c r="AF563" s="530"/>
      <c r="AG563" s="530"/>
      <c r="AL563" s="530"/>
      <c r="AM563" s="530"/>
      <c r="AR563" s="530"/>
      <c r="AS563" s="530"/>
      <c r="AX563" s="530"/>
      <c r="AY563" s="530"/>
      <c r="BD563" s="530"/>
      <c r="BE563" s="530"/>
      <c r="BJ563" s="530"/>
      <c r="BK563" s="530"/>
      <c r="BP563" s="530"/>
      <c r="BQ563" s="530"/>
      <c r="BV563" s="530"/>
      <c r="BW563" s="530"/>
    </row>
    <row r="564">
      <c r="N564" s="530"/>
      <c r="O564" s="530"/>
      <c r="T564" s="530"/>
      <c r="U564" s="530"/>
      <c r="Z564" s="530"/>
      <c r="AA564" s="530"/>
      <c r="AF564" s="530"/>
      <c r="AG564" s="530"/>
      <c r="AL564" s="530"/>
      <c r="AM564" s="530"/>
      <c r="AR564" s="530"/>
      <c r="AS564" s="530"/>
      <c r="AX564" s="530"/>
      <c r="AY564" s="530"/>
      <c r="BD564" s="530"/>
      <c r="BE564" s="530"/>
      <c r="BJ564" s="530"/>
      <c r="BK564" s="530"/>
      <c r="BP564" s="530"/>
      <c r="BQ564" s="530"/>
      <c r="BV564" s="530"/>
      <c r="BW564" s="530"/>
    </row>
    <row r="565">
      <c r="N565" s="530"/>
      <c r="O565" s="530"/>
      <c r="T565" s="530"/>
      <c r="U565" s="530"/>
      <c r="Z565" s="530"/>
      <c r="AA565" s="530"/>
      <c r="AF565" s="530"/>
      <c r="AG565" s="530"/>
      <c r="AL565" s="530"/>
      <c r="AM565" s="530"/>
      <c r="AR565" s="530"/>
      <c r="AS565" s="530"/>
      <c r="AX565" s="530"/>
      <c r="AY565" s="530"/>
      <c r="BD565" s="530"/>
      <c r="BE565" s="530"/>
      <c r="BJ565" s="530"/>
      <c r="BK565" s="530"/>
      <c r="BP565" s="530"/>
      <c r="BQ565" s="530"/>
      <c r="BV565" s="530"/>
      <c r="BW565" s="530"/>
    </row>
    <row r="566">
      <c r="N566" s="530"/>
      <c r="O566" s="530"/>
      <c r="T566" s="530"/>
      <c r="U566" s="530"/>
      <c r="Z566" s="530"/>
      <c r="AA566" s="530"/>
      <c r="AF566" s="530"/>
      <c r="AG566" s="530"/>
      <c r="AL566" s="530"/>
      <c r="AM566" s="530"/>
      <c r="AR566" s="530"/>
      <c r="AS566" s="530"/>
      <c r="AX566" s="530"/>
      <c r="AY566" s="530"/>
      <c r="BD566" s="530"/>
      <c r="BE566" s="530"/>
      <c r="BJ566" s="530"/>
      <c r="BK566" s="530"/>
      <c r="BP566" s="530"/>
      <c r="BQ566" s="530"/>
      <c r="BV566" s="530"/>
      <c r="BW566" s="530"/>
    </row>
    <row r="567">
      <c r="N567" s="530"/>
      <c r="O567" s="530"/>
      <c r="T567" s="530"/>
      <c r="U567" s="530"/>
      <c r="Z567" s="530"/>
      <c r="AA567" s="530"/>
      <c r="AF567" s="530"/>
      <c r="AG567" s="530"/>
      <c r="AL567" s="530"/>
      <c r="AM567" s="530"/>
      <c r="AR567" s="530"/>
      <c r="AS567" s="530"/>
      <c r="AX567" s="530"/>
      <c r="AY567" s="530"/>
      <c r="BD567" s="530"/>
      <c r="BE567" s="530"/>
      <c r="BJ567" s="530"/>
      <c r="BK567" s="530"/>
      <c r="BP567" s="530"/>
      <c r="BQ567" s="530"/>
      <c r="BV567" s="530"/>
      <c r="BW567" s="530"/>
    </row>
    <row r="568">
      <c r="N568" s="530"/>
      <c r="O568" s="530"/>
      <c r="T568" s="530"/>
      <c r="U568" s="530"/>
      <c r="Z568" s="530"/>
      <c r="AA568" s="530"/>
      <c r="AF568" s="530"/>
      <c r="AG568" s="530"/>
      <c r="AL568" s="530"/>
      <c r="AM568" s="530"/>
      <c r="AR568" s="530"/>
      <c r="AS568" s="530"/>
      <c r="AX568" s="530"/>
      <c r="AY568" s="530"/>
      <c r="BD568" s="530"/>
      <c r="BE568" s="530"/>
      <c r="BJ568" s="530"/>
      <c r="BK568" s="530"/>
      <c r="BP568" s="530"/>
      <c r="BQ568" s="530"/>
      <c r="BV568" s="530"/>
      <c r="BW568" s="530"/>
    </row>
    <row r="569">
      <c r="N569" s="530"/>
      <c r="O569" s="530"/>
      <c r="T569" s="530"/>
      <c r="U569" s="530"/>
      <c r="Z569" s="530"/>
      <c r="AA569" s="530"/>
      <c r="AF569" s="530"/>
      <c r="AG569" s="530"/>
      <c r="AL569" s="530"/>
      <c r="AM569" s="530"/>
      <c r="AR569" s="530"/>
      <c r="AS569" s="530"/>
      <c r="AX569" s="530"/>
      <c r="AY569" s="530"/>
      <c r="BD569" s="530"/>
      <c r="BE569" s="530"/>
      <c r="BJ569" s="530"/>
      <c r="BK569" s="530"/>
      <c r="BP569" s="530"/>
      <c r="BQ569" s="530"/>
      <c r="BV569" s="530"/>
      <c r="BW569" s="530"/>
    </row>
    <row r="570">
      <c r="N570" s="530"/>
      <c r="O570" s="530"/>
      <c r="T570" s="530"/>
      <c r="U570" s="530"/>
      <c r="Z570" s="530"/>
      <c r="AA570" s="530"/>
      <c r="AF570" s="530"/>
      <c r="AG570" s="530"/>
      <c r="AL570" s="530"/>
      <c r="AM570" s="530"/>
      <c r="AR570" s="530"/>
      <c r="AS570" s="530"/>
      <c r="AX570" s="530"/>
      <c r="AY570" s="530"/>
      <c r="BD570" s="530"/>
      <c r="BE570" s="530"/>
      <c r="BJ570" s="530"/>
      <c r="BK570" s="530"/>
      <c r="BP570" s="530"/>
      <c r="BQ570" s="530"/>
      <c r="BV570" s="530"/>
      <c r="BW570" s="530"/>
    </row>
    <row r="571">
      <c r="N571" s="530"/>
      <c r="O571" s="530"/>
      <c r="T571" s="530"/>
      <c r="U571" s="530"/>
      <c r="Z571" s="530"/>
      <c r="AA571" s="530"/>
      <c r="AF571" s="530"/>
      <c r="AG571" s="530"/>
      <c r="AL571" s="530"/>
      <c r="AM571" s="530"/>
      <c r="AR571" s="530"/>
      <c r="AS571" s="530"/>
      <c r="AX571" s="530"/>
      <c r="AY571" s="530"/>
      <c r="BD571" s="530"/>
      <c r="BE571" s="530"/>
      <c r="BJ571" s="530"/>
      <c r="BK571" s="530"/>
      <c r="BP571" s="530"/>
      <c r="BQ571" s="530"/>
      <c r="BV571" s="530"/>
      <c r="BW571" s="530"/>
    </row>
    <row r="572">
      <c r="N572" s="530"/>
      <c r="O572" s="530"/>
      <c r="T572" s="530"/>
      <c r="U572" s="530"/>
      <c r="Z572" s="530"/>
      <c r="AA572" s="530"/>
      <c r="AF572" s="530"/>
      <c r="AG572" s="530"/>
      <c r="AL572" s="530"/>
      <c r="AM572" s="530"/>
      <c r="AR572" s="530"/>
      <c r="AS572" s="530"/>
      <c r="AX572" s="530"/>
      <c r="AY572" s="530"/>
      <c r="BD572" s="530"/>
      <c r="BE572" s="530"/>
      <c r="BJ572" s="530"/>
      <c r="BK572" s="530"/>
      <c r="BP572" s="530"/>
      <c r="BQ572" s="530"/>
      <c r="BV572" s="530"/>
      <c r="BW572" s="530"/>
    </row>
    <row r="573">
      <c r="N573" s="530"/>
      <c r="O573" s="530"/>
      <c r="T573" s="530"/>
      <c r="U573" s="530"/>
      <c r="Z573" s="530"/>
      <c r="AA573" s="530"/>
      <c r="AF573" s="530"/>
      <c r="AG573" s="530"/>
      <c r="AL573" s="530"/>
      <c r="AM573" s="530"/>
      <c r="AR573" s="530"/>
      <c r="AS573" s="530"/>
      <c r="AX573" s="530"/>
      <c r="AY573" s="530"/>
      <c r="BD573" s="530"/>
      <c r="BE573" s="530"/>
      <c r="BJ573" s="530"/>
      <c r="BK573" s="530"/>
      <c r="BP573" s="530"/>
      <c r="BQ573" s="530"/>
      <c r="BV573" s="530"/>
      <c r="BW573" s="530"/>
    </row>
    <row r="574">
      <c r="N574" s="530"/>
      <c r="O574" s="530"/>
      <c r="T574" s="530"/>
      <c r="U574" s="530"/>
      <c r="Z574" s="530"/>
      <c r="AA574" s="530"/>
      <c r="AF574" s="530"/>
      <c r="AG574" s="530"/>
      <c r="AL574" s="530"/>
      <c r="AM574" s="530"/>
      <c r="AR574" s="530"/>
      <c r="AS574" s="530"/>
      <c r="AX574" s="530"/>
      <c r="AY574" s="530"/>
      <c r="BD574" s="530"/>
      <c r="BE574" s="530"/>
      <c r="BJ574" s="530"/>
      <c r="BK574" s="530"/>
      <c r="BP574" s="530"/>
      <c r="BQ574" s="530"/>
      <c r="BV574" s="530"/>
      <c r="BW574" s="530"/>
    </row>
    <row r="575">
      <c r="N575" s="530"/>
      <c r="O575" s="530"/>
      <c r="T575" s="530"/>
      <c r="U575" s="530"/>
      <c r="Z575" s="530"/>
      <c r="AA575" s="530"/>
      <c r="AF575" s="530"/>
      <c r="AG575" s="530"/>
      <c r="AL575" s="530"/>
      <c r="AM575" s="530"/>
      <c r="AR575" s="530"/>
      <c r="AS575" s="530"/>
      <c r="AX575" s="530"/>
      <c r="AY575" s="530"/>
      <c r="BD575" s="530"/>
      <c r="BE575" s="530"/>
      <c r="BJ575" s="530"/>
      <c r="BK575" s="530"/>
      <c r="BP575" s="530"/>
      <c r="BQ575" s="530"/>
      <c r="BV575" s="530"/>
      <c r="BW575" s="530"/>
    </row>
    <row r="576">
      <c r="N576" s="530"/>
      <c r="O576" s="530"/>
      <c r="T576" s="530"/>
      <c r="U576" s="530"/>
      <c r="Z576" s="530"/>
      <c r="AA576" s="530"/>
      <c r="AF576" s="530"/>
      <c r="AG576" s="530"/>
      <c r="AL576" s="530"/>
      <c r="AM576" s="530"/>
      <c r="AR576" s="530"/>
      <c r="AS576" s="530"/>
      <c r="AX576" s="530"/>
      <c r="AY576" s="530"/>
      <c r="BD576" s="530"/>
      <c r="BE576" s="530"/>
      <c r="BJ576" s="530"/>
      <c r="BK576" s="530"/>
      <c r="BP576" s="530"/>
      <c r="BQ576" s="530"/>
      <c r="BV576" s="530"/>
      <c r="BW576" s="530"/>
    </row>
    <row r="577">
      <c r="N577" s="530"/>
      <c r="O577" s="530"/>
      <c r="T577" s="530"/>
      <c r="U577" s="530"/>
      <c r="Z577" s="530"/>
      <c r="AA577" s="530"/>
      <c r="AF577" s="530"/>
      <c r="AG577" s="530"/>
      <c r="AL577" s="530"/>
      <c r="AM577" s="530"/>
      <c r="AR577" s="530"/>
      <c r="AS577" s="530"/>
      <c r="AX577" s="530"/>
      <c r="AY577" s="530"/>
      <c r="BD577" s="530"/>
      <c r="BE577" s="530"/>
      <c r="BJ577" s="530"/>
      <c r="BK577" s="530"/>
      <c r="BP577" s="530"/>
      <c r="BQ577" s="530"/>
      <c r="BV577" s="530"/>
      <c r="BW577" s="530"/>
    </row>
    <row r="578">
      <c r="N578" s="530"/>
      <c r="O578" s="530"/>
      <c r="T578" s="530"/>
      <c r="U578" s="530"/>
      <c r="Z578" s="530"/>
      <c r="AA578" s="530"/>
      <c r="AF578" s="530"/>
      <c r="AG578" s="530"/>
      <c r="AL578" s="530"/>
      <c r="AM578" s="530"/>
      <c r="AR578" s="530"/>
      <c r="AS578" s="530"/>
      <c r="AX578" s="530"/>
      <c r="AY578" s="530"/>
      <c r="BD578" s="530"/>
      <c r="BE578" s="530"/>
      <c r="BJ578" s="530"/>
      <c r="BK578" s="530"/>
      <c r="BP578" s="530"/>
      <c r="BQ578" s="530"/>
      <c r="BV578" s="530"/>
      <c r="BW578" s="530"/>
    </row>
    <row r="579">
      <c r="N579" s="530"/>
      <c r="O579" s="530"/>
      <c r="T579" s="530"/>
      <c r="U579" s="530"/>
      <c r="Z579" s="530"/>
      <c r="AA579" s="530"/>
      <c r="AF579" s="530"/>
      <c r="AG579" s="530"/>
      <c r="AL579" s="530"/>
      <c r="AM579" s="530"/>
      <c r="AR579" s="530"/>
      <c r="AS579" s="530"/>
      <c r="AX579" s="530"/>
      <c r="AY579" s="530"/>
      <c r="BD579" s="530"/>
      <c r="BE579" s="530"/>
      <c r="BJ579" s="530"/>
      <c r="BK579" s="530"/>
      <c r="BP579" s="530"/>
      <c r="BQ579" s="530"/>
      <c r="BV579" s="530"/>
      <c r="BW579" s="530"/>
    </row>
    <row r="580">
      <c r="N580" s="530"/>
      <c r="O580" s="530"/>
      <c r="T580" s="530"/>
      <c r="U580" s="530"/>
      <c r="Z580" s="530"/>
      <c r="AA580" s="530"/>
      <c r="AF580" s="530"/>
      <c r="AG580" s="530"/>
      <c r="AL580" s="530"/>
      <c r="AM580" s="530"/>
      <c r="AR580" s="530"/>
      <c r="AS580" s="530"/>
      <c r="AX580" s="530"/>
      <c r="AY580" s="530"/>
      <c r="BD580" s="530"/>
      <c r="BE580" s="530"/>
      <c r="BJ580" s="530"/>
      <c r="BK580" s="530"/>
      <c r="BP580" s="530"/>
      <c r="BQ580" s="530"/>
      <c r="BV580" s="530"/>
      <c r="BW580" s="530"/>
    </row>
    <row r="581">
      <c r="N581" s="530"/>
      <c r="O581" s="530"/>
      <c r="T581" s="530"/>
      <c r="U581" s="530"/>
      <c r="Z581" s="530"/>
      <c r="AA581" s="530"/>
      <c r="AF581" s="530"/>
      <c r="AG581" s="530"/>
      <c r="AL581" s="530"/>
      <c r="AM581" s="530"/>
      <c r="AR581" s="530"/>
      <c r="AS581" s="530"/>
      <c r="AX581" s="530"/>
      <c r="AY581" s="530"/>
      <c r="BD581" s="530"/>
      <c r="BE581" s="530"/>
      <c r="BJ581" s="530"/>
      <c r="BK581" s="530"/>
      <c r="BP581" s="530"/>
      <c r="BQ581" s="530"/>
      <c r="BV581" s="530"/>
      <c r="BW581" s="530"/>
    </row>
    <row r="582">
      <c r="N582" s="530"/>
      <c r="O582" s="530"/>
      <c r="T582" s="530"/>
      <c r="U582" s="530"/>
      <c r="Z582" s="530"/>
      <c r="AA582" s="530"/>
      <c r="AF582" s="530"/>
      <c r="AG582" s="530"/>
      <c r="AL582" s="530"/>
      <c r="AM582" s="530"/>
      <c r="AR582" s="530"/>
      <c r="AS582" s="530"/>
      <c r="AX582" s="530"/>
      <c r="AY582" s="530"/>
      <c r="BD582" s="530"/>
      <c r="BE582" s="530"/>
      <c r="BJ582" s="530"/>
      <c r="BK582" s="530"/>
      <c r="BP582" s="530"/>
      <c r="BQ582" s="530"/>
      <c r="BV582" s="530"/>
      <c r="BW582" s="530"/>
    </row>
    <row r="583">
      <c r="N583" s="530"/>
      <c r="O583" s="530"/>
      <c r="T583" s="530"/>
      <c r="U583" s="530"/>
      <c r="Z583" s="530"/>
      <c r="AA583" s="530"/>
      <c r="AF583" s="530"/>
      <c r="AG583" s="530"/>
      <c r="AL583" s="530"/>
      <c r="AM583" s="530"/>
      <c r="AR583" s="530"/>
      <c r="AS583" s="530"/>
      <c r="AX583" s="530"/>
      <c r="AY583" s="530"/>
      <c r="BD583" s="530"/>
      <c r="BE583" s="530"/>
      <c r="BJ583" s="530"/>
      <c r="BK583" s="530"/>
      <c r="BP583" s="530"/>
      <c r="BQ583" s="530"/>
      <c r="BV583" s="530"/>
      <c r="BW583" s="530"/>
    </row>
    <row r="584">
      <c r="N584" s="530"/>
      <c r="O584" s="530"/>
      <c r="T584" s="530"/>
      <c r="U584" s="530"/>
      <c r="Z584" s="530"/>
      <c r="AA584" s="530"/>
      <c r="AF584" s="530"/>
      <c r="AG584" s="530"/>
      <c r="AL584" s="530"/>
      <c r="AM584" s="530"/>
      <c r="AR584" s="530"/>
      <c r="AS584" s="530"/>
      <c r="AX584" s="530"/>
      <c r="AY584" s="530"/>
      <c r="BD584" s="530"/>
      <c r="BE584" s="530"/>
      <c r="BJ584" s="530"/>
      <c r="BK584" s="530"/>
      <c r="BP584" s="530"/>
      <c r="BQ584" s="530"/>
      <c r="BV584" s="530"/>
      <c r="BW584" s="530"/>
    </row>
    <row r="585">
      <c r="N585" s="530"/>
      <c r="O585" s="530"/>
      <c r="T585" s="530"/>
      <c r="U585" s="530"/>
      <c r="Z585" s="530"/>
      <c r="AA585" s="530"/>
      <c r="AF585" s="530"/>
      <c r="AG585" s="530"/>
      <c r="AL585" s="530"/>
      <c r="AM585" s="530"/>
      <c r="AR585" s="530"/>
      <c r="AS585" s="530"/>
      <c r="AX585" s="530"/>
      <c r="AY585" s="530"/>
      <c r="BD585" s="530"/>
      <c r="BE585" s="530"/>
      <c r="BJ585" s="530"/>
      <c r="BK585" s="530"/>
      <c r="BP585" s="530"/>
      <c r="BQ585" s="530"/>
      <c r="BV585" s="530"/>
      <c r="BW585" s="530"/>
    </row>
    <row r="586">
      <c r="N586" s="530"/>
      <c r="O586" s="530"/>
      <c r="T586" s="530"/>
      <c r="U586" s="530"/>
      <c r="Z586" s="530"/>
      <c r="AA586" s="530"/>
      <c r="AF586" s="530"/>
      <c r="AG586" s="530"/>
      <c r="AL586" s="530"/>
      <c r="AM586" s="530"/>
      <c r="AR586" s="530"/>
      <c r="AS586" s="530"/>
      <c r="AX586" s="530"/>
      <c r="AY586" s="530"/>
      <c r="BD586" s="530"/>
      <c r="BE586" s="530"/>
      <c r="BJ586" s="530"/>
      <c r="BK586" s="530"/>
      <c r="BP586" s="530"/>
      <c r="BQ586" s="530"/>
      <c r="BV586" s="530"/>
      <c r="BW586" s="530"/>
    </row>
    <row r="587">
      <c r="N587" s="530"/>
      <c r="O587" s="530"/>
      <c r="T587" s="530"/>
      <c r="U587" s="530"/>
      <c r="Z587" s="530"/>
      <c r="AA587" s="530"/>
      <c r="AF587" s="530"/>
      <c r="AG587" s="530"/>
      <c r="AL587" s="530"/>
      <c r="AM587" s="530"/>
      <c r="AR587" s="530"/>
      <c r="AS587" s="530"/>
      <c r="AX587" s="530"/>
      <c r="AY587" s="530"/>
      <c r="BD587" s="530"/>
      <c r="BE587" s="530"/>
      <c r="BJ587" s="530"/>
      <c r="BK587" s="530"/>
      <c r="BP587" s="530"/>
      <c r="BQ587" s="530"/>
      <c r="BV587" s="530"/>
      <c r="BW587" s="530"/>
    </row>
    <row r="588">
      <c r="N588" s="530"/>
      <c r="O588" s="530"/>
      <c r="T588" s="530"/>
      <c r="U588" s="530"/>
      <c r="Z588" s="530"/>
      <c r="AA588" s="530"/>
      <c r="AF588" s="530"/>
      <c r="AG588" s="530"/>
      <c r="AL588" s="530"/>
      <c r="AM588" s="530"/>
      <c r="AR588" s="530"/>
      <c r="AS588" s="530"/>
      <c r="AX588" s="530"/>
      <c r="AY588" s="530"/>
      <c r="BD588" s="530"/>
      <c r="BE588" s="530"/>
      <c r="BJ588" s="530"/>
      <c r="BK588" s="530"/>
      <c r="BP588" s="530"/>
      <c r="BQ588" s="530"/>
      <c r="BV588" s="530"/>
      <c r="BW588" s="530"/>
    </row>
    <row r="589">
      <c r="N589" s="530"/>
      <c r="O589" s="530"/>
      <c r="T589" s="530"/>
      <c r="U589" s="530"/>
      <c r="Z589" s="530"/>
      <c r="AA589" s="530"/>
      <c r="AF589" s="530"/>
      <c r="AG589" s="530"/>
      <c r="AL589" s="530"/>
      <c r="AM589" s="530"/>
      <c r="AR589" s="530"/>
      <c r="AS589" s="530"/>
      <c r="AX589" s="530"/>
      <c r="AY589" s="530"/>
      <c r="BD589" s="530"/>
      <c r="BE589" s="530"/>
      <c r="BJ589" s="530"/>
      <c r="BK589" s="530"/>
      <c r="BP589" s="530"/>
      <c r="BQ589" s="530"/>
      <c r="BV589" s="530"/>
      <c r="BW589" s="530"/>
    </row>
    <row r="590">
      <c r="N590" s="530"/>
      <c r="O590" s="530"/>
      <c r="T590" s="530"/>
      <c r="U590" s="530"/>
      <c r="Z590" s="530"/>
      <c r="AA590" s="530"/>
      <c r="AF590" s="530"/>
      <c r="AG590" s="530"/>
      <c r="AL590" s="530"/>
      <c r="AM590" s="530"/>
      <c r="AR590" s="530"/>
      <c r="AS590" s="530"/>
      <c r="AX590" s="530"/>
      <c r="AY590" s="530"/>
      <c r="BD590" s="530"/>
      <c r="BE590" s="530"/>
      <c r="BJ590" s="530"/>
      <c r="BK590" s="530"/>
      <c r="BP590" s="530"/>
      <c r="BQ590" s="530"/>
      <c r="BV590" s="530"/>
      <c r="BW590" s="530"/>
    </row>
    <row r="591">
      <c r="N591" s="530"/>
      <c r="O591" s="530"/>
      <c r="T591" s="530"/>
      <c r="U591" s="530"/>
      <c r="Z591" s="530"/>
      <c r="AA591" s="530"/>
      <c r="AF591" s="530"/>
      <c r="AG591" s="530"/>
      <c r="AL591" s="530"/>
      <c r="AM591" s="530"/>
      <c r="AR591" s="530"/>
      <c r="AS591" s="530"/>
      <c r="AX591" s="530"/>
      <c r="AY591" s="530"/>
      <c r="BD591" s="530"/>
      <c r="BE591" s="530"/>
      <c r="BJ591" s="530"/>
      <c r="BK591" s="530"/>
      <c r="BP591" s="530"/>
      <c r="BQ591" s="530"/>
      <c r="BV591" s="530"/>
      <c r="BW591" s="530"/>
    </row>
    <row r="592">
      <c r="N592" s="530"/>
      <c r="O592" s="530"/>
      <c r="T592" s="530"/>
      <c r="U592" s="530"/>
      <c r="Z592" s="530"/>
      <c r="AA592" s="530"/>
      <c r="AF592" s="530"/>
      <c r="AG592" s="530"/>
      <c r="AL592" s="530"/>
      <c r="AM592" s="530"/>
      <c r="AR592" s="530"/>
      <c r="AS592" s="530"/>
      <c r="AX592" s="530"/>
      <c r="AY592" s="530"/>
      <c r="BD592" s="530"/>
      <c r="BE592" s="530"/>
      <c r="BJ592" s="530"/>
      <c r="BK592" s="530"/>
      <c r="BP592" s="530"/>
      <c r="BQ592" s="530"/>
      <c r="BV592" s="530"/>
      <c r="BW592" s="530"/>
    </row>
    <row r="593">
      <c r="N593" s="530"/>
      <c r="O593" s="530"/>
      <c r="T593" s="530"/>
      <c r="U593" s="530"/>
      <c r="Z593" s="530"/>
      <c r="AA593" s="530"/>
      <c r="AF593" s="530"/>
      <c r="AG593" s="530"/>
      <c r="AL593" s="530"/>
      <c r="AM593" s="530"/>
      <c r="AR593" s="530"/>
      <c r="AS593" s="530"/>
      <c r="AX593" s="530"/>
      <c r="AY593" s="530"/>
      <c r="BD593" s="530"/>
      <c r="BE593" s="530"/>
      <c r="BJ593" s="530"/>
      <c r="BK593" s="530"/>
      <c r="BP593" s="530"/>
      <c r="BQ593" s="530"/>
      <c r="BV593" s="530"/>
      <c r="BW593" s="530"/>
    </row>
    <row r="594">
      <c r="N594" s="530"/>
      <c r="O594" s="530"/>
      <c r="T594" s="530"/>
      <c r="U594" s="530"/>
      <c r="Z594" s="530"/>
      <c r="AA594" s="530"/>
      <c r="AF594" s="530"/>
      <c r="AG594" s="530"/>
      <c r="AL594" s="530"/>
      <c r="AM594" s="530"/>
      <c r="AR594" s="530"/>
      <c r="AS594" s="530"/>
      <c r="AX594" s="530"/>
      <c r="AY594" s="530"/>
      <c r="BD594" s="530"/>
      <c r="BE594" s="530"/>
      <c r="BJ594" s="530"/>
      <c r="BK594" s="530"/>
      <c r="BP594" s="530"/>
      <c r="BQ594" s="530"/>
      <c r="BV594" s="530"/>
      <c r="BW594" s="530"/>
    </row>
    <row r="595">
      <c r="N595" s="530"/>
      <c r="O595" s="530"/>
      <c r="T595" s="530"/>
      <c r="U595" s="530"/>
      <c r="Z595" s="530"/>
      <c r="AA595" s="530"/>
      <c r="AF595" s="530"/>
      <c r="AG595" s="530"/>
      <c r="AL595" s="530"/>
      <c r="AM595" s="530"/>
      <c r="AR595" s="530"/>
      <c r="AS595" s="530"/>
      <c r="AX595" s="530"/>
      <c r="AY595" s="530"/>
      <c r="BD595" s="530"/>
      <c r="BE595" s="530"/>
      <c r="BJ595" s="530"/>
      <c r="BK595" s="530"/>
      <c r="BP595" s="530"/>
      <c r="BQ595" s="530"/>
      <c r="BV595" s="530"/>
      <c r="BW595" s="530"/>
    </row>
    <row r="596">
      <c r="N596" s="530"/>
      <c r="O596" s="530"/>
      <c r="T596" s="530"/>
      <c r="U596" s="530"/>
      <c r="Z596" s="530"/>
      <c r="AA596" s="530"/>
      <c r="AF596" s="530"/>
      <c r="AG596" s="530"/>
      <c r="AL596" s="530"/>
      <c r="AM596" s="530"/>
      <c r="AR596" s="530"/>
      <c r="AS596" s="530"/>
      <c r="AX596" s="530"/>
      <c r="AY596" s="530"/>
      <c r="BD596" s="530"/>
      <c r="BE596" s="530"/>
      <c r="BJ596" s="530"/>
      <c r="BK596" s="530"/>
      <c r="BP596" s="530"/>
      <c r="BQ596" s="530"/>
      <c r="BV596" s="530"/>
      <c r="BW596" s="530"/>
    </row>
    <row r="597">
      <c r="N597" s="530"/>
      <c r="O597" s="530"/>
      <c r="T597" s="530"/>
      <c r="U597" s="530"/>
      <c r="Z597" s="530"/>
      <c r="AA597" s="530"/>
      <c r="AF597" s="530"/>
      <c r="AG597" s="530"/>
      <c r="AL597" s="530"/>
      <c r="AM597" s="530"/>
      <c r="AR597" s="530"/>
      <c r="AS597" s="530"/>
      <c r="AX597" s="530"/>
      <c r="AY597" s="530"/>
      <c r="BD597" s="530"/>
      <c r="BE597" s="530"/>
      <c r="BJ597" s="530"/>
      <c r="BK597" s="530"/>
      <c r="BP597" s="530"/>
      <c r="BQ597" s="530"/>
      <c r="BV597" s="530"/>
      <c r="BW597" s="530"/>
    </row>
    <row r="598">
      <c r="N598" s="530"/>
      <c r="O598" s="530"/>
      <c r="T598" s="530"/>
      <c r="U598" s="530"/>
      <c r="Z598" s="530"/>
      <c r="AA598" s="530"/>
      <c r="AF598" s="530"/>
      <c r="AG598" s="530"/>
      <c r="AL598" s="530"/>
      <c r="AM598" s="530"/>
      <c r="AR598" s="530"/>
      <c r="AS598" s="530"/>
      <c r="AX598" s="530"/>
      <c r="AY598" s="530"/>
      <c r="BD598" s="530"/>
      <c r="BE598" s="530"/>
      <c r="BJ598" s="530"/>
      <c r="BK598" s="530"/>
      <c r="BP598" s="530"/>
      <c r="BQ598" s="530"/>
      <c r="BV598" s="530"/>
      <c r="BW598" s="530"/>
    </row>
    <row r="599">
      <c r="N599" s="530"/>
      <c r="O599" s="530"/>
      <c r="T599" s="530"/>
      <c r="U599" s="530"/>
      <c r="Z599" s="530"/>
      <c r="AA599" s="530"/>
      <c r="AF599" s="530"/>
      <c r="AG599" s="530"/>
      <c r="AL599" s="530"/>
      <c r="AM599" s="530"/>
      <c r="AR599" s="530"/>
      <c r="AS599" s="530"/>
      <c r="AX599" s="530"/>
      <c r="AY599" s="530"/>
      <c r="BD599" s="530"/>
      <c r="BE599" s="530"/>
      <c r="BJ599" s="530"/>
      <c r="BK599" s="530"/>
      <c r="BP599" s="530"/>
      <c r="BQ599" s="530"/>
      <c r="BV599" s="530"/>
      <c r="BW599" s="530"/>
    </row>
    <row r="600">
      <c r="N600" s="530"/>
      <c r="O600" s="530"/>
      <c r="T600" s="530"/>
      <c r="U600" s="530"/>
      <c r="Z600" s="530"/>
      <c r="AA600" s="530"/>
      <c r="AF600" s="530"/>
      <c r="AG600" s="530"/>
      <c r="AL600" s="530"/>
      <c r="AM600" s="530"/>
      <c r="AR600" s="530"/>
      <c r="AS600" s="530"/>
      <c r="AX600" s="530"/>
      <c r="AY600" s="530"/>
      <c r="BD600" s="530"/>
      <c r="BE600" s="530"/>
      <c r="BJ600" s="530"/>
      <c r="BK600" s="530"/>
      <c r="BP600" s="530"/>
      <c r="BQ600" s="530"/>
      <c r="BV600" s="530"/>
      <c r="BW600" s="530"/>
    </row>
    <row r="601">
      <c r="N601" s="530"/>
      <c r="O601" s="530"/>
      <c r="T601" s="530"/>
      <c r="U601" s="530"/>
      <c r="Z601" s="530"/>
      <c r="AA601" s="530"/>
      <c r="AF601" s="530"/>
      <c r="AG601" s="530"/>
      <c r="AL601" s="530"/>
      <c r="AM601" s="530"/>
      <c r="AR601" s="530"/>
      <c r="AS601" s="530"/>
      <c r="AX601" s="530"/>
      <c r="AY601" s="530"/>
      <c r="BD601" s="530"/>
      <c r="BE601" s="530"/>
      <c r="BJ601" s="530"/>
      <c r="BK601" s="530"/>
      <c r="BP601" s="530"/>
      <c r="BQ601" s="530"/>
      <c r="BV601" s="530"/>
      <c r="BW601" s="530"/>
    </row>
    <row r="602">
      <c r="N602" s="530"/>
      <c r="O602" s="530"/>
      <c r="T602" s="530"/>
      <c r="U602" s="530"/>
      <c r="Z602" s="530"/>
      <c r="AA602" s="530"/>
      <c r="AF602" s="530"/>
      <c r="AG602" s="530"/>
      <c r="AL602" s="530"/>
      <c r="AM602" s="530"/>
      <c r="AR602" s="530"/>
      <c r="AS602" s="530"/>
      <c r="AX602" s="530"/>
      <c r="AY602" s="530"/>
      <c r="BD602" s="530"/>
      <c r="BE602" s="530"/>
      <c r="BJ602" s="530"/>
      <c r="BK602" s="530"/>
      <c r="BP602" s="530"/>
      <c r="BQ602" s="530"/>
      <c r="BV602" s="530"/>
      <c r="BW602" s="530"/>
    </row>
    <row r="603">
      <c r="N603" s="530"/>
      <c r="O603" s="530"/>
      <c r="T603" s="530"/>
      <c r="U603" s="530"/>
      <c r="Z603" s="530"/>
      <c r="AA603" s="530"/>
      <c r="AF603" s="530"/>
      <c r="AG603" s="530"/>
      <c r="AL603" s="530"/>
      <c r="AM603" s="530"/>
      <c r="AR603" s="530"/>
      <c r="AS603" s="530"/>
      <c r="AX603" s="530"/>
      <c r="AY603" s="530"/>
      <c r="BD603" s="530"/>
      <c r="BE603" s="530"/>
      <c r="BJ603" s="530"/>
      <c r="BK603" s="530"/>
      <c r="BP603" s="530"/>
      <c r="BQ603" s="530"/>
      <c r="BV603" s="530"/>
      <c r="BW603" s="530"/>
    </row>
    <row r="604">
      <c r="N604" s="530"/>
      <c r="O604" s="530"/>
      <c r="T604" s="530"/>
      <c r="U604" s="530"/>
      <c r="Z604" s="530"/>
      <c r="AA604" s="530"/>
      <c r="AF604" s="530"/>
      <c r="AG604" s="530"/>
      <c r="AL604" s="530"/>
      <c r="AM604" s="530"/>
      <c r="AR604" s="530"/>
      <c r="AS604" s="530"/>
      <c r="AX604" s="530"/>
      <c r="AY604" s="530"/>
      <c r="BD604" s="530"/>
      <c r="BE604" s="530"/>
      <c r="BJ604" s="530"/>
      <c r="BK604" s="530"/>
      <c r="BP604" s="530"/>
      <c r="BQ604" s="530"/>
      <c r="BV604" s="530"/>
      <c r="BW604" s="530"/>
    </row>
    <row r="605">
      <c r="N605" s="530"/>
      <c r="O605" s="530"/>
      <c r="T605" s="530"/>
      <c r="U605" s="530"/>
      <c r="Z605" s="530"/>
      <c r="AA605" s="530"/>
      <c r="AF605" s="530"/>
      <c r="AG605" s="530"/>
      <c r="AL605" s="530"/>
      <c r="AM605" s="530"/>
      <c r="AR605" s="530"/>
      <c r="AS605" s="530"/>
      <c r="AX605" s="530"/>
      <c r="AY605" s="530"/>
      <c r="BD605" s="530"/>
      <c r="BE605" s="530"/>
      <c r="BJ605" s="530"/>
      <c r="BK605" s="530"/>
      <c r="BP605" s="530"/>
      <c r="BQ605" s="530"/>
      <c r="BV605" s="530"/>
      <c r="BW605" s="530"/>
    </row>
    <row r="606">
      <c r="N606" s="530"/>
      <c r="O606" s="530"/>
      <c r="T606" s="530"/>
      <c r="U606" s="530"/>
      <c r="Z606" s="530"/>
      <c r="AA606" s="530"/>
      <c r="AF606" s="530"/>
      <c r="AG606" s="530"/>
      <c r="AL606" s="530"/>
      <c r="AM606" s="530"/>
      <c r="AR606" s="530"/>
      <c r="AS606" s="530"/>
      <c r="AX606" s="530"/>
      <c r="AY606" s="530"/>
      <c r="BD606" s="530"/>
      <c r="BE606" s="530"/>
      <c r="BJ606" s="530"/>
      <c r="BK606" s="530"/>
      <c r="BP606" s="530"/>
      <c r="BQ606" s="530"/>
      <c r="BV606" s="530"/>
      <c r="BW606" s="530"/>
    </row>
    <row r="607">
      <c r="N607" s="530"/>
      <c r="O607" s="530"/>
      <c r="T607" s="530"/>
      <c r="U607" s="530"/>
      <c r="Z607" s="530"/>
      <c r="AA607" s="530"/>
      <c r="AF607" s="530"/>
      <c r="AG607" s="530"/>
      <c r="AL607" s="530"/>
      <c r="AM607" s="530"/>
      <c r="AR607" s="530"/>
      <c r="AS607" s="530"/>
      <c r="AX607" s="530"/>
      <c r="AY607" s="530"/>
      <c r="BD607" s="530"/>
      <c r="BE607" s="530"/>
      <c r="BJ607" s="530"/>
      <c r="BK607" s="530"/>
      <c r="BP607" s="530"/>
      <c r="BQ607" s="530"/>
      <c r="BV607" s="530"/>
      <c r="BW607" s="530"/>
    </row>
    <row r="608">
      <c r="N608" s="530"/>
      <c r="O608" s="530"/>
      <c r="T608" s="530"/>
      <c r="U608" s="530"/>
      <c r="Z608" s="530"/>
      <c r="AA608" s="530"/>
      <c r="AF608" s="530"/>
      <c r="AG608" s="530"/>
      <c r="AL608" s="530"/>
      <c r="AM608" s="530"/>
      <c r="AR608" s="530"/>
      <c r="AS608" s="530"/>
      <c r="AX608" s="530"/>
      <c r="AY608" s="530"/>
      <c r="BD608" s="530"/>
      <c r="BE608" s="530"/>
      <c r="BJ608" s="530"/>
      <c r="BK608" s="530"/>
      <c r="BP608" s="530"/>
      <c r="BQ608" s="530"/>
      <c r="BV608" s="530"/>
      <c r="BW608" s="530"/>
    </row>
    <row r="609">
      <c r="N609" s="530"/>
      <c r="O609" s="530"/>
      <c r="T609" s="530"/>
      <c r="U609" s="530"/>
      <c r="Z609" s="530"/>
      <c r="AA609" s="530"/>
      <c r="AF609" s="530"/>
      <c r="AG609" s="530"/>
      <c r="AL609" s="530"/>
      <c r="AM609" s="530"/>
      <c r="AR609" s="530"/>
      <c r="AS609" s="530"/>
      <c r="AX609" s="530"/>
      <c r="AY609" s="530"/>
      <c r="BD609" s="530"/>
      <c r="BE609" s="530"/>
      <c r="BJ609" s="530"/>
      <c r="BK609" s="530"/>
      <c r="BP609" s="530"/>
      <c r="BQ609" s="530"/>
      <c r="BV609" s="530"/>
      <c r="BW609" s="530"/>
    </row>
    <row r="610">
      <c r="N610" s="530"/>
      <c r="O610" s="530"/>
      <c r="T610" s="530"/>
      <c r="U610" s="530"/>
      <c r="Z610" s="530"/>
      <c r="AA610" s="530"/>
      <c r="AF610" s="530"/>
      <c r="AG610" s="530"/>
      <c r="AL610" s="530"/>
      <c r="AM610" s="530"/>
      <c r="AR610" s="530"/>
      <c r="AS610" s="530"/>
      <c r="AX610" s="530"/>
      <c r="AY610" s="530"/>
      <c r="BD610" s="530"/>
      <c r="BE610" s="530"/>
      <c r="BJ610" s="530"/>
      <c r="BK610" s="530"/>
      <c r="BP610" s="530"/>
      <c r="BQ610" s="530"/>
      <c r="BV610" s="530"/>
      <c r="BW610" s="530"/>
    </row>
    <row r="611">
      <c r="N611" s="530"/>
      <c r="O611" s="530"/>
      <c r="T611" s="530"/>
      <c r="U611" s="530"/>
      <c r="Z611" s="530"/>
      <c r="AA611" s="530"/>
      <c r="AF611" s="530"/>
      <c r="AG611" s="530"/>
      <c r="AL611" s="530"/>
      <c r="AM611" s="530"/>
      <c r="AR611" s="530"/>
      <c r="AS611" s="530"/>
      <c r="AX611" s="530"/>
      <c r="AY611" s="530"/>
      <c r="BD611" s="530"/>
      <c r="BE611" s="530"/>
      <c r="BJ611" s="530"/>
      <c r="BK611" s="530"/>
      <c r="BP611" s="530"/>
      <c r="BQ611" s="530"/>
      <c r="BV611" s="530"/>
      <c r="BW611" s="530"/>
    </row>
    <row r="612">
      <c r="N612" s="530"/>
      <c r="O612" s="530"/>
      <c r="T612" s="530"/>
      <c r="U612" s="530"/>
      <c r="Z612" s="530"/>
      <c r="AA612" s="530"/>
      <c r="AF612" s="530"/>
      <c r="AG612" s="530"/>
      <c r="AL612" s="530"/>
      <c r="AM612" s="530"/>
      <c r="AR612" s="530"/>
      <c r="AS612" s="530"/>
      <c r="AX612" s="530"/>
      <c r="AY612" s="530"/>
      <c r="BD612" s="530"/>
      <c r="BE612" s="530"/>
      <c r="BJ612" s="530"/>
      <c r="BK612" s="530"/>
      <c r="BP612" s="530"/>
      <c r="BQ612" s="530"/>
      <c r="BV612" s="530"/>
      <c r="BW612" s="530"/>
    </row>
    <row r="613">
      <c r="N613" s="530"/>
      <c r="O613" s="530"/>
      <c r="T613" s="530"/>
      <c r="U613" s="530"/>
      <c r="Z613" s="530"/>
      <c r="AA613" s="530"/>
      <c r="AF613" s="530"/>
      <c r="AG613" s="530"/>
      <c r="AL613" s="530"/>
      <c r="AM613" s="530"/>
      <c r="AR613" s="530"/>
      <c r="AS613" s="530"/>
      <c r="AX613" s="530"/>
      <c r="AY613" s="530"/>
      <c r="BD613" s="530"/>
      <c r="BE613" s="530"/>
      <c r="BJ613" s="530"/>
      <c r="BK613" s="530"/>
      <c r="BP613" s="530"/>
      <c r="BQ613" s="530"/>
      <c r="BV613" s="530"/>
      <c r="BW613" s="530"/>
    </row>
    <row r="614">
      <c r="N614" s="530"/>
      <c r="O614" s="530"/>
      <c r="T614" s="530"/>
      <c r="U614" s="530"/>
      <c r="Z614" s="530"/>
      <c r="AA614" s="530"/>
      <c r="AF614" s="530"/>
      <c r="AG614" s="530"/>
      <c r="AL614" s="530"/>
      <c r="AM614" s="530"/>
      <c r="AR614" s="530"/>
      <c r="AS614" s="530"/>
      <c r="AX614" s="530"/>
      <c r="AY614" s="530"/>
      <c r="BD614" s="530"/>
      <c r="BE614" s="530"/>
      <c r="BJ614" s="530"/>
      <c r="BK614" s="530"/>
      <c r="BP614" s="530"/>
      <c r="BQ614" s="530"/>
      <c r="BV614" s="530"/>
      <c r="BW614" s="530"/>
    </row>
    <row r="615">
      <c r="N615" s="530"/>
      <c r="O615" s="530"/>
      <c r="T615" s="530"/>
      <c r="U615" s="530"/>
      <c r="Z615" s="530"/>
      <c r="AA615" s="530"/>
      <c r="AF615" s="530"/>
      <c r="AG615" s="530"/>
      <c r="AL615" s="530"/>
      <c r="AM615" s="530"/>
      <c r="AR615" s="530"/>
      <c r="AS615" s="530"/>
      <c r="AX615" s="530"/>
      <c r="AY615" s="530"/>
      <c r="BD615" s="530"/>
      <c r="BE615" s="530"/>
      <c r="BJ615" s="530"/>
      <c r="BK615" s="530"/>
      <c r="BP615" s="530"/>
      <c r="BQ615" s="530"/>
      <c r="BV615" s="530"/>
      <c r="BW615" s="530"/>
    </row>
    <row r="616">
      <c r="N616" s="530"/>
      <c r="O616" s="530"/>
      <c r="T616" s="530"/>
      <c r="U616" s="530"/>
      <c r="Z616" s="530"/>
      <c r="AA616" s="530"/>
      <c r="AF616" s="530"/>
      <c r="AG616" s="530"/>
      <c r="AL616" s="530"/>
      <c r="AM616" s="530"/>
      <c r="AR616" s="530"/>
      <c r="AS616" s="530"/>
      <c r="AX616" s="530"/>
      <c r="AY616" s="530"/>
      <c r="BD616" s="530"/>
      <c r="BE616" s="530"/>
      <c r="BJ616" s="530"/>
      <c r="BK616" s="530"/>
      <c r="BP616" s="530"/>
      <c r="BQ616" s="530"/>
      <c r="BV616" s="530"/>
      <c r="BW616" s="530"/>
    </row>
    <row r="617">
      <c r="N617" s="530"/>
      <c r="O617" s="530"/>
      <c r="T617" s="530"/>
      <c r="U617" s="530"/>
      <c r="Z617" s="530"/>
      <c r="AA617" s="530"/>
      <c r="AF617" s="530"/>
      <c r="AG617" s="530"/>
      <c r="AL617" s="530"/>
      <c r="AM617" s="530"/>
      <c r="AR617" s="530"/>
      <c r="AS617" s="530"/>
      <c r="AX617" s="530"/>
      <c r="AY617" s="530"/>
      <c r="BD617" s="530"/>
      <c r="BE617" s="530"/>
      <c r="BJ617" s="530"/>
      <c r="BK617" s="530"/>
      <c r="BP617" s="530"/>
      <c r="BQ617" s="530"/>
      <c r="BV617" s="530"/>
      <c r="BW617" s="530"/>
    </row>
    <row r="618">
      <c r="N618" s="530"/>
      <c r="O618" s="530"/>
      <c r="T618" s="530"/>
      <c r="U618" s="530"/>
      <c r="Z618" s="530"/>
      <c r="AA618" s="530"/>
      <c r="AF618" s="530"/>
      <c r="AG618" s="530"/>
      <c r="AL618" s="530"/>
      <c r="AM618" s="530"/>
      <c r="AR618" s="530"/>
      <c r="AS618" s="530"/>
      <c r="AX618" s="530"/>
      <c r="AY618" s="530"/>
      <c r="BD618" s="530"/>
      <c r="BE618" s="530"/>
      <c r="BJ618" s="530"/>
      <c r="BK618" s="530"/>
      <c r="BP618" s="530"/>
      <c r="BQ618" s="530"/>
      <c r="BV618" s="530"/>
      <c r="BW618" s="530"/>
    </row>
    <row r="619">
      <c r="N619" s="530"/>
      <c r="O619" s="530"/>
      <c r="T619" s="530"/>
      <c r="U619" s="530"/>
      <c r="Z619" s="530"/>
      <c r="AA619" s="530"/>
      <c r="AF619" s="530"/>
      <c r="AG619" s="530"/>
      <c r="AL619" s="530"/>
      <c r="AM619" s="530"/>
      <c r="AR619" s="530"/>
      <c r="AS619" s="530"/>
      <c r="AX619" s="530"/>
      <c r="AY619" s="530"/>
      <c r="BD619" s="530"/>
      <c r="BE619" s="530"/>
      <c r="BJ619" s="530"/>
      <c r="BK619" s="530"/>
      <c r="BP619" s="530"/>
      <c r="BQ619" s="530"/>
      <c r="BV619" s="530"/>
      <c r="BW619" s="530"/>
    </row>
    <row r="620">
      <c r="N620" s="530"/>
      <c r="O620" s="530"/>
      <c r="T620" s="530"/>
      <c r="U620" s="530"/>
      <c r="Z620" s="530"/>
      <c r="AA620" s="530"/>
      <c r="AF620" s="530"/>
      <c r="AG620" s="530"/>
      <c r="AL620" s="530"/>
      <c r="AM620" s="530"/>
      <c r="AR620" s="530"/>
      <c r="AS620" s="530"/>
      <c r="AX620" s="530"/>
      <c r="AY620" s="530"/>
      <c r="BD620" s="530"/>
      <c r="BE620" s="530"/>
      <c r="BJ620" s="530"/>
      <c r="BK620" s="530"/>
      <c r="BP620" s="530"/>
      <c r="BQ620" s="530"/>
      <c r="BV620" s="530"/>
      <c r="BW620" s="530"/>
    </row>
    <row r="621">
      <c r="N621" s="530"/>
      <c r="O621" s="530"/>
      <c r="T621" s="530"/>
      <c r="U621" s="530"/>
      <c r="Z621" s="530"/>
      <c r="AA621" s="530"/>
      <c r="AF621" s="530"/>
      <c r="AG621" s="530"/>
      <c r="AL621" s="530"/>
      <c r="AM621" s="530"/>
      <c r="AR621" s="530"/>
      <c r="AS621" s="530"/>
      <c r="AX621" s="530"/>
      <c r="AY621" s="530"/>
      <c r="BD621" s="530"/>
      <c r="BE621" s="530"/>
      <c r="BJ621" s="530"/>
      <c r="BK621" s="530"/>
      <c r="BP621" s="530"/>
      <c r="BQ621" s="530"/>
      <c r="BV621" s="530"/>
      <c r="BW621" s="530"/>
    </row>
    <row r="622">
      <c r="N622" s="530"/>
      <c r="O622" s="530"/>
      <c r="T622" s="530"/>
      <c r="U622" s="530"/>
      <c r="Z622" s="530"/>
      <c r="AA622" s="530"/>
      <c r="AF622" s="530"/>
      <c r="AG622" s="530"/>
      <c r="AL622" s="530"/>
      <c r="AM622" s="530"/>
      <c r="AR622" s="530"/>
      <c r="AS622" s="530"/>
      <c r="AX622" s="530"/>
      <c r="AY622" s="530"/>
      <c r="BD622" s="530"/>
      <c r="BE622" s="530"/>
      <c r="BJ622" s="530"/>
      <c r="BK622" s="530"/>
      <c r="BP622" s="530"/>
      <c r="BQ622" s="530"/>
      <c r="BV622" s="530"/>
      <c r="BW622" s="530"/>
    </row>
    <row r="623">
      <c r="N623" s="530"/>
      <c r="O623" s="530"/>
      <c r="T623" s="530"/>
      <c r="U623" s="530"/>
      <c r="Z623" s="530"/>
      <c r="AA623" s="530"/>
      <c r="AF623" s="530"/>
      <c r="AG623" s="530"/>
      <c r="AL623" s="530"/>
      <c r="AM623" s="530"/>
      <c r="AR623" s="530"/>
      <c r="AS623" s="530"/>
      <c r="AX623" s="530"/>
      <c r="AY623" s="530"/>
      <c r="BD623" s="530"/>
      <c r="BE623" s="530"/>
      <c r="BJ623" s="530"/>
      <c r="BK623" s="530"/>
      <c r="BP623" s="530"/>
      <c r="BQ623" s="530"/>
      <c r="BV623" s="530"/>
      <c r="BW623" s="530"/>
    </row>
    <row r="624">
      <c r="N624" s="530"/>
      <c r="O624" s="530"/>
      <c r="T624" s="530"/>
      <c r="U624" s="530"/>
      <c r="Z624" s="530"/>
      <c r="AA624" s="530"/>
      <c r="AF624" s="530"/>
      <c r="AG624" s="530"/>
      <c r="AL624" s="530"/>
      <c r="AM624" s="530"/>
      <c r="AR624" s="530"/>
      <c r="AS624" s="530"/>
      <c r="AX624" s="530"/>
      <c r="AY624" s="530"/>
      <c r="BD624" s="530"/>
      <c r="BE624" s="530"/>
      <c r="BJ624" s="530"/>
      <c r="BK624" s="530"/>
      <c r="BP624" s="530"/>
      <c r="BQ624" s="530"/>
      <c r="BV624" s="530"/>
      <c r="BW624" s="530"/>
    </row>
    <row r="625">
      <c r="N625" s="530"/>
      <c r="O625" s="530"/>
      <c r="T625" s="530"/>
      <c r="U625" s="530"/>
      <c r="Z625" s="530"/>
      <c r="AA625" s="530"/>
      <c r="AF625" s="530"/>
      <c r="AG625" s="530"/>
      <c r="AL625" s="530"/>
      <c r="AM625" s="530"/>
      <c r="AR625" s="530"/>
      <c r="AS625" s="530"/>
      <c r="AX625" s="530"/>
      <c r="AY625" s="530"/>
      <c r="BD625" s="530"/>
      <c r="BE625" s="530"/>
      <c r="BJ625" s="530"/>
      <c r="BK625" s="530"/>
      <c r="BP625" s="530"/>
      <c r="BQ625" s="530"/>
      <c r="BV625" s="530"/>
      <c r="BW625" s="530"/>
    </row>
    <row r="626">
      <c r="N626" s="530"/>
      <c r="O626" s="530"/>
      <c r="T626" s="530"/>
      <c r="U626" s="530"/>
      <c r="Z626" s="530"/>
      <c r="AA626" s="530"/>
      <c r="AF626" s="530"/>
      <c r="AG626" s="530"/>
      <c r="AL626" s="530"/>
      <c r="AM626" s="530"/>
      <c r="AR626" s="530"/>
      <c r="AS626" s="530"/>
      <c r="AX626" s="530"/>
      <c r="AY626" s="530"/>
      <c r="BD626" s="530"/>
      <c r="BE626" s="530"/>
      <c r="BJ626" s="530"/>
      <c r="BK626" s="530"/>
      <c r="BP626" s="530"/>
      <c r="BQ626" s="530"/>
      <c r="BV626" s="530"/>
      <c r="BW626" s="530"/>
    </row>
    <row r="627">
      <c r="N627" s="530"/>
      <c r="O627" s="530"/>
      <c r="T627" s="530"/>
      <c r="U627" s="530"/>
      <c r="Z627" s="530"/>
      <c r="AA627" s="530"/>
      <c r="AF627" s="530"/>
      <c r="AG627" s="530"/>
      <c r="AL627" s="530"/>
      <c r="AM627" s="530"/>
      <c r="AR627" s="530"/>
      <c r="AS627" s="530"/>
      <c r="AX627" s="530"/>
      <c r="AY627" s="530"/>
      <c r="BD627" s="530"/>
      <c r="BE627" s="530"/>
      <c r="BJ627" s="530"/>
      <c r="BK627" s="530"/>
      <c r="BP627" s="530"/>
      <c r="BQ627" s="530"/>
      <c r="BV627" s="530"/>
      <c r="BW627" s="530"/>
    </row>
    <row r="628">
      <c r="N628" s="530"/>
      <c r="O628" s="530"/>
      <c r="T628" s="530"/>
      <c r="U628" s="530"/>
      <c r="Z628" s="530"/>
      <c r="AA628" s="530"/>
      <c r="AF628" s="530"/>
      <c r="AG628" s="530"/>
      <c r="AL628" s="530"/>
      <c r="AM628" s="530"/>
      <c r="AR628" s="530"/>
      <c r="AS628" s="530"/>
      <c r="AX628" s="530"/>
      <c r="AY628" s="530"/>
      <c r="BD628" s="530"/>
      <c r="BE628" s="530"/>
      <c r="BJ628" s="530"/>
      <c r="BK628" s="530"/>
      <c r="BP628" s="530"/>
      <c r="BQ628" s="530"/>
      <c r="BV628" s="530"/>
      <c r="BW628" s="530"/>
    </row>
    <row r="629">
      <c r="N629" s="530"/>
      <c r="O629" s="530"/>
      <c r="T629" s="530"/>
      <c r="U629" s="530"/>
      <c r="Z629" s="530"/>
      <c r="AA629" s="530"/>
      <c r="AF629" s="530"/>
      <c r="AG629" s="530"/>
      <c r="AL629" s="530"/>
      <c r="AM629" s="530"/>
      <c r="AR629" s="530"/>
      <c r="AS629" s="530"/>
      <c r="AX629" s="530"/>
      <c r="AY629" s="530"/>
      <c r="BD629" s="530"/>
      <c r="BE629" s="530"/>
      <c r="BJ629" s="530"/>
      <c r="BK629" s="530"/>
      <c r="BP629" s="530"/>
      <c r="BQ629" s="530"/>
      <c r="BV629" s="530"/>
      <c r="BW629" s="530"/>
    </row>
    <row r="630">
      <c r="N630" s="530"/>
      <c r="O630" s="530"/>
      <c r="T630" s="530"/>
      <c r="U630" s="530"/>
      <c r="Z630" s="530"/>
      <c r="AA630" s="530"/>
      <c r="AF630" s="530"/>
      <c r="AG630" s="530"/>
      <c r="AL630" s="530"/>
      <c r="AM630" s="530"/>
      <c r="AR630" s="530"/>
      <c r="AS630" s="530"/>
      <c r="AX630" s="530"/>
      <c r="AY630" s="530"/>
      <c r="BD630" s="530"/>
      <c r="BE630" s="530"/>
      <c r="BJ630" s="530"/>
      <c r="BK630" s="530"/>
      <c r="BP630" s="530"/>
      <c r="BQ630" s="530"/>
      <c r="BV630" s="530"/>
      <c r="BW630" s="530"/>
    </row>
    <row r="631">
      <c r="N631" s="530"/>
      <c r="O631" s="530"/>
      <c r="T631" s="530"/>
      <c r="U631" s="530"/>
      <c r="Z631" s="530"/>
      <c r="AA631" s="530"/>
      <c r="AF631" s="530"/>
      <c r="AG631" s="530"/>
      <c r="AL631" s="530"/>
      <c r="AM631" s="530"/>
      <c r="AR631" s="530"/>
      <c r="AS631" s="530"/>
      <c r="AX631" s="530"/>
      <c r="AY631" s="530"/>
      <c r="BD631" s="530"/>
      <c r="BE631" s="530"/>
      <c r="BJ631" s="530"/>
      <c r="BK631" s="530"/>
      <c r="BP631" s="530"/>
      <c r="BQ631" s="530"/>
      <c r="BV631" s="530"/>
      <c r="BW631" s="530"/>
    </row>
    <row r="632">
      <c r="N632" s="530"/>
      <c r="O632" s="530"/>
      <c r="T632" s="530"/>
      <c r="U632" s="530"/>
      <c r="Z632" s="530"/>
      <c r="AA632" s="530"/>
      <c r="AF632" s="530"/>
      <c r="AG632" s="530"/>
      <c r="AL632" s="530"/>
      <c r="AM632" s="530"/>
      <c r="AR632" s="530"/>
      <c r="AS632" s="530"/>
      <c r="AX632" s="530"/>
      <c r="AY632" s="530"/>
      <c r="BD632" s="530"/>
      <c r="BE632" s="530"/>
      <c r="BJ632" s="530"/>
      <c r="BK632" s="530"/>
      <c r="BP632" s="530"/>
      <c r="BQ632" s="530"/>
      <c r="BV632" s="530"/>
      <c r="BW632" s="530"/>
    </row>
    <row r="633">
      <c r="N633" s="530"/>
      <c r="O633" s="530"/>
      <c r="T633" s="530"/>
      <c r="U633" s="530"/>
      <c r="Z633" s="530"/>
      <c r="AA633" s="530"/>
      <c r="AF633" s="530"/>
      <c r="AG633" s="530"/>
      <c r="AL633" s="530"/>
      <c r="AM633" s="530"/>
      <c r="AR633" s="530"/>
      <c r="AS633" s="530"/>
      <c r="AX633" s="530"/>
      <c r="AY633" s="530"/>
      <c r="BD633" s="530"/>
      <c r="BE633" s="530"/>
      <c r="BJ633" s="530"/>
      <c r="BK633" s="530"/>
      <c r="BP633" s="530"/>
      <c r="BQ633" s="530"/>
      <c r="BV633" s="530"/>
      <c r="BW633" s="530"/>
    </row>
    <row r="634">
      <c r="N634" s="530"/>
      <c r="O634" s="530"/>
      <c r="T634" s="530"/>
      <c r="U634" s="530"/>
      <c r="Z634" s="530"/>
      <c r="AA634" s="530"/>
      <c r="AF634" s="530"/>
      <c r="AG634" s="530"/>
      <c r="AL634" s="530"/>
      <c r="AM634" s="530"/>
      <c r="AR634" s="530"/>
      <c r="AS634" s="530"/>
      <c r="AX634" s="530"/>
      <c r="AY634" s="530"/>
      <c r="BD634" s="530"/>
      <c r="BE634" s="530"/>
      <c r="BJ634" s="530"/>
      <c r="BK634" s="530"/>
      <c r="BP634" s="530"/>
      <c r="BQ634" s="530"/>
      <c r="BV634" s="530"/>
      <c r="BW634" s="530"/>
    </row>
    <row r="635">
      <c r="N635" s="530"/>
      <c r="O635" s="530"/>
      <c r="T635" s="530"/>
      <c r="U635" s="530"/>
      <c r="Z635" s="530"/>
      <c r="AA635" s="530"/>
      <c r="AF635" s="530"/>
      <c r="AG635" s="530"/>
      <c r="AL635" s="530"/>
      <c r="AM635" s="530"/>
      <c r="AR635" s="530"/>
      <c r="AS635" s="530"/>
      <c r="AX635" s="530"/>
      <c r="AY635" s="530"/>
      <c r="BD635" s="530"/>
      <c r="BE635" s="530"/>
      <c r="BJ635" s="530"/>
      <c r="BK635" s="530"/>
      <c r="BP635" s="530"/>
      <c r="BQ635" s="530"/>
      <c r="BV635" s="530"/>
      <c r="BW635" s="530"/>
    </row>
    <row r="636">
      <c r="N636" s="530"/>
      <c r="O636" s="530"/>
      <c r="T636" s="530"/>
      <c r="U636" s="530"/>
      <c r="Z636" s="530"/>
      <c r="AA636" s="530"/>
      <c r="AF636" s="530"/>
      <c r="AG636" s="530"/>
      <c r="AL636" s="530"/>
      <c r="AM636" s="530"/>
      <c r="AR636" s="530"/>
      <c r="AS636" s="530"/>
      <c r="AX636" s="530"/>
      <c r="AY636" s="530"/>
      <c r="BD636" s="530"/>
      <c r="BE636" s="530"/>
      <c r="BJ636" s="530"/>
      <c r="BK636" s="530"/>
      <c r="BP636" s="530"/>
      <c r="BQ636" s="530"/>
      <c r="BV636" s="530"/>
      <c r="BW636" s="530"/>
    </row>
    <row r="637">
      <c r="N637" s="530"/>
      <c r="O637" s="530"/>
      <c r="T637" s="530"/>
      <c r="U637" s="530"/>
      <c r="Z637" s="530"/>
      <c r="AA637" s="530"/>
      <c r="AF637" s="530"/>
      <c r="AG637" s="530"/>
      <c r="AL637" s="530"/>
      <c r="AM637" s="530"/>
      <c r="AR637" s="530"/>
      <c r="AS637" s="530"/>
      <c r="AX637" s="530"/>
      <c r="AY637" s="530"/>
      <c r="BD637" s="530"/>
      <c r="BE637" s="530"/>
      <c r="BJ637" s="530"/>
      <c r="BK637" s="530"/>
      <c r="BP637" s="530"/>
      <c r="BQ637" s="530"/>
      <c r="BV637" s="530"/>
      <c r="BW637" s="530"/>
    </row>
    <row r="638">
      <c r="N638" s="530"/>
      <c r="O638" s="530"/>
      <c r="T638" s="530"/>
      <c r="U638" s="530"/>
      <c r="Z638" s="530"/>
      <c r="AA638" s="530"/>
      <c r="AF638" s="530"/>
      <c r="AG638" s="530"/>
      <c r="AL638" s="530"/>
      <c r="AM638" s="530"/>
      <c r="AR638" s="530"/>
      <c r="AS638" s="530"/>
      <c r="AX638" s="530"/>
      <c r="AY638" s="530"/>
      <c r="BD638" s="530"/>
      <c r="BE638" s="530"/>
      <c r="BJ638" s="530"/>
      <c r="BK638" s="530"/>
      <c r="BP638" s="530"/>
      <c r="BQ638" s="530"/>
      <c r="BV638" s="530"/>
      <c r="BW638" s="530"/>
    </row>
    <row r="639">
      <c r="N639" s="530"/>
      <c r="O639" s="530"/>
      <c r="T639" s="530"/>
      <c r="U639" s="530"/>
      <c r="Z639" s="530"/>
      <c r="AA639" s="530"/>
      <c r="AF639" s="530"/>
      <c r="AG639" s="530"/>
      <c r="AL639" s="530"/>
      <c r="AM639" s="530"/>
      <c r="AR639" s="530"/>
      <c r="AS639" s="530"/>
      <c r="AX639" s="530"/>
      <c r="AY639" s="530"/>
      <c r="BD639" s="530"/>
      <c r="BE639" s="530"/>
      <c r="BJ639" s="530"/>
      <c r="BK639" s="530"/>
      <c r="BP639" s="530"/>
      <c r="BQ639" s="530"/>
      <c r="BV639" s="530"/>
      <c r="BW639" s="530"/>
    </row>
    <row r="640">
      <c r="N640" s="530"/>
      <c r="O640" s="530"/>
      <c r="T640" s="530"/>
      <c r="U640" s="530"/>
      <c r="Z640" s="530"/>
      <c r="AA640" s="530"/>
      <c r="AF640" s="530"/>
      <c r="AG640" s="530"/>
      <c r="AL640" s="530"/>
      <c r="AM640" s="530"/>
      <c r="AR640" s="530"/>
      <c r="AS640" s="530"/>
      <c r="AX640" s="530"/>
      <c r="AY640" s="530"/>
      <c r="BD640" s="530"/>
      <c r="BE640" s="530"/>
      <c r="BJ640" s="530"/>
      <c r="BK640" s="530"/>
      <c r="BP640" s="530"/>
      <c r="BQ640" s="530"/>
      <c r="BV640" s="530"/>
      <c r="BW640" s="530"/>
    </row>
    <row r="641">
      <c r="N641" s="530"/>
      <c r="O641" s="530"/>
      <c r="T641" s="530"/>
      <c r="U641" s="530"/>
      <c r="Z641" s="530"/>
      <c r="AA641" s="530"/>
      <c r="AF641" s="530"/>
      <c r="AG641" s="530"/>
      <c r="AL641" s="530"/>
      <c r="AM641" s="530"/>
      <c r="AR641" s="530"/>
      <c r="AS641" s="530"/>
      <c r="AX641" s="530"/>
      <c r="AY641" s="530"/>
      <c r="BD641" s="530"/>
      <c r="BE641" s="530"/>
      <c r="BJ641" s="530"/>
      <c r="BK641" s="530"/>
      <c r="BP641" s="530"/>
      <c r="BQ641" s="530"/>
      <c r="BV641" s="530"/>
      <c r="BW641" s="530"/>
    </row>
    <row r="642">
      <c r="N642" s="530"/>
      <c r="O642" s="530"/>
      <c r="T642" s="530"/>
      <c r="U642" s="530"/>
      <c r="Z642" s="530"/>
      <c r="AA642" s="530"/>
      <c r="AF642" s="530"/>
      <c r="AG642" s="530"/>
      <c r="AL642" s="530"/>
      <c r="AM642" s="530"/>
      <c r="AR642" s="530"/>
      <c r="AS642" s="530"/>
      <c r="AX642" s="530"/>
      <c r="AY642" s="530"/>
      <c r="BD642" s="530"/>
      <c r="BE642" s="530"/>
      <c r="BJ642" s="530"/>
      <c r="BK642" s="530"/>
      <c r="BP642" s="530"/>
      <c r="BQ642" s="530"/>
      <c r="BV642" s="530"/>
      <c r="BW642" s="530"/>
    </row>
    <row r="643">
      <c r="N643" s="530"/>
      <c r="O643" s="530"/>
      <c r="T643" s="530"/>
      <c r="U643" s="530"/>
      <c r="Z643" s="530"/>
      <c r="AA643" s="530"/>
      <c r="AF643" s="530"/>
      <c r="AG643" s="530"/>
      <c r="AL643" s="530"/>
      <c r="AM643" s="530"/>
      <c r="AR643" s="530"/>
      <c r="AS643" s="530"/>
      <c r="AX643" s="530"/>
      <c r="AY643" s="530"/>
      <c r="BD643" s="530"/>
      <c r="BE643" s="530"/>
      <c r="BJ643" s="530"/>
      <c r="BK643" s="530"/>
      <c r="BP643" s="530"/>
      <c r="BQ643" s="530"/>
      <c r="BV643" s="530"/>
      <c r="BW643" s="530"/>
    </row>
    <row r="644">
      <c r="N644" s="530"/>
      <c r="O644" s="530"/>
      <c r="T644" s="530"/>
      <c r="U644" s="530"/>
      <c r="Z644" s="530"/>
      <c r="AA644" s="530"/>
      <c r="AF644" s="530"/>
      <c r="AG644" s="530"/>
      <c r="AL644" s="530"/>
      <c r="AM644" s="530"/>
      <c r="AR644" s="530"/>
      <c r="AS644" s="530"/>
      <c r="AX644" s="530"/>
      <c r="AY644" s="530"/>
      <c r="BD644" s="530"/>
      <c r="BE644" s="530"/>
      <c r="BJ644" s="530"/>
      <c r="BK644" s="530"/>
      <c r="BP644" s="530"/>
      <c r="BQ644" s="530"/>
      <c r="BV644" s="530"/>
      <c r="BW644" s="530"/>
    </row>
    <row r="645">
      <c r="N645" s="530"/>
      <c r="O645" s="530"/>
      <c r="T645" s="530"/>
      <c r="U645" s="530"/>
      <c r="Z645" s="530"/>
      <c r="AA645" s="530"/>
      <c r="AF645" s="530"/>
      <c r="AG645" s="530"/>
      <c r="AL645" s="530"/>
      <c r="AM645" s="530"/>
      <c r="AR645" s="530"/>
      <c r="AS645" s="530"/>
      <c r="AX645" s="530"/>
      <c r="AY645" s="530"/>
      <c r="BD645" s="530"/>
      <c r="BE645" s="530"/>
      <c r="BJ645" s="530"/>
      <c r="BK645" s="530"/>
      <c r="BP645" s="530"/>
      <c r="BQ645" s="530"/>
      <c r="BV645" s="530"/>
      <c r="BW645" s="530"/>
    </row>
    <row r="646">
      <c r="N646" s="530"/>
      <c r="O646" s="530"/>
      <c r="T646" s="530"/>
      <c r="U646" s="530"/>
      <c r="Z646" s="530"/>
      <c r="AA646" s="530"/>
      <c r="AF646" s="530"/>
      <c r="AG646" s="530"/>
      <c r="AL646" s="530"/>
      <c r="AM646" s="530"/>
      <c r="AR646" s="530"/>
      <c r="AS646" s="530"/>
      <c r="AX646" s="530"/>
      <c r="AY646" s="530"/>
      <c r="BD646" s="530"/>
      <c r="BE646" s="530"/>
      <c r="BJ646" s="530"/>
      <c r="BK646" s="530"/>
      <c r="BP646" s="530"/>
      <c r="BQ646" s="530"/>
      <c r="BV646" s="530"/>
      <c r="BW646" s="530"/>
    </row>
    <row r="647">
      <c r="N647" s="530"/>
      <c r="O647" s="530"/>
      <c r="T647" s="530"/>
      <c r="U647" s="530"/>
      <c r="Z647" s="530"/>
      <c r="AA647" s="530"/>
      <c r="AF647" s="530"/>
      <c r="AG647" s="530"/>
      <c r="AL647" s="530"/>
      <c r="AM647" s="530"/>
      <c r="AR647" s="530"/>
      <c r="AS647" s="530"/>
      <c r="AX647" s="530"/>
      <c r="AY647" s="530"/>
      <c r="BD647" s="530"/>
      <c r="BE647" s="530"/>
      <c r="BJ647" s="530"/>
      <c r="BK647" s="530"/>
      <c r="BP647" s="530"/>
      <c r="BQ647" s="530"/>
      <c r="BV647" s="530"/>
      <c r="BW647" s="530"/>
    </row>
    <row r="648">
      <c r="N648" s="530"/>
      <c r="O648" s="530"/>
      <c r="T648" s="530"/>
      <c r="U648" s="530"/>
      <c r="Z648" s="530"/>
      <c r="AA648" s="530"/>
      <c r="AF648" s="530"/>
      <c r="AG648" s="530"/>
      <c r="AL648" s="530"/>
      <c r="AM648" s="530"/>
      <c r="AR648" s="530"/>
      <c r="AS648" s="530"/>
      <c r="AX648" s="530"/>
      <c r="AY648" s="530"/>
      <c r="BD648" s="530"/>
      <c r="BE648" s="530"/>
      <c r="BJ648" s="530"/>
      <c r="BK648" s="530"/>
      <c r="BP648" s="530"/>
      <c r="BQ648" s="530"/>
      <c r="BV648" s="530"/>
      <c r="BW648" s="530"/>
    </row>
    <row r="649">
      <c r="N649" s="530"/>
      <c r="O649" s="530"/>
      <c r="T649" s="530"/>
      <c r="U649" s="530"/>
      <c r="Z649" s="530"/>
      <c r="AA649" s="530"/>
      <c r="AF649" s="530"/>
      <c r="AG649" s="530"/>
      <c r="AL649" s="530"/>
      <c r="AM649" s="530"/>
      <c r="AR649" s="530"/>
      <c r="AS649" s="530"/>
      <c r="AX649" s="530"/>
      <c r="AY649" s="530"/>
      <c r="BD649" s="530"/>
      <c r="BE649" s="530"/>
      <c r="BJ649" s="530"/>
      <c r="BK649" s="530"/>
      <c r="BP649" s="530"/>
      <c r="BQ649" s="530"/>
      <c r="BV649" s="530"/>
      <c r="BW649" s="530"/>
    </row>
    <row r="650">
      <c r="N650" s="530"/>
      <c r="O650" s="530"/>
      <c r="T650" s="530"/>
      <c r="U650" s="530"/>
      <c r="Z650" s="530"/>
      <c r="AA650" s="530"/>
      <c r="AF650" s="530"/>
      <c r="AG650" s="530"/>
      <c r="AL650" s="530"/>
      <c r="AM650" s="530"/>
      <c r="AR650" s="530"/>
      <c r="AS650" s="530"/>
      <c r="AX650" s="530"/>
      <c r="AY650" s="530"/>
      <c r="BD650" s="530"/>
      <c r="BE650" s="530"/>
      <c r="BJ650" s="530"/>
      <c r="BK650" s="530"/>
      <c r="BP650" s="530"/>
      <c r="BQ650" s="530"/>
      <c r="BV650" s="530"/>
      <c r="BW650" s="530"/>
    </row>
    <row r="651">
      <c r="N651" s="530"/>
      <c r="O651" s="530"/>
      <c r="T651" s="530"/>
      <c r="U651" s="530"/>
      <c r="Z651" s="530"/>
      <c r="AA651" s="530"/>
      <c r="AF651" s="530"/>
      <c r="AG651" s="530"/>
      <c r="AL651" s="530"/>
      <c r="AM651" s="530"/>
      <c r="AR651" s="530"/>
      <c r="AS651" s="530"/>
      <c r="AX651" s="530"/>
      <c r="AY651" s="530"/>
      <c r="BD651" s="530"/>
      <c r="BE651" s="530"/>
      <c r="BJ651" s="530"/>
      <c r="BK651" s="530"/>
      <c r="BP651" s="530"/>
      <c r="BQ651" s="530"/>
      <c r="BV651" s="530"/>
      <c r="BW651" s="530"/>
    </row>
    <row r="652">
      <c r="N652" s="530"/>
      <c r="O652" s="530"/>
      <c r="T652" s="530"/>
      <c r="U652" s="530"/>
      <c r="Z652" s="530"/>
      <c r="AA652" s="530"/>
      <c r="AF652" s="530"/>
      <c r="AG652" s="530"/>
      <c r="AL652" s="530"/>
      <c r="AM652" s="530"/>
      <c r="AR652" s="530"/>
      <c r="AS652" s="530"/>
      <c r="AX652" s="530"/>
      <c r="AY652" s="530"/>
      <c r="BD652" s="530"/>
      <c r="BE652" s="530"/>
      <c r="BJ652" s="530"/>
      <c r="BK652" s="530"/>
      <c r="BP652" s="530"/>
      <c r="BQ652" s="530"/>
      <c r="BV652" s="530"/>
      <c r="BW652" s="530"/>
    </row>
    <row r="653">
      <c r="N653" s="530"/>
      <c r="O653" s="530"/>
      <c r="T653" s="530"/>
      <c r="U653" s="530"/>
      <c r="Z653" s="530"/>
      <c r="AA653" s="530"/>
      <c r="AF653" s="530"/>
      <c r="AG653" s="530"/>
      <c r="AL653" s="530"/>
      <c r="AM653" s="530"/>
      <c r="AR653" s="530"/>
      <c r="AS653" s="530"/>
      <c r="AX653" s="530"/>
      <c r="AY653" s="530"/>
      <c r="BD653" s="530"/>
      <c r="BE653" s="530"/>
      <c r="BJ653" s="530"/>
      <c r="BK653" s="530"/>
      <c r="BP653" s="530"/>
      <c r="BQ653" s="530"/>
      <c r="BV653" s="530"/>
      <c r="BW653" s="530"/>
    </row>
    <row r="654">
      <c r="N654" s="530"/>
      <c r="O654" s="530"/>
      <c r="T654" s="530"/>
      <c r="U654" s="530"/>
      <c r="Z654" s="530"/>
      <c r="AA654" s="530"/>
      <c r="AF654" s="530"/>
      <c r="AG654" s="530"/>
      <c r="AL654" s="530"/>
      <c r="AM654" s="530"/>
      <c r="AR654" s="530"/>
      <c r="AS654" s="530"/>
      <c r="AX654" s="530"/>
      <c r="AY654" s="530"/>
      <c r="BD654" s="530"/>
      <c r="BE654" s="530"/>
      <c r="BJ654" s="530"/>
      <c r="BK654" s="530"/>
      <c r="BP654" s="530"/>
      <c r="BQ654" s="530"/>
      <c r="BV654" s="530"/>
      <c r="BW654" s="530"/>
    </row>
    <row r="655">
      <c r="N655" s="530"/>
      <c r="O655" s="530"/>
      <c r="T655" s="530"/>
      <c r="U655" s="530"/>
      <c r="Z655" s="530"/>
      <c r="AA655" s="530"/>
      <c r="AF655" s="530"/>
      <c r="AG655" s="530"/>
      <c r="AL655" s="530"/>
      <c r="AM655" s="530"/>
      <c r="AR655" s="530"/>
      <c r="AS655" s="530"/>
      <c r="AX655" s="530"/>
      <c r="AY655" s="530"/>
      <c r="BD655" s="530"/>
      <c r="BE655" s="530"/>
      <c r="BJ655" s="530"/>
      <c r="BK655" s="530"/>
      <c r="BP655" s="530"/>
      <c r="BQ655" s="530"/>
      <c r="BV655" s="530"/>
      <c r="BW655" s="530"/>
    </row>
    <row r="656">
      <c r="N656" s="530"/>
      <c r="O656" s="530"/>
      <c r="T656" s="530"/>
      <c r="U656" s="530"/>
      <c r="Z656" s="530"/>
      <c r="AA656" s="530"/>
      <c r="AF656" s="530"/>
      <c r="AG656" s="530"/>
      <c r="AL656" s="530"/>
      <c r="AM656" s="530"/>
      <c r="AR656" s="530"/>
      <c r="AS656" s="530"/>
      <c r="AX656" s="530"/>
      <c r="AY656" s="530"/>
      <c r="BD656" s="530"/>
      <c r="BE656" s="530"/>
      <c r="BJ656" s="530"/>
      <c r="BK656" s="530"/>
      <c r="BP656" s="530"/>
      <c r="BQ656" s="530"/>
      <c r="BV656" s="530"/>
      <c r="BW656" s="530"/>
    </row>
    <row r="657">
      <c r="N657" s="530"/>
      <c r="O657" s="530"/>
      <c r="T657" s="530"/>
      <c r="U657" s="530"/>
      <c r="Z657" s="530"/>
      <c r="AA657" s="530"/>
      <c r="AF657" s="530"/>
      <c r="AG657" s="530"/>
      <c r="AL657" s="530"/>
      <c r="AM657" s="530"/>
      <c r="AR657" s="530"/>
      <c r="AS657" s="530"/>
      <c r="AX657" s="530"/>
      <c r="AY657" s="530"/>
      <c r="BD657" s="530"/>
      <c r="BE657" s="530"/>
      <c r="BJ657" s="530"/>
      <c r="BK657" s="530"/>
      <c r="BP657" s="530"/>
      <c r="BQ657" s="530"/>
      <c r="BV657" s="530"/>
      <c r="BW657" s="530"/>
    </row>
    <row r="658">
      <c r="N658" s="530"/>
      <c r="O658" s="530"/>
      <c r="T658" s="530"/>
      <c r="U658" s="530"/>
      <c r="Z658" s="530"/>
      <c r="AA658" s="530"/>
      <c r="AF658" s="530"/>
      <c r="AG658" s="530"/>
      <c r="AL658" s="530"/>
      <c r="AM658" s="530"/>
      <c r="AR658" s="530"/>
      <c r="AS658" s="530"/>
      <c r="AX658" s="530"/>
      <c r="AY658" s="530"/>
      <c r="BD658" s="530"/>
      <c r="BE658" s="530"/>
      <c r="BJ658" s="530"/>
      <c r="BK658" s="530"/>
      <c r="BP658" s="530"/>
      <c r="BQ658" s="530"/>
      <c r="BV658" s="530"/>
      <c r="BW658" s="530"/>
    </row>
    <row r="659">
      <c r="N659" s="530"/>
      <c r="O659" s="530"/>
      <c r="T659" s="530"/>
      <c r="U659" s="530"/>
      <c r="Z659" s="530"/>
      <c r="AA659" s="530"/>
      <c r="AF659" s="530"/>
      <c r="AG659" s="530"/>
      <c r="AL659" s="530"/>
      <c r="AM659" s="530"/>
      <c r="AR659" s="530"/>
      <c r="AS659" s="530"/>
      <c r="AX659" s="530"/>
      <c r="AY659" s="530"/>
      <c r="BD659" s="530"/>
      <c r="BE659" s="530"/>
      <c r="BJ659" s="530"/>
      <c r="BK659" s="530"/>
      <c r="BP659" s="530"/>
      <c r="BQ659" s="530"/>
      <c r="BV659" s="530"/>
      <c r="BW659" s="530"/>
    </row>
    <row r="660">
      <c r="N660" s="530"/>
      <c r="O660" s="530"/>
      <c r="T660" s="530"/>
      <c r="U660" s="530"/>
      <c r="Z660" s="530"/>
      <c r="AA660" s="530"/>
      <c r="AF660" s="530"/>
      <c r="AG660" s="530"/>
      <c r="AL660" s="530"/>
      <c r="AM660" s="530"/>
      <c r="AR660" s="530"/>
      <c r="AS660" s="530"/>
      <c r="AX660" s="530"/>
      <c r="AY660" s="530"/>
      <c r="BD660" s="530"/>
      <c r="BE660" s="530"/>
      <c r="BJ660" s="530"/>
      <c r="BK660" s="530"/>
      <c r="BP660" s="530"/>
      <c r="BQ660" s="530"/>
      <c r="BV660" s="530"/>
      <c r="BW660" s="530"/>
    </row>
    <row r="661">
      <c r="N661" s="530"/>
      <c r="O661" s="530"/>
      <c r="T661" s="530"/>
      <c r="U661" s="530"/>
      <c r="Z661" s="530"/>
      <c r="AA661" s="530"/>
      <c r="AF661" s="530"/>
      <c r="AG661" s="530"/>
      <c r="AL661" s="530"/>
      <c r="AM661" s="530"/>
      <c r="AR661" s="530"/>
      <c r="AS661" s="530"/>
      <c r="AX661" s="530"/>
      <c r="AY661" s="530"/>
      <c r="BD661" s="530"/>
      <c r="BE661" s="530"/>
      <c r="BJ661" s="530"/>
      <c r="BK661" s="530"/>
      <c r="BP661" s="530"/>
      <c r="BQ661" s="530"/>
      <c r="BV661" s="530"/>
      <c r="BW661" s="530"/>
    </row>
    <row r="662">
      <c r="N662" s="530"/>
      <c r="O662" s="530"/>
      <c r="T662" s="530"/>
      <c r="U662" s="530"/>
      <c r="Z662" s="530"/>
      <c r="AA662" s="530"/>
      <c r="AF662" s="530"/>
      <c r="AG662" s="530"/>
      <c r="AL662" s="530"/>
      <c r="AM662" s="530"/>
      <c r="AR662" s="530"/>
      <c r="AS662" s="530"/>
      <c r="AX662" s="530"/>
      <c r="AY662" s="530"/>
      <c r="BD662" s="530"/>
      <c r="BE662" s="530"/>
      <c r="BJ662" s="530"/>
      <c r="BK662" s="530"/>
      <c r="BP662" s="530"/>
      <c r="BQ662" s="530"/>
      <c r="BV662" s="530"/>
      <c r="BW662" s="530"/>
    </row>
    <row r="663">
      <c r="N663" s="530"/>
      <c r="O663" s="530"/>
      <c r="T663" s="530"/>
      <c r="U663" s="530"/>
      <c r="Z663" s="530"/>
      <c r="AA663" s="530"/>
      <c r="AF663" s="530"/>
      <c r="AG663" s="530"/>
      <c r="AL663" s="530"/>
      <c r="AM663" s="530"/>
      <c r="AR663" s="530"/>
      <c r="AS663" s="530"/>
      <c r="AX663" s="530"/>
      <c r="AY663" s="530"/>
      <c r="BD663" s="530"/>
      <c r="BE663" s="530"/>
      <c r="BJ663" s="530"/>
      <c r="BK663" s="530"/>
      <c r="BP663" s="530"/>
      <c r="BQ663" s="530"/>
      <c r="BV663" s="530"/>
      <c r="BW663" s="530"/>
    </row>
    <row r="664">
      <c r="N664" s="530"/>
      <c r="O664" s="530"/>
      <c r="T664" s="530"/>
      <c r="U664" s="530"/>
      <c r="Z664" s="530"/>
      <c r="AA664" s="530"/>
      <c r="AF664" s="530"/>
      <c r="AG664" s="530"/>
      <c r="AL664" s="530"/>
      <c r="AM664" s="530"/>
      <c r="AR664" s="530"/>
      <c r="AS664" s="530"/>
      <c r="AX664" s="530"/>
      <c r="AY664" s="530"/>
      <c r="BD664" s="530"/>
      <c r="BE664" s="530"/>
      <c r="BJ664" s="530"/>
      <c r="BK664" s="530"/>
      <c r="BP664" s="530"/>
      <c r="BQ664" s="530"/>
      <c r="BV664" s="530"/>
      <c r="BW664" s="530"/>
    </row>
    <row r="665">
      <c r="N665" s="530"/>
      <c r="O665" s="530"/>
      <c r="T665" s="530"/>
      <c r="U665" s="530"/>
      <c r="Z665" s="530"/>
      <c r="AA665" s="530"/>
      <c r="AF665" s="530"/>
      <c r="AG665" s="530"/>
      <c r="AL665" s="530"/>
      <c r="AM665" s="530"/>
      <c r="AR665" s="530"/>
      <c r="AS665" s="530"/>
      <c r="AX665" s="530"/>
      <c r="AY665" s="530"/>
      <c r="BD665" s="530"/>
      <c r="BE665" s="530"/>
      <c r="BJ665" s="530"/>
      <c r="BK665" s="530"/>
      <c r="BP665" s="530"/>
      <c r="BQ665" s="530"/>
      <c r="BV665" s="530"/>
      <c r="BW665" s="530"/>
    </row>
    <row r="666">
      <c r="N666" s="530"/>
      <c r="O666" s="530"/>
      <c r="T666" s="530"/>
      <c r="U666" s="530"/>
      <c r="Z666" s="530"/>
      <c r="AA666" s="530"/>
      <c r="AF666" s="530"/>
      <c r="AG666" s="530"/>
      <c r="AL666" s="530"/>
      <c r="AM666" s="530"/>
      <c r="AR666" s="530"/>
      <c r="AS666" s="530"/>
      <c r="AX666" s="530"/>
      <c r="AY666" s="530"/>
      <c r="BD666" s="530"/>
      <c r="BE666" s="530"/>
      <c r="BJ666" s="530"/>
      <c r="BK666" s="530"/>
      <c r="BP666" s="530"/>
      <c r="BQ666" s="530"/>
      <c r="BV666" s="530"/>
      <c r="BW666" s="530"/>
    </row>
    <row r="667">
      <c r="N667" s="530"/>
      <c r="O667" s="530"/>
      <c r="T667" s="530"/>
      <c r="U667" s="530"/>
      <c r="Z667" s="530"/>
      <c r="AA667" s="530"/>
      <c r="AF667" s="530"/>
      <c r="AG667" s="530"/>
      <c r="AL667" s="530"/>
      <c r="AM667" s="530"/>
      <c r="AR667" s="530"/>
      <c r="AS667" s="530"/>
      <c r="AX667" s="530"/>
      <c r="AY667" s="530"/>
      <c r="BD667" s="530"/>
      <c r="BE667" s="530"/>
      <c r="BJ667" s="530"/>
      <c r="BK667" s="530"/>
      <c r="BP667" s="530"/>
      <c r="BQ667" s="530"/>
      <c r="BV667" s="530"/>
      <c r="BW667" s="530"/>
    </row>
    <row r="668">
      <c r="N668" s="530"/>
      <c r="O668" s="530"/>
      <c r="T668" s="530"/>
      <c r="U668" s="530"/>
      <c r="Z668" s="530"/>
      <c r="AA668" s="530"/>
      <c r="AF668" s="530"/>
      <c r="AG668" s="530"/>
      <c r="AL668" s="530"/>
      <c r="AM668" s="530"/>
      <c r="AR668" s="530"/>
      <c r="AS668" s="530"/>
      <c r="AX668" s="530"/>
      <c r="AY668" s="530"/>
      <c r="BD668" s="530"/>
      <c r="BE668" s="530"/>
      <c r="BJ668" s="530"/>
      <c r="BK668" s="530"/>
      <c r="BP668" s="530"/>
      <c r="BQ668" s="530"/>
      <c r="BV668" s="530"/>
      <c r="BW668" s="530"/>
    </row>
    <row r="669">
      <c r="N669" s="530"/>
      <c r="O669" s="530"/>
      <c r="T669" s="530"/>
      <c r="U669" s="530"/>
      <c r="Z669" s="530"/>
      <c r="AA669" s="530"/>
      <c r="AF669" s="530"/>
      <c r="AG669" s="530"/>
      <c r="AL669" s="530"/>
      <c r="AM669" s="530"/>
      <c r="AR669" s="530"/>
      <c r="AS669" s="530"/>
      <c r="AX669" s="530"/>
      <c r="AY669" s="530"/>
      <c r="BD669" s="530"/>
      <c r="BE669" s="530"/>
      <c r="BJ669" s="530"/>
      <c r="BK669" s="530"/>
      <c r="BP669" s="530"/>
      <c r="BQ669" s="530"/>
      <c r="BV669" s="530"/>
      <c r="BW669" s="530"/>
    </row>
    <row r="670">
      <c r="N670" s="530"/>
      <c r="O670" s="530"/>
      <c r="T670" s="530"/>
      <c r="U670" s="530"/>
      <c r="Z670" s="530"/>
      <c r="AA670" s="530"/>
      <c r="AF670" s="530"/>
      <c r="AG670" s="530"/>
      <c r="AL670" s="530"/>
      <c r="AM670" s="530"/>
      <c r="AR670" s="530"/>
      <c r="AS670" s="530"/>
      <c r="AX670" s="530"/>
      <c r="AY670" s="530"/>
      <c r="BD670" s="530"/>
      <c r="BE670" s="530"/>
      <c r="BJ670" s="530"/>
      <c r="BK670" s="530"/>
      <c r="BP670" s="530"/>
      <c r="BQ670" s="530"/>
      <c r="BV670" s="530"/>
      <c r="BW670" s="530"/>
    </row>
    <row r="671">
      <c r="N671" s="530"/>
      <c r="O671" s="530"/>
      <c r="T671" s="530"/>
      <c r="U671" s="530"/>
      <c r="Z671" s="530"/>
      <c r="AA671" s="530"/>
      <c r="AF671" s="530"/>
      <c r="AG671" s="530"/>
      <c r="AL671" s="530"/>
      <c r="AM671" s="530"/>
      <c r="AR671" s="530"/>
      <c r="AS671" s="530"/>
      <c r="AX671" s="530"/>
      <c r="AY671" s="530"/>
      <c r="BD671" s="530"/>
      <c r="BE671" s="530"/>
      <c r="BJ671" s="530"/>
      <c r="BK671" s="530"/>
      <c r="BP671" s="530"/>
      <c r="BQ671" s="530"/>
      <c r="BV671" s="530"/>
      <c r="BW671" s="530"/>
    </row>
    <row r="672">
      <c r="N672" s="530"/>
      <c r="O672" s="530"/>
      <c r="T672" s="530"/>
      <c r="U672" s="530"/>
      <c r="Z672" s="530"/>
      <c r="AA672" s="530"/>
      <c r="AF672" s="530"/>
      <c r="AG672" s="530"/>
      <c r="AL672" s="530"/>
      <c r="AM672" s="530"/>
      <c r="AR672" s="530"/>
      <c r="AS672" s="530"/>
      <c r="AX672" s="530"/>
      <c r="AY672" s="530"/>
      <c r="BD672" s="530"/>
      <c r="BE672" s="530"/>
      <c r="BJ672" s="530"/>
      <c r="BK672" s="530"/>
      <c r="BP672" s="530"/>
      <c r="BQ672" s="530"/>
      <c r="BV672" s="530"/>
      <c r="BW672" s="530"/>
    </row>
    <row r="673">
      <c r="N673" s="530"/>
      <c r="O673" s="530"/>
      <c r="T673" s="530"/>
      <c r="U673" s="530"/>
      <c r="Z673" s="530"/>
      <c r="AA673" s="530"/>
      <c r="AF673" s="530"/>
      <c r="AG673" s="530"/>
      <c r="AL673" s="530"/>
      <c r="AM673" s="530"/>
      <c r="AR673" s="530"/>
      <c r="AS673" s="530"/>
      <c r="AX673" s="530"/>
      <c r="AY673" s="530"/>
      <c r="BD673" s="530"/>
      <c r="BE673" s="530"/>
      <c r="BJ673" s="530"/>
      <c r="BK673" s="530"/>
      <c r="BP673" s="530"/>
      <c r="BQ673" s="530"/>
      <c r="BV673" s="530"/>
      <c r="BW673" s="530"/>
    </row>
    <row r="674">
      <c r="N674" s="530"/>
      <c r="O674" s="530"/>
      <c r="T674" s="530"/>
      <c r="U674" s="530"/>
      <c r="Z674" s="530"/>
      <c r="AA674" s="530"/>
      <c r="AF674" s="530"/>
      <c r="AG674" s="530"/>
      <c r="AL674" s="530"/>
      <c r="AM674" s="530"/>
      <c r="AR674" s="530"/>
      <c r="AS674" s="530"/>
      <c r="AX674" s="530"/>
      <c r="AY674" s="530"/>
      <c r="BD674" s="530"/>
      <c r="BE674" s="530"/>
      <c r="BJ674" s="530"/>
      <c r="BK674" s="530"/>
      <c r="BP674" s="530"/>
      <c r="BQ674" s="530"/>
      <c r="BV674" s="530"/>
      <c r="BW674" s="530"/>
    </row>
    <row r="675">
      <c r="N675" s="530"/>
      <c r="O675" s="530"/>
      <c r="T675" s="530"/>
      <c r="U675" s="530"/>
      <c r="Z675" s="530"/>
      <c r="AA675" s="530"/>
      <c r="AF675" s="530"/>
      <c r="AG675" s="530"/>
      <c r="AL675" s="530"/>
      <c r="AM675" s="530"/>
      <c r="AR675" s="530"/>
      <c r="AS675" s="530"/>
      <c r="AX675" s="530"/>
      <c r="AY675" s="530"/>
      <c r="BD675" s="530"/>
      <c r="BE675" s="530"/>
      <c r="BJ675" s="530"/>
      <c r="BK675" s="530"/>
      <c r="BP675" s="530"/>
      <c r="BQ675" s="530"/>
      <c r="BV675" s="530"/>
      <c r="BW675" s="530"/>
    </row>
    <row r="676">
      <c r="N676" s="530"/>
      <c r="O676" s="530"/>
      <c r="T676" s="530"/>
      <c r="U676" s="530"/>
      <c r="Z676" s="530"/>
      <c r="AA676" s="530"/>
      <c r="AF676" s="530"/>
      <c r="AG676" s="530"/>
      <c r="AL676" s="530"/>
      <c r="AM676" s="530"/>
      <c r="AR676" s="530"/>
      <c r="AS676" s="530"/>
      <c r="AX676" s="530"/>
      <c r="AY676" s="530"/>
      <c r="BD676" s="530"/>
      <c r="BE676" s="530"/>
      <c r="BJ676" s="530"/>
      <c r="BK676" s="530"/>
      <c r="BP676" s="530"/>
      <c r="BQ676" s="530"/>
      <c r="BV676" s="530"/>
      <c r="BW676" s="530"/>
    </row>
    <row r="677">
      <c r="N677" s="530"/>
      <c r="O677" s="530"/>
      <c r="T677" s="530"/>
      <c r="U677" s="530"/>
      <c r="Z677" s="530"/>
      <c r="AA677" s="530"/>
      <c r="AF677" s="530"/>
      <c r="AG677" s="530"/>
      <c r="AL677" s="530"/>
      <c r="AM677" s="530"/>
      <c r="AR677" s="530"/>
      <c r="AS677" s="530"/>
      <c r="AX677" s="530"/>
      <c r="AY677" s="530"/>
      <c r="BD677" s="530"/>
      <c r="BE677" s="530"/>
      <c r="BJ677" s="530"/>
      <c r="BK677" s="530"/>
      <c r="BP677" s="530"/>
      <c r="BQ677" s="530"/>
      <c r="BV677" s="530"/>
      <c r="BW677" s="530"/>
    </row>
    <row r="678">
      <c r="N678" s="530"/>
      <c r="O678" s="530"/>
      <c r="T678" s="530"/>
      <c r="U678" s="530"/>
      <c r="Z678" s="530"/>
      <c r="AA678" s="530"/>
      <c r="AF678" s="530"/>
      <c r="AG678" s="530"/>
      <c r="AL678" s="530"/>
      <c r="AM678" s="530"/>
      <c r="AR678" s="530"/>
      <c r="AS678" s="530"/>
      <c r="AX678" s="530"/>
      <c r="AY678" s="530"/>
      <c r="BD678" s="530"/>
      <c r="BE678" s="530"/>
      <c r="BJ678" s="530"/>
      <c r="BK678" s="530"/>
      <c r="BP678" s="530"/>
      <c r="BQ678" s="530"/>
      <c r="BV678" s="530"/>
      <c r="BW678" s="530"/>
    </row>
    <row r="679">
      <c r="N679" s="530"/>
      <c r="O679" s="530"/>
      <c r="T679" s="530"/>
      <c r="U679" s="530"/>
      <c r="Z679" s="530"/>
      <c r="AA679" s="530"/>
      <c r="AF679" s="530"/>
      <c r="AG679" s="530"/>
      <c r="AL679" s="530"/>
      <c r="AM679" s="530"/>
      <c r="AR679" s="530"/>
      <c r="AS679" s="530"/>
      <c r="AX679" s="530"/>
      <c r="AY679" s="530"/>
      <c r="BD679" s="530"/>
      <c r="BE679" s="530"/>
      <c r="BJ679" s="530"/>
      <c r="BK679" s="530"/>
      <c r="BP679" s="530"/>
      <c r="BQ679" s="530"/>
      <c r="BV679" s="530"/>
      <c r="BW679" s="530"/>
    </row>
    <row r="680">
      <c r="N680" s="530"/>
      <c r="O680" s="530"/>
      <c r="T680" s="530"/>
      <c r="U680" s="530"/>
      <c r="Z680" s="530"/>
      <c r="AA680" s="530"/>
      <c r="AF680" s="530"/>
      <c r="AG680" s="530"/>
      <c r="AL680" s="530"/>
      <c r="AM680" s="530"/>
      <c r="AR680" s="530"/>
      <c r="AS680" s="530"/>
      <c r="AX680" s="530"/>
      <c r="AY680" s="530"/>
      <c r="BD680" s="530"/>
      <c r="BE680" s="530"/>
      <c r="BJ680" s="530"/>
      <c r="BK680" s="530"/>
      <c r="BP680" s="530"/>
      <c r="BQ680" s="530"/>
      <c r="BV680" s="530"/>
      <c r="BW680" s="530"/>
    </row>
    <row r="681">
      <c r="N681" s="530"/>
      <c r="O681" s="530"/>
      <c r="T681" s="530"/>
      <c r="U681" s="530"/>
      <c r="Z681" s="530"/>
      <c r="AA681" s="530"/>
      <c r="AF681" s="530"/>
      <c r="AG681" s="530"/>
      <c r="AL681" s="530"/>
      <c r="AM681" s="530"/>
      <c r="AR681" s="530"/>
      <c r="AS681" s="530"/>
      <c r="AX681" s="530"/>
      <c r="AY681" s="530"/>
      <c r="BD681" s="530"/>
      <c r="BE681" s="530"/>
      <c r="BJ681" s="530"/>
      <c r="BK681" s="530"/>
      <c r="BP681" s="530"/>
      <c r="BQ681" s="530"/>
      <c r="BV681" s="530"/>
      <c r="BW681" s="530"/>
    </row>
    <row r="682">
      <c r="N682" s="530"/>
      <c r="O682" s="530"/>
      <c r="T682" s="530"/>
      <c r="U682" s="530"/>
      <c r="Z682" s="530"/>
      <c r="AA682" s="530"/>
      <c r="AF682" s="530"/>
      <c r="AG682" s="530"/>
      <c r="AL682" s="530"/>
      <c r="AM682" s="530"/>
      <c r="AR682" s="530"/>
      <c r="AS682" s="530"/>
      <c r="AX682" s="530"/>
      <c r="AY682" s="530"/>
      <c r="BD682" s="530"/>
      <c r="BE682" s="530"/>
      <c r="BJ682" s="530"/>
      <c r="BK682" s="530"/>
      <c r="BP682" s="530"/>
      <c r="BQ682" s="530"/>
      <c r="BV682" s="530"/>
      <c r="BW682" s="530"/>
    </row>
    <row r="683">
      <c r="N683" s="530"/>
      <c r="O683" s="530"/>
      <c r="T683" s="530"/>
      <c r="U683" s="530"/>
      <c r="Z683" s="530"/>
      <c r="AA683" s="530"/>
      <c r="AF683" s="530"/>
      <c r="AG683" s="530"/>
      <c r="AL683" s="530"/>
      <c r="AM683" s="530"/>
      <c r="AR683" s="530"/>
      <c r="AS683" s="530"/>
      <c r="AX683" s="530"/>
      <c r="AY683" s="530"/>
      <c r="BD683" s="530"/>
      <c r="BE683" s="530"/>
      <c r="BJ683" s="530"/>
      <c r="BK683" s="530"/>
      <c r="BP683" s="530"/>
      <c r="BQ683" s="530"/>
      <c r="BV683" s="530"/>
      <c r="BW683" s="530"/>
    </row>
    <row r="684">
      <c r="N684" s="530"/>
      <c r="O684" s="530"/>
      <c r="T684" s="530"/>
      <c r="U684" s="530"/>
      <c r="Z684" s="530"/>
      <c r="AA684" s="530"/>
      <c r="AF684" s="530"/>
      <c r="AG684" s="530"/>
      <c r="AL684" s="530"/>
      <c r="AM684" s="530"/>
      <c r="AR684" s="530"/>
      <c r="AS684" s="530"/>
      <c r="AX684" s="530"/>
      <c r="AY684" s="530"/>
      <c r="BD684" s="530"/>
      <c r="BE684" s="530"/>
      <c r="BJ684" s="530"/>
      <c r="BK684" s="530"/>
      <c r="BP684" s="530"/>
      <c r="BQ684" s="530"/>
      <c r="BV684" s="530"/>
      <c r="BW684" s="530"/>
    </row>
    <row r="685">
      <c r="N685" s="530"/>
      <c r="O685" s="530"/>
      <c r="T685" s="530"/>
      <c r="U685" s="530"/>
      <c r="Z685" s="530"/>
      <c r="AA685" s="530"/>
      <c r="AF685" s="530"/>
      <c r="AG685" s="530"/>
      <c r="AL685" s="530"/>
      <c r="AM685" s="530"/>
      <c r="AR685" s="530"/>
      <c r="AS685" s="530"/>
      <c r="AX685" s="530"/>
      <c r="AY685" s="530"/>
      <c r="BD685" s="530"/>
      <c r="BE685" s="530"/>
      <c r="BJ685" s="530"/>
      <c r="BK685" s="530"/>
      <c r="BP685" s="530"/>
      <c r="BQ685" s="530"/>
      <c r="BV685" s="530"/>
      <c r="BW685" s="530"/>
    </row>
    <row r="686">
      <c r="N686" s="530"/>
      <c r="O686" s="530"/>
      <c r="T686" s="530"/>
      <c r="U686" s="530"/>
      <c r="Z686" s="530"/>
      <c r="AA686" s="530"/>
      <c r="AF686" s="530"/>
      <c r="AG686" s="530"/>
      <c r="AL686" s="530"/>
      <c r="AM686" s="530"/>
      <c r="AR686" s="530"/>
      <c r="AS686" s="530"/>
      <c r="AX686" s="530"/>
      <c r="AY686" s="530"/>
      <c r="BD686" s="530"/>
      <c r="BE686" s="530"/>
      <c r="BJ686" s="530"/>
      <c r="BK686" s="530"/>
      <c r="BP686" s="530"/>
      <c r="BQ686" s="530"/>
      <c r="BV686" s="530"/>
      <c r="BW686" s="530"/>
    </row>
    <row r="687">
      <c r="N687" s="530"/>
      <c r="O687" s="530"/>
      <c r="T687" s="530"/>
      <c r="U687" s="530"/>
      <c r="Z687" s="530"/>
      <c r="AA687" s="530"/>
      <c r="AF687" s="530"/>
      <c r="AG687" s="530"/>
      <c r="AL687" s="530"/>
      <c r="AM687" s="530"/>
      <c r="AR687" s="530"/>
      <c r="AS687" s="530"/>
      <c r="AX687" s="530"/>
      <c r="AY687" s="530"/>
      <c r="BD687" s="530"/>
      <c r="BE687" s="530"/>
      <c r="BJ687" s="530"/>
      <c r="BK687" s="530"/>
      <c r="BP687" s="530"/>
      <c r="BQ687" s="530"/>
      <c r="BV687" s="530"/>
      <c r="BW687" s="530"/>
    </row>
    <row r="688">
      <c r="N688" s="530"/>
      <c r="O688" s="530"/>
      <c r="T688" s="530"/>
      <c r="U688" s="530"/>
      <c r="Z688" s="530"/>
      <c r="AA688" s="530"/>
      <c r="AF688" s="530"/>
      <c r="AG688" s="530"/>
      <c r="AL688" s="530"/>
      <c r="AM688" s="530"/>
      <c r="AR688" s="530"/>
      <c r="AS688" s="530"/>
      <c r="AX688" s="530"/>
      <c r="AY688" s="530"/>
      <c r="BD688" s="530"/>
      <c r="BE688" s="530"/>
      <c r="BJ688" s="530"/>
      <c r="BK688" s="530"/>
      <c r="BP688" s="530"/>
      <c r="BQ688" s="530"/>
      <c r="BV688" s="530"/>
      <c r="BW688" s="530"/>
    </row>
    <row r="689">
      <c r="N689" s="530"/>
      <c r="O689" s="530"/>
      <c r="T689" s="530"/>
      <c r="U689" s="530"/>
      <c r="Z689" s="530"/>
      <c r="AA689" s="530"/>
      <c r="AF689" s="530"/>
      <c r="AG689" s="530"/>
      <c r="AL689" s="530"/>
      <c r="AM689" s="530"/>
      <c r="AR689" s="530"/>
      <c r="AS689" s="530"/>
      <c r="AX689" s="530"/>
      <c r="AY689" s="530"/>
      <c r="BD689" s="530"/>
      <c r="BE689" s="530"/>
      <c r="BJ689" s="530"/>
      <c r="BK689" s="530"/>
      <c r="BP689" s="530"/>
      <c r="BQ689" s="530"/>
      <c r="BV689" s="530"/>
      <c r="BW689" s="530"/>
    </row>
    <row r="690">
      <c r="N690" s="530"/>
      <c r="O690" s="530"/>
      <c r="T690" s="530"/>
      <c r="U690" s="530"/>
      <c r="Z690" s="530"/>
      <c r="AA690" s="530"/>
      <c r="AF690" s="530"/>
      <c r="AG690" s="530"/>
      <c r="AL690" s="530"/>
      <c r="AM690" s="530"/>
      <c r="AR690" s="530"/>
      <c r="AS690" s="530"/>
      <c r="AX690" s="530"/>
      <c r="AY690" s="530"/>
      <c r="BD690" s="530"/>
      <c r="BE690" s="530"/>
      <c r="BJ690" s="530"/>
      <c r="BK690" s="530"/>
      <c r="BP690" s="530"/>
      <c r="BQ690" s="530"/>
      <c r="BV690" s="530"/>
      <c r="BW690" s="530"/>
    </row>
    <row r="691">
      <c r="N691" s="530"/>
      <c r="O691" s="530"/>
      <c r="T691" s="530"/>
      <c r="U691" s="530"/>
      <c r="Z691" s="530"/>
      <c r="AA691" s="530"/>
      <c r="AF691" s="530"/>
      <c r="AG691" s="530"/>
      <c r="AL691" s="530"/>
      <c r="AM691" s="530"/>
      <c r="AR691" s="530"/>
      <c r="AS691" s="530"/>
      <c r="AX691" s="530"/>
      <c r="AY691" s="530"/>
      <c r="BD691" s="530"/>
      <c r="BE691" s="530"/>
      <c r="BJ691" s="530"/>
      <c r="BK691" s="530"/>
      <c r="BP691" s="530"/>
      <c r="BQ691" s="530"/>
      <c r="BV691" s="530"/>
      <c r="BW691" s="530"/>
    </row>
    <row r="692">
      <c r="N692" s="530"/>
      <c r="O692" s="530"/>
      <c r="T692" s="530"/>
      <c r="U692" s="530"/>
      <c r="Z692" s="530"/>
      <c r="AA692" s="530"/>
      <c r="AF692" s="530"/>
      <c r="AG692" s="530"/>
      <c r="AL692" s="530"/>
      <c r="AM692" s="530"/>
      <c r="AR692" s="530"/>
      <c r="AS692" s="530"/>
      <c r="AX692" s="530"/>
      <c r="AY692" s="530"/>
      <c r="BD692" s="530"/>
      <c r="BE692" s="530"/>
      <c r="BJ692" s="530"/>
      <c r="BK692" s="530"/>
      <c r="BP692" s="530"/>
      <c r="BQ692" s="530"/>
      <c r="BV692" s="530"/>
      <c r="BW692" s="530"/>
    </row>
    <row r="693">
      <c r="N693" s="530"/>
      <c r="O693" s="530"/>
      <c r="T693" s="530"/>
      <c r="U693" s="530"/>
      <c r="Z693" s="530"/>
      <c r="AA693" s="530"/>
      <c r="AF693" s="530"/>
      <c r="AG693" s="530"/>
      <c r="AL693" s="530"/>
      <c r="AM693" s="530"/>
      <c r="AR693" s="530"/>
      <c r="AS693" s="530"/>
      <c r="AX693" s="530"/>
      <c r="AY693" s="530"/>
      <c r="BD693" s="530"/>
      <c r="BE693" s="530"/>
      <c r="BJ693" s="530"/>
      <c r="BK693" s="530"/>
      <c r="BP693" s="530"/>
      <c r="BQ693" s="530"/>
      <c r="BV693" s="530"/>
      <c r="BW693" s="530"/>
    </row>
    <row r="694">
      <c r="N694" s="530"/>
      <c r="O694" s="530"/>
      <c r="T694" s="530"/>
      <c r="U694" s="530"/>
      <c r="Z694" s="530"/>
      <c r="AA694" s="530"/>
      <c r="AF694" s="530"/>
      <c r="AG694" s="530"/>
      <c r="AL694" s="530"/>
      <c r="AM694" s="530"/>
      <c r="AR694" s="530"/>
      <c r="AS694" s="530"/>
      <c r="AX694" s="530"/>
      <c r="AY694" s="530"/>
      <c r="BD694" s="530"/>
      <c r="BE694" s="530"/>
      <c r="BJ694" s="530"/>
      <c r="BK694" s="530"/>
      <c r="BP694" s="530"/>
      <c r="BQ694" s="530"/>
      <c r="BV694" s="530"/>
      <c r="BW694" s="530"/>
    </row>
    <row r="695">
      <c r="N695" s="530"/>
      <c r="O695" s="530"/>
      <c r="T695" s="530"/>
      <c r="U695" s="530"/>
      <c r="Z695" s="530"/>
      <c r="AA695" s="530"/>
      <c r="AF695" s="530"/>
      <c r="AG695" s="530"/>
      <c r="AL695" s="530"/>
      <c r="AM695" s="530"/>
      <c r="AR695" s="530"/>
      <c r="AS695" s="530"/>
      <c r="AX695" s="530"/>
      <c r="AY695" s="530"/>
      <c r="BD695" s="530"/>
      <c r="BE695" s="530"/>
      <c r="BJ695" s="530"/>
      <c r="BK695" s="530"/>
      <c r="BP695" s="530"/>
      <c r="BQ695" s="530"/>
      <c r="BV695" s="530"/>
      <c r="BW695" s="530"/>
    </row>
    <row r="696">
      <c r="N696" s="530"/>
      <c r="O696" s="530"/>
      <c r="T696" s="530"/>
      <c r="U696" s="530"/>
      <c r="Z696" s="530"/>
      <c r="AA696" s="530"/>
      <c r="AF696" s="530"/>
      <c r="AG696" s="530"/>
      <c r="AL696" s="530"/>
      <c r="AM696" s="530"/>
      <c r="AR696" s="530"/>
      <c r="AS696" s="530"/>
      <c r="AX696" s="530"/>
      <c r="AY696" s="530"/>
      <c r="BD696" s="530"/>
      <c r="BE696" s="530"/>
      <c r="BJ696" s="530"/>
      <c r="BK696" s="530"/>
      <c r="BP696" s="530"/>
      <c r="BQ696" s="530"/>
      <c r="BV696" s="530"/>
      <c r="BW696" s="530"/>
    </row>
    <row r="697">
      <c r="N697" s="530"/>
      <c r="O697" s="530"/>
      <c r="T697" s="530"/>
      <c r="U697" s="530"/>
      <c r="Z697" s="530"/>
      <c r="AA697" s="530"/>
      <c r="AF697" s="530"/>
      <c r="AG697" s="530"/>
      <c r="AL697" s="530"/>
      <c r="AM697" s="530"/>
      <c r="AR697" s="530"/>
      <c r="AS697" s="530"/>
      <c r="AX697" s="530"/>
      <c r="AY697" s="530"/>
      <c r="BD697" s="530"/>
      <c r="BE697" s="530"/>
      <c r="BJ697" s="530"/>
      <c r="BK697" s="530"/>
      <c r="BP697" s="530"/>
      <c r="BQ697" s="530"/>
      <c r="BV697" s="530"/>
      <c r="BW697" s="530"/>
    </row>
    <row r="698">
      <c r="N698" s="530"/>
      <c r="O698" s="530"/>
      <c r="T698" s="530"/>
      <c r="U698" s="530"/>
      <c r="Z698" s="530"/>
      <c r="AA698" s="530"/>
      <c r="AF698" s="530"/>
      <c r="AG698" s="530"/>
      <c r="AL698" s="530"/>
      <c r="AM698" s="530"/>
      <c r="AR698" s="530"/>
      <c r="AS698" s="530"/>
      <c r="AX698" s="530"/>
      <c r="AY698" s="530"/>
      <c r="BD698" s="530"/>
      <c r="BE698" s="530"/>
      <c r="BJ698" s="530"/>
      <c r="BK698" s="530"/>
      <c r="BP698" s="530"/>
      <c r="BQ698" s="530"/>
      <c r="BV698" s="530"/>
      <c r="BW698" s="530"/>
    </row>
    <row r="699">
      <c r="N699" s="530"/>
      <c r="O699" s="530"/>
      <c r="T699" s="530"/>
      <c r="U699" s="530"/>
      <c r="Z699" s="530"/>
      <c r="AA699" s="530"/>
      <c r="AF699" s="530"/>
      <c r="AG699" s="530"/>
      <c r="AL699" s="530"/>
      <c r="AM699" s="530"/>
      <c r="AR699" s="530"/>
      <c r="AS699" s="530"/>
      <c r="AX699" s="530"/>
      <c r="AY699" s="530"/>
      <c r="BD699" s="530"/>
      <c r="BE699" s="530"/>
      <c r="BJ699" s="530"/>
      <c r="BK699" s="530"/>
      <c r="BP699" s="530"/>
      <c r="BQ699" s="530"/>
      <c r="BV699" s="530"/>
      <c r="BW699" s="530"/>
    </row>
    <row r="700">
      <c r="N700" s="530"/>
      <c r="O700" s="530"/>
      <c r="T700" s="530"/>
      <c r="U700" s="530"/>
      <c r="Z700" s="530"/>
      <c r="AA700" s="530"/>
      <c r="AF700" s="530"/>
      <c r="AG700" s="530"/>
      <c r="AL700" s="530"/>
      <c r="AM700" s="530"/>
      <c r="AR700" s="530"/>
      <c r="AS700" s="530"/>
      <c r="AX700" s="530"/>
      <c r="AY700" s="530"/>
      <c r="BD700" s="530"/>
      <c r="BE700" s="530"/>
      <c r="BJ700" s="530"/>
      <c r="BK700" s="530"/>
      <c r="BP700" s="530"/>
      <c r="BQ700" s="530"/>
      <c r="BV700" s="530"/>
      <c r="BW700" s="530"/>
    </row>
    <row r="701">
      <c r="N701" s="530"/>
      <c r="O701" s="530"/>
      <c r="T701" s="530"/>
      <c r="U701" s="530"/>
      <c r="Z701" s="530"/>
      <c r="AA701" s="530"/>
      <c r="AF701" s="530"/>
      <c r="AG701" s="530"/>
      <c r="AL701" s="530"/>
      <c r="AM701" s="530"/>
      <c r="AR701" s="530"/>
      <c r="AS701" s="530"/>
      <c r="AX701" s="530"/>
      <c r="AY701" s="530"/>
      <c r="BD701" s="530"/>
      <c r="BE701" s="530"/>
      <c r="BJ701" s="530"/>
      <c r="BK701" s="530"/>
      <c r="BP701" s="530"/>
      <c r="BQ701" s="530"/>
      <c r="BV701" s="530"/>
      <c r="BW701" s="530"/>
    </row>
    <row r="702">
      <c r="N702" s="530"/>
      <c r="O702" s="530"/>
      <c r="T702" s="530"/>
      <c r="U702" s="530"/>
      <c r="Z702" s="530"/>
      <c r="AA702" s="530"/>
      <c r="AF702" s="530"/>
      <c r="AG702" s="530"/>
      <c r="AL702" s="530"/>
      <c r="AM702" s="530"/>
      <c r="AR702" s="530"/>
      <c r="AS702" s="530"/>
      <c r="AX702" s="530"/>
      <c r="AY702" s="530"/>
      <c r="BD702" s="530"/>
      <c r="BE702" s="530"/>
      <c r="BJ702" s="530"/>
      <c r="BK702" s="530"/>
      <c r="BP702" s="530"/>
      <c r="BQ702" s="530"/>
      <c r="BV702" s="530"/>
      <c r="BW702" s="530"/>
    </row>
    <row r="703">
      <c r="N703" s="530"/>
      <c r="O703" s="530"/>
      <c r="T703" s="530"/>
      <c r="U703" s="530"/>
      <c r="Z703" s="530"/>
      <c r="AA703" s="530"/>
      <c r="AF703" s="530"/>
      <c r="AG703" s="530"/>
      <c r="AL703" s="530"/>
      <c r="AM703" s="530"/>
      <c r="AR703" s="530"/>
      <c r="AS703" s="530"/>
      <c r="AX703" s="530"/>
      <c r="AY703" s="530"/>
      <c r="BD703" s="530"/>
      <c r="BE703" s="530"/>
      <c r="BJ703" s="530"/>
      <c r="BK703" s="530"/>
      <c r="BP703" s="530"/>
      <c r="BQ703" s="530"/>
      <c r="BV703" s="530"/>
      <c r="BW703" s="530"/>
    </row>
    <row r="704">
      <c r="N704" s="530"/>
      <c r="O704" s="530"/>
      <c r="T704" s="530"/>
      <c r="U704" s="530"/>
      <c r="Z704" s="530"/>
      <c r="AA704" s="530"/>
      <c r="AF704" s="530"/>
      <c r="AG704" s="530"/>
      <c r="AL704" s="530"/>
      <c r="AM704" s="530"/>
      <c r="AR704" s="530"/>
      <c r="AS704" s="530"/>
      <c r="AX704" s="530"/>
      <c r="AY704" s="530"/>
      <c r="BD704" s="530"/>
      <c r="BE704" s="530"/>
      <c r="BJ704" s="530"/>
      <c r="BK704" s="530"/>
      <c r="BP704" s="530"/>
      <c r="BQ704" s="530"/>
      <c r="BV704" s="530"/>
      <c r="BW704" s="530"/>
    </row>
    <row r="705">
      <c r="N705" s="530"/>
      <c r="O705" s="530"/>
      <c r="T705" s="530"/>
      <c r="U705" s="530"/>
      <c r="Z705" s="530"/>
      <c r="AA705" s="530"/>
      <c r="AF705" s="530"/>
      <c r="AG705" s="530"/>
      <c r="AL705" s="530"/>
      <c r="AM705" s="530"/>
      <c r="AR705" s="530"/>
      <c r="AS705" s="530"/>
      <c r="AX705" s="530"/>
      <c r="AY705" s="530"/>
      <c r="BD705" s="530"/>
      <c r="BE705" s="530"/>
      <c r="BJ705" s="530"/>
      <c r="BK705" s="530"/>
      <c r="BP705" s="530"/>
      <c r="BQ705" s="530"/>
      <c r="BV705" s="530"/>
      <c r="BW705" s="530"/>
    </row>
    <row r="706">
      <c r="N706" s="530"/>
      <c r="O706" s="530"/>
      <c r="T706" s="530"/>
      <c r="U706" s="530"/>
      <c r="Z706" s="530"/>
      <c r="AA706" s="530"/>
      <c r="AF706" s="530"/>
      <c r="AG706" s="530"/>
      <c r="AL706" s="530"/>
      <c r="AM706" s="530"/>
      <c r="AR706" s="530"/>
      <c r="AS706" s="530"/>
      <c r="AX706" s="530"/>
      <c r="AY706" s="530"/>
      <c r="BD706" s="530"/>
      <c r="BE706" s="530"/>
      <c r="BJ706" s="530"/>
      <c r="BK706" s="530"/>
      <c r="BP706" s="530"/>
      <c r="BQ706" s="530"/>
      <c r="BV706" s="530"/>
      <c r="BW706" s="530"/>
    </row>
    <row r="707">
      <c r="N707" s="530"/>
      <c r="O707" s="530"/>
      <c r="T707" s="530"/>
      <c r="U707" s="530"/>
      <c r="Z707" s="530"/>
      <c r="AA707" s="530"/>
      <c r="AF707" s="530"/>
      <c r="AG707" s="530"/>
      <c r="AL707" s="530"/>
      <c r="AM707" s="530"/>
      <c r="AR707" s="530"/>
      <c r="AS707" s="530"/>
      <c r="AX707" s="530"/>
      <c r="AY707" s="530"/>
      <c r="BD707" s="530"/>
      <c r="BE707" s="530"/>
      <c r="BJ707" s="530"/>
      <c r="BK707" s="530"/>
      <c r="BP707" s="530"/>
      <c r="BQ707" s="530"/>
      <c r="BV707" s="530"/>
      <c r="BW707" s="530"/>
    </row>
    <row r="708">
      <c r="N708" s="530"/>
      <c r="O708" s="530"/>
      <c r="T708" s="530"/>
      <c r="U708" s="530"/>
      <c r="Z708" s="530"/>
      <c r="AA708" s="530"/>
      <c r="AF708" s="530"/>
      <c r="AG708" s="530"/>
      <c r="AL708" s="530"/>
      <c r="AM708" s="530"/>
      <c r="AR708" s="530"/>
      <c r="AS708" s="530"/>
      <c r="AX708" s="530"/>
      <c r="AY708" s="530"/>
      <c r="BD708" s="530"/>
      <c r="BE708" s="530"/>
      <c r="BJ708" s="530"/>
      <c r="BK708" s="530"/>
      <c r="BP708" s="530"/>
      <c r="BQ708" s="530"/>
      <c r="BV708" s="530"/>
      <c r="BW708" s="530"/>
    </row>
    <row r="709">
      <c r="N709" s="530"/>
      <c r="O709" s="530"/>
      <c r="T709" s="530"/>
      <c r="U709" s="530"/>
      <c r="Z709" s="530"/>
      <c r="AA709" s="530"/>
      <c r="AF709" s="530"/>
      <c r="AG709" s="530"/>
      <c r="AL709" s="530"/>
      <c r="AM709" s="530"/>
      <c r="AR709" s="530"/>
      <c r="AS709" s="530"/>
      <c r="AX709" s="530"/>
      <c r="AY709" s="530"/>
      <c r="BD709" s="530"/>
      <c r="BE709" s="530"/>
      <c r="BJ709" s="530"/>
      <c r="BK709" s="530"/>
      <c r="BP709" s="530"/>
      <c r="BQ709" s="530"/>
      <c r="BV709" s="530"/>
      <c r="BW709" s="530"/>
    </row>
    <row r="710">
      <c r="N710" s="530"/>
      <c r="O710" s="530"/>
      <c r="T710" s="530"/>
      <c r="U710" s="530"/>
      <c r="Z710" s="530"/>
      <c r="AA710" s="530"/>
      <c r="AF710" s="530"/>
      <c r="AG710" s="530"/>
      <c r="AL710" s="530"/>
      <c r="AM710" s="530"/>
      <c r="AR710" s="530"/>
      <c r="AS710" s="530"/>
      <c r="AX710" s="530"/>
      <c r="AY710" s="530"/>
      <c r="BD710" s="530"/>
      <c r="BE710" s="530"/>
      <c r="BJ710" s="530"/>
      <c r="BK710" s="530"/>
      <c r="BP710" s="530"/>
      <c r="BQ710" s="530"/>
      <c r="BV710" s="530"/>
      <c r="BW710" s="530"/>
    </row>
    <row r="711">
      <c r="N711" s="530"/>
      <c r="O711" s="530"/>
      <c r="T711" s="530"/>
      <c r="U711" s="530"/>
      <c r="Z711" s="530"/>
      <c r="AA711" s="530"/>
      <c r="AF711" s="530"/>
      <c r="AG711" s="530"/>
      <c r="AL711" s="530"/>
      <c r="AM711" s="530"/>
      <c r="AR711" s="530"/>
      <c r="AS711" s="530"/>
      <c r="AX711" s="530"/>
      <c r="AY711" s="530"/>
      <c r="BD711" s="530"/>
      <c r="BE711" s="530"/>
      <c r="BJ711" s="530"/>
      <c r="BK711" s="530"/>
      <c r="BP711" s="530"/>
      <c r="BQ711" s="530"/>
      <c r="BV711" s="530"/>
      <c r="BW711" s="530"/>
    </row>
    <row r="712">
      <c r="N712" s="530"/>
      <c r="O712" s="530"/>
      <c r="T712" s="530"/>
      <c r="U712" s="530"/>
      <c r="Z712" s="530"/>
      <c r="AA712" s="530"/>
      <c r="AF712" s="530"/>
      <c r="AG712" s="530"/>
      <c r="AL712" s="530"/>
      <c r="AM712" s="530"/>
      <c r="AR712" s="530"/>
      <c r="AS712" s="530"/>
      <c r="AX712" s="530"/>
      <c r="AY712" s="530"/>
      <c r="BD712" s="530"/>
      <c r="BE712" s="530"/>
      <c r="BJ712" s="530"/>
      <c r="BK712" s="530"/>
      <c r="BP712" s="530"/>
      <c r="BQ712" s="530"/>
      <c r="BV712" s="530"/>
      <c r="BW712" s="530"/>
    </row>
    <row r="713">
      <c r="N713" s="530"/>
      <c r="O713" s="530"/>
      <c r="T713" s="530"/>
      <c r="U713" s="530"/>
      <c r="Z713" s="530"/>
      <c r="AA713" s="530"/>
      <c r="AF713" s="530"/>
      <c r="AG713" s="530"/>
      <c r="AL713" s="530"/>
      <c r="AM713" s="530"/>
      <c r="AR713" s="530"/>
      <c r="AS713" s="530"/>
      <c r="AX713" s="530"/>
      <c r="AY713" s="530"/>
      <c r="BD713" s="530"/>
      <c r="BE713" s="530"/>
      <c r="BJ713" s="530"/>
      <c r="BK713" s="530"/>
      <c r="BP713" s="530"/>
      <c r="BQ713" s="530"/>
      <c r="BV713" s="530"/>
      <c r="BW713" s="530"/>
    </row>
    <row r="714">
      <c r="N714" s="530"/>
      <c r="O714" s="530"/>
      <c r="T714" s="530"/>
      <c r="U714" s="530"/>
      <c r="Z714" s="530"/>
      <c r="AA714" s="530"/>
      <c r="AF714" s="530"/>
      <c r="AG714" s="530"/>
      <c r="AL714" s="530"/>
      <c r="AM714" s="530"/>
      <c r="AR714" s="530"/>
      <c r="AS714" s="530"/>
      <c r="AX714" s="530"/>
      <c r="AY714" s="530"/>
      <c r="BD714" s="530"/>
      <c r="BE714" s="530"/>
      <c r="BJ714" s="530"/>
      <c r="BK714" s="530"/>
      <c r="BP714" s="530"/>
      <c r="BQ714" s="530"/>
      <c r="BV714" s="530"/>
      <c r="BW714" s="530"/>
    </row>
    <row r="715">
      <c r="N715" s="530"/>
      <c r="O715" s="530"/>
      <c r="T715" s="530"/>
      <c r="U715" s="530"/>
      <c r="Z715" s="530"/>
      <c r="AA715" s="530"/>
      <c r="AF715" s="530"/>
      <c r="AG715" s="530"/>
      <c r="AL715" s="530"/>
      <c r="AM715" s="530"/>
      <c r="AR715" s="530"/>
      <c r="AS715" s="530"/>
      <c r="AX715" s="530"/>
      <c r="AY715" s="530"/>
      <c r="BD715" s="530"/>
      <c r="BE715" s="530"/>
      <c r="BJ715" s="530"/>
      <c r="BK715" s="530"/>
      <c r="BP715" s="530"/>
      <c r="BQ715" s="530"/>
      <c r="BV715" s="530"/>
      <c r="BW715" s="530"/>
    </row>
    <row r="716">
      <c r="N716" s="530"/>
      <c r="O716" s="530"/>
      <c r="T716" s="530"/>
      <c r="U716" s="530"/>
      <c r="Z716" s="530"/>
      <c r="AA716" s="530"/>
      <c r="AF716" s="530"/>
      <c r="AG716" s="530"/>
      <c r="AL716" s="530"/>
      <c r="AM716" s="530"/>
      <c r="AR716" s="530"/>
      <c r="AS716" s="530"/>
      <c r="AX716" s="530"/>
      <c r="AY716" s="530"/>
      <c r="BD716" s="530"/>
      <c r="BE716" s="530"/>
      <c r="BJ716" s="530"/>
      <c r="BK716" s="530"/>
      <c r="BP716" s="530"/>
      <c r="BQ716" s="530"/>
      <c r="BV716" s="530"/>
      <c r="BW716" s="530"/>
    </row>
    <row r="717">
      <c r="N717" s="530"/>
      <c r="O717" s="530"/>
      <c r="T717" s="530"/>
      <c r="U717" s="530"/>
      <c r="Z717" s="530"/>
      <c r="AA717" s="530"/>
      <c r="AF717" s="530"/>
      <c r="AG717" s="530"/>
      <c r="AL717" s="530"/>
      <c r="AM717" s="530"/>
      <c r="AR717" s="530"/>
      <c r="AS717" s="530"/>
      <c r="AX717" s="530"/>
      <c r="AY717" s="530"/>
      <c r="BD717" s="530"/>
      <c r="BE717" s="530"/>
      <c r="BJ717" s="530"/>
      <c r="BK717" s="530"/>
      <c r="BP717" s="530"/>
      <c r="BQ717" s="530"/>
      <c r="BV717" s="530"/>
      <c r="BW717" s="530"/>
    </row>
    <row r="718">
      <c r="N718" s="530"/>
      <c r="O718" s="530"/>
      <c r="T718" s="530"/>
      <c r="U718" s="530"/>
      <c r="Z718" s="530"/>
      <c r="AA718" s="530"/>
      <c r="AF718" s="530"/>
      <c r="AG718" s="530"/>
      <c r="AL718" s="530"/>
      <c r="AM718" s="530"/>
      <c r="AR718" s="530"/>
      <c r="AS718" s="530"/>
      <c r="AX718" s="530"/>
      <c r="AY718" s="530"/>
      <c r="BD718" s="530"/>
      <c r="BE718" s="530"/>
      <c r="BJ718" s="530"/>
      <c r="BK718" s="530"/>
      <c r="BP718" s="530"/>
      <c r="BQ718" s="530"/>
      <c r="BV718" s="530"/>
      <c r="BW718" s="530"/>
    </row>
    <row r="719">
      <c r="N719" s="530"/>
      <c r="O719" s="530"/>
      <c r="T719" s="530"/>
      <c r="U719" s="530"/>
      <c r="Z719" s="530"/>
      <c r="AA719" s="530"/>
      <c r="AF719" s="530"/>
      <c r="AG719" s="530"/>
      <c r="AL719" s="530"/>
      <c r="AM719" s="530"/>
      <c r="AR719" s="530"/>
      <c r="AS719" s="530"/>
      <c r="AX719" s="530"/>
      <c r="AY719" s="530"/>
      <c r="BD719" s="530"/>
      <c r="BE719" s="530"/>
      <c r="BJ719" s="530"/>
      <c r="BK719" s="530"/>
      <c r="BP719" s="530"/>
      <c r="BQ719" s="530"/>
      <c r="BV719" s="530"/>
      <c r="BW719" s="530"/>
    </row>
    <row r="720">
      <c r="N720" s="530"/>
      <c r="O720" s="530"/>
      <c r="T720" s="530"/>
      <c r="U720" s="530"/>
      <c r="Z720" s="530"/>
      <c r="AA720" s="530"/>
      <c r="AF720" s="530"/>
      <c r="AG720" s="530"/>
      <c r="AL720" s="530"/>
      <c r="AM720" s="530"/>
      <c r="AR720" s="530"/>
      <c r="AS720" s="530"/>
      <c r="AX720" s="530"/>
      <c r="AY720" s="530"/>
      <c r="BD720" s="530"/>
      <c r="BE720" s="530"/>
      <c r="BJ720" s="530"/>
      <c r="BK720" s="530"/>
      <c r="BP720" s="530"/>
      <c r="BQ720" s="530"/>
      <c r="BV720" s="530"/>
      <c r="BW720" s="530"/>
    </row>
    <row r="721">
      <c r="N721" s="530"/>
      <c r="O721" s="530"/>
      <c r="T721" s="530"/>
      <c r="U721" s="530"/>
      <c r="Z721" s="530"/>
      <c r="AA721" s="530"/>
      <c r="AF721" s="530"/>
      <c r="AG721" s="530"/>
      <c r="AL721" s="530"/>
      <c r="AM721" s="530"/>
      <c r="AR721" s="530"/>
      <c r="AS721" s="530"/>
      <c r="AX721" s="530"/>
      <c r="AY721" s="530"/>
      <c r="BD721" s="530"/>
      <c r="BE721" s="530"/>
      <c r="BJ721" s="530"/>
      <c r="BK721" s="530"/>
      <c r="BP721" s="530"/>
      <c r="BQ721" s="530"/>
      <c r="BV721" s="530"/>
      <c r="BW721" s="530"/>
    </row>
    <row r="722">
      <c r="N722" s="530"/>
      <c r="O722" s="530"/>
      <c r="T722" s="530"/>
      <c r="U722" s="530"/>
      <c r="Z722" s="530"/>
      <c r="AA722" s="530"/>
      <c r="AF722" s="530"/>
      <c r="AG722" s="530"/>
      <c r="AL722" s="530"/>
      <c r="AM722" s="530"/>
      <c r="AR722" s="530"/>
      <c r="AS722" s="530"/>
      <c r="AX722" s="530"/>
      <c r="AY722" s="530"/>
      <c r="BD722" s="530"/>
      <c r="BE722" s="530"/>
      <c r="BJ722" s="530"/>
      <c r="BK722" s="530"/>
      <c r="BP722" s="530"/>
      <c r="BQ722" s="530"/>
      <c r="BV722" s="530"/>
      <c r="BW722" s="530"/>
    </row>
    <row r="723">
      <c r="N723" s="530"/>
      <c r="O723" s="530"/>
      <c r="T723" s="530"/>
      <c r="U723" s="530"/>
      <c r="Z723" s="530"/>
      <c r="AA723" s="530"/>
      <c r="AF723" s="530"/>
      <c r="AG723" s="530"/>
      <c r="AL723" s="530"/>
      <c r="AM723" s="530"/>
      <c r="AR723" s="530"/>
      <c r="AS723" s="530"/>
      <c r="AX723" s="530"/>
      <c r="AY723" s="530"/>
      <c r="BD723" s="530"/>
      <c r="BE723" s="530"/>
      <c r="BJ723" s="530"/>
      <c r="BK723" s="530"/>
      <c r="BP723" s="530"/>
      <c r="BQ723" s="530"/>
      <c r="BV723" s="530"/>
      <c r="BW723" s="530"/>
    </row>
    <row r="724">
      <c r="N724" s="530"/>
      <c r="O724" s="530"/>
      <c r="T724" s="530"/>
      <c r="U724" s="530"/>
      <c r="Z724" s="530"/>
      <c r="AA724" s="530"/>
      <c r="AF724" s="530"/>
      <c r="AG724" s="530"/>
      <c r="AL724" s="530"/>
      <c r="AM724" s="530"/>
      <c r="AR724" s="530"/>
      <c r="AS724" s="530"/>
      <c r="AX724" s="530"/>
      <c r="AY724" s="530"/>
      <c r="BD724" s="530"/>
      <c r="BE724" s="530"/>
      <c r="BJ724" s="530"/>
      <c r="BK724" s="530"/>
      <c r="BP724" s="530"/>
      <c r="BQ724" s="530"/>
      <c r="BV724" s="530"/>
      <c r="BW724" s="530"/>
    </row>
    <row r="725">
      <c r="N725" s="530"/>
      <c r="O725" s="530"/>
      <c r="T725" s="530"/>
      <c r="U725" s="530"/>
      <c r="Z725" s="530"/>
      <c r="AA725" s="530"/>
      <c r="AF725" s="530"/>
      <c r="AG725" s="530"/>
      <c r="AL725" s="530"/>
      <c r="AM725" s="530"/>
      <c r="AR725" s="530"/>
      <c r="AS725" s="530"/>
      <c r="AX725" s="530"/>
      <c r="AY725" s="530"/>
      <c r="BD725" s="530"/>
      <c r="BE725" s="530"/>
      <c r="BJ725" s="530"/>
      <c r="BK725" s="530"/>
      <c r="BP725" s="530"/>
      <c r="BQ725" s="530"/>
      <c r="BV725" s="530"/>
      <c r="BW725" s="530"/>
    </row>
    <row r="726">
      <c r="N726" s="530"/>
      <c r="O726" s="530"/>
      <c r="T726" s="530"/>
      <c r="U726" s="530"/>
      <c r="Z726" s="530"/>
      <c r="AA726" s="530"/>
      <c r="AF726" s="530"/>
      <c r="AG726" s="530"/>
      <c r="AL726" s="530"/>
      <c r="AM726" s="530"/>
      <c r="AR726" s="530"/>
      <c r="AS726" s="530"/>
      <c r="AX726" s="530"/>
      <c r="AY726" s="530"/>
      <c r="BD726" s="530"/>
      <c r="BE726" s="530"/>
      <c r="BJ726" s="530"/>
      <c r="BK726" s="530"/>
      <c r="BP726" s="530"/>
      <c r="BQ726" s="530"/>
      <c r="BV726" s="530"/>
      <c r="BW726" s="530"/>
    </row>
    <row r="727">
      <c r="N727" s="530"/>
      <c r="O727" s="530"/>
      <c r="T727" s="530"/>
      <c r="U727" s="530"/>
      <c r="Z727" s="530"/>
      <c r="AA727" s="530"/>
      <c r="AF727" s="530"/>
      <c r="AG727" s="530"/>
      <c r="AL727" s="530"/>
      <c r="AM727" s="530"/>
      <c r="AR727" s="530"/>
      <c r="AS727" s="530"/>
      <c r="AX727" s="530"/>
      <c r="AY727" s="530"/>
      <c r="BD727" s="530"/>
      <c r="BE727" s="530"/>
      <c r="BJ727" s="530"/>
      <c r="BK727" s="530"/>
      <c r="BP727" s="530"/>
      <c r="BQ727" s="530"/>
      <c r="BV727" s="530"/>
      <c r="BW727" s="530"/>
    </row>
    <row r="728">
      <c r="N728" s="530"/>
      <c r="O728" s="530"/>
      <c r="T728" s="530"/>
      <c r="U728" s="530"/>
      <c r="Z728" s="530"/>
      <c r="AA728" s="530"/>
      <c r="AF728" s="530"/>
      <c r="AG728" s="530"/>
      <c r="AL728" s="530"/>
      <c r="AM728" s="530"/>
      <c r="AR728" s="530"/>
      <c r="AS728" s="530"/>
      <c r="AX728" s="530"/>
      <c r="AY728" s="530"/>
      <c r="BD728" s="530"/>
      <c r="BE728" s="530"/>
      <c r="BJ728" s="530"/>
      <c r="BK728" s="530"/>
      <c r="BP728" s="530"/>
      <c r="BQ728" s="530"/>
      <c r="BV728" s="530"/>
      <c r="BW728" s="530"/>
    </row>
    <row r="729">
      <c r="N729" s="530"/>
      <c r="O729" s="530"/>
      <c r="T729" s="530"/>
      <c r="U729" s="530"/>
      <c r="Z729" s="530"/>
      <c r="AA729" s="530"/>
      <c r="AF729" s="530"/>
      <c r="AG729" s="530"/>
      <c r="AL729" s="530"/>
      <c r="AM729" s="530"/>
      <c r="AR729" s="530"/>
      <c r="AS729" s="530"/>
      <c r="AX729" s="530"/>
      <c r="AY729" s="530"/>
      <c r="BD729" s="530"/>
      <c r="BE729" s="530"/>
      <c r="BJ729" s="530"/>
      <c r="BK729" s="530"/>
      <c r="BP729" s="530"/>
      <c r="BQ729" s="530"/>
      <c r="BV729" s="530"/>
      <c r="BW729" s="530"/>
    </row>
    <row r="730">
      <c r="N730" s="530"/>
      <c r="O730" s="530"/>
      <c r="T730" s="530"/>
      <c r="U730" s="530"/>
      <c r="Z730" s="530"/>
      <c r="AA730" s="530"/>
      <c r="AF730" s="530"/>
      <c r="AG730" s="530"/>
      <c r="AL730" s="530"/>
      <c r="AM730" s="530"/>
      <c r="AR730" s="530"/>
      <c r="AS730" s="530"/>
      <c r="AX730" s="530"/>
      <c r="AY730" s="530"/>
      <c r="BD730" s="530"/>
      <c r="BE730" s="530"/>
      <c r="BJ730" s="530"/>
      <c r="BK730" s="530"/>
      <c r="BP730" s="530"/>
      <c r="BQ730" s="530"/>
      <c r="BV730" s="530"/>
      <c r="BW730" s="530"/>
    </row>
    <row r="731">
      <c r="N731" s="530"/>
      <c r="O731" s="530"/>
      <c r="T731" s="530"/>
      <c r="U731" s="530"/>
      <c r="Z731" s="530"/>
      <c r="AA731" s="530"/>
      <c r="AF731" s="530"/>
      <c r="AG731" s="530"/>
      <c r="AL731" s="530"/>
      <c r="AM731" s="530"/>
      <c r="AR731" s="530"/>
      <c r="AS731" s="530"/>
      <c r="AX731" s="530"/>
      <c r="AY731" s="530"/>
      <c r="BD731" s="530"/>
      <c r="BE731" s="530"/>
      <c r="BJ731" s="530"/>
      <c r="BK731" s="530"/>
      <c r="BP731" s="530"/>
      <c r="BQ731" s="530"/>
      <c r="BV731" s="530"/>
      <c r="BW731" s="530"/>
    </row>
    <row r="732">
      <c r="N732" s="530"/>
      <c r="O732" s="530"/>
      <c r="T732" s="530"/>
      <c r="U732" s="530"/>
      <c r="Z732" s="530"/>
      <c r="AA732" s="530"/>
      <c r="AF732" s="530"/>
      <c r="AG732" s="530"/>
      <c r="AL732" s="530"/>
      <c r="AM732" s="530"/>
      <c r="AR732" s="530"/>
      <c r="AS732" s="530"/>
      <c r="AX732" s="530"/>
      <c r="AY732" s="530"/>
      <c r="BD732" s="530"/>
      <c r="BE732" s="530"/>
      <c r="BJ732" s="530"/>
      <c r="BK732" s="530"/>
      <c r="BP732" s="530"/>
      <c r="BQ732" s="530"/>
      <c r="BV732" s="530"/>
      <c r="BW732" s="530"/>
    </row>
    <row r="733">
      <c r="N733" s="530"/>
      <c r="O733" s="530"/>
      <c r="T733" s="530"/>
      <c r="U733" s="530"/>
      <c r="Z733" s="530"/>
      <c r="AA733" s="530"/>
      <c r="AF733" s="530"/>
      <c r="AG733" s="530"/>
      <c r="AL733" s="530"/>
      <c r="AM733" s="530"/>
      <c r="AR733" s="530"/>
      <c r="AS733" s="530"/>
      <c r="AX733" s="530"/>
      <c r="AY733" s="530"/>
      <c r="BD733" s="530"/>
      <c r="BE733" s="530"/>
      <c r="BJ733" s="530"/>
      <c r="BK733" s="530"/>
      <c r="BP733" s="530"/>
      <c r="BQ733" s="530"/>
      <c r="BV733" s="530"/>
      <c r="BW733" s="530"/>
    </row>
    <row r="734">
      <c r="N734" s="530"/>
      <c r="O734" s="530"/>
      <c r="T734" s="530"/>
      <c r="U734" s="530"/>
      <c r="Z734" s="530"/>
      <c r="AA734" s="530"/>
      <c r="AF734" s="530"/>
      <c r="AG734" s="530"/>
      <c r="AL734" s="530"/>
      <c r="AM734" s="530"/>
      <c r="AR734" s="530"/>
      <c r="AS734" s="530"/>
      <c r="AX734" s="530"/>
      <c r="AY734" s="530"/>
      <c r="BD734" s="530"/>
      <c r="BE734" s="530"/>
      <c r="BJ734" s="530"/>
      <c r="BK734" s="530"/>
      <c r="BP734" s="530"/>
      <c r="BQ734" s="530"/>
      <c r="BV734" s="530"/>
      <c r="BW734" s="530"/>
    </row>
    <row r="735">
      <c r="N735" s="530"/>
      <c r="O735" s="530"/>
      <c r="T735" s="530"/>
      <c r="U735" s="530"/>
      <c r="Z735" s="530"/>
      <c r="AA735" s="530"/>
      <c r="AF735" s="530"/>
      <c r="AG735" s="530"/>
      <c r="AL735" s="530"/>
      <c r="AM735" s="530"/>
      <c r="AR735" s="530"/>
      <c r="AS735" s="530"/>
      <c r="AX735" s="530"/>
      <c r="AY735" s="530"/>
      <c r="BD735" s="530"/>
      <c r="BE735" s="530"/>
      <c r="BJ735" s="530"/>
      <c r="BK735" s="530"/>
      <c r="BP735" s="530"/>
      <c r="BQ735" s="530"/>
      <c r="BV735" s="530"/>
      <c r="BW735" s="530"/>
    </row>
    <row r="736">
      <c r="N736" s="530"/>
      <c r="O736" s="530"/>
      <c r="T736" s="530"/>
      <c r="U736" s="530"/>
      <c r="Z736" s="530"/>
      <c r="AA736" s="530"/>
      <c r="AF736" s="530"/>
      <c r="AG736" s="530"/>
      <c r="AL736" s="530"/>
      <c r="AM736" s="530"/>
      <c r="AR736" s="530"/>
      <c r="AS736" s="530"/>
      <c r="AX736" s="530"/>
      <c r="AY736" s="530"/>
      <c r="BD736" s="530"/>
      <c r="BE736" s="530"/>
      <c r="BJ736" s="530"/>
      <c r="BK736" s="530"/>
      <c r="BP736" s="530"/>
      <c r="BQ736" s="530"/>
      <c r="BV736" s="530"/>
      <c r="BW736" s="530"/>
    </row>
    <row r="737">
      <c r="N737" s="530"/>
      <c r="O737" s="530"/>
      <c r="T737" s="530"/>
      <c r="U737" s="530"/>
      <c r="Z737" s="530"/>
      <c r="AA737" s="530"/>
      <c r="AF737" s="530"/>
      <c r="AG737" s="530"/>
      <c r="AL737" s="530"/>
      <c r="AM737" s="530"/>
      <c r="AR737" s="530"/>
      <c r="AS737" s="530"/>
      <c r="AX737" s="530"/>
      <c r="AY737" s="530"/>
      <c r="BD737" s="530"/>
      <c r="BE737" s="530"/>
      <c r="BJ737" s="530"/>
      <c r="BK737" s="530"/>
      <c r="BP737" s="530"/>
      <c r="BQ737" s="530"/>
      <c r="BV737" s="530"/>
      <c r="BW737" s="530"/>
    </row>
    <row r="738">
      <c r="N738" s="530"/>
      <c r="O738" s="530"/>
      <c r="T738" s="530"/>
      <c r="U738" s="530"/>
      <c r="Z738" s="530"/>
      <c r="AA738" s="530"/>
      <c r="AF738" s="530"/>
      <c r="AG738" s="530"/>
      <c r="AL738" s="530"/>
      <c r="AM738" s="530"/>
      <c r="AR738" s="530"/>
      <c r="AS738" s="530"/>
      <c r="AX738" s="530"/>
      <c r="AY738" s="530"/>
      <c r="BD738" s="530"/>
      <c r="BE738" s="530"/>
      <c r="BJ738" s="530"/>
      <c r="BK738" s="530"/>
      <c r="BP738" s="530"/>
      <c r="BQ738" s="530"/>
      <c r="BV738" s="530"/>
      <c r="BW738" s="530"/>
    </row>
    <row r="739">
      <c r="N739" s="530"/>
      <c r="O739" s="530"/>
      <c r="T739" s="530"/>
      <c r="U739" s="530"/>
      <c r="Z739" s="530"/>
      <c r="AA739" s="530"/>
      <c r="AF739" s="530"/>
      <c r="AG739" s="530"/>
      <c r="AL739" s="530"/>
      <c r="AM739" s="530"/>
      <c r="AR739" s="530"/>
      <c r="AS739" s="530"/>
      <c r="AX739" s="530"/>
      <c r="AY739" s="530"/>
      <c r="BD739" s="530"/>
      <c r="BE739" s="530"/>
      <c r="BJ739" s="530"/>
      <c r="BK739" s="530"/>
      <c r="BP739" s="530"/>
      <c r="BQ739" s="530"/>
      <c r="BV739" s="530"/>
      <c r="BW739" s="530"/>
    </row>
    <row r="740">
      <c r="N740" s="530"/>
      <c r="O740" s="530"/>
      <c r="T740" s="530"/>
      <c r="U740" s="530"/>
      <c r="Z740" s="530"/>
      <c r="AA740" s="530"/>
      <c r="AF740" s="530"/>
      <c r="AG740" s="530"/>
      <c r="AL740" s="530"/>
      <c r="AM740" s="530"/>
      <c r="AR740" s="530"/>
      <c r="AS740" s="530"/>
      <c r="AX740" s="530"/>
      <c r="AY740" s="530"/>
      <c r="BD740" s="530"/>
      <c r="BE740" s="530"/>
      <c r="BJ740" s="530"/>
      <c r="BK740" s="530"/>
      <c r="BP740" s="530"/>
      <c r="BQ740" s="530"/>
      <c r="BV740" s="530"/>
      <c r="BW740" s="530"/>
    </row>
    <row r="741">
      <c r="N741" s="530"/>
      <c r="O741" s="530"/>
      <c r="T741" s="530"/>
      <c r="U741" s="530"/>
      <c r="Z741" s="530"/>
      <c r="AA741" s="530"/>
      <c r="AF741" s="530"/>
      <c r="AG741" s="530"/>
      <c r="AL741" s="530"/>
      <c r="AM741" s="530"/>
      <c r="AR741" s="530"/>
      <c r="AS741" s="530"/>
      <c r="AX741" s="530"/>
      <c r="AY741" s="530"/>
      <c r="BD741" s="530"/>
      <c r="BE741" s="530"/>
      <c r="BJ741" s="530"/>
      <c r="BK741" s="530"/>
      <c r="BP741" s="530"/>
      <c r="BQ741" s="530"/>
      <c r="BV741" s="530"/>
      <c r="BW741" s="530"/>
    </row>
    <row r="742">
      <c r="N742" s="530"/>
      <c r="O742" s="530"/>
      <c r="T742" s="530"/>
      <c r="U742" s="530"/>
      <c r="Z742" s="530"/>
      <c r="AA742" s="530"/>
      <c r="AF742" s="530"/>
      <c r="AG742" s="530"/>
      <c r="AL742" s="530"/>
      <c r="AM742" s="530"/>
      <c r="AR742" s="530"/>
      <c r="AS742" s="530"/>
      <c r="AX742" s="530"/>
      <c r="AY742" s="530"/>
      <c r="BD742" s="530"/>
      <c r="BE742" s="530"/>
      <c r="BJ742" s="530"/>
      <c r="BK742" s="530"/>
      <c r="BP742" s="530"/>
      <c r="BQ742" s="530"/>
      <c r="BV742" s="530"/>
      <c r="BW742" s="530"/>
    </row>
    <row r="743">
      <c r="N743" s="530"/>
      <c r="O743" s="530"/>
      <c r="T743" s="530"/>
      <c r="U743" s="530"/>
      <c r="Z743" s="530"/>
      <c r="AA743" s="530"/>
      <c r="AF743" s="530"/>
      <c r="AG743" s="530"/>
      <c r="AL743" s="530"/>
      <c r="AM743" s="530"/>
      <c r="AR743" s="530"/>
      <c r="AS743" s="530"/>
      <c r="AX743" s="530"/>
      <c r="AY743" s="530"/>
      <c r="BD743" s="530"/>
      <c r="BE743" s="530"/>
      <c r="BJ743" s="530"/>
      <c r="BK743" s="530"/>
      <c r="BP743" s="530"/>
      <c r="BQ743" s="530"/>
      <c r="BV743" s="530"/>
      <c r="BW743" s="530"/>
    </row>
    <row r="744">
      <c r="N744" s="530"/>
      <c r="O744" s="530"/>
      <c r="T744" s="530"/>
      <c r="U744" s="530"/>
      <c r="Z744" s="530"/>
      <c r="AA744" s="530"/>
      <c r="AF744" s="530"/>
      <c r="AG744" s="530"/>
      <c r="AL744" s="530"/>
      <c r="AM744" s="530"/>
      <c r="AR744" s="530"/>
      <c r="AS744" s="530"/>
      <c r="AX744" s="530"/>
      <c r="AY744" s="530"/>
      <c r="BD744" s="530"/>
      <c r="BE744" s="530"/>
      <c r="BJ744" s="530"/>
      <c r="BK744" s="530"/>
      <c r="BP744" s="530"/>
      <c r="BQ744" s="530"/>
      <c r="BV744" s="530"/>
      <c r="BW744" s="530"/>
    </row>
    <row r="745">
      <c r="N745" s="530"/>
      <c r="O745" s="530"/>
      <c r="T745" s="530"/>
      <c r="U745" s="530"/>
      <c r="Z745" s="530"/>
      <c r="AA745" s="530"/>
      <c r="AF745" s="530"/>
      <c r="AG745" s="530"/>
      <c r="AL745" s="530"/>
      <c r="AM745" s="530"/>
      <c r="AR745" s="530"/>
      <c r="AS745" s="530"/>
      <c r="AX745" s="530"/>
      <c r="AY745" s="530"/>
      <c r="BD745" s="530"/>
      <c r="BE745" s="530"/>
      <c r="BJ745" s="530"/>
      <c r="BK745" s="530"/>
      <c r="BP745" s="530"/>
      <c r="BQ745" s="530"/>
      <c r="BV745" s="530"/>
      <c r="BW745" s="530"/>
    </row>
    <row r="746">
      <c r="N746" s="530"/>
      <c r="O746" s="530"/>
      <c r="T746" s="530"/>
      <c r="U746" s="530"/>
      <c r="Z746" s="530"/>
      <c r="AA746" s="530"/>
      <c r="AF746" s="530"/>
      <c r="AG746" s="530"/>
      <c r="AL746" s="530"/>
      <c r="AM746" s="530"/>
      <c r="AR746" s="530"/>
      <c r="AS746" s="530"/>
      <c r="AX746" s="530"/>
      <c r="AY746" s="530"/>
      <c r="BD746" s="530"/>
      <c r="BE746" s="530"/>
      <c r="BJ746" s="530"/>
      <c r="BK746" s="530"/>
      <c r="BP746" s="530"/>
      <c r="BQ746" s="530"/>
      <c r="BV746" s="530"/>
      <c r="BW746" s="530"/>
    </row>
    <row r="747">
      <c r="N747" s="530"/>
      <c r="O747" s="530"/>
      <c r="T747" s="530"/>
      <c r="U747" s="530"/>
      <c r="Z747" s="530"/>
      <c r="AA747" s="530"/>
      <c r="AF747" s="530"/>
      <c r="AG747" s="530"/>
      <c r="AL747" s="530"/>
      <c r="AM747" s="530"/>
      <c r="AR747" s="530"/>
      <c r="AS747" s="530"/>
      <c r="AX747" s="530"/>
      <c r="AY747" s="530"/>
      <c r="BD747" s="530"/>
      <c r="BE747" s="530"/>
      <c r="BJ747" s="530"/>
      <c r="BK747" s="530"/>
      <c r="BP747" s="530"/>
      <c r="BQ747" s="530"/>
      <c r="BV747" s="530"/>
      <c r="BW747" s="530"/>
    </row>
    <row r="748">
      <c r="N748" s="530"/>
      <c r="O748" s="530"/>
      <c r="T748" s="530"/>
      <c r="U748" s="530"/>
      <c r="Z748" s="530"/>
      <c r="AA748" s="530"/>
      <c r="AF748" s="530"/>
      <c r="AG748" s="530"/>
      <c r="AL748" s="530"/>
      <c r="AM748" s="530"/>
      <c r="AR748" s="530"/>
      <c r="AS748" s="530"/>
      <c r="AX748" s="530"/>
      <c r="AY748" s="530"/>
      <c r="BD748" s="530"/>
      <c r="BE748" s="530"/>
      <c r="BJ748" s="530"/>
      <c r="BK748" s="530"/>
      <c r="BP748" s="530"/>
      <c r="BQ748" s="530"/>
      <c r="BV748" s="530"/>
      <c r="BW748" s="530"/>
    </row>
    <row r="749">
      <c r="N749" s="530"/>
      <c r="O749" s="530"/>
      <c r="T749" s="530"/>
      <c r="U749" s="530"/>
      <c r="Z749" s="530"/>
      <c r="AA749" s="530"/>
      <c r="AF749" s="530"/>
      <c r="AG749" s="530"/>
      <c r="AL749" s="530"/>
      <c r="AM749" s="530"/>
      <c r="AR749" s="530"/>
      <c r="AS749" s="530"/>
      <c r="AX749" s="530"/>
      <c r="AY749" s="530"/>
      <c r="BD749" s="530"/>
      <c r="BE749" s="530"/>
      <c r="BJ749" s="530"/>
      <c r="BK749" s="530"/>
      <c r="BP749" s="530"/>
      <c r="BQ749" s="530"/>
      <c r="BV749" s="530"/>
      <c r="BW749" s="530"/>
    </row>
    <row r="750">
      <c r="N750" s="530"/>
      <c r="O750" s="530"/>
      <c r="T750" s="530"/>
      <c r="U750" s="530"/>
      <c r="Z750" s="530"/>
      <c r="AA750" s="530"/>
      <c r="AF750" s="530"/>
      <c r="AG750" s="530"/>
      <c r="AL750" s="530"/>
      <c r="AM750" s="530"/>
      <c r="AR750" s="530"/>
      <c r="AS750" s="530"/>
      <c r="AX750" s="530"/>
      <c r="AY750" s="530"/>
      <c r="BD750" s="530"/>
      <c r="BE750" s="530"/>
      <c r="BJ750" s="530"/>
      <c r="BK750" s="530"/>
      <c r="BP750" s="530"/>
      <c r="BQ750" s="530"/>
      <c r="BV750" s="530"/>
      <c r="BW750" s="530"/>
    </row>
    <row r="751">
      <c r="N751" s="530"/>
      <c r="O751" s="530"/>
      <c r="T751" s="530"/>
      <c r="U751" s="530"/>
      <c r="Z751" s="530"/>
      <c r="AA751" s="530"/>
      <c r="AF751" s="530"/>
      <c r="AG751" s="530"/>
      <c r="AL751" s="530"/>
      <c r="AM751" s="530"/>
      <c r="AR751" s="530"/>
      <c r="AS751" s="530"/>
      <c r="AX751" s="530"/>
      <c r="AY751" s="530"/>
      <c r="BD751" s="530"/>
      <c r="BE751" s="530"/>
      <c r="BJ751" s="530"/>
      <c r="BK751" s="530"/>
      <c r="BP751" s="530"/>
      <c r="BQ751" s="530"/>
      <c r="BV751" s="530"/>
      <c r="BW751" s="530"/>
    </row>
    <row r="752">
      <c r="N752" s="530"/>
      <c r="O752" s="530"/>
      <c r="T752" s="530"/>
      <c r="U752" s="530"/>
      <c r="Z752" s="530"/>
      <c r="AA752" s="530"/>
      <c r="AF752" s="530"/>
      <c r="AG752" s="530"/>
      <c r="AL752" s="530"/>
      <c r="AM752" s="530"/>
      <c r="AR752" s="530"/>
      <c r="AS752" s="530"/>
      <c r="AX752" s="530"/>
      <c r="AY752" s="530"/>
      <c r="BD752" s="530"/>
      <c r="BE752" s="530"/>
      <c r="BJ752" s="530"/>
      <c r="BK752" s="530"/>
      <c r="BP752" s="530"/>
      <c r="BQ752" s="530"/>
      <c r="BV752" s="530"/>
      <c r="BW752" s="530"/>
    </row>
    <row r="753">
      <c r="N753" s="530"/>
      <c r="O753" s="530"/>
      <c r="T753" s="530"/>
      <c r="U753" s="530"/>
      <c r="Z753" s="530"/>
      <c r="AA753" s="530"/>
      <c r="AF753" s="530"/>
      <c r="AG753" s="530"/>
      <c r="AL753" s="530"/>
      <c r="AM753" s="530"/>
      <c r="AR753" s="530"/>
      <c r="AS753" s="530"/>
      <c r="AX753" s="530"/>
      <c r="AY753" s="530"/>
      <c r="BD753" s="530"/>
      <c r="BE753" s="530"/>
      <c r="BJ753" s="530"/>
      <c r="BK753" s="530"/>
      <c r="BP753" s="530"/>
      <c r="BQ753" s="530"/>
      <c r="BV753" s="530"/>
      <c r="BW753" s="530"/>
    </row>
    <row r="754">
      <c r="N754" s="530"/>
      <c r="O754" s="530"/>
      <c r="T754" s="530"/>
      <c r="U754" s="530"/>
      <c r="Z754" s="530"/>
      <c r="AA754" s="530"/>
      <c r="AF754" s="530"/>
      <c r="AG754" s="530"/>
      <c r="AL754" s="530"/>
      <c r="AM754" s="530"/>
      <c r="AR754" s="530"/>
      <c r="AS754" s="530"/>
      <c r="AX754" s="530"/>
      <c r="AY754" s="530"/>
      <c r="BD754" s="530"/>
      <c r="BE754" s="530"/>
      <c r="BJ754" s="530"/>
      <c r="BK754" s="530"/>
      <c r="BP754" s="530"/>
      <c r="BQ754" s="530"/>
      <c r="BV754" s="530"/>
      <c r="BW754" s="530"/>
    </row>
    <row r="755">
      <c r="N755" s="530"/>
      <c r="O755" s="530"/>
      <c r="T755" s="530"/>
      <c r="U755" s="530"/>
      <c r="Z755" s="530"/>
      <c r="AA755" s="530"/>
      <c r="AF755" s="530"/>
      <c r="AG755" s="530"/>
      <c r="AL755" s="530"/>
      <c r="AM755" s="530"/>
      <c r="AR755" s="530"/>
      <c r="AS755" s="530"/>
      <c r="AX755" s="530"/>
      <c r="AY755" s="530"/>
      <c r="BD755" s="530"/>
      <c r="BE755" s="530"/>
      <c r="BJ755" s="530"/>
      <c r="BK755" s="530"/>
      <c r="BP755" s="530"/>
      <c r="BQ755" s="530"/>
      <c r="BV755" s="530"/>
      <c r="BW755" s="530"/>
    </row>
    <row r="756">
      <c r="N756" s="530"/>
      <c r="O756" s="530"/>
      <c r="T756" s="530"/>
      <c r="U756" s="530"/>
      <c r="Z756" s="530"/>
      <c r="AA756" s="530"/>
      <c r="AF756" s="530"/>
      <c r="AG756" s="530"/>
      <c r="AL756" s="530"/>
      <c r="AM756" s="530"/>
      <c r="AR756" s="530"/>
      <c r="AS756" s="530"/>
      <c r="AX756" s="530"/>
      <c r="AY756" s="530"/>
      <c r="BD756" s="530"/>
      <c r="BE756" s="530"/>
      <c r="BJ756" s="530"/>
      <c r="BK756" s="530"/>
      <c r="BP756" s="530"/>
      <c r="BQ756" s="530"/>
      <c r="BV756" s="530"/>
      <c r="BW756" s="530"/>
    </row>
    <row r="757">
      <c r="N757" s="530"/>
      <c r="O757" s="530"/>
      <c r="T757" s="530"/>
      <c r="U757" s="530"/>
      <c r="Z757" s="530"/>
      <c r="AA757" s="530"/>
      <c r="AF757" s="530"/>
      <c r="AG757" s="530"/>
      <c r="AL757" s="530"/>
      <c r="AM757" s="530"/>
      <c r="AR757" s="530"/>
      <c r="AS757" s="530"/>
      <c r="AX757" s="530"/>
      <c r="AY757" s="530"/>
      <c r="BD757" s="530"/>
      <c r="BE757" s="530"/>
      <c r="BJ757" s="530"/>
      <c r="BK757" s="530"/>
      <c r="BP757" s="530"/>
      <c r="BQ757" s="530"/>
      <c r="BV757" s="530"/>
      <c r="BW757" s="530"/>
    </row>
    <row r="758">
      <c r="N758" s="530"/>
      <c r="O758" s="530"/>
      <c r="T758" s="530"/>
      <c r="U758" s="530"/>
      <c r="Z758" s="530"/>
      <c r="AA758" s="530"/>
      <c r="AF758" s="530"/>
      <c r="AG758" s="530"/>
      <c r="AL758" s="530"/>
      <c r="AM758" s="530"/>
      <c r="AR758" s="530"/>
      <c r="AS758" s="530"/>
      <c r="AX758" s="530"/>
      <c r="AY758" s="530"/>
      <c r="BD758" s="530"/>
      <c r="BE758" s="530"/>
      <c r="BJ758" s="530"/>
      <c r="BK758" s="530"/>
      <c r="BP758" s="530"/>
      <c r="BQ758" s="530"/>
      <c r="BV758" s="530"/>
      <c r="BW758" s="530"/>
    </row>
    <row r="759">
      <c r="N759" s="530"/>
      <c r="O759" s="530"/>
      <c r="T759" s="530"/>
      <c r="U759" s="530"/>
      <c r="Z759" s="530"/>
      <c r="AA759" s="530"/>
      <c r="AF759" s="530"/>
      <c r="AG759" s="530"/>
      <c r="AL759" s="530"/>
      <c r="AM759" s="530"/>
      <c r="AR759" s="530"/>
      <c r="AS759" s="530"/>
      <c r="AX759" s="530"/>
      <c r="AY759" s="530"/>
      <c r="BD759" s="530"/>
      <c r="BE759" s="530"/>
      <c r="BJ759" s="530"/>
      <c r="BK759" s="530"/>
      <c r="BP759" s="530"/>
      <c r="BQ759" s="530"/>
      <c r="BV759" s="530"/>
      <c r="BW759" s="530"/>
    </row>
    <row r="760">
      <c r="N760" s="530"/>
      <c r="O760" s="530"/>
      <c r="T760" s="530"/>
      <c r="U760" s="530"/>
      <c r="Z760" s="530"/>
      <c r="AA760" s="530"/>
      <c r="AF760" s="530"/>
      <c r="AG760" s="530"/>
      <c r="AL760" s="530"/>
      <c r="AM760" s="530"/>
      <c r="AR760" s="530"/>
      <c r="AS760" s="530"/>
      <c r="AX760" s="530"/>
      <c r="AY760" s="530"/>
      <c r="BD760" s="530"/>
      <c r="BE760" s="530"/>
      <c r="BJ760" s="530"/>
      <c r="BK760" s="530"/>
      <c r="BP760" s="530"/>
      <c r="BQ760" s="530"/>
      <c r="BV760" s="530"/>
      <c r="BW760" s="530"/>
    </row>
    <row r="761">
      <c r="N761" s="530"/>
      <c r="O761" s="530"/>
      <c r="T761" s="530"/>
      <c r="U761" s="530"/>
      <c r="Z761" s="530"/>
      <c r="AA761" s="530"/>
      <c r="AF761" s="530"/>
      <c r="AG761" s="530"/>
      <c r="AL761" s="530"/>
      <c r="AM761" s="530"/>
      <c r="AR761" s="530"/>
      <c r="AS761" s="530"/>
      <c r="AX761" s="530"/>
      <c r="AY761" s="530"/>
      <c r="BD761" s="530"/>
      <c r="BE761" s="530"/>
      <c r="BJ761" s="530"/>
      <c r="BK761" s="530"/>
      <c r="BP761" s="530"/>
      <c r="BQ761" s="530"/>
      <c r="BV761" s="530"/>
      <c r="BW761" s="530"/>
    </row>
    <row r="762">
      <c r="N762" s="530"/>
      <c r="O762" s="530"/>
      <c r="T762" s="530"/>
      <c r="U762" s="530"/>
      <c r="Z762" s="530"/>
      <c r="AA762" s="530"/>
      <c r="AF762" s="530"/>
      <c r="AG762" s="530"/>
      <c r="AL762" s="530"/>
      <c r="AM762" s="530"/>
      <c r="AR762" s="530"/>
      <c r="AS762" s="530"/>
      <c r="AX762" s="530"/>
      <c r="AY762" s="530"/>
      <c r="BD762" s="530"/>
      <c r="BE762" s="530"/>
      <c r="BJ762" s="530"/>
      <c r="BK762" s="530"/>
      <c r="BP762" s="530"/>
      <c r="BQ762" s="530"/>
      <c r="BV762" s="530"/>
      <c r="BW762" s="530"/>
    </row>
    <row r="763">
      <c r="N763" s="530"/>
      <c r="O763" s="530"/>
      <c r="T763" s="530"/>
      <c r="U763" s="530"/>
      <c r="Z763" s="530"/>
      <c r="AA763" s="530"/>
      <c r="AF763" s="530"/>
      <c r="AG763" s="530"/>
      <c r="AL763" s="530"/>
      <c r="AM763" s="530"/>
      <c r="AR763" s="530"/>
      <c r="AS763" s="530"/>
      <c r="AX763" s="530"/>
      <c r="AY763" s="530"/>
      <c r="BD763" s="530"/>
      <c r="BE763" s="530"/>
      <c r="BJ763" s="530"/>
      <c r="BK763" s="530"/>
      <c r="BP763" s="530"/>
      <c r="BQ763" s="530"/>
      <c r="BV763" s="530"/>
      <c r="BW763" s="530"/>
    </row>
    <row r="764">
      <c r="N764" s="530"/>
      <c r="O764" s="530"/>
      <c r="T764" s="530"/>
      <c r="U764" s="530"/>
      <c r="Z764" s="530"/>
      <c r="AA764" s="530"/>
      <c r="AF764" s="530"/>
      <c r="AG764" s="530"/>
      <c r="AL764" s="530"/>
      <c r="AM764" s="530"/>
      <c r="AR764" s="530"/>
      <c r="AS764" s="530"/>
      <c r="AX764" s="530"/>
      <c r="AY764" s="530"/>
      <c r="BD764" s="530"/>
      <c r="BE764" s="530"/>
      <c r="BJ764" s="530"/>
      <c r="BK764" s="530"/>
      <c r="BP764" s="530"/>
      <c r="BQ764" s="530"/>
      <c r="BV764" s="530"/>
      <c r="BW764" s="530"/>
    </row>
    <row r="765">
      <c r="N765" s="530"/>
      <c r="O765" s="530"/>
      <c r="T765" s="530"/>
      <c r="U765" s="530"/>
      <c r="Z765" s="530"/>
      <c r="AA765" s="530"/>
      <c r="AF765" s="530"/>
      <c r="AG765" s="530"/>
      <c r="AL765" s="530"/>
      <c r="AM765" s="530"/>
      <c r="AR765" s="530"/>
      <c r="AS765" s="530"/>
      <c r="AX765" s="530"/>
      <c r="AY765" s="530"/>
      <c r="BD765" s="530"/>
      <c r="BE765" s="530"/>
      <c r="BJ765" s="530"/>
      <c r="BK765" s="530"/>
      <c r="BP765" s="530"/>
      <c r="BQ765" s="530"/>
      <c r="BV765" s="530"/>
      <c r="BW765" s="530"/>
    </row>
    <row r="766">
      <c r="N766" s="530"/>
      <c r="O766" s="530"/>
      <c r="T766" s="530"/>
      <c r="U766" s="530"/>
      <c r="Z766" s="530"/>
      <c r="AA766" s="530"/>
      <c r="AF766" s="530"/>
      <c r="AG766" s="530"/>
      <c r="AL766" s="530"/>
      <c r="AM766" s="530"/>
      <c r="AR766" s="530"/>
      <c r="AS766" s="530"/>
      <c r="AX766" s="530"/>
      <c r="AY766" s="530"/>
      <c r="BD766" s="530"/>
      <c r="BE766" s="530"/>
      <c r="BJ766" s="530"/>
      <c r="BK766" s="530"/>
      <c r="BP766" s="530"/>
      <c r="BQ766" s="530"/>
      <c r="BV766" s="530"/>
      <c r="BW766" s="530"/>
    </row>
    <row r="767">
      <c r="N767" s="530"/>
      <c r="O767" s="530"/>
      <c r="T767" s="530"/>
      <c r="U767" s="530"/>
      <c r="Z767" s="530"/>
      <c r="AA767" s="530"/>
      <c r="AF767" s="530"/>
      <c r="AG767" s="530"/>
      <c r="AL767" s="530"/>
      <c r="AM767" s="530"/>
      <c r="AR767" s="530"/>
      <c r="AS767" s="530"/>
      <c r="AX767" s="530"/>
      <c r="AY767" s="530"/>
      <c r="BD767" s="530"/>
      <c r="BE767" s="530"/>
      <c r="BJ767" s="530"/>
      <c r="BK767" s="530"/>
      <c r="BP767" s="530"/>
      <c r="BQ767" s="530"/>
      <c r="BV767" s="530"/>
      <c r="BW767" s="530"/>
    </row>
    <row r="768">
      <c r="N768" s="530"/>
      <c r="O768" s="530"/>
      <c r="T768" s="530"/>
      <c r="U768" s="530"/>
      <c r="Z768" s="530"/>
      <c r="AA768" s="530"/>
      <c r="AF768" s="530"/>
      <c r="AG768" s="530"/>
      <c r="AL768" s="530"/>
      <c r="AM768" s="530"/>
      <c r="AR768" s="530"/>
      <c r="AS768" s="530"/>
      <c r="AX768" s="530"/>
      <c r="AY768" s="530"/>
      <c r="BD768" s="530"/>
      <c r="BE768" s="530"/>
      <c r="BJ768" s="530"/>
      <c r="BK768" s="530"/>
      <c r="BP768" s="530"/>
      <c r="BQ768" s="530"/>
      <c r="BV768" s="530"/>
      <c r="BW768" s="530"/>
    </row>
    <row r="769">
      <c r="N769" s="530"/>
      <c r="O769" s="530"/>
      <c r="T769" s="530"/>
      <c r="U769" s="530"/>
      <c r="Z769" s="530"/>
      <c r="AA769" s="530"/>
      <c r="AF769" s="530"/>
      <c r="AG769" s="530"/>
      <c r="AL769" s="530"/>
      <c r="AM769" s="530"/>
      <c r="AR769" s="530"/>
      <c r="AS769" s="530"/>
      <c r="AX769" s="530"/>
      <c r="AY769" s="530"/>
      <c r="BD769" s="530"/>
      <c r="BE769" s="530"/>
      <c r="BJ769" s="530"/>
      <c r="BK769" s="530"/>
      <c r="BP769" s="530"/>
      <c r="BQ769" s="530"/>
      <c r="BV769" s="530"/>
      <c r="BW769" s="530"/>
    </row>
    <row r="770">
      <c r="N770" s="530"/>
      <c r="O770" s="530"/>
      <c r="T770" s="530"/>
      <c r="U770" s="530"/>
      <c r="Z770" s="530"/>
      <c r="AA770" s="530"/>
      <c r="AF770" s="530"/>
      <c r="AG770" s="530"/>
      <c r="AL770" s="530"/>
      <c r="AM770" s="530"/>
      <c r="AR770" s="530"/>
      <c r="AS770" s="530"/>
      <c r="AX770" s="530"/>
      <c r="AY770" s="530"/>
      <c r="BD770" s="530"/>
      <c r="BE770" s="530"/>
      <c r="BJ770" s="530"/>
      <c r="BK770" s="530"/>
      <c r="BP770" s="530"/>
      <c r="BQ770" s="530"/>
      <c r="BV770" s="530"/>
      <c r="BW770" s="530"/>
    </row>
    <row r="771">
      <c r="N771" s="530"/>
      <c r="O771" s="530"/>
      <c r="T771" s="530"/>
      <c r="U771" s="530"/>
      <c r="Z771" s="530"/>
      <c r="AA771" s="530"/>
      <c r="AF771" s="530"/>
      <c r="AG771" s="530"/>
      <c r="AL771" s="530"/>
      <c r="AM771" s="530"/>
      <c r="AR771" s="530"/>
      <c r="AS771" s="530"/>
      <c r="AX771" s="530"/>
      <c r="AY771" s="530"/>
      <c r="BD771" s="530"/>
      <c r="BE771" s="530"/>
      <c r="BJ771" s="530"/>
      <c r="BK771" s="530"/>
      <c r="BP771" s="530"/>
      <c r="BQ771" s="530"/>
      <c r="BV771" s="530"/>
      <c r="BW771" s="530"/>
    </row>
    <row r="772">
      <c r="N772" s="530"/>
      <c r="O772" s="530"/>
      <c r="T772" s="530"/>
      <c r="U772" s="530"/>
      <c r="Z772" s="530"/>
      <c r="AA772" s="530"/>
      <c r="AF772" s="530"/>
      <c r="AG772" s="530"/>
      <c r="AL772" s="530"/>
      <c r="AM772" s="530"/>
      <c r="AR772" s="530"/>
      <c r="AS772" s="530"/>
      <c r="AX772" s="530"/>
      <c r="AY772" s="530"/>
      <c r="BD772" s="530"/>
      <c r="BE772" s="530"/>
      <c r="BJ772" s="530"/>
      <c r="BK772" s="530"/>
      <c r="BP772" s="530"/>
      <c r="BQ772" s="530"/>
      <c r="BV772" s="530"/>
      <c r="BW772" s="530"/>
    </row>
    <row r="773">
      <c r="N773" s="530"/>
      <c r="O773" s="530"/>
      <c r="T773" s="530"/>
      <c r="U773" s="530"/>
      <c r="Z773" s="530"/>
      <c r="AA773" s="530"/>
      <c r="AF773" s="530"/>
      <c r="AG773" s="530"/>
      <c r="AL773" s="530"/>
      <c r="AM773" s="530"/>
      <c r="AR773" s="530"/>
      <c r="AS773" s="530"/>
      <c r="AX773" s="530"/>
      <c r="AY773" s="530"/>
      <c r="BD773" s="530"/>
      <c r="BE773" s="530"/>
      <c r="BJ773" s="530"/>
      <c r="BK773" s="530"/>
      <c r="BP773" s="530"/>
      <c r="BQ773" s="530"/>
      <c r="BV773" s="530"/>
      <c r="BW773" s="530"/>
    </row>
    <row r="774">
      <c r="N774" s="530"/>
      <c r="O774" s="530"/>
      <c r="T774" s="530"/>
      <c r="U774" s="530"/>
      <c r="Z774" s="530"/>
      <c r="AA774" s="530"/>
      <c r="AF774" s="530"/>
      <c r="AG774" s="530"/>
      <c r="AL774" s="530"/>
      <c r="AM774" s="530"/>
      <c r="AR774" s="530"/>
      <c r="AS774" s="530"/>
      <c r="AX774" s="530"/>
      <c r="AY774" s="530"/>
      <c r="BD774" s="530"/>
      <c r="BE774" s="530"/>
      <c r="BJ774" s="530"/>
      <c r="BK774" s="530"/>
      <c r="BP774" s="530"/>
      <c r="BQ774" s="530"/>
      <c r="BV774" s="530"/>
      <c r="BW774" s="530"/>
    </row>
    <row r="775">
      <c r="N775" s="530"/>
      <c r="O775" s="530"/>
      <c r="T775" s="530"/>
      <c r="U775" s="530"/>
      <c r="Z775" s="530"/>
      <c r="AA775" s="530"/>
      <c r="AF775" s="530"/>
      <c r="AG775" s="530"/>
      <c r="AL775" s="530"/>
      <c r="AM775" s="530"/>
      <c r="AR775" s="530"/>
      <c r="AS775" s="530"/>
      <c r="AX775" s="530"/>
      <c r="AY775" s="530"/>
      <c r="BD775" s="530"/>
      <c r="BE775" s="530"/>
      <c r="BJ775" s="530"/>
      <c r="BK775" s="530"/>
      <c r="BP775" s="530"/>
      <c r="BQ775" s="530"/>
      <c r="BV775" s="530"/>
      <c r="BW775" s="530"/>
    </row>
    <row r="776">
      <c r="N776" s="530"/>
      <c r="O776" s="530"/>
      <c r="T776" s="530"/>
      <c r="U776" s="530"/>
      <c r="Z776" s="530"/>
      <c r="AA776" s="530"/>
      <c r="AF776" s="530"/>
      <c r="AG776" s="530"/>
      <c r="AL776" s="530"/>
      <c r="AM776" s="530"/>
      <c r="AR776" s="530"/>
      <c r="AS776" s="530"/>
      <c r="AX776" s="530"/>
      <c r="AY776" s="530"/>
      <c r="BD776" s="530"/>
      <c r="BE776" s="530"/>
      <c r="BJ776" s="530"/>
      <c r="BK776" s="530"/>
      <c r="BP776" s="530"/>
      <c r="BQ776" s="530"/>
      <c r="BV776" s="530"/>
      <c r="BW776" s="530"/>
    </row>
    <row r="777">
      <c r="N777" s="530"/>
      <c r="O777" s="530"/>
      <c r="T777" s="530"/>
      <c r="U777" s="530"/>
      <c r="Z777" s="530"/>
      <c r="AA777" s="530"/>
      <c r="AF777" s="530"/>
      <c r="AG777" s="530"/>
      <c r="AL777" s="530"/>
      <c r="AM777" s="530"/>
      <c r="AR777" s="530"/>
      <c r="AS777" s="530"/>
      <c r="AX777" s="530"/>
      <c r="AY777" s="530"/>
      <c r="BD777" s="530"/>
      <c r="BE777" s="530"/>
      <c r="BJ777" s="530"/>
      <c r="BK777" s="530"/>
      <c r="BP777" s="530"/>
      <c r="BQ777" s="530"/>
      <c r="BV777" s="530"/>
      <c r="BW777" s="530"/>
    </row>
    <row r="778">
      <c r="N778" s="530"/>
      <c r="O778" s="530"/>
      <c r="T778" s="530"/>
      <c r="U778" s="530"/>
      <c r="Z778" s="530"/>
      <c r="AA778" s="530"/>
      <c r="AF778" s="530"/>
      <c r="AG778" s="530"/>
      <c r="AL778" s="530"/>
      <c r="AM778" s="530"/>
      <c r="AR778" s="530"/>
      <c r="AS778" s="530"/>
      <c r="AX778" s="530"/>
      <c r="AY778" s="530"/>
      <c r="BD778" s="530"/>
      <c r="BE778" s="530"/>
      <c r="BJ778" s="530"/>
      <c r="BK778" s="530"/>
      <c r="BP778" s="530"/>
      <c r="BQ778" s="530"/>
      <c r="BV778" s="530"/>
      <c r="BW778" s="530"/>
    </row>
    <row r="779">
      <c r="N779" s="530"/>
      <c r="O779" s="530"/>
      <c r="T779" s="530"/>
      <c r="U779" s="530"/>
      <c r="Z779" s="530"/>
      <c r="AA779" s="530"/>
      <c r="AF779" s="530"/>
      <c r="AG779" s="530"/>
      <c r="AL779" s="530"/>
      <c r="AM779" s="530"/>
      <c r="AR779" s="530"/>
      <c r="AS779" s="530"/>
      <c r="AX779" s="530"/>
      <c r="AY779" s="530"/>
      <c r="BD779" s="530"/>
      <c r="BE779" s="530"/>
      <c r="BJ779" s="530"/>
      <c r="BK779" s="530"/>
      <c r="BP779" s="530"/>
      <c r="BQ779" s="530"/>
      <c r="BV779" s="530"/>
      <c r="BW779" s="530"/>
    </row>
    <row r="780">
      <c r="N780" s="530"/>
      <c r="O780" s="530"/>
      <c r="T780" s="530"/>
      <c r="U780" s="530"/>
      <c r="Z780" s="530"/>
      <c r="AA780" s="530"/>
      <c r="AF780" s="530"/>
      <c r="AG780" s="530"/>
      <c r="AL780" s="530"/>
      <c r="AM780" s="530"/>
      <c r="AR780" s="530"/>
      <c r="AS780" s="530"/>
      <c r="AX780" s="530"/>
      <c r="AY780" s="530"/>
      <c r="BD780" s="530"/>
      <c r="BE780" s="530"/>
      <c r="BJ780" s="530"/>
      <c r="BK780" s="530"/>
      <c r="BP780" s="530"/>
      <c r="BQ780" s="530"/>
      <c r="BV780" s="530"/>
      <c r="BW780" s="530"/>
    </row>
    <row r="781">
      <c r="N781" s="530"/>
      <c r="O781" s="530"/>
      <c r="T781" s="530"/>
      <c r="U781" s="530"/>
      <c r="Z781" s="530"/>
      <c r="AA781" s="530"/>
      <c r="AF781" s="530"/>
      <c r="AG781" s="530"/>
      <c r="AL781" s="530"/>
      <c r="AM781" s="530"/>
      <c r="AR781" s="530"/>
      <c r="AS781" s="530"/>
      <c r="AX781" s="530"/>
      <c r="AY781" s="530"/>
      <c r="BD781" s="530"/>
      <c r="BE781" s="530"/>
      <c r="BJ781" s="530"/>
      <c r="BK781" s="530"/>
      <c r="BP781" s="530"/>
      <c r="BQ781" s="530"/>
      <c r="BV781" s="530"/>
      <c r="BW781" s="530"/>
    </row>
    <row r="782">
      <c r="N782" s="530"/>
      <c r="O782" s="530"/>
      <c r="T782" s="530"/>
      <c r="U782" s="530"/>
      <c r="Z782" s="530"/>
      <c r="AA782" s="530"/>
      <c r="AF782" s="530"/>
      <c r="AG782" s="530"/>
      <c r="AL782" s="530"/>
      <c r="AM782" s="530"/>
      <c r="AR782" s="530"/>
      <c r="AS782" s="530"/>
      <c r="AX782" s="530"/>
      <c r="AY782" s="530"/>
      <c r="BD782" s="530"/>
      <c r="BE782" s="530"/>
      <c r="BJ782" s="530"/>
      <c r="BK782" s="530"/>
      <c r="BP782" s="530"/>
      <c r="BQ782" s="530"/>
      <c r="BV782" s="530"/>
      <c r="BW782" s="530"/>
    </row>
    <row r="783">
      <c r="N783" s="530"/>
      <c r="O783" s="530"/>
      <c r="T783" s="530"/>
      <c r="U783" s="530"/>
      <c r="Z783" s="530"/>
      <c r="AA783" s="530"/>
      <c r="AF783" s="530"/>
      <c r="AG783" s="530"/>
      <c r="AL783" s="530"/>
      <c r="AM783" s="530"/>
      <c r="AR783" s="530"/>
      <c r="AS783" s="530"/>
      <c r="AX783" s="530"/>
      <c r="AY783" s="530"/>
      <c r="BD783" s="530"/>
      <c r="BE783" s="530"/>
      <c r="BJ783" s="530"/>
      <c r="BK783" s="530"/>
      <c r="BP783" s="530"/>
      <c r="BQ783" s="530"/>
      <c r="BV783" s="530"/>
      <c r="BW783" s="530"/>
    </row>
    <row r="784">
      <c r="N784" s="530"/>
      <c r="O784" s="530"/>
      <c r="T784" s="530"/>
      <c r="U784" s="530"/>
      <c r="Z784" s="530"/>
      <c r="AA784" s="530"/>
      <c r="AF784" s="530"/>
      <c r="AG784" s="530"/>
      <c r="AL784" s="530"/>
      <c r="AM784" s="530"/>
      <c r="AR784" s="530"/>
      <c r="AS784" s="530"/>
      <c r="AX784" s="530"/>
      <c r="AY784" s="530"/>
      <c r="BD784" s="530"/>
      <c r="BE784" s="530"/>
      <c r="BJ784" s="530"/>
      <c r="BK784" s="530"/>
      <c r="BP784" s="530"/>
      <c r="BQ784" s="530"/>
      <c r="BV784" s="530"/>
      <c r="BW784" s="530"/>
    </row>
    <row r="785">
      <c r="N785" s="530"/>
      <c r="O785" s="530"/>
      <c r="T785" s="530"/>
      <c r="U785" s="530"/>
      <c r="Z785" s="530"/>
      <c r="AA785" s="530"/>
      <c r="AF785" s="530"/>
      <c r="AG785" s="530"/>
      <c r="AL785" s="530"/>
      <c r="AM785" s="530"/>
      <c r="AR785" s="530"/>
      <c r="AS785" s="530"/>
      <c r="AX785" s="530"/>
      <c r="AY785" s="530"/>
      <c r="BD785" s="530"/>
      <c r="BE785" s="530"/>
      <c r="BJ785" s="530"/>
      <c r="BK785" s="530"/>
      <c r="BP785" s="530"/>
      <c r="BQ785" s="530"/>
      <c r="BV785" s="530"/>
      <c r="BW785" s="530"/>
    </row>
    <row r="786">
      <c r="N786" s="530"/>
      <c r="O786" s="530"/>
      <c r="T786" s="530"/>
      <c r="U786" s="530"/>
      <c r="Z786" s="530"/>
      <c r="AA786" s="530"/>
      <c r="AF786" s="530"/>
      <c r="AG786" s="530"/>
      <c r="AL786" s="530"/>
      <c r="AM786" s="530"/>
      <c r="AR786" s="530"/>
      <c r="AS786" s="530"/>
      <c r="AX786" s="530"/>
      <c r="AY786" s="530"/>
      <c r="BD786" s="530"/>
      <c r="BE786" s="530"/>
      <c r="BJ786" s="530"/>
      <c r="BK786" s="530"/>
      <c r="BP786" s="530"/>
      <c r="BQ786" s="530"/>
      <c r="BV786" s="530"/>
      <c r="BW786" s="530"/>
    </row>
    <row r="787">
      <c r="N787" s="530"/>
      <c r="O787" s="530"/>
      <c r="T787" s="530"/>
      <c r="U787" s="530"/>
      <c r="Z787" s="530"/>
      <c r="AA787" s="530"/>
      <c r="AF787" s="530"/>
      <c r="AG787" s="530"/>
      <c r="AL787" s="530"/>
      <c r="AM787" s="530"/>
      <c r="AR787" s="530"/>
      <c r="AS787" s="530"/>
      <c r="AX787" s="530"/>
      <c r="AY787" s="530"/>
      <c r="BD787" s="530"/>
      <c r="BE787" s="530"/>
      <c r="BJ787" s="530"/>
      <c r="BK787" s="530"/>
      <c r="BP787" s="530"/>
      <c r="BQ787" s="530"/>
      <c r="BV787" s="530"/>
      <c r="BW787" s="530"/>
    </row>
    <row r="788">
      <c r="N788" s="530"/>
      <c r="O788" s="530"/>
      <c r="T788" s="530"/>
      <c r="U788" s="530"/>
      <c r="Z788" s="530"/>
      <c r="AA788" s="530"/>
      <c r="AF788" s="530"/>
      <c r="AG788" s="530"/>
      <c r="AL788" s="530"/>
      <c r="AM788" s="530"/>
      <c r="AR788" s="530"/>
      <c r="AS788" s="530"/>
      <c r="AX788" s="530"/>
      <c r="AY788" s="530"/>
      <c r="BD788" s="530"/>
      <c r="BE788" s="530"/>
      <c r="BJ788" s="530"/>
      <c r="BK788" s="530"/>
      <c r="BP788" s="530"/>
      <c r="BQ788" s="530"/>
      <c r="BV788" s="530"/>
      <c r="BW788" s="530"/>
    </row>
    <row r="789">
      <c r="N789" s="530"/>
      <c r="O789" s="530"/>
      <c r="T789" s="530"/>
      <c r="U789" s="530"/>
      <c r="Z789" s="530"/>
      <c r="AA789" s="530"/>
      <c r="AF789" s="530"/>
      <c r="AG789" s="530"/>
      <c r="AL789" s="530"/>
      <c r="AM789" s="530"/>
      <c r="AR789" s="530"/>
      <c r="AS789" s="530"/>
      <c r="AX789" s="530"/>
      <c r="AY789" s="530"/>
      <c r="BD789" s="530"/>
      <c r="BE789" s="530"/>
      <c r="BJ789" s="530"/>
      <c r="BK789" s="530"/>
      <c r="BP789" s="530"/>
      <c r="BQ789" s="530"/>
      <c r="BV789" s="530"/>
      <c r="BW789" s="530"/>
    </row>
    <row r="790">
      <c r="N790" s="530"/>
      <c r="O790" s="530"/>
      <c r="T790" s="530"/>
      <c r="U790" s="530"/>
      <c r="Z790" s="530"/>
      <c r="AA790" s="530"/>
      <c r="AF790" s="530"/>
      <c r="AG790" s="530"/>
      <c r="AL790" s="530"/>
      <c r="AM790" s="530"/>
      <c r="AR790" s="530"/>
      <c r="AS790" s="530"/>
      <c r="AX790" s="530"/>
      <c r="AY790" s="530"/>
      <c r="BD790" s="530"/>
      <c r="BE790" s="530"/>
      <c r="BJ790" s="530"/>
      <c r="BK790" s="530"/>
      <c r="BP790" s="530"/>
      <c r="BQ790" s="530"/>
      <c r="BV790" s="530"/>
      <c r="BW790" s="530"/>
    </row>
    <row r="791">
      <c r="N791" s="530"/>
      <c r="O791" s="530"/>
      <c r="T791" s="530"/>
      <c r="U791" s="530"/>
      <c r="Z791" s="530"/>
      <c r="AA791" s="530"/>
      <c r="AF791" s="530"/>
      <c r="AG791" s="530"/>
      <c r="AL791" s="530"/>
      <c r="AM791" s="530"/>
      <c r="AR791" s="530"/>
      <c r="AS791" s="530"/>
      <c r="AX791" s="530"/>
      <c r="AY791" s="530"/>
      <c r="BD791" s="530"/>
      <c r="BE791" s="530"/>
      <c r="BJ791" s="530"/>
      <c r="BK791" s="530"/>
      <c r="BP791" s="530"/>
      <c r="BQ791" s="530"/>
      <c r="BV791" s="530"/>
      <c r="BW791" s="530"/>
    </row>
    <row r="792">
      <c r="N792" s="530"/>
      <c r="O792" s="530"/>
      <c r="T792" s="530"/>
      <c r="U792" s="530"/>
      <c r="Z792" s="530"/>
      <c r="AA792" s="530"/>
      <c r="AF792" s="530"/>
      <c r="AG792" s="530"/>
      <c r="AL792" s="530"/>
      <c r="AM792" s="530"/>
      <c r="AR792" s="530"/>
      <c r="AS792" s="530"/>
      <c r="AX792" s="530"/>
      <c r="AY792" s="530"/>
      <c r="BD792" s="530"/>
      <c r="BE792" s="530"/>
      <c r="BJ792" s="530"/>
      <c r="BK792" s="530"/>
      <c r="BP792" s="530"/>
      <c r="BQ792" s="530"/>
      <c r="BV792" s="530"/>
      <c r="BW792" s="530"/>
    </row>
    <row r="793">
      <c r="N793" s="530"/>
      <c r="O793" s="530"/>
      <c r="T793" s="530"/>
      <c r="U793" s="530"/>
      <c r="Z793" s="530"/>
      <c r="AA793" s="530"/>
      <c r="AF793" s="530"/>
      <c r="AG793" s="530"/>
      <c r="AL793" s="530"/>
      <c r="AM793" s="530"/>
      <c r="AR793" s="530"/>
      <c r="AS793" s="530"/>
      <c r="AX793" s="530"/>
      <c r="AY793" s="530"/>
      <c r="BD793" s="530"/>
      <c r="BE793" s="530"/>
      <c r="BJ793" s="530"/>
      <c r="BK793" s="530"/>
      <c r="BP793" s="530"/>
      <c r="BQ793" s="530"/>
      <c r="BV793" s="530"/>
      <c r="BW793" s="530"/>
    </row>
    <row r="794">
      <c r="N794" s="530"/>
      <c r="O794" s="530"/>
      <c r="T794" s="530"/>
      <c r="U794" s="530"/>
      <c r="Z794" s="530"/>
      <c r="AA794" s="530"/>
      <c r="AF794" s="530"/>
      <c r="AG794" s="530"/>
      <c r="AL794" s="530"/>
      <c r="AM794" s="530"/>
      <c r="AR794" s="530"/>
      <c r="AS794" s="530"/>
      <c r="AX794" s="530"/>
      <c r="AY794" s="530"/>
      <c r="BD794" s="530"/>
      <c r="BE794" s="530"/>
      <c r="BJ794" s="530"/>
      <c r="BK794" s="530"/>
      <c r="BP794" s="530"/>
      <c r="BQ794" s="530"/>
      <c r="BV794" s="530"/>
      <c r="BW794" s="530"/>
    </row>
    <row r="795">
      <c r="N795" s="530"/>
      <c r="O795" s="530"/>
      <c r="T795" s="530"/>
      <c r="U795" s="530"/>
      <c r="Z795" s="530"/>
      <c r="AA795" s="530"/>
      <c r="AF795" s="530"/>
      <c r="AG795" s="530"/>
      <c r="AL795" s="530"/>
      <c r="AM795" s="530"/>
      <c r="AR795" s="530"/>
      <c r="AS795" s="530"/>
      <c r="AX795" s="530"/>
      <c r="AY795" s="530"/>
      <c r="BD795" s="530"/>
      <c r="BE795" s="530"/>
      <c r="BJ795" s="530"/>
      <c r="BK795" s="530"/>
      <c r="BP795" s="530"/>
      <c r="BQ795" s="530"/>
      <c r="BV795" s="530"/>
      <c r="BW795" s="530"/>
    </row>
    <row r="796">
      <c r="N796" s="530"/>
      <c r="O796" s="530"/>
      <c r="T796" s="530"/>
      <c r="U796" s="530"/>
      <c r="Z796" s="530"/>
      <c r="AA796" s="530"/>
      <c r="AF796" s="530"/>
      <c r="AG796" s="530"/>
      <c r="AL796" s="530"/>
      <c r="AM796" s="530"/>
      <c r="AR796" s="530"/>
      <c r="AS796" s="530"/>
      <c r="AX796" s="530"/>
      <c r="AY796" s="530"/>
      <c r="BD796" s="530"/>
      <c r="BE796" s="530"/>
      <c r="BJ796" s="530"/>
      <c r="BK796" s="530"/>
      <c r="BP796" s="530"/>
      <c r="BQ796" s="530"/>
      <c r="BV796" s="530"/>
      <c r="BW796" s="530"/>
    </row>
    <row r="797">
      <c r="N797" s="530"/>
      <c r="O797" s="530"/>
      <c r="T797" s="530"/>
      <c r="U797" s="530"/>
      <c r="Z797" s="530"/>
      <c r="AA797" s="530"/>
      <c r="AF797" s="530"/>
      <c r="AG797" s="530"/>
      <c r="AL797" s="530"/>
      <c r="AM797" s="530"/>
      <c r="AR797" s="530"/>
      <c r="AS797" s="530"/>
      <c r="AX797" s="530"/>
      <c r="AY797" s="530"/>
      <c r="BD797" s="530"/>
      <c r="BE797" s="530"/>
      <c r="BJ797" s="530"/>
      <c r="BK797" s="530"/>
      <c r="BP797" s="530"/>
      <c r="BQ797" s="530"/>
      <c r="BV797" s="530"/>
      <c r="BW797" s="530"/>
    </row>
    <row r="798">
      <c r="N798" s="530"/>
      <c r="O798" s="530"/>
      <c r="T798" s="530"/>
      <c r="U798" s="530"/>
      <c r="Z798" s="530"/>
      <c r="AA798" s="530"/>
      <c r="AF798" s="530"/>
      <c r="AG798" s="530"/>
      <c r="AL798" s="530"/>
      <c r="AM798" s="530"/>
      <c r="AR798" s="530"/>
      <c r="AS798" s="530"/>
      <c r="AX798" s="530"/>
      <c r="AY798" s="530"/>
      <c r="BD798" s="530"/>
      <c r="BE798" s="530"/>
      <c r="BJ798" s="530"/>
      <c r="BK798" s="530"/>
      <c r="BP798" s="530"/>
      <c r="BQ798" s="530"/>
      <c r="BV798" s="530"/>
      <c r="BW798" s="530"/>
    </row>
    <row r="799">
      <c r="N799" s="530"/>
      <c r="O799" s="530"/>
      <c r="T799" s="530"/>
      <c r="U799" s="530"/>
      <c r="Z799" s="530"/>
      <c r="AA799" s="530"/>
      <c r="AF799" s="530"/>
      <c r="AG799" s="530"/>
      <c r="AL799" s="530"/>
      <c r="AM799" s="530"/>
      <c r="AR799" s="530"/>
      <c r="AS799" s="530"/>
      <c r="AX799" s="530"/>
      <c r="AY799" s="530"/>
      <c r="BD799" s="530"/>
      <c r="BE799" s="530"/>
      <c r="BJ799" s="530"/>
      <c r="BK799" s="530"/>
      <c r="BP799" s="530"/>
      <c r="BQ799" s="530"/>
      <c r="BV799" s="530"/>
      <c r="BW799" s="530"/>
    </row>
    <row r="800">
      <c r="N800" s="530"/>
      <c r="O800" s="530"/>
      <c r="T800" s="530"/>
      <c r="U800" s="530"/>
      <c r="Z800" s="530"/>
      <c r="AA800" s="530"/>
      <c r="AF800" s="530"/>
      <c r="AG800" s="530"/>
      <c r="AL800" s="530"/>
      <c r="AM800" s="530"/>
      <c r="AR800" s="530"/>
      <c r="AS800" s="530"/>
      <c r="AX800" s="530"/>
      <c r="AY800" s="530"/>
      <c r="BD800" s="530"/>
      <c r="BE800" s="530"/>
      <c r="BJ800" s="530"/>
      <c r="BK800" s="530"/>
      <c r="BP800" s="530"/>
      <c r="BQ800" s="530"/>
      <c r="BV800" s="530"/>
      <c r="BW800" s="530"/>
    </row>
    <row r="801">
      <c r="N801" s="530"/>
      <c r="O801" s="530"/>
      <c r="T801" s="530"/>
      <c r="U801" s="530"/>
      <c r="Z801" s="530"/>
      <c r="AA801" s="530"/>
      <c r="AF801" s="530"/>
      <c r="AG801" s="530"/>
      <c r="AL801" s="530"/>
      <c r="AM801" s="530"/>
      <c r="AR801" s="530"/>
      <c r="AS801" s="530"/>
      <c r="AX801" s="530"/>
      <c r="AY801" s="530"/>
      <c r="BD801" s="530"/>
      <c r="BE801" s="530"/>
      <c r="BJ801" s="530"/>
      <c r="BK801" s="530"/>
      <c r="BP801" s="530"/>
      <c r="BQ801" s="530"/>
      <c r="BV801" s="530"/>
      <c r="BW801" s="530"/>
    </row>
    <row r="802">
      <c r="N802" s="530"/>
      <c r="O802" s="530"/>
      <c r="T802" s="530"/>
      <c r="U802" s="530"/>
      <c r="Z802" s="530"/>
      <c r="AA802" s="530"/>
      <c r="AF802" s="530"/>
      <c r="AG802" s="530"/>
      <c r="AL802" s="530"/>
      <c r="AM802" s="530"/>
      <c r="AR802" s="530"/>
      <c r="AS802" s="530"/>
      <c r="AX802" s="530"/>
      <c r="AY802" s="530"/>
      <c r="BD802" s="530"/>
      <c r="BE802" s="530"/>
      <c r="BJ802" s="530"/>
      <c r="BK802" s="530"/>
      <c r="BP802" s="530"/>
      <c r="BQ802" s="530"/>
      <c r="BV802" s="530"/>
      <c r="BW802" s="530"/>
    </row>
    <row r="803">
      <c r="N803" s="530"/>
      <c r="O803" s="530"/>
      <c r="T803" s="530"/>
      <c r="U803" s="530"/>
      <c r="Z803" s="530"/>
      <c r="AA803" s="530"/>
      <c r="AF803" s="530"/>
      <c r="AG803" s="530"/>
      <c r="AL803" s="530"/>
      <c r="AM803" s="530"/>
      <c r="AR803" s="530"/>
      <c r="AS803" s="530"/>
      <c r="AX803" s="530"/>
      <c r="AY803" s="530"/>
      <c r="BD803" s="530"/>
      <c r="BE803" s="530"/>
      <c r="BJ803" s="530"/>
      <c r="BK803" s="530"/>
      <c r="BP803" s="530"/>
      <c r="BQ803" s="530"/>
      <c r="BV803" s="530"/>
      <c r="BW803" s="530"/>
    </row>
    <row r="804">
      <c r="N804" s="530"/>
      <c r="O804" s="530"/>
      <c r="T804" s="530"/>
      <c r="U804" s="530"/>
      <c r="Z804" s="530"/>
      <c r="AA804" s="530"/>
      <c r="AF804" s="530"/>
      <c r="AG804" s="530"/>
      <c r="AL804" s="530"/>
      <c r="AM804" s="530"/>
      <c r="AR804" s="530"/>
      <c r="AS804" s="530"/>
      <c r="AX804" s="530"/>
      <c r="AY804" s="530"/>
      <c r="BD804" s="530"/>
      <c r="BE804" s="530"/>
      <c r="BJ804" s="530"/>
      <c r="BK804" s="530"/>
      <c r="BP804" s="530"/>
      <c r="BQ804" s="530"/>
      <c r="BV804" s="530"/>
      <c r="BW804" s="530"/>
    </row>
    <row r="805">
      <c r="N805" s="530"/>
      <c r="O805" s="530"/>
      <c r="T805" s="530"/>
      <c r="U805" s="530"/>
      <c r="Z805" s="530"/>
      <c r="AA805" s="530"/>
      <c r="AF805" s="530"/>
      <c r="AG805" s="530"/>
      <c r="AL805" s="530"/>
      <c r="AM805" s="530"/>
      <c r="AR805" s="530"/>
      <c r="AS805" s="530"/>
      <c r="AX805" s="530"/>
      <c r="AY805" s="530"/>
      <c r="BD805" s="530"/>
      <c r="BE805" s="530"/>
      <c r="BJ805" s="530"/>
      <c r="BK805" s="530"/>
      <c r="BP805" s="530"/>
      <c r="BQ805" s="530"/>
      <c r="BV805" s="530"/>
      <c r="BW805" s="530"/>
    </row>
    <row r="806">
      <c r="N806" s="530"/>
      <c r="O806" s="530"/>
      <c r="T806" s="530"/>
      <c r="U806" s="530"/>
      <c r="Z806" s="530"/>
      <c r="AA806" s="530"/>
      <c r="AF806" s="530"/>
      <c r="AG806" s="530"/>
      <c r="AL806" s="530"/>
      <c r="AM806" s="530"/>
      <c r="AR806" s="530"/>
      <c r="AS806" s="530"/>
      <c r="AX806" s="530"/>
      <c r="AY806" s="530"/>
      <c r="BD806" s="530"/>
      <c r="BE806" s="530"/>
      <c r="BJ806" s="530"/>
      <c r="BK806" s="530"/>
      <c r="BP806" s="530"/>
      <c r="BQ806" s="530"/>
      <c r="BV806" s="530"/>
      <c r="BW806" s="530"/>
    </row>
    <row r="807">
      <c r="N807" s="530"/>
      <c r="O807" s="530"/>
      <c r="T807" s="530"/>
      <c r="U807" s="530"/>
      <c r="Z807" s="530"/>
      <c r="AA807" s="530"/>
      <c r="AF807" s="530"/>
      <c r="AG807" s="530"/>
      <c r="AL807" s="530"/>
      <c r="AM807" s="530"/>
      <c r="AR807" s="530"/>
      <c r="AS807" s="530"/>
      <c r="AX807" s="530"/>
      <c r="AY807" s="530"/>
      <c r="BD807" s="530"/>
      <c r="BE807" s="530"/>
      <c r="BJ807" s="530"/>
      <c r="BK807" s="530"/>
      <c r="BP807" s="530"/>
      <c r="BQ807" s="530"/>
      <c r="BV807" s="530"/>
      <c r="BW807" s="530"/>
    </row>
    <row r="808">
      <c r="N808" s="530"/>
      <c r="O808" s="530"/>
      <c r="T808" s="530"/>
      <c r="U808" s="530"/>
      <c r="Z808" s="530"/>
      <c r="AA808" s="530"/>
      <c r="AF808" s="530"/>
      <c r="AG808" s="530"/>
      <c r="AL808" s="530"/>
      <c r="AM808" s="530"/>
      <c r="AR808" s="530"/>
      <c r="AS808" s="530"/>
      <c r="AX808" s="530"/>
      <c r="AY808" s="530"/>
      <c r="BD808" s="530"/>
      <c r="BE808" s="530"/>
      <c r="BJ808" s="530"/>
      <c r="BK808" s="530"/>
      <c r="BP808" s="530"/>
      <c r="BQ808" s="530"/>
      <c r="BV808" s="530"/>
      <c r="BW808" s="530"/>
    </row>
    <row r="809">
      <c r="N809" s="530"/>
      <c r="O809" s="530"/>
      <c r="T809" s="530"/>
      <c r="U809" s="530"/>
      <c r="Z809" s="530"/>
      <c r="AA809" s="530"/>
      <c r="AF809" s="530"/>
      <c r="AG809" s="530"/>
      <c r="AL809" s="530"/>
      <c r="AM809" s="530"/>
      <c r="AR809" s="530"/>
      <c r="AS809" s="530"/>
      <c r="AX809" s="530"/>
      <c r="AY809" s="530"/>
      <c r="BD809" s="530"/>
      <c r="BE809" s="530"/>
      <c r="BJ809" s="530"/>
      <c r="BK809" s="530"/>
      <c r="BP809" s="530"/>
      <c r="BQ809" s="530"/>
      <c r="BV809" s="530"/>
      <c r="BW809" s="530"/>
    </row>
    <row r="810">
      <c r="N810" s="530"/>
      <c r="O810" s="530"/>
      <c r="T810" s="530"/>
      <c r="U810" s="530"/>
      <c r="Z810" s="530"/>
      <c r="AA810" s="530"/>
      <c r="AF810" s="530"/>
      <c r="AG810" s="530"/>
      <c r="AL810" s="530"/>
      <c r="AM810" s="530"/>
      <c r="AR810" s="530"/>
      <c r="AS810" s="530"/>
      <c r="AX810" s="530"/>
      <c r="AY810" s="530"/>
      <c r="BD810" s="530"/>
      <c r="BE810" s="530"/>
      <c r="BJ810" s="530"/>
      <c r="BK810" s="530"/>
      <c r="BP810" s="530"/>
      <c r="BQ810" s="530"/>
      <c r="BV810" s="530"/>
      <c r="BW810" s="530"/>
    </row>
    <row r="811">
      <c r="N811" s="530"/>
      <c r="O811" s="530"/>
      <c r="T811" s="530"/>
      <c r="U811" s="530"/>
      <c r="Z811" s="530"/>
      <c r="AA811" s="530"/>
      <c r="AF811" s="530"/>
      <c r="AG811" s="530"/>
      <c r="AL811" s="530"/>
      <c r="AM811" s="530"/>
      <c r="AR811" s="530"/>
      <c r="AS811" s="530"/>
      <c r="AX811" s="530"/>
      <c r="AY811" s="530"/>
      <c r="BD811" s="530"/>
      <c r="BE811" s="530"/>
      <c r="BJ811" s="530"/>
      <c r="BK811" s="530"/>
      <c r="BP811" s="530"/>
      <c r="BQ811" s="530"/>
      <c r="BV811" s="530"/>
      <c r="BW811" s="530"/>
    </row>
    <row r="812">
      <c r="N812" s="530"/>
      <c r="O812" s="530"/>
      <c r="T812" s="530"/>
      <c r="U812" s="530"/>
      <c r="Z812" s="530"/>
      <c r="AA812" s="530"/>
      <c r="AF812" s="530"/>
      <c r="AG812" s="530"/>
      <c r="AL812" s="530"/>
      <c r="AM812" s="530"/>
      <c r="AR812" s="530"/>
      <c r="AS812" s="530"/>
      <c r="AX812" s="530"/>
      <c r="AY812" s="530"/>
      <c r="BD812" s="530"/>
      <c r="BE812" s="530"/>
      <c r="BJ812" s="530"/>
      <c r="BK812" s="530"/>
      <c r="BP812" s="530"/>
      <c r="BQ812" s="530"/>
      <c r="BV812" s="530"/>
      <c r="BW812" s="530"/>
    </row>
    <row r="813">
      <c r="N813" s="530"/>
      <c r="O813" s="530"/>
      <c r="T813" s="530"/>
      <c r="U813" s="530"/>
      <c r="Z813" s="530"/>
      <c r="AA813" s="530"/>
      <c r="AF813" s="530"/>
      <c r="AG813" s="530"/>
      <c r="AL813" s="530"/>
      <c r="AM813" s="530"/>
      <c r="AR813" s="530"/>
      <c r="AS813" s="530"/>
      <c r="AX813" s="530"/>
      <c r="AY813" s="530"/>
      <c r="BD813" s="530"/>
      <c r="BE813" s="530"/>
      <c r="BJ813" s="530"/>
      <c r="BK813" s="530"/>
      <c r="BP813" s="530"/>
      <c r="BQ813" s="530"/>
      <c r="BV813" s="530"/>
      <c r="BW813" s="530"/>
    </row>
    <row r="814">
      <c r="N814" s="530"/>
      <c r="O814" s="530"/>
      <c r="T814" s="530"/>
      <c r="U814" s="530"/>
      <c r="Z814" s="530"/>
      <c r="AA814" s="530"/>
      <c r="AF814" s="530"/>
      <c r="AG814" s="530"/>
      <c r="AL814" s="530"/>
      <c r="AM814" s="530"/>
      <c r="AR814" s="530"/>
      <c r="AS814" s="530"/>
      <c r="AX814" s="530"/>
      <c r="AY814" s="530"/>
      <c r="BD814" s="530"/>
      <c r="BE814" s="530"/>
      <c r="BJ814" s="530"/>
      <c r="BK814" s="530"/>
      <c r="BP814" s="530"/>
      <c r="BQ814" s="530"/>
      <c r="BV814" s="530"/>
      <c r="BW814" s="530"/>
    </row>
    <row r="815">
      <c r="N815" s="530"/>
      <c r="O815" s="530"/>
      <c r="T815" s="530"/>
      <c r="U815" s="530"/>
      <c r="Z815" s="530"/>
      <c r="AA815" s="530"/>
      <c r="AF815" s="530"/>
      <c r="AG815" s="530"/>
      <c r="AL815" s="530"/>
      <c r="AM815" s="530"/>
      <c r="AR815" s="530"/>
      <c r="AS815" s="530"/>
      <c r="AX815" s="530"/>
      <c r="AY815" s="530"/>
      <c r="BD815" s="530"/>
      <c r="BE815" s="530"/>
      <c r="BJ815" s="530"/>
      <c r="BK815" s="530"/>
      <c r="BP815" s="530"/>
      <c r="BQ815" s="530"/>
      <c r="BV815" s="530"/>
      <c r="BW815" s="530"/>
    </row>
    <row r="816">
      <c r="N816" s="530"/>
      <c r="O816" s="530"/>
      <c r="T816" s="530"/>
      <c r="U816" s="530"/>
      <c r="Z816" s="530"/>
      <c r="AA816" s="530"/>
      <c r="AF816" s="530"/>
      <c r="AG816" s="530"/>
      <c r="AL816" s="530"/>
      <c r="AM816" s="530"/>
      <c r="AR816" s="530"/>
      <c r="AS816" s="530"/>
      <c r="AX816" s="530"/>
      <c r="AY816" s="530"/>
      <c r="BD816" s="530"/>
      <c r="BE816" s="530"/>
      <c r="BJ816" s="530"/>
      <c r="BK816" s="530"/>
      <c r="BP816" s="530"/>
      <c r="BQ816" s="530"/>
      <c r="BV816" s="530"/>
      <c r="BW816" s="530"/>
    </row>
    <row r="817">
      <c r="N817" s="530"/>
      <c r="O817" s="530"/>
      <c r="T817" s="530"/>
      <c r="U817" s="530"/>
      <c r="Z817" s="530"/>
      <c r="AA817" s="530"/>
      <c r="AF817" s="530"/>
      <c r="AG817" s="530"/>
      <c r="AL817" s="530"/>
      <c r="AM817" s="530"/>
      <c r="AR817" s="530"/>
      <c r="AS817" s="530"/>
      <c r="AX817" s="530"/>
      <c r="AY817" s="530"/>
      <c r="BD817" s="530"/>
      <c r="BE817" s="530"/>
      <c r="BJ817" s="530"/>
      <c r="BK817" s="530"/>
      <c r="BP817" s="530"/>
      <c r="BQ817" s="530"/>
      <c r="BV817" s="530"/>
      <c r="BW817" s="530"/>
    </row>
    <row r="818">
      <c r="N818" s="530"/>
      <c r="O818" s="530"/>
      <c r="T818" s="530"/>
      <c r="U818" s="530"/>
      <c r="Z818" s="530"/>
      <c r="AA818" s="530"/>
      <c r="AF818" s="530"/>
      <c r="AG818" s="530"/>
      <c r="AL818" s="530"/>
      <c r="AM818" s="530"/>
      <c r="AR818" s="530"/>
      <c r="AS818" s="530"/>
      <c r="AX818" s="530"/>
      <c r="AY818" s="530"/>
      <c r="BD818" s="530"/>
      <c r="BE818" s="530"/>
      <c r="BJ818" s="530"/>
      <c r="BK818" s="530"/>
      <c r="BP818" s="530"/>
      <c r="BQ818" s="530"/>
      <c r="BV818" s="530"/>
      <c r="BW818" s="530"/>
    </row>
    <row r="819">
      <c r="N819" s="530"/>
      <c r="O819" s="530"/>
      <c r="T819" s="530"/>
      <c r="U819" s="530"/>
      <c r="Z819" s="530"/>
      <c r="AA819" s="530"/>
      <c r="AF819" s="530"/>
      <c r="AG819" s="530"/>
      <c r="AL819" s="530"/>
      <c r="AM819" s="530"/>
      <c r="AR819" s="530"/>
      <c r="AS819" s="530"/>
      <c r="AX819" s="530"/>
      <c r="AY819" s="530"/>
      <c r="BD819" s="530"/>
      <c r="BE819" s="530"/>
      <c r="BJ819" s="530"/>
      <c r="BK819" s="530"/>
      <c r="BP819" s="530"/>
      <c r="BQ819" s="530"/>
      <c r="BV819" s="530"/>
      <c r="BW819" s="530"/>
    </row>
    <row r="820">
      <c r="N820" s="530"/>
      <c r="O820" s="530"/>
      <c r="T820" s="530"/>
      <c r="U820" s="530"/>
      <c r="Z820" s="530"/>
      <c r="AA820" s="530"/>
      <c r="AF820" s="530"/>
      <c r="AG820" s="530"/>
      <c r="AL820" s="530"/>
      <c r="AM820" s="530"/>
      <c r="AR820" s="530"/>
      <c r="AS820" s="530"/>
      <c r="AX820" s="530"/>
      <c r="AY820" s="530"/>
      <c r="BD820" s="530"/>
      <c r="BE820" s="530"/>
      <c r="BJ820" s="530"/>
      <c r="BK820" s="530"/>
      <c r="BP820" s="530"/>
      <c r="BQ820" s="530"/>
      <c r="BV820" s="530"/>
      <c r="BW820" s="530"/>
    </row>
    <row r="821">
      <c r="N821" s="530"/>
      <c r="O821" s="530"/>
      <c r="T821" s="530"/>
      <c r="U821" s="530"/>
      <c r="Z821" s="530"/>
      <c r="AA821" s="530"/>
      <c r="AF821" s="530"/>
      <c r="AG821" s="530"/>
      <c r="AL821" s="530"/>
      <c r="AM821" s="530"/>
      <c r="AR821" s="530"/>
      <c r="AS821" s="530"/>
      <c r="AX821" s="530"/>
      <c r="AY821" s="530"/>
      <c r="BD821" s="530"/>
      <c r="BE821" s="530"/>
      <c r="BJ821" s="530"/>
      <c r="BK821" s="530"/>
      <c r="BP821" s="530"/>
      <c r="BQ821" s="530"/>
      <c r="BV821" s="530"/>
      <c r="BW821" s="530"/>
    </row>
    <row r="822">
      <c r="N822" s="530"/>
      <c r="O822" s="530"/>
      <c r="T822" s="530"/>
      <c r="U822" s="530"/>
      <c r="Z822" s="530"/>
      <c r="AA822" s="530"/>
      <c r="AF822" s="530"/>
      <c r="AG822" s="530"/>
      <c r="AL822" s="530"/>
      <c r="AM822" s="530"/>
      <c r="AR822" s="530"/>
      <c r="AS822" s="530"/>
      <c r="AX822" s="530"/>
      <c r="AY822" s="530"/>
      <c r="BD822" s="530"/>
      <c r="BE822" s="530"/>
      <c r="BJ822" s="530"/>
      <c r="BK822" s="530"/>
      <c r="BP822" s="530"/>
      <c r="BQ822" s="530"/>
      <c r="BV822" s="530"/>
      <c r="BW822" s="530"/>
    </row>
    <row r="823">
      <c r="N823" s="530"/>
      <c r="O823" s="530"/>
      <c r="T823" s="530"/>
      <c r="U823" s="530"/>
      <c r="Z823" s="530"/>
      <c r="AA823" s="530"/>
      <c r="AF823" s="530"/>
      <c r="AG823" s="530"/>
      <c r="AL823" s="530"/>
      <c r="AM823" s="530"/>
      <c r="AR823" s="530"/>
      <c r="AS823" s="530"/>
      <c r="AX823" s="530"/>
      <c r="AY823" s="530"/>
      <c r="BD823" s="530"/>
      <c r="BE823" s="530"/>
      <c r="BJ823" s="530"/>
      <c r="BK823" s="530"/>
      <c r="BP823" s="530"/>
      <c r="BQ823" s="530"/>
      <c r="BV823" s="530"/>
      <c r="BW823" s="530"/>
    </row>
    <row r="824">
      <c r="N824" s="530"/>
      <c r="O824" s="530"/>
      <c r="T824" s="530"/>
      <c r="U824" s="530"/>
      <c r="Z824" s="530"/>
      <c r="AA824" s="530"/>
      <c r="AF824" s="530"/>
      <c r="AG824" s="530"/>
      <c r="AL824" s="530"/>
      <c r="AM824" s="530"/>
      <c r="AR824" s="530"/>
      <c r="AS824" s="530"/>
      <c r="AX824" s="530"/>
      <c r="AY824" s="530"/>
      <c r="BD824" s="530"/>
      <c r="BE824" s="530"/>
      <c r="BJ824" s="530"/>
      <c r="BK824" s="530"/>
      <c r="BP824" s="530"/>
      <c r="BQ824" s="530"/>
      <c r="BV824" s="530"/>
      <c r="BW824" s="530"/>
    </row>
    <row r="825">
      <c r="N825" s="530"/>
      <c r="O825" s="530"/>
      <c r="T825" s="530"/>
      <c r="U825" s="530"/>
      <c r="Z825" s="530"/>
      <c r="AA825" s="530"/>
      <c r="AF825" s="530"/>
      <c r="AG825" s="530"/>
      <c r="AL825" s="530"/>
      <c r="AM825" s="530"/>
      <c r="AR825" s="530"/>
      <c r="AS825" s="530"/>
      <c r="AX825" s="530"/>
      <c r="AY825" s="530"/>
      <c r="BD825" s="530"/>
      <c r="BE825" s="530"/>
      <c r="BJ825" s="530"/>
      <c r="BK825" s="530"/>
      <c r="BP825" s="530"/>
      <c r="BQ825" s="530"/>
      <c r="BV825" s="530"/>
      <c r="BW825" s="530"/>
    </row>
    <row r="826">
      <c r="N826" s="530"/>
      <c r="O826" s="530"/>
      <c r="T826" s="530"/>
      <c r="U826" s="530"/>
      <c r="Z826" s="530"/>
      <c r="AA826" s="530"/>
      <c r="AF826" s="530"/>
      <c r="AG826" s="530"/>
      <c r="AL826" s="530"/>
      <c r="AM826" s="530"/>
      <c r="AR826" s="530"/>
      <c r="AS826" s="530"/>
      <c r="AX826" s="530"/>
      <c r="AY826" s="530"/>
      <c r="BD826" s="530"/>
      <c r="BE826" s="530"/>
      <c r="BJ826" s="530"/>
      <c r="BK826" s="530"/>
      <c r="BP826" s="530"/>
      <c r="BQ826" s="530"/>
      <c r="BV826" s="530"/>
      <c r="BW826" s="530"/>
    </row>
    <row r="827">
      <c r="N827" s="530"/>
      <c r="O827" s="530"/>
      <c r="T827" s="530"/>
      <c r="U827" s="530"/>
      <c r="Z827" s="530"/>
      <c r="AA827" s="530"/>
      <c r="AF827" s="530"/>
      <c r="AG827" s="530"/>
      <c r="AL827" s="530"/>
      <c r="AM827" s="530"/>
      <c r="AR827" s="530"/>
      <c r="AS827" s="530"/>
      <c r="AX827" s="530"/>
      <c r="AY827" s="530"/>
      <c r="BD827" s="530"/>
      <c r="BE827" s="530"/>
      <c r="BJ827" s="530"/>
      <c r="BK827" s="530"/>
      <c r="BP827" s="530"/>
      <c r="BQ827" s="530"/>
      <c r="BV827" s="530"/>
      <c r="BW827" s="530"/>
    </row>
    <row r="828">
      <c r="N828" s="530"/>
      <c r="O828" s="530"/>
      <c r="T828" s="530"/>
      <c r="U828" s="530"/>
      <c r="Z828" s="530"/>
      <c r="AA828" s="530"/>
      <c r="AF828" s="530"/>
      <c r="AG828" s="530"/>
      <c r="AL828" s="530"/>
      <c r="AM828" s="530"/>
      <c r="AR828" s="530"/>
      <c r="AS828" s="530"/>
      <c r="AX828" s="530"/>
      <c r="AY828" s="530"/>
      <c r="BD828" s="530"/>
      <c r="BE828" s="530"/>
      <c r="BJ828" s="530"/>
      <c r="BK828" s="530"/>
      <c r="BP828" s="530"/>
      <c r="BQ828" s="530"/>
      <c r="BV828" s="530"/>
      <c r="BW828" s="530"/>
    </row>
    <row r="829">
      <c r="N829" s="530"/>
      <c r="O829" s="530"/>
      <c r="T829" s="530"/>
      <c r="U829" s="530"/>
      <c r="Z829" s="530"/>
      <c r="AA829" s="530"/>
      <c r="AF829" s="530"/>
      <c r="AG829" s="530"/>
      <c r="AL829" s="530"/>
      <c r="AM829" s="530"/>
      <c r="AR829" s="530"/>
      <c r="AS829" s="530"/>
      <c r="AX829" s="530"/>
      <c r="AY829" s="530"/>
      <c r="BD829" s="530"/>
      <c r="BE829" s="530"/>
      <c r="BJ829" s="530"/>
      <c r="BK829" s="530"/>
      <c r="BP829" s="530"/>
      <c r="BQ829" s="530"/>
      <c r="BV829" s="530"/>
      <c r="BW829" s="530"/>
    </row>
    <row r="830">
      <c r="N830" s="530"/>
      <c r="O830" s="530"/>
      <c r="T830" s="530"/>
      <c r="U830" s="530"/>
      <c r="Z830" s="530"/>
      <c r="AA830" s="530"/>
      <c r="AF830" s="530"/>
      <c r="AG830" s="530"/>
      <c r="AL830" s="530"/>
      <c r="AM830" s="530"/>
      <c r="AR830" s="530"/>
      <c r="AS830" s="530"/>
      <c r="AX830" s="530"/>
      <c r="AY830" s="530"/>
      <c r="BD830" s="530"/>
      <c r="BE830" s="530"/>
      <c r="BJ830" s="530"/>
      <c r="BK830" s="530"/>
      <c r="BP830" s="530"/>
      <c r="BQ830" s="530"/>
      <c r="BV830" s="530"/>
      <c r="BW830" s="530"/>
    </row>
    <row r="831">
      <c r="N831" s="530"/>
      <c r="O831" s="530"/>
      <c r="T831" s="530"/>
      <c r="U831" s="530"/>
      <c r="Z831" s="530"/>
      <c r="AA831" s="530"/>
      <c r="AF831" s="530"/>
      <c r="AG831" s="530"/>
      <c r="AL831" s="530"/>
      <c r="AM831" s="530"/>
      <c r="AR831" s="530"/>
      <c r="AS831" s="530"/>
      <c r="AX831" s="530"/>
      <c r="AY831" s="530"/>
      <c r="BD831" s="530"/>
      <c r="BE831" s="530"/>
      <c r="BJ831" s="530"/>
      <c r="BK831" s="530"/>
      <c r="BP831" s="530"/>
      <c r="BQ831" s="530"/>
      <c r="BV831" s="530"/>
      <c r="BW831" s="530"/>
    </row>
    <row r="832">
      <c r="N832" s="530"/>
      <c r="O832" s="530"/>
      <c r="T832" s="530"/>
      <c r="U832" s="530"/>
      <c r="Z832" s="530"/>
      <c r="AA832" s="530"/>
      <c r="AF832" s="530"/>
      <c r="AG832" s="530"/>
      <c r="AL832" s="530"/>
      <c r="AM832" s="530"/>
      <c r="AR832" s="530"/>
      <c r="AS832" s="530"/>
      <c r="AX832" s="530"/>
      <c r="AY832" s="530"/>
      <c r="BD832" s="530"/>
      <c r="BE832" s="530"/>
      <c r="BJ832" s="530"/>
      <c r="BK832" s="530"/>
      <c r="BP832" s="530"/>
      <c r="BQ832" s="530"/>
      <c r="BV832" s="530"/>
      <c r="BW832" s="530"/>
    </row>
    <row r="833">
      <c r="N833" s="530"/>
      <c r="O833" s="530"/>
      <c r="T833" s="530"/>
      <c r="U833" s="530"/>
      <c r="Z833" s="530"/>
      <c r="AA833" s="530"/>
      <c r="AF833" s="530"/>
      <c r="AG833" s="530"/>
      <c r="AL833" s="530"/>
      <c r="AM833" s="530"/>
      <c r="AR833" s="530"/>
      <c r="AS833" s="530"/>
      <c r="AX833" s="530"/>
      <c r="AY833" s="530"/>
      <c r="BD833" s="530"/>
      <c r="BE833" s="530"/>
      <c r="BJ833" s="530"/>
      <c r="BK833" s="530"/>
      <c r="BP833" s="530"/>
      <c r="BQ833" s="530"/>
      <c r="BV833" s="530"/>
      <c r="BW833" s="530"/>
    </row>
    <row r="834">
      <c r="N834" s="530"/>
      <c r="O834" s="530"/>
      <c r="T834" s="530"/>
      <c r="U834" s="530"/>
      <c r="Z834" s="530"/>
      <c r="AA834" s="530"/>
      <c r="AF834" s="530"/>
      <c r="AG834" s="530"/>
      <c r="AL834" s="530"/>
      <c r="AM834" s="530"/>
      <c r="AR834" s="530"/>
      <c r="AS834" s="530"/>
      <c r="AX834" s="530"/>
      <c r="AY834" s="530"/>
      <c r="BD834" s="530"/>
      <c r="BE834" s="530"/>
      <c r="BJ834" s="530"/>
      <c r="BK834" s="530"/>
      <c r="BP834" s="530"/>
      <c r="BQ834" s="530"/>
      <c r="BV834" s="530"/>
      <c r="BW834" s="530"/>
    </row>
    <row r="835">
      <c r="N835" s="530"/>
      <c r="O835" s="530"/>
      <c r="T835" s="530"/>
      <c r="U835" s="530"/>
      <c r="Z835" s="530"/>
      <c r="AA835" s="530"/>
      <c r="AF835" s="530"/>
      <c r="AG835" s="530"/>
      <c r="AL835" s="530"/>
      <c r="AM835" s="530"/>
      <c r="AR835" s="530"/>
      <c r="AS835" s="530"/>
      <c r="AX835" s="530"/>
      <c r="AY835" s="530"/>
      <c r="BD835" s="530"/>
      <c r="BE835" s="530"/>
      <c r="BJ835" s="530"/>
      <c r="BK835" s="530"/>
      <c r="BP835" s="530"/>
      <c r="BQ835" s="530"/>
      <c r="BV835" s="530"/>
      <c r="BW835" s="530"/>
    </row>
    <row r="836">
      <c r="N836" s="530"/>
      <c r="O836" s="530"/>
      <c r="T836" s="530"/>
      <c r="U836" s="530"/>
      <c r="Z836" s="530"/>
      <c r="AA836" s="530"/>
      <c r="AF836" s="530"/>
      <c r="AG836" s="530"/>
      <c r="AL836" s="530"/>
      <c r="AM836" s="530"/>
      <c r="AR836" s="530"/>
      <c r="AS836" s="530"/>
      <c r="AX836" s="530"/>
      <c r="AY836" s="530"/>
      <c r="BD836" s="530"/>
      <c r="BE836" s="530"/>
      <c r="BJ836" s="530"/>
      <c r="BK836" s="530"/>
      <c r="BP836" s="530"/>
      <c r="BQ836" s="530"/>
      <c r="BV836" s="530"/>
      <c r="BW836" s="530"/>
    </row>
    <row r="837">
      <c r="N837" s="530"/>
      <c r="O837" s="530"/>
      <c r="T837" s="530"/>
      <c r="U837" s="530"/>
      <c r="Z837" s="530"/>
      <c r="AA837" s="530"/>
      <c r="AF837" s="530"/>
      <c r="AG837" s="530"/>
      <c r="AL837" s="530"/>
      <c r="AM837" s="530"/>
      <c r="AR837" s="530"/>
      <c r="AS837" s="530"/>
      <c r="AX837" s="530"/>
      <c r="AY837" s="530"/>
      <c r="BD837" s="530"/>
      <c r="BE837" s="530"/>
      <c r="BJ837" s="530"/>
      <c r="BK837" s="530"/>
      <c r="BP837" s="530"/>
      <c r="BQ837" s="530"/>
      <c r="BV837" s="530"/>
      <c r="BW837" s="530"/>
    </row>
    <row r="838">
      <c r="N838" s="530"/>
      <c r="O838" s="530"/>
      <c r="T838" s="530"/>
      <c r="U838" s="530"/>
      <c r="Z838" s="530"/>
      <c r="AA838" s="530"/>
      <c r="AF838" s="530"/>
      <c r="AG838" s="530"/>
      <c r="AL838" s="530"/>
      <c r="AM838" s="530"/>
      <c r="AR838" s="530"/>
      <c r="AS838" s="530"/>
      <c r="AX838" s="530"/>
      <c r="AY838" s="530"/>
      <c r="BD838" s="530"/>
      <c r="BE838" s="530"/>
      <c r="BJ838" s="530"/>
      <c r="BK838" s="530"/>
      <c r="BP838" s="530"/>
      <c r="BQ838" s="530"/>
      <c r="BV838" s="530"/>
      <c r="BW838" s="530"/>
    </row>
    <row r="839">
      <c r="N839" s="530"/>
      <c r="O839" s="530"/>
      <c r="T839" s="530"/>
      <c r="U839" s="530"/>
      <c r="Z839" s="530"/>
      <c r="AA839" s="530"/>
      <c r="AF839" s="530"/>
      <c r="AG839" s="530"/>
      <c r="AL839" s="530"/>
      <c r="AM839" s="530"/>
      <c r="AR839" s="530"/>
      <c r="AS839" s="530"/>
      <c r="AX839" s="530"/>
      <c r="AY839" s="530"/>
      <c r="BD839" s="530"/>
      <c r="BE839" s="530"/>
      <c r="BJ839" s="530"/>
      <c r="BK839" s="530"/>
      <c r="BP839" s="530"/>
      <c r="BQ839" s="530"/>
      <c r="BV839" s="530"/>
      <c r="BW839" s="530"/>
    </row>
    <row r="840">
      <c r="N840" s="530"/>
      <c r="O840" s="530"/>
      <c r="T840" s="530"/>
      <c r="U840" s="530"/>
      <c r="Z840" s="530"/>
      <c r="AA840" s="530"/>
      <c r="AF840" s="530"/>
      <c r="AG840" s="530"/>
      <c r="AL840" s="530"/>
      <c r="AM840" s="530"/>
      <c r="AR840" s="530"/>
      <c r="AS840" s="530"/>
      <c r="AX840" s="530"/>
      <c r="AY840" s="530"/>
      <c r="BD840" s="530"/>
      <c r="BE840" s="530"/>
      <c r="BJ840" s="530"/>
      <c r="BK840" s="530"/>
      <c r="BP840" s="530"/>
      <c r="BQ840" s="530"/>
      <c r="BV840" s="530"/>
      <c r="BW840" s="530"/>
    </row>
    <row r="841">
      <c r="N841" s="530"/>
      <c r="O841" s="530"/>
      <c r="T841" s="530"/>
      <c r="U841" s="530"/>
      <c r="Z841" s="530"/>
      <c r="AA841" s="530"/>
      <c r="AF841" s="530"/>
      <c r="AG841" s="530"/>
      <c r="AL841" s="530"/>
      <c r="AM841" s="530"/>
      <c r="AR841" s="530"/>
      <c r="AS841" s="530"/>
      <c r="AX841" s="530"/>
      <c r="AY841" s="530"/>
      <c r="BD841" s="530"/>
      <c r="BE841" s="530"/>
      <c r="BJ841" s="530"/>
      <c r="BK841" s="530"/>
      <c r="BP841" s="530"/>
      <c r="BQ841" s="530"/>
      <c r="BV841" s="530"/>
      <c r="BW841" s="530"/>
    </row>
    <row r="842">
      <c r="N842" s="530"/>
      <c r="O842" s="530"/>
      <c r="T842" s="530"/>
      <c r="U842" s="530"/>
      <c r="Z842" s="530"/>
      <c r="AA842" s="530"/>
      <c r="AF842" s="530"/>
      <c r="AG842" s="530"/>
      <c r="AL842" s="530"/>
      <c r="AM842" s="530"/>
      <c r="AR842" s="530"/>
      <c r="AS842" s="530"/>
      <c r="AX842" s="530"/>
      <c r="AY842" s="530"/>
      <c r="BD842" s="530"/>
      <c r="BE842" s="530"/>
      <c r="BJ842" s="530"/>
      <c r="BK842" s="530"/>
      <c r="BP842" s="530"/>
      <c r="BQ842" s="530"/>
      <c r="BV842" s="530"/>
      <c r="BW842" s="530"/>
    </row>
    <row r="843">
      <c r="N843" s="530"/>
      <c r="O843" s="530"/>
      <c r="T843" s="530"/>
      <c r="U843" s="530"/>
      <c r="Z843" s="530"/>
      <c r="AA843" s="530"/>
      <c r="AF843" s="530"/>
      <c r="AG843" s="530"/>
      <c r="AL843" s="530"/>
      <c r="AM843" s="530"/>
      <c r="AR843" s="530"/>
      <c r="AS843" s="530"/>
      <c r="AX843" s="530"/>
      <c r="AY843" s="530"/>
      <c r="BD843" s="530"/>
      <c r="BE843" s="530"/>
      <c r="BJ843" s="530"/>
      <c r="BK843" s="530"/>
      <c r="BP843" s="530"/>
      <c r="BQ843" s="530"/>
      <c r="BV843" s="530"/>
      <c r="BW843" s="530"/>
    </row>
    <row r="844">
      <c r="N844" s="530"/>
      <c r="O844" s="530"/>
      <c r="T844" s="530"/>
      <c r="U844" s="530"/>
      <c r="Z844" s="530"/>
      <c r="AA844" s="530"/>
      <c r="AF844" s="530"/>
      <c r="AG844" s="530"/>
      <c r="AL844" s="530"/>
      <c r="AM844" s="530"/>
      <c r="AR844" s="530"/>
      <c r="AS844" s="530"/>
      <c r="AX844" s="530"/>
      <c r="AY844" s="530"/>
      <c r="BD844" s="530"/>
      <c r="BE844" s="530"/>
      <c r="BJ844" s="530"/>
      <c r="BK844" s="530"/>
      <c r="BP844" s="530"/>
      <c r="BQ844" s="530"/>
      <c r="BV844" s="530"/>
      <c r="BW844" s="530"/>
    </row>
    <row r="845">
      <c r="N845" s="530"/>
      <c r="O845" s="530"/>
      <c r="T845" s="530"/>
      <c r="U845" s="530"/>
      <c r="Z845" s="530"/>
      <c r="AA845" s="530"/>
      <c r="AF845" s="530"/>
      <c r="AG845" s="530"/>
      <c r="AL845" s="530"/>
      <c r="AM845" s="530"/>
      <c r="AR845" s="530"/>
      <c r="AS845" s="530"/>
      <c r="AX845" s="530"/>
      <c r="AY845" s="530"/>
      <c r="BD845" s="530"/>
      <c r="BE845" s="530"/>
      <c r="BJ845" s="530"/>
      <c r="BK845" s="530"/>
      <c r="BP845" s="530"/>
      <c r="BQ845" s="530"/>
      <c r="BV845" s="530"/>
      <c r="BW845" s="530"/>
    </row>
    <row r="846">
      <c r="N846" s="530"/>
      <c r="O846" s="530"/>
      <c r="T846" s="530"/>
      <c r="U846" s="530"/>
      <c r="Z846" s="530"/>
      <c r="AA846" s="530"/>
      <c r="AF846" s="530"/>
      <c r="AG846" s="530"/>
      <c r="AL846" s="530"/>
      <c r="AM846" s="530"/>
      <c r="AR846" s="530"/>
      <c r="AS846" s="530"/>
      <c r="AX846" s="530"/>
      <c r="AY846" s="530"/>
      <c r="BD846" s="530"/>
      <c r="BE846" s="530"/>
      <c r="BJ846" s="530"/>
      <c r="BK846" s="530"/>
      <c r="BP846" s="530"/>
      <c r="BQ846" s="530"/>
      <c r="BV846" s="530"/>
      <c r="BW846" s="530"/>
    </row>
    <row r="847">
      <c r="N847" s="530"/>
      <c r="O847" s="530"/>
      <c r="T847" s="530"/>
      <c r="U847" s="530"/>
      <c r="Z847" s="530"/>
      <c r="AA847" s="530"/>
      <c r="AF847" s="530"/>
      <c r="AG847" s="530"/>
      <c r="AL847" s="530"/>
      <c r="AM847" s="530"/>
      <c r="AR847" s="530"/>
      <c r="AS847" s="530"/>
      <c r="AX847" s="530"/>
      <c r="AY847" s="530"/>
      <c r="BD847" s="530"/>
      <c r="BE847" s="530"/>
      <c r="BJ847" s="530"/>
      <c r="BK847" s="530"/>
      <c r="BP847" s="530"/>
      <c r="BQ847" s="530"/>
      <c r="BV847" s="530"/>
      <c r="BW847" s="530"/>
    </row>
    <row r="848">
      <c r="N848" s="530"/>
      <c r="O848" s="530"/>
      <c r="T848" s="530"/>
      <c r="U848" s="530"/>
      <c r="Z848" s="530"/>
      <c r="AA848" s="530"/>
      <c r="AF848" s="530"/>
      <c r="AG848" s="530"/>
      <c r="AL848" s="530"/>
      <c r="AM848" s="530"/>
      <c r="AR848" s="530"/>
      <c r="AS848" s="530"/>
      <c r="AX848" s="530"/>
      <c r="AY848" s="530"/>
      <c r="BD848" s="530"/>
      <c r="BE848" s="530"/>
      <c r="BJ848" s="530"/>
      <c r="BK848" s="530"/>
      <c r="BP848" s="530"/>
      <c r="BQ848" s="530"/>
      <c r="BV848" s="530"/>
      <c r="BW848" s="530"/>
    </row>
    <row r="849">
      <c r="N849" s="530"/>
      <c r="O849" s="530"/>
      <c r="T849" s="530"/>
      <c r="U849" s="530"/>
      <c r="Z849" s="530"/>
      <c r="AA849" s="530"/>
      <c r="AF849" s="530"/>
      <c r="AG849" s="530"/>
      <c r="AL849" s="530"/>
      <c r="AM849" s="530"/>
      <c r="AR849" s="530"/>
      <c r="AS849" s="530"/>
      <c r="AX849" s="530"/>
      <c r="AY849" s="530"/>
      <c r="BD849" s="530"/>
      <c r="BE849" s="530"/>
      <c r="BJ849" s="530"/>
      <c r="BK849" s="530"/>
      <c r="BP849" s="530"/>
      <c r="BQ849" s="530"/>
      <c r="BV849" s="530"/>
      <c r="BW849" s="530"/>
    </row>
    <row r="850">
      <c r="N850" s="530"/>
      <c r="O850" s="530"/>
      <c r="T850" s="530"/>
      <c r="U850" s="530"/>
      <c r="Z850" s="530"/>
      <c r="AA850" s="530"/>
      <c r="AF850" s="530"/>
      <c r="AG850" s="530"/>
      <c r="AL850" s="530"/>
      <c r="AM850" s="530"/>
      <c r="AR850" s="530"/>
      <c r="AS850" s="530"/>
      <c r="AX850" s="530"/>
      <c r="AY850" s="530"/>
      <c r="BD850" s="530"/>
      <c r="BE850" s="530"/>
      <c r="BJ850" s="530"/>
      <c r="BK850" s="530"/>
      <c r="BP850" s="530"/>
      <c r="BQ850" s="530"/>
      <c r="BV850" s="530"/>
      <c r="BW850" s="530"/>
    </row>
    <row r="851">
      <c r="N851" s="530"/>
      <c r="O851" s="530"/>
      <c r="T851" s="530"/>
      <c r="U851" s="530"/>
      <c r="Z851" s="530"/>
      <c r="AA851" s="530"/>
      <c r="AF851" s="530"/>
      <c r="AG851" s="530"/>
      <c r="AL851" s="530"/>
      <c r="AM851" s="530"/>
      <c r="AR851" s="530"/>
      <c r="AS851" s="530"/>
      <c r="AX851" s="530"/>
      <c r="AY851" s="530"/>
      <c r="BD851" s="530"/>
      <c r="BE851" s="530"/>
      <c r="BJ851" s="530"/>
      <c r="BK851" s="530"/>
      <c r="BP851" s="530"/>
      <c r="BQ851" s="530"/>
      <c r="BV851" s="530"/>
      <c r="BW851" s="530"/>
    </row>
    <row r="852">
      <c r="N852" s="530"/>
      <c r="O852" s="530"/>
      <c r="T852" s="530"/>
      <c r="U852" s="530"/>
      <c r="Z852" s="530"/>
      <c r="AA852" s="530"/>
      <c r="AF852" s="530"/>
      <c r="AG852" s="530"/>
      <c r="AL852" s="530"/>
      <c r="AM852" s="530"/>
      <c r="AR852" s="530"/>
      <c r="AS852" s="530"/>
      <c r="AX852" s="530"/>
      <c r="AY852" s="530"/>
      <c r="BD852" s="530"/>
      <c r="BE852" s="530"/>
      <c r="BJ852" s="530"/>
      <c r="BK852" s="530"/>
      <c r="BP852" s="530"/>
      <c r="BQ852" s="530"/>
      <c r="BV852" s="530"/>
      <c r="BW852" s="530"/>
    </row>
    <row r="853">
      <c r="N853" s="530"/>
      <c r="O853" s="530"/>
      <c r="T853" s="530"/>
      <c r="U853" s="530"/>
      <c r="Z853" s="530"/>
      <c r="AA853" s="530"/>
      <c r="AF853" s="530"/>
      <c r="AG853" s="530"/>
      <c r="AL853" s="530"/>
      <c r="AM853" s="530"/>
      <c r="AR853" s="530"/>
      <c r="AS853" s="530"/>
      <c r="AX853" s="530"/>
      <c r="AY853" s="530"/>
      <c r="BD853" s="530"/>
      <c r="BE853" s="530"/>
      <c r="BJ853" s="530"/>
      <c r="BK853" s="530"/>
      <c r="BP853" s="530"/>
      <c r="BQ853" s="530"/>
      <c r="BV853" s="530"/>
      <c r="BW853" s="530"/>
    </row>
    <row r="854">
      <c r="N854" s="530"/>
      <c r="O854" s="530"/>
      <c r="T854" s="530"/>
      <c r="U854" s="530"/>
      <c r="Z854" s="530"/>
      <c r="AA854" s="530"/>
      <c r="AF854" s="530"/>
      <c r="AG854" s="530"/>
      <c r="AL854" s="530"/>
      <c r="AM854" s="530"/>
      <c r="AR854" s="530"/>
      <c r="AS854" s="530"/>
      <c r="AX854" s="530"/>
      <c r="AY854" s="530"/>
      <c r="BD854" s="530"/>
      <c r="BE854" s="530"/>
      <c r="BJ854" s="530"/>
      <c r="BK854" s="530"/>
      <c r="BP854" s="530"/>
      <c r="BQ854" s="530"/>
      <c r="BV854" s="530"/>
      <c r="BW854" s="530"/>
    </row>
    <row r="855">
      <c r="N855" s="530"/>
      <c r="O855" s="530"/>
      <c r="T855" s="530"/>
      <c r="U855" s="530"/>
      <c r="Z855" s="530"/>
      <c r="AA855" s="530"/>
      <c r="AF855" s="530"/>
      <c r="AG855" s="530"/>
      <c r="AL855" s="530"/>
      <c r="AM855" s="530"/>
      <c r="AR855" s="530"/>
      <c r="AS855" s="530"/>
      <c r="AX855" s="530"/>
      <c r="AY855" s="530"/>
      <c r="BD855" s="530"/>
      <c r="BE855" s="530"/>
      <c r="BJ855" s="530"/>
      <c r="BK855" s="530"/>
      <c r="BP855" s="530"/>
      <c r="BQ855" s="530"/>
      <c r="BV855" s="530"/>
      <c r="BW855" s="530"/>
    </row>
    <row r="856">
      <c r="N856" s="530"/>
      <c r="O856" s="530"/>
      <c r="T856" s="530"/>
      <c r="U856" s="530"/>
      <c r="Z856" s="530"/>
      <c r="AA856" s="530"/>
      <c r="AF856" s="530"/>
      <c r="AG856" s="530"/>
      <c r="AL856" s="530"/>
      <c r="AM856" s="530"/>
      <c r="AR856" s="530"/>
      <c r="AS856" s="530"/>
      <c r="AX856" s="530"/>
      <c r="AY856" s="530"/>
      <c r="BD856" s="530"/>
      <c r="BE856" s="530"/>
      <c r="BJ856" s="530"/>
      <c r="BK856" s="530"/>
      <c r="BP856" s="530"/>
      <c r="BQ856" s="530"/>
      <c r="BV856" s="530"/>
      <c r="BW856" s="530"/>
    </row>
    <row r="857">
      <c r="N857" s="530"/>
      <c r="O857" s="530"/>
      <c r="T857" s="530"/>
      <c r="U857" s="530"/>
      <c r="Z857" s="530"/>
      <c r="AA857" s="530"/>
      <c r="AF857" s="530"/>
      <c r="AG857" s="530"/>
      <c r="AL857" s="530"/>
      <c r="AM857" s="530"/>
      <c r="AR857" s="530"/>
      <c r="AS857" s="530"/>
      <c r="AX857" s="530"/>
      <c r="AY857" s="530"/>
      <c r="BD857" s="530"/>
      <c r="BE857" s="530"/>
      <c r="BJ857" s="530"/>
      <c r="BK857" s="530"/>
      <c r="BP857" s="530"/>
      <c r="BQ857" s="530"/>
      <c r="BV857" s="530"/>
      <c r="BW857" s="530"/>
    </row>
    <row r="858">
      <c r="N858" s="530"/>
      <c r="O858" s="530"/>
      <c r="T858" s="530"/>
      <c r="U858" s="530"/>
      <c r="Z858" s="530"/>
      <c r="AA858" s="530"/>
      <c r="AF858" s="530"/>
      <c r="AG858" s="530"/>
      <c r="AL858" s="530"/>
      <c r="AM858" s="530"/>
      <c r="AR858" s="530"/>
      <c r="AS858" s="530"/>
      <c r="AX858" s="530"/>
      <c r="AY858" s="530"/>
      <c r="BD858" s="530"/>
      <c r="BE858" s="530"/>
      <c r="BJ858" s="530"/>
      <c r="BK858" s="530"/>
      <c r="BP858" s="530"/>
      <c r="BQ858" s="530"/>
      <c r="BV858" s="530"/>
      <c r="BW858" s="530"/>
    </row>
    <row r="859">
      <c r="N859" s="530"/>
      <c r="O859" s="530"/>
      <c r="T859" s="530"/>
      <c r="U859" s="530"/>
      <c r="Z859" s="530"/>
      <c r="AA859" s="530"/>
      <c r="AF859" s="530"/>
      <c r="AG859" s="530"/>
      <c r="AL859" s="530"/>
      <c r="AM859" s="530"/>
      <c r="AR859" s="530"/>
      <c r="AS859" s="530"/>
      <c r="AX859" s="530"/>
      <c r="AY859" s="530"/>
      <c r="BD859" s="530"/>
      <c r="BE859" s="530"/>
      <c r="BJ859" s="530"/>
      <c r="BK859" s="530"/>
      <c r="BP859" s="530"/>
      <c r="BQ859" s="530"/>
      <c r="BV859" s="530"/>
      <c r="BW859" s="530"/>
    </row>
    <row r="860">
      <c r="N860" s="530"/>
      <c r="O860" s="530"/>
      <c r="T860" s="530"/>
      <c r="U860" s="530"/>
      <c r="Z860" s="530"/>
      <c r="AA860" s="530"/>
      <c r="AF860" s="530"/>
      <c r="AG860" s="530"/>
      <c r="AL860" s="530"/>
      <c r="AM860" s="530"/>
      <c r="AR860" s="530"/>
      <c r="AS860" s="530"/>
      <c r="AX860" s="530"/>
      <c r="AY860" s="530"/>
      <c r="BD860" s="530"/>
      <c r="BE860" s="530"/>
      <c r="BJ860" s="530"/>
      <c r="BK860" s="530"/>
      <c r="BP860" s="530"/>
      <c r="BQ860" s="530"/>
      <c r="BV860" s="530"/>
      <c r="BW860" s="530"/>
    </row>
    <row r="861">
      <c r="N861" s="530"/>
      <c r="O861" s="530"/>
      <c r="T861" s="530"/>
      <c r="U861" s="530"/>
      <c r="Z861" s="530"/>
      <c r="AA861" s="530"/>
      <c r="AF861" s="530"/>
      <c r="AG861" s="530"/>
      <c r="AL861" s="530"/>
      <c r="AM861" s="530"/>
      <c r="AR861" s="530"/>
      <c r="AS861" s="530"/>
      <c r="AX861" s="530"/>
      <c r="AY861" s="530"/>
      <c r="BD861" s="530"/>
      <c r="BE861" s="530"/>
      <c r="BJ861" s="530"/>
      <c r="BK861" s="530"/>
      <c r="BP861" s="530"/>
      <c r="BQ861" s="530"/>
      <c r="BV861" s="530"/>
      <c r="BW861" s="530"/>
    </row>
    <row r="862">
      <c r="N862" s="530"/>
      <c r="O862" s="530"/>
      <c r="T862" s="530"/>
      <c r="U862" s="530"/>
      <c r="Z862" s="530"/>
      <c r="AA862" s="530"/>
      <c r="AF862" s="530"/>
      <c r="AG862" s="530"/>
      <c r="AL862" s="530"/>
      <c r="AM862" s="530"/>
      <c r="AR862" s="530"/>
      <c r="AS862" s="530"/>
      <c r="AX862" s="530"/>
      <c r="AY862" s="530"/>
      <c r="BD862" s="530"/>
      <c r="BE862" s="530"/>
      <c r="BJ862" s="530"/>
      <c r="BK862" s="530"/>
      <c r="BP862" s="530"/>
      <c r="BQ862" s="530"/>
      <c r="BV862" s="530"/>
      <c r="BW862" s="530"/>
    </row>
    <row r="863">
      <c r="N863" s="530"/>
      <c r="O863" s="530"/>
      <c r="T863" s="530"/>
      <c r="U863" s="530"/>
      <c r="Z863" s="530"/>
      <c r="AA863" s="530"/>
      <c r="AF863" s="530"/>
      <c r="AG863" s="530"/>
      <c r="AL863" s="530"/>
      <c r="AM863" s="530"/>
      <c r="AR863" s="530"/>
      <c r="AS863" s="530"/>
      <c r="AX863" s="530"/>
      <c r="AY863" s="530"/>
      <c r="BD863" s="530"/>
      <c r="BE863" s="530"/>
      <c r="BJ863" s="530"/>
      <c r="BK863" s="530"/>
      <c r="BP863" s="530"/>
      <c r="BQ863" s="530"/>
      <c r="BV863" s="530"/>
      <c r="BW863" s="530"/>
    </row>
    <row r="864">
      <c r="N864" s="530"/>
      <c r="O864" s="530"/>
      <c r="T864" s="530"/>
      <c r="U864" s="530"/>
      <c r="Z864" s="530"/>
      <c r="AA864" s="530"/>
      <c r="AF864" s="530"/>
      <c r="AG864" s="530"/>
      <c r="AL864" s="530"/>
      <c r="AM864" s="530"/>
      <c r="AR864" s="530"/>
      <c r="AS864" s="530"/>
      <c r="AX864" s="530"/>
      <c r="AY864" s="530"/>
      <c r="BD864" s="530"/>
      <c r="BE864" s="530"/>
      <c r="BJ864" s="530"/>
      <c r="BK864" s="530"/>
      <c r="BP864" s="530"/>
      <c r="BQ864" s="530"/>
      <c r="BV864" s="530"/>
      <c r="BW864" s="530"/>
    </row>
    <row r="865">
      <c r="N865" s="530"/>
      <c r="O865" s="530"/>
      <c r="T865" s="530"/>
      <c r="U865" s="530"/>
      <c r="Z865" s="530"/>
      <c r="AA865" s="530"/>
      <c r="AF865" s="530"/>
      <c r="AG865" s="530"/>
      <c r="AL865" s="530"/>
      <c r="AM865" s="530"/>
      <c r="AR865" s="530"/>
      <c r="AS865" s="530"/>
      <c r="AX865" s="530"/>
      <c r="AY865" s="530"/>
      <c r="BD865" s="530"/>
      <c r="BE865" s="530"/>
      <c r="BJ865" s="530"/>
      <c r="BK865" s="530"/>
      <c r="BP865" s="530"/>
      <c r="BQ865" s="530"/>
      <c r="BV865" s="530"/>
      <c r="BW865" s="530"/>
    </row>
    <row r="866">
      <c r="N866" s="530"/>
      <c r="O866" s="530"/>
      <c r="T866" s="530"/>
      <c r="U866" s="530"/>
      <c r="Z866" s="530"/>
      <c r="AA866" s="530"/>
      <c r="AF866" s="530"/>
      <c r="AG866" s="530"/>
      <c r="AL866" s="530"/>
      <c r="AM866" s="530"/>
      <c r="AR866" s="530"/>
      <c r="AS866" s="530"/>
      <c r="AX866" s="530"/>
      <c r="AY866" s="530"/>
      <c r="BD866" s="530"/>
      <c r="BE866" s="530"/>
      <c r="BJ866" s="530"/>
      <c r="BK866" s="530"/>
      <c r="BP866" s="530"/>
      <c r="BQ866" s="530"/>
      <c r="BV866" s="530"/>
      <c r="BW866" s="530"/>
    </row>
    <row r="867">
      <c r="N867" s="530"/>
      <c r="O867" s="530"/>
      <c r="T867" s="530"/>
      <c r="U867" s="530"/>
      <c r="Z867" s="530"/>
      <c r="AA867" s="530"/>
      <c r="AF867" s="530"/>
      <c r="AG867" s="530"/>
      <c r="AL867" s="530"/>
      <c r="AM867" s="530"/>
      <c r="AR867" s="530"/>
      <c r="AS867" s="530"/>
      <c r="AX867" s="530"/>
      <c r="AY867" s="530"/>
      <c r="BD867" s="530"/>
      <c r="BE867" s="530"/>
      <c r="BJ867" s="530"/>
      <c r="BK867" s="530"/>
      <c r="BP867" s="530"/>
      <c r="BQ867" s="530"/>
      <c r="BV867" s="530"/>
      <c r="BW867" s="530"/>
    </row>
    <row r="868">
      <c r="N868" s="530"/>
      <c r="O868" s="530"/>
      <c r="T868" s="530"/>
      <c r="U868" s="530"/>
      <c r="Z868" s="530"/>
      <c r="AA868" s="530"/>
      <c r="AF868" s="530"/>
      <c r="AG868" s="530"/>
      <c r="AL868" s="530"/>
      <c r="AM868" s="530"/>
      <c r="AR868" s="530"/>
      <c r="AS868" s="530"/>
      <c r="AX868" s="530"/>
      <c r="AY868" s="530"/>
      <c r="BD868" s="530"/>
      <c r="BE868" s="530"/>
      <c r="BJ868" s="530"/>
      <c r="BK868" s="530"/>
      <c r="BP868" s="530"/>
      <c r="BQ868" s="530"/>
      <c r="BV868" s="530"/>
      <c r="BW868" s="530"/>
    </row>
    <row r="869">
      <c r="N869" s="530"/>
      <c r="O869" s="530"/>
      <c r="T869" s="530"/>
      <c r="U869" s="530"/>
      <c r="Z869" s="530"/>
      <c r="AA869" s="530"/>
      <c r="AF869" s="530"/>
      <c r="AG869" s="530"/>
      <c r="AL869" s="530"/>
      <c r="AM869" s="530"/>
      <c r="AR869" s="530"/>
      <c r="AS869" s="530"/>
      <c r="AX869" s="530"/>
      <c r="AY869" s="530"/>
      <c r="BD869" s="530"/>
      <c r="BE869" s="530"/>
      <c r="BJ869" s="530"/>
      <c r="BK869" s="530"/>
      <c r="BP869" s="530"/>
      <c r="BQ869" s="530"/>
      <c r="BV869" s="530"/>
      <c r="BW869" s="530"/>
    </row>
    <row r="870">
      <c r="N870" s="530"/>
      <c r="O870" s="530"/>
      <c r="T870" s="530"/>
      <c r="U870" s="530"/>
      <c r="Z870" s="530"/>
      <c r="AA870" s="530"/>
      <c r="AF870" s="530"/>
      <c r="AG870" s="530"/>
      <c r="AL870" s="530"/>
      <c r="AM870" s="530"/>
      <c r="AR870" s="530"/>
      <c r="AS870" s="530"/>
      <c r="AX870" s="530"/>
      <c r="AY870" s="530"/>
      <c r="BD870" s="530"/>
      <c r="BE870" s="530"/>
      <c r="BJ870" s="530"/>
      <c r="BK870" s="530"/>
      <c r="BP870" s="530"/>
      <c r="BQ870" s="530"/>
      <c r="BV870" s="530"/>
      <c r="BW870" s="530"/>
    </row>
    <row r="871">
      <c r="N871" s="530"/>
      <c r="O871" s="530"/>
      <c r="T871" s="530"/>
      <c r="U871" s="530"/>
      <c r="Z871" s="530"/>
      <c r="AA871" s="530"/>
      <c r="AF871" s="530"/>
      <c r="AG871" s="530"/>
      <c r="AL871" s="530"/>
      <c r="AM871" s="530"/>
      <c r="AR871" s="530"/>
      <c r="AS871" s="530"/>
      <c r="AX871" s="530"/>
      <c r="AY871" s="530"/>
      <c r="BD871" s="530"/>
      <c r="BE871" s="530"/>
      <c r="BJ871" s="530"/>
      <c r="BK871" s="530"/>
      <c r="BP871" s="530"/>
      <c r="BQ871" s="530"/>
      <c r="BV871" s="530"/>
      <c r="BW871" s="530"/>
    </row>
    <row r="872">
      <c r="N872" s="530"/>
      <c r="O872" s="530"/>
      <c r="T872" s="530"/>
      <c r="U872" s="530"/>
      <c r="Z872" s="530"/>
      <c r="AA872" s="530"/>
      <c r="AF872" s="530"/>
      <c r="AG872" s="530"/>
      <c r="AL872" s="530"/>
      <c r="AM872" s="530"/>
      <c r="AR872" s="530"/>
      <c r="AS872" s="530"/>
      <c r="AX872" s="530"/>
      <c r="AY872" s="530"/>
      <c r="BD872" s="530"/>
      <c r="BE872" s="530"/>
      <c r="BJ872" s="530"/>
      <c r="BK872" s="530"/>
      <c r="BP872" s="530"/>
      <c r="BQ872" s="530"/>
      <c r="BV872" s="530"/>
      <c r="BW872" s="530"/>
    </row>
    <row r="873">
      <c r="N873" s="530"/>
      <c r="O873" s="530"/>
      <c r="T873" s="530"/>
      <c r="U873" s="530"/>
      <c r="Z873" s="530"/>
      <c r="AA873" s="530"/>
      <c r="AF873" s="530"/>
      <c r="AG873" s="530"/>
      <c r="AL873" s="530"/>
      <c r="AM873" s="530"/>
      <c r="AR873" s="530"/>
      <c r="AS873" s="530"/>
      <c r="AX873" s="530"/>
      <c r="AY873" s="530"/>
      <c r="BD873" s="530"/>
      <c r="BE873" s="530"/>
      <c r="BJ873" s="530"/>
      <c r="BK873" s="530"/>
      <c r="BP873" s="530"/>
      <c r="BQ873" s="530"/>
      <c r="BV873" s="530"/>
      <c r="BW873" s="530"/>
    </row>
    <row r="874">
      <c r="N874" s="530"/>
      <c r="O874" s="530"/>
      <c r="T874" s="530"/>
      <c r="U874" s="530"/>
      <c r="Z874" s="530"/>
      <c r="AA874" s="530"/>
      <c r="AF874" s="530"/>
      <c r="AG874" s="530"/>
      <c r="AL874" s="530"/>
      <c r="AM874" s="530"/>
      <c r="AR874" s="530"/>
      <c r="AS874" s="530"/>
      <c r="AX874" s="530"/>
      <c r="AY874" s="530"/>
      <c r="BD874" s="530"/>
      <c r="BE874" s="530"/>
      <c r="BJ874" s="530"/>
      <c r="BK874" s="530"/>
      <c r="BP874" s="530"/>
      <c r="BQ874" s="530"/>
      <c r="BV874" s="530"/>
      <c r="BW874" s="530"/>
    </row>
    <row r="875">
      <c r="N875" s="530"/>
      <c r="O875" s="530"/>
      <c r="T875" s="530"/>
      <c r="U875" s="530"/>
      <c r="Z875" s="530"/>
      <c r="AA875" s="530"/>
      <c r="AF875" s="530"/>
      <c r="AG875" s="530"/>
      <c r="AL875" s="530"/>
      <c r="AM875" s="530"/>
      <c r="AR875" s="530"/>
      <c r="AS875" s="530"/>
      <c r="AX875" s="530"/>
      <c r="AY875" s="530"/>
      <c r="BD875" s="530"/>
      <c r="BE875" s="530"/>
      <c r="BJ875" s="530"/>
      <c r="BK875" s="530"/>
      <c r="BP875" s="530"/>
      <c r="BQ875" s="530"/>
      <c r="BV875" s="530"/>
      <c r="BW875" s="530"/>
    </row>
    <row r="876">
      <c r="N876" s="530"/>
      <c r="O876" s="530"/>
      <c r="T876" s="530"/>
      <c r="U876" s="530"/>
      <c r="Z876" s="530"/>
      <c r="AA876" s="530"/>
      <c r="AF876" s="530"/>
      <c r="AG876" s="530"/>
      <c r="AL876" s="530"/>
      <c r="AM876" s="530"/>
      <c r="AR876" s="530"/>
      <c r="AS876" s="530"/>
      <c r="AX876" s="530"/>
      <c r="AY876" s="530"/>
      <c r="BD876" s="530"/>
      <c r="BE876" s="530"/>
      <c r="BJ876" s="530"/>
      <c r="BK876" s="530"/>
      <c r="BP876" s="530"/>
      <c r="BQ876" s="530"/>
      <c r="BV876" s="530"/>
      <c r="BW876" s="530"/>
    </row>
    <row r="877">
      <c r="N877" s="530"/>
      <c r="O877" s="530"/>
      <c r="T877" s="530"/>
      <c r="U877" s="530"/>
      <c r="Z877" s="530"/>
      <c r="AA877" s="530"/>
      <c r="AF877" s="530"/>
      <c r="AG877" s="530"/>
      <c r="AL877" s="530"/>
      <c r="AM877" s="530"/>
      <c r="AR877" s="530"/>
      <c r="AS877" s="530"/>
      <c r="AX877" s="530"/>
      <c r="AY877" s="530"/>
      <c r="BD877" s="530"/>
      <c r="BE877" s="530"/>
      <c r="BJ877" s="530"/>
      <c r="BK877" s="530"/>
      <c r="BP877" s="530"/>
      <c r="BQ877" s="530"/>
      <c r="BV877" s="530"/>
      <c r="BW877" s="530"/>
    </row>
    <row r="878">
      <c r="N878" s="530"/>
      <c r="O878" s="530"/>
      <c r="T878" s="530"/>
      <c r="U878" s="530"/>
      <c r="Z878" s="530"/>
      <c r="AA878" s="530"/>
      <c r="AF878" s="530"/>
      <c r="AG878" s="530"/>
      <c r="AL878" s="530"/>
      <c r="AM878" s="530"/>
      <c r="AR878" s="530"/>
      <c r="AS878" s="530"/>
      <c r="AX878" s="530"/>
      <c r="AY878" s="530"/>
      <c r="BD878" s="530"/>
      <c r="BE878" s="530"/>
      <c r="BJ878" s="530"/>
      <c r="BK878" s="530"/>
      <c r="BP878" s="530"/>
      <c r="BQ878" s="530"/>
      <c r="BV878" s="530"/>
      <c r="BW878" s="530"/>
    </row>
    <row r="879">
      <c r="N879" s="530"/>
      <c r="O879" s="530"/>
      <c r="T879" s="530"/>
      <c r="U879" s="530"/>
      <c r="Z879" s="530"/>
      <c r="AA879" s="530"/>
      <c r="AF879" s="530"/>
      <c r="AG879" s="530"/>
      <c r="AL879" s="530"/>
      <c r="AM879" s="530"/>
      <c r="AR879" s="530"/>
      <c r="AS879" s="530"/>
      <c r="AX879" s="530"/>
      <c r="AY879" s="530"/>
      <c r="BD879" s="530"/>
      <c r="BE879" s="530"/>
      <c r="BJ879" s="530"/>
      <c r="BK879" s="530"/>
      <c r="BP879" s="530"/>
      <c r="BQ879" s="530"/>
      <c r="BV879" s="530"/>
      <c r="BW879" s="530"/>
    </row>
    <row r="880">
      <c r="N880" s="530"/>
      <c r="O880" s="530"/>
      <c r="T880" s="530"/>
      <c r="U880" s="530"/>
      <c r="Z880" s="530"/>
      <c r="AA880" s="530"/>
      <c r="AF880" s="530"/>
      <c r="AG880" s="530"/>
      <c r="AL880" s="530"/>
      <c r="AM880" s="530"/>
      <c r="AR880" s="530"/>
      <c r="AS880" s="530"/>
      <c r="AX880" s="530"/>
      <c r="AY880" s="530"/>
      <c r="BD880" s="530"/>
      <c r="BE880" s="530"/>
      <c r="BJ880" s="530"/>
      <c r="BK880" s="530"/>
      <c r="BP880" s="530"/>
      <c r="BQ880" s="530"/>
      <c r="BV880" s="530"/>
      <c r="BW880" s="530"/>
    </row>
    <row r="881">
      <c r="N881" s="530"/>
      <c r="O881" s="530"/>
      <c r="T881" s="530"/>
      <c r="U881" s="530"/>
      <c r="Z881" s="530"/>
      <c r="AA881" s="530"/>
      <c r="AF881" s="530"/>
      <c r="AG881" s="530"/>
      <c r="AL881" s="530"/>
      <c r="AM881" s="530"/>
      <c r="AR881" s="530"/>
      <c r="AS881" s="530"/>
      <c r="AX881" s="530"/>
      <c r="AY881" s="530"/>
      <c r="BD881" s="530"/>
      <c r="BE881" s="530"/>
      <c r="BJ881" s="530"/>
      <c r="BK881" s="530"/>
      <c r="BP881" s="530"/>
      <c r="BQ881" s="530"/>
      <c r="BV881" s="530"/>
      <c r="BW881" s="530"/>
    </row>
    <row r="882">
      <c r="N882" s="530"/>
      <c r="O882" s="530"/>
      <c r="T882" s="530"/>
      <c r="U882" s="530"/>
      <c r="Z882" s="530"/>
      <c r="AA882" s="530"/>
      <c r="AF882" s="530"/>
      <c r="AG882" s="530"/>
      <c r="AL882" s="530"/>
      <c r="AM882" s="530"/>
      <c r="AR882" s="530"/>
      <c r="AS882" s="530"/>
      <c r="AX882" s="530"/>
      <c r="AY882" s="530"/>
      <c r="BD882" s="530"/>
      <c r="BE882" s="530"/>
      <c r="BJ882" s="530"/>
      <c r="BK882" s="530"/>
      <c r="BP882" s="530"/>
      <c r="BQ882" s="530"/>
      <c r="BV882" s="530"/>
      <c r="BW882" s="530"/>
    </row>
    <row r="883">
      <c r="N883" s="530"/>
      <c r="O883" s="530"/>
      <c r="T883" s="530"/>
      <c r="U883" s="530"/>
      <c r="Z883" s="530"/>
      <c r="AA883" s="530"/>
      <c r="AF883" s="530"/>
      <c r="AG883" s="530"/>
      <c r="AL883" s="530"/>
      <c r="AM883" s="530"/>
      <c r="AR883" s="530"/>
      <c r="AS883" s="530"/>
      <c r="AX883" s="530"/>
      <c r="AY883" s="530"/>
      <c r="BD883" s="530"/>
      <c r="BE883" s="530"/>
      <c r="BJ883" s="530"/>
      <c r="BK883" s="530"/>
      <c r="BP883" s="530"/>
      <c r="BQ883" s="530"/>
      <c r="BV883" s="530"/>
      <c r="BW883" s="530"/>
    </row>
    <row r="884">
      <c r="N884" s="530"/>
      <c r="O884" s="530"/>
      <c r="T884" s="530"/>
      <c r="U884" s="530"/>
      <c r="Z884" s="530"/>
      <c r="AA884" s="530"/>
      <c r="AF884" s="530"/>
      <c r="AG884" s="530"/>
      <c r="AL884" s="530"/>
      <c r="AM884" s="530"/>
      <c r="AR884" s="530"/>
      <c r="AS884" s="530"/>
      <c r="AX884" s="530"/>
      <c r="AY884" s="530"/>
      <c r="BD884" s="530"/>
      <c r="BE884" s="530"/>
      <c r="BJ884" s="530"/>
      <c r="BK884" s="530"/>
      <c r="BP884" s="530"/>
      <c r="BQ884" s="530"/>
      <c r="BV884" s="530"/>
      <c r="BW884" s="530"/>
    </row>
    <row r="885">
      <c r="N885" s="530"/>
      <c r="O885" s="530"/>
      <c r="T885" s="530"/>
      <c r="U885" s="530"/>
      <c r="Z885" s="530"/>
      <c r="AA885" s="530"/>
      <c r="AF885" s="530"/>
      <c r="AG885" s="530"/>
      <c r="AL885" s="530"/>
      <c r="AM885" s="530"/>
      <c r="AR885" s="530"/>
      <c r="AS885" s="530"/>
      <c r="AX885" s="530"/>
      <c r="AY885" s="530"/>
      <c r="BD885" s="530"/>
      <c r="BE885" s="530"/>
      <c r="BJ885" s="530"/>
      <c r="BK885" s="530"/>
      <c r="BP885" s="530"/>
      <c r="BQ885" s="530"/>
      <c r="BV885" s="530"/>
      <c r="BW885" s="530"/>
    </row>
    <row r="886">
      <c r="N886" s="530"/>
      <c r="O886" s="530"/>
      <c r="T886" s="530"/>
      <c r="U886" s="530"/>
      <c r="Z886" s="530"/>
      <c r="AA886" s="530"/>
      <c r="AF886" s="530"/>
      <c r="AG886" s="530"/>
      <c r="AL886" s="530"/>
      <c r="AM886" s="530"/>
      <c r="AR886" s="530"/>
      <c r="AS886" s="530"/>
      <c r="AX886" s="530"/>
      <c r="AY886" s="530"/>
      <c r="BD886" s="530"/>
      <c r="BE886" s="530"/>
      <c r="BJ886" s="530"/>
      <c r="BK886" s="530"/>
      <c r="BP886" s="530"/>
      <c r="BQ886" s="530"/>
      <c r="BV886" s="530"/>
      <c r="BW886" s="530"/>
    </row>
    <row r="887">
      <c r="N887" s="530"/>
      <c r="O887" s="530"/>
      <c r="T887" s="530"/>
      <c r="U887" s="530"/>
      <c r="Z887" s="530"/>
      <c r="AA887" s="530"/>
      <c r="AF887" s="530"/>
      <c r="AG887" s="530"/>
      <c r="AL887" s="530"/>
      <c r="AM887" s="530"/>
      <c r="AR887" s="530"/>
      <c r="AS887" s="530"/>
      <c r="AX887" s="530"/>
      <c r="AY887" s="530"/>
      <c r="BD887" s="530"/>
      <c r="BE887" s="530"/>
      <c r="BJ887" s="530"/>
      <c r="BK887" s="530"/>
      <c r="BP887" s="530"/>
      <c r="BQ887" s="530"/>
      <c r="BV887" s="530"/>
      <c r="BW887" s="530"/>
    </row>
    <row r="888">
      <c r="N888" s="530"/>
      <c r="O888" s="530"/>
      <c r="T888" s="530"/>
      <c r="U888" s="530"/>
      <c r="Z888" s="530"/>
      <c r="AA888" s="530"/>
      <c r="AF888" s="530"/>
      <c r="AG888" s="530"/>
      <c r="AL888" s="530"/>
      <c r="AM888" s="530"/>
      <c r="AR888" s="530"/>
      <c r="AS888" s="530"/>
      <c r="AX888" s="530"/>
      <c r="AY888" s="530"/>
      <c r="BD888" s="530"/>
      <c r="BE888" s="530"/>
      <c r="BJ888" s="530"/>
      <c r="BK888" s="530"/>
      <c r="BP888" s="530"/>
      <c r="BQ888" s="530"/>
      <c r="BV888" s="530"/>
      <c r="BW888" s="530"/>
    </row>
    <row r="889">
      <c r="N889" s="530"/>
      <c r="O889" s="530"/>
      <c r="T889" s="530"/>
      <c r="U889" s="530"/>
      <c r="Z889" s="530"/>
      <c r="AA889" s="530"/>
      <c r="AF889" s="530"/>
      <c r="AG889" s="530"/>
      <c r="AL889" s="530"/>
      <c r="AM889" s="530"/>
      <c r="AR889" s="530"/>
      <c r="AS889" s="530"/>
      <c r="AX889" s="530"/>
      <c r="AY889" s="530"/>
      <c r="BD889" s="530"/>
      <c r="BE889" s="530"/>
      <c r="BJ889" s="530"/>
      <c r="BK889" s="530"/>
      <c r="BP889" s="530"/>
      <c r="BQ889" s="530"/>
      <c r="BV889" s="530"/>
      <c r="BW889" s="530"/>
    </row>
    <row r="890">
      <c r="N890" s="530"/>
      <c r="O890" s="530"/>
      <c r="T890" s="530"/>
      <c r="U890" s="530"/>
      <c r="Z890" s="530"/>
      <c r="AA890" s="530"/>
      <c r="AF890" s="530"/>
      <c r="AG890" s="530"/>
      <c r="AL890" s="530"/>
      <c r="AM890" s="530"/>
      <c r="AR890" s="530"/>
      <c r="AS890" s="530"/>
      <c r="AX890" s="530"/>
      <c r="AY890" s="530"/>
      <c r="BD890" s="530"/>
      <c r="BE890" s="530"/>
      <c r="BJ890" s="530"/>
      <c r="BK890" s="530"/>
      <c r="BP890" s="530"/>
      <c r="BQ890" s="530"/>
      <c r="BV890" s="530"/>
      <c r="BW890" s="530"/>
    </row>
    <row r="891">
      <c r="N891" s="530"/>
      <c r="O891" s="530"/>
      <c r="T891" s="530"/>
      <c r="U891" s="530"/>
      <c r="Z891" s="530"/>
      <c r="AA891" s="530"/>
      <c r="AF891" s="530"/>
      <c r="AG891" s="530"/>
      <c r="AL891" s="530"/>
      <c r="AM891" s="530"/>
      <c r="AR891" s="530"/>
      <c r="AS891" s="530"/>
      <c r="AX891" s="530"/>
      <c r="AY891" s="530"/>
      <c r="BD891" s="530"/>
      <c r="BE891" s="530"/>
      <c r="BJ891" s="530"/>
      <c r="BK891" s="530"/>
      <c r="BP891" s="530"/>
      <c r="BQ891" s="530"/>
      <c r="BV891" s="530"/>
      <c r="BW891" s="530"/>
    </row>
    <row r="892">
      <c r="N892" s="530"/>
      <c r="O892" s="530"/>
      <c r="T892" s="530"/>
      <c r="U892" s="530"/>
      <c r="Z892" s="530"/>
      <c r="AA892" s="530"/>
      <c r="AF892" s="530"/>
      <c r="AG892" s="530"/>
      <c r="AL892" s="530"/>
      <c r="AM892" s="530"/>
      <c r="AR892" s="530"/>
      <c r="AS892" s="530"/>
      <c r="AX892" s="530"/>
      <c r="AY892" s="530"/>
      <c r="BD892" s="530"/>
      <c r="BE892" s="530"/>
      <c r="BJ892" s="530"/>
      <c r="BK892" s="530"/>
      <c r="BP892" s="530"/>
      <c r="BQ892" s="530"/>
      <c r="BV892" s="530"/>
      <c r="BW892" s="530"/>
    </row>
    <row r="893">
      <c r="N893" s="530"/>
      <c r="O893" s="530"/>
      <c r="T893" s="530"/>
      <c r="U893" s="530"/>
      <c r="Z893" s="530"/>
      <c r="AA893" s="530"/>
      <c r="AF893" s="530"/>
      <c r="AG893" s="530"/>
      <c r="AL893" s="530"/>
      <c r="AM893" s="530"/>
      <c r="AR893" s="530"/>
      <c r="AS893" s="530"/>
      <c r="AX893" s="530"/>
      <c r="AY893" s="530"/>
      <c r="BD893" s="530"/>
      <c r="BE893" s="530"/>
      <c r="BJ893" s="530"/>
      <c r="BK893" s="530"/>
      <c r="BP893" s="530"/>
      <c r="BQ893" s="530"/>
      <c r="BV893" s="530"/>
      <c r="BW893" s="530"/>
    </row>
    <row r="894">
      <c r="N894" s="530"/>
      <c r="O894" s="530"/>
      <c r="T894" s="530"/>
      <c r="U894" s="530"/>
      <c r="Z894" s="530"/>
      <c r="AA894" s="530"/>
      <c r="AF894" s="530"/>
      <c r="AG894" s="530"/>
      <c r="AL894" s="530"/>
      <c r="AM894" s="530"/>
      <c r="AR894" s="530"/>
      <c r="AS894" s="530"/>
      <c r="AX894" s="530"/>
      <c r="AY894" s="530"/>
      <c r="BD894" s="530"/>
      <c r="BE894" s="530"/>
      <c r="BJ894" s="530"/>
      <c r="BK894" s="530"/>
      <c r="BP894" s="530"/>
      <c r="BQ894" s="530"/>
      <c r="BV894" s="530"/>
      <c r="BW894" s="530"/>
    </row>
    <row r="895">
      <c r="N895" s="530"/>
      <c r="O895" s="530"/>
      <c r="T895" s="530"/>
      <c r="U895" s="530"/>
      <c r="Z895" s="530"/>
      <c r="AA895" s="530"/>
      <c r="AF895" s="530"/>
      <c r="AG895" s="530"/>
      <c r="AL895" s="530"/>
      <c r="AM895" s="530"/>
      <c r="AR895" s="530"/>
      <c r="AS895" s="530"/>
      <c r="AX895" s="530"/>
      <c r="AY895" s="530"/>
      <c r="BD895" s="530"/>
      <c r="BE895" s="530"/>
      <c r="BJ895" s="530"/>
      <c r="BK895" s="530"/>
      <c r="BP895" s="530"/>
      <c r="BQ895" s="530"/>
      <c r="BV895" s="530"/>
      <c r="BW895" s="530"/>
    </row>
    <row r="896">
      <c r="N896" s="530"/>
      <c r="O896" s="530"/>
      <c r="T896" s="530"/>
      <c r="U896" s="530"/>
      <c r="Z896" s="530"/>
      <c r="AA896" s="530"/>
      <c r="AF896" s="530"/>
      <c r="AG896" s="530"/>
      <c r="AL896" s="530"/>
      <c r="AM896" s="530"/>
      <c r="AR896" s="530"/>
      <c r="AS896" s="530"/>
      <c r="AX896" s="530"/>
      <c r="AY896" s="530"/>
      <c r="BD896" s="530"/>
      <c r="BE896" s="530"/>
      <c r="BJ896" s="530"/>
      <c r="BK896" s="530"/>
      <c r="BP896" s="530"/>
      <c r="BQ896" s="530"/>
      <c r="BV896" s="530"/>
      <c r="BW896" s="530"/>
    </row>
    <row r="897">
      <c r="N897" s="530"/>
      <c r="O897" s="530"/>
      <c r="T897" s="530"/>
      <c r="U897" s="530"/>
      <c r="Z897" s="530"/>
      <c r="AA897" s="530"/>
      <c r="AF897" s="530"/>
      <c r="AG897" s="530"/>
      <c r="AL897" s="530"/>
      <c r="AM897" s="530"/>
      <c r="AR897" s="530"/>
      <c r="AS897" s="530"/>
      <c r="AX897" s="530"/>
      <c r="AY897" s="530"/>
      <c r="BD897" s="530"/>
      <c r="BE897" s="530"/>
      <c r="BJ897" s="530"/>
      <c r="BK897" s="530"/>
      <c r="BP897" s="530"/>
      <c r="BQ897" s="530"/>
      <c r="BV897" s="530"/>
      <c r="BW897" s="530"/>
    </row>
    <row r="898">
      <c r="N898" s="530"/>
      <c r="O898" s="530"/>
      <c r="T898" s="530"/>
      <c r="U898" s="530"/>
      <c r="Z898" s="530"/>
      <c r="AA898" s="530"/>
      <c r="AF898" s="530"/>
      <c r="AG898" s="530"/>
      <c r="AL898" s="530"/>
      <c r="AM898" s="530"/>
      <c r="AR898" s="530"/>
      <c r="AS898" s="530"/>
      <c r="AX898" s="530"/>
      <c r="AY898" s="530"/>
      <c r="BD898" s="530"/>
      <c r="BE898" s="530"/>
      <c r="BJ898" s="530"/>
      <c r="BK898" s="530"/>
      <c r="BP898" s="530"/>
      <c r="BQ898" s="530"/>
      <c r="BV898" s="530"/>
      <c r="BW898" s="530"/>
    </row>
    <row r="899">
      <c r="N899" s="530"/>
      <c r="O899" s="530"/>
      <c r="T899" s="530"/>
      <c r="U899" s="530"/>
      <c r="Z899" s="530"/>
      <c r="AA899" s="530"/>
      <c r="AF899" s="530"/>
      <c r="AG899" s="530"/>
      <c r="AL899" s="530"/>
      <c r="AM899" s="530"/>
      <c r="AR899" s="530"/>
      <c r="AS899" s="530"/>
      <c r="AX899" s="530"/>
      <c r="AY899" s="530"/>
      <c r="BD899" s="530"/>
      <c r="BE899" s="530"/>
      <c r="BJ899" s="530"/>
      <c r="BK899" s="530"/>
      <c r="BP899" s="530"/>
      <c r="BQ899" s="530"/>
      <c r="BV899" s="530"/>
      <c r="BW899" s="530"/>
    </row>
    <row r="900">
      <c r="N900" s="530"/>
      <c r="O900" s="530"/>
      <c r="T900" s="530"/>
      <c r="U900" s="530"/>
      <c r="Z900" s="530"/>
      <c r="AA900" s="530"/>
      <c r="AF900" s="530"/>
      <c r="AG900" s="530"/>
      <c r="AL900" s="530"/>
      <c r="AM900" s="530"/>
      <c r="AR900" s="530"/>
      <c r="AS900" s="530"/>
      <c r="AX900" s="530"/>
      <c r="AY900" s="530"/>
      <c r="BD900" s="530"/>
      <c r="BE900" s="530"/>
      <c r="BJ900" s="530"/>
      <c r="BK900" s="530"/>
      <c r="BP900" s="530"/>
      <c r="BQ900" s="530"/>
      <c r="BV900" s="530"/>
      <c r="BW900" s="530"/>
    </row>
    <row r="901">
      <c r="N901" s="530"/>
      <c r="O901" s="530"/>
      <c r="T901" s="530"/>
      <c r="U901" s="530"/>
      <c r="Z901" s="530"/>
      <c r="AA901" s="530"/>
      <c r="AF901" s="530"/>
      <c r="AG901" s="530"/>
      <c r="AL901" s="530"/>
      <c r="AM901" s="530"/>
      <c r="AR901" s="530"/>
      <c r="AS901" s="530"/>
      <c r="AX901" s="530"/>
      <c r="AY901" s="530"/>
      <c r="BD901" s="530"/>
      <c r="BE901" s="530"/>
      <c r="BJ901" s="530"/>
      <c r="BK901" s="530"/>
      <c r="BP901" s="530"/>
      <c r="BQ901" s="530"/>
      <c r="BV901" s="530"/>
      <c r="BW901" s="530"/>
    </row>
    <row r="902">
      <c r="N902" s="530"/>
      <c r="O902" s="530"/>
      <c r="T902" s="530"/>
      <c r="U902" s="530"/>
      <c r="Z902" s="530"/>
      <c r="AA902" s="530"/>
      <c r="AF902" s="530"/>
      <c r="AG902" s="530"/>
      <c r="AL902" s="530"/>
      <c r="AM902" s="530"/>
      <c r="AR902" s="530"/>
      <c r="AS902" s="530"/>
      <c r="AX902" s="530"/>
      <c r="AY902" s="530"/>
      <c r="BD902" s="530"/>
      <c r="BE902" s="530"/>
      <c r="BJ902" s="530"/>
      <c r="BK902" s="530"/>
      <c r="BP902" s="530"/>
      <c r="BQ902" s="530"/>
      <c r="BV902" s="530"/>
      <c r="BW902" s="530"/>
    </row>
    <row r="903">
      <c r="N903" s="530"/>
      <c r="O903" s="530"/>
      <c r="T903" s="530"/>
      <c r="U903" s="530"/>
      <c r="Z903" s="530"/>
      <c r="AA903" s="530"/>
      <c r="AF903" s="530"/>
      <c r="AG903" s="530"/>
      <c r="AL903" s="530"/>
      <c r="AM903" s="530"/>
      <c r="AR903" s="530"/>
      <c r="AS903" s="530"/>
      <c r="AX903" s="530"/>
      <c r="AY903" s="530"/>
      <c r="BD903" s="530"/>
      <c r="BE903" s="530"/>
      <c r="BJ903" s="530"/>
      <c r="BK903" s="530"/>
      <c r="BP903" s="530"/>
      <c r="BQ903" s="530"/>
      <c r="BV903" s="530"/>
      <c r="BW903" s="530"/>
    </row>
    <row r="904">
      <c r="N904" s="530"/>
      <c r="O904" s="530"/>
      <c r="T904" s="530"/>
      <c r="U904" s="530"/>
      <c r="Z904" s="530"/>
      <c r="AA904" s="530"/>
      <c r="AF904" s="530"/>
      <c r="AG904" s="530"/>
      <c r="AL904" s="530"/>
      <c r="AM904" s="530"/>
      <c r="AR904" s="530"/>
      <c r="AS904" s="530"/>
      <c r="AX904" s="530"/>
      <c r="AY904" s="530"/>
      <c r="BD904" s="530"/>
      <c r="BE904" s="530"/>
      <c r="BJ904" s="530"/>
      <c r="BK904" s="530"/>
      <c r="BP904" s="530"/>
      <c r="BQ904" s="530"/>
      <c r="BV904" s="530"/>
      <c r="BW904" s="530"/>
    </row>
    <row r="905">
      <c r="N905" s="530"/>
      <c r="O905" s="530"/>
      <c r="T905" s="530"/>
      <c r="U905" s="530"/>
      <c r="Z905" s="530"/>
      <c r="AA905" s="530"/>
      <c r="AF905" s="530"/>
      <c r="AG905" s="530"/>
      <c r="AL905" s="530"/>
      <c r="AM905" s="530"/>
      <c r="AR905" s="530"/>
      <c r="AS905" s="530"/>
      <c r="AX905" s="530"/>
      <c r="AY905" s="530"/>
      <c r="BD905" s="530"/>
      <c r="BE905" s="530"/>
      <c r="BJ905" s="530"/>
      <c r="BK905" s="530"/>
      <c r="BP905" s="530"/>
      <c r="BQ905" s="530"/>
      <c r="BV905" s="530"/>
      <c r="BW905" s="530"/>
    </row>
    <row r="906">
      <c r="N906" s="530"/>
      <c r="O906" s="530"/>
      <c r="T906" s="530"/>
      <c r="U906" s="530"/>
      <c r="Z906" s="530"/>
      <c r="AA906" s="530"/>
      <c r="AF906" s="530"/>
      <c r="AG906" s="530"/>
      <c r="AL906" s="530"/>
      <c r="AM906" s="530"/>
      <c r="AR906" s="530"/>
      <c r="AS906" s="530"/>
      <c r="AX906" s="530"/>
      <c r="AY906" s="530"/>
      <c r="BD906" s="530"/>
      <c r="BE906" s="530"/>
      <c r="BJ906" s="530"/>
      <c r="BK906" s="530"/>
      <c r="BP906" s="530"/>
      <c r="BQ906" s="530"/>
      <c r="BV906" s="530"/>
      <c r="BW906" s="530"/>
    </row>
    <row r="907">
      <c r="N907" s="530"/>
      <c r="O907" s="530"/>
      <c r="T907" s="530"/>
      <c r="U907" s="530"/>
      <c r="Z907" s="530"/>
      <c r="AA907" s="530"/>
      <c r="AF907" s="530"/>
      <c r="AG907" s="530"/>
      <c r="AL907" s="530"/>
      <c r="AM907" s="530"/>
      <c r="AR907" s="530"/>
      <c r="AS907" s="530"/>
      <c r="AX907" s="530"/>
      <c r="AY907" s="530"/>
      <c r="BD907" s="530"/>
      <c r="BE907" s="530"/>
      <c r="BJ907" s="530"/>
      <c r="BK907" s="530"/>
      <c r="BP907" s="530"/>
      <c r="BQ907" s="530"/>
      <c r="BV907" s="530"/>
      <c r="BW907" s="530"/>
    </row>
    <row r="908">
      <c r="N908" s="530"/>
      <c r="O908" s="530"/>
      <c r="T908" s="530"/>
      <c r="U908" s="530"/>
      <c r="Z908" s="530"/>
      <c r="AA908" s="530"/>
      <c r="AF908" s="530"/>
      <c r="AG908" s="530"/>
      <c r="AL908" s="530"/>
      <c r="AM908" s="530"/>
      <c r="AR908" s="530"/>
      <c r="AS908" s="530"/>
      <c r="AX908" s="530"/>
      <c r="AY908" s="530"/>
      <c r="BD908" s="530"/>
      <c r="BE908" s="530"/>
      <c r="BJ908" s="530"/>
      <c r="BK908" s="530"/>
      <c r="BP908" s="530"/>
      <c r="BQ908" s="530"/>
      <c r="BV908" s="530"/>
      <c r="BW908" s="530"/>
    </row>
    <row r="909">
      <c r="N909" s="530"/>
      <c r="O909" s="530"/>
      <c r="T909" s="530"/>
      <c r="U909" s="530"/>
      <c r="Z909" s="530"/>
      <c r="AA909" s="530"/>
      <c r="AF909" s="530"/>
      <c r="AG909" s="530"/>
      <c r="AL909" s="530"/>
      <c r="AM909" s="530"/>
      <c r="AR909" s="530"/>
      <c r="AS909" s="530"/>
      <c r="AX909" s="530"/>
      <c r="AY909" s="530"/>
      <c r="BD909" s="530"/>
      <c r="BE909" s="530"/>
      <c r="BJ909" s="530"/>
      <c r="BK909" s="530"/>
      <c r="BP909" s="530"/>
      <c r="BQ909" s="530"/>
      <c r="BV909" s="530"/>
      <c r="BW909" s="530"/>
    </row>
    <row r="910">
      <c r="N910" s="530"/>
      <c r="O910" s="530"/>
      <c r="T910" s="530"/>
      <c r="U910" s="530"/>
      <c r="Z910" s="530"/>
      <c r="AA910" s="530"/>
      <c r="AF910" s="530"/>
      <c r="AG910" s="530"/>
      <c r="AL910" s="530"/>
      <c r="AM910" s="530"/>
      <c r="AR910" s="530"/>
      <c r="AS910" s="530"/>
      <c r="AX910" s="530"/>
      <c r="AY910" s="530"/>
      <c r="BD910" s="530"/>
      <c r="BE910" s="530"/>
      <c r="BJ910" s="530"/>
      <c r="BK910" s="530"/>
      <c r="BP910" s="530"/>
      <c r="BQ910" s="530"/>
      <c r="BV910" s="530"/>
      <c r="BW910" s="530"/>
    </row>
    <row r="911">
      <c r="N911" s="530"/>
      <c r="O911" s="530"/>
      <c r="T911" s="530"/>
      <c r="U911" s="530"/>
      <c r="Z911" s="530"/>
      <c r="AA911" s="530"/>
      <c r="AF911" s="530"/>
      <c r="AG911" s="530"/>
      <c r="AL911" s="530"/>
      <c r="AM911" s="530"/>
      <c r="AR911" s="530"/>
      <c r="AS911" s="530"/>
      <c r="AX911" s="530"/>
      <c r="AY911" s="530"/>
      <c r="BD911" s="530"/>
      <c r="BE911" s="530"/>
      <c r="BJ911" s="530"/>
      <c r="BK911" s="530"/>
      <c r="BP911" s="530"/>
      <c r="BQ911" s="530"/>
      <c r="BV911" s="530"/>
      <c r="BW911" s="530"/>
    </row>
    <row r="912">
      <c r="N912" s="530"/>
      <c r="O912" s="530"/>
      <c r="T912" s="530"/>
      <c r="U912" s="530"/>
      <c r="Z912" s="530"/>
      <c r="AA912" s="530"/>
      <c r="AF912" s="530"/>
      <c r="AG912" s="530"/>
      <c r="AL912" s="530"/>
      <c r="AM912" s="530"/>
      <c r="AR912" s="530"/>
      <c r="AS912" s="530"/>
      <c r="AX912" s="530"/>
      <c r="AY912" s="530"/>
      <c r="BD912" s="530"/>
      <c r="BE912" s="530"/>
      <c r="BJ912" s="530"/>
      <c r="BK912" s="530"/>
      <c r="BP912" s="530"/>
      <c r="BQ912" s="530"/>
      <c r="BV912" s="530"/>
      <c r="BW912" s="530"/>
    </row>
    <row r="913">
      <c r="N913" s="530"/>
      <c r="O913" s="530"/>
      <c r="T913" s="530"/>
      <c r="U913" s="530"/>
      <c r="Z913" s="530"/>
      <c r="AA913" s="530"/>
      <c r="AF913" s="530"/>
      <c r="AG913" s="530"/>
      <c r="AL913" s="530"/>
      <c r="AM913" s="530"/>
      <c r="AR913" s="530"/>
      <c r="AS913" s="530"/>
      <c r="AX913" s="530"/>
      <c r="AY913" s="530"/>
      <c r="BD913" s="530"/>
      <c r="BE913" s="530"/>
      <c r="BJ913" s="530"/>
      <c r="BK913" s="530"/>
      <c r="BP913" s="530"/>
      <c r="BQ913" s="530"/>
      <c r="BV913" s="530"/>
      <c r="BW913" s="530"/>
    </row>
    <row r="914">
      <c r="N914" s="530"/>
      <c r="O914" s="530"/>
      <c r="T914" s="530"/>
      <c r="U914" s="530"/>
      <c r="Z914" s="530"/>
      <c r="AA914" s="530"/>
      <c r="AF914" s="530"/>
      <c r="AG914" s="530"/>
      <c r="AL914" s="530"/>
      <c r="AM914" s="530"/>
      <c r="AR914" s="530"/>
      <c r="AS914" s="530"/>
      <c r="AX914" s="530"/>
      <c r="AY914" s="530"/>
      <c r="BD914" s="530"/>
      <c r="BE914" s="530"/>
      <c r="BJ914" s="530"/>
      <c r="BK914" s="530"/>
      <c r="BP914" s="530"/>
      <c r="BQ914" s="530"/>
      <c r="BV914" s="530"/>
      <c r="BW914" s="530"/>
    </row>
    <row r="915">
      <c r="N915" s="530"/>
      <c r="O915" s="530"/>
      <c r="T915" s="530"/>
      <c r="U915" s="530"/>
      <c r="Z915" s="530"/>
      <c r="AA915" s="530"/>
      <c r="AF915" s="530"/>
      <c r="AG915" s="530"/>
      <c r="AL915" s="530"/>
      <c r="AM915" s="530"/>
      <c r="AR915" s="530"/>
      <c r="AS915" s="530"/>
      <c r="AX915" s="530"/>
      <c r="AY915" s="530"/>
      <c r="BD915" s="530"/>
      <c r="BE915" s="530"/>
      <c r="BJ915" s="530"/>
      <c r="BK915" s="530"/>
      <c r="BP915" s="530"/>
      <c r="BQ915" s="530"/>
      <c r="BV915" s="530"/>
      <c r="BW915" s="530"/>
    </row>
    <row r="916">
      <c r="N916" s="530"/>
      <c r="O916" s="530"/>
      <c r="T916" s="530"/>
      <c r="U916" s="530"/>
      <c r="Z916" s="530"/>
      <c r="AA916" s="530"/>
      <c r="AF916" s="530"/>
      <c r="AG916" s="530"/>
      <c r="AL916" s="530"/>
      <c r="AM916" s="530"/>
      <c r="AR916" s="530"/>
      <c r="AS916" s="530"/>
      <c r="AX916" s="530"/>
      <c r="AY916" s="530"/>
      <c r="BD916" s="530"/>
      <c r="BE916" s="530"/>
      <c r="BJ916" s="530"/>
      <c r="BK916" s="530"/>
      <c r="BP916" s="530"/>
      <c r="BQ916" s="530"/>
      <c r="BV916" s="530"/>
      <c r="BW916" s="530"/>
    </row>
    <row r="917">
      <c r="N917" s="530"/>
      <c r="O917" s="530"/>
      <c r="T917" s="530"/>
      <c r="U917" s="530"/>
      <c r="Z917" s="530"/>
      <c r="AA917" s="530"/>
      <c r="AF917" s="530"/>
      <c r="AG917" s="530"/>
      <c r="AL917" s="530"/>
      <c r="AM917" s="530"/>
      <c r="AR917" s="530"/>
      <c r="AS917" s="530"/>
      <c r="AX917" s="530"/>
      <c r="AY917" s="530"/>
      <c r="BD917" s="530"/>
      <c r="BE917" s="530"/>
      <c r="BJ917" s="530"/>
      <c r="BK917" s="530"/>
      <c r="BP917" s="530"/>
      <c r="BQ917" s="530"/>
      <c r="BV917" s="530"/>
      <c r="BW917" s="530"/>
    </row>
    <row r="918">
      <c r="N918" s="530"/>
      <c r="O918" s="530"/>
      <c r="T918" s="530"/>
      <c r="U918" s="530"/>
      <c r="Z918" s="530"/>
      <c r="AA918" s="530"/>
      <c r="AF918" s="530"/>
      <c r="AG918" s="530"/>
      <c r="AL918" s="530"/>
      <c r="AM918" s="530"/>
      <c r="AR918" s="530"/>
      <c r="AS918" s="530"/>
      <c r="AX918" s="530"/>
      <c r="AY918" s="530"/>
      <c r="BD918" s="530"/>
      <c r="BE918" s="530"/>
      <c r="BJ918" s="530"/>
      <c r="BK918" s="530"/>
      <c r="BP918" s="530"/>
      <c r="BQ918" s="530"/>
      <c r="BV918" s="530"/>
      <c r="BW918" s="530"/>
    </row>
    <row r="919">
      <c r="N919" s="530"/>
      <c r="O919" s="530"/>
      <c r="T919" s="530"/>
      <c r="U919" s="530"/>
      <c r="Z919" s="530"/>
      <c r="AA919" s="530"/>
      <c r="AF919" s="530"/>
      <c r="AG919" s="530"/>
      <c r="AL919" s="530"/>
      <c r="AM919" s="530"/>
      <c r="AR919" s="530"/>
      <c r="AS919" s="530"/>
      <c r="AX919" s="530"/>
      <c r="AY919" s="530"/>
      <c r="BD919" s="530"/>
      <c r="BE919" s="530"/>
      <c r="BJ919" s="530"/>
      <c r="BK919" s="530"/>
      <c r="BP919" s="530"/>
      <c r="BQ919" s="530"/>
      <c r="BV919" s="530"/>
      <c r="BW919" s="530"/>
    </row>
    <row r="920">
      <c r="N920" s="530"/>
      <c r="O920" s="530"/>
      <c r="T920" s="530"/>
      <c r="U920" s="530"/>
      <c r="Z920" s="530"/>
      <c r="AA920" s="530"/>
      <c r="AF920" s="530"/>
      <c r="AG920" s="530"/>
      <c r="AL920" s="530"/>
      <c r="AM920" s="530"/>
      <c r="AR920" s="530"/>
      <c r="AS920" s="530"/>
      <c r="AX920" s="530"/>
      <c r="AY920" s="530"/>
      <c r="BD920" s="530"/>
      <c r="BE920" s="530"/>
      <c r="BJ920" s="530"/>
      <c r="BK920" s="530"/>
      <c r="BP920" s="530"/>
      <c r="BQ920" s="530"/>
      <c r="BV920" s="530"/>
      <c r="BW920" s="530"/>
    </row>
    <row r="921">
      <c r="N921" s="530"/>
      <c r="O921" s="530"/>
      <c r="T921" s="530"/>
      <c r="U921" s="530"/>
      <c r="Z921" s="530"/>
      <c r="AA921" s="530"/>
      <c r="AF921" s="530"/>
      <c r="AG921" s="530"/>
      <c r="AL921" s="530"/>
      <c r="AM921" s="530"/>
      <c r="AR921" s="530"/>
      <c r="AS921" s="530"/>
      <c r="AX921" s="530"/>
      <c r="AY921" s="530"/>
      <c r="BD921" s="530"/>
      <c r="BE921" s="530"/>
      <c r="BJ921" s="530"/>
      <c r="BK921" s="530"/>
      <c r="BP921" s="530"/>
      <c r="BQ921" s="530"/>
      <c r="BV921" s="530"/>
      <c r="BW921" s="530"/>
    </row>
    <row r="922">
      <c r="N922" s="530"/>
      <c r="O922" s="530"/>
      <c r="T922" s="530"/>
      <c r="U922" s="530"/>
      <c r="Z922" s="530"/>
      <c r="AA922" s="530"/>
      <c r="AF922" s="530"/>
      <c r="AG922" s="530"/>
      <c r="AL922" s="530"/>
      <c r="AM922" s="530"/>
      <c r="AR922" s="530"/>
      <c r="AS922" s="530"/>
      <c r="AX922" s="530"/>
      <c r="AY922" s="530"/>
      <c r="BD922" s="530"/>
      <c r="BE922" s="530"/>
      <c r="BJ922" s="530"/>
      <c r="BK922" s="530"/>
      <c r="BP922" s="530"/>
      <c r="BQ922" s="530"/>
      <c r="BV922" s="530"/>
      <c r="BW922" s="530"/>
    </row>
    <row r="923">
      <c r="N923" s="530"/>
      <c r="O923" s="530"/>
      <c r="T923" s="530"/>
      <c r="U923" s="530"/>
      <c r="Z923" s="530"/>
      <c r="AA923" s="530"/>
      <c r="AF923" s="530"/>
      <c r="AG923" s="530"/>
      <c r="AL923" s="530"/>
      <c r="AM923" s="530"/>
      <c r="AR923" s="530"/>
      <c r="AS923" s="530"/>
      <c r="AX923" s="530"/>
      <c r="AY923" s="530"/>
      <c r="BD923" s="530"/>
      <c r="BE923" s="530"/>
      <c r="BJ923" s="530"/>
      <c r="BK923" s="530"/>
      <c r="BP923" s="530"/>
      <c r="BQ923" s="530"/>
      <c r="BV923" s="530"/>
      <c r="BW923" s="530"/>
    </row>
    <row r="924">
      <c r="N924" s="530"/>
      <c r="O924" s="530"/>
      <c r="T924" s="530"/>
      <c r="U924" s="530"/>
      <c r="Z924" s="530"/>
      <c r="AA924" s="530"/>
      <c r="AF924" s="530"/>
      <c r="AG924" s="530"/>
      <c r="AL924" s="530"/>
      <c r="AM924" s="530"/>
      <c r="AR924" s="530"/>
      <c r="AS924" s="530"/>
      <c r="AX924" s="530"/>
      <c r="AY924" s="530"/>
      <c r="BD924" s="530"/>
      <c r="BE924" s="530"/>
      <c r="BJ924" s="530"/>
      <c r="BK924" s="530"/>
      <c r="BP924" s="530"/>
      <c r="BQ924" s="530"/>
      <c r="BV924" s="530"/>
      <c r="BW924" s="530"/>
    </row>
    <row r="925">
      <c r="N925" s="530"/>
      <c r="O925" s="530"/>
      <c r="T925" s="530"/>
      <c r="U925" s="530"/>
      <c r="Z925" s="530"/>
      <c r="AA925" s="530"/>
      <c r="AF925" s="530"/>
      <c r="AG925" s="530"/>
      <c r="AL925" s="530"/>
      <c r="AM925" s="530"/>
      <c r="AR925" s="530"/>
      <c r="AS925" s="530"/>
      <c r="AX925" s="530"/>
      <c r="AY925" s="530"/>
      <c r="BD925" s="530"/>
      <c r="BE925" s="530"/>
      <c r="BJ925" s="530"/>
      <c r="BK925" s="530"/>
      <c r="BP925" s="530"/>
      <c r="BQ925" s="530"/>
      <c r="BV925" s="530"/>
      <c r="BW925" s="530"/>
    </row>
    <row r="926">
      <c r="N926" s="530"/>
      <c r="O926" s="530"/>
      <c r="T926" s="530"/>
      <c r="U926" s="530"/>
      <c r="Z926" s="530"/>
      <c r="AA926" s="530"/>
      <c r="AF926" s="530"/>
      <c r="AG926" s="530"/>
      <c r="AL926" s="530"/>
      <c r="AM926" s="530"/>
      <c r="AR926" s="530"/>
      <c r="AS926" s="530"/>
      <c r="AX926" s="530"/>
      <c r="AY926" s="530"/>
      <c r="BD926" s="530"/>
      <c r="BE926" s="530"/>
      <c r="BJ926" s="530"/>
      <c r="BK926" s="530"/>
      <c r="BP926" s="530"/>
      <c r="BQ926" s="530"/>
      <c r="BV926" s="530"/>
      <c r="BW926" s="530"/>
    </row>
    <row r="927">
      <c r="N927" s="530"/>
      <c r="O927" s="530"/>
      <c r="T927" s="530"/>
      <c r="U927" s="530"/>
      <c r="Z927" s="530"/>
      <c r="AA927" s="530"/>
      <c r="AF927" s="530"/>
      <c r="AG927" s="530"/>
      <c r="AL927" s="530"/>
      <c r="AM927" s="530"/>
      <c r="AR927" s="530"/>
      <c r="AS927" s="530"/>
      <c r="AX927" s="530"/>
      <c r="AY927" s="530"/>
      <c r="BD927" s="530"/>
      <c r="BE927" s="530"/>
      <c r="BJ927" s="530"/>
      <c r="BK927" s="530"/>
      <c r="BP927" s="530"/>
      <c r="BQ927" s="530"/>
      <c r="BV927" s="530"/>
      <c r="BW927" s="530"/>
    </row>
    <row r="928">
      <c r="N928" s="530"/>
      <c r="O928" s="530"/>
      <c r="T928" s="530"/>
      <c r="U928" s="530"/>
      <c r="Z928" s="530"/>
      <c r="AA928" s="530"/>
      <c r="AF928" s="530"/>
      <c r="AG928" s="530"/>
      <c r="AL928" s="530"/>
      <c r="AM928" s="530"/>
      <c r="AR928" s="530"/>
      <c r="AS928" s="530"/>
      <c r="AX928" s="530"/>
      <c r="AY928" s="530"/>
      <c r="BD928" s="530"/>
      <c r="BE928" s="530"/>
      <c r="BJ928" s="530"/>
      <c r="BK928" s="530"/>
      <c r="BP928" s="530"/>
      <c r="BQ928" s="530"/>
      <c r="BV928" s="530"/>
      <c r="BW928" s="530"/>
    </row>
    <row r="929">
      <c r="N929" s="530"/>
      <c r="O929" s="530"/>
      <c r="T929" s="530"/>
      <c r="U929" s="530"/>
      <c r="Z929" s="530"/>
      <c r="AA929" s="530"/>
      <c r="AF929" s="530"/>
      <c r="AG929" s="530"/>
      <c r="AL929" s="530"/>
      <c r="AM929" s="530"/>
      <c r="AR929" s="530"/>
      <c r="AS929" s="530"/>
      <c r="AX929" s="530"/>
      <c r="AY929" s="530"/>
      <c r="BD929" s="530"/>
      <c r="BE929" s="530"/>
      <c r="BJ929" s="530"/>
      <c r="BK929" s="530"/>
      <c r="BP929" s="530"/>
      <c r="BQ929" s="530"/>
      <c r="BV929" s="530"/>
      <c r="BW929" s="530"/>
    </row>
    <row r="930">
      <c r="N930" s="530"/>
      <c r="O930" s="530"/>
      <c r="T930" s="530"/>
      <c r="U930" s="530"/>
      <c r="Z930" s="530"/>
      <c r="AA930" s="530"/>
      <c r="AF930" s="530"/>
      <c r="AG930" s="530"/>
      <c r="AL930" s="530"/>
      <c r="AM930" s="530"/>
      <c r="AR930" s="530"/>
      <c r="AS930" s="530"/>
      <c r="AX930" s="530"/>
      <c r="AY930" s="530"/>
      <c r="BD930" s="530"/>
      <c r="BE930" s="530"/>
      <c r="BJ930" s="530"/>
      <c r="BK930" s="530"/>
      <c r="BP930" s="530"/>
      <c r="BQ930" s="530"/>
      <c r="BV930" s="530"/>
      <c r="BW930" s="530"/>
    </row>
    <row r="931">
      <c r="N931" s="530"/>
      <c r="O931" s="530"/>
      <c r="T931" s="530"/>
      <c r="U931" s="530"/>
      <c r="Z931" s="530"/>
      <c r="AA931" s="530"/>
      <c r="AF931" s="530"/>
      <c r="AG931" s="530"/>
      <c r="AL931" s="530"/>
      <c r="AM931" s="530"/>
      <c r="AR931" s="530"/>
      <c r="AS931" s="530"/>
      <c r="AX931" s="530"/>
      <c r="AY931" s="530"/>
      <c r="BD931" s="530"/>
      <c r="BE931" s="530"/>
      <c r="BJ931" s="530"/>
      <c r="BK931" s="530"/>
      <c r="BP931" s="530"/>
      <c r="BQ931" s="530"/>
      <c r="BV931" s="530"/>
      <c r="BW931" s="530"/>
    </row>
    <row r="932">
      <c r="N932" s="530"/>
      <c r="O932" s="530"/>
      <c r="T932" s="530"/>
      <c r="U932" s="530"/>
      <c r="Z932" s="530"/>
      <c r="AA932" s="530"/>
      <c r="AF932" s="530"/>
      <c r="AG932" s="530"/>
      <c r="AL932" s="530"/>
      <c r="AM932" s="530"/>
      <c r="AR932" s="530"/>
      <c r="AS932" s="530"/>
      <c r="AX932" s="530"/>
      <c r="AY932" s="530"/>
      <c r="BD932" s="530"/>
      <c r="BE932" s="530"/>
      <c r="BJ932" s="530"/>
      <c r="BK932" s="530"/>
      <c r="BP932" s="530"/>
      <c r="BQ932" s="530"/>
      <c r="BV932" s="530"/>
      <c r="BW932" s="530"/>
    </row>
    <row r="933">
      <c r="N933" s="530"/>
      <c r="O933" s="530"/>
      <c r="T933" s="530"/>
      <c r="U933" s="530"/>
      <c r="Z933" s="530"/>
      <c r="AA933" s="530"/>
      <c r="AF933" s="530"/>
      <c r="AG933" s="530"/>
      <c r="AL933" s="530"/>
      <c r="AM933" s="530"/>
      <c r="AR933" s="530"/>
      <c r="AS933" s="530"/>
      <c r="AX933" s="530"/>
      <c r="AY933" s="530"/>
      <c r="BD933" s="530"/>
      <c r="BE933" s="530"/>
      <c r="BJ933" s="530"/>
      <c r="BK933" s="530"/>
      <c r="BP933" s="530"/>
      <c r="BQ933" s="530"/>
      <c r="BV933" s="530"/>
      <c r="BW933" s="530"/>
    </row>
    <row r="934">
      <c r="N934" s="530"/>
      <c r="O934" s="530"/>
      <c r="T934" s="530"/>
      <c r="U934" s="530"/>
      <c r="Z934" s="530"/>
      <c r="AA934" s="530"/>
      <c r="AF934" s="530"/>
      <c r="AG934" s="530"/>
      <c r="AL934" s="530"/>
      <c r="AM934" s="530"/>
      <c r="AR934" s="530"/>
      <c r="AS934" s="530"/>
      <c r="AX934" s="530"/>
      <c r="AY934" s="530"/>
      <c r="BD934" s="530"/>
      <c r="BE934" s="530"/>
      <c r="BJ934" s="530"/>
      <c r="BK934" s="530"/>
      <c r="BP934" s="530"/>
      <c r="BQ934" s="530"/>
      <c r="BV934" s="530"/>
      <c r="BW934" s="530"/>
    </row>
    <row r="935">
      <c r="N935" s="530"/>
      <c r="O935" s="530"/>
      <c r="T935" s="530"/>
      <c r="U935" s="530"/>
      <c r="Z935" s="530"/>
      <c r="AA935" s="530"/>
      <c r="AF935" s="530"/>
      <c r="AG935" s="530"/>
      <c r="AL935" s="530"/>
      <c r="AM935" s="530"/>
      <c r="AR935" s="530"/>
      <c r="AS935" s="530"/>
      <c r="AX935" s="530"/>
      <c r="AY935" s="530"/>
      <c r="BD935" s="530"/>
      <c r="BE935" s="530"/>
      <c r="BJ935" s="530"/>
      <c r="BK935" s="530"/>
      <c r="BP935" s="530"/>
      <c r="BQ935" s="530"/>
      <c r="BV935" s="530"/>
      <c r="BW935" s="530"/>
    </row>
    <row r="936">
      <c r="N936" s="530"/>
      <c r="O936" s="530"/>
      <c r="T936" s="530"/>
      <c r="U936" s="530"/>
      <c r="Z936" s="530"/>
      <c r="AA936" s="530"/>
      <c r="AF936" s="530"/>
      <c r="AG936" s="530"/>
      <c r="AL936" s="530"/>
      <c r="AM936" s="530"/>
      <c r="AR936" s="530"/>
      <c r="AS936" s="530"/>
      <c r="AX936" s="530"/>
      <c r="AY936" s="530"/>
      <c r="BD936" s="530"/>
      <c r="BE936" s="530"/>
      <c r="BJ936" s="530"/>
      <c r="BK936" s="530"/>
      <c r="BP936" s="530"/>
      <c r="BQ936" s="530"/>
      <c r="BV936" s="530"/>
      <c r="BW936" s="530"/>
    </row>
    <row r="937">
      <c r="N937" s="530"/>
      <c r="O937" s="530"/>
      <c r="T937" s="530"/>
      <c r="U937" s="530"/>
      <c r="Z937" s="530"/>
      <c r="AA937" s="530"/>
      <c r="AF937" s="530"/>
      <c r="AG937" s="530"/>
      <c r="AL937" s="530"/>
      <c r="AM937" s="530"/>
      <c r="AR937" s="530"/>
      <c r="AS937" s="530"/>
      <c r="AX937" s="530"/>
      <c r="AY937" s="530"/>
      <c r="BD937" s="530"/>
      <c r="BE937" s="530"/>
      <c r="BJ937" s="530"/>
      <c r="BK937" s="530"/>
      <c r="BP937" s="530"/>
      <c r="BQ937" s="530"/>
      <c r="BV937" s="530"/>
      <c r="BW937" s="530"/>
    </row>
    <row r="938">
      <c r="N938" s="530"/>
      <c r="O938" s="530"/>
      <c r="T938" s="530"/>
      <c r="U938" s="530"/>
      <c r="Z938" s="530"/>
      <c r="AA938" s="530"/>
      <c r="AF938" s="530"/>
      <c r="AG938" s="530"/>
      <c r="AL938" s="530"/>
      <c r="AM938" s="530"/>
      <c r="AR938" s="530"/>
      <c r="AS938" s="530"/>
      <c r="AX938" s="530"/>
      <c r="AY938" s="530"/>
      <c r="BD938" s="530"/>
      <c r="BE938" s="530"/>
      <c r="BJ938" s="530"/>
      <c r="BK938" s="530"/>
      <c r="BP938" s="530"/>
      <c r="BQ938" s="530"/>
      <c r="BV938" s="530"/>
      <c r="BW938" s="530"/>
    </row>
    <row r="939">
      <c r="N939" s="530"/>
      <c r="O939" s="530"/>
      <c r="T939" s="530"/>
      <c r="U939" s="530"/>
      <c r="Z939" s="530"/>
      <c r="AA939" s="530"/>
      <c r="AF939" s="530"/>
      <c r="AG939" s="530"/>
      <c r="AL939" s="530"/>
      <c r="AM939" s="530"/>
      <c r="AR939" s="530"/>
      <c r="AS939" s="530"/>
      <c r="AX939" s="530"/>
      <c r="AY939" s="530"/>
      <c r="BD939" s="530"/>
      <c r="BE939" s="530"/>
      <c r="BJ939" s="530"/>
      <c r="BK939" s="530"/>
      <c r="BP939" s="530"/>
      <c r="BQ939" s="530"/>
      <c r="BV939" s="530"/>
      <c r="BW939" s="530"/>
    </row>
    <row r="940">
      <c r="N940" s="530"/>
      <c r="O940" s="530"/>
      <c r="T940" s="530"/>
      <c r="U940" s="530"/>
      <c r="Z940" s="530"/>
      <c r="AA940" s="530"/>
      <c r="AF940" s="530"/>
      <c r="AG940" s="530"/>
      <c r="AL940" s="530"/>
      <c r="AM940" s="530"/>
      <c r="AR940" s="530"/>
      <c r="AS940" s="530"/>
      <c r="AX940" s="530"/>
      <c r="AY940" s="530"/>
      <c r="BD940" s="530"/>
      <c r="BE940" s="530"/>
      <c r="BJ940" s="530"/>
      <c r="BK940" s="530"/>
      <c r="BP940" s="530"/>
      <c r="BQ940" s="530"/>
      <c r="BV940" s="530"/>
      <c r="BW940" s="530"/>
    </row>
    <row r="941">
      <c r="N941" s="530"/>
      <c r="O941" s="530"/>
      <c r="T941" s="530"/>
      <c r="U941" s="530"/>
      <c r="Z941" s="530"/>
      <c r="AA941" s="530"/>
      <c r="AF941" s="530"/>
      <c r="AG941" s="530"/>
      <c r="AL941" s="530"/>
      <c r="AM941" s="530"/>
      <c r="AR941" s="530"/>
      <c r="AS941" s="530"/>
      <c r="AX941" s="530"/>
      <c r="AY941" s="530"/>
      <c r="BD941" s="530"/>
      <c r="BE941" s="530"/>
      <c r="BJ941" s="530"/>
      <c r="BK941" s="530"/>
      <c r="BP941" s="530"/>
      <c r="BQ941" s="530"/>
      <c r="BV941" s="530"/>
      <c r="BW941" s="530"/>
    </row>
    <row r="942">
      <c r="N942" s="530"/>
      <c r="O942" s="530"/>
      <c r="T942" s="530"/>
      <c r="U942" s="530"/>
      <c r="Z942" s="530"/>
      <c r="AA942" s="530"/>
      <c r="AF942" s="530"/>
      <c r="AG942" s="530"/>
      <c r="AL942" s="530"/>
      <c r="AM942" s="530"/>
      <c r="AR942" s="530"/>
      <c r="AS942" s="530"/>
      <c r="AX942" s="530"/>
      <c r="AY942" s="530"/>
      <c r="BD942" s="530"/>
      <c r="BE942" s="530"/>
      <c r="BJ942" s="530"/>
      <c r="BK942" s="530"/>
      <c r="BP942" s="530"/>
      <c r="BQ942" s="530"/>
      <c r="BV942" s="530"/>
      <c r="BW942" s="530"/>
    </row>
    <row r="943">
      <c r="N943" s="530"/>
      <c r="O943" s="530"/>
      <c r="T943" s="530"/>
      <c r="U943" s="530"/>
      <c r="Z943" s="530"/>
      <c r="AA943" s="530"/>
      <c r="AF943" s="530"/>
      <c r="AG943" s="530"/>
      <c r="AL943" s="530"/>
      <c r="AM943" s="530"/>
      <c r="AR943" s="530"/>
      <c r="AS943" s="530"/>
      <c r="AX943" s="530"/>
      <c r="AY943" s="530"/>
      <c r="BD943" s="530"/>
      <c r="BE943" s="530"/>
      <c r="BJ943" s="530"/>
      <c r="BK943" s="530"/>
      <c r="BP943" s="530"/>
      <c r="BQ943" s="530"/>
      <c r="BV943" s="530"/>
      <c r="BW943" s="530"/>
    </row>
    <row r="944">
      <c r="N944" s="530"/>
      <c r="O944" s="530"/>
      <c r="T944" s="530"/>
      <c r="U944" s="530"/>
      <c r="Z944" s="530"/>
      <c r="AA944" s="530"/>
      <c r="AF944" s="530"/>
      <c r="AG944" s="530"/>
      <c r="AL944" s="530"/>
      <c r="AM944" s="530"/>
      <c r="AR944" s="530"/>
      <c r="AS944" s="530"/>
      <c r="AX944" s="530"/>
      <c r="AY944" s="530"/>
      <c r="BD944" s="530"/>
      <c r="BE944" s="530"/>
      <c r="BJ944" s="530"/>
      <c r="BK944" s="530"/>
      <c r="BP944" s="530"/>
      <c r="BQ944" s="530"/>
      <c r="BV944" s="530"/>
      <c r="BW944" s="530"/>
    </row>
    <row r="945">
      <c r="N945" s="530"/>
      <c r="O945" s="530"/>
      <c r="T945" s="530"/>
      <c r="U945" s="530"/>
      <c r="Z945" s="530"/>
      <c r="AA945" s="530"/>
      <c r="AF945" s="530"/>
      <c r="AG945" s="530"/>
      <c r="AL945" s="530"/>
      <c r="AM945" s="530"/>
      <c r="AR945" s="530"/>
      <c r="AS945" s="530"/>
      <c r="AX945" s="530"/>
      <c r="AY945" s="530"/>
      <c r="BD945" s="530"/>
      <c r="BE945" s="530"/>
      <c r="BJ945" s="530"/>
      <c r="BK945" s="530"/>
      <c r="BP945" s="530"/>
      <c r="BQ945" s="530"/>
      <c r="BV945" s="530"/>
      <c r="BW945" s="530"/>
    </row>
    <row r="946">
      <c r="N946" s="530"/>
      <c r="O946" s="530"/>
      <c r="T946" s="530"/>
      <c r="U946" s="530"/>
      <c r="Z946" s="530"/>
      <c r="AA946" s="530"/>
      <c r="AF946" s="530"/>
      <c r="AG946" s="530"/>
      <c r="AL946" s="530"/>
      <c r="AM946" s="530"/>
      <c r="AR946" s="530"/>
      <c r="AS946" s="530"/>
      <c r="AX946" s="530"/>
      <c r="AY946" s="530"/>
      <c r="BD946" s="530"/>
      <c r="BE946" s="530"/>
      <c r="BJ946" s="530"/>
      <c r="BK946" s="530"/>
      <c r="BP946" s="530"/>
      <c r="BQ946" s="530"/>
      <c r="BV946" s="530"/>
      <c r="BW946" s="530"/>
    </row>
    <row r="947">
      <c r="N947" s="530"/>
      <c r="O947" s="530"/>
      <c r="T947" s="530"/>
      <c r="U947" s="530"/>
      <c r="Z947" s="530"/>
      <c r="AA947" s="530"/>
      <c r="AF947" s="530"/>
      <c r="AG947" s="530"/>
      <c r="AL947" s="530"/>
      <c r="AM947" s="530"/>
      <c r="AR947" s="530"/>
      <c r="AS947" s="530"/>
      <c r="AX947" s="530"/>
      <c r="AY947" s="530"/>
      <c r="BD947" s="530"/>
      <c r="BE947" s="530"/>
      <c r="BJ947" s="530"/>
      <c r="BK947" s="530"/>
      <c r="BP947" s="530"/>
      <c r="BQ947" s="530"/>
      <c r="BV947" s="530"/>
      <c r="BW947" s="530"/>
    </row>
    <row r="948">
      <c r="N948" s="530"/>
      <c r="O948" s="530"/>
      <c r="T948" s="530"/>
      <c r="U948" s="530"/>
      <c r="Z948" s="530"/>
      <c r="AA948" s="530"/>
      <c r="AF948" s="530"/>
      <c r="AG948" s="530"/>
      <c r="AL948" s="530"/>
      <c r="AM948" s="530"/>
      <c r="AR948" s="530"/>
      <c r="AS948" s="530"/>
      <c r="AX948" s="530"/>
      <c r="AY948" s="530"/>
      <c r="BD948" s="530"/>
      <c r="BE948" s="530"/>
      <c r="BJ948" s="530"/>
      <c r="BK948" s="530"/>
      <c r="BP948" s="530"/>
      <c r="BQ948" s="530"/>
      <c r="BV948" s="530"/>
      <c r="BW948" s="530"/>
    </row>
    <row r="949">
      <c r="N949" s="530"/>
      <c r="O949" s="530"/>
      <c r="T949" s="530"/>
      <c r="U949" s="530"/>
      <c r="Z949" s="530"/>
      <c r="AA949" s="530"/>
      <c r="AF949" s="530"/>
      <c r="AG949" s="530"/>
      <c r="AL949" s="530"/>
      <c r="AM949" s="530"/>
      <c r="AR949" s="530"/>
      <c r="AS949" s="530"/>
      <c r="AX949" s="530"/>
      <c r="AY949" s="530"/>
      <c r="BD949" s="530"/>
      <c r="BE949" s="530"/>
      <c r="BJ949" s="530"/>
      <c r="BK949" s="530"/>
      <c r="BP949" s="530"/>
      <c r="BQ949" s="530"/>
      <c r="BV949" s="530"/>
      <c r="BW949" s="530"/>
    </row>
    <row r="950">
      <c r="N950" s="530"/>
      <c r="O950" s="530"/>
      <c r="T950" s="530"/>
      <c r="U950" s="530"/>
      <c r="Z950" s="530"/>
      <c r="AA950" s="530"/>
      <c r="AF950" s="530"/>
      <c r="AG950" s="530"/>
      <c r="AL950" s="530"/>
      <c r="AM950" s="530"/>
      <c r="AR950" s="530"/>
      <c r="AS950" s="530"/>
      <c r="AX950" s="530"/>
      <c r="AY950" s="530"/>
      <c r="BD950" s="530"/>
      <c r="BE950" s="530"/>
      <c r="BJ950" s="530"/>
      <c r="BK950" s="530"/>
      <c r="BP950" s="530"/>
      <c r="BQ950" s="530"/>
      <c r="BV950" s="530"/>
      <c r="BW950" s="530"/>
    </row>
    <row r="951">
      <c r="N951" s="530"/>
      <c r="O951" s="530"/>
      <c r="T951" s="530"/>
      <c r="U951" s="530"/>
      <c r="Z951" s="530"/>
      <c r="AA951" s="530"/>
      <c r="AF951" s="530"/>
      <c r="AG951" s="530"/>
      <c r="AL951" s="530"/>
      <c r="AM951" s="530"/>
      <c r="AR951" s="530"/>
      <c r="AS951" s="530"/>
      <c r="AX951" s="530"/>
      <c r="AY951" s="530"/>
      <c r="BD951" s="530"/>
      <c r="BE951" s="530"/>
      <c r="BJ951" s="530"/>
      <c r="BK951" s="530"/>
      <c r="BP951" s="530"/>
      <c r="BQ951" s="530"/>
      <c r="BV951" s="530"/>
      <c r="BW951" s="530"/>
    </row>
    <row r="952">
      <c r="N952" s="530"/>
      <c r="O952" s="530"/>
      <c r="T952" s="530"/>
      <c r="U952" s="530"/>
      <c r="Z952" s="530"/>
      <c r="AA952" s="530"/>
      <c r="AF952" s="530"/>
      <c r="AG952" s="530"/>
      <c r="AL952" s="530"/>
      <c r="AM952" s="530"/>
      <c r="AR952" s="530"/>
      <c r="AS952" s="530"/>
      <c r="AX952" s="530"/>
      <c r="AY952" s="530"/>
      <c r="BD952" s="530"/>
      <c r="BE952" s="530"/>
      <c r="BJ952" s="530"/>
      <c r="BK952" s="530"/>
      <c r="BP952" s="530"/>
      <c r="BQ952" s="530"/>
      <c r="BV952" s="530"/>
      <c r="BW952" s="530"/>
    </row>
    <row r="953">
      <c r="N953" s="530"/>
      <c r="O953" s="530"/>
      <c r="T953" s="530"/>
      <c r="U953" s="530"/>
      <c r="Z953" s="530"/>
      <c r="AA953" s="530"/>
      <c r="AF953" s="530"/>
      <c r="AG953" s="530"/>
      <c r="AL953" s="530"/>
      <c r="AM953" s="530"/>
      <c r="AR953" s="530"/>
      <c r="AS953" s="530"/>
      <c r="AX953" s="530"/>
      <c r="AY953" s="530"/>
      <c r="BD953" s="530"/>
      <c r="BE953" s="530"/>
      <c r="BJ953" s="530"/>
      <c r="BK953" s="530"/>
      <c r="BP953" s="530"/>
      <c r="BQ953" s="530"/>
      <c r="BV953" s="530"/>
      <c r="BW953" s="530"/>
    </row>
    <row r="954">
      <c r="N954" s="530"/>
      <c r="O954" s="530"/>
      <c r="T954" s="530"/>
      <c r="U954" s="530"/>
      <c r="Z954" s="530"/>
      <c r="AA954" s="530"/>
      <c r="AF954" s="530"/>
      <c r="AG954" s="530"/>
      <c r="AL954" s="530"/>
      <c r="AM954" s="530"/>
      <c r="AR954" s="530"/>
      <c r="AS954" s="530"/>
      <c r="AX954" s="530"/>
      <c r="AY954" s="530"/>
      <c r="BD954" s="530"/>
      <c r="BE954" s="530"/>
      <c r="BJ954" s="530"/>
      <c r="BK954" s="530"/>
      <c r="BP954" s="530"/>
      <c r="BQ954" s="530"/>
      <c r="BV954" s="530"/>
      <c r="BW954" s="530"/>
    </row>
    <row r="955">
      <c r="N955" s="530"/>
      <c r="O955" s="530"/>
      <c r="T955" s="530"/>
      <c r="U955" s="530"/>
      <c r="Z955" s="530"/>
      <c r="AA955" s="530"/>
      <c r="AF955" s="530"/>
      <c r="AG955" s="530"/>
      <c r="AL955" s="530"/>
      <c r="AM955" s="530"/>
      <c r="AR955" s="530"/>
      <c r="AS955" s="530"/>
      <c r="AX955" s="530"/>
      <c r="AY955" s="530"/>
      <c r="BD955" s="530"/>
      <c r="BE955" s="530"/>
      <c r="BJ955" s="530"/>
      <c r="BK955" s="530"/>
      <c r="BP955" s="530"/>
      <c r="BQ955" s="530"/>
      <c r="BV955" s="530"/>
      <c r="BW955" s="530"/>
    </row>
    <row r="956">
      <c r="N956" s="530"/>
      <c r="O956" s="530"/>
      <c r="T956" s="530"/>
      <c r="U956" s="530"/>
      <c r="Z956" s="530"/>
      <c r="AA956" s="530"/>
      <c r="AF956" s="530"/>
      <c r="AG956" s="530"/>
      <c r="AL956" s="530"/>
      <c r="AM956" s="530"/>
      <c r="AR956" s="530"/>
      <c r="AS956" s="530"/>
      <c r="AX956" s="530"/>
      <c r="AY956" s="530"/>
      <c r="BD956" s="530"/>
      <c r="BE956" s="530"/>
      <c r="BJ956" s="530"/>
      <c r="BK956" s="530"/>
      <c r="BP956" s="530"/>
      <c r="BQ956" s="530"/>
      <c r="BV956" s="530"/>
      <c r="BW956" s="530"/>
    </row>
    <row r="957">
      <c r="N957" s="530"/>
      <c r="O957" s="530"/>
      <c r="T957" s="530"/>
      <c r="U957" s="530"/>
      <c r="Z957" s="530"/>
      <c r="AA957" s="530"/>
      <c r="AF957" s="530"/>
      <c r="AG957" s="530"/>
      <c r="AL957" s="530"/>
      <c r="AM957" s="530"/>
      <c r="AR957" s="530"/>
      <c r="AS957" s="530"/>
      <c r="AX957" s="530"/>
      <c r="AY957" s="530"/>
      <c r="BD957" s="530"/>
      <c r="BE957" s="530"/>
      <c r="BJ957" s="530"/>
      <c r="BK957" s="530"/>
      <c r="BP957" s="530"/>
      <c r="BQ957" s="530"/>
      <c r="BV957" s="530"/>
      <c r="BW957" s="530"/>
    </row>
    <row r="958">
      <c r="N958" s="530"/>
      <c r="O958" s="530"/>
      <c r="T958" s="530"/>
      <c r="U958" s="530"/>
      <c r="Z958" s="530"/>
      <c r="AA958" s="530"/>
      <c r="AF958" s="530"/>
      <c r="AG958" s="530"/>
      <c r="AL958" s="530"/>
      <c r="AM958" s="530"/>
      <c r="AR958" s="530"/>
      <c r="AS958" s="530"/>
      <c r="AX958" s="530"/>
      <c r="AY958" s="530"/>
      <c r="BD958" s="530"/>
      <c r="BE958" s="530"/>
      <c r="BJ958" s="530"/>
      <c r="BK958" s="530"/>
      <c r="BP958" s="530"/>
      <c r="BQ958" s="530"/>
      <c r="BV958" s="530"/>
      <c r="BW958" s="530"/>
    </row>
    <row r="959">
      <c r="N959" s="530"/>
      <c r="O959" s="530"/>
      <c r="T959" s="530"/>
      <c r="U959" s="530"/>
      <c r="Z959" s="530"/>
      <c r="AA959" s="530"/>
      <c r="AF959" s="530"/>
      <c r="AG959" s="530"/>
      <c r="AL959" s="530"/>
      <c r="AM959" s="530"/>
      <c r="AR959" s="530"/>
      <c r="AS959" s="530"/>
      <c r="AX959" s="530"/>
      <c r="AY959" s="530"/>
      <c r="BD959" s="530"/>
      <c r="BE959" s="530"/>
      <c r="BJ959" s="530"/>
      <c r="BK959" s="530"/>
      <c r="BP959" s="530"/>
      <c r="BQ959" s="530"/>
      <c r="BV959" s="530"/>
      <c r="BW959" s="530"/>
    </row>
    <row r="960">
      <c r="N960" s="530"/>
      <c r="O960" s="530"/>
      <c r="T960" s="530"/>
      <c r="U960" s="530"/>
      <c r="Z960" s="530"/>
      <c r="AA960" s="530"/>
      <c r="AF960" s="530"/>
      <c r="AG960" s="530"/>
      <c r="AL960" s="530"/>
      <c r="AM960" s="530"/>
      <c r="AR960" s="530"/>
      <c r="AS960" s="530"/>
      <c r="AX960" s="530"/>
      <c r="AY960" s="530"/>
      <c r="BD960" s="530"/>
      <c r="BE960" s="530"/>
      <c r="BJ960" s="530"/>
      <c r="BK960" s="530"/>
      <c r="BP960" s="530"/>
      <c r="BQ960" s="530"/>
      <c r="BV960" s="530"/>
      <c r="BW960" s="530"/>
    </row>
    <row r="961">
      <c r="N961" s="530"/>
      <c r="O961" s="530"/>
      <c r="T961" s="530"/>
      <c r="U961" s="530"/>
      <c r="Z961" s="530"/>
      <c r="AA961" s="530"/>
      <c r="AF961" s="530"/>
      <c r="AG961" s="530"/>
      <c r="AL961" s="530"/>
      <c r="AM961" s="530"/>
      <c r="AR961" s="530"/>
      <c r="AS961" s="530"/>
      <c r="AX961" s="530"/>
      <c r="AY961" s="530"/>
      <c r="BD961" s="530"/>
      <c r="BE961" s="530"/>
      <c r="BJ961" s="530"/>
      <c r="BK961" s="530"/>
      <c r="BP961" s="530"/>
      <c r="BQ961" s="530"/>
      <c r="BV961" s="530"/>
      <c r="BW961" s="530"/>
    </row>
    <row r="962">
      <c r="N962" s="530"/>
      <c r="O962" s="530"/>
      <c r="T962" s="530"/>
      <c r="U962" s="530"/>
      <c r="Z962" s="530"/>
      <c r="AA962" s="530"/>
      <c r="AF962" s="530"/>
      <c r="AG962" s="530"/>
      <c r="AL962" s="530"/>
      <c r="AM962" s="530"/>
      <c r="AR962" s="530"/>
      <c r="AS962" s="530"/>
      <c r="AX962" s="530"/>
      <c r="AY962" s="530"/>
      <c r="BD962" s="530"/>
      <c r="BE962" s="530"/>
      <c r="BJ962" s="530"/>
      <c r="BK962" s="530"/>
      <c r="BP962" s="530"/>
      <c r="BQ962" s="530"/>
      <c r="BV962" s="530"/>
      <c r="BW962" s="530"/>
    </row>
    <row r="963">
      <c r="N963" s="530"/>
      <c r="O963" s="530"/>
      <c r="T963" s="530"/>
      <c r="U963" s="530"/>
      <c r="Z963" s="530"/>
      <c r="AA963" s="530"/>
      <c r="AF963" s="530"/>
      <c r="AG963" s="530"/>
      <c r="AL963" s="530"/>
      <c r="AM963" s="530"/>
      <c r="AR963" s="530"/>
      <c r="AS963" s="530"/>
      <c r="AX963" s="530"/>
      <c r="AY963" s="530"/>
      <c r="BD963" s="530"/>
      <c r="BE963" s="530"/>
      <c r="BJ963" s="530"/>
      <c r="BK963" s="530"/>
      <c r="BP963" s="530"/>
      <c r="BQ963" s="530"/>
      <c r="BV963" s="530"/>
      <c r="BW963" s="530"/>
    </row>
    <row r="964">
      <c r="N964" s="530"/>
      <c r="O964" s="530"/>
      <c r="T964" s="530"/>
      <c r="U964" s="530"/>
      <c r="Z964" s="530"/>
      <c r="AA964" s="530"/>
      <c r="AF964" s="530"/>
      <c r="AG964" s="530"/>
      <c r="AL964" s="530"/>
      <c r="AM964" s="530"/>
      <c r="AR964" s="530"/>
      <c r="AS964" s="530"/>
      <c r="AX964" s="530"/>
      <c r="AY964" s="530"/>
      <c r="BD964" s="530"/>
      <c r="BE964" s="530"/>
      <c r="BJ964" s="530"/>
      <c r="BK964" s="530"/>
      <c r="BP964" s="530"/>
      <c r="BQ964" s="530"/>
      <c r="BV964" s="530"/>
      <c r="BW964" s="530"/>
    </row>
    <row r="965">
      <c r="N965" s="530"/>
      <c r="O965" s="530"/>
      <c r="T965" s="530"/>
      <c r="U965" s="530"/>
      <c r="Z965" s="530"/>
      <c r="AA965" s="530"/>
      <c r="AF965" s="530"/>
      <c r="AG965" s="530"/>
      <c r="AL965" s="530"/>
      <c r="AM965" s="530"/>
      <c r="AR965" s="530"/>
      <c r="AS965" s="530"/>
      <c r="AX965" s="530"/>
      <c r="AY965" s="530"/>
      <c r="BD965" s="530"/>
      <c r="BE965" s="530"/>
      <c r="BJ965" s="530"/>
      <c r="BK965" s="530"/>
      <c r="BP965" s="530"/>
      <c r="BQ965" s="530"/>
      <c r="BV965" s="530"/>
      <c r="BW965" s="530"/>
    </row>
    <row r="966">
      <c r="N966" s="530"/>
      <c r="O966" s="530"/>
      <c r="T966" s="530"/>
      <c r="U966" s="530"/>
      <c r="Z966" s="530"/>
      <c r="AA966" s="530"/>
      <c r="AF966" s="530"/>
      <c r="AG966" s="530"/>
      <c r="AL966" s="530"/>
      <c r="AM966" s="530"/>
      <c r="AR966" s="530"/>
      <c r="AS966" s="530"/>
      <c r="AX966" s="530"/>
      <c r="AY966" s="530"/>
      <c r="BD966" s="530"/>
      <c r="BE966" s="530"/>
      <c r="BJ966" s="530"/>
      <c r="BK966" s="530"/>
      <c r="BP966" s="530"/>
      <c r="BQ966" s="530"/>
      <c r="BV966" s="530"/>
      <c r="BW966" s="530"/>
    </row>
    <row r="967">
      <c r="N967" s="530"/>
      <c r="O967" s="530"/>
      <c r="T967" s="530"/>
      <c r="U967" s="530"/>
      <c r="Z967" s="530"/>
      <c r="AA967" s="530"/>
      <c r="AF967" s="530"/>
      <c r="AG967" s="530"/>
      <c r="AL967" s="530"/>
      <c r="AM967" s="530"/>
      <c r="AR967" s="530"/>
      <c r="AS967" s="530"/>
      <c r="AX967" s="530"/>
      <c r="AY967" s="530"/>
      <c r="BD967" s="530"/>
      <c r="BE967" s="530"/>
      <c r="BJ967" s="530"/>
      <c r="BK967" s="530"/>
      <c r="BP967" s="530"/>
      <c r="BQ967" s="530"/>
      <c r="BV967" s="530"/>
      <c r="BW967" s="530"/>
    </row>
    <row r="968">
      <c r="N968" s="530"/>
      <c r="O968" s="530"/>
      <c r="T968" s="530"/>
      <c r="U968" s="530"/>
      <c r="Z968" s="530"/>
      <c r="AA968" s="530"/>
      <c r="AF968" s="530"/>
      <c r="AG968" s="530"/>
      <c r="AL968" s="530"/>
      <c r="AM968" s="530"/>
      <c r="AR968" s="530"/>
      <c r="AS968" s="530"/>
      <c r="AX968" s="530"/>
      <c r="AY968" s="530"/>
      <c r="BD968" s="530"/>
      <c r="BE968" s="530"/>
      <c r="BJ968" s="530"/>
      <c r="BK968" s="530"/>
      <c r="BP968" s="530"/>
      <c r="BQ968" s="530"/>
      <c r="BV968" s="530"/>
      <c r="BW968" s="530"/>
    </row>
    <row r="969">
      <c r="N969" s="530"/>
      <c r="O969" s="530"/>
      <c r="T969" s="530"/>
      <c r="U969" s="530"/>
      <c r="Z969" s="530"/>
      <c r="AA969" s="530"/>
      <c r="AF969" s="530"/>
      <c r="AG969" s="530"/>
      <c r="AL969" s="530"/>
      <c r="AM969" s="530"/>
      <c r="AR969" s="530"/>
      <c r="AS969" s="530"/>
      <c r="AX969" s="530"/>
      <c r="AY969" s="530"/>
      <c r="BD969" s="530"/>
      <c r="BE969" s="530"/>
      <c r="BJ969" s="530"/>
      <c r="BK969" s="530"/>
      <c r="BP969" s="530"/>
      <c r="BQ969" s="530"/>
      <c r="BV969" s="530"/>
      <c r="BW969" s="530"/>
    </row>
    <row r="970">
      <c r="N970" s="530"/>
      <c r="O970" s="530"/>
      <c r="T970" s="530"/>
      <c r="U970" s="530"/>
      <c r="Z970" s="530"/>
      <c r="AA970" s="530"/>
      <c r="AF970" s="530"/>
      <c r="AG970" s="530"/>
      <c r="AL970" s="530"/>
      <c r="AM970" s="530"/>
      <c r="AR970" s="530"/>
      <c r="AS970" s="530"/>
      <c r="AX970" s="530"/>
      <c r="AY970" s="530"/>
      <c r="BD970" s="530"/>
      <c r="BE970" s="530"/>
      <c r="BJ970" s="530"/>
      <c r="BK970" s="530"/>
      <c r="BP970" s="530"/>
      <c r="BQ970" s="530"/>
      <c r="BV970" s="530"/>
      <c r="BW970" s="530"/>
    </row>
    <row r="971">
      <c r="N971" s="530"/>
      <c r="O971" s="530"/>
      <c r="T971" s="530"/>
      <c r="U971" s="530"/>
      <c r="Z971" s="530"/>
      <c r="AA971" s="530"/>
      <c r="AF971" s="530"/>
      <c r="AG971" s="530"/>
      <c r="AL971" s="530"/>
      <c r="AM971" s="530"/>
      <c r="AR971" s="530"/>
      <c r="AS971" s="530"/>
      <c r="AX971" s="530"/>
      <c r="AY971" s="530"/>
      <c r="BD971" s="530"/>
      <c r="BE971" s="530"/>
      <c r="BJ971" s="530"/>
      <c r="BK971" s="530"/>
      <c r="BP971" s="530"/>
      <c r="BQ971" s="530"/>
      <c r="BV971" s="530"/>
      <c r="BW971" s="530"/>
    </row>
    <row r="972">
      <c r="N972" s="530"/>
      <c r="O972" s="530"/>
      <c r="T972" s="530"/>
      <c r="U972" s="530"/>
      <c r="Z972" s="530"/>
      <c r="AA972" s="530"/>
      <c r="AF972" s="530"/>
      <c r="AG972" s="530"/>
      <c r="AL972" s="530"/>
      <c r="AM972" s="530"/>
      <c r="AR972" s="530"/>
      <c r="AS972" s="530"/>
      <c r="AX972" s="530"/>
      <c r="AY972" s="530"/>
      <c r="BD972" s="530"/>
      <c r="BE972" s="530"/>
      <c r="BJ972" s="530"/>
      <c r="BK972" s="530"/>
      <c r="BP972" s="530"/>
      <c r="BQ972" s="530"/>
      <c r="BV972" s="530"/>
      <c r="BW972" s="530"/>
    </row>
    <row r="973">
      <c r="N973" s="530"/>
      <c r="O973" s="530"/>
      <c r="T973" s="530"/>
      <c r="U973" s="530"/>
      <c r="Z973" s="530"/>
      <c r="AA973" s="530"/>
      <c r="AF973" s="530"/>
      <c r="AG973" s="530"/>
      <c r="AL973" s="530"/>
      <c r="AM973" s="530"/>
      <c r="AR973" s="530"/>
      <c r="AS973" s="530"/>
      <c r="AX973" s="530"/>
      <c r="AY973" s="530"/>
      <c r="BD973" s="530"/>
      <c r="BE973" s="530"/>
      <c r="BJ973" s="530"/>
      <c r="BK973" s="530"/>
      <c r="BP973" s="530"/>
      <c r="BQ973" s="530"/>
      <c r="BV973" s="530"/>
      <c r="BW973" s="530"/>
    </row>
    <row r="974">
      <c r="N974" s="530"/>
      <c r="O974" s="530"/>
      <c r="T974" s="530"/>
      <c r="U974" s="530"/>
      <c r="Z974" s="530"/>
      <c r="AA974" s="530"/>
      <c r="AF974" s="530"/>
      <c r="AG974" s="530"/>
      <c r="AL974" s="530"/>
      <c r="AM974" s="530"/>
      <c r="AR974" s="530"/>
      <c r="AS974" s="530"/>
      <c r="AX974" s="530"/>
      <c r="AY974" s="530"/>
      <c r="BD974" s="530"/>
      <c r="BE974" s="530"/>
      <c r="BJ974" s="530"/>
      <c r="BK974" s="530"/>
      <c r="BP974" s="530"/>
      <c r="BQ974" s="530"/>
      <c r="BV974" s="530"/>
      <c r="BW974" s="530"/>
    </row>
    <row r="975">
      <c r="N975" s="530"/>
      <c r="O975" s="530"/>
      <c r="T975" s="530"/>
      <c r="U975" s="530"/>
      <c r="Z975" s="530"/>
      <c r="AA975" s="530"/>
      <c r="AF975" s="530"/>
      <c r="AG975" s="530"/>
      <c r="AL975" s="530"/>
      <c r="AM975" s="530"/>
      <c r="AR975" s="530"/>
      <c r="AS975" s="530"/>
      <c r="AX975" s="530"/>
      <c r="AY975" s="530"/>
      <c r="BD975" s="530"/>
      <c r="BE975" s="530"/>
      <c r="BJ975" s="530"/>
      <c r="BK975" s="530"/>
      <c r="BP975" s="530"/>
      <c r="BQ975" s="530"/>
      <c r="BV975" s="530"/>
      <c r="BW975" s="530"/>
    </row>
    <row r="976">
      <c r="N976" s="530"/>
      <c r="O976" s="530"/>
      <c r="T976" s="530"/>
      <c r="U976" s="530"/>
      <c r="Z976" s="530"/>
      <c r="AA976" s="530"/>
      <c r="AF976" s="530"/>
      <c r="AG976" s="530"/>
      <c r="AL976" s="530"/>
      <c r="AM976" s="530"/>
      <c r="AR976" s="530"/>
      <c r="AS976" s="530"/>
      <c r="AX976" s="530"/>
      <c r="AY976" s="530"/>
      <c r="BD976" s="530"/>
      <c r="BE976" s="530"/>
      <c r="BJ976" s="530"/>
      <c r="BK976" s="530"/>
      <c r="BP976" s="530"/>
      <c r="BQ976" s="530"/>
      <c r="BV976" s="530"/>
      <c r="BW976" s="530"/>
    </row>
    <row r="977">
      <c r="N977" s="530"/>
      <c r="O977" s="530"/>
      <c r="T977" s="530"/>
      <c r="U977" s="530"/>
      <c r="Z977" s="530"/>
      <c r="AA977" s="530"/>
      <c r="AF977" s="530"/>
      <c r="AG977" s="530"/>
      <c r="AL977" s="530"/>
      <c r="AM977" s="530"/>
      <c r="AR977" s="530"/>
      <c r="AS977" s="530"/>
      <c r="AX977" s="530"/>
      <c r="AY977" s="530"/>
      <c r="BD977" s="530"/>
      <c r="BE977" s="530"/>
      <c r="BJ977" s="530"/>
      <c r="BK977" s="530"/>
      <c r="BP977" s="530"/>
      <c r="BQ977" s="530"/>
      <c r="BV977" s="530"/>
      <c r="BW977" s="530"/>
    </row>
    <row r="978">
      <c r="N978" s="530"/>
      <c r="O978" s="530"/>
      <c r="T978" s="530"/>
      <c r="U978" s="530"/>
      <c r="Z978" s="530"/>
      <c r="AA978" s="530"/>
      <c r="AF978" s="530"/>
      <c r="AG978" s="530"/>
      <c r="AL978" s="530"/>
      <c r="AM978" s="530"/>
      <c r="AR978" s="530"/>
      <c r="AS978" s="530"/>
      <c r="AX978" s="530"/>
      <c r="AY978" s="530"/>
      <c r="BD978" s="530"/>
      <c r="BE978" s="530"/>
      <c r="BJ978" s="530"/>
      <c r="BK978" s="530"/>
      <c r="BP978" s="530"/>
      <c r="BQ978" s="530"/>
      <c r="BV978" s="530"/>
      <c r="BW978" s="530"/>
    </row>
    <row r="979">
      <c r="N979" s="530"/>
      <c r="O979" s="530"/>
      <c r="T979" s="530"/>
      <c r="U979" s="530"/>
      <c r="Z979" s="530"/>
      <c r="AA979" s="530"/>
      <c r="AF979" s="530"/>
      <c r="AG979" s="530"/>
      <c r="AL979" s="530"/>
      <c r="AM979" s="530"/>
      <c r="AR979" s="530"/>
      <c r="AS979" s="530"/>
      <c r="AX979" s="530"/>
      <c r="AY979" s="530"/>
      <c r="BD979" s="530"/>
      <c r="BE979" s="530"/>
      <c r="BJ979" s="530"/>
      <c r="BK979" s="530"/>
      <c r="BP979" s="530"/>
      <c r="BQ979" s="530"/>
      <c r="BV979" s="530"/>
      <c r="BW979" s="530"/>
    </row>
    <row r="980">
      <c r="N980" s="530"/>
      <c r="O980" s="530"/>
      <c r="T980" s="530"/>
      <c r="U980" s="530"/>
      <c r="Z980" s="530"/>
      <c r="AA980" s="530"/>
      <c r="AF980" s="530"/>
      <c r="AG980" s="530"/>
      <c r="AL980" s="530"/>
      <c r="AM980" s="530"/>
      <c r="AR980" s="530"/>
      <c r="AS980" s="530"/>
      <c r="AX980" s="530"/>
      <c r="AY980" s="530"/>
      <c r="BD980" s="530"/>
      <c r="BE980" s="530"/>
      <c r="BJ980" s="530"/>
      <c r="BK980" s="530"/>
      <c r="BP980" s="530"/>
      <c r="BQ980" s="530"/>
      <c r="BV980" s="530"/>
      <c r="BW980" s="530"/>
    </row>
    <row r="981">
      <c r="N981" s="530"/>
      <c r="O981" s="530"/>
      <c r="T981" s="530"/>
      <c r="U981" s="530"/>
      <c r="Z981" s="530"/>
      <c r="AA981" s="530"/>
      <c r="AF981" s="530"/>
      <c r="AG981" s="530"/>
      <c r="AL981" s="530"/>
      <c r="AM981" s="530"/>
      <c r="AR981" s="530"/>
      <c r="AS981" s="530"/>
      <c r="AX981" s="530"/>
      <c r="AY981" s="530"/>
      <c r="BD981" s="530"/>
      <c r="BE981" s="530"/>
      <c r="BJ981" s="530"/>
      <c r="BK981" s="530"/>
      <c r="BP981" s="530"/>
      <c r="BQ981" s="530"/>
      <c r="BV981" s="530"/>
      <c r="BW981" s="530"/>
    </row>
    <row r="982">
      <c r="N982" s="530"/>
      <c r="O982" s="530"/>
      <c r="T982" s="530"/>
      <c r="U982" s="530"/>
      <c r="Z982" s="530"/>
      <c r="AA982" s="530"/>
      <c r="AF982" s="530"/>
      <c r="AG982" s="530"/>
      <c r="AL982" s="530"/>
      <c r="AM982" s="530"/>
      <c r="AR982" s="530"/>
      <c r="AS982" s="530"/>
      <c r="AX982" s="530"/>
      <c r="AY982" s="530"/>
      <c r="BD982" s="530"/>
      <c r="BE982" s="530"/>
      <c r="BJ982" s="530"/>
      <c r="BK982" s="530"/>
      <c r="BP982" s="530"/>
      <c r="BQ982" s="530"/>
      <c r="BV982" s="530"/>
      <c r="BW982" s="530"/>
    </row>
    <row r="983">
      <c r="N983" s="530"/>
      <c r="O983" s="530"/>
      <c r="T983" s="530"/>
      <c r="U983" s="530"/>
      <c r="Z983" s="530"/>
      <c r="AA983" s="530"/>
      <c r="AF983" s="530"/>
      <c r="AG983" s="530"/>
      <c r="AL983" s="530"/>
      <c r="AM983" s="530"/>
      <c r="AR983" s="530"/>
      <c r="AS983" s="530"/>
      <c r="AX983" s="530"/>
      <c r="AY983" s="530"/>
      <c r="BD983" s="530"/>
      <c r="BE983" s="530"/>
      <c r="BJ983" s="530"/>
      <c r="BK983" s="530"/>
      <c r="BP983" s="530"/>
      <c r="BQ983" s="530"/>
      <c r="BV983" s="530"/>
      <c r="BW983" s="530"/>
    </row>
    <row r="984">
      <c r="N984" s="530"/>
      <c r="O984" s="530"/>
      <c r="T984" s="530"/>
      <c r="U984" s="530"/>
      <c r="Z984" s="530"/>
      <c r="AA984" s="530"/>
      <c r="AF984" s="530"/>
      <c r="AG984" s="530"/>
      <c r="AL984" s="530"/>
      <c r="AM984" s="530"/>
      <c r="AR984" s="530"/>
      <c r="AS984" s="530"/>
      <c r="AX984" s="530"/>
      <c r="AY984" s="530"/>
      <c r="BD984" s="530"/>
      <c r="BE984" s="530"/>
      <c r="BJ984" s="530"/>
      <c r="BK984" s="530"/>
      <c r="BP984" s="530"/>
      <c r="BQ984" s="530"/>
      <c r="BV984" s="530"/>
      <c r="BW984" s="530"/>
    </row>
    <row r="985">
      <c r="N985" s="530"/>
      <c r="O985" s="530"/>
      <c r="T985" s="530"/>
      <c r="U985" s="530"/>
      <c r="Z985" s="530"/>
      <c r="AA985" s="530"/>
      <c r="AF985" s="530"/>
      <c r="AG985" s="530"/>
      <c r="AL985" s="530"/>
      <c r="AM985" s="530"/>
      <c r="AR985" s="530"/>
      <c r="AS985" s="530"/>
      <c r="AX985" s="530"/>
      <c r="AY985" s="530"/>
      <c r="BD985" s="530"/>
      <c r="BE985" s="530"/>
      <c r="BJ985" s="530"/>
      <c r="BK985" s="530"/>
      <c r="BP985" s="530"/>
      <c r="BQ985" s="530"/>
      <c r="BV985" s="530"/>
      <c r="BW985" s="530"/>
    </row>
    <row r="986">
      <c r="N986" s="530"/>
      <c r="O986" s="530"/>
      <c r="T986" s="530"/>
      <c r="U986" s="530"/>
      <c r="Z986" s="530"/>
      <c r="AA986" s="530"/>
      <c r="AF986" s="530"/>
      <c r="AG986" s="530"/>
      <c r="AL986" s="530"/>
      <c r="AM986" s="530"/>
      <c r="AR986" s="530"/>
      <c r="AS986" s="530"/>
      <c r="AX986" s="530"/>
      <c r="AY986" s="530"/>
      <c r="BD986" s="530"/>
      <c r="BE986" s="530"/>
      <c r="BJ986" s="530"/>
      <c r="BK986" s="530"/>
      <c r="BP986" s="530"/>
      <c r="BQ986" s="530"/>
      <c r="BV986" s="530"/>
      <c r="BW986" s="530"/>
    </row>
    <row r="987">
      <c r="N987" s="530"/>
      <c r="O987" s="530"/>
      <c r="T987" s="530"/>
      <c r="U987" s="530"/>
      <c r="Z987" s="530"/>
      <c r="AA987" s="530"/>
      <c r="AF987" s="530"/>
      <c r="AG987" s="530"/>
      <c r="AL987" s="530"/>
      <c r="AM987" s="530"/>
      <c r="AR987" s="530"/>
      <c r="AS987" s="530"/>
      <c r="AX987" s="530"/>
      <c r="AY987" s="530"/>
      <c r="BD987" s="530"/>
      <c r="BE987" s="530"/>
      <c r="BJ987" s="530"/>
      <c r="BK987" s="530"/>
      <c r="BP987" s="530"/>
      <c r="BQ987" s="530"/>
      <c r="BV987" s="530"/>
      <c r="BW987" s="530"/>
    </row>
    <row r="988">
      <c r="N988" s="530"/>
      <c r="O988" s="530"/>
      <c r="T988" s="530"/>
      <c r="U988" s="530"/>
      <c r="Z988" s="530"/>
      <c r="AA988" s="530"/>
      <c r="AF988" s="530"/>
      <c r="AG988" s="530"/>
      <c r="AL988" s="530"/>
      <c r="AM988" s="530"/>
      <c r="AR988" s="530"/>
      <c r="AS988" s="530"/>
      <c r="AX988" s="530"/>
      <c r="AY988" s="530"/>
      <c r="BD988" s="530"/>
      <c r="BE988" s="530"/>
      <c r="BJ988" s="530"/>
      <c r="BK988" s="530"/>
      <c r="BP988" s="530"/>
      <c r="BQ988" s="530"/>
      <c r="BV988" s="530"/>
      <c r="BW988" s="530"/>
    </row>
    <row r="989">
      <c r="N989" s="530"/>
      <c r="O989" s="530"/>
      <c r="T989" s="530"/>
      <c r="U989" s="530"/>
      <c r="Z989" s="530"/>
      <c r="AA989" s="530"/>
      <c r="AF989" s="530"/>
      <c r="AG989" s="530"/>
      <c r="AL989" s="530"/>
      <c r="AM989" s="530"/>
      <c r="AR989" s="530"/>
      <c r="AS989" s="530"/>
      <c r="AX989" s="530"/>
      <c r="AY989" s="530"/>
      <c r="BD989" s="530"/>
      <c r="BE989" s="530"/>
      <c r="BJ989" s="530"/>
      <c r="BK989" s="530"/>
      <c r="BP989" s="530"/>
      <c r="BQ989" s="530"/>
      <c r="BV989" s="530"/>
      <c r="BW989" s="530"/>
    </row>
    <row r="990">
      <c r="N990" s="530"/>
      <c r="O990" s="530"/>
      <c r="T990" s="530"/>
      <c r="U990" s="530"/>
      <c r="Z990" s="530"/>
      <c r="AA990" s="530"/>
      <c r="AF990" s="530"/>
      <c r="AG990" s="530"/>
      <c r="AL990" s="530"/>
      <c r="AM990" s="530"/>
      <c r="AR990" s="530"/>
      <c r="AS990" s="530"/>
      <c r="AX990" s="530"/>
      <c r="AY990" s="530"/>
      <c r="BD990" s="530"/>
      <c r="BE990" s="530"/>
      <c r="BJ990" s="530"/>
      <c r="BK990" s="530"/>
      <c r="BP990" s="530"/>
      <c r="BQ990" s="530"/>
      <c r="BV990" s="530"/>
      <c r="BW990" s="530"/>
    </row>
    <row r="991">
      <c r="N991" s="530"/>
      <c r="O991" s="530"/>
      <c r="T991" s="530"/>
      <c r="U991" s="530"/>
      <c r="Z991" s="530"/>
      <c r="AA991" s="530"/>
      <c r="AF991" s="530"/>
      <c r="AG991" s="530"/>
      <c r="AL991" s="530"/>
      <c r="AM991" s="530"/>
      <c r="AR991" s="530"/>
      <c r="AS991" s="530"/>
      <c r="AX991" s="530"/>
      <c r="AY991" s="530"/>
      <c r="BD991" s="530"/>
      <c r="BE991" s="530"/>
      <c r="BJ991" s="530"/>
      <c r="BK991" s="530"/>
      <c r="BP991" s="530"/>
      <c r="BQ991" s="530"/>
      <c r="BV991" s="530"/>
      <c r="BW991" s="530"/>
    </row>
    <row r="992">
      <c r="N992" s="530"/>
      <c r="O992" s="530"/>
      <c r="T992" s="530"/>
      <c r="U992" s="530"/>
      <c r="Z992" s="530"/>
      <c r="AA992" s="530"/>
      <c r="AF992" s="530"/>
      <c r="AG992" s="530"/>
      <c r="AL992" s="530"/>
      <c r="AM992" s="530"/>
      <c r="AR992" s="530"/>
      <c r="AS992" s="530"/>
      <c r="AX992" s="530"/>
      <c r="AY992" s="530"/>
      <c r="BD992" s="530"/>
      <c r="BE992" s="530"/>
      <c r="BJ992" s="530"/>
      <c r="BK992" s="530"/>
      <c r="BP992" s="530"/>
      <c r="BQ992" s="530"/>
      <c r="BV992" s="530"/>
      <c r="BW992" s="530"/>
    </row>
    <row r="993">
      <c r="N993" s="530"/>
      <c r="O993" s="530"/>
      <c r="T993" s="530"/>
      <c r="U993" s="530"/>
      <c r="Z993" s="530"/>
      <c r="AA993" s="530"/>
      <c r="AF993" s="530"/>
      <c r="AG993" s="530"/>
      <c r="AL993" s="530"/>
      <c r="AM993" s="530"/>
      <c r="AR993" s="530"/>
      <c r="AS993" s="530"/>
      <c r="AX993" s="530"/>
      <c r="AY993" s="530"/>
      <c r="BD993" s="530"/>
      <c r="BE993" s="530"/>
      <c r="BJ993" s="530"/>
      <c r="BK993" s="530"/>
      <c r="BP993" s="530"/>
      <c r="BQ993" s="530"/>
      <c r="BV993" s="530"/>
      <c r="BW993" s="530"/>
    </row>
    <row r="994">
      <c r="N994" s="530"/>
      <c r="O994" s="530"/>
      <c r="T994" s="530"/>
      <c r="U994" s="530"/>
      <c r="Z994" s="530"/>
      <c r="AA994" s="530"/>
      <c r="AF994" s="530"/>
      <c r="AG994" s="530"/>
      <c r="AL994" s="530"/>
      <c r="AM994" s="530"/>
      <c r="AR994" s="530"/>
      <c r="AS994" s="530"/>
      <c r="AX994" s="530"/>
      <c r="AY994" s="530"/>
      <c r="BD994" s="530"/>
      <c r="BE994" s="530"/>
      <c r="BJ994" s="530"/>
      <c r="BK994" s="530"/>
      <c r="BP994" s="530"/>
      <c r="BQ994" s="530"/>
      <c r="BV994" s="530"/>
      <c r="BW994" s="530"/>
    </row>
    <row r="995">
      <c r="N995" s="530"/>
      <c r="O995" s="530"/>
      <c r="T995" s="530"/>
      <c r="U995" s="530"/>
      <c r="Z995" s="530"/>
      <c r="AA995" s="530"/>
      <c r="AF995" s="530"/>
      <c r="AG995" s="530"/>
      <c r="AL995" s="530"/>
      <c r="AM995" s="530"/>
      <c r="AR995" s="530"/>
      <c r="AS995" s="530"/>
      <c r="AX995" s="530"/>
      <c r="AY995" s="530"/>
      <c r="BD995" s="530"/>
      <c r="BE995" s="530"/>
      <c r="BJ995" s="530"/>
      <c r="BK995" s="530"/>
      <c r="BP995" s="530"/>
      <c r="BQ995" s="530"/>
      <c r="BV995" s="530"/>
      <c r="BW995" s="530"/>
    </row>
    <row r="996">
      <c r="N996" s="530"/>
      <c r="O996" s="530"/>
      <c r="T996" s="530"/>
      <c r="U996" s="530"/>
      <c r="Z996" s="530"/>
      <c r="AA996" s="530"/>
      <c r="AF996" s="530"/>
      <c r="AG996" s="530"/>
      <c r="AL996" s="530"/>
      <c r="AM996" s="530"/>
      <c r="AR996" s="530"/>
      <c r="AS996" s="530"/>
      <c r="AX996" s="530"/>
      <c r="AY996" s="530"/>
      <c r="BD996" s="530"/>
      <c r="BE996" s="530"/>
      <c r="BJ996" s="530"/>
      <c r="BK996" s="530"/>
      <c r="BP996" s="530"/>
      <c r="BQ996" s="530"/>
      <c r="BV996" s="530"/>
      <c r="BW996" s="530"/>
    </row>
    <row r="997">
      <c r="N997" s="530"/>
      <c r="O997" s="530"/>
      <c r="T997" s="530"/>
      <c r="U997" s="530"/>
      <c r="Z997" s="530"/>
      <c r="AA997" s="530"/>
      <c r="AF997" s="530"/>
      <c r="AG997" s="530"/>
      <c r="AL997" s="530"/>
      <c r="AM997" s="530"/>
      <c r="AR997" s="530"/>
      <c r="AS997" s="530"/>
      <c r="AX997" s="530"/>
      <c r="AY997" s="530"/>
      <c r="BD997" s="530"/>
      <c r="BE997" s="530"/>
      <c r="BJ997" s="530"/>
      <c r="BK997" s="530"/>
      <c r="BP997" s="530"/>
      <c r="BQ997" s="530"/>
      <c r="BV997" s="530"/>
      <c r="BW997" s="530"/>
    </row>
    <row r="998">
      <c r="N998" s="530"/>
      <c r="O998" s="530"/>
      <c r="T998" s="530"/>
      <c r="U998" s="530"/>
      <c r="Z998" s="530"/>
      <c r="AA998" s="530"/>
      <c r="AF998" s="530"/>
      <c r="AG998" s="530"/>
      <c r="AL998" s="530"/>
      <c r="AM998" s="530"/>
      <c r="AR998" s="530"/>
      <c r="AS998" s="530"/>
      <c r="AX998" s="530"/>
      <c r="AY998" s="530"/>
      <c r="BD998" s="530"/>
      <c r="BE998" s="530"/>
      <c r="BJ998" s="530"/>
      <c r="BK998" s="530"/>
      <c r="BP998" s="530"/>
      <c r="BQ998" s="530"/>
      <c r="BV998" s="530"/>
      <c r="BW998" s="530"/>
    </row>
    <row r="999">
      <c r="N999" s="530"/>
      <c r="O999" s="530"/>
      <c r="T999" s="530"/>
      <c r="U999" s="530"/>
      <c r="Z999" s="530"/>
      <c r="AA999" s="530"/>
      <c r="AF999" s="530"/>
      <c r="AG999" s="530"/>
      <c r="AL999" s="530"/>
      <c r="AM999" s="530"/>
      <c r="AR999" s="530"/>
      <c r="AS999" s="530"/>
      <c r="AX999" s="530"/>
      <c r="AY999" s="530"/>
      <c r="BD999" s="530"/>
      <c r="BE999" s="530"/>
      <c r="BJ999" s="530"/>
      <c r="BK999" s="530"/>
      <c r="BP999" s="530"/>
      <c r="BQ999" s="530"/>
      <c r="BV999" s="530"/>
      <c r="BW999" s="530"/>
    </row>
    <row r="1000">
      <c r="N1000" s="530"/>
      <c r="O1000" s="530"/>
      <c r="T1000" s="530"/>
      <c r="U1000" s="530"/>
      <c r="Z1000" s="530"/>
      <c r="AA1000" s="530"/>
      <c r="AF1000" s="530"/>
      <c r="AG1000" s="530"/>
      <c r="AL1000" s="530"/>
      <c r="AM1000" s="530"/>
      <c r="AR1000" s="530"/>
      <c r="AS1000" s="530"/>
      <c r="AX1000" s="530"/>
      <c r="AY1000" s="530"/>
      <c r="BD1000" s="530"/>
      <c r="BE1000" s="530"/>
      <c r="BJ1000" s="530"/>
      <c r="BK1000" s="530"/>
      <c r="BP1000" s="530"/>
      <c r="BQ1000" s="530"/>
      <c r="BV1000" s="530"/>
      <c r="BW1000" s="530"/>
    </row>
    <row r="1001">
      <c r="N1001" s="530"/>
      <c r="O1001" s="530"/>
      <c r="T1001" s="530"/>
      <c r="U1001" s="530"/>
      <c r="Z1001" s="530"/>
      <c r="AA1001" s="530"/>
      <c r="AF1001" s="530"/>
      <c r="AG1001" s="530"/>
      <c r="AL1001" s="530"/>
      <c r="AM1001" s="530"/>
      <c r="AR1001" s="530"/>
      <c r="AS1001" s="530"/>
      <c r="AX1001" s="530"/>
      <c r="AY1001" s="530"/>
      <c r="BD1001" s="530"/>
      <c r="BE1001" s="530"/>
      <c r="BJ1001" s="530"/>
      <c r="BK1001" s="530"/>
      <c r="BP1001" s="530"/>
      <c r="BQ1001" s="530"/>
      <c r="BV1001" s="530"/>
      <c r="BW1001" s="530"/>
    </row>
    <row r="1002">
      <c r="N1002" s="530"/>
      <c r="O1002" s="530"/>
      <c r="T1002" s="530"/>
      <c r="U1002" s="530"/>
      <c r="Z1002" s="530"/>
      <c r="AA1002" s="530"/>
      <c r="AF1002" s="530"/>
      <c r="AG1002" s="530"/>
      <c r="AL1002" s="530"/>
      <c r="AM1002" s="530"/>
      <c r="AR1002" s="530"/>
      <c r="AS1002" s="530"/>
      <c r="AX1002" s="530"/>
      <c r="AY1002" s="530"/>
      <c r="BD1002" s="530"/>
      <c r="BE1002" s="530"/>
      <c r="BJ1002" s="530"/>
      <c r="BK1002" s="530"/>
      <c r="BP1002" s="530"/>
      <c r="BQ1002" s="530"/>
      <c r="BV1002" s="530"/>
      <c r="BW1002" s="530"/>
    </row>
    <row r="1003">
      <c r="N1003" s="530"/>
      <c r="O1003" s="530"/>
      <c r="T1003" s="530"/>
      <c r="U1003" s="530"/>
      <c r="Z1003" s="530"/>
      <c r="AA1003" s="530"/>
      <c r="AF1003" s="530"/>
      <c r="AG1003" s="530"/>
      <c r="AL1003" s="530"/>
      <c r="AM1003" s="530"/>
      <c r="AR1003" s="530"/>
      <c r="AS1003" s="530"/>
      <c r="AX1003" s="530"/>
      <c r="AY1003" s="530"/>
      <c r="BD1003" s="530"/>
      <c r="BE1003" s="530"/>
      <c r="BJ1003" s="530"/>
      <c r="BK1003" s="530"/>
      <c r="BP1003" s="530"/>
      <c r="BQ1003" s="530"/>
      <c r="BV1003" s="530"/>
      <c r="BW1003" s="530"/>
    </row>
    <row r="1004">
      <c r="N1004" s="530"/>
      <c r="O1004" s="530"/>
      <c r="T1004" s="530"/>
      <c r="U1004" s="530"/>
      <c r="Z1004" s="530"/>
      <c r="AA1004" s="530"/>
      <c r="AF1004" s="530"/>
      <c r="AG1004" s="530"/>
      <c r="AL1004" s="530"/>
      <c r="AM1004" s="530"/>
      <c r="AR1004" s="530"/>
      <c r="AS1004" s="530"/>
      <c r="AX1004" s="530"/>
      <c r="AY1004" s="530"/>
      <c r="BD1004" s="530"/>
      <c r="BE1004" s="530"/>
      <c r="BJ1004" s="530"/>
      <c r="BK1004" s="530"/>
      <c r="BP1004" s="530"/>
      <c r="BQ1004" s="530"/>
      <c r="BV1004" s="530"/>
      <c r="BW1004" s="530"/>
    </row>
    <row r="1005">
      <c r="N1005" s="530"/>
      <c r="O1005" s="530"/>
      <c r="T1005" s="530"/>
      <c r="U1005" s="530"/>
      <c r="Z1005" s="530"/>
      <c r="AA1005" s="530"/>
      <c r="AF1005" s="530"/>
      <c r="AG1005" s="530"/>
      <c r="AL1005" s="530"/>
      <c r="AM1005" s="530"/>
      <c r="AR1005" s="530"/>
      <c r="AS1005" s="530"/>
      <c r="AX1005" s="530"/>
      <c r="AY1005" s="530"/>
      <c r="BD1005" s="530"/>
      <c r="BE1005" s="530"/>
      <c r="BJ1005" s="530"/>
      <c r="BK1005" s="530"/>
      <c r="BP1005" s="530"/>
      <c r="BQ1005" s="530"/>
      <c r="BV1005" s="530"/>
      <c r="BW1005" s="530"/>
    </row>
    <row r="1006">
      <c r="N1006" s="530"/>
      <c r="O1006" s="530"/>
      <c r="T1006" s="530"/>
      <c r="U1006" s="530"/>
      <c r="Z1006" s="530"/>
      <c r="AA1006" s="530"/>
      <c r="AF1006" s="530"/>
      <c r="AG1006" s="530"/>
      <c r="AL1006" s="530"/>
      <c r="AM1006" s="530"/>
      <c r="AR1006" s="530"/>
      <c r="AS1006" s="530"/>
      <c r="AX1006" s="530"/>
      <c r="AY1006" s="530"/>
      <c r="BD1006" s="530"/>
      <c r="BE1006" s="530"/>
      <c r="BJ1006" s="530"/>
      <c r="BK1006" s="530"/>
      <c r="BP1006" s="530"/>
      <c r="BQ1006" s="530"/>
      <c r="BV1006" s="530"/>
      <c r="BW1006" s="530"/>
    </row>
    <row r="1007">
      <c r="N1007" s="530"/>
      <c r="O1007" s="530"/>
      <c r="T1007" s="530"/>
      <c r="U1007" s="530"/>
      <c r="Z1007" s="530"/>
      <c r="AA1007" s="530"/>
      <c r="AF1007" s="530"/>
      <c r="AG1007" s="530"/>
      <c r="AL1007" s="530"/>
      <c r="AM1007" s="530"/>
      <c r="AR1007" s="530"/>
      <c r="AS1007" s="530"/>
      <c r="AX1007" s="530"/>
      <c r="AY1007" s="530"/>
      <c r="BD1007" s="530"/>
      <c r="BE1007" s="530"/>
      <c r="BJ1007" s="530"/>
      <c r="BK1007" s="530"/>
      <c r="BP1007" s="530"/>
      <c r="BQ1007" s="530"/>
      <c r="BV1007" s="530"/>
      <c r="BW1007" s="530"/>
    </row>
    <row r="1008">
      <c r="N1008" s="530"/>
      <c r="O1008" s="530"/>
      <c r="T1008" s="530"/>
      <c r="U1008" s="530"/>
      <c r="Z1008" s="530"/>
      <c r="AA1008" s="530"/>
      <c r="AF1008" s="530"/>
      <c r="AG1008" s="530"/>
      <c r="AL1008" s="530"/>
      <c r="AM1008" s="530"/>
      <c r="AR1008" s="530"/>
      <c r="AS1008" s="530"/>
      <c r="AX1008" s="530"/>
      <c r="AY1008" s="530"/>
      <c r="BD1008" s="530"/>
      <c r="BE1008" s="530"/>
      <c r="BJ1008" s="530"/>
      <c r="BK1008" s="530"/>
      <c r="BP1008" s="530"/>
      <c r="BQ1008" s="530"/>
      <c r="BV1008" s="530"/>
      <c r="BW1008" s="530"/>
    </row>
    <row r="1009">
      <c r="N1009" s="530"/>
      <c r="O1009" s="530"/>
      <c r="T1009" s="530"/>
      <c r="U1009" s="530"/>
      <c r="Z1009" s="530"/>
      <c r="AA1009" s="530"/>
      <c r="AF1009" s="530"/>
      <c r="AG1009" s="530"/>
      <c r="AL1009" s="530"/>
      <c r="AM1009" s="530"/>
      <c r="AR1009" s="530"/>
      <c r="AS1009" s="530"/>
      <c r="AX1009" s="530"/>
      <c r="AY1009" s="530"/>
      <c r="BD1009" s="530"/>
      <c r="BE1009" s="530"/>
      <c r="BJ1009" s="530"/>
      <c r="BK1009" s="530"/>
      <c r="BP1009" s="530"/>
      <c r="BQ1009" s="530"/>
      <c r="BV1009" s="530"/>
      <c r="BW1009" s="530"/>
    </row>
    <row r="1010">
      <c r="N1010" s="530"/>
      <c r="O1010" s="530"/>
      <c r="T1010" s="530"/>
      <c r="U1010" s="530"/>
      <c r="Z1010" s="530"/>
      <c r="AA1010" s="530"/>
      <c r="AF1010" s="530"/>
      <c r="AG1010" s="530"/>
      <c r="AL1010" s="530"/>
      <c r="AM1010" s="530"/>
      <c r="AR1010" s="530"/>
      <c r="AS1010" s="530"/>
      <c r="AX1010" s="530"/>
      <c r="AY1010" s="530"/>
      <c r="BD1010" s="530"/>
      <c r="BE1010" s="530"/>
      <c r="BJ1010" s="530"/>
      <c r="BK1010" s="530"/>
      <c r="BP1010" s="530"/>
      <c r="BQ1010" s="530"/>
      <c r="BV1010" s="530"/>
      <c r="BW1010" s="530"/>
    </row>
    <row r="1011">
      <c r="N1011" s="530"/>
      <c r="O1011" s="530"/>
      <c r="T1011" s="530"/>
      <c r="U1011" s="530"/>
      <c r="Z1011" s="530"/>
      <c r="AA1011" s="530"/>
      <c r="AF1011" s="530"/>
      <c r="AG1011" s="530"/>
      <c r="AL1011" s="530"/>
      <c r="AM1011" s="530"/>
      <c r="AR1011" s="530"/>
      <c r="AS1011" s="530"/>
      <c r="AX1011" s="530"/>
      <c r="AY1011" s="530"/>
      <c r="BD1011" s="530"/>
      <c r="BE1011" s="530"/>
      <c r="BJ1011" s="530"/>
      <c r="BK1011" s="530"/>
      <c r="BP1011" s="530"/>
      <c r="BQ1011" s="530"/>
      <c r="BV1011" s="530"/>
      <c r="BW1011" s="530"/>
    </row>
    <row r="1012">
      <c r="N1012" s="530"/>
      <c r="O1012" s="530"/>
      <c r="T1012" s="530"/>
      <c r="U1012" s="530"/>
      <c r="Z1012" s="530"/>
      <c r="AA1012" s="530"/>
      <c r="AF1012" s="530"/>
      <c r="AG1012" s="530"/>
      <c r="AL1012" s="530"/>
      <c r="AM1012" s="530"/>
      <c r="AR1012" s="530"/>
      <c r="AS1012" s="530"/>
      <c r="AX1012" s="530"/>
      <c r="AY1012" s="530"/>
      <c r="BD1012" s="530"/>
      <c r="BE1012" s="530"/>
      <c r="BJ1012" s="530"/>
      <c r="BK1012" s="530"/>
      <c r="BP1012" s="530"/>
      <c r="BQ1012" s="530"/>
      <c r="BV1012" s="530"/>
      <c r="BW1012" s="530"/>
    </row>
    <row r="1013">
      <c r="N1013" s="530"/>
      <c r="O1013" s="530"/>
      <c r="T1013" s="530"/>
      <c r="U1013" s="530"/>
      <c r="Z1013" s="530"/>
      <c r="AA1013" s="530"/>
      <c r="AF1013" s="530"/>
      <c r="AG1013" s="530"/>
      <c r="AL1013" s="530"/>
      <c r="AM1013" s="530"/>
      <c r="AR1013" s="530"/>
      <c r="AS1013" s="530"/>
      <c r="AX1013" s="530"/>
      <c r="AY1013" s="530"/>
      <c r="BD1013" s="530"/>
      <c r="BE1013" s="530"/>
      <c r="BJ1013" s="530"/>
      <c r="BK1013" s="530"/>
      <c r="BP1013" s="530"/>
      <c r="BQ1013" s="530"/>
      <c r="BV1013" s="530"/>
      <c r="BW1013" s="530"/>
    </row>
    <row r="1014">
      <c r="N1014" s="530"/>
      <c r="O1014" s="530"/>
      <c r="T1014" s="530"/>
      <c r="U1014" s="530"/>
      <c r="Z1014" s="530"/>
      <c r="AA1014" s="530"/>
      <c r="AF1014" s="530"/>
      <c r="AG1014" s="530"/>
      <c r="AL1014" s="530"/>
      <c r="AM1014" s="530"/>
      <c r="AR1014" s="530"/>
      <c r="AS1014" s="530"/>
      <c r="AX1014" s="530"/>
      <c r="AY1014" s="530"/>
      <c r="BD1014" s="530"/>
      <c r="BE1014" s="530"/>
      <c r="BJ1014" s="530"/>
      <c r="BK1014" s="530"/>
      <c r="BP1014" s="530"/>
      <c r="BQ1014" s="530"/>
      <c r="BV1014" s="530"/>
      <c r="BW1014" s="530"/>
    </row>
    <row r="1015">
      <c r="N1015" s="530"/>
      <c r="O1015" s="530"/>
      <c r="T1015" s="530"/>
      <c r="U1015" s="530"/>
      <c r="Z1015" s="530"/>
      <c r="AA1015" s="530"/>
      <c r="AF1015" s="530"/>
      <c r="AG1015" s="530"/>
      <c r="AL1015" s="530"/>
      <c r="AM1015" s="530"/>
      <c r="AR1015" s="530"/>
      <c r="AS1015" s="530"/>
      <c r="AX1015" s="530"/>
      <c r="AY1015" s="530"/>
      <c r="BD1015" s="530"/>
      <c r="BE1015" s="530"/>
      <c r="BJ1015" s="530"/>
      <c r="BK1015" s="530"/>
      <c r="BP1015" s="530"/>
      <c r="BQ1015" s="530"/>
      <c r="BV1015" s="530"/>
      <c r="BW1015" s="530"/>
    </row>
    <row r="1016">
      <c r="N1016" s="530"/>
      <c r="O1016" s="530"/>
      <c r="T1016" s="530"/>
      <c r="U1016" s="530"/>
      <c r="Z1016" s="530"/>
      <c r="AA1016" s="530"/>
      <c r="AF1016" s="530"/>
      <c r="AG1016" s="530"/>
      <c r="AL1016" s="530"/>
      <c r="AM1016" s="530"/>
      <c r="AR1016" s="530"/>
      <c r="AS1016" s="530"/>
      <c r="AX1016" s="530"/>
      <c r="AY1016" s="530"/>
      <c r="BD1016" s="530"/>
      <c r="BE1016" s="530"/>
      <c r="BJ1016" s="530"/>
      <c r="BK1016" s="530"/>
      <c r="BP1016" s="530"/>
      <c r="BQ1016" s="530"/>
      <c r="BV1016" s="530"/>
      <c r="BW1016" s="530"/>
    </row>
    <row r="1017">
      <c r="N1017" s="530"/>
      <c r="O1017" s="530"/>
      <c r="T1017" s="530"/>
      <c r="U1017" s="530"/>
      <c r="Z1017" s="530"/>
      <c r="AA1017" s="530"/>
      <c r="AF1017" s="530"/>
      <c r="AG1017" s="530"/>
      <c r="AL1017" s="530"/>
      <c r="AM1017" s="530"/>
      <c r="AR1017" s="530"/>
      <c r="AS1017" s="530"/>
      <c r="AX1017" s="530"/>
      <c r="AY1017" s="530"/>
      <c r="BD1017" s="530"/>
      <c r="BE1017" s="530"/>
      <c r="BJ1017" s="530"/>
      <c r="BK1017" s="530"/>
      <c r="BP1017" s="530"/>
      <c r="BQ1017" s="530"/>
      <c r="BV1017" s="530"/>
      <c r="BW1017" s="530"/>
    </row>
    <row r="1018">
      <c r="N1018" s="530"/>
      <c r="O1018" s="530"/>
      <c r="T1018" s="530"/>
      <c r="U1018" s="530"/>
      <c r="Z1018" s="530"/>
      <c r="AA1018" s="530"/>
      <c r="AF1018" s="530"/>
      <c r="AG1018" s="530"/>
      <c r="AL1018" s="530"/>
      <c r="AM1018" s="530"/>
      <c r="AR1018" s="530"/>
      <c r="AS1018" s="530"/>
      <c r="AX1018" s="530"/>
      <c r="AY1018" s="530"/>
      <c r="BD1018" s="530"/>
      <c r="BE1018" s="530"/>
      <c r="BJ1018" s="530"/>
      <c r="BK1018" s="530"/>
      <c r="BP1018" s="530"/>
      <c r="BQ1018" s="530"/>
      <c r="BV1018" s="530"/>
      <c r="BW1018" s="530"/>
    </row>
    <row r="1019">
      <c r="N1019" s="530"/>
      <c r="O1019" s="530"/>
      <c r="T1019" s="530"/>
      <c r="U1019" s="530"/>
      <c r="Z1019" s="530"/>
      <c r="AA1019" s="530"/>
      <c r="AF1019" s="530"/>
      <c r="AG1019" s="530"/>
      <c r="AL1019" s="530"/>
      <c r="AM1019" s="530"/>
      <c r="AR1019" s="530"/>
      <c r="AS1019" s="530"/>
      <c r="AX1019" s="530"/>
      <c r="AY1019" s="530"/>
      <c r="BD1019" s="530"/>
      <c r="BE1019" s="530"/>
      <c r="BJ1019" s="530"/>
      <c r="BK1019" s="530"/>
      <c r="BP1019" s="530"/>
      <c r="BQ1019" s="530"/>
      <c r="BV1019" s="530"/>
      <c r="BW1019" s="530"/>
    </row>
    <row r="1020">
      <c r="N1020" s="530"/>
      <c r="O1020" s="530"/>
      <c r="T1020" s="530"/>
      <c r="U1020" s="530"/>
      <c r="Z1020" s="530"/>
      <c r="AA1020" s="530"/>
      <c r="AF1020" s="530"/>
      <c r="AG1020" s="530"/>
      <c r="AL1020" s="530"/>
      <c r="AM1020" s="530"/>
      <c r="AR1020" s="530"/>
      <c r="AS1020" s="530"/>
      <c r="AX1020" s="530"/>
      <c r="AY1020" s="530"/>
      <c r="BD1020" s="530"/>
      <c r="BE1020" s="530"/>
      <c r="BJ1020" s="530"/>
      <c r="BK1020" s="530"/>
      <c r="BP1020" s="530"/>
      <c r="BQ1020" s="530"/>
      <c r="BV1020" s="530"/>
      <c r="BW1020" s="530"/>
    </row>
    <row r="1021">
      <c r="N1021" s="530"/>
      <c r="O1021" s="530"/>
      <c r="T1021" s="530"/>
      <c r="U1021" s="530"/>
      <c r="Z1021" s="530"/>
      <c r="AA1021" s="530"/>
      <c r="AF1021" s="530"/>
      <c r="AG1021" s="530"/>
      <c r="AL1021" s="530"/>
      <c r="AM1021" s="530"/>
      <c r="AR1021" s="530"/>
      <c r="AS1021" s="530"/>
      <c r="AX1021" s="530"/>
      <c r="AY1021" s="530"/>
      <c r="BD1021" s="530"/>
      <c r="BE1021" s="530"/>
      <c r="BJ1021" s="530"/>
      <c r="BK1021" s="530"/>
      <c r="BP1021" s="530"/>
      <c r="BQ1021" s="530"/>
      <c r="BV1021" s="530"/>
      <c r="BW1021" s="530"/>
    </row>
    <row r="1022">
      <c r="N1022" s="530"/>
      <c r="O1022" s="530"/>
      <c r="T1022" s="530"/>
      <c r="U1022" s="530"/>
      <c r="Z1022" s="530"/>
      <c r="AA1022" s="530"/>
      <c r="AF1022" s="530"/>
      <c r="AG1022" s="530"/>
      <c r="AL1022" s="530"/>
      <c r="AM1022" s="530"/>
      <c r="AR1022" s="530"/>
      <c r="AS1022" s="530"/>
      <c r="AX1022" s="530"/>
      <c r="AY1022" s="530"/>
      <c r="BD1022" s="530"/>
      <c r="BE1022" s="530"/>
      <c r="BJ1022" s="530"/>
      <c r="BK1022" s="530"/>
      <c r="BP1022" s="530"/>
      <c r="BQ1022" s="530"/>
      <c r="BV1022" s="530"/>
      <c r="BW1022" s="530"/>
    </row>
    <row r="1023">
      <c r="N1023" s="530"/>
      <c r="O1023" s="530"/>
      <c r="T1023" s="530"/>
      <c r="U1023" s="530"/>
      <c r="Z1023" s="530"/>
      <c r="AA1023" s="530"/>
      <c r="AF1023" s="530"/>
      <c r="AG1023" s="530"/>
      <c r="AL1023" s="530"/>
      <c r="AM1023" s="530"/>
      <c r="AR1023" s="530"/>
      <c r="AS1023" s="530"/>
      <c r="AX1023" s="530"/>
      <c r="AY1023" s="530"/>
      <c r="BD1023" s="530"/>
      <c r="BE1023" s="530"/>
      <c r="BJ1023" s="530"/>
      <c r="BK1023" s="530"/>
      <c r="BP1023" s="530"/>
      <c r="BQ1023" s="530"/>
      <c r="BV1023" s="530"/>
      <c r="BW1023" s="530"/>
    </row>
    <row r="1024">
      <c r="N1024" s="530"/>
      <c r="O1024" s="530"/>
      <c r="T1024" s="530"/>
      <c r="U1024" s="530"/>
      <c r="Z1024" s="530"/>
      <c r="AA1024" s="530"/>
      <c r="AF1024" s="530"/>
      <c r="AG1024" s="530"/>
      <c r="AL1024" s="530"/>
      <c r="AM1024" s="530"/>
      <c r="AR1024" s="530"/>
      <c r="AS1024" s="530"/>
      <c r="AX1024" s="530"/>
      <c r="AY1024" s="530"/>
      <c r="BD1024" s="530"/>
      <c r="BE1024" s="530"/>
      <c r="BJ1024" s="530"/>
      <c r="BK1024" s="530"/>
      <c r="BP1024" s="530"/>
      <c r="BQ1024" s="530"/>
      <c r="BV1024" s="530"/>
      <c r="BW1024" s="530"/>
    </row>
    <row r="1025">
      <c r="N1025" s="530"/>
      <c r="O1025" s="530"/>
      <c r="T1025" s="530"/>
      <c r="U1025" s="530"/>
      <c r="Z1025" s="530"/>
      <c r="AA1025" s="530"/>
      <c r="AF1025" s="530"/>
      <c r="AG1025" s="530"/>
      <c r="AL1025" s="530"/>
      <c r="AM1025" s="530"/>
      <c r="AR1025" s="530"/>
      <c r="AS1025" s="530"/>
      <c r="AX1025" s="530"/>
      <c r="AY1025" s="530"/>
      <c r="BD1025" s="530"/>
      <c r="BE1025" s="530"/>
      <c r="BJ1025" s="530"/>
      <c r="BK1025" s="530"/>
      <c r="BP1025" s="530"/>
      <c r="BQ1025" s="530"/>
      <c r="BV1025" s="530"/>
      <c r="BW1025" s="530"/>
    </row>
    <row r="1026">
      <c r="N1026" s="530"/>
      <c r="O1026" s="530"/>
      <c r="T1026" s="530"/>
      <c r="U1026" s="530"/>
      <c r="Z1026" s="530"/>
      <c r="AA1026" s="530"/>
      <c r="AF1026" s="530"/>
      <c r="AG1026" s="530"/>
      <c r="AL1026" s="530"/>
      <c r="AM1026" s="530"/>
      <c r="AR1026" s="530"/>
      <c r="AS1026" s="530"/>
      <c r="AX1026" s="530"/>
      <c r="AY1026" s="530"/>
      <c r="BD1026" s="530"/>
      <c r="BE1026" s="530"/>
      <c r="BJ1026" s="530"/>
      <c r="BK1026" s="530"/>
      <c r="BP1026" s="530"/>
      <c r="BQ1026" s="530"/>
      <c r="BV1026" s="530"/>
      <c r="BW1026" s="530"/>
    </row>
    <row r="1027">
      <c r="N1027" s="530"/>
      <c r="O1027" s="530"/>
      <c r="T1027" s="530"/>
      <c r="U1027" s="530"/>
      <c r="Z1027" s="530"/>
      <c r="AA1027" s="530"/>
      <c r="AF1027" s="530"/>
      <c r="AG1027" s="530"/>
      <c r="AL1027" s="530"/>
      <c r="AM1027" s="530"/>
      <c r="AR1027" s="530"/>
      <c r="AS1027" s="530"/>
      <c r="AX1027" s="530"/>
      <c r="AY1027" s="530"/>
      <c r="BD1027" s="530"/>
      <c r="BE1027" s="530"/>
      <c r="BJ1027" s="530"/>
      <c r="BK1027" s="530"/>
      <c r="BP1027" s="530"/>
      <c r="BQ1027" s="530"/>
      <c r="BV1027" s="530"/>
      <c r="BW1027" s="530"/>
    </row>
    <row r="1028">
      <c r="N1028" s="530"/>
      <c r="O1028" s="530"/>
      <c r="T1028" s="530"/>
      <c r="U1028" s="530"/>
      <c r="Z1028" s="530"/>
      <c r="AA1028" s="530"/>
      <c r="AF1028" s="530"/>
      <c r="AG1028" s="530"/>
      <c r="AL1028" s="530"/>
      <c r="AM1028" s="530"/>
      <c r="AR1028" s="530"/>
      <c r="AS1028" s="530"/>
      <c r="AX1028" s="530"/>
      <c r="AY1028" s="530"/>
      <c r="BD1028" s="530"/>
      <c r="BE1028" s="530"/>
      <c r="BJ1028" s="530"/>
      <c r="BK1028" s="530"/>
      <c r="BP1028" s="530"/>
      <c r="BQ1028" s="530"/>
      <c r="BV1028" s="530"/>
      <c r="BW1028" s="530"/>
    </row>
    <row r="1029">
      <c r="N1029" s="530"/>
      <c r="O1029" s="530"/>
      <c r="T1029" s="530"/>
      <c r="U1029" s="530"/>
      <c r="Z1029" s="530"/>
      <c r="AA1029" s="530"/>
      <c r="AF1029" s="530"/>
      <c r="AG1029" s="530"/>
      <c r="AL1029" s="530"/>
      <c r="AM1029" s="530"/>
      <c r="AR1029" s="530"/>
      <c r="AS1029" s="530"/>
      <c r="AX1029" s="530"/>
      <c r="AY1029" s="530"/>
      <c r="BD1029" s="530"/>
      <c r="BE1029" s="530"/>
      <c r="BJ1029" s="530"/>
      <c r="BK1029" s="530"/>
      <c r="BP1029" s="530"/>
      <c r="BQ1029" s="530"/>
      <c r="BV1029" s="530"/>
      <c r="BW1029" s="530"/>
    </row>
    <row r="1030">
      <c r="N1030" s="530"/>
      <c r="O1030" s="530"/>
      <c r="T1030" s="530"/>
      <c r="U1030" s="530"/>
      <c r="Z1030" s="530"/>
      <c r="AA1030" s="530"/>
      <c r="AF1030" s="530"/>
      <c r="AG1030" s="530"/>
      <c r="AL1030" s="530"/>
      <c r="AM1030" s="530"/>
      <c r="AR1030" s="530"/>
      <c r="AS1030" s="530"/>
      <c r="AX1030" s="530"/>
      <c r="AY1030" s="530"/>
      <c r="BD1030" s="530"/>
      <c r="BE1030" s="530"/>
      <c r="BJ1030" s="530"/>
      <c r="BK1030" s="530"/>
      <c r="BP1030" s="530"/>
      <c r="BQ1030" s="530"/>
      <c r="BV1030" s="530"/>
      <c r="BW1030" s="530"/>
    </row>
    <row r="1031">
      <c r="N1031" s="530"/>
      <c r="O1031" s="530"/>
      <c r="T1031" s="530"/>
      <c r="U1031" s="530"/>
      <c r="Z1031" s="530"/>
      <c r="AA1031" s="530"/>
      <c r="AF1031" s="530"/>
      <c r="AG1031" s="530"/>
      <c r="AL1031" s="530"/>
      <c r="AM1031" s="530"/>
      <c r="AR1031" s="530"/>
      <c r="AS1031" s="530"/>
      <c r="AX1031" s="530"/>
      <c r="AY1031" s="530"/>
      <c r="BD1031" s="530"/>
      <c r="BE1031" s="530"/>
      <c r="BJ1031" s="530"/>
      <c r="BK1031" s="530"/>
      <c r="BP1031" s="530"/>
      <c r="BQ1031" s="530"/>
      <c r="BV1031" s="530"/>
      <c r="BW1031" s="530"/>
    </row>
    <row r="1032">
      <c r="N1032" s="530"/>
      <c r="O1032" s="530"/>
      <c r="T1032" s="530"/>
      <c r="U1032" s="530"/>
      <c r="Z1032" s="530"/>
      <c r="AA1032" s="530"/>
      <c r="AF1032" s="530"/>
      <c r="AG1032" s="530"/>
      <c r="AL1032" s="530"/>
      <c r="AM1032" s="530"/>
      <c r="AR1032" s="530"/>
      <c r="AS1032" s="530"/>
      <c r="AX1032" s="530"/>
      <c r="AY1032" s="530"/>
      <c r="BD1032" s="530"/>
      <c r="BE1032" s="530"/>
      <c r="BJ1032" s="530"/>
      <c r="BK1032" s="530"/>
      <c r="BP1032" s="530"/>
      <c r="BQ1032" s="530"/>
      <c r="BV1032" s="530"/>
      <c r="BW1032" s="530"/>
    </row>
  </sheetData>
  <mergeCells count="314">
    <mergeCell ref="D21:G21"/>
    <mergeCell ref="Q21:T21"/>
    <mergeCell ref="AC21:AF21"/>
    <mergeCell ref="AO21:AR21"/>
    <mergeCell ref="R22:T22"/>
    <mergeCell ref="AD22:AF22"/>
    <mergeCell ref="AP22:AR22"/>
    <mergeCell ref="BN23:BP23"/>
    <mergeCell ref="BT23:BV23"/>
    <mergeCell ref="AI21:AL21"/>
    <mergeCell ref="AJ22:AL22"/>
    <mergeCell ref="AJ23:AL23"/>
    <mergeCell ref="AP23:AR23"/>
    <mergeCell ref="AV23:AX23"/>
    <mergeCell ref="BB23:BD23"/>
    <mergeCell ref="BH23:BJ23"/>
    <mergeCell ref="AP24:AR24"/>
    <mergeCell ref="AV24:AX24"/>
    <mergeCell ref="BB24:BD24"/>
    <mergeCell ref="BH24:BJ24"/>
    <mergeCell ref="BN24:BP24"/>
    <mergeCell ref="BT24:BV24"/>
    <mergeCell ref="AD24:AF24"/>
    <mergeCell ref="AD25:AF25"/>
    <mergeCell ref="AP25:AR25"/>
    <mergeCell ref="AV25:AX25"/>
    <mergeCell ref="BB25:BD25"/>
    <mergeCell ref="BH25:BJ25"/>
    <mergeCell ref="BN25:BP25"/>
    <mergeCell ref="BT25:BV25"/>
    <mergeCell ref="W21:Z21"/>
    <mergeCell ref="X22:Z22"/>
    <mergeCell ref="X23:Z23"/>
    <mergeCell ref="AD23:AF23"/>
    <mergeCell ref="X24:Z24"/>
    <mergeCell ref="AJ24:AL24"/>
    <mergeCell ref="X25:Z25"/>
    <mergeCell ref="AJ25:AL25"/>
    <mergeCell ref="AP26:AR26"/>
    <mergeCell ref="AV26:AX26"/>
    <mergeCell ref="BB26:BD26"/>
    <mergeCell ref="BH26:BJ26"/>
    <mergeCell ref="BN26:BP26"/>
    <mergeCell ref="BT26:BV26"/>
    <mergeCell ref="E25:G25"/>
    <mergeCell ref="E26:G26"/>
    <mergeCell ref="L26:N26"/>
    <mergeCell ref="R26:T26"/>
    <mergeCell ref="X26:Z26"/>
    <mergeCell ref="AD26:AF26"/>
    <mergeCell ref="AJ26:AL26"/>
    <mergeCell ref="X27:Z27"/>
    <mergeCell ref="X28:Z28"/>
    <mergeCell ref="S29:T29"/>
    <mergeCell ref="Y29:Z29"/>
    <mergeCell ref="V31:Z31"/>
    <mergeCell ref="AB31:AF31"/>
    <mergeCell ref="AH31:AL31"/>
    <mergeCell ref="L27:N27"/>
    <mergeCell ref="L28:N28"/>
    <mergeCell ref="F29:G29"/>
    <mergeCell ref="M29:N29"/>
    <mergeCell ref="C31:G31"/>
    <mergeCell ref="J31:N31"/>
    <mergeCell ref="P31:T31"/>
    <mergeCell ref="E22:G22"/>
    <mergeCell ref="E23:G23"/>
    <mergeCell ref="L23:N23"/>
    <mergeCell ref="R23:T23"/>
    <mergeCell ref="E24:G24"/>
    <mergeCell ref="R24:T24"/>
    <mergeCell ref="R25:T25"/>
    <mergeCell ref="L24:N24"/>
    <mergeCell ref="L25:N25"/>
    <mergeCell ref="C52:H52"/>
    <mergeCell ref="J52:N52"/>
    <mergeCell ref="P52:T52"/>
    <mergeCell ref="V52:Z52"/>
    <mergeCell ref="AB52:AF52"/>
    <mergeCell ref="AV27:AX27"/>
    <mergeCell ref="BB27:BD27"/>
    <mergeCell ref="BH27:BJ27"/>
    <mergeCell ref="BN27:BP27"/>
    <mergeCell ref="BT27:BV27"/>
    <mergeCell ref="AP28:AR28"/>
    <mergeCell ref="AV28:AX28"/>
    <mergeCell ref="BB28:BD28"/>
    <mergeCell ref="BH28:BJ28"/>
    <mergeCell ref="BN28:BP28"/>
    <mergeCell ref="BT28:BV28"/>
    <mergeCell ref="BI29:BJ29"/>
    <mergeCell ref="BO29:BP29"/>
    <mergeCell ref="BU29:BV29"/>
    <mergeCell ref="AN31:AR31"/>
    <mergeCell ref="AT31:AX31"/>
    <mergeCell ref="AZ31:BD31"/>
    <mergeCell ref="BF31:BJ31"/>
    <mergeCell ref="BL31:BP31"/>
    <mergeCell ref="BR31:BV31"/>
    <mergeCell ref="AT43:AW43"/>
    <mergeCell ref="AZ43:BC43"/>
    <mergeCell ref="BF43:BI43"/>
    <mergeCell ref="BL43:BO43"/>
    <mergeCell ref="BR43:BU43"/>
    <mergeCell ref="C43:F43"/>
    <mergeCell ref="J43:M43"/>
    <mergeCell ref="P43:S43"/>
    <mergeCell ref="V43:Y43"/>
    <mergeCell ref="AB43:AE43"/>
    <mergeCell ref="AH43:AK43"/>
    <mergeCell ref="AN43:AQ43"/>
    <mergeCell ref="AH52:AL52"/>
    <mergeCell ref="AN52:AR52"/>
    <mergeCell ref="AT52:AX52"/>
    <mergeCell ref="AZ52:BD52"/>
    <mergeCell ref="BF52:BJ52"/>
    <mergeCell ref="BL52:BP52"/>
    <mergeCell ref="BR52:BV52"/>
    <mergeCell ref="AN4:AR4"/>
    <mergeCell ref="AT4:AX4"/>
    <mergeCell ref="AZ4:BD4"/>
    <mergeCell ref="BF4:BJ4"/>
    <mergeCell ref="BL4:BP4"/>
    <mergeCell ref="BR4:BV4"/>
    <mergeCell ref="BX4:BZ4"/>
    <mergeCell ref="CB4:CC4"/>
    <mergeCell ref="AK5:AL5"/>
    <mergeCell ref="AQ5:AR5"/>
    <mergeCell ref="AW5:AX5"/>
    <mergeCell ref="BC5:BD5"/>
    <mergeCell ref="BI5:BJ5"/>
    <mergeCell ref="BO5:BP5"/>
    <mergeCell ref="BU5:BV5"/>
    <mergeCell ref="C2:G2"/>
    <mergeCell ref="D4:G4"/>
    <mergeCell ref="J4:N4"/>
    <mergeCell ref="V4:Z4"/>
    <mergeCell ref="AH4:AL4"/>
    <mergeCell ref="M5:N5"/>
    <mergeCell ref="Y5:Z5"/>
    <mergeCell ref="BC6:BD6"/>
    <mergeCell ref="BI6:BJ6"/>
    <mergeCell ref="BO6:BP6"/>
    <mergeCell ref="BU6:BV6"/>
    <mergeCell ref="AB4:AF4"/>
    <mergeCell ref="AE5:AF5"/>
    <mergeCell ref="Y6:Z6"/>
    <mergeCell ref="AE6:AF6"/>
    <mergeCell ref="AK6:AL6"/>
    <mergeCell ref="AQ6:AR6"/>
    <mergeCell ref="AW6:AX6"/>
    <mergeCell ref="BO7:BP7"/>
    <mergeCell ref="BU7:BV7"/>
    <mergeCell ref="Y7:Z7"/>
    <mergeCell ref="AE7:AF7"/>
    <mergeCell ref="AK7:AL7"/>
    <mergeCell ref="AQ7:AR7"/>
    <mergeCell ref="AW7:AX7"/>
    <mergeCell ref="BC7:BD7"/>
    <mergeCell ref="BI7:BJ7"/>
    <mergeCell ref="BC8:BD8"/>
    <mergeCell ref="BI8:BJ8"/>
    <mergeCell ref="BO8:BP8"/>
    <mergeCell ref="BU8:BV8"/>
    <mergeCell ref="S7:T7"/>
    <mergeCell ref="S8:T8"/>
    <mergeCell ref="Y8:Z8"/>
    <mergeCell ref="AE8:AF8"/>
    <mergeCell ref="AK8:AL8"/>
    <mergeCell ref="AQ8:AR8"/>
    <mergeCell ref="AW8:AX8"/>
    <mergeCell ref="BC9:BD9"/>
    <mergeCell ref="BI9:BJ9"/>
    <mergeCell ref="BO9:BP9"/>
    <mergeCell ref="BU9:BV9"/>
    <mergeCell ref="M9:N9"/>
    <mergeCell ref="S9:T9"/>
    <mergeCell ref="Y9:Z9"/>
    <mergeCell ref="AE9:AF9"/>
    <mergeCell ref="AK9:AL9"/>
    <mergeCell ref="AQ9:AR9"/>
    <mergeCell ref="AW9:AX9"/>
    <mergeCell ref="P4:T4"/>
    <mergeCell ref="S5:T5"/>
    <mergeCell ref="C6:C7"/>
    <mergeCell ref="M6:N6"/>
    <mergeCell ref="S6:T6"/>
    <mergeCell ref="M7:N7"/>
    <mergeCell ref="M8:N8"/>
    <mergeCell ref="BC10:BD10"/>
    <mergeCell ref="BI10:BJ10"/>
    <mergeCell ref="BO10:BP10"/>
    <mergeCell ref="BU10:BV10"/>
    <mergeCell ref="BC11:BD11"/>
    <mergeCell ref="BI11:BJ11"/>
    <mergeCell ref="BO11:BP11"/>
    <mergeCell ref="BU11:BV11"/>
    <mergeCell ref="S10:T10"/>
    <mergeCell ref="S11:T11"/>
    <mergeCell ref="AE14:AF14"/>
    <mergeCell ref="AE15:AF15"/>
    <mergeCell ref="AK15:AL15"/>
    <mergeCell ref="AQ15:AR15"/>
    <mergeCell ref="AE10:AF10"/>
    <mergeCell ref="AE11:AF11"/>
    <mergeCell ref="AE12:AF12"/>
    <mergeCell ref="AK12:AL12"/>
    <mergeCell ref="AE13:AF13"/>
    <mergeCell ref="AQ13:AR13"/>
    <mergeCell ref="AQ14:AR14"/>
    <mergeCell ref="AW13:AX13"/>
    <mergeCell ref="BC13:BD13"/>
    <mergeCell ref="BI13:BJ13"/>
    <mergeCell ref="BO13:BP13"/>
    <mergeCell ref="BU13:BV13"/>
    <mergeCell ref="AK13:AL13"/>
    <mergeCell ref="AK14:AL14"/>
    <mergeCell ref="AW14:AX14"/>
    <mergeCell ref="BI14:BJ14"/>
    <mergeCell ref="BU14:BV14"/>
    <mergeCell ref="AW15:AX15"/>
    <mergeCell ref="BI15:BJ15"/>
    <mergeCell ref="BU15:BV15"/>
    <mergeCell ref="AQ10:AR10"/>
    <mergeCell ref="AQ11:AR11"/>
    <mergeCell ref="AQ12:AR12"/>
    <mergeCell ref="AW12:AX12"/>
    <mergeCell ref="BC12:BD12"/>
    <mergeCell ref="BI12:BJ12"/>
    <mergeCell ref="BO12:BP12"/>
    <mergeCell ref="BU12:BV12"/>
    <mergeCell ref="M10:N10"/>
    <mergeCell ref="Y10:Z10"/>
    <mergeCell ref="AK10:AL10"/>
    <mergeCell ref="AW10:AX10"/>
    <mergeCell ref="Y11:Z11"/>
    <mergeCell ref="AK11:AL11"/>
    <mergeCell ref="AW11:AX11"/>
    <mergeCell ref="S13:T13"/>
    <mergeCell ref="S14:T14"/>
    <mergeCell ref="S15:T15"/>
    <mergeCell ref="S16:T16"/>
    <mergeCell ref="S17:T17"/>
    <mergeCell ref="M14:N14"/>
    <mergeCell ref="M15:N15"/>
    <mergeCell ref="M16:N16"/>
    <mergeCell ref="M17:N17"/>
    <mergeCell ref="BC14:BD14"/>
    <mergeCell ref="BC15:BD15"/>
    <mergeCell ref="BC16:BD16"/>
    <mergeCell ref="BI16:BJ16"/>
    <mergeCell ref="BC17:BD17"/>
    <mergeCell ref="BI17:BJ17"/>
    <mergeCell ref="BO14:BP14"/>
    <mergeCell ref="BO15:BP15"/>
    <mergeCell ref="BO16:BP16"/>
    <mergeCell ref="BU16:BV16"/>
    <mergeCell ref="BO17:BP17"/>
    <mergeCell ref="BU17:BV17"/>
    <mergeCell ref="M11:N11"/>
    <mergeCell ref="M12:N12"/>
    <mergeCell ref="S12:T12"/>
    <mergeCell ref="Y12:Z12"/>
    <mergeCell ref="M13:N13"/>
    <mergeCell ref="Y13:Z13"/>
    <mergeCell ref="Y14:Z14"/>
    <mergeCell ref="AK16:AL16"/>
    <mergeCell ref="AK17:AL17"/>
    <mergeCell ref="AK19:AL19"/>
    <mergeCell ref="AW16:AX16"/>
    <mergeCell ref="AW17:AX17"/>
    <mergeCell ref="AW19:AX19"/>
    <mergeCell ref="AV22:AX22"/>
    <mergeCell ref="Y15:Z15"/>
    <mergeCell ref="Y16:Z16"/>
    <mergeCell ref="AE16:AF16"/>
    <mergeCell ref="AQ16:AR16"/>
    <mergeCell ref="Y17:Z17"/>
    <mergeCell ref="AE17:AF17"/>
    <mergeCell ref="AQ17:AR17"/>
    <mergeCell ref="BO19:BP19"/>
    <mergeCell ref="BU19:BV19"/>
    <mergeCell ref="M19:N19"/>
    <mergeCell ref="S19:T19"/>
    <mergeCell ref="Y19:Z19"/>
    <mergeCell ref="AE19:AF19"/>
    <mergeCell ref="AQ19:AR19"/>
    <mergeCell ref="BC19:BD19"/>
    <mergeCell ref="BI19:BJ19"/>
    <mergeCell ref="K21:N21"/>
    <mergeCell ref="L22:N22"/>
    <mergeCell ref="BS21:BV21"/>
    <mergeCell ref="BT22:BV22"/>
    <mergeCell ref="AU21:AX21"/>
    <mergeCell ref="BA21:BD21"/>
    <mergeCell ref="BG21:BJ21"/>
    <mergeCell ref="BM21:BP21"/>
    <mergeCell ref="BB22:BD22"/>
    <mergeCell ref="BH22:BJ22"/>
    <mergeCell ref="BN22:BP22"/>
    <mergeCell ref="E27:G27"/>
    <mergeCell ref="R27:T27"/>
    <mergeCell ref="AD27:AF27"/>
    <mergeCell ref="AP27:AR27"/>
    <mergeCell ref="E28:G28"/>
    <mergeCell ref="R28:T28"/>
    <mergeCell ref="AD28:AF28"/>
    <mergeCell ref="AJ27:AL27"/>
    <mergeCell ref="AJ28:AL28"/>
    <mergeCell ref="AE29:AF29"/>
    <mergeCell ref="AK29:AL29"/>
    <mergeCell ref="AQ29:AR29"/>
    <mergeCell ref="AW29:AX29"/>
    <mergeCell ref="BC29:BD29"/>
  </mergeCells>
  <dataValidations>
    <dataValidation type="list" allowBlank="1" showErrorMessage="1" sqref="L54:L110 R54:R110 X54:X110 AD54:AD110 AJ54:AJ110 AP54:AP110 AV54:AV110 BB54:BB110 BH54:BH110 BN54:BN110 BT54:BT110 E54:E111">
      <formula1>Contas!$C$45:$C$50</formula1>
    </dataValidation>
  </dataValidations>
  <drawing r:id="rId2"/>
  <legacyDrawing r:id="rId3"/>
  <tableParts count="14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3" max="3" width="20.25"/>
    <col customWidth="1" min="5" max="5" width="16.25"/>
    <col customWidth="1" min="6" max="6" width="14.75"/>
    <col customWidth="1" min="7" max="7" width="15.5"/>
    <col customWidth="1" min="8" max="8" width="16.88"/>
    <col customWidth="1" min="10" max="10" width="15.75"/>
    <col customWidth="1" min="11" max="11" width="19.38"/>
    <col customWidth="1" min="12" max="12" width="15.25"/>
  </cols>
  <sheetData>
    <row r="2">
      <c r="A2" s="720" t="s">
        <v>605</v>
      </c>
      <c r="B2" s="721" t="s">
        <v>606</v>
      </c>
      <c r="C2" s="722"/>
      <c r="D2" s="722"/>
      <c r="E2" s="722"/>
      <c r="F2" s="722"/>
      <c r="G2" s="722"/>
      <c r="H2" s="722"/>
      <c r="I2" s="722"/>
      <c r="J2" s="722"/>
      <c r="K2" s="722"/>
      <c r="L2" s="723"/>
    </row>
    <row r="3">
      <c r="B3" s="724"/>
      <c r="C3" s="725" t="s">
        <v>607</v>
      </c>
      <c r="D3" s="726" t="s">
        <v>608</v>
      </c>
      <c r="E3" s="727"/>
      <c r="F3" s="727"/>
      <c r="G3" s="727"/>
      <c r="H3" s="728"/>
      <c r="I3" s="729">
        <f>YEAR((TODAY()))</f>
        <v>2026</v>
      </c>
      <c r="J3" s="730"/>
      <c r="K3" s="731"/>
      <c r="L3" s="732"/>
    </row>
    <row r="4">
      <c r="B4" s="733"/>
      <c r="C4" s="734">
        <f>TODAY()</f>
        <v>46144</v>
      </c>
      <c r="D4" s="735" t="s">
        <v>609</v>
      </c>
      <c r="E4" s="736" t="s">
        <v>610</v>
      </c>
      <c r="F4" s="737"/>
      <c r="G4" s="737"/>
      <c r="H4" s="738"/>
      <c r="I4" s="730"/>
      <c r="J4" s="730"/>
      <c r="K4" s="730"/>
      <c r="L4" s="732"/>
    </row>
    <row r="5">
      <c r="B5" s="724"/>
      <c r="C5" s="739" t="s">
        <v>611</v>
      </c>
      <c r="D5" s="740"/>
      <c r="E5" s="741" t="s">
        <v>612</v>
      </c>
      <c r="F5" s="742" t="s">
        <v>613</v>
      </c>
      <c r="G5" s="743" t="s">
        <v>614</v>
      </c>
      <c r="H5" s="744" t="s">
        <v>615</v>
      </c>
      <c r="I5" s="745" t="s">
        <v>616</v>
      </c>
      <c r="J5" s="746" t="s">
        <v>617</v>
      </c>
      <c r="K5" s="747" t="s">
        <v>618</v>
      </c>
      <c r="L5" s="748" t="s">
        <v>619</v>
      </c>
    </row>
    <row r="6">
      <c r="B6" s="749"/>
      <c r="C6" s="750" t="s">
        <v>620</v>
      </c>
      <c r="D6" s="743">
        <v>1500.0</v>
      </c>
      <c r="E6" s="751">
        <f>SUM((D6/2)-F6)</f>
        <v>750</v>
      </c>
      <c r="F6" s="752">
        <v>0.0</v>
      </c>
      <c r="G6" s="753">
        <f>SUM(((D6/2)-H6))</f>
        <v>750</v>
      </c>
      <c r="H6" s="754">
        <v>0.0</v>
      </c>
      <c r="I6" s="755"/>
      <c r="J6" s="756"/>
      <c r="K6" s="757"/>
      <c r="L6" s="758"/>
    </row>
    <row r="7">
      <c r="B7" s="749"/>
      <c r="C7" s="759" t="s">
        <v>621</v>
      </c>
      <c r="D7" s="760">
        <v>1621.0</v>
      </c>
      <c r="E7" s="761">
        <f>SUM(((D7/100)*40)-F7)+((I7/100)*40)</f>
        <v>6.028</v>
      </c>
      <c r="F7" s="762">
        <v>648.4</v>
      </c>
      <c r="G7" s="762">
        <f>SUM(((D7/100)*100)-H7)-L7+((I7/100)*100)</f>
        <v>1514.495</v>
      </c>
      <c r="H7" s="763">
        <v>0.0</v>
      </c>
      <c r="I7" s="764">
        <v>15.07</v>
      </c>
      <c r="J7" s="765"/>
      <c r="K7" s="766"/>
      <c r="L7" s="767">
        <f>SUM(D7/100)*7.5</f>
        <v>121.575</v>
      </c>
    </row>
    <row r="8">
      <c r="B8" s="768"/>
      <c r="C8" s="769" t="s">
        <v>622</v>
      </c>
      <c r="D8" s="753">
        <v>1621.0</v>
      </c>
      <c r="E8" s="770">
        <f>SUM((((D8/100)*40)-F8))</f>
        <v>648.4</v>
      </c>
      <c r="F8" s="752">
        <v>0.0</v>
      </c>
      <c r="G8" s="753">
        <f>SUM(((D8/100)*60)-H8)+J8-L8+I8</f>
        <v>1115.1</v>
      </c>
      <c r="H8" s="771">
        <v>60.74</v>
      </c>
      <c r="I8" s="772">
        <v>24.93</v>
      </c>
      <c r="J8" s="756">
        <f t="shared" ref="J8:J9" si="1">SUM(D8/100)*20</f>
        <v>324.2</v>
      </c>
      <c r="K8" s="757"/>
      <c r="L8" s="758">
        <f>SUM((D8+J8)/100)*7.5</f>
        <v>145.89</v>
      </c>
    </row>
    <row r="9">
      <c r="B9" s="768"/>
      <c r="C9" s="773" t="s">
        <v>623</v>
      </c>
      <c r="D9" s="760">
        <v>1621.0</v>
      </c>
      <c r="E9" s="774">
        <f>SUM(((((D9/100)*40))-F9))</f>
        <v>648.4</v>
      </c>
      <c r="F9" s="775">
        <v>0.0</v>
      </c>
      <c r="G9" s="762">
        <f>SUM(((D9/100)*60)-H9)+J9-K9-L9</f>
        <v>934.62152</v>
      </c>
      <c r="H9" s="776">
        <v>114.36</v>
      </c>
      <c r="I9" s="777"/>
      <c r="J9" s="765">
        <f t="shared" si="1"/>
        <v>324.2</v>
      </c>
      <c r="K9" s="766">
        <f>SUM(D9/100)*6</f>
        <v>97.26</v>
      </c>
      <c r="L9" s="767">
        <f>SUM((D9+J9)/100)*7.74</f>
        <v>150.55848</v>
      </c>
    </row>
    <row r="10">
      <c r="B10" s="768"/>
      <c r="C10" s="778" t="s">
        <v>624</v>
      </c>
      <c r="D10" s="779">
        <v>1500.0</v>
      </c>
      <c r="E10" s="780">
        <f>SUM((D10/2)-F10)</f>
        <v>750</v>
      </c>
      <c r="F10" s="779">
        <v>0.0</v>
      </c>
      <c r="G10" s="781">
        <f>SUM(((D10/2)-H10))-I10</f>
        <v>500</v>
      </c>
      <c r="H10" s="782">
        <v>0.0</v>
      </c>
      <c r="I10" s="772">
        <v>250.0</v>
      </c>
      <c r="J10" s="756"/>
      <c r="K10" s="757"/>
      <c r="L10" s="758"/>
    </row>
    <row r="11">
      <c r="B11" s="768"/>
      <c r="C11" s="783"/>
      <c r="D11" s="784"/>
      <c r="E11" s="785"/>
      <c r="F11" s="785"/>
      <c r="G11" s="762"/>
      <c r="H11" s="786"/>
      <c r="I11" s="777"/>
      <c r="J11" s="765"/>
      <c r="K11" s="766"/>
      <c r="L11" s="767"/>
    </row>
    <row r="12">
      <c r="B12" s="768"/>
      <c r="C12" s="787"/>
      <c r="D12" s="779"/>
      <c r="E12" s="779"/>
      <c r="F12" s="779"/>
      <c r="G12" s="781"/>
      <c r="H12" s="782"/>
      <c r="I12" s="755"/>
      <c r="J12" s="788"/>
      <c r="K12" s="757"/>
      <c r="L12" s="758"/>
    </row>
    <row r="13">
      <c r="B13" s="768"/>
      <c r="C13" s="789"/>
      <c r="D13" s="790"/>
      <c r="E13" s="790"/>
      <c r="F13" s="790"/>
      <c r="G13" s="790"/>
      <c r="H13" s="791"/>
      <c r="I13" s="792"/>
      <c r="J13" s="793"/>
      <c r="K13" s="794"/>
      <c r="L13" s="795"/>
    </row>
    <row r="14">
      <c r="B14" s="724"/>
      <c r="C14" s="796" t="s">
        <v>610</v>
      </c>
      <c r="D14" s="797"/>
      <c r="E14" s="798">
        <f>SUM(E6:E13)</f>
        <v>2802.828</v>
      </c>
      <c r="F14" s="797"/>
      <c r="G14" s="799">
        <f>SUM(G6:G13)</f>
        <v>4814.21652</v>
      </c>
      <c r="H14" s="800">
        <f>SUM(G7:G9)</f>
        <v>3564.21652</v>
      </c>
      <c r="I14" s="801"/>
      <c r="J14" s="802"/>
      <c r="K14" s="730"/>
      <c r="L14" s="732"/>
    </row>
    <row r="15">
      <c r="B15" s="724"/>
      <c r="C15" s="803"/>
      <c r="D15" s="804"/>
      <c r="E15" s="804"/>
      <c r="F15" s="804"/>
      <c r="G15" s="804"/>
      <c r="H15" s="804"/>
      <c r="I15" s="805"/>
      <c r="J15" s="806"/>
      <c r="K15" s="807"/>
      <c r="L15" s="808"/>
    </row>
    <row r="16">
      <c r="B16" s="809"/>
      <c r="C16" s="7"/>
      <c r="D16" s="7"/>
      <c r="E16" s="7"/>
      <c r="F16" s="7"/>
      <c r="G16" s="7"/>
      <c r="H16" s="7"/>
      <c r="I16" s="7"/>
      <c r="J16" s="7"/>
      <c r="K16" s="7"/>
      <c r="L16" s="810"/>
    </row>
    <row r="17">
      <c r="B17" s="811">
        <v>46048.0</v>
      </c>
      <c r="C17" s="812"/>
      <c r="D17" s="812"/>
      <c r="E17" s="812"/>
      <c r="F17" s="812"/>
      <c r="G17" s="812"/>
      <c r="H17" s="812"/>
      <c r="I17" s="812"/>
      <c r="J17" s="812"/>
      <c r="K17" s="812"/>
      <c r="L17" s="813"/>
    </row>
    <row r="18">
      <c r="B18" s="814"/>
      <c r="C18" s="815"/>
      <c r="D18" s="815"/>
      <c r="E18" s="815"/>
      <c r="F18" s="815"/>
      <c r="G18" s="815"/>
      <c r="H18" s="815"/>
      <c r="I18" s="815"/>
      <c r="J18" s="815"/>
      <c r="K18" s="815"/>
      <c r="L18" s="816"/>
    </row>
    <row r="19">
      <c r="B19" s="817" t="s">
        <v>571</v>
      </c>
      <c r="C19" s="812"/>
      <c r="D19" s="812"/>
      <c r="E19" s="812"/>
      <c r="F19" s="818"/>
      <c r="G19" s="819"/>
      <c r="H19" s="820" t="s">
        <v>528</v>
      </c>
      <c r="I19" s="593"/>
      <c r="J19" s="593"/>
      <c r="K19" s="593"/>
      <c r="L19" s="821"/>
    </row>
    <row r="20">
      <c r="B20" s="822" t="s">
        <v>625</v>
      </c>
      <c r="C20" s="823" t="s">
        <v>626</v>
      </c>
      <c r="D20" s="824"/>
      <c r="E20" s="825" t="s">
        <v>627</v>
      </c>
      <c r="F20" s="826" t="s">
        <v>628</v>
      </c>
      <c r="G20" s="647"/>
      <c r="H20" s="621" t="s">
        <v>580</v>
      </c>
      <c r="I20" s="827" t="s">
        <v>581</v>
      </c>
      <c r="J20" s="827" t="s">
        <v>582</v>
      </c>
      <c r="K20" s="621" t="s">
        <v>583</v>
      </c>
      <c r="L20" s="828" t="s">
        <v>584</v>
      </c>
    </row>
    <row r="21">
      <c r="B21" s="829">
        <v>2450.0</v>
      </c>
      <c r="C21" s="830" t="s">
        <v>558</v>
      </c>
      <c r="D21" s="831">
        <f>SUM(B21-K21)</f>
        <v>2450</v>
      </c>
      <c r="E21" s="831">
        <f>SUMIF(H30:H51,"IFOOD",G30:G51)</f>
        <v>2449.11652</v>
      </c>
      <c r="F21" s="832">
        <f t="shared" ref="F21:F26" si="2">D21-E21</f>
        <v>0.88348</v>
      </c>
      <c r="G21" s="833"/>
      <c r="H21" s="623" t="s">
        <v>558</v>
      </c>
      <c r="I21" s="624">
        <v>0.0</v>
      </c>
      <c r="J21" s="624">
        <v>0.0</v>
      </c>
      <c r="K21" s="625">
        <f>I21-G24</f>
        <v>0</v>
      </c>
      <c r="L21" s="834">
        <f>SUM(J21+K21)</f>
        <v>0</v>
      </c>
    </row>
    <row r="22">
      <c r="B22" s="835">
        <v>1117.0</v>
      </c>
      <c r="C22" s="836" t="s">
        <v>573</v>
      </c>
      <c r="D22" s="625">
        <f>SUM(B22-K25)</f>
        <v>1117</v>
      </c>
      <c r="E22" s="837">
        <f>SUMIF(H30:H52,"Caixa",G30:G52)</f>
        <v>1115.1</v>
      </c>
      <c r="F22" s="838">
        <f t="shared" si="2"/>
        <v>1.9</v>
      </c>
      <c r="G22" s="647"/>
      <c r="H22" s="839" t="s">
        <v>629</v>
      </c>
      <c r="I22" s="628">
        <v>0.0</v>
      </c>
      <c r="J22" s="629">
        <v>0.0</v>
      </c>
      <c r="K22" s="629">
        <f>I22</f>
        <v>0</v>
      </c>
      <c r="L22" s="840">
        <v>0.0</v>
      </c>
    </row>
    <row r="23">
      <c r="B23" s="829">
        <v>3000.0</v>
      </c>
      <c r="C23" s="830" t="s">
        <v>574</v>
      </c>
      <c r="D23" s="831">
        <f>B23</f>
        <v>3000</v>
      </c>
      <c r="E23" s="831">
        <f>SUMIF(H30:H53,"Cash",G30:G53)</f>
        <v>1300</v>
      </c>
      <c r="F23" s="832">
        <f t="shared" si="2"/>
        <v>1700</v>
      </c>
      <c r="G23" s="833"/>
      <c r="H23" s="623" t="s">
        <v>587</v>
      </c>
      <c r="I23" s="624">
        <v>318.0</v>
      </c>
      <c r="J23" s="624">
        <v>0.0</v>
      </c>
      <c r="K23" s="625">
        <f>I23-G20-G22-G25</f>
        <v>318</v>
      </c>
      <c r="L23" s="834">
        <f t="shared" ref="L23:L26" si="3">SUM(J23+K23)</f>
        <v>318</v>
      </c>
    </row>
    <row r="24">
      <c r="B24" s="835">
        <v>822.0</v>
      </c>
      <c r="C24" s="841" t="s">
        <v>630</v>
      </c>
      <c r="D24" s="625">
        <f>SUM(B24-K22)</f>
        <v>822</v>
      </c>
      <c r="E24" s="837">
        <f>SUMIF(H30:H54,"Infinity 1",G30:G54)</f>
        <v>750</v>
      </c>
      <c r="F24" s="838">
        <f t="shared" si="2"/>
        <v>72</v>
      </c>
      <c r="G24" s="647"/>
      <c r="H24" s="634" t="s">
        <v>576</v>
      </c>
      <c r="I24" s="635">
        <v>0.0</v>
      </c>
      <c r="J24" s="636">
        <v>0.0</v>
      </c>
      <c r="K24" s="636">
        <f t="shared" ref="K24:K25" si="4">I24</f>
        <v>0</v>
      </c>
      <c r="L24" s="842">
        <f t="shared" si="3"/>
        <v>0</v>
      </c>
    </row>
    <row r="25">
      <c r="B25" s="829">
        <v>80.0</v>
      </c>
      <c r="C25" s="830" t="s">
        <v>576</v>
      </c>
      <c r="D25" s="831">
        <f>SUM(B25-K24)</f>
        <v>80</v>
      </c>
      <c r="E25" s="831">
        <f>SUMIF(H32:H55,"Stone",G32:G55)</f>
        <v>0</v>
      </c>
      <c r="F25" s="832">
        <f t="shared" si="2"/>
        <v>80</v>
      </c>
      <c r="G25" s="843"/>
      <c r="H25" s="641" t="s">
        <v>573</v>
      </c>
      <c r="I25" s="638">
        <v>0.0</v>
      </c>
      <c r="J25" s="638">
        <v>0.0</v>
      </c>
      <c r="K25" s="844">
        <f t="shared" si="4"/>
        <v>0</v>
      </c>
      <c r="L25" s="845">
        <f t="shared" si="3"/>
        <v>0</v>
      </c>
    </row>
    <row r="26">
      <c r="B26" s="846">
        <v>0.0</v>
      </c>
      <c r="C26" s="847" t="s">
        <v>631</v>
      </c>
      <c r="D26" s="848">
        <f>SUM(B26-K26)</f>
        <v>0</v>
      </c>
      <c r="E26" s="848">
        <f>SUMIF(H32:H56,"Infinity 2",G32:G56)</f>
        <v>0</v>
      </c>
      <c r="F26" s="849">
        <f t="shared" si="2"/>
        <v>0</v>
      </c>
      <c r="G26" s="117"/>
      <c r="H26" s="850" t="s">
        <v>632</v>
      </c>
      <c r="I26" s="851">
        <v>0.0</v>
      </c>
      <c r="J26" s="851">
        <v>0.0</v>
      </c>
      <c r="K26" s="852">
        <f>I26-G23</f>
        <v>0</v>
      </c>
      <c r="L26" s="853">
        <f t="shared" si="3"/>
        <v>0</v>
      </c>
    </row>
    <row r="27">
      <c r="B27" s="854"/>
      <c r="C27" s="855" t="s">
        <v>578</v>
      </c>
      <c r="D27" s="856">
        <f t="shared" ref="D27:F27" si="5">SUM(D21:D25)</f>
        <v>7469</v>
      </c>
      <c r="E27" s="857">
        <f t="shared" si="5"/>
        <v>5614.21652</v>
      </c>
      <c r="F27" s="858">
        <f t="shared" si="5"/>
        <v>1854.78348</v>
      </c>
      <c r="G27" s="117"/>
      <c r="H27" s="859" t="s">
        <v>589</v>
      </c>
      <c r="I27" s="860" t="s">
        <v>590</v>
      </c>
      <c r="J27" s="861" t="s">
        <v>134</v>
      </c>
      <c r="K27" s="862">
        <f>SUM(K21:K25)</f>
        <v>318</v>
      </c>
      <c r="L27" s="863">
        <f>SUM(L21:L26)</f>
        <v>318</v>
      </c>
    </row>
    <row r="28">
      <c r="B28" s="724"/>
      <c r="C28" s="9"/>
      <c r="D28" s="9"/>
      <c r="E28" s="9"/>
      <c r="F28" s="9"/>
      <c r="G28" s="117"/>
      <c r="H28" s="864">
        <v>0.0</v>
      </c>
      <c r="I28" s="865">
        <v>0.0</v>
      </c>
      <c r="J28" s="866"/>
      <c r="K28" s="867" t="s">
        <v>633</v>
      </c>
      <c r="L28" s="868"/>
    </row>
    <row r="29">
      <c r="B29" s="724"/>
      <c r="C29" s="869" t="s">
        <v>634</v>
      </c>
      <c r="D29" s="870" t="s">
        <v>600</v>
      </c>
      <c r="E29" s="870" t="s">
        <v>5</v>
      </c>
      <c r="F29" s="870" t="s">
        <v>4</v>
      </c>
      <c r="G29" s="870" t="s">
        <v>16</v>
      </c>
      <c r="H29" s="871" t="s">
        <v>635</v>
      </c>
      <c r="I29" s="872"/>
      <c r="L29" s="873"/>
    </row>
    <row r="30">
      <c r="B30" s="809"/>
      <c r="C30" s="874" t="s">
        <v>636</v>
      </c>
      <c r="D30" s="625">
        <v>1200.0</v>
      </c>
      <c r="E30" s="875">
        <v>45601.0</v>
      </c>
      <c r="F30" s="876"/>
      <c r="G30" s="624">
        <v>1300.0</v>
      </c>
      <c r="H30" s="877" t="s">
        <v>574</v>
      </c>
      <c r="I30" s="878"/>
      <c r="J30" s="878"/>
      <c r="K30" s="878"/>
      <c r="L30" s="879"/>
    </row>
    <row r="31">
      <c r="B31" s="809"/>
      <c r="C31" s="874"/>
      <c r="D31" s="880"/>
      <c r="E31" s="881"/>
      <c r="F31" s="876"/>
      <c r="G31" s="880" t="str">
        <f t="shared" ref="G31:G48" si="6">IF(F31="",D31,"")</f>
        <v/>
      </c>
      <c r="H31" s="882"/>
      <c r="I31" s="883"/>
      <c r="J31" s="884"/>
      <c r="K31" s="885"/>
      <c r="L31" s="879"/>
    </row>
    <row r="32">
      <c r="B32" s="809"/>
      <c r="C32" s="886" t="s">
        <v>637</v>
      </c>
      <c r="D32" s="625">
        <f>G7</f>
        <v>1514.495</v>
      </c>
      <c r="E32" s="887">
        <v>46058.0</v>
      </c>
      <c r="F32" s="888"/>
      <c r="G32" s="625">
        <f t="shared" si="6"/>
        <v>1514.495</v>
      </c>
      <c r="H32" s="889" t="s">
        <v>558</v>
      </c>
      <c r="I32" s="883"/>
      <c r="J32" s="884"/>
      <c r="K32" s="885"/>
      <c r="L32" s="879"/>
    </row>
    <row r="33">
      <c r="B33" s="809"/>
      <c r="C33" s="874" t="s">
        <v>638</v>
      </c>
      <c r="D33" s="625">
        <f>E14</f>
        <v>2802.828</v>
      </c>
      <c r="E33" s="875">
        <v>45585.0</v>
      </c>
      <c r="F33" s="876" t="s">
        <v>639</v>
      </c>
      <c r="G33" s="880" t="str">
        <f t="shared" si="6"/>
        <v/>
      </c>
      <c r="H33" s="882"/>
      <c r="I33" s="883"/>
      <c r="J33" s="884"/>
      <c r="K33" s="885"/>
      <c r="L33" s="879"/>
    </row>
    <row r="34">
      <c r="B34" s="809"/>
      <c r="C34" s="874" t="s">
        <v>640</v>
      </c>
      <c r="D34" s="624">
        <v>450.0</v>
      </c>
      <c r="E34" s="875">
        <v>45575.0</v>
      </c>
      <c r="F34" s="876" t="s">
        <v>639</v>
      </c>
      <c r="G34" s="876" t="str">
        <f t="shared" si="6"/>
        <v/>
      </c>
      <c r="H34" s="882"/>
      <c r="I34" s="884"/>
      <c r="K34" s="885"/>
      <c r="L34" s="879"/>
    </row>
    <row r="35">
      <c r="B35" s="809"/>
      <c r="C35" s="874" t="s">
        <v>641</v>
      </c>
      <c r="D35" s="625">
        <f>G6</f>
        <v>750</v>
      </c>
      <c r="E35" s="887">
        <v>46058.0</v>
      </c>
      <c r="F35" s="876"/>
      <c r="G35" s="625">
        <f t="shared" si="6"/>
        <v>750</v>
      </c>
      <c r="H35" s="889" t="s">
        <v>630</v>
      </c>
      <c r="I35" s="890"/>
      <c r="J35" s="9"/>
      <c r="K35" s="891"/>
      <c r="L35" s="879"/>
    </row>
    <row r="36">
      <c r="B36" s="809"/>
      <c r="C36" s="886" t="s">
        <v>642</v>
      </c>
      <c r="D36" s="625">
        <f>G9</f>
        <v>934.62152</v>
      </c>
      <c r="E36" s="875">
        <v>45590.0</v>
      </c>
      <c r="F36" s="876"/>
      <c r="G36" s="892">
        <f t="shared" si="6"/>
        <v>934.62152</v>
      </c>
      <c r="H36" s="889" t="s">
        <v>558</v>
      </c>
      <c r="I36" s="890"/>
      <c r="J36" s="893"/>
      <c r="K36" s="891"/>
      <c r="L36" s="879"/>
    </row>
    <row r="37">
      <c r="B37" s="809"/>
      <c r="C37" s="886" t="s">
        <v>643</v>
      </c>
      <c r="D37" s="892">
        <f>G8</f>
        <v>1115.1</v>
      </c>
      <c r="E37" s="887">
        <v>46058.0</v>
      </c>
      <c r="F37" s="888"/>
      <c r="G37" s="892">
        <f t="shared" si="6"/>
        <v>1115.1</v>
      </c>
      <c r="H37" s="889" t="s">
        <v>573</v>
      </c>
      <c r="I37" s="890"/>
      <c r="J37" s="893"/>
      <c r="K37" s="891"/>
      <c r="L37" s="879"/>
    </row>
    <row r="38">
      <c r="B38" s="809"/>
      <c r="C38" s="874" t="s">
        <v>644</v>
      </c>
      <c r="D38" s="880"/>
      <c r="E38" s="881"/>
      <c r="F38" s="876"/>
      <c r="G38" s="880" t="str">
        <f t="shared" si="6"/>
        <v/>
      </c>
      <c r="H38" s="882"/>
      <c r="I38" s="890"/>
      <c r="J38" s="9"/>
      <c r="K38" s="891"/>
      <c r="L38" s="879"/>
    </row>
    <row r="39">
      <c r="B39" s="809"/>
      <c r="C39" s="874" t="s">
        <v>645</v>
      </c>
      <c r="D39" s="625">
        <v>120.0</v>
      </c>
      <c r="E39" s="875">
        <v>45570.0</v>
      </c>
      <c r="F39" s="876" t="s">
        <v>639</v>
      </c>
      <c r="G39" s="880" t="str">
        <f t="shared" si="6"/>
        <v/>
      </c>
      <c r="H39" s="882"/>
      <c r="I39" s="890"/>
      <c r="J39" s="9"/>
      <c r="K39" s="891"/>
      <c r="L39" s="879"/>
    </row>
    <row r="40">
      <c r="B40" s="809"/>
      <c r="C40" s="874" t="s">
        <v>646</v>
      </c>
      <c r="D40" s="625" t="s">
        <v>134</v>
      </c>
      <c r="E40" s="875">
        <v>45570.0</v>
      </c>
      <c r="F40" s="876" t="s">
        <v>639</v>
      </c>
      <c r="G40" s="876" t="str">
        <f t="shared" si="6"/>
        <v/>
      </c>
      <c r="H40" s="882"/>
      <c r="I40" s="890"/>
      <c r="J40" s="9"/>
      <c r="K40" s="891"/>
      <c r="L40" s="879"/>
    </row>
    <row r="41">
      <c r="B41" s="809"/>
      <c r="C41" s="874" t="s">
        <v>647</v>
      </c>
      <c r="D41" s="880"/>
      <c r="E41" s="881"/>
      <c r="F41" s="876"/>
      <c r="G41" s="880" t="str">
        <f t="shared" si="6"/>
        <v/>
      </c>
      <c r="H41" s="882"/>
      <c r="I41" s="890"/>
      <c r="J41" s="9"/>
      <c r="K41" s="891"/>
      <c r="L41" s="879"/>
    </row>
    <row r="42">
      <c r="B42" s="809"/>
      <c r="C42" s="874" t="s">
        <v>648</v>
      </c>
      <c r="D42" s="625">
        <v>697.42</v>
      </c>
      <c r="E42" s="875">
        <v>45570.0</v>
      </c>
      <c r="F42" s="876" t="s">
        <v>639</v>
      </c>
      <c r="G42" s="880" t="str">
        <f t="shared" si="6"/>
        <v/>
      </c>
      <c r="H42" s="882"/>
      <c r="I42" s="890"/>
      <c r="J42" s="9"/>
      <c r="K42" s="891"/>
      <c r="L42" s="879"/>
    </row>
    <row r="43">
      <c r="B43" s="809"/>
      <c r="C43" s="874" t="s">
        <v>649</v>
      </c>
      <c r="D43" s="625">
        <v>435.9</v>
      </c>
      <c r="E43" s="875">
        <v>45570.0</v>
      </c>
      <c r="F43" s="876" t="s">
        <v>639</v>
      </c>
      <c r="G43" s="880" t="str">
        <f t="shared" si="6"/>
        <v/>
      </c>
      <c r="H43" s="882"/>
      <c r="I43" s="890"/>
      <c r="J43" s="9"/>
      <c r="K43" s="891"/>
      <c r="L43" s="879"/>
    </row>
    <row r="44">
      <c r="B44" s="809"/>
      <c r="C44" s="874" t="s">
        <v>650</v>
      </c>
      <c r="D44" s="625">
        <v>323.92</v>
      </c>
      <c r="E44" s="875">
        <v>45570.0</v>
      </c>
      <c r="F44" s="876" t="s">
        <v>639</v>
      </c>
      <c r="G44" s="880" t="str">
        <f t="shared" si="6"/>
        <v/>
      </c>
      <c r="H44" s="882"/>
      <c r="I44" s="890"/>
      <c r="J44" s="9"/>
      <c r="K44" s="891"/>
      <c r="L44" s="879"/>
    </row>
    <row r="45">
      <c r="B45" s="809"/>
      <c r="C45" s="874" t="s">
        <v>651</v>
      </c>
      <c r="D45" s="880"/>
      <c r="E45" s="881"/>
      <c r="F45" s="876"/>
      <c r="G45" s="880" t="str">
        <f t="shared" si="6"/>
        <v/>
      </c>
      <c r="H45" s="882"/>
      <c r="I45" s="890"/>
      <c r="J45" s="9"/>
      <c r="K45" s="891"/>
      <c r="L45" s="879"/>
    </row>
    <row r="46">
      <c r="B46" s="809"/>
      <c r="C46" s="874" t="s">
        <v>652</v>
      </c>
      <c r="D46" s="880"/>
      <c r="E46" s="881"/>
      <c r="F46" s="876"/>
      <c r="G46" s="880" t="str">
        <f t="shared" si="6"/>
        <v/>
      </c>
      <c r="H46" s="882"/>
      <c r="I46" s="890"/>
      <c r="J46" s="9"/>
      <c r="K46" s="891"/>
      <c r="L46" s="879"/>
    </row>
    <row r="47">
      <c r="B47" s="809"/>
      <c r="C47" s="874" t="s">
        <v>653</v>
      </c>
      <c r="D47" s="880"/>
      <c r="E47" s="881"/>
      <c r="F47" s="876"/>
      <c r="G47" s="880" t="str">
        <f t="shared" si="6"/>
        <v/>
      </c>
      <c r="H47" s="882"/>
      <c r="I47" s="890"/>
      <c r="J47" s="9"/>
      <c r="K47" s="891"/>
      <c r="L47" s="879"/>
    </row>
    <row r="48">
      <c r="B48" s="809"/>
      <c r="C48" s="874" t="s">
        <v>654</v>
      </c>
      <c r="D48" s="880"/>
      <c r="E48" s="881"/>
      <c r="F48" s="876"/>
      <c r="G48" s="880" t="str">
        <f t="shared" si="6"/>
        <v/>
      </c>
      <c r="H48" s="882"/>
      <c r="I48" s="890"/>
      <c r="J48" s="9"/>
      <c r="K48" s="891"/>
      <c r="L48" s="879"/>
    </row>
    <row r="49">
      <c r="B49" s="809"/>
      <c r="C49" s="886" t="s">
        <v>655</v>
      </c>
      <c r="D49" s="624">
        <v>775.17</v>
      </c>
      <c r="E49" s="887">
        <v>46058.0</v>
      </c>
      <c r="F49" s="876"/>
      <c r="G49" s="880"/>
      <c r="H49" s="882"/>
      <c r="I49" s="890"/>
      <c r="J49" s="9"/>
      <c r="K49" s="891"/>
      <c r="L49" s="879"/>
    </row>
    <row r="50">
      <c r="B50" s="809"/>
      <c r="C50" s="886" t="s">
        <v>656</v>
      </c>
      <c r="D50" s="624">
        <v>0.0</v>
      </c>
      <c r="E50" s="881"/>
      <c r="F50" s="876"/>
      <c r="G50" s="876"/>
      <c r="H50" s="882"/>
      <c r="I50" s="890"/>
      <c r="J50" s="9"/>
      <c r="K50" s="891"/>
      <c r="L50" s="879"/>
    </row>
    <row r="51">
      <c r="B51" s="809"/>
      <c r="C51" s="874" t="s">
        <v>657</v>
      </c>
      <c r="D51" s="625">
        <v>750.0</v>
      </c>
      <c r="E51" s="887">
        <v>46042.0</v>
      </c>
      <c r="F51" s="876" t="s">
        <v>639</v>
      </c>
      <c r="G51" s="880" t="str">
        <f t="shared" ref="G51:G53" si="7">IF(F51="",D51,"")</f>
        <v/>
      </c>
      <c r="H51" s="882"/>
      <c r="I51" s="890"/>
      <c r="J51" s="9"/>
      <c r="K51" s="891"/>
      <c r="L51" s="879"/>
    </row>
    <row r="52">
      <c r="B52" s="809"/>
      <c r="C52" s="894" t="s">
        <v>658</v>
      </c>
      <c r="D52" s="895">
        <v>750.0</v>
      </c>
      <c r="E52" s="887">
        <v>46058.0</v>
      </c>
      <c r="F52" s="896"/>
      <c r="G52" s="625">
        <f t="shared" si="7"/>
        <v>750</v>
      </c>
      <c r="H52" s="897"/>
      <c r="I52" s="890"/>
      <c r="J52" s="9"/>
      <c r="K52" s="891"/>
      <c r="L52" s="879"/>
    </row>
    <row r="53">
      <c r="B53" s="809"/>
      <c r="C53" s="898"/>
      <c r="D53" s="899"/>
      <c r="E53" s="900"/>
      <c r="F53" s="901"/>
      <c r="G53" s="902" t="str">
        <f t="shared" si="7"/>
        <v/>
      </c>
      <c r="H53" s="903"/>
      <c r="I53" s="890"/>
      <c r="J53" s="9"/>
      <c r="K53" s="891"/>
      <c r="L53" s="879"/>
    </row>
    <row r="54">
      <c r="B54" s="809"/>
      <c r="C54" s="904"/>
      <c r="D54" s="905"/>
      <c r="E54" s="906"/>
      <c r="F54" s="904"/>
      <c r="G54" s="904"/>
      <c r="H54" s="904"/>
      <c r="I54" s="906"/>
      <c r="J54" s="904"/>
      <c r="K54" s="240"/>
      <c r="L54" s="907"/>
    </row>
    <row r="55">
      <c r="B55" s="724"/>
      <c r="C55" s="908" t="s">
        <v>528</v>
      </c>
      <c r="D55" s="909"/>
      <c r="E55" s="909"/>
      <c r="F55" s="909"/>
      <c r="G55" s="909"/>
      <c r="H55" s="909"/>
      <c r="I55" s="909"/>
      <c r="J55" s="910"/>
      <c r="K55" s="891"/>
      <c r="L55" s="879"/>
    </row>
    <row r="56">
      <c r="B56" s="768"/>
      <c r="C56" s="911" t="s">
        <v>659</v>
      </c>
      <c r="D56" s="912"/>
      <c r="E56" s="913">
        <f>I63</f>
        <v>854.78348</v>
      </c>
      <c r="F56" s="914"/>
      <c r="G56" s="915" t="s">
        <v>660</v>
      </c>
      <c r="H56" s="916"/>
      <c r="I56" s="913">
        <f>F23</f>
        <v>1700</v>
      </c>
      <c r="J56" s="917">
        <f>I56-G70-G76-G82-E71</f>
        <v>0</v>
      </c>
      <c r="K56" s="918"/>
      <c r="L56" s="919"/>
    </row>
    <row r="57">
      <c r="B57" s="768"/>
      <c r="C57" s="920"/>
      <c r="D57" s="921"/>
      <c r="E57" s="921"/>
      <c r="F57" s="914"/>
      <c r="G57" s="915" t="s">
        <v>558</v>
      </c>
      <c r="H57" s="916"/>
      <c r="I57" s="913">
        <f>F21</f>
        <v>0.88348</v>
      </c>
      <c r="J57" s="917">
        <f>I57-E69-G72-G78-G83</f>
        <v>0.00348</v>
      </c>
      <c r="K57" s="918"/>
      <c r="L57" s="919"/>
    </row>
    <row r="58">
      <c r="B58" s="768"/>
      <c r="C58" s="911" t="s">
        <v>661</v>
      </c>
      <c r="D58" s="912"/>
      <c r="E58" s="913">
        <f>SUM(E56/100*10)-85.48</f>
        <v>-0.001652</v>
      </c>
      <c r="F58" s="914"/>
      <c r="G58" s="922" t="s">
        <v>630</v>
      </c>
      <c r="H58" s="916"/>
      <c r="I58" s="913">
        <f>F24</f>
        <v>72</v>
      </c>
      <c r="J58" s="917">
        <f>I58-G71-G77-G84-E70</f>
        <v>0</v>
      </c>
      <c r="K58" s="918"/>
      <c r="L58" s="919"/>
    </row>
    <row r="59">
      <c r="B59" s="768"/>
      <c r="C59" s="911" t="s">
        <v>662</v>
      </c>
      <c r="D59" s="912"/>
      <c r="E59" s="913">
        <f>SUM(E56/100*10)-85.48</f>
        <v>-0.001652</v>
      </c>
      <c r="F59" s="914"/>
      <c r="G59" s="915" t="s">
        <v>573</v>
      </c>
      <c r="H59" s="916"/>
      <c r="I59" s="913">
        <f>F22</f>
        <v>1.9</v>
      </c>
      <c r="J59" s="917">
        <f>I59-G69-G75-G81-E73</f>
        <v>0</v>
      </c>
      <c r="K59" s="117"/>
      <c r="L59" s="923"/>
    </row>
    <row r="60">
      <c r="B60" s="768"/>
      <c r="C60" s="920"/>
      <c r="D60" s="921"/>
      <c r="E60" s="921"/>
      <c r="F60" s="914"/>
      <c r="G60" s="916" t="s">
        <v>576</v>
      </c>
      <c r="H60" s="916"/>
      <c r="I60" s="924">
        <f t="shared" ref="I60:I61" si="8">F25</f>
        <v>80</v>
      </c>
      <c r="J60" s="925">
        <f>I60-E72</f>
        <v>0</v>
      </c>
      <c r="K60" s="240"/>
      <c r="L60" s="907"/>
    </row>
    <row r="61">
      <c r="B61" s="768"/>
      <c r="C61" s="911" t="s">
        <v>663</v>
      </c>
      <c r="D61" s="912"/>
      <c r="E61" s="926">
        <f>SUM(E56)-(E58+E59)-0.01</f>
        <v>854.776784</v>
      </c>
      <c r="F61" s="927"/>
      <c r="G61" s="928" t="s">
        <v>631</v>
      </c>
      <c r="H61" s="916"/>
      <c r="I61" s="924">
        <f t="shared" si="8"/>
        <v>0</v>
      </c>
      <c r="J61" s="925">
        <f>I61-E74</f>
        <v>0</v>
      </c>
      <c r="K61" s="240"/>
      <c r="L61" s="907"/>
    </row>
    <row r="62">
      <c r="B62" s="768"/>
      <c r="C62" s="911" t="s">
        <v>664</v>
      </c>
      <c r="D62" s="912"/>
      <c r="E62" s="913">
        <v>0.0</v>
      </c>
      <c r="F62" s="914"/>
      <c r="G62" s="921"/>
      <c r="H62" s="921"/>
      <c r="I62" s="929">
        <f t="shared" ref="I62:J62" si="9">SUM(I56:I60)</f>
        <v>1854.78348</v>
      </c>
      <c r="J62" s="930">
        <f t="shared" si="9"/>
        <v>0.00348</v>
      </c>
      <c r="K62" s="7"/>
      <c r="L62" s="810"/>
    </row>
    <row r="63">
      <c r="B63" s="768"/>
      <c r="C63" s="920"/>
      <c r="D63" s="921"/>
      <c r="E63" s="921"/>
      <c r="F63" s="927"/>
      <c r="G63" s="931" t="s">
        <v>610</v>
      </c>
      <c r="H63" s="932"/>
      <c r="I63" s="926">
        <f>SUM(I56:I60)-1000</f>
        <v>854.78348</v>
      </c>
      <c r="J63" s="933"/>
      <c r="K63" s="7"/>
      <c r="L63" s="810"/>
    </row>
    <row r="64">
      <c r="B64" s="768"/>
      <c r="C64" s="911" t="s">
        <v>665</v>
      </c>
      <c r="D64" s="912"/>
      <c r="E64" s="934" t="s">
        <v>666</v>
      </c>
      <c r="F64" s="927"/>
      <c r="G64" s="935" t="s">
        <v>667</v>
      </c>
      <c r="J64" s="933"/>
      <c r="K64" s="7"/>
      <c r="L64" s="810"/>
    </row>
    <row r="65">
      <c r="B65" s="768"/>
      <c r="C65" s="920"/>
      <c r="D65" s="916"/>
      <c r="E65" s="936"/>
      <c r="F65" s="927"/>
      <c r="G65" s="927"/>
      <c r="H65" s="927"/>
      <c r="I65" s="927"/>
      <c r="J65" s="933"/>
      <c r="K65" s="7"/>
      <c r="L65" s="810"/>
    </row>
    <row r="66">
      <c r="B66" s="768"/>
      <c r="C66" s="937" t="s">
        <v>620</v>
      </c>
      <c r="D66" s="938">
        <f>SUM(E61-D65)</f>
        <v>854.776784</v>
      </c>
      <c r="E66" s="939">
        <f>D66</f>
        <v>854.776784</v>
      </c>
      <c r="F66" s="940"/>
      <c r="G66" s="940"/>
      <c r="H66" s="940"/>
      <c r="I66" s="940"/>
      <c r="J66" s="941"/>
      <c r="K66" s="7"/>
      <c r="L66" s="810"/>
    </row>
    <row r="67">
      <c r="B67" s="768"/>
      <c r="C67" s="942"/>
      <c r="D67" s="117"/>
      <c r="E67" s="117"/>
      <c r="F67" s="117"/>
      <c r="G67" s="117"/>
      <c r="H67" s="117"/>
      <c r="I67" s="918"/>
      <c r="J67" s="943"/>
      <c r="K67" s="7"/>
      <c r="L67" s="810"/>
    </row>
    <row r="68">
      <c r="B68" s="768"/>
      <c r="C68" s="944" t="s">
        <v>668</v>
      </c>
      <c r="D68" s="593"/>
      <c r="E68" s="594"/>
      <c r="F68" s="117"/>
      <c r="G68" s="945" t="s">
        <v>669</v>
      </c>
      <c r="H68" s="594"/>
      <c r="I68" s="918"/>
      <c r="J68" s="943"/>
      <c r="K68" s="117"/>
      <c r="L68" s="923"/>
    </row>
    <row r="69">
      <c r="B69" s="768"/>
      <c r="C69" s="946" t="s">
        <v>558</v>
      </c>
      <c r="D69" s="912"/>
      <c r="E69" s="947">
        <v>0.88</v>
      </c>
      <c r="F69" s="948" t="s">
        <v>670</v>
      </c>
      <c r="G69" s="949">
        <v>0.0</v>
      </c>
      <c r="H69" s="950" t="s">
        <v>573</v>
      </c>
      <c r="I69" s="918"/>
      <c r="J69" s="943"/>
      <c r="K69" s="117"/>
      <c r="L69" s="923"/>
    </row>
    <row r="70">
      <c r="B70" s="768"/>
      <c r="C70" s="946" t="s">
        <v>630</v>
      </c>
      <c r="D70" s="912"/>
      <c r="E70" s="947">
        <v>72.0</v>
      </c>
      <c r="F70" s="948" t="s">
        <v>670</v>
      </c>
      <c r="G70" s="951">
        <v>0.0</v>
      </c>
      <c r="H70" s="950" t="s">
        <v>587</v>
      </c>
      <c r="I70" s="918"/>
      <c r="J70" s="943"/>
      <c r="K70" s="117"/>
      <c r="L70" s="923"/>
    </row>
    <row r="71">
      <c r="B71" s="768"/>
      <c r="C71" s="952" t="s">
        <v>587</v>
      </c>
      <c r="D71" s="912"/>
      <c r="E71" s="947">
        <v>700.0</v>
      </c>
      <c r="F71" s="953" t="s">
        <v>670</v>
      </c>
      <c r="G71" s="949">
        <v>0.0</v>
      </c>
      <c r="H71" s="954" t="s">
        <v>671</v>
      </c>
      <c r="I71" s="955">
        <f>F77</f>
        <v>0.88</v>
      </c>
      <c r="J71" s="594"/>
      <c r="K71" s="117"/>
      <c r="L71" s="923"/>
    </row>
    <row r="72">
      <c r="B72" s="768"/>
      <c r="C72" s="952" t="s">
        <v>576</v>
      </c>
      <c r="D72" s="912"/>
      <c r="E72" s="947">
        <v>80.0</v>
      </c>
      <c r="F72" s="948" t="s">
        <v>670</v>
      </c>
      <c r="G72" s="949">
        <v>0.0</v>
      </c>
      <c r="H72" s="956" t="s">
        <v>558</v>
      </c>
      <c r="I72" s="957" t="s">
        <v>620</v>
      </c>
      <c r="J72" s="958" t="s">
        <v>672</v>
      </c>
      <c r="K72" s="117"/>
      <c r="L72" s="923"/>
    </row>
    <row r="73">
      <c r="B73" s="768"/>
      <c r="C73" s="952" t="s">
        <v>573</v>
      </c>
      <c r="D73" s="912"/>
      <c r="E73" s="947">
        <v>1.9</v>
      </c>
      <c r="F73" s="918"/>
      <c r="G73" s="959">
        <f>SUM(G69:G72)</f>
        <v>0</v>
      </c>
      <c r="H73" s="960" t="s">
        <v>610</v>
      </c>
      <c r="I73" s="961">
        <f>I71/2</f>
        <v>0.44</v>
      </c>
      <c r="J73" s="962"/>
      <c r="K73" s="7"/>
      <c r="L73" s="810"/>
    </row>
    <row r="74">
      <c r="B74" s="768"/>
      <c r="C74" s="946" t="s">
        <v>631</v>
      </c>
      <c r="D74" s="912"/>
      <c r="E74" s="947">
        <v>0.0</v>
      </c>
      <c r="F74" s="963" t="s">
        <v>670</v>
      </c>
      <c r="G74" s="964" t="s">
        <v>673</v>
      </c>
      <c r="H74" s="594"/>
      <c r="I74" s="965" t="s">
        <v>670</v>
      </c>
      <c r="J74" s="966" t="s">
        <v>674</v>
      </c>
      <c r="K74" s="7"/>
      <c r="L74" s="810"/>
    </row>
    <row r="75">
      <c r="B75" s="967"/>
      <c r="C75" s="952" t="s">
        <v>675</v>
      </c>
      <c r="D75" s="912"/>
      <c r="E75" s="968">
        <f>SUM(E66-(E69+E70+E71+E72+E73))</f>
        <v>-0.003216</v>
      </c>
      <c r="F75" s="969"/>
      <c r="G75" s="970">
        <v>0.0</v>
      </c>
      <c r="H75" s="971" t="s">
        <v>573</v>
      </c>
      <c r="I75" s="972">
        <f>I71/2</f>
        <v>0.44</v>
      </c>
      <c r="J75" s="973"/>
      <c r="K75" s="7"/>
      <c r="L75" s="810"/>
    </row>
    <row r="76">
      <c r="B76" s="967"/>
      <c r="C76" s="942"/>
      <c r="D76" s="918"/>
      <c r="E76" s="974">
        <f>SUM(E69:E73)</f>
        <v>854.78</v>
      </c>
      <c r="F76" s="975"/>
      <c r="G76" s="976">
        <v>0.0</v>
      </c>
      <c r="H76" s="977" t="s">
        <v>587</v>
      </c>
      <c r="I76" s="918"/>
      <c r="J76" s="978"/>
      <c r="K76" s="7"/>
      <c r="L76" s="810"/>
    </row>
    <row r="77">
      <c r="B77" s="967"/>
      <c r="C77" s="942"/>
      <c r="D77" s="943"/>
      <c r="E77" s="979" t="s">
        <v>573</v>
      </c>
      <c r="F77" s="980">
        <f>E69</f>
        <v>0.88</v>
      </c>
      <c r="G77" s="970">
        <v>0.0</v>
      </c>
      <c r="H77" s="981" t="s">
        <v>671</v>
      </c>
      <c r="I77" s="612" t="s">
        <v>676</v>
      </c>
      <c r="J77" s="610"/>
      <c r="K77" s="7"/>
      <c r="L77" s="810"/>
    </row>
    <row r="78">
      <c r="B78" s="967"/>
      <c r="C78" s="942"/>
      <c r="D78" s="843"/>
      <c r="E78" s="982" t="s">
        <v>677</v>
      </c>
      <c r="F78" s="983">
        <f>F77</f>
        <v>0.88</v>
      </c>
      <c r="G78" s="970">
        <v>0.0</v>
      </c>
      <c r="H78" s="977" t="s">
        <v>558</v>
      </c>
      <c r="I78" s="918" t="s">
        <v>678</v>
      </c>
      <c r="J78" s="984">
        <v>45327.0</v>
      </c>
      <c r="K78" s="7"/>
      <c r="L78" s="810"/>
    </row>
    <row r="79">
      <c r="B79" s="967"/>
      <c r="C79" s="942"/>
      <c r="D79" s="843"/>
      <c r="E79" s="985"/>
      <c r="F79" s="986"/>
      <c r="G79" s="987">
        <f>SUM(G76:G78)</f>
        <v>0</v>
      </c>
      <c r="H79" s="988" t="s">
        <v>610</v>
      </c>
      <c r="I79" s="918"/>
      <c r="J79" s="984"/>
      <c r="K79" s="7"/>
      <c r="L79" s="810"/>
    </row>
    <row r="80">
      <c r="B80" s="768"/>
      <c r="C80" s="989"/>
      <c r="D80" s="943"/>
      <c r="E80" s="990" t="s">
        <v>679</v>
      </c>
      <c r="F80" s="991"/>
      <c r="G80" s="945" t="s">
        <v>680</v>
      </c>
      <c r="H80" s="594"/>
      <c r="I80" s="918" t="s">
        <v>681</v>
      </c>
      <c r="J80" s="984">
        <v>45558.0</v>
      </c>
      <c r="K80" s="7"/>
      <c r="L80" s="810"/>
    </row>
    <row r="81">
      <c r="B81" s="809"/>
      <c r="C81" s="992"/>
      <c r="D81" s="993" t="s">
        <v>587</v>
      </c>
      <c r="E81" s="994">
        <f>E71</f>
        <v>700</v>
      </c>
      <c r="F81" s="969"/>
      <c r="G81" s="949">
        <v>0.0</v>
      </c>
      <c r="H81" s="950" t="s">
        <v>573</v>
      </c>
      <c r="I81" s="918"/>
      <c r="J81" s="610"/>
      <c r="K81" s="7"/>
      <c r="L81" s="810"/>
    </row>
    <row r="82">
      <c r="B82" s="809"/>
      <c r="C82" s="992"/>
      <c r="D82" s="7"/>
      <c r="E82" s="995">
        <f>E70+E72+E74</f>
        <v>152</v>
      </c>
      <c r="F82" s="969"/>
      <c r="G82" s="951">
        <v>1000.0</v>
      </c>
      <c r="H82" s="950" t="s">
        <v>587</v>
      </c>
      <c r="I82" s="7"/>
      <c r="J82" s="996"/>
      <c r="K82" s="7"/>
      <c r="L82" s="810"/>
    </row>
    <row r="83">
      <c r="B83" s="809"/>
      <c r="C83" s="992"/>
      <c r="D83" s="997" t="s">
        <v>682</v>
      </c>
      <c r="E83" s="995">
        <f>SUM(E81+E82)</f>
        <v>852</v>
      </c>
      <c r="F83" s="998"/>
      <c r="G83" s="949">
        <v>0.0</v>
      </c>
      <c r="H83" s="950" t="s">
        <v>558</v>
      </c>
      <c r="I83" s="7"/>
      <c r="J83" s="996"/>
      <c r="K83" s="7"/>
      <c r="L83" s="810"/>
    </row>
    <row r="84">
      <c r="B84" s="809"/>
      <c r="C84" s="992"/>
      <c r="D84" s="7"/>
      <c r="E84" s="7"/>
      <c r="F84" s="998"/>
      <c r="G84" s="949">
        <v>0.0</v>
      </c>
      <c r="H84" s="999" t="s">
        <v>671</v>
      </c>
      <c r="I84" s="7"/>
      <c r="J84" s="996"/>
      <c r="K84" s="7"/>
      <c r="L84" s="810"/>
    </row>
    <row r="85">
      <c r="B85" s="809"/>
      <c r="C85" s="992"/>
      <c r="D85" s="7"/>
      <c r="E85" s="7"/>
      <c r="F85" s="998"/>
      <c r="G85" s="949">
        <f>SUM(G80:G84)</f>
        <v>1000</v>
      </c>
      <c r="H85" s="950" t="s">
        <v>610</v>
      </c>
      <c r="I85" s="7"/>
      <c r="J85" s="996"/>
      <c r="K85" s="7"/>
      <c r="L85" s="810"/>
    </row>
    <row r="86">
      <c r="B86" s="809"/>
      <c r="C86" s="1000"/>
      <c r="D86" s="1001"/>
      <c r="E86" s="1001"/>
      <c r="F86" s="1001"/>
      <c r="G86" s="1002"/>
      <c r="H86" s="1002"/>
      <c r="I86" s="1001"/>
      <c r="J86" s="1003"/>
      <c r="K86" s="7"/>
      <c r="L86" s="810"/>
    </row>
    <row r="87">
      <c r="B87" s="1004"/>
      <c r="C87" s="1005"/>
      <c r="D87" s="1006"/>
      <c r="E87" s="1006"/>
      <c r="F87" s="1006"/>
      <c r="G87" s="1007"/>
      <c r="H87" s="1006"/>
      <c r="I87" s="1006"/>
      <c r="J87" s="1008"/>
      <c r="K87" s="1006"/>
      <c r="L87" s="1009"/>
    </row>
    <row r="91">
      <c r="B91" s="721" t="s">
        <v>683</v>
      </c>
      <c r="C91" s="722"/>
      <c r="D91" s="722"/>
      <c r="E91" s="722"/>
      <c r="F91" s="722"/>
      <c r="G91" s="722"/>
      <c r="H91" s="722"/>
      <c r="I91" s="722"/>
      <c r="J91" s="722"/>
      <c r="K91" s="722"/>
      <c r="L91" s="723"/>
    </row>
    <row r="92">
      <c r="B92" s="724"/>
      <c r="C92" s="725" t="s">
        <v>607</v>
      </c>
      <c r="D92" s="726" t="s">
        <v>608</v>
      </c>
      <c r="E92" s="727"/>
      <c r="F92" s="727"/>
      <c r="G92" s="727"/>
      <c r="H92" s="728"/>
      <c r="I92" s="729">
        <f>YEAR((TODAY()))</f>
        <v>2026</v>
      </c>
      <c r="J92" s="730"/>
      <c r="K92" s="731"/>
      <c r="L92" s="732"/>
    </row>
    <row r="93">
      <c r="B93" s="733"/>
      <c r="C93" s="734">
        <f>TODAY()</f>
        <v>46144</v>
      </c>
      <c r="D93" s="735" t="s">
        <v>609</v>
      </c>
      <c r="E93" s="736" t="s">
        <v>610</v>
      </c>
      <c r="F93" s="737"/>
      <c r="G93" s="737"/>
      <c r="H93" s="738"/>
      <c r="I93" s="730"/>
      <c r="J93" s="730"/>
      <c r="K93" s="730"/>
      <c r="L93" s="732"/>
    </row>
    <row r="94">
      <c r="B94" s="724"/>
      <c r="C94" s="739" t="s">
        <v>611</v>
      </c>
      <c r="D94" s="740"/>
      <c r="E94" s="741" t="s">
        <v>612</v>
      </c>
      <c r="F94" s="742" t="s">
        <v>613</v>
      </c>
      <c r="G94" s="743" t="s">
        <v>614</v>
      </c>
      <c r="H94" s="744" t="s">
        <v>615</v>
      </c>
      <c r="I94" s="745" t="s">
        <v>616</v>
      </c>
      <c r="J94" s="746" t="s">
        <v>617</v>
      </c>
      <c r="K94" s="747" t="s">
        <v>618</v>
      </c>
      <c r="L94" s="748" t="s">
        <v>619</v>
      </c>
    </row>
    <row r="95">
      <c r="B95" s="749"/>
      <c r="C95" s="750" t="s">
        <v>620</v>
      </c>
      <c r="D95" s="743">
        <v>1500.0</v>
      </c>
      <c r="E95" s="751">
        <f>SUM((D95/2)-F95)</f>
        <v>750</v>
      </c>
      <c r="F95" s="752">
        <v>0.0</v>
      </c>
      <c r="G95" s="753">
        <f>SUM(((D95/2)-H95))</f>
        <v>750</v>
      </c>
      <c r="H95" s="754">
        <v>0.0</v>
      </c>
      <c r="I95" s="755"/>
      <c r="J95" s="756"/>
      <c r="K95" s="757"/>
      <c r="L95" s="758"/>
    </row>
    <row r="96">
      <c r="B96" s="749"/>
      <c r="C96" s="759" t="s">
        <v>621</v>
      </c>
      <c r="D96" s="760">
        <v>1280.5</v>
      </c>
      <c r="E96" s="761"/>
      <c r="F96" s="1010"/>
      <c r="G96" s="762">
        <f>D96</f>
        <v>1280.5</v>
      </c>
      <c r="H96" s="763">
        <v>0.0</v>
      </c>
      <c r="I96" s="764"/>
      <c r="J96" s="765"/>
      <c r="K96" s="766"/>
      <c r="L96" s="767"/>
    </row>
    <row r="97">
      <c r="B97" s="768"/>
      <c r="C97" s="769" t="s">
        <v>622</v>
      </c>
      <c r="D97" s="753">
        <v>1518.0</v>
      </c>
      <c r="E97" s="770">
        <f>SUM((((D97/100)*40)-F97))</f>
        <v>0</v>
      </c>
      <c r="F97" s="753">
        <v>607.2</v>
      </c>
      <c r="G97" s="753">
        <f>SUM(((D97/100)*60)-H97)+J97-L97-I97</f>
        <v>252.86625</v>
      </c>
      <c r="H97" s="771">
        <v>789.81</v>
      </c>
      <c r="I97" s="772">
        <v>0.0</v>
      </c>
      <c r="J97" s="756">
        <f>SUM(D97/100)*17.5</f>
        <v>265.65</v>
      </c>
      <c r="K97" s="757"/>
      <c r="L97" s="758">
        <f>SUM((D97+J97)/100)*7.5</f>
        <v>133.77375</v>
      </c>
    </row>
    <row r="98">
      <c r="B98" s="768"/>
      <c r="C98" s="773" t="s">
        <v>623</v>
      </c>
      <c r="D98" s="760">
        <v>1518.0</v>
      </c>
      <c r="E98" s="774">
        <f>SUM(((((D98/100)*40))-F98))</f>
        <v>607.2</v>
      </c>
      <c r="F98" s="775">
        <v>0.0</v>
      </c>
      <c r="G98" s="762">
        <f>SUM(((D98/100)*60)-H98)+J98-K98-L98+I98</f>
        <v>1099.066</v>
      </c>
      <c r="H98" s="776">
        <v>0.0</v>
      </c>
      <c r="I98" s="764">
        <v>116.92</v>
      </c>
      <c r="J98" s="765">
        <f>SUM(D98/100)*20</f>
        <v>303.6</v>
      </c>
      <c r="K98" s="766">
        <f>SUM(D98/100)*6</f>
        <v>91.08</v>
      </c>
      <c r="L98" s="767">
        <f>SUM((D98+J98)/100)*7.75</f>
        <v>141.174</v>
      </c>
    </row>
    <row r="99">
      <c r="B99" s="768"/>
      <c r="C99" s="778" t="s">
        <v>624</v>
      </c>
      <c r="D99" s="779">
        <v>1500.0</v>
      </c>
      <c r="E99" s="780">
        <f>SUM((D99/2)-F99)</f>
        <v>750</v>
      </c>
      <c r="F99" s="779">
        <v>0.0</v>
      </c>
      <c r="G99" s="781">
        <f>SUM(((D99/2)-H99))-I99</f>
        <v>750</v>
      </c>
      <c r="H99" s="782">
        <v>0.0</v>
      </c>
      <c r="I99" s="772">
        <v>0.0</v>
      </c>
      <c r="J99" s="756"/>
      <c r="K99" s="757"/>
      <c r="L99" s="758"/>
    </row>
    <row r="100">
      <c r="B100" s="768"/>
      <c r="C100" s="783"/>
      <c r="D100" s="784"/>
      <c r="E100" s="785"/>
      <c r="F100" s="785"/>
      <c r="G100" s="762"/>
      <c r="H100" s="786"/>
      <c r="I100" s="777"/>
      <c r="J100" s="765"/>
      <c r="K100" s="766"/>
      <c r="L100" s="767"/>
    </row>
    <row r="101">
      <c r="B101" s="768"/>
      <c r="C101" s="787"/>
      <c r="D101" s="779"/>
      <c r="E101" s="779"/>
      <c r="F101" s="779"/>
      <c r="G101" s="781"/>
      <c r="H101" s="782"/>
      <c r="I101" s="755"/>
      <c r="J101" s="788"/>
      <c r="K101" s="757"/>
      <c r="L101" s="758"/>
    </row>
    <row r="102">
      <c r="B102" s="768"/>
      <c r="C102" s="789"/>
      <c r="D102" s="790"/>
      <c r="E102" s="790"/>
      <c r="F102" s="790"/>
      <c r="G102" s="790"/>
      <c r="H102" s="791"/>
      <c r="I102" s="792"/>
      <c r="J102" s="793"/>
      <c r="K102" s="794"/>
      <c r="L102" s="795"/>
    </row>
    <row r="103">
      <c r="B103" s="724"/>
      <c r="C103" s="796" t="s">
        <v>610</v>
      </c>
      <c r="D103" s="797"/>
      <c r="E103" s="798">
        <f>SUM(E95:E102)</f>
        <v>2107.2</v>
      </c>
      <c r="F103" s="797"/>
      <c r="G103" s="799">
        <f>SUM(G95:G102)</f>
        <v>4132.43225</v>
      </c>
      <c r="H103" s="1011">
        <f>SUM(G96:G98)</f>
        <v>2632.43225</v>
      </c>
      <c r="I103" s="801"/>
      <c r="J103" s="802"/>
      <c r="K103" s="730"/>
      <c r="L103" s="732"/>
    </row>
    <row r="104">
      <c r="B104" s="724"/>
      <c r="C104" s="803"/>
      <c r="D104" s="804"/>
      <c r="E104" s="804"/>
      <c r="F104" s="804"/>
      <c r="G104" s="804"/>
      <c r="H104" s="804"/>
      <c r="I104" s="805"/>
      <c r="J104" s="806"/>
      <c r="K104" s="807"/>
      <c r="L104" s="808"/>
    </row>
    <row r="105">
      <c r="B105" s="809"/>
      <c r="C105" s="7"/>
      <c r="D105" s="7"/>
      <c r="E105" s="7"/>
      <c r="F105" s="7"/>
      <c r="G105" s="7"/>
      <c r="H105" s="7"/>
      <c r="I105" s="7"/>
      <c r="J105" s="7"/>
      <c r="K105" s="7"/>
      <c r="L105" s="810"/>
    </row>
    <row r="106">
      <c r="B106" s="811">
        <v>45346.0</v>
      </c>
      <c r="C106" s="812"/>
      <c r="D106" s="812"/>
      <c r="E106" s="812"/>
      <c r="F106" s="812"/>
      <c r="G106" s="812"/>
      <c r="H106" s="812"/>
      <c r="I106" s="812"/>
      <c r="J106" s="812"/>
      <c r="K106" s="812"/>
      <c r="L106" s="813"/>
    </row>
    <row r="107">
      <c r="B107" s="814"/>
      <c r="C107" s="815"/>
      <c r="D107" s="815"/>
      <c r="E107" s="815"/>
      <c r="F107" s="815"/>
      <c r="G107" s="815"/>
      <c r="H107" s="815"/>
      <c r="I107" s="815"/>
      <c r="J107" s="815"/>
      <c r="K107" s="815"/>
      <c r="L107" s="816"/>
    </row>
    <row r="108">
      <c r="B108" s="817" t="s">
        <v>571</v>
      </c>
      <c r="C108" s="812"/>
      <c r="D108" s="812"/>
      <c r="E108" s="812"/>
      <c r="F108" s="818"/>
      <c r="G108" s="867" t="s">
        <v>684</v>
      </c>
      <c r="H108" s="1012" t="s">
        <v>685</v>
      </c>
      <c r="I108" s="593"/>
      <c r="J108" s="593"/>
      <c r="K108" s="593"/>
      <c r="L108" s="821"/>
    </row>
    <row r="109">
      <c r="B109" s="822" t="s">
        <v>625</v>
      </c>
      <c r="C109" s="823" t="s">
        <v>626</v>
      </c>
      <c r="D109" s="824"/>
      <c r="E109" s="825" t="s">
        <v>627</v>
      </c>
      <c r="F109" s="826" t="s">
        <v>628</v>
      </c>
      <c r="G109" s="1013">
        <v>1280.5</v>
      </c>
      <c r="H109" s="621" t="s">
        <v>580</v>
      </c>
      <c r="I109" s="827" t="s">
        <v>582</v>
      </c>
      <c r="J109" s="827" t="s">
        <v>686</v>
      </c>
      <c r="K109" s="621" t="s">
        <v>583</v>
      </c>
      <c r="L109" s="828" t="s">
        <v>584</v>
      </c>
    </row>
    <row r="110">
      <c r="B110" s="829">
        <v>2400.0</v>
      </c>
      <c r="C110" s="830" t="s">
        <v>558</v>
      </c>
      <c r="D110" s="831">
        <f>SUM(B110-K110)+B118</f>
        <v>2530</v>
      </c>
      <c r="E110" s="831">
        <f>SUMIF(H119:H140,"IFOOD",G119:G140)</f>
        <v>2030.5</v>
      </c>
      <c r="F110" s="832">
        <f t="shared" ref="F110:F115" si="10">D110-E110</f>
        <v>499.5</v>
      </c>
      <c r="G110" s="1014" t="s">
        <v>687</v>
      </c>
      <c r="H110" s="623" t="s">
        <v>558</v>
      </c>
      <c r="I110" s="624">
        <v>0.0</v>
      </c>
      <c r="J110" s="625">
        <v>0.0</v>
      </c>
      <c r="K110" s="625">
        <f t="shared" ref="K110:K115" si="11">I110</f>
        <v>0</v>
      </c>
      <c r="L110" s="834">
        <f t="shared" ref="L110:L115" si="12">SUM(J110+K110)</f>
        <v>0</v>
      </c>
    </row>
    <row r="111">
      <c r="B111" s="835">
        <v>1379.0</v>
      </c>
      <c r="C111" s="836" t="s">
        <v>573</v>
      </c>
      <c r="D111" s="625">
        <f>SUM(B111-K114)</f>
        <v>1379</v>
      </c>
      <c r="E111" s="837">
        <f>SUMIF(H119:H141,"Caixa",G119:G141)</f>
        <v>1351.93225</v>
      </c>
      <c r="F111" s="838">
        <f t="shared" si="10"/>
        <v>27.06775</v>
      </c>
      <c r="G111" s="1013">
        <v>3824.2</v>
      </c>
      <c r="H111" s="839" t="s">
        <v>630</v>
      </c>
      <c r="I111" s="628">
        <v>0.0</v>
      </c>
      <c r="J111" s="629">
        <v>0.0</v>
      </c>
      <c r="K111" s="629">
        <f t="shared" si="11"/>
        <v>0</v>
      </c>
      <c r="L111" s="1015">
        <f t="shared" si="12"/>
        <v>0</v>
      </c>
    </row>
    <row r="112">
      <c r="B112" s="829">
        <v>3782.0</v>
      </c>
      <c r="C112" s="830" t="s">
        <v>574</v>
      </c>
      <c r="D112" s="831">
        <f>B112</f>
        <v>3782</v>
      </c>
      <c r="E112" s="831">
        <f>SUMIF(H119:H142,"Cash",G119:G142)</f>
        <v>2050</v>
      </c>
      <c r="F112" s="832">
        <f t="shared" si="10"/>
        <v>1732</v>
      </c>
      <c r="G112" s="1014" t="s">
        <v>688</v>
      </c>
      <c r="H112" s="623" t="s">
        <v>587</v>
      </c>
      <c r="I112" s="624">
        <v>318.0</v>
      </c>
      <c r="J112" s="624">
        <v>0.0</v>
      </c>
      <c r="K112" s="625">
        <f t="shared" si="11"/>
        <v>318</v>
      </c>
      <c r="L112" s="834">
        <f t="shared" si="12"/>
        <v>318</v>
      </c>
    </row>
    <row r="113">
      <c r="B113" s="835">
        <v>122.0</v>
      </c>
      <c r="C113" s="841" t="s">
        <v>630</v>
      </c>
      <c r="D113" s="625">
        <f>SUM(B113-K111)</f>
        <v>122</v>
      </c>
      <c r="E113" s="837">
        <f>SUMIF(H119:H143,"Infinity 1",G119:G143)</f>
        <v>0</v>
      </c>
      <c r="F113" s="838">
        <f t="shared" si="10"/>
        <v>122</v>
      </c>
      <c r="G113" s="1013">
        <v>1224.58</v>
      </c>
      <c r="H113" s="634" t="s">
        <v>576</v>
      </c>
      <c r="I113" s="635">
        <v>0.0</v>
      </c>
      <c r="J113" s="636">
        <v>0.0</v>
      </c>
      <c r="K113" s="636">
        <f t="shared" si="11"/>
        <v>0</v>
      </c>
      <c r="L113" s="842">
        <f t="shared" si="12"/>
        <v>0</v>
      </c>
    </row>
    <row r="114">
      <c r="B114" s="829">
        <v>170.0</v>
      </c>
      <c r="C114" s="830" t="s">
        <v>576</v>
      </c>
      <c r="D114" s="831">
        <f>SUM(B114-K113)</f>
        <v>170</v>
      </c>
      <c r="E114" s="831">
        <f>SUMIF(H121:H144,"Stone",G121:G144)</f>
        <v>0</v>
      </c>
      <c r="F114" s="832">
        <f t="shared" si="10"/>
        <v>170</v>
      </c>
      <c r="G114" s="843"/>
      <c r="H114" s="641" t="s">
        <v>573</v>
      </c>
      <c r="I114" s="638">
        <v>0.0</v>
      </c>
      <c r="J114" s="844">
        <v>0.0</v>
      </c>
      <c r="K114" s="844">
        <f t="shared" si="11"/>
        <v>0</v>
      </c>
      <c r="L114" s="845">
        <f t="shared" si="12"/>
        <v>0</v>
      </c>
    </row>
    <row r="115">
      <c r="B115" s="846">
        <v>863.0</v>
      </c>
      <c r="C115" s="847" t="s">
        <v>631</v>
      </c>
      <c r="D115" s="848">
        <f>SUM(B115-K115)</f>
        <v>863</v>
      </c>
      <c r="E115" s="848">
        <f>SUMIF(H121:H145,"Infinity 2",G121:G145)</f>
        <v>0</v>
      </c>
      <c r="F115" s="849">
        <f t="shared" si="10"/>
        <v>863</v>
      </c>
      <c r="G115" s="117"/>
      <c r="H115" s="850" t="s">
        <v>631</v>
      </c>
      <c r="I115" s="851">
        <v>0.0</v>
      </c>
      <c r="J115" s="851">
        <v>0.0</v>
      </c>
      <c r="K115" s="852">
        <f t="shared" si="11"/>
        <v>0</v>
      </c>
      <c r="L115" s="853">
        <f t="shared" si="12"/>
        <v>0</v>
      </c>
    </row>
    <row r="116">
      <c r="B116" s="854"/>
      <c r="C116" s="855" t="s">
        <v>578</v>
      </c>
      <c r="D116" s="856">
        <f t="shared" ref="D116:F116" si="13">SUM(D110:D115)</f>
        <v>8846</v>
      </c>
      <c r="E116" s="857">
        <f t="shared" si="13"/>
        <v>5432.43225</v>
      </c>
      <c r="F116" s="858">
        <f t="shared" si="13"/>
        <v>3413.56775</v>
      </c>
      <c r="G116" s="117"/>
      <c r="H116" s="859" t="s">
        <v>589</v>
      </c>
      <c r="I116" s="860" t="s">
        <v>590</v>
      </c>
      <c r="J116" s="861" t="s">
        <v>134</v>
      </c>
      <c r="K116" s="862">
        <f t="shared" ref="K116:L116" si="14">SUM(K110:K114)</f>
        <v>318</v>
      </c>
      <c r="L116" s="863">
        <f t="shared" si="14"/>
        <v>318</v>
      </c>
    </row>
    <row r="117">
      <c r="B117" s="1016" t="s">
        <v>689</v>
      </c>
      <c r="C117" s="9"/>
      <c r="D117" s="9"/>
      <c r="E117" s="9"/>
      <c r="F117" s="9"/>
      <c r="G117" s="117"/>
      <c r="H117" s="864">
        <v>0.0</v>
      </c>
      <c r="I117" s="865">
        <v>0.0</v>
      </c>
      <c r="J117" s="866"/>
      <c r="K117" s="7"/>
      <c r="L117" s="810"/>
    </row>
    <row r="118">
      <c r="B118" s="1016">
        <v>130.0</v>
      </c>
      <c r="C118" s="869" t="s">
        <v>634</v>
      </c>
      <c r="D118" s="870" t="s">
        <v>600</v>
      </c>
      <c r="E118" s="870" t="s">
        <v>5</v>
      </c>
      <c r="F118" s="870" t="s">
        <v>4</v>
      </c>
      <c r="G118" s="870" t="s">
        <v>16</v>
      </c>
      <c r="H118" s="871" t="s">
        <v>635</v>
      </c>
      <c r="I118" s="872"/>
      <c r="L118" s="873"/>
    </row>
    <row r="119">
      <c r="B119" s="809"/>
      <c r="C119" s="874" t="s">
        <v>636</v>
      </c>
      <c r="D119" s="659">
        <v>1300.0</v>
      </c>
      <c r="E119" s="1017">
        <v>45721.0</v>
      </c>
      <c r="F119" s="1018"/>
      <c r="G119" s="892">
        <f t="shared" ref="G119:G137" si="15">IF(F119="",D119,"")</f>
        <v>1300</v>
      </c>
      <c r="H119" s="1019" t="s">
        <v>574</v>
      </c>
      <c r="I119" s="878"/>
      <c r="J119" s="878"/>
      <c r="K119" s="878"/>
      <c r="L119" s="879"/>
    </row>
    <row r="120">
      <c r="B120" s="809"/>
      <c r="C120" s="874"/>
      <c r="D120" s="892"/>
      <c r="E120" s="1020"/>
      <c r="F120" s="1018"/>
      <c r="G120" s="892" t="str">
        <f t="shared" si="15"/>
        <v/>
      </c>
      <c r="H120" s="1021"/>
      <c r="I120" s="883"/>
      <c r="J120" s="884"/>
      <c r="K120" s="885"/>
      <c r="L120" s="879"/>
    </row>
    <row r="121">
      <c r="B121" s="809"/>
      <c r="C121" s="874" t="s">
        <v>690</v>
      </c>
      <c r="D121" s="892">
        <f>(G103)-D124-D141-D126-D134</f>
        <v>1280.5</v>
      </c>
      <c r="E121" s="1017">
        <v>45721.0</v>
      </c>
      <c r="F121" s="1022"/>
      <c r="G121" s="1023">
        <f t="shared" si="15"/>
        <v>1280.5</v>
      </c>
      <c r="H121" s="1024" t="s">
        <v>558</v>
      </c>
      <c r="I121" s="883"/>
      <c r="J121" s="884"/>
      <c r="K121" s="885"/>
      <c r="L121" s="879"/>
    </row>
    <row r="122">
      <c r="B122" s="809"/>
      <c r="C122" s="874" t="s">
        <v>638</v>
      </c>
      <c r="D122" s="892">
        <f>E103</f>
        <v>2107.2</v>
      </c>
      <c r="E122" s="1017">
        <v>45708.0</v>
      </c>
      <c r="F122" s="1018" t="s">
        <v>639</v>
      </c>
      <c r="G122" s="892" t="str">
        <f t="shared" si="15"/>
        <v/>
      </c>
      <c r="H122" s="1021"/>
      <c r="I122" s="883"/>
      <c r="J122" s="884"/>
      <c r="K122" s="885"/>
      <c r="L122" s="879"/>
    </row>
    <row r="123">
      <c r="B123" s="809"/>
      <c r="C123" s="874" t="s">
        <v>640</v>
      </c>
      <c r="D123" s="892">
        <v>430.0</v>
      </c>
      <c r="E123" s="1017">
        <v>45698.0</v>
      </c>
      <c r="F123" s="1018" t="s">
        <v>639</v>
      </c>
      <c r="G123" s="1018" t="str">
        <f t="shared" si="15"/>
        <v/>
      </c>
      <c r="H123" s="1021"/>
      <c r="I123" s="884"/>
      <c r="K123" s="885"/>
      <c r="L123" s="879"/>
    </row>
    <row r="124">
      <c r="B124" s="809"/>
      <c r="C124" s="874" t="s">
        <v>641</v>
      </c>
      <c r="D124" s="892">
        <f>G95</f>
        <v>750</v>
      </c>
      <c r="E124" s="1017">
        <v>45721.0</v>
      </c>
      <c r="F124" s="1018"/>
      <c r="G124" s="1023">
        <f t="shared" si="15"/>
        <v>750</v>
      </c>
      <c r="H124" s="1024" t="s">
        <v>558</v>
      </c>
      <c r="I124" s="890"/>
      <c r="J124" s="9"/>
      <c r="K124" s="891"/>
      <c r="L124" s="879"/>
    </row>
    <row r="125">
      <c r="B125" s="809"/>
      <c r="C125" s="874" t="s">
        <v>691</v>
      </c>
      <c r="D125" s="892">
        <v>105.0</v>
      </c>
      <c r="E125" s="1017">
        <v>45713.0</v>
      </c>
      <c r="F125" s="1018" t="s">
        <v>639</v>
      </c>
      <c r="G125" s="892" t="str">
        <f t="shared" si="15"/>
        <v/>
      </c>
      <c r="H125" s="1021"/>
      <c r="I125" s="890"/>
      <c r="J125" s="893"/>
      <c r="K125" s="891"/>
      <c r="L125" s="879"/>
    </row>
    <row r="126">
      <c r="B126" s="809"/>
      <c r="C126" s="886" t="s">
        <v>643</v>
      </c>
      <c r="D126" s="892">
        <f>G97</f>
        <v>252.86625</v>
      </c>
      <c r="E126" s="1017">
        <v>45721.0</v>
      </c>
      <c r="F126" s="1022"/>
      <c r="G126" s="1023">
        <f t="shared" si="15"/>
        <v>252.86625</v>
      </c>
      <c r="H126" s="1024" t="s">
        <v>573</v>
      </c>
      <c r="I126" s="890"/>
      <c r="J126" s="893"/>
      <c r="K126" s="891"/>
      <c r="L126" s="879"/>
    </row>
    <row r="127">
      <c r="B127" s="809"/>
      <c r="C127" s="874" t="s">
        <v>644</v>
      </c>
      <c r="D127" s="892"/>
      <c r="E127" s="1020"/>
      <c r="F127" s="1018"/>
      <c r="G127" s="892" t="str">
        <f t="shared" si="15"/>
        <v/>
      </c>
      <c r="H127" s="1021"/>
      <c r="I127" s="890"/>
      <c r="J127" s="9"/>
      <c r="K127" s="891"/>
      <c r="L127" s="879"/>
    </row>
    <row r="128">
      <c r="B128" s="809"/>
      <c r="C128" s="874" t="s">
        <v>645</v>
      </c>
      <c r="D128" s="892">
        <v>120.0</v>
      </c>
      <c r="E128" s="1017">
        <v>45693.0</v>
      </c>
      <c r="F128" s="1018" t="s">
        <v>639</v>
      </c>
      <c r="G128" s="892" t="str">
        <f t="shared" si="15"/>
        <v/>
      </c>
      <c r="H128" s="1021"/>
      <c r="I128" s="890"/>
      <c r="J128" s="9"/>
      <c r="K128" s="891"/>
      <c r="L128" s="879"/>
    </row>
    <row r="129">
      <c r="B129" s="809"/>
      <c r="C129" s="874" t="s">
        <v>646</v>
      </c>
      <c r="D129" s="892" t="s">
        <v>134</v>
      </c>
      <c r="E129" s="1017">
        <v>45693.0</v>
      </c>
      <c r="F129" s="1018" t="s">
        <v>639</v>
      </c>
      <c r="G129" s="1018" t="str">
        <f t="shared" si="15"/>
        <v/>
      </c>
      <c r="H129" s="1021"/>
      <c r="I129" s="890"/>
      <c r="J129" s="9"/>
      <c r="K129" s="891"/>
      <c r="L129" s="879"/>
    </row>
    <row r="130">
      <c r="B130" s="809"/>
      <c r="C130" s="874" t="s">
        <v>647</v>
      </c>
      <c r="D130" s="892"/>
      <c r="E130" s="1020"/>
      <c r="F130" s="1018"/>
      <c r="G130" s="892" t="str">
        <f t="shared" si="15"/>
        <v/>
      </c>
      <c r="H130" s="1021"/>
      <c r="I130" s="890"/>
      <c r="J130" s="9"/>
      <c r="K130" s="891"/>
      <c r="L130" s="879"/>
    </row>
    <row r="131">
      <c r="B131" s="809"/>
      <c r="C131" s="874" t="s">
        <v>648</v>
      </c>
      <c r="D131" s="892">
        <v>697.42</v>
      </c>
      <c r="E131" s="1017">
        <v>45693.0</v>
      </c>
      <c r="F131" s="1018" t="s">
        <v>639</v>
      </c>
      <c r="G131" s="892" t="str">
        <f t="shared" si="15"/>
        <v/>
      </c>
      <c r="H131" s="1021"/>
      <c r="I131" s="890"/>
      <c r="J131" s="9"/>
      <c r="K131" s="891"/>
      <c r="L131" s="879"/>
    </row>
    <row r="132">
      <c r="B132" s="809"/>
      <c r="C132" s="874" t="s">
        <v>649</v>
      </c>
      <c r="D132" s="892">
        <v>435.9</v>
      </c>
      <c r="E132" s="1017">
        <v>45693.0</v>
      </c>
      <c r="F132" s="1018" t="s">
        <v>639</v>
      </c>
      <c r="G132" s="892" t="str">
        <f t="shared" si="15"/>
        <v/>
      </c>
      <c r="H132" s="1021"/>
      <c r="I132" s="890"/>
      <c r="J132" s="9"/>
      <c r="K132" s="891"/>
      <c r="L132" s="879"/>
    </row>
    <row r="133">
      <c r="B133" s="809"/>
      <c r="C133" s="874" t="s">
        <v>650</v>
      </c>
      <c r="D133" s="892">
        <v>323.92</v>
      </c>
      <c r="E133" s="1017">
        <v>45693.0</v>
      </c>
      <c r="F133" s="1018" t="s">
        <v>639</v>
      </c>
      <c r="G133" s="892" t="str">
        <f t="shared" si="15"/>
        <v/>
      </c>
      <c r="H133" s="1021"/>
      <c r="I133" s="890"/>
      <c r="J133" s="9"/>
      <c r="K133" s="891"/>
      <c r="L133" s="879"/>
    </row>
    <row r="134">
      <c r="B134" s="809"/>
      <c r="C134" s="886" t="s">
        <v>692</v>
      </c>
      <c r="D134" s="892">
        <f>G98</f>
        <v>1099.066</v>
      </c>
      <c r="E134" s="1017">
        <v>45721.0</v>
      </c>
      <c r="F134" s="1018"/>
      <c r="G134" s="1023">
        <f t="shared" si="15"/>
        <v>1099.066</v>
      </c>
      <c r="H134" s="1024" t="s">
        <v>573</v>
      </c>
      <c r="I134" s="890"/>
      <c r="J134" s="9"/>
      <c r="K134" s="891"/>
      <c r="L134" s="879"/>
    </row>
    <row r="135">
      <c r="B135" s="809"/>
      <c r="C135" s="874" t="s">
        <v>652</v>
      </c>
      <c r="D135" s="892"/>
      <c r="E135" s="1020"/>
      <c r="F135" s="1018"/>
      <c r="G135" s="892" t="str">
        <f t="shared" si="15"/>
        <v/>
      </c>
      <c r="H135" s="1021"/>
      <c r="I135" s="890"/>
      <c r="J135" s="9"/>
      <c r="K135" s="891"/>
      <c r="L135" s="879"/>
    </row>
    <row r="136">
      <c r="B136" s="809"/>
      <c r="C136" s="874" t="s">
        <v>653</v>
      </c>
      <c r="D136" s="892"/>
      <c r="E136" s="1020"/>
      <c r="F136" s="1018"/>
      <c r="G136" s="892" t="str">
        <f t="shared" si="15"/>
        <v/>
      </c>
      <c r="H136" s="1021"/>
      <c r="I136" s="890"/>
      <c r="J136" s="9"/>
      <c r="K136" s="891"/>
      <c r="L136" s="879"/>
    </row>
    <row r="137">
      <c r="B137" s="809"/>
      <c r="C137" s="874" t="s">
        <v>654</v>
      </c>
      <c r="D137" s="892"/>
      <c r="E137" s="1020"/>
      <c r="F137" s="1018"/>
      <c r="G137" s="892" t="str">
        <f t="shared" si="15"/>
        <v/>
      </c>
      <c r="H137" s="1021"/>
      <c r="I137" s="890"/>
      <c r="J137" s="9"/>
      <c r="K137" s="891"/>
      <c r="L137" s="879"/>
    </row>
    <row r="138">
      <c r="B138" s="809"/>
      <c r="C138" s="874"/>
      <c r="D138" s="892"/>
      <c r="E138" s="1020"/>
      <c r="F138" s="1018"/>
      <c r="G138" s="892"/>
      <c r="H138" s="1021"/>
      <c r="I138" s="890"/>
      <c r="J138" s="9"/>
      <c r="K138" s="891"/>
      <c r="L138" s="879"/>
    </row>
    <row r="139">
      <c r="B139" s="809"/>
      <c r="C139" s="886" t="s">
        <v>693</v>
      </c>
      <c r="D139" s="659">
        <v>0.0</v>
      </c>
      <c r="E139" s="1017">
        <v>45723.0</v>
      </c>
      <c r="F139" s="1018"/>
      <c r="G139" s="892">
        <f t="shared" ref="G139:G142" si="16">IF(F139="",D139,"")</f>
        <v>0</v>
      </c>
      <c r="H139" s="1024"/>
      <c r="I139" s="890"/>
      <c r="J139" s="9"/>
      <c r="K139" s="891"/>
      <c r="L139" s="879"/>
    </row>
    <row r="140">
      <c r="B140" s="809"/>
      <c r="C140" s="874" t="s">
        <v>657</v>
      </c>
      <c r="D140" s="892">
        <v>750.0</v>
      </c>
      <c r="E140" s="1017">
        <v>45708.0</v>
      </c>
      <c r="F140" s="1018" t="s">
        <v>639</v>
      </c>
      <c r="G140" s="892" t="str">
        <f t="shared" si="16"/>
        <v/>
      </c>
      <c r="H140" s="1021"/>
      <c r="I140" s="890"/>
      <c r="J140" s="9"/>
      <c r="K140" s="891"/>
      <c r="L140" s="879"/>
    </row>
    <row r="141">
      <c r="B141" s="809"/>
      <c r="C141" s="894" t="s">
        <v>658</v>
      </c>
      <c r="D141" s="1025">
        <v>750.0</v>
      </c>
      <c r="E141" s="1017">
        <v>45721.0</v>
      </c>
      <c r="F141" s="1026"/>
      <c r="G141" s="892">
        <f t="shared" si="16"/>
        <v>750</v>
      </c>
      <c r="H141" s="1027" t="s">
        <v>574</v>
      </c>
      <c r="I141" s="890"/>
      <c r="J141" s="9"/>
      <c r="K141" s="891"/>
      <c r="L141" s="879"/>
    </row>
    <row r="142">
      <c r="B142" s="809"/>
      <c r="C142" s="1028" t="s">
        <v>694</v>
      </c>
      <c r="D142" s="1029">
        <v>0.0</v>
      </c>
      <c r="E142" s="1030">
        <v>45721.0</v>
      </c>
      <c r="F142" s="1031"/>
      <c r="G142" s="1032">
        <f t="shared" si="16"/>
        <v>0</v>
      </c>
      <c r="H142" s="1033"/>
      <c r="I142" s="890"/>
      <c r="J142" s="9"/>
      <c r="K142" s="891"/>
      <c r="L142" s="879"/>
    </row>
    <row r="143">
      <c r="B143" s="809"/>
      <c r="C143" s="904"/>
      <c r="D143" s="905"/>
      <c r="E143" s="906"/>
      <c r="F143" s="904"/>
      <c r="G143" s="904"/>
      <c r="H143" s="904"/>
      <c r="I143" s="906"/>
      <c r="J143" s="904"/>
      <c r="K143" s="240"/>
      <c r="L143" s="907"/>
    </row>
    <row r="144">
      <c r="B144" s="724"/>
      <c r="C144" s="908" t="s">
        <v>529</v>
      </c>
      <c r="D144" s="909"/>
      <c r="E144" s="909"/>
      <c r="F144" s="909"/>
      <c r="G144" s="909"/>
      <c r="H144" s="909"/>
      <c r="I144" s="909"/>
      <c r="J144" s="910"/>
      <c r="K144" s="891"/>
      <c r="L144" s="879"/>
    </row>
    <row r="145">
      <c r="B145" s="768"/>
      <c r="C145" s="911" t="s">
        <v>659</v>
      </c>
      <c r="D145" s="912"/>
      <c r="E145" s="913">
        <f>I152</f>
        <v>3413.56775</v>
      </c>
      <c r="F145" s="914"/>
      <c r="G145" s="915" t="s">
        <v>660</v>
      </c>
      <c r="H145" s="916"/>
      <c r="I145" s="913">
        <f>F112</f>
        <v>1732</v>
      </c>
      <c r="J145" s="917">
        <f>I145-G159-G165-G171-E160</f>
        <v>0</v>
      </c>
      <c r="K145" s="918"/>
      <c r="L145" s="919"/>
    </row>
    <row r="146">
      <c r="B146" s="768"/>
      <c r="C146" s="920"/>
      <c r="D146" s="921"/>
      <c r="E146" s="921"/>
      <c r="F146" s="914"/>
      <c r="G146" s="915" t="s">
        <v>558</v>
      </c>
      <c r="H146" s="916"/>
      <c r="I146" s="913">
        <f>F110</f>
        <v>499.5</v>
      </c>
      <c r="J146" s="917">
        <f>I146-E158-G161-G167-G172</f>
        <v>0</v>
      </c>
      <c r="K146" s="918"/>
      <c r="L146" s="919"/>
    </row>
    <row r="147">
      <c r="B147" s="768"/>
      <c r="C147" s="911" t="s">
        <v>661</v>
      </c>
      <c r="D147" s="912"/>
      <c r="E147" s="913">
        <f>SUM(E145/100*10)-341.36</f>
        <v>-0.003225</v>
      </c>
      <c r="F147" s="914"/>
      <c r="G147" s="922" t="s">
        <v>630</v>
      </c>
      <c r="H147" s="916"/>
      <c r="I147" s="913">
        <f>F113</f>
        <v>122</v>
      </c>
      <c r="J147" s="917">
        <f>I147-G160-G166-G173-E159</f>
        <v>0</v>
      </c>
      <c r="K147" s="918"/>
      <c r="L147" s="919"/>
    </row>
    <row r="148">
      <c r="B148" s="768"/>
      <c r="C148" s="911" t="s">
        <v>662</v>
      </c>
      <c r="D148" s="912"/>
      <c r="E148" s="913">
        <f>SUM(E145/100*10)-341.36</f>
        <v>-0.003225</v>
      </c>
      <c r="F148" s="914"/>
      <c r="G148" s="915" t="s">
        <v>573</v>
      </c>
      <c r="H148" s="916"/>
      <c r="I148" s="913">
        <f>F111</f>
        <v>27.06775</v>
      </c>
      <c r="J148" s="917">
        <f>I148-G158-G164-G170-E162</f>
        <v>-0.00225</v>
      </c>
      <c r="K148" s="117"/>
      <c r="L148" s="923"/>
    </row>
    <row r="149">
      <c r="B149" s="768"/>
      <c r="C149" s="920"/>
      <c r="D149" s="921"/>
      <c r="E149" s="921"/>
      <c r="F149" s="914"/>
      <c r="G149" s="916" t="s">
        <v>576</v>
      </c>
      <c r="H149" s="916"/>
      <c r="I149" s="924">
        <f t="shared" ref="I149:I150" si="17">F114</f>
        <v>170</v>
      </c>
      <c r="J149" s="925">
        <f>I149-E161</f>
        <v>0</v>
      </c>
      <c r="K149" s="240"/>
      <c r="L149" s="907"/>
    </row>
    <row r="150">
      <c r="B150" s="768"/>
      <c r="C150" s="911" t="s">
        <v>663</v>
      </c>
      <c r="D150" s="912"/>
      <c r="E150" s="926">
        <f>SUM(E145)-(E147+E148)</f>
        <v>3413.5742</v>
      </c>
      <c r="F150" s="927"/>
      <c r="G150" s="928" t="s">
        <v>631</v>
      </c>
      <c r="H150" s="916"/>
      <c r="I150" s="924">
        <f t="shared" si="17"/>
        <v>863</v>
      </c>
      <c r="J150" s="925">
        <f>I150-E163</f>
        <v>0</v>
      </c>
      <c r="K150" s="240"/>
      <c r="L150" s="907"/>
    </row>
    <row r="151">
      <c r="B151" s="768"/>
      <c r="C151" s="911" t="s">
        <v>664</v>
      </c>
      <c r="D151" s="912"/>
      <c r="E151" s="913">
        <v>0.0</v>
      </c>
      <c r="F151" s="914"/>
      <c r="G151" s="921"/>
      <c r="H151" s="921"/>
      <c r="I151" s="929">
        <f t="shared" ref="I151:J151" si="18">SUM(I145:I150)</f>
        <v>3413.56775</v>
      </c>
      <c r="J151" s="930">
        <f t="shared" si="18"/>
        <v>-0.00225</v>
      </c>
      <c r="K151" s="7"/>
      <c r="L151" s="810"/>
    </row>
    <row r="152">
      <c r="B152" s="768"/>
      <c r="C152" s="920"/>
      <c r="D152" s="921"/>
      <c r="E152" s="921"/>
      <c r="F152" s="927"/>
      <c r="G152" s="931" t="s">
        <v>610</v>
      </c>
      <c r="H152" s="932"/>
      <c r="I152" s="926">
        <f>SUM(I145:I150)</f>
        <v>3413.56775</v>
      </c>
      <c r="J152" s="933"/>
      <c r="K152" s="7"/>
      <c r="L152" s="810"/>
    </row>
    <row r="153">
      <c r="B153" s="768"/>
      <c r="C153" s="911" t="s">
        <v>665</v>
      </c>
      <c r="D153" s="912"/>
      <c r="E153" s="934" t="s">
        <v>666</v>
      </c>
      <c r="F153" s="927"/>
      <c r="G153" s="1034" t="s">
        <v>695</v>
      </c>
      <c r="J153" s="933"/>
      <c r="K153" s="7"/>
      <c r="L153" s="810"/>
    </row>
    <row r="154">
      <c r="B154" s="768"/>
      <c r="C154" s="920"/>
      <c r="D154" s="916"/>
      <c r="E154" s="936"/>
      <c r="F154" s="927"/>
      <c r="G154" s="927"/>
      <c r="H154" s="927"/>
      <c r="I154" s="927"/>
      <c r="J154" s="933"/>
      <c r="K154" s="7"/>
      <c r="L154" s="810"/>
    </row>
    <row r="155">
      <c r="B155" s="768"/>
      <c r="C155" s="937" t="s">
        <v>620</v>
      </c>
      <c r="D155" s="938">
        <f>SUM(E150-D154)</f>
        <v>3413.5742</v>
      </c>
      <c r="E155" s="939">
        <f>D155</f>
        <v>3413.5742</v>
      </c>
      <c r="F155" s="940"/>
      <c r="G155" s="940"/>
      <c r="H155" s="940"/>
      <c r="I155" s="940"/>
      <c r="J155" s="941"/>
      <c r="K155" s="7"/>
      <c r="L155" s="810"/>
    </row>
    <row r="156">
      <c r="B156" s="768"/>
      <c r="C156" s="942"/>
      <c r="D156" s="117"/>
      <c r="E156" s="117"/>
      <c r="F156" s="117"/>
      <c r="G156" s="117"/>
      <c r="H156" s="117"/>
      <c r="I156" s="918"/>
      <c r="J156" s="943"/>
      <c r="K156" s="7"/>
      <c r="L156" s="810"/>
    </row>
    <row r="157">
      <c r="B157" s="768"/>
      <c r="C157" s="944" t="s">
        <v>668</v>
      </c>
      <c r="D157" s="593"/>
      <c r="E157" s="594"/>
      <c r="F157" s="117"/>
      <c r="G157" s="945" t="s">
        <v>669</v>
      </c>
      <c r="H157" s="594"/>
      <c r="I157" s="918"/>
      <c r="J157" s="943"/>
      <c r="K157" s="117"/>
      <c r="L157" s="923"/>
    </row>
    <row r="158">
      <c r="B158" s="768"/>
      <c r="C158" s="946" t="s">
        <v>558</v>
      </c>
      <c r="D158" s="912"/>
      <c r="E158" s="947">
        <v>499.5</v>
      </c>
      <c r="F158" s="948" t="s">
        <v>696</v>
      </c>
      <c r="G158" s="949">
        <v>0.0</v>
      </c>
      <c r="H158" s="950" t="s">
        <v>573</v>
      </c>
      <c r="I158" s="918"/>
      <c r="J158" s="943"/>
      <c r="K158" s="117"/>
      <c r="L158" s="923"/>
    </row>
    <row r="159">
      <c r="B159" s="768"/>
      <c r="C159" s="946" t="s">
        <v>630</v>
      </c>
      <c r="D159" s="912"/>
      <c r="E159" s="947">
        <v>122.0</v>
      </c>
      <c r="F159" s="948" t="s">
        <v>697</v>
      </c>
      <c r="G159" s="951">
        <v>0.0</v>
      </c>
      <c r="H159" s="1035" t="s">
        <v>587</v>
      </c>
      <c r="I159" s="918"/>
      <c r="J159" s="943"/>
      <c r="K159" s="117"/>
      <c r="L159" s="923"/>
    </row>
    <row r="160">
      <c r="B160" s="768"/>
      <c r="C160" s="952" t="s">
        <v>587</v>
      </c>
      <c r="D160" s="912"/>
      <c r="E160" s="947">
        <v>1732.0</v>
      </c>
      <c r="F160" s="948" t="s">
        <v>697</v>
      </c>
      <c r="G160" s="949">
        <v>0.0</v>
      </c>
      <c r="H160" s="954" t="s">
        <v>671</v>
      </c>
      <c r="I160" s="955">
        <f>F166</f>
        <v>669.5</v>
      </c>
      <c r="J160" s="594"/>
      <c r="K160" s="117"/>
      <c r="L160" s="923"/>
    </row>
    <row r="161">
      <c r="B161" s="768"/>
      <c r="C161" s="952" t="s">
        <v>576</v>
      </c>
      <c r="D161" s="912"/>
      <c r="E161" s="947">
        <v>170.0</v>
      </c>
      <c r="F161" s="948" t="s">
        <v>696</v>
      </c>
      <c r="G161" s="949">
        <v>0.0</v>
      </c>
      <c r="H161" s="956" t="s">
        <v>558</v>
      </c>
      <c r="I161" s="957" t="s">
        <v>620</v>
      </c>
      <c r="J161" s="958" t="s">
        <v>672</v>
      </c>
      <c r="K161" s="117"/>
      <c r="L161" s="923"/>
    </row>
    <row r="162">
      <c r="B162" s="768"/>
      <c r="C162" s="952" t="s">
        <v>573</v>
      </c>
      <c r="D162" s="912"/>
      <c r="E162" s="947">
        <v>27.07</v>
      </c>
      <c r="F162" s="948" t="s">
        <v>697</v>
      </c>
      <c r="G162" s="959">
        <f>SUM(G158:G161)</f>
        <v>0</v>
      </c>
      <c r="H162" s="960" t="s">
        <v>610</v>
      </c>
      <c r="I162" s="961">
        <f>I160/2</f>
        <v>334.75</v>
      </c>
      <c r="J162" s="962"/>
      <c r="K162" s="7"/>
      <c r="L162" s="810"/>
    </row>
    <row r="163">
      <c r="B163" s="768"/>
      <c r="C163" s="946" t="s">
        <v>631</v>
      </c>
      <c r="D163" s="912"/>
      <c r="E163" s="947">
        <v>863.0</v>
      </c>
      <c r="F163" s="948" t="s">
        <v>697</v>
      </c>
      <c r="G163" s="964" t="s">
        <v>673</v>
      </c>
      <c r="H163" s="594"/>
      <c r="I163" s="965" t="s">
        <v>670</v>
      </c>
      <c r="J163" s="966" t="s">
        <v>674</v>
      </c>
      <c r="K163" s="7"/>
      <c r="L163" s="810"/>
    </row>
    <row r="164">
      <c r="B164" s="967"/>
      <c r="C164" s="952" t="s">
        <v>675</v>
      </c>
      <c r="D164" s="912"/>
      <c r="E164" s="968">
        <f>SUM(E155-(E158+E159+E160+E161+E162+E163))</f>
        <v>0.0042</v>
      </c>
      <c r="F164" s="969"/>
      <c r="G164" s="970">
        <v>0.0</v>
      </c>
      <c r="H164" s="971" t="s">
        <v>573</v>
      </c>
      <c r="I164" s="972">
        <f>I160/2</f>
        <v>334.75</v>
      </c>
      <c r="J164" s="973"/>
      <c r="K164" s="7"/>
      <c r="L164" s="810"/>
    </row>
    <row r="165">
      <c r="B165" s="967"/>
      <c r="C165" s="942"/>
      <c r="D165" s="918"/>
      <c r="E165" s="974">
        <f>SUM(E158:E163)</f>
        <v>3413.57</v>
      </c>
      <c r="F165" s="975"/>
      <c r="G165" s="976">
        <v>0.0</v>
      </c>
      <c r="H165" s="1036" t="s">
        <v>587</v>
      </c>
      <c r="I165" s="918"/>
      <c r="J165" s="978"/>
      <c r="K165" s="7"/>
      <c r="L165" s="810"/>
    </row>
    <row r="166">
      <c r="B166" s="967"/>
      <c r="C166" s="942"/>
      <c r="D166" s="943"/>
      <c r="E166" s="979" t="s">
        <v>698</v>
      </c>
      <c r="F166" s="980">
        <f>E158+E161</f>
        <v>669.5</v>
      </c>
      <c r="G166" s="970">
        <v>0.0</v>
      </c>
      <c r="H166" s="981" t="s">
        <v>671</v>
      </c>
      <c r="I166" s="612" t="s">
        <v>676</v>
      </c>
      <c r="J166" s="610"/>
      <c r="K166" s="1037" t="s">
        <v>699</v>
      </c>
      <c r="L166" s="1038" t="s">
        <v>700</v>
      </c>
    </row>
    <row r="167">
      <c r="B167" s="967"/>
      <c r="C167" s="942"/>
      <c r="D167" s="843"/>
      <c r="E167" s="982" t="s">
        <v>677</v>
      </c>
      <c r="F167" s="983">
        <f>F166</f>
        <v>669.5</v>
      </c>
      <c r="G167" s="970">
        <v>0.0</v>
      </c>
      <c r="H167" s="977" t="s">
        <v>558</v>
      </c>
      <c r="I167" s="918" t="s">
        <v>678</v>
      </c>
      <c r="J167" s="1039">
        <v>45327.0</v>
      </c>
      <c r="K167" s="1040">
        <v>45705.0</v>
      </c>
      <c r="L167" s="1041"/>
    </row>
    <row r="168">
      <c r="B168" s="967"/>
      <c r="C168" s="942"/>
      <c r="D168" s="843"/>
      <c r="E168" s="985"/>
      <c r="F168" s="986"/>
      <c r="G168" s="987">
        <f>SUM(G165:G167)</f>
        <v>0</v>
      </c>
      <c r="H168" s="988" t="s">
        <v>610</v>
      </c>
      <c r="I168" s="918" t="s">
        <v>681</v>
      </c>
      <c r="J168" s="1039">
        <v>45558.0</v>
      </c>
      <c r="K168" s="1040">
        <v>45705.0</v>
      </c>
      <c r="L168" s="1042">
        <v>45712.0</v>
      </c>
    </row>
    <row r="169">
      <c r="B169" s="768"/>
      <c r="C169" s="989"/>
      <c r="D169" s="943"/>
      <c r="E169" s="1043" t="s">
        <v>701</v>
      </c>
      <c r="F169" s="991"/>
      <c r="G169" s="945" t="s">
        <v>680</v>
      </c>
      <c r="H169" s="594"/>
      <c r="I169" s="918"/>
      <c r="J169" s="1039"/>
      <c r="K169" s="7"/>
      <c r="L169" s="810"/>
    </row>
    <row r="170">
      <c r="B170" s="809"/>
      <c r="C170" s="992"/>
      <c r="D170" s="993" t="s">
        <v>587</v>
      </c>
      <c r="E170" s="994">
        <f>E160</f>
        <v>1732</v>
      </c>
      <c r="F170" s="969"/>
      <c r="G170" s="949">
        <v>0.0</v>
      </c>
      <c r="H170" s="950" t="s">
        <v>573</v>
      </c>
      <c r="I170" s="918"/>
      <c r="J170" s="610"/>
      <c r="K170" s="7"/>
      <c r="L170" s="810"/>
    </row>
    <row r="171">
      <c r="B171" s="809"/>
      <c r="C171" s="992"/>
      <c r="D171" s="7"/>
      <c r="E171" s="995">
        <f>E159+E163+E162</f>
        <v>1012.07</v>
      </c>
      <c r="F171" s="969"/>
      <c r="G171" s="951">
        <v>0.0</v>
      </c>
      <c r="H171" s="1035" t="s">
        <v>587</v>
      </c>
      <c r="I171" s="7"/>
      <c r="J171" s="996"/>
      <c r="K171" s="7"/>
      <c r="L171" s="810"/>
    </row>
    <row r="172">
      <c r="B172" s="809"/>
      <c r="C172" s="992"/>
      <c r="D172" s="997" t="s">
        <v>682</v>
      </c>
      <c r="E172" s="995">
        <f>SUM(E170+E171)</f>
        <v>2744.07</v>
      </c>
      <c r="F172" s="998"/>
      <c r="G172" s="949">
        <v>0.0</v>
      </c>
      <c r="H172" s="950" t="s">
        <v>558</v>
      </c>
      <c r="I172" s="7"/>
      <c r="J172" s="996"/>
      <c r="K172" s="7"/>
      <c r="L172" s="810"/>
    </row>
    <row r="173">
      <c r="B173" s="809"/>
      <c r="C173" s="992"/>
      <c r="D173" s="7"/>
      <c r="E173" s="7"/>
      <c r="F173" s="998"/>
      <c r="G173" s="949">
        <v>0.0</v>
      </c>
      <c r="H173" s="999" t="s">
        <v>671</v>
      </c>
      <c r="I173" s="7"/>
      <c r="J173" s="996"/>
      <c r="K173" s="7"/>
      <c r="L173" s="810"/>
    </row>
    <row r="174">
      <c r="B174" s="809"/>
      <c r="C174" s="992"/>
      <c r="D174" s="7"/>
      <c r="E174" s="7"/>
      <c r="F174" s="998"/>
      <c r="G174" s="949">
        <f>SUM(G169:G173)</f>
        <v>0</v>
      </c>
      <c r="H174" s="950" t="s">
        <v>610</v>
      </c>
      <c r="I174" s="7"/>
      <c r="J174" s="996"/>
      <c r="K174" s="7"/>
      <c r="L174" s="810"/>
    </row>
    <row r="175">
      <c r="B175" s="809"/>
      <c r="C175" s="1000"/>
      <c r="D175" s="1001"/>
      <c r="E175" s="1001"/>
      <c r="F175" s="1001"/>
      <c r="G175" s="1002"/>
      <c r="H175" s="1002"/>
      <c r="I175" s="1001"/>
      <c r="J175" s="1003"/>
      <c r="K175" s="7"/>
      <c r="L175" s="810"/>
    </row>
    <row r="176">
      <c r="B176" s="1004"/>
      <c r="C176" s="1005"/>
      <c r="D176" s="1006"/>
      <c r="E176" s="1006"/>
      <c r="F176" s="1006"/>
      <c r="G176" s="1007"/>
      <c r="H176" s="1006"/>
      <c r="I176" s="1006"/>
      <c r="J176" s="1008"/>
      <c r="K176" s="1006"/>
      <c r="L176" s="1009"/>
    </row>
    <row r="179">
      <c r="B179" s="721" t="s">
        <v>702</v>
      </c>
      <c r="C179" s="722"/>
      <c r="D179" s="722"/>
      <c r="E179" s="722"/>
      <c r="F179" s="722"/>
      <c r="G179" s="722"/>
      <c r="H179" s="722"/>
      <c r="I179" s="722"/>
      <c r="J179" s="722"/>
      <c r="K179" s="722"/>
      <c r="L179" s="723"/>
    </row>
    <row r="180">
      <c r="B180" s="724"/>
      <c r="C180" s="725" t="s">
        <v>607</v>
      </c>
      <c r="D180" s="726" t="s">
        <v>608</v>
      </c>
      <c r="E180" s="727"/>
      <c r="F180" s="727"/>
      <c r="G180" s="727"/>
      <c r="H180" s="728"/>
      <c r="I180" s="729">
        <f>YEAR((TODAY()))</f>
        <v>2026</v>
      </c>
      <c r="J180" s="730"/>
      <c r="K180" s="731"/>
      <c r="L180" s="732"/>
    </row>
    <row r="181">
      <c r="B181" s="733"/>
      <c r="C181" s="734">
        <f>TODAY()</f>
        <v>46144</v>
      </c>
      <c r="D181" s="735" t="s">
        <v>609</v>
      </c>
      <c r="E181" s="736" t="s">
        <v>610</v>
      </c>
      <c r="F181" s="737"/>
      <c r="G181" s="737"/>
      <c r="H181" s="738"/>
      <c r="I181" s="730"/>
      <c r="J181" s="730"/>
      <c r="K181" s="730"/>
      <c r="L181" s="732"/>
    </row>
    <row r="182">
      <c r="B182" s="724"/>
      <c r="C182" s="739" t="s">
        <v>611</v>
      </c>
      <c r="D182" s="740"/>
      <c r="E182" s="741" t="s">
        <v>612</v>
      </c>
      <c r="F182" s="742" t="s">
        <v>613</v>
      </c>
      <c r="G182" s="743" t="s">
        <v>614</v>
      </c>
      <c r="H182" s="744" t="s">
        <v>615</v>
      </c>
      <c r="I182" s="745" t="s">
        <v>616</v>
      </c>
      <c r="J182" s="746" t="s">
        <v>617</v>
      </c>
      <c r="K182" s="747" t="s">
        <v>618</v>
      </c>
      <c r="L182" s="748" t="s">
        <v>619</v>
      </c>
    </row>
    <row r="183">
      <c r="B183" s="749"/>
      <c r="C183" s="750" t="s">
        <v>620</v>
      </c>
      <c r="D183" s="743">
        <v>1500.0</v>
      </c>
      <c r="E183" s="751">
        <f>SUM((D183/2)-F183)</f>
        <v>750</v>
      </c>
      <c r="F183" s="752">
        <v>0.0</v>
      </c>
      <c r="G183" s="753">
        <f>SUM(((D183/2)-H183))</f>
        <v>750</v>
      </c>
      <c r="H183" s="754">
        <v>0.0</v>
      </c>
      <c r="I183" s="755"/>
      <c r="J183" s="756"/>
      <c r="K183" s="757"/>
      <c r="L183" s="758"/>
    </row>
    <row r="184">
      <c r="B184" s="749"/>
      <c r="C184" s="759" t="s">
        <v>621</v>
      </c>
      <c r="D184" s="760">
        <v>1518.0</v>
      </c>
      <c r="E184" s="761">
        <f>SUM(((D184/100)*40)-F184)+((I184/100)*40)</f>
        <v>607.2</v>
      </c>
      <c r="F184" s="1010">
        <v>0.0</v>
      </c>
      <c r="G184" s="762">
        <f>SUM(((D184/100)*60)-H184)-L184+((I184/100)*60)</f>
        <v>796.95</v>
      </c>
      <c r="H184" s="763">
        <v>0.0</v>
      </c>
      <c r="I184" s="764">
        <v>0.0</v>
      </c>
      <c r="J184" s="765"/>
      <c r="K184" s="766"/>
      <c r="L184" s="767">
        <f>SUM(D184/100)*7.5</f>
        <v>113.85</v>
      </c>
    </row>
    <row r="185">
      <c r="B185" s="768"/>
      <c r="C185" s="769" t="s">
        <v>622</v>
      </c>
      <c r="D185" s="753">
        <v>1518.0</v>
      </c>
      <c r="E185" s="770">
        <f>SUM((((D185/100)*40)-F185))</f>
        <v>607.2</v>
      </c>
      <c r="F185" s="752">
        <v>0.0</v>
      </c>
      <c r="G185" s="753">
        <f>SUM(((D185/100)*60)-H185)+J185-L185-I185</f>
        <v>856.2663867</v>
      </c>
      <c r="H185" s="771">
        <v>0.0</v>
      </c>
      <c r="I185" s="772">
        <v>198.94</v>
      </c>
      <c r="J185" s="756">
        <f>SUM(D185/100)*17.42</f>
        <v>264.4356</v>
      </c>
      <c r="K185" s="757"/>
      <c r="L185" s="758">
        <f>SUM((D185+J185)/100)*6.734</f>
        <v>120.0292133</v>
      </c>
    </row>
    <row r="186">
      <c r="B186" s="768"/>
      <c r="C186" s="773" t="s">
        <v>623</v>
      </c>
      <c r="D186" s="760">
        <v>1518.0</v>
      </c>
      <c r="E186" s="774">
        <f>SUM(((((D186/100)*40))-F186))</f>
        <v>607.2</v>
      </c>
      <c r="F186" s="775">
        <v>0.0</v>
      </c>
      <c r="G186" s="762">
        <f>SUM(((D186/100)*60)-H186)+J186-K186-L186-I186</f>
        <v>770.62</v>
      </c>
      <c r="H186" s="776">
        <v>0.0</v>
      </c>
      <c r="I186" s="764">
        <v>198.94</v>
      </c>
      <c r="J186" s="1044">
        <v>58.76</v>
      </c>
      <c r="K186" s="1045">
        <v>0.0</v>
      </c>
      <c r="L186" s="1046">
        <v>0.0</v>
      </c>
    </row>
    <row r="187">
      <c r="B187" s="768"/>
      <c r="C187" s="778" t="s">
        <v>624</v>
      </c>
      <c r="D187" s="779">
        <v>1500.0</v>
      </c>
      <c r="E187" s="780">
        <f>SUM((D187/2)-F187)</f>
        <v>750</v>
      </c>
      <c r="F187" s="779">
        <v>0.0</v>
      </c>
      <c r="G187" s="781">
        <f>SUM(((D187/2)-H187))-I187</f>
        <v>750</v>
      </c>
      <c r="H187" s="782">
        <v>0.0</v>
      </c>
      <c r="I187" s="772">
        <v>0.0</v>
      </c>
      <c r="J187" s="756"/>
      <c r="K187" s="757"/>
      <c r="L187" s="758"/>
    </row>
    <row r="188">
      <c r="B188" s="768"/>
      <c r="C188" s="783"/>
      <c r="D188" s="784"/>
      <c r="E188" s="785"/>
      <c r="F188" s="785"/>
      <c r="G188" s="762"/>
      <c r="H188" s="786"/>
      <c r="I188" s="777"/>
      <c r="J188" s="765"/>
      <c r="K188" s="766"/>
      <c r="L188" s="767"/>
    </row>
    <row r="189">
      <c r="B189" s="768"/>
      <c r="C189" s="787"/>
      <c r="D189" s="779"/>
      <c r="E189" s="779"/>
      <c r="F189" s="779"/>
      <c r="G189" s="781"/>
      <c r="H189" s="782"/>
      <c r="I189" s="755"/>
      <c r="J189" s="765">
        <f>SUM(D189/100)*20</f>
        <v>0</v>
      </c>
      <c r="K189" s="766">
        <f>SUM(D189/100)*6</f>
        <v>0</v>
      </c>
      <c r="L189" s="767">
        <f>SUM((D189+J189)/100)*7.75</f>
        <v>0</v>
      </c>
    </row>
    <row r="190">
      <c r="B190" s="768"/>
      <c r="C190" s="789"/>
      <c r="D190" s="790"/>
      <c r="E190" s="790"/>
      <c r="F190" s="790"/>
      <c r="G190" s="790"/>
      <c r="H190" s="791"/>
      <c r="I190" s="792"/>
      <c r="J190" s="793"/>
      <c r="K190" s="794"/>
      <c r="L190" s="795"/>
    </row>
    <row r="191">
      <c r="B191" s="724"/>
      <c r="C191" s="796" t="s">
        <v>610</v>
      </c>
      <c r="D191" s="797"/>
      <c r="E191" s="798">
        <f>SUM(E183:E190)</f>
        <v>3321.6</v>
      </c>
      <c r="F191" s="797"/>
      <c r="G191" s="799">
        <f>SUM(G183:G190)</f>
        <v>3923.836387</v>
      </c>
      <c r="H191" s="1011">
        <f>SUM(G184:G186)</f>
        <v>2423.836387</v>
      </c>
      <c r="I191" s="801"/>
      <c r="J191" s="802"/>
      <c r="K191" s="730"/>
      <c r="L191" s="732"/>
    </row>
    <row r="192">
      <c r="B192" s="724"/>
      <c r="C192" s="803"/>
      <c r="D192" s="804"/>
      <c r="E192" s="804"/>
      <c r="F192" s="804"/>
      <c r="G192" s="804"/>
      <c r="H192" s="804"/>
      <c r="I192" s="805"/>
      <c r="J192" s="806"/>
      <c r="K192" s="807"/>
      <c r="L192" s="808"/>
    </row>
    <row r="193">
      <c r="B193" s="809"/>
      <c r="C193" s="7"/>
      <c r="D193" s="7"/>
      <c r="E193" s="7"/>
      <c r="F193" s="7"/>
      <c r="G193" s="7"/>
      <c r="H193" s="7"/>
      <c r="I193" s="7"/>
      <c r="J193" s="7"/>
      <c r="K193" s="7"/>
      <c r="L193" s="810"/>
    </row>
    <row r="194">
      <c r="B194" s="811">
        <v>45375.0</v>
      </c>
      <c r="C194" s="812"/>
      <c r="D194" s="812"/>
      <c r="E194" s="812"/>
      <c r="F194" s="812"/>
      <c r="G194" s="812"/>
      <c r="H194" s="812"/>
      <c r="I194" s="812"/>
      <c r="J194" s="812"/>
      <c r="K194" s="812"/>
      <c r="L194" s="813"/>
    </row>
    <row r="195">
      <c r="B195" s="814"/>
      <c r="C195" s="815"/>
      <c r="D195" s="815"/>
      <c r="E195" s="815"/>
      <c r="F195" s="815"/>
      <c r="G195" s="815"/>
      <c r="H195" s="815"/>
      <c r="I195" s="815"/>
      <c r="J195" s="815"/>
      <c r="K195" s="815"/>
      <c r="L195" s="816"/>
    </row>
    <row r="196">
      <c r="B196" s="817" t="s">
        <v>571</v>
      </c>
      <c r="C196" s="812"/>
      <c r="D196" s="812"/>
      <c r="E196" s="812"/>
      <c r="F196" s="818"/>
      <c r="G196" s="867" t="s">
        <v>703</v>
      </c>
      <c r="H196" s="1012" t="s">
        <v>685</v>
      </c>
      <c r="I196" s="593"/>
      <c r="J196" s="593"/>
      <c r="K196" s="593"/>
      <c r="L196" s="821"/>
    </row>
    <row r="197">
      <c r="B197" s="822" t="s">
        <v>625</v>
      </c>
      <c r="C197" s="823" t="s">
        <v>626</v>
      </c>
      <c r="D197" s="824"/>
      <c r="E197" s="825" t="s">
        <v>627</v>
      </c>
      <c r="F197" s="826" t="s">
        <v>628</v>
      </c>
      <c r="G197" s="1013">
        <v>700.0</v>
      </c>
      <c r="H197" s="621" t="s">
        <v>580</v>
      </c>
      <c r="I197" s="827" t="s">
        <v>686</v>
      </c>
      <c r="J197" s="827" t="s">
        <v>704</v>
      </c>
      <c r="K197" s="621" t="s">
        <v>583</v>
      </c>
      <c r="L197" s="828" t="s">
        <v>584</v>
      </c>
    </row>
    <row r="198">
      <c r="B198" s="829">
        <v>2404.0</v>
      </c>
      <c r="C198" s="830" t="s">
        <v>558</v>
      </c>
      <c r="D198" s="831">
        <f>SUM(B198-K198)</f>
        <v>2054</v>
      </c>
      <c r="E198" s="831">
        <f>SUMIF(H207:H228,"IFOOD",G207:G228)</f>
        <v>1546.95</v>
      </c>
      <c r="F198" s="832">
        <f t="shared" ref="F198:F203" si="19">D198-E198</f>
        <v>507.05</v>
      </c>
      <c r="G198" s="833"/>
      <c r="H198" s="623" t="s">
        <v>558</v>
      </c>
      <c r="I198" s="624">
        <v>350.0</v>
      </c>
      <c r="J198" s="625">
        <v>0.0</v>
      </c>
      <c r="K198" s="625">
        <f t="shared" ref="K198:K199" si="20">I198</f>
        <v>350</v>
      </c>
      <c r="L198" s="834">
        <f t="shared" ref="L198:L203" si="21">SUM(J198+K198)</f>
        <v>350</v>
      </c>
    </row>
    <row r="199">
      <c r="B199" s="835">
        <v>1020.0</v>
      </c>
      <c r="C199" s="836" t="s">
        <v>573</v>
      </c>
      <c r="D199" s="625">
        <f>SUM(B199-K202)</f>
        <v>850.14</v>
      </c>
      <c r="E199" s="837">
        <f>SUMIF(H207:H229,"Caixa",G207:G229)</f>
        <v>770.62</v>
      </c>
      <c r="F199" s="838">
        <f t="shared" si="19"/>
        <v>79.52</v>
      </c>
      <c r="G199" s="647"/>
      <c r="H199" s="839" t="s">
        <v>630</v>
      </c>
      <c r="I199" s="628">
        <v>0.0</v>
      </c>
      <c r="J199" s="629">
        <v>0.0</v>
      </c>
      <c r="K199" s="629">
        <f t="shared" si="20"/>
        <v>0</v>
      </c>
      <c r="L199" s="1015">
        <f t="shared" si="21"/>
        <v>0</v>
      </c>
    </row>
    <row r="200">
      <c r="B200" s="829">
        <v>2615.0</v>
      </c>
      <c r="C200" s="830" t="s">
        <v>574</v>
      </c>
      <c r="D200" s="831">
        <f>B200</f>
        <v>2615</v>
      </c>
      <c r="E200" s="831">
        <f>SUMIF(H207:H230,"Cash",G207:G230)</f>
        <v>2156.266387</v>
      </c>
      <c r="F200" s="832">
        <f t="shared" si="19"/>
        <v>458.7336133</v>
      </c>
      <c r="G200" s="833"/>
      <c r="H200" s="623" t="s">
        <v>587</v>
      </c>
      <c r="I200" s="624">
        <v>3850.0</v>
      </c>
      <c r="J200" s="624">
        <v>0.0</v>
      </c>
      <c r="K200" s="625">
        <f>I200-G197</f>
        <v>3150</v>
      </c>
      <c r="L200" s="834">
        <f t="shared" si="21"/>
        <v>3150</v>
      </c>
    </row>
    <row r="201">
      <c r="B201" s="835">
        <v>1709.0</v>
      </c>
      <c r="C201" s="841" t="s">
        <v>630</v>
      </c>
      <c r="D201" s="625">
        <f>SUM(B201-K199)</f>
        <v>1709</v>
      </c>
      <c r="E201" s="837">
        <f>SUMIF(H207:H231,"Infinity 1",G207:G231)</f>
        <v>1543.05</v>
      </c>
      <c r="F201" s="838">
        <f t="shared" si="19"/>
        <v>165.95</v>
      </c>
      <c r="G201" s="647"/>
      <c r="H201" s="634" t="s">
        <v>576</v>
      </c>
      <c r="I201" s="635">
        <v>53.66</v>
      </c>
      <c r="J201" s="636">
        <v>0.0</v>
      </c>
      <c r="K201" s="636">
        <f t="shared" ref="K201:K203" si="22">I201</f>
        <v>53.66</v>
      </c>
      <c r="L201" s="842">
        <f t="shared" si="21"/>
        <v>53.66</v>
      </c>
    </row>
    <row r="202">
      <c r="B202" s="829">
        <v>199.66</v>
      </c>
      <c r="C202" s="830" t="s">
        <v>576</v>
      </c>
      <c r="D202" s="831">
        <f>SUM(B202-K201)</f>
        <v>146</v>
      </c>
      <c r="E202" s="831">
        <f>SUMIF(H209:H232,"Stone",G209:G232)</f>
        <v>0</v>
      </c>
      <c r="F202" s="832">
        <f t="shared" si="19"/>
        <v>146</v>
      </c>
      <c r="G202" s="843"/>
      <c r="H202" s="641" t="s">
        <v>573</v>
      </c>
      <c r="I202" s="638">
        <v>169.86</v>
      </c>
      <c r="J202" s="844">
        <v>0.0</v>
      </c>
      <c r="K202" s="844">
        <f t="shared" si="22"/>
        <v>169.86</v>
      </c>
      <c r="L202" s="845">
        <f t="shared" si="21"/>
        <v>169.86</v>
      </c>
    </row>
    <row r="203">
      <c r="B203" s="846">
        <v>469.0</v>
      </c>
      <c r="C203" s="847" t="s">
        <v>631</v>
      </c>
      <c r="D203" s="848">
        <f>SUM(B203-K203)</f>
        <v>469</v>
      </c>
      <c r="E203" s="848">
        <f>SUMIF(H209:H233,"Infinity 2",G209:G233)</f>
        <v>0</v>
      </c>
      <c r="F203" s="849">
        <f t="shared" si="19"/>
        <v>469</v>
      </c>
      <c r="G203" s="117"/>
      <c r="H203" s="850" t="s">
        <v>631</v>
      </c>
      <c r="I203" s="851">
        <v>0.0</v>
      </c>
      <c r="J203" s="851">
        <v>0.0</v>
      </c>
      <c r="K203" s="852">
        <f t="shared" si="22"/>
        <v>0</v>
      </c>
      <c r="L203" s="853">
        <f t="shared" si="21"/>
        <v>0</v>
      </c>
    </row>
    <row r="204">
      <c r="B204" s="854"/>
      <c r="C204" s="855" t="s">
        <v>578</v>
      </c>
      <c r="D204" s="856">
        <f t="shared" ref="D204:F204" si="23">SUM(D198:D203)</f>
        <v>7843.14</v>
      </c>
      <c r="E204" s="857">
        <f t="shared" si="23"/>
        <v>6016.886387</v>
      </c>
      <c r="F204" s="858">
        <f t="shared" si="23"/>
        <v>1826.253613</v>
      </c>
      <c r="G204" s="117"/>
      <c r="H204" s="859" t="s">
        <v>589</v>
      </c>
      <c r="I204" s="860" t="s">
        <v>590</v>
      </c>
      <c r="J204" s="861" t="s">
        <v>134</v>
      </c>
      <c r="K204" s="862">
        <f t="shared" ref="K204:L204" si="24">SUM(K198:K202)</f>
        <v>3723.52</v>
      </c>
      <c r="L204" s="863">
        <f t="shared" si="24"/>
        <v>3723.52</v>
      </c>
    </row>
    <row r="205">
      <c r="B205" s="724"/>
      <c r="C205" s="9"/>
      <c r="D205" s="9"/>
      <c r="E205" s="9"/>
      <c r="F205" s="9"/>
      <c r="G205" s="117"/>
      <c r="H205" s="864">
        <v>0.0</v>
      </c>
      <c r="I205" s="865">
        <v>169.86</v>
      </c>
      <c r="J205" s="866"/>
      <c r="K205" s="7"/>
      <c r="L205" s="810"/>
    </row>
    <row r="206">
      <c r="B206" s="724"/>
      <c r="C206" s="869" t="s">
        <v>634</v>
      </c>
      <c r="D206" s="870" t="s">
        <v>600</v>
      </c>
      <c r="E206" s="870" t="s">
        <v>5</v>
      </c>
      <c r="F206" s="870" t="s">
        <v>4</v>
      </c>
      <c r="G206" s="870" t="s">
        <v>16</v>
      </c>
      <c r="H206" s="871" t="s">
        <v>635</v>
      </c>
      <c r="I206" s="872"/>
      <c r="L206" s="873"/>
    </row>
    <row r="207">
      <c r="B207" s="809"/>
      <c r="C207" s="874" t="s">
        <v>636</v>
      </c>
      <c r="D207" s="659">
        <v>1300.0</v>
      </c>
      <c r="E207" s="1017">
        <v>45752.0</v>
      </c>
      <c r="F207" s="1018"/>
      <c r="G207" s="892">
        <f t="shared" ref="G207:G225" si="25">IF(F207="",D207,"")</f>
        <v>1300</v>
      </c>
      <c r="H207" s="1019" t="s">
        <v>574</v>
      </c>
      <c r="I207" s="878"/>
      <c r="J207" s="878"/>
      <c r="K207" s="878"/>
      <c r="L207" s="879"/>
    </row>
    <row r="208">
      <c r="B208" s="809"/>
      <c r="C208" s="874"/>
      <c r="D208" s="892"/>
      <c r="E208" s="1020"/>
      <c r="F208" s="1018"/>
      <c r="G208" s="892" t="str">
        <f t="shared" si="25"/>
        <v/>
      </c>
      <c r="H208" s="1021"/>
      <c r="I208" s="883"/>
      <c r="J208" s="884"/>
      <c r="K208" s="885"/>
      <c r="L208" s="879"/>
    </row>
    <row r="209">
      <c r="B209" s="809"/>
      <c r="C209" s="886" t="s">
        <v>637</v>
      </c>
      <c r="D209" s="892">
        <f t="shared" ref="D209:D211" si="26">G184</f>
        <v>796.95</v>
      </c>
      <c r="E209" s="1017">
        <v>45752.0</v>
      </c>
      <c r="F209" s="1022"/>
      <c r="G209" s="892">
        <f t="shared" si="25"/>
        <v>796.95</v>
      </c>
      <c r="H209" s="1024" t="s">
        <v>558</v>
      </c>
      <c r="I209" s="883"/>
      <c r="J209" s="884"/>
      <c r="K209" s="885"/>
      <c r="L209" s="879"/>
    </row>
    <row r="210">
      <c r="B210" s="809"/>
      <c r="C210" s="886" t="s">
        <v>705</v>
      </c>
      <c r="D210" s="892">
        <f t="shared" si="26"/>
        <v>856.2663867</v>
      </c>
      <c r="E210" s="1017">
        <v>45752.0</v>
      </c>
      <c r="F210" s="1018"/>
      <c r="G210" s="892">
        <f t="shared" si="25"/>
        <v>856.2663867</v>
      </c>
      <c r="H210" s="1024" t="s">
        <v>574</v>
      </c>
      <c r="I210" s="883"/>
      <c r="J210" s="884"/>
      <c r="K210" s="885"/>
      <c r="L210" s="879"/>
    </row>
    <row r="211">
      <c r="B211" s="809"/>
      <c r="C211" s="886" t="s">
        <v>706</v>
      </c>
      <c r="D211" s="892">
        <f t="shared" si="26"/>
        <v>770.62</v>
      </c>
      <c r="E211" s="1017">
        <v>45752.0</v>
      </c>
      <c r="F211" s="1018"/>
      <c r="G211" s="892">
        <f t="shared" si="25"/>
        <v>770.62</v>
      </c>
      <c r="H211" s="1024" t="s">
        <v>573</v>
      </c>
      <c r="I211" s="884"/>
      <c r="K211" s="885"/>
      <c r="L211" s="879"/>
    </row>
    <row r="212">
      <c r="B212" s="809"/>
      <c r="C212" s="874" t="s">
        <v>638</v>
      </c>
      <c r="D212" s="892">
        <f>E191</f>
        <v>3321.6</v>
      </c>
      <c r="E212" s="1017">
        <v>45736.0</v>
      </c>
      <c r="F212" s="1018" t="s">
        <v>639</v>
      </c>
      <c r="G212" s="892" t="str">
        <f t="shared" si="25"/>
        <v/>
      </c>
      <c r="H212" s="1024"/>
      <c r="I212" s="890"/>
      <c r="J212" s="9"/>
      <c r="K212" s="891"/>
      <c r="L212" s="879"/>
    </row>
    <row r="213">
      <c r="B213" s="809"/>
      <c r="C213" s="874" t="s">
        <v>640</v>
      </c>
      <c r="D213" s="892">
        <v>430.0</v>
      </c>
      <c r="E213" s="1017">
        <v>45726.0</v>
      </c>
      <c r="F213" s="1018" t="s">
        <v>639</v>
      </c>
      <c r="G213" s="892" t="str">
        <f t="shared" si="25"/>
        <v/>
      </c>
      <c r="H213" s="1021"/>
      <c r="I213" s="890"/>
      <c r="J213" s="893"/>
      <c r="K213" s="891"/>
      <c r="L213" s="879"/>
    </row>
    <row r="214">
      <c r="B214" s="809"/>
      <c r="C214" s="874" t="s">
        <v>641</v>
      </c>
      <c r="D214" s="892">
        <f>G183</f>
        <v>750</v>
      </c>
      <c r="E214" s="1017">
        <v>45752.0</v>
      </c>
      <c r="F214" s="1018"/>
      <c r="G214" s="892">
        <f t="shared" si="25"/>
        <v>750</v>
      </c>
      <c r="H214" s="1024" t="s">
        <v>558</v>
      </c>
      <c r="I214" s="890"/>
      <c r="J214" s="893"/>
      <c r="K214" s="891"/>
      <c r="L214" s="879"/>
    </row>
    <row r="215">
      <c r="B215" s="809"/>
      <c r="C215" s="874" t="s">
        <v>691</v>
      </c>
      <c r="D215" s="892">
        <v>105.0</v>
      </c>
      <c r="E215" s="1017">
        <v>45741.0</v>
      </c>
      <c r="F215" s="1018" t="s">
        <v>639</v>
      </c>
      <c r="G215" s="892" t="str">
        <f t="shared" si="25"/>
        <v/>
      </c>
      <c r="H215" s="1021"/>
      <c r="I215" s="890"/>
      <c r="J215" s="9"/>
      <c r="K215" s="891"/>
      <c r="L215" s="879"/>
    </row>
    <row r="216">
      <c r="B216" s="809"/>
      <c r="C216" s="874" t="s">
        <v>644</v>
      </c>
      <c r="D216" s="892"/>
      <c r="E216" s="1020"/>
      <c r="F216" s="1018"/>
      <c r="G216" s="892" t="str">
        <f t="shared" si="25"/>
        <v/>
      </c>
      <c r="H216" s="1021"/>
      <c r="I216" s="890"/>
      <c r="J216" s="9"/>
      <c r="K216" s="891"/>
      <c r="L216" s="879"/>
    </row>
    <row r="217">
      <c r="B217" s="809"/>
      <c r="C217" s="874" t="s">
        <v>645</v>
      </c>
      <c r="D217" s="892">
        <v>120.0</v>
      </c>
      <c r="E217" s="1017">
        <v>45736.0</v>
      </c>
      <c r="F217" s="1018" t="s">
        <v>639</v>
      </c>
      <c r="G217" s="1018" t="str">
        <f t="shared" si="25"/>
        <v/>
      </c>
      <c r="H217" s="1021"/>
      <c r="I217" s="890"/>
      <c r="J217" s="9"/>
      <c r="K217" s="891"/>
      <c r="L217" s="879"/>
    </row>
    <row r="218">
      <c r="B218" s="809"/>
      <c r="C218" s="874" t="s">
        <v>646</v>
      </c>
      <c r="D218" s="892" t="s">
        <v>134</v>
      </c>
      <c r="E218" s="1017">
        <v>45736.0</v>
      </c>
      <c r="F218" s="1018" t="s">
        <v>639</v>
      </c>
      <c r="G218" s="892" t="str">
        <f t="shared" si="25"/>
        <v/>
      </c>
      <c r="H218" s="1021"/>
      <c r="I218" s="890"/>
      <c r="J218" s="9"/>
      <c r="K218" s="891"/>
      <c r="L218" s="879"/>
    </row>
    <row r="219">
      <c r="B219" s="809"/>
      <c r="C219" s="874" t="s">
        <v>647</v>
      </c>
      <c r="D219" s="892"/>
      <c r="E219" s="1020"/>
      <c r="F219" s="1018"/>
      <c r="G219" s="892" t="str">
        <f t="shared" si="25"/>
        <v/>
      </c>
      <c r="H219" s="1021"/>
      <c r="I219" s="890"/>
      <c r="J219" s="9"/>
      <c r="K219" s="891"/>
      <c r="L219" s="879"/>
    </row>
    <row r="220">
      <c r="B220" s="809"/>
      <c r="C220" s="874" t="s">
        <v>648</v>
      </c>
      <c r="D220" s="892">
        <v>697.42</v>
      </c>
      <c r="E220" s="1017">
        <v>45736.0</v>
      </c>
      <c r="F220" s="1018" t="s">
        <v>639</v>
      </c>
      <c r="G220" s="892" t="str">
        <f t="shared" si="25"/>
        <v/>
      </c>
      <c r="H220" s="1021"/>
      <c r="I220" s="890"/>
      <c r="J220" s="9"/>
      <c r="K220" s="891"/>
      <c r="L220" s="879"/>
    </row>
    <row r="221">
      <c r="B221" s="809"/>
      <c r="C221" s="874" t="s">
        <v>649</v>
      </c>
      <c r="D221" s="892">
        <v>435.9</v>
      </c>
      <c r="E221" s="1017">
        <v>45736.0</v>
      </c>
      <c r="F221" s="1018" t="s">
        <v>639</v>
      </c>
      <c r="G221" s="892" t="str">
        <f t="shared" si="25"/>
        <v/>
      </c>
      <c r="H221" s="1021"/>
      <c r="I221" s="890"/>
      <c r="J221" s="9"/>
      <c r="K221" s="891"/>
      <c r="L221" s="879"/>
    </row>
    <row r="222">
      <c r="B222" s="809"/>
      <c r="C222" s="874" t="s">
        <v>650</v>
      </c>
      <c r="D222" s="892">
        <v>323.92</v>
      </c>
      <c r="E222" s="1017">
        <v>45736.0</v>
      </c>
      <c r="F222" s="1018" t="s">
        <v>639</v>
      </c>
      <c r="G222" s="892" t="str">
        <f t="shared" si="25"/>
        <v/>
      </c>
      <c r="H222" s="1024"/>
      <c r="I222" s="890"/>
      <c r="J222" s="9"/>
      <c r="K222" s="891"/>
      <c r="L222" s="879"/>
    </row>
    <row r="223">
      <c r="B223" s="809"/>
      <c r="C223" s="874" t="s">
        <v>652</v>
      </c>
      <c r="D223" s="892"/>
      <c r="E223" s="1020"/>
      <c r="F223" s="1018"/>
      <c r="G223" s="892" t="str">
        <f t="shared" si="25"/>
        <v/>
      </c>
      <c r="H223" s="1021"/>
      <c r="I223" s="890"/>
      <c r="J223" s="9"/>
      <c r="K223" s="891"/>
      <c r="L223" s="879"/>
    </row>
    <row r="224">
      <c r="B224" s="809"/>
      <c r="C224" s="874" t="s">
        <v>653</v>
      </c>
      <c r="D224" s="892"/>
      <c r="E224" s="1020"/>
      <c r="F224" s="1018"/>
      <c r="G224" s="892" t="str">
        <f t="shared" si="25"/>
        <v/>
      </c>
      <c r="H224" s="1021"/>
      <c r="I224" s="890"/>
      <c r="J224" s="9"/>
      <c r="K224" s="891"/>
      <c r="L224" s="879"/>
    </row>
    <row r="225">
      <c r="B225" s="809"/>
      <c r="C225" s="874" t="s">
        <v>654</v>
      </c>
      <c r="D225" s="892"/>
      <c r="E225" s="1020"/>
      <c r="F225" s="1018"/>
      <c r="G225" s="892" t="str">
        <f t="shared" si="25"/>
        <v/>
      </c>
      <c r="H225" s="1021"/>
      <c r="I225" s="890"/>
      <c r="J225" s="9"/>
      <c r="K225" s="891"/>
      <c r="L225" s="879"/>
    </row>
    <row r="226">
      <c r="B226" s="809"/>
      <c r="C226" s="874"/>
      <c r="D226" s="892"/>
      <c r="E226" s="1020"/>
      <c r="F226" s="1018"/>
      <c r="G226" s="892"/>
      <c r="H226" s="1021"/>
      <c r="I226" s="890"/>
      <c r="J226" s="9"/>
      <c r="K226" s="891"/>
      <c r="L226" s="879"/>
    </row>
    <row r="227">
      <c r="B227" s="809"/>
      <c r="C227" s="886" t="s">
        <v>693</v>
      </c>
      <c r="D227" s="659">
        <v>793.05</v>
      </c>
      <c r="E227" s="1017">
        <v>45754.0</v>
      </c>
      <c r="F227" s="1018"/>
      <c r="G227" s="892">
        <f t="shared" ref="G227:G230" si="27">IF(F227="",D227,"")</f>
        <v>793.05</v>
      </c>
      <c r="H227" s="1019" t="s">
        <v>630</v>
      </c>
      <c r="I227" s="890"/>
      <c r="J227" s="9"/>
      <c r="K227" s="891"/>
      <c r="L227" s="879"/>
    </row>
    <row r="228">
      <c r="B228" s="809"/>
      <c r="C228" s="874" t="s">
        <v>657</v>
      </c>
      <c r="D228" s="892">
        <v>750.0</v>
      </c>
      <c r="E228" s="1017">
        <v>45708.0</v>
      </c>
      <c r="F228" s="1018" t="s">
        <v>639</v>
      </c>
      <c r="G228" s="892" t="str">
        <f t="shared" si="27"/>
        <v/>
      </c>
      <c r="H228" s="1021"/>
      <c r="I228" s="890"/>
      <c r="J228" s="9"/>
      <c r="K228" s="891"/>
      <c r="L228" s="879"/>
    </row>
    <row r="229">
      <c r="B229" s="809"/>
      <c r="C229" s="894" t="s">
        <v>658</v>
      </c>
      <c r="D229" s="1025">
        <v>750.0</v>
      </c>
      <c r="E229" s="1017">
        <v>45752.0</v>
      </c>
      <c r="F229" s="1026"/>
      <c r="G229" s="892">
        <f t="shared" si="27"/>
        <v>750</v>
      </c>
      <c r="H229" s="1047" t="s">
        <v>630</v>
      </c>
      <c r="I229" s="890"/>
      <c r="J229" s="9"/>
      <c r="K229" s="891"/>
      <c r="L229" s="879"/>
    </row>
    <row r="230">
      <c r="B230" s="809"/>
      <c r="C230" s="1028" t="s">
        <v>707</v>
      </c>
      <c r="D230" s="1029"/>
      <c r="E230" s="1030">
        <v>45721.0</v>
      </c>
      <c r="F230" s="1031"/>
      <c r="G230" s="1032" t="str">
        <f t="shared" si="27"/>
        <v/>
      </c>
      <c r="H230" s="1033"/>
      <c r="I230" s="890"/>
      <c r="J230" s="9"/>
      <c r="K230" s="891"/>
      <c r="L230" s="879"/>
    </row>
    <row r="231">
      <c r="B231" s="809"/>
      <c r="C231" s="904"/>
      <c r="D231" s="905"/>
      <c r="E231" s="906"/>
      <c r="F231" s="904"/>
      <c r="G231" s="904"/>
      <c r="H231" s="904"/>
      <c r="I231" s="906"/>
      <c r="J231" s="904"/>
      <c r="K231" s="240"/>
      <c r="L231" s="907"/>
    </row>
    <row r="232">
      <c r="B232" s="724"/>
      <c r="C232" s="908" t="s">
        <v>704</v>
      </c>
      <c r="D232" s="909"/>
      <c r="E232" s="909"/>
      <c r="F232" s="909"/>
      <c r="G232" s="909"/>
      <c r="H232" s="909"/>
      <c r="I232" s="909"/>
      <c r="J232" s="910"/>
      <c r="K232" s="891"/>
      <c r="L232" s="879"/>
    </row>
    <row r="233">
      <c r="B233" s="768"/>
      <c r="C233" s="911" t="s">
        <v>659</v>
      </c>
      <c r="D233" s="912"/>
      <c r="E233" s="913">
        <f>I240</f>
        <v>1826.253613</v>
      </c>
      <c r="F233" s="914"/>
      <c r="G233" s="915" t="s">
        <v>660</v>
      </c>
      <c r="H233" s="916"/>
      <c r="I233" s="913">
        <f>F200</f>
        <v>458.7336133</v>
      </c>
      <c r="J233" s="917">
        <f>I233-G247-G253-G259-E248</f>
        <v>0.003613304</v>
      </c>
      <c r="K233" s="918"/>
      <c r="L233" s="919"/>
    </row>
    <row r="234">
      <c r="B234" s="768"/>
      <c r="C234" s="920"/>
      <c r="D234" s="921"/>
      <c r="E234" s="921"/>
      <c r="F234" s="914"/>
      <c r="G234" s="915" t="s">
        <v>558</v>
      </c>
      <c r="H234" s="916"/>
      <c r="I234" s="913">
        <f>F198</f>
        <v>507.05</v>
      </c>
      <c r="J234" s="917">
        <f>I234-E246-G249-G255-G260</f>
        <v>0</v>
      </c>
      <c r="K234" s="918"/>
      <c r="L234" s="919"/>
    </row>
    <row r="235">
      <c r="B235" s="768"/>
      <c r="C235" s="911" t="s">
        <v>661</v>
      </c>
      <c r="D235" s="912"/>
      <c r="E235" s="913">
        <f>SUM(E233/100*10)-182.63</f>
        <v>-0.0046386696</v>
      </c>
      <c r="F235" s="914"/>
      <c r="G235" s="922" t="s">
        <v>630</v>
      </c>
      <c r="H235" s="916"/>
      <c r="I235" s="913">
        <f>F201</f>
        <v>165.95</v>
      </c>
      <c r="J235" s="917">
        <f>I235-G248-G254-G261-E247</f>
        <v>0</v>
      </c>
      <c r="K235" s="918"/>
      <c r="L235" s="919"/>
    </row>
    <row r="236">
      <c r="B236" s="768"/>
      <c r="C236" s="911" t="s">
        <v>662</v>
      </c>
      <c r="D236" s="912"/>
      <c r="E236" s="913">
        <f>SUM(E233/100*10)-182.63</f>
        <v>-0.0046386696</v>
      </c>
      <c r="F236" s="914"/>
      <c r="G236" s="915" t="s">
        <v>573</v>
      </c>
      <c r="H236" s="916"/>
      <c r="I236" s="913">
        <f>F199</f>
        <v>79.52</v>
      </c>
      <c r="J236" s="917">
        <f>I236-G246-G252-G258-E250</f>
        <v>0</v>
      </c>
      <c r="K236" s="117"/>
      <c r="L236" s="923"/>
    </row>
    <row r="237">
      <c r="B237" s="768"/>
      <c r="C237" s="920"/>
      <c r="D237" s="921"/>
      <c r="E237" s="921"/>
      <c r="F237" s="914"/>
      <c r="G237" s="916" t="s">
        <v>576</v>
      </c>
      <c r="H237" s="916"/>
      <c r="I237" s="924">
        <f t="shared" ref="I237:I238" si="28">F202</f>
        <v>146</v>
      </c>
      <c r="J237" s="925">
        <f>I237-E249</f>
        <v>0</v>
      </c>
      <c r="K237" s="240"/>
      <c r="L237" s="907"/>
    </row>
    <row r="238">
      <c r="B238" s="768"/>
      <c r="C238" s="911" t="s">
        <v>663</v>
      </c>
      <c r="D238" s="912"/>
      <c r="E238" s="926">
        <f>SUM(E233)-(E235+E236)-0.01</f>
        <v>1826.252891</v>
      </c>
      <c r="F238" s="927"/>
      <c r="G238" s="928" t="s">
        <v>631</v>
      </c>
      <c r="H238" s="916"/>
      <c r="I238" s="924">
        <f t="shared" si="28"/>
        <v>469</v>
      </c>
      <c r="J238" s="925">
        <f>I238-E251</f>
        <v>0</v>
      </c>
      <c r="K238" s="240"/>
      <c r="L238" s="907"/>
    </row>
    <row r="239">
      <c r="B239" s="768"/>
      <c r="C239" s="911" t="s">
        <v>664</v>
      </c>
      <c r="D239" s="912"/>
      <c r="E239" s="913">
        <v>0.0</v>
      </c>
      <c r="F239" s="914"/>
      <c r="G239" s="921"/>
      <c r="H239" s="921"/>
      <c r="I239" s="929">
        <f t="shared" ref="I239:J239" si="29">SUM(I233:I238)</f>
        <v>1826.253613</v>
      </c>
      <c r="J239" s="930">
        <f t="shared" si="29"/>
        <v>0.003613304</v>
      </c>
      <c r="K239" s="7"/>
      <c r="L239" s="810"/>
    </row>
    <row r="240">
      <c r="B240" s="768"/>
      <c r="C240" s="920"/>
      <c r="D240" s="921"/>
      <c r="E240" s="921"/>
      <c r="F240" s="927"/>
      <c r="G240" s="931" t="s">
        <v>610</v>
      </c>
      <c r="H240" s="932"/>
      <c r="I240" s="926">
        <f>SUM(I233:I238)</f>
        <v>1826.253613</v>
      </c>
      <c r="J240" s="933"/>
      <c r="K240" s="7"/>
      <c r="L240" s="810"/>
    </row>
    <row r="241">
      <c r="B241" s="768"/>
      <c r="C241" s="911" t="s">
        <v>665</v>
      </c>
      <c r="D241" s="912"/>
      <c r="E241" s="934" t="s">
        <v>666</v>
      </c>
      <c r="F241" s="927"/>
      <c r="G241" s="1048" t="s">
        <v>667</v>
      </c>
      <c r="J241" s="933"/>
      <c r="K241" s="7"/>
      <c r="L241" s="810"/>
    </row>
    <row r="242">
      <c r="B242" s="768"/>
      <c r="C242" s="920"/>
      <c r="D242" s="916"/>
      <c r="E242" s="936"/>
      <c r="F242" s="927"/>
      <c r="G242" s="927"/>
      <c r="H242" s="927"/>
      <c r="I242" s="927"/>
      <c r="J242" s="933"/>
      <c r="K242" s="7"/>
      <c r="L242" s="810"/>
    </row>
    <row r="243">
      <c r="B243" s="768"/>
      <c r="C243" s="937" t="s">
        <v>620</v>
      </c>
      <c r="D243" s="938">
        <f>SUM(E238-D242)</f>
        <v>1826.252891</v>
      </c>
      <c r="E243" s="939">
        <f>D243</f>
        <v>1826.252891</v>
      </c>
      <c r="F243" s="940"/>
      <c r="G243" s="940"/>
      <c r="H243" s="940"/>
      <c r="I243" s="940"/>
      <c r="J243" s="941"/>
      <c r="K243" s="7"/>
      <c r="L243" s="810"/>
    </row>
    <row r="244">
      <c r="B244" s="768"/>
      <c r="C244" s="942"/>
      <c r="D244" s="117"/>
      <c r="E244" s="117"/>
      <c r="F244" s="117"/>
      <c r="G244" s="117"/>
      <c r="H244" s="117"/>
      <c r="I244" s="918"/>
      <c r="J244" s="943"/>
      <c r="K244" s="7"/>
      <c r="L244" s="810"/>
    </row>
    <row r="245">
      <c r="B245" s="768"/>
      <c r="C245" s="944" t="s">
        <v>668</v>
      </c>
      <c r="D245" s="593"/>
      <c r="E245" s="594"/>
      <c r="F245" s="117"/>
      <c r="G245" s="945" t="s">
        <v>669</v>
      </c>
      <c r="H245" s="594"/>
      <c r="I245" s="918"/>
      <c r="J245" s="943"/>
      <c r="K245" s="117"/>
      <c r="L245" s="923"/>
    </row>
    <row r="246">
      <c r="B246" s="768"/>
      <c r="C246" s="1049" t="s">
        <v>558</v>
      </c>
      <c r="D246" s="912"/>
      <c r="E246" s="1050">
        <v>507.05</v>
      </c>
      <c r="F246" s="948"/>
      <c r="G246" s="949">
        <v>0.0</v>
      </c>
      <c r="H246" s="950" t="s">
        <v>573</v>
      </c>
      <c r="I246" s="918"/>
      <c r="J246" s="943"/>
      <c r="K246" s="117"/>
      <c r="L246" s="923"/>
    </row>
    <row r="247">
      <c r="B247" s="768"/>
      <c r="C247" s="1049" t="s">
        <v>630</v>
      </c>
      <c r="D247" s="912"/>
      <c r="E247" s="1050">
        <v>165.95</v>
      </c>
      <c r="F247" s="948"/>
      <c r="G247" s="951">
        <v>0.0</v>
      </c>
      <c r="H247" s="1035" t="s">
        <v>587</v>
      </c>
      <c r="I247" s="918"/>
      <c r="J247" s="943"/>
      <c r="K247" s="117"/>
      <c r="L247" s="923"/>
    </row>
    <row r="248">
      <c r="B248" s="768"/>
      <c r="C248" s="1051" t="s">
        <v>587</v>
      </c>
      <c r="D248" s="912"/>
      <c r="E248" s="1050">
        <v>458.73</v>
      </c>
      <c r="F248" s="948"/>
      <c r="G248" s="949">
        <v>0.0</v>
      </c>
      <c r="H248" s="954" t="s">
        <v>671</v>
      </c>
      <c r="I248" s="955">
        <f>F254</f>
        <v>0</v>
      </c>
      <c r="J248" s="594"/>
      <c r="K248" s="117"/>
      <c r="L248" s="923"/>
    </row>
    <row r="249">
      <c r="B249" s="768"/>
      <c r="C249" s="1051" t="s">
        <v>576</v>
      </c>
      <c r="D249" s="912"/>
      <c r="E249" s="1050">
        <v>146.0</v>
      </c>
      <c r="F249" s="948"/>
      <c r="G249" s="949">
        <v>0.0</v>
      </c>
      <c r="H249" s="956" t="s">
        <v>558</v>
      </c>
      <c r="I249" s="957" t="s">
        <v>620</v>
      </c>
      <c r="J249" s="958" t="s">
        <v>672</v>
      </c>
      <c r="K249" s="117"/>
      <c r="L249" s="923"/>
    </row>
    <row r="250">
      <c r="B250" s="768"/>
      <c r="C250" s="1051" t="s">
        <v>573</v>
      </c>
      <c r="D250" s="912"/>
      <c r="E250" s="1050">
        <v>79.52</v>
      </c>
      <c r="F250" s="948"/>
      <c r="G250" s="959">
        <f>SUM(G246:G249)</f>
        <v>0</v>
      </c>
      <c r="H250" s="960" t="s">
        <v>610</v>
      </c>
      <c r="I250" s="961">
        <f>I248/2</f>
        <v>0</v>
      </c>
      <c r="J250" s="962"/>
      <c r="K250" s="7"/>
      <c r="L250" s="810"/>
    </row>
    <row r="251">
      <c r="B251" s="768"/>
      <c r="C251" s="1049" t="s">
        <v>631</v>
      </c>
      <c r="D251" s="912"/>
      <c r="E251" s="1050">
        <v>469.0</v>
      </c>
      <c r="F251" s="948"/>
      <c r="G251" s="964" t="s">
        <v>673</v>
      </c>
      <c r="H251" s="594"/>
      <c r="I251" s="965" t="s">
        <v>670</v>
      </c>
      <c r="J251" s="966" t="s">
        <v>674</v>
      </c>
      <c r="K251" s="7"/>
      <c r="L251" s="810"/>
    </row>
    <row r="252">
      <c r="B252" s="967"/>
      <c r="C252" s="952" t="s">
        <v>675</v>
      </c>
      <c r="D252" s="912"/>
      <c r="E252" s="968">
        <f>SUM(E243-(E246+E247+E248+E249+E250+E251))</f>
        <v>0.0028906432</v>
      </c>
      <c r="F252" s="969"/>
      <c r="G252" s="970">
        <v>0.0</v>
      </c>
      <c r="H252" s="971" t="s">
        <v>573</v>
      </c>
      <c r="I252" s="972">
        <f>I248/2</f>
        <v>0</v>
      </c>
      <c r="J252" s="973"/>
      <c r="K252" s="7"/>
      <c r="L252" s="810"/>
    </row>
    <row r="253">
      <c r="B253" s="967"/>
      <c r="C253" s="942"/>
      <c r="D253" s="918"/>
      <c r="E253" s="974">
        <f>SUM(E246:E251)</f>
        <v>1826.25</v>
      </c>
      <c r="F253" s="975"/>
      <c r="G253" s="976">
        <v>0.0</v>
      </c>
      <c r="H253" s="1036" t="s">
        <v>587</v>
      </c>
      <c r="I253" s="918"/>
      <c r="J253" s="978"/>
      <c r="K253" s="7"/>
      <c r="L253" s="810"/>
    </row>
    <row r="254">
      <c r="B254" s="967"/>
      <c r="C254" s="942"/>
      <c r="D254" s="943"/>
      <c r="E254" s="979" t="s">
        <v>698</v>
      </c>
      <c r="F254" s="1052">
        <v>0.0</v>
      </c>
      <c r="G254" s="970">
        <v>0.0</v>
      </c>
      <c r="H254" s="981" t="s">
        <v>671</v>
      </c>
      <c r="I254" s="612" t="s">
        <v>676</v>
      </c>
      <c r="J254" s="610"/>
      <c r="K254" s="1037" t="s">
        <v>699</v>
      </c>
      <c r="L254" s="1038" t="s">
        <v>700</v>
      </c>
    </row>
    <row r="255">
      <c r="B255" s="967"/>
      <c r="C255" s="942"/>
      <c r="D255" s="843"/>
      <c r="E255" s="982" t="s">
        <v>677</v>
      </c>
      <c r="F255" s="983">
        <f>F254</f>
        <v>0</v>
      </c>
      <c r="G255" s="970">
        <v>0.0</v>
      </c>
      <c r="H255" s="977" t="s">
        <v>558</v>
      </c>
      <c r="I255" s="918" t="s">
        <v>681</v>
      </c>
      <c r="J255" s="1039">
        <v>45558.0</v>
      </c>
      <c r="K255" s="1040">
        <v>45705.0</v>
      </c>
      <c r="L255" s="1042">
        <v>45712.0</v>
      </c>
    </row>
    <row r="256">
      <c r="B256" s="967"/>
      <c r="C256" s="942"/>
      <c r="D256" s="843"/>
      <c r="E256" s="985"/>
      <c r="F256" s="986"/>
      <c r="G256" s="987">
        <f>SUM(G253:G255)</f>
        <v>0</v>
      </c>
      <c r="H256" s="988" t="s">
        <v>610</v>
      </c>
      <c r="I256" s="918"/>
      <c r="J256" s="1039"/>
      <c r="K256" s="1040"/>
      <c r="L256" s="1042"/>
    </row>
    <row r="257">
      <c r="B257" s="768"/>
      <c r="C257" s="989"/>
      <c r="D257" s="943"/>
      <c r="E257" s="1043" t="s">
        <v>701</v>
      </c>
      <c r="F257" s="991"/>
      <c r="G257" s="945" t="s">
        <v>680</v>
      </c>
      <c r="H257" s="594"/>
      <c r="I257" s="918"/>
      <c r="J257" s="984"/>
      <c r="K257" s="7"/>
      <c r="L257" s="810"/>
    </row>
    <row r="258">
      <c r="B258" s="809"/>
      <c r="C258" s="992"/>
      <c r="D258" s="993" t="s">
        <v>587</v>
      </c>
      <c r="E258" s="994">
        <f>E248</f>
        <v>458.73</v>
      </c>
      <c r="F258" s="969"/>
      <c r="G258" s="949">
        <v>0.0</v>
      </c>
      <c r="H258" s="950" t="s">
        <v>573</v>
      </c>
      <c r="I258" s="918"/>
      <c r="J258" s="610"/>
      <c r="K258" s="7"/>
      <c r="L258" s="810"/>
    </row>
    <row r="259">
      <c r="B259" s="809"/>
      <c r="C259" s="992"/>
      <c r="D259" s="7"/>
      <c r="E259" s="995">
        <f>E247+E251+E250+E246+E249</f>
        <v>1367.52</v>
      </c>
      <c r="F259" s="969"/>
      <c r="G259" s="951">
        <v>0.0</v>
      </c>
      <c r="H259" s="1035" t="s">
        <v>587</v>
      </c>
      <c r="I259" s="7"/>
      <c r="J259" s="996"/>
      <c r="K259" s="7"/>
      <c r="L259" s="810"/>
    </row>
    <row r="260">
      <c r="B260" s="809"/>
      <c r="C260" s="992"/>
      <c r="D260" s="997" t="s">
        <v>682</v>
      </c>
      <c r="E260" s="995">
        <f>SUM(E258+E259)</f>
        <v>1826.25</v>
      </c>
      <c r="F260" s="998"/>
      <c r="G260" s="949">
        <v>0.0</v>
      </c>
      <c r="H260" s="950" t="s">
        <v>558</v>
      </c>
      <c r="I260" s="7"/>
      <c r="J260" s="996"/>
      <c r="K260" s="7"/>
      <c r="L260" s="810"/>
    </row>
    <row r="261">
      <c r="B261" s="809"/>
      <c r="C261" s="992"/>
      <c r="D261" s="7"/>
      <c r="E261" s="7"/>
      <c r="F261" s="998"/>
      <c r="G261" s="949">
        <v>0.0</v>
      </c>
      <c r="H261" s="999" t="s">
        <v>671</v>
      </c>
      <c r="I261" s="7"/>
      <c r="J261" s="996"/>
      <c r="K261" s="7"/>
      <c r="L261" s="810"/>
    </row>
    <row r="262">
      <c r="B262" s="809"/>
      <c r="C262" s="992"/>
      <c r="D262" s="7"/>
      <c r="E262" s="7"/>
      <c r="F262" s="998"/>
      <c r="G262" s="949">
        <f>SUM(G257:G261)</f>
        <v>0</v>
      </c>
      <c r="H262" s="950" t="s">
        <v>610</v>
      </c>
      <c r="I262" s="7"/>
      <c r="J262" s="996"/>
      <c r="K262" s="7"/>
      <c r="L262" s="810"/>
    </row>
    <row r="263">
      <c r="B263" s="809"/>
      <c r="C263" s="1000"/>
      <c r="D263" s="1001"/>
      <c r="E263" s="1001"/>
      <c r="F263" s="1001"/>
      <c r="G263" s="1002"/>
      <c r="H263" s="1002"/>
      <c r="I263" s="1001"/>
      <c r="J263" s="1003"/>
      <c r="K263" s="7"/>
      <c r="L263" s="810"/>
    </row>
    <row r="264">
      <c r="B264" s="1004"/>
      <c r="C264" s="1005"/>
      <c r="D264" s="1006"/>
      <c r="E264" s="1006"/>
      <c r="F264" s="1006"/>
      <c r="G264" s="1007"/>
      <c r="H264" s="1006"/>
      <c r="I264" s="1006"/>
      <c r="J264" s="1008"/>
      <c r="K264" s="1006"/>
      <c r="L264" s="1009"/>
    </row>
    <row r="267">
      <c r="B267" s="721" t="s">
        <v>708</v>
      </c>
      <c r="C267" s="722"/>
      <c r="D267" s="722"/>
      <c r="E267" s="722"/>
      <c r="F267" s="722"/>
      <c r="G267" s="722"/>
      <c r="H267" s="722"/>
      <c r="I267" s="722"/>
      <c r="J267" s="722"/>
      <c r="K267" s="722"/>
      <c r="L267" s="723"/>
    </row>
    <row r="268">
      <c r="B268" s="724"/>
      <c r="C268" s="725" t="s">
        <v>607</v>
      </c>
      <c r="D268" s="726" t="s">
        <v>608</v>
      </c>
      <c r="E268" s="727"/>
      <c r="F268" s="727"/>
      <c r="G268" s="727"/>
      <c r="H268" s="728"/>
      <c r="I268" s="729">
        <f>YEAR((TODAY()))</f>
        <v>2026</v>
      </c>
      <c r="J268" s="730"/>
      <c r="K268" s="731"/>
      <c r="L268" s="732"/>
    </row>
    <row r="269">
      <c r="B269" s="733"/>
      <c r="C269" s="734">
        <f>TODAY()</f>
        <v>46144</v>
      </c>
      <c r="D269" s="735" t="s">
        <v>609</v>
      </c>
      <c r="E269" s="736" t="s">
        <v>610</v>
      </c>
      <c r="F269" s="737"/>
      <c r="G269" s="737"/>
      <c r="H269" s="738"/>
      <c r="I269" s="730"/>
      <c r="J269" s="730"/>
      <c r="K269" s="730"/>
      <c r="L269" s="732"/>
    </row>
    <row r="270">
      <c r="B270" s="724"/>
      <c r="C270" s="739" t="s">
        <v>611</v>
      </c>
      <c r="D270" s="740"/>
      <c r="E270" s="741" t="s">
        <v>612</v>
      </c>
      <c r="F270" s="742" t="s">
        <v>613</v>
      </c>
      <c r="G270" s="743" t="s">
        <v>614</v>
      </c>
      <c r="H270" s="744" t="s">
        <v>615</v>
      </c>
      <c r="I270" s="745" t="s">
        <v>616</v>
      </c>
      <c r="J270" s="746" t="s">
        <v>617</v>
      </c>
      <c r="K270" s="747" t="s">
        <v>618</v>
      </c>
      <c r="L270" s="748" t="s">
        <v>619</v>
      </c>
    </row>
    <row r="271">
      <c r="B271" s="749"/>
      <c r="C271" s="750" t="s">
        <v>620</v>
      </c>
      <c r="D271" s="743">
        <v>1500.0</v>
      </c>
      <c r="E271" s="751">
        <f>SUM((D271/2)-F271)</f>
        <v>750</v>
      </c>
      <c r="F271" s="752">
        <v>0.0</v>
      </c>
      <c r="G271" s="753">
        <f>SUM(((D271/2)-H271))</f>
        <v>750</v>
      </c>
      <c r="H271" s="754">
        <v>0.0</v>
      </c>
      <c r="I271" s="755"/>
      <c r="J271" s="756"/>
      <c r="K271" s="757"/>
      <c r="L271" s="758"/>
    </row>
    <row r="272">
      <c r="B272" s="749"/>
      <c r="C272" s="759" t="s">
        <v>621</v>
      </c>
      <c r="D272" s="760">
        <v>1518.0</v>
      </c>
      <c r="E272" s="761">
        <f>SUM(((D272/100)*40)-F272)+((I272/100)*40)</f>
        <v>679.2</v>
      </c>
      <c r="F272" s="1010">
        <v>0.0</v>
      </c>
      <c r="G272" s="762">
        <f>SUM(((D272/100)*60)-H272)-L272+((I272/100)*60)</f>
        <v>679.95</v>
      </c>
      <c r="H272" s="775">
        <v>225.0</v>
      </c>
      <c r="I272" s="764">
        <v>180.0</v>
      </c>
      <c r="J272" s="765"/>
      <c r="K272" s="766"/>
      <c r="L272" s="767">
        <f>SUM(D272/100)*7.5</f>
        <v>113.85</v>
      </c>
    </row>
    <row r="273">
      <c r="B273" s="768"/>
      <c r="C273" s="769" t="s">
        <v>622</v>
      </c>
      <c r="D273" s="753">
        <v>1518.0</v>
      </c>
      <c r="E273" s="770">
        <f>SUM((((D273/100)*40)-F273))</f>
        <v>607.2</v>
      </c>
      <c r="F273" s="752">
        <v>0.0</v>
      </c>
      <c r="G273" s="753">
        <f>SUM(((D273/100)*60)-H273)+J273-L273-I273</f>
        <v>861.0875593</v>
      </c>
      <c r="H273" s="771">
        <v>182.0</v>
      </c>
      <c r="I273" s="772">
        <v>27.78</v>
      </c>
      <c r="J273" s="756">
        <f>SUM(D273/100)*19.65</f>
        <v>298.287</v>
      </c>
      <c r="K273" s="757"/>
      <c r="L273" s="758">
        <f>SUM((D273+J273)/100)*7.61</f>
        <v>138.2194407</v>
      </c>
    </row>
    <row r="274">
      <c r="B274" s="768"/>
      <c r="C274" s="773" t="s">
        <v>623</v>
      </c>
      <c r="D274" s="760">
        <v>1518.0</v>
      </c>
      <c r="E274" s="774">
        <f>SUM(((((D274/100)*40))-F274))</f>
        <v>607.2</v>
      </c>
      <c r="F274" s="775">
        <v>0.0</v>
      </c>
      <c r="G274" s="762">
        <f>SUM(((D274/100)*60)-H274)+J274-K274-L274-I274</f>
        <v>982.1463867</v>
      </c>
      <c r="H274" s="776">
        <v>73.06</v>
      </c>
      <c r="I274" s="764">
        <v>0.0</v>
      </c>
      <c r="J274" s="1044">
        <f>SUM(D274/100)*17.42</f>
        <v>264.4356</v>
      </c>
      <c r="K274" s="1045">
        <v>0.0</v>
      </c>
      <c r="L274" s="1046">
        <f>SUM((D274+J274)/100)*6.734</f>
        <v>120.0292133</v>
      </c>
    </row>
    <row r="275">
      <c r="B275" s="768"/>
      <c r="C275" s="778" t="s">
        <v>624</v>
      </c>
      <c r="D275" s="779">
        <v>1500.0</v>
      </c>
      <c r="E275" s="780">
        <f>SUM((D275/2)-F275)</f>
        <v>750</v>
      </c>
      <c r="F275" s="779">
        <v>0.0</v>
      </c>
      <c r="G275" s="781">
        <f>SUM(((D275/2)-H275))-I275</f>
        <v>750</v>
      </c>
      <c r="H275" s="782">
        <v>0.0</v>
      </c>
      <c r="I275" s="772">
        <v>0.0</v>
      </c>
      <c r="J275" s="756"/>
      <c r="K275" s="757"/>
      <c r="L275" s="758"/>
    </row>
    <row r="276">
      <c r="B276" s="768"/>
      <c r="C276" s="783"/>
      <c r="D276" s="784"/>
      <c r="E276" s="785"/>
      <c r="F276" s="785"/>
      <c r="G276" s="762"/>
      <c r="H276" s="786"/>
      <c r="I276" s="777"/>
      <c r="J276" s="765"/>
      <c r="K276" s="766"/>
      <c r="L276" s="767"/>
    </row>
    <row r="277">
      <c r="B277" s="768"/>
      <c r="C277" s="787"/>
      <c r="D277" s="779"/>
      <c r="E277" s="779"/>
      <c r="F277" s="779"/>
      <c r="G277" s="781"/>
      <c r="H277" s="782"/>
      <c r="I277" s="755"/>
      <c r="J277" s="765">
        <f>SUM(D277/100)*20</f>
        <v>0</v>
      </c>
      <c r="K277" s="766">
        <f>SUM(D277/100)*6</f>
        <v>0</v>
      </c>
      <c r="L277" s="767">
        <f>SUM((D277+J277)/100)*7.75</f>
        <v>0</v>
      </c>
    </row>
    <row r="278">
      <c r="B278" s="768"/>
      <c r="C278" s="789"/>
      <c r="D278" s="790"/>
      <c r="E278" s="790"/>
      <c r="F278" s="790"/>
      <c r="G278" s="790"/>
      <c r="H278" s="791"/>
      <c r="I278" s="792"/>
      <c r="J278" s="793"/>
      <c r="K278" s="794"/>
      <c r="L278" s="795"/>
    </row>
    <row r="279">
      <c r="B279" s="724"/>
      <c r="C279" s="796" t="s">
        <v>610</v>
      </c>
      <c r="D279" s="797"/>
      <c r="E279" s="798">
        <f>SUM(E271:E278)</f>
        <v>3393.6</v>
      </c>
      <c r="F279" s="797"/>
      <c r="G279" s="799">
        <f>SUM(G271:G278)</f>
        <v>4023.183946</v>
      </c>
      <c r="H279" s="1011">
        <f>SUM(G272:G274)</f>
        <v>2523.183946</v>
      </c>
      <c r="I279" s="801"/>
      <c r="J279" s="802"/>
      <c r="K279" s="730"/>
      <c r="L279" s="732"/>
    </row>
    <row r="280">
      <c r="B280" s="724"/>
      <c r="C280" s="803"/>
      <c r="D280" s="804"/>
      <c r="E280" s="804"/>
      <c r="F280" s="804"/>
      <c r="G280" s="804"/>
      <c r="H280" s="804"/>
      <c r="I280" s="805"/>
      <c r="J280" s="806"/>
      <c r="K280" s="807"/>
      <c r="L280" s="808"/>
    </row>
    <row r="281">
      <c r="B281" s="809"/>
      <c r="C281" s="7"/>
      <c r="D281" s="7"/>
      <c r="E281" s="7"/>
      <c r="F281" s="7"/>
      <c r="G281" s="7"/>
      <c r="H281" s="7"/>
      <c r="I281" s="7"/>
      <c r="J281" s="7"/>
      <c r="K281" s="7"/>
      <c r="L281" s="810"/>
    </row>
    <row r="282">
      <c r="B282" s="811">
        <v>45406.0</v>
      </c>
      <c r="C282" s="812"/>
      <c r="D282" s="812"/>
      <c r="E282" s="812"/>
      <c r="F282" s="812"/>
      <c r="G282" s="812"/>
      <c r="H282" s="812"/>
      <c r="I282" s="812"/>
      <c r="J282" s="812"/>
      <c r="K282" s="812"/>
      <c r="L282" s="813"/>
    </row>
    <row r="283">
      <c r="B283" s="814"/>
      <c r="C283" s="815"/>
      <c r="D283" s="815"/>
      <c r="E283" s="815"/>
      <c r="F283" s="815"/>
      <c r="G283" s="815"/>
      <c r="H283" s="815"/>
      <c r="I283" s="815"/>
      <c r="J283" s="815"/>
      <c r="K283" s="815"/>
      <c r="L283" s="816"/>
    </row>
    <row r="284">
      <c r="B284" s="817" t="s">
        <v>571</v>
      </c>
      <c r="C284" s="812"/>
      <c r="D284" s="812"/>
      <c r="E284" s="812"/>
      <c r="F284" s="818"/>
      <c r="G284" s="867" t="s">
        <v>709</v>
      </c>
      <c r="H284" s="1012" t="s">
        <v>685</v>
      </c>
      <c r="I284" s="593"/>
      <c r="J284" s="593"/>
      <c r="K284" s="593"/>
      <c r="L284" s="821"/>
    </row>
    <row r="285">
      <c r="B285" s="822" t="s">
        <v>625</v>
      </c>
      <c r="C285" s="823" t="s">
        <v>626</v>
      </c>
      <c r="D285" s="824"/>
      <c r="E285" s="825" t="s">
        <v>627</v>
      </c>
      <c r="F285" s="826" t="s">
        <v>628</v>
      </c>
      <c r="G285" s="1013">
        <v>1290.0</v>
      </c>
      <c r="H285" s="621" t="s">
        <v>580</v>
      </c>
      <c r="I285" s="827" t="s">
        <v>704</v>
      </c>
      <c r="J285" s="827" t="s">
        <v>710</v>
      </c>
      <c r="K285" s="621" t="s">
        <v>583</v>
      </c>
      <c r="L285" s="828" t="s">
        <v>584</v>
      </c>
    </row>
    <row r="286">
      <c r="B286" s="829">
        <v>3642.0</v>
      </c>
      <c r="C286" s="830" t="s">
        <v>558</v>
      </c>
      <c r="D286" s="831">
        <f>SUM(B286-K286)</f>
        <v>3292</v>
      </c>
      <c r="E286" s="831">
        <f>SUMIF(H295:H316,"IFOOD",G295:G316)</f>
        <v>1383.52</v>
      </c>
      <c r="F286" s="832">
        <f t="shared" ref="F286:F291" si="30">D286-E286</f>
        <v>1908.48</v>
      </c>
      <c r="G286" s="833"/>
      <c r="H286" s="623" t="s">
        <v>558</v>
      </c>
      <c r="I286" s="624">
        <v>350.0</v>
      </c>
      <c r="J286" s="625">
        <v>0.0</v>
      </c>
      <c r="K286" s="625">
        <f t="shared" ref="K286:K287" si="31">I286</f>
        <v>350</v>
      </c>
      <c r="L286" s="834">
        <f t="shared" ref="L286:L291" si="32">SUM(J286+K286)</f>
        <v>350</v>
      </c>
    </row>
    <row r="287">
      <c r="B287" s="835">
        <v>1670.0</v>
      </c>
      <c r="C287" s="836" t="s">
        <v>573</v>
      </c>
      <c r="D287" s="625">
        <f>SUM(B287-K290)</f>
        <v>1500.14</v>
      </c>
      <c r="E287" s="837">
        <f>SUMIF(H295:H317,"Caixa",G295:G317)</f>
        <v>982.1463867</v>
      </c>
      <c r="F287" s="838">
        <f t="shared" si="30"/>
        <v>517.9936133</v>
      </c>
      <c r="G287" s="647"/>
      <c r="H287" s="839" t="s">
        <v>630</v>
      </c>
      <c r="I287" s="628">
        <v>0.0</v>
      </c>
      <c r="J287" s="629">
        <v>0.0</v>
      </c>
      <c r="K287" s="629">
        <f t="shared" si="31"/>
        <v>0</v>
      </c>
      <c r="L287" s="1015">
        <f t="shared" si="32"/>
        <v>0</v>
      </c>
    </row>
    <row r="288">
      <c r="B288" s="829">
        <v>5195.0</v>
      </c>
      <c r="C288" s="830" t="s">
        <v>574</v>
      </c>
      <c r="D288" s="831">
        <f>B288</f>
        <v>5195</v>
      </c>
      <c r="E288" s="831">
        <f>SUMIF(H295:H318,"Cash",G295:G318)</f>
        <v>2161.087559</v>
      </c>
      <c r="F288" s="832">
        <f t="shared" si="30"/>
        <v>3033.912441</v>
      </c>
      <c r="G288" s="833"/>
      <c r="H288" s="623" t="s">
        <v>587</v>
      </c>
      <c r="I288" s="624">
        <v>2450.0</v>
      </c>
      <c r="J288" s="624">
        <v>2200.0</v>
      </c>
      <c r="K288" s="625">
        <f>I288-G285</f>
        <v>1160</v>
      </c>
      <c r="L288" s="834">
        <f t="shared" si="32"/>
        <v>3360</v>
      </c>
    </row>
    <row r="289">
      <c r="B289" s="835">
        <v>2664.0</v>
      </c>
      <c r="C289" s="841" t="s">
        <v>630</v>
      </c>
      <c r="D289" s="625">
        <f>SUM(B289-K287)</f>
        <v>2664</v>
      </c>
      <c r="E289" s="837">
        <f>SUMIF(H295:H319,"Infinity 1",G295:G319)</f>
        <v>2179.95</v>
      </c>
      <c r="F289" s="838">
        <f t="shared" si="30"/>
        <v>484.05</v>
      </c>
      <c r="G289" s="647"/>
      <c r="H289" s="634" t="s">
        <v>576</v>
      </c>
      <c r="I289" s="635">
        <v>53.66</v>
      </c>
      <c r="J289" s="636">
        <v>0.0</v>
      </c>
      <c r="K289" s="636">
        <f t="shared" ref="K289:K291" si="33">I289</f>
        <v>53.66</v>
      </c>
      <c r="L289" s="842">
        <f t="shared" si="32"/>
        <v>53.66</v>
      </c>
    </row>
    <row r="290">
      <c r="B290" s="829">
        <v>130.0</v>
      </c>
      <c r="C290" s="830" t="s">
        <v>576</v>
      </c>
      <c r="D290" s="831">
        <f>SUM(B290-K289)</f>
        <v>76.34</v>
      </c>
      <c r="E290" s="831">
        <f>SUMIF(H297:H320,"Stone",G297:G320)</f>
        <v>0</v>
      </c>
      <c r="F290" s="832">
        <f t="shared" si="30"/>
        <v>76.34</v>
      </c>
      <c r="G290" s="843"/>
      <c r="H290" s="641" t="s">
        <v>573</v>
      </c>
      <c r="I290" s="638">
        <v>169.86</v>
      </c>
      <c r="J290" s="844">
        <v>0.0</v>
      </c>
      <c r="K290" s="844">
        <f t="shared" si="33"/>
        <v>169.86</v>
      </c>
      <c r="L290" s="845">
        <f t="shared" si="32"/>
        <v>169.86</v>
      </c>
    </row>
    <row r="291">
      <c r="B291" s="846">
        <v>1365.0</v>
      </c>
      <c r="C291" s="847" t="s">
        <v>631</v>
      </c>
      <c r="D291" s="848">
        <f>SUM(B291-K291)</f>
        <v>1365</v>
      </c>
      <c r="E291" s="848">
        <f>SUMIF(H297:H321,"Infinity 2",G297:G321)</f>
        <v>0</v>
      </c>
      <c r="F291" s="849">
        <f t="shared" si="30"/>
        <v>1365</v>
      </c>
      <c r="G291" s="117"/>
      <c r="H291" s="850" t="s">
        <v>631</v>
      </c>
      <c r="I291" s="851">
        <v>0.0</v>
      </c>
      <c r="J291" s="851">
        <v>0.0</v>
      </c>
      <c r="K291" s="852">
        <f t="shared" si="33"/>
        <v>0</v>
      </c>
      <c r="L291" s="853">
        <f t="shared" si="32"/>
        <v>0</v>
      </c>
    </row>
    <row r="292">
      <c r="B292" s="854"/>
      <c r="C292" s="855" t="s">
        <v>578</v>
      </c>
      <c r="D292" s="856">
        <f t="shared" ref="D292:F292" si="34">SUM(D286:D291)</f>
        <v>14092.48</v>
      </c>
      <c r="E292" s="857">
        <f t="shared" si="34"/>
        <v>6706.703946</v>
      </c>
      <c r="F292" s="858">
        <f t="shared" si="34"/>
        <v>7385.776054</v>
      </c>
      <c r="G292" s="117"/>
      <c r="H292" s="859" t="s">
        <v>589</v>
      </c>
      <c r="I292" s="860" t="s">
        <v>590</v>
      </c>
      <c r="J292" s="861" t="s">
        <v>134</v>
      </c>
      <c r="K292" s="862">
        <f t="shared" ref="K292:L292" si="35">SUM(K286:K290)</f>
        <v>1733.52</v>
      </c>
      <c r="L292" s="863">
        <f t="shared" si="35"/>
        <v>3933.52</v>
      </c>
    </row>
    <row r="293">
      <c r="B293" s="724"/>
      <c r="C293" s="9"/>
      <c r="D293" s="9"/>
      <c r="E293" s="9"/>
      <c r="F293" s="9"/>
      <c r="G293" s="117"/>
      <c r="H293" s="864">
        <v>0.0</v>
      </c>
      <c r="I293" s="865">
        <v>169.86</v>
      </c>
      <c r="J293" s="866"/>
      <c r="K293" s="7"/>
      <c r="L293" s="810"/>
    </row>
    <row r="294">
      <c r="B294" s="724"/>
      <c r="C294" s="869" t="s">
        <v>634</v>
      </c>
      <c r="D294" s="870" t="s">
        <v>600</v>
      </c>
      <c r="E294" s="870" t="s">
        <v>5</v>
      </c>
      <c r="F294" s="870" t="s">
        <v>4</v>
      </c>
      <c r="G294" s="870" t="s">
        <v>16</v>
      </c>
      <c r="H294" s="871" t="s">
        <v>635</v>
      </c>
      <c r="I294" s="872"/>
      <c r="L294" s="873"/>
    </row>
    <row r="295">
      <c r="B295" s="809"/>
      <c r="C295" s="874" t="s">
        <v>636</v>
      </c>
      <c r="D295" s="659">
        <v>1300.0</v>
      </c>
      <c r="E295" s="1017">
        <v>45782.0</v>
      </c>
      <c r="F295" s="1018"/>
      <c r="G295" s="892">
        <f t="shared" ref="G295:G313" si="36">IF(F295="",D295,"")</f>
        <v>1300</v>
      </c>
      <c r="H295" s="1024" t="s">
        <v>574</v>
      </c>
      <c r="I295" s="878"/>
      <c r="J295" s="878"/>
      <c r="K295" s="878"/>
      <c r="L295" s="879"/>
    </row>
    <row r="296">
      <c r="B296" s="809"/>
      <c r="C296" s="874"/>
      <c r="D296" s="892"/>
      <c r="E296" s="1020"/>
      <c r="F296" s="1018"/>
      <c r="G296" s="892" t="str">
        <f t="shared" si="36"/>
        <v/>
      </c>
      <c r="H296" s="1021"/>
      <c r="I296" s="883"/>
      <c r="J296" s="884"/>
      <c r="K296" s="885"/>
      <c r="L296" s="879"/>
    </row>
    <row r="297">
      <c r="B297" s="809"/>
      <c r="C297" s="886" t="s">
        <v>637</v>
      </c>
      <c r="D297" s="892">
        <f t="shared" ref="D297:D299" si="37">G272</f>
        <v>679.95</v>
      </c>
      <c r="E297" s="1017">
        <v>45782.0</v>
      </c>
      <c r="F297" s="1022"/>
      <c r="G297" s="892">
        <f t="shared" si="36"/>
        <v>679.95</v>
      </c>
      <c r="H297" s="1024" t="s">
        <v>630</v>
      </c>
      <c r="I297" s="883"/>
      <c r="J297" s="884"/>
      <c r="K297" s="885"/>
      <c r="L297" s="879"/>
    </row>
    <row r="298">
      <c r="B298" s="809"/>
      <c r="C298" s="886" t="s">
        <v>705</v>
      </c>
      <c r="D298" s="892">
        <f t="shared" si="37"/>
        <v>861.0875593</v>
      </c>
      <c r="E298" s="1017">
        <v>45782.0</v>
      </c>
      <c r="F298" s="1018"/>
      <c r="G298" s="892">
        <f t="shared" si="36"/>
        <v>861.0875593</v>
      </c>
      <c r="H298" s="1024" t="s">
        <v>574</v>
      </c>
      <c r="I298" s="883"/>
      <c r="J298" s="884"/>
      <c r="K298" s="885"/>
      <c r="L298" s="879"/>
    </row>
    <row r="299">
      <c r="B299" s="809"/>
      <c r="C299" s="886" t="s">
        <v>706</v>
      </c>
      <c r="D299" s="892">
        <f t="shared" si="37"/>
        <v>982.1463867</v>
      </c>
      <c r="E299" s="1017">
        <v>45782.0</v>
      </c>
      <c r="F299" s="1018"/>
      <c r="G299" s="892">
        <f t="shared" si="36"/>
        <v>982.1463867</v>
      </c>
      <c r="H299" s="1024" t="s">
        <v>573</v>
      </c>
      <c r="I299" s="884"/>
      <c r="K299" s="885"/>
      <c r="L299" s="879"/>
    </row>
    <row r="300">
      <c r="B300" s="809"/>
      <c r="C300" s="874" t="s">
        <v>638</v>
      </c>
      <c r="D300" s="892">
        <f>E279</f>
        <v>3393.6</v>
      </c>
      <c r="E300" s="1017">
        <v>45767.0</v>
      </c>
      <c r="F300" s="1018" t="s">
        <v>639</v>
      </c>
      <c r="G300" s="892" t="str">
        <f t="shared" si="36"/>
        <v/>
      </c>
      <c r="H300" s="1024"/>
      <c r="I300" s="890"/>
      <c r="J300" s="9"/>
      <c r="K300" s="891"/>
      <c r="L300" s="879"/>
    </row>
    <row r="301">
      <c r="B301" s="809"/>
      <c r="C301" s="874" t="s">
        <v>640</v>
      </c>
      <c r="D301" s="892">
        <v>430.0</v>
      </c>
      <c r="E301" s="1017">
        <v>45757.0</v>
      </c>
      <c r="F301" s="1018" t="s">
        <v>639</v>
      </c>
      <c r="G301" s="892" t="str">
        <f t="shared" si="36"/>
        <v/>
      </c>
      <c r="H301" s="1021"/>
      <c r="I301" s="890"/>
      <c r="J301" s="893"/>
      <c r="K301" s="891"/>
      <c r="L301" s="879"/>
    </row>
    <row r="302">
      <c r="B302" s="809"/>
      <c r="C302" s="874" t="s">
        <v>641</v>
      </c>
      <c r="D302" s="892">
        <f>G271</f>
        <v>750</v>
      </c>
      <c r="E302" s="1017">
        <v>45782.0</v>
      </c>
      <c r="F302" s="1018"/>
      <c r="G302" s="892">
        <f t="shared" si="36"/>
        <v>750</v>
      </c>
      <c r="H302" s="1024" t="s">
        <v>630</v>
      </c>
      <c r="I302" s="890"/>
      <c r="J302" s="893"/>
      <c r="K302" s="891"/>
      <c r="L302" s="879"/>
    </row>
    <row r="303">
      <c r="B303" s="809"/>
      <c r="C303" s="874" t="s">
        <v>691</v>
      </c>
      <c r="D303" s="892">
        <v>105.0</v>
      </c>
      <c r="E303" s="1017">
        <v>45772.0</v>
      </c>
      <c r="F303" s="1018" t="s">
        <v>639</v>
      </c>
      <c r="G303" s="892" t="str">
        <f t="shared" si="36"/>
        <v/>
      </c>
      <c r="H303" s="1021"/>
      <c r="I303" s="890"/>
      <c r="J303" s="9"/>
      <c r="K303" s="891"/>
      <c r="L303" s="879"/>
    </row>
    <row r="304">
      <c r="B304" s="809"/>
      <c r="C304" s="874" t="s">
        <v>644</v>
      </c>
      <c r="D304" s="892"/>
      <c r="E304" s="1020"/>
      <c r="F304" s="1018"/>
      <c r="G304" s="892" t="str">
        <f t="shared" si="36"/>
        <v/>
      </c>
      <c r="H304" s="1021"/>
      <c r="I304" s="890"/>
      <c r="J304" s="9"/>
      <c r="K304" s="891"/>
      <c r="L304" s="879"/>
    </row>
    <row r="305">
      <c r="B305" s="809"/>
      <c r="C305" s="874" t="s">
        <v>645</v>
      </c>
      <c r="D305" s="892">
        <v>120.0</v>
      </c>
      <c r="E305" s="1017">
        <v>45767.0</v>
      </c>
      <c r="F305" s="1018" t="s">
        <v>639</v>
      </c>
      <c r="G305" s="1018" t="str">
        <f t="shared" si="36"/>
        <v/>
      </c>
      <c r="H305" s="1021"/>
      <c r="I305" s="890"/>
      <c r="J305" s="9"/>
      <c r="K305" s="891"/>
      <c r="L305" s="879"/>
    </row>
    <row r="306">
      <c r="B306" s="809"/>
      <c r="C306" s="874" t="s">
        <v>646</v>
      </c>
      <c r="D306" s="892" t="s">
        <v>134</v>
      </c>
      <c r="E306" s="1017">
        <v>45767.0</v>
      </c>
      <c r="F306" s="1018" t="s">
        <v>639</v>
      </c>
      <c r="G306" s="892" t="str">
        <f t="shared" si="36"/>
        <v/>
      </c>
      <c r="H306" s="1021"/>
      <c r="I306" s="890"/>
      <c r="J306" s="9"/>
      <c r="K306" s="891"/>
      <c r="L306" s="879"/>
    </row>
    <row r="307">
      <c r="B307" s="809"/>
      <c r="C307" s="874" t="s">
        <v>647</v>
      </c>
      <c r="D307" s="892"/>
      <c r="E307" s="1020"/>
      <c r="F307" s="1018"/>
      <c r="G307" s="892" t="str">
        <f t="shared" si="36"/>
        <v/>
      </c>
      <c r="H307" s="1021"/>
      <c r="I307" s="890"/>
      <c r="J307" s="9"/>
      <c r="K307" s="891"/>
      <c r="L307" s="879"/>
    </row>
    <row r="308">
      <c r="B308" s="809"/>
      <c r="C308" s="874" t="s">
        <v>648</v>
      </c>
      <c r="D308" s="892">
        <v>697.42</v>
      </c>
      <c r="E308" s="1017">
        <v>45767.0</v>
      </c>
      <c r="F308" s="1018" t="s">
        <v>639</v>
      </c>
      <c r="G308" s="892" t="str">
        <f t="shared" si="36"/>
        <v/>
      </c>
      <c r="H308" s="1021"/>
      <c r="I308" s="890"/>
      <c r="J308" s="9"/>
      <c r="K308" s="891"/>
      <c r="L308" s="879"/>
    </row>
    <row r="309">
      <c r="B309" s="809"/>
      <c r="C309" s="874" t="s">
        <v>649</v>
      </c>
      <c r="D309" s="892">
        <v>435.9</v>
      </c>
      <c r="E309" s="1017">
        <v>45767.0</v>
      </c>
      <c r="F309" s="1018" t="s">
        <v>639</v>
      </c>
      <c r="G309" s="892" t="str">
        <f t="shared" si="36"/>
        <v/>
      </c>
      <c r="H309" s="1021"/>
      <c r="I309" s="890"/>
      <c r="J309" s="9"/>
      <c r="K309" s="891"/>
      <c r="L309" s="879"/>
    </row>
    <row r="310">
      <c r="B310" s="809"/>
      <c r="C310" s="874" t="s">
        <v>650</v>
      </c>
      <c r="D310" s="892">
        <v>323.92</v>
      </c>
      <c r="E310" s="1017">
        <v>45767.0</v>
      </c>
      <c r="F310" s="1018" t="s">
        <v>639</v>
      </c>
      <c r="G310" s="892" t="str">
        <f t="shared" si="36"/>
        <v/>
      </c>
      <c r="H310" s="1024"/>
      <c r="I310" s="890"/>
      <c r="J310" s="9"/>
      <c r="K310" s="891"/>
      <c r="L310" s="879"/>
    </row>
    <row r="311">
      <c r="B311" s="809"/>
      <c r="C311" s="874" t="s">
        <v>652</v>
      </c>
      <c r="D311" s="892"/>
      <c r="E311" s="1020"/>
      <c r="F311" s="1018"/>
      <c r="G311" s="892" t="str">
        <f t="shared" si="36"/>
        <v/>
      </c>
      <c r="H311" s="1021"/>
      <c r="I311" s="890"/>
      <c r="J311" s="9"/>
      <c r="K311" s="891"/>
      <c r="L311" s="879"/>
    </row>
    <row r="312">
      <c r="B312" s="809"/>
      <c r="C312" s="874" t="s">
        <v>653</v>
      </c>
      <c r="D312" s="892"/>
      <c r="E312" s="1020"/>
      <c r="F312" s="1018"/>
      <c r="G312" s="892" t="str">
        <f t="shared" si="36"/>
        <v/>
      </c>
      <c r="H312" s="1021"/>
      <c r="I312" s="890"/>
      <c r="J312" s="9"/>
      <c r="K312" s="891"/>
      <c r="L312" s="879"/>
    </row>
    <row r="313">
      <c r="B313" s="809"/>
      <c r="C313" s="874" t="s">
        <v>654</v>
      </c>
      <c r="D313" s="892"/>
      <c r="E313" s="1020"/>
      <c r="F313" s="1018"/>
      <c r="G313" s="892" t="str">
        <f t="shared" si="36"/>
        <v/>
      </c>
      <c r="H313" s="1021"/>
      <c r="I313" s="890"/>
      <c r="J313" s="9"/>
      <c r="K313" s="891"/>
      <c r="L313" s="879"/>
    </row>
    <row r="314">
      <c r="B314" s="809"/>
      <c r="C314" s="874"/>
      <c r="D314" s="892"/>
      <c r="E314" s="1020"/>
      <c r="F314" s="1018"/>
      <c r="G314" s="892"/>
      <c r="H314" s="1021"/>
      <c r="I314" s="890"/>
      <c r="J314" s="9"/>
      <c r="K314" s="891"/>
      <c r="L314" s="879"/>
    </row>
    <row r="315">
      <c r="B315" s="809"/>
      <c r="C315" s="886" t="s">
        <v>651</v>
      </c>
      <c r="D315" s="659">
        <v>1383.52</v>
      </c>
      <c r="E315" s="1017">
        <v>45754.0</v>
      </c>
      <c r="F315" s="1018"/>
      <c r="G315" s="892">
        <f t="shared" ref="G315:G318" si="38">IF(F315="",D315,"")</f>
        <v>1383.52</v>
      </c>
      <c r="H315" s="1024" t="s">
        <v>558</v>
      </c>
      <c r="I315" s="890"/>
      <c r="J315" s="9"/>
      <c r="K315" s="891"/>
      <c r="L315" s="879"/>
    </row>
    <row r="316">
      <c r="B316" s="809"/>
      <c r="C316" s="874" t="s">
        <v>657</v>
      </c>
      <c r="D316" s="892">
        <v>750.0</v>
      </c>
      <c r="E316" s="1017">
        <v>45767.0</v>
      </c>
      <c r="F316" s="1018" t="s">
        <v>639</v>
      </c>
      <c r="G316" s="892" t="str">
        <f t="shared" si="38"/>
        <v/>
      </c>
      <c r="H316" s="1021"/>
      <c r="I316" s="890"/>
      <c r="J316" s="9"/>
      <c r="K316" s="891"/>
      <c r="L316" s="879"/>
    </row>
    <row r="317">
      <c r="B317" s="809"/>
      <c r="C317" s="894" t="s">
        <v>658</v>
      </c>
      <c r="D317" s="1025">
        <v>750.0</v>
      </c>
      <c r="E317" s="1017">
        <v>45782.0</v>
      </c>
      <c r="F317" s="1026"/>
      <c r="G317" s="892">
        <f t="shared" si="38"/>
        <v>750</v>
      </c>
      <c r="H317" s="1047" t="s">
        <v>630</v>
      </c>
      <c r="I317" s="890"/>
      <c r="J317" s="9"/>
      <c r="K317" s="891"/>
      <c r="L317" s="879"/>
    </row>
    <row r="318">
      <c r="B318" s="809"/>
      <c r="C318" s="1028" t="s">
        <v>707</v>
      </c>
      <c r="D318" s="1029"/>
      <c r="E318" s="1030">
        <v>45721.0</v>
      </c>
      <c r="F318" s="1031"/>
      <c r="G318" s="1032" t="str">
        <f t="shared" si="38"/>
        <v/>
      </c>
      <c r="H318" s="1033"/>
      <c r="I318" s="890"/>
      <c r="J318" s="9"/>
      <c r="K318" s="891"/>
      <c r="L318" s="879"/>
    </row>
    <row r="319">
      <c r="B319" s="809"/>
      <c r="C319" s="904"/>
      <c r="D319" s="905"/>
      <c r="E319" s="906"/>
      <c r="F319" s="904"/>
      <c r="G319" s="904"/>
      <c r="H319" s="904"/>
      <c r="I319" s="906"/>
      <c r="J319" s="904"/>
      <c r="K319" s="240"/>
      <c r="L319" s="907"/>
    </row>
    <row r="320">
      <c r="B320" s="724"/>
      <c r="C320" s="908" t="s">
        <v>710</v>
      </c>
      <c r="D320" s="909"/>
      <c r="E320" s="909"/>
      <c r="F320" s="909"/>
      <c r="G320" s="909"/>
      <c r="H320" s="909"/>
      <c r="I320" s="909"/>
      <c r="J320" s="910"/>
      <c r="K320" s="891"/>
      <c r="L320" s="879"/>
    </row>
    <row r="321">
      <c r="B321" s="768"/>
      <c r="C321" s="911" t="s">
        <v>659</v>
      </c>
      <c r="D321" s="912"/>
      <c r="E321" s="913">
        <f>I328</f>
        <v>6385.776054</v>
      </c>
      <c r="F321" s="914"/>
      <c r="G321" s="915" t="s">
        <v>660</v>
      </c>
      <c r="H321" s="916"/>
      <c r="I321" s="913">
        <f>F288</f>
        <v>3033.912441</v>
      </c>
      <c r="J321" s="917">
        <f>I321-G335-G341-G347-E336</f>
        <v>0.0024407</v>
      </c>
      <c r="K321" s="918"/>
      <c r="L321" s="919"/>
    </row>
    <row r="322">
      <c r="B322" s="768"/>
      <c r="C322" s="920"/>
      <c r="D322" s="921"/>
      <c r="E322" s="921"/>
      <c r="F322" s="914"/>
      <c r="G322" s="915" t="s">
        <v>558</v>
      </c>
      <c r="H322" s="916"/>
      <c r="I322" s="913">
        <f>F286</f>
        <v>1908.48</v>
      </c>
      <c r="J322" s="917">
        <f>I322-E334-G337-G343-G348</f>
        <v>0</v>
      </c>
      <c r="K322" s="918"/>
      <c r="L322" s="919"/>
    </row>
    <row r="323">
      <c r="B323" s="768"/>
      <c r="C323" s="911" t="s">
        <v>661</v>
      </c>
      <c r="D323" s="912"/>
      <c r="E323" s="913">
        <f>SUM(E321/100*10)-38.58</f>
        <v>599.9976054</v>
      </c>
      <c r="F323" s="914"/>
      <c r="G323" s="922" t="s">
        <v>630</v>
      </c>
      <c r="H323" s="916"/>
      <c r="I323" s="913">
        <f>F289</f>
        <v>484.05</v>
      </c>
      <c r="J323" s="917">
        <f>I323-G336-G342-G349-E335</f>
        <v>0</v>
      </c>
      <c r="K323" s="918"/>
      <c r="L323" s="919"/>
    </row>
    <row r="324">
      <c r="B324" s="768"/>
      <c r="C324" s="911" t="s">
        <v>662</v>
      </c>
      <c r="D324" s="912"/>
      <c r="E324" s="913">
        <f>SUM(E321/100*10)-38.58</f>
        <v>599.9976054</v>
      </c>
      <c r="F324" s="914"/>
      <c r="G324" s="915" t="s">
        <v>573</v>
      </c>
      <c r="H324" s="916"/>
      <c r="I324" s="913">
        <f>F287</f>
        <v>517.9936133</v>
      </c>
      <c r="J324" s="917">
        <f>I324-G334-G340-G346-E338</f>
        <v>0.003613304</v>
      </c>
      <c r="K324" s="117"/>
      <c r="L324" s="923"/>
    </row>
    <row r="325">
      <c r="B325" s="768"/>
      <c r="C325" s="920"/>
      <c r="D325" s="921"/>
      <c r="E325" s="921"/>
      <c r="F325" s="914"/>
      <c r="G325" s="916" t="s">
        <v>576</v>
      </c>
      <c r="H325" s="916"/>
      <c r="I325" s="924">
        <f t="shared" ref="I325:I326" si="39">F290</f>
        <v>76.34</v>
      </c>
      <c r="J325" s="925">
        <f>I325-E337</f>
        <v>0</v>
      </c>
      <c r="K325" s="240"/>
      <c r="L325" s="907"/>
    </row>
    <row r="326">
      <c r="B326" s="768"/>
      <c r="C326" s="911" t="s">
        <v>663</v>
      </c>
      <c r="D326" s="912"/>
      <c r="E326" s="926">
        <f>SUM(E321)-(E323+E324)</f>
        <v>5185.780843</v>
      </c>
      <c r="F326" s="927"/>
      <c r="G326" s="928" t="s">
        <v>631</v>
      </c>
      <c r="H326" s="916"/>
      <c r="I326" s="924">
        <f t="shared" si="39"/>
        <v>1365</v>
      </c>
      <c r="J326" s="925">
        <f>I326-E339</f>
        <v>0</v>
      </c>
      <c r="K326" s="240"/>
      <c r="L326" s="907"/>
    </row>
    <row r="327">
      <c r="B327" s="768"/>
      <c r="C327" s="911" t="s">
        <v>664</v>
      </c>
      <c r="D327" s="912"/>
      <c r="E327" s="913">
        <v>0.0</v>
      </c>
      <c r="F327" s="914"/>
      <c r="G327" s="921"/>
      <c r="H327" s="921"/>
      <c r="I327" s="929">
        <f>SUM(I321:I326)</f>
        <v>7385.776054</v>
      </c>
      <c r="J327" s="930">
        <f>SUM(J321:J326)-0.01</f>
        <v>-0.003945996</v>
      </c>
      <c r="K327" s="7"/>
      <c r="L327" s="810"/>
    </row>
    <row r="328">
      <c r="B328" s="768"/>
      <c r="C328" s="920"/>
      <c r="D328" s="921"/>
      <c r="E328" s="921"/>
      <c r="F328" s="927"/>
      <c r="G328" s="931" t="s">
        <v>610</v>
      </c>
      <c r="H328" s="932"/>
      <c r="I328" s="926">
        <f>SUM(I321:I326)-1000</f>
        <v>6385.776054</v>
      </c>
      <c r="J328" s="933"/>
      <c r="K328" s="7"/>
      <c r="L328" s="810"/>
    </row>
    <row r="329">
      <c r="B329" s="768"/>
      <c r="C329" s="911" t="s">
        <v>665</v>
      </c>
      <c r="D329" s="912"/>
      <c r="E329" s="934" t="s">
        <v>666</v>
      </c>
      <c r="F329" s="927"/>
      <c r="G329" s="1048" t="s">
        <v>667</v>
      </c>
      <c r="J329" s="933"/>
      <c r="K329" s="7"/>
      <c r="L329" s="810"/>
    </row>
    <row r="330">
      <c r="B330" s="768"/>
      <c r="C330" s="920"/>
      <c r="D330" s="916"/>
      <c r="E330" s="936"/>
      <c r="F330" s="927"/>
      <c r="G330" s="927"/>
      <c r="H330" s="927"/>
      <c r="I330" s="927"/>
      <c r="J330" s="933"/>
      <c r="K330" s="7"/>
      <c r="L330" s="810"/>
    </row>
    <row r="331">
      <c r="B331" s="768"/>
      <c r="C331" s="937" t="s">
        <v>620</v>
      </c>
      <c r="D331" s="938">
        <f>SUM(E326-D330)</f>
        <v>5185.780843</v>
      </c>
      <c r="E331" s="939">
        <f>D331</f>
        <v>5185.780843</v>
      </c>
      <c r="F331" s="940"/>
      <c r="G331" s="940"/>
      <c r="H331" s="940"/>
      <c r="I331" s="940"/>
      <c r="J331" s="941"/>
      <c r="K331" s="7"/>
      <c r="L331" s="810"/>
    </row>
    <row r="332">
      <c r="B332" s="768"/>
      <c r="C332" s="942"/>
      <c r="D332" s="117"/>
      <c r="E332" s="117"/>
      <c r="F332" s="117"/>
      <c r="G332" s="117"/>
      <c r="H332" s="117"/>
      <c r="I332" s="918"/>
      <c r="J332" s="943"/>
      <c r="K332" s="7"/>
      <c r="L332" s="810"/>
    </row>
    <row r="333">
      <c r="B333" s="768"/>
      <c r="C333" s="944" t="s">
        <v>668</v>
      </c>
      <c r="D333" s="593"/>
      <c r="E333" s="594"/>
      <c r="F333" s="117"/>
      <c r="G333" s="945" t="s">
        <v>669</v>
      </c>
      <c r="H333" s="594"/>
      <c r="I333" s="918"/>
      <c r="J333" s="943"/>
      <c r="K333" s="117"/>
      <c r="L333" s="923"/>
    </row>
    <row r="334">
      <c r="B334" s="768"/>
      <c r="C334" s="1049" t="s">
        <v>558</v>
      </c>
      <c r="D334" s="912"/>
      <c r="E334" s="1050">
        <v>1908.48</v>
      </c>
      <c r="F334" s="948" t="s">
        <v>670</v>
      </c>
      <c r="G334" s="949">
        <v>0.0</v>
      </c>
      <c r="H334" s="950" t="s">
        <v>573</v>
      </c>
      <c r="I334" s="918"/>
      <c r="J334" s="943"/>
      <c r="K334" s="117"/>
      <c r="L334" s="923"/>
    </row>
    <row r="335">
      <c r="B335" s="768"/>
      <c r="C335" s="1049" t="s">
        <v>630</v>
      </c>
      <c r="D335" s="912"/>
      <c r="E335" s="1050">
        <v>484.05</v>
      </c>
      <c r="F335" s="948" t="s">
        <v>711</v>
      </c>
      <c r="G335" s="951">
        <v>600.0</v>
      </c>
      <c r="H335" s="1035" t="s">
        <v>587</v>
      </c>
      <c r="I335" s="918"/>
      <c r="J335" s="943"/>
      <c r="K335" s="117"/>
      <c r="L335" s="923"/>
    </row>
    <row r="336">
      <c r="B336" s="768"/>
      <c r="C336" s="1051" t="s">
        <v>587</v>
      </c>
      <c r="D336" s="912"/>
      <c r="E336" s="1050">
        <v>833.91</v>
      </c>
      <c r="F336" s="953" t="s">
        <v>712</v>
      </c>
      <c r="G336" s="949">
        <v>0.0</v>
      </c>
      <c r="H336" s="954" t="s">
        <v>671</v>
      </c>
      <c r="I336" s="955">
        <f>F342</f>
        <v>1185.77</v>
      </c>
      <c r="J336" s="594"/>
      <c r="K336" s="117"/>
      <c r="L336" s="923"/>
    </row>
    <row r="337">
      <c r="B337" s="768"/>
      <c r="C337" s="1051" t="s">
        <v>576</v>
      </c>
      <c r="D337" s="912"/>
      <c r="E337" s="1050">
        <v>76.34</v>
      </c>
      <c r="F337" s="948" t="s">
        <v>713</v>
      </c>
      <c r="G337" s="949">
        <v>0.0</v>
      </c>
      <c r="H337" s="956" t="s">
        <v>558</v>
      </c>
      <c r="I337" s="957" t="s">
        <v>620</v>
      </c>
      <c r="J337" s="958" t="s">
        <v>672</v>
      </c>
      <c r="K337" s="117"/>
      <c r="L337" s="923"/>
    </row>
    <row r="338">
      <c r="B338" s="768"/>
      <c r="C338" s="1051" t="s">
        <v>573</v>
      </c>
      <c r="D338" s="912"/>
      <c r="E338" s="1050">
        <v>517.99</v>
      </c>
      <c r="F338" s="948" t="s">
        <v>711</v>
      </c>
      <c r="G338" s="959">
        <f>SUM(G334:G337)</f>
        <v>600</v>
      </c>
      <c r="H338" s="960" t="s">
        <v>610</v>
      </c>
      <c r="I338" s="961">
        <f>I336/2</f>
        <v>592.885</v>
      </c>
      <c r="J338" s="962"/>
      <c r="K338" s="7"/>
      <c r="L338" s="810"/>
    </row>
    <row r="339">
      <c r="B339" s="768"/>
      <c r="C339" s="1049" t="s">
        <v>631</v>
      </c>
      <c r="D339" s="912"/>
      <c r="E339" s="1050">
        <v>1365.0</v>
      </c>
      <c r="F339" s="948" t="s">
        <v>670</v>
      </c>
      <c r="G339" s="964" t="s">
        <v>673</v>
      </c>
      <c r="H339" s="594"/>
      <c r="I339" s="965" t="s">
        <v>670</v>
      </c>
      <c r="J339" s="966" t="s">
        <v>674</v>
      </c>
      <c r="K339" s="7"/>
      <c r="L339" s="810"/>
    </row>
    <row r="340">
      <c r="B340" s="967"/>
      <c r="C340" s="952" t="s">
        <v>675</v>
      </c>
      <c r="D340" s="912"/>
      <c r="E340" s="968">
        <f>SUM(E331-(E334+E335+E336+E337+E338+E339))</f>
        <v>0.0108432032</v>
      </c>
      <c r="F340" s="969"/>
      <c r="G340" s="970">
        <v>0.0</v>
      </c>
      <c r="H340" s="971" t="s">
        <v>573</v>
      </c>
      <c r="I340" s="972">
        <f>I336/2</f>
        <v>592.885</v>
      </c>
      <c r="J340" s="973"/>
      <c r="K340" s="7"/>
      <c r="L340" s="810"/>
    </row>
    <row r="341">
      <c r="B341" s="967"/>
      <c r="C341" s="942"/>
      <c r="D341" s="918"/>
      <c r="E341" s="974">
        <f>SUM(E334:E339)</f>
        <v>5185.77</v>
      </c>
      <c r="F341" s="975"/>
      <c r="G341" s="976">
        <v>600.0</v>
      </c>
      <c r="H341" s="1036" t="s">
        <v>587</v>
      </c>
      <c r="I341" s="918"/>
      <c r="J341" s="978"/>
      <c r="K341" s="7"/>
      <c r="L341" s="810"/>
    </row>
    <row r="342">
      <c r="B342" s="967"/>
      <c r="C342" s="942"/>
      <c r="D342" s="1053" t="s">
        <v>714</v>
      </c>
      <c r="E342" s="812"/>
      <c r="F342" s="1052">
        <f>SUM(E338+E335+E337+107.39)</f>
        <v>1185.77</v>
      </c>
      <c r="G342" s="970">
        <v>0.0</v>
      </c>
      <c r="H342" s="981" t="s">
        <v>671</v>
      </c>
      <c r="I342" s="612" t="s">
        <v>676</v>
      </c>
      <c r="J342" s="610"/>
      <c r="K342" s="1037" t="s">
        <v>699</v>
      </c>
      <c r="L342" s="1038" t="s">
        <v>700</v>
      </c>
    </row>
    <row r="343">
      <c r="B343" s="967"/>
      <c r="C343" s="942"/>
      <c r="D343" s="843"/>
      <c r="E343" s="982" t="s">
        <v>677</v>
      </c>
      <c r="F343" s="983">
        <f>F342</f>
        <v>1185.77</v>
      </c>
      <c r="G343" s="970">
        <v>0.0</v>
      </c>
      <c r="H343" s="977" t="s">
        <v>558</v>
      </c>
      <c r="I343" s="918" t="s">
        <v>681</v>
      </c>
      <c r="J343" s="1039">
        <v>45558.0</v>
      </c>
      <c r="K343" s="1040">
        <v>45705.0</v>
      </c>
      <c r="L343" s="1042">
        <v>45712.0</v>
      </c>
    </row>
    <row r="344">
      <c r="B344" s="967"/>
      <c r="C344" s="942"/>
      <c r="D344" s="843"/>
      <c r="E344" s="985"/>
      <c r="F344" s="986"/>
      <c r="G344" s="987">
        <f>SUM(G341:G343)</f>
        <v>600</v>
      </c>
      <c r="H344" s="988" t="s">
        <v>610</v>
      </c>
      <c r="I344" s="918"/>
      <c r="J344" s="1039"/>
      <c r="K344" s="1040"/>
      <c r="L344" s="1042"/>
    </row>
    <row r="345">
      <c r="B345" s="768"/>
      <c r="C345" s="989"/>
      <c r="D345" s="943"/>
      <c r="E345" s="1043" t="s">
        <v>701</v>
      </c>
      <c r="F345" s="991"/>
      <c r="G345" s="945" t="s">
        <v>680</v>
      </c>
      <c r="H345" s="594"/>
      <c r="I345" s="918"/>
      <c r="J345" s="984"/>
      <c r="K345" s="7"/>
      <c r="L345" s="810"/>
    </row>
    <row r="346">
      <c r="B346" s="809"/>
      <c r="C346" s="992"/>
      <c r="D346" s="993" t="s">
        <v>587</v>
      </c>
      <c r="E346" s="994">
        <f>E336-107.39</f>
        <v>726.52</v>
      </c>
      <c r="F346" s="969"/>
      <c r="G346" s="949">
        <v>0.0</v>
      </c>
      <c r="H346" s="950" t="s">
        <v>573</v>
      </c>
      <c r="I346" s="918"/>
      <c r="J346" s="610"/>
      <c r="K346" s="7"/>
      <c r="L346" s="810"/>
    </row>
    <row r="347">
      <c r="B347" s="809"/>
      <c r="C347" s="992"/>
      <c r="D347" s="7"/>
      <c r="E347" s="995">
        <f>E339+E334</f>
        <v>3273.48</v>
      </c>
      <c r="F347" s="969"/>
      <c r="G347" s="951">
        <v>1000.0</v>
      </c>
      <c r="H347" s="1035" t="s">
        <v>587</v>
      </c>
      <c r="I347" s="7"/>
      <c r="J347" s="996"/>
      <c r="K347" s="7"/>
      <c r="L347" s="810"/>
    </row>
    <row r="348">
      <c r="B348" s="809"/>
      <c r="C348" s="992"/>
      <c r="D348" s="997" t="s">
        <v>682</v>
      </c>
      <c r="E348" s="995">
        <f>SUM(E346+E347)</f>
        <v>4000</v>
      </c>
      <c r="F348" s="998"/>
      <c r="G348" s="949">
        <v>0.0</v>
      </c>
      <c r="H348" s="950" t="s">
        <v>558</v>
      </c>
      <c r="I348" s="7"/>
      <c r="J348" s="996"/>
      <c r="K348" s="7"/>
      <c r="L348" s="810"/>
    </row>
    <row r="349">
      <c r="B349" s="809"/>
      <c r="C349" s="992"/>
      <c r="D349" s="7"/>
      <c r="E349" s="7"/>
      <c r="F349" s="998"/>
      <c r="G349" s="949">
        <v>0.0</v>
      </c>
      <c r="H349" s="999" t="s">
        <v>671</v>
      </c>
      <c r="I349" s="7"/>
      <c r="J349" s="996"/>
      <c r="K349" s="7"/>
      <c r="L349" s="810"/>
    </row>
    <row r="350">
      <c r="B350" s="809"/>
      <c r="C350" s="992"/>
      <c r="D350" s="7"/>
      <c r="E350" s="7"/>
      <c r="F350" s="998"/>
      <c r="G350" s="949">
        <f>SUM(G345:G349)</f>
        <v>1000</v>
      </c>
      <c r="H350" s="950" t="s">
        <v>610</v>
      </c>
      <c r="I350" s="7"/>
      <c r="J350" s="996"/>
      <c r="K350" s="7"/>
      <c r="L350" s="810"/>
    </row>
    <row r="351">
      <c r="B351" s="809"/>
      <c r="C351" s="1000"/>
      <c r="D351" s="1001"/>
      <c r="E351" s="1001"/>
      <c r="F351" s="1001"/>
      <c r="G351" s="1002"/>
      <c r="H351" s="1002"/>
      <c r="I351" s="1001"/>
      <c r="J351" s="1003"/>
      <c r="K351" s="7"/>
      <c r="L351" s="810"/>
    </row>
    <row r="352">
      <c r="B352" s="1004"/>
      <c r="C352" s="1005"/>
      <c r="D352" s="1006"/>
      <c r="E352" s="1006"/>
      <c r="F352" s="1006"/>
      <c r="G352" s="1007"/>
      <c r="H352" s="1006"/>
      <c r="I352" s="1006"/>
      <c r="J352" s="1008"/>
      <c r="K352" s="1006"/>
      <c r="L352" s="1009"/>
    </row>
    <row r="357">
      <c r="B357" s="721" t="s">
        <v>715</v>
      </c>
      <c r="C357" s="722"/>
      <c r="D357" s="722"/>
      <c r="E357" s="722"/>
      <c r="F357" s="722"/>
      <c r="G357" s="722"/>
      <c r="H357" s="722"/>
      <c r="I357" s="722"/>
      <c r="J357" s="722"/>
      <c r="K357" s="722"/>
      <c r="L357" s="723"/>
    </row>
    <row r="358">
      <c r="B358" s="724"/>
      <c r="C358" s="725" t="s">
        <v>607</v>
      </c>
      <c r="D358" s="726" t="s">
        <v>608</v>
      </c>
      <c r="E358" s="727"/>
      <c r="F358" s="727"/>
      <c r="G358" s="727"/>
      <c r="H358" s="728"/>
      <c r="I358" s="729">
        <f>YEAR((TODAY()))</f>
        <v>2026</v>
      </c>
      <c r="J358" s="730"/>
      <c r="K358" s="731"/>
      <c r="L358" s="732"/>
    </row>
    <row r="359">
      <c r="B359" s="733"/>
      <c r="C359" s="734">
        <f>TODAY()</f>
        <v>46144</v>
      </c>
      <c r="D359" s="735" t="s">
        <v>609</v>
      </c>
      <c r="E359" s="736" t="s">
        <v>610</v>
      </c>
      <c r="F359" s="737"/>
      <c r="G359" s="737"/>
      <c r="H359" s="738"/>
      <c r="I359" s="730"/>
      <c r="J359" s="730"/>
      <c r="K359" s="730"/>
      <c r="L359" s="732"/>
    </row>
    <row r="360">
      <c r="B360" s="724"/>
      <c r="C360" s="739" t="s">
        <v>611</v>
      </c>
      <c r="D360" s="740"/>
      <c r="E360" s="741" t="s">
        <v>612</v>
      </c>
      <c r="F360" s="742" t="s">
        <v>613</v>
      </c>
      <c r="G360" s="743" t="s">
        <v>614</v>
      </c>
      <c r="H360" s="744" t="s">
        <v>615</v>
      </c>
      <c r="I360" s="745" t="s">
        <v>616</v>
      </c>
      <c r="J360" s="746" t="s">
        <v>617</v>
      </c>
      <c r="K360" s="747" t="s">
        <v>618</v>
      </c>
      <c r="L360" s="748" t="s">
        <v>619</v>
      </c>
    </row>
    <row r="361">
      <c r="B361" s="749"/>
      <c r="C361" s="750" t="s">
        <v>620</v>
      </c>
      <c r="D361" s="743">
        <v>1500.0</v>
      </c>
      <c r="E361" s="751">
        <f>SUM((D361/2)-F361)</f>
        <v>750</v>
      </c>
      <c r="F361" s="752">
        <v>0.0</v>
      </c>
      <c r="G361" s="753">
        <f>SUM(((D361/2)-H361))</f>
        <v>750</v>
      </c>
      <c r="H361" s="754">
        <v>0.0</v>
      </c>
      <c r="I361" s="755"/>
      <c r="J361" s="756"/>
      <c r="K361" s="757"/>
      <c r="L361" s="758"/>
    </row>
    <row r="362">
      <c r="B362" s="749"/>
      <c r="C362" s="759" t="s">
        <v>621</v>
      </c>
      <c r="D362" s="760">
        <v>1518.0</v>
      </c>
      <c r="E362" s="761">
        <f>SUM(((D362/100)*40)-F362)+((I362/100)*40)</f>
        <v>727.2</v>
      </c>
      <c r="F362" s="1010">
        <v>0.0</v>
      </c>
      <c r="G362" s="762">
        <f>SUM(((D362/100)*60)-H362)-L362+((I362/100)*60)</f>
        <v>976.95</v>
      </c>
      <c r="H362" s="775">
        <v>0.0</v>
      </c>
      <c r="I362" s="764">
        <v>300.0</v>
      </c>
      <c r="J362" s="765"/>
      <c r="K362" s="766"/>
      <c r="L362" s="767">
        <f>SUM(D362/100)*7.5</f>
        <v>113.85</v>
      </c>
    </row>
    <row r="363">
      <c r="B363" s="768"/>
      <c r="C363" s="769" t="s">
        <v>622</v>
      </c>
      <c r="D363" s="753">
        <v>1518.0</v>
      </c>
      <c r="E363" s="770">
        <f>SUM((((D363/100)*40)-F363))</f>
        <v>607.2</v>
      </c>
      <c r="F363" s="752">
        <v>0.0</v>
      </c>
      <c r="G363" s="753">
        <f>SUM(((D363/100)*60)-H363)+J363-L363+I363</f>
        <v>1073.227559</v>
      </c>
      <c r="H363" s="771">
        <v>0.0</v>
      </c>
      <c r="I363" s="772">
        <v>2.36</v>
      </c>
      <c r="J363" s="756">
        <f>SUM(D363/100)*19.65</f>
        <v>298.287</v>
      </c>
      <c r="K363" s="757"/>
      <c r="L363" s="758">
        <f>SUM((D363+J363)/100)*7.61</f>
        <v>138.2194407</v>
      </c>
    </row>
    <row r="364">
      <c r="B364" s="768"/>
      <c r="C364" s="773" t="s">
        <v>623</v>
      </c>
      <c r="D364" s="760">
        <v>1518.0</v>
      </c>
      <c r="E364" s="774">
        <f>SUM(((((D364/100)*40))-F364))</f>
        <v>607.2</v>
      </c>
      <c r="F364" s="775">
        <v>0.0</v>
      </c>
      <c r="G364" s="762">
        <f>SUM(((D364/100)*60)-H364)+J364-K364-L364-I364</f>
        <v>982.1463867</v>
      </c>
      <c r="H364" s="776">
        <v>73.06</v>
      </c>
      <c r="I364" s="764">
        <v>0.0</v>
      </c>
      <c r="J364" s="1044">
        <f>SUM(D364/100)*17.42</f>
        <v>264.4356</v>
      </c>
      <c r="K364" s="1045">
        <v>0.0</v>
      </c>
      <c r="L364" s="1046">
        <f>SUM((D364+J364)/100)*6.734</f>
        <v>120.0292133</v>
      </c>
    </row>
    <row r="365">
      <c r="B365" s="768"/>
      <c r="C365" s="778" t="s">
        <v>624</v>
      </c>
      <c r="D365" s="779">
        <v>1500.0</v>
      </c>
      <c r="E365" s="780">
        <f>SUM((D365/2)-F365)</f>
        <v>750</v>
      </c>
      <c r="F365" s="779">
        <v>0.0</v>
      </c>
      <c r="G365" s="781">
        <f>SUM(((D365/2)-H365))-I365</f>
        <v>750</v>
      </c>
      <c r="H365" s="782">
        <v>0.0</v>
      </c>
      <c r="I365" s="772">
        <v>0.0</v>
      </c>
      <c r="J365" s="756"/>
      <c r="K365" s="757"/>
      <c r="L365" s="758"/>
    </row>
    <row r="366">
      <c r="B366" s="768"/>
      <c r="C366" s="783"/>
      <c r="D366" s="784"/>
      <c r="E366" s="785"/>
      <c r="F366" s="785"/>
      <c r="G366" s="762"/>
      <c r="H366" s="786"/>
      <c r="I366" s="777"/>
      <c r="J366" s="765"/>
      <c r="K366" s="766"/>
      <c r="L366" s="767"/>
    </row>
    <row r="367">
      <c r="B367" s="768"/>
      <c r="C367" s="787"/>
      <c r="D367" s="779"/>
      <c r="E367" s="779"/>
      <c r="F367" s="779"/>
      <c r="G367" s="781"/>
      <c r="H367" s="782"/>
      <c r="I367" s="755"/>
      <c r="J367" s="765">
        <f>SUM(D367/100)*20</f>
        <v>0</v>
      </c>
      <c r="K367" s="766">
        <f>SUM(D367/100)*6</f>
        <v>0</v>
      </c>
      <c r="L367" s="767">
        <f>SUM((D367+J367)/100)*7.75</f>
        <v>0</v>
      </c>
    </row>
    <row r="368">
      <c r="B368" s="768"/>
      <c r="C368" s="789"/>
      <c r="D368" s="790"/>
      <c r="E368" s="790"/>
      <c r="F368" s="790"/>
      <c r="G368" s="790"/>
      <c r="H368" s="791"/>
      <c r="I368" s="792"/>
      <c r="J368" s="793"/>
      <c r="K368" s="794"/>
      <c r="L368" s="795"/>
    </row>
    <row r="369">
      <c r="B369" s="724"/>
      <c r="C369" s="796" t="s">
        <v>610</v>
      </c>
      <c r="D369" s="797"/>
      <c r="E369" s="798">
        <f>SUM(E361:E368)</f>
        <v>3441.6</v>
      </c>
      <c r="F369" s="797"/>
      <c r="G369" s="799">
        <f>SUM(G361:G368)</f>
        <v>4532.323946</v>
      </c>
      <c r="H369" s="1011">
        <f>SUM(G362:G364)</f>
        <v>3032.323946</v>
      </c>
      <c r="I369" s="801"/>
      <c r="J369" s="802"/>
      <c r="K369" s="730"/>
      <c r="L369" s="732"/>
    </row>
    <row r="370">
      <c r="B370" s="724"/>
      <c r="C370" s="803"/>
      <c r="D370" s="804"/>
      <c r="E370" s="804"/>
      <c r="F370" s="804"/>
      <c r="G370" s="804"/>
      <c r="H370" s="804"/>
      <c r="I370" s="805"/>
      <c r="J370" s="806"/>
      <c r="K370" s="807"/>
      <c r="L370" s="808"/>
    </row>
    <row r="371">
      <c r="B371" s="809"/>
      <c r="C371" s="7"/>
      <c r="D371" s="7"/>
      <c r="E371" s="7"/>
      <c r="F371" s="7"/>
      <c r="G371" s="7"/>
      <c r="H371" s="7"/>
      <c r="I371" s="7"/>
      <c r="J371" s="7"/>
      <c r="K371" s="7"/>
      <c r="L371" s="810"/>
    </row>
    <row r="372">
      <c r="B372" s="811">
        <v>45436.0</v>
      </c>
      <c r="C372" s="812"/>
      <c r="D372" s="812"/>
      <c r="E372" s="812"/>
      <c r="F372" s="812"/>
      <c r="G372" s="812"/>
      <c r="H372" s="812"/>
      <c r="I372" s="812"/>
      <c r="J372" s="812"/>
      <c r="K372" s="812"/>
      <c r="L372" s="813"/>
    </row>
    <row r="373">
      <c r="B373" s="814"/>
      <c r="C373" s="815"/>
      <c r="D373" s="815"/>
      <c r="E373" s="815"/>
      <c r="F373" s="815"/>
      <c r="G373" s="815"/>
      <c r="H373" s="815"/>
      <c r="I373" s="815"/>
      <c r="J373" s="815"/>
      <c r="K373" s="815"/>
      <c r="L373" s="816"/>
    </row>
    <row r="374">
      <c r="B374" s="817" t="s">
        <v>571</v>
      </c>
      <c r="C374" s="812"/>
      <c r="D374" s="812"/>
      <c r="E374" s="812"/>
      <c r="F374" s="818"/>
      <c r="G374" s="867"/>
      <c r="H374" s="1012" t="s">
        <v>685</v>
      </c>
      <c r="I374" s="593"/>
      <c r="J374" s="593"/>
      <c r="K374" s="593"/>
      <c r="L374" s="821"/>
    </row>
    <row r="375">
      <c r="B375" s="822" t="s">
        <v>625</v>
      </c>
      <c r="C375" s="823" t="s">
        <v>626</v>
      </c>
      <c r="D375" s="824"/>
      <c r="E375" s="825" t="s">
        <v>627</v>
      </c>
      <c r="F375" s="826" t="s">
        <v>628</v>
      </c>
      <c r="G375" s="1013"/>
      <c r="H375" s="621" t="s">
        <v>580</v>
      </c>
      <c r="I375" s="827" t="s">
        <v>710</v>
      </c>
      <c r="J375" s="827" t="s">
        <v>716</v>
      </c>
      <c r="K375" s="621" t="s">
        <v>583</v>
      </c>
      <c r="L375" s="828" t="s">
        <v>584</v>
      </c>
    </row>
    <row r="376">
      <c r="B376" s="829">
        <v>2032.0</v>
      </c>
      <c r="C376" s="830" t="s">
        <v>558</v>
      </c>
      <c r="D376" s="831">
        <f>SUM(B376-K376)</f>
        <v>1682</v>
      </c>
      <c r="E376" s="831">
        <f>SUMIF(H385:H406,"IFOOD",G385:G406)</f>
        <v>750</v>
      </c>
      <c r="F376" s="832">
        <f t="shared" ref="F376:F381" si="40">D376-E376</f>
        <v>932</v>
      </c>
      <c r="G376" s="833"/>
      <c r="H376" s="623" t="s">
        <v>558</v>
      </c>
      <c r="I376" s="624">
        <v>350.0</v>
      </c>
      <c r="J376" s="624">
        <v>500.0</v>
      </c>
      <c r="K376" s="625">
        <f t="shared" ref="K376:K377" si="41">I376</f>
        <v>350</v>
      </c>
      <c r="L376" s="834">
        <f t="shared" ref="L376:L381" si="42">SUM(J376+K376)</f>
        <v>850</v>
      </c>
    </row>
    <row r="377">
      <c r="B377" s="835">
        <v>1656.0</v>
      </c>
      <c r="C377" s="836" t="s">
        <v>573</v>
      </c>
      <c r="D377" s="625">
        <f>SUM(B377-K380)</f>
        <v>1486.14</v>
      </c>
      <c r="E377" s="837">
        <f>SUMIF(H385:H407,"Caixa",G385:G407)</f>
        <v>982.1463867</v>
      </c>
      <c r="F377" s="838">
        <f t="shared" si="40"/>
        <v>503.9936133</v>
      </c>
      <c r="G377" s="647"/>
      <c r="H377" s="839" t="s">
        <v>630</v>
      </c>
      <c r="I377" s="628">
        <v>0.0</v>
      </c>
      <c r="J377" s="629">
        <v>0.0</v>
      </c>
      <c r="K377" s="629">
        <f t="shared" si="41"/>
        <v>0</v>
      </c>
      <c r="L377" s="1015">
        <f t="shared" si="42"/>
        <v>0</v>
      </c>
    </row>
    <row r="378">
      <c r="B378" s="829">
        <v>6140.0</v>
      </c>
      <c r="C378" s="830" t="s">
        <v>574</v>
      </c>
      <c r="D378" s="831">
        <f>B378</f>
        <v>6140</v>
      </c>
      <c r="E378" s="831">
        <f>SUMIF(H385:H408,"Cash",G385:G408)</f>
        <v>2373.227559</v>
      </c>
      <c r="F378" s="832">
        <f t="shared" si="40"/>
        <v>3766.772441</v>
      </c>
      <c r="G378" s="833"/>
      <c r="H378" s="623" t="s">
        <v>587</v>
      </c>
      <c r="I378" s="624">
        <v>3360.0</v>
      </c>
      <c r="J378" s="624">
        <v>1000.0</v>
      </c>
      <c r="K378" s="625">
        <f>I378-G375</f>
        <v>3360</v>
      </c>
      <c r="L378" s="834">
        <f t="shared" si="42"/>
        <v>4360</v>
      </c>
    </row>
    <row r="379">
      <c r="B379" s="835">
        <v>1921.0</v>
      </c>
      <c r="C379" s="841" t="s">
        <v>630</v>
      </c>
      <c r="D379" s="625">
        <f>SUM(B379-K377)</f>
        <v>1921</v>
      </c>
      <c r="E379" s="837">
        <f>SUMIF(H385:H409,"Infinity 1",G385:G409)</f>
        <v>1913.7</v>
      </c>
      <c r="F379" s="838">
        <f t="shared" si="40"/>
        <v>7.3</v>
      </c>
      <c r="G379" s="647"/>
      <c r="H379" s="634" t="s">
        <v>576</v>
      </c>
      <c r="I379" s="635">
        <v>53.66</v>
      </c>
      <c r="J379" s="636">
        <v>0.0</v>
      </c>
      <c r="K379" s="636">
        <f t="shared" ref="K379:K381" si="43">I379</f>
        <v>53.66</v>
      </c>
      <c r="L379" s="842">
        <f t="shared" si="42"/>
        <v>53.66</v>
      </c>
    </row>
    <row r="380">
      <c r="B380" s="829">
        <v>251.0</v>
      </c>
      <c r="C380" s="830" t="s">
        <v>576</v>
      </c>
      <c r="D380" s="831">
        <f>SUM(B380-K379)</f>
        <v>197.34</v>
      </c>
      <c r="E380" s="831">
        <f>SUMIF(H387:H410,"Stone",G387:G410)</f>
        <v>0</v>
      </c>
      <c r="F380" s="832">
        <f t="shared" si="40"/>
        <v>197.34</v>
      </c>
      <c r="G380" s="843"/>
      <c r="H380" s="641" t="s">
        <v>573</v>
      </c>
      <c r="I380" s="638">
        <v>169.86</v>
      </c>
      <c r="J380" s="638">
        <v>500.0</v>
      </c>
      <c r="K380" s="844">
        <f t="shared" si="43"/>
        <v>169.86</v>
      </c>
      <c r="L380" s="845">
        <f t="shared" si="42"/>
        <v>669.86</v>
      </c>
    </row>
    <row r="381">
      <c r="B381" s="846">
        <v>793.0</v>
      </c>
      <c r="C381" s="847" t="s">
        <v>631</v>
      </c>
      <c r="D381" s="848">
        <f>SUM(B381-K381)</f>
        <v>793</v>
      </c>
      <c r="E381" s="848">
        <f>SUMIF(H387:H411,"Infinity 2",G387:G411)</f>
        <v>0</v>
      </c>
      <c r="F381" s="849">
        <f t="shared" si="40"/>
        <v>793</v>
      </c>
      <c r="G381" s="117"/>
      <c r="H381" s="850" t="s">
        <v>631</v>
      </c>
      <c r="I381" s="851">
        <v>0.0</v>
      </c>
      <c r="J381" s="851">
        <v>0.0</v>
      </c>
      <c r="K381" s="852">
        <f t="shared" si="43"/>
        <v>0</v>
      </c>
      <c r="L381" s="853">
        <f t="shared" si="42"/>
        <v>0</v>
      </c>
    </row>
    <row r="382">
      <c r="B382" s="1054">
        <f>SUM(B376:B381)</f>
        <v>12793</v>
      </c>
      <c r="C382" s="855" t="s">
        <v>578</v>
      </c>
      <c r="D382" s="856">
        <f t="shared" ref="D382:F382" si="44">SUM(D376:D381)</f>
        <v>12219.48</v>
      </c>
      <c r="E382" s="857">
        <f t="shared" si="44"/>
        <v>6019.073946</v>
      </c>
      <c r="F382" s="858">
        <f t="shared" si="44"/>
        <v>6200.406054</v>
      </c>
      <c r="G382" s="117"/>
      <c r="H382" s="859" t="s">
        <v>589</v>
      </c>
      <c r="I382" s="860" t="s">
        <v>590</v>
      </c>
      <c r="J382" s="861" t="s">
        <v>134</v>
      </c>
      <c r="K382" s="862">
        <f t="shared" ref="K382:L382" si="45">SUM(K376:K380)</f>
        <v>3933.52</v>
      </c>
      <c r="L382" s="863">
        <f t="shared" si="45"/>
        <v>5933.52</v>
      </c>
    </row>
    <row r="383">
      <c r="B383" s="724"/>
      <c r="C383" s="9"/>
      <c r="D383" s="9"/>
      <c r="E383" s="9"/>
      <c r="F383" s="9"/>
      <c r="G383" s="117"/>
      <c r="H383" s="864">
        <v>0.0</v>
      </c>
      <c r="I383" s="865">
        <v>169.86</v>
      </c>
      <c r="J383" s="866"/>
      <c r="K383" s="7"/>
      <c r="L383" s="810"/>
    </row>
    <row r="384">
      <c r="B384" s="724"/>
      <c r="C384" s="869" t="s">
        <v>634</v>
      </c>
      <c r="D384" s="870" t="s">
        <v>600</v>
      </c>
      <c r="E384" s="870" t="s">
        <v>5</v>
      </c>
      <c r="F384" s="870" t="s">
        <v>4</v>
      </c>
      <c r="G384" s="870" t="s">
        <v>16</v>
      </c>
      <c r="H384" s="871" t="s">
        <v>635</v>
      </c>
      <c r="I384" s="872"/>
      <c r="L384" s="873"/>
    </row>
    <row r="385">
      <c r="B385" s="809"/>
      <c r="C385" s="874" t="s">
        <v>636</v>
      </c>
      <c r="D385" s="659">
        <v>1300.0</v>
      </c>
      <c r="E385" s="1017">
        <v>45782.0</v>
      </c>
      <c r="F385" s="1018"/>
      <c r="G385" s="892">
        <f t="shared" ref="G385:G403" si="46">IF(F385="",D385,"")</f>
        <v>1300</v>
      </c>
      <c r="H385" s="1019" t="s">
        <v>574</v>
      </c>
      <c r="I385" s="878"/>
      <c r="J385" s="878"/>
      <c r="K385" s="878"/>
      <c r="L385" s="879"/>
    </row>
    <row r="386">
      <c r="B386" s="809"/>
      <c r="C386" s="874"/>
      <c r="D386" s="892"/>
      <c r="E386" s="1020"/>
      <c r="F386" s="1018"/>
      <c r="G386" s="892" t="str">
        <f t="shared" si="46"/>
        <v/>
      </c>
      <c r="H386" s="1021"/>
      <c r="I386" s="883"/>
      <c r="J386" s="884"/>
      <c r="K386" s="885"/>
      <c r="L386" s="879"/>
    </row>
    <row r="387">
      <c r="B387" s="809"/>
      <c r="C387" s="886" t="s">
        <v>637</v>
      </c>
      <c r="D387" s="892">
        <f t="shared" ref="D387:D389" si="47">G362</f>
        <v>976.95</v>
      </c>
      <c r="E387" s="1017">
        <v>45782.0</v>
      </c>
      <c r="F387" s="1022"/>
      <c r="G387" s="892">
        <f t="shared" si="46"/>
        <v>976.95</v>
      </c>
      <c r="H387" s="1024" t="s">
        <v>630</v>
      </c>
      <c r="I387" s="883"/>
      <c r="J387" s="884"/>
      <c r="K387" s="885"/>
      <c r="L387" s="879"/>
    </row>
    <row r="388">
      <c r="B388" s="809"/>
      <c r="C388" s="886" t="s">
        <v>705</v>
      </c>
      <c r="D388" s="892">
        <f t="shared" si="47"/>
        <v>1073.227559</v>
      </c>
      <c r="E388" s="1017">
        <v>45782.0</v>
      </c>
      <c r="F388" s="1018"/>
      <c r="G388" s="892">
        <f t="shared" si="46"/>
        <v>1073.227559</v>
      </c>
      <c r="H388" s="1024" t="s">
        <v>574</v>
      </c>
      <c r="I388" s="883"/>
      <c r="J388" s="884"/>
      <c r="K388" s="885"/>
      <c r="L388" s="879"/>
    </row>
    <row r="389">
      <c r="B389" s="809"/>
      <c r="C389" s="886" t="s">
        <v>706</v>
      </c>
      <c r="D389" s="892">
        <f t="shared" si="47"/>
        <v>982.1463867</v>
      </c>
      <c r="E389" s="1017">
        <v>45782.0</v>
      </c>
      <c r="F389" s="1018"/>
      <c r="G389" s="892">
        <f t="shared" si="46"/>
        <v>982.1463867</v>
      </c>
      <c r="H389" s="1024" t="s">
        <v>573</v>
      </c>
      <c r="I389" s="884"/>
      <c r="K389" s="885"/>
      <c r="L389" s="879"/>
    </row>
    <row r="390">
      <c r="B390" s="809"/>
      <c r="C390" s="874" t="s">
        <v>638</v>
      </c>
      <c r="D390" s="892">
        <f>E369</f>
        <v>3441.6</v>
      </c>
      <c r="E390" s="1017">
        <v>45767.0</v>
      </c>
      <c r="F390" s="1018" t="s">
        <v>639</v>
      </c>
      <c r="G390" s="892" t="str">
        <f t="shared" si="46"/>
        <v/>
      </c>
      <c r="H390" s="1024"/>
      <c r="I390" s="890"/>
      <c r="J390" s="9"/>
      <c r="K390" s="891"/>
      <c r="L390" s="879"/>
    </row>
    <row r="391">
      <c r="B391" s="809"/>
      <c r="C391" s="874" t="s">
        <v>640</v>
      </c>
      <c r="D391" s="892">
        <v>430.0</v>
      </c>
      <c r="E391" s="1017">
        <v>45757.0</v>
      </c>
      <c r="F391" s="1018" t="s">
        <v>639</v>
      </c>
      <c r="G391" s="892" t="str">
        <f t="shared" si="46"/>
        <v/>
      </c>
      <c r="H391" s="1021"/>
      <c r="I391" s="890"/>
      <c r="J391" s="893"/>
      <c r="K391" s="891"/>
      <c r="L391" s="879"/>
    </row>
    <row r="392">
      <c r="B392" s="809"/>
      <c r="C392" s="874" t="s">
        <v>641</v>
      </c>
      <c r="D392" s="892">
        <f>G361</f>
        <v>750</v>
      </c>
      <c r="E392" s="1017">
        <v>45782.0</v>
      </c>
      <c r="F392" s="1018"/>
      <c r="G392" s="892">
        <f t="shared" si="46"/>
        <v>750</v>
      </c>
      <c r="H392" s="1024" t="s">
        <v>558</v>
      </c>
      <c r="I392" s="890"/>
      <c r="J392" s="893"/>
      <c r="K392" s="891"/>
      <c r="L392" s="879"/>
    </row>
    <row r="393">
      <c r="B393" s="809"/>
      <c r="C393" s="874" t="s">
        <v>691</v>
      </c>
      <c r="D393" s="892">
        <v>105.0</v>
      </c>
      <c r="E393" s="1017">
        <v>45772.0</v>
      </c>
      <c r="F393" s="1018" t="s">
        <v>639</v>
      </c>
      <c r="G393" s="892" t="str">
        <f t="shared" si="46"/>
        <v/>
      </c>
      <c r="H393" s="1021"/>
      <c r="I393" s="890"/>
      <c r="J393" s="9"/>
      <c r="K393" s="891"/>
      <c r="L393" s="879"/>
    </row>
    <row r="394">
      <c r="B394" s="809"/>
      <c r="C394" s="874" t="s">
        <v>644</v>
      </c>
      <c r="D394" s="892"/>
      <c r="E394" s="1020"/>
      <c r="F394" s="1018"/>
      <c r="G394" s="892" t="str">
        <f t="shared" si="46"/>
        <v/>
      </c>
      <c r="H394" s="1021"/>
      <c r="I394" s="890"/>
      <c r="J394" s="9"/>
      <c r="K394" s="891"/>
      <c r="L394" s="879"/>
    </row>
    <row r="395">
      <c r="B395" s="809"/>
      <c r="C395" s="874" t="s">
        <v>645</v>
      </c>
      <c r="D395" s="892">
        <v>120.0</v>
      </c>
      <c r="E395" s="1017">
        <v>45767.0</v>
      </c>
      <c r="F395" s="1018" t="s">
        <v>639</v>
      </c>
      <c r="G395" s="1018" t="str">
        <f t="shared" si="46"/>
        <v/>
      </c>
      <c r="H395" s="1021"/>
      <c r="I395" s="890"/>
      <c r="J395" s="9"/>
      <c r="K395" s="891"/>
      <c r="L395" s="879"/>
    </row>
    <row r="396">
      <c r="B396" s="809"/>
      <c r="C396" s="874" t="s">
        <v>646</v>
      </c>
      <c r="D396" s="892" t="s">
        <v>134</v>
      </c>
      <c r="E396" s="1017">
        <v>45767.0</v>
      </c>
      <c r="F396" s="1018" t="s">
        <v>639</v>
      </c>
      <c r="G396" s="892" t="str">
        <f t="shared" si="46"/>
        <v/>
      </c>
      <c r="H396" s="1021"/>
      <c r="I396" s="890"/>
      <c r="J396" s="9"/>
      <c r="K396" s="891"/>
      <c r="L396" s="879"/>
    </row>
    <row r="397">
      <c r="B397" s="809"/>
      <c r="C397" s="874" t="s">
        <v>647</v>
      </c>
      <c r="D397" s="892"/>
      <c r="E397" s="1020"/>
      <c r="F397" s="1018"/>
      <c r="G397" s="892" t="str">
        <f t="shared" si="46"/>
        <v/>
      </c>
      <c r="H397" s="1021"/>
      <c r="I397" s="890"/>
      <c r="J397" s="9"/>
      <c r="K397" s="891"/>
      <c r="L397" s="879"/>
    </row>
    <row r="398">
      <c r="B398" s="809"/>
      <c r="C398" s="874" t="s">
        <v>648</v>
      </c>
      <c r="D398" s="892">
        <v>697.42</v>
      </c>
      <c r="E398" s="1017">
        <v>45767.0</v>
      </c>
      <c r="F398" s="1018" t="s">
        <v>639</v>
      </c>
      <c r="G398" s="892" t="str">
        <f t="shared" si="46"/>
        <v/>
      </c>
      <c r="H398" s="1021"/>
      <c r="I398" s="890"/>
      <c r="J398" s="9"/>
      <c r="K398" s="891"/>
      <c r="L398" s="879"/>
    </row>
    <row r="399">
      <c r="B399" s="809"/>
      <c r="C399" s="874" t="s">
        <v>649</v>
      </c>
      <c r="D399" s="892">
        <v>435.9</v>
      </c>
      <c r="E399" s="1017">
        <v>45767.0</v>
      </c>
      <c r="F399" s="1018" t="s">
        <v>639</v>
      </c>
      <c r="G399" s="892" t="str">
        <f t="shared" si="46"/>
        <v/>
      </c>
      <c r="H399" s="1021"/>
      <c r="I399" s="890"/>
      <c r="J399" s="9"/>
      <c r="K399" s="891"/>
      <c r="L399" s="879"/>
    </row>
    <row r="400">
      <c r="B400" s="809"/>
      <c r="C400" s="874" t="s">
        <v>650</v>
      </c>
      <c r="D400" s="892">
        <v>323.92</v>
      </c>
      <c r="E400" s="1017">
        <v>45767.0</v>
      </c>
      <c r="F400" s="1018" t="s">
        <v>639</v>
      </c>
      <c r="G400" s="892" t="str">
        <f t="shared" si="46"/>
        <v/>
      </c>
      <c r="H400" s="1024"/>
      <c r="I400" s="890"/>
      <c r="J400" s="9"/>
      <c r="K400" s="891"/>
      <c r="L400" s="879"/>
    </row>
    <row r="401">
      <c r="B401" s="809"/>
      <c r="C401" s="874" t="s">
        <v>652</v>
      </c>
      <c r="D401" s="892"/>
      <c r="E401" s="1020"/>
      <c r="F401" s="1018"/>
      <c r="G401" s="892" t="str">
        <f t="shared" si="46"/>
        <v/>
      </c>
      <c r="H401" s="1021"/>
      <c r="I401" s="890"/>
      <c r="J401" s="9"/>
      <c r="K401" s="891"/>
      <c r="L401" s="879"/>
    </row>
    <row r="402">
      <c r="B402" s="809"/>
      <c r="C402" s="874" t="s">
        <v>653</v>
      </c>
      <c r="D402" s="892"/>
      <c r="E402" s="1020"/>
      <c r="F402" s="1018"/>
      <c r="G402" s="892" t="str">
        <f t="shared" si="46"/>
        <v/>
      </c>
      <c r="H402" s="1021"/>
      <c r="I402" s="890"/>
      <c r="J402" s="9"/>
      <c r="K402" s="891"/>
      <c r="L402" s="879"/>
    </row>
    <row r="403">
      <c r="B403" s="809"/>
      <c r="C403" s="874" t="s">
        <v>654</v>
      </c>
      <c r="D403" s="892"/>
      <c r="E403" s="1020"/>
      <c r="F403" s="1018"/>
      <c r="G403" s="892" t="str">
        <f t="shared" si="46"/>
        <v/>
      </c>
      <c r="H403" s="1021"/>
      <c r="I403" s="890"/>
      <c r="J403" s="9"/>
      <c r="K403" s="891"/>
      <c r="L403" s="879"/>
    </row>
    <row r="404">
      <c r="B404" s="809"/>
      <c r="C404" s="874"/>
      <c r="D404" s="892"/>
      <c r="E404" s="1020"/>
      <c r="F404" s="1018"/>
      <c r="G404" s="892"/>
      <c r="H404" s="1021"/>
      <c r="I404" s="890"/>
      <c r="J404" s="9"/>
      <c r="K404" s="891"/>
      <c r="L404" s="879"/>
    </row>
    <row r="405">
      <c r="B405" s="809"/>
      <c r="C405" s="886" t="s">
        <v>651</v>
      </c>
      <c r="D405" s="659">
        <v>936.75</v>
      </c>
      <c r="E405" s="1017">
        <v>45754.0</v>
      </c>
      <c r="F405" s="1018"/>
      <c r="G405" s="892">
        <f t="shared" ref="G405:G408" si="48">IF(F405="",D405,"")</f>
        <v>936.75</v>
      </c>
      <c r="H405" s="1019" t="s">
        <v>630</v>
      </c>
      <c r="I405" s="890"/>
      <c r="J405" s="9"/>
      <c r="K405" s="891"/>
      <c r="L405" s="879"/>
    </row>
    <row r="406">
      <c r="B406" s="809"/>
      <c r="C406" s="874" t="s">
        <v>657</v>
      </c>
      <c r="D406" s="892">
        <v>750.0</v>
      </c>
      <c r="E406" s="1017">
        <v>45767.0</v>
      </c>
      <c r="F406" s="1018" t="s">
        <v>639</v>
      </c>
      <c r="G406" s="892" t="str">
        <f t="shared" si="48"/>
        <v/>
      </c>
      <c r="H406" s="1021"/>
      <c r="I406" s="890"/>
      <c r="J406" s="9"/>
      <c r="K406" s="891"/>
      <c r="L406" s="879"/>
    </row>
    <row r="407">
      <c r="B407" s="809"/>
      <c r="C407" s="894" t="s">
        <v>658</v>
      </c>
      <c r="D407" s="1025">
        <v>750.0</v>
      </c>
      <c r="E407" s="1017">
        <v>45782.0</v>
      </c>
      <c r="F407" s="1026"/>
      <c r="G407" s="892">
        <f t="shared" si="48"/>
        <v>750</v>
      </c>
      <c r="H407" s="1027" t="s">
        <v>558</v>
      </c>
      <c r="I407" s="890"/>
      <c r="J407" s="9"/>
      <c r="K407" s="891"/>
      <c r="L407" s="879"/>
    </row>
    <row r="408">
      <c r="B408" s="809"/>
      <c r="C408" s="1028" t="s">
        <v>707</v>
      </c>
      <c r="D408" s="1029"/>
      <c r="E408" s="1030">
        <v>45721.0</v>
      </c>
      <c r="F408" s="1031"/>
      <c r="G408" s="1032" t="str">
        <f t="shared" si="48"/>
        <v/>
      </c>
      <c r="H408" s="1033"/>
      <c r="I408" s="890"/>
      <c r="J408" s="9"/>
      <c r="K408" s="891"/>
      <c r="L408" s="879"/>
    </row>
    <row r="409">
      <c r="B409" s="809"/>
      <c r="C409" s="904"/>
      <c r="D409" s="905"/>
      <c r="E409" s="906"/>
      <c r="F409" s="904"/>
      <c r="G409" s="904"/>
      <c r="H409" s="904"/>
      <c r="I409" s="906"/>
      <c r="J409" s="904"/>
      <c r="K409" s="240"/>
      <c r="L409" s="907"/>
    </row>
    <row r="410">
      <c r="B410" s="724"/>
      <c r="C410" s="908" t="s">
        <v>716</v>
      </c>
      <c r="D410" s="909"/>
      <c r="E410" s="909"/>
      <c r="F410" s="909"/>
      <c r="G410" s="909"/>
      <c r="H410" s="909"/>
      <c r="I410" s="909"/>
      <c r="J410" s="910"/>
      <c r="K410" s="891"/>
      <c r="L410" s="879"/>
    </row>
    <row r="411">
      <c r="B411" s="768"/>
      <c r="C411" s="911" t="s">
        <v>659</v>
      </c>
      <c r="D411" s="912"/>
      <c r="E411" s="913">
        <f>I418</f>
        <v>5200.406054</v>
      </c>
      <c r="F411" s="914"/>
      <c r="G411" s="915" t="s">
        <v>660</v>
      </c>
      <c r="H411" s="916"/>
      <c r="I411" s="913">
        <f>F378</f>
        <v>3766.772441</v>
      </c>
      <c r="J411" s="917">
        <f>I411-G425-G431-G437-E426</f>
        <v>0.0024407</v>
      </c>
      <c r="K411" s="918"/>
      <c r="L411" s="919"/>
    </row>
    <row r="412">
      <c r="B412" s="768"/>
      <c r="C412" s="920"/>
      <c r="D412" s="921"/>
      <c r="E412" s="921"/>
      <c r="F412" s="914"/>
      <c r="G412" s="915" t="s">
        <v>558</v>
      </c>
      <c r="H412" s="916"/>
      <c r="I412" s="913">
        <f>F376</f>
        <v>932</v>
      </c>
      <c r="J412" s="917">
        <f>I412-E424-G427-G433-G438</f>
        <v>0</v>
      </c>
      <c r="K412" s="918"/>
      <c r="L412" s="919"/>
    </row>
    <row r="413">
      <c r="B413" s="768"/>
      <c r="C413" s="911" t="s">
        <v>661</v>
      </c>
      <c r="D413" s="912"/>
      <c r="E413" s="913">
        <f>SUM(E411/100*10)-20.04</f>
        <v>500.0006054</v>
      </c>
      <c r="F413" s="914"/>
      <c r="G413" s="922" t="s">
        <v>630</v>
      </c>
      <c r="H413" s="916"/>
      <c r="I413" s="913">
        <f>F379</f>
        <v>7.3</v>
      </c>
      <c r="J413" s="917">
        <f>I413-G426-G432-G439-E425</f>
        <v>0</v>
      </c>
      <c r="K413" s="918"/>
      <c r="L413" s="919"/>
    </row>
    <row r="414">
      <c r="B414" s="768"/>
      <c r="C414" s="911" t="s">
        <v>662</v>
      </c>
      <c r="D414" s="912"/>
      <c r="E414" s="913">
        <f>SUM(E411/100*10)-20.04</f>
        <v>500.0006054</v>
      </c>
      <c r="F414" s="914"/>
      <c r="G414" s="915" t="s">
        <v>573</v>
      </c>
      <c r="H414" s="916"/>
      <c r="I414" s="913">
        <f>F377</f>
        <v>503.9936133</v>
      </c>
      <c r="J414" s="917">
        <f>I414-G424-G430-G436-E428</f>
        <v>0.003613304</v>
      </c>
      <c r="K414" s="117"/>
      <c r="L414" s="923"/>
    </row>
    <row r="415">
      <c r="B415" s="768"/>
      <c r="C415" s="920"/>
      <c r="D415" s="921"/>
      <c r="E415" s="921"/>
      <c r="F415" s="914"/>
      <c r="G415" s="916" t="s">
        <v>576</v>
      </c>
      <c r="H415" s="916"/>
      <c r="I415" s="924">
        <f t="shared" ref="I415:I416" si="49">F380</f>
        <v>197.34</v>
      </c>
      <c r="J415" s="925">
        <f>I415-E427</f>
        <v>0</v>
      </c>
      <c r="K415" s="240"/>
      <c r="L415" s="907"/>
    </row>
    <row r="416">
      <c r="B416" s="768"/>
      <c r="C416" s="911" t="s">
        <v>663</v>
      </c>
      <c r="D416" s="912"/>
      <c r="E416" s="926">
        <f>SUM(E411)-(E413+E414)</f>
        <v>4200.404843</v>
      </c>
      <c r="F416" s="927"/>
      <c r="G416" s="928" t="s">
        <v>631</v>
      </c>
      <c r="H416" s="916"/>
      <c r="I416" s="924">
        <f t="shared" si="49"/>
        <v>793</v>
      </c>
      <c r="J416" s="925">
        <f>I416-E429</f>
        <v>0</v>
      </c>
      <c r="K416" s="240"/>
      <c r="L416" s="907"/>
    </row>
    <row r="417">
      <c r="B417" s="768"/>
      <c r="C417" s="911" t="s">
        <v>664</v>
      </c>
      <c r="D417" s="912"/>
      <c r="E417" s="913">
        <v>0.0</v>
      </c>
      <c r="F417" s="914"/>
      <c r="G417" s="921"/>
      <c r="H417" s="921"/>
      <c r="I417" s="929">
        <f>SUM(I411:I416)</f>
        <v>6200.406054</v>
      </c>
      <c r="J417" s="930">
        <f>SUM(J411:J416)-0.01</f>
        <v>-0.003945996</v>
      </c>
      <c r="K417" s="7"/>
      <c r="L417" s="810"/>
    </row>
    <row r="418">
      <c r="B418" s="768"/>
      <c r="C418" s="920"/>
      <c r="D418" s="921"/>
      <c r="E418" s="921"/>
      <c r="F418" s="927"/>
      <c r="G418" s="931" t="s">
        <v>610</v>
      </c>
      <c r="H418" s="932"/>
      <c r="I418" s="926">
        <f>SUM(I411:I416)-1000</f>
        <v>5200.406054</v>
      </c>
      <c r="J418" s="933"/>
      <c r="K418" s="7"/>
      <c r="L418" s="810"/>
    </row>
    <row r="419">
      <c r="B419" s="768"/>
      <c r="C419" s="911" t="s">
        <v>665</v>
      </c>
      <c r="D419" s="912"/>
      <c r="E419" s="934" t="s">
        <v>666</v>
      </c>
      <c r="F419" s="927"/>
      <c r="G419" s="1048" t="s">
        <v>667</v>
      </c>
      <c r="J419" s="933"/>
      <c r="K419" s="7"/>
      <c r="L419" s="810"/>
    </row>
    <row r="420">
      <c r="B420" s="768"/>
      <c r="C420" s="920"/>
      <c r="D420" s="916"/>
      <c r="E420" s="936"/>
      <c r="F420" s="927"/>
      <c r="G420" s="927"/>
      <c r="H420" s="927"/>
      <c r="I420" s="927"/>
      <c r="J420" s="933"/>
      <c r="K420" s="7"/>
      <c r="L420" s="810"/>
    </row>
    <row r="421">
      <c r="B421" s="768"/>
      <c r="C421" s="937" t="s">
        <v>620</v>
      </c>
      <c r="D421" s="938">
        <f>SUM(E416-D420)</f>
        <v>4200.404843</v>
      </c>
      <c r="E421" s="939">
        <f>D421</f>
        <v>4200.404843</v>
      </c>
      <c r="F421" s="940"/>
      <c r="G421" s="940"/>
      <c r="H421" s="940"/>
      <c r="I421" s="940"/>
      <c r="J421" s="941"/>
      <c r="K421" s="7"/>
      <c r="L421" s="810"/>
    </row>
    <row r="422">
      <c r="B422" s="768"/>
      <c r="C422" s="942"/>
      <c r="D422" s="117"/>
      <c r="E422" s="117"/>
      <c r="F422" s="117"/>
      <c r="G422" s="117"/>
      <c r="H422" s="117"/>
      <c r="I422" s="918"/>
      <c r="J422" s="943"/>
      <c r="K422" s="7"/>
      <c r="L422" s="810"/>
    </row>
    <row r="423">
      <c r="B423" s="768"/>
      <c r="C423" s="944" t="s">
        <v>668</v>
      </c>
      <c r="D423" s="593"/>
      <c r="E423" s="594"/>
      <c r="F423" s="117"/>
      <c r="G423" s="945" t="s">
        <v>669</v>
      </c>
      <c r="H423" s="594"/>
      <c r="I423" s="918"/>
      <c r="J423" s="943"/>
      <c r="K423" s="117"/>
      <c r="L423" s="923"/>
    </row>
    <row r="424">
      <c r="B424" s="768"/>
      <c r="C424" s="946" t="s">
        <v>558</v>
      </c>
      <c r="D424" s="912"/>
      <c r="E424" s="947">
        <v>432.0</v>
      </c>
      <c r="F424" s="948"/>
      <c r="G424" s="949">
        <v>0.0</v>
      </c>
      <c r="H424" s="950" t="s">
        <v>573</v>
      </c>
      <c r="I424" s="918"/>
      <c r="J424" s="943"/>
      <c r="K424" s="117"/>
      <c r="L424" s="923"/>
    </row>
    <row r="425">
      <c r="B425" s="768"/>
      <c r="C425" s="946" t="s">
        <v>630</v>
      </c>
      <c r="D425" s="912"/>
      <c r="E425" s="947">
        <v>7.3</v>
      </c>
      <c r="F425" s="948"/>
      <c r="G425" s="951">
        <v>0.0</v>
      </c>
      <c r="H425" s="950" t="s">
        <v>587</v>
      </c>
      <c r="I425" s="918"/>
      <c r="J425" s="943"/>
      <c r="K425" s="117"/>
      <c r="L425" s="923"/>
    </row>
    <row r="426">
      <c r="B426" s="768"/>
      <c r="C426" s="952" t="s">
        <v>587</v>
      </c>
      <c r="D426" s="912"/>
      <c r="E426" s="947">
        <v>2766.77</v>
      </c>
      <c r="F426" s="953"/>
      <c r="G426" s="949">
        <v>0.0</v>
      </c>
      <c r="H426" s="954" t="s">
        <v>671</v>
      </c>
      <c r="I426" s="955">
        <f>F432</f>
        <v>316.02</v>
      </c>
      <c r="J426" s="594"/>
      <c r="K426" s="117"/>
      <c r="L426" s="923"/>
    </row>
    <row r="427">
      <c r="B427" s="768"/>
      <c r="C427" s="952" t="s">
        <v>576</v>
      </c>
      <c r="D427" s="912"/>
      <c r="E427" s="947">
        <v>197.34</v>
      </c>
      <c r="F427" s="948"/>
      <c r="G427" s="951">
        <v>500.0</v>
      </c>
      <c r="H427" s="956" t="s">
        <v>558</v>
      </c>
      <c r="I427" s="957" t="s">
        <v>620</v>
      </c>
      <c r="J427" s="958" t="s">
        <v>672</v>
      </c>
      <c r="K427" s="117"/>
      <c r="L427" s="923"/>
    </row>
    <row r="428">
      <c r="B428" s="768"/>
      <c r="C428" s="952" t="s">
        <v>573</v>
      </c>
      <c r="D428" s="912"/>
      <c r="E428" s="947">
        <v>3.99</v>
      </c>
      <c r="F428" s="948"/>
      <c r="G428" s="959">
        <f>SUM(G424:G427)</f>
        <v>500</v>
      </c>
      <c r="H428" s="960" t="s">
        <v>610</v>
      </c>
      <c r="I428" s="961">
        <f>I426/2</f>
        <v>158.01</v>
      </c>
      <c r="J428" s="962"/>
      <c r="K428" s="7"/>
      <c r="L428" s="810"/>
    </row>
    <row r="429">
      <c r="B429" s="768"/>
      <c r="C429" s="946" t="s">
        <v>631</v>
      </c>
      <c r="D429" s="912"/>
      <c r="E429" s="947">
        <v>793.0</v>
      </c>
      <c r="F429" s="948"/>
      <c r="G429" s="964" t="s">
        <v>673</v>
      </c>
      <c r="H429" s="594"/>
      <c r="I429" s="965" t="s">
        <v>670</v>
      </c>
      <c r="J429" s="966" t="s">
        <v>674</v>
      </c>
      <c r="K429" s="7"/>
      <c r="L429" s="810"/>
    </row>
    <row r="430">
      <c r="B430" s="967"/>
      <c r="C430" s="952" t="s">
        <v>675</v>
      </c>
      <c r="D430" s="912"/>
      <c r="E430" s="968">
        <f>SUM(E421-(E424+E425+E426+E427+E428+E429))</f>
        <v>0.004843203201</v>
      </c>
      <c r="F430" s="969"/>
      <c r="G430" s="976">
        <v>500.0</v>
      </c>
      <c r="H430" s="971" t="s">
        <v>573</v>
      </c>
      <c r="I430" s="972">
        <f>I426/2</f>
        <v>158.01</v>
      </c>
      <c r="J430" s="973"/>
      <c r="K430" s="7"/>
      <c r="L430" s="810"/>
    </row>
    <row r="431">
      <c r="B431" s="967"/>
      <c r="C431" s="942"/>
      <c r="D431" s="918"/>
      <c r="E431" s="974">
        <f>SUM(E424:E429)</f>
        <v>4200.4</v>
      </c>
      <c r="F431" s="975"/>
      <c r="G431" s="976">
        <v>0.0</v>
      </c>
      <c r="H431" s="977" t="s">
        <v>587</v>
      </c>
      <c r="I431" s="918"/>
      <c r="J431" s="978"/>
      <c r="K431" s="7"/>
      <c r="L431" s="810"/>
    </row>
    <row r="432">
      <c r="B432" s="967"/>
      <c r="C432" s="942"/>
      <c r="D432" s="1055" t="s">
        <v>714</v>
      </c>
      <c r="E432" s="593"/>
      <c r="F432" s="1052">
        <f>SUM(E428+E425+E427+107.39)</f>
        <v>316.02</v>
      </c>
      <c r="G432" s="970">
        <v>0.0</v>
      </c>
      <c r="H432" s="981" t="s">
        <v>671</v>
      </c>
      <c r="I432" s="612" t="s">
        <v>676</v>
      </c>
      <c r="J432" s="610"/>
      <c r="K432" s="1037" t="s">
        <v>699</v>
      </c>
      <c r="L432" s="1038" t="s">
        <v>700</v>
      </c>
    </row>
    <row r="433">
      <c r="B433" s="967"/>
      <c r="C433" s="942"/>
      <c r="D433" s="843"/>
      <c r="E433" s="982" t="s">
        <v>677</v>
      </c>
      <c r="F433" s="983">
        <f>F432</f>
        <v>316.02</v>
      </c>
      <c r="G433" s="970">
        <v>0.0</v>
      </c>
      <c r="H433" s="977" t="s">
        <v>558</v>
      </c>
      <c r="I433" s="918" t="s">
        <v>681</v>
      </c>
      <c r="J433" s="1039">
        <v>45558.0</v>
      </c>
      <c r="K433" s="1040">
        <v>45705.0</v>
      </c>
      <c r="L433" s="1042">
        <v>45712.0</v>
      </c>
    </row>
    <row r="434">
      <c r="B434" s="967"/>
      <c r="C434" s="942"/>
      <c r="D434" s="843"/>
      <c r="E434" s="985"/>
      <c r="F434" s="986"/>
      <c r="G434" s="987">
        <f>SUM(G431:G433)</f>
        <v>0</v>
      </c>
      <c r="H434" s="988" t="s">
        <v>610</v>
      </c>
      <c r="I434" s="918"/>
      <c r="J434" s="1039"/>
      <c r="K434" s="1040"/>
      <c r="L434" s="1042"/>
    </row>
    <row r="435">
      <c r="B435" s="768"/>
      <c r="C435" s="989"/>
      <c r="D435" s="943"/>
      <c r="E435" s="1043" t="s">
        <v>701</v>
      </c>
      <c r="F435" s="991"/>
      <c r="G435" s="945" t="s">
        <v>680</v>
      </c>
      <c r="H435" s="594"/>
      <c r="I435" s="918"/>
      <c r="J435" s="984"/>
      <c r="K435" s="7"/>
      <c r="L435" s="810"/>
    </row>
    <row r="436">
      <c r="B436" s="809"/>
      <c r="C436" s="992"/>
      <c r="D436" s="993" t="s">
        <v>587</v>
      </c>
      <c r="E436" s="994">
        <f>E426-107.39</f>
        <v>2659.38</v>
      </c>
      <c r="F436" s="969"/>
      <c r="G436" s="949">
        <v>0.0</v>
      </c>
      <c r="H436" s="950" t="s">
        <v>573</v>
      </c>
      <c r="I436" s="918"/>
      <c r="J436" s="610"/>
      <c r="K436" s="7"/>
      <c r="L436" s="810"/>
    </row>
    <row r="437">
      <c r="B437" s="809"/>
      <c r="C437" s="992"/>
      <c r="D437" s="7"/>
      <c r="E437" s="995">
        <f>E429+E424</f>
        <v>1225</v>
      </c>
      <c r="F437" s="969"/>
      <c r="G437" s="951">
        <v>1000.0</v>
      </c>
      <c r="H437" s="950" t="s">
        <v>587</v>
      </c>
      <c r="I437" s="7"/>
      <c r="J437" s="996"/>
      <c r="K437" s="7"/>
      <c r="L437" s="810"/>
    </row>
    <row r="438">
      <c r="B438" s="809"/>
      <c r="C438" s="992"/>
      <c r="D438" s="997" t="s">
        <v>682</v>
      </c>
      <c r="E438" s="995">
        <f>SUM(E436+E437)</f>
        <v>3884.38</v>
      </c>
      <c r="F438" s="998"/>
      <c r="G438" s="949">
        <v>0.0</v>
      </c>
      <c r="H438" s="950" t="s">
        <v>558</v>
      </c>
      <c r="I438" s="7"/>
      <c r="J438" s="996"/>
      <c r="K438" s="7"/>
      <c r="L438" s="810"/>
    </row>
    <row r="439">
      <c r="B439" s="809"/>
      <c r="C439" s="992"/>
      <c r="D439" s="7"/>
      <c r="E439" s="7"/>
      <c r="F439" s="998"/>
      <c r="G439" s="949">
        <v>0.0</v>
      </c>
      <c r="H439" s="999" t="s">
        <v>671</v>
      </c>
      <c r="I439" s="7"/>
      <c r="J439" s="996"/>
      <c r="K439" s="7"/>
      <c r="L439" s="810"/>
    </row>
    <row r="440">
      <c r="B440" s="809"/>
      <c r="C440" s="992"/>
      <c r="D440" s="7"/>
      <c r="E440" s="7"/>
      <c r="F440" s="998"/>
      <c r="G440" s="949">
        <f>SUM(G435:G439)</f>
        <v>1000</v>
      </c>
      <c r="H440" s="950" t="s">
        <v>610</v>
      </c>
      <c r="I440" s="7"/>
      <c r="J440" s="996"/>
      <c r="K440" s="7"/>
      <c r="L440" s="810"/>
    </row>
    <row r="441">
      <c r="B441" s="809"/>
      <c r="C441" s="1000"/>
      <c r="D441" s="1001"/>
      <c r="E441" s="1001"/>
      <c r="F441" s="1001"/>
      <c r="G441" s="1002"/>
      <c r="H441" s="1002"/>
      <c r="I441" s="1001"/>
      <c r="J441" s="1003"/>
      <c r="K441" s="7"/>
      <c r="L441" s="810"/>
    </row>
    <row r="442">
      <c r="B442" s="1004"/>
      <c r="C442" s="1005"/>
      <c r="D442" s="1006"/>
      <c r="E442" s="1006"/>
      <c r="F442" s="1006"/>
      <c r="G442" s="1007"/>
      <c r="H442" s="1006"/>
      <c r="I442" s="1006"/>
      <c r="J442" s="1008"/>
      <c r="K442" s="1006"/>
      <c r="L442" s="1009"/>
    </row>
    <row r="446">
      <c r="B446" s="721" t="s">
        <v>717</v>
      </c>
      <c r="C446" s="722"/>
      <c r="D446" s="722"/>
      <c r="E446" s="722"/>
      <c r="F446" s="722"/>
      <c r="G446" s="722"/>
      <c r="H446" s="722"/>
      <c r="I446" s="722"/>
      <c r="J446" s="722"/>
      <c r="K446" s="722"/>
      <c r="L446" s="723"/>
    </row>
    <row r="447">
      <c r="B447" s="724"/>
      <c r="C447" s="725" t="s">
        <v>607</v>
      </c>
      <c r="D447" s="726" t="s">
        <v>608</v>
      </c>
      <c r="E447" s="727"/>
      <c r="F447" s="727"/>
      <c r="G447" s="727"/>
      <c r="H447" s="728"/>
      <c r="I447" s="729">
        <f>YEAR((TODAY()))</f>
        <v>2026</v>
      </c>
      <c r="J447" s="730"/>
      <c r="K447" s="731"/>
      <c r="L447" s="732"/>
    </row>
    <row r="448">
      <c r="B448" s="733"/>
      <c r="C448" s="734">
        <f>TODAY()</f>
        <v>46144</v>
      </c>
      <c r="D448" s="735" t="s">
        <v>609</v>
      </c>
      <c r="E448" s="736" t="s">
        <v>610</v>
      </c>
      <c r="F448" s="737"/>
      <c r="G448" s="737"/>
      <c r="H448" s="738"/>
      <c r="I448" s="730"/>
      <c r="J448" s="730"/>
      <c r="K448" s="730"/>
      <c r="L448" s="732"/>
    </row>
    <row r="449">
      <c r="B449" s="724"/>
      <c r="C449" s="739" t="s">
        <v>611</v>
      </c>
      <c r="D449" s="740"/>
      <c r="E449" s="741" t="s">
        <v>612</v>
      </c>
      <c r="F449" s="742" t="s">
        <v>613</v>
      </c>
      <c r="G449" s="743" t="s">
        <v>614</v>
      </c>
      <c r="H449" s="744" t="s">
        <v>615</v>
      </c>
      <c r="I449" s="745" t="s">
        <v>616</v>
      </c>
      <c r="J449" s="746" t="s">
        <v>617</v>
      </c>
      <c r="K449" s="747" t="s">
        <v>618</v>
      </c>
      <c r="L449" s="748" t="s">
        <v>619</v>
      </c>
    </row>
    <row r="450">
      <c r="B450" s="749"/>
      <c r="C450" s="750" t="s">
        <v>620</v>
      </c>
      <c r="D450" s="743">
        <v>1500.0</v>
      </c>
      <c r="E450" s="751">
        <f>SUM((D450/2)-F450)</f>
        <v>750</v>
      </c>
      <c r="F450" s="752">
        <v>0.0</v>
      </c>
      <c r="G450" s="753">
        <f>SUM(((D450/2)-H450))</f>
        <v>750</v>
      </c>
      <c r="H450" s="754">
        <v>0.0</v>
      </c>
      <c r="I450" s="755"/>
      <c r="J450" s="756"/>
      <c r="K450" s="757"/>
      <c r="L450" s="758"/>
    </row>
    <row r="451">
      <c r="B451" s="749"/>
      <c r="C451" s="759" t="s">
        <v>621</v>
      </c>
      <c r="D451" s="760">
        <v>1518.0</v>
      </c>
      <c r="E451" s="761">
        <f>SUM(((D451/100)*40)-F451)+((I451/100)*40)</f>
        <v>727.2</v>
      </c>
      <c r="F451" s="1010">
        <v>0.0</v>
      </c>
      <c r="G451" s="762">
        <f>SUM(((D451/100)*60)-H451)-L451+((I451/100)*60)</f>
        <v>962.95</v>
      </c>
      <c r="H451" s="775">
        <v>14.0</v>
      </c>
      <c r="I451" s="764">
        <v>300.0</v>
      </c>
      <c r="J451" s="765"/>
      <c r="K451" s="766"/>
      <c r="L451" s="767">
        <f>SUM(D451/100)*7.5</f>
        <v>113.85</v>
      </c>
    </row>
    <row r="452">
      <c r="B452" s="768"/>
      <c r="C452" s="769" t="s">
        <v>622</v>
      </c>
      <c r="D452" s="753">
        <v>1518.0</v>
      </c>
      <c r="E452" s="770">
        <f>SUM((((D452/100)*40)-F452))</f>
        <v>607.2</v>
      </c>
      <c r="F452" s="752">
        <v>0.0</v>
      </c>
      <c r="G452" s="753">
        <f>SUM(((D452/100)*60)-H452)+J452-L452+I452</f>
        <v>913.2275593</v>
      </c>
      <c r="H452" s="771">
        <v>160.0</v>
      </c>
      <c r="I452" s="772">
        <v>2.36</v>
      </c>
      <c r="J452" s="756">
        <f>SUM(D452/100)*19.65</f>
        <v>298.287</v>
      </c>
      <c r="K452" s="757"/>
      <c r="L452" s="758">
        <f>SUM((D452+J452)/100)*7.61</f>
        <v>138.2194407</v>
      </c>
    </row>
    <row r="453">
      <c r="B453" s="768"/>
      <c r="C453" s="773" t="s">
        <v>623</v>
      </c>
      <c r="D453" s="760">
        <v>1518.0</v>
      </c>
      <c r="E453" s="774">
        <f>SUM(((((D453/100)*40))-F453))</f>
        <v>607.2</v>
      </c>
      <c r="F453" s="775">
        <v>0.0</v>
      </c>
      <c r="G453" s="762">
        <f>SUM(((D453/100)*60)-H453)+J453-K453-L453-I453</f>
        <v>982.1463867</v>
      </c>
      <c r="H453" s="776">
        <v>73.06</v>
      </c>
      <c r="I453" s="764">
        <v>0.0</v>
      </c>
      <c r="J453" s="1044">
        <f>SUM(D453/100)*17.42</f>
        <v>264.4356</v>
      </c>
      <c r="K453" s="1045">
        <v>0.0</v>
      </c>
      <c r="L453" s="1046">
        <f>SUM((D453+J453)/100)*6.734</f>
        <v>120.0292133</v>
      </c>
    </row>
    <row r="454">
      <c r="B454" s="768"/>
      <c r="C454" s="778" t="s">
        <v>624</v>
      </c>
      <c r="D454" s="779">
        <v>1500.0</v>
      </c>
      <c r="E454" s="780">
        <f>SUM((D454/2)-F454)</f>
        <v>750</v>
      </c>
      <c r="F454" s="779">
        <v>0.0</v>
      </c>
      <c r="G454" s="781">
        <f>SUM(((D454/2)-H454))-I454</f>
        <v>300</v>
      </c>
      <c r="H454" s="1056">
        <v>450.0</v>
      </c>
      <c r="I454" s="772">
        <v>0.0</v>
      </c>
      <c r="J454" s="756"/>
      <c r="K454" s="757"/>
      <c r="L454" s="758"/>
    </row>
    <row r="455">
      <c r="B455" s="768"/>
      <c r="C455" s="783"/>
      <c r="D455" s="784"/>
      <c r="E455" s="785"/>
      <c r="F455" s="785"/>
      <c r="G455" s="762"/>
      <c r="H455" s="786"/>
      <c r="I455" s="777"/>
      <c r="J455" s="765"/>
      <c r="K455" s="766"/>
      <c r="L455" s="767"/>
    </row>
    <row r="456">
      <c r="B456" s="768"/>
      <c r="C456" s="787"/>
      <c r="D456" s="779"/>
      <c r="E456" s="779"/>
      <c r="F456" s="779"/>
      <c r="G456" s="781"/>
      <c r="H456" s="782"/>
      <c r="I456" s="755"/>
      <c r="J456" s="765">
        <f>SUM(D456/100)*20</f>
        <v>0</v>
      </c>
      <c r="K456" s="766">
        <f>SUM(D456/100)*6</f>
        <v>0</v>
      </c>
      <c r="L456" s="767">
        <f>SUM((D456+J456)/100)*7.75</f>
        <v>0</v>
      </c>
    </row>
    <row r="457">
      <c r="B457" s="768"/>
      <c r="C457" s="789"/>
      <c r="D457" s="790"/>
      <c r="E457" s="790"/>
      <c r="F457" s="790"/>
      <c r="G457" s="790"/>
      <c r="H457" s="791"/>
      <c r="I457" s="792"/>
      <c r="J457" s="793"/>
      <c r="K457" s="794"/>
      <c r="L457" s="795"/>
    </row>
    <row r="458">
      <c r="B458" s="724"/>
      <c r="C458" s="796" t="s">
        <v>610</v>
      </c>
      <c r="D458" s="797"/>
      <c r="E458" s="798">
        <f>SUM(E450:E457)</f>
        <v>3441.6</v>
      </c>
      <c r="F458" s="797"/>
      <c r="G458" s="799">
        <f>SUM(G450:G457)</f>
        <v>3908.323946</v>
      </c>
      <c r="H458" s="1011">
        <f>SUM(G451:G453)</f>
        <v>2858.323946</v>
      </c>
      <c r="I458" s="801"/>
      <c r="J458" s="802"/>
      <c r="K458" s="730"/>
      <c r="L458" s="732"/>
    </row>
    <row r="459">
      <c r="B459" s="724"/>
      <c r="C459" s="803"/>
      <c r="D459" s="804"/>
      <c r="E459" s="804"/>
      <c r="F459" s="804"/>
      <c r="G459" s="804"/>
      <c r="H459" s="804"/>
      <c r="I459" s="805"/>
      <c r="J459" s="806"/>
      <c r="K459" s="807"/>
      <c r="L459" s="808"/>
    </row>
    <row r="460">
      <c r="B460" s="809"/>
      <c r="C460" s="7"/>
      <c r="D460" s="7"/>
      <c r="E460" s="7"/>
      <c r="F460" s="7"/>
      <c r="G460" s="7"/>
      <c r="H460" s="7"/>
      <c r="I460" s="7"/>
      <c r="J460" s="7"/>
      <c r="K460" s="7"/>
      <c r="L460" s="810"/>
    </row>
    <row r="461">
      <c r="B461" s="811">
        <v>45833.0</v>
      </c>
      <c r="C461" s="812"/>
      <c r="D461" s="812"/>
      <c r="E461" s="812"/>
      <c r="F461" s="812"/>
      <c r="G461" s="812"/>
      <c r="H461" s="812"/>
      <c r="I461" s="812"/>
      <c r="J461" s="812"/>
      <c r="K461" s="812"/>
      <c r="L461" s="813"/>
    </row>
    <row r="462">
      <c r="B462" s="814"/>
      <c r="C462" s="815"/>
      <c r="D462" s="815"/>
      <c r="E462" s="815"/>
      <c r="F462" s="815"/>
      <c r="G462" s="815"/>
      <c r="H462" s="815"/>
      <c r="I462" s="815"/>
      <c r="J462" s="815"/>
      <c r="K462" s="815"/>
      <c r="L462" s="816"/>
    </row>
    <row r="463">
      <c r="B463" s="817" t="s">
        <v>571</v>
      </c>
      <c r="C463" s="812"/>
      <c r="D463" s="812"/>
      <c r="E463" s="812"/>
      <c r="F463" s="818"/>
      <c r="G463" s="867" t="s">
        <v>718</v>
      </c>
      <c r="H463" s="1012" t="s">
        <v>685</v>
      </c>
      <c r="I463" s="593"/>
      <c r="J463" s="593"/>
      <c r="K463" s="593"/>
      <c r="L463" s="821"/>
    </row>
    <row r="464">
      <c r="B464" s="822" t="s">
        <v>625</v>
      </c>
      <c r="C464" s="823" t="s">
        <v>626</v>
      </c>
      <c r="D464" s="824"/>
      <c r="E464" s="825" t="s">
        <v>627</v>
      </c>
      <c r="F464" s="826" t="s">
        <v>628</v>
      </c>
      <c r="G464" s="1013">
        <v>2310.0</v>
      </c>
      <c r="H464" s="621" t="s">
        <v>580</v>
      </c>
      <c r="I464" s="827" t="s">
        <v>716</v>
      </c>
      <c r="J464" s="827" t="s">
        <v>719</v>
      </c>
      <c r="K464" s="621" t="s">
        <v>583</v>
      </c>
      <c r="L464" s="828" t="s">
        <v>584</v>
      </c>
    </row>
    <row r="465">
      <c r="B465" s="829">
        <v>3080.0</v>
      </c>
      <c r="C465" s="830" t="s">
        <v>558</v>
      </c>
      <c r="D465" s="831">
        <f>SUM(B465-K465)</f>
        <v>2730</v>
      </c>
      <c r="E465" s="831">
        <f>SUMIF(H474:H495,"IFOOD",G474:G495)</f>
        <v>2626.177559</v>
      </c>
      <c r="F465" s="832">
        <f t="shared" ref="F465:F470" si="50">D465-E465</f>
        <v>103.8224407</v>
      </c>
      <c r="G465" s="1014" t="s">
        <v>720</v>
      </c>
      <c r="H465" s="623" t="s">
        <v>558</v>
      </c>
      <c r="I465" s="625">
        <v>850.0</v>
      </c>
      <c r="J465" s="625">
        <v>0.0</v>
      </c>
      <c r="K465" s="625">
        <f>I465-G468</f>
        <v>350</v>
      </c>
      <c r="L465" s="834">
        <f t="shared" ref="L465:L470" si="51">SUM(J465+K465)</f>
        <v>350</v>
      </c>
    </row>
    <row r="466">
      <c r="B466" s="835">
        <v>1760.0</v>
      </c>
      <c r="C466" s="836" t="s">
        <v>573</v>
      </c>
      <c r="D466" s="625">
        <f>SUM(B466-K469)</f>
        <v>1590.14</v>
      </c>
      <c r="E466" s="837">
        <f>SUMIF(H474:H496,"Caixa",G474:G496)</f>
        <v>982.1463867</v>
      </c>
      <c r="F466" s="838">
        <f t="shared" si="50"/>
        <v>607.9936133</v>
      </c>
      <c r="G466" s="1013">
        <v>1910.0</v>
      </c>
      <c r="H466" s="839" t="s">
        <v>630</v>
      </c>
      <c r="I466" s="629">
        <v>0.0</v>
      </c>
      <c r="J466" s="629">
        <v>0.0</v>
      </c>
      <c r="K466" s="629">
        <f>I466</f>
        <v>0</v>
      </c>
      <c r="L466" s="1015">
        <f t="shared" si="51"/>
        <v>0</v>
      </c>
    </row>
    <row r="467">
      <c r="B467" s="829">
        <v>5115.0</v>
      </c>
      <c r="C467" s="830" t="s">
        <v>574</v>
      </c>
      <c r="D467" s="831">
        <f>B467</f>
        <v>5115</v>
      </c>
      <c r="E467" s="831">
        <f>SUMIF(H474:H497,"Cash",G474:G497)</f>
        <v>2236.75</v>
      </c>
      <c r="F467" s="832">
        <f t="shared" si="50"/>
        <v>2878.25</v>
      </c>
      <c r="G467" s="1014" t="s">
        <v>721</v>
      </c>
      <c r="H467" s="623" t="s">
        <v>587</v>
      </c>
      <c r="I467" s="625">
        <v>4360.0</v>
      </c>
      <c r="J467" s="624">
        <v>1000.0</v>
      </c>
      <c r="K467" s="625">
        <f>I467-G464-G466</f>
        <v>140</v>
      </c>
      <c r="L467" s="834">
        <f t="shared" si="51"/>
        <v>1140</v>
      </c>
    </row>
    <row r="468">
      <c r="B468" s="835">
        <v>607.0</v>
      </c>
      <c r="C468" s="841" t="s">
        <v>630</v>
      </c>
      <c r="D468" s="625">
        <f>SUM(B468-K466)</f>
        <v>607</v>
      </c>
      <c r="E468" s="837">
        <f>SUMIF(H474:H498,"Infinity 1",G474:G498)</f>
        <v>0</v>
      </c>
      <c r="F468" s="838">
        <f t="shared" si="50"/>
        <v>607</v>
      </c>
      <c r="G468" s="1013">
        <v>500.0</v>
      </c>
      <c r="H468" s="634" t="s">
        <v>576</v>
      </c>
      <c r="I468" s="636">
        <v>53.66</v>
      </c>
      <c r="J468" s="636">
        <v>0.0</v>
      </c>
      <c r="K468" s="636">
        <f>I468</f>
        <v>53.66</v>
      </c>
      <c r="L468" s="842">
        <f t="shared" si="51"/>
        <v>53.66</v>
      </c>
    </row>
    <row r="469">
      <c r="B469" s="829">
        <v>602.0</v>
      </c>
      <c r="C469" s="830" t="s">
        <v>576</v>
      </c>
      <c r="D469" s="831">
        <f>SUM(B469-K468)</f>
        <v>548.34</v>
      </c>
      <c r="E469" s="831">
        <f>SUMIF(H476:H499,"Stone",G476:G499)</f>
        <v>300</v>
      </c>
      <c r="F469" s="832">
        <f t="shared" si="50"/>
        <v>248.34</v>
      </c>
      <c r="G469" s="1057">
        <v>500.0</v>
      </c>
      <c r="H469" s="641" t="s">
        <v>573</v>
      </c>
      <c r="I469" s="844">
        <v>669.86</v>
      </c>
      <c r="J469" s="844">
        <v>0.0</v>
      </c>
      <c r="K469" s="844">
        <f>I469-G469</f>
        <v>169.86</v>
      </c>
      <c r="L469" s="845">
        <f t="shared" si="51"/>
        <v>169.86</v>
      </c>
    </row>
    <row r="470">
      <c r="B470" s="846">
        <v>322.0</v>
      </c>
      <c r="C470" s="847" t="s">
        <v>631</v>
      </c>
      <c r="D470" s="848">
        <f>SUM(B470-K470)</f>
        <v>322</v>
      </c>
      <c r="E470" s="848">
        <f>SUMIF(H476:H500,"Infinity 2",G476:G500)</f>
        <v>0</v>
      </c>
      <c r="F470" s="849">
        <f t="shared" si="50"/>
        <v>322</v>
      </c>
      <c r="G470" s="117"/>
      <c r="H470" s="850" t="s">
        <v>631</v>
      </c>
      <c r="I470" s="1058">
        <v>0.0</v>
      </c>
      <c r="J470" s="851">
        <v>0.0</v>
      </c>
      <c r="K470" s="852">
        <f>I470</f>
        <v>0</v>
      </c>
      <c r="L470" s="853">
        <f t="shared" si="51"/>
        <v>0</v>
      </c>
    </row>
    <row r="471">
      <c r="B471" s="1054">
        <f>SUM(B465:B470)</f>
        <v>11486</v>
      </c>
      <c r="C471" s="855" t="s">
        <v>578</v>
      </c>
      <c r="D471" s="856">
        <f t="shared" ref="D471:F471" si="52">SUM(D465:D470)</f>
        <v>10912.48</v>
      </c>
      <c r="E471" s="857">
        <f t="shared" si="52"/>
        <v>6145.073946</v>
      </c>
      <c r="F471" s="858">
        <f t="shared" si="52"/>
        <v>4767.406054</v>
      </c>
      <c r="G471" s="117"/>
      <c r="H471" s="859" t="s">
        <v>589</v>
      </c>
      <c r="I471" s="860" t="s">
        <v>590</v>
      </c>
      <c r="J471" s="861" t="s">
        <v>134</v>
      </c>
      <c r="K471" s="862">
        <f t="shared" ref="K471:L471" si="53">SUM(K465:K469)</f>
        <v>713.52</v>
      </c>
      <c r="L471" s="863">
        <f t="shared" si="53"/>
        <v>1713.52</v>
      </c>
    </row>
    <row r="472">
      <c r="B472" s="724"/>
      <c r="C472" s="9"/>
      <c r="D472" s="9"/>
      <c r="E472" s="9"/>
      <c r="F472" s="9"/>
      <c r="G472" s="117"/>
      <c r="H472" s="864">
        <v>0.0</v>
      </c>
      <c r="I472" s="865">
        <v>169.86</v>
      </c>
      <c r="J472" s="866"/>
      <c r="K472" s="7"/>
      <c r="L472" s="810"/>
    </row>
    <row r="473">
      <c r="B473" s="724"/>
      <c r="C473" s="869" t="s">
        <v>634</v>
      </c>
      <c r="D473" s="870" t="s">
        <v>600</v>
      </c>
      <c r="E473" s="870" t="s">
        <v>5</v>
      </c>
      <c r="F473" s="870" t="s">
        <v>4</v>
      </c>
      <c r="G473" s="870" t="s">
        <v>16</v>
      </c>
      <c r="H473" s="871" t="s">
        <v>635</v>
      </c>
      <c r="I473" s="872"/>
      <c r="L473" s="873"/>
    </row>
    <row r="474">
      <c r="B474" s="809"/>
      <c r="C474" s="874" t="s">
        <v>636</v>
      </c>
      <c r="D474" s="659">
        <v>1300.0</v>
      </c>
      <c r="E474" s="1017">
        <v>45782.0</v>
      </c>
      <c r="F474" s="1018"/>
      <c r="G474" s="892">
        <f t="shared" ref="G474:G492" si="54">IF(F474="",D474,"")</f>
        <v>1300</v>
      </c>
      <c r="H474" s="1024" t="s">
        <v>574</v>
      </c>
      <c r="I474" s="878"/>
      <c r="J474" s="878"/>
      <c r="K474" s="878"/>
      <c r="L474" s="879"/>
    </row>
    <row r="475">
      <c r="B475" s="809"/>
      <c r="C475" s="874"/>
      <c r="D475" s="892"/>
      <c r="E475" s="1020"/>
      <c r="F475" s="1018"/>
      <c r="G475" s="892" t="str">
        <f t="shared" si="54"/>
        <v/>
      </c>
      <c r="H475" s="1021"/>
      <c r="I475" s="883"/>
      <c r="J475" s="884"/>
      <c r="K475" s="885"/>
      <c r="L475" s="879"/>
    </row>
    <row r="476">
      <c r="B476" s="809"/>
      <c r="C476" s="886" t="s">
        <v>637</v>
      </c>
      <c r="D476" s="892">
        <f t="shared" ref="D476:D478" si="55">G451</f>
        <v>962.95</v>
      </c>
      <c r="E476" s="1017">
        <v>45782.0</v>
      </c>
      <c r="F476" s="1022"/>
      <c r="G476" s="892">
        <f t="shared" si="54"/>
        <v>962.95</v>
      </c>
      <c r="H476" s="1024" t="s">
        <v>558</v>
      </c>
      <c r="I476" s="883"/>
      <c r="J476" s="884"/>
      <c r="K476" s="885"/>
      <c r="L476" s="879"/>
    </row>
    <row r="477">
      <c r="B477" s="809"/>
      <c r="C477" s="886" t="s">
        <v>705</v>
      </c>
      <c r="D477" s="892">
        <f t="shared" si="55"/>
        <v>913.2275593</v>
      </c>
      <c r="E477" s="1017">
        <v>45782.0</v>
      </c>
      <c r="F477" s="1018"/>
      <c r="G477" s="892">
        <f t="shared" si="54"/>
        <v>913.2275593</v>
      </c>
      <c r="H477" s="1024" t="s">
        <v>558</v>
      </c>
      <c r="I477" s="883"/>
      <c r="J477" s="884"/>
      <c r="K477" s="885"/>
      <c r="L477" s="879"/>
    </row>
    <row r="478">
      <c r="B478" s="809"/>
      <c r="C478" s="886" t="s">
        <v>706</v>
      </c>
      <c r="D478" s="892">
        <f t="shared" si="55"/>
        <v>982.1463867</v>
      </c>
      <c r="E478" s="1017">
        <v>45782.0</v>
      </c>
      <c r="F478" s="1018"/>
      <c r="G478" s="892">
        <f t="shared" si="54"/>
        <v>982.1463867</v>
      </c>
      <c r="H478" s="1024" t="s">
        <v>573</v>
      </c>
      <c r="I478" s="884"/>
      <c r="K478" s="885"/>
      <c r="L478" s="879"/>
    </row>
    <row r="479">
      <c r="B479" s="809"/>
      <c r="C479" s="874" t="s">
        <v>638</v>
      </c>
      <c r="D479" s="892">
        <f>E458</f>
        <v>3441.6</v>
      </c>
      <c r="E479" s="1017">
        <v>45767.0</v>
      </c>
      <c r="F479" s="1018" t="s">
        <v>639</v>
      </c>
      <c r="G479" s="892" t="str">
        <f t="shared" si="54"/>
        <v/>
      </c>
      <c r="H479" s="1024"/>
      <c r="I479" s="890"/>
      <c r="J479" s="9"/>
      <c r="K479" s="891"/>
      <c r="L479" s="879"/>
    </row>
    <row r="480">
      <c r="B480" s="809"/>
      <c r="C480" s="874" t="s">
        <v>640</v>
      </c>
      <c r="D480" s="892">
        <v>430.0</v>
      </c>
      <c r="E480" s="1017">
        <v>45757.0</v>
      </c>
      <c r="F480" s="1018" t="s">
        <v>639</v>
      </c>
      <c r="G480" s="892" t="str">
        <f t="shared" si="54"/>
        <v/>
      </c>
      <c r="H480" s="1021"/>
      <c r="I480" s="890"/>
      <c r="J480" s="893"/>
      <c r="K480" s="891"/>
      <c r="L480" s="879"/>
    </row>
    <row r="481">
      <c r="B481" s="809"/>
      <c r="C481" s="874" t="s">
        <v>641</v>
      </c>
      <c r="D481" s="892">
        <f>G450</f>
        <v>750</v>
      </c>
      <c r="E481" s="1017">
        <v>45782.0</v>
      </c>
      <c r="F481" s="1018"/>
      <c r="G481" s="892">
        <f t="shared" si="54"/>
        <v>750</v>
      </c>
      <c r="H481" s="1024" t="s">
        <v>558</v>
      </c>
      <c r="I481" s="890"/>
      <c r="J481" s="893"/>
      <c r="K481" s="891"/>
      <c r="L481" s="879"/>
    </row>
    <row r="482">
      <c r="B482" s="809"/>
      <c r="C482" s="874" t="s">
        <v>691</v>
      </c>
      <c r="D482" s="892">
        <v>105.0</v>
      </c>
      <c r="E482" s="1017">
        <v>45772.0</v>
      </c>
      <c r="F482" s="1018" t="s">
        <v>639</v>
      </c>
      <c r="G482" s="892" t="str">
        <f t="shared" si="54"/>
        <v/>
      </c>
      <c r="H482" s="1021"/>
      <c r="I482" s="890"/>
      <c r="J482" s="9"/>
      <c r="K482" s="891"/>
      <c r="L482" s="879"/>
    </row>
    <row r="483">
      <c r="B483" s="809"/>
      <c r="C483" s="874" t="s">
        <v>644</v>
      </c>
      <c r="D483" s="892"/>
      <c r="E483" s="1020"/>
      <c r="F483" s="1018"/>
      <c r="G483" s="892" t="str">
        <f t="shared" si="54"/>
        <v/>
      </c>
      <c r="H483" s="1021"/>
      <c r="I483" s="890"/>
      <c r="J483" s="9"/>
      <c r="K483" s="891"/>
      <c r="L483" s="879"/>
    </row>
    <row r="484">
      <c r="B484" s="809"/>
      <c r="C484" s="874" t="s">
        <v>645</v>
      </c>
      <c r="D484" s="892">
        <v>120.0</v>
      </c>
      <c r="E484" s="1017">
        <v>45767.0</v>
      </c>
      <c r="F484" s="1018" t="s">
        <v>639</v>
      </c>
      <c r="G484" s="1018" t="str">
        <f t="shared" si="54"/>
        <v/>
      </c>
      <c r="H484" s="1021"/>
      <c r="I484" s="890"/>
      <c r="J484" s="9"/>
      <c r="K484" s="891"/>
      <c r="L484" s="879"/>
    </row>
    <row r="485">
      <c r="B485" s="809"/>
      <c r="C485" s="874" t="s">
        <v>646</v>
      </c>
      <c r="D485" s="892" t="s">
        <v>134</v>
      </c>
      <c r="E485" s="1017">
        <v>45767.0</v>
      </c>
      <c r="F485" s="1018" t="s">
        <v>639</v>
      </c>
      <c r="G485" s="892" t="str">
        <f t="shared" si="54"/>
        <v/>
      </c>
      <c r="H485" s="1021"/>
      <c r="I485" s="890"/>
      <c r="J485" s="9"/>
      <c r="K485" s="891"/>
      <c r="L485" s="879"/>
    </row>
    <row r="486">
      <c r="B486" s="809"/>
      <c r="C486" s="874" t="s">
        <v>647</v>
      </c>
      <c r="D486" s="892"/>
      <c r="E486" s="1020"/>
      <c r="F486" s="1018"/>
      <c r="G486" s="892" t="str">
        <f t="shared" si="54"/>
        <v/>
      </c>
      <c r="H486" s="1021"/>
      <c r="I486" s="890"/>
      <c r="J486" s="9"/>
      <c r="K486" s="891"/>
      <c r="L486" s="879"/>
    </row>
    <row r="487">
      <c r="B487" s="809"/>
      <c r="C487" s="874" t="s">
        <v>648</v>
      </c>
      <c r="D487" s="892">
        <v>697.42</v>
      </c>
      <c r="E487" s="1017">
        <v>45767.0</v>
      </c>
      <c r="F487" s="1018" t="s">
        <v>639</v>
      </c>
      <c r="G487" s="892" t="str">
        <f t="shared" si="54"/>
        <v/>
      </c>
      <c r="H487" s="1021"/>
      <c r="I487" s="890"/>
      <c r="J487" s="9"/>
      <c r="K487" s="891"/>
      <c r="L487" s="879"/>
    </row>
    <row r="488">
      <c r="B488" s="809"/>
      <c r="C488" s="874" t="s">
        <v>649</v>
      </c>
      <c r="D488" s="892">
        <v>435.9</v>
      </c>
      <c r="E488" s="1017">
        <v>45767.0</v>
      </c>
      <c r="F488" s="1018" t="s">
        <v>639</v>
      </c>
      <c r="G488" s="892" t="str">
        <f t="shared" si="54"/>
        <v/>
      </c>
      <c r="H488" s="1021"/>
      <c r="I488" s="890"/>
      <c r="J488" s="9"/>
      <c r="K488" s="891"/>
      <c r="L488" s="879"/>
    </row>
    <row r="489">
      <c r="B489" s="809"/>
      <c r="C489" s="874" t="s">
        <v>650</v>
      </c>
      <c r="D489" s="892">
        <v>323.92</v>
      </c>
      <c r="E489" s="1017">
        <v>45767.0</v>
      </c>
      <c r="F489" s="1018" t="s">
        <v>639</v>
      </c>
      <c r="G489" s="892" t="str">
        <f t="shared" si="54"/>
        <v/>
      </c>
      <c r="H489" s="1024"/>
      <c r="I489" s="890"/>
      <c r="J489" s="9"/>
      <c r="K489" s="891"/>
      <c r="L489" s="879"/>
    </row>
    <row r="490">
      <c r="B490" s="809"/>
      <c r="C490" s="874" t="s">
        <v>652</v>
      </c>
      <c r="D490" s="892"/>
      <c r="E490" s="1020"/>
      <c r="F490" s="1018"/>
      <c r="G490" s="892" t="str">
        <f t="shared" si="54"/>
        <v/>
      </c>
      <c r="H490" s="1021"/>
      <c r="I490" s="890"/>
      <c r="J490" s="9"/>
      <c r="K490" s="891"/>
      <c r="L490" s="879"/>
    </row>
    <row r="491">
      <c r="B491" s="809"/>
      <c r="C491" s="874" t="s">
        <v>653</v>
      </c>
      <c r="D491" s="892"/>
      <c r="E491" s="1020"/>
      <c r="F491" s="1018"/>
      <c r="G491" s="892" t="str">
        <f t="shared" si="54"/>
        <v/>
      </c>
      <c r="H491" s="1021"/>
      <c r="I491" s="890"/>
      <c r="J491" s="9"/>
      <c r="K491" s="891"/>
      <c r="L491" s="879"/>
    </row>
    <row r="492">
      <c r="B492" s="809"/>
      <c r="C492" s="874" t="s">
        <v>654</v>
      </c>
      <c r="D492" s="892"/>
      <c r="E492" s="1020"/>
      <c r="F492" s="1018"/>
      <c r="G492" s="892" t="str">
        <f t="shared" si="54"/>
        <v/>
      </c>
      <c r="H492" s="1021"/>
      <c r="I492" s="890"/>
      <c r="J492" s="9"/>
      <c r="K492" s="891"/>
      <c r="L492" s="879"/>
    </row>
    <row r="493">
      <c r="B493" s="809"/>
      <c r="C493" s="874"/>
      <c r="D493" s="892"/>
      <c r="E493" s="1020"/>
      <c r="F493" s="1018"/>
      <c r="G493" s="892"/>
      <c r="H493" s="1021"/>
      <c r="I493" s="890"/>
      <c r="J493" s="9"/>
      <c r="K493" s="891"/>
      <c r="L493" s="879"/>
    </row>
    <row r="494">
      <c r="B494" s="809"/>
      <c r="C494" s="886" t="s">
        <v>651</v>
      </c>
      <c r="D494" s="659">
        <v>936.75</v>
      </c>
      <c r="E494" s="1017">
        <v>45754.0</v>
      </c>
      <c r="F494" s="1018"/>
      <c r="G494" s="892">
        <f t="shared" ref="G494:G497" si="56">IF(F494="",D494,"")</f>
        <v>936.75</v>
      </c>
      <c r="H494" s="1019" t="s">
        <v>574</v>
      </c>
      <c r="I494" s="890"/>
      <c r="J494" s="9"/>
      <c r="K494" s="891"/>
      <c r="L494" s="879"/>
    </row>
    <row r="495">
      <c r="B495" s="809"/>
      <c r="C495" s="874" t="s">
        <v>657</v>
      </c>
      <c r="D495" s="892">
        <v>750.0</v>
      </c>
      <c r="E495" s="1017">
        <v>45767.0</v>
      </c>
      <c r="F495" s="1018" t="s">
        <v>639</v>
      </c>
      <c r="G495" s="892" t="str">
        <f t="shared" si="56"/>
        <v/>
      </c>
      <c r="H495" s="1021"/>
      <c r="I495" s="890"/>
      <c r="J495" s="9"/>
      <c r="K495" s="891"/>
      <c r="L495" s="879"/>
    </row>
    <row r="496">
      <c r="B496" s="809"/>
      <c r="C496" s="894" t="s">
        <v>658</v>
      </c>
      <c r="D496" s="1025">
        <v>300.0</v>
      </c>
      <c r="E496" s="1017">
        <v>45782.0</v>
      </c>
      <c r="F496" s="1026"/>
      <c r="G496" s="892">
        <f t="shared" si="56"/>
        <v>300</v>
      </c>
      <c r="H496" s="1047" t="s">
        <v>576</v>
      </c>
      <c r="I496" s="890"/>
      <c r="J496" s="9"/>
      <c r="K496" s="891"/>
      <c r="L496" s="879"/>
    </row>
    <row r="497">
      <c r="B497" s="809"/>
      <c r="C497" s="1028" t="s">
        <v>707</v>
      </c>
      <c r="D497" s="1029"/>
      <c r="E497" s="1030">
        <v>45721.0</v>
      </c>
      <c r="F497" s="1031"/>
      <c r="G497" s="1032" t="str">
        <f t="shared" si="56"/>
        <v/>
      </c>
      <c r="H497" s="1033"/>
      <c r="I497" s="890"/>
      <c r="J497" s="9"/>
      <c r="K497" s="891"/>
      <c r="L497" s="879"/>
    </row>
    <row r="498">
      <c r="B498" s="809"/>
      <c r="C498" s="904"/>
      <c r="D498" s="905"/>
      <c r="E498" s="906"/>
      <c r="F498" s="904"/>
      <c r="G498" s="904"/>
      <c r="H498" s="904"/>
      <c r="I498" s="906"/>
      <c r="J498" s="904"/>
      <c r="K498" s="240"/>
      <c r="L498" s="907"/>
    </row>
    <row r="499">
      <c r="B499" s="724"/>
      <c r="C499" s="908" t="s">
        <v>719</v>
      </c>
      <c r="D499" s="909"/>
      <c r="E499" s="909"/>
      <c r="F499" s="909"/>
      <c r="G499" s="909"/>
      <c r="H499" s="909"/>
      <c r="I499" s="909"/>
      <c r="J499" s="910"/>
      <c r="K499" s="891"/>
      <c r="L499" s="879"/>
    </row>
    <row r="500">
      <c r="B500" s="768"/>
      <c r="C500" s="911" t="s">
        <v>659</v>
      </c>
      <c r="D500" s="912"/>
      <c r="E500" s="913">
        <f>I507</f>
        <v>3767.406054</v>
      </c>
      <c r="F500" s="914"/>
      <c r="G500" s="915" t="s">
        <v>660</v>
      </c>
      <c r="H500" s="916"/>
      <c r="I500" s="913">
        <f>F467</f>
        <v>2878.25</v>
      </c>
      <c r="J500" s="917">
        <f>I500-G514-G520-G526-E515</f>
        <v>0</v>
      </c>
      <c r="K500" s="918"/>
      <c r="L500" s="919"/>
    </row>
    <row r="501">
      <c r="B501" s="768"/>
      <c r="C501" s="920"/>
      <c r="D501" s="921"/>
      <c r="E501" s="921"/>
      <c r="F501" s="914"/>
      <c r="G501" s="915" t="s">
        <v>558</v>
      </c>
      <c r="H501" s="916"/>
      <c r="I501" s="913">
        <f>F465</f>
        <v>103.8224407</v>
      </c>
      <c r="J501" s="917">
        <f>I501-E513-G516-G522-G527</f>
        <v>0.0024407</v>
      </c>
      <c r="K501" s="918"/>
      <c r="L501" s="919"/>
    </row>
    <row r="502">
      <c r="B502" s="768"/>
      <c r="C502" s="911" t="s">
        <v>661</v>
      </c>
      <c r="D502" s="912"/>
      <c r="E502" s="913">
        <f>SUM(E500/100*10)-376.74</f>
        <v>0.0006054004</v>
      </c>
      <c r="F502" s="914"/>
      <c r="G502" s="922" t="s">
        <v>630</v>
      </c>
      <c r="H502" s="916"/>
      <c r="I502" s="913">
        <f>F468</f>
        <v>607</v>
      </c>
      <c r="J502" s="917">
        <f>I502-G515-G521-G528-E514</f>
        <v>0</v>
      </c>
      <c r="K502" s="918"/>
      <c r="L502" s="919"/>
    </row>
    <row r="503">
      <c r="B503" s="768"/>
      <c r="C503" s="911" t="s">
        <v>662</v>
      </c>
      <c r="D503" s="912"/>
      <c r="E503" s="913">
        <f>SUM(E500/100*10)-376.74</f>
        <v>0.0006054004</v>
      </c>
      <c r="F503" s="914"/>
      <c r="G503" s="915" t="s">
        <v>573</v>
      </c>
      <c r="H503" s="916"/>
      <c r="I503" s="913">
        <f>F466</f>
        <v>607.9936133</v>
      </c>
      <c r="J503" s="917">
        <f>I503-G513-G519-G525-E517</f>
        <v>0.003613304</v>
      </c>
      <c r="K503" s="117"/>
      <c r="L503" s="923"/>
    </row>
    <row r="504">
      <c r="B504" s="768"/>
      <c r="C504" s="920"/>
      <c r="D504" s="921"/>
      <c r="E504" s="921"/>
      <c r="F504" s="914"/>
      <c r="G504" s="916" t="s">
        <v>576</v>
      </c>
      <c r="H504" s="916"/>
      <c r="I504" s="924">
        <f t="shared" ref="I504:I505" si="57">F469</f>
        <v>248.34</v>
      </c>
      <c r="J504" s="925">
        <f>I504-E516</f>
        <v>0</v>
      </c>
      <c r="K504" s="240"/>
      <c r="L504" s="907"/>
    </row>
    <row r="505">
      <c r="B505" s="768"/>
      <c r="C505" s="911" t="s">
        <v>663</v>
      </c>
      <c r="D505" s="912"/>
      <c r="E505" s="926">
        <f>SUM(E500)-(E502+E503)</f>
        <v>3767.404843</v>
      </c>
      <c r="F505" s="927"/>
      <c r="G505" s="928" t="s">
        <v>631</v>
      </c>
      <c r="H505" s="916"/>
      <c r="I505" s="924">
        <f t="shared" si="57"/>
        <v>322</v>
      </c>
      <c r="J505" s="925">
        <f>I505-E518</f>
        <v>0</v>
      </c>
      <c r="K505" s="240"/>
      <c r="L505" s="907"/>
    </row>
    <row r="506">
      <c r="B506" s="768"/>
      <c r="C506" s="911" t="s">
        <v>664</v>
      </c>
      <c r="D506" s="912"/>
      <c r="E506" s="913">
        <v>0.0</v>
      </c>
      <c r="F506" s="914"/>
      <c r="G506" s="921"/>
      <c r="H506" s="921"/>
      <c r="I506" s="929">
        <f>SUM(I500:I505)</f>
        <v>4767.406054</v>
      </c>
      <c r="J506" s="930">
        <f>SUM(J500:J505)-0.01</f>
        <v>-0.003945996</v>
      </c>
      <c r="K506" s="7"/>
      <c r="L506" s="810"/>
    </row>
    <row r="507">
      <c r="B507" s="768"/>
      <c r="C507" s="920"/>
      <c r="D507" s="921"/>
      <c r="E507" s="921"/>
      <c r="F507" s="927"/>
      <c r="G507" s="931" t="s">
        <v>610</v>
      </c>
      <c r="H507" s="932"/>
      <c r="I507" s="926">
        <f>SUM(I500:I505)-1000</f>
        <v>3767.406054</v>
      </c>
      <c r="J507" s="933"/>
      <c r="K507" s="7"/>
      <c r="L507" s="810"/>
    </row>
    <row r="508">
      <c r="B508" s="768"/>
      <c r="C508" s="911" t="s">
        <v>665</v>
      </c>
      <c r="D508" s="912"/>
      <c r="E508" s="934" t="s">
        <v>666</v>
      </c>
      <c r="F508" s="927"/>
      <c r="G508" s="1048" t="s">
        <v>667</v>
      </c>
      <c r="J508" s="933"/>
      <c r="K508" s="7"/>
      <c r="L508" s="810"/>
    </row>
    <row r="509">
      <c r="B509" s="768"/>
      <c r="C509" s="920"/>
      <c r="D509" s="916"/>
      <c r="E509" s="936"/>
      <c r="F509" s="927"/>
      <c r="G509" s="927"/>
      <c r="H509" s="927"/>
      <c r="I509" s="927"/>
      <c r="J509" s="933"/>
      <c r="K509" s="7"/>
      <c r="L509" s="810"/>
    </row>
    <row r="510">
      <c r="B510" s="768"/>
      <c r="C510" s="937" t="s">
        <v>620</v>
      </c>
      <c r="D510" s="938">
        <f>SUM(E505-D509)</f>
        <v>3767.404843</v>
      </c>
      <c r="E510" s="939">
        <f>D510</f>
        <v>3767.404843</v>
      </c>
      <c r="F510" s="940"/>
      <c r="G510" s="940"/>
      <c r="H510" s="940"/>
      <c r="I510" s="940"/>
      <c r="J510" s="941"/>
      <c r="K510" s="7"/>
      <c r="L510" s="810"/>
    </row>
    <row r="511">
      <c r="B511" s="768"/>
      <c r="C511" s="942"/>
      <c r="D511" s="117"/>
      <c r="E511" s="117"/>
      <c r="F511" s="117"/>
      <c r="G511" s="117"/>
      <c r="H511" s="117"/>
      <c r="I511" s="918"/>
      <c r="J511" s="943"/>
      <c r="K511" s="7"/>
      <c r="L511" s="810"/>
    </row>
    <row r="512">
      <c r="B512" s="768"/>
      <c r="C512" s="944" t="s">
        <v>668</v>
      </c>
      <c r="D512" s="593"/>
      <c r="E512" s="594"/>
      <c r="F512" s="117"/>
      <c r="G512" s="945" t="s">
        <v>669</v>
      </c>
      <c r="H512" s="594"/>
      <c r="I512" s="918"/>
      <c r="J512" s="943"/>
      <c r="K512" s="117"/>
      <c r="L512" s="923"/>
    </row>
    <row r="513">
      <c r="B513" s="768"/>
      <c r="C513" s="946" t="s">
        <v>558</v>
      </c>
      <c r="D513" s="912"/>
      <c r="E513" s="1050">
        <v>103.82</v>
      </c>
      <c r="F513" s="948"/>
      <c r="G513" s="949">
        <v>0.0</v>
      </c>
      <c r="H513" s="950" t="s">
        <v>573</v>
      </c>
      <c r="I513" s="918"/>
      <c r="J513" s="943"/>
      <c r="K513" s="117"/>
      <c r="L513" s="923"/>
    </row>
    <row r="514">
      <c r="B514" s="768"/>
      <c r="C514" s="946" t="s">
        <v>630</v>
      </c>
      <c r="D514" s="912"/>
      <c r="E514" s="1050">
        <v>607.0</v>
      </c>
      <c r="F514" s="1059">
        <v>79.0</v>
      </c>
      <c r="G514" s="951">
        <v>0.0</v>
      </c>
      <c r="H514" s="950" t="s">
        <v>587</v>
      </c>
      <c r="I514" s="918"/>
      <c r="J514" s="943"/>
      <c r="K514" s="117"/>
      <c r="L514" s="923"/>
    </row>
    <row r="515">
      <c r="B515" s="768"/>
      <c r="C515" s="952" t="s">
        <v>587</v>
      </c>
      <c r="D515" s="912"/>
      <c r="E515" s="1050">
        <v>1878.25</v>
      </c>
      <c r="F515" s="948"/>
      <c r="G515" s="949">
        <v>0.0</v>
      </c>
      <c r="H515" s="954" t="s">
        <v>671</v>
      </c>
      <c r="I515" s="955">
        <f>F521</f>
        <v>0</v>
      </c>
      <c r="J515" s="594"/>
      <c r="K515" s="117"/>
      <c r="L515" s="923"/>
    </row>
    <row r="516">
      <c r="B516" s="768"/>
      <c r="C516" s="952" t="s">
        <v>576</v>
      </c>
      <c r="D516" s="912"/>
      <c r="E516" s="1050">
        <v>248.34</v>
      </c>
      <c r="F516" s="1059">
        <v>58.44</v>
      </c>
      <c r="G516" s="951">
        <v>0.0</v>
      </c>
      <c r="H516" s="956" t="s">
        <v>558</v>
      </c>
      <c r="I516" s="957" t="s">
        <v>620</v>
      </c>
      <c r="J516" s="958" t="s">
        <v>672</v>
      </c>
      <c r="K516" s="117"/>
      <c r="L516" s="923"/>
    </row>
    <row r="517">
      <c r="B517" s="768"/>
      <c r="C517" s="952" t="s">
        <v>573</v>
      </c>
      <c r="D517" s="912"/>
      <c r="E517" s="1050">
        <v>607.99</v>
      </c>
      <c r="F517" s="1059">
        <v>232.0</v>
      </c>
      <c r="G517" s="959">
        <f>SUM(G513:G516)</f>
        <v>0</v>
      </c>
      <c r="H517" s="960" t="s">
        <v>610</v>
      </c>
      <c r="I517" s="961">
        <f>I515/2</f>
        <v>0</v>
      </c>
      <c r="J517" s="962"/>
      <c r="K517" s="7"/>
      <c r="L517" s="810"/>
    </row>
    <row r="518">
      <c r="B518" s="768"/>
      <c r="C518" s="946" t="s">
        <v>631</v>
      </c>
      <c r="D518" s="912"/>
      <c r="E518" s="1050">
        <v>322.0</v>
      </c>
      <c r="F518" s="948"/>
      <c r="G518" s="964" t="s">
        <v>673</v>
      </c>
      <c r="H518" s="594"/>
      <c r="I518" s="965" t="s">
        <v>670</v>
      </c>
      <c r="J518" s="966" t="s">
        <v>674</v>
      </c>
      <c r="K518" s="7"/>
      <c r="L518" s="810"/>
    </row>
    <row r="519">
      <c r="B519" s="967"/>
      <c r="C519" s="952" t="s">
        <v>675</v>
      </c>
      <c r="D519" s="912"/>
      <c r="E519" s="968">
        <f>SUM(E510-(E513+E514+E515+E516+E517+E518))</f>
        <v>0.0048432032</v>
      </c>
      <c r="F519" s="969"/>
      <c r="G519" s="976">
        <v>0.0</v>
      </c>
      <c r="H519" s="971" t="s">
        <v>573</v>
      </c>
      <c r="I519" s="972">
        <f>I515/2</f>
        <v>0</v>
      </c>
      <c r="J519" s="973"/>
      <c r="K519" s="7"/>
      <c r="L519" s="810"/>
    </row>
    <row r="520">
      <c r="B520" s="967"/>
      <c r="C520" s="942"/>
      <c r="D520" s="918"/>
      <c r="E520" s="974">
        <f>SUM(E513:E518)</f>
        <v>3767.4</v>
      </c>
      <c r="F520" s="975"/>
      <c r="G520" s="976">
        <v>0.0</v>
      </c>
      <c r="H520" s="977" t="s">
        <v>587</v>
      </c>
      <c r="I520" s="918"/>
      <c r="J520" s="978"/>
      <c r="K520" s="7"/>
      <c r="L520" s="810"/>
    </row>
    <row r="521">
      <c r="B521" s="967"/>
      <c r="C521" s="942"/>
      <c r="D521" s="1055"/>
      <c r="E521" s="593"/>
      <c r="F521" s="1052">
        <f>SUM(0)</f>
        <v>0</v>
      </c>
      <c r="G521" s="970">
        <v>0.0</v>
      </c>
      <c r="H521" s="981" t="s">
        <v>671</v>
      </c>
      <c r="I521" s="612" t="s">
        <v>676</v>
      </c>
      <c r="J521" s="610"/>
      <c r="K521" s="1037" t="s">
        <v>699</v>
      </c>
      <c r="L521" s="1038" t="s">
        <v>700</v>
      </c>
    </row>
    <row r="522">
      <c r="B522" s="967"/>
      <c r="C522" s="942"/>
      <c r="D522" s="843"/>
      <c r="E522" s="982" t="s">
        <v>677</v>
      </c>
      <c r="F522" s="983">
        <f>F521</f>
        <v>0</v>
      </c>
      <c r="G522" s="970">
        <v>0.0</v>
      </c>
      <c r="H522" s="977" t="s">
        <v>558</v>
      </c>
      <c r="I522" s="918" t="s">
        <v>681</v>
      </c>
      <c r="J522" s="1039">
        <v>45558.0</v>
      </c>
      <c r="K522" s="1040">
        <v>45705.0</v>
      </c>
      <c r="L522" s="1042">
        <v>45712.0</v>
      </c>
    </row>
    <row r="523">
      <c r="B523" s="967"/>
      <c r="C523" s="942"/>
      <c r="D523" s="843"/>
      <c r="E523" s="985"/>
      <c r="F523" s="986"/>
      <c r="G523" s="987">
        <f>SUM(G520:G522)</f>
        <v>0</v>
      </c>
      <c r="H523" s="988" t="s">
        <v>610</v>
      </c>
      <c r="I523" s="918"/>
      <c r="J523" s="1039"/>
      <c r="K523" s="1040"/>
      <c r="L523" s="1042"/>
    </row>
    <row r="524">
      <c r="B524" s="768"/>
      <c r="C524" s="989"/>
      <c r="D524" s="943"/>
      <c r="E524" s="1043" t="s">
        <v>701</v>
      </c>
      <c r="F524" s="991"/>
      <c r="G524" s="945" t="s">
        <v>680</v>
      </c>
      <c r="H524" s="594"/>
      <c r="I524" s="918"/>
      <c r="J524" s="984"/>
      <c r="K524" s="7"/>
      <c r="L524" s="810"/>
    </row>
    <row r="525">
      <c r="B525" s="809"/>
      <c r="C525" s="992"/>
      <c r="D525" s="993" t="s">
        <v>587</v>
      </c>
      <c r="E525" s="994">
        <f>E515</f>
        <v>1878.25</v>
      </c>
      <c r="F525" s="969"/>
      <c r="G525" s="949">
        <v>0.0</v>
      </c>
      <c r="H525" s="950" t="s">
        <v>573</v>
      </c>
      <c r="I525" s="918"/>
      <c r="J525" s="610"/>
      <c r="K525" s="7"/>
      <c r="L525" s="810"/>
    </row>
    <row r="526">
      <c r="B526" s="809"/>
      <c r="C526" s="992"/>
      <c r="D526" s="7"/>
      <c r="E526" s="995">
        <f>E518+E513+E514+E516+E517</f>
        <v>1889.15</v>
      </c>
      <c r="F526" s="969"/>
      <c r="G526" s="951">
        <v>1000.0</v>
      </c>
      <c r="H526" s="950" t="s">
        <v>587</v>
      </c>
      <c r="I526" s="7"/>
      <c r="J526" s="996"/>
      <c r="K526" s="7"/>
      <c r="L526" s="810"/>
    </row>
    <row r="527">
      <c r="B527" s="809"/>
      <c r="C527" s="992"/>
      <c r="D527" s="997" t="s">
        <v>682</v>
      </c>
      <c r="E527" s="995">
        <f>SUM(E525+E526)</f>
        <v>3767.4</v>
      </c>
      <c r="F527" s="998"/>
      <c r="G527" s="949">
        <v>0.0</v>
      </c>
      <c r="H527" s="950" t="s">
        <v>558</v>
      </c>
      <c r="I527" s="7"/>
      <c r="J527" s="996"/>
      <c r="K527" s="7"/>
      <c r="L527" s="810"/>
    </row>
    <row r="528">
      <c r="B528" s="809"/>
      <c r="C528" s="992"/>
      <c r="D528" s="7"/>
      <c r="E528" s="7"/>
      <c r="F528" s="998"/>
      <c r="G528" s="949">
        <v>0.0</v>
      </c>
      <c r="H528" s="999" t="s">
        <v>671</v>
      </c>
      <c r="I528" s="7"/>
      <c r="J528" s="996"/>
      <c r="K528" s="7"/>
      <c r="L528" s="810"/>
    </row>
    <row r="529">
      <c r="B529" s="809"/>
      <c r="C529" s="992"/>
      <c r="D529" s="7"/>
      <c r="E529" s="7"/>
      <c r="F529" s="998"/>
      <c r="G529" s="949">
        <f>SUM(G524:G528)</f>
        <v>1000</v>
      </c>
      <c r="H529" s="950" t="s">
        <v>610</v>
      </c>
      <c r="I529" s="7"/>
      <c r="J529" s="996"/>
      <c r="K529" s="7"/>
      <c r="L529" s="810"/>
    </row>
    <row r="530">
      <c r="B530" s="809"/>
      <c r="C530" s="1000"/>
      <c r="D530" s="1001"/>
      <c r="E530" s="1001"/>
      <c r="F530" s="1001"/>
      <c r="G530" s="1002"/>
      <c r="H530" s="1002"/>
      <c r="I530" s="1001"/>
      <c r="J530" s="1003"/>
      <c r="K530" s="7"/>
      <c r="L530" s="810"/>
    </row>
    <row r="531">
      <c r="B531" s="1004"/>
      <c r="C531" s="1005"/>
      <c r="D531" s="1006"/>
      <c r="E531" s="1006"/>
      <c r="F531" s="1006"/>
      <c r="G531" s="1007"/>
      <c r="H531" s="1006"/>
      <c r="I531" s="1006"/>
      <c r="J531" s="1008"/>
      <c r="K531" s="1006"/>
      <c r="L531" s="1009"/>
    </row>
    <row r="535">
      <c r="B535" s="721" t="s">
        <v>722</v>
      </c>
      <c r="C535" s="722"/>
      <c r="D535" s="722"/>
      <c r="E535" s="722"/>
      <c r="F535" s="722"/>
      <c r="G535" s="722"/>
      <c r="H535" s="722"/>
      <c r="I535" s="722"/>
      <c r="J535" s="722"/>
      <c r="K535" s="722"/>
      <c r="L535" s="723"/>
    </row>
    <row r="536">
      <c r="B536" s="724"/>
      <c r="C536" s="725" t="s">
        <v>607</v>
      </c>
      <c r="D536" s="726" t="s">
        <v>608</v>
      </c>
      <c r="E536" s="727"/>
      <c r="F536" s="727"/>
      <c r="G536" s="727"/>
      <c r="H536" s="728"/>
      <c r="I536" s="729">
        <f>YEAR((TODAY()))</f>
        <v>2026</v>
      </c>
      <c r="J536" s="730"/>
      <c r="K536" s="731"/>
      <c r="L536" s="732"/>
    </row>
    <row r="537">
      <c r="B537" s="733"/>
      <c r="C537" s="734">
        <f>TODAY()</f>
        <v>46144</v>
      </c>
      <c r="D537" s="735" t="s">
        <v>609</v>
      </c>
      <c r="E537" s="736" t="s">
        <v>610</v>
      </c>
      <c r="F537" s="737"/>
      <c r="G537" s="737"/>
      <c r="H537" s="738"/>
      <c r="I537" s="730"/>
      <c r="J537" s="730"/>
      <c r="K537" s="730"/>
      <c r="L537" s="732"/>
    </row>
    <row r="538">
      <c r="B538" s="724"/>
      <c r="C538" s="739" t="s">
        <v>611</v>
      </c>
      <c r="D538" s="740"/>
      <c r="E538" s="741" t="s">
        <v>612</v>
      </c>
      <c r="F538" s="742" t="s">
        <v>613</v>
      </c>
      <c r="G538" s="743" t="s">
        <v>614</v>
      </c>
      <c r="H538" s="744" t="s">
        <v>615</v>
      </c>
      <c r="I538" s="745" t="s">
        <v>616</v>
      </c>
      <c r="J538" s="746" t="s">
        <v>617</v>
      </c>
      <c r="K538" s="747" t="s">
        <v>618</v>
      </c>
      <c r="L538" s="748" t="s">
        <v>619</v>
      </c>
    </row>
    <row r="539">
      <c r="B539" s="749"/>
      <c r="C539" s="750" t="s">
        <v>620</v>
      </c>
      <c r="D539" s="743">
        <v>1500.0</v>
      </c>
      <c r="E539" s="751">
        <f>SUM((D539/2)-F539)</f>
        <v>750</v>
      </c>
      <c r="F539" s="752">
        <v>0.0</v>
      </c>
      <c r="G539" s="753">
        <f>SUM(((D539/2)-H539))</f>
        <v>750</v>
      </c>
      <c r="H539" s="754">
        <v>0.0</v>
      </c>
      <c r="I539" s="755"/>
      <c r="J539" s="756"/>
      <c r="K539" s="757"/>
      <c r="L539" s="758"/>
    </row>
    <row r="540">
      <c r="B540" s="749"/>
      <c r="C540" s="759" t="s">
        <v>621</v>
      </c>
      <c r="D540" s="760">
        <v>1518.0</v>
      </c>
      <c r="E540" s="761">
        <f>SUM(((D540/100)*40)-F540)+((I540/100)*40)</f>
        <v>741.2</v>
      </c>
      <c r="F540" s="1010">
        <v>0.0</v>
      </c>
      <c r="G540" s="762">
        <f>SUM(((D540/100)*60)-H540)-L540+((I540/100)*60)</f>
        <v>988.95</v>
      </c>
      <c r="H540" s="775">
        <v>9.0</v>
      </c>
      <c r="I540" s="764">
        <v>335.0</v>
      </c>
      <c r="J540" s="765"/>
      <c r="K540" s="766"/>
      <c r="L540" s="767">
        <f>SUM(D540/100)*7.5</f>
        <v>113.85</v>
      </c>
    </row>
    <row r="541">
      <c r="B541" s="768"/>
      <c r="C541" s="769" t="s">
        <v>622</v>
      </c>
      <c r="D541" s="753">
        <v>1518.0</v>
      </c>
      <c r="E541" s="770">
        <f>SUM((((D541/100)*40)-F541))</f>
        <v>607.2</v>
      </c>
      <c r="F541" s="752">
        <v>0.0</v>
      </c>
      <c r="G541" s="753">
        <f>SUM(((D541/100)*60)-H541)+J541-L541+I541</f>
        <v>1047.227559</v>
      </c>
      <c r="H541" s="771">
        <v>26.0</v>
      </c>
      <c r="I541" s="772">
        <v>2.36</v>
      </c>
      <c r="J541" s="756">
        <f>SUM(D541/100)*19.65</f>
        <v>298.287</v>
      </c>
      <c r="K541" s="757"/>
      <c r="L541" s="758">
        <f>SUM((D541+J541)/100)*7.61</f>
        <v>138.2194407</v>
      </c>
    </row>
    <row r="542">
      <c r="B542" s="768"/>
      <c r="C542" s="773" t="s">
        <v>623</v>
      </c>
      <c r="D542" s="760">
        <v>1518.0</v>
      </c>
      <c r="E542" s="774">
        <f>SUM(((((D542/100)*40))-F542))</f>
        <v>607.2</v>
      </c>
      <c r="F542" s="775">
        <v>0.0</v>
      </c>
      <c r="G542" s="762">
        <f>SUM(((D542/100)*60)-H542)+J542-K542-L542-I542</f>
        <v>53.4663867</v>
      </c>
      <c r="H542" s="776">
        <v>1001.74</v>
      </c>
      <c r="I542" s="764">
        <v>0.0</v>
      </c>
      <c r="J542" s="1044">
        <f>SUM(D542/100)*17.42</f>
        <v>264.4356</v>
      </c>
      <c r="K542" s="1045">
        <v>0.0</v>
      </c>
      <c r="L542" s="1046">
        <f>SUM((D542+J542)/100)*6.734</f>
        <v>120.0292133</v>
      </c>
    </row>
    <row r="543">
      <c r="B543" s="768"/>
      <c r="C543" s="778" t="s">
        <v>624</v>
      </c>
      <c r="D543" s="779">
        <v>1500.0</v>
      </c>
      <c r="E543" s="780">
        <f>SUM((D543/2)-F543)</f>
        <v>750</v>
      </c>
      <c r="F543" s="779">
        <v>0.0</v>
      </c>
      <c r="G543" s="781">
        <f>SUM(((D543/2)-H543))-I543</f>
        <v>600</v>
      </c>
      <c r="H543" s="1056">
        <v>150.0</v>
      </c>
      <c r="I543" s="772">
        <v>0.0</v>
      </c>
      <c r="J543" s="756"/>
      <c r="K543" s="757"/>
      <c r="L543" s="758"/>
    </row>
    <row r="544">
      <c r="B544" s="768"/>
      <c r="C544" s="783"/>
      <c r="D544" s="784"/>
      <c r="E544" s="785"/>
      <c r="F544" s="785"/>
      <c r="G544" s="762"/>
      <c r="H544" s="786"/>
      <c r="I544" s="777"/>
      <c r="J544" s="765"/>
      <c r="K544" s="766"/>
      <c r="L544" s="767"/>
    </row>
    <row r="545">
      <c r="B545" s="768"/>
      <c r="C545" s="787"/>
      <c r="D545" s="779"/>
      <c r="E545" s="779"/>
      <c r="F545" s="779"/>
      <c r="G545" s="781"/>
      <c r="H545" s="782"/>
      <c r="I545" s="755"/>
      <c r="J545" s="765">
        <f>SUM(D545/100)*20</f>
        <v>0</v>
      </c>
      <c r="K545" s="766">
        <f>SUM(D545/100)*6</f>
        <v>0</v>
      </c>
      <c r="L545" s="767">
        <f>SUM((D545+J545)/100)*7.75</f>
        <v>0</v>
      </c>
    </row>
    <row r="546">
      <c r="B546" s="768"/>
      <c r="C546" s="789"/>
      <c r="D546" s="790"/>
      <c r="E546" s="790"/>
      <c r="F546" s="790"/>
      <c r="G546" s="790"/>
      <c r="H546" s="791"/>
      <c r="I546" s="792"/>
      <c r="J546" s="793"/>
      <c r="K546" s="794"/>
      <c r="L546" s="795"/>
    </row>
    <row r="547">
      <c r="B547" s="724"/>
      <c r="C547" s="796" t="s">
        <v>610</v>
      </c>
      <c r="D547" s="797"/>
      <c r="E547" s="798">
        <f>SUM(E539:E546)</f>
        <v>3455.6</v>
      </c>
      <c r="F547" s="797"/>
      <c r="G547" s="799">
        <f>SUM(G539:G546)</f>
        <v>3439.643946</v>
      </c>
      <c r="H547" s="1011">
        <f>SUM(G540:G542)</f>
        <v>2089.643946</v>
      </c>
      <c r="I547" s="801"/>
      <c r="J547" s="802"/>
      <c r="K547" s="730"/>
      <c r="L547" s="732"/>
    </row>
    <row r="548">
      <c r="B548" s="724"/>
      <c r="C548" s="803"/>
      <c r="D548" s="804"/>
      <c r="E548" s="804"/>
      <c r="F548" s="804"/>
      <c r="G548" s="804"/>
      <c r="H548" s="804"/>
      <c r="I548" s="805"/>
      <c r="J548" s="806"/>
      <c r="K548" s="807"/>
      <c r="L548" s="808"/>
    </row>
    <row r="549">
      <c r="B549" s="809"/>
      <c r="C549" s="7"/>
      <c r="D549" s="7"/>
      <c r="E549" s="7"/>
      <c r="F549" s="7"/>
      <c r="G549" s="7"/>
      <c r="H549" s="7"/>
      <c r="I549" s="7"/>
      <c r="J549" s="7"/>
      <c r="K549" s="7"/>
      <c r="L549" s="810"/>
    </row>
    <row r="550">
      <c r="B550" s="811">
        <v>45863.0</v>
      </c>
      <c r="C550" s="812"/>
      <c r="D550" s="812"/>
      <c r="E550" s="812"/>
      <c r="F550" s="812"/>
      <c r="G550" s="812"/>
      <c r="H550" s="812"/>
      <c r="I550" s="812"/>
      <c r="J550" s="812"/>
      <c r="K550" s="812"/>
      <c r="L550" s="813"/>
    </row>
    <row r="551">
      <c r="B551" s="814"/>
      <c r="C551" s="815"/>
      <c r="D551" s="815"/>
      <c r="E551" s="815"/>
      <c r="F551" s="815"/>
      <c r="G551" s="815"/>
      <c r="H551" s="815"/>
      <c r="I551" s="815"/>
      <c r="J551" s="815"/>
      <c r="K551" s="815"/>
      <c r="L551" s="816"/>
    </row>
    <row r="552">
      <c r="B552" s="817" t="s">
        <v>571</v>
      </c>
      <c r="C552" s="812"/>
      <c r="D552" s="812"/>
      <c r="E552" s="812"/>
      <c r="F552" s="818"/>
      <c r="G552" s="867"/>
      <c r="H552" s="1012" t="s">
        <v>685</v>
      </c>
      <c r="I552" s="593"/>
      <c r="J552" s="593"/>
      <c r="K552" s="593"/>
      <c r="L552" s="821"/>
    </row>
    <row r="553">
      <c r="B553" s="822" t="s">
        <v>625</v>
      </c>
      <c r="C553" s="823" t="s">
        <v>626</v>
      </c>
      <c r="D553" s="824"/>
      <c r="E553" s="825" t="s">
        <v>627</v>
      </c>
      <c r="F553" s="826" t="s">
        <v>628</v>
      </c>
      <c r="G553" s="1013"/>
      <c r="H553" s="621" t="s">
        <v>580</v>
      </c>
      <c r="I553" s="827" t="s">
        <v>723</v>
      </c>
      <c r="J553" s="827" t="s">
        <v>724</v>
      </c>
      <c r="K553" s="621" t="s">
        <v>583</v>
      </c>
      <c r="L553" s="828" t="s">
        <v>584</v>
      </c>
    </row>
    <row r="554">
      <c r="B554" s="829">
        <v>2019.0</v>
      </c>
      <c r="C554" s="830" t="s">
        <v>558</v>
      </c>
      <c r="D554" s="831">
        <f>SUM(B554-K554)</f>
        <v>1669</v>
      </c>
      <c r="E554" s="831">
        <f>SUMIF(H563:H584,"IFOOD",G563:G584)</f>
        <v>750</v>
      </c>
      <c r="F554" s="832">
        <f t="shared" ref="F554:F559" si="58">D554-E554</f>
        <v>919</v>
      </c>
      <c r="G554" s="1014"/>
      <c r="H554" s="623" t="s">
        <v>558</v>
      </c>
      <c r="I554" s="624">
        <v>350.0</v>
      </c>
      <c r="J554" s="625">
        <v>0.0</v>
      </c>
      <c r="K554" s="625">
        <f>I554-G557</f>
        <v>350</v>
      </c>
      <c r="L554" s="834">
        <f t="shared" ref="L554:L559" si="59">SUM(J554+K554)</f>
        <v>350</v>
      </c>
    </row>
    <row r="555">
      <c r="B555" s="835">
        <v>2436.0</v>
      </c>
      <c r="C555" s="836" t="s">
        <v>573</v>
      </c>
      <c r="D555" s="625">
        <f>SUM(B555-K558)</f>
        <v>2266.14</v>
      </c>
      <c r="E555" s="837">
        <f>SUMIF(H563:H585,"Caixa",G563:G585)</f>
        <v>2089.643946</v>
      </c>
      <c r="F555" s="838">
        <f t="shared" si="58"/>
        <v>176.496054</v>
      </c>
      <c r="G555" s="1013"/>
      <c r="H555" s="839" t="s">
        <v>630</v>
      </c>
      <c r="I555" s="629">
        <v>0.0</v>
      </c>
      <c r="J555" s="629">
        <v>0.0</v>
      </c>
      <c r="K555" s="629">
        <f>I555</f>
        <v>0</v>
      </c>
      <c r="L555" s="1015">
        <f t="shared" si="59"/>
        <v>0</v>
      </c>
    </row>
    <row r="556">
      <c r="B556" s="829">
        <v>4291.0</v>
      </c>
      <c r="C556" s="830" t="s">
        <v>574</v>
      </c>
      <c r="D556" s="831">
        <f>B556</f>
        <v>4291</v>
      </c>
      <c r="E556" s="831">
        <f>SUMIF(H563:H586,"Cash",G563:G586)</f>
        <v>2195.1</v>
      </c>
      <c r="F556" s="832">
        <f t="shared" si="58"/>
        <v>2095.9</v>
      </c>
      <c r="G556" s="1014"/>
      <c r="H556" s="623" t="s">
        <v>587</v>
      </c>
      <c r="I556" s="624">
        <v>1140.0</v>
      </c>
      <c r="J556" s="624">
        <v>2000.0</v>
      </c>
      <c r="K556" s="625">
        <f>I556-G553-G555</f>
        <v>1140</v>
      </c>
      <c r="L556" s="834">
        <f t="shared" si="59"/>
        <v>3140</v>
      </c>
    </row>
    <row r="557">
      <c r="B557" s="835">
        <v>1796.0</v>
      </c>
      <c r="C557" s="841" t="s">
        <v>630</v>
      </c>
      <c r="D557" s="625">
        <f>SUM(B557-K555)</f>
        <v>1796</v>
      </c>
      <c r="E557" s="837">
        <f>SUMIF(H563:H587,"Infinity 1",G563:G587)</f>
        <v>600</v>
      </c>
      <c r="F557" s="838">
        <f t="shared" si="58"/>
        <v>1196</v>
      </c>
      <c r="G557" s="1013"/>
      <c r="H557" s="634" t="s">
        <v>576</v>
      </c>
      <c r="I557" s="636">
        <v>53.66</v>
      </c>
      <c r="J557" s="636">
        <v>0.0</v>
      </c>
      <c r="K557" s="636">
        <f>I557</f>
        <v>53.66</v>
      </c>
      <c r="L557" s="842">
        <f t="shared" si="59"/>
        <v>53.66</v>
      </c>
    </row>
    <row r="558">
      <c r="B558" s="829">
        <v>692.0</v>
      </c>
      <c r="C558" s="830" t="s">
        <v>576</v>
      </c>
      <c r="D558" s="831">
        <f>SUM(B558-K557)</f>
        <v>638.34</v>
      </c>
      <c r="E558" s="831">
        <f>SUMIF(H565:H588,"Stone",G565:G588)</f>
        <v>0</v>
      </c>
      <c r="F558" s="832">
        <f t="shared" si="58"/>
        <v>638.34</v>
      </c>
      <c r="G558" s="1057"/>
      <c r="H558" s="641" t="s">
        <v>573</v>
      </c>
      <c r="I558" s="638">
        <v>169.86</v>
      </c>
      <c r="J558" s="844">
        <v>0.0</v>
      </c>
      <c r="K558" s="844">
        <f>I558-G558</f>
        <v>169.86</v>
      </c>
      <c r="L558" s="845">
        <f t="shared" si="59"/>
        <v>169.86</v>
      </c>
    </row>
    <row r="559">
      <c r="B559" s="846">
        <v>1042.0</v>
      </c>
      <c r="C559" s="847" t="s">
        <v>631</v>
      </c>
      <c r="D559" s="848">
        <f>SUM(B559-K559)</f>
        <v>1042</v>
      </c>
      <c r="E559" s="848">
        <f>SUMIF(H565:H589,"Infinity 2",G565:G589)</f>
        <v>0</v>
      </c>
      <c r="F559" s="849">
        <f t="shared" si="58"/>
        <v>1042</v>
      </c>
      <c r="G559" s="117"/>
      <c r="H559" s="850" t="s">
        <v>631</v>
      </c>
      <c r="I559" s="1058">
        <v>0.0</v>
      </c>
      <c r="J559" s="851">
        <v>0.0</v>
      </c>
      <c r="K559" s="852">
        <f>I559</f>
        <v>0</v>
      </c>
      <c r="L559" s="853">
        <f t="shared" si="59"/>
        <v>0</v>
      </c>
    </row>
    <row r="560">
      <c r="B560" s="1054">
        <f>SUM(B554:B559)</f>
        <v>12276</v>
      </c>
      <c r="C560" s="855" t="s">
        <v>578</v>
      </c>
      <c r="D560" s="856">
        <f t="shared" ref="D560:F560" si="60">SUM(D554:D559)</f>
        <v>11702.48</v>
      </c>
      <c r="E560" s="857">
        <f t="shared" si="60"/>
        <v>5634.743946</v>
      </c>
      <c r="F560" s="858">
        <f t="shared" si="60"/>
        <v>6067.736054</v>
      </c>
      <c r="G560" s="117"/>
      <c r="H560" s="859" t="s">
        <v>589</v>
      </c>
      <c r="I560" s="860" t="s">
        <v>590</v>
      </c>
      <c r="J560" s="861" t="s">
        <v>134</v>
      </c>
      <c r="K560" s="862">
        <f t="shared" ref="K560:L560" si="61">SUM(K554:K558)</f>
        <v>1713.52</v>
      </c>
      <c r="L560" s="863">
        <f t="shared" si="61"/>
        <v>3713.52</v>
      </c>
    </row>
    <row r="561">
      <c r="B561" s="724"/>
      <c r="C561" s="9"/>
      <c r="D561" s="9"/>
      <c r="E561" s="9"/>
      <c r="F561" s="9"/>
      <c r="G561" s="117"/>
      <c r="H561" s="864">
        <v>0.0</v>
      </c>
      <c r="I561" s="865">
        <v>169.86</v>
      </c>
      <c r="J561" s="866"/>
      <c r="K561" s="7"/>
      <c r="L561" s="810"/>
    </row>
    <row r="562">
      <c r="B562" s="724"/>
      <c r="C562" s="869" t="s">
        <v>634</v>
      </c>
      <c r="D562" s="870" t="s">
        <v>600</v>
      </c>
      <c r="E562" s="870" t="s">
        <v>5</v>
      </c>
      <c r="F562" s="870" t="s">
        <v>4</v>
      </c>
      <c r="G562" s="870" t="s">
        <v>16</v>
      </c>
      <c r="H562" s="871" t="s">
        <v>635</v>
      </c>
      <c r="I562" s="872"/>
      <c r="L562" s="873"/>
    </row>
    <row r="563">
      <c r="B563" s="809"/>
      <c r="C563" s="874" t="s">
        <v>636</v>
      </c>
      <c r="D563" s="659">
        <v>1300.0</v>
      </c>
      <c r="E563" s="1017">
        <v>45782.0</v>
      </c>
      <c r="F563" s="1018"/>
      <c r="G563" s="892">
        <f t="shared" ref="G563:G581" si="62">IF(F563="",D563,"")</f>
        <v>1300</v>
      </c>
      <c r="H563" s="1024" t="s">
        <v>574</v>
      </c>
      <c r="I563" s="878"/>
      <c r="J563" s="878"/>
      <c r="K563" s="878"/>
      <c r="L563" s="879"/>
    </row>
    <row r="564">
      <c r="B564" s="809"/>
      <c r="C564" s="874"/>
      <c r="D564" s="892"/>
      <c r="E564" s="1020"/>
      <c r="F564" s="1018"/>
      <c r="G564" s="892" t="str">
        <f t="shared" si="62"/>
        <v/>
      </c>
      <c r="H564" s="1021"/>
      <c r="I564" s="883"/>
      <c r="J564" s="884"/>
      <c r="K564" s="885"/>
      <c r="L564" s="879"/>
    </row>
    <row r="565">
      <c r="B565" s="809"/>
      <c r="C565" s="886" t="s">
        <v>637</v>
      </c>
      <c r="D565" s="892">
        <f t="shared" ref="D565:D567" si="63">G540</f>
        <v>988.95</v>
      </c>
      <c r="E565" s="1017">
        <v>45782.0</v>
      </c>
      <c r="F565" s="1022"/>
      <c r="G565" s="892">
        <f t="shared" si="62"/>
        <v>988.95</v>
      </c>
      <c r="H565" s="1024" t="s">
        <v>573</v>
      </c>
      <c r="I565" s="883"/>
      <c r="J565" s="884"/>
      <c r="K565" s="885"/>
      <c r="L565" s="879"/>
    </row>
    <row r="566">
      <c r="B566" s="809"/>
      <c r="C566" s="886" t="s">
        <v>705</v>
      </c>
      <c r="D566" s="892">
        <f t="shared" si="63"/>
        <v>1047.227559</v>
      </c>
      <c r="E566" s="1017">
        <v>45782.0</v>
      </c>
      <c r="F566" s="1018"/>
      <c r="G566" s="892">
        <f t="shared" si="62"/>
        <v>1047.227559</v>
      </c>
      <c r="H566" s="1024" t="s">
        <v>573</v>
      </c>
      <c r="I566" s="883"/>
      <c r="J566" s="884"/>
      <c r="K566" s="885"/>
      <c r="L566" s="879"/>
    </row>
    <row r="567">
      <c r="B567" s="809"/>
      <c r="C567" s="886" t="s">
        <v>706</v>
      </c>
      <c r="D567" s="892">
        <f t="shared" si="63"/>
        <v>53.4663867</v>
      </c>
      <c r="E567" s="1017">
        <v>45782.0</v>
      </c>
      <c r="F567" s="1018"/>
      <c r="G567" s="892">
        <f t="shared" si="62"/>
        <v>53.4663867</v>
      </c>
      <c r="H567" s="1024" t="s">
        <v>573</v>
      </c>
      <c r="I567" s="884"/>
      <c r="K567" s="885"/>
      <c r="L567" s="879"/>
    </row>
    <row r="568">
      <c r="B568" s="809"/>
      <c r="C568" s="874" t="s">
        <v>638</v>
      </c>
      <c r="D568" s="892">
        <f>E547</f>
        <v>3455.6</v>
      </c>
      <c r="E568" s="1017">
        <v>45767.0</v>
      </c>
      <c r="F568" s="1018" t="s">
        <v>639</v>
      </c>
      <c r="G568" s="892" t="str">
        <f t="shared" si="62"/>
        <v/>
      </c>
      <c r="H568" s="1019"/>
      <c r="I568" s="890"/>
      <c r="J568" s="9"/>
      <c r="K568" s="891"/>
      <c r="L568" s="879"/>
    </row>
    <row r="569">
      <c r="B569" s="809"/>
      <c r="C569" s="874" t="s">
        <v>640</v>
      </c>
      <c r="D569" s="892">
        <v>430.0</v>
      </c>
      <c r="E569" s="1017">
        <v>45757.0</v>
      </c>
      <c r="F569" s="1018" t="s">
        <v>639</v>
      </c>
      <c r="G569" s="892" t="str">
        <f t="shared" si="62"/>
        <v/>
      </c>
      <c r="H569" s="1021"/>
      <c r="I569" s="890"/>
      <c r="J569" s="893"/>
      <c r="K569" s="891"/>
      <c r="L569" s="879"/>
    </row>
    <row r="570">
      <c r="B570" s="809"/>
      <c r="C570" s="874" t="s">
        <v>641</v>
      </c>
      <c r="D570" s="892">
        <f>G539</f>
        <v>750</v>
      </c>
      <c r="E570" s="1017">
        <v>45782.0</v>
      </c>
      <c r="F570" s="1018"/>
      <c r="G570" s="892">
        <f t="shared" si="62"/>
        <v>750</v>
      </c>
      <c r="H570" s="1024" t="s">
        <v>558</v>
      </c>
      <c r="I570" s="890"/>
      <c r="J570" s="893"/>
      <c r="K570" s="891"/>
      <c r="L570" s="879"/>
    </row>
    <row r="571">
      <c r="B571" s="809"/>
      <c r="C571" s="874" t="s">
        <v>691</v>
      </c>
      <c r="D571" s="892">
        <v>105.0</v>
      </c>
      <c r="E571" s="1017">
        <v>45772.0</v>
      </c>
      <c r="F571" s="1018" t="s">
        <v>639</v>
      </c>
      <c r="G571" s="892" t="str">
        <f t="shared" si="62"/>
        <v/>
      </c>
      <c r="H571" s="1021"/>
      <c r="I571" s="890"/>
      <c r="J571" s="9"/>
      <c r="K571" s="891"/>
      <c r="L571" s="879"/>
    </row>
    <row r="572">
      <c r="B572" s="809"/>
      <c r="C572" s="874" t="s">
        <v>644</v>
      </c>
      <c r="D572" s="892"/>
      <c r="E572" s="1020"/>
      <c r="F572" s="1018"/>
      <c r="G572" s="892" t="str">
        <f t="shared" si="62"/>
        <v/>
      </c>
      <c r="H572" s="1021"/>
      <c r="I572" s="890"/>
      <c r="J572" s="9"/>
      <c r="K572" s="891"/>
      <c r="L572" s="879"/>
    </row>
    <row r="573">
      <c r="B573" s="809"/>
      <c r="C573" s="874" t="s">
        <v>645</v>
      </c>
      <c r="D573" s="892">
        <v>120.0</v>
      </c>
      <c r="E573" s="1017">
        <v>45767.0</v>
      </c>
      <c r="F573" s="1018" t="s">
        <v>639</v>
      </c>
      <c r="G573" s="1018" t="str">
        <f t="shared" si="62"/>
        <v/>
      </c>
      <c r="H573" s="1021"/>
      <c r="I573" s="890"/>
      <c r="J573" s="9"/>
      <c r="K573" s="891"/>
      <c r="L573" s="879"/>
    </row>
    <row r="574">
      <c r="B574" s="809"/>
      <c r="C574" s="874" t="s">
        <v>646</v>
      </c>
      <c r="D574" s="892" t="s">
        <v>134</v>
      </c>
      <c r="E574" s="1017">
        <v>45767.0</v>
      </c>
      <c r="F574" s="1018" t="s">
        <v>639</v>
      </c>
      <c r="G574" s="892" t="str">
        <f t="shared" si="62"/>
        <v/>
      </c>
      <c r="H574" s="1021"/>
      <c r="I574" s="890"/>
      <c r="J574" s="9"/>
      <c r="K574" s="891"/>
      <c r="L574" s="879"/>
    </row>
    <row r="575">
      <c r="B575" s="809"/>
      <c r="C575" s="874" t="s">
        <v>647</v>
      </c>
      <c r="D575" s="892"/>
      <c r="E575" s="1020"/>
      <c r="F575" s="1018"/>
      <c r="G575" s="892" t="str">
        <f t="shared" si="62"/>
        <v/>
      </c>
      <c r="H575" s="1021"/>
      <c r="I575" s="890"/>
      <c r="J575" s="9"/>
      <c r="K575" s="891"/>
      <c r="L575" s="879"/>
    </row>
    <row r="576">
      <c r="B576" s="809"/>
      <c r="C576" s="874" t="s">
        <v>648</v>
      </c>
      <c r="D576" s="892">
        <v>697.42</v>
      </c>
      <c r="E576" s="1017">
        <v>45767.0</v>
      </c>
      <c r="F576" s="1018" t="s">
        <v>639</v>
      </c>
      <c r="G576" s="892" t="str">
        <f t="shared" si="62"/>
        <v/>
      </c>
      <c r="H576" s="1021"/>
      <c r="I576" s="890"/>
      <c r="J576" s="9"/>
      <c r="K576" s="891"/>
      <c r="L576" s="879"/>
    </row>
    <row r="577">
      <c r="B577" s="809"/>
      <c r="C577" s="874" t="s">
        <v>649</v>
      </c>
      <c r="D577" s="892">
        <v>435.9</v>
      </c>
      <c r="E577" s="1017">
        <v>45767.0</v>
      </c>
      <c r="F577" s="1018" t="s">
        <v>639</v>
      </c>
      <c r="G577" s="892" t="str">
        <f t="shared" si="62"/>
        <v/>
      </c>
      <c r="H577" s="1021"/>
      <c r="I577" s="890"/>
      <c r="J577" s="9"/>
      <c r="K577" s="891"/>
      <c r="L577" s="879"/>
    </row>
    <row r="578">
      <c r="B578" s="809"/>
      <c r="C578" s="874" t="s">
        <v>650</v>
      </c>
      <c r="D578" s="892">
        <v>323.92</v>
      </c>
      <c r="E578" s="1017">
        <v>45767.0</v>
      </c>
      <c r="F578" s="1018" t="s">
        <v>639</v>
      </c>
      <c r="G578" s="892" t="str">
        <f t="shared" si="62"/>
        <v/>
      </c>
      <c r="H578" s="1019"/>
      <c r="I578" s="890"/>
      <c r="J578" s="9"/>
      <c r="K578" s="891"/>
      <c r="L578" s="879"/>
    </row>
    <row r="579">
      <c r="B579" s="809"/>
      <c r="C579" s="874" t="s">
        <v>652</v>
      </c>
      <c r="D579" s="892"/>
      <c r="E579" s="1020"/>
      <c r="F579" s="1018"/>
      <c r="G579" s="892" t="str">
        <f t="shared" si="62"/>
        <v/>
      </c>
      <c r="H579" s="1021"/>
      <c r="I579" s="890"/>
      <c r="J579" s="9"/>
      <c r="K579" s="891"/>
      <c r="L579" s="879"/>
    </row>
    <row r="580">
      <c r="B580" s="809"/>
      <c r="C580" s="874" t="s">
        <v>653</v>
      </c>
      <c r="D580" s="892"/>
      <c r="E580" s="1020"/>
      <c r="F580" s="1018"/>
      <c r="G580" s="892" t="str">
        <f t="shared" si="62"/>
        <v/>
      </c>
      <c r="H580" s="1021"/>
      <c r="I580" s="890"/>
      <c r="J580" s="9"/>
      <c r="K580" s="891"/>
      <c r="L580" s="879"/>
    </row>
    <row r="581">
      <c r="B581" s="809"/>
      <c r="C581" s="874" t="s">
        <v>654</v>
      </c>
      <c r="D581" s="892"/>
      <c r="E581" s="1020"/>
      <c r="F581" s="1018"/>
      <c r="G581" s="892" t="str">
        <f t="shared" si="62"/>
        <v/>
      </c>
      <c r="H581" s="1021"/>
      <c r="I581" s="890"/>
      <c r="J581" s="9"/>
      <c r="K581" s="891"/>
      <c r="L581" s="879"/>
    </row>
    <row r="582">
      <c r="B582" s="809"/>
      <c r="C582" s="874"/>
      <c r="D582" s="892"/>
      <c r="E582" s="1020"/>
      <c r="F582" s="1018"/>
      <c r="G582" s="892"/>
      <c r="H582" s="1021"/>
      <c r="I582" s="890"/>
      <c r="J582" s="9"/>
      <c r="K582" s="891"/>
      <c r="L582" s="879"/>
    </row>
    <row r="583">
      <c r="B583" s="809"/>
      <c r="C583" s="886" t="s">
        <v>651</v>
      </c>
      <c r="D583" s="659">
        <v>936.75</v>
      </c>
      <c r="E583" s="1017">
        <v>45754.0</v>
      </c>
      <c r="F583" s="1018"/>
      <c r="G583" s="659">
        <v>895.1</v>
      </c>
      <c r="H583" s="1024" t="s">
        <v>574</v>
      </c>
      <c r="I583" s="890"/>
      <c r="J583" s="9"/>
      <c r="K583" s="891"/>
      <c r="L583" s="879"/>
    </row>
    <row r="584">
      <c r="B584" s="809"/>
      <c r="C584" s="874" t="s">
        <v>657</v>
      </c>
      <c r="D584" s="892">
        <v>750.0</v>
      </c>
      <c r="E584" s="1017">
        <v>45767.0</v>
      </c>
      <c r="F584" s="1018" t="s">
        <v>639</v>
      </c>
      <c r="G584" s="892" t="str">
        <f t="shared" ref="G584:G586" si="64">IF(F584="",D584,"")</f>
        <v/>
      </c>
      <c r="H584" s="1021"/>
      <c r="I584" s="890"/>
      <c r="J584" s="9"/>
      <c r="K584" s="891"/>
      <c r="L584" s="879"/>
    </row>
    <row r="585">
      <c r="B585" s="809"/>
      <c r="C585" s="894" t="s">
        <v>658</v>
      </c>
      <c r="D585" s="1025">
        <f>G543</f>
        <v>600</v>
      </c>
      <c r="E585" s="1017">
        <v>45782.0</v>
      </c>
      <c r="F585" s="1026"/>
      <c r="G585" s="892">
        <f t="shared" si="64"/>
        <v>600</v>
      </c>
      <c r="H585" s="1047" t="s">
        <v>630</v>
      </c>
      <c r="I585" s="890"/>
      <c r="J585" s="9"/>
      <c r="K585" s="891"/>
      <c r="L585" s="879"/>
    </row>
    <row r="586">
      <c r="B586" s="809"/>
      <c r="C586" s="1028" t="s">
        <v>707</v>
      </c>
      <c r="D586" s="1029"/>
      <c r="E586" s="1030">
        <v>45721.0</v>
      </c>
      <c r="F586" s="1031"/>
      <c r="G586" s="1032" t="str">
        <f t="shared" si="64"/>
        <v/>
      </c>
      <c r="H586" s="1033"/>
      <c r="I586" s="890"/>
      <c r="J586" s="9"/>
      <c r="K586" s="891"/>
      <c r="L586" s="879"/>
    </row>
    <row r="587">
      <c r="B587" s="809"/>
      <c r="C587" s="904"/>
      <c r="D587" s="905"/>
      <c r="E587" s="906"/>
      <c r="F587" s="904"/>
      <c r="G587" s="904"/>
      <c r="H587" s="904"/>
      <c r="I587" s="906"/>
      <c r="J587" s="904"/>
      <c r="K587" s="240"/>
      <c r="L587" s="907"/>
    </row>
    <row r="588">
      <c r="B588" s="724"/>
      <c r="C588" s="908" t="s">
        <v>724</v>
      </c>
      <c r="D588" s="909"/>
      <c r="E588" s="909"/>
      <c r="F588" s="909"/>
      <c r="G588" s="909"/>
      <c r="H588" s="909"/>
      <c r="I588" s="909"/>
      <c r="J588" s="910"/>
      <c r="K588" s="891"/>
      <c r="L588" s="879"/>
    </row>
    <row r="589">
      <c r="B589" s="768"/>
      <c r="C589" s="911" t="s">
        <v>659</v>
      </c>
      <c r="D589" s="912"/>
      <c r="E589" s="913">
        <f>I596</f>
        <v>5067.736054</v>
      </c>
      <c r="F589" s="914"/>
      <c r="G589" s="915" t="s">
        <v>660</v>
      </c>
      <c r="H589" s="916"/>
      <c r="I589" s="913">
        <f>F556</f>
        <v>2095.9</v>
      </c>
      <c r="J589" s="917">
        <f>I589-G603-G609-G615-E604</f>
        <v>0</v>
      </c>
      <c r="K589" s="918"/>
      <c r="L589" s="919"/>
    </row>
    <row r="590">
      <c r="B590" s="768"/>
      <c r="C590" s="920"/>
      <c r="D590" s="921"/>
      <c r="E590" s="921"/>
      <c r="F590" s="914"/>
      <c r="G590" s="915" t="s">
        <v>558</v>
      </c>
      <c r="H590" s="916"/>
      <c r="I590" s="913">
        <f>F554</f>
        <v>919</v>
      </c>
      <c r="J590" s="917">
        <f>I590-E602-G605-G611-G616</f>
        <v>0</v>
      </c>
      <c r="K590" s="918"/>
      <c r="L590" s="919"/>
    </row>
    <row r="591">
      <c r="B591" s="768"/>
      <c r="C591" s="911" t="s">
        <v>661</v>
      </c>
      <c r="D591" s="912"/>
      <c r="E591" s="913">
        <f>SUM(E589/100*10)-6.77</f>
        <v>500.0036054</v>
      </c>
      <c r="F591" s="914"/>
      <c r="G591" s="922" t="s">
        <v>630</v>
      </c>
      <c r="H591" s="916"/>
      <c r="I591" s="913">
        <f>F557</f>
        <v>1196</v>
      </c>
      <c r="J591" s="917">
        <f>I591-G604-G610-G617-E603</f>
        <v>0</v>
      </c>
      <c r="K591" s="918"/>
      <c r="L591" s="919"/>
    </row>
    <row r="592">
      <c r="B592" s="768"/>
      <c r="C592" s="911" t="s">
        <v>662</v>
      </c>
      <c r="D592" s="912"/>
      <c r="E592" s="913">
        <f>SUM(E589/100*10)-6.77</f>
        <v>500.0036054</v>
      </c>
      <c r="F592" s="914"/>
      <c r="G592" s="915" t="s">
        <v>573</v>
      </c>
      <c r="H592" s="916"/>
      <c r="I592" s="913">
        <f>F555</f>
        <v>176.496054</v>
      </c>
      <c r="J592" s="917">
        <f>I592-G602-G608-G614-E606</f>
        <v>-0.003945996</v>
      </c>
      <c r="K592" s="117"/>
      <c r="L592" s="923"/>
    </row>
    <row r="593">
      <c r="B593" s="768"/>
      <c r="C593" s="920"/>
      <c r="D593" s="921"/>
      <c r="E593" s="921"/>
      <c r="F593" s="914"/>
      <c r="G593" s="916" t="s">
        <v>576</v>
      </c>
      <c r="H593" s="916"/>
      <c r="I593" s="924">
        <f t="shared" ref="I593:I594" si="65">F558</f>
        <v>638.34</v>
      </c>
      <c r="J593" s="925">
        <f>I593-E605</f>
        <v>0</v>
      </c>
      <c r="K593" s="240"/>
      <c r="L593" s="907"/>
    </row>
    <row r="594">
      <c r="B594" s="768"/>
      <c r="C594" s="911" t="s">
        <v>663</v>
      </c>
      <c r="D594" s="912"/>
      <c r="E594" s="926">
        <f>SUM(E589)-(E591+E592)+0.01</f>
        <v>4067.738843</v>
      </c>
      <c r="F594" s="927"/>
      <c r="G594" s="928" t="s">
        <v>631</v>
      </c>
      <c r="H594" s="916"/>
      <c r="I594" s="924">
        <f t="shared" si="65"/>
        <v>1042</v>
      </c>
      <c r="J594" s="925">
        <f>I594-E607</f>
        <v>0</v>
      </c>
      <c r="K594" s="240"/>
      <c r="L594" s="907"/>
    </row>
    <row r="595">
      <c r="B595" s="768"/>
      <c r="C595" s="911" t="s">
        <v>664</v>
      </c>
      <c r="D595" s="912"/>
      <c r="E595" s="913">
        <v>0.0</v>
      </c>
      <c r="F595" s="914"/>
      <c r="G595" s="921"/>
      <c r="H595" s="921"/>
      <c r="I595" s="929">
        <f>SUM(I589:I594)</f>
        <v>6067.736054</v>
      </c>
      <c r="J595" s="930">
        <f>SUM(J589:J594)-0.01</f>
        <v>-0.013945996</v>
      </c>
      <c r="K595" s="7"/>
      <c r="L595" s="810"/>
    </row>
    <row r="596">
      <c r="B596" s="768"/>
      <c r="C596" s="920"/>
      <c r="D596" s="921"/>
      <c r="E596" s="921"/>
      <c r="F596" s="927"/>
      <c r="G596" s="931" t="s">
        <v>610</v>
      </c>
      <c r="H596" s="932"/>
      <c r="I596" s="926">
        <f>SUM(I589:I594)-1000</f>
        <v>5067.736054</v>
      </c>
      <c r="J596" s="933"/>
      <c r="K596" s="7"/>
      <c r="L596" s="810"/>
    </row>
    <row r="597">
      <c r="B597" s="768"/>
      <c r="C597" s="911" t="s">
        <v>665</v>
      </c>
      <c r="D597" s="912"/>
      <c r="E597" s="934" t="s">
        <v>666</v>
      </c>
      <c r="F597" s="927"/>
      <c r="G597" s="1048" t="s">
        <v>667</v>
      </c>
      <c r="J597" s="933"/>
      <c r="K597" s="7"/>
      <c r="L597" s="810"/>
    </row>
    <row r="598">
      <c r="B598" s="768"/>
      <c r="C598" s="920"/>
      <c r="D598" s="916"/>
      <c r="E598" s="936"/>
      <c r="F598" s="927"/>
      <c r="G598" s="927"/>
      <c r="H598" s="927"/>
      <c r="I598" s="927"/>
      <c r="J598" s="933"/>
      <c r="K598" s="7"/>
      <c r="L598" s="810"/>
    </row>
    <row r="599">
      <c r="B599" s="768"/>
      <c r="C599" s="937" t="s">
        <v>620</v>
      </c>
      <c r="D599" s="938">
        <f>SUM(E594-D598)</f>
        <v>4067.738843</v>
      </c>
      <c r="E599" s="939">
        <f>D599</f>
        <v>4067.738843</v>
      </c>
      <c r="F599" s="940"/>
      <c r="G599" s="940"/>
      <c r="H599" s="940"/>
      <c r="I599" s="940"/>
      <c r="J599" s="941"/>
      <c r="K599" s="7"/>
      <c r="L599" s="810"/>
    </row>
    <row r="600">
      <c r="B600" s="768"/>
      <c r="C600" s="942"/>
      <c r="D600" s="117"/>
      <c r="E600" s="117"/>
      <c r="F600" s="117"/>
      <c r="G600" s="117"/>
      <c r="H600" s="117"/>
      <c r="I600" s="918"/>
      <c r="J600" s="943"/>
      <c r="K600" s="7"/>
      <c r="L600" s="810"/>
    </row>
    <row r="601">
      <c r="B601" s="768"/>
      <c r="C601" s="944" t="s">
        <v>668</v>
      </c>
      <c r="D601" s="593"/>
      <c r="E601" s="594"/>
      <c r="F601" s="117"/>
      <c r="G601" s="945" t="s">
        <v>669</v>
      </c>
      <c r="H601" s="594"/>
      <c r="I601" s="918"/>
      <c r="J601" s="943"/>
      <c r="K601" s="117"/>
      <c r="L601" s="923"/>
    </row>
    <row r="602">
      <c r="B602" s="768"/>
      <c r="C602" s="946" t="s">
        <v>558</v>
      </c>
      <c r="D602" s="912"/>
      <c r="E602" s="1050">
        <v>919.0</v>
      </c>
      <c r="F602" s="1059">
        <v>45.23</v>
      </c>
      <c r="G602" s="949">
        <v>0.0</v>
      </c>
      <c r="H602" s="950" t="s">
        <v>573</v>
      </c>
      <c r="I602" s="918"/>
      <c r="J602" s="943"/>
      <c r="K602" s="117"/>
      <c r="L602" s="923"/>
    </row>
    <row r="603">
      <c r="B603" s="768"/>
      <c r="C603" s="946" t="s">
        <v>630</v>
      </c>
      <c r="D603" s="912"/>
      <c r="E603" s="1050">
        <v>1196.0</v>
      </c>
      <c r="F603" s="1059">
        <v>21.1</v>
      </c>
      <c r="G603" s="951">
        <v>500.0</v>
      </c>
      <c r="H603" s="950" t="s">
        <v>587</v>
      </c>
      <c r="I603" s="918"/>
      <c r="J603" s="943"/>
      <c r="K603" s="117"/>
      <c r="L603" s="923"/>
    </row>
    <row r="604">
      <c r="B604" s="768"/>
      <c r="C604" s="952" t="s">
        <v>587</v>
      </c>
      <c r="D604" s="912"/>
      <c r="E604" s="1050">
        <v>95.9</v>
      </c>
      <c r="F604" s="948" t="s">
        <v>670</v>
      </c>
      <c r="G604" s="949">
        <v>0.0</v>
      </c>
      <c r="H604" s="954" t="s">
        <v>630</v>
      </c>
      <c r="I604" s="955">
        <f>F610</f>
        <v>176.5</v>
      </c>
      <c r="J604" s="594"/>
      <c r="K604" s="117"/>
      <c r="L604" s="923"/>
    </row>
    <row r="605">
      <c r="B605" s="768"/>
      <c r="C605" s="952" t="s">
        <v>576</v>
      </c>
      <c r="D605" s="912"/>
      <c r="E605" s="1050">
        <v>638.34</v>
      </c>
      <c r="F605" s="1059" t="s">
        <v>670</v>
      </c>
      <c r="G605" s="951">
        <v>0.0</v>
      </c>
      <c r="H605" s="956" t="s">
        <v>558</v>
      </c>
      <c r="I605" s="957" t="s">
        <v>620</v>
      </c>
      <c r="J605" s="958" t="s">
        <v>672</v>
      </c>
      <c r="K605" s="117"/>
      <c r="L605" s="923"/>
    </row>
    <row r="606">
      <c r="B606" s="768"/>
      <c r="C606" s="952" t="s">
        <v>573</v>
      </c>
      <c r="D606" s="912"/>
      <c r="E606" s="1050">
        <v>176.5</v>
      </c>
      <c r="F606" s="1059" t="s">
        <v>620</v>
      </c>
      <c r="G606" s="959">
        <f>SUM(G602:G605)</f>
        <v>500</v>
      </c>
      <c r="H606" s="960" t="s">
        <v>610</v>
      </c>
      <c r="I606" s="961">
        <f>I604/2</f>
        <v>88.25</v>
      </c>
      <c r="J606" s="962"/>
      <c r="K606" s="7"/>
      <c r="L606" s="810"/>
    </row>
    <row r="607">
      <c r="B607" s="768"/>
      <c r="C607" s="946" t="s">
        <v>631</v>
      </c>
      <c r="D607" s="912"/>
      <c r="E607" s="1050">
        <v>1042.0</v>
      </c>
      <c r="F607" s="1059">
        <v>424.0</v>
      </c>
      <c r="G607" s="964" t="s">
        <v>673</v>
      </c>
      <c r="H607" s="594"/>
      <c r="I607" s="965" t="s">
        <v>670</v>
      </c>
      <c r="J607" s="966" t="s">
        <v>674</v>
      </c>
      <c r="K607" s="7"/>
      <c r="L607" s="810"/>
    </row>
    <row r="608">
      <c r="B608" s="967"/>
      <c r="C608" s="952" t="s">
        <v>675</v>
      </c>
      <c r="D608" s="912"/>
      <c r="E608" s="968">
        <f>SUM(E599-(E602+E603+E604+E605+E606+E607))</f>
        <v>-0.0011567968</v>
      </c>
      <c r="F608" s="969"/>
      <c r="G608" s="976">
        <v>0.0</v>
      </c>
      <c r="H608" s="971" t="s">
        <v>573</v>
      </c>
      <c r="I608" s="972">
        <f>I604/2</f>
        <v>88.25</v>
      </c>
      <c r="J608" s="973"/>
      <c r="K608" s="7"/>
      <c r="L608" s="810"/>
    </row>
    <row r="609">
      <c r="B609" s="967"/>
      <c r="C609" s="942"/>
      <c r="D609" s="918"/>
      <c r="E609" s="974">
        <f>SUM(E602:E607)</f>
        <v>4067.74</v>
      </c>
      <c r="F609" s="975"/>
      <c r="G609" s="976">
        <v>500.0</v>
      </c>
      <c r="H609" s="977" t="s">
        <v>587</v>
      </c>
      <c r="I609" s="918"/>
      <c r="J609" s="978"/>
      <c r="K609" s="7"/>
      <c r="L609" s="810"/>
    </row>
    <row r="610">
      <c r="B610" s="967"/>
      <c r="C610" s="942"/>
      <c r="D610" s="1060" t="s">
        <v>573</v>
      </c>
      <c r="E610" s="593"/>
      <c r="F610" s="1052">
        <f>SUM(E606)</f>
        <v>176.5</v>
      </c>
      <c r="G610" s="976">
        <v>0.0</v>
      </c>
      <c r="H610" s="981" t="s">
        <v>630</v>
      </c>
      <c r="I610" s="612" t="s">
        <v>676</v>
      </c>
      <c r="J610" s="610"/>
      <c r="K610" s="1037" t="s">
        <v>699</v>
      </c>
      <c r="L610" s="1038" t="s">
        <v>700</v>
      </c>
    </row>
    <row r="611">
      <c r="B611" s="967"/>
      <c r="C611" s="942"/>
      <c r="D611" s="843"/>
      <c r="E611" s="982" t="s">
        <v>677</v>
      </c>
      <c r="F611" s="983">
        <f>F610</f>
        <v>176.5</v>
      </c>
      <c r="G611" s="970">
        <v>0.0</v>
      </c>
      <c r="H611" s="977" t="s">
        <v>558</v>
      </c>
      <c r="I611" s="918" t="s">
        <v>681</v>
      </c>
      <c r="J611" s="1039">
        <v>45558.0</v>
      </c>
      <c r="K611" s="1040">
        <v>45705.0</v>
      </c>
      <c r="L611" s="1042">
        <v>45712.0</v>
      </c>
    </row>
    <row r="612">
      <c r="B612" s="967"/>
      <c r="C612" s="942"/>
      <c r="D612" s="843"/>
      <c r="E612" s="985"/>
      <c r="F612" s="986"/>
      <c r="G612" s="987">
        <f>SUM(G609:G611)</f>
        <v>500</v>
      </c>
      <c r="H612" s="988" t="s">
        <v>610</v>
      </c>
      <c r="I612" s="918"/>
      <c r="J612" s="1039"/>
      <c r="K612" s="1040"/>
      <c r="L612" s="1042"/>
    </row>
    <row r="613">
      <c r="B613" s="768"/>
      <c r="C613" s="989"/>
      <c r="D613" s="943"/>
      <c r="E613" s="1043" t="s">
        <v>701</v>
      </c>
      <c r="F613" s="991"/>
      <c r="G613" s="945" t="s">
        <v>680</v>
      </c>
      <c r="H613" s="594"/>
      <c r="I613" s="918"/>
      <c r="J613" s="984"/>
      <c r="K613" s="7"/>
      <c r="L613" s="810"/>
    </row>
    <row r="614">
      <c r="B614" s="809"/>
      <c r="C614" s="992"/>
      <c r="D614" s="993" t="s">
        <v>587</v>
      </c>
      <c r="E614" s="994">
        <f>E604</f>
        <v>95.9</v>
      </c>
      <c r="F614" s="969"/>
      <c r="G614" s="949">
        <v>0.0</v>
      </c>
      <c r="H614" s="950" t="s">
        <v>573</v>
      </c>
      <c r="I614" s="918"/>
      <c r="J614" s="610"/>
      <c r="K614" s="7"/>
      <c r="L614" s="810"/>
    </row>
    <row r="615">
      <c r="B615" s="809"/>
      <c r="C615" s="992"/>
      <c r="D615" s="7"/>
      <c r="E615" s="995">
        <f>E607+E602+E603+E605</f>
        <v>3795.34</v>
      </c>
      <c r="F615" s="969"/>
      <c r="G615" s="951">
        <v>1000.0</v>
      </c>
      <c r="H615" s="950" t="s">
        <v>587</v>
      </c>
      <c r="I615" s="7"/>
      <c r="J615" s="996"/>
      <c r="K615" s="7"/>
      <c r="L615" s="810"/>
    </row>
    <row r="616">
      <c r="B616" s="809"/>
      <c r="C616" s="992"/>
      <c r="D616" s="997" t="s">
        <v>682</v>
      </c>
      <c r="E616" s="995">
        <f>SUM(E614+E615)</f>
        <v>3891.24</v>
      </c>
      <c r="F616" s="998"/>
      <c r="G616" s="949">
        <v>0.0</v>
      </c>
      <c r="H616" s="950" t="s">
        <v>558</v>
      </c>
      <c r="I616" s="7"/>
      <c r="J616" s="996"/>
      <c r="K616" s="7"/>
      <c r="L616" s="810"/>
    </row>
    <row r="617">
      <c r="B617" s="809"/>
      <c r="C617" s="992"/>
      <c r="D617" s="7"/>
      <c r="E617" s="7"/>
      <c r="F617" s="998"/>
      <c r="G617" s="949">
        <v>0.0</v>
      </c>
      <c r="H617" s="999" t="s">
        <v>671</v>
      </c>
      <c r="I617" s="7"/>
      <c r="J617" s="996"/>
      <c r="K617" s="7"/>
      <c r="L617" s="810"/>
    </row>
    <row r="618">
      <c r="B618" s="809"/>
      <c r="C618" s="992"/>
      <c r="D618" s="7"/>
      <c r="E618" s="7"/>
      <c r="F618" s="998"/>
      <c r="G618" s="949">
        <f>SUM(G613:G617)</f>
        <v>1000</v>
      </c>
      <c r="H618" s="950" t="s">
        <v>610</v>
      </c>
      <c r="I618" s="7"/>
      <c r="J618" s="996"/>
      <c r="K618" s="7"/>
      <c r="L618" s="810"/>
    </row>
    <row r="619">
      <c r="B619" s="809"/>
      <c r="C619" s="1000"/>
      <c r="D619" s="1001"/>
      <c r="E619" s="1001"/>
      <c r="F619" s="1001"/>
      <c r="G619" s="1002"/>
      <c r="H619" s="1002"/>
      <c r="I619" s="1001"/>
      <c r="J619" s="1003"/>
      <c r="K619" s="7"/>
      <c r="L619" s="810"/>
    </row>
    <row r="620">
      <c r="B620" s="1004"/>
      <c r="C620" s="1005"/>
      <c r="D620" s="1006"/>
      <c r="E620" s="1006"/>
      <c r="F620" s="1006"/>
      <c r="G620" s="1007"/>
      <c r="H620" s="1006"/>
      <c r="I620" s="1006"/>
      <c r="J620" s="1008"/>
      <c r="K620" s="1006"/>
      <c r="L620" s="1009"/>
    </row>
    <row r="624">
      <c r="B624" s="721" t="s">
        <v>725</v>
      </c>
      <c r="C624" s="722"/>
      <c r="D624" s="722"/>
      <c r="E624" s="722"/>
      <c r="F624" s="722"/>
      <c r="G624" s="722"/>
      <c r="H624" s="722"/>
      <c r="I624" s="722"/>
      <c r="J624" s="722"/>
      <c r="K624" s="722"/>
      <c r="L624" s="723"/>
    </row>
    <row r="625">
      <c r="B625" s="724"/>
      <c r="C625" s="725" t="s">
        <v>607</v>
      </c>
      <c r="D625" s="726" t="s">
        <v>608</v>
      </c>
      <c r="E625" s="727"/>
      <c r="F625" s="727"/>
      <c r="G625" s="727"/>
      <c r="H625" s="728"/>
      <c r="I625" s="729">
        <f>YEAR((TODAY()))</f>
        <v>2026</v>
      </c>
      <c r="J625" s="730"/>
      <c r="K625" s="731"/>
      <c r="L625" s="732"/>
    </row>
    <row r="626">
      <c r="B626" s="733"/>
      <c r="C626" s="734">
        <f>TODAY()</f>
        <v>46144</v>
      </c>
      <c r="D626" s="735" t="s">
        <v>609</v>
      </c>
      <c r="E626" s="736" t="s">
        <v>610</v>
      </c>
      <c r="F626" s="737"/>
      <c r="G626" s="737"/>
      <c r="H626" s="738"/>
      <c r="I626" s="730"/>
      <c r="J626" s="730"/>
      <c r="K626" s="730"/>
      <c r="L626" s="732"/>
    </row>
    <row r="627">
      <c r="B627" s="724"/>
      <c r="C627" s="739" t="s">
        <v>611</v>
      </c>
      <c r="D627" s="740"/>
      <c r="E627" s="741" t="s">
        <v>612</v>
      </c>
      <c r="F627" s="742" t="s">
        <v>613</v>
      </c>
      <c r="G627" s="743" t="s">
        <v>614</v>
      </c>
      <c r="H627" s="744" t="s">
        <v>615</v>
      </c>
      <c r="I627" s="745" t="s">
        <v>616</v>
      </c>
      <c r="J627" s="746" t="s">
        <v>617</v>
      </c>
      <c r="K627" s="747" t="s">
        <v>618</v>
      </c>
      <c r="L627" s="748" t="s">
        <v>619</v>
      </c>
    </row>
    <row r="628">
      <c r="B628" s="749"/>
      <c r="C628" s="750" t="s">
        <v>620</v>
      </c>
      <c r="D628" s="743">
        <v>1500.0</v>
      </c>
      <c r="E628" s="751">
        <f>SUM((D628/2)-F628)</f>
        <v>750</v>
      </c>
      <c r="F628" s="752">
        <v>0.0</v>
      </c>
      <c r="G628" s="753">
        <f>SUM(((D628/2)-H628))</f>
        <v>750</v>
      </c>
      <c r="H628" s="754">
        <v>0.0</v>
      </c>
      <c r="I628" s="755"/>
      <c r="J628" s="756"/>
      <c r="K628" s="757"/>
      <c r="L628" s="758"/>
    </row>
    <row r="629">
      <c r="B629" s="749"/>
      <c r="C629" s="759" t="s">
        <v>621</v>
      </c>
      <c r="D629" s="760">
        <v>1518.0</v>
      </c>
      <c r="E629" s="761">
        <f>SUM(((D629/100)*40)-F629)</f>
        <v>607.2</v>
      </c>
      <c r="F629" s="1010">
        <v>0.0</v>
      </c>
      <c r="G629" s="762">
        <f>SUM(((D629/100)*60)-H629)-L629+((I629/100)*100)</f>
        <v>1087.95</v>
      </c>
      <c r="H629" s="775">
        <v>9.0</v>
      </c>
      <c r="I629" s="764">
        <v>300.0</v>
      </c>
      <c r="J629" s="765"/>
      <c r="K629" s="766"/>
      <c r="L629" s="767">
        <f>SUM(D629/100)*7.5</f>
        <v>113.85</v>
      </c>
    </row>
    <row r="630">
      <c r="B630" s="768"/>
      <c r="C630" s="769" t="s">
        <v>622</v>
      </c>
      <c r="D630" s="753">
        <v>1518.0</v>
      </c>
      <c r="E630" s="770">
        <f>SUM((((D630/100)*40)-F630))</f>
        <v>607.2</v>
      </c>
      <c r="F630" s="752">
        <v>0.0</v>
      </c>
      <c r="G630" s="753">
        <f>SUM(((D630/100)*60)-H630)+J630-L630+I630</f>
        <v>1012.867559</v>
      </c>
      <c r="H630" s="771">
        <v>58.0</v>
      </c>
      <c r="I630" s="772">
        <v>0.0</v>
      </c>
      <c r="J630" s="756">
        <f>SUM(D630/100)*19.65</f>
        <v>298.287</v>
      </c>
      <c r="K630" s="757"/>
      <c r="L630" s="758">
        <f>SUM((D630+J630)/100)*7.61</f>
        <v>138.2194407</v>
      </c>
    </row>
    <row r="631">
      <c r="B631" s="768"/>
      <c r="C631" s="773" t="s">
        <v>623</v>
      </c>
      <c r="D631" s="760">
        <v>1518.0</v>
      </c>
      <c r="E631" s="774">
        <f>SUM(((((D631/100)*40))-F631))</f>
        <v>607.2</v>
      </c>
      <c r="F631" s="775">
        <v>0.0</v>
      </c>
      <c r="G631" s="762">
        <f>SUM(((D631/100)*60)-H631)+J631-K631-L631-I631</f>
        <v>982.1463867</v>
      </c>
      <c r="H631" s="776">
        <v>73.06</v>
      </c>
      <c r="I631" s="764">
        <v>0.0</v>
      </c>
      <c r="J631" s="1044">
        <f>SUM(D631/100)*17.42</f>
        <v>264.4356</v>
      </c>
      <c r="K631" s="1045">
        <v>0.0</v>
      </c>
      <c r="L631" s="1046">
        <f>SUM((D631+J631)/100)*6.734</f>
        <v>120.0292133</v>
      </c>
    </row>
    <row r="632">
      <c r="B632" s="768"/>
      <c r="C632" s="778" t="s">
        <v>624</v>
      </c>
      <c r="D632" s="779">
        <v>1500.0</v>
      </c>
      <c r="E632" s="780">
        <f>SUM((D632/2)-F632)</f>
        <v>750</v>
      </c>
      <c r="F632" s="779">
        <v>0.0</v>
      </c>
      <c r="G632" s="781">
        <f>SUM(((D632/2)-H632))-I632</f>
        <v>600</v>
      </c>
      <c r="H632" s="1056">
        <v>150.0</v>
      </c>
      <c r="I632" s="772">
        <v>0.0</v>
      </c>
      <c r="J632" s="756"/>
      <c r="K632" s="757"/>
      <c r="L632" s="758"/>
    </row>
    <row r="633">
      <c r="B633" s="768"/>
      <c r="C633" s="783"/>
      <c r="D633" s="784"/>
      <c r="E633" s="785"/>
      <c r="F633" s="785"/>
      <c r="G633" s="762"/>
      <c r="H633" s="786"/>
      <c r="I633" s="777"/>
      <c r="J633" s="765"/>
      <c r="K633" s="766"/>
      <c r="L633" s="767"/>
    </row>
    <row r="634">
      <c r="B634" s="768"/>
      <c r="C634" s="787"/>
      <c r="D634" s="779"/>
      <c r="E634" s="779"/>
      <c r="F634" s="779"/>
      <c r="G634" s="781"/>
      <c r="H634" s="782"/>
      <c r="I634" s="755"/>
      <c r="J634" s="765">
        <f>SUM(D634/100)*20</f>
        <v>0</v>
      </c>
      <c r="K634" s="766">
        <f>SUM(D634/100)*6</f>
        <v>0</v>
      </c>
      <c r="L634" s="767">
        <f>SUM((D634+J634)/100)*7.75</f>
        <v>0</v>
      </c>
    </row>
    <row r="635">
      <c r="B635" s="768"/>
      <c r="C635" s="789"/>
      <c r="D635" s="790"/>
      <c r="E635" s="790"/>
      <c r="F635" s="790"/>
      <c r="G635" s="790"/>
      <c r="H635" s="791"/>
      <c r="I635" s="792"/>
      <c r="J635" s="793"/>
      <c r="K635" s="794"/>
      <c r="L635" s="795"/>
    </row>
    <row r="636">
      <c r="B636" s="724"/>
      <c r="C636" s="796" t="s">
        <v>610</v>
      </c>
      <c r="D636" s="797"/>
      <c r="E636" s="798">
        <f>SUM(E628:E635)</f>
        <v>3321.6</v>
      </c>
      <c r="F636" s="797"/>
      <c r="G636" s="799">
        <f>SUM(G628:G635)</f>
        <v>4432.963946</v>
      </c>
      <c r="H636" s="1011">
        <f>SUM(G629:G631)</f>
        <v>3082.963946</v>
      </c>
      <c r="I636" s="801"/>
      <c r="J636" s="802"/>
      <c r="K636" s="730"/>
      <c r="L636" s="732"/>
    </row>
    <row r="637">
      <c r="B637" s="724"/>
      <c r="C637" s="803"/>
      <c r="D637" s="804"/>
      <c r="E637" s="804"/>
      <c r="F637" s="804"/>
      <c r="G637" s="804"/>
      <c r="H637" s="804"/>
      <c r="I637" s="805"/>
      <c r="J637" s="806"/>
      <c r="K637" s="807"/>
      <c r="L637" s="808"/>
    </row>
    <row r="638">
      <c r="B638" s="809"/>
      <c r="C638" s="7"/>
      <c r="D638" s="7"/>
      <c r="E638" s="7"/>
      <c r="F638" s="7"/>
      <c r="G638" s="7"/>
      <c r="H638" s="7"/>
      <c r="I638" s="7"/>
      <c r="J638" s="7"/>
      <c r="K638" s="7"/>
      <c r="L638" s="810"/>
    </row>
    <row r="639">
      <c r="B639" s="811">
        <v>45894.0</v>
      </c>
      <c r="C639" s="812"/>
      <c r="D639" s="812"/>
      <c r="E639" s="812"/>
      <c r="F639" s="812"/>
      <c r="G639" s="812"/>
      <c r="H639" s="812"/>
      <c r="I639" s="812"/>
      <c r="J639" s="812"/>
      <c r="K639" s="812"/>
      <c r="L639" s="813"/>
    </row>
    <row r="640">
      <c r="B640" s="814"/>
      <c r="C640" s="815"/>
      <c r="D640" s="815"/>
      <c r="E640" s="815"/>
      <c r="F640" s="815"/>
      <c r="G640" s="815"/>
      <c r="H640" s="815"/>
      <c r="I640" s="815"/>
      <c r="J640" s="815"/>
      <c r="K640" s="815"/>
      <c r="L640" s="816"/>
    </row>
    <row r="641">
      <c r="B641" s="817" t="s">
        <v>571</v>
      </c>
      <c r="C641" s="812"/>
      <c r="D641" s="812"/>
      <c r="E641" s="812"/>
      <c r="F641" s="818"/>
      <c r="G641" s="867" t="s">
        <v>726</v>
      </c>
      <c r="H641" s="1012" t="s">
        <v>685</v>
      </c>
      <c r="I641" s="593"/>
      <c r="J641" s="593"/>
      <c r="K641" s="593"/>
      <c r="L641" s="821"/>
    </row>
    <row r="642">
      <c r="B642" s="822" t="s">
        <v>625</v>
      </c>
      <c r="C642" s="823" t="s">
        <v>626</v>
      </c>
      <c r="D642" s="824"/>
      <c r="E642" s="825" t="s">
        <v>627</v>
      </c>
      <c r="F642" s="826" t="s">
        <v>628</v>
      </c>
      <c r="G642" s="1013">
        <v>950.0</v>
      </c>
      <c r="H642" s="621" t="s">
        <v>580</v>
      </c>
      <c r="I642" s="827" t="s">
        <v>724</v>
      </c>
      <c r="J642" s="827" t="s">
        <v>727</v>
      </c>
      <c r="K642" s="621" t="s">
        <v>583</v>
      </c>
      <c r="L642" s="828" t="s">
        <v>584</v>
      </c>
    </row>
    <row r="643">
      <c r="B643" s="829">
        <v>3353.0</v>
      </c>
      <c r="C643" s="830" t="s">
        <v>558</v>
      </c>
      <c r="D643" s="831">
        <f>SUM(B643-K643)</f>
        <v>3003</v>
      </c>
      <c r="E643" s="831">
        <f>SUMIF(H652:H675,"IFOOD",G652:G675)</f>
        <v>1500</v>
      </c>
      <c r="F643" s="832">
        <f t="shared" ref="F643:F648" si="66">D643-E643</f>
        <v>1503</v>
      </c>
      <c r="G643" s="1014"/>
      <c r="H643" s="623" t="s">
        <v>558</v>
      </c>
      <c r="I643" s="624">
        <v>350.0</v>
      </c>
      <c r="J643" s="625">
        <v>0.0</v>
      </c>
      <c r="K643" s="625">
        <f>I643-G646</f>
        <v>350</v>
      </c>
      <c r="L643" s="834">
        <f>SUM(J643+K643)</f>
        <v>350</v>
      </c>
    </row>
    <row r="644">
      <c r="B644" s="835">
        <v>3613.0</v>
      </c>
      <c r="C644" s="836" t="s">
        <v>573</v>
      </c>
      <c r="D644" s="625">
        <f>SUM(B644-K647)</f>
        <v>3443.14</v>
      </c>
      <c r="E644" s="837">
        <f>SUMIF(H652:H674,"Caixa",G652:G674)</f>
        <v>3082.963946</v>
      </c>
      <c r="F644" s="838">
        <f t="shared" si="66"/>
        <v>360.176054</v>
      </c>
      <c r="G644" s="1013"/>
      <c r="H644" s="839" t="s">
        <v>629</v>
      </c>
      <c r="I644" s="629">
        <v>0.0</v>
      </c>
      <c r="J644" s="629">
        <v>0.0</v>
      </c>
      <c r="K644" s="629">
        <f>I644</f>
        <v>0</v>
      </c>
      <c r="L644" s="840">
        <v>0.0</v>
      </c>
    </row>
    <row r="645">
      <c r="B645" s="829">
        <v>4539.0</v>
      </c>
      <c r="C645" s="830" t="s">
        <v>574</v>
      </c>
      <c r="D645" s="831">
        <f>B645</f>
        <v>4539</v>
      </c>
      <c r="E645" s="831">
        <f>SUMIF(H652:H675,"Cash",G652:G675)</f>
        <v>2200.14</v>
      </c>
      <c r="F645" s="832">
        <f t="shared" si="66"/>
        <v>2338.86</v>
      </c>
      <c r="G645" s="1014"/>
      <c r="H645" s="623" t="s">
        <v>587</v>
      </c>
      <c r="I645" s="624">
        <v>3140.0</v>
      </c>
      <c r="J645" s="624">
        <v>1900.0</v>
      </c>
      <c r="K645" s="625">
        <f>I645-G642</f>
        <v>2190</v>
      </c>
      <c r="L645" s="834">
        <f t="shared" ref="L645:L648" si="67">SUM(J645+K645)</f>
        <v>4090</v>
      </c>
    </row>
    <row r="646">
      <c r="B646" s="835">
        <v>813.0</v>
      </c>
      <c r="C646" s="841" t="s">
        <v>629</v>
      </c>
      <c r="D646" s="625">
        <f>SUM(B646-K644)</f>
        <v>813</v>
      </c>
      <c r="E646" s="837">
        <f>SUMIF(H652:H676,"Infinity 1",G652:G676)</f>
        <v>0</v>
      </c>
      <c r="F646" s="838">
        <f t="shared" si="66"/>
        <v>813</v>
      </c>
      <c r="G646" s="1013"/>
      <c r="H646" s="634" t="s">
        <v>576</v>
      </c>
      <c r="I646" s="636">
        <v>53.66</v>
      </c>
      <c r="J646" s="636">
        <v>0.0</v>
      </c>
      <c r="K646" s="636">
        <f>I646</f>
        <v>53.66</v>
      </c>
      <c r="L646" s="842">
        <f t="shared" si="67"/>
        <v>53.66</v>
      </c>
    </row>
    <row r="647">
      <c r="B647" s="829">
        <v>189.0</v>
      </c>
      <c r="C647" s="830" t="s">
        <v>576</v>
      </c>
      <c r="D647" s="831">
        <f>SUM(B647-K646)</f>
        <v>135.34</v>
      </c>
      <c r="E647" s="831">
        <f>SUMIF(H654:H677,"Stone",G654:G677)</f>
        <v>0</v>
      </c>
      <c r="F647" s="832">
        <f t="shared" si="66"/>
        <v>135.34</v>
      </c>
      <c r="G647" s="1057"/>
      <c r="H647" s="641" t="s">
        <v>573</v>
      </c>
      <c r="I647" s="638">
        <v>169.86</v>
      </c>
      <c r="J647" s="844">
        <v>0.0</v>
      </c>
      <c r="K647" s="844">
        <f>I647-G647</f>
        <v>169.86</v>
      </c>
      <c r="L647" s="845">
        <f t="shared" si="67"/>
        <v>169.86</v>
      </c>
    </row>
    <row r="648">
      <c r="B648" s="846">
        <v>758.0</v>
      </c>
      <c r="C648" s="847" t="s">
        <v>632</v>
      </c>
      <c r="D648" s="848">
        <f>SUM(B648-K648)</f>
        <v>758</v>
      </c>
      <c r="E648" s="848">
        <f>SUMIF(H654:H678,"Infinity 2",G654:G678)</f>
        <v>0</v>
      </c>
      <c r="F648" s="849">
        <f t="shared" si="66"/>
        <v>758</v>
      </c>
      <c r="G648" s="117"/>
      <c r="H648" s="850" t="s">
        <v>632</v>
      </c>
      <c r="I648" s="1058">
        <v>0.0</v>
      </c>
      <c r="J648" s="851">
        <v>0.0</v>
      </c>
      <c r="K648" s="852">
        <f>I648</f>
        <v>0</v>
      </c>
      <c r="L648" s="853">
        <f t="shared" si="67"/>
        <v>0</v>
      </c>
    </row>
    <row r="649">
      <c r="B649" s="1054">
        <f>SUM(B643:B648)</f>
        <v>13265</v>
      </c>
      <c r="C649" s="855" t="s">
        <v>578</v>
      </c>
      <c r="D649" s="856">
        <f t="shared" ref="D649:F649" si="68">SUM(D643:D648)</f>
        <v>12691.48</v>
      </c>
      <c r="E649" s="857">
        <f t="shared" si="68"/>
        <v>6783.103946</v>
      </c>
      <c r="F649" s="858">
        <f t="shared" si="68"/>
        <v>5908.376054</v>
      </c>
      <c r="G649" s="117"/>
      <c r="H649" s="859" t="s">
        <v>589</v>
      </c>
      <c r="I649" s="860" t="s">
        <v>590</v>
      </c>
      <c r="J649" s="861" t="s">
        <v>134</v>
      </c>
      <c r="K649" s="862">
        <f t="shared" ref="K649:L649" si="69">SUM(K643:K647)</f>
        <v>2763.52</v>
      </c>
      <c r="L649" s="863">
        <f t="shared" si="69"/>
        <v>4663.52</v>
      </c>
    </row>
    <row r="650">
      <c r="B650" s="724"/>
      <c r="C650" s="9"/>
      <c r="D650" s="9"/>
      <c r="E650" s="9"/>
      <c r="F650" s="9"/>
      <c r="G650" s="117"/>
      <c r="H650" s="864">
        <v>0.0</v>
      </c>
      <c r="I650" s="865">
        <v>169.86</v>
      </c>
      <c r="J650" s="866"/>
      <c r="K650" s="7"/>
      <c r="L650" s="810"/>
    </row>
    <row r="651">
      <c r="B651" s="724"/>
      <c r="C651" s="869" t="s">
        <v>634</v>
      </c>
      <c r="D651" s="870" t="s">
        <v>600</v>
      </c>
      <c r="E651" s="870" t="s">
        <v>5</v>
      </c>
      <c r="F651" s="870" t="s">
        <v>4</v>
      </c>
      <c r="G651" s="870" t="s">
        <v>16</v>
      </c>
      <c r="H651" s="871" t="s">
        <v>635</v>
      </c>
      <c r="I651" s="872"/>
      <c r="L651" s="873"/>
    </row>
    <row r="652">
      <c r="B652" s="809"/>
      <c r="C652" s="874" t="s">
        <v>636</v>
      </c>
      <c r="D652" s="659">
        <v>1300.0</v>
      </c>
      <c r="E652" s="1017">
        <v>45782.0</v>
      </c>
      <c r="F652" s="1018"/>
      <c r="G652" s="892">
        <f t="shared" ref="G652:G670" si="70">IF(F652="",D652,"")</f>
        <v>1300</v>
      </c>
      <c r="H652" s="1024" t="s">
        <v>574</v>
      </c>
      <c r="I652" s="878"/>
      <c r="J652" s="878"/>
      <c r="K652" s="878"/>
      <c r="L652" s="879"/>
    </row>
    <row r="653">
      <c r="B653" s="809"/>
      <c r="C653" s="874"/>
      <c r="D653" s="892"/>
      <c r="E653" s="1020"/>
      <c r="F653" s="1018"/>
      <c r="G653" s="892" t="str">
        <f t="shared" si="70"/>
        <v/>
      </c>
      <c r="H653" s="1021"/>
      <c r="I653" s="883"/>
      <c r="J653" s="884"/>
      <c r="K653" s="885"/>
      <c r="L653" s="879"/>
    </row>
    <row r="654">
      <c r="B654" s="809"/>
      <c r="C654" s="886" t="s">
        <v>637</v>
      </c>
      <c r="D654" s="892">
        <f t="shared" ref="D654:D656" si="71">G629</f>
        <v>1087.95</v>
      </c>
      <c r="E654" s="1017">
        <v>45782.0</v>
      </c>
      <c r="F654" s="1022"/>
      <c r="G654" s="892">
        <f t="shared" si="70"/>
        <v>1087.95</v>
      </c>
      <c r="H654" s="1024" t="s">
        <v>573</v>
      </c>
      <c r="I654" s="883"/>
      <c r="J654" s="884"/>
      <c r="K654" s="885"/>
      <c r="L654" s="879"/>
    </row>
    <row r="655">
      <c r="B655" s="809"/>
      <c r="C655" s="886" t="s">
        <v>705</v>
      </c>
      <c r="D655" s="892">
        <f t="shared" si="71"/>
        <v>1012.867559</v>
      </c>
      <c r="E655" s="1017">
        <v>45782.0</v>
      </c>
      <c r="F655" s="1018"/>
      <c r="G655" s="892">
        <f t="shared" si="70"/>
        <v>1012.867559</v>
      </c>
      <c r="H655" s="1024" t="s">
        <v>573</v>
      </c>
      <c r="I655" s="883"/>
      <c r="J655" s="884"/>
      <c r="K655" s="885"/>
      <c r="L655" s="879"/>
    </row>
    <row r="656">
      <c r="B656" s="809"/>
      <c r="C656" s="886" t="s">
        <v>706</v>
      </c>
      <c r="D656" s="892">
        <f t="shared" si="71"/>
        <v>982.1463867</v>
      </c>
      <c r="E656" s="1017">
        <v>45782.0</v>
      </c>
      <c r="F656" s="1018"/>
      <c r="G656" s="892">
        <f t="shared" si="70"/>
        <v>982.1463867</v>
      </c>
      <c r="H656" s="1024" t="s">
        <v>573</v>
      </c>
      <c r="I656" s="884"/>
      <c r="K656" s="885"/>
      <c r="L656" s="879"/>
    </row>
    <row r="657">
      <c r="B657" s="809"/>
      <c r="C657" s="874" t="s">
        <v>638</v>
      </c>
      <c r="D657" s="892">
        <f>E636</f>
        <v>3321.6</v>
      </c>
      <c r="E657" s="1017">
        <v>45767.0</v>
      </c>
      <c r="F657" s="1018" t="s">
        <v>639</v>
      </c>
      <c r="G657" s="892" t="str">
        <f t="shared" si="70"/>
        <v/>
      </c>
      <c r="H657" s="1019"/>
      <c r="I657" s="890"/>
      <c r="J657" s="9"/>
      <c r="K657" s="891"/>
      <c r="L657" s="879"/>
    </row>
    <row r="658">
      <c r="B658" s="809"/>
      <c r="C658" s="874" t="s">
        <v>640</v>
      </c>
      <c r="D658" s="892">
        <v>430.0</v>
      </c>
      <c r="E658" s="1017">
        <v>45757.0</v>
      </c>
      <c r="F658" s="1018" t="s">
        <v>639</v>
      </c>
      <c r="G658" s="892" t="str">
        <f t="shared" si="70"/>
        <v/>
      </c>
      <c r="H658" s="1021"/>
      <c r="I658" s="890"/>
      <c r="J658" s="893"/>
      <c r="K658" s="891"/>
      <c r="L658" s="879"/>
    </row>
    <row r="659">
      <c r="B659" s="809"/>
      <c r="C659" s="874" t="s">
        <v>641</v>
      </c>
      <c r="D659" s="892">
        <f>G628</f>
        <v>750</v>
      </c>
      <c r="E659" s="1017">
        <v>45782.0</v>
      </c>
      <c r="F659" s="1018"/>
      <c r="G659" s="892">
        <f t="shared" si="70"/>
        <v>750</v>
      </c>
      <c r="H659" s="1024" t="s">
        <v>558</v>
      </c>
      <c r="I659" s="890"/>
      <c r="J659" s="893"/>
      <c r="K659" s="891"/>
      <c r="L659" s="879"/>
    </row>
    <row r="660">
      <c r="B660" s="809"/>
      <c r="C660" s="874" t="s">
        <v>691</v>
      </c>
      <c r="D660" s="892">
        <v>105.0</v>
      </c>
      <c r="E660" s="1017">
        <v>45772.0</v>
      </c>
      <c r="F660" s="1018" t="s">
        <v>639</v>
      </c>
      <c r="G660" s="892" t="str">
        <f t="shared" si="70"/>
        <v/>
      </c>
      <c r="H660" s="1021"/>
      <c r="I660" s="890"/>
      <c r="J660" s="9"/>
      <c r="K660" s="891"/>
      <c r="L660" s="879"/>
    </row>
    <row r="661">
      <c r="B661" s="809"/>
      <c r="C661" s="874" t="s">
        <v>644</v>
      </c>
      <c r="D661" s="892"/>
      <c r="E661" s="1020"/>
      <c r="F661" s="1018"/>
      <c r="G661" s="892" t="str">
        <f t="shared" si="70"/>
        <v/>
      </c>
      <c r="H661" s="1021"/>
      <c r="I661" s="890"/>
      <c r="J661" s="9"/>
      <c r="K661" s="891"/>
      <c r="L661" s="879"/>
    </row>
    <row r="662">
      <c r="B662" s="809"/>
      <c r="C662" s="874" t="s">
        <v>645</v>
      </c>
      <c r="D662" s="892">
        <v>120.0</v>
      </c>
      <c r="E662" s="1017">
        <v>45767.0</v>
      </c>
      <c r="F662" s="1018" t="s">
        <v>639</v>
      </c>
      <c r="G662" s="1018" t="str">
        <f t="shared" si="70"/>
        <v/>
      </c>
      <c r="H662" s="1021"/>
      <c r="I662" s="890"/>
      <c r="J662" s="9"/>
      <c r="K662" s="891"/>
      <c r="L662" s="879"/>
    </row>
    <row r="663">
      <c r="B663" s="809"/>
      <c r="C663" s="874" t="s">
        <v>646</v>
      </c>
      <c r="D663" s="892" t="s">
        <v>134</v>
      </c>
      <c r="E663" s="1017">
        <v>45767.0</v>
      </c>
      <c r="F663" s="1018" t="s">
        <v>639</v>
      </c>
      <c r="G663" s="892" t="str">
        <f t="shared" si="70"/>
        <v/>
      </c>
      <c r="H663" s="1021"/>
      <c r="I663" s="890"/>
      <c r="J663" s="9"/>
      <c r="K663" s="891"/>
      <c r="L663" s="879"/>
    </row>
    <row r="664">
      <c r="B664" s="809"/>
      <c r="C664" s="874" t="s">
        <v>647</v>
      </c>
      <c r="D664" s="892"/>
      <c r="E664" s="1020"/>
      <c r="F664" s="1018"/>
      <c r="G664" s="892" t="str">
        <f t="shared" si="70"/>
        <v/>
      </c>
      <c r="H664" s="1021"/>
      <c r="I664" s="890"/>
      <c r="J664" s="9"/>
      <c r="K664" s="891"/>
      <c r="L664" s="879"/>
    </row>
    <row r="665">
      <c r="B665" s="809"/>
      <c r="C665" s="874" t="s">
        <v>648</v>
      </c>
      <c r="D665" s="892">
        <v>697.42</v>
      </c>
      <c r="E665" s="1017">
        <v>45767.0</v>
      </c>
      <c r="F665" s="1018" t="s">
        <v>639</v>
      </c>
      <c r="G665" s="892" t="str">
        <f t="shared" si="70"/>
        <v/>
      </c>
      <c r="H665" s="1021"/>
      <c r="I665" s="890"/>
      <c r="J665" s="9"/>
      <c r="K665" s="891"/>
      <c r="L665" s="879"/>
    </row>
    <row r="666">
      <c r="B666" s="809"/>
      <c r="C666" s="874" t="s">
        <v>649</v>
      </c>
      <c r="D666" s="892">
        <v>435.9</v>
      </c>
      <c r="E666" s="1017">
        <v>45767.0</v>
      </c>
      <c r="F666" s="1018" t="s">
        <v>639</v>
      </c>
      <c r="G666" s="892" t="str">
        <f t="shared" si="70"/>
        <v/>
      </c>
      <c r="H666" s="1021"/>
      <c r="I666" s="890"/>
      <c r="J666" s="9"/>
      <c r="K666" s="891"/>
      <c r="L666" s="879"/>
    </row>
    <row r="667">
      <c r="B667" s="809"/>
      <c r="C667" s="874" t="s">
        <v>650</v>
      </c>
      <c r="D667" s="892">
        <v>323.92</v>
      </c>
      <c r="E667" s="1017">
        <v>45767.0</v>
      </c>
      <c r="F667" s="1018" t="s">
        <v>639</v>
      </c>
      <c r="G667" s="892" t="str">
        <f t="shared" si="70"/>
        <v/>
      </c>
      <c r="H667" s="1019"/>
      <c r="I667" s="890"/>
      <c r="J667" s="9"/>
      <c r="K667" s="891"/>
      <c r="L667" s="879"/>
    </row>
    <row r="668">
      <c r="B668" s="809"/>
      <c r="C668" s="874" t="s">
        <v>652</v>
      </c>
      <c r="D668" s="892"/>
      <c r="E668" s="1020"/>
      <c r="F668" s="1018"/>
      <c r="G668" s="892" t="str">
        <f t="shared" si="70"/>
        <v/>
      </c>
      <c r="H668" s="1021"/>
      <c r="I668" s="890"/>
      <c r="J668" s="9"/>
      <c r="K668" s="891"/>
      <c r="L668" s="879"/>
    </row>
    <row r="669">
      <c r="B669" s="809"/>
      <c r="C669" s="874" t="s">
        <v>653</v>
      </c>
      <c r="D669" s="892"/>
      <c r="E669" s="1020"/>
      <c r="F669" s="1018"/>
      <c r="G669" s="892" t="str">
        <f t="shared" si="70"/>
        <v/>
      </c>
      <c r="H669" s="1021"/>
      <c r="I669" s="890"/>
      <c r="J669" s="9"/>
      <c r="K669" s="891"/>
      <c r="L669" s="879"/>
    </row>
    <row r="670">
      <c r="B670" s="809"/>
      <c r="C670" s="874" t="s">
        <v>654</v>
      </c>
      <c r="D670" s="892"/>
      <c r="E670" s="1020"/>
      <c r="F670" s="1018"/>
      <c r="G670" s="892" t="str">
        <f t="shared" si="70"/>
        <v/>
      </c>
      <c r="H670" s="1021"/>
      <c r="I670" s="890"/>
      <c r="J670" s="9"/>
      <c r="K670" s="891"/>
      <c r="L670" s="879"/>
    </row>
    <row r="671">
      <c r="B671" s="809"/>
      <c r="C671" s="874"/>
      <c r="D671" s="892"/>
      <c r="E671" s="1020"/>
      <c r="F671" s="1018"/>
      <c r="G671" s="892"/>
      <c r="H671" s="1021"/>
      <c r="I671" s="890"/>
      <c r="J671" s="9"/>
      <c r="K671" s="891"/>
      <c r="L671" s="879"/>
    </row>
    <row r="672">
      <c r="B672" s="809"/>
      <c r="C672" s="886" t="s">
        <v>651</v>
      </c>
      <c r="D672" s="659">
        <v>900.14</v>
      </c>
      <c r="E672" s="1017">
        <v>45754.0</v>
      </c>
      <c r="F672" s="1018"/>
      <c r="G672" s="892">
        <f t="shared" ref="G672:G675" si="72">IF(F672="",D672,"")</f>
        <v>900.14</v>
      </c>
      <c r="H672" s="1024" t="s">
        <v>574</v>
      </c>
      <c r="I672" s="890"/>
      <c r="J672" s="9"/>
      <c r="K672" s="891"/>
      <c r="L672" s="879"/>
    </row>
    <row r="673">
      <c r="B673" s="809"/>
      <c r="C673" s="874" t="s">
        <v>657</v>
      </c>
      <c r="D673" s="892">
        <v>750.0</v>
      </c>
      <c r="E673" s="1017">
        <v>45767.0</v>
      </c>
      <c r="F673" s="1018" t="s">
        <v>639</v>
      </c>
      <c r="G673" s="892" t="str">
        <f t="shared" si="72"/>
        <v/>
      </c>
      <c r="H673" s="1021"/>
      <c r="I673" s="890"/>
      <c r="J673" s="9"/>
      <c r="K673" s="891"/>
      <c r="L673" s="879"/>
    </row>
    <row r="674">
      <c r="B674" s="809"/>
      <c r="C674" s="894" t="s">
        <v>658</v>
      </c>
      <c r="D674" s="1025">
        <v>750.0</v>
      </c>
      <c r="E674" s="1017">
        <v>45782.0</v>
      </c>
      <c r="F674" s="1026"/>
      <c r="G674" s="892">
        <f t="shared" si="72"/>
        <v>750</v>
      </c>
      <c r="H674" s="1047" t="s">
        <v>558</v>
      </c>
      <c r="I674" s="890"/>
      <c r="J674" s="9"/>
      <c r="K674" s="891"/>
      <c r="L674" s="879"/>
    </row>
    <row r="675">
      <c r="B675" s="809"/>
      <c r="C675" s="1028" t="s">
        <v>707</v>
      </c>
      <c r="D675" s="1029"/>
      <c r="E675" s="1030">
        <v>45721.0</v>
      </c>
      <c r="F675" s="1031"/>
      <c r="G675" s="1032" t="str">
        <f t="shared" si="72"/>
        <v/>
      </c>
      <c r="H675" s="1033"/>
      <c r="I675" s="890"/>
      <c r="J675" s="9"/>
      <c r="K675" s="891"/>
      <c r="L675" s="879"/>
    </row>
    <row r="676">
      <c r="B676" s="809"/>
      <c r="C676" s="904"/>
      <c r="D676" s="905"/>
      <c r="E676" s="906"/>
      <c r="F676" s="904"/>
      <c r="G676" s="904"/>
      <c r="H676" s="904"/>
      <c r="I676" s="906"/>
      <c r="J676" s="904"/>
      <c r="K676" s="240"/>
      <c r="L676" s="907"/>
    </row>
    <row r="677">
      <c r="B677" s="724"/>
      <c r="C677" s="908" t="s">
        <v>535</v>
      </c>
      <c r="D677" s="909"/>
      <c r="E677" s="909"/>
      <c r="F677" s="909"/>
      <c r="G677" s="909"/>
      <c r="H677" s="909"/>
      <c r="I677" s="909"/>
      <c r="J677" s="910"/>
      <c r="K677" s="891"/>
      <c r="L677" s="879"/>
    </row>
    <row r="678">
      <c r="B678" s="768"/>
      <c r="C678" s="911" t="s">
        <v>659</v>
      </c>
      <c r="D678" s="912"/>
      <c r="E678" s="913">
        <f>I685</f>
        <v>4908.376054</v>
      </c>
      <c r="F678" s="914"/>
      <c r="G678" s="915" t="s">
        <v>660</v>
      </c>
      <c r="H678" s="916"/>
      <c r="I678" s="913">
        <f>F645</f>
        <v>2338.86</v>
      </c>
      <c r="J678" s="917">
        <f>I678-G692-G698-G704-E693</f>
        <v>0</v>
      </c>
      <c r="K678" s="918"/>
      <c r="L678" s="919"/>
    </row>
    <row r="679">
      <c r="B679" s="768"/>
      <c r="C679" s="920"/>
      <c r="D679" s="921"/>
      <c r="E679" s="921"/>
      <c r="F679" s="914"/>
      <c r="G679" s="915" t="s">
        <v>558</v>
      </c>
      <c r="H679" s="916"/>
      <c r="I679" s="913">
        <f>F643</f>
        <v>1503</v>
      </c>
      <c r="J679" s="917">
        <f>I679-E691-G694-G700-G705</f>
        <v>0</v>
      </c>
      <c r="K679" s="918"/>
      <c r="L679" s="919"/>
    </row>
    <row r="680">
      <c r="B680" s="768"/>
      <c r="C680" s="911" t="s">
        <v>661</v>
      </c>
      <c r="D680" s="912"/>
      <c r="E680" s="913">
        <f>SUM(E678/100*10)-40.84</f>
        <v>449.9976054</v>
      </c>
      <c r="F680" s="914"/>
      <c r="G680" s="922" t="s">
        <v>630</v>
      </c>
      <c r="H680" s="916"/>
      <c r="I680" s="913">
        <f>F646</f>
        <v>813</v>
      </c>
      <c r="J680" s="917">
        <f>I680-G693-G699-G706-E692</f>
        <v>0</v>
      </c>
      <c r="K680" s="918"/>
      <c r="L680" s="919"/>
    </row>
    <row r="681">
      <c r="B681" s="768"/>
      <c r="C681" s="911" t="s">
        <v>662</v>
      </c>
      <c r="D681" s="912"/>
      <c r="E681" s="913">
        <f>SUM(E678/100*10)-40.84</f>
        <v>449.9976054</v>
      </c>
      <c r="F681" s="914"/>
      <c r="G681" s="915" t="s">
        <v>573</v>
      </c>
      <c r="H681" s="916"/>
      <c r="I681" s="913">
        <f>F644</f>
        <v>360.176054</v>
      </c>
      <c r="J681" s="917">
        <f>I681-G691-G697-G703-E695</f>
        <v>-0.003945996</v>
      </c>
      <c r="K681" s="117"/>
      <c r="L681" s="923"/>
    </row>
    <row r="682">
      <c r="B682" s="768"/>
      <c r="C682" s="920"/>
      <c r="D682" s="921"/>
      <c r="E682" s="921"/>
      <c r="F682" s="914"/>
      <c r="G682" s="916" t="s">
        <v>576</v>
      </c>
      <c r="H682" s="916"/>
      <c r="I682" s="924">
        <f t="shared" ref="I682:I683" si="73">F647</f>
        <v>135.34</v>
      </c>
      <c r="J682" s="925">
        <f>I682-E694</f>
        <v>0</v>
      </c>
      <c r="K682" s="240"/>
      <c r="L682" s="907"/>
    </row>
    <row r="683">
      <c r="B683" s="768"/>
      <c r="C683" s="911" t="s">
        <v>663</v>
      </c>
      <c r="D683" s="912"/>
      <c r="E683" s="926">
        <f>SUM(E678)-(E680+E681)</f>
        <v>4008.380843</v>
      </c>
      <c r="F683" s="927"/>
      <c r="G683" s="928" t="s">
        <v>631</v>
      </c>
      <c r="H683" s="916"/>
      <c r="I683" s="924">
        <f t="shared" si="73"/>
        <v>758</v>
      </c>
      <c r="J683" s="925">
        <f>I683-E696</f>
        <v>0</v>
      </c>
      <c r="K683" s="240"/>
      <c r="L683" s="907"/>
    </row>
    <row r="684">
      <c r="B684" s="768"/>
      <c r="C684" s="911" t="s">
        <v>664</v>
      </c>
      <c r="D684" s="912"/>
      <c r="E684" s="913">
        <v>0.0</v>
      </c>
      <c r="F684" s="914"/>
      <c r="G684" s="921"/>
      <c r="H684" s="921"/>
      <c r="I684" s="929">
        <f>SUM(I678:I683)</f>
        <v>5908.376054</v>
      </c>
      <c r="J684" s="930">
        <f>SUM(J678:J683)-0.01</f>
        <v>-0.013945996</v>
      </c>
      <c r="K684" s="7"/>
      <c r="L684" s="810"/>
    </row>
    <row r="685">
      <c r="B685" s="768"/>
      <c r="C685" s="920"/>
      <c r="D685" s="921"/>
      <c r="E685" s="921"/>
      <c r="F685" s="927"/>
      <c r="G685" s="931" t="s">
        <v>610</v>
      </c>
      <c r="H685" s="932"/>
      <c r="I685" s="926">
        <f>SUM(I678:I683)-1000</f>
        <v>4908.376054</v>
      </c>
      <c r="J685" s="933"/>
      <c r="K685" s="7"/>
      <c r="L685" s="810"/>
    </row>
    <row r="686">
      <c r="B686" s="768"/>
      <c r="C686" s="911" t="s">
        <v>665</v>
      </c>
      <c r="D686" s="912"/>
      <c r="E686" s="934" t="s">
        <v>666</v>
      </c>
      <c r="F686" s="927"/>
      <c r="G686" s="1048" t="s">
        <v>667</v>
      </c>
      <c r="J686" s="933"/>
      <c r="K686" s="7"/>
      <c r="L686" s="810"/>
    </row>
    <row r="687">
      <c r="B687" s="768"/>
      <c r="C687" s="920"/>
      <c r="D687" s="916"/>
      <c r="E687" s="936"/>
      <c r="F687" s="927"/>
      <c r="G687" s="927"/>
      <c r="H687" s="927"/>
      <c r="I687" s="927"/>
      <c r="J687" s="933"/>
      <c r="K687" s="7"/>
      <c r="L687" s="810"/>
    </row>
    <row r="688">
      <c r="B688" s="768"/>
      <c r="C688" s="937" t="s">
        <v>620</v>
      </c>
      <c r="D688" s="938">
        <f>SUM(E683-D687)</f>
        <v>4008.380843</v>
      </c>
      <c r="E688" s="939">
        <f>D688</f>
        <v>4008.380843</v>
      </c>
      <c r="F688" s="940"/>
      <c r="G688" s="940"/>
      <c r="H688" s="940"/>
      <c r="I688" s="940"/>
      <c r="J688" s="941"/>
      <c r="K688" s="7"/>
      <c r="L688" s="810"/>
    </row>
    <row r="689">
      <c r="B689" s="768"/>
      <c r="C689" s="942"/>
      <c r="D689" s="117"/>
      <c r="E689" s="117"/>
      <c r="F689" s="117"/>
      <c r="G689" s="117"/>
      <c r="H689" s="117"/>
      <c r="I689" s="918"/>
      <c r="J689" s="943"/>
      <c r="K689" s="7"/>
      <c r="L689" s="810"/>
    </row>
    <row r="690">
      <c r="B690" s="768"/>
      <c r="C690" s="944" t="s">
        <v>668</v>
      </c>
      <c r="D690" s="593"/>
      <c r="E690" s="594"/>
      <c r="F690" s="117"/>
      <c r="G690" s="945" t="s">
        <v>669</v>
      </c>
      <c r="H690" s="594"/>
      <c r="I690" s="918"/>
      <c r="J690" s="943"/>
      <c r="K690" s="117"/>
      <c r="L690" s="923"/>
    </row>
    <row r="691">
      <c r="B691" s="768"/>
      <c r="C691" s="946" t="s">
        <v>558</v>
      </c>
      <c r="D691" s="912"/>
      <c r="E691" s="947">
        <v>1503.0</v>
      </c>
      <c r="F691" s="1061"/>
      <c r="G691" s="949">
        <v>0.0</v>
      </c>
      <c r="H691" s="950" t="s">
        <v>573</v>
      </c>
      <c r="I691" s="918"/>
      <c r="J691" s="943"/>
      <c r="K691" s="117"/>
      <c r="L691" s="923"/>
    </row>
    <row r="692">
      <c r="B692" s="768"/>
      <c r="C692" s="946" t="s">
        <v>630</v>
      </c>
      <c r="D692" s="912"/>
      <c r="E692" s="947">
        <v>813.0</v>
      </c>
      <c r="F692" s="1061"/>
      <c r="G692" s="951">
        <v>450.0</v>
      </c>
      <c r="H692" s="950" t="s">
        <v>587</v>
      </c>
      <c r="I692" s="918"/>
      <c r="J692" s="943"/>
      <c r="K692" s="117"/>
      <c r="L692" s="923"/>
    </row>
    <row r="693">
      <c r="B693" s="768"/>
      <c r="C693" s="952" t="s">
        <v>587</v>
      </c>
      <c r="D693" s="912"/>
      <c r="E693" s="947">
        <v>438.86</v>
      </c>
      <c r="F693" s="953"/>
      <c r="G693" s="949">
        <v>0.0</v>
      </c>
      <c r="H693" s="954" t="s">
        <v>630</v>
      </c>
      <c r="I693" s="955">
        <f>F699</f>
        <v>360.18</v>
      </c>
      <c r="J693" s="594"/>
      <c r="K693" s="117"/>
      <c r="L693" s="923"/>
    </row>
    <row r="694">
      <c r="B694" s="768"/>
      <c r="C694" s="952" t="s">
        <v>576</v>
      </c>
      <c r="D694" s="912"/>
      <c r="E694" s="947">
        <v>135.34</v>
      </c>
      <c r="F694" s="1061"/>
      <c r="G694" s="951">
        <v>0.0</v>
      </c>
      <c r="H694" s="956" t="s">
        <v>558</v>
      </c>
      <c r="I694" s="957" t="s">
        <v>620</v>
      </c>
      <c r="J694" s="958" t="s">
        <v>672</v>
      </c>
      <c r="K694" s="117"/>
      <c r="L694" s="923"/>
    </row>
    <row r="695">
      <c r="B695" s="768"/>
      <c r="C695" s="952" t="s">
        <v>573</v>
      </c>
      <c r="D695" s="912"/>
      <c r="E695" s="947">
        <v>360.18</v>
      </c>
      <c r="F695" s="1061"/>
      <c r="G695" s="959">
        <f>SUM(G691:G694)</f>
        <v>450</v>
      </c>
      <c r="H695" s="960" t="s">
        <v>610</v>
      </c>
      <c r="I695" s="961">
        <f>I693/2</f>
        <v>180.09</v>
      </c>
      <c r="J695" s="962"/>
      <c r="K695" s="7"/>
      <c r="L695" s="810"/>
    </row>
    <row r="696">
      <c r="B696" s="768"/>
      <c r="C696" s="946" t="s">
        <v>631</v>
      </c>
      <c r="D696" s="912"/>
      <c r="E696" s="947">
        <v>758.0</v>
      </c>
      <c r="F696" s="1061"/>
      <c r="G696" s="964" t="s">
        <v>673</v>
      </c>
      <c r="H696" s="594"/>
      <c r="I696" s="965" t="s">
        <v>670</v>
      </c>
      <c r="J696" s="966" t="s">
        <v>674</v>
      </c>
      <c r="K696" s="7"/>
      <c r="L696" s="810"/>
    </row>
    <row r="697">
      <c r="B697" s="967"/>
      <c r="C697" s="952" t="s">
        <v>675</v>
      </c>
      <c r="D697" s="912"/>
      <c r="E697" s="968">
        <f>SUM(E688-(E691+E692+E693+E694+E695+E696))</f>
        <v>0.0008432032</v>
      </c>
      <c r="F697" s="969"/>
      <c r="G697" s="976">
        <v>0.0</v>
      </c>
      <c r="H697" s="971" t="s">
        <v>573</v>
      </c>
      <c r="I697" s="972">
        <f>I693/2</f>
        <v>180.09</v>
      </c>
      <c r="J697" s="973"/>
      <c r="K697" s="7"/>
      <c r="L697" s="810"/>
    </row>
    <row r="698">
      <c r="B698" s="967"/>
      <c r="C698" s="942"/>
      <c r="D698" s="918"/>
      <c r="E698" s="974">
        <f>SUM(E691:E696)</f>
        <v>4008.38</v>
      </c>
      <c r="F698" s="975"/>
      <c r="G698" s="976">
        <v>450.0</v>
      </c>
      <c r="H698" s="977" t="s">
        <v>587</v>
      </c>
      <c r="I698" s="918"/>
      <c r="J698" s="978"/>
      <c r="K698" s="7"/>
      <c r="L698" s="810"/>
    </row>
    <row r="699">
      <c r="B699" s="967"/>
      <c r="C699" s="942"/>
      <c r="D699" s="1060" t="s">
        <v>573</v>
      </c>
      <c r="E699" s="593"/>
      <c r="F699" s="1052">
        <f>SUM(E695)</f>
        <v>360.18</v>
      </c>
      <c r="G699" s="976">
        <v>0.0</v>
      </c>
      <c r="H699" s="981" t="s">
        <v>630</v>
      </c>
      <c r="I699" s="612" t="s">
        <v>676</v>
      </c>
      <c r="J699" s="610"/>
      <c r="K699" s="1037" t="s">
        <v>699</v>
      </c>
      <c r="L699" s="1038" t="s">
        <v>700</v>
      </c>
    </row>
    <row r="700">
      <c r="B700" s="967"/>
      <c r="C700" s="942"/>
      <c r="D700" s="843"/>
      <c r="E700" s="982" t="s">
        <v>677</v>
      </c>
      <c r="F700" s="983">
        <f>F699</f>
        <v>360.18</v>
      </c>
      <c r="G700" s="970">
        <v>0.0</v>
      </c>
      <c r="H700" s="977" t="s">
        <v>558</v>
      </c>
      <c r="I700" s="918" t="s">
        <v>681</v>
      </c>
      <c r="J700" s="1039">
        <v>45558.0</v>
      </c>
      <c r="K700" s="1040">
        <v>45705.0</v>
      </c>
      <c r="L700" s="1042">
        <v>45712.0</v>
      </c>
    </row>
    <row r="701">
      <c r="B701" s="967"/>
      <c r="C701" s="942"/>
      <c r="D701" s="843"/>
      <c r="E701" s="985"/>
      <c r="F701" s="986"/>
      <c r="G701" s="987">
        <f>SUM(G698:G700)</f>
        <v>450</v>
      </c>
      <c r="H701" s="988" t="s">
        <v>610</v>
      </c>
      <c r="I701" s="918"/>
      <c r="J701" s="1039"/>
      <c r="K701" s="1040"/>
      <c r="L701" s="1042"/>
    </row>
    <row r="702">
      <c r="B702" s="768"/>
      <c r="C702" s="989"/>
      <c r="D702" s="943"/>
      <c r="E702" s="1043" t="s">
        <v>701</v>
      </c>
      <c r="F702" s="991"/>
      <c r="G702" s="945" t="s">
        <v>680</v>
      </c>
      <c r="H702" s="594"/>
      <c r="I702" s="918"/>
      <c r="J702" s="984"/>
      <c r="K702" s="7"/>
      <c r="L702" s="810"/>
    </row>
    <row r="703">
      <c r="B703" s="809"/>
      <c r="C703" s="992"/>
      <c r="D703" s="993" t="s">
        <v>587</v>
      </c>
      <c r="E703" s="994">
        <f>E693</f>
        <v>438.86</v>
      </c>
      <c r="F703" s="969"/>
      <c r="G703" s="949">
        <v>0.0</v>
      </c>
      <c r="H703" s="950" t="s">
        <v>573</v>
      </c>
      <c r="I703" s="918"/>
      <c r="J703" s="610"/>
      <c r="K703" s="7"/>
      <c r="L703" s="810"/>
    </row>
    <row r="704">
      <c r="B704" s="809"/>
      <c r="C704" s="992"/>
      <c r="D704" s="7"/>
      <c r="E704" s="995">
        <f>E696+E691+E692+E694</f>
        <v>3209.34</v>
      </c>
      <c r="F704" s="969"/>
      <c r="G704" s="951">
        <v>1000.0</v>
      </c>
      <c r="H704" s="950" t="s">
        <v>587</v>
      </c>
      <c r="I704" s="7"/>
      <c r="J704" s="996"/>
      <c r="K704" s="7"/>
      <c r="L704" s="810"/>
    </row>
    <row r="705">
      <c r="B705" s="809"/>
      <c r="C705" s="992"/>
      <c r="D705" s="997" t="s">
        <v>682</v>
      </c>
      <c r="E705" s="995">
        <f>SUM(E703+E704)</f>
        <v>3648.2</v>
      </c>
      <c r="F705" s="998"/>
      <c r="G705" s="949">
        <v>0.0</v>
      </c>
      <c r="H705" s="950" t="s">
        <v>558</v>
      </c>
      <c r="I705" s="7"/>
      <c r="J705" s="996"/>
      <c r="K705" s="7"/>
      <c r="L705" s="810"/>
    </row>
    <row r="706">
      <c r="B706" s="809"/>
      <c r="C706" s="992"/>
      <c r="D706" s="7"/>
      <c r="E706" s="7"/>
      <c r="F706" s="998"/>
      <c r="G706" s="949">
        <v>0.0</v>
      </c>
      <c r="H706" s="999" t="s">
        <v>671</v>
      </c>
      <c r="I706" s="7"/>
      <c r="J706" s="996"/>
      <c r="K706" s="7"/>
      <c r="L706" s="810"/>
    </row>
    <row r="707">
      <c r="B707" s="809"/>
      <c r="C707" s="992"/>
      <c r="D707" s="7"/>
      <c r="E707" s="7"/>
      <c r="F707" s="998"/>
      <c r="G707" s="949">
        <f>SUM(G702:G706)</f>
        <v>1000</v>
      </c>
      <c r="H707" s="950" t="s">
        <v>610</v>
      </c>
      <c r="I707" s="7"/>
      <c r="J707" s="996"/>
      <c r="K707" s="7"/>
      <c r="L707" s="810"/>
    </row>
    <row r="708">
      <c r="B708" s="809"/>
      <c r="C708" s="1000"/>
      <c r="D708" s="1001"/>
      <c r="E708" s="1001"/>
      <c r="F708" s="1001"/>
      <c r="G708" s="1002"/>
      <c r="H708" s="1002"/>
      <c r="I708" s="1001"/>
      <c r="J708" s="1003"/>
      <c r="K708" s="7"/>
      <c r="L708" s="810"/>
    </row>
    <row r="709">
      <c r="B709" s="1004"/>
      <c r="C709" s="1005"/>
      <c r="D709" s="1006"/>
      <c r="E709" s="1006"/>
      <c r="F709" s="1006"/>
      <c r="G709" s="1007"/>
      <c r="H709" s="1006"/>
      <c r="I709" s="1006"/>
      <c r="J709" s="1008"/>
      <c r="K709" s="1006"/>
      <c r="L709" s="1009"/>
    </row>
    <row r="713">
      <c r="B713" s="721" t="s">
        <v>728</v>
      </c>
      <c r="C713" s="722"/>
      <c r="D713" s="722"/>
      <c r="E713" s="722"/>
      <c r="F713" s="722"/>
      <c r="G713" s="722"/>
      <c r="H713" s="722"/>
      <c r="I713" s="722"/>
      <c r="J713" s="722"/>
      <c r="K713" s="722"/>
      <c r="L713" s="723"/>
    </row>
    <row r="714">
      <c r="B714" s="724"/>
      <c r="C714" s="725" t="s">
        <v>607</v>
      </c>
      <c r="D714" s="726" t="s">
        <v>608</v>
      </c>
      <c r="E714" s="727"/>
      <c r="F714" s="727"/>
      <c r="G714" s="727"/>
      <c r="H714" s="728"/>
      <c r="I714" s="729">
        <f>YEAR((TODAY()))</f>
        <v>2026</v>
      </c>
      <c r="J714" s="730"/>
      <c r="K714" s="731"/>
      <c r="L714" s="732"/>
    </row>
    <row r="715">
      <c r="B715" s="733"/>
      <c r="C715" s="734">
        <f>TODAY()</f>
        <v>46144</v>
      </c>
      <c r="D715" s="735" t="s">
        <v>609</v>
      </c>
      <c r="E715" s="736" t="s">
        <v>610</v>
      </c>
      <c r="F715" s="737"/>
      <c r="G715" s="737"/>
      <c r="H715" s="738"/>
      <c r="I715" s="730"/>
      <c r="J715" s="730"/>
      <c r="K715" s="730"/>
      <c r="L715" s="732"/>
    </row>
    <row r="716">
      <c r="B716" s="724"/>
      <c r="C716" s="739" t="s">
        <v>611</v>
      </c>
      <c r="D716" s="740"/>
      <c r="E716" s="741" t="s">
        <v>612</v>
      </c>
      <c r="F716" s="742" t="s">
        <v>613</v>
      </c>
      <c r="G716" s="743" t="s">
        <v>614</v>
      </c>
      <c r="H716" s="744" t="s">
        <v>615</v>
      </c>
      <c r="I716" s="745" t="s">
        <v>616</v>
      </c>
      <c r="J716" s="746" t="s">
        <v>617</v>
      </c>
      <c r="K716" s="747" t="s">
        <v>618</v>
      </c>
      <c r="L716" s="748" t="s">
        <v>619</v>
      </c>
    </row>
    <row r="717">
      <c r="B717" s="749"/>
      <c r="C717" s="750" t="s">
        <v>620</v>
      </c>
      <c r="D717" s="743">
        <v>1500.0</v>
      </c>
      <c r="E717" s="751">
        <f>SUM((D717/2)-F717)</f>
        <v>750</v>
      </c>
      <c r="F717" s="752">
        <v>0.0</v>
      </c>
      <c r="G717" s="753">
        <f>SUM(((D717/2)-H717))</f>
        <v>750</v>
      </c>
      <c r="H717" s="754">
        <v>0.0</v>
      </c>
      <c r="I717" s="755"/>
      <c r="J717" s="756"/>
      <c r="K717" s="757"/>
      <c r="L717" s="758"/>
    </row>
    <row r="718">
      <c r="B718" s="749"/>
      <c r="C718" s="759" t="s">
        <v>621</v>
      </c>
      <c r="D718" s="760">
        <v>1518.0</v>
      </c>
      <c r="E718" s="761">
        <f>SUM(((D718/100)*40)-F718)+((I718/100)*40)</f>
        <v>727.2</v>
      </c>
      <c r="F718" s="1010">
        <v>0.0</v>
      </c>
      <c r="G718" s="762">
        <f>SUM(((D718/100)*60)-H718)-L718+((I718/100)*60)</f>
        <v>207.88</v>
      </c>
      <c r="H718" s="775">
        <v>769.07</v>
      </c>
      <c r="I718" s="764">
        <v>300.0</v>
      </c>
      <c r="J718" s="765"/>
      <c r="K718" s="766"/>
      <c r="L718" s="767">
        <f>SUM(D718/100)*7.5</f>
        <v>113.85</v>
      </c>
    </row>
    <row r="719">
      <c r="B719" s="768"/>
      <c r="C719" s="769" t="s">
        <v>622</v>
      </c>
      <c r="D719" s="753">
        <v>1518.0</v>
      </c>
      <c r="E719" s="770">
        <f>SUM((((D719/100)*40)-F719))</f>
        <v>607.2</v>
      </c>
      <c r="F719" s="752">
        <v>0.0</v>
      </c>
      <c r="G719" s="753">
        <f>SUM(((D719/100)*60)-H719)+J719-L719+I719</f>
        <v>1042.317559</v>
      </c>
      <c r="H719" s="771">
        <v>28.55</v>
      </c>
      <c r="I719" s="772">
        <v>0.0</v>
      </c>
      <c r="J719" s="756">
        <f>SUM(D719/100)*19.65</f>
        <v>298.287</v>
      </c>
      <c r="K719" s="757"/>
      <c r="L719" s="758">
        <f>SUM((D719+J719)/100)*7.61</f>
        <v>138.2194407</v>
      </c>
    </row>
    <row r="720">
      <c r="B720" s="768"/>
      <c r="C720" s="773" t="s">
        <v>623</v>
      </c>
      <c r="D720" s="760">
        <v>1518.0</v>
      </c>
      <c r="E720" s="774">
        <f>SUM(((((D720/100)*40))-F720))</f>
        <v>607.2</v>
      </c>
      <c r="F720" s="775">
        <v>0.0</v>
      </c>
      <c r="G720" s="762">
        <f>SUM(((D720/100)*60)-H720)+J720-K720-L720+I720</f>
        <v>1112.346387</v>
      </c>
      <c r="H720" s="776">
        <v>0.0</v>
      </c>
      <c r="I720" s="764">
        <v>57.14</v>
      </c>
      <c r="J720" s="1044">
        <f>SUM(D720/100)*17.42</f>
        <v>264.4356</v>
      </c>
      <c r="K720" s="1045">
        <v>0.0</v>
      </c>
      <c r="L720" s="1046">
        <f>SUM((D720+J720)/100)*6.734</f>
        <v>120.0292133</v>
      </c>
    </row>
    <row r="721">
      <c r="B721" s="768"/>
      <c r="C721" s="778" t="s">
        <v>624</v>
      </c>
      <c r="D721" s="779">
        <v>1500.0</v>
      </c>
      <c r="E721" s="780">
        <f>SUM((D721/2)-F721)</f>
        <v>750</v>
      </c>
      <c r="F721" s="779">
        <v>0.0</v>
      </c>
      <c r="G721" s="781">
        <f>SUM(((D721/2)-H721))-I721</f>
        <v>750</v>
      </c>
      <c r="H721" s="1056">
        <v>0.0</v>
      </c>
      <c r="I721" s="772">
        <v>0.0</v>
      </c>
      <c r="J721" s="756"/>
      <c r="K721" s="757"/>
      <c r="L721" s="758"/>
    </row>
    <row r="722">
      <c r="B722" s="768"/>
      <c r="C722" s="783"/>
      <c r="D722" s="784"/>
      <c r="E722" s="785"/>
      <c r="F722" s="785"/>
      <c r="G722" s="762"/>
      <c r="H722" s="786"/>
      <c r="I722" s="777"/>
      <c r="J722" s="765"/>
      <c r="K722" s="766"/>
      <c r="L722" s="767"/>
    </row>
    <row r="723">
      <c r="B723" s="768"/>
      <c r="C723" s="787"/>
      <c r="D723" s="779"/>
      <c r="E723" s="779"/>
      <c r="F723" s="779"/>
      <c r="G723" s="781"/>
      <c r="H723" s="782"/>
      <c r="I723" s="755"/>
      <c r="J723" s="765">
        <f>SUM(D723/100)*20</f>
        <v>0</v>
      </c>
      <c r="K723" s="766">
        <f>SUM(D723/100)*6</f>
        <v>0</v>
      </c>
      <c r="L723" s="767">
        <f>SUM((D723+J723)/100)*7.75</f>
        <v>0</v>
      </c>
    </row>
    <row r="724">
      <c r="B724" s="768"/>
      <c r="C724" s="789"/>
      <c r="D724" s="790"/>
      <c r="E724" s="790"/>
      <c r="F724" s="790"/>
      <c r="G724" s="790"/>
      <c r="H724" s="791"/>
      <c r="I724" s="792"/>
      <c r="J724" s="793"/>
      <c r="K724" s="794"/>
      <c r="L724" s="795"/>
    </row>
    <row r="725">
      <c r="B725" s="724"/>
      <c r="C725" s="796" t="s">
        <v>610</v>
      </c>
      <c r="D725" s="797"/>
      <c r="E725" s="798">
        <f>SUM(E717:E724)</f>
        <v>3441.6</v>
      </c>
      <c r="F725" s="797"/>
      <c r="G725" s="799">
        <f>SUM(G717:G724)</f>
        <v>3862.543946</v>
      </c>
      <c r="H725" s="1011">
        <f>SUM(G718:G720)</f>
        <v>2362.543946</v>
      </c>
      <c r="I725" s="801"/>
      <c r="J725" s="802"/>
      <c r="K725" s="730"/>
      <c r="L725" s="732"/>
    </row>
    <row r="726">
      <c r="B726" s="724"/>
      <c r="C726" s="803"/>
      <c r="D726" s="804"/>
      <c r="E726" s="804"/>
      <c r="F726" s="804"/>
      <c r="G726" s="804"/>
      <c r="H726" s="804"/>
      <c r="I726" s="805"/>
      <c r="J726" s="806"/>
      <c r="K726" s="807"/>
      <c r="L726" s="808"/>
    </row>
    <row r="727">
      <c r="B727" s="809"/>
      <c r="C727" s="7"/>
      <c r="D727" s="7"/>
      <c r="E727" s="7"/>
      <c r="F727" s="7"/>
      <c r="G727" s="7"/>
      <c r="H727" s="7"/>
      <c r="I727" s="7"/>
      <c r="J727" s="7"/>
      <c r="K727" s="7"/>
      <c r="L727" s="810"/>
    </row>
    <row r="728">
      <c r="B728" s="811">
        <v>45925.0</v>
      </c>
      <c r="C728" s="812"/>
      <c r="D728" s="812"/>
      <c r="E728" s="812"/>
      <c r="F728" s="812"/>
      <c r="G728" s="812"/>
      <c r="H728" s="812"/>
      <c r="I728" s="812"/>
      <c r="J728" s="812"/>
      <c r="K728" s="812"/>
      <c r="L728" s="813"/>
    </row>
    <row r="729">
      <c r="B729" s="814"/>
      <c r="C729" s="815"/>
      <c r="D729" s="815"/>
      <c r="E729" s="815"/>
      <c r="F729" s="815"/>
      <c r="G729" s="815"/>
      <c r="H729" s="815"/>
      <c r="I729" s="815"/>
      <c r="J729" s="815"/>
      <c r="K729" s="815"/>
      <c r="L729" s="816"/>
    </row>
    <row r="730">
      <c r="B730" s="817" t="s">
        <v>571</v>
      </c>
      <c r="C730" s="812"/>
      <c r="D730" s="812"/>
      <c r="E730" s="812"/>
      <c r="F730" s="818"/>
      <c r="G730" s="867" t="s">
        <v>729</v>
      </c>
      <c r="H730" s="820" t="s">
        <v>585</v>
      </c>
      <c r="I730" s="593"/>
      <c r="J730" s="593"/>
      <c r="K730" s="593"/>
      <c r="L730" s="821"/>
    </row>
    <row r="731">
      <c r="B731" s="822" t="s">
        <v>625</v>
      </c>
      <c r="C731" s="823" t="s">
        <v>626</v>
      </c>
      <c r="D731" s="824"/>
      <c r="E731" s="825" t="s">
        <v>627</v>
      </c>
      <c r="F731" s="826" t="s">
        <v>628</v>
      </c>
      <c r="G731" s="1013">
        <v>1900.0</v>
      </c>
      <c r="H731" s="621" t="s">
        <v>580</v>
      </c>
      <c r="I731" s="827" t="s">
        <v>727</v>
      </c>
      <c r="J731" s="827" t="s">
        <v>585</v>
      </c>
      <c r="K731" s="621" t="s">
        <v>583</v>
      </c>
      <c r="L731" s="828" t="s">
        <v>584</v>
      </c>
    </row>
    <row r="732">
      <c r="B732" s="829">
        <v>1873.0</v>
      </c>
      <c r="C732" s="830" t="s">
        <v>558</v>
      </c>
      <c r="D732" s="831">
        <f>SUM(B732-K732)</f>
        <v>1523</v>
      </c>
      <c r="E732" s="831">
        <f>SUMIF(H741:H764,"IFOOD",G741:G764)</f>
        <v>750</v>
      </c>
      <c r="F732" s="832">
        <f t="shared" ref="F732:F737" si="74">D732-E732</f>
        <v>773</v>
      </c>
      <c r="G732" s="1014"/>
      <c r="H732" s="623" t="s">
        <v>558</v>
      </c>
      <c r="I732" s="624">
        <v>350.0</v>
      </c>
      <c r="J732" s="625">
        <v>0.0</v>
      </c>
      <c r="K732" s="625">
        <f>I732-G735</f>
        <v>350</v>
      </c>
      <c r="L732" s="834">
        <f>SUM(J732+K732)</f>
        <v>350</v>
      </c>
    </row>
    <row r="733">
      <c r="B733" s="835">
        <v>5544.0</v>
      </c>
      <c r="C733" s="836" t="s">
        <v>573</v>
      </c>
      <c r="D733" s="625">
        <f>SUM(B733-K736)</f>
        <v>5374.14</v>
      </c>
      <c r="E733" s="837">
        <f>SUMIF(H741:H763,"Caixa",G741:G763)</f>
        <v>2362.543946</v>
      </c>
      <c r="F733" s="838">
        <f t="shared" si="74"/>
        <v>3011.596054</v>
      </c>
      <c r="G733" s="1013"/>
      <c r="H733" s="839" t="s">
        <v>629</v>
      </c>
      <c r="I733" s="629">
        <v>0.0</v>
      </c>
      <c r="J733" s="629">
        <v>0.0</v>
      </c>
      <c r="K733" s="629">
        <f>I733</f>
        <v>0</v>
      </c>
      <c r="L733" s="840">
        <v>0.0</v>
      </c>
    </row>
    <row r="734">
      <c r="B734" s="829">
        <v>4074.0</v>
      </c>
      <c r="C734" s="830" t="s">
        <v>574</v>
      </c>
      <c r="D734" s="831">
        <f>B734</f>
        <v>4074</v>
      </c>
      <c r="E734" s="831">
        <f>SUMIF(H741:H764,"Cash",G741:G764)</f>
        <v>2200.14</v>
      </c>
      <c r="F734" s="832">
        <f t="shared" si="74"/>
        <v>1873.86</v>
      </c>
      <c r="G734" s="1014"/>
      <c r="H734" s="623" t="s">
        <v>587</v>
      </c>
      <c r="I734" s="624">
        <v>4090.0</v>
      </c>
      <c r="J734" s="624">
        <v>0.0</v>
      </c>
      <c r="K734" s="625">
        <f>I734-G731</f>
        <v>2190</v>
      </c>
      <c r="L734" s="834">
        <f t="shared" ref="L734:L737" si="75">SUM(J734+K734)</f>
        <v>2190</v>
      </c>
    </row>
    <row r="735">
      <c r="B735" s="835">
        <v>0.0</v>
      </c>
      <c r="C735" s="841" t="s">
        <v>629</v>
      </c>
      <c r="D735" s="625">
        <f>SUM(B735-K733)</f>
        <v>0</v>
      </c>
      <c r="E735" s="837">
        <f>SUMIF(H741:H765,"Infinity 1",G741:G765)</f>
        <v>0</v>
      </c>
      <c r="F735" s="838">
        <f t="shared" si="74"/>
        <v>0</v>
      </c>
      <c r="G735" s="1013"/>
      <c r="H735" s="634" t="s">
        <v>576</v>
      </c>
      <c r="I735" s="636">
        <v>53.66</v>
      </c>
      <c r="J735" s="636">
        <v>0.0</v>
      </c>
      <c r="K735" s="636">
        <f>I735</f>
        <v>53.66</v>
      </c>
      <c r="L735" s="842">
        <f t="shared" si="75"/>
        <v>53.66</v>
      </c>
    </row>
    <row r="736">
      <c r="B736" s="829">
        <v>440.0</v>
      </c>
      <c r="C736" s="830" t="s">
        <v>576</v>
      </c>
      <c r="D736" s="831">
        <f>SUM(B736-K735)</f>
        <v>386.34</v>
      </c>
      <c r="E736" s="831">
        <f>SUMIF(H743:H766,"Stone",G743:G766)</f>
        <v>0</v>
      </c>
      <c r="F736" s="832">
        <f t="shared" si="74"/>
        <v>386.34</v>
      </c>
      <c r="G736" s="1057"/>
      <c r="H736" s="641" t="s">
        <v>573</v>
      </c>
      <c r="I736" s="638">
        <v>169.86</v>
      </c>
      <c r="J736" s="638">
        <v>600.0</v>
      </c>
      <c r="K736" s="844">
        <f>I736-G736</f>
        <v>169.86</v>
      </c>
      <c r="L736" s="845">
        <f t="shared" si="75"/>
        <v>769.86</v>
      </c>
    </row>
    <row r="737">
      <c r="B737" s="846">
        <v>2028.0</v>
      </c>
      <c r="C737" s="847" t="s">
        <v>632</v>
      </c>
      <c r="D737" s="848">
        <f>SUM(B737-K737)</f>
        <v>2028</v>
      </c>
      <c r="E737" s="848">
        <f>SUMIF(H743:H767,"Infinity 2",G743:G767)</f>
        <v>750</v>
      </c>
      <c r="F737" s="849">
        <f t="shared" si="74"/>
        <v>1278</v>
      </c>
      <c r="G737" s="117"/>
      <c r="H737" s="850" t="s">
        <v>632</v>
      </c>
      <c r="I737" s="1058">
        <v>0.0</v>
      </c>
      <c r="J737" s="851">
        <v>600.0</v>
      </c>
      <c r="K737" s="852">
        <f>I737</f>
        <v>0</v>
      </c>
      <c r="L737" s="853">
        <f t="shared" si="75"/>
        <v>600</v>
      </c>
    </row>
    <row r="738">
      <c r="B738" s="1054">
        <f>SUM(B732:B737)</f>
        <v>13959</v>
      </c>
      <c r="C738" s="855" t="s">
        <v>578</v>
      </c>
      <c r="D738" s="856">
        <f t="shared" ref="D738:F738" si="76">SUM(D732:D737)</f>
        <v>13385.48</v>
      </c>
      <c r="E738" s="857">
        <f t="shared" si="76"/>
        <v>6062.683946</v>
      </c>
      <c r="F738" s="858">
        <f t="shared" si="76"/>
        <v>7322.796054</v>
      </c>
      <c r="G738" s="117"/>
      <c r="H738" s="859" t="s">
        <v>589</v>
      </c>
      <c r="I738" s="860" t="s">
        <v>590</v>
      </c>
      <c r="J738" s="861" t="s">
        <v>134</v>
      </c>
      <c r="K738" s="862">
        <f t="shared" ref="K738:L738" si="77">SUM(K732:K736)</f>
        <v>2763.52</v>
      </c>
      <c r="L738" s="863">
        <f t="shared" si="77"/>
        <v>3363.52</v>
      </c>
    </row>
    <row r="739">
      <c r="B739" s="724"/>
      <c r="C739" s="9"/>
      <c r="D739" s="9"/>
      <c r="E739" s="9"/>
      <c r="F739" s="9"/>
      <c r="G739" s="117"/>
      <c r="H739" s="864">
        <v>0.0</v>
      </c>
      <c r="I739" s="865">
        <v>169.86</v>
      </c>
      <c r="J739" s="866"/>
      <c r="K739" s="7"/>
      <c r="L739" s="810"/>
    </row>
    <row r="740">
      <c r="B740" s="724"/>
      <c r="C740" s="869" t="s">
        <v>634</v>
      </c>
      <c r="D740" s="870" t="s">
        <v>600</v>
      </c>
      <c r="E740" s="870" t="s">
        <v>5</v>
      </c>
      <c r="F740" s="870" t="s">
        <v>4</v>
      </c>
      <c r="G740" s="870" t="s">
        <v>16</v>
      </c>
      <c r="H740" s="871" t="s">
        <v>635</v>
      </c>
      <c r="I740" s="872"/>
      <c r="L740" s="873"/>
    </row>
    <row r="741">
      <c r="B741" s="809"/>
      <c r="C741" s="874" t="s">
        <v>636</v>
      </c>
      <c r="D741" s="659">
        <v>1300.0</v>
      </c>
      <c r="E741" s="1017">
        <v>45782.0</v>
      </c>
      <c r="F741" s="1018"/>
      <c r="G741" s="892">
        <f t="shared" ref="G741:G759" si="78">IF(F741="",D741,"")</f>
        <v>1300</v>
      </c>
      <c r="H741" s="1019" t="s">
        <v>574</v>
      </c>
      <c r="I741" s="878"/>
      <c r="J741" s="878"/>
      <c r="K741" s="878"/>
      <c r="L741" s="879"/>
    </row>
    <row r="742">
      <c r="B742" s="809"/>
      <c r="C742" s="874"/>
      <c r="D742" s="892"/>
      <c r="E742" s="1020"/>
      <c r="F742" s="1018"/>
      <c r="G742" s="892" t="str">
        <f t="shared" si="78"/>
        <v/>
      </c>
      <c r="H742" s="1021"/>
      <c r="I742" s="883"/>
      <c r="J742" s="884"/>
      <c r="K742" s="885"/>
      <c r="L742" s="879"/>
    </row>
    <row r="743">
      <c r="B743" s="809"/>
      <c r="C743" s="886" t="s">
        <v>637</v>
      </c>
      <c r="D743" s="892">
        <f t="shared" ref="D743:D745" si="79">G718</f>
        <v>207.88</v>
      </c>
      <c r="E743" s="1017">
        <v>45782.0</v>
      </c>
      <c r="F743" s="1022"/>
      <c r="G743" s="892">
        <f t="shared" si="78"/>
        <v>207.88</v>
      </c>
      <c r="H743" s="1019" t="s">
        <v>573</v>
      </c>
      <c r="I743" s="883"/>
      <c r="J743" s="884"/>
      <c r="K743" s="885"/>
      <c r="L743" s="879"/>
    </row>
    <row r="744">
      <c r="B744" s="809"/>
      <c r="C744" s="886" t="s">
        <v>705</v>
      </c>
      <c r="D744" s="892">
        <f t="shared" si="79"/>
        <v>1042.317559</v>
      </c>
      <c r="E744" s="1017">
        <v>45782.0</v>
      </c>
      <c r="F744" s="1018"/>
      <c r="G744" s="892">
        <f t="shared" si="78"/>
        <v>1042.317559</v>
      </c>
      <c r="H744" s="1019" t="s">
        <v>573</v>
      </c>
      <c r="I744" s="883"/>
      <c r="J744" s="884"/>
      <c r="K744" s="885"/>
      <c r="L744" s="879"/>
    </row>
    <row r="745">
      <c r="B745" s="809"/>
      <c r="C745" s="886" t="s">
        <v>706</v>
      </c>
      <c r="D745" s="892">
        <f t="shared" si="79"/>
        <v>1112.346387</v>
      </c>
      <c r="E745" s="1017">
        <v>45782.0</v>
      </c>
      <c r="F745" s="1018"/>
      <c r="G745" s="892">
        <f t="shared" si="78"/>
        <v>1112.346387</v>
      </c>
      <c r="H745" s="1019" t="s">
        <v>573</v>
      </c>
      <c r="I745" s="884"/>
      <c r="K745" s="885"/>
      <c r="L745" s="879"/>
    </row>
    <row r="746">
      <c r="B746" s="809"/>
      <c r="C746" s="874" t="s">
        <v>638</v>
      </c>
      <c r="D746" s="892">
        <f>E725</f>
        <v>3441.6</v>
      </c>
      <c r="E746" s="1017">
        <v>45767.0</v>
      </c>
      <c r="F746" s="1018" t="s">
        <v>639</v>
      </c>
      <c r="G746" s="892" t="str">
        <f t="shared" si="78"/>
        <v/>
      </c>
      <c r="H746" s="1019"/>
      <c r="I746" s="890"/>
      <c r="J746" s="9"/>
      <c r="K746" s="891"/>
      <c r="L746" s="879"/>
    </row>
    <row r="747">
      <c r="B747" s="809"/>
      <c r="C747" s="874" t="s">
        <v>640</v>
      </c>
      <c r="D747" s="892">
        <v>430.0</v>
      </c>
      <c r="E747" s="1017">
        <v>45757.0</v>
      </c>
      <c r="F747" s="1018" t="s">
        <v>639</v>
      </c>
      <c r="G747" s="892" t="str">
        <f t="shared" si="78"/>
        <v/>
      </c>
      <c r="H747" s="1021"/>
      <c r="I747" s="890"/>
      <c r="J747" s="893"/>
      <c r="K747" s="891"/>
      <c r="L747" s="879"/>
    </row>
    <row r="748">
      <c r="B748" s="809"/>
      <c r="C748" s="874" t="s">
        <v>641</v>
      </c>
      <c r="D748" s="892">
        <f>G717</f>
        <v>750</v>
      </c>
      <c r="E748" s="1017">
        <v>45782.0</v>
      </c>
      <c r="F748" s="1018"/>
      <c r="G748" s="892">
        <f t="shared" si="78"/>
        <v>750</v>
      </c>
      <c r="H748" s="1019" t="s">
        <v>558</v>
      </c>
      <c r="I748" s="890"/>
      <c r="J748" s="893"/>
      <c r="K748" s="891"/>
      <c r="L748" s="879"/>
    </row>
    <row r="749">
      <c r="B749" s="809"/>
      <c r="C749" s="874" t="s">
        <v>691</v>
      </c>
      <c r="D749" s="892">
        <v>105.0</v>
      </c>
      <c r="E749" s="1017">
        <v>45772.0</v>
      </c>
      <c r="F749" s="1018" t="s">
        <v>639</v>
      </c>
      <c r="G749" s="892" t="str">
        <f t="shared" si="78"/>
        <v/>
      </c>
      <c r="H749" s="1021"/>
      <c r="I749" s="890"/>
      <c r="J749" s="9"/>
      <c r="K749" s="891"/>
      <c r="L749" s="879"/>
    </row>
    <row r="750">
      <c r="B750" s="809"/>
      <c r="C750" s="874" t="s">
        <v>644</v>
      </c>
      <c r="D750" s="892"/>
      <c r="E750" s="1020"/>
      <c r="F750" s="1018"/>
      <c r="G750" s="892" t="str">
        <f t="shared" si="78"/>
        <v/>
      </c>
      <c r="H750" s="1021"/>
      <c r="I750" s="890"/>
      <c r="J750" s="9"/>
      <c r="K750" s="891"/>
      <c r="L750" s="879"/>
    </row>
    <row r="751">
      <c r="B751" s="809"/>
      <c r="C751" s="874" t="s">
        <v>645</v>
      </c>
      <c r="D751" s="892">
        <v>120.0</v>
      </c>
      <c r="E751" s="1017">
        <v>45767.0</v>
      </c>
      <c r="F751" s="1018" t="s">
        <v>639</v>
      </c>
      <c r="G751" s="1018" t="str">
        <f t="shared" si="78"/>
        <v/>
      </c>
      <c r="H751" s="1021"/>
      <c r="I751" s="890"/>
      <c r="J751" s="9"/>
      <c r="K751" s="891"/>
      <c r="L751" s="879"/>
    </row>
    <row r="752">
      <c r="B752" s="809"/>
      <c r="C752" s="874" t="s">
        <v>646</v>
      </c>
      <c r="D752" s="892" t="s">
        <v>134</v>
      </c>
      <c r="E752" s="1017">
        <v>45767.0</v>
      </c>
      <c r="F752" s="1018" t="s">
        <v>639</v>
      </c>
      <c r="G752" s="892" t="str">
        <f t="shared" si="78"/>
        <v/>
      </c>
      <c r="H752" s="1021"/>
      <c r="I752" s="890"/>
      <c r="J752" s="9"/>
      <c r="K752" s="891"/>
      <c r="L752" s="879"/>
    </row>
    <row r="753">
      <c r="B753" s="809"/>
      <c r="C753" s="874" t="s">
        <v>647</v>
      </c>
      <c r="D753" s="892"/>
      <c r="E753" s="1020"/>
      <c r="F753" s="1018"/>
      <c r="G753" s="892" t="str">
        <f t="shared" si="78"/>
        <v/>
      </c>
      <c r="H753" s="1021"/>
      <c r="I753" s="890"/>
      <c r="J753" s="9"/>
      <c r="K753" s="891"/>
      <c r="L753" s="879"/>
    </row>
    <row r="754">
      <c r="B754" s="809"/>
      <c r="C754" s="874" t="s">
        <v>648</v>
      </c>
      <c r="D754" s="892">
        <v>697.42</v>
      </c>
      <c r="E754" s="1017">
        <v>45767.0</v>
      </c>
      <c r="F754" s="1018" t="s">
        <v>639</v>
      </c>
      <c r="G754" s="892" t="str">
        <f t="shared" si="78"/>
        <v/>
      </c>
      <c r="H754" s="1021"/>
      <c r="I754" s="890"/>
      <c r="J754" s="9"/>
      <c r="K754" s="891"/>
      <c r="L754" s="879"/>
    </row>
    <row r="755">
      <c r="B755" s="809"/>
      <c r="C755" s="874" t="s">
        <v>649</v>
      </c>
      <c r="D755" s="892">
        <v>435.9</v>
      </c>
      <c r="E755" s="1017">
        <v>45767.0</v>
      </c>
      <c r="F755" s="1018" t="s">
        <v>639</v>
      </c>
      <c r="G755" s="892" t="str">
        <f t="shared" si="78"/>
        <v/>
      </c>
      <c r="H755" s="1021"/>
      <c r="I755" s="890"/>
      <c r="J755" s="9"/>
      <c r="K755" s="891"/>
      <c r="L755" s="879"/>
    </row>
    <row r="756">
      <c r="B756" s="809"/>
      <c r="C756" s="874" t="s">
        <v>650</v>
      </c>
      <c r="D756" s="892">
        <v>323.92</v>
      </c>
      <c r="E756" s="1017">
        <v>45767.0</v>
      </c>
      <c r="F756" s="1018" t="s">
        <v>639</v>
      </c>
      <c r="G756" s="892" t="str">
        <f t="shared" si="78"/>
        <v/>
      </c>
      <c r="H756" s="1019"/>
      <c r="I756" s="890"/>
      <c r="J756" s="9"/>
      <c r="K756" s="891"/>
      <c r="L756" s="879"/>
    </row>
    <row r="757">
      <c r="B757" s="809"/>
      <c r="C757" s="874" t="s">
        <v>652</v>
      </c>
      <c r="D757" s="892"/>
      <c r="E757" s="1020"/>
      <c r="F757" s="1018"/>
      <c r="G757" s="892" t="str">
        <f t="shared" si="78"/>
        <v/>
      </c>
      <c r="H757" s="1021"/>
      <c r="I757" s="890"/>
      <c r="J757" s="9"/>
      <c r="K757" s="891"/>
      <c r="L757" s="879"/>
    </row>
    <row r="758">
      <c r="B758" s="809"/>
      <c r="C758" s="874" t="s">
        <v>653</v>
      </c>
      <c r="D758" s="892"/>
      <c r="E758" s="1020"/>
      <c r="F758" s="1018"/>
      <c r="G758" s="892" t="str">
        <f t="shared" si="78"/>
        <v/>
      </c>
      <c r="H758" s="1021"/>
      <c r="I758" s="890"/>
      <c r="J758" s="9"/>
      <c r="K758" s="891"/>
      <c r="L758" s="879"/>
    </row>
    <row r="759">
      <c r="B759" s="809"/>
      <c r="C759" s="874" t="s">
        <v>654</v>
      </c>
      <c r="D759" s="892"/>
      <c r="E759" s="1020"/>
      <c r="F759" s="1018"/>
      <c r="G759" s="892" t="str">
        <f t="shared" si="78"/>
        <v/>
      </c>
      <c r="H759" s="1021"/>
      <c r="I759" s="890"/>
      <c r="J759" s="9"/>
      <c r="K759" s="891"/>
      <c r="L759" s="879"/>
    </row>
    <row r="760">
      <c r="B760" s="809"/>
      <c r="C760" s="874"/>
      <c r="D760" s="892"/>
      <c r="E760" s="1020"/>
      <c r="F760" s="1018"/>
      <c r="G760" s="892"/>
      <c r="H760" s="1021"/>
      <c r="I760" s="890"/>
      <c r="J760" s="9"/>
      <c r="K760" s="891"/>
      <c r="L760" s="879"/>
    </row>
    <row r="761">
      <c r="B761" s="809"/>
      <c r="C761" s="886" t="s">
        <v>651</v>
      </c>
      <c r="D761" s="659">
        <v>900.14</v>
      </c>
      <c r="E761" s="1017">
        <v>45754.0</v>
      </c>
      <c r="F761" s="1018"/>
      <c r="G761" s="892">
        <f t="shared" ref="G761:G764" si="80">IF(F761="",D761,"")</f>
        <v>900.14</v>
      </c>
      <c r="H761" s="1019" t="s">
        <v>574</v>
      </c>
      <c r="I761" s="890"/>
      <c r="J761" s="9"/>
      <c r="K761" s="891"/>
      <c r="L761" s="879"/>
    </row>
    <row r="762">
      <c r="B762" s="809"/>
      <c r="C762" s="874" t="s">
        <v>657</v>
      </c>
      <c r="D762" s="892">
        <v>750.0</v>
      </c>
      <c r="E762" s="1017">
        <v>45767.0</v>
      </c>
      <c r="F762" s="1018" t="s">
        <v>639</v>
      </c>
      <c r="G762" s="892" t="str">
        <f t="shared" si="80"/>
        <v/>
      </c>
      <c r="H762" s="1021"/>
      <c r="I762" s="890"/>
      <c r="J762" s="9"/>
      <c r="K762" s="891"/>
      <c r="L762" s="879"/>
    </row>
    <row r="763">
      <c r="B763" s="809"/>
      <c r="C763" s="894" t="s">
        <v>658</v>
      </c>
      <c r="D763" s="1025">
        <v>750.0</v>
      </c>
      <c r="E763" s="1017">
        <v>45782.0</v>
      </c>
      <c r="F763" s="1026"/>
      <c r="G763" s="892">
        <f t="shared" si="80"/>
        <v>750</v>
      </c>
      <c r="H763" s="1027" t="s">
        <v>631</v>
      </c>
      <c r="I763" s="890"/>
      <c r="J763" s="9"/>
      <c r="K763" s="891"/>
      <c r="L763" s="879"/>
    </row>
    <row r="764">
      <c r="B764" s="809"/>
      <c r="C764" s="1028" t="s">
        <v>707</v>
      </c>
      <c r="D764" s="1029"/>
      <c r="E764" s="1030">
        <v>45721.0</v>
      </c>
      <c r="F764" s="1031"/>
      <c r="G764" s="1032" t="str">
        <f t="shared" si="80"/>
        <v/>
      </c>
      <c r="H764" s="1033"/>
      <c r="I764" s="890"/>
      <c r="J764" s="9"/>
      <c r="K764" s="891"/>
      <c r="L764" s="879"/>
    </row>
    <row r="765">
      <c r="B765" s="809"/>
      <c r="C765" s="904"/>
      <c r="D765" s="905"/>
      <c r="E765" s="906"/>
      <c r="F765" s="904"/>
      <c r="G765" s="904"/>
      <c r="H765" s="904"/>
      <c r="I765" s="906"/>
      <c r="J765" s="904"/>
      <c r="K765" s="240"/>
      <c r="L765" s="907"/>
    </row>
    <row r="766">
      <c r="B766" s="724"/>
      <c r="C766" s="908" t="s">
        <v>536</v>
      </c>
      <c r="D766" s="909"/>
      <c r="E766" s="909"/>
      <c r="F766" s="909"/>
      <c r="G766" s="909"/>
      <c r="H766" s="909"/>
      <c r="I766" s="909"/>
      <c r="J766" s="910"/>
      <c r="K766" s="891"/>
      <c r="L766" s="879"/>
    </row>
    <row r="767">
      <c r="B767" s="768"/>
      <c r="C767" s="911" t="s">
        <v>659</v>
      </c>
      <c r="D767" s="912"/>
      <c r="E767" s="913">
        <f>I774</f>
        <v>6322.786054</v>
      </c>
      <c r="F767" s="914"/>
      <c r="G767" s="915" t="s">
        <v>660</v>
      </c>
      <c r="H767" s="916"/>
      <c r="I767" s="913">
        <f>F734</f>
        <v>1873.86</v>
      </c>
      <c r="J767" s="917">
        <f>I767-G781-G787-G793-E782</f>
        <v>0</v>
      </c>
      <c r="K767" s="918"/>
      <c r="L767" s="919"/>
    </row>
    <row r="768">
      <c r="B768" s="768"/>
      <c r="C768" s="920"/>
      <c r="D768" s="921"/>
      <c r="E768" s="921"/>
      <c r="F768" s="914"/>
      <c r="G768" s="915" t="s">
        <v>558</v>
      </c>
      <c r="H768" s="916"/>
      <c r="I768" s="913">
        <f>F732</f>
        <v>773</v>
      </c>
      <c r="J768" s="917">
        <f>I768-E780-G783-G789-G794</f>
        <v>0</v>
      </c>
      <c r="K768" s="918"/>
      <c r="L768" s="919"/>
    </row>
    <row r="769">
      <c r="B769" s="768"/>
      <c r="C769" s="911" t="s">
        <v>661</v>
      </c>
      <c r="D769" s="912"/>
      <c r="E769" s="913">
        <f>SUM(E767/100*10)-32.28</f>
        <v>599.9986054</v>
      </c>
      <c r="F769" s="914"/>
      <c r="G769" s="922" t="s">
        <v>630</v>
      </c>
      <c r="H769" s="916"/>
      <c r="I769" s="913">
        <f>F735</f>
        <v>0</v>
      </c>
      <c r="J769" s="917">
        <f>I769-G782-G795-E781</f>
        <v>0</v>
      </c>
      <c r="K769" s="918"/>
      <c r="L769" s="919"/>
    </row>
    <row r="770">
      <c r="B770" s="768"/>
      <c r="C770" s="911" t="s">
        <v>662</v>
      </c>
      <c r="D770" s="912"/>
      <c r="E770" s="913">
        <f>SUM(E767/100*10)-32.28</f>
        <v>599.9986054</v>
      </c>
      <c r="F770" s="914"/>
      <c r="G770" s="915" t="s">
        <v>573</v>
      </c>
      <c r="H770" s="916"/>
      <c r="I770" s="913">
        <f>F733</f>
        <v>3011.596054</v>
      </c>
      <c r="J770" s="917">
        <f>I770-G780-G786-G792-E784</f>
        <v>-0.003945995999</v>
      </c>
      <c r="K770" s="117"/>
      <c r="L770" s="923"/>
    </row>
    <row r="771">
      <c r="B771" s="768"/>
      <c r="C771" s="920"/>
      <c r="D771" s="921"/>
      <c r="E771" s="921"/>
      <c r="F771" s="914"/>
      <c r="G771" s="916" t="s">
        <v>576</v>
      </c>
      <c r="H771" s="916"/>
      <c r="I771" s="924">
        <f t="shared" ref="I771:I772" si="81">F736</f>
        <v>386.34</v>
      </c>
      <c r="J771" s="925">
        <f>I771-E783</f>
        <v>0</v>
      </c>
      <c r="K771" s="240"/>
      <c r="L771" s="907"/>
    </row>
    <row r="772">
      <c r="B772" s="768"/>
      <c r="C772" s="911" t="s">
        <v>663</v>
      </c>
      <c r="D772" s="912"/>
      <c r="E772" s="926">
        <f>SUM(E767)-(E769+E770)</f>
        <v>5122.788843</v>
      </c>
      <c r="F772" s="927"/>
      <c r="G772" s="928" t="s">
        <v>631</v>
      </c>
      <c r="H772" s="916"/>
      <c r="I772" s="924">
        <f t="shared" si="81"/>
        <v>1278</v>
      </c>
      <c r="J772" s="925">
        <f>I772-E785-G788</f>
        <v>0</v>
      </c>
      <c r="K772" s="240"/>
      <c r="L772" s="907"/>
    </row>
    <row r="773">
      <c r="B773" s="768"/>
      <c r="C773" s="911" t="s">
        <v>664</v>
      </c>
      <c r="D773" s="912"/>
      <c r="E773" s="913">
        <v>0.0</v>
      </c>
      <c r="F773" s="914"/>
      <c r="G773" s="921"/>
      <c r="H773" s="921"/>
      <c r="I773" s="929">
        <f t="shared" ref="I773:J773" si="82">SUM(I767:I772)-0.01</f>
        <v>7322.786054</v>
      </c>
      <c r="J773" s="930">
        <f t="shared" si="82"/>
        <v>-0.013945996</v>
      </c>
      <c r="K773" s="7"/>
      <c r="L773" s="810"/>
    </row>
    <row r="774">
      <c r="B774" s="768"/>
      <c r="C774" s="920"/>
      <c r="D774" s="921"/>
      <c r="E774" s="921"/>
      <c r="F774" s="927"/>
      <c r="G774" s="931" t="s">
        <v>610</v>
      </c>
      <c r="H774" s="932"/>
      <c r="I774" s="926">
        <f>SUM(I767:I772)-1000-0.01</f>
        <v>6322.786054</v>
      </c>
      <c r="J774" s="933"/>
      <c r="K774" s="7"/>
      <c r="L774" s="810"/>
    </row>
    <row r="775">
      <c r="B775" s="768"/>
      <c r="C775" s="911" t="s">
        <v>665</v>
      </c>
      <c r="D775" s="912"/>
      <c r="E775" s="934" t="s">
        <v>666</v>
      </c>
      <c r="F775" s="927"/>
      <c r="G775" s="1048" t="s">
        <v>667</v>
      </c>
      <c r="J775" s="933"/>
      <c r="K775" s="7"/>
      <c r="L775" s="810"/>
    </row>
    <row r="776">
      <c r="B776" s="768"/>
      <c r="C776" s="920"/>
      <c r="D776" s="916"/>
      <c r="E776" s="936"/>
      <c r="F776" s="927"/>
      <c r="G776" s="927"/>
      <c r="H776" s="927"/>
      <c r="I776" s="927"/>
      <c r="J776" s="933"/>
      <c r="K776" s="7"/>
      <c r="L776" s="810"/>
    </row>
    <row r="777">
      <c r="B777" s="768"/>
      <c r="C777" s="937" t="s">
        <v>620</v>
      </c>
      <c r="D777" s="938">
        <f>SUM(E772-D776)</f>
        <v>5122.788843</v>
      </c>
      <c r="E777" s="939">
        <f>D777</f>
        <v>5122.788843</v>
      </c>
      <c r="F777" s="940"/>
      <c r="G777" s="940"/>
      <c r="H777" s="940"/>
      <c r="I777" s="940"/>
      <c r="J777" s="941"/>
      <c r="K777" s="7"/>
      <c r="L777" s="810"/>
    </row>
    <row r="778">
      <c r="B778" s="768"/>
      <c r="C778" s="942"/>
      <c r="D778" s="117"/>
      <c r="E778" s="117"/>
      <c r="F778" s="117"/>
      <c r="G778" s="117"/>
      <c r="H778" s="117"/>
      <c r="I778" s="918"/>
      <c r="J778" s="943"/>
      <c r="K778" s="7"/>
      <c r="L778" s="810"/>
    </row>
    <row r="779">
      <c r="B779" s="768"/>
      <c r="C779" s="944" t="s">
        <v>668</v>
      </c>
      <c r="D779" s="593"/>
      <c r="E779" s="594"/>
      <c r="F779" s="117"/>
      <c r="G779" s="945" t="s">
        <v>669</v>
      </c>
      <c r="H779" s="594"/>
      <c r="I779" s="918"/>
      <c r="J779" s="943"/>
      <c r="K779" s="117"/>
      <c r="L779" s="923"/>
    </row>
    <row r="780">
      <c r="B780" s="768"/>
      <c r="C780" s="946" t="s">
        <v>558</v>
      </c>
      <c r="D780" s="912"/>
      <c r="E780" s="947">
        <v>773.0</v>
      </c>
      <c r="F780" s="1061"/>
      <c r="G780" s="951">
        <v>600.0</v>
      </c>
      <c r="H780" s="950" t="s">
        <v>573</v>
      </c>
      <c r="I780" s="918"/>
      <c r="J780" s="943"/>
      <c r="K780" s="117"/>
      <c r="L780" s="923"/>
    </row>
    <row r="781">
      <c r="B781" s="768"/>
      <c r="C781" s="946" t="s">
        <v>630</v>
      </c>
      <c r="D781" s="912"/>
      <c r="E781" s="947">
        <v>0.0</v>
      </c>
      <c r="F781" s="1061"/>
      <c r="G781" s="951">
        <v>0.0</v>
      </c>
      <c r="H781" s="950" t="s">
        <v>587</v>
      </c>
      <c r="I781" s="918"/>
      <c r="J781" s="943"/>
      <c r="K781" s="117"/>
      <c r="L781" s="923"/>
    </row>
    <row r="782">
      <c r="B782" s="768"/>
      <c r="C782" s="952" t="s">
        <v>587</v>
      </c>
      <c r="D782" s="912"/>
      <c r="E782" s="947">
        <v>873.86</v>
      </c>
      <c r="F782" s="953"/>
      <c r="G782" s="949">
        <v>0.0</v>
      </c>
      <c r="H782" s="954" t="s">
        <v>630</v>
      </c>
      <c r="I782" s="955">
        <f>F788</f>
        <v>2411.6</v>
      </c>
      <c r="J782" s="594"/>
      <c r="K782" s="117"/>
      <c r="L782" s="923"/>
    </row>
    <row r="783">
      <c r="B783" s="768"/>
      <c r="C783" s="952" t="s">
        <v>576</v>
      </c>
      <c r="D783" s="912"/>
      <c r="E783" s="947">
        <v>386.34</v>
      </c>
      <c r="F783" s="1061"/>
      <c r="G783" s="951">
        <v>0.0</v>
      </c>
      <c r="H783" s="956" t="s">
        <v>558</v>
      </c>
      <c r="I783" s="957" t="s">
        <v>620</v>
      </c>
      <c r="J783" s="958" t="s">
        <v>672</v>
      </c>
      <c r="K783" s="117"/>
      <c r="L783" s="923"/>
    </row>
    <row r="784">
      <c r="B784" s="768"/>
      <c r="C784" s="952" t="s">
        <v>573</v>
      </c>
      <c r="D784" s="912"/>
      <c r="E784" s="947">
        <v>2411.6</v>
      </c>
      <c r="F784" s="1061"/>
      <c r="G784" s="959">
        <f>SUM(G780:G783)</f>
        <v>600</v>
      </c>
      <c r="H784" s="960" t="s">
        <v>610</v>
      </c>
      <c r="I784" s="961">
        <f>I782/2</f>
        <v>1205.8</v>
      </c>
      <c r="J784" s="962"/>
      <c r="K784" s="7"/>
      <c r="L784" s="810"/>
    </row>
    <row r="785">
      <c r="B785" s="768"/>
      <c r="C785" s="946" t="s">
        <v>631</v>
      </c>
      <c r="D785" s="912"/>
      <c r="E785" s="947">
        <v>678.0</v>
      </c>
      <c r="F785" s="1061"/>
      <c r="G785" s="964" t="s">
        <v>673</v>
      </c>
      <c r="H785" s="594"/>
      <c r="I785" s="965" t="s">
        <v>670</v>
      </c>
      <c r="J785" s="966" t="s">
        <v>674</v>
      </c>
      <c r="K785" s="7"/>
      <c r="L785" s="810"/>
    </row>
    <row r="786">
      <c r="B786" s="967"/>
      <c r="C786" s="952" t="s">
        <v>675</v>
      </c>
      <c r="D786" s="912"/>
      <c r="E786" s="968">
        <f>SUM(E777-(E780+E781+E782+E783+E784+E785))</f>
        <v>-0.0111567968</v>
      </c>
      <c r="F786" s="969"/>
      <c r="G786" s="976">
        <v>0.0</v>
      </c>
      <c r="H786" s="971" t="s">
        <v>573</v>
      </c>
      <c r="I786" s="972">
        <f>I782/2</f>
        <v>1205.8</v>
      </c>
      <c r="J786" s="973"/>
      <c r="K786" s="7"/>
      <c r="L786" s="810"/>
    </row>
    <row r="787">
      <c r="B787" s="967"/>
      <c r="C787" s="942"/>
      <c r="D787" s="918"/>
      <c r="E787" s="974">
        <f>SUM(E780:E785)</f>
        <v>5122.8</v>
      </c>
      <c r="F787" s="975"/>
      <c r="G787" s="976">
        <v>0.0</v>
      </c>
      <c r="H787" s="977" t="s">
        <v>587</v>
      </c>
      <c r="I787" s="918"/>
      <c r="J787" s="978"/>
      <c r="K787" s="7"/>
      <c r="L787" s="810"/>
    </row>
    <row r="788">
      <c r="B788" s="967"/>
      <c r="C788" s="942"/>
      <c r="D788" s="1060" t="s">
        <v>573</v>
      </c>
      <c r="E788" s="593"/>
      <c r="F788" s="1052">
        <f>SUM(E784)</f>
        <v>2411.6</v>
      </c>
      <c r="G788" s="976">
        <v>600.0</v>
      </c>
      <c r="H788" s="981" t="s">
        <v>631</v>
      </c>
      <c r="I788" s="612" t="s">
        <v>676</v>
      </c>
      <c r="J788" s="610"/>
      <c r="K788" s="1037" t="s">
        <v>699</v>
      </c>
      <c r="L788" s="1038" t="s">
        <v>700</v>
      </c>
    </row>
    <row r="789">
      <c r="B789" s="967"/>
      <c r="C789" s="942"/>
      <c r="D789" s="843"/>
      <c r="E789" s="982" t="s">
        <v>677</v>
      </c>
      <c r="F789" s="983">
        <f>F788</f>
        <v>2411.6</v>
      </c>
      <c r="G789" s="970">
        <v>0.0</v>
      </c>
      <c r="H789" s="977" t="s">
        <v>558</v>
      </c>
      <c r="I789" s="918" t="s">
        <v>681</v>
      </c>
      <c r="J789" s="1039">
        <v>45558.0</v>
      </c>
      <c r="K789" s="1040">
        <v>45705.0</v>
      </c>
      <c r="L789" s="1042">
        <v>45712.0</v>
      </c>
    </row>
    <row r="790">
      <c r="B790" s="967"/>
      <c r="C790" s="942"/>
      <c r="D790" s="843"/>
      <c r="E790" s="985"/>
      <c r="F790" s="986"/>
      <c r="G790" s="987">
        <f>SUM(G787:G789)</f>
        <v>600</v>
      </c>
      <c r="H790" s="988" t="s">
        <v>610</v>
      </c>
      <c r="I790" s="918"/>
      <c r="J790" s="1039"/>
      <c r="K790" s="1040"/>
      <c r="L790" s="1042"/>
    </row>
    <row r="791">
      <c r="B791" s="768"/>
      <c r="C791" s="989"/>
      <c r="D791" s="943"/>
      <c r="E791" s="1043" t="s">
        <v>701</v>
      </c>
      <c r="F791" s="991"/>
      <c r="G791" s="945" t="s">
        <v>680</v>
      </c>
      <c r="H791" s="594"/>
      <c r="I791" s="918"/>
      <c r="J791" s="984"/>
      <c r="K791" s="7"/>
      <c r="L791" s="810"/>
    </row>
    <row r="792">
      <c r="B792" s="809"/>
      <c r="C792" s="992"/>
      <c r="D792" s="993" t="s">
        <v>587</v>
      </c>
      <c r="E792" s="994">
        <f>E782</f>
        <v>873.86</v>
      </c>
      <c r="F792" s="969"/>
      <c r="G792" s="949">
        <v>0.0</v>
      </c>
      <c r="H792" s="950" t="s">
        <v>573</v>
      </c>
      <c r="I792" s="918"/>
      <c r="J792" s="610"/>
      <c r="K792" s="7"/>
      <c r="L792" s="810"/>
    </row>
    <row r="793">
      <c r="B793" s="809"/>
      <c r="C793" s="992"/>
      <c r="D793" s="7"/>
      <c r="E793" s="995">
        <f>E785+E780+E781+E783</f>
        <v>1837.34</v>
      </c>
      <c r="F793" s="969"/>
      <c r="G793" s="951">
        <v>1000.0</v>
      </c>
      <c r="H793" s="950" t="s">
        <v>587</v>
      </c>
      <c r="I793" s="7"/>
      <c r="J793" s="996"/>
      <c r="K793" s="7"/>
      <c r="L793" s="810"/>
    </row>
    <row r="794">
      <c r="B794" s="809"/>
      <c r="C794" s="992"/>
      <c r="D794" s="997" t="s">
        <v>682</v>
      </c>
      <c r="E794" s="995">
        <f>SUM(E792+E793)</f>
        <v>2711.2</v>
      </c>
      <c r="F794" s="998"/>
      <c r="G794" s="949">
        <v>0.0</v>
      </c>
      <c r="H794" s="950" t="s">
        <v>558</v>
      </c>
      <c r="I794" s="7"/>
      <c r="J794" s="996"/>
      <c r="K794" s="7"/>
      <c r="L794" s="810"/>
    </row>
    <row r="795">
      <c r="B795" s="809"/>
      <c r="C795" s="992"/>
      <c r="D795" s="7"/>
      <c r="E795" s="7"/>
      <c r="F795" s="998"/>
      <c r="G795" s="949">
        <v>0.0</v>
      </c>
      <c r="H795" s="999" t="s">
        <v>671</v>
      </c>
      <c r="I795" s="7"/>
      <c r="J795" s="996"/>
      <c r="K795" s="7"/>
      <c r="L795" s="810"/>
    </row>
    <row r="796">
      <c r="B796" s="809"/>
      <c r="C796" s="992"/>
      <c r="D796" s="7"/>
      <c r="E796" s="7"/>
      <c r="F796" s="998"/>
      <c r="G796" s="949">
        <f>SUM(G791:G795)</f>
        <v>1000</v>
      </c>
      <c r="H796" s="950" t="s">
        <v>610</v>
      </c>
      <c r="I796" s="7"/>
      <c r="J796" s="996"/>
      <c r="K796" s="7"/>
      <c r="L796" s="810"/>
    </row>
    <row r="797">
      <c r="B797" s="809"/>
      <c r="C797" s="1000"/>
      <c r="D797" s="1001"/>
      <c r="E797" s="1001"/>
      <c r="F797" s="1001"/>
      <c r="G797" s="1002"/>
      <c r="H797" s="1002"/>
      <c r="I797" s="1001"/>
      <c r="J797" s="1003"/>
      <c r="K797" s="7"/>
      <c r="L797" s="810"/>
    </row>
    <row r="798">
      <c r="B798" s="1004"/>
      <c r="C798" s="1005"/>
      <c r="D798" s="1006"/>
      <c r="E798" s="1006"/>
      <c r="F798" s="1006"/>
      <c r="G798" s="1007"/>
      <c r="H798" s="1006"/>
      <c r="I798" s="1006"/>
      <c r="J798" s="1008"/>
      <c r="K798" s="1006"/>
      <c r="L798" s="1009"/>
    </row>
    <row r="802">
      <c r="B802" s="721" t="s">
        <v>730</v>
      </c>
      <c r="C802" s="722"/>
      <c r="D802" s="722"/>
      <c r="E802" s="722"/>
      <c r="F802" s="722"/>
      <c r="G802" s="722"/>
      <c r="H802" s="722"/>
      <c r="I802" s="722"/>
      <c r="J802" s="722"/>
      <c r="K802" s="722"/>
      <c r="L802" s="723"/>
    </row>
    <row r="803">
      <c r="B803" s="724"/>
      <c r="C803" s="725" t="s">
        <v>607</v>
      </c>
      <c r="D803" s="726" t="s">
        <v>608</v>
      </c>
      <c r="E803" s="727"/>
      <c r="F803" s="727"/>
      <c r="G803" s="727"/>
      <c r="H803" s="728"/>
      <c r="I803" s="729">
        <f>YEAR((TODAY()))</f>
        <v>2026</v>
      </c>
      <c r="J803" s="730"/>
      <c r="K803" s="731"/>
      <c r="L803" s="732"/>
    </row>
    <row r="804">
      <c r="B804" s="733"/>
      <c r="C804" s="734">
        <f>TODAY()</f>
        <v>46144</v>
      </c>
      <c r="D804" s="735" t="s">
        <v>609</v>
      </c>
      <c r="E804" s="736" t="s">
        <v>610</v>
      </c>
      <c r="F804" s="737"/>
      <c r="G804" s="737"/>
      <c r="H804" s="738"/>
      <c r="I804" s="730"/>
      <c r="J804" s="730"/>
      <c r="K804" s="730"/>
      <c r="L804" s="732"/>
    </row>
    <row r="805">
      <c r="B805" s="724"/>
      <c r="C805" s="739" t="s">
        <v>611</v>
      </c>
      <c r="D805" s="740"/>
      <c r="E805" s="741" t="s">
        <v>612</v>
      </c>
      <c r="F805" s="742" t="s">
        <v>613</v>
      </c>
      <c r="G805" s="743" t="s">
        <v>614</v>
      </c>
      <c r="H805" s="744" t="s">
        <v>615</v>
      </c>
      <c r="I805" s="745" t="s">
        <v>616</v>
      </c>
      <c r="J805" s="746" t="s">
        <v>617</v>
      </c>
      <c r="K805" s="747" t="s">
        <v>618</v>
      </c>
      <c r="L805" s="748" t="s">
        <v>619</v>
      </c>
    </row>
    <row r="806">
      <c r="B806" s="749"/>
      <c r="C806" s="750" t="s">
        <v>620</v>
      </c>
      <c r="D806" s="743">
        <v>1500.0</v>
      </c>
      <c r="E806" s="751">
        <f>SUM((D806/2)-F806)</f>
        <v>750</v>
      </c>
      <c r="F806" s="752">
        <v>0.0</v>
      </c>
      <c r="G806" s="753">
        <f>SUM(((D806/2)-H806))</f>
        <v>750</v>
      </c>
      <c r="H806" s="754">
        <v>0.0</v>
      </c>
      <c r="I806" s="755"/>
      <c r="J806" s="756"/>
      <c r="K806" s="757"/>
      <c r="L806" s="758"/>
    </row>
    <row r="807">
      <c r="B807" s="749"/>
      <c r="C807" s="759" t="s">
        <v>621</v>
      </c>
      <c r="D807" s="760">
        <v>1518.0</v>
      </c>
      <c r="E807" s="761">
        <f>SUM(((D807/100)*40)-F807)+((I807/100)*40)</f>
        <v>727.2</v>
      </c>
      <c r="F807" s="1010">
        <v>0.0</v>
      </c>
      <c r="G807" s="762">
        <f>SUM(((D807/100)*60)-H807)-L807+((I807/100)*60)</f>
        <v>823.76</v>
      </c>
      <c r="H807" s="775">
        <v>153.19</v>
      </c>
      <c r="I807" s="764">
        <v>300.0</v>
      </c>
      <c r="J807" s="765"/>
      <c r="K807" s="766"/>
      <c r="L807" s="767">
        <f>SUM(D807/100)*7.5</f>
        <v>113.85</v>
      </c>
    </row>
    <row r="808">
      <c r="B808" s="768"/>
      <c r="C808" s="769" t="s">
        <v>622</v>
      </c>
      <c r="D808" s="753">
        <v>1518.0</v>
      </c>
      <c r="E808" s="770">
        <f>SUM((((D808/100)*40)-F808))</f>
        <v>607.2</v>
      </c>
      <c r="F808" s="752">
        <v>0.0</v>
      </c>
      <c r="G808" s="753">
        <f>SUM(((D808/100)*60)-H808)+J808-L808+I808</f>
        <v>1059.797559</v>
      </c>
      <c r="H808" s="771">
        <v>11.07</v>
      </c>
      <c r="I808" s="772">
        <v>0.0</v>
      </c>
      <c r="J808" s="756">
        <f>SUM(D808/100)*19.65</f>
        <v>298.287</v>
      </c>
      <c r="K808" s="757"/>
      <c r="L808" s="758">
        <f>SUM((D808+J808)/100)*7.61</f>
        <v>138.2194407</v>
      </c>
    </row>
    <row r="809">
      <c r="B809" s="768"/>
      <c r="C809" s="773" t="s">
        <v>623</v>
      </c>
      <c r="D809" s="760">
        <v>1518.0</v>
      </c>
      <c r="E809" s="774">
        <f>SUM(((((D809/100)*40))-F809))</f>
        <v>607.2</v>
      </c>
      <c r="F809" s="775">
        <v>0.0</v>
      </c>
      <c r="G809" s="762">
        <f>SUM(((D809/100)*60)-H809)+J809-K809-L809+I809</f>
        <v>961.7163867</v>
      </c>
      <c r="H809" s="776">
        <v>150.63</v>
      </c>
      <c r="I809" s="764">
        <v>57.14</v>
      </c>
      <c r="J809" s="1044">
        <f>SUM(D809/100)*17.42</f>
        <v>264.4356</v>
      </c>
      <c r="K809" s="1045">
        <v>0.0</v>
      </c>
      <c r="L809" s="1046">
        <f>SUM((D809+J809)/100)*6.734</f>
        <v>120.0292133</v>
      </c>
    </row>
    <row r="810">
      <c r="B810" s="768"/>
      <c r="C810" s="778" t="s">
        <v>624</v>
      </c>
      <c r="D810" s="779">
        <v>1500.0</v>
      </c>
      <c r="E810" s="780">
        <f>SUM((D810/2)-F810)</f>
        <v>750</v>
      </c>
      <c r="F810" s="779">
        <v>0.0</v>
      </c>
      <c r="G810" s="781">
        <f>SUM(((D810/2)-H810))-I810</f>
        <v>750</v>
      </c>
      <c r="H810" s="1056">
        <v>0.0</v>
      </c>
      <c r="I810" s="772">
        <v>0.0</v>
      </c>
      <c r="J810" s="756"/>
      <c r="K810" s="757"/>
      <c r="L810" s="758"/>
    </row>
    <row r="811">
      <c r="B811" s="768"/>
      <c r="C811" s="783"/>
      <c r="D811" s="784"/>
      <c r="E811" s="785"/>
      <c r="F811" s="785"/>
      <c r="G811" s="762"/>
      <c r="H811" s="786"/>
      <c r="I811" s="777"/>
      <c r="J811" s="765"/>
      <c r="K811" s="766"/>
      <c r="L811" s="767"/>
    </row>
    <row r="812">
      <c r="B812" s="768"/>
      <c r="C812" s="787"/>
      <c r="D812" s="779"/>
      <c r="E812" s="779"/>
      <c r="F812" s="779"/>
      <c r="G812" s="781"/>
      <c r="H812" s="782"/>
      <c r="I812" s="755"/>
      <c r="J812" s="765">
        <f>SUM(D812/100)*20</f>
        <v>0</v>
      </c>
      <c r="K812" s="766">
        <f>SUM(D812/100)*6</f>
        <v>0</v>
      </c>
      <c r="L812" s="767">
        <f>SUM((D812+J812)/100)*7.75</f>
        <v>0</v>
      </c>
    </row>
    <row r="813">
      <c r="B813" s="768"/>
      <c r="C813" s="789"/>
      <c r="D813" s="790"/>
      <c r="E813" s="790"/>
      <c r="F813" s="790"/>
      <c r="G813" s="790"/>
      <c r="H813" s="791"/>
      <c r="I813" s="792"/>
      <c r="J813" s="793"/>
      <c r="K813" s="794"/>
      <c r="L813" s="795"/>
    </row>
    <row r="814">
      <c r="B814" s="724"/>
      <c r="C814" s="796" t="s">
        <v>610</v>
      </c>
      <c r="D814" s="797"/>
      <c r="E814" s="798">
        <f>SUM(E806:E813)</f>
        <v>3441.6</v>
      </c>
      <c r="F814" s="797"/>
      <c r="G814" s="799">
        <f>SUM(G806:G813)</f>
        <v>4345.273946</v>
      </c>
      <c r="H814" s="1011">
        <f>SUM(G807:G809)</f>
        <v>2845.273946</v>
      </c>
      <c r="I814" s="801"/>
      <c r="J814" s="802"/>
      <c r="K814" s="730"/>
      <c r="L814" s="732"/>
    </row>
    <row r="815">
      <c r="B815" s="724"/>
      <c r="C815" s="803"/>
      <c r="D815" s="804"/>
      <c r="E815" s="804"/>
      <c r="F815" s="804"/>
      <c r="G815" s="804"/>
      <c r="H815" s="804"/>
      <c r="I815" s="805"/>
      <c r="J815" s="806"/>
      <c r="K815" s="807"/>
      <c r="L815" s="808"/>
    </row>
    <row r="816">
      <c r="B816" s="809"/>
      <c r="C816" s="7"/>
      <c r="D816" s="7"/>
      <c r="E816" s="7"/>
      <c r="F816" s="7"/>
      <c r="G816" s="7"/>
      <c r="H816" s="7"/>
      <c r="I816" s="7"/>
      <c r="J816" s="7"/>
      <c r="K816" s="7"/>
      <c r="L816" s="810"/>
    </row>
    <row r="817">
      <c r="B817" s="811">
        <v>45955.0</v>
      </c>
      <c r="C817" s="812"/>
      <c r="D817" s="812"/>
      <c r="E817" s="812"/>
      <c r="F817" s="812"/>
      <c r="G817" s="812"/>
      <c r="H817" s="812"/>
      <c r="I817" s="812"/>
      <c r="J817" s="812"/>
      <c r="K817" s="812"/>
      <c r="L817" s="813"/>
    </row>
    <row r="818">
      <c r="B818" s="814"/>
      <c r="C818" s="815"/>
      <c r="D818" s="815"/>
      <c r="E818" s="815"/>
      <c r="F818" s="815"/>
      <c r="G818" s="815"/>
      <c r="H818" s="815"/>
      <c r="I818" s="815"/>
      <c r="J818" s="815"/>
      <c r="K818" s="815"/>
      <c r="L818" s="816"/>
    </row>
    <row r="819">
      <c r="B819" s="817" t="s">
        <v>571</v>
      </c>
      <c r="C819" s="812"/>
      <c r="D819" s="812"/>
      <c r="E819" s="812"/>
      <c r="F819" s="818"/>
      <c r="G819" s="867" t="s">
        <v>731</v>
      </c>
      <c r="H819" s="820" t="s">
        <v>586</v>
      </c>
      <c r="I819" s="593"/>
      <c r="J819" s="593"/>
      <c r="K819" s="593"/>
      <c r="L819" s="821"/>
    </row>
    <row r="820">
      <c r="B820" s="822" t="s">
        <v>625</v>
      </c>
      <c r="C820" s="823" t="s">
        <v>626</v>
      </c>
      <c r="D820" s="824"/>
      <c r="E820" s="825" t="s">
        <v>627</v>
      </c>
      <c r="F820" s="826" t="s">
        <v>628</v>
      </c>
      <c r="G820" s="1013">
        <v>1000.0</v>
      </c>
      <c r="H820" s="621" t="s">
        <v>580</v>
      </c>
      <c r="I820" s="827" t="s">
        <v>585</v>
      </c>
      <c r="J820" s="827" t="s">
        <v>586</v>
      </c>
      <c r="K820" s="621" t="s">
        <v>583</v>
      </c>
      <c r="L820" s="828" t="s">
        <v>584</v>
      </c>
    </row>
    <row r="821">
      <c r="B821" s="829">
        <v>2585.0</v>
      </c>
      <c r="C821" s="830" t="s">
        <v>558</v>
      </c>
      <c r="D821" s="831">
        <f>SUM(B821-K821)</f>
        <v>2235</v>
      </c>
      <c r="E821" s="831">
        <f>SUMIF(H830:H853,"IFOOD",G830:G853)</f>
        <v>1988.13</v>
      </c>
      <c r="F821" s="832">
        <f t="shared" ref="F821:F826" si="83">D821-E821</f>
        <v>246.87</v>
      </c>
      <c r="G821" s="1014" t="s">
        <v>732</v>
      </c>
      <c r="H821" s="623" t="s">
        <v>558</v>
      </c>
      <c r="I821" s="625">
        <v>350.0</v>
      </c>
      <c r="J821" s="625">
        <v>0.0</v>
      </c>
      <c r="K821" s="625">
        <f>I821-G824</f>
        <v>350</v>
      </c>
      <c r="L821" s="834">
        <f>SUM(J821+K821)</f>
        <v>350</v>
      </c>
    </row>
    <row r="822">
      <c r="B822" s="835">
        <v>3615.13</v>
      </c>
      <c r="C822" s="836" t="s">
        <v>573</v>
      </c>
      <c r="D822" s="625">
        <f>SUM(B822-K825)</f>
        <v>3605.27</v>
      </c>
      <c r="E822" s="837">
        <f>SUMIF(H830:H852,"Caixa",G830:G852)</f>
        <v>2845.273946</v>
      </c>
      <c r="F822" s="838">
        <f t="shared" si="83"/>
        <v>759.996054</v>
      </c>
      <c r="G822" s="1013">
        <v>1764.0</v>
      </c>
      <c r="H822" s="839" t="s">
        <v>629</v>
      </c>
      <c r="I822" s="628">
        <v>0.0</v>
      </c>
      <c r="J822" s="629">
        <v>0.0</v>
      </c>
      <c r="K822" s="629">
        <f>I822</f>
        <v>0</v>
      </c>
      <c r="L822" s="840">
        <v>0.0</v>
      </c>
    </row>
    <row r="823">
      <c r="B823" s="829">
        <v>4520.0</v>
      </c>
      <c r="C823" s="830" t="s">
        <v>574</v>
      </c>
      <c r="D823" s="831">
        <f>B823</f>
        <v>4520</v>
      </c>
      <c r="E823" s="831">
        <f>SUMIF(H830:H853,"Cash",G830:G853)</f>
        <v>2200</v>
      </c>
      <c r="F823" s="832">
        <f t="shared" si="83"/>
        <v>2320</v>
      </c>
      <c r="G823" s="1014">
        <v>760.0</v>
      </c>
      <c r="H823" s="623" t="s">
        <v>587</v>
      </c>
      <c r="I823" s="625">
        <v>2190.0</v>
      </c>
      <c r="J823" s="624">
        <v>1600.0</v>
      </c>
      <c r="K823" s="625">
        <f>I823-G820-G822</f>
        <v>-574</v>
      </c>
      <c r="L823" s="834">
        <f t="shared" ref="L823:L826" si="84">SUM(J823+K823)</f>
        <v>1026</v>
      </c>
    </row>
    <row r="824">
      <c r="B824" s="835">
        <v>1519.0</v>
      </c>
      <c r="C824" s="841" t="s">
        <v>629</v>
      </c>
      <c r="D824" s="625">
        <f>SUM(B824-K822)</f>
        <v>1519</v>
      </c>
      <c r="E824" s="837">
        <f>SUMIF(H830:H854,"Infinity 1",G830:G854)</f>
        <v>0</v>
      </c>
      <c r="F824" s="838">
        <f t="shared" si="83"/>
        <v>1519</v>
      </c>
      <c r="G824" s="1013"/>
      <c r="H824" s="634" t="s">
        <v>576</v>
      </c>
      <c r="I824" s="636">
        <v>53.66</v>
      </c>
      <c r="J824" s="636">
        <v>0.0</v>
      </c>
      <c r="K824" s="636">
        <f>I824</f>
        <v>53.66</v>
      </c>
      <c r="L824" s="842">
        <f t="shared" si="84"/>
        <v>53.66</v>
      </c>
    </row>
    <row r="825">
      <c r="B825" s="829">
        <v>593.0</v>
      </c>
      <c r="C825" s="830" t="s">
        <v>576</v>
      </c>
      <c r="D825" s="831">
        <f>SUM(B825-K824)</f>
        <v>539.34</v>
      </c>
      <c r="E825" s="831">
        <f>SUMIF(H832:H855,"Stone",G832:G855)</f>
        <v>503.26</v>
      </c>
      <c r="F825" s="832">
        <f t="shared" si="83"/>
        <v>36.08</v>
      </c>
      <c r="G825" s="1057"/>
      <c r="H825" s="641" t="s">
        <v>573</v>
      </c>
      <c r="I825" s="844">
        <v>769.86</v>
      </c>
      <c r="J825" s="638">
        <v>0.0</v>
      </c>
      <c r="K825" s="844">
        <f>I825-G825-G823</f>
        <v>9.86</v>
      </c>
      <c r="L825" s="845">
        <f t="shared" si="84"/>
        <v>9.86</v>
      </c>
    </row>
    <row r="826">
      <c r="B826" s="846">
        <v>933.0</v>
      </c>
      <c r="C826" s="847" t="s">
        <v>632</v>
      </c>
      <c r="D826" s="848">
        <f>SUM(B826-K826)</f>
        <v>333</v>
      </c>
      <c r="E826" s="848">
        <f>SUMIF(H832:H856,"Infinity 2",G832:G856)</f>
        <v>0</v>
      </c>
      <c r="F826" s="849">
        <f t="shared" si="83"/>
        <v>333</v>
      </c>
      <c r="G826" s="117"/>
      <c r="H826" s="850" t="s">
        <v>632</v>
      </c>
      <c r="I826" s="1058">
        <v>600.0</v>
      </c>
      <c r="J826" s="851">
        <v>0.0</v>
      </c>
      <c r="K826" s="852">
        <f>I826</f>
        <v>600</v>
      </c>
      <c r="L826" s="853">
        <f t="shared" si="84"/>
        <v>600</v>
      </c>
    </row>
    <row r="827">
      <c r="B827" s="1054">
        <f>SUM(B821:B826)</f>
        <v>13765.13</v>
      </c>
      <c r="C827" s="855" t="s">
        <v>578</v>
      </c>
      <c r="D827" s="856">
        <f t="shared" ref="D827:F827" si="85">SUM(D821:D826)</f>
        <v>12751.61</v>
      </c>
      <c r="E827" s="857">
        <f t="shared" si="85"/>
        <v>7536.663946</v>
      </c>
      <c r="F827" s="858">
        <f t="shared" si="85"/>
        <v>5214.946054</v>
      </c>
      <c r="G827" s="117"/>
      <c r="H827" s="859" t="s">
        <v>589</v>
      </c>
      <c r="I827" s="860" t="s">
        <v>590</v>
      </c>
      <c r="J827" s="861" t="s">
        <v>134</v>
      </c>
      <c r="K827" s="862">
        <f t="shared" ref="K827:L827" si="86">SUM(K821:K825)</f>
        <v>-160.48</v>
      </c>
      <c r="L827" s="863">
        <f t="shared" si="86"/>
        <v>1439.52</v>
      </c>
    </row>
    <row r="828">
      <c r="B828" s="724"/>
      <c r="C828" s="9"/>
      <c r="D828" s="9"/>
      <c r="E828" s="9"/>
      <c r="F828" s="9"/>
      <c r="G828" s="117"/>
      <c r="H828" s="864">
        <v>0.0</v>
      </c>
      <c r="I828" s="865">
        <v>169.86</v>
      </c>
      <c r="J828" s="866"/>
      <c r="K828" s="7"/>
      <c r="L828" s="810"/>
    </row>
    <row r="829">
      <c r="B829" s="724"/>
      <c r="C829" s="869" t="s">
        <v>634</v>
      </c>
      <c r="D829" s="870" t="s">
        <v>600</v>
      </c>
      <c r="E829" s="870" t="s">
        <v>5</v>
      </c>
      <c r="F829" s="870" t="s">
        <v>4</v>
      </c>
      <c r="G829" s="870" t="s">
        <v>16</v>
      </c>
      <c r="H829" s="871" t="s">
        <v>635</v>
      </c>
      <c r="I829" s="872"/>
      <c r="L829" s="873"/>
    </row>
    <row r="830">
      <c r="B830" s="809"/>
      <c r="C830" s="874" t="s">
        <v>636</v>
      </c>
      <c r="D830" s="659">
        <v>1300.0</v>
      </c>
      <c r="E830" s="1017">
        <v>45782.0</v>
      </c>
      <c r="F830" s="1018"/>
      <c r="G830" s="892">
        <f t="shared" ref="G830:G853" si="87">IF(F830="",D830,"")</f>
        <v>1300</v>
      </c>
      <c r="H830" s="1019" t="s">
        <v>574</v>
      </c>
      <c r="I830" s="878"/>
      <c r="J830" s="878"/>
      <c r="K830" s="878"/>
      <c r="L830" s="879"/>
    </row>
    <row r="831">
      <c r="B831" s="809"/>
      <c r="C831" s="874"/>
      <c r="D831" s="892"/>
      <c r="E831" s="1020"/>
      <c r="F831" s="1018"/>
      <c r="G831" s="892" t="str">
        <f t="shared" si="87"/>
        <v/>
      </c>
      <c r="H831" s="1021"/>
      <c r="I831" s="883"/>
      <c r="J831" s="884"/>
      <c r="K831" s="885"/>
      <c r="L831" s="879"/>
    </row>
    <row r="832">
      <c r="B832" s="809"/>
      <c r="C832" s="886" t="s">
        <v>637</v>
      </c>
      <c r="D832" s="892">
        <f t="shared" ref="D832:D834" si="88">G807</f>
        <v>823.76</v>
      </c>
      <c r="E832" s="1017">
        <v>45782.0</v>
      </c>
      <c r="F832" s="1022"/>
      <c r="G832" s="892">
        <f t="shared" si="87"/>
        <v>823.76</v>
      </c>
      <c r="H832" s="1019" t="s">
        <v>573</v>
      </c>
      <c r="I832" s="883"/>
      <c r="J832" s="884"/>
      <c r="K832" s="885"/>
      <c r="L832" s="879"/>
    </row>
    <row r="833">
      <c r="B833" s="809"/>
      <c r="C833" s="886" t="s">
        <v>705</v>
      </c>
      <c r="D833" s="892">
        <f t="shared" si="88"/>
        <v>1059.797559</v>
      </c>
      <c r="E833" s="1017">
        <v>45782.0</v>
      </c>
      <c r="F833" s="1018"/>
      <c r="G833" s="892">
        <f t="shared" si="87"/>
        <v>1059.797559</v>
      </c>
      <c r="H833" s="1019" t="s">
        <v>573</v>
      </c>
      <c r="I833" s="883"/>
      <c r="J833" s="884"/>
      <c r="K833" s="885"/>
      <c r="L833" s="879"/>
    </row>
    <row r="834">
      <c r="B834" s="809"/>
      <c r="C834" s="886" t="s">
        <v>706</v>
      </c>
      <c r="D834" s="892">
        <f t="shared" si="88"/>
        <v>961.7163867</v>
      </c>
      <c r="E834" s="1017">
        <v>45782.0</v>
      </c>
      <c r="F834" s="1018"/>
      <c r="G834" s="892">
        <f t="shared" si="87"/>
        <v>961.7163867</v>
      </c>
      <c r="H834" s="1019" t="s">
        <v>573</v>
      </c>
      <c r="I834" s="884"/>
      <c r="K834" s="885"/>
      <c r="L834" s="879"/>
    </row>
    <row r="835">
      <c r="B835" s="809"/>
      <c r="C835" s="874" t="s">
        <v>638</v>
      </c>
      <c r="D835" s="892">
        <f>E814</f>
        <v>3441.6</v>
      </c>
      <c r="E835" s="1017">
        <v>45767.0</v>
      </c>
      <c r="F835" s="1018" t="s">
        <v>639</v>
      </c>
      <c r="G835" s="892" t="str">
        <f t="shared" si="87"/>
        <v/>
      </c>
      <c r="H835" s="1019"/>
      <c r="I835" s="890"/>
      <c r="J835" s="9"/>
      <c r="K835" s="891"/>
      <c r="L835" s="879"/>
    </row>
    <row r="836">
      <c r="B836" s="809"/>
      <c r="C836" s="874" t="s">
        <v>640</v>
      </c>
      <c r="D836" s="892">
        <v>430.0</v>
      </c>
      <c r="E836" s="1017">
        <v>45757.0</v>
      </c>
      <c r="F836" s="1018" t="s">
        <v>639</v>
      </c>
      <c r="G836" s="892" t="str">
        <f t="shared" si="87"/>
        <v/>
      </c>
      <c r="H836" s="1021"/>
      <c r="I836" s="890"/>
      <c r="J836" s="893"/>
      <c r="K836" s="891"/>
      <c r="L836" s="879"/>
    </row>
    <row r="837">
      <c r="B837" s="809"/>
      <c r="C837" s="874" t="s">
        <v>641</v>
      </c>
      <c r="D837" s="892">
        <f>G806</f>
        <v>750</v>
      </c>
      <c r="E837" s="1017">
        <v>45782.0</v>
      </c>
      <c r="F837" s="1018"/>
      <c r="G837" s="892">
        <f t="shared" si="87"/>
        <v>750</v>
      </c>
      <c r="H837" s="1019" t="s">
        <v>558</v>
      </c>
      <c r="I837" s="890"/>
      <c r="J837" s="893"/>
      <c r="K837" s="891"/>
      <c r="L837" s="879"/>
    </row>
    <row r="838">
      <c r="B838" s="809"/>
      <c r="C838" s="874" t="s">
        <v>691</v>
      </c>
      <c r="D838" s="892">
        <v>105.0</v>
      </c>
      <c r="E838" s="1017">
        <v>45772.0</v>
      </c>
      <c r="F838" s="1018" t="s">
        <v>639</v>
      </c>
      <c r="G838" s="892" t="str">
        <f t="shared" si="87"/>
        <v/>
      </c>
      <c r="H838" s="1021"/>
      <c r="I838" s="890"/>
      <c r="J838" s="9"/>
      <c r="K838" s="891"/>
      <c r="L838" s="879"/>
    </row>
    <row r="839">
      <c r="B839" s="809"/>
      <c r="C839" s="874" t="s">
        <v>644</v>
      </c>
      <c r="D839" s="892"/>
      <c r="E839" s="1020"/>
      <c r="F839" s="1018"/>
      <c r="G839" s="892" t="str">
        <f t="shared" si="87"/>
        <v/>
      </c>
      <c r="H839" s="1021"/>
      <c r="I839" s="890"/>
      <c r="J839" s="9"/>
      <c r="K839" s="891"/>
      <c r="L839" s="879"/>
    </row>
    <row r="840">
      <c r="B840" s="809"/>
      <c r="C840" s="874" t="s">
        <v>645</v>
      </c>
      <c r="D840" s="892">
        <v>120.0</v>
      </c>
      <c r="E840" s="1017">
        <v>45767.0</v>
      </c>
      <c r="F840" s="1018" t="s">
        <v>639</v>
      </c>
      <c r="G840" s="1018" t="str">
        <f t="shared" si="87"/>
        <v/>
      </c>
      <c r="H840" s="1021"/>
      <c r="I840" s="890"/>
      <c r="J840" s="9"/>
      <c r="K840" s="891"/>
      <c r="L840" s="879"/>
    </row>
    <row r="841">
      <c r="B841" s="809"/>
      <c r="C841" s="874" t="s">
        <v>646</v>
      </c>
      <c r="D841" s="892" t="s">
        <v>134</v>
      </c>
      <c r="E841" s="1017">
        <v>45767.0</v>
      </c>
      <c r="F841" s="1018" t="s">
        <v>639</v>
      </c>
      <c r="G841" s="892" t="str">
        <f t="shared" si="87"/>
        <v/>
      </c>
      <c r="H841" s="1021"/>
      <c r="I841" s="890"/>
      <c r="J841" s="9"/>
      <c r="K841" s="891"/>
      <c r="L841" s="879"/>
    </row>
    <row r="842">
      <c r="B842" s="809"/>
      <c r="C842" s="874" t="s">
        <v>647</v>
      </c>
      <c r="D842" s="892"/>
      <c r="E842" s="1020"/>
      <c r="F842" s="1018"/>
      <c r="G842" s="892" t="str">
        <f t="shared" si="87"/>
        <v/>
      </c>
      <c r="H842" s="1021"/>
      <c r="I842" s="890"/>
      <c r="J842" s="9"/>
      <c r="K842" s="891"/>
      <c r="L842" s="879"/>
    </row>
    <row r="843">
      <c r="B843" s="809"/>
      <c r="C843" s="874" t="s">
        <v>648</v>
      </c>
      <c r="D843" s="892">
        <v>697.42</v>
      </c>
      <c r="E843" s="1017">
        <v>45767.0</v>
      </c>
      <c r="F843" s="1018" t="s">
        <v>639</v>
      </c>
      <c r="G843" s="892" t="str">
        <f t="shared" si="87"/>
        <v/>
      </c>
      <c r="H843" s="1021"/>
      <c r="I843" s="890"/>
      <c r="J843" s="9"/>
      <c r="K843" s="891"/>
      <c r="L843" s="879"/>
    </row>
    <row r="844">
      <c r="B844" s="809"/>
      <c r="C844" s="874" t="s">
        <v>649</v>
      </c>
      <c r="D844" s="892">
        <v>435.9</v>
      </c>
      <c r="E844" s="1017">
        <v>45767.0</v>
      </c>
      <c r="F844" s="1018" t="s">
        <v>639</v>
      </c>
      <c r="G844" s="892" t="str">
        <f t="shared" si="87"/>
        <v/>
      </c>
      <c r="H844" s="1021"/>
      <c r="I844" s="890"/>
      <c r="J844" s="9"/>
      <c r="K844" s="891"/>
      <c r="L844" s="879"/>
    </row>
    <row r="845">
      <c r="B845" s="809"/>
      <c r="C845" s="874" t="s">
        <v>650</v>
      </c>
      <c r="D845" s="892">
        <v>323.92</v>
      </c>
      <c r="E845" s="1017">
        <v>45767.0</v>
      </c>
      <c r="F845" s="1018" t="s">
        <v>639</v>
      </c>
      <c r="G845" s="892" t="str">
        <f t="shared" si="87"/>
        <v/>
      </c>
      <c r="H845" s="1019"/>
      <c r="I845" s="890"/>
      <c r="J845" s="9"/>
      <c r="K845" s="891"/>
      <c r="L845" s="879"/>
    </row>
    <row r="846">
      <c r="B846" s="809"/>
      <c r="C846" s="874" t="s">
        <v>653</v>
      </c>
      <c r="D846" s="892"/>
      <c r="E846" s="1020"/>
      <c r="F846" s="1018"/>
      <c r="G846" s="892" t="str">
        <f t="shared" si="87"/>
        <v/>
      </c>
      <c r="H846" s="1021"/>
      <c r="I846" s="890"/>
      <c r="J846" s="9"/>
      <c r="K846" s="891"/>
      <c r="L846" s="879"/>
    </row>
    <row r="847">
      <c r="B847" s="809"/>
      <c r="C847" s="874" t="s">
        <v>654</v>
      </c>
      <c r="D847" s="892"/>
      <c r="E847" s="1020"/>
      <c r="F847" s="1018"/>
      <c r="G847" s="892" t="str">
        <f t="shared" si="87"/>
        <v/>
      </c>
      <c r="H847" s="1021"/>
      <c r="I847" s="890"/>
      <c r="J847" s="9"/>
      <c r="K847" s="891"/>
      <c r="L847" s="879"/>
    </row>
    <row r="848">
      <c r="B848" s="809"/>
      <c r="C848" s="886" t="s">
        <v>733</v>
      </c>
      <c r="D848" s="659">
        <v>503.26</v>
      </c>
      <c r="E848" s="1017">
        <v>45976.0</v>
      </c>
      <c r="F848" s="1018"/>
      <c r="G848" s="892">
        <f t="shared" si="87"/>
        <v>503.26</v>
      </c>
      <c r="H848" s="1019" t="s">
        <v>576</v>
      </c>
      <c r="I848" s="890"/>
      <c r="J848" s="9"/>
      <c r="K848" s="891"/>
      <c r="L848" s="879"/>
    </row>
    <row r="849">
      <c r="B849" s="809"/>
      <c r="C849" s="886" t="s">
        <v>733</v>
      </c>
      <c r="D849" s="659">
        <v>488.13</v>
      </c>
      <c r="E849" s="1017">
        <v>45976.0</v>
      </c>
      <c r="F849" s="1018"/>
      <c r="G849" s="892">
        <f t="shared" si="87"/>
        <v>488.13</v>
      </c>
      <c r="H849" s="1019" t="s">
        <v>558</v>
      </c>
      <c r="I849" s="890"/>
      <c r="J849" s="9"/>
      <c r="K849" s="891"/>
      <c r="L849" s="879"/>
    </row>
    <row r="850">
      <c r="B850" s="809"/>
      <c r="C850" s="886" t="s">
        <v>651</v>
      </c>
      <c r="D850" s="659">
        <v>900.0</v>
      </c>
      <c r="E850" s="1017">
        <v>45754.0</v>
      </c>
      <c r="F850" s="1018"/>
      <c r="G850" s="892">
        <f t="shared" si="87"/>
        <v>900</v>
      </c>
      <c r="H850" s="1019" t="s">
        <v>574</v>
      </c>
      <c r="I850" s="890"/>
      <c r="J850" s="9"/>
      <c r="K850" s="891"/>
      <c r="L850" s="879"/>
    </row>
    <row r="851">
      <c r="B851" s="809"/>
      <c r="C851" s="874" t="s">
        <v>657</v>
      </c>
      <c r="D851" s="892">
        <v>750.0</v>
      </c>
      <c r="E851" s="1017">
        <v>45767.0</v>
      </c>
      <c r="F851" s="1018" t="s">
        <v>639</v>
      </c>
      <c r="G851" s="892" t="str">
        <f t="shared" si="87"/>
        <v/>
      </c>
      <c r="H851" s="1021"/>
      <c r="I851" s="890"/>
      <c r="J851" s="9"/>
      <c r="K851" s="891"/>
      <c r="L851" s="879"/>
    </row>
    <row r="852">
      <c r="B852" s="809"/>
      <c r="C852" s="894" t="s">
        <v>658</v>
      </c>
      <c r="D852" s="1025">
        <v>750.0</v>
      </c>
      <c r="E852" s="1017">
        <v>45782.0</v>
      </c>
      <c r="F852" s="1026"/>
      <c r="G852" s="892">
        <f t="shared" si="87"/>
        <v>750</v>
      </c>
      <c r="H852" s="1027" t="s">
        <v>558</v>
      </c>
      <c r="I852" s="890"/>
      <c r="J852" s="9"/>
      <c r="K852" s="891"/>
      <c r="L852" s="879"/>
    </row>
    <row r="853">
      <c r="B853" s="809"/>
      <c r="C853" s="1028" t="s">
        <v>707</v>
      </c>
      <c r="D853" s="1029"/>
      <c r="E853" s="1030">
        <v>45721.0</v>
      </c>
      <c r="F853" s="1031"/>
      <c r="G853" s="1032" t="str">
        <f t="shared" si="87"/>
        <v/>
      </c>
      <c r="H853" s="1033"/>
      <c r="I853" s="890"/>
      <c r="J853" s="9"/>
      <c r="K853" s="891"/>
      <c r="L853" s="879"/>
    </row>
    <row r="854">
      <c r="B854" s="809"/>
      <c r="C854" s="904"/>
      <c r="D854" s="905"/>
      <c r="E854" s="906"/>
      <c r="F854" s="904"/>
      <c r="G854" s="904"/>
      <c r="H854" s="904"/>
      <c r="I854" s="906"/>
      <c r="J854" s="904"/>
      <c r="K854" s="240"/>
      <c r="L854" s="907"/>
    </row>
    <row r="855">
      <c r="B855" s="724"/>
      <c r="C855" s="908" t="s">
        <v>537</v>
      </c>
      <c r="D855" s="909"/>
      <c r="E855" s="909"/>
      <c r="F855" s="909"/>
      <c r="G855" s="909"/>
      <c r="H855" s="909"/>
      <c r="I855" s="909"/>
      <c r="J855" s="910"/>
      <c r="K855" s="891"/>
      <c r="L855" s="879"/>
    </row>
    <row r="856">
      <c r="B856" s="768"/>
      <c r="C856" s="911" t="s">
        <v>659</v>
      </c>
      <c r="D856" s="912"/>
      <c r="E856" s="913">
        <f>I863</f>
        <v>4214.936054</v>
      </c>
      <c r="F856" s="914"/>
      <c r="G856" s="915" t="s">
        <v>660</v>
      </c>
      <c r="H856" s="916"/>
      <c r="I856" s="913">
        <f>F823</f>
        <v>2320</v>
      </c>
      <c r="J856" s="917">
        <f>I856-G870-G876-G882-E871</f>
        <v>0</v>
      </c>
      <c r="K856" s="918"/>
      <c r="L856" s="919"/>
    </row>
    <row r="857">
      <c r="B857" s="768"/>
      <c r="C857" s="920"/>
      <c r="D857" s="921"/>
      <c r="E857" s="921"/>
      <c r="F857" s="914"/>
      <c r="G857" s="915" t="s">
        <v>558</v>
      </c>
      <c r="H857" s="916"/>
      <c r="I857" s="913">
        <f>F821</f>
        <v>246.87</v>
      </c>
      <c r="J857" s="917">
        <f>I857-E869-G872-G878-G883</f>
        <v>0</v>
      </c>
      <c r="K857" s="918"/>
      <c r="L857" s="919"/>
    </row>
    <row r="858">
      <c r="B858" s="768"/>
      <c r="C858" s="911" t="s">
        <v>661</v>
      </c>
      <c r="D858" s="912"/>
      <c r="E858" s="913">
        <f>SUM(E856/100*10)-45.49</f>
        <v>376.0036054</v>
      </c>
      <c r="F858" s="914"/>
      <c r="G858" s="922" t="s">
        <v>630</v>
      </c>
      <c r="H858" s="916"/>
      <c r="I858" s="913">
        <f>F824</f>
        <v>1519</v>
      </c>
      <c r="J858" s="917">
        <f>I858-G871-G884-E870</f>
        <v>0</v>
      </c>
      <c r="K858" s="918"/>
      <c r="L858" s="919"/>
    </row>
    <row r="859">
      <c r="B859" s="768"/>
      <c r="C859" s="911" t="s">
        <v>662</v>
      </c>
      <c r="D859" s="912"/>
      <c r="E859" s="913">
        <f>SUM(E856/100*10)-45.49</f>
        <v>376.0036054</v>
      </c>
      <c r="F859" s="914"/>
      <c r="G859" s="915" t="s">
        <v>573</v>
      </c>
      <c r="H859" s="916"/>
      <c r="I859" s="913">
        <f>F822</f>
        <v>759.996054</v>
      </c>
      <c r="J859" s="917">
        <f>I859-G869-G875-G881-E873</f>
        <v>759.996054</v>
      </c>
      <c r="K859" s="117"/>
      <c r="L859" s="923"/>
    </row>
    <row r="860">
      <c r="B860" s="768"/>
      <c r="C860" s="920"/>
      <c r="D860" s="921"/>
      <c r="E860" s="921"/>
      <c r="F860" s="914"/>
      <c r="G860" s="916" t="s">
        <v>576</v>
      </c>
      <c r="H860" s="916"/>
      <c r="I860" s="924">
        <f t="shared" ref="I860:I861" si="89">F825</f>
        <v>36.08</v>
      </c>
      <c r="J860" s="925">
        <f>I860-E872</f>
        <v>0</v>
      </c>
      <c r="K860" s="240"/>
      <c r="L860" s="907"/>
    </row>
    <row r="861">
      <c r="B861" s="768"/>
      <c r="C861" s="911" t="s">
        <v>663</v>
      </c>
      <c r="D861" s="912"/>
      <c r="E861" s="926">
        <f>SUM(E856)-(E858+E859)+0.02</f>
        <v>3462.948843</v>
      </c>
      <c r="F861" s="927"/>
      <c r="G861" s="928" t="s">
        <v>631</v>
      </c>
      <c r="H861" s="916"/>
      <c r="I861" s="924">
        <f t="shared" si="89"/>
        <v>333</v>
      </c>
      <c r="J861" s="925">
        <f>I861-E874-G877</f>
        <v>0</v>
      </c>
      <c r="K861" s="240"/>
      <c r="L861" s="907"/>
    </row>
    <row r="862">
      <c r="B862" s="768"/>
      <c r="C862" s="911" t="s">
        <v>664</v>
      </c>
      <c r="D862" s="912"/>
      <c r="E862" s="913">
        <v>0.0</v>
      </c>
      <c r="F862" s="914"/>
      <c r="G862" s="921"/>
      <c r="H862" s="921"/>
      <c r="I862" s="929">
        <f>SUM(I856:I861)-0.01</f>
        <v>5214.936054</v>
      </c>
      <c r="J862" s="930">
        <f>SUM(J856:J861)</f>
        <v>759.996054</v>
      </c>
      <c r="K862" s="7"/>
      <c r="L862" s="810"/>
    </row>
    <row r="863">
      <c r="B863" s="768"/>
      <c r="C863" s="920"/>
      <c r="D863" s="921"/>
      <c r="E863" s="921"/>
      <c r="F863" s="927"/>
      <c r="G863" s="931" t="s">
        <v>610</v>
      </c>
      <c r="H863" s="932"/>
      <c r="I863" s="926">
        <f>SUM(I856:I861)-1000-0.01</f>
        <v>4214.936054</v>
      </c>
      <c r="J863" s="933"/>
      <c r="K863" s="7"/>
      <c r="L863" s="810"/>
    </row>
    <row r="864">
      <c r="B864" s="768"/>
      <c r="C864" s="911" t="s">
        <v>665</v>
      </c>
      <c r="D864" s="912"/>
      <c r="E864" s="934" t="s">
        <v>666</v>
      </c>
      <c r="F864" s="927"/>
      <c r="G864" s="1048" t="s">
        <v>667</v>
      </c>
      <c r="J864" s="933"/>
      <c r="K864" s="7"/>
      <c r="L864" s="810"/>
    </row>
    <row r="865">
      <c r="B865" s="768"/>
      <c r="C865" s="920"/>
      <c r="D865" s="916"/>
      <c r="E865" s="936"/>
      <c r="F865" s="927"/>
      <c r="G865" s="927"/>
      <c r="H865" s="927"/>
      <c r="I865" s="927"/>
      <c r="J865" s="933"/>
      <c r="K865" s="7"/>
      <c r="L865" s="810"/>
    </row>
    <row r="866">
      <c r="B866" s="768"/>
      <c r="C866" s="937" t="s">
        <v>620</v>
      </c>
      <c r="D866" s="938">
        <f>SUM(E861-D865)</f>
        <v>3462.948843</v>
      </c>
      <c r="E866" s="939">
        <f>D866</f>
        <v>3462.948843</v>
      </c>
      <c r="F866" s="940"/>
      <c r="G866" s="940"/>
      <c r="H866" s="940"/>
      <c r="I866" s="940"/>
      <c r="J866" s="941"/>
      <c r="K866" s="7"/>
      <c r="L866" s="810"/>
    </row>
    <row r="867">
      <c r="B867" s="768"/>
      <c r="C867" s="942"/>
      <c r="D867" s="117"/>
      <c r="E867" s="117"/>
      <c r="F867" s="117"/>
      <c r="G867" s="117"/>
      <c r="H867" s="117"/>
      <c r="I867" s="918"/>
      <c r="J867" s="943"/>
      <c r="K867" s="7"/>
      <c r="L867" s="810"/>
    </row>
    <row r="868">
      <c r="B868" s="768"/>
      <c r="C868" s="944" t="s">
        <v>668</v>
      </c>
      <c r="D868" s="593"/>
      <c r="E868" s="594"/>
      <c r="F868" s="117"/>
      <c r="G868" s="945" t="s">
        <v>669</v>
      </c>
      <c r="H868" s="594"/>
      <c r="I868" s="918"/>
      <c r="J868" s="943"/>
      <c r="K868" s="117"/>
      <c r="L868" s="923"/>
    </row>
    <row r="869">
      <c r="B869" s="768"/>
      <c r="C869" s="946" t="s">
        <v>558</v>
      </c>
      <c r="D869" s="912"/>
      <c r="E869" s="947">
        <v>246.87</v>
      </c>
      <c r="F869" s="1061"/>
      <c r="G869" s="951">
        <v>0.0</v>
      </c>
      <c r="H869" s="950" t="s">
        <v>573</v>
      </c>
      <c r="I869" s="918"/>
      <c r="J869" s="943"/>
      <c r="K869" s="117"/>
      <c r="L869" s="923"/>
    </row>
    <row r="870">
      <c r="B870" s="768"/>
      <c r="C870" s="946" t="s">
        <v>630</v>
      </c>
      <c r="D870" s="912"/>
      <c r="E870" s="947">
        <v>1519.0</v>
      </c>
      <c r="F870" s="1061"/>
      <c r="G870" s="951">
        <v>300.0</v>
      </c>
      <c r="H870" s="950" t="s">
        <v>587</v>
      </c>
      <c r="I870" s="918"/>
      <c r="J870" s="943"/>
      <c r="K870" s="117"/>
      <c r="L870" s="923"/>
    </row>
    <row r="871">
      <c r="B871" s="768"/>
      <c r="C871" s="952" t="s">
        <v>587</v>
      </c>
      <c r="D871" s="912"/>
      <c r="E871" s="947">
        <v>720.0</v>
      </c>
      <c r="F871" s="953"/>
      <c r="G871" s="949">
        <v>0.0</v>
      </c>
      <c r="H871" s="954" t="s">
        <v>630</v>
      </c>
      <c r="I871" s="955">
        <f>F877</f>
        <v>0</v>
      </c>
      <c r="J871" s="594"/>
      <c r="K871" s="117"/>
      <c r="L871" s="923"/>
    </row>
    <row r="872">
      <c r="B872" s="768"/>
      <c r="C872" s="952" t="s">
        <v>576</v>
      </c>
      <c r="D872" s="912"/>
      <c r="E872" s="947">
        <v>36.08</v>
      </c>
      <c r="F872" s="1061"/>
      <c r="G872" s="951">
        <v>0.0</v>
      </c>
      <c r="H872" s="956" t="s">
        <v>558</v>
      </c>
      <c r="I872" s="957" t="s">
        <v>620</v>
      </c>
      <c r="J872" s="958" t="s">
        <v>672</v>
      </c>
      <c r="K872" s="117"/>
      <c r="L872" s="923"/>
    </row>
    <row r="873">
      <c r="B873" s="768"/>
      <c r="C873" s="952" t="s">
        <v>573</v>
      </c>
      <c r="D873" s="912"/>
      <c r="E873" s="947">
        <v>0.0</v>
      </c>
      <c r="F873" s="1061"/>
      <c r="G873" s="959">
        <f>SUM(G869:G872)</f>
        <v>300</v>
      </c>
      <c r="H873" s="960" t="s">
        <v>610</v>
      </c>
      <c r="I873" s="961">
        <f>I871/2</f>
        <v>0</v>
      </c>
      <c r="J873" s="962"/>
      <c r="K873" s="7"/>
      <c r="L873" s="810"/>
    </row>
    <row r="874">
      <c r="B874" s="768"/>
      <c r="C874" s="946" t="s">
        <v>631</v>
      </c>
      <c r="D874" s="912"/>
      <c r="E874" s="947">
        <v>333.0</v>
      </c>
      <c r="F874" s="1061"/>
      <c r="G874" s="964" t="s">
        <v>673</v>
      </c>
      <c r="H874" s="594"/>
      <c r="I874" s="965" t="s">
        <v>670</v>
      </c>
      <c r="J874" s="966" t="s">
        <v>674</v>
      </c>
      <c r="K874" s="7"/>
      <c r="L874" s="810"/>
    </row>
    <row r="875">
      <c r="B875" s="967"/>
      <c r="C875" s="952" t="s">
        <v>675</v>
      </c>
      <c r="D875" s="912"/>
      <c r="E875" s="968">
        <f>SUM(E866-(E869+E870+E871+E872+E873+E874))</f>
        <v>607.9988432</v>
      </c>
      <c r="F875" s="969"/>
      <c r="G875" s="976">
        <v>0.0</v>
      </c>
      <c r="H875" s="971" t="s">
        <v>573</v>
      </c>
      <c r="I875" s="972">
        <f>I871/2</f>
        <v>0</v>
      </c>
      <c r="J875" s="973"/>
      <c r="K875" s="7"/>
      <c r="L875" s="810"/>
    </row>
    <row r="876">
      <c r="B876" s="967"/>
      <c r="C876" s="942"/>
      <c r="D876" s="918"/>
      <c r="E876" s="974">
        <f>SUM(E869:E874)</f>
        <v>2854.95</v>
      </c>
      <c r="F876" s="975"/>
      <c r="G876" s="976">
        <v>300.0</v>
      </c>
      <c r="H876" s="977" t="s">
        <v>587</v>
      </c>
      <c r="I876" s="918"/>
      <c r="J876" s="978"/>
      <c r="K876" s="7"/>
      <c r="L876" s="810"/>
    </row>
    <row r="877">
      <c r="B877" s="967"/>
      <c r="C877" s="942"/>
      <c r="D877" s="1060" t="s">
        <v>573</v>
      </c>
      <c r="E877" s="593"/>
      <c r="F877" s="1052">
        <f>SUM(E873)</f>
        <v>0</v>
      </c>
      <c r="G877" s="976">
        <v>0.0</v>
      </c>
      <c r="H877" s="981" t="s">
        <v>631</v>
      </c>
      <c r="I877" s="612" t="s">
        <v>676</v>
      </c>
      <c r="J877" s="610"/>
      <c r="K877" s="1037" t="s">
        <v>699</v>
      </c>
      <c r="L877" s="1038" t="s">
        <v>700</v>
      </c>
    </row>
    <row r="878">
      <c r="B878" s="967"/>
      <c r="C878" s="942"/>
      <c r="D878" s="843"/>
      <c r="E878" s="982" t="s">
        <v>677</v>
      </c>
      <c r="F878" s="983">
        <f>F877</f>
        <v>0</v>
      </c>
      <c r="G878" s="970">
        <v>0.0</v>
      </c>
      <c r="H878" s="977" t="s">
        <v>558</v>
      </c>
      <c r="I878" s="918" t="s">
        <v>681</v>
      </c>
      <c r="J878" s="1039">
        <v>45558.0</v>
      </c>
      <c r="K878" s="1040">
        <v>45705.0</v>
      </c>
      <c r="L878" s="1042">
        <v>45712.0</v>
      </c>
    </row>
    <row r="879">
      <c r="B879" s="967"/>
      <c r="C879" s="942"/>
      <c r="D879" s="843"/>
      <c r="E879" s="985"/>
      <c r="F879" s="986"/>
      <c r="G879" s="987">
        <f>SUM(G876:G878)</f>
        <v>300</v>
      </c>
      <c r="H879" s="988" t="s">
        <v>610</v>
      </c>
      <c r="I879" s="918"/>
      <c r="J879" s="1039"/>
      <c r="K879" s="1040"/>
      <c r="L879" s="1042"/>
    </row>
    <row r="880">
      <c r="B880" s="768"/>
      <c r="C880" s="989"/>
      <c r="D880" s="943"/>
      <c r="E880" s="1043" t="s">
        <v>701</v>
      </c>
      <c r="F880" s="991"/>
      <c r="G880" s="945" t="s">
        <v>680</v>
      </c>
      <c r="H880" s="594"/>
      <c r="I880" s="918"/>
      <c r="J880" s="984"/>
      <c r="K880" s="7"/>
      <c r="L880" s="810"/>
    </row>
    <row r="881">
      <c r="B881" s="809"/>
      <c r="C881" s="992"/>
      <c r="D881" s="993" t="s">
        <v>587</v>
      </c>
      <c r="E881" s="994">
        <f>E871</f>
        <v>720</v>
      </c>
      <c r="F881" s="969"/>
      <c r="G881" s="949">
        <v>0.0</v>
      </c>
      <c r="H881" s="950" t="s">
        <v>573</v>
      </c>
      <c r="I881" s="918"/>
      <c r="J881" s="610"/>
      <c r="K881" s="7"/>
      <c r="L881" s="810"/>
    </row>
    <row r="882">
      <c r="B882" s="809"/>
      <c r="C882" s="992"/>
      <c r="D882" s="7"/>
      <c r="E882" s="995">
        <f>E874+E869+E870+E872</f>
        <v>2134.95</v>
      </c>
      <c r="F882" s="969"/>
      <c r="G882" s="951">
        <v>1000.0</v>
      </c>
      <c r="H882" s="950" t="s">
        <v>587</v>
      </c>
      <c r="I882" s="7"/>
      <c r="J882" s="996"/>
      <c r="K882" s="7"/>
      <c r="L882" s="810"/>
    </row>
    <row r="883">
      <c r="B883" s="809"/>
      <c r="C883" s="992"/>
      <c r="D883" s="997" t="s">
        <v>682</v>
      </c>
      <c r="E883" s="995">
        <f>SUM(E881+E882)</f>
        <v>2854.95</v>
      </c>
      <c r="F883" s="998"/>
      <c r="G883" s="949">
        <v>0.0</v>
      </c>
      <c r="H883" s="950" t="s">
        <v>558</v>
      </c>
      <c r="I883" s="7"/>
      <c r="J883" s="996"/>
      <c r="K883" s="7"/>
      <c r="L883" s="810"/>
    </row>
    <row r="884">
      <c r="B884" s="809"/>
      <c r="C884" s="992"/>
      <c r="D884" s="7"/>
      <c r="E884" s="7"/>
      <c r="F884" s="998"/>
      <c r="G884" s="949">
        <v>0.0</v>
      </c>
      <c r="H884" s="999" t="s">
        <v>671</v>
      </c>
      <c r="I884" s="7"/>
      <c r="J884" s="996"/>
      <c r="K884" s="7"/>
      <c r="L884" s="810"/>
    </row>
    <row r="885">
      <c r="B885" s="809"/>
      <c r="C885" s="992"/>
      <c r="D885" s="7"/>
      <c r="E885" s="7"/>
      <c r="F885" s="998"/>
      <c r="G885" s="949">
        <f>SUM(G880:G884)</f>
        <v>1000</v>
      </c>
      <c r="H885" s="950" t="s">
        <v>610</v>
      </c>
      <c r="I885" s="7"/>
      <c r="J885" s="996"/>
      <c r="K885" s="7"/>
      <c r="L885" s="810"/>
    </row>
    <row r="886">
      <c r="B886" s="809"/>
      <c r="C886" s="1000"/>
      <c r="D886" s="1001"/>
      <c r="E886" s="1001"/>
      <c r="F886" s="1001"/>
      <c r="G886" s="1002"/>
      <c r="H886" s="1002"/>
      <c r="I886" s="1001"/>
      <c r="J886" s="1003"/>
      <c r="K886" s="7"/>
      <c r="L886" s="810"/>
    </row>
    <row r="887">
      <c r="B887" s="1004"/>
      <c r="C887" s="1005"/>
      <c r="D887" s="1006"/>
      <c r="E887" s="1006"/>
      <c r="F887" s="1006"/>
      <c r="G887" s="1007"/>
      <c r="H887" s="1006"/>
      <c r="I887" s="1006"/>
      <c r="J887" s="1008"/>
      <c r="K887" s="1006"/>
      <c r="L887" s="1009"/>
    </row>
    <row r="891">
      <c r="B891" s="721" t="s">
        <v>734</v>
      </c>
      <c r="C891" s="722"/>
      <c r="D891" s="722"/>
      <c r="E891" s="722"/>
      <c r="F891" s="722"/>
      <c r="G891" s="722"/>
      <c r="H891" s="722"/>
      <c r="I891" s="722"/>
      <c r="J891" s="722"/>
      <c r="K891" s="722"/>
      <c r="L891" s="723"/>
    </row>
    <row r="892">
      <c r="B892" s="724"/>
      <c r="C892" s="725" t="s">
        <v>607</v>
      </c>
      <c r="D892" s="726" t="s">
        <v>608</v>
      </c>
      <c r="E892" s="727"/>
      <c r="F892" s="727"/>
      <c r="G892" s="727"/>
      <c r="H892" s="728"/>
      <c r="I892" s="729">
        <f>YEAR((TODAY()))</f>
        <v>2026</v>
      </c>
      <c r="J892" s="730"/>
      <c r="K892" s="731"/>
      <c r="L892" s="732"/>
    </row>
    <row r="893">
      <c r="B893" s="733"/>
      <c r="C893" s="734">
        <f>TODAY()</f>
        <v>46144</v>
      </c>
      <c r="D893" s="735" t="s">
        <v>609</v>
      </c>
      <c r="E893" s="736" t="s">
        <v>610</v>
      </c>
      <c r="F893" s="737"/>
      <c r="G893" s="737"/>
      <c r="H893" s="738"/>
      <c r="I893" s="730"/>
      <c r="J893" s="730"/>
      <c r="K893" s="730"/>
      <c r="L893" s="732"/>
    </row>
    <row r="894">
      <c r="B894" s="724"/>
      <c r="C894" s="739" t="s">
        <v>611</v>
      </c>
      <c r="D894" s="740"/>
      <c r="E894" s="741" t="s">
        <v>612</v>
      </c>
      <c r="F894" s="742" t="s">
        <v>613</v>
      </c>
      <c r="G894" s="743" t="s">
        <v>614</v>
      </c>
      <c r="H894" s="744" t="s">
        <v>615</v>
      </c>
      <c r="I894" s="745" t="s">
        <v>616</v>
      </c>
      <c r="J894" s="746" t="s">
        <v>617</v>
      </c>
      <c r="K894" s="747" t="s">
        <v>618</v>
      </c>
      <c r="L894" s="748" t="s">
        <v>619</v>
      </c>
    </row>
    <row r="895">
      <c r="B895" s="749"/>
      <c r="C895" s="750" t="s">
        <v>620</v>
      </c>
      <c r="D895" s="743">
        <v>1500.0</v>
      </c>
      <c r="E895" s="751">
        <f>SUM((D895/2)-F895)</f>
        <v>750</v>
      </c>
      <c r="F895" s="752">
        <v>0.0</v>
      </c>
      <c r="G895" s="753">
        <f>SUM(((D895/2)-H895))</f>
        <v>750</v>
      </c>
      <c r="H895" s="754">
        <v>0.0</v>
      </c>
      <c r="I895" s="755"/>
      <c r="J895" s="756"/>
      <c r="K895" s="757"/>
      <c r="L895" s="758"/>
    </row>
    <row r="896">
      <c r="B896" s="749"/>
      <c r="C896" s="759" t="s">
        <v>621</v>
      </c>
      <c r="D896" s="760">
        <v>1518.0</v>
      </c>
      <c r="E896" s="761">
        <f>SUM(((D896/100)*40)-F896)+((I896/100)*0)-607.2</f>
        <v>0</v>
      </c>
      <c r="F896" s="1010">
        <v>0.0</v>
      </c>
      <c r="G896" s="1062">
        <f>SUM(((D896/100)*100)-H896)-L896+((I896/100)*100)</f>
        <v>1419.22</v>
      </c>
      <c r="H896" s="775">
        <v>0.0</v>
      </c>
      <c r="I896" s="764">
        <v>15.07</v>
      </c>
      <c r="J896" s="765"/>
      <c r="K896" s="766"/>
      <c r="L896" s="767">
        <f>SUM(D896/100)*7.5</f>
        <v>113.85</v>
      </c>
    </row>
    <row r="897">
      <c r="B897" s="768"/>
      <c r="C897" s="769" t="s">
        <v>622</v>
      </c>
      <c r="D897" s="753">
        <v>1518.0</v>
      </c>
      <c r="E897" s="770">
        <f>SUM((((D897/100)*40)-F897))</f>
        <v>607.2</v>
      </c>
      <c r="F897" s="752">
        <v>0.0</v>
      </c>
      <c r="G897" s="1063">
        <f>SUM(((D897/100)*60)-H897)+J897-L897+I897</f>
        <v>1202.747559</v>
      </c>
      <c r="H897" s="771">
        <v>12.0</v>
      </c>
      <c r="I897" s="772">
        <v>143.88</v>
      </c>
      <c r="J897" s="756">
        <f>SUM(D897/100)*19.65</f>
        <v>298.287</v>
      </c>
      <c r="K897" s="757"/>
      <c r="L897" s="758">
        <f>SUM((D897+J897)/100)*7.61</f>
        <v>138.2194407</v>
      </c>
    </row>
    <row r="898">
      <c r="B898" s="768"/>
      <c r="C898" s="773" t="s">
        <v>623</v>
      </c>
      <c r="D898" s="760">
        <v>1518.0</v>
      </c>
      <c r="E898" s="774">
        <f>SUM(((((D898/100)*40))-F898))</f>
        <v>607.2</v>
      </c>
      <c r="F898" s="775">
        <v>0.0</v>
      </c>
      <c r="G898" s="1062">
        <f>SUM(((D898/100)*60)-H898)+J898-K898-L898+I898</f>
        <v>1023.666387</v>
      </c>
      <c r="H898" s="776">
        <v>100.0</v>
      </c>
      <c r="I898" s="764">
        <v>68.46</v>
      </c>
      <c r="J898" s="1044">
        <f>SUM(D898/100)*17.42</f>
        <v>264.4356</v>
      </c>
      <c r="K898" s="1045">
        <v>0.0</v>
      </c>
      <c r="L898" s="1046">
        <f>SUM((D898+J898)/100)*6.734</f>
        <v>120.0292133</v>
      </c>
    </row>
    <row r="899">
      <c r="B899" s="768"/>
      <c r="C899" s="778" t="s">
        <v>624</v>
      </c>
      <c r="D899" s="779">
        <v>1500.0</v>
      </c>
      <c r="E899" s="780">
        <f>SUM((D899/2)-F899)</f>
        <v>750</v>
      </c>
      <c r="F899" s="779">
        <v>0.0</v>
      </c>
      <c r="G899" s="1064">
        <f>SUM(((D899/2)-H899))-I899</f>
        <v>750</v>
      </c>
      <c r="H899" s="1056">
        <v>0.0</v>
      </c>
      <c r="I899" s="772">
        <v>0.0</v>
      </c>
      <c r="J899" s="756"/>
      <c r="K899" s="757"/>
      <c r="L899" s="758"/>
    </row>
    <row r="900">
      <c r="B900" s="768"/>
      <c r="C900" s="783"/>
      <c r="D900" s="784"/>
      <c r="E900" s="785"/>
      <c r="F900" s="785"/>
      <c r="G900" s="762"/>
      <c r="H900" s="786"/>
      <c r="I900" s="777"/>
      <c r="J900" s="765"/>
      <c r="K900" s="766"/>
      <c r="L900" s="767"/>
    </row>
    <row r="901">
      <c r="B901" s="768"/>
      <c r="C901" s="787"/>
      <c r="D901" s="779"/>
      <c r="E901" s="779"/>
      <c r="F901" s="779"/>
      <c r="G901" s="781"/>
      <c r="H901" s="782"/>
      <c r="I901" s="755"/>
      <c r="J901" s="765">
        <f>SUM(D901/100)*20</f>
        <v>0</v>
      </c>
      <c r="K901" s="766">
        <f>SUM(D901/100)*6</f>
        <v>0</v>
      </c>
      <c r="L901" s="767">
        <f>SUM((D901+J901)/100)*7.75</f>
        <v>0</v>
      </c>
    </row>
    <row r="902">
      <c r="B902" s="768"/>
      <c r="C902" s="789"/>
      <c r="D902" s="790"/>
      <c r="E902" s="790"/>
      <c r="F902" s="790"/>
      <c r="G902" s="790"/>
      <c r="H902" s="791"/>
      <c r="I902" s="792"/>
      <c r="J902" s="793"/>
      <c r="K902" s="794"/>
      <c r="L902" s="795"/>
    </row>
    <row r="903">
      <c r="B903" s="724"/>
      <c r="C903" s="796" t="s">
        <v>610</v>
      </c>
      <c r="D903" s="797"/>
      <c r="E903" s="798">
        <f>SUM(E895:E902)</f>
        <v>2714.4</v>
      </c>
      <c r="F903" s="797"/>
      <c r="G903" s="799">
        <f>SUM(G895:G902)</f>
        <v>5145.633946</v>
      </c>
      <c r="H903" s="1011">
        <f>SUM(G896:G898)</f>
        <v>3645.633946</v>
      </c>
      <c r="I903" s="801"/>
      <c r="J903" s="802"/>
      <c r="K903" s="730"/>
      <c r="L903" s="732"/>
    </row>
    <row r="904">
      <c r="B904" s="724"/>
      <c r="C904" s="803"/>
      <c r="D904" s="804"/>
      <c r="E904" s="804"/>
      <c r="F904" s="804"/>
      <c r="G904" s="804"/>
      <c r="H904" s="804"/>
      <c r="I904" s="805"/>
      <c r="J904" s="806"/>
      <c r="K904" s="807"/>
      <c r="L904" s="808"/>
    </row>
    <row r="905">
      <c r="B905" s="809"/>
      <c r="C905" s="7"/>
      <c r="D905" s="7"/>
      <c r="E905" s="7"/>
      <c r="F905" s="7"/>
      <c r="G905" s="7"/>
      <c r="H905" s="7"/>
      <c r="I905" s="7"/>
      <c r="J905" s="7"/>
      <c r="K905" s="7"/>
      <c r="L905" s="810"/>
    </row>
    <row r="906">
      <c r="B906" s="811">
        <v>45986.0</v>
      </c>
      <c r="C906" s="812"/>
      <c r="D906" s="812"/>
      <c r="E906" s="812"/>
      <c r="F906" s="812"/>
      <c r="G906" s="812"/>
      <c r="H906" s="812"/>
      <c r="I906" s="812"/>
      <c r="J906" s="812"/>
      <c r="K906" s="812"/>
      <c r="L906" s="813"/>
    </row>
    <row r="907">
      <c r="B907" s="814"/>
      <c r="C907" s="815"/>
      <c r="D907" s="815"/>
      <c r="E907" s="815"/>
      <c r="F907" s="815"/>
      <c r="G907" s="815"/>
      <c r="H907" s="815"/>
      <c r="I907" s="815"/>
      <c r="J907" s="815"/>
      <c r="K907" s="815"/>
      <c r="L907" s="816"/>
    </row>
    <row r="908">
      <c r="B908" s="817" t="s">
        <v>571</v>
      </c>
      <c r="C908" s="812"/>
      <c r="D908" s="812"/>
      <c r="E908" s="812"/>
      <c r="F908" s="818"/>
      <c r="G908" s="867" t="s">
        <v>731</v>
      </c>
      <c r="H908" s="820" t="s">
        <v>586</v>
      </c>
      <c r="I908" s="593"/>
      <c r="J908" s="593"/>
      <c r="K908" s="593"/>
      <c r="L908" s="821"/>
    </row>
    <row r="909">
      <c r="B909" s="822" t="s">
        <v>625</v>
      </c>
      <c r="C909" s="823" t="s">
        <v>626</v>
      </c>
      <c r="D909" s="824"/>
      <c r="E909" s="825" t="s">
        <v>627</v>
      </c>
      <c r="F909" s="826" t="s">
        <v>628</v>
      </c>
      <c r="G909" s="1013">
        <v>0.0</v>
      </c>
      <c r="H909" s="621" t="s">
        <v>580</v>
      </c>
      <c r="I909" s="827" t="s">
        <v>586</v>
      </c>
      <c r="J909" s="827" t="s">
        <v>735</v>
      </c>
      <c r="K909" s="621" t="s">
        <v>583</v>
      </c>
      <c r="L909" s="828" t="s">
        <v>584</v>
      </c>
    </row>
    <row r="910">
      <c r="B910" s="829">
        <v>4573.0</v>
      </c>
      <c r="C910" s="830" t="s">
        <v>558</v>
      </c>
      <c r="D910" s="831">
        <f>SUM(B910-K910)</f>
        <v>4223</v>
      </c>
      <c r="E910" s="831">
        <f>SUMIF(H919:H942,"IFOOD",G919:G942)</f>
        <v>2621.967559</v>
      </c>
      <c r="F910" s="832">
        <f t="shared" ref="F910:F915" si="90">D910-E910</f>
        <v>1601.032441</v>
      </c>
      <c r="G910" s="1014" t="s">
        <v>736</v>
      </c>
      <c r="H910" s="623" t="s">
        <v>558</v>
      </c>
      <c r="I910" s="625">
        <v>350.0</v>
      </c>
      <c r="J910" s="624">
        <v>600.0</v>
      </c>
      <c r="K910" s="625">
        <f t="shared" ref="K910:K911" si="91">I910</f>
        <v>350</v>
      </c>
      <c r="L910" s="834">
        <f>SUM(J910+K910)</f>
        <v>950</v>
      </c>
    </row>
    <row r="911">
      <c r="B911" s="835">
        <v>1400.0</v>
      </c>
      <c r="C911" s="836" t="s">
        <v>573</v>
      </c>
      <c r="D911" s="625">
        <f>SUM(B911-K914)</f>
        <v>1390</v>
      </c>
      <c r="E911" s="837">
        <f>SUMIF(H919:H941,"Caixa",G919:G941)</f>
        <v>1023.666387</v>
      </c>
      <c r="F911" s="838">
        <f t="shared" si="90"/>
        <v>366.3336133</v>
      </c>
      <c r="G911" s="1013">
        <v>0.0</v>
      </c>
      <c r="H911" s="839" t="s">
        <v>629</v>
      </c>
      <c r="I911" s="628">
        <v>0.0</v>
      </c>
      <c r="J911" s="629">
        <v>0.0</v>
      </c>
      <c r="K911" s="629">
        <f t="shared" si="91"/>
        <v>0</v>
      </c>
      <c r="L911" s="840">
        <v>0.0</v>
      </c>
    </row>
    <row r="912">
      <c r="B912" s="829">
        <v>4600.0</v>
      </c>
      <c r="C912" s="830" t="s">
        <v>574</v>
      </c>
      <c r="D912" s="831">
        <f>B912</f>
        <v>4600</v>
      </c>
      <c r="E912" s="831">
        <f>SUMIF(H919:H942,"Cash",G919:G942)</f>
        <v>3170</v>
      </c>
      <c r="F912" s="832">
        <f t="shared" si="90"/>
        <v>1430</v>
      </c>
      <c r="G912" s="1014">
        <v>0.0</v>
      </c>
      <c r="H912" s="623" t="s">
        <v>587</v>
      </c>
      <c r="I912" s="625">
        <v>1026.0</v>
      </c>
      <c r="J912" s="624">
        <v>1000.0</v>
      </c>
      <c r="K912" s="625">
        <f>I912-G909-G911</f>
        <v>1026</v>
      </c>
      <c r="L912" s="834">
        <f t="shared" ref="L912:L915" si="92">SUM(J912+K912)</f>
        <v>2026</v>
      </c>
    </row>
    <row r="913">
      <c r="B913" s="835">
        <v>480.0</v>
      </c>
      <c r="C913" s="841" t="s">
        <v>629</v>
      </c>
      <c r="D913" s="625">
        <f>SUM(B913-K911)</f>
        <v>480</v>
      </c>
      <c r="E913" s="837">
        <f>SUMIF(H919:H943,"Infinity 1",G919:G943)</f>
        <v>0</v>
      </c>
      <c r="F913" s="838">
        <f t="shared" si="90"/>
        <v>480</v>
      </c>
      <c r="G913" s="1014">
        <v>0.0</v>
      </c>
      <c r="H913" s="634" t="s">
        <v>576</v>
      </c>
      <c r="I913" s="635">
        <v>60.0</v>
      </c>
      <c r="J913" s="636">
        <v>0.0</v>
      </c>
      <c r="K913" s="636">
        <f t="shared" ref="K913:K915" si="93">I913</f>
        <v>60</v>
      </c>
      <c r="L913" s="842">
        <f t="shared" si="92"/>
        <v>60</v>
      </c>
    </row>
    <row r="914">
      <c r="B914" s="829">
        <v>490.0</v>
      </c>
      <c r="C914" s="830" t="s">
        <v>576</v>
      </c>
      <c r="D914" s="831">
        <f>SUM(B914-K913)</f>
        <v>430</v>
      </c>
      <c r="E914" s="831">
        <f>SUMIF(H921:H944,"Stone",G921:G944)</f>
        <v>0</v>
      </c>
      <c r="F914" s="832">
        <f t="shared" si="90"/>
        <v>430</v>
      </c>
      <c r="G914" s="1057"/>
      <c r="H914" s="641" t="s">
        <v>573</v>
      </c>
      <c r="I914" s="638">
        <v>10.0</v>
      </c>
      <c r="J914" s="638">
        <v>0.0</v>
      </c>
      <c r="K914" s="844">
        <f t="shared" si="93"/>
        <v>10</v>
      </c>
      <c r="L914" s="845">
        <f t="shared" si="92"/>
        <v>10</v>
      </c>
    </row>
    <row r="915">
      <c r="B915" s="846">
        <v>2710.0</v>
      </c>
      <c r="C915" s="847" t="s">
        <v>632</v>
      </c>
      <c r="D915" s="848">
        <f>SUM(B915-K915)</f>
        <v>2110</v>
      </c>
      <c r="E915" s="848">
        <f>SUMIF(H921:H945,"Infinity 2",G921:G945)</f>
        <v>1500</v>
      </c>
      <c r="F915" s="849">
        <f t="shared" si="90"/>
        <v>610</v>
      </c>
      <c r="G915" s="117"/>
      <c r="H915" s="850" t="s">
        <v>632</v>
      </c>
      <c r="I915" s="1058">
        <v>600.0</v>
      </c>
      <c r="J915" s="851">
        <v>0.0</v>
      </c>
      <c r="K915" s="852">
        <f t="shared" si="93"/>
        <v>600</v>
      </c>
      <c r="L915" s="853">
        <f t="shared" si="92"/>
        <v>600</v>
      </c>
    </row>
    <row r="916">
      <c r="B916" s="1054">
        <f>SUM(B910:B915)</f>
        <v>14253</v>
      </c>
      <c r="C916" s="855" t="s">
        <v>578</v>
      </c>
      <c r="D916" s="856">
        <f t="shared" ref="D916:F916" si="94">SUM(D910:D915)</f>
        <v>13233</v>
      </c>
      <c r="E916" s="857">
        <f t="shared" si="94"/>
        <v>8315.633946</v>
      </c>
      <c r="F916" s="858">
        <f t="shared" si="94"/>
        <v>4917.366054</v>
      </c>
      <c r="G916" s="117"/>
      <c r="H916" s="859" t="s">
        <v>589</v>
      </c>
      <c r="I916" s="860" t="s">
        <v>590</v>
      </c>
      <c r="J916" s="861" t="s">
        <v>134</v>
      </c>
      <c r="K916" s="862">
        <f t="shared" ref="K916:L916" si="95">SUM(K910:K914)</f>
        <v>1446</v>
      </c>
      <c r="L916" s="863">
        <f t="shared" si="95"/>
        <v>3046</v>
      </c>
    </row>
    <row r="917">
      <c r="B917" s="724"/>
      <c r="C917" s="9"/>
      <c r="D917" s="9"/>
      <c r="E917" s="9"/>
      <c r="F917" s="9"/>
      <c r="G917" s="117"/>
      <c r="H917" s="864">
        <v>0.0</v>
      </c>
      <c r="I917" s="865">
        <v>169.86</v>
      </c>
      <c r="J917" s="866"/>
      <c r="K917" s="7"/>
      <c r="L917" s="810"/>
    </row>
    <row r="918">
      <c r="B918" s="724"/>
      <c r="C918" s="869" t="s">
        <v>634</v>
      </c>
      <c r="D918" s="870" t="s">
        <v>600</v>
      </c>
      <c r="E918" s="870" t="s">
        <v>5</v>
      </c>
      <c r="F918" s="870" t="s">
        <v>4</v>
      </c>
      <c r="G918" s="870" t="s">
        <v>16</v>
      </c>
      <c r="H918" s="871" t="s">
        <v>635</v>
      </c>
      <c r="I918" s="872"/>
      <c r="L918" s="873"/>
    </row>
    <row r="919">
      <c r="B919" s="809"/>
      <c r="C919" s="874" t="s">
        <v>636</v>
      </c>
      <c r="D919" s="659">
        <v>1300.0</v>
      </c>
      <c r="E919" s="1017">
        <v>45782.0</v>
      </c>
      <c r="F919" s="1018"/>
      <c r="G919" s="892">
        <f t="shared" ref="G919:G938" si="96">IF(F919="",D919,"")</f>
        <v>1300</v>
      </c>
      <c r="H919" s="1019" t="s">
        <v>574</v>
      </c>
      <c r="I919" s="878"/>
      <c r="J919" s="878"/>
      <c r="K919" s="878"/>
      <c r="L919" s="879"/>
    </row>
    <row r="920">
      <c r="B920" s="809"/>
      <c r="C920" s="874"/>
      <c r="D920" s="892"/>
      <c r="E920" s="1020"/>
      <c r="F920" s="1018"/>
      <c r="G920" s="892" t="str">
        <f t="shared" si="96"/>
        <v/>
      </c>
      <c r="H920" s="1021"/>
      <c r="I920" s="883"/>
      <c r="J920" s="884"/>
      <c r="K920" s="885"/>
      <c r="L920" s="879"/>
    </row>
    <row r="921">
      <c r="B921" s="809"/>
      <c r="C921" s="886" t="s">
        <v>637</v>
      </c>
      <c r="D921" s="892">
        <f t="shared" ref="D921:D923" si="97">G896</f>
        <v>1419.22</v>
      </c>
      <c r="E921" s="1017">
        <v>45782.0</v>
      </c>
      <c r="F921" s="1022"/>
      <c r="G921" s="892">
        <f t="shared" si="96"/>
        <v>1419.22</v>
      </c>
      <c r="H921" s="1024" t="s">
        <v>558</v>
      </c>
      <c r="I921" s="883"/>
      <c r="J921" s="884"/>
      <c r="K921" s="885"/>
      <c r="L921" s="879"/>
    </row>
    <row r="922">
      <c r="B922" s="809"/>
      <c r="C922" s="886" t="s">
        <v>705</v>
      </c>
      <c r="D922" s="892">
        <f t="shared" si="97"/>
        <v>1202.747559</v>
      </c>
      <c r="E922" s="1017">
        <v>45782.0</v>
      </c>
      <c r="F922" s="1018"/>
      <c r="G922" s="892">
        <f t="shared" si="96"/>
        <v>1202.747559</v>
      </c>
      <c r="H922" s="1024" t="s">
        <v>558</v>
      </c>
      <c r="I922" s="883"/>
      <c r="J922" s="884"/>
      <c r="K922" s="885"/>
      <c r="L922" s="879"/>
    </row>
    <row r="923">
      <c r="B923" s="809"/>
      <c r="C923" s="886" t="s">
        <v>706</v>
      </c>
      <c r="D923" s="892">
        <f t="shared" si="97"/>
        <v>1023.666387</v>
      </c>
      <c r="E923" s="1017">
        <v>45782.0</v>
      </c>
      <c r="F923" s="1018"/>
      <c r="G923" s="892">
        <f t="shared" si="96"/>
        <v>1023.666387</v>
      </c>
      <c r="H923" s="1024" t="s">
        <v>573</v>
      </c>
      <c r="I923" s="884"/>
      <c r="K923" s="885"/>
      <c r="L923" s="879"/>
    </row>
    <row r="924">
      <c r="B924" s="809"/>
      <c r="C924" s="874" t="s">
        <v>638</v>
      </c>
      <c r="D924" s="892">
        <f>E903</f>
        <v>2714.4</v>
      </c>
      <c r="E924" s="1017">
        <v>45767.0</v>
      </c>
      <c r="F924" s="1018" t="s">
        <v>639</v>
      </c>
      <c r="G924" s="892" t="str">
        <f t="shared" si="96"/>
        <v/>
      </c>
      <c r="H924" s="1019"/>
      <c r="I924" s="890"/>
      <c r="J924" s="9"/>
      <c r="K924" s="891"/>
      <c r="L924" s="879"/>
    </row>
    <row r="925">
      <c r="B925" s="809"/>
      <c r="C925" s="874" t="s">
        <v>640</v>
      </c>
      <c r="D925" s="892">
        <v>430.0</v>
      </c>
      <c r="E925" s="1017">
        <v>45757.0</v>
      </c>
      <c r="F925" s="1018" t="s">
        <v>639</v>
      </c>
      <c r="G925" s="892" t="str">
        <f t="shared" si="96"/>
        <v/>
      </c>
      <c r="H925" s="1021"/>
      <c r="I925" s="890"/>
      <c r="J925" s="893"/>
      <c r="K925" s="891"/>
      <c r="L925" s="879"/>
    </row>
    <row r="926">
      <c r="B926" s="809"/>
      <c r="C926" s="874" t="s">
        <v>641</v>
      </c>
      <c r="D926" s="892">
        <f>G895</f>
        <v>750</v>
      </c>
      <c r="E926" s="1017">
        <v>45782.0</v>
      </c>
      <c r="F926" s="1018"/>
      <c r="G926" s="892">
        <f t="shared" si="96"/>
        <v>750</v>
      </c>
      <c r="H926" s="1024" t="s">
        <v>631</v>
      </c>
      <c r="I926" s="890"/>
      <c r="J926" s="893"/>
      <c r="K926" s="891"/>
      <c r="L926" s="879"/>
    </row>
    <row r="927">
      <c r="B927" s="809"/>
      <c r="C927" s="874" t="s">
        <v>691</v>
      </c>
      <c r="D927" s="892">
        <v>105.0</v>
      </c>
      <c r="E927" s="1017">
        <v>45772.0</v>
      </c>
      <c r="F927" s="1018" t="s">
        <v>639</v>
      </c>
      <c r="G927" s="892" t="str">
        <f t="shared" si="96"/>
        <v/>
      </c>
      <c r="H927" s="1021"/>
      <c r="I927" s="890"/>
      <c r="J927" s="9"/>
      <c r="K927" s="891"/>
      <c r="L927" s="879"/>
    </row>
    <row r="928">
      <c r="B928" s="809"/>
      <c r="C928" s="874" t="s">
        <v>644</v>
      </c>
      <c r="D928" s="892"/>
      <c r="E928" s="1020"/>
      <c r="F928" s="1018"/>
      <c r="G928" s="892" t="str">
        <f t="shared" si="96"/>
        <v/>
      </c>
      <c r="H928" s="1021"/>
      <c r="I928" s="890"/>
      <c r="J928" s="9"/>
      <c r="K928" s="891"/>
      <c r="L928" s="879"/>
    </row>
    <row r="929">
      <c r="B929" s="809"/>
      <c r="C929" s="874" t="s">
        <v>645</v>
      </c>
      <c r="D929" s="892">
        <v>120.0</v>
      </c>
      <c r="E929" s="1017">
        <v>45767.0</v>
      </c>
      <c r="F929" s="1018" t="s">
        <v>639</v>
      </c>
      <c r="G929" s="1018" t="str">
        <f t="shared" si="96"/>
        <v/>
      </c>
      <c r="H929" s="1021"/>
      <c r="I929" s="890"/>
      <c r="J929" s="9"/>
      <c r="K929" s="891"/>
      <c r="L929" s="879"/>
    </row>
    <row r="930">
      <c r="B930" s="809"/>
      <c r="C930" s="874" t="s">
        <v>646</v>
      </c>
      <c r="D930" s="892" t="s">
        <v>134</v>
      </c>
      <c r="E930" s="1017">
        <v>45767.0</v>
      </c>
      <c r="F930" s="1018" t="s">
        <v>639</v>
      </c>
      <c r="G930" s="892" t="str">
        <f t="shared" si="96"/>
        <v/>
      </c>
      <c r="H930" s="1021"/>
      <c r="I930" s="890"/>
      <c r="J930" s="9"/>
      <c r="K930" s="891"/>
      <c r="L930" s="879"/>
    </row>
    <row r="931">
      <c r="B931" s="809"/>
      <c r="C931" s="874" t="s">
        <v>647</v>
      </c>
      <c r="D931" s="892"/>
      <c r="E931" s="1020"/>
      <c r="F931" s="1018"/>
      <c r="G931" s="892" t="str">
        <f t="shared" si="96"/>
        <v/>
      </c>
      <c r="H931" s="1021"/>
      <c r="I931" s="890"/>
      <c r="J931" s="9"/>
      <c r="K931" s="891"/>
      <c r="L931" s="879"/>
    </row>
    <row r="932">
      <c r="B932" s="809"/>
      <c r="C932" s="874" t="s">
        <v>648</v>
      </c>
      <c r="D932" s="892">
        <v>697.42</v>
      </c>
      <c r="E932" s="1017">
        <v>45767.0</v>
      </c>
      <c r="F932" s="1018" t="s">
        <v>639</v>
      </c>
      <c r="G932" s="892" t="str">
        <f t="shared" si="96"/>
        <v/>
      </c>
      <c r="H932" s="1021"/>
      <c r="I932" s="890"/>
      <c r="J932" s="9"/>
      <c r="K932" s="891"/>
      <c r="L932" s="879"/>
    </row>
    <row r="933">
      <c r="B933" s="809"/>
      <c r="C933" s="874" t="s">
        <v>649</v>
      </c>
      <c r="D933" s="892">
        <v>435.9</v>
      </c>
      <c r="E933" s="1017">
        <v>45767.0</v>
      </c>
      <c r="F933" s="1018" t="s">
        <v>639</v>
      </c>
      <c r="G933" s="892" t="str">
        <f t="shared" si="96"/>
        <v/>
      </c>
      <c r="H933" s="1021"/>
      <c r="I933" s="890"/>
      <c r="J933" s="9"/>
      <c r="K933" s="891"/>
      <c r="L933" s="879"/>
    </row>
    <row r="934">
      <c r="B934" s="809"/>
      <c r="C934" s="874" t="s">
        <v>650</v>
      </c>
      <c r="D934" s="892">
        <v>323.92</v>
      </c>
      <c r="E934" s="1017">
        <v>45767.0</v>
      </c>
      <c r="F934" s="1018" t="s">
        <v>639</v>
      </c>
      <c r="G934" s="892" t="str">
        <f t="shared" si="96"/>
        <v/>
      </c>
      <c r="H934" s="1019"/>
      <c r="I934" s="890"/>
      <c r="J934" s="9"/>
      <c r="K934" s="891"/>
      <c r="L934" s="879"/>
    </row>
    <row r="935">
      <c r="B935" s="809"/>
      <c r="C935" s="874" t="s">
        <v>653</v>
      </c>
      <c r="D935" s="892"/>
      <c r="E935" s="1020"/>
      <c r="F935" s="1018"/>
      <c r="G935" s="892" t="str">
        <f t="shared" si="96"/>
        <v/>
      </c>
      <c r="H935" s="1021"/>
      <c r="I935" s="890"/>
      <c r="J935" s="9"/>
      <c r="K935" s="891"/>
      <c r="L935" s="879"/>
    </row>
    <row r="936">
      <c r="B936" s="809"/>
      <c r="C936" s="874" t="s">
        <v>654</v>
      </c>
      <c r="D936" s="892"/>
      <c r="E936" s="1020"/>
      <c r="F936" s="1018"/>
      <c r="G936" s="892" t="str">
        <f t="shared" si="96"/>
        <v/>
      </c>
      <c r="H936" s="1021"/>
      <c r="I936" s="890"/>
      <c r="J936" s="9"/>
      <c r="K936" s="891"/>
      <c r="L936" s="879"/>
    </row>
    <row r="937">
      <c r="B937" s="809"/>
      <c r="C937" s="886" t="s">
        <v>733</v>
      </c>
      <c r="D937" s="659">
        <v>500.0</v>
      </c>
      <c r="E937" s="1017">
        <v>45976.0</v>
      </c>
      <c r="F937" s="1018"/>
      <c r="G937" s="892">
        <f t="shared" si="96"/>
        <v>500</v>
      </c>
      <c r="H937" s="1019" t="s">
        <v>574</v>
      </c>
      <c r="I937" s="890"/>
      <c r="J937" s="9"/>
      <c r="K937" s="891"/>
      <c r="L937" s="879"/>
    </row>
    <row r="938">
      <c r="B938" s="809"/>
      <c r="C938" s="886" t="s">
        <v>733</v>
      </c>
      <c r="D938" s="659">
        <v>500.0</v>
      </c>
      <c r="E938" s="1017">
        <v>45976.0</v>
      </c>
      <c r="F938" s="1018"/>
      <c r="G938" s="892">
        <f t="shared" si="96"/>
        <v>500</v>
      </c>
      <c r="H938" s="1019" t="s">
        <v>574</v>
      </c>
      <c r="I938" s="890"/>
      <c r="J938" s="9"/>
      <c r="K938" s="891"/>
      <c r="L938" s="879"/>
    </row>
    <row r="939">
      <c r="B939" s="809"/>
      <c r="C939" s="886" t="s">
        <v>651</v>
      </c>
      <c r="D939" s="659">
        <v>867.0</v>
      </c>
      <c r="E939" s="1017">
        <v>45754.0</v>
      </c>
      <c r="F939" s="1018"/>
      <c r="G939" s="659">
        <v>870.0</v>
      </c>
      <c r="H939" s="1019" t="s">
        <v>574</v>
      </c>
      <c r="I939" s="890"/>
      <c r="J939" s="9"/>
      <c r="K939" s="891"/>
      <c r="L939" s="879"/>
    </row>
    <row r="940">
      <c r="B940" s="809"/>
      <c r="C940" s="874" t="s">
        <v>657</v>
      </c>
      <c r="D940" s="892">
        <v>750.0</v>
      </c>
      <c r="E940" s="1017">
        <v>45767.0</v>
      </c>
      <c r="F940" s="1018" t="s">
        <v>639</v>
      </c>
      <c r="G940" s="892" t="str">
        <f t="shared" ref="G940:G942" si="98">IF(F940="",D940,"")</f>
        <v/>
      </c>
      <c r="H940" s="1021"/>
      <c r="I940" s="890"/>
      <c r="J940" s="9"/>
      <c r="K940" s="891"/>
      <c r="L940" s="879"/>
    </row>
    <row r="941">
      <c r="B941" s="809"/>
      <c r="C941" s="894" t="s">
        <v>658</v>
      </c>
      <c r="D941" s="1025">
        <v>750.0</v>
      </c>
      <c r="E941" s="1017">
        <v>45782.0</v>
      </c>
      <c r="F941" s="1026"/>
      <c r="G941" s="892">
        <f t="shared" si="98"/>
        <v>750</v>
      </c>
      <c r="H941" s="1027" t="s">
        <v>631</v>
      </c>
      <c r="I941" s="890"/>
      <c r="J941" s="9"/>
      <c r="K941" s="891"/>
      <c r="L941" s="879"/>
    </row>
    <row r="942">
      <c r="B942" s="809"/>
      <c r="C942" s="1028" t="s">
        <v>707</v>
      </c>
      <c r="D942" s="1029"/>
      <c r="E942" s="1030">
        <v>45721.0</v>
      </c>
      <c r="F942" s="1031"/>
      <c r="G942" s="1032" t="str">
        <f t="shared" si="98"/>
        <v/>
      </c>
      <c r="H942" s="1033"/>
      <c r="I942" s="890"/>
      <c r="J942" s="9"/>
      <c r="K942" s="891"/>
      <c r="L942" s="879"/>
    </row>
    <row r="943">
      <c r="B943" s="809"/>
      <c r="C943" s="904"/>
      <c r="D943" s="905"/>
      <c r="E943" s="906"/>
      <c r="F943" s="904"/>
      <c r="G943" s="904"/>
      <c r="H943" s="904"/>
      <c r="I943" s="906"/>
      <c r="J943" s="904"/>
      <c r="K943" s="240"/>
      <c r="L943" s="907"/>
    </row>
    <row r="944">
      <c r="B944" s="724"/>
      <c r="C944" s="908" t="s">
        <v>538</v>
      </c>
      <c r="D944" s="909"/>
      <c r="E944" s="909"/>
      <c r="F944" s="909"/>
      <c r="G944" s="909"/>
      <c r="H944" s="909"/>
      <c r="I944" s="909"/>
      <c r="J944" s="910"/>
      <c r="K944" s="891"/>
      <c r="L944" s="879"/>
    </row>
    <row r="945">
      <c r="B945" s="768"/>
      <c r="C945" s="911" t="s">
        <v>659</v>
      </c>
      <c r="D945" s="912"/>
      <c r="E945" s="913">
        <f>I952</f>
        <v>3917.356054</v>
      </c>
      <c r="F945" s="914"/>
      <c r="G945" s="915" t="s">
        <v>660</v>
      </c>
      <c r="H945" s="916"/>
      <c r="I945" s="913">
        <f>F912</f>
        <v>1430</v>
      </c>
      <c r="J945" s="917">
        <f>I945-G959-G965-G971-E960</f>
        <v>0</v>
      </c>
      <c r="K945" s="918"/>
      <c r="L945" s="919"/>
    </row>
    <row r="946">
      <c r="B946" s="768"/>
      <c r="C946" s="920"/>
      <c r="D946" s="921"/>
      <c r="E946" s="921"/>
      <c r="F946" s="914"/>
      <c r="G946" s="915" t="s">
        <v>558</v>
      </c>
      <c r="H946" s="916"/>
      <c r="I946" s="913">
        <f>F910</f>
        <v>1601.032441</v>
      </c>
      <c r="J946" s="917">
        <f>I946-E958-G961-G967-G972</f>
        <v>0.0024407</v>
      </c>
      <c r="K946" s="918"/>
      <c r="L946" s="919"/>
    </row>
    <row r="947">
      <c r="B947" s="768"/>
      <c r="C947" s="911" t="s">
        <v>661</v>
      </c>
      <c r="D947" s="912"/>
      <c r="E947" s="913">
        <f>SUM(E945/100*10)-91.74</f>
        <v>299.9956054</v>
      </c>
      <c r="F947" s="914"/>
      <c r="G947" s="922" t="s">
        <v>630</v>
      </c>
      <c r="H947" s="916"/>
      <c r="I947" s="913">
        <f>F913</f>
        <v>480</v>
      </c>
      <c r="J947" s="917">
        <f>I947-G960-G973-E959</f>
        <v>0</v>
      </c>
      <c r="K947" s="918"/>
      <c r="L947" s="919"/>
    </row>
    <row r="948">
      <c r="B948" s="768"/>
      <c r="C948" s="911" t="s">
        <v>662</v>
      </c>
      <c r="D948" s="912"/>
      <c r="E948" s="913">
        <f>SUM(E945/100*10)-91.74</f>
        <v>299.9956054</v>
      </c>
      <c r="F948" s="914"/>
      <c r="G948" s="915" t="s">
        <v>573</v>
      </c>
      <c r="H948" s="916"/>
      <c r="I948" s="913">
        <f>F911</f>
        <v>366.3336133</v>
      </c>
      <c r="J948" s="917">
        <f>I948-G958-G964-G970-E962</f>
        <v>0.003613304</v>
      </c>
      <c r="K948" s="117"/>
      <c r="L948" s="923"/>
    </row>
    <row r="949">
      <c r="B949" s="768"/>
      <c r="C949" s="920"/>
      <c r="D949" s="921"/>
      <c r="E949" s="921"/>
      <c r="F949" s="914"/>
      <c r="G949" s="916" t="s">
        <v>576</v>
      </c>
      <c r="H949" s="916"/>
      <c r="I949" s="924">
        <f t="shared" ref="I949:I950" si="99">F914</f>
        <v>430</v>
      </c>
      <c r="J949" s="925">
        <f>I949-E961</f>
        <v>0</v>
      </c>
      <c r="K949" s="240"/>
      <c r="L949" s="907"/>
    </row>
    <row r="950">
      <c r="B950" s="768"/>
      <c r="C950" s="911" t="s">
        <v>663</v>
      </c>
      <c r="D950" s="912"/>
      <c r="E950" s="926">
        <f>SUM(E945)-(E947+E948)</f>
        <v>3317.364843</v>
      </c>
      <c r="F950" s="927"/>
      <c r="G950" s="928" t="s">
        <v>631</v>
      </c>
      <c r="H950" s="916"/>
      <c r="I950" s="924">
        <f t="shared" si="99"/>
        <v>610</v>
      </c>
      <c r="J950" s="925">
        <f>I950-E963-G966</f>
        <v>0</v>
      </c>
      <c r="K950" s="240"/>
      <c r="L950" s="907"/>
    </row>
    <row r="951">
      <c r="B951" s="768"/>
      <c r="C951" s="911" t="s">
        <v>664</v>
      </c>
      <c r="D951" s="912"/>
      <c r="E951" s="913">
        <v>0.0</v>
      </c>
      <c r="F951" s="914"/>
      <c r="G951" s="921"/>
      <c r="H951" s="921"/>
      <c r="I951" s="929">
        <f t="shared" ref="I951:J951" si="100">SUM(I945:I950)-0.01</f>
        <v>4917.356054</v>
      </c>
      <c r="J951" s="930">
        <f t="shared" si="100"/>
        <v>-0.003945996</v>
      </c>
      <c r="K951" s="7"/>
      <c r="L951" s="810"/>
    </row>
    <row r="952">
      <c r="B952" s="768"/>
      <c r="C952" s="920"/>
      <c r="D952" s="921"/>
      <c r="E952" s="921"/>
      <c r="F952" s="927"/>
      <c r="G952" s="931" t="s">
        <v>610</v>
      </c>
      <c r="H952" s="932"/>
      <c r="I952" s="926">
        <f>SUM(I945:I950)-1000-0.01</f>
        <v>3917.356054</v>
      </c>
      <c r="J952" s="933"/>
      <c r="K952" s="7"/>
      <c r="L952" s="810"/>
    </row>
    <row r="953">
      <c r="B953" s="768"/>
      <c r="C953" s="911" t="s">
        <v>665</v>
      </c>
      <c r="D953" s="912"/>
      <c r="E953" s="934" t="s">
        <v>666</v>
      </c>
      <c r="F953" s="927"/>
      <c r="G953" s="1048" t="s">
        <v>667</v>
      </c>
      <c r="J953" s="933"/>
      <c r="K953" s="7"/>
      <c r="L953" s="810"/>
    </row>
    <row r="954">
      <c r="B954" s="768"/>
      <c r="C954" s="920"/>
      <c r="D954" s="916"/>
      <c r="E954" s="936"/>
      <c r="F954" s="927"/>
      <c r="G954" s="927"/>
      <c r="H954" s="927"/>
      <c r="I954" s="927"/>
      <c r="J954" s="933"/>
      <c r="K954" s="7"/>
      <c r="L954" s="810"/>
    </row>
    <row r="955">
      <c r="B955" s="768"/>
      <c r="C955" s="937" t="s">
        <v>620</v>
      </c>
      <c r="D955" s="938">
        <f>SUM(E950-D954)</f>
        <v>3317.364843</v>
      </c>
      <c r="E955" s="939">
        <f>D955</f>
        <v>3317.364843</v>
      </c>
      <c r="F955" s="940"/>
      <c r="G955" s="940"/>
      <c r="H955" s="940"/>
      <c r="I955" s="940"/>
      <c r="J955" s="941"/>
      <c r="K955" s="7"/>
      <c r="L955" s="810"/>
    </row>
    <row r="956">
      <c r="B956" s="768"/>
      <c r="C956" s="942"/>
      <c r="D956" s="117"/>
      <c r="E956" s="117"/>
      <c r="F956" s="117">
        <f>E955+G941</f>
        <v>4067.364843</v>
      </c>
      <c r="G956" s="117"/>
      <c r="H956" s="117"/>
      <c r="I956" s="918"/>
      <c r="J956" s="943"/>
      <c r="K956" s="7"/>
      <c r="L956" s="810"/>
    </row>
    <row r="957">
      <c r="B957" s="768"/>
      <c r="C957" s="944" t="s">
        <v>668</v>
      </c>
      <c r="D957" s="593"/>
      <c r="E957" s="594"/>
      <c r="F957" s="117"/>
      <c r="G957" s="945" t="s">
        <v>669</v>
      </c>
      <c r="H957" s="594"/>
      <c r="I957" s="918"/>
      <c r="J957" s="943"/>
      <c r="K957" s="117"/>
      <c r="L957" s="923"/>
    </row>
    <row r="958">
      <c r="B958" s="768"/>
      <c r="C958" s="946" t="s">
        <v>558</v>
      </c>
      <c r="D958" s="912"/>
      <c r="E958" s="947">
        <v>1001.03</v>
      </c>
      <c r="F958" s="1061"/>
      <c r="G958" s="951">
        <v>0.0</v>
      </c>
      <c r="H958" s="950" t="s">
        <v>573</v>
      </c>
      <c r="I958" s="918"/>
      <c r="J958" s="943"/>
      <c r="K958" s="117"/>
      <c r="L958" s="923"/>
    </row>
    <row r="959">
      <c r="B959" s="768"/>
      <c r="C959" s="946" t="s">
        <v>630</v>
      </c>
      <c r="D959" s="912"/>
      <c r="E959" s="947">
        <v>480.0</v>
      </c>
      <c r="F959" s="1061"/>
      <c r="G959" s="951">
        <v>0.0</v>
      </c>
      <c r="H959" s="950" t="s">
        <v>587</v>
      </c>
      <c r="I959" s="918"/>
      <c r="J959" s="943"/>
      <c r="K959" s="117"/>
      <c r="L959" s="923"/>
    </row>
    <row r="960">
      <c r="B960" s="768"/>
      <c r="C960" s="952" t="s">
        <v>587</v>
      </c>
      <c r="D960" s="912"/>
      <c r="E960" s="947">
        <v>430.0</v>
      </c>
      <c r="F960" s="953"/>
      <c r="G960" s="949">
        <v>0.0</v>
      </c>
      <c r="H960" s="954" t="s">
        <v>630</v>
      </c>
      <c r="I960" s="955">
        <f>F966</f>
        <v>366.33</v>
      </c>
      <c r="J960" s="594"/>
      <c r="K960" s="117"/>
      <c r="L960" s="923"/>
    </row>
    <row r="961">
      <c r="B961" s="768"/>
      <c r="C961" s="952" t="s">
        <v>576</v>
      </c>
      <c r="D961" s="912"/>
      <c r="E961" s="947">
        <v>430.0</v>
      </c>
      <c r="F961" s="1061"/>
      <c r="G961" s="951">
        <v>300.0</v>
      </c>
      <c r="H961" s="956" t="s">
        <v>558</v>
      </c>
      <c r="I961" s="957" t="s">
        <v>620</v>
      </c>
      <c r="J961" s="958" t="s">
        <v>672</v>
      </c>
      <c r="K961" s="117"/>
      <c r="L961" s="923"/>
    </row>
    <row r="962">
      <c r="B962" s="768"/>
      <c r="C962" s="952" t="s">
        <v>573</v>
      </c>
      <c r="D962" s="912"/>
      <c r="E962" s="947">
        <v>366.33</v>
      </c>
      <c r="F962" s="1061"/>
      <c r="G962" s="959">
        <f>SUM(G958:G961)</f>
        <v>300</v>
      </c>
      <c r="H962" s="960" t="s">
        <v>610</v>
      </c>
      <c r="I962" s="961">
        <f>I960/2</f>
        <v>183.165</v>
      </c>
      <c r="J962" s="962"/>
      <c r="K962" s="7"/>
      <c r="L962" s="810"/>
    </row>
    <row r="963">
      <c r="B963" s="768"/>
      <c r="C963" s="946" t="s">
        <v>631</v>
      </c>
      <c r="D963" s="912"/>
      <c r="E963" s="947">
        <v>610.0</v>
      </c>
      <c r="F963" s="1061"/>
      <c r="G963" s="964" t="s">
        <v>673</v>
      </c>
      <c r="H963" s="594"/>
      <c r="I963" s="965" t="s">
        <v>670</v>
      </c>
      <c r="J963" s="966" t="s">
        <v>674</v>
      </c>
      <c r="K963" s="7"/>
      <c r="L963" s="810"/>
    </row>
    <row r="964">
      <c r="B964" s="967"/>
      <c r="C964" s="952" t="s">
        <v>675</v>
      </c>
      <c r="D964" s="912"/>
      <c r="E964" s="968">
        <f>SUM(E955-(E958+E959+E960+E961+E962+E963))</f>
        <v>0.0048432032</v>
      </c>
      <c r="F964" s="969"/>
      <c r="G964" s="976">
        <v>0.0</v>
      </c>
      <c r="H964" s="971" t="s">
        <v>573</v>
      </c>
      <c r="I964" s="972">
        <f>I960/2</f>
        <v>183.165</v>
      </c>
      <c r="J964" s="973"/>
      <c r="K964" s="7"/>
      <c r="L964" s="810"/>
    </row>
    <row r="965">
      <c r="B965" s="967"/>
      <c r="C965" s="942"/>
      <c r="D965" s="918"/>
      <c r="E965" s="974">
        <f>SUM(E958:E963)</f>
        <v>3317.36</v>
      </c>
      <c r="F965" s="975"/>
      <c r="G965" s="976">
        <v>0.0</v>
      </c>
      <c r="H965" s="977" t="s">
        <v>587</v>
      </c>
      <c r="I965" s="918"/>
      <c r="J965" s="978"/>
      <c r="K965" s="7"/>
      <c r="L965" s="810"/>
    </row>
    <row r="966">
      <c r="B966" s="967"/>
      <c r="C966" s="942"/>
      <c r="D966" s="1060" t="s">
        <v>573</v>
      </c>
      <c r="E966" s="593"/>
      <c r="F966" s="1052">
        <f>SUM(E962)</f>
        <v>366.33</v>
      </c>
      <c r="G966" s="976">
        <v>0.0</v>
      </c>
      <c r="H966" s="981" t="s">
        <v>631</v>
      </c>
      <c r="I966" s="612" t="s">
        <v>676</v>
      </c>
      <c r="J966" s="610"/>
      <c r="K966" s="1037" t="s">
        <v>699</v>
      </c>
      <c r="L966" s="1038" t="s">
        <v>700</v>
      </c>
    </row>
    <row r="967">
      <c r="B967" s="967"/>
      <c r="C967" s="942"/>
      <c r="D967" s="843"/>
      <c r="E967" s="982" t="s">
        <v>677</v>
      </c>
      <c r="F967" s="983">
        <f>F966</f>
        <v>366.33</v>
      </c>
      <c r="G967" s="976">
        <v>300.0</v>
      </c>
      <c r="H967" s="977" t="s">
        <v>558</v>
      </c>
      <c r="I967" s="918" t="s">
        <v>681</v>
      </c>
      <c r="J967" s="1039">
        <v>45558.0</v>
      </c>
      <c r="K967" s="1040">
        <v>45705.0</v>
      </c>
      <c r="L967" s="1042">
        <v>45712.0</v>
      </c>
    </row>
    <row r="968">
      <c r="B968" s="967"/>
      <c r="C968" s="942"/>
      <c r="D968" s="843"/>
      <c r="E968" s="985"/>
      <c r="F968" s="986"/>
      <c r="G968" s="987">
        <f>SUM(G965:G967)</f>
        <v>300</v>
      </c>
      <c r="H968" s="988" t="s">
        <v>610</v>
      </c>
      <c r="I968" s="918"/>
      <c r="J968" s="1039"/>
      <c r="K968" s="1040"/>
      <c r="L968" s="1042"/>
    </row>
    <row r="969">
      <c r="B969" s="768"/>
      <c r="C969" s="989"/>
      <c r="D969" s="943"/>
      <c r="E969" s="1043" t="s">
        <v>701</v>
      </c>
      <c r="F969" s="991"/>
      <c r="G969" s="945" t="s">
        <v>680</v>
      </c>
      <c r="H969" s="594"/>
      <c r="I969" s="918"/>
      <c r="J969" s="984"/>
      <c r="K969" s="7"/>
      <c r="L969" s="810"/>
    </row>
    <row r="970">
      <c r="B970" s="809"/>
      <c r="C970" s="992"/>
      <c r="D970" s="993" t="s">
        <v>587</v>
      </c>
      <c r="E970" s="994">
        <f>E960</f>
        <v>430</v>
      </c>
      <c r="F970" s="969"/>
      <c r="G970" s="949">
        <v>0.0</v>
      </c>
      <c r="H970" s="950" t="s">
        <v>573</v>
      </c>
      <c r="I970" s="918"/>
      <c r="J970" s="610"/>
      <c r="K970" s="7"/>
      <c r="L970" s="810"/>
    </row>
    <row r="971">
      <c r="B971" s="809"/>
      <c r="C971" s="992"/>
      <c r="D971" s="7"/>
      <c r="E971" s="995">
        <f>E963+E958+E959+E961</f>
        <v>2521.03</v>
      </c>
      <c r="F971" s="969"/>
      <c r="G971" s="951">
        <v>1000.0</v>
      </c>
      <c r="H971" s="950" t="s">
        <v>587</v>
      </c>
      <c r="I971" s="7"/>
      <c r="J971" s="996"/>
      <c r="K971" s="7"/>
      <c r="L971" s="810"/>
    </row>
    <row r="972">
      <c r="B972" s="809"/>
      <c r="C972" s="992"/>
      <c r="D972" s="997" t="s">
        <v>682</v>
      </c>
      <c r="E972" s="995">
        <f>SUM(E970+E971)</f>
        <v>2951.03</v>
      </c>
      <c r="F972" s="998"/>
      <c r="G972" s="949">
        <v>0.0</v>
      </c>
      <c r="H972" s="950" t="s">
        <v>558</v>
      </c>
      <c r="I972" s="7"/>
      <c r="J972" s="996"/>
      <c r="K972" s="7"/>
      <c r="L972" s="810"/>
    </row>
    <row r="973">
      <c r="B973" s="809"/>
      <c r="C973" s="992"/>
      <c r="D973" s="7"/>
      <c r="E973" s="7"/>
      <c r="F973" s="998"/>
      <c r="G973" s="949">
        <v>0.0</v>
      </c>
      <c r="H973" s="999" t="s">
        <v>671</v>
      </c>
      <c r="I973" s="7"/>
      <c r="J973" s="996"/>
      <c r="K973" s="7"/>
      <c r="L973" s="810"/>
    </row>
    <row r="974">
      <c r="B974" s="809"/>
      <c r="C974" s="992"/>
      <c r="D974" s="7"/>
      <c r="E974" s="7"/>
      <c r="F974" s="998"/>
      <c r="G974" s="949">
        <f>SUM(G969:G973)</f>
        <v>1000</v>
      </c>
      <c r="H974" s="950" t="s">
        <v>610</v>
      </c>
      <c r="I974" s="7"/>
      <c r="J974" s="996"/>
      <c r="K974" s="7"/>
      <c r="L974" s="810"/>
    </row>
    <row r="975">
      <c r="B975" s="809"/>
      <c r="C975" s="1000"/>
      <c r="D975" s="1001"/>
      <c r="E975" s="1001"/>
      <c r="F975" s="1001"/>
      <c r="G975" s="1002"/>
      <c r="H975" s="1002"/>
      <c r="I975" s="1001"/>
      <c r="J975" s="1003"/>
      <c r="K975" s="7"/>
      <c r="L975" s="810"/>
    </row>
    <row r="976">
      <c r="B976" s="1004"/>
      <c r="C976" s="1005"/>
      <c r="D976" s="1006"/>
      <c r="E976" s="1006"/>
      <c r="F976" s="1006"/>
      <c r="G976" s="1007"/>
      <c r="H976" s="1006"/>
      <c r="I976" s="1006"/>
      <c r="J976" s="1008"/>
      <c r="K976" s="1006"/>
      <c r="L976" s="1009"/>
    </row>
    <row r="981">
      <c r="B981" s="721" t="s">
        <v>737</v>
      </c>
      <c r="C981" s="722"/>
      <c r="D981" s="722"/>
      <c r="E981" s="722"/>
      <c r="F981" s="722"/>
      <c r="G981" s="722"/>
      <c r="H981" s="722"/>
      <c r="I981" s="722"/>
      <c r="J981" s="722"/>
      <c r="K981" s="722"/>
      <c r="L981" s="723"/>
    </row>
    <row r="982">
      <c r="B982" s="724"/>
      <c r="C982" s="725" t="s">
        <v>607</v>
      </c>
      <c r="D982" s="726" t="s">
        <v>608</v>
      </c>
      <c r="E982" s="727"/>
      <c r="F982" s="727"/>
      <c r="G982" s="727"/>
      <c r="H982" s="728"/>
      <c r="I982" s="729">
        <f>YEAR((TODAY()))</f>
        <v>2026</v>
      </c>
      <c r="J982" s="730"/>
      <c r="K982" s="731"/>
      <c r="L982" s="732"/>
    </row>
    <row r="983">
      <c r="B983" s="733"/>
      <c r="C983" s="734">
        <f>TODAY()</f>
        <v>46144</v>
      </c>
      <c r="D983" s="735" t="s">
        <v>609</v>
      </c>
      <c r="E983" s="736" t="s">
        <v>610</v>
      </c>
      <c r="F983" s="737"/>
      <c r="G983" s="737"/>
      <c r="H983" s="738"/>
      <c r="I983" s="730"/>
      <c r="J983" s="730"/>
      <c r="K983" s="730"/>
      <c r="L983" s="732"/>
    </row>
    <row r="984">
      <c r="B984" s="724"/>
      <c r="C984" s="739" t="s">
        <v>611</v>
      </c>
      <c r="D984" s="740"/>
      <c r="E984" s="741" t="s">
        <v>612</v>
      </c>
      <c r="F984" s="742" t="s">
        <v>613</v>
      </c>
      <c r="G984" s="743" t="s">
        <v>614</v>
      </c>
      <c r="H984" s="744" t="s">
        <v>615</v>
      </c>
      <c r="I984" s="745" t="s">
        <v>616</v>
      </c>
      <c r="J984" s="746" t="s">
        <v>617</v>
      </c>
      <c r="K984" s="747" t="s">
        <v>618</v>
      </c>
      <c r="L984" s="748" t="s">
        <v>619</v>
      </c>
    </row>
    <row r="985">
      <c r="B985" s="749"/>
      <c r="C985" s="750" t="s">
        <v>620</v>
      </c>
      <c r="D985" s="743">
        <v>1500.0</v>
      </c>
      <c r="E985" s="751">
        <f>SUM((D985/2)-F985)</f>
        <v>750</v>
      </c>
      <c r="F985" s="752">
        <v>0.0</v>
      </c>
      <c r="G985" s="753">
        <f>SUM(((D985/2)-H985))</f>
        <v>750</v>
      </c>
      <c r="H985" s="754">
        <v>0.0</v>
      </c>
      <c r="I985" s="755"/>
      <c r="J985" s="756"/>
      <c r="K985" s="757"/>
      <c r="L985" s="758"/>
    </row>
    <row r="986">
      <c r="B986" s="749"/>
      <c r="C986" s="759" t="s">
        <v>621</v>
      </c>
      <c r="D986" s="760">
        <v>1518.0</v>
      </c>
      <c r="E986" s="761">
        <f>SUM(((D986/100)*40)-F986)+((I986/100)*0)-607.2</f>
        <v>0</v>
      </c>
      <c r="F986" s="1010">
        <v>0.0</v>
      </c>
      <c r="G986" s="762">
        <f>SUM(((D986/100)*100)-H986)-L986+((I986/100)*100)</f>
        <v>1419.22</v>
      </c>
      <c r="H986" s="775">
        <v>0.0</v>
      </c>
      <c r="I986" s="764">
        <v>15.07</v>
      </c>
      <c r="J986" s="765"/>
      <c r="K986" s="766"/>
      <c r="L986" s="767">
        <f>SUM(D986/100)*7.5</f>
        <v>113.85</v>
      </c>
    </row>
    <row r="987">
      <c r="B987" s="768"/>
      <c r="C987" s="769" t="s">
        <v>622</v>
      </c>
      <c r="D987" s="753">
        <v>1518.0</v>
      </c>
      <c r="E987" s="770">
        <f>SUM((((D987/100)*40)-F987))</f>
        <v>607.2</v>
      </c>
      <c r="F987" s="752">
        <v>0.0</v>
      </c>
      <c r="G987" s="753">
        <f>SUM(((D987/100)*60)-H987)+J987-L987+I987-K987</f>
        <v>603.1475593</v>
      </c>
      <c r="H987" s="771">
        <v>200.0</v>
      </c>
      <c r="I987" s="772">
        <v>0.0</v>
      </c>
      <c r="J987" s="756">
        <f>SUM(D987/100)*19.65</f>
        <v>298.287</v>
      </c>
      <c r="K987" s="1065">
        <v>267.72</v>
      </c>
      <c r="L987" s="758">
        <f>SUM((D987+J987)/100)*7.61</f>
        <v>138.2194407</v>
      </c>
    </row>
    <row r="988">
      <c r="B988" s="768"/>
      <c r="C988" s="773" t="s">
        <v>623</v>
      </c>
      <c r="D988" s="760">
        <v>1518.0</v>
      </c>
      <c r="E988" s="774">
        <f>SUM(((((D988/100)*40))-F988))</f>
        <v>607.2</v>
      </c>
      <c r="F988" s="775">
        <v>0.0</v>
      </c>
      <c r="G988" s="762">
        <f>SUM(((D988/100)*60)-H988)+J988-K988-L988+I988</f>
        <v>945.0763867</v>
      </c>
      <c r="H988" s="776">
        <v>110.13</v>
      </c>
      <c r="I988" s="764">
        <v>0.0</v>
      </c>
      <c r="J988" s="1044">
        <f>SUM(D988/100)*17.42</f>
        <v>264.4356</v>
      </c>
      <c r="K988" s="1045">
        <v>0.0</v>
      </c>
      <c r="L988" s="1046">
        <f>SUM((D988+J988)/100)*6.734</f>
        <v>120.0292133</v>
      </c>
    </row>
    <row r="989">
      <c r="B989" s="768"/>
      <c r="C989" s="778" t="s">
        <v>624</v>
      </c>
      <c r="D989" s="779">
        <v>1500.0</v>
      </c>
      <c r="E989" s="780">
        <f>SUM((D989/2)-F989)</f>
        <v>750</v>
      </c>
      <c r="F989" s="779">
        <v>0.0</v>
      </c>
      <c r="G989" s="781">
        <f>SUM(((D989/2)-H989))-I989</f>
        <v>750</v>
      </c>
      <c r="H989" s="1056">
        <v>0.0</v>
      </c>
      <c r="I989" s="772">
        <v>0.0</v>
      </c>
      <c r="J989" s="756"/>
      <c r="K989" s="757"/>
      <c r="L989" s="758"/>
    </row>
    <row r="990">
      <c r="B990" s="768"/>
      <c r="C990" s="783"/>
      <c r="D990" s="784"/>
      <c r="E990" s="785"/>
      <c r="F990" s="785"/>
      <c r="G990" s="762"/>
      <c r="H990" s="786"/>
      <c r="I990" s="777"/>
      <c r="J990" s="765"/>
      <c r="K990" s="766"/>
      <c r="L990" s="767"/>
    </row>
    <row r="991">
      <c r="B991" s="768"/>
      <c r="C991" s="787"/>
      <c r="D991" s="779"/>
      <c r="E991" s="779"/>
      <c r="F991" s="779"/>
      <c r="G991" s="781"/>
      <c r="H991" s="782"/>
      <c r="I991" s="755"/>
      <c r="J991" s="765">
        <f>SUM(D991/100)*20</f>
        <v>0</v>
      </c>
      <c r="K991" s="766">
        <f>SUM(D991/100)*6</f>
        <v>0</v>
      </c>
      <c r="L991" s="767">
        <f>SUM((D991+J991)/100)*7.75</f>
        <v>0</v>
      </c>
    </row>
    <row r="992">
      <c r="B992" s="768"/>
      <c r="C992" s="789"/>
      <c r="D992" s="790"/>
      <c r="E992" s="790"/>
      <c r="F992" s="790"/>
      <c r="G992" s="790"/>
      <c r="H992" s="791"/>
      <c r="I992" s="792"/>
      <c r="J992" s="793"/>
      <c r="K992" s="794"/>
      <c r="L992" s="795"/>
    </row>
    <row r="993">
      <c r="B993" s="724"/>
      <c r="C993" s="796" t="s">
        <v>610</v>
      </c>
      <c r="D993" s="797"/>
      <c r="E993" s="798">
        <f>SUM(E985:E992)</f>
        <v>2714.4</v>
      </c>
      <c r="F993" s="797"/>
      <c r="G993" s="799">
        <f>SUM(G985:G992)</f>
        <v>4467.443946</v>
      </c>
      <c r="H993" s="1011">
        <f>SUM(G986:G988)</f>
        <v>2967.443946</v>
      </c>
      <c r="I993" s="801"/>
      <c r="J993" s="802"/>
      <c r="K993" s="730"/>
      <c r="L993" s="732"/>
    </row>
    <row r="994">
      <c r="B994" s="724"/>
      <c r="C994" s="803"/>
      <c r="D994" s="804"/>
      <c r="E994" s="804"/>
      <c r="F994" s="804"/>
      <c r="G994" s="804"/>
      <c r="H994" s="804"/>
      <c r="I994" s="805"/>
      <c r="J994" s="806"/>
      <c r="K994" s="807"/>
      <c r="L994" s="808"/>
    </row>
    <row r="995">
      <c r="B995" s="809"/>
      <c r="C995" s="7"/>
      <c r="D995" s="7"/>
      <c r="E995" s="7"/>
      <c r="F995" s="7"/>
      <c r="G995" s="7"/>
      <c r="H995" s="7"/>
      <c r="I995" s="7"/>
      <c r="J995" s="7"/>
      <c r="K995" s="7"/>
      <c r="L995" s="810"/>
    </row>
    <row r="996">
      <c r="B996" s="811">
        <v>46016.0</v>
      </c>
      <c r="C996" s="812"/>
      <c r="D996" s="812"/>
      <c r="E996" s="812"/>
      <c r="F996" s="812"/>
      <c r="G996" s="812"/>
      <c r="H996" s="812"/>
      <c r="I996" s="812"/>
      <c r="J996" s="812"/>
      <c r="K996" s="812"/>
      <c r="L996" s="813"/>
    </row>
    <row r="997">
      <c r="B997" s="814"/>
      <c r="C997" s="815"/>
      <c r="D997" s="815"/>
      <c r="E997" s="815"/>
      <c r="F997" s="815"/>
      <c r="G997" s="815"/>
      <c r="H997" s="815"/>
      <c r="I997" s="815"/>
      <c r="J997" s="815"/>
      <c r="K997" s="815"/>
      <c r="L997" s="816"/>
    </row>
    <row r="998">
      <c r="B998" s="817" t="s">
        <v>571</v>
      </c>
      <c r="C998" s="812"/>
      <c r="D998" s="812"/>
      <c r="E998" s="812"/>
      <c r="F998" s="818"/>
      <c r="G998" s="867" t="s">
        <v>731</v>
      </c>
      <c r="H998" s="820" t="s">
        <v>586</v>
      </c>
      <c r="I998" s="593"/>
      <c r="J998" s="593"/>
      <c r="K998" s="593"/>
      <c r="L998" s="821"/>
    </row>
    <row r="999">
      <c r="B999" s="822" t="s">
        <v>625</v>
      </c>
      <c r="C999" s="823" t="s">
        <v>626</v>
      </c>
      <c r="D999" s="824"/>
      <c r="E999" s="825" t="s">
        <v>627</v>
      </c>
      <c r="F999" s="826" t="s">
        <v>628</v>
      </c>
      <c r="G999" s="1013">
        <v>0.0</v>
      </c>
      <c r="H999" s="621" t="s">
        <v>580</v>
      </c>
      <c r="I999" s="827" t="s">
        <v>735</v>
      </c>
      <c r="J999" s="827" t="s">
        <v>581</v>
      </c>
      <c r="K999" s="621" t="s">
        <v>583</v>
      </c>
      <c r="L999" s="828" t="s">
        <v>584</v>
      </c>
    </row>
    <row r="1000">
      <c r="B1000" s="829">
        <v>165.0</v>
      </c>
      <c r="C1000" s="830" t="s">
        <v>558</v>
      </c>
      <c r="D1000" s="831">
        <f>SUM(B1000-K1000)</f>
        <v>165</v>
      </c>
      <c r="E1000" s="831">
        <f>SUMIF(H1009:H1032,"IFOOD",G1009:G1032)</f>
        <v>0</v>
      </c>
      <c r="F1000" s="832">
        <f>D1000-E1000+I1018</f>
        <v>165</v>
      </c>
      <c r="G1000" s="1014" t="s">
        <v>736</v>
      </c>
      <c r="H1000" s="623" t="s">
        <v>558</v>
      </c>
      <c r="I1000" s="624">
        <v>656.0</v>
      </c>
      <c r="J1000" s="624">
        <v>0.0</v>
      </c>
      <c r="K1000" s="625">
        <f>I1000-G1003</f>
        <v>0</v>
      </c>
      <c r="L1000" s="834">
        <f>SUM(J1000+K1000)</f>
        <v>0</v>
      </c>
    </row>
    <row r="1001">
      <c r="B1001" s="835">
        <v>1400.0</v>
      </c>
      <c r="C1001" s="836" t="s">
        <v>573</v>
      </c>
      <c r="D1001" s="625">
        <f>SUM(B1001-K1004)</f>
        <v>2400</v>
      </c>
      <c r="E1001" s="837">
        <f>SUMIF(H1009:H1031,"Caixa",G1009:G1031)</f>
        <v>603.1475593</v>
      </c>
      <c r="F1001" s="838">
        <f t="shared" ref="F1001:F1004" si="101">D1001-E1001</f>
        <v>1796.852441</v>
      </c>
      <c r="G1001" s="1013">
        <v>952.0</v>
      </c>
      <c r="H1001" s="839" t="s">
        <v>629</v>
      </c>
      <c r="I1001" s="628">
        <v>0.0</v>
      </c>
      <c r="J1001" s="629">
        <v>0.0</v>
      </c>
      <c r="K1001" s="629">
        <f>I1001</f>
        <v>0</v>
      </c>
      <c r="L1001" s="840">
        <v>0.0</v>
      </c>
    </row>
    <row r="1002">
      <c r="B1002" s="829">
        <v>5380.0</v>
      </c>
      <c r="C1002" s="830" t="s">
        <v>574</v>
      </c>
      <c r="D1002" s="831">
        <f>B1002</f>
        <v>5380</v>
      </c>
      <c r="E1002" s="831">
        <f>SUMIF(H1009:H1032,"Cash",G1009:G1032)</f>
        <v>4414.296387</v>
      </c>
      <c r="F1002" s="832">
        <f t="shared" si="101"/>
        <v>965.7036133</v>
      </c>
      <c r="G1002" s="1014">
        <v>649.0</v>
      </c>
      <c r="H1002" s="623" t="s">
        <v>587</v>
      </c>
      <c r="I1002" s="624">
        <v>1770.0</v>
      </c>
      <c r="J1002" s="624">
        <v>0.0</v>
      </c>
      <c r="K1002" s="625">
        <f>I1002-G999-G1001-G1004</f>
        <v>318</v>
      </c>
      <c r="L1002" s="834">
        <f t="shared" ref="L1002:L1005" si="102">SUM(J1002+K1002)</f>
        <v>318</v>
      </c>
    </row>
    <row r="1003">
      <c r="B1003" s="835">
        <v>100.0</v>
      </c>
      <c r="C1003" s="841" t="s">
        <v>629</v>
      </c>
      <c r="D1003" s="625">
        <f>SUM(B1003-K1001)</f>
        <v>100</v>
      </c>
      <c r="E1003" s="837">
        <f>SUMIF(H1009:H1033,"Infinity 1",G1009:G1033)</f>
        <v>0</v>
      </c>
      <c r="F1003" s="838">
        <f t="shared" si="101"/>
        <v>100</v>
      </c>
      <c r="G1003" s="1014">
        <v>656.0</v>
      </c>
      <c r="H1003" s="634" t="s">
        <v>576</v>
      </c>
      <c r="I1003" s="635">
        <v>0.0</v>
      </c>
      <c r="J1003" s="636">
        <v>0.0</v>
      </c>
      <c r="K1003" s="636">
        <f t="shared" ref="K1003:K1004" si="103">I1003</f>
        <v>0</v>
      </c>
      <c r="L1003" s="842">
        <f t="shared" si="102"/>
        <v>0</v>
      </c>
    </row>
    <row r="1004">
      <c r="B1004" s="829">
        <v>185.0</v>
      </c>
      <c r="C1004" s="830" t="s">
        <v>576</v>
      </c>
      <c r="D1004" s="831">
        <f>SUM(B1004-K1003)</f>
        <v>185</v>
      </c>
      <c r="E1004" s="831">
        <f>SUMIF(H1011:H1034,"Stone",G1011:G1034)</f>
        <v>0</v>
      </c>
      <c r="F1004" s="832">
        <f t="shared" si="101"/>
        <v>185</v>
      </c>
      <c r="G1004" s="1057">
        <v>500.0</v>
      </c>
      <c r="H1004" s="641" t="s">
        <v>573</v>
      </c>
      <c r="I1004" s="638">
        <v>-1000.0</v>
      </c>
      <c r="J1004" s="638">
        <v>1000.0</v>
      </c>
      <c r="K1004" s="844">
        <f t="shared" si="103"/>
        <v>-1000</v>
      </c>
      <c r="L1004" s="845">
        <f t="shared" si="102"/>
        <v>0</v>
      </c>
    </row>
    <row r="1005">
      <c r="B1005" s="846">
        <v>1171.0</v>
      </c>
      <c r="C1005" s="847" t="s">
        <v>632</v>
      </c>
      <c r="D1005" s="848">
        <f>SUM(B1005-K1005)</f>
        <v>1171</v>
      </c>
      <c r="E1005" s="848">
        <f>SUMIF(H1011:H1035,"Infinity 2",G1011:G1035)</f>
        <v>750</v>
      </c>
      <c r="F1005" s="849">
        <f>D1005-E1005+I1019</f>
        <v>421</v>
      </c>
      <c r="G1005" s="117"/>
      <c r="H1005" s="850" t="s">
        <v>632</v>
      </c>
      <c r="I1005" s="851">
        <v>649.0</v>
      </c>
      <c r="J1005" s="851">
        <v>0.0</v>
      </c>
      <c r="K1005" s="852">
        <f>I1005-G1002</f>
        <v>0</v>
      </c>
      <c r="L1005" s="853">
        <f t="shared" si="102"/>
        <v>0</v>
      </c>
    </row>
    <row r="1006">
      <c r="B1006" s="1054">
        <f>SUM(B1000:B1005)</f>
        <v>8401</v>
      </c>
      <c r="C1006" s="855" t="s">
        <v>578</v>
      </c>
      <c r="D1006" s="856">
        <f t="shared" ref="D1006:F1006" si="104">SUM(D1000:D1005)</f>
        <v>9401</v>
      </c>
      <c r="E1006" s="857">
        <f t="shared" si="104"/>
        <v>5767.443946</v>
      </c>
      <c r="F1006" s="858">
        <f t="shared" si="104"/>
        <v>3633.556054</v>
      </c>
      <c r="G1006" s="117"/>
      <c r="H1006" s="859" t="s">
        <v>589</v>
      </c>
      <c r="I1006" s="860" t="s">
        <v>590</v>
      </c>
      <c r="J1006" s="861" t="s">
        <v>134</v>
      </c>
      <c r="K1006" s="862">
        <f>SUM(K1000:K1004)</f>
        <v>-682</v>
      </c>
      <c r="L1006" s="863">
        <f>SUM(L1000:L1005)</f>
        <v>318</v>
      </c>
    </row>
    <row r="1007">
      <c r="B1007" s="724"/>
      <c r="C1007" s="9"/>
      <c r="D1007" s="9"/>
      <c r="E1007" s="9"/>
      <c r="F1007" s="9"/>
      <c r="G1007" s="117"/>
      <c r="H1007" s="864">
        <v>0.0</v>
      </c>
      <c r="I1007" s="865">
        <v>169.86</v>
      </c>
      <c r="J1007" s="866"/>
      <c r="K1007" s="867" t="s">
        <v>633</v>
      </c>
      <c r="L1007" s="868"/>
    </row>
    <row r="1008">
      <c r="B1008" s="724"/>
      <c r="C1008" s="869" t="s">
        <v>634</v>
      </c>
      <c r="D1008" s="870" t="s">
        <v>600</v>
      </c>
      <c r="E1008" s="870" t="s">
        <v>5</v>
      </c>
      <c r="F1008" s="870" t="s">
        <v>4</v>
      </c>
      <c r="G1008" s="870" t="s">
        <v>16</v>
      </c>
      <c r="H1008" s="871" t="s">
        <v>635</v>
      </c>
      <c r="I1008" s="872"/>
      <c r="J1008" s="872"/>
      <c r="K1008" s="1066" t="s">
        <v>738</v>
      </c>
      <c r="L1008" s="1067">
        <v>500.18</v>
      </c>
      <c r="M1008" s="1068" t="s">
        <v>33</v>
      </c>
    </row>
    <row r="1009">
      <c r="B1009" s="809"/>
      <c r="C1009" s="874" t="s">
        <v>636</v>
      </c>
      <c r="D1009" s="659">
        <v>1300.0</v>
      </c>
      <c r="E1009" s="1017">
        <v>46027.0</v>
      </c>
      <c r="F1009" s="1018"/>
      <c r="G1009" s="892">
        <f t="shared" ref="G1009:G1032" si="105">IF(F1009="",D1009,"")</f>
        <v>1300</v>
      </c>
      <c r="H1009" s="1019" t="s">
        <v>574</v>
      </c>
      <c r="I1009" s="878"/>
      <c r="J1009" s="878"/>
      <c r="K1009" s="1066" t="s">
        <v>738</v>
      </c>
      <c r="L1009" s="1069">
        <v>662.98</v>
      </c>
      <c r="M1009" s="1068" t="s">
        <v>33</v>
      </c>
    </row>
    <row r="1010">
      <c r="B1010" s="809"/>
      <c r="C1010" s="874"/>
      <c r="D1010" s="892"/>
      <c r="E1010" s="1020"/>
      <c r="F1010" s="1018"/>
      <c r="G1010" s="892" t="str">
        <f t="shared" si="105"/>
        <v/>
      </c>
      <c r="H1010" s="1021"/>
      <c r="I1010" s="883"/>
      <c r="J1010" s="884"/>
      <c r="K1010" s="1066" t="s">
        <v>738</v>
      </c>
      <c r="L1010" s="1069">
        <v>210.0</v>
      </c>
      <c r="M1010" s="1068" t="s">
        <v>33</v>
      </c>
    </row>
    <row r="1011">
      <c r="B1011" s="809"/>
      <c r="C1011" s="886" t="s">
        <v>637</v>
      </c>
      <c r="D1011" s="892">
        <f t="shared" ref="D1011:D1013" si="106">G986</f>
        <v>1419.22</v>
      </c>
      <c r="E1011" s="1017">
        <v>46027.0</v>
      </c>
      <c r="F1011" s="1022"/>
      <c r="G1011" s="1023">
        <f t="shared" si="105"/>
        <v>1419.22</v>
      </c>
      <c r="H1011" s="1024" t="s">
        <v>574</v>
      </c>
      <c r="I1011" s="1070" t="s">
        <v>739</v>
      </c>
      <c r="K1011" s="1066" t="s">
        <v>738</v>
      </c>
      <c r="L1011" s="1069">
        <v>110.0</v>
      </c>
      <c r="M1011" s="1068" t="s">
        <v>33</v>
      </c>
    </row>
    <row r="1012">
      <c r="B1012" s="809"/>
      <c r="C1012" s="886" t="s">
        <v>705</v>
      </c>
      <c r="D1012" s="892">
        <f t="shared" si="106"/>
        <v>603.1475593</v>
      </c>
      <c r="E1012" s="1017">
        <v>46027.0</v>
      </c>
      <c r="F1012" s="1018"/>
      <c r="G1012" s="1023">
        <f t="shared" si="105"/>
        <v>603.1475593</v>
      </c>
      <c r="H1012" s="1024" t="s">
        <v>573</v>
      </c>
      <c r="I1012" s="1071"/>
      <c r="J1012" s="1072"/>
      <c r="K1012" s="1073" t="s">
        <v>740</v>
      </c>
      <c r="L1012" s="1069">
        <v>150.0</v>
      </c>
    </row>
    <row r="1013">
      <c r="B1013" s="809"/>
      <c r="C1013" s="886" t="s">
        <v>706</v>
      </c>
      <c r="D1013" s="892">
        <f t="shared" si="106"/>
        <v>945.0763867</v>
      </c>
      <c r="E1013" s="1017">
        <v>46027.0</v>
      </c>
      <c r="F1013" s="1018"/>
      <c r="G1013" s="1023">
        <f t="shared" si="105"/>
        <v>945.0763867</v>
      </c>
      <c r="H1013" s="1024" t="s">
        <v>574</v>
      </c>
      <c r="I1013" s="1070" t="s">
        <v>739</v>
      </c>
      <c r="K1013" s="885"/>
      <c r="L1013" s="879"/>
    </row>
    <row r="1014">
      <c r="B1014" s="809"/>
      <c r="C1014" s="874" t="s">
        <v>638</v>
      </c>
      <c r="D1014" s="892">
        <f>E993</f>
        <v>2714.4</v>
      </c>
      <c r="E1014" s="1017">
        <v>45767.0</v>
      </c>
      <c r="F1014" s="1018" t="s">
        <v>639</v>
      </c>
      <c r="G1014" s="892" t="str">
        <f t="shared" si="105"/>
        <v/>
      </c>
      <c r="H1014" s="1019"/>
      <c r="I1014" s="890"/>
      <c r="J1014" s="9"/>
      <c r="K1014" s="891"/>
      <c r="L1014" s="879"/>
    </row>
    <row r="1015">
      <c r="B1015" s="809"/>
      <c r="C1015" s="874" t="s">
        <v>640</v>
      </c>
      <c r="D1015" s="892">
        <v>430.0</v>
      </c>
      <c r="E1015" s="1017">
        <v>45757.0</v>
      </c>
      <c r="F1015" s="1018" t="s">
        <v>639</v>
      </c>
      <c r="G1015" s="892" t="str">
        <f t="shared" si="105"/>
        <v/>
      </c>
      <c r="H1015" s="1021"/>
      <c r="I1015" s="890"/>
      <c r="J1015" s="893"/>
      <c r="K1015" s="891"/>
      <c r="L1015" s="879"/>
    </row>
    <row r="1016">
      <c r="B1016" s="809"/>
      <c r="C1016" s="874" t="s">
        <v>641</v>
      </c>
      <c r="D1016" s="892">
        <f>G985</f>
        <v>750</v>
      </c>
      <c r="E1016" s="1017">
        <v>46027.0</v>
      </c>
      <c r="F1016" s="1018"/>
      <c r="G1016" s="892">
        <f t="shared" si="105"/>
        <v>750</v>
      </c>
      <c r="H1016" s="1019" t="s">
        <v>631</v>
      </c>
      <c r="I1016" s="890"/>
      <c r="J1016" s="893"/>
      <c r="K1016" s="891"/>
      <c r="L1016" s="879"/>
    </row>
    <row r="1017">
      <c r="B1017" s="809"/>
      <c r="C1017" s="874" t="s">
        <v>691</v>
      </c>
      <c r="D1017" s="892">
        <v>105.0</v>
      </c>
      <c r="E1017" s="1017">
        <v>45772.0</v>
      </c>
      <c r="F1017" s="1018" t="s">
        <v>639</v>
      </c>
      <c r="G1017" s="892" t="str">
        <f t="shared" si="105"/>
        <v/>
      </c>
      <c r="H1017" s="1021"/>
      <c r="I1017" s="890"/>
      <c r="J1017" s="9"/>
      <c r="K1017" s="891"/>
      <c r="L1017" s="879"/>
    </row>
    <row r="1018">
      <c r="B1018" s="809"/>
      <c r="C1018" s="1074" t="s">
        <v>741</v>
      </c>
      <c r="D1018" s="1075">
        <v>0.0</v>
      </c>
      <c r="E1018" s="1076">
        <v>46027.0</v>
      </c>
      <c r="F1018" s="1077"/>
      <c r="G1018" s="1078">
        <f t="shared" si="105"/>
        <v>0</v>
      </c>
      <c r="H1018" s="1079"/>
      <c r="I1018" s="1080">
        <v>0.0</v>
      </c>
      <c r="J1018" s="1081" t="s">
        <v>558</v>
      </c>
      <c r="K1018" s="891"/>
      <c r="L1018" s="879"/>
    </row>
    <row r="1019">
      <c r="B1019" s="809"/>
      <c r="C1019" s="886" t="s">
        <v>651</v>
      </c>
      <c r="D1019" s="892">
        <v>120.0</v>
      </c>
      <c r="E1019" s="1017">
        <v>45767.0</v>
      </c>
      <c r="F1019" s="1018" t="s">
        <v>639</v>
      </c>
      <c r="G1019" s="1018" t="str">
        <f t="shared" si="105"/>
        <v/>
      </c>
      <c r="H1019" s="1021"/>
      <c r="I1019" s="1080">
        <v>0.0</v>
      </c>
      <c r="J1019" s="1081" t="s">
        <v>742</v>
      </c>
      <c r="K1019" s="891"/>
      <c r="L1019" s="879"/>
    </row>
    <row r="1020">
      <c r="B1020" s="809"/>
      <c r="C1020" s="874" t="s">
        <v>646</v>
      </c>
      <c r="D1020" s="892" t="s">
        <v>134</v>
      </c>
      <c r="E1020" s="1017">
        <v>45767.0</v>
      </c>
      <c r="F1020" s="1018" t="s">
        <v>639</v>
      </c>
      <c r="G1020" s="892" t="str">
        <f t="shared" si="105"/>
        <v/>
      </c>
      <c r="H1020" s="1021"/>
      <c r="I1020" s="890"/>
      <c r="J1020" s="9"/>
      <c r="K1020" s="891"/>
      <c r="L1020" s="879"/>
    </row>
    <row r="1021">
      <c r="B1021" s="809"/>
      <c r="C1021" s="874" t="s">
        <v>647</v>
      </c>
      <c r="D1021" s="892"/>
      <c r="E1021" s="1020"/>
      <c r="F1021" s="1018"/>
      <c r="G1021" s="892" t="str">
        <f t="shared" si="105"/>
        <v/>
      </c>
      <c r="H1021" s="1021"/>
      <c r="I1021" s="890"/>
      <c r="J1021" s="9"/>
      <c r="K1021" s="891"/>
      <c r="L1021" s="879"/>
    </row>
    <row r="1022">
      <c r="B1022" s="809"/>
      <c r="C1022" s="874" t="s">
        <v>648</v>
      </c>
      <c r="D1022" s="892">
        <v>697.42</v>
      </c>
      <c r="E1022" s="1017">
        <v>45767.0</v>
      </c>
      <c r="F1022" s="1018" t="s">
        <v>639</v>
      </c>
      <c r="G1022" s="892" t="str">
        <f t="shared" si="105"/>
        <v/>
      </c>
      <c r="H1022" s="1021"/>
      <c r="I1022" s="890"/>
      <c r="J1022" s="9"/>
      <c r="K1022" s="891"/>
      <c r="L1022" s="879"/>
    </row>
    <row r="1023">
      <c r="B1023" s="809"/>
      <c r="C1023" s="874" t="s">
        <v>649</v>
      </c>
      <c r="D1023" s="892">
        <v>435.9</v>
      </c>
      <c r="E1023" s="1017">
        <v>45767.0</v>
      </c>
      <c r="F1023" s="1018" t="s">
        <v>639</v>
      </c>
      <c r="G1023" s="892" t="str">
        <f t="shared" si="105"/>
        <v/>
      </c>
      <c r="H1023" s="1021"/>
      <c r="I1023" s="890"/>
      <c r="J1023" s="9"/>
      <c r="K1023" s="891"/>
      <c r="L1023" s="879"/>
    </row>
    <row r="1024">
      <c r="B1024" s="809"/>
      <c r="C1024" s="874" t="s">
        <v>650</v>
      </c>
      <c r="D1024" s="892">
        <v>323.92</v>
      </c>
      <c r="E1024" s="1017">
        <v>45767.0</v>
      </c>
      <c r="F1024" s="1018" t="s">
        <v>639</v>
      </c>
      <c r="G1024" s="892" t="str">
        <f t="shared" si="105"/>
        <v/>
      </c>
      <c r="H1024" s="1019"/>
      <c r="I1024" s="890"/>
      <c r="J1024" s="9"/>
      <c r="K1024" s="891"/>
      <c r="L1024" s="879"/>
    </row>
    <row r="1025">
      <c r="B1025" s="809"/>
      <c r="C1025" s="874" t="s">
        <v>653</v>
      </c>
      <c r="D1025" s="892"/>
      <c r="E1025" s="1020"/>
      <c r="F1025" s="1018"/>
      <c r="G1025" s="892" t="str">
        <f t="shared" si="105"/>
        <v/>
      </c>
      <c r="H1025" s="1021"/>
      <c r="I1025" s="890"/>
      <c r="J1025" s="9"/>
      <c r="K1025" s="891"/>
      <c r="L1025" s="879"/>
    </row>
    <row r="1026">
      <c r="B1026" s="809"/>
      <c r="C1026" s="874" t="s">
        <v>654</v>
      </c>
      <c r="D1026" s="892"/>
      <c r="E1026" s="1020"/>
      <c r="F1026" s="1018"/>
      <c r="G1026" s="892" t="str">
        <f t="shared" si="105"/>
        <v/>
      </c>
      <c r="H1026" s="1021"/>
      <c r="I1026" s="890"/>
      <c r="J1026" s="9"/>
      <c r="K1026" s="891"/>
      <c r="L1026" s="879"/>
    </row>
    <row r="1027">
      <c r="B1027" s="809"/>
      <c r="C1027" s="886" t="s">
        <v>651</v>
      </c>
      <c r="D1027" s="659">
        <v>935.0</v>
      </c>
      <c r="E1027" s="1017">
        <v>46027.0</v>
      </c>
      <c r="F1027" s="1022" t="s">
        <v>639</v>
      </c>
      <c r="G1027" s="892" t="str">
        <f t="shared" si="105"/>
        <v/>
      </c>
      <c r="H1027" s="1024" t="s">
        <v>558</v>
      </c>
      <c r="I1027" s="890"/>
      <c r="J1027" s="9"/>
      <c r="K1027" s="891"/>
      <c r="L1027" s="879"/>
    </row>
    <row r="1028">
      <c r="B1028" s="809"/>
      <c r="C1028" s="886" t="s">
        <v>651</v>
      </c>
      <c r="D1028" s="659">
        <v>332.0</v>
      </c>
      <c r="E1028" s="1017">
        <v>46027.0</v>
      </c>
      <c r="F1028" s="1022" t="s">
        <v>639</v>
      </c>
      <c r="G1028" s="892" t="str">
        <f t="shared" si="105"/>
        <v/>
      </c>
      <c r="H1028" s="1024" t="s">
        <v>573</v>
      </c>
      <c r="I1028" s="890"/>
      <c r="J1028" s="9"/>
      <c r="K1028" s="891"/>
      <c r="L1028" s="879"/>
    </row>
    <row r="1029">
      <c r="B1029" s="809"/>
      <c r="C1029" s="886" t="s">
        <v>651</v>
      </c>
      <c r="D1029" s="659">
        <v>867.0</v>
      </c>
      <c r="E1029" s="1017">
        <v>46027.0</v>
      </c>
      <c r="F1029" s="1022" t="s">
        <v>639</v>
      </c>
      <c r="G1029" s="892" t="str">
        <f t="shared" si="105"/>
        <v/>
      </c>
      <c r="H1029" s="1024" t="s">
        <v>631</v>
      </c>
      <c r="I1029" s="890"/>
      <c r="J1029" s="9"/>
      <c r="K1029" s="891"/>
      <c r="L1029" s="879"/>
    </row>
    <row r="1030">
      <c r="B1030" s="809"/>
      <c r="C1030" s="874" t="s">
        <v>657</v>
      </c>
      <c r="D1030" s="892">
        <v>750.0</v>
      </c>
      <c r="E1030" s="1017">
        <v>45767.0</v>
      </c>
      <c r="F1030" s="1018" t="s">
        <v>639</v>
      </c>
      <c r="G1030" s="892" t="str">
        <f t="shared" si="105"/>
        <v/>
      </c>
      <c r="H1030" s="1021"/>
      <c r="I1030" s="890"/>
      <c r="J1030" s="9"/>
      <c r="K1030" s="891"/>
      <c r="L1030" s="879"/>
    </row>
    <row r="1031">
      <c r="B1031" s="809"/>
      <c r="C1031" s="894" t="s">
        <v>658</v>
      </c>
      <c r="D1031" s="1025">
        <v>750.0</v>
      </c>
      <c r="E1031" s="1017">
        <v>46027.0</v>
      </c>
      <c r="F1031" s="1026"/>
      <c r="G1031" s="892">
        <f t="shared" si="105"/>
        <v>750</v>
      </c>
      <c r="H1031" s="1027" t="s">
        <v>574</v>
      </c>
      <c r="I1031" s="890"/>
      <c r="J1031" s="9"/>
      <c r="K1031" s="891"/>
      <c r="L1031" s="879"/>
    </row>
    <row r="1032">
      <c r="B1032" s="809"/>
      <c r="C1032" s="1028" t="s">
        <v>707</v>
      </c>
      <c r="D1032" s="1029"/>
      <c r="E1032" s="1030">
        <v>45721.0</v>
      </c>
      <c r="F1032" s="1031"/>
      <c r="G1032" s="1032" t="str">
        <f t="shared" si="105"/>
        <v/>
      </c>
      <c r="H1032" s="1033"/>
      <c r="I1032" s="890"/>
      <c r="J1032" s="9"/>
      <c r="K1032" s="891"/>
      <c r="L1032" s="879"/>
    </row>
    <row r="1033">
      <c r="B1033" s="809"/>
      <c r="C1033" s="904"/>
      <c r="D1033" s="905"/>
      <c r="E1033" s="906"/>
      <c r="F1033" s="904"/>
      <c r="G1033" s="904"/>
      <c r="H1033" s="904"/>
      <c r="I1033" s="906"/>
      <c r="J1033" s="904"/>
      <c r="K1033" s="240"/>
      <c r="L1033" s="907"/>
    </row>
    <row r="1034">
      <c r="B1034" s="724"/>
      <c r="C1034" s="908" t="s">
        <v>539</v>
      </c>
      <c r="D1034" s="909"/>
      <c r="E1034" s="909"/>
      <c r="F1034" s="909"/>
      <c r="G1034" s="909"/>
      <c r="H1034" s="909"/>
      <c r="I1034" s="909"/>
      <c r="J1034" s="910"/>
      <c r="K1034" s="891"/>
      <c r="L1034" s="879"/>
    </row>
    <row r="1035">
      <c r="B1035" s="768"/>
      <c r="C1035" s="911" t="s">
        <v>659</v>
      </c>
      <c r="D1035" s="912"/>
      <c r="E1035" s="913">
        <f>I1042</f>
        <v>2633.546054</v>
      </c>
      <c r="F1035" s="914"/>
      <c r="G1035" s="915" t="s">
        <v>660</v>
      </c>
      <c r="H1035" s="916"/>
      <c r="I1035" s="913">
        <f>F1002</f>
        <v>965.7036133</v>
      </c>
      <c r="J1035" s="917">
        <f>I1035-G1049-G1055-G1061-E1050</f>
        <v>0.003613304</v>
      </c>
      <c r="K1035" s="918"/>
      <c r="L1035" s="919"/>
    </row>
    <row r="1036">
      <c r="B1036" s="768"/>
      <c r="C1036" s="920"/>
      <c r="D1036" s="921"/>
      <c r="E1036" s="921"/>
      <c r="F1036" s="914"/>
      <c r="G1036" s="915" t="s">
        <v>558</v>
      </c>
      <c r="H1036" s="916"/>
      <c r="I1036" s="913">
        <f>F1000</f>
        <v>165</v>
      </c>
      <c r="J1036" s="917">
        <f>I1036-E1048-G1051-G1057-G1062</f>
        <v>0</v>
      </c>
      <c r="K1036" s="918"/>
      <c r="L1036" s="919"/>
    </row>
    <row r="1037">
      <c r="B1037" s="768"/>
      <c r="C1037" s="911" t="s">
        <v>661</v>
      </c>
      <c r="D1037" s="912"/>
      <c r="E1037" s="913">
        <f>SUM(E1035/100*10)-263.35</f>
        <v>0.0046054004</v>
      </c>
      <c r="F1037" s="914"/>
      <c r="G1037" s="922" t="s">
        <v>630</v>
      </c>
      <c r="H1037" s="916"/>
      <c r="I1037" s="913">
        <f>F1003</f>
        <v>100</v>
      </c>
      <c r="J1037" s="917">
        <f>I1037-G1050-G1063-E1049</f>
        <v>0</v>
      </c>
      <c r="K1037" s="918"/>
      <c r="L1037" s="919"/>
    </row>
    <row r="1038">
      <c r="B1038" s="768"/>
      <c r="C1038" s="911" t="s">
        <v>662</v>
      </c>
      <c r="D1038" s="912"/>
      <c r="E1038" s="913">
        <f>SUM(E1035/100*10)-263.35</f>
        <v>0.0046054004</v>
      </c>
      <c r="F1038" s="914"/>
      <c r="G1038" s="915" t="s">
        <v>573</v>
      </c>
      <c r="H1038" s="916"/>
      <c r="I1038" s="913">
        <f>F1001</f>
        <v>1796.852441</v>
      </c>
      <c r="J1038" s="917">
        <f>I1038-G1048-G1054-G1060-E1052</f>
        <v>0.0024407</v>
      </c>
      <c r="K1038" s="117"/>
      <c r="L1038" s="923"/>
    </row>
    <row r="1039">
      <c r="B1039" s="768"/>
      <c r="C1039" s="920"/>
      <c r="D1039" s="921"/>
      <c r="E1039" s="921"/>
      <c r="F1039" s="914"/>
      <c r="G1039" s="916" t="s">
        <v>576</v>
      </c>
      <c r="H1039" s="916"/>
      <c r="I1039" s="924">
        <f t="shared" ref="I1039:I1040" si="107">F1004</f>
        <v>185</v>
      </c>
      <c r="J1039" s="925">
        <f>I1039-E1051</f>
        <v>0</v>
      </c>
      <c r="K1039" s="240"/>
      <c r="L1039" s="907"/>
    </row>
    <row r="1040">
      <c r="B1040" s="768"/>
      <c r="C1040" s="911" t="s">
        <v>663</v>
      </c>
      <c r="D1040" s="912"/>
      <c r="E1040" s="926">
        <f>SUM(E1035)-(E1037+E1038)</f>
        <v>2633.536843</v>
      </c>
      <c r="F1040" s="927"/>
      <c r="G1040" s="928" t="s">
        <v>631</v>
      </c>
      <c r="H1040" s="916"/>
      <c r="I1040" s="924">
        <f t="shared" si="107"/>
        <v>421</v>
      </c>
      <c r="J1040" s="925">
        <f>I1040-E1053-G1056</f>
        <v>0</v>
      </c>
      <c r="K1040" s="240"/>
      <c r="L1040" s="907"/>
    </row>
    <row r="1041">
      <c r="B1041" s="768"/>
      <c r="C1041" s="911" t="s">
        <v>664</v>
      </c>
      <c r="D1041" s="912"/>
      <c r="E1041" s="913">
        <v>0.0</v>
      </c>
      <c r="F1041" s="914"/>
      <c r="G1041" s="921"/>
      <c r="H1041" s="921"/>
      <c r="I1041" s="929">
        <f t="shared" ref="I1041:J1041" si="108">SUM(I1035:I1040)-0.01</f>
        <v>3633.546054</v>
      </c>
      <c r="J1041" s="930">
        <f t="shared" si="108"/>
        <v>-0.003945996</v>
      </c>
      <c r="K1041" s="7"/>
      <c r="L1041" s="810"/>
    </row>
    <row r="1042">
      <c r="B1042" s="768"/>
      <c r="C1042" s="920"/>
      <c r="D1042" s="921"/>
      <c r="E1042" s="921"/>
      <c r="F1042" s="927"/>
      <c r="G1042" s="931" t="s">
        <v>610</v>
      </c>
      <c r="H1042" s="932"/>
      <c r="I1042" s="926">
        <f>SUM(I1035:I1040)-1000-0.01</f>
        <v>2633.546054</v>
      </c>
      <c r="J1042" s="933"/>
      <c r="K1042" s="7"/>
      <c r="L1042" s="810"/>
    </row>
    <row r="1043">
      <c r="B1043" s="768"/>
      <c r="C1043" s="911" t="s">
        <v>665</v>
      </c>
      <c r="D1043" s="912"/>
      <c r="E1043" s="934" t="s">
        <v>666</v>
      </c>
      <c r="F1043" s="927"/>
      <c r="G1043" s="1048" t="s">
        <v>667</v>
      </c>
      <c r="J1043" s="933"/>
      <c r="K1043" s="7"/>
      <c r="L1043" s="810"/>
    </row>
    <row r="1044">
      <c r="B1044" s="768"/>
      <c r="C1044" s="920"/>
      <c r="D1044" s="916"/>
      <c r="E1044" s="936"/>
      <c r="F1044" s="927"/>
      <c r="G1044" s="927"/>
      <c r="H1044" s="927"/>
      <c r="I1044" s="927"/>
      <c r="J1044" s="933"/>
      <c r="K1044" s="7"/>
      <c r="L1044" s="810"/>
    </row>
    <row r="1045">
      <c r="B1045" s="768"/>
      <c r="C1045" s="937" t="s">
        <v>620</v>
      </c>
      <c r="D1045" s="938">
        <f>SUM(E1040-D1044)</f>
        <v>2633.536843</v>
      </c>
      <c r="E1045" s="939">
        <f>D1045</f>
        <v>2633.536843</v>
      </c>
      <c r="F1045" s="940"/>
      <c r="G1045" s="940"/>
      <c r="H1045" s="940"/>
      <c r="I1045" s="940"/>
      <c r="J1045" s="941"/>
      <c r="K1045" s="7"/>
      <c r="L1045" s="810"/>
    </row>
    <row r="1046">
      <c r="B1046" s="768"/>
      <c r="C1046" s="942"/>
      <c r="D1046" s="117"/>
      <c r="E1046" s="117"/>
      <c r="F1046" s="117">
        <f>E1045+G1031</f>
        <v>3383.536843</v>
      </c>
      <c r="G1046" s="117"/>
      <c r="H1046" s="117"/>
      <c r="I1046" s="918"/>
      <c r="J1046" s="943"/>
      <c r="K1046" s="7"/>
      <c r="L1046" s="810"/>
    </row>
    <row r="1047">
      <c r="B1047" s="768"/>
      <c r="C1047" s="944" t="s">
        <v>668</v>
      </c>
      <c r="D1047" s="593"/>
      <c r="E1047" s="594"/>
      <c r="F1047" s="117"/>
      <c r="G1047" s="945" t="s">
        <v>669</v>
      </c>
      <c r="H1047" s="594"/>
      <c r="I1047" s="918"/>
      <c r="J1047" s="943"/>
      <c r="K1047" s="117"/>
      <c r="L1047" s="923"/>
    </row>
    <row r="1048">
      <c r="B1048" s="768"/>
      <c r="C1048" s="946" t="s">
        <v>558</v>
      </c>
      <c r="D1048" s="912"/>
      <c r="E1048" s="947">
        <v>165.0</v>
      </c>
      <c r="F1048" s="1061"/>
      <c r="G1048" s="951">
        <v>0.0</v>
      </c>
      <c r="H1048" s="950" t="s">
        <v>573</v>
      </c>
      <c r="I1048" s="918"/>
      <c r="J1048" s="943"/>
      <c r="K1048" s="117"/>
      <c r="L1048" s="923"/>
    </row>
    <row r="1049">
      <c r="B1049" s="768"/>
      <c r="C1049" s="946" t="s">
        <v>630</v>
      </c>
      <c r="D1049" s="912"/>
      <c r="E1049" s="947">
        <v>100.0</v>
      </c>
      <c r="F1049" s="1061"/>
      <c r="G1049" s="951">
        <v>0.0</v>
      </c>
      <c r="H1049" s="950" t="s">
        <v>587</v>
      </c>
      <c r="I1049" s="918"/>
      <c r="J1049" s="943"/>
      <c r="K1049" s="117"/>
      <c r="L1049" s="923"/>
    </row>
    <row r="1050">
      <c r="B1050" s="768"/>
      <c r="C1050" s="952" t="s">
        <v>587</v>
      </c>
      <c r="D1050" s="912"/>
      <c r="E1050" s="947">
        <v>965.7</v>
      </c>
      <c r="F1050" s="953"/>
      <c r="G1050" s="949">
        <v>0.0</v>
      </c>
      <c r="H1050" s="954" t="s">
        <v>630</v>
      </c>
      <c r="I1050" s="955">
        <f>F1056</f>
        <v>796.85</v>
      </c>
      <c r="J1050" s="594"/>
      <c r="K1050" s="117"/>
      <c r="L1050" s="923"/>
    </row>
    <row r="1051">
      <c r="B1051" s="768"/>
      <c r="C1051" s="952" t="s">
        <v>576</v>
      </c>
      <c r="D1051" s="912"/>
      <c r="E1051" s="947">
        <v>185.0</v>
      </c>
      <c r="F1051" s="1061"/>
      <c r="G1051" s="951">
        <v>0.0</v>
      </c>
      <c r="H1051" s="956" t="s">
        <v>558</v>
      </c>
      <c r="I1051" s="957" t="s">
        <v>620</v>
      </c>
      <c r="J1051" s="958" t="s">
        <v>672</v>
      </c>
      <c r="K1051" s="117"/>
      <c r="L1051" s="923"/>
    </row>
    <row r="1052">
      <c r="B1052" s="768"/>
      <c r="C1052" s="952" t="s">
        <v>573</v>
      </c>
      <c r="D1052" s="912"/>
      <c r="E1052" s="947">
        <v>796.85</v>
      </c>
      <c r="F1052" s="1061"/>
      <c r="G1052" s="959">
        <f>SUM(G1048:G1051)</f>
        <v>0</v>
      </c>
      <c r="H1052" s="960" t="s">
        <v>610</v>
      </c>
      <c r="I1052" s="961">
        <f>I1050/2</f>
        <v>398.425</v>
      </c>
      <c r="J1052" s="962"/>
      <c r="K1052" s="7"/>
      <c r="L1052" s="810"/>
    </row>
    <row r="1053">
      <c r="B1053" s="768"/>
      <c r="C1053" s="946" t="s">
        <v>631</v>
      </c>
      <c r="D1053" s="912"/>
      <c r="E1053" s="947">
        <v>421.0</v>
      </c>
      <c r="F1053" s="1061"/>
      <c r="G1053" s="964" t="s">
        <v>673</v>
      </c>
      <c r="H1053" s="594"/>
      <c r="I1053" s="965" t="s">
        <v>670</v>
      </c>
      <c r="J1053" s="966" t="s">
        <v>674</v>
      </c>
      <c r="K1053" s="7"/>
      <c r="L1053" s="810"/>
    </row>
    <row r="1054">
      <c r="B1054" s="967"/>
      <c r="C1054" s="952" t="s">
        <v>675</v>
      </c>
      <c r="D1054" s="912"/>
      <c r="E1054" s="968">
        <f>SUM(E1045-(E1048+E1049+E1050+E1051+E1052+E1053))</f>
        <v>-0.0131567968</v>
      </c>
      <c r="F1054" s="969"/>
      <c r="G1054" s="976">
        <v>0.0</v>
      </c>
      <c r="H1054" s="971" t="s">
        <v>573</v>
      </c>
      <c r="I1054" s="972">
        <f>I1050/2</f>
        <v>398.425</v>
      </c>
      <c r="J1054" s="973"/>
      <c r="K1054" s="7"/>
      <c r="L1054" s="810"/>
    </row>
    <row r="1055">
      <c r="B1055" s="967"/>
      <c r="C1055" s="942"/>
      <c r="D1055" s="918"/>
      <c r="E1055" s="974">
        <f>SUM(E1048:E1053)</f>
        <v>2633.55</v>
      </c>
      <c r="F1055" s="975"/>
      <c r="G1055" s="976">
        <v>0.0</v>
      </c>
      <c r="H1055" s="977" t="s">
        <v>587</v>
      </c>
      <c r="I1055" s="918"/>
      <c r="J1055" s="978"/>
      <c r="K1055" s="7"/>
      <c r="L1055" s="810"/>
    </row>
    <row r="1056">
      <c r="B1056" s="967"/>
      <c r="C1056" s="942"/>
      <c r="D1056" s="1060" t="s">
        <v>573</v>
      </c>
      <c r="E1056" s="593"/>
      <c r="F1056" s="1052">
        <f>SUM(E1052)</f>
        <v>796.85</v>
      </c>
      <c r="G1056" s="976">
        <v>0.0</v>
      </c>
      <c r="H1056" s="981" t="s">
        <v>631</v>
      </c>
      <c r="I1056" s="612" t="s">
        <v>676</v>
      </c>
      <c r="J1056" s="610"/>
      <c r="K1056" s="1037" t="s">
        <v>699</v>
      </c>
      <c r="L1056" s="1038" t="s">
        <v>700</v>
      </c>
    </row>
    <row r="1057">
      <c r="B1057" s="967"/>
      <c r="C1057" s="942"/>
      <c r="D1057" s="843"/>
      <c r="E1057" s="982" t="s">
        <v>677</v>
      </c>
      <c r="F1057" s="983">
        <f>F1056</f>
        <v>796.85</v>
      </c>
      <c r="G1057" s="976">
        <v>0.0</v>
      </c>
      <c r="H1057" s="977" t="s">
        <v>558</v>
      </c>
      <c r="I1057" s="918" t="s">
        <v>681</v>
      </c>
      <c r="J1057" s="1039">
        <v>45558.0</v>
      </c>
      <c r="K1057" s="1040">
        <v>45705.0</v>
      </c>
      <c r="L1057" s="1042">
        <v>45712.0</v>
      </c>
    </row>
    <row r="1058">
      <c r="B1058" s="967"/>
      <c r="C1058" s="942"/>
      <c r="D1058" s="843"/>
      <c r="E1058" s="985"/>
      <c r="F1058" s="986"/>
      <c r="G1058" s="987">
        <f>SUM(G1055:G1057)</f>
        <v>0</v>
      </c>
      <c r="H1058" s="988" t="s">
        <v>610</v>
      </c>
      <c r="I1058" s="918"/>
      <c r="J1058" s="1039"/>
      <c r="K1058" s="1040"/>
      <c r="L1058" s="1042"/>
    </row>
    <row r="1059">
      <c r="B1059" s="768"/>
      <c r="C1059" s="989"/>
      <c r="D1059" s="943"/>
      <c r="E1059" s="1043" t="s">
        <v>701</v>
      </c>
      <c r="F1059" s="991"/>
      <c r="G1059" s="945" t="s">
        <v>680</v>
      </c>
      <c r="H1059" s="594"/>
      <c r="I1059" s="918"/>
      <c r="J1059" s="984"/>
      <c r="K1059" s="7"/>
      <c r="L1059" s="810"/>
    </row>
    <row r="1060">
      <c r="B1060" s="809"/>
      <c r="C1060" s="992"/>
      <c r="D1060" s="993" t="s">
        <v>587</v>
      </c>
      <c r="E1060" s="994">
        <f>E1050</f>
        <v>965.7</v>
      </c>
      <c r="F1060" s="969"/>
      <c r="G1060" s="951">
        <v>1000.0</v>
      </c>
      <c r="H1060" s="950" t="s">
        <v>573</v>
      </c>
      <c r="I1060" s="918"/>
      <c r="J1060" s="610"/>
      <c r="K1060" s="7"/>
      <c r="L1060" s="810"/>
    </row>
    <row r="1061">
      <c r="B1061" s="809"/>
      <c r="C1061" s="992"/>
      <c r="D1061" s="7"/>
      <c r="E1061" s="995">
        <f>E1053+E1048+E1049+E1051</f>
        <v>871</v>
      </c>
      <c r="F1061" s="969"/>
      <c r="G1061" s="951">
        <v>0.0</v>
      </c>
      <c r="H1061" s="950" t="s">
        <v>587</v>
      </c>
      <c r="I1061" s="7"/>
      <c r="J1061" s="996"/>
      <c r="K1061" s="7"/>
      <c r="L1061" s="810"/>
    </row>
    <row r="1062">
      <c r="B1062" s="809"/>
      <c r="C1062" s="992"/>
      <c r="D1062" s="997" t="s">
        <v>682</v>
      </c>
      <c r="E1062" s="995">
        <f>SUM(E1060+E1061)</f>
        <v>1836.7</v>
      </c>
      <c r="F1062" s="998"/>
      <c r="G1062" s="949">
        <v>0.0</v>
      </c>
      <c r="H1062" s="950" t="s">
        <v>558</v>
      </c>
      <c r="I1062" s="7"/>
      <c r="J1062" s="996"/>
      <c r="K1062" s="7"/>
      <c r="L1062" s="810"/>
    </row>
    <row r="1063">
      <c r="B1063" s="809"/>
      <c r="C1063" s="992"/>
      <c r="D1063" s="7"/>
      <c r="E1063" s="7"/>
      <c r="F1063" s="998"/>
      <c r="G1063" s="949">
        <v>0.0</v>
      </c>
      <c r="H1063" s="999" t="s">
        <v>671</v>
      </c>
      <c r="I1063" s="7"/>
      <c r="J1063" s="996"/>
      <c r="K1063" s="7"/>
      <c r="L1063" s="810"/>
    </row>
    <row r="1064">
      <c r="B1064" s="809"/>
      <c r="C1064" s="992"/>
      <c r="D1064" s="7"/>
      <c r="E1064" s="7"/>
      <c r="F1064" s="998"/>
      <c r="G1064" s="949">
        <f>SUM(G1059:G1063)</f>
        <v>1000</v>
      </c>
      <c r="H1064" s="950" t="s">
        <v>610</v>
      </c>
      <c r="I1064" s="7"/>
      <c r="J1064" s="996"/>
      <c r="K1064" s="7"/>
      <c r="L1064" s="810"/>
    </row>
    <row r="1065">
      <c r="B1065" s="809"/>
      <c r="C1065" s="1000"/>
      <c r="D1065" s="1001"/>
      <c r="E1065" s="1001"/>
      <c r="F1065" s="1001"/>
      <c r="G1065" s="1002"/>
      <c r="H1065" s="1002"/>
      <c r="I1065" s="1001"/>
      <c r="J1065" s="1003"/>
      <c r="K1065" s="7"/>
      <c r="L1065" s="810"/>
    </row>
    <row r="1066">
      <c r="B1066" s="1004"/>
      <c r="C1066" s="1005"/>
      <c r="D1066" s="1006"/>
      <c r="E1066" s="1006"/>
      <c r="F1066" s="1006"/>
      <c r="G1066" s="1007"/>
      <c r="H1066" s="1006"/>
      <c r="I1066" s="1006"/>
      <c r="J1066" s="1008"/>
      <c r="K1066" s="1006"/>
      <c r="L1066" s="1009"/>
    </row>
  </sheetData>
  <mergeCells count="419">
    <mergeCell ref="C512:E512"/>
    <mergeCell ref="G512:H512"/>
    <mergeCell ref="C513:D513"/>
    <mergeCell ref="C514:D514"/>
    <mergeCell ref="C515:D515"/>
    <mergeCell ref="I515:J515"/>
    <mergeCell ref="C516:D516"/>
    <mergeCell ref="C517:D517"/>
    <mergeCell ref="C518:D518"/>
    <mergeCell ref="G518:H518"/>
    <mergeCell ref="C519:D519"/>
    <mergeCell ref="D521:E521"/>
    <mergeCell ref="I521:J521"/>
    <mergeCell ref="G524:H524"/>
    <mergeCell ref="I525:J525"/>
    <mergeCell ref="B535:L535"/>
    <mergeCell ref="D536:H536"/>
    <mergeCell ref="D537:D538"/>
    <mergeCell ref="E537:H537"/>
    <mergeCell ref="B550:L551"/>
    <mergeCell ref="H552:L552"/>
    <mergeCell ref="B552:F552"/>
    <mergeCell ref="C553:D553"/>
    <mergeCell ref="J560:J561"/>
    <mergeCell ref="I562:K562"/>
    <mergeCell ref="I567:J567"/>
    <mergeCell ref="C588:J588"/>
    <mergeCell ref="C589:D589"/>
    <mergeCell ref="C591:D591"/>
    <mergeCell ref="C592:D592"/>
    <mergeCell ref="C594:D594"/>
    <mergeCell ref="C595:D595"/>
    <mergeCell ref="G596:H596"/>
    <mergeCell ref="C597:D597"/>
    <mergeCell ref="G597:I597"/>
    <mergeCell ref="C601:E601"/>
    <mergeCell ref="G601:H601"/>
    <mergeCell ref="C602:D602"/>
    <mergeCell ref="C603:D603"/>
    <mergeCell ref="C604:D604"/>
    <mergeCell ref="I604:J604"/>
    <mergeCell ref="C605:D605"/>
    <mergeCell ref="C606:D606"/>
    <mergeCell ref="C607:D607"/>
    <mergeCell ref="G607:H607"/>
    <mergeCell ref="C608:D608"/>
    <mergeCell ref="D610:E610"/>
    <mergeCell ref="I610:J610"/>
    <mergeCell ref="G613:H613"/>
    <mergeCell ref="I614:J614"/>
    <mergeCell ref="B624:L624"/>
    <mergeCell ref="D625:H625"/>
    <mergeCell ref="D626:D627"/>
    <mergeCell ref="E626:H626"/>
    <mergeCell ref="B639:L640"/>
    <mergeCell ref="H641:L641"/>
    <mergeCell ref="B641:F641"/>
    <mergeCell ref="C642:D642"/>
    <mergeCell ref="J649:J650"/>
    <mergeCell ref="I651:K651"/>
    <mergeCell ref="I656:J656"/>
    <mergeCell ref="C677:J677"/>
    <mergeCell ref="C678:D678"/>
    <mergeCell ref="C680:D680"/>
    <mergeCell ref="C681:D681"/>
    <mergeCell ref="C683:D683"/>
    <mergeCell ref="C684:D684"/>
    <mergeCell ref="G685:H685"/>
    <mergeCell ref="C686:D686"/>
    <mergeCell ref="G686:I686"/>
    <mergeCell ref="C690:E690"/>
    <mergeCell ref="G690:H690"/>
    <mergeCell ref="C691:D691"/>
    <mergeCell ref="C692:D692"/>
    <mergeCell ref="C693:D693"/>
    <mergeCell ref="I693:J693"/>
    <mergeCell ref="C694:D694"/>
    <mergeCell ref="C695:D695"/>
    <mergeCell ref="C696:D696"/>
    <mergeCell ref="G696:H696"/>
    <mergeCell ref="C697:D697"/>
    <mergeCell ref="D699:E699"/>
    <mergeCell ref="I699:J699"/>
    <mergeCell ref="G702:H702"/>
    <mergeCell ref="I703:J703"/>
    <mergeCell ref="B713:L713"/>
    <mergeCell ref="D714:H714"/>
    <mergeCell ref="D715:D716"/>
    <mergeCell ref="E715:H715"/>
    <mergeCell ref="B728:L729"/>
    <mergeCell ref="H730:L730"/>
    <mergeCell ref="B730:F730"/>
    <mergeCell ref="C731:D731"/>
    <mergeCell ref="J738:J739"/>
    <mergeCell ref="I740:K740"/>
    <mergeCell ref="I745:J745"/>
    <mergeCell ref="C766:J766"/>
    <mergeCell ref="C767:D767"/>
    <mergeCell ref="C868:E868"/>
    <mergeCell ref="G868:H868"/>
    <mergeCell ref="C869:D869"/>
    <mergeCell ref="C870:D870"/>
    <mergeCell ref="C871:D871"/>
    <mergeCell ref="I871:J871"/>
    <mergeCell ref="C872:D872"/>
    <mergeCell ref="C873:D873"/>
    <mergeCell ref="C874:D874"/>
    <mergeCell ref="G874:H874"/>
    <mergeCell ref="C875:D875"/>
    <mergeCell ref="D877:E877"/>
    <mergeCell ref="I877:J877"/>
    <mergeCell ref="G880:H880"/>
    <mergeCell ref="C769:D769"/>
    <mergeCell ref="C770:D770"/>
    <mergeCell ref="C772:D772"/>
    <mergeCell ref="C773:D773"/>
    <mergeCell ref="G774:H774"/>
    <mergeCell ref="C775:D775"/>
    <mergeCell ref="G775:I775"/>
    <mergeCell ref="C779:E779"/>
    <mergeCell ref="G779:H779"/>
    <mergeCell ref="C780:D780"/>
    <mergeCell ref="C781:D781"/>
    <mergeCell ref="C782:D782"/>
    <mergeCell ref="I782:J782"/>
    <mergeCell ref="C783:D783"/>
    <mergeCell ref="C784:D784"/>
    <mergeCell ref="C785:D785"/>
    <mergeCell ref="G785:H785"/>
    <mergeCell ref="C786:D786"/>
    <mergeCell ref="D788:E788"/>
    <mergeCell ref="I788:J788"/>
    <mergeCell ref="G791:H791"/>
    <mergeCell ref="I792:J792"/>
    <mergeCell ref="B802:L802"/>
    <mergeCell ref="D803:H803"/>
    <mergeCell ref="D804:D805"/>
    <mergeCell ref="E804:H804"/>
    <mergeCell ref="B817:L818"/>
    <mergeCell ref="H819:L819"/>
    <mergeCell ref="B819:F819"/>
    <mergeCell ref="C820:D820"/>
    <mergeCell ref="J827:J828"/>
    <mergeCell ref="I829:K829"/>
    <mergeCell ref="I834:J834"/>
    <mergeCell ref="C855:J855"/>
    <mergeCell ref="C856:D856"/>
    <mergeCell ref="C858:D858"/>
    <mergeCell ref="C859:D859"/>
    <mergeCell ref="C861:D861"/>
    <mergeCell ref="C862:D862"/>
    <mergeCell ref="G863:H863"/>
    <mergeCell ref="C864:D864"/>
    <mergeCell ref="G864:I864"/>
    <mergeCell ref="I881:J881"/>
    <mergeCell ref="B891:L891"/>
    <mergeCell ref="D892:H892"/>
    <mergeCell ref="D893:D894"/>
    <mergeCell ref="E893:H893"/>
    <mergeCell ref="B906:L907"/>
    <mergeCell ref="H908:L908"/>
    <mergeCell ref="C1035:D1035"/>
    <mergeCell ref="C1037:D1037"/>
    <mergeCell ref="C1038:D1038"/>
    <mergeCell ref="C1040:D1040"/>
    <mergeCell ref="C1041:D1041"/>
    <mergeCell ref="G1042:H1042"/>
    <mergeCell ref="G1043:I1043"/>
    <mergeCell ref="C1043:D1043"/>
    <mergeCell ref="C1047:E1047"/>
    <mergeCell ref="G1047:H1047"/>
    <mergeCell ref="C1048:D1048"/>
    <mergeCell ref="C1049:D1049"/>
    <mergeCell ref="C1050:D1050"/>
    <mergeCell ref="I1050:J1050"/>
    <mergeCell ref="B908:F908"/>
    <mergeCell ref="C909:D909"/>
    <mergeCell ref="J916:J917"/>
    <mergeCell ref="I918:K918"/>
    <mergeCell ref="I923:J923"/>
    <mergeCell ref="C944:J944"/>
    <mergeCell ref="C945:D945"/>
    <mergeCell ref="C947:D947"/>
    <mergeCell ref="C948:D948"/>
    <mergeCell ref="C950:D950"/>
    <mergeCell ref="C951:D951"/>
    <mergeCell ref="G952:H952"/>
    <mergeCell ref="C953:D953"/>
    <mergeCell ref="G953:I953"/>
    <mergeCell ref="C957:E957"/>
    <mergeCell ref="G957:H957"/>
    <mergeCell ref="C958:D958"/>
    <mergeCell ref="C959:D959"/>
    <mergeCell ref="C960:D960"/>
    <mergeCell ref="I960:J960"/>
    <mergeCell ref="C961:D961"/>
    <mergeCell ref="C962:D962"/>
    <mergeCell ref="C963:D963"/>
    <mergeCell ref="G963:H963"/>
    <mergeCell ref="C964:D964"/>
    <mergeCell ref="D966:E966"/>
    <mergeCell ref="I966:J966"/>
    <mergeCell ref="G969:H969"/>
    <mergeCell ref="I970:J970"/>
    <mergeCell ref="B981:L981"/>
    <mergeCell ref="D982:H982"/>
    <mergeCell ref="D983:D984"/>
    <mergeCell ref="E983:H983"/>
    <mergeCell ref="B996:L997"/>
    <mergeCell ref="H998:L998"/>
    <mergeCell ref="B998:F998"/>
    <mergeCell ref="C999:D999"/>
    <mergeCell ref="J1006:J1007"/>
    <mergeCell ref="K1007:L1007"/>
    <mergeCell ref="I1011:J1011"/>
    <mergeCell ref="I1013:J1013"/>
    <mergeCell ref="C1034:J1034"/>
    <mergeCell ref="G1059:H1059"/>
    <mergeCell ref="I1060:J1060"/>
    <mergeCell ref="C1051:D1051"/>
    <mergeCell ref="C1052:D1052"/>
    <mergeCell ref="C1053:D1053"/>
    <mergeCell ref="G1053:H1053"/>
    <mergeCell ref="C1054:D1054"/>
    <mergeCell ref="D1056:E1056"/>
    <mergeCell ref="I1056:J1056"/>
    <mergeCell ref="B2:L2"/>
    <mergeCell ref="D3:H3"/>
    <mergeCell ref="D4:D5"/>
    <mergeCell ref="E4:H4"/>
    <mergeCell ref="B17:L18"/>
    <mergeCell ref="B19:F19"/>
    <mergeCell ref="C20:D20"/>
    <mergeCell ref="H19:L19"/>
    <mergeCell ref="J27:J28"/>
    <mergeCell ref="K28:L28"/>
    <mergeCell ref="I29:K29"/>
    <mergeCell ref="I34:J34"/>
    <mergeCell ref="C55:J55"/>
    <mergeCell ref="C56:D56"/>
    <mergeCell ref="C58:D58"/>
    <mergeCell ref="C59:D59"/>
    <mergeCell ref="C61:D61"/>
    <mergeCell ref="C62:D62"/>
    <mergeCell ref="G63:H63"/>
    <mergeCell ref="C64:D64"/>
    <mergeCell ref="G64:I64"/>
    <mergeCell ref="C68:E68"/>
    <mergeCell ref="G68:H68"/>
    <mergeCell ref="C69:D69"/>
    <mergeCell ref="C70:D70"/>
    <mergeCell ref="C71:D71"/>
    <mergeCell ref="I71:J71"/>
    <mergeCell ref="C72:D72"/>
    <mergeCell ref="C73:D73"/>
    <mergeCell ref="C74:D74"/>
    <mergeCell ref="G74:H74"/>
    <mergeCell ref="C75:D75"/>
    <mergeCell ref="I77:J77"/>
    <mergeCell ref="G80:H80"/>
    <mergeCell ref="I81:J81"/>
    <mergeCell ref="B91:L91"/>
    <mergeCell ref="D92:H92"/>
    <mergeCell ref="D93:D94"/>
    <mergeCell ref="E93:H93"/>
    <mergeCell ref="B106:L107"/>
    <mergeCell ref="B108:F108"/>
    <mergeCell ref="C109:D109"/>
    <mergeCell ref="H108:L108"/>
    <mergeCell ref="J116:J117"/>
    <mergeCell ref="I118:K118"/>
    <mergeCell ref="I123:J123"/>
    <mergeCell ref="C144:J144"/>
    <mergeCell ref="C145:D145"/>
    <mergeCell ref="C147:D147"/>
    <mergeCell ref="C251:D251"/>
    <mergeCell ref="C252:D252"/>
    <mergeCell ref="C246:D246"/>
    <mergeCell ref="C247:D247"/>
    <mergeCell ref="C248:D248"/>
    <mergeCell ref="I248:J248"/>
    <mergeCell ref="C249:D249"/>
    <mergeCell ref="C250:D250"/>
    <mergeCell ref="I254:J254"/>
    <mergeCell ref="G251:H251"/>
    <mergeCell ref="G257:H257"/>
    <mergeCell ref="I258:J258"/>
    <mergeCell ref="B267:L267"/>
    <mergeCell ref="D268:H268"/>
    <mergeCell ref="D269:D270"/>
    <mergeCell ref="E269:H269"/>
    <mergeCell ref="B282:L283"/>
    <mergeCell ref="B284:F284"/>
    <mergeCell ref="H284:L284"/>
    <mergeCell ref="C285:D285"/>
    <mergeCell ref="J292:J293"/>
    <mergeCell ref="I294:K294"/>
    <mergeCell ref="I299:J299"/>
    <mergeCell ref="G328:H328"/>
    <mergeCell ref="G329:I329"/>
    <mergeCell ref="C320:J320"/>
    <mergeCell ref="C321:D321"/>
    <mergeCell ref="C323:D323"/>
    <mergeCell ref="C324:D324"/>
    <mergeCell ref="C326:D326"/>
    <mergeCell ref="C327:D327"/>
    <mergeCell ref="C329:D329"/>
    <mergeCell ref="C333:E333"/>
    <mergeCell ref="G333:H333"/>
    <mergeCell ref="C334:D334"/>
    <mergeCell ref="C335:D335"/>
    <mergeCell ref="C336:D336"/>
    <mergeCell ref="I336:J336"/>
    <mergeCell ref="C337:D337"/>
    <mergeCell ref="C338:D338"/>
    <mergeCell ref="C339:D339"/>
    <mergeCell ref="G339:H339"/>
    <mergeCell ref="C340:D340"/>
    <mergeCell ref="D342:E342"/>
    <mergeCell ref="I342:J342"/>
    <mergeCell ref="G345:H345"/>
    <mergeCell ref="C148:D148"/>
    <mergeCell ref="C150:D150"/>
    <mergeCell ref="C151:D151"/>
    <mergeCell ref="G152:H152"/>
    <mergeCell ref="C153:D153"/>
    <mergeCell ref="G153:I153"/>
    <mergeCell ref="G157:H157"/>
    <mergeCell ref="C157:E157"/>
    <mergeCell ref="C158:D158"/>
    <mergeCell ref="C159:D159"/>
    <mergeCell ref="C160:D160"/>
    <mergeCell ref="I160:J160"/>
    <mergeCell ref="C161:D161"/>
    <mergeCell ref="C162:D162"/>
    <mergeCell ref="C163:D163"/>
    <mergeCell ref="G163:H163"/>
    <mergeCell ref="C164:D164"/>
    <mergeCell ref="I166:J166"/>
    <mergeCell ref="G169:H169"/>
    <mergeCell ref="I170:J170"/>
    <mergeCell ref="B179:L179"/>
    <mergeCell ref="D180:H180"/>
    <mergeCell ref="D181:D182"/>
    <mergeCell ref="E181:H181"/>
    <mergeCell ref="B194:L195"/>
    <mergeCell ref="B196:F196"/>
    <mergeCell ref="H196:L196"/>
    <mergeCell ref="C197:D197"/>
    <mergeCell ref="J204:J205"/>
    <mergeCell ref="I206:K206"/>
    <mergeCell ref="I211:J211"/>
    <mergeCell ref="C232:J232"/>
    <mergeCell ref="C233:D233"/>
    <mergeCell ref="C235:D235"/>
    <mergeCell ref="C236:D236"/>
    <mergeCell ref="C238:D238"/>
    <mergeCell ref="C239:D239"/>
    <mergeCell ref="G240:H240"/>
    <mergeCell ref="C241:D241"/>
    <mergeCell ref="G241:I241"/>
    <mergeCell ref="C245:E245"/>
    <mergeCell ref="G245:H245"/>
    <mergeCell ref="I346:J346"/>
    <mergeCell ref="B357:L357"/>
    <mergeCell ref="D358:H358"/>
    <mergeCell ref="D359:D360"/>
    <mergeCell ref="E359:H359"/>
    <mergeCell ref="B372:L373"/>
    <mergeCell ref="H374:L374"/>
    <mergeCell ref="B374:F374"/>
    <mergeCell ref="C375:D375"/>
    <mergeCell ref="J382:J383"/>
    <mergeCell ref="I384:K384"/>
    <mergeCell ref="I389:J389"/>
    <mergeCell ref="C410:J410"/>
    <mergeCell ref="C411:D411"/>
    <mergeCell ref="C413:D413"/>
    <mergeCell ref="C414:D414"/>
    <mergeCell ref="C416:D416"/>
    <mergeCell ref="C417:D417"/>
    <mergeCell ref="G418:H418"/>
    <mergeCell ref="C419:D419"/>
    <mergeCell ref="G419:I419"/>
    <mergeCell ref="C423:E423"/>
    <mergeCell ref="G423:H423"/>
    <mergeCell ref="C424:D424"/>
    <mergeCell ref="C425:D425"/>
    <mergeCell ref="C426:D426"/>
    <mergeCell ref="I426:J426"/>
    <mergeCell ref="C427:D427"/>
    <mergeCell ref="C428:D428"/>
    <mergeCell ref="C429:D429"/>
    <mergeCell ref="G429:H429"/>
    <mergeCell ref="C430:D430"/>
    <mergeCell ref="D432:E432"/>
    <mergeCell ref="I432:J432"/>
    <mergeCell ref="G435:H435"/>
    <mergeCell ref="I436:J436"/>
    <mergeCell ref="B446:L446"/>
    <mergeCell ref="D447:H447"/>
    <mergeCell ref="D448:D449"/>
    <mergeCell ref="E448:H448"/>
    <mergeCell ref="B461:L462"/>
    <mergeCell ref="H463:L463"/>
    <mergeCell ref="B463:F463"/>
    <mergeCell ref="C464:D464"/>
    <mergeCell ref="J471:J472"/>
    <mergeCell ref="I473:K473"/>
    <mergeCell ref="I478:J478"/>
    <mergeCell ref="C499:J499"/>
    <mergeCell ref="C500:D500"/>
    <mergeCell ref="C502:D502"/>
    <mergeCell ref="C503:D503"/>
    <mergeCell ref="C505:D505"/>
    <mergeCell ref="C506:D506"/>
    <mergeCell ref="G507:H507"/>
    <mergeCell ref="C508:D508"/>
    <mergeCell ref="G508:I508"/>
  </mergeCells>
  <dataValidations>
    <dataValidation type="list" allowBlank="1" sqref="H30:H54 H56:H58 D76:D77 H119:H143 H145:H147 D165:D166 H207:H231 H233:H235 D253:D254 H295:H319 H321:H323 D341 H385:H409 H411:H413 D431 H474:H498 H500:H502 D520 H563:H587 H589:H591 D609 H652:H676 H678:H680 D698 H741:H765 H767:H769 D787 H830:H854 H856:H858 D876 H919:H943 H945:H947 D965 H1009:H1033 H1035:H1037 D1055">
      <formula1>'Fechamento Mensal'!$C$21:$C$26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.75"/>
    <col customWidth="1" min="3" max="3" width="32.75"/>
    <col customWidth="1" min="8" max="8" width="15.5"/>
    <col customWidth="1" min="9" max="9" width="3.5"/>
  </cols>
  <sheetData>
    <row r="2">
      <c r="B2" s="1082"/>
      <c r="C2" s="1082"/>
      <c r="D2" s="1082"/>
      <c r="E2" s="1082"/>
      <c r="F2" s="1083" t="s">
        <v>743</v>
      </c>
      <c r="I2" s="1082"/>
      <c r="J2" s="1082"/>
      <c r="K2" s="1084"/>
      <c r="L2" s="1085"/>
      <c r="M2" s="1086" t="s">
        <v>744</v>
      </c>
      <c r="N2" s="1082"/>
      <c r="O2" s="1082"/>
      <c r="P2" s="1082"/>
      <c r="Q2" s="1082"/>
      <c r="R2" s="1082"/>
      <c r="S2" s="1082"/>
      <c r="T2" s="1082"/>
      <c r="U2" s="1082"/>
      <c r="V2" s="1082"/>
      <c r="W2" s="1082"/>
      <c r="X2" s="1082"/>
    </row>
    <row r="3">
      <c r="B3" s="1087"/>
      <c r="C3" s="1088" t="s">
        <v>745</v>
      </c>
      <c r="D3" s="1089" t="str">
        <f>D50</f>
        <v>#VALUE!</v>
      </c>
      <c r="E3" s="1087"/>
      <c r="F3" s="1090" t="s">
        <v>746</v>
      </c>
      <c r="G3" s="1091"/>
      <c r="H3" s="1092">
        <f>H33</f>
        <v>0.0987</v>
      </c>
      <c r="I3" s="1087"/>
      <c r="J3" s="1087"/>
      <c r="K3" s="1093" t="s">
        <v>747</v>
      </c>
      <c r="L3" s="1094" t="str">
        <f>1/Despesas!L7</f>
        <v>#REF!</v>
      </c>
      <c r="M3" s="1095" t="s">
        <v>748</v>
      </c>
      <c r="N3" s="1096">
        <v>100.0</v>
      </c>
      <c r="O3" s="1087"/>
      <c r="P3" s="1087"/>
      <c r="Q3" s="1087"/>
      <c r="R3" s="1087"/>
      <c r="S3" s="1087"/>
      <c r="T3" s="1087"/>
      <c r="U3" s="1087"/>
      <c r="V3" s="1087"/>
      <c r="W3" s="1087"/>
      <c r="X3" s="1087"/>
    </row>
    <row r="4">
      <c r="B4" s="1087"/>
      <c r="C4" s="1097" t="s">
        <v>749</v>
      </c>
      <c r="D4" s="1098" t="s">
        <v>750</v>
      </c>
      <c r="E4" s="1087"/>
      <c r="F4" s="1099" t="s">
        <v>749</v>
      </c>
      <c r="G4" s="1100"/>
      <c r="H4" s="1101" t="s">
        <v>751</v>
      </c>
      <c r="I4" s="1087"/>
      <c r="J4" s="1087"/>
      <c r="K4" s="1102" t="s">
        <v>752</v>
      </c>
      <c r="L4" s="1103">
        <v>0.15</v>
      </c>
      <c r="M4" s="1095" t="s">
        <v>753</v>
      </c>
      <c r="N4" s="1096">
        <v>50.0</v>
      </c>
      <c r="O4" s="1087"/>
      <c r="P4" s="1087"/>
      <c r="Q4" s="1104" t="s">
        <v>754</v>
      </c>
      <c r="R4" s="594"/>
      <c r="S4" s="1082"/>
      <c r="T4" s="1105" t="s">
        <v>755</v>
      </c>
      <c r="U4" s="1106"/>
      <c r="V4" s="1107"/>
      <c r="W4" s="1108"/>
      <c r="X4" s="1109">
        <f>YEAR(TODAY())</f>
        <v>2026</v>
      </c>
    </row>
    <row r="5">
      <c r="B5" s="1082"/>
      <c r="C5" s="1110" t="s">
        <v>756</v>
      </c>
      <c r="D5" s="1111" t="str">
        <f>R5*$K$31</f>
        <v>#VALUE!</v>
      </c>
      <c r="E5" s="1082"/>
      <c r="F5" s="1112"/>
      <c r="G5" s="1084"/>
      <c r="H5" s="1113"/>
      <c r="I5" s="1082"/>
      <c r="J5" s="1082"/>
      <c r="K5" s="1114" t="s">
        <v>745</v>
      </c>
      <c r="L5" s="1115" t="str">
        <f>Despesas!D50*Despesas!H34/(Despesas!H50)</f>
        <v>#REF!</v>
      </c>
      <c r="M5" s="1086" t="s">
        <v>757</v>
      </c>
      <c r="N5" s="997">
        <v>150.0</v>
      </c>
      <c r="O5" s="1082"/>
      <c r="P5" s="1082"/>
      <c r="Q5" s="1116" t="s">
        <v>756</v>
      </c>
      <c r="R5" s="1117">
        <v>1200.0</v>
      </c>
      <c r="S5" s="1082"/>
      <c r="T5" s="1118" t="s">
        <v>758</v>
      </c>
      <c r="U5" s="1119" t="s">
        <v>759</v>
      </c>
      <c r="V5" s="1120" t="s">
        <v>558</v>
      </c>
      <c r="W5" s="1121" t="s">
        <v>682</v>
      </c>
      <c r="X5" s="1121" t="s">
        <v>760</v>
      </c>
    </row>
    <row r="6">
      <c r="B6" s="1082"/>
      <c r="C6" s="1112"/>
      <c r="D6" s="1122"/>
      <c r="E6" s="1082"/>
      <c r="F6" s="1110" t="s">
        <v>648</v>
      </c>
      <c r="G6" s="1084"/>
      <c r="H6" s="1123">
        <v>0.08</v>
      </c>
      <c r="I6" s="1082"/>
      <c r="J6" s="1082"/>
      <c r="K6" s="1114" t="s">
        <v>761</v>
      </c>
      <c r="L6" s="1115" t="str">
        <f>Despesas!H33</f>
        <v>#REF!</v>
      </c>
      <c r="M6" s="1082"/>
      <c r="N6" s="1082"/>
      <c r="O6" s="1082"/>
      <c r="P6" s="1082"/>
      <c r="Q6" s="1124"/>
      <c r="R6" s="1125"/>
      <c r="S6" s="1082"/>
      <c r="T6" s="1126" t="s">
        <v>762</v>
      </c>
      <c r="U6" s="1127" t="str">
        <f t="shared" ref="U6:U17" si="1">IF(V6&gt;=V24,"Meta OK","Não Atingiu")</f>
        <v>Meta OK</v>
      </c>
      <c r="V6" s="1128">
        <v>2605.56</v>
      </c>
      <c r="W6" s="1129">
        <v>60375.0</v>
      </c>
      <c r="X6" s="1130" t="str">
        <f t="shared" ref="X6:X17" si="2">IF(W6&gt;=W24,"Meta OK","Não Atingiu")</f>
        <v>Meta OK</v>
      </c>
    </row>
    <row r="7">
      <c r="B7" s="1082"/>
      <c r="C7" s="1110" t="s">
        <v>763</v>
      </c>
      <c r="D7" s="1111" t="str">
        <f t="shared" ref="D7:D11" si="3">R7*$K$31</f>
        <v>#VALUE!</v>
      </c>
      <c r="E7" s="1082"/>
      <c r="F7" s="1110" t="s">
        <v>764</v>
      </c>
      <c r="G7" s="1084"/>
      <c r="H7" s="1123">
        <v>0.002</v>
      </c>
      <c r="I7" s="1082"/>
      <c r="J7" s="1082"/>
      <c r="K7" s="1114" t="s">
        <v>765</v>
      </c>
      <c r="L7" s="1115" t="str">
        <f>100%-(L4+L5+L6)</f>
        <v>#REF!</v>
      </c>
      <c r="M7" s="1086" t="s">
        <v>766</v>
      </c>
      <c r="N7" s="997">
        <v>100.0</v>
      </c>
      <c r="O7" s="1082"/>
      <c r="P7" s="1082"/>
      <c r="Q7" s="1116" t="s">
        <v>763</v>
      </c>
      <c r="R7" s="1117">
        <v>700.0</v>
      </c>
      <c r="S7" s="1082"/>
      <c r="T7" s="1126" t="s">
        <v>686</v>
      </c>
      <c r="U7" s="1131" t="str">
        <f t="shared" si="1"/>
        <v>Não Atingiu</v>
      </c>
      <c r="V7" s="1128">
        <v>0.0</v>
      </c>
      <c r="W7" s="1129">
        <v>0.0</v>
      </c>
      <c r="X7" s="1131" t="str">
        <f t="shared" si="2"/>
        <v>Não Atingiu</v>
      </c>
    </row>
    <row r="8">
      <c r="B8" s="1082"/>
      <c r="C8" s="1110" t="s">
        <v>767</v>
      </c>
      <c r="D8" s="1111" t="str">
        <f t="shared" si="3"/>
        <v>#VALUE!</v>
      </c>
      <c r="E8" s="1082"/>
      <c r="F8" s="1110" t="s">
        <v>768</v>
      </c>
      <c r="G8" s="1084"/>
      <c r="H8" s="1123">
        <v>0.0015</v>
      </c>
      <c r="I8" s="1082"/>
      <c r="J8" s="1082"/>
      <c r="K8" s="1082"/>
      <c r="L8" s="1082"/>
      <c r="M8" s="1082"/>
      <c r="N8" s="1082"/>
      <c r="O8" s="1082"/>
      <c r="P8" s="1082"/>
      <c r="Q8" s="1116" t="s">
        <v>767</v>
      </c>
      <c r="R8" s="1117">
        <v>310.0</v>
      </c>
      <c r="S8" s="1082"/>
      <c r="T8" s="1126" t="s">
        <v>704</v>
      </c>
      <c r="U8" s="1131" t="str">
        <f t="shared" si="1"/>
        <v>Não Atingiu</v>
      </c>
      <c r="V8" s="1128">
        <v>0.0</v>
      </c>
      <c r="W8" s="1129">
        <v>0.0</v>
      </c>
      <c r="X8" s="1131" t="str">
        <f t="shared" si="2"/>
        <v>Não Atingiu</v>
      </c>
    </row>
    <row r="9">
      <c r="B9" s="1082"/>
      <c r="C9" s="1110" t="s">
        <v>769</v>
      </c>
      <c r="D9" s="1111" t="str">
        <f t="shared" si="3"/>
        <v>#VALUE!</v>
      </c>
      <c r="E9" s="1082"/>
      <c r="F9" s="1112" t="s">
        <v>770</v>
      </c>
      <c r="G9" s="1084"/>
      <c r="H9" s="1132">
        <v>0.01</v>
      </c>
      <c r="I9" s="1082"/>
      <c r="J9" s="1082"/>
      <c r="K9" s="1082"/>
      <c r="L9" s="1082"/>
      <c r="M9" s="1082"/>
      <c r="N9" s="1082"/>
      <c r="O9" s="1082"/>
      <c r="P9" s="1082"/>
      <c r="Q9" s="1116" t="s">
        <v>769</v>
      </c>
      <c r="R9" s="1117">
        <v>112.0</v>
      </c>
      <c r="S9" s="1082"/>
      <c r="T9" s="1126" t="s">
        <v>710</v>
      </c>
      <c r="U9" s="1131" t="str">
        <f t="shared" si="1"/>
        <v>Não Atingiu</v>
      </c>
      <c r="V9" s="1128">
        <v>0.0</v>
      </c>
      <c r="W9" s="1129">
        <v>0.0</v>
      </c>
      <c r="X9" s="1131" t="str">
        <f t="shared" si="2"/>
        <v>Não Atingiu</v>
      </c>
    </row>
    <row r="10">
      <c r="B10" s="1082"/>
      <c r="C10" s="1110" t="s">
        <v>771</v>
      </c>
      <c r="D10" s="1111" t="str">
        <f t="shared" si="3"/>
        <v>#VALUE!</v>
      </c>
      <c r="E10" s="1082"/>
      <c r="F10" s="1110" t="s">
        <v>772</v>
      </c>
      <c r="G10" s="1084"/>
      <c r="H10" s="1132">
        <v>0.004</v>
      </c>
      <c r="I10" s="1082"/>
      <c r="J10" s="1082"/>
      <c r="K10" s="1082"/>
      <c r="L10" s="1082"/>
      <c r="M10" s="1084"/>
      <c r="N10" s="1084"/>
      <c r="O10" s="1082"/>
      <c r="P10" s="1082"/>
      <c r="Q10" s="1116" t="s">
        <v>771</v>
      </c>
      <c r="R10" s="1117">
        <v>70.0</v>
      </c>
      <c r="S10" s="1082"/>
      <c r="T10" s="1126" t="s">
        <v>716</v>
      </c>
      <c r="U10" s="1131" t="str">
        <f t="shared" si="1"/>
        <v>Não Atingiu</v>
      </c>
      <c r="V10" s="1128">
        <v>0.0</v>
      </c>
      <c r="W10" s="1129">
        <v>0.0</v>
      </c>
      <c r="X10" s="1131" t="str">
        <f t="shared" si="2"/>
        <v>Não Atingiu</v>
      </c>
    </row>
    <row r="11">
      <c r="B11" s="1082"/>
      <c r="C11" s="1110" t="s">
        <v>773</v>
      </c>
      <c r="D11" s="1111" t="str">
        <f t="shared" si="3"/>
        <v>#VALUE!</v>
      </c>
      <c r="E11" s="1082"/>
      <c r="F11" s="1110" t="s">
        <v>774</v>
      </c>
      <c r="G11" s="1084"/>
      <c r="H11" s="1132">
        <v>0.0012</v>
      </c>
      <c r="I11" s="1082"/>
      <c r="J11" s="1082"/>
      <c r="K11" s="1082"/>
      <c r="L11" s="1082"/>
      <c r="M11" s="1084"/>
      <c r="N11" s="1084"/>
      <c r="O11" s="1082"/>
      <c r="P11" s="1082"/>
      <c r="Q11" s="1116" t="s">
        <v>773</v>
      </c>
      <c r="R11" s="1117">
        <v>350.0</v>
      </c>
      <c r="S11" s="1082"/>
      <c r="T11" s="1126" t="s">
        <v>719</v>
      </c>
      <c r="U11" s="1131" t="str">
        <f t="shared" si="1"/>
        <v>Não Atingiu</v>
      </c>
      <c r="V11" s="1128">
        <v>0.0</v>
      </c>
      <c r="W11" s="1129">
        <v>0.0</v>
      </c>
      <c r="X11" s="1131" t="str">
        <f t="shared" si="2"/>
        <v>Não Atingiu</v>
      </c>
    </row>
    <row r="12">
      <c r="B12" s="1082"/>
      <c r="C12" s="1112"/>
      <c r="D12" s="1122"/>
      <c r="E12" s="1082"/>
      <c r="F12" s="1112"/>
      <c r="G12" s="1084"/>
      <c r="H12" s="1113"/>
      <c r="I12" s="1082"/>
      <c r="J12" s="1082"/>
      <c r="K12" s="1082"/>
      <c r="L12" s="1082"/>
      <c r="M12" s="1084"/>
      <c r="N12" s="1133"/>
      <c r="O12" s="1134">
        <f>SUM(O13:O15)</f>
        <v>3906</v>
      </c>
      <c r="P12" s="1082"/>
      <c r="Q12" s="1124"/>
      <c r="R12" s="1125"/>
      <c r="S12" s="1082"/>
      <c r="T12" s="1126" t="s">
        <v>724</v>
      </c>
      <c r="U12" s="1131" t="str">
        <f t="shared" si="1"/>
        <v>Não Atingiu</v>
      </c>
      <c r="V12" s="1128">
        <v>0.0</v>
      </c>
      <c r="W12" s="1129">
        <v>0.0</v>
      </c>
      <c r="X12" s="1131" t="str">
        <f t="shared" si="2"/>
        <v>Não Atingiu</v>
      </c>
    </row>
    <row r="13">
      <c r="B13" s="1082"/>
      <c r="C13" s="1110" t="s">
        <v>775</v>
      </c>
      <c r="D13" s="1111" t="str">
        <f t="shared" ref="D13:D14" si="4">R13*$K$31</f>
        <v>#VALUE!</v>
      </c>
      <c r="E13" s="1082"/>
      <c r="F13" s="1112"/>
      <c r="G13" s="1084"/>
      <c r="H13" s="1113"/>
      <c r="I13" s="1082"/>
      <c r="J13" s="1082"/>
      <c r="K13" s="1082"/>
      <c r="L13" s="1082"/>
      <c r="M13" s="1084"/>
      <c r="N13" s="1135" t="s">
        <v>776</v>
      </c>
      <c r="O13" s="1136">
        <v>1302.0</v>
      </c>
      <c r="P13" s="1082"/>
      <c r="Q13" s="1116" t="s">
        <v>775</v>
      </c>
      <c r="R13" s="1117">
        <v>144.4</v>
      </c>
      <c r="S13" s="1082"/>
      <c r="T13" s="1126" t="s">
        <v>727</v>
      </c>
      <c r="U13" s="1131" t="str">
        <f t="shared" si="1"/>
        <v>Não Atingiu</v>
      </c>
      <c r="V13" s="1128">
        <v>0.0</v>
      </c>
      <c r="W13" s="1129">
        <v>0.0</v>
      </c>
      <c r="X13" s="1131" t="str">
        <f t="shared" si="2"/>
        <v>Não Atingiu</v>
      </c>
    </row>
    <row r="14">
      <c r="B14" s="1082"/>
      <c r="C14" s="1110" t="s">
        <v>777</v>
      </c>
      <c r="D14" s="1111" t="str">
        <f t="shared" si="4"/>
        <v>#VALUE!</v>
      </c>
      <c r="E14" s="1082"/>
      <c r="F14" s="1112"/>
      <c r="G14" s="1084"/>
      <c r="H14" s="1113"/>
      <c r="I14" s="1082"/>
      <c r="J14" s="1082"/>
      <c r="K14" s="1082"/>
      <c r="L14" s="1082"/>
      <c r="M14" s="1084"/>
      <c r="N14" s="1135" t="s">
        <v>778</v>
      </c>
      <c r="O14" s="1136">
        <v>1302.0</v>
      </c>
      <c r="P14" s="1082"/>
      <c r="Q14" s="1116" t="s">
        <v>777</v>
      </c>
      <c r="R14" s="1117">
        <v>99.0</v>
      </c>
      <c r="S14" s="1082"/>
      <c r="T14" s="1126" t="s">
        <v>585</v>
      </c>
      <c r="U14" s="1131" t="str">
        <f t="shared" si="1"/>
        <v>Não Atingiu</v>
      </c>
      <c r="V14" s="1128">
        <v>0.0</v>
      </c>
      <c r="W14" s="1129">
        <v>0.0</v>
      </c>
      <c r="X14" s="1131" t="str">
        <f t="shared" si="2"/>
        <v>Não Atingiu</v>
      </c>
    </row>
    <row r="15">
      <c r="B15" s="1082"/>
      <c r="C15" s="1112"/>
      <c r="D15" s="1122"/>
      <c r="E15" s="1082"/>
      <c r="F15" s="1112"/>
      <c r="G15" s="1084"/>
      <c r="H15" s="1113"/>
      <c r="I15" s="1082"/>
      <c r="J15" s="1082"/>
      <c r="K15" s="1082"/>
      <c r="L15" s="1082"/>
      <c r="M15" s="1084"/>
      <c r="N15" s="1135" t="s">
        <v>621</v>
      </c>
      <c r="O15" s="1136">
        <v>1302.0</v>
      </c>
      <c r="P15" s="1082"/>
      <c r="Q15" s="1124"/>
      <c r="R15" s="1125"/>
      <c r="S15" s="1082"/>
      <c r="T15" s="1126" t="s">
        <v>586</v>
      </c>
      <c r="U15" s="1131" t="str">
        <f t="shared" si="1"/>
        <v>Não Atingiu</v>
      </c>
      <c r="V15" s="1128">
        <v>0.0</v>
      </c>
      <c r="W15" s="1129">
        <v>0.0</v>
      </c>
      <c r="X15" s="1131" t="str">
        <f t="shared" si="2"/>
        <v>Não Atingiu</v>
      </c>
    </row>
    <row r="16">
      <c r="B16" s="1082"/>
      <c r="C16" s="1110" t="s">
        <v>779</v>
      </c>
      <c r="D16" s="1111" t="str">
        <f t="shared" ref="D16:D22" si="5">R16*$K$31</f>
        <v>#VALUE!</v>
      </c>
      <c r="E16" s="1082"/>
      <c r="F16" s="1112"/>
      <c r="G16" s="1084"/>
      <c r="H16" s="1113"/>
      <c r="I16" s="1082"/>
      <c r="J16" s="1082"/>
      <c r="K16" s="1082"/>
      <c r="L16" s="1082"/>
      <c r="M16" s="1082"/>
      <c r="N16" s="1137" t="s">
        <v>620</v>
      </c>
      <c r="O16" s="1136">
        <v>1500.0</v>
      </c>
      <c r="P16" s="1082"/>
      <c r="Q16" s="1116" t="s">
        <v>779</v>
      </c>
      <c r="R16" s="1117">
        <f>O18-O16</f>
        <v>5826</v>
      </c>
      <c r="S16" s="1082"/>
      <c r="T16" s="1126" t="s">
        <v>735</v>
      </c>
      <c r="U16" s="1131" t="str">
        <f t="shared" si="1"/>
        <v>Não Atingiu</v>
      </c>
      <c r="V16" s="1128">
        <v>0.0</v>
      </c>
      <c r="W16" s="1129">
        <v>0.0</v>
      </c>
      <c r="X16" s="1131" t="str">
        <f t="shared" si="2"/>
        <v>Não Atingiu</v>
      </c>
    </row>
    <row r="17">
      <c r="B17" s="1082"/>
      <c r="C17" s="1110" t="s">
        <v>780</v>
      </c>
      <c r="D17" s="1111" t="str">
        <f t="shared" si="5"/>
        <v>#VALUE!</v>
      </c>
      <c r="E17" s="1082"/>
      <c r="F17" s="1112"/>
      <c r="G17" s="1084"/>
      <c r="H17" s="1113"/>
      <c r="I17" s="1082"/>
      <c r="J17" s="1082"/>
      <c r="K17" s="1082"/>
      <c r="L17" s="1082"/>
      <c r="M17" s="1082"/>
      <c r="N17" s="1137" t="s">
        <v>781</v>
      </c>
      <c r="O17" s="1136">
        <v>1920.0</v>
      </c>
      <c r="P17" s="1082"/>
      <c r="Q17" s="1116" t="s">
        <v>780</v>
      </c>
      <c r="R17" s="1117">
        <v>635.0</v>
      </c>
      <c r="S17" s="1082"/>
      <c r="T17" s="1126" t="s">
        <v>581</v>
      </c>
      <c r="U17" s="1131" t="str">
        <f t="shared" si="1"/>
        <v>Não Atingiu</v>
      </c>
      <c r="V17" s="1128">
        <v>0.0</v>
      </c>
      <c r="W17" s="1129">
        <v>0.0</v>
      </c>
      <c r="X17" s="1131" t="str">
        <f t="shared" si="2"/>
        <v>Não Atingiu</v>
      </c>
    </row>
    <row r="18">
      <c r="B18" s="1082"/>
      <c r="C18" s="1110" t="s">
        <v>782</v>
      </c>
      <c r="D18" s="1111" t="str">
        <f t="shared" si="5"/>
        <v>#VALUE!</v>
      </c>
      <c r="E18" s="1082"/>
      <c r="F18" s="1112"/>
      <c r="G18" s="1084"/>
      <c r="H18" s="1113"/>
      <c r="I18" s="1082"/>
      <c r="J18" s="1082"/>
      <c r="K18" s="1082"/>
      <c r="L18" s="1082"/>
      <c r="M18" s="1082"/>
      <c r="N18" s="1138"/>
      <c r="O18" s="1136">
        <f>SUM(O13:O17)</f>
        <v>7326</v>
      </c>
      <c r="P18" s="1082"/>
      <c r="Q18" s="1116" t="s">
        <v>782</v>
      </c>
      <c r="R18" s="1117">
        <v>472.0</v>
      </c>
      <c r="S18" s="1082"/>
      <c r="T18" s="1139" t="s">
        <v>783</v>
      </c>
      <c r="U18" s="1140"/>
      <c r="V18" s="1141">
        <f t="shared" ref="V18:W18" si="6">SUM(V6:V17)</f>
        <v>2605.56</v>
      </c>
      <c r="W18" s="1142">
        <f t="shared" si="6"/>
        <v>60375</v>
      </c>
      <c r="X18" s="1143"/>
    </row>
    <row r="19">
      <c r="B19" s="1082"/>
      <c r="C19" s="1110" t="s">
        <v>721</v>
      </c>
      <c r="D19" s="1111" t="str">
        <f t="shared" si="5"/>
        <v>#VALUE!</v>
      </c>
      <c r="E19" s="1082"/>
      <c r="F19" s="1112"/>
      <c r="G19" s="1084"/>
      <c r="H19" s="1113"/>
      <c r="I19" s="1082"/>
      <c r="J19" s="1082"/>
      <c r="K19" s="1082"/>
      <c r="L19" s="1082"/>
      <c r="M19" s="1082"/>
      <c r="N19" s="1144">
        <v>13.0</v>
      </c>
      <c r="O19" s="1136">
        <f>(O18-O16)/12</f>
        <v>485.5</v>
      </c>
      <c r="P19" s="1082"/>
      <c r="Q19" s="1116" t="s">
        <v>721</v>
      </c>
      <c r="R19" s="1117">
        <v>446.0</v>
      </c>
      <c r="S19" s="1082"/>
      <c r="T19" s="1145" t="s">
        <v>784</v>
      </c>
      <c r="U19" s="1146"/>
      <c r="V19" s="1146"/>
      <c r="W19" s="1147">
        <f>SUM(V18:W18)</f>
        <v>62980.56</v>
      </c>
      <c r="X19" s="1148"/>
    </row>
    <row r="20">
      <c r="B20" s="1082"/>
      <c r="C20" s="1110" t="s">
        <v>785</v>
      </c>
      <c r="D20" s="1111" t="str">
        <f t="shared" si="5"/>
        <v>#VALUE!</v>
      </c>
      <c r="E20" s="1082"/>
      <c r="F20" s="1112"/>
      <c r="G20" s="1084"/>
      <c r="H20" s="1113"/>
      <c r="I20" s="1082"/>
      <c r="J20" s="1082"/>
      <c r="K20" s="1082"/>
      <c r="L20" s="1082"/>
      <c r="M20" s="1082"/>
      <c r="N20" s="1149" t="s">
        <v>786</v>
      </c>
      <c r="O20" s="1136">
        <f>SUM(O13:O15)*1.3/12</f>
        <v>423.15</v>
      </c>
      <c r="P20" s="1082"/>
      <c r="Q20" s="1116" t="s">
        <v>785</v>
      </c>
      <c r="R20" s="1117">
        <f>O20</f>
        <v>423.15</v>
      </c>
      <c r="S20" s="1082"/>
      <c r="T20" s="1082"/>
      <c r="U20" s="1082"/>
      <c r="V20" s="1082"/>
      <c r="W20" s="1082"/>
      <c r="X20" s="1082"/>
    </row>
    <row r="21">
      <c r="B21" s="1082"/>
      <c r="C21" s="1110" t="s">
        <v>787</v>
      </c>
      <c r="D21" s="1111" t="str">
        <f t="shared" si="5"/>
        <v>#VALUE!</v>
      </c>
      <c r="E21" s="1082"/>
      <c r="F21" s="1112"/>
      <c r="G21" s="1084"/>
      <c r="H21" s="1113"/>
      <c r="I21" s="1082"/>
      <c r="J21" s="1082"/>
      <c r="K21" s="1082"/>
      <c r="L21" s="1082"/>
      <c r="M21" s="1082"/>
      <c r="N21" s="1149" t="s">
        <v>649</v>
      </c>
      <c r="O21" s="1150"/>
      <c r="P21" s="1082"/>
      <c r="Q21" s="1116" t="s">
        <v>787</v>
      </c>
      <c r="R21" s="1117">
        <f>O19</f>
        <v>485.5</v>
      </c>
      <c r="S21" s="1082"/>
      <c r="T21" s="1082"/>
      <c r="U21" s="1082"/>
      <c r="V21" s="1082"/>
      <c r="W21" s="1082"/>
      <c r="X21" s="1082"/>
    </row>
    <row r="22">
      <c r="B22" s="1082"/>
      <c r="C22" s="1110" t="s">
        <v>788</v>
      </c>
      <c r="D22" s="1111" t="str">
        <f t="shared" si="5"/>
        <v>#VALUE!</v>
      </c>
      <c r="E22" s="1082"/>
      <c r="F22" s="1112"/>
      <c r="G22" s="1084"/>
      <c r="H22" s="1113"/>
      <c r="I22" s="1082"/>
      <c r="J22" s="1082"/>
      <c r="K22" s="1082"/>
      <c r="L22" s="1082"/>
      <c r="M22" s="1082"/>
      <c r="N22" s="1149" t="s">
        <v>650</v>
      </c>
      <c r="O22" s="1150"/>
      <c r="P22" s="1082"/>
      <c r="Q22" s="1116" t="s">
        <v>788</v>
      </c>
      <c r="R22" s="1117">
        <v>200.0</v>
      </c>
      <c r="S22" s="1082"/>
      <c r="T22" s="1105" t="s">
        <v>789</v>
      </c>
      <c r="U22" s="1106"/>
      <c r="V22" s="1107"/>
      <c r="W22" s="1109">
        <f>YEAR(TODAY())</f>
        <v>2026</v>
      </c>
      <c r="X22" s="1082"/>
    </row>
    <row r="23">
      <c r="B23" s="1082"/>
      <c r="C23" s="1112"/>
      <c r="D23" s="1122"/>
      <c r="E23" s="1082"/>
      <c r="F23" s="1112"/>
      <c r="G23" s="1084"/>
      <c r="H23" s="1113"/>
      <c r="I23" s="1082"/>
      <c r="J23" s="1082"/>
      <c r="K23" s="1082"/>
      <c r="L23" s="1082"/>
      <c r="M23" s="1082"/>
      <c r="N23" s="1138"/>
      <c r="O23" s="1150"/>
      <c r="P23" s="1082"/>
      <c r="Q23" s="1124"/>
      <c r="R23" s="1125"/>
      <c r="S23" s="1082"/>
      <c r="T23" s="1151" t="s">
        <v>758</v>
      </c>
      <c r="U23" s="1152"/>
      <c r="V23" s="1120" t="s">
        <v>558</v>
      </c>
      <c r="W23" s="1121" t="s">
        <v>682</v>
      </c>
      <c r="X23" s="1082"/>
    </row>
    <row r="24">
      <c r="B24" s="1082"/>
      <c r="C24" s="1110" t="s">
        <v>790</v>
      </c>
      <c r="D24" s="1111" t="str">
        <f>R24*$K$31</f>
        <v>#VALUE!</v>
      </c>
      <c r="E24" s="1082"/>
      <c r="F24" s="1112"/>
      <c r="G24" s="1084"/>
      <c r="H24" s="1113"/>
      <c r="I24" s="1082"/>
      <c r="J24" s="1082"/>
      <c r="K24" s="1082"/>
      <c r="L24" s="1082"/>
      <c r="M24" s="1082"/>
      <c r="N24" s="1138"/>
      <c r="O24" s="1150"/>
      <c r="P24" s="1082"/>
      <c r="Q24" s="1116" t="s">
        <v>790</v>
      </c>
      <c r="R24" s="1117">
        <v>120.0</v>
      </c>
      <c r="S24" s="1082"/>
      <c r="T24" s="1126" t="s">
        <v>762</v>
      </c>
      <c r="U24" s="1153"/>
      <c r="V24" s="1128">
        <v>2000.0</v>
      </c>
      <c r="W24" s="1129">
        <v>50000.0</v>
      </c>
      <c r="X24" s="1082"/>
    </row>
    <row r="25">
      <c r="B25" s="1082"/>
      <c r="C25" s="1112"/>
      <c r="D25" s="1122"/>
      <c r="E25" s="1082"/>
      <c r="F25" s="1112"/>
      <c r="G25" s="1084"/>
      <c r="H25" s="1113"/>
      <c r="I25" s="1082"/>
      <c r="J25" s="1082"/>
      <c r="K25" s="1082"/>
      <c r="L25" s="1082"/>
      <c r="M25" s="1082"/>
      <c r="N25" s="1154"/>
      <c r="O25" s="1155"/>
      <c r="P25" s="1082"/>
      <c r="Q25" s="1124"/>
      <c r="R25" s="1125"/>
      <c r="S25" s="1082"/>
      <c r="T25" s="1126" t="s">
        <v>686</v>
      </c>
      <c r="U25" s="1153"/>
      <c r="V25" s="1128">
        <v>2000.0</v>
      </c>
      <c r="W25" s="1129">
        <v>50000.0</v>
      </c>
      <c r="X25" s="1082"/>
    </row>
    <row r="26">
      <c r="B26" s="1082"/>
      <c r="C26" s="1110" t="s">
        <v>791</v>
      </c>
      <c r="D26" s="1111" t="str">
        <f t="shared" ref="D26:D27" si="7">R26*$K$31</f>
        <v>#VALUE!</v>
      </c>
      <c r="E26" s="1082"/>
      <c r="F26" s="1112"/>
      <c r="G26" s="1084"/>
      <c r="H26" s="1113"/>
      <c r="I26" s="1082"/>
      <c r="J26" s="1082"/>
      <c r="K26" s="1082"/>
      <c r="L26" s="1082"/>
      <c r="M26" s="1082"/>
      <c r="N26" s="1082"/>
      <c r="O26" s="1082"/>
      <c r="P26" s="1082"/>
      <c r="Q26" s="1116" t="s">
        <v>791</v>
      </c>
      <c r="R26" s="1117">
        <v>0.0</v>
      </c>
      <c r="S26" s="1082"/>
      <c r="T26" s="1126" t="s">
        <v>704</v>
      </c>
      <c r="U26" s="1153"/>
      <c r="V26" s="1128">
        <v>2000.0</v>
      </c>
      <c r="W26" s="1129">
        <v>50000.0</v>
      </c>
      <c r="X26" s="1082"/>
    </row>
    <row r="27">
      <c r="B27" s="1082"/>
      <c r="C27" s="1110" t="s">
        <v>792</v>
      </c>
      <c r="D27" s="1111" t="str">
        <f t="shared" si="7"/>
        <v>#VALUE!</v>
      </c>
      <c r="E27" s="1082"/>
      <c r="F27" s="1112"/>
      <c r="G27" s="1084"/>
      <c r="H27" s="1113"/>
      <c r="I27" s="1082"/>
      <c r="J27" s="1082"/>
      <c r="K27" s="1082"/>
      <c r="L27" s="1082"/>
      <c r="M27" s="1082"/>
      <c r="N27" s="1082"/>
      <c r="O27" s="1082"/>
      <c r="P27" s="1082"/>
      <c r="Q27" s="1116" t="s">
        <v>792</v>
      </c>
      <c r="R27" s="1117">
        <v>200.0</v>
      </c>
      <c r="S27" s="1082"/>
      <c r="T27" s="1126" t="s">
        <v>710</v>
      </c>
      <c r="U27" s="1153"/>
      <c r="V27" s="1128">
        <v>2000.0</v>
      </c>
      <c r="W27" s="1129">
        <v>50000.0</v>
      </c>
      <c r="X27" s="1082"/>
    </row>
    <row r="28">
      <c r="B28" s="1082"/>
      <c r="C28" s="1112"/>
      <c r="D28" s="1122"/>
      <c r="E28" s="1082"/>
      <c r="F28" s="1112"/>
      <c r="G28" s="1084"/>
      <c r="H28" s="1113"/>
      <c r="I28" s="1082"/>
      <c r="J28" s="1082"/>
      <c r="K28" s="1082"/>
      <c r="L28" s="1082"/>
      <c r="M28" s="1082"/>
      <c r="N28" s="1082"/>
      <c r="O28" s="1082"/>
      <c r="P28" s="1082"/>
      <c r="Q28" s="1124"/>
      <c r="R28" s="1125"/>
      <c r="S28" s="1082"/>
      <c r="T28" s="1126" t="s">
        <v>716</v>
      </c>
      <c r="U28" s="1153"/>
      <c r="V28" s="1128">
        <v>2000.0</v>
      </c>
      <c r="W28" s="1129">
        <v>50000.0</v>
      </c>
      <c r="X28" s="1082"/>
    </row>
    <row r="29">
      <c r="B29" s="1082"/>
      <c r="C29" s="1110" t="s">
        <v>793</v>
      </c>
      <c r="D29" s="1111" t="str">
        <f t="shared" ref="D29:D30" si="8">R29*$K$31</f>
        <v>#VALUE!</v>
      </c>
      <c r="E29" s="1082"/>
      <c r="F29" s="1112"/>
      <c r="G29" s="1084"/>
      <c r="H29" s="1113"/>
      <c r="I29" s="1082"/>
      <c r="J29" s="1082"/>
      <c r="K29" s="1082"/>
      <c r="L29" s="1082"/>
      <c r="M29" s="1082"/>
      <c r="N29" s="1082"/>
      <c r="O29" s="1082"/>
      <c r="P29" s="1082"/>
      <c r="Q29" s="1116" t="s">
        <v>793</v>
      </c>
      <c r="R29" s="1117">
        <v>30.0</v>
      </c>
      <c r="S29" s="1082"/>
      <c r="T29" s="1126" t="s">
        <v>719</v>
      </c>
      <c r="U29" s="1153"/>
      <c r="V29" s="1128">
        <v>2000.0</v>
      </c>
      <c r="W29" s="1129">
        <v>50000.0</v>
      </c>
      <c r="X29" s="1082"/>
    </row>
    <row r="30">
      <c r="B30" s="1082"/>
      <c r="C30" s="1110" t="s">
        <v>654</v>
      </c>
      <c r="D30" s="1111" t="str">
        <f t="shared" si="8"/>
        <v>#VALUE!</v>
      </c>
      <c r="E30" s="1082"/>
      <c r="F30" s="1112"/>
      <c r="G30" s="1084"/>
      <c r="H30" s="1113"/>
      <c r="I30" s="1082"/>
      <c r="J30" s="1082"/>
      <c r="K30" s="1082"/>
      <c r="L30" s="1082"/>
      <c r="M30" s="1082"/>
      <c r="N30" s="1082"/>
      <c r="O30" s="1082"/>
      <c r="P30" s="1082"/>
      <c r="Q30" s="1116" t="s">
        <v>654</v>
      </c>
      <c r="R30" s="1117">
        <v>150.0</v>
      </c>
      <c r="S30" s="1082"/>
      <c r="T30" s="1126" t="s">
        <v>724</v>
      </c>
      <c r="U30" s="1153"/>
      <c r="V30" s="1128">
        <v>2000.0</v>
      </c>
      <c r="W30" s="1129">
        <v>50000.0</v>
      </c>
      <c r="X30" s="1082"/>
    </row>
    <row r="31">
      <c r="B31" s="1082"/>
      <c r="C31" s="1112"/>
      <c r="D31" s="1122"/>
      <c r="E31" s="1082"/>
      <c r="F31" s="1112"/>
      <c r="G31" s="1084"/>
      <c r="H31" s="1113"/>
      <c r="I31" s="1082"/>
      <c r="J31" s="1082"/>
      <c r="K31" s="1156" t="s">
        <v>794</v>
      </c>
      <c r="L31" s="1157">
        <v>0.73</v>
      </c>
      <c r="M31" s="1082"/>
      <c r="N31" s="1082"/>
      <c r="O31" s="1082"/>
      <c r="P31" s="1082"/>
      <c r="Q31" s="1124"/>
      <c r="R31" s="1125"/>
      <c r="S31" s="1082"/>
      <c r="T31" s="1126" t="s">
        <v>727</v>
      </c>
      <c r="U31" s="1153"/>
      <c r="V31" s="1128">
        <v>2000.0</v>
      </c>
      <c r="W31" s="1129">
        <v>50000.0</v>
      </c>
      <c r="X31" s="1082"/>
    </row>
    <row r="32">
      <c r="B32" s="1082"/>
      <c r="C32" s="1110" t="s">
        <v>795</v>
      </c>
      <c r="D32" s="1111" t="str">
        <f t="shared" ref="D32:D35" si="9">R32*$K$31</f>
        <v>#VALUE!</v>
      </c>
      <c r="E32" s="1082"/>
      <c r="F32" s="1112"/>
      <c r="G32" s="1084"/>
      <c r="H32" s="1113"/>
      <c r="I32" s="1082"/>
      <c r="J32" s="1082"/>
      <c r="K32" s="1087"/>
      <c r="L32" s="1095">
        <v>0.73</v>
      </c>
      <c r="M32" s="1082"/>
      <c r="N32" s="1082"/>
      <c r="O32" s="1082"/>
      <c r="P32" s="1082"/>
      <c r="Q32" s="1116" t="s">
        <v>795</v>
      </c>
      <c r="R32" s="1117">
        <v>0.0</v>
      </c>
      <c r="S32" s="1082"/>
      <c r="T32" s="1126" t="s">
        <v>585</v>
      </c>
      <c r="U32" s="1153"/>
      <c r="V32" s="1128">
        <v>2000.0</v>
      </c>
      <c r="W32" s="1129">
        <v>50000.0</v>
      </c>
      <c r="X32" s="1082"/>
    </row>
    <row r="33">
      <c r="B33" s="1082"/>
      <c r="C33" s="1110" t="s">
        <v>796</v>
      </c>
      <c r="D33" s="1111" t="str">
        <f t="shared" si="9"/>
        <v>#VALUE!</v>
      </c>
      <c r="E33" s="1082"/>
      <c r="F33" s="1158"/>
      <c r="G33" s="1159"/>
      <c r="H33" s="1160">
        <f>SUM(H5:H32)</f>
        <v>0.0987</v>
      </c>
      <c r="I33" s="1082"/>
      <c r="J33" s="1082"/>
      <c r="K33" s="1082"/>
      <c r="L33" s="1082"/>
      <c r="M33" s="1082"/>
      <c r="N33" s="1082"/>
      <c r="O33" s="1082"/>
      <c r="P33" s="1082"/>
      <c r="Q33" s="1116" t="s">
        <v>796</v>
      </c>
      <c r="R33" s="1117">
        <v>1330.0</v>
      </c>
      <c r="S33" s="1082"/>
      <c r="T33" s="1126" t="s">
        <v>586</v>
      </c>
      <c r="U33" s="1153"/>
      <c r="V33" s="1128">
        <v>2000.0</v>
      </c>
      <c r="W33" s="1129">
        <v>50000.0</v>
      </c>
      <c r="X33" s="1082"/>
    </row>
    <row r="34">
      <c r="B34" s="1082"/>
      <c r="C34" s="1110" t="s">
        <v>797</v>
      </c>
      <c r="D34" s="1111" t="str">
        <f t="shared" si="9"/>
        <v>#VALUE!</v>
      </c>
      <c r="E34" s="1082"/>
      <c r="F34" s="1161" t="s">
        <v>798</v>
      </c>
      <c r="G34" s="1162"/>
      <c r="H34" s="1161" t="str">
        <f>I50</f>
        <v>#VALUE!</v>
      </c>
      <c r="I34" s="1162"/>
      <c r="J34" s="1163"/>
      <c r="K34" s="1082"/>
      <c r="L34" s="1082"/>
      <c r="M34" s="1082"/>
      <c r="N34" s="1082"/>
      <c r="O34" s="1082"/>
      <c r="P34" s="1082"/>
      <c r="Q34" s="1116" t="s">
        <v>797</v>
      </c>
      <c r="R34" s="1117">
        <v>20.0</v>
      </c>
      <c r="S34" s="1082"/>
      <c r="T34" s="1126" t="s">
        <v>735</v>
      </c>
      <c r="U34" s="1153"/>
      <c r="V34" s="1128">
        <v>2000.0</v>
      </c>
      <c r="W34" s="1129">
        <v>50000.0</v>
      </c>
      <c r="X34" s="1082"/>
    </row>
    <row r="35">
      <c r="B35" s="1082"/>
      <c r="C35" s="1110" t="s">
        <v>799</v>
      </c>
      <c r="D35" s="1111" t="str">
        <f t="shared" si="9"/>
        <v>#VALUE!</v>
      </c>
      <c r="E35" s="1082"/>
      <c r="F35" s="1105" t="s">
        <v>800</v>
      </c>
      <c r="G35" s="1106"/>
      <c r="H35" s="1106"/>
      <c r="I35" s="1106"/>
      <c r="J35" s="1106"/>
      <c r="K35" s="1106"/>
      <c r="L35" s="1106"/>
      <c r="M35" s="1107"/>
      <c r="N35" s="1164">
        <f>YEAR(TODAY())</f>
        <v>2026</v>
      </c>
      <c r="O35" s="1082"/>
      <c r="P35" s="1082"/>
      <c r="Q35" s="1116" t="s">
        <v>799</v>
      </c>
      <c r="R35" s="1117">
        <v>1500.0</v>
      </c>
      <c r="S35" s="1082"/>
      <c r="T35" s="1126" t="s">
        <v>581</v>
      </c>
      <c r="U35" s="1153"/>
      <c r="V35" s="1128">
        <v>2000.0</v>
      </c>
      <c r="W35" s="1129">
        <v>50000.0</v>
      </c>
      <c r="X35" s="1082"/>
    </row>
    <row r="36">
      <c r="B36" s="1082"/>
      <c r="C36" s="1112"/>
      <c r="D36" s="1122"/>
      <c r="E36" s="1082"/>
      <c r="F36" s="1151" t="s">
        <v>758</v>
      </c>
      <c r="G36" s="1120" t="s">
        <v>558</v>
      </c>
      <c r="H36" s="1121" t="s">
        <v>750</v>
      </c>
      <c r="I36" s="1165"/>
      <c r="J36" s="1163"/>
      <c r="K36" s="1166" t="s">
        <v>801</v>
      </c>
      <c r="L36" s="1167" t="s">
        <v>802</v>
      </c>
      <c r="M36" s="1167" t="s">
        <v>803</v>
      </c>
      <c r="N36" s="1167" t="s">
        <v>4</v>
      </c>
      <c r="O36" s="1082"/>
      <c r="P36" s="1082"/>
      <c r="Q36" s="1124"/>
      <c r="R36" s="1125"/>
      <c r="S36" s="1082"/>
      <c r="T36" s="1139" t="s">
        <v>783</v>
      </c>
      <c r="U36" s="1140"/>
      <c r="V36" s="1141">
        <f t="shared" ref="V36:W36" si="10">SUM(V24:V35)</f>
        <v>24000</v>
      </c>
      <c r="W36" s="1142">
        <f t="shared" si="10"/>
        <v>600000</v>
      </c>
      <c r="X36" s="1082"/>
    </row>
    <row r="37">
      <c r="B37" s="1082"/>
      <c r="C37" s="1112"/>
      <c r="D37" s="1122"/>
      <c r="E37" s="1082"/>
      <c r="F37" s="1126" t="s">
        <v>762</v>
      </c>
      <c r="G37" s="1128" t="str">
        <f t="shared" ref="G37:H37" si="11">V24*$K$31</f>
        <v>#VALUE!</v>
      </c>
      <c r="H37" s="1129" t="str">
        <f t="shared" si="11"/>
        <v>#VALUE!</v>
      </c>
      <c r="I37" s="1168" t="str">
        <f t="shared" ref="I37:I48" si="12">IF(H37&gt;0,1,0)</f>
        <v>#VALUE!</v>
      </c>
      <c r="J37" s="1163"/>
      <c r="K37" s="1169">
        <v>25.0</v>
      </c>
      <c r="L37" s="1170" t="str">
        <f t="shared" ref="L37:L48" si="13">((W24+V24)*$K$31)/K37</f>
        <v>#VALUE!</v>
      </c>
      <c r="M37" s="1170" t="str">
        <f t="shared" ref="M37:M48" si="14">((V6+W6)*$K$31)/K37</f>
        <v>#VALUE!</v>
      </c>
      <c r="N37" s="1171" t="str">
        <f t="shared" ref="N37:N48" si="15">IF(M37&gt;=L37,"Meta Ok","Não Atingiu")</f>
        <v>#VALUE!</v>
      </c>
      <c r="O37" s="1082"/>
      <c r="P37" s="1082"/>
      <c r="Q37" s="1124"/>
      <c r="R37" s="1125"/>
      <c r="S37" s="1082"/>
      <c r="T37" s="1145" t="s">
        <v>784</v>
      </c>
      <c r="U37" s="1146"/>
      <c r="V37" s="1146"/>
      <c r="W37" s="1147">
        <f>SUM(V36:W36)</f>
        <v>624000</v>
      </c>
      <c r="X37" s="1082"/>
    </row>
    <row r="38">
      <c r="B38" s="1082"/>
      <c r="C38" s="1112"/>
      <c r="D38" s="1122"/>
      <c r="E38" s="1082"/>
      <c r="F38" s="1126" t="s">
        <v>686</v>
      </c>
      <c r="G38" s="1128" t="str">
        <f t="shared" ref="G38:G48" si="16">V25*$K$31</f>
        <v>#VALUE!</v>
      </c>
      <c r="H38" s="1129" t="str">
        <f t="shared" ref="H38:H48" si="17">W24*$K$31</f>
        <v>#VALUE!</v>
      </c>
      <c r="I38" s="1168" t="str">
        <f t="shared" si="12"/>
        <v>#VALUE!</v>
      </c>
      <c r="J38" s="1163"/>
      <c r="K38" s="1169">
        <v>22.0</v>
      </c>
      <c r="L38" s="1170" t="str">
        <f t="shared" si="13"/>
        <v>#VALUE!</v>
      </c>
      <c r="M38" s="1170" t="str">
        <f t="shared" si="14"/>
        <v>#VALUE!</v>
      </c>
      <c r="N38" s="1172" t="str">
        <f t="shared" si="15"/>
        <v>#VALUE!</v>
      </c>
      <c r="O38" s="1082"/>
      <c r="P38" s="1082"/>
      <c r="Q38" s="1124"/>
      <c r="R38" s="1125"/>
      <c r="S38" s="1082"/>
      <c r="T38" s="1082"/>
      <c r="U38" s="1082"/>
      <c r="V38" s="1082"/>
      <c r="W38" s="1082"/>
      <c r="X38" s="1082"/>
    </row>
    <row r="39">
      <c r="B39" s="1082"/>
      <c r="C39" s="1112"/>
      <c r="D39" s="1122"/>
      <c r="E39" s="1082"/>
      <c r="F39" s="1126" t="s">
        <v>704</v>
      </c>
      <c r="G39" s="1128" t="str">
        <f t="shared" si="16"/>
        <v>#VALUE!</v>
      </c>
      <c r="H39" s="1129" t="str">
        <f t="shared" si="17"/>
        <v>#VALUE!</v>
      </c>
      <c r="I39" s="1168" t="str">
        <f t="shared" si="12"/>
        <v>#VALUE!</v>
      </c>
      <c r="J39" s="1163"/>
      <c r="K39" s="1169">
        <v>27.0</v>
      </c>
      <c r="L39" s="1170" t="str">
        <f t="shared" si="13"/>
        <v>#VALUE!</v>
      </c>
      <c r="M39" s="1170" t="str">
        <f t="shared" si="14"/>
        <v>#VALUE!</v>
      </c>
      <c r="N39" s="1172" t="str">
        <f t="shared" si="15"/>
        <v>#VALUE!</v>
      </c>
      <c r="O39" s="1082"/>
      <c r="P39" s="1082"/>
      <c r="Q39" s="1124"/>
      <c r="R39" s="1125"/>
      <c r="S39" s="1082"/>
      <c r="T39" s="1082"/>
      <c r="U39" s="1082"/>
      <c r="V39" s="1082"/>
      <c r="W39" s="1082"/>
      <c r="X39" s="1082"/>
    </row>
    <row r="40">
      <c r="B40" s="1082"/>
      <c r="C40" s="1112"/>
      <c r="D40" s="1122"/>
      <c r="E40" s="1082"/>
      <c r="F40" s="1126" t="s">
        <v>710</v>
      </c>
      <c r="G40" s="1128" t="str">
        <f t="shared" si="16"/>
        <v>#VALUE!</v>
      </c>
      <c r="H40" s="1129" t="str">
        <f t="shared" si="17"/>
        <v>#VALUE!</v>
      </c>
      <c r="I40" s="1168" t="str">
        <f t="shared" si="12"/>
        <v>#VALUE!</v>
      </c>
      <c r="J40" s="1163"/>
      <c r="K40" s="1169">
        <v>24.0</v>
      </c>
      <c r="L40" s="1170" t="str">
        <f t="shared" si="13"/>
        <v>#VALUE!</v>
      </c>
      <c r="M40" s="1170" t="str">
        <f t="shared" si="14"/>
        <v>#VALUE!</v>
      </c>
      <c r="N40" s="1172" t="str">
        <f t="shared" si="15"/>
        <v>#VALUE!</v>
      </c>
      <c r="O40" s="1082"/>
      <c r="P40" s="1082"/>
      <c r="Q40" s="1124"/>
      <c r="R40" s="1125"/>
      <c r="S40" s="1082"/>
      <c r="T40" s="1082"/>
      <c r="U40" s="1082"/>
      <c r="V40" s="1082"/>
      <c r="W40" s="1082"/>
      <c r="X40" s="1082"/>
    </row>
    <row r="41">
      <c r="B41" s="1082"/>
      <c r="C41" s="1112"/>
      <c r="D41" s="1122"/>
      <c r="E41" s="1082"/>
      <c r="F41" s="1126" t="s">
        <v>716</v>
      </c>
      <c r="G41" s="1128" t="str">
        <f t="shared" si="16"/>
        <v>#VALUE!</v>
      </c>
      <c r="H41" s="1129" t="str">
        <f t="shared" si="17"/>
        <v>#VALUE!</v>
      </c>
      <c r="I41" s="1168" t="str">
        <f t="shared" si="12"/>
        <v>#VALUE!</v>
      </c>
      <c r="J41" s="1163"/>
      <c r="K41" s="1169">
        <v>27.0</v>
      </c>
      <c r="L41" s="1170" t="str">
        <f t="shared" si="13"/>
        <v>#VALUE!</v>
      </c>
      <c r="M41" s="1170" t="str">
        <f t="shared" si="14"/>
        <v>#VALUE!</v>
      </c>
      <c r="N41" s="1172" t="str">
        <f t="shared" si="15"/>
        <v>#VALUE!</v>
      </c>
      <c r="O41" s="1082"/>
      <c r="P41" s="1082"/>
      <c r="Q41" s="1124"/>
      <c r="R41" s="1125"/>
      <c r="S41" s="1082"/>
      <c r="T41" s="1082"/>
      <c r="U41" s="1082"/>
      <c r="V41" s="1082"/>
      <c r="W41" s="1082"/>
      <c r="X41" s="1082"/>
    </row>
    <row r="42">
      <c r="B42" s="1082"/>
      <c r="C42" s="1112"/>
      <c r="D42" s="1122"/>
      <c r="E42" s="1082"/>
      <c r="F42" s="1126" t="s">
        <v>719</v>
      </c>
      <c r="G42" s="1128" t="str">
        <f t="shared" si="16"/>
        <v>#VALUE!</v>
      </c>
      <c r="H42" s="1129" t="str">
        <f t="shared" si="17"/>
        <v>#VALUE!</v>
      </c>
      <c r="I42" s="1168" t="str">
        <f t="shared" si="12"/>
        <v>#VALUE!</v>
      </c>
      <c r="J42" s="1163"/>
      <c r="K42" s="1173">
        <v>25.0</v>
      </c>
      <c r="L42" s="1170" t="str">
        <f t="shared" si="13"/>
        <v>#VALUE!</v>
      </c>
      <c r="M42" s="1170" t="str">
        <f t="shared" si="14"/>
        <v>#VALUE!</v>
      </c>
      <c r="N42" s="1172" t="str">
        <f t="shared" si="15"/>
        <v>#VALUE!</v>
      </c>
      <c r="O42" s="1082"/>
      <c r="P42" s="1082"/>
      <c r="Q42" s="1124"/>
      <c r="R42" s="1125"/>
      <c r="S42" s="1082"/>
      <c r="T42" s="1082"/>
      <c r="U42" s="1082"/>
      <c r="V42" s="1082"/>
      <c r="W42" s="1082"/>
      <c r="X42" s="1082"/>
    </row>
    <row r="43">
      <c r="B43" s="1082"/>
      <c r="C43" s="1112"/>
      <c r="D43" s="1122"/>
      <c r="E43" s="1082"/>
      <c r="F43" s="1126" t="s">
        <v>724</v>
      </c>
      <c r="G43" s="1128" t="str">
        <f t="shared" si="16"/>
        <v>#VALUE!</v>
      </c>
      <c r="H43" s="1129" t="str">
        <f t="shared" si="17"/>
        <v>#VALUE!</v>
      </c>
      <c r="I43" s="1168" t="str">
        <f t="shared" si="12"/>
        <v>#VALUE!</v>
      </c>
      <c r="J43" s="1163"/>
      <c r="K43" s="1174">
        <v>26.0</v>
      </c>
      <c r="L43" s="1170" t="str">
        <f t="shared" si="13"/>
        <v>#VALUE!</v>
      </c>
      <c r="M43" s="1170" t="str">
        <f t="shared" si="14"/>
        <v>#VALUE!</v>
      </c>
      <c r="N43" s="1172" t="str">
        <f t="shared" si="15"/>
        <v>#VALUE!</v>
      </c>
      <c r="O43" s="1082"/>
      <c r="P43" s="1082"/>
      <c r="Q43" s="1175"/>
      <c r="R43" s="1176"/>
      <c r="S43" s="1082"/>
      <c r="T43" s="1082"/>
      <c r="U43" s="1082"/>
      <c r="V43" s="1082"/>
      <c r="W43" s="1082"/>
      <c r="X43" s="1082"/>
    </row>
    <row r="44">
      <c r="B44" s="1082"/>
      <c r="C44" s="1112"/>
      <c r="D44" s="1122"/>
      <c r="E44" s="1082"/>
      <c r="F44" s="1126" t="s">
        <v>727</v>
      </c>
      <c r="G44" s="1128" t="str">
        <f t="shared" si="16"/>
        <v>#VALUE!</v>
      </c>
      <c r="H44" s="1129" t="str">
        <f t="shared" si="17"/>
        <v>#VALUE!</v>
      </c>
      <c r="I44" s="1168" t="str">
        <f t="shared" si="12"/>
        <v>#VALUE!</v>
      </c>
      <c r="J44" s="1163"/>
      <c r="K44" s="1177">
        <v>27.0</v>
      </c>
      <c r="L44" s="1170" t="str">
        <f t="shared" si="13"/>
        <v>#VALUE!</v>
      </c>
      <c r="M44" s="1170" t="str">
        <f t="shared" si="14"/>
        <v>#VALUE!</v>
      </c>
      <c r="N44" s="1172" t="str">
        <f t="shared" si="15"/>
        <v>#VALUE!</v>
      </c>
      <c r="O44" s="1082"/>
      <c r="P44" s="1178" t="s">
        <v>804</v>
      </c>
      <c r="Q44" s="1082"/>
      <c r="R44" s="1082"/>
      <c r="S44" s="1082"/>
      <c r="T44" s="1082"/>
      <c r="U44" s="1082"/>
      <c r="V44" s="1082"/>
      <c r="W44" s="1082"/>
      <c r="X44" s="1082"/>
    </row>
    <row r="45">
      <c r="B45" s="1082"/>
      <c r="C45" s="1112"/>
      <c r="D45" s="1122"/>
      <c r="E45" s="1082"/>
      <c r="F45" s="1126" t="s">
        <v>585</v>
      </c>
      <c r="G45" s="1128" t="str">
        <f t="shared" si="16"/>
        <v>#VALUE!</v>
      </c>
      <c r="H45" s="1129" t="str">
        <f t="shared" si="17"/>
        <v>#VALUE!</v>
      </c>
      <c r="I45" s="1168" t="str">
        <f t="shared" si="12"/>
        <v>#VALUE!</v>
      </c>
      <c r="J45" s="1163"/>
      <c r="K45" s="1177">
        <v>25.0</v>
      </c>
      <c r="L45" s="1170" t="str">
        <f t="shared" si="13"/>
        <v>#VALUE!</v>
      </c>
      <c r="M45" s="1170" t="str">
        <f t="shared" si="14"/>
        <v>#VALUE!</v>
      </c>
      <c r="N45" s="1172" t="str">
        <f t="shared" si="15"/>
        <v>#VALUE!</v>
      </c>
      <c r="O45" s="1082"/>
      <c r="P45" s="1178" t="s">
        <v>805</v>
      </c>
      <c r="Q45" s="1082"/>
      <c r="R45" s="1082"/>
      <c r="S45" s="1082"/>
      <c r="T45" s="1082"/>
      <c r="U45" s="1082"/>
      <c r="V45" s="1082"/>
      <c r="W45" s="1082"/>
      <c r="X45" s="1082"/>
    </row>
    <row r="46">
      <c r="B46" s="1082"/>
      <c r="C46" s="1112"/>
      <c r="D46" s="1122"/>
      <c r="E46" s="1082"/>
      <c r="F46" s="1126" t="s">
        <v>586</v>
      </c>
      <c r="G46" s="1128" t="str">
        <f t="shared" si="16"/>
        <v>#VALUE!</v>
      </c>
      <c r="H46" s="1129" t="str">
        <f t="shared" si="17"/>
        <v>#VALUE!</v>
      </c>
      <c r="I46" s="1168" t="str">
        <f t="shared" si="12"/>
        <v>#VALUE!</v>
      </c>
      <c r="J46" s="1163"/>
      <c r="K46" s="1177">
        <v>26.0</v>
      </c>
      <c r="L46" s="1170" t="str">
        <f t="shared" si="13"/>
        <v>#VALUE!</v>
      </c>
      <c r="M46" s="1170" t="str">
        <f t="shared" si="14"/>
        <v>#VALUE!</v>
      </c>
      <c r="N46" s="1172" t="str">
        <f t="shared" si="15"/>
        <v>#VALUE!</v>
      </c>
      <c r="O46" s="1082"/>
      <c r="P46" s="1082"/>
      <c r="Q46" s="1082"/>
      <c r="R46" s="1082"/>
      <c r="S46" s="1082"/>
      <c r="T46" s="1082"/>
      <c r="U46" s="1082"/>
      <c r="V46" s="1082"/>
      <c r="W46" s="1082"/>
      <c r="X46" s="1082"/>
    </row>
    <row r="47">
      <c r="B47" s="1082"/>
      <c r="C47" s="1112"/>
      <c r="D47" s="1122"/>
      <c r="E47" s="1082"/>
      <c r="F47" s="1126" t="s">
        <v>735</v>
      </c>
      <c r="G47" s="1128" t="str">
        <f t="shared" si="16"/>
        <v>#VALUE!</v>
      </c>
      <c r="H47" s="1129" t="str">
        <f t="shared" si="17"/>
        <v>#VALUE!</v>
      </c>
      <c r="I47" s="1168" t="str">
        <f t="shared" si="12"/>
        <v>#VALUE!</v>
      </c>
      <c r="J47" s="1163"/>
      <c r="K47" s="1177">
        <v>26.0</v>
      </c>
      <c r="L47" s="1170" t="str">
        <f t="shared" si="13"/>
        <v>#VALUE!</v>
      </c>
      <c r="M47" s="1170" t="str">
        <f t="shared" si="14"/>
        <v>#VALUE!</v>
      </c>
      <c r="N47" s="1172" t="str">
        <f t="shared" si="15"/>
        <v>#VALUE!</v>
      </c>
      <c r="O47" s="1082"/>
      <c r="P47" s="1082"/>
      <c r="Q47" s="1082"/>
      <c r="R47" s="1082"/>
      <c r="S47" s="1082"/>
      <c r="T47" s="1082"/>
      <c r="U47" s="1082"/>
      <c r="V47" s="1082"/>
      <c r="W47" s="1082"/>
      <c r="X47" s="1082"/>
    </row>
    <row r="48">
      <c r="B48" s="1082"/>
      <c r="C48" s="1112"/>
      <c r="D48" s="1122"/>
      <c r="E48" s="1082"/>
      <c r="F48" s="1126" t="s">
        <v>581</v>
      </c>
      <c r="G48" s="1128" t="str">
        <f t="shared" si="16"/>
        <v>#VALUE!</v>
      </c>
      <c r="H48" s="1129" t="str">
        <f t="shared" si="17"/>
        <v>#VALUE!</v>
      </c>
      <c r="I48" s="1168" t="str">
        <f t="shared" si="12"/>
        <v>#VALUE!</v>
      </c>
      <c r="J48" s="1163"/>
      <c r="K48" s="1179">
        <v>25.0</v>
      </c>
      <c r="L48" s="1180" t="str">
        <f t="shared" si="13"/>
        <v>#VALUE!</v>
      </c>
      <c r="M48" s="1180" t="str">
        <f t="shared" si="14"/>
        <v>#VALUE!</v>
      </c>
      <c r="N48" s="1181" t="str">
        <f t="shared" si="15"/>
        <v>#VALUE!</v>
      </c>
      <c r="O48" s="1182"/>
      <c r="P48" s="1183" t="s">
        <v>806</v>
      </c>
      <c r="Q48" s="1184"/>
      <c r="R48" s="1082"/>
      <c r="S48" s="1082"/>
      <c r="T48" s="1082"/>
      <c r="U48" s="1082"/>
      <c r="V48" s="1082"/>
      <c r="W48" s="1082"/>
      <c r="X48" s="1082"/>
    </row>
    <row r="49">
      <c r="B49" s="1082"/>
      <c r="C49" s="1112"/>
      <c r="D49" s="1122"/>
      <c r="E49" s="1082"/>
      <c r="F49" s="1112"/>
      <c r="G49" s="1153"/>
      <c r="H49" s="1122"/>
      <c r="I49" s="1165"/>
      <c r="J49" s="1163"/>
      <c r="K49" s="1185"/>
      <c r="L49" s="1186"/>
      <c r="M49" s="1186"/>
      <c r="N49" s="1186"/>
      <c r="O49" s="1153"/>
      <c r="P49" s="1187"/>
      <c r="Q49" s="1188">
        <v>100.0</v>
      </c>
      <c r="R49" s="1082"/>
      <c r="S49" s="1082"/>
      <c r="T49" s="1082"/>
      <c r="U49" s="1082"/>
      <c r="V49" s="1082"/>
      <c r="W49" s="1082"/>
      <c r="X49" s="1082"/>
    </row>
    <row r="50">
      <c r="B50" s="1082"/>
      <c r="C50" s="1158"/>
      <c r="D50" s="1189" t="str">
        <f>SUM(D5:D49)</f>
        <v>#VALUE!</v>
      </c>
      <c r="E50" s="1082"/>
      <c r="F50" s="1190" t="s">
        <v>682</v>
      </c>
      <c r="G50" s="1191"/>
      <c r="H50" s="1192" t="str">
        <f>SUM(G37:H48)</f>
        <v>#VALUE!</v>
      </c>
      <c r="I50" s="1193" t="str">
        <f>SUM(I37:I49)</f>
        <v>#VALUE!</v>
      </c>
      <c r="J50" s="1163"/>
      <c r="K50" s="1194"/>
      <c r="L50" s="1195"/>
      <c r="M50" s="1195"/>
      <c r="N50" s="1195"/>
      <c r="O50" s="1153"/>
      <c r="P50" s="1196"/>
      <c r="Q50" s="1197" t="str">
        <f>IFERROR((P50*Q49)/P49,"-")</f>
        <v>-</v>
      </c>
      <c r="R50" s="1082"/>
      <c r="S50" s="1082"/>
      <c r="T50" s="1082"/>
      <c r="U50" s="1082"/>
      <c r="V50" s="1082"/>
      <c r="W50" s="1082"/>
      <c r="X50" s="1082"/>
    </row>
    <row r="51">
      <c r="B51" s="1082"/>
      <c r="C51" s="1082"/>
      <c r="D51" s="1082"/>
      <c r="E51" s="1082"/>
      <c r="F51" s="1082"/>
      <c r="G51" s="1082"/>
      <c r="H51" s="1082"/>
      <c r="I51" s="1082"/>
      <c r="J51" s="1082"/>
      <c r="K51" s="1082"/>
      <c r="L51" s="1082"/>
      <c r="M51" s="1082"/>
      <c r="N51" s="1082"/>
      <c r="O51" s="1082"/>
      <c r="P51" s="1082"/>
      <c r="Q51" s="1082"/>
      <c r="R51" s="1082"/>
      <c r="S51" s="1082"/>
      <c r="T51" s="1082"/>
      <c r="U51" s="1082"/>
      <c r="V51" s="1082"/>
      <c r="W51" s="1082"/>
      <c r="X51" s="1082"/>
    </row>
    <row r="52">
      <c r="B52" s="1082"/>
      <c r="C52" s="1082"/>
      <c r="D52" s="1082"/>
      <c r="E52" s="1082"/>
      <c r="F52" s="1082"/>
      <c r="G52" s="1082"/>
      <c r="H52" s="1082"/>
      <c r="I52" s="1082"/>
      <c r="J52" s="1082"/>
      <c r="K52" s="1082"/>
      <c r="L52" s="1082"/>
      <c r="M52" s="1082"/>
      <c r="N52" s="1082"/>
      <c r="O52" s="1082"/>
      <c r="P52" s="1082"/>
      <c r="Q52" s="1082"/>
      <c r="R52" s="1082"/>
      <c r="S52" s="1082"/>
      <c r="T52" s="1082"/>
      <c r="U52" s="1082"/>
      <c r="V52" s="1082"/>
      <c r="W52" s="1082"/>
      <c r="X52" s="1082"/>
    </row>
    <row r="53">
      <c r="B53" s="1082"/>
      <c r="C53" s="1198" t="str">
        <f>D33+D93</f>
        <v>#VALUE!</v>
      </c>
      <c r="D53" s="1199" t="str">
        <f>D33/C53</f>
        <v>#VALUE!</v>
      </c>
      <c r="E53" s="1200" t="str">
        <f>D93/C53</f>
        <v>#VALUE!</v>
      </c>
      <c r="F53" s="1082"/>
      <c r="G53" s="1082"/>
      <c r="H53" s="1082"/>
      <c r="I53" s="1082"/>
      <c r="J53" s="1082"/>
      <c r="K53" s="1082"/>
      <c r="L53" s="1082"/>
      <c r="M53" s="1082"/>
      <c r="N53" s="1082"/>
      <c r="O53" s="1082"/>
      <c r="P53" s="1082"/>
      <c r="Q53" s="1082"/>
      <c r="R53" s="1082"/>
      <c r="S53" s="1082"/>
      <c r="T53" s="1082"/>
      <c r="U53" s="1082"/>
      <c r="V53" s="1082"/>
      <c r="W53" s="1082"/>
      <c r="X53" s="1082"/>
    </row>
    <row r="54">
      <c r="B54" s="1082"/>
      <c r="C54" s="1200">
        <v>900.0</v>
      </c>
      <c r="D54" s="1082"/>
      <c r="E54" s="1082"/>
      <c r="F54" s="1200" t="s">
        <v>682</v>
      </c>
      <c r="G54" s="1201">
        <v>1480.0</v>
      </c>
      <c r="H54" s="1082"/>
      <c r="I54" s="1082"/>
      <c r="J54" s="1082"/>
      <c r="K54" s="1082"/>
      <c r="L54" s="1082"/>
      <c r="M54" s="1082"/>
      <c r="N54" s="1082"/>
      <c r="O54" s="1082"/>
      <c r="P54" s="1082"/>
      <c r="Q54" s="1082"/>
      <c r="R54" s="1082"/>
      <c r="S54" s="1082"/>
      <c r="T54" s="1082"/>
      <c r="U54" s="1082"/>
      <c r="V54" s="1082"/>
      <c r="W54" s="1082"/>
      <c r="X54" s="1082"/>
    </row>
    <row r="55">
      <c r="B55" s="1082"/>
      <c r="C55" s="1082"/>
      <c r="D55" s="1199" t="str">
        <f>C54*E53</f>
        <v>#VALUE!</v>
      </c>
      <c r="E55" s="1082"/>
      <c r="F55" s="1082"/>
      <c r="G55" s="1202"/>
      <c r="H55" s="1082"/>
      <c r="I55" s="1082"/>
      <c r="J55" s="1082"/>
      <c r="K55" s="1082"/>
      <c r="L55" s="1082"/>
      <c r="M55" s="1082"/>
      <c r="N55" s="1082"/>
      <c r="O55" s="1082"/>
      <c r="P55" s="1082"/>
      <c r="Q55" s="1082"/>
      <c r="R55" s="1082"/>
      <c r="S55" s="1082"/>
      <c r="T55" s="1082"/>
      <c r="U55" s="1082"/>
      <c r="V55" s="1082"/>
      <c r="W55" s="1082"/>
      <c r="X55" s="1082"/>
    </row>
    <row r="56">
      <c r="B56" s="1082"/>
      <c r="C56" s="1082"/>
      <c r="D56" s="1199">
        <f>C54*0.73</f>
        <v>657</v>
      </c>
      <c r="E56" s="1082"/>
      <c r="F56" s="1200" t="s">
        <v>807</v>
      </c>
      <c r="G56" s="1203">
        <v>0.73</v>
      </c>
      <c r="H56" s="1082"/>
      <c r="I56" s="1082"/>
      <c r="J56" s="1082"/>
      <c r="K56" s="1082"/>
      <c r="L56" s="1082"/>
      <c r="M56" s="1082"/>
      <c r="N56" s="1082"/>
      <c r="O56" s="1082"/>
      <c r="P56" s="1082"/>
      <c r="Q56" s="1082"/>
      <c r="R56" s="1082"/>
      <c r="S56" s="1082"/>
      <c r="T56" s="1082"/>
      <c r="U56" s="1082"/>
      <c r="V56" s="1082"/>
      <c r="W56" s="1082"/>
      <c r="X56" s="1082"/>
    </row>
    <row r="57">
      <c r="B57" s="1082"/>
      <c r="C57" s="1082"/>
      <c r="D57" s="1199">
        <f>C54-D56</f>
        <v>243</v>
      </c>
      <c r="E57" s="1082"/>
      <c r="F57" s="1200" t="s">
        <v>808</v>
      </c>
      <c r="G57" s="1203">
        <v>0.27</v>
      </c>
      <c r="H57" s="1082"/>
      <c r="I57" s="1082"/>
      <c r="J57" s="1082"/>
      <c r="K57" s="1082"/>
      <c r="L57" s="1082"/>
      <c r="M57" s="1082"/>
      <c r="N57" s="1082"/>
      <c r="O57" s="1082"/>
      <c r="P57" s="1082"/>
      <c r="Q57" s="1082"/>
      <c r="R57" s="1082"/>
      <c r="S57" s="1082"/>
      <c r="T57" s="1082"/>
      <c r="U57" s="1082"/>
      <c r="V57" s="1082"/>
      <c r="W57" s="1082"/>
      <c r="X57" s="1082"/>
    </row>
    <row r="58">
      <c r="B58" s="1082"/>
      <c r="C58" s="1082"/>
      <c r="D58" s="1082"/>
      <c r="E58" s="1082"/>
      <c r="F58" s="1082"/>
      <c r="G58" s="1082"/>
      <c r="H58" s="1082"/>
      <c r="I58" s="1082"/>
      <c r="J58" s="1082"/>
      <c r="K58" s="1082"/>
      <c r="L58" s="1082"/>
      <c r="M58" s="1082"/>
      <c r="N58" s="1082"/>
      <c r="O58" s="1082"/>
      <c r="P58" s="1082"/>
      <c r="Q58" s="1082"/>
      <c r="R58" s="1082"/>
      <c r="S58" s="1082"/>
      <c r="T58" s="1082"/>
      <c r="U58" s="1082"/>
      <c r="V58" s="1082"/>
      <c r="W58" s="1082"/>
      <c r="X58" s="1082"/>
    </row>
    <row r="59">
      <c r="B59" s="1082"/>
      <c r="C59" s="1082"/>
      <c r="D59" s="1082"/>
      <c r="E59" s="1082"/>
      <c r="F59" s="1082"/>
      <c r="G59" s="1082"/>
      <c r="H59" s="1082"/>
      <c r="I59" s="1082"/>
      <c r="J59" s="1082"/>
      <c r="K59" s="1082"/>
      <c r="L59" s="1082"/>
      <c r="M59" s="1082"/>
      <c r="N59" s="1082"/>
      <c r="O59" s="1082"/>
      <c r="P59" s="1082"/>
      <c r="Q59" s="1082"/>
      <c r="R59" s="1082"/>
      <c r="S59" s="1082"/>
      <c r="T59" s="1082"/>
      <c r="U59" s="1082"/>
      <c r="V59" s="1082"/>
      <c r="W59" s="1082"/>
      <c r="X59" s="1082"/>
    </row>
    <row r="60">
      <c r="B60" s="1082"/>
      <c r="C60" s="1082"/>
      <c r="D60" s="1082"/>
      <c r="E60" s="1082"/>
      <c r="F60" s="1082"/>
      <c r="G60" s="1082"/>
      <c r="H60" s="1082"/>
      <c r="I60" s="1082"/>
      <c r="J60" s="1082"/>
      <c r="K60" s="1082"/>
      <c r="L60" s="1082"/>
      <c r="M60" s="1082"/>
      <c r="N60" s="1082"/>
      <c r="O60" s="1082"/>
      <c r="P60" s="1082"/>
      <c r="Q60" s="1082"/>
      <c r="R60" s="1082"/>
      <c r="S60" s="1082"/>
      <c r="T60" s="1082"/>
      <c r="U60" s="1082"/>
      <c r="V60" s="1082"/>
      <c r="W60" s="1082"/>
      <c r="X60" s="1082"/>
    </row>
    <row r="61">
      <c r="B61" s="1082"/>
      <c r="C61" s="1083" t="s">
        <v>809</v>
      </c>
      <c r="N61" s="1087"/>
      <c r="O61" s="1082"/>
      <c r="P61" s="1082"/>
      <c r="Q61" s="1082"/>
      <c r="R61" s="1082"/>
      <c r="S61" s="1082"/>
      <c r="T61" s="1082"/>
      <c r="U61" s="1082"/>
      <c r="V61" s="1082"/>
      <c r="W61" s="1082"/>
      <c r="X61" s="1082"/>
    </row>
    <row r="62">
      <c r="B62" s="1082"/>
      <c r="N62" s="1087"/>
      <c r="O62" s="1082"/>
      <c r="P62" s="1082"/>
      <c r="Q62" s="1082"/>
      <c r="R62" s="1082"/>
      <c r="S62" s="1082"/>
      <c r="T62" s="1082"/>
      <c r="U62" s="1082"/>
      <c r="V62" s="1082"/>
      <c r="W62" s="1082"/>
      <c r="X62" s="1082"/>
    </row>
    <row r="63">
      <c r="B63" s="1082"/>
      <c r="C63" s="1088" t="s">
        <v>745</v>
      </c>
      <c r="D63" s="1089">
        <f>D110</f>
        <v>0</v>
      </c>
      <c r="E63" s="1087"/>
      <c r="F63" s="1090" t="s">
        <v>746</v>
      </c>
      <c r="G63" s="1091"/>
      <c r="H63" s="1092">
        <f>H93</f>
        <v>0.0987</v>
      </c>
      <c r="I63" s="1087"/>
      <c r="J63" s="1087"/>
      <c r="K63" s="1093" t="s">
        <v>747</v>
      </c>
      <c r="L63" s="1094" t="str">
        <f>1/Despesas!L67</f>
        <v>#REF!</v>
      </c>
      <c r="M63" s="1095" t="s">
        <v>748</v>
      </c>
      <c r="N63" s="1087"/>
      <c r="O63" s="1087"/>
      <c r="P63" s="1087"/>
      <c r="Q63" s="1087"/>
      <c r="R63" s="1087"/>
      <c r="S63" s="1082"/>
      <c r="T63" s="1082"/>
      <c r="U63" s="1082"/>
      <c r="V63" s="1082"/>
      <c r="W63" s="1082"/>
      <c r="X63" s="1082"/>
    </row>
    <row r="64">
      <c r="B64" s="1082"/>
      <c r="C64" s="1097" t="s">
        <v>749</v>
      </c>
      <c r="D64" s="1098" t="s">
        <v>750</v>
      </c>
      <c r="E64" s="1087"/>
      <c r="F64" s="1099" t="s">
        <v>749</v>
      </c>
      <c r="G64" s="1100"/>
      <c r="H64" s="1101" t="s">
        <v>751</v>
      </c>
      <c r="I64" s="1087"/>
      <c r="J64" s="1087"/>
      <c r="K64" s="1102" t="s">
        <v>752</v>
      </c>
      <c r="L64" s="1103">
        <v>0.15</v>
      </c>
      <c r="M64" s="1095" t="s">
        <v>753</v>
      </c>
      <c r="N64" s="1087"/>
      <c r="O64" s="1087"/>
      <c r="P64" s="1087"/>
      <c r="Q64" s="1204"/>
      <c r="R64" s="824"/>
      <c r="S64" s="1082"/>
      <c r="T64" s="1082"/>
      <c r="U64" s="1082"/>
      <c r="V64" s="1082"/>
      <c r="W64" s="1082"/>
      <c r="X64" s="1082"/>
    </row>
    <row r="65">
      <c r="B65" s="1082"/>
      <c r="C65" s="1110" t="s">
        <v>756</v>
      </c>
      <c r="D65" s="1111">
        <f>R5*$J$92</f>
        <v>0</v>
      </c>
      <c r="E65" s="1082"/>
      <c r="F65" s="1112"/>
      <c r="G65" s="1084"/>
      <c r="H65" s="1113"/>
      <c r="I65" s="1082"/>
      <c r="J65" s="1082"/>
      <c r="K65" s="1114" t="s">
        <v>745</v>
      </c>
      <c r="L65" s="1115" t="str">
        <f>Despesas!D110*Despesas!H94/(Despesas!H110)</f>
        <v>#REF!</v>
      </c>
      <c r="M65" s="1086" t="s">
        <v>757</v>
      </c>
      <c r="N65" s="1082"/>
      <c r="O65" s="1082"/>
      <c r="P65" s="1082"/>
      <c r="Q65" s="1112"/>
      <c r="R65" s="1122"/>
      <c r="S65" s="1082"/>
      <c r="T65" s="1082"/>
      <c r="U65" s="1082"/>
      <c r="V65" s="1082"/>
      <c r="W65" s="1082"/>
      <c r="X65" s="1082"/>
    </row>
    <row r="66">
      <c r="B66" s="1082"/>
      <c r="C66" s="1112"/>
      <c r="D66" s="1122"/>
      <c r="E66" s="1082"/>
      <c r="F66" s="1110" t="s">
        <v>648</v>
      </c>
      <c r="G66" s="1084"/>
      <c r="H66" s="1123">
        <v>0.08</v>
      </c>
      <c r="I66" s="1082"/>
      <c r="J66" s="1082"/>
      <c r="K66" s="1114" t="s">
        <v>761</v>
      </c>
      <c r="L66" s="1115" t="str">
        <f>Despesas!H93</f>
        <v>#REF!</v>
      </c>
      <c r="M66" s="1082"/>
      <c r="N66" s="1082"/>
      <c r="O66" s="1082"/>
      <c r="P66" s="1082"/>
      <c r="Q66" s="1112"/>
      <c r="R66" s="1122"/>
      <c r="S66" s="1082"/>
      <c r="T66" s="1082"/>
      <c r="U66" s="1082"/>
      <c r="V66" s="1082"/>
      <c r="W66" s="1082"/>
      <c r="X66" s="1082"/>
    </row>
    <row r="67">
      <c r="B67" s="1082"/>
      <c r="C67" s="1110" t="s">
        <v>763</v>
      </c>
      <c r="D67" s="1111">
        <f t="shared" ref="D67:D74" si="18">R7*$J$92</f>
        <v>0</v>
      </c>
      <c r="E67" s="1082"/>
      <c r="F67" s="1110" t="s">
        <v>764</v>
      </c>
      <c r="G67" s="1084"/>
      <c r="H67" s="1123">
        <v>0.002</v>
      </c>
      <c r="I67" s="1082"/>
      <c r="J67" s="1082"/>
      <c r="K67" s="1114" t="s">
        <v>765</v>
      </c>
      <c r="L67" s="1115" t="str">
        <f>100%-(L64+L65+L66)</f>
        <v>#REF!</v>
      </c>
      <c r="M67" s="1086" t="s">
        <v>766</v>
      </c>
      <c r="N67" s="1082"/>
      <c r="O67" s="1082"/>
      <c r="P67" s="1082"/>
      <c r="Q67" s="1112"/>
      <c r="R67" s="1122"/>
      <c r="S67" s="1082"/>
      <c r="T67" s="1082"/>
      <c r="U67" s="1082"/>
      <c r="V67" s="1082"/>
      <c r="W67" s="1082"/>
      <c r="X67" s="1082"/>
    </row>
    <row r="68">
      <c r="B68" s="1082"/>
      <c r="C68" s="1110" t="s">
        <v>767</v>
      </c>
      <c r="D68" s="1111">
        <f t="shared" si="18"/>
        <v>0</v>
      </c>
      <c r="E68" s="1082"/>
      <c r="F68" s="1110" t="s">
        <v>768</v>
      </c>
      <c r="G68" s="1084"/>
      <c r="H68" s="1123">
        <v>0.0015</v>
      </c>
      <c r="I68" s="1082"/>
      <c r="J68" s="1082"/>
      <c r="K68" s="1082"/>
      <c r="L68" s="1082"/>
      <c r="M68" s="1082"/>
      <c r="N68" s="1082"/>
      <c r="O68" s="1082"/>
      <c r="P68" s="1082"/>
      <c r="Q68" s="1112"/>
      <c r="R68" s="1122"/>
      <c r="S68" s="1082"/>
      <c r="T68" s="1082"/>
      <c r="U68" s="1082"/>
      <c r="V68" s="1082"/>
      <c r="W68" s="1082"/>
      <c r="X68" s="1082"/>
    </row>
    <row r="69">
      <c r="B69" s="1082"/>
      <c r="C69" s="1110" t="s">
        <v>769</v>
      </c>
      <c r="D69" s="1111">
        <f t="shared" si="18"/>
        <v>0</v>
      </c>
      <c r="E69" s="1082"/>
      <c r="F69" s="1112" t="s">
        <v>770</v>
      </c>
      <c r="G69" s="1084"/>
      <c r="H69" s="1132">
        <v>0.01</v>
      </c>
      <c r="I69" s="1082"/>
      <c r="J69" s="1082"/>
      <c r="K69" s="1082"/>
      <c r="L69" s="1082"/>
      <c r="M69" s="1082"/>
      <c r="N69" s="1082"/>
      <c r="O69" s="1082"/>
      <c r="P69" s="1082"/>
      <c r="Q69" s="1112"/>
      <c r="R69" s="1122"/>
      <c r="S69" s="1082"/>
      <c r="T69" s="1082"/>
      <c r="U69" s="1082"/>
      <c r="V69" s="1082"/>
      <c r="W69" s="1082"/>
      <c r="X69" s="1082"/>
    </row>
    <row r="70">
      <c r="B70" s="1082"/>
      <c r="C70" s="1110" t="s">
        <v>771</v>
      </c>
      <c r="D70" s="1111">
        <f t="shared" si="18"/>
        <v>0</v>
      </c>
      <c r="E70" s="1082"/>
      <c r="F70" s="1110" t="s">
        <v>772</v>
      </c>
      <c r="G70" s="1084"/>
      <c r="H70" s="1132">
        <v>0.004</v>
      </c>
      <c r="I70" s="1082"/>
      <c r="J70" s="1082"/>
      <c r="K70" s="1082"/>
      <c r="L70" s="1082"/>
      <c r="M70" s="1084"/>
      <c r="N70" s="1084"/>
      <c r="O70" s="1082"/>
      <c r="P70" s="1082"/>
      <c r="Q70" s="1112"/>
      <c r="R70" s="1122"/>
      <c r="S70" s="1082"/>
      <c r="T70" s="1082"/>
      <c r="U70" s="1082"/>
      <c r="V70" s="1082"/>
      <c r="W70" s="1082"/>
      <c r="X70" s="1082"/>
    </row>
    <row r="71">
      <c r="B71" s="1082"/>
      <c r="C71" s="1110" t="s">
        <v>773</v>
      </c>
      <c r="D71" s="1111">
        <f t="shared" si="18"/>
        <v>0</v>
      </c>
      <c r="E71" s="1082"/>
      <c r="F71" s="1110" t="s">
        <v>774</v>
      </c>
      <c r="G71" s="1084"/>
      <c r="H71" s="1132">
        <v>0.0012</v>
      </c>
      <c r="I71" s="1082"/>
      <c r="J71" s="1082"/>
      <c r="K71" s="1082"/>
      <c r="L71" s="1082"/>
      <c r="M71" s="1084"/>
      <c r="N71" s="1084"/>
      <c r="O71" s="1082"/>
      <c r="P71" s="1082"/>
      <c r="Q71" s="1112"/>
      <c r="R71" s="1122"/>
      <c r="S71" s="1082"/>
      <c r="T71" s="1082"/>
      <c r="U71" s="1082"/>
      <c r="V71" s="1082"/>
      <c r="W71" s="1082"/>
      <c r="X71" s="1082"/>
    </row>
    <row r="72">
      <c r="B72" s="1082"/>
      <c r="C72" s="1112"/>
      <c r="D72" s="1111">
        <f t="shared" si="18"/>
        <v>0</v>
      </c>
      <c r="E72" s="1082"/>
      <c r="F72" s="1112"/>
      <c r="G72" s="1084"/>
      <c r="H72" s="1113"/>
      <c r="I72" s="1082"/>
      <c r="J72" s="1082"/>
      <c r="K72" s="1082"/>
      <c r="L72" s="1082"/>
      <c r="M72" s="1084"/>
      <c r="N72" s="1084"/>
      <c r="O72" s="1082"/>
      <c r="P72" s="1082"/>
      <c r="Q72" s="1112"/>
      <c r="R72" s="1122"/>
      <c r="S72" s="1082"/>
      <c r="T72" s="1082"/>
      <c r="U72" s="1082"/>
      <c r="V72" s="1082"/>
      <c r="W72" s="1082"/>
      <c r="X72" s="1082"/>
    </row>
    <row r="73">
      <c r="B73" s="1082"/>
      <c r="C73" s="1110" t="s">
        <v>775</v>
      </c>
      <c r="D73" s="1111">
        <f t="shared" si="18"/>
        <v>0</v>
      </c>
      <c r="E73" s="1082"/>
      <c r="F73" s="1112"/>
      <c r="G73" s="1084"/>
      <c r="H73" s="1113"/>
      <c r="I73" s="1082"/>
      <c r="J73" s="1082"/>
      <c r="K73" s="1082"/>
      <c r="L73" s="1082"/>
      <c r="M73" s="1084"/>
      <c r="N73" s="1084"/>
      <c r="O73" s="1082"/>
      <c r="P73" s="1082"/>
      <c r="Q73" s="1112"/>
      <c r="R73" s="1122"/>
      <c r="S73" s="1082"/>
      <c r="T73" s="1082"/>
      <c r="U73" s="1082"/>
      <c r="V73" s="1082"/>
      <c r="W73" s="1082"/>
      <c r="X73" s="1082"/>
    </row>
    <row r="74">
      <c r="B74" s="1082"/>
      <c r="C74" s="1110" t="s">
        <v>777</v>
      </c>
      <c r="D74" s="1111">
        <f t="shared" si="18"/>
        <v>0</v>
      </c>
      <c r="E74" s="1082"/>
      <c r="F74" s="1112"/>
      <c r="G74" s="1084"/>
      <c r="H74" s="1113"/>
      <c r="I74" s="1082"/>
      <c r="J74" s="1082"/>
      <c r="K74" s="1082"/>
      <c r="L74" s="1082"/>
      <c r="M74" s="1084"/>
      <c r="N74" s="1084"/>
      <c r="O74" s="1082"/>
      <c r="P74" s="1082"/>
      <c r="Q74" s="1112"/>
      <c r="R74" s="1122"/>
      <c r="S74" s="1082"/>
      <c r="T74" s="1082"/>
      <c r="U74" s="1082"/>
      <c r="V74" s="1082"/>
      <c r="W74" s="1082"/>
      <c r="X74" s="1082"/>
    </row>
    <row r="75">
      <c r="B75" s="1082"/>
      <c r="C75" s="1112"/>
      <c r="D75" s="1122"/>
      <c r="E75" s="1082"/>
      <c r="F75" s="1112"/>
      <c r="G75" s="1084"/>
      <c r="H75" s="1113"/>
      <c r="I75" s="1082"/>
      <c r="J75" s="1082"/>
      <c r="K75" s="1082"/>
      <c r="L75" s="1082"/>
      <c r="M75" s="1084"/>
      <c r="N75" s="1084"/>
      <c r="O75" s="1082"/>
      <c r="P75" s="1082"/>
      <c r="Q75" s="1112"/>
      <c r="R75" s="1122"/>
      <c r="S75" s="1082"/>
      <c r="T75" s="1082"/>
      <c r="U75" s="1082"/>
      <c r="V75" s="1082"/>
      <c r="W75" s="1082"/>
      <c r="X75" s="1082"/>
    </row>
    <row r="76">
      <c r="B76" s="1082"/>
      <c r="C76" s="1110" t="s">
        <v>779</v>
      </c>
      <c r="D76" s="1111">
        <f t="shared" ref="D76:D82" si="19">R16*$J$92</f>
        <v>0</v>
      </c>
      <c r="E76" s="1082"/>
      <c r="F76" s="1112"/>
      <c r="G76" s="1084"/>
      <c r="H76" s="1113"/>
      <c r="I76" s="1082"/>
      <c r="J76" s="1082"/>
      <c r="K76" s="1082"/>
      <c r="L76" s="1082"/>
      <c r="M76" s="1082"/>
      <c r="N76" s="1082"/>
      <c r="O76" s="1082"/>
      <c r="P76" s="1082"/>
      <c r="Q76" s="1112"/>
      <c r="R76" s="1122"/>
      <c r="S76" s="1082"/>
      <c r="T76" s="1082"/>
      <c r="U76" s="1082"/>
      <c r="V76" s="1082"/>
      <c r="W76" s="1082"/>
      <c r="X76" s="1082"/>
    </row>
    <row r="77">
      <c r="B77" s="1082"/>
      <c r="C77" s="1110" t="s">
        <v>780</v>
      </c>
      <c r="D77" s="1111">
        <f t="shared" si="19"/>
        <v>0</v>
      </c>
      <c r="E77" s="1082"/>
      <c r="F77" s="1112"/>
      <c r="G77" s="1084"/>
      <c r="H77" s="1113"/>
      <c r="I77" s="1082"/>
      <c r="J77" s="1082"/>
      <c r="K77" s="1082"/>
      <c r="L77" s="1082"/>
      <c r="M77" s="1082"/>
      <c r="N77" s="1082"/>
      <c r="O77" s="1082"/>
      <c r="P77" s="1082"/>
      <c r="Q77" s="1112"/>
      <c r="R77" s="1122"/>
      <c r="S77" s="1082"/>
      <c r="T77" s="1082"/>
      <c r="U77" s="1082"/>
      <c r="V77" s="1082"/>
      <c r="W77" s="1082"/>
      <c r="X77" s="1082"/>
    </row>
    <row r="78">
      <c r="B78" s="1082"/>
      <c r="C78" s="1110" t="s">
        <v>782</v>
      </c>
      <c r="D78" s="1111">
        <f t="shared" si="19"/>
        <v>0</v>
      </c>
      <c r="E78" s="1082"/>
      <c r="F78" s="1112"/>
      <c r="G78" s="1084"/>
      <c r="H78" s="1113"/>
      <c r="I78" s="1082"/>
      <c r="J78" s="1082"/>
      <c r="K78" s="1082"/>
      <c r="L78" s="1082"/>
      <c r="M78" s="1082"/>
      <c r="N78" s="1082"/>
      <c r="O78" s="1082"/>
      <c r="P78" s="1082"/>
      <c r="Q78" s="1112"/>
      <c r="R78" s="1122"/>
      <c r="S78" s="1082"/>
      <c r="T78" s="1082"/>
      <c r="U78" s="1082"/>
      <c r="V78" s="1082"/>
      <c r="W78" s="1082"/>
      <c r="X78" s="1082"/>
    </row>
    <row r="79">
      <c r="B79" s="1082"/>
      <c r="C79" s="1110" t="s">
        <v>721</v>
      </c>
      <c r="D79" s="1111">
        <f t="shared" si="19"/>
        <v>0</v>
      </c>
      <c r="E79" s="1082"/>
      <c r="F79" s="1112"/>
      <c r="G79" s="1084"/>
      <c r="H79" s="1113"/>
      <c r="I79" s="1082"/>
      <c r="J79" s="1082"/>
      <c r="K79" s="1082"/>
      <c r="L79" s="1082"/>
      <c r="M79" s="1082"/>
      <c r="N79" s="1082"/>
      <c r="O79" s="1082"/>
      <c r="P79" s="1082"/>
      <c r="Q79" s="1112"/>
      <c r="R79" s="1122"/>
      <c r="S79" s="1082"/>
      <c r="T79" s="1082"/>
      <c r="U79" s="1082"/>
      <c r="V79" s="1082"/>
      <c r="W79" s="1082"/>
      <c r="X79" s="1082"/>
    </row>
    <row r="80">
      <c r="B80" s="1082"/>
      <c r="C80" s="1110" t="s">
        <v>785</v>
      </c>
      <c r="D80" s="1111">
        <f t="shared" si="19"/>
        <v>0</v>
      </c>
      <c r="E80" s="1082"/>
      <c r="F80" s="1112"/>
      <c r="G80" s="1084"/>
      <c r="H80" s="1113"/>
      <c r="I80" s="1082"/>
      <c r="J80" s="1082"/>
      <c r="K80" s="1082"/>
      <c r="L80" s="1082"/>
      <c r="M80" s="1082"/>
      <c r="N80" s="1082"/>
      <c r="O80" s="1082"/>
      <c r="P80" s="1082"/>
      <c r="Q80" s="1112"/>
      <c r="R80" s="1122"/>
      <c r="S80" s="1082"/>
      <c r="T80" s="1082"/>
      <c r="U80" s="1082"/>
      <c r="V80" s="1082"/>
      <c r="W80" s="1082"/>
      <c r="X80" s="1082"/>
    </row>
    <row r="81">
      <c r="B81" s="1082"/>
      <c r="C81" s="1110" t="s">
        <v>787</v>
      </c>
      <c r="D81" s="1111">
        <f t="shared" si="19"/>
        <v>0</v>
      </c>
      <c r="E81" s="1082"/>
      <c r="F81" s="1112"/>
      <c r="G81" s="1084"/>
      <c r="H81" s="1113"/>
      <c r="I81" s="1082"/>
      <c r="J81" s="1082"/>
      <c r="K81" s="1082"/>
      <c r="L81" s="1082"/>
      <c r="M81" s="1082"/>
      <c r="N81" s="1082"/>
      <c r="O81" s="1082"/>
      <c r="P81" s="1082"/>
      <c r="Q81" s="1112"/>
      <c r="R81" s="1122"/>
      <c r="S81" s="1082"/>
      <c r="T81" s="1082"/>
      <c r="U81" s="1082"/>
      <c r="V81" s="1082"/>
      <c r="W81" s="1082"/>
      <c r="X81" s="1082"/>
    </row>
    <row r="82">
      <c r="B82" s="1082"/>
      <c r="C82" s="1110" t="s">
        <v>788</v>
      </c>
      <c r="D82" s="1111">
        <f t="shared" si="19"/>
        <v>0</v>
      </c>
      <c r="E82" s="1082"/>
      <c r="F82" s="1112"/>
      <c r="G82" s="1084"/>
      <c r="H82" s="1113"/>
      <c r="I82" s="1082"/>
      <c r="J82" s="1082"/>
      <c r="K82" s="1082"/>
      <c r="L82" s="1082"/>
      <c r="M82" s="1082"/>
      <c r="N82" s="1082"/>
      <c r="O82" s="1082"/>
      <c r="P82" s="1082"/>
      <c r="Q82" s="1112"/>
      <c r="R82" s="1122"/>
      <c r="S82" s="1082"/>
      <c r="T82" s="1082"/>
      <c r="U82" s="1082"/>
      <c r="V82" s="1082"/>
      <c r="W82" s="1082"/>
      <c r="X82" s="1082"/>
    </row>
    <row r="83">
      <c r="B83" s="1082"/>
      <c r="C83" s="1112"/>
      <c r="D83" s="1122"/>
      <c r="E83" s="1082"/>
      <c r="F83" s="1112"/>
      <c r="G83" s="1084"/>
      <c r="H83" s="1113"/>
      <c r="I83" s="1082"/>
      <c r="J83" s="1082"/>
      <c r="K83" s="1082"/>
      <c r="L83" s="1082"/>
      <c r="M83" s="1082"/>
      <c r="N83" s="1082"/>
      <c r="O83" s="1082"/>
      <c r="P83" s="1082"/>
      <c r="Q83" s="1112"/>
      <c r="R83" s="1122"/>
      <c r="S83" s="1082"/>
      <c r="T83" s="1082"/>
      <c r="U83" s="1082"/>
      <c r="V83" s="1082"/>
      <c r="W83" s="1082"/>
      <c r="X83" s="1082"/>
    </row>
    <row r="84">
      <c r="B84" s="1082"/>
      <c r="C84" s="1110" t="s">
        <v>790</v>
      </c>
      <c r="D84" s="1111">
        <f>R24*$J$92</f>
        <v>0</v>
      </c>
      <c r="E84" s="1082"/>
      <c r="F84" s="1112"/>
      <c r="G84" s="1084"/>
      <c r="H84" s="1113"/>
      <c r="I84" s="1082"/>
      <c r="J84" s="1082"/>
      <c r="K84" s="1082"/>
      <c r="L84" s="1082"/>
      <c r="M84" s="1082"/>
      <c r="N84" s="1082"/>
      <c r="O84" s="1082"/>
      <c r="P84" s="1082"/>
      <c r="Q84" s="1112"/>
      <c r="R84" s="1122"/>
      <c r="S84" s="1082"/>
      <c r="T84" s="1082"/>
      <c r="U84" s="1082"/>
      <c r="V84" s="1082"/>
      <c r="W84" s="1082"/>
      <c r="X84" s="1082"/>
    </row>
    <row r="85">
      <c r="B85" s="1082"/>
      <c r="C85" s="1112"/>
      <c r="D85" s="1122"/>
      <c r="E85" s="1082"/>
      <c r="F85" s="1112"/>
      <c r="G85" s="1084"/>
      <c r="H85" s="1113"/>
      <c r="I85" s="1082"/>
      <c r="J85" s="1082"/>
      <c r="K85" s="1082"/>
      <c r="L85" s="1082"/>
      <c r="M85" s="1082"/>
      <c r="N85" s="1082"/>
      <c r="O85" s="1082"/>
      <c r="P85" s="1082"/>
      <c r="Q85" s="1112"/>
      <c r="R85" s="1122"/>
      <c r="S85" s="1082"/>
      <c r="T85" s="1082"/>
      <c r="U85" s="1082"/>
      <c r="V85" s="1082"/>
      <c r="W85" s="1082"/>
      <c r="X85" s="1082"/>
    </row>
    <row r="86">
      <c r="B86" s="1082"/>
      <c r="C86" s="1110" t="s">
        <v>791</v>
      </c>
      <c r="D86" s="1111">
        <f t="shared" ref="D86:D87" si="20">R26*$J$92</f>
        <v>0</v>
      </c>
      <c r="E86" s="1082"/>
      <c r="F86" s="1112"/>
      <c r="G86" s="1084"/>
      <c r="H86" s="1113"/>
      <c r="I86" s="1082"/>
      <c r="J86" s="1082"/>
      <c r="K86" s="1082"/>
      <c r="L86" s="1082"/>
      <c r="M86" s="1082"/>
      <c r="N86" s="1082"/>
      <c r="O86" s="1082"/>
      <c r="P86" s="1082"/>
      <c r="Q86" s="1112"/>
      <c r="R86" s="1122"/>
      <c r="S86" s="1082"/>
      <c r="T86" s="1082"/>
      <c r="U86" s="1082"/>
      <c r="V86" s="1082"/>
      <c r="W86" s="1082"/>
      <c r="X86" s="1082"/>
    </row>
    <row r="87">
      <c r="B87" s="1082"/>
      <c r="C87" s="1110" t="s">
        <v>792</v>
      </c>
      <c r="D87" s="1111">
        <f t="shared" si="20"/>
        <v>0</v>
      </c>
      <c r="E87" s="1082"/>
      <c r="F87" s="1112"/>
      <c r="G87" s="1084"/>
      <c r="H87" s="1113"/>
      <c r="I87" s="1082"/>
      <c r="J87" s="1082"/>
      <c r="K87" s="1082"/>
      <c r="L87" s="1082"/>
      <c r="M87" s="1082"/>
      <c r="N87" s="1082"/>
      <c r="O87" s="1082"/>
      <c r="P87" s="1082"/>
      <c r="Q87" s="1112"/>
      <c r="R87" s="1122"/>
      <c r="S87" s="1082"/>
      <c r="T87" s="1082"/>
      <c r="U87" s="1082"/>
      <c r="V87" s="1082"/>
      <c r="W87" s="1082"/>
      <c r="X87" s="1082"/>
    </row>
    <row r="88">
      <c r="B88" s="1082"/>
      <c r="C88" s="1112"/>
      <c r="D88" s="1122"/>
      <c r="E88" s="1082"/>
      <c r="F88" s="1112"/>
      <c r="G88" s="1084"/>
      <c r="H88" s="1113"/>
      <c r="I88" s="1082"/>
      <c r="J88" s="1082"/>
      <c r="K88" s="1082"/>
      <c r="L88" s="1082"/>
      <c r="M88" s="1082"/>
      <c r="N88" s="1082"/>
      <c r="O88" s="1082"/>
      <c r="P88" s="1082"/>
      <c r="Q88" s="1112"/>
      <c r="R88" s="1122"/>
      <c r="S88" s="1082"/>
      <c r="T88" s="1082"/>
      <c r="U88" s="1082"/>
      <c r="V88" s="1082"/>
      <c r="W88" s="1082"/>
      <c r="X88" s="1082"/>
    </row>
    <row r="89">
      <c r="B89" s="1082"/>
      <c r="C89" s="1110" t="s">
        <v>793</v>
      </c>
      <c r="D89" s="1111">
        <f t="shared" ref="D89:D90" si="21">R29*$J$92</f>
        <v>0</v>
      </c>
      <c r="E89" s="1082"/>
      <c r="F89" s="1112"/>
      <c r="G89" s="1084"/>
      <c r="H89" s="1113"/>
      <c r="I89" s="1082"/>
      <c r="J89" s="1082"/>
      <c r="K89" s="1082"/>
      <c r="L89" s="1082"/>
      <c r="M89" s="1082"/>
      <c r="N89" s="1082"/>
      <c r="O89" s="1082"/>
      <c r="P89" s="1082"/>
      <c r="Q89" s="1112"/>
      <c r="R89" s="1122"/>
      <c r="S89" s="1082"/>
      <c r="T89" s="1082"/>
      <c r="U89" s="1082"/>
      <c r="V89" s="1082"/>
      <c r="W89" s="1082"/>
      <c r="X89" s="1082"/>
    </row>
    <row r="90">
      <c r="B90" s="1082"/>
      <c r="C90" s="1110" t="s">
        <v>654</v>
      </c>
      <c r="D90" s="1111">
        <f t="shared" si="21"/>
        <v>0</v>
      </c>
      <c r="E90" s="1082"/>
      <c r="F90" s="1112"/>
      <c r="G90" s="1084"/>
      <c r="H90" s="1113"/>
      <c r="I90" s="1082"/>
      <c r="J90" s="1082"/>
      <c r="K90" s="1082"/>
      <c r="L90" s="1082"/>
      <c r="M90" s="1082"/>
      <c r="N90" s="1082"/>
      <c r="O90" s="1082"/>
      <c r="P90" s="1082"/>
      <c r="Q90" s="1112"/>
      <c r="R90" s="1122"/>
      <c r="S90" s="1082"/>
      <c r="T90" s="1082"/>
      <c r="U90" s="1082"/>
      <c r="V90" s="1082"/>
      <c r="W90" s="1082"/>
      <c r="X90" s="1082"/>
    </row>
    <row r="91">
      <c r="B91" s="1082"/>
      <c r="C91" s="1112"/>
      <c r="D91" s="1122"/>
      <c r="E91" s="1082"/>
      <c r="F91" s="1112"/>
      <c r="G91" s="1084"/>
      <c r="H91" s="1113"/>
      <c r="I91" s="1082"/>
      <c r="J91" s="1082"/>
      <c r="K91" s="1205" t="s">
        <v>810</v>
      </c>
      <c r="L91" s="1206">
        <v>0.27</v>
      </c>
      <c r="M91" s="1082"/>
      <c r="N91" s="1082"/>
      <c r="O91" s="1082"/>
      <c r="P91" s="1082"/>
      <c r="Q91" s="1112"/>
      <c r="R91" s="1122"/>
      <c r="S91" s="1082"/>
      <c r="T91" s="1082"/>
      <c r="U91" s="1082"/>
      <c r="V91" s="1082"/>
      <c r="W91" s="1082"/>
      <c r="X91" s="1082"/>
    </row>
    <row r="92">
      <c r="B92" s="1082"/>
      <c r="C92" s="1110" t="s">
        <v>795</v>
      </c>
      <c r="D92" s="1111">
        <f t="shared" ref="D92:D95" si="22">R32*$J$92</f>
        <v>0</v>
      </c>
      <c r="E92" s="1082"/>
      <c r="F92" s="1112"/>
      <c r="G92" s="1084"/>
      <c r="H92" s="1113"/>
      <c r="I92" s="1082"/>
      <c r="J92" s="1082"/>
      <c r="K92" s="1087"/>
      <c r="L92" s="1087"/>
      <c r="M92" s="1082"/>
      <c r="N92" s="1082"/>
      <c r="O92" s="1082"/>
      <c r="P92" s="1082"/>
      <c r="Q92" s="1112"/>
      <c r="R92" s="1122"/>
      <c r="S92" s="1082"/>
      <c r="T92" s="1082"/>
      <c r="U92" s="1082"/>
      <c r="V92" s="1082"/>
      <c r="W92" s="1082"/>
      <c r="X92" s="1082"/>
    </row>
    <row r="93">
      <c r="B93" s="1082"/>
      <c r="C93" s="1110" t="s">
        <v>796</v>
      </c>
      <c r="D93" s="1111">
        <f t="shared" si="22"/>
        <v>0</v>
      </c>
      <c r="E93" s="1082"/>
      <c r="F93" s="1158"/>
      <c r="G93" s="1159"/>
      <c r="H93" s="1160">
        <f>SUM(H65:H92)</f>
        <v>0.0987</v>
      </c>
      <c r="I93" s="1082"/>
      <c r="J93" s="1082"/>
      <c r="K93" s="1207">
        <v>0.27</v>
      </c>
      <c r="L93" s="1087">
        <v>0.27</v>
      </c>
      <c r="M93" s="1082"/>
      <c r="N93" s="1082"/>
      <c r="O93" s="1082"/>
      <c r="P93" s="1082"/>
      <c r="Q93" s="1112"/>
      <c r="R93" s="1122"/>
      <c r="S93" s="1082"/>
      <c r="T93" s="1082"/>
      <c r="U93" s="1082"/>
      <c r="V93" s="1082"/>
      <c r="W93" s="1082"/>
      <c r="X93" s="1082"/>
    </row>
    <row r="94">
      <c r="B94" s="1082"/>
      <c r="C94" s="1110" t="s">
        <v>797</v>
      </c>
      <c r="D94" s="1111">
        <f t="shared" si="22"/>
        <v>0</v>
      </c>
      <c r="E94" s="1082"/>
      <c r="F94" s="1161" t="s">
        <v>798</v>
      </c>
      <c r="G94" s="1162"/>
      <c r="H94" s="1161">
        <f>I110</f>
        <v>0</v>
      </c>
      <c r="I94" s="1162"/>
      <c r="J94" s="1163"/>
      <c r="K94" s="1082"/>
      <c r="L94" s="1082"/>
      <c r="M94" s="1082"/>
      <c r="N94" s="1082"/>
      <c r="O94" s="1082"/>
      <c r="P94" s="1082"/>
      <c r="Q94" s="1112"/>
      <c r="R94" s="1122"/>
      <c r="S94" s="1082"/>
      <c r="T94" s="1082"/>
      <c r="U94" s="1082"/>
      <c r="V94" s="1082"/>
      <c r="W94" s="1082"/>
      <c r="X94" s="1082"/>
    </row>
    <row r="95">
      <c r="B95" s="1082"/>
      <c r="C95" s="1110" t="s">
        <v>799</v>
      </c>
      <c r="D95" s="1111">
        <f t="shared" si="22"/>
        <v>0</v>
      </c>
      <c r="E95" s="1082"/>
      <c r="F95" s="1105" t="s">
        <v>800</v>
      </c>
      <c r="G95" s="1106"/>
      <c r="H95" s="1106"/>
      <c r="I95" s="1106"/>
      <c r="J95" s="1106"/>
      <c r="K95" s="1106"/>
      <c r="L95" s="1106"/>
      <c r="M95" s="1107"/>
      <c r="N95" s="1164">
        <f>YEAR(TODAY())</f>
        <v>2026</v>
      </c>
      <c r="O95" s="1082"/>
      <c r="P95" s="1082"/>
      <c r="Q95" s="1112"/>
      <c r="R95" s="1122"/>
      <c r="S95" s="1082"/>
      <c r="T95" s="1082"/>
      <c r="U95" s="1082"/>
      <c r="V95" s="1082"/>
      <c r="W95" s="1082"/>
      <c r="X95" s="1082"/>
    </row>
    <row r="96">
      <c r="B96" s="1082"/>
      <c r="C96" s="1112"/>
      <c r="D96" s="1122"/>
      <c r="E96" s="1082"/>
      <c r="F96" s="1151" t="s">
        <v>758</v>
      </c>
      <c r="G96" s="1120" t="s">
        <v>558</v>
      </c>
      <c r="H96" s="1121" t="s">
        <v>750</v>
      </c>
      <c r="I96" s="1165"/>
      <c r="J96" s="1163"/>
      <c r="K96" s="1166" t="s">
        <v>801</v>
      </c>
      <c r="L96" s="1167" t="s">
        <v>802</v>
      </c>
      <c r="M96" s="1167" t="s">
        <v>803</v>
      </c>
      <c r="N96" s="1167" t="s">
        <v>4</v>
      </c>
      <c r="O96" s="1082"/>
      <c r="P96" s="1082"/>
      <c r="Q96" s="1082"/>
      <c r="R96" s="1082"/>
      <c r="S96" s="1082"/>
      <c r="T96" s="1082"/>
      <c r="U96" s="1082"/>
      <c r="V96" s="1082"/>
      <c r="W96" s="1082"/>
      <c r="X96" s="1082"/>
    </row>
    <row r="97">
      <c r="B97" s="1082"/>
      <c r="C97" s="1112"/>
      <c r="D97" s="1122"/>
      <c r="E97" s="1082"/>
      <c r="F97" s="1126" t="s">
        <v>762</v>
      </c>
      <c r="G97" s="1128">
        <f t="shared" ref="G97:H97" si="23">V24*$J$92</f>
        <v>0</v>
      </c>
      <c r="H97" s="1129">
        <f t="shared" si="23"/>
        <v>0</v>
      </c>
      <c r="I97" s="1168">
        <f t="shared" ref="I97:I108" si="25">IF(H97&gt;0,1,0)</f>
        <v>0</v>
      </c>
      <c r="J97" s="1163"/>
      <c r="K97" s="1169">
        <v>24.0</v>
      </c>
      <c r="L97" s="1170">
        <f t="shared" ref="L97:L108" si="26">((W24+V24)*$K$92)/K97</f>
        <v>0</v>
      </c>
      <c r="M97" s="1170">
        <f t="shared" ref="M97:M108" si="27">((V6+W6)*$K$92)/K97</f>
        <v>0</v>
      </c>
      <c r="N97" s="1171" t="str">
        <f t="shared" ref="N97:N108" si="28">IF(M97&gt;=L97,"Meta Ok","Não Atingiu")</f>
        <v>Meta Ok</v>
      </c>
      <c r="O97" s="1082"/>
      <c r="P97" s="1082"/>
      <c r="Q97" s="1082"/>
      <c r="R97" s="1082"/>
      <c r="S97" s="1082"/>
      <c r="T97" s="1082"/>
      <c r="U97" s="1082"/>
      <c r="V97" s="1082"/>
      <c r="W97" s="1082"/>
      <c r="X97" s="1082"/>
    </row>
    <row r="98">
      <c r="B98" s="1082"/>
      <c r="C98" s="1112"/>
      <c r="D98" s="1122"/>
      <c r="E98" s="1082"/>
      <c r="F98" s="1126" t="s">
        <v>686</v>
      </c>
      <c r="G98" s="1128">
        <f t="shared" ref="G98:H98" si="24">V25*$J$92</f>
        <v>0</v>
      </c>
      <c r="H98" s="1129">
        <f t="shared" si="24"/>
        <v>0</v>
      </c>
      <c r="I98" s="1168">
        <f t="shared" si="25"/>
        <v>0</v>
      </c>
      <c r="J98" s="1163"/>
      <c r="K98" s="1169">
        <v>20.0</v>
      </c>
      <c r="L98" s="1170">
        <f t="shared" si="26"/>
        <v>0</v>
      </c>
      <c r="M98" s="1170">
        <f t="shared" si="27"/>
        <v>0</v>
      </c>
      <c r="N98" s="1172" t="str">
        <f t="shared" si="28"/>
        <v>Meta Ok</v>
      </c>
      <c r="O98" s="1082"/>
      <c r="P98" s="1082"/>
      <c r="Q98" s="1082"/>
      <c r="R98" s="1082"/>
      <c r="S98" s="1082"/>
      <c r="T98" s="1082"/>
      <c r="U98" s="1082"/>
      <c r="V98" s="1082"/>
      <c r="W98" s="1082"/>
      <c r="X98" s="1082"/>
    </row>
    <row r="99">
      <c r="B99" s="1082"/>
      <c r="C99" s="1112"/>
      <c r="D99" s="1122"/>
      <c r="E99" s="1082"/>
      <c r="F99" s="1126" t="s">
        <v>704</v>
      </c>
      <c r="G99" s="1128">
        <f t="shared" ref="G99:H99" si="29">V26*$J$92</f>
        <v>0</v>
      </c>
      <c r="H99" s="1129">
        <f t="shared" si="29"/>
        <v>0</v>
      </c>
      <c r="I99" s="1168">
        <f t="shared" si="25"/>
        <v>0</v>
      </c>
      <c r="J99" s="1163"/>
      <c r="K99" s="1169">
        <v>27.0</v>
      </c>
      <c r="L99" s="1170">
        <f t="shared" si="26"/>
        <v>0</v>
      </c>
      <c r="M99" s="1170">
        <f t="shared" si="27"/>
        <v>0</v>
      </c>
      <c r="N99" s="1172" t="str">
        <f t="shared" si="28"/>
        <v>Meta Ok</v>
      </c>
      <c r="O99" s="1082"/>
      <c r="P99" s="1082"/>
      <c r="Q99" s="1082"/>
      <c r="R99" s="1082"/>
      <c r="S99" s="1082"/>
      <c r="T99" s="1082"/>
      <c r="U99" s="1082"/>
      <c r="V99" s="1082"/>
      <c r="W99" s="1082"/>
      <c r="X99" s="1082"/>
    </row>
    <row r="100">
      <c r="B100" s="1082"/>
      <c r="C100" s="1112"/>
      <c r="D100" s="1122"/>
      <c r="E100" s="1082"/>
      <c r="F100" s="1126" t="s">
        <v>710</v>
      </c>
      <c r="G100" s="1128">
        <f t="shared" ref="G100:H100" si="30">V27*$J$92</f>
        <v>0</v>
      </c>
      <c r="H100" s="1129">
        <f t="shared" si="30"/>
        <v>0</v>
      </c>
      <c r="I100" s="1168">
        <f t="shared" si="25"/>
        <v>0</v>
      </c>
      <c r="J100" s="1163"/>
      <c r="K100" s="1169">
        <v>23.0</v>
      </c>
      <c r="L100" s="1170">
        <f t="shared" si="26"/>
        <v>0</v>
      </c>
      <c r="M100" s="1170">
        <f t="shared" si="27"/>
        <v>0</v>
      </c>
      <c r="N100" s="1172" t="str">
        <f t="shared" si="28"/>
        <v>Meta Ok</v>
      </c>
      <c r="O100" s="1082"/>
      <c r="P100" s="1082"/>
      <c r="Q100" s="1082"/>
      <c r="R100" s="1082"/>
      <c r="S100" s="1082"/>
      <c r="T100" s="1082"/>
      <c r="U100" s="1082"/>
      <c r="V100" s="1082"/>
      <c r="W100" s="1082"/>
      <c r="X100" s="1082"/>
    </row>
    <row r="101">
      <c r="B101" s="1082"/>
      <c r="C101" s="1112"/>
      <c r="D101" s="1122"/>
      <c r="E101" s="1082"/>
      <c r="F101" s="1126" t="s">
        <v>716</v>
      </c>
      <c r="G101" s="1128">
        <f t="shared" ref="G101:H101" si="31">V28*$J$92</f>
        <v>0</v>
      </c>
      <c r="H101" s="1129">
        <f t="shared" si="31"/>
        <v>0</v>
      </c>
      <c r="I101" s="1168">
        <f t="shared" si="25"/>
        <v>0</v>
      </c>
      <c r="J101" s="1163"/>
      <c r="K101" s="1169">
        <v>26.0</v>
      </c>
      <c r="L101" s="1170">
        <f t="shared" si="26"/>
        <v>0</v>
      </c>
      <c r="M101" s="1170">
        <f t="shared" si="27"/>
        <v>0</v>
      </c>
      <c r="N101" s="1172" t="str">
        <f t="shared" si="28"/>
        <v>Meta Ok</v>
      </c>
      <c r="O101" s="1082"/>
      <c r="P101" s="1082"/>
      <c r="Q101" s="1082"/>
      <c r="R101" s="1082"/>
      <c r="S101" s="1082"/>
      <c r="T101" s="1082"/>
      <c r="U101" s="1082"/>
      <c r="V101" s="1082"/>
      <c r="W101" s="1082"/>
      <c r="X101" s="1082"/>
    </row>
    <row r="102">
      <c r="B102" s="1082"/>
      <c r="C102" s="1112"/>
      <c r="D102" s="1122"/>
      <c r="E102" s="1082"/>
      <c r="F102" s="1126" t="s">
        <v>719</v>
      </c>
      <c r="G102" s="1128">
        <f t="shared" ref="G102:H102" si="32">V29*$J$92</f>
        <v>0</v>
      </c>
      <c r="H102" s="1129">
        <f t="shared" si="32"/>
        <v>0</v>
      </c>
      <c r="I102" s="1168">
        <f t="shared" si="25"/>
        <v>0</v>
      </c>
      <c r="J102" s="1163"/>
      <c r="K102" s="1173">
        <v>24.0</v>
      </c>
      <c r="L102" s="1170">
        <f t="shared" si="26"/>
        <v>0</v>
      </c>
      <c r="M102" s="1170">
        <f t="shared" si="27"/>
        <v>0</v>
      </c>
      <c r="N102" s="1172" t="str">
        <f t="shared" si="28"/>
        <v>Meta Ok</v>
      </c>
      <c r="O102" s="1082"/>
      <c r="P102" s="1082"/>
      <c r="Q102" s="1082"/>
      <c r="R102" s="1082"/>
      <c r="S102" s="1082"/>
      <c r="T102" s="1082"/>
      <c r="U102" s="1082"/>
      <c r="V102" s="1082"/>
      <c r="W102" s="1082"/>
      <c r="X102" s="1082"/>
    </row>
    <row r="103">
      <c r="B103" s="1082"/>
      <c r="C103" s="1112"/>
      <c r="D103" s="1122"/>
      <c r="E103" s="1082"/>
      <c r="F103" s="1126" t="s">
        <v>724</v>
      </c>
      <c r="G103" s="1128">
        <f t="shared" ref="G103:H103" si="33">V30*$J$92</f>
        <v>0</v>
      </c>
      <c r="H103" s="1129">
        <f t="shared" si="33"/>
        <v>0</v>
      </c>
      <c r="I103" s="1168">
        <f t="shared" si="25"/>
        <v>0</v>
      </c>
      <c r="J103" s="1163"/>
      <c r="K103" s="1174">
        <v>26.0</v>
      </c>
      <c r="L103" s="1170">
        <f t="shared" si="26"/>
        <v>0</v>
      </c>
      <c r="M103" s="1170">
        <f t="shared" si="27"/>
        <v>0</v>
      </c>
      <c r="N103" s="1172" t="str">
        <f t="shared" si="28"/>
        <v>Meta Ok</v>
      </c>
      <c r="O103" s="1082"/>
      <c r="P103" s="1082"/>
      <c r="Q103" s="1082"/>
      <c r="R103" s="1082"/>
      <c r="S103" s="1082"/>
      <c r="T103" s="1082"/>
      <c r="U103" s="1082"/>
      <c r="V103" s="1082"/>
      <c r="W103" s="1082"/>
      <c r="X103" s="1082"/>
    </row>
    <row r="104">
      <c r="B104" s="1082"/>
      <c r="C104" s="1112"/>
      <c r="D104" s="1122"/>
      <c r="E104" s="1082"/>
      <c r="F104" s="1126" t="s">
        <v>727</v>
      </c>
      <c r="G104" s="1128">
        <f t="shared" ref="G104:H104" si="34">V31*$J$92</f>
        <v>0</v>
      </c>
      <c r="H104" s="1129">
        <f t="shared" si="34"/>
        <v>0</v>
      </c>
      <c r="I104" s="1168">
        <f t="shared" si="25"/>
        <v>0</v>
      </c>
      <c r="J104" s="1163"/>
      <c r="K104" s="1177">
        <v>27.0</v>
      </c>
      <c r="L104" s="1170">
        <f t="shared" si="26"/>
        <v>0</v>
      </c>
      <c r="M104" s="1170">
        <f t="shared" si="27"/>
        <v>0</v>
      </c>
      <c r="N104" s="1172" t="str">
        <f t="shared" si="28"/>
        <v>Meta Ok</v>
      </c>
      <c r="O104" s="1082"/>
      <c r="P104" s="1178" t="s">
        <v>804</v>
      </c>
      <c r="Q104" s="1082"/>
      <c r="R104" s="1082"/>
      <c r="S104" s="1082"/>
      <c r="T104" s="1082"/>
      <c r="U104" s="1082"/>
      <c r="V104" s="1082"/>
      <c r="W104" s="1082"/>
      <c r="X104" s="1082"/>
    </row>
    <row r="105">
      <c r="B105" s="1082"/>
      <c r="C105" s="1112"/>
      <c r="D105" s="1122"/>
      <c r="E105" s="1082"/>
      <c r="F105" s="1126" t="s">
        <v>585</v>
      </c>
      <c r="G105" s="1128">
        <f t="shared" ref="G105:H105" si="35">V32*$J$92</f>
        <v>0</v>
      </c>
      <c r="H105" s="1129">
        <f t="shared" si="35"/>
        <v>0</v>
      </c>
      <c r="I105" s="1168">
        <f t="shared" si="25"/>
        <v>0</v>
      </c>
      <c r="J105" s="1163"/>
      <c r="K105" s="1177">
        <v>25.0</v>
      </c>
      <c r="L105" s="1170">
        <f t="shared" si="26"/>
        <v>0</v>
      </c>
      <c r="M105" s="1170">
        <f t="shared" si="27"/>
        <v>0</v>
      </c>
      <c r="N105" s="1172" t="str">
        <f t="shared" si="28"/>
        <v>Meta Ok</v>
      </c>
      <c r="O105" s="1082"/>
      <c r="P105" s="1178" t="s">
        <v>805</v>
      </c>
      <c r="Q105" s="1082"/>
      <c r="R105" s="1082"/>
      <c r="S105" s="1082"/>
      <c r="T105" s="1082"/>
      <c r="U105" s="1082"/>
      <c r="V105" s="1082"/>
      <c r="W105" s="1082"/>
      <c r="X105" s="1082"/>
    </row>
    <row r="106">
      <c r="B106" s="1082"/>
      <c r="C106" s="1112"/>
      <c r="D106" s="1122"/>
      <c r="E106" s="1082"/>
      <c r="F106" s="1126" t="s">
        <v>586</v>
      </c>
      <c r="G106" s="1128">
        <f t="shared" ref="G106:H106" si="36">V33*$J$92</f>
        <v>0</v>
      </c>
      <c r="H106" s="1129">
        <f t="shared" si="36"/>
        <v>0</v>
      </c>
      <c r="I106" s="1168">
        <f t="shared" si="25"/>
        <v>0</v>
      </c>
      <c r="J106" s="1163"/>
      <c r="K106" s="1177">
        <v>25.0</v>
      </c>
      <c r="L106" s="1170">
        <f t="shared" si="26"/>
        <v>0</v>
      </c>
      <c r="M106" s="1170">
        <f t="shared" si="27"/>
        <v>0</v>
      </c>
      <c r="N106" s="1172" t="str">
        <f t="shared" si="28"/>
        <v>Meta Ok</v>
      </c>
      <c r="O106" s="1082"/>
      <c r="P106" s="1082"/>
      <c r="Q106" s="1082"/>
      <c r="R106" s="1082"/>
      <c r="S106" s="1082"/>
      <c r="T106" s="1082"/>
      <c r="U106" s="1082"/>
      <c r="V106" s="1082"/>
      <c r="W106" s="1082"/>
      <c r="X106" s="1082"/>
    </row>
    <row r="107">
      <c r="B107" s="1082"/>
      <c r="C107" s="1112"/>
      <c r="D107" s="1122"/>
      <c r="E107" s="1082"/>
      <c r="F107" s="1126" t="s">
        <v>735</v>
      </c>
      <c r="G107" s="1128">
        <f t="shared" ref="G107:H107" si="37">V34*$J$92</f>
        <v>0</v>
      </c>
      <c r="H107" s="1129">
        <f t="shared" si="37"/>
        <v>0</v>
      </c>
      <c r="I107" s="1168">
        <f t="shared" si="25"/>
        <v>0</v>
      </c>
      <c r="J107" s="1163"/>
      <c r="K107" s="1177">
        <v>24.0</v>
      </c>
      <c r="L107" s="1170">
        <f t="shared" si="26"/>
        <v>0</v>
      </c>
      <c r="M107" s="1170">
        <f t="shared" si="27"/>
        <v>0</v>
      </c>
      <c r="N107" s="1172" t="str">
        <f t="shared" si="28"/>
        <v>Meta Ok</v>
      </c>
      <c r="O107" s="1082"/>
      <c r="P107" s="1082"/>
      <c r="Q107" s="1082"/>
      <c r="R107" s="1082"/>
      <c r="S107" s="1082"/>
      <c r="T107" s="1082"/>
      <c r="U107" s="1082"/>
      <c r="V107" s="1082"/>
      <c r="W107" s="1082"/>
      <c r="X107" s="1082"/>
    </row>
    <row r="108">
      <c r="B108" s="1082"/>
      <c r="C108" s="1112"/>
      <c r="D108" s="1122"/>
      <c r="E108" s="1082"/>
      <c r="F108" s="1126" t="s">
        <v>581</v>
      </c>
      <c r="G108" s="1128">
        <f t="shared" ref="G108:H108" si="38">V35*$J$92</f>
        <v>0</v>
      </c>
      <c r="H108" s="1129">
        <f t="shared" si="38"/>
        <v>0</v>
      </c>
      <c r="I108" s="1168">
        <f t="shared" si="25"/>
        <v>0</v>
      </c>
      <c r="J108" s="1163"/>
      <c r="K108" s="1179">
        <v>24.0</v>
      </c>
      <c r="L108" s="1180">
        <f t="shared" si="26"/>
        <v>0</v>
      </c>
      <c r="M108" s="1180">
        <f t="shared" si="27"/>
        <v>0</v>
      </c>
      <c r="N108" s="1181" t="str">
        <f t="shared" si="28"/>
        <v>Meta Ok</v>
      </c>
      <c r="O108" s="1182"/>
      <c r="P108" s="1183" t="s">
        <v>806</v>
      </c>
      <c r="Q108" s="1184"/>
      <c r="R108" s="1082"/>
      <c r="S108" s="1082"/>
      <c r="T108" s="1082"/>
      <c r="U108" s="1082"/>
      <c r="V108" s="1082"/>
      <c r="W108" s="1082"/>
      <c r="X108" s="1082"/>
    </row>
    <row r="109">
      <c r="B109" s="1082"/>
      <c r="C109" s="1112"/>
      <c r="D109" s="1122"/>
      <c r="E109" s="1082"/>
      <c r="F109" s="1112"/>
      <c r="G109" s="1153"/>
      <c r="H109" s="1122"/>
      <c r="I109" s="1165"/>
      <c r="J109" s="1163"/>
      <c r="K109" s="1185"/>
      <c r="L109" s="1186"/>
      <c r="M109" s="1186"/>
      <c r="N109" s="1186"/>
      <c r="O109" s="1153"/>
      <c r="P109" s="1187"/>
      <c r="Q109" s="1188">
        <v>100.0</v>
      </c>
      <c r="R109" s="1082"/>
      <c r="S109" s="1082"/>
      <c r="T109" s="1082"/>
      <c r="U109" s="1082"/>
      <c r="V109" s="1082"/>
      <c r="W109" s="1082"/>
      <c r="X109" s="1082"/>
    </row>
    <row r="110">
      <c r="B110" s="1082"/>
      <c r="C110" s="1158"/>
      <c r="D110" s="1189">
        <f>SUM(D65:D109)</f>
        <v>0</v>
      </c>
      <c r="E110" s="1082"/>
      <c r="F110" s="1190" t="s">
        <v>682</v>
      </c>
      <c r="G110" s="1191"/>
      <c r="H110" s="1192">
        <f>SUM(G97:H108)</f>
        <v>0</v>
      </c>
      <c r="I110" s="1193">
        <f>SUM(I97:I109)</f>
        <v>0</v>
      </c>
      <c r="J110" s="1163"/>
      <c r="K110" s="1194"/>
      <c r="L110" s="1195"/>
      <c r="M110" s="1195"/>
      <c r="N110" s="1195"/>
      <c r="O110" s="1153"/>
      <c r="P110" s="1196"/>
      <c r="Q110" s="1197" t="str">
        <f>IFERROR((P110*Q109)/P109,"-")</f>
        <v>-</v>
      </c>
      <c r="R110" s="1082"/>
      <c r="S110" s="1082"/>
      <c r="T110" s="1082"/>
      <c r="U110" s="1082"/>
      <c r="V110" s="1082"/>
      <c r="W110" s="1082"/>
      <c r="X110" s="1082"/>
    </row>
    <row r="111">
      <c r="B111" s="1082"/>
      <c r="C111" s="1082"/>
      <c r="D111" s="1082"/>
      <c r="E111" s="1082"/>
      <c r="F111" s="1082"/>
      <c r="G111" s="1082"/>
      <c r="H111" s="1082"/>
      <c r="I111" s="1082"/>
      <c r="J111" s="1082"/>
      <c r="K111" s="1082"/>
      <c r="L111" s="1082"/>
      <c r="M111" s="1082"/>
      <c r="N111" s="1082"/>
      <c r="O111" s="1082"/>
      <c r="P111" s="1082"/>
      <c r="Q111" s="1082"/>
      <c r="R111" s="1082"/>
      <c r="S111" s="1082"/>
      <c r="T111" s="1082"/>
      <c r="U111" s="1082"/>
      <c r="V111" s="1082"/>
      <c r="W111" s="1082"/>
      <c r="X111" s="1082"/>
    </row>
    <row r="112">
      <c r="B112" s="1082"/>
      <c r="C112" s="1082"/>
      <c r="D112" s="1082"/>
      <c r="E112" s="1082"/>
      <c r="F112" s="1082"/>
      <c r="G112" s="1082"/>
      <c r="H112" s="1082"/>
      <c r="I112" s="1082"/>
      <c r="J112" s="1082"/>
      <c r="K112" s="1082"/>
      <c r="L112" s="1082"/>
      <c r="M112" s="1082"/>
      <c r="N112" s="1082"/>
      <c r="O112" s="1082"/>
      <c r="P112" s="1082"/>
      <c r="Q112" s="1082"/>
      <c r="R112" s="1082"/>
      <c r="S112" s="1082"/>
      <c r="T112" s="1082"/>
      <c r="U112" s="1082"/>
      <c r="V112" s="1082"/>
      <c r="W112" s="1082"/>
      <c r="X112" s="1082"/>
    </row>
    <row r="119">
      <c r="C119" s="1208">
        <v>45566.0</v>
      </c>
    </row>
    <row r="120">
      <c r="C120" s="1209" t="s">
        <v>811</v>
      </c>
      <c r="D120" s="1210" t="s">
        <v>682</v>
      </c>
    </row>
    <row r="121">
      <c r="C121" s="1211" t="s">
        <v>812</v>
      </c>
      <c r="D121" s="1212">
        <v>63.0</v>
      </c>
      <c r="E121" s="1213">
        <f>SUM(D121:D126)</f>
        <v>9080.48</v>
      </c>
      <c r="F121" s="1213">
        <f>SUM(E121:E130)</f>
        <v>20060.71</v>
      </c>
      <c r="G121" s="1214" t="s">
        <v>813</v>
      </c>
      <c r="H121" s="1215"/>
      <c r="I121" s="1215"/>
      <c r="J121" s="1215"/>
      <c r="K121" s="1215"/>
      <c r="L121" s="1216"/>
    </row>
    <row r="122">
      <c r="C122" s="1217" t="s">
        <v>814</v>
      </c>
      <c r="D122" s="1218">
        <v>312.32</v>
      </c>
      <c r="E122" s="1219"/>
      <c r="F122" s="1219"/>
      <c r="G122" s="1220"/>
      <c r="L122" s="1221"/>
    </row>
    <row r="123">
      <c r="C123" s="1217" t="s">
        <v>815</v>
      </c>
      <c r="D123" s="1218">
        <v>317.79</v>
      </c>
      <c r="E123" s="1219"/>
      <c r="F123" s="1219"/>
      <c r="G123" s="1220"/>
      <c r="L123" s="1221"/>
    </row>
    <row r="124">
      <c r="C124" s="1217" t="s">
        <v>816</v>
      </c>
      <c r="D124" s="1218">
        <v>373.98</v>
      </c>
      <c r="E124" s="1219"/>
      <c r="F124" s="1219"/>
      <c r="G124" s="1220"/>
      <c r="L124" s="1221"/>
    </row>
    <row r="125">
      <c r="C125" s="1217" t="s">
        <v>817</v>
      </c>
      <c r="D125" s="1218">
        <v>4042.4</v>
      </c>
      <c r="E125" s="1219"/>
      <c r="F125" s="1219"/>
      <c r="G125" s="1220"/>
      <c r="L125" s="1221"/>
    </row>
    <row r="126">
      <c r="C126" s="1222" t="s">
        <v>818</v>
      </c>
      <c r="D126" s="1223">
        <v>3970.99</v>
      </c>
      <c r="E126" s="1219"/>
      <c r="F126" s="1219"/>
      <c r="G126" s="1220"/>
      <c r="L126" s="1221"/>
    </row>
    <row r="127">
      <c r="C127" s="1211" t="s">
        <v>819</v>
      </c>
      <c r="D127" s="1212">
        <v>24.0</v>
      </c>
      <c r="E127" s="1213">
        <f>SUM(D127:D130)</f>
        <v>10980.23</v>
      </c>
      <c r="F127" s="1219"/>
      <c r="G127" s="1220"/>
      <c r="L127" s="1221"/>
    </row>
    <row r="128">
      <c r="C128" s="1217" t="s">
        <v>820</v>
      </c>
      <c r="D128" s="1218">
        <v>1776.05</v>
      </c>
      <c r="E128" s="1219"/>
      <c r="F128" s="1219"/>
      <c r="G128" s="1220"/>
      <c r="L128" s="1221"/>
    </row>
    <row r="129">
      <c r="C129" s="1217" t="s">
        <v>821</v>
      </c>
      <c r="D129" s="1218">
        <v>2959.0</v>
      </c>
      <c r="E129" s="1219"/>
      <c r="F129" s="1219"/>
      <c r="G129" s="1220"/>
      <c r="L129" s="1221"/>
    </row>
    <row r="130">
      <c r="C130" s="1224" t="s">
        <v>822</v>
      </c>
      <c r="D130" s="1225">
        <v>6221.18</v>
      </c>
      <c r="E130" s="1226"/>
      <c r="F130" s="1226"/>
      <c r="G130" s="1227"/>
      <c r="H130" s="1228"/>
      <c r="I130" s="1228"/>
      <c r="J130" s="1228"/>
      <c r="K130" s="1228"/>
      <c r="L130" s="1229"/>
    </row>
    <row r="131">
      <c r="C131" s="1230" t="s">
        <v>823</v>
      </c>
      <c r="D131" s="1231">
        <v>74.0</v>
      </c>
      <c r="E131" s="1232"/>
    </row>
    <row r="132">
      <c r="C132" s="1233" t="s">
        <v>824</v>
      </c>
      <c r="D132" s="1234">
        <v>150.0</v>
      </c>
      <c r="E132" s="1235">
        <f>SUM(D132:D135)</f>
        <v>3108.62</v>
      </c>
      <c r="F132" s="1235">
        <f>SUM(E132:E139)</f>
        <v>6482.45</v>
      </c>
      <c r="G132" s="1214" t="s">
        <v>825</v>
      </c>
      <c r="H132" s="1215"/>
      <c r="I132" s="1215"/>
      <c r="J132" s="1215"/>
      <c r="K132" s="1216"/>
    </row>
    <row r="133">
      <c r="C133" s="1236" t="s">
        <v>826</v>
      </c>
      <c r="D133" s="1237">
        <v>150.0</v>
      </c>
      <c r="E133" s="1219"/>
      <c r="F133" s="1219"/>
      <c r="G133" s="1238" t="s">
        <v>827</v>
      </c>
      <c r="K133" s="1221"/>
    </row>
    <row r="134">
      <c r="C134" s="1236" t="s">
        <v>828</v>
      </c>
      <c r="D134" s="1237">
        <v>1637.59</v>
      </c>
      <c r="E134" s="1219"/>
      <c r="F134" s="1219"/>
      <c r="G134" s="1238" t="s">
        <v>829</v>
      </c>
      <c r="K134" s="1221"/>
    </row>
    <row r="135">
      <c r="C135" s="1239" t="s">
        <v>830</v>
      </c>
      <c r="D135" s="1240">
        <v>1171.03</v>
      </c>
      <c r="E135" s="1226"/>
      <c r="F135" s="1219"/>
      <c r="G135" s="1220"/>
      <c r="K135" s="1221"/>
    </row>
    <row r="136">
      <c r="C136" s="1236" t="s">
        <v>831</v>
      </c>
      <c r="D136" s="1237">
        <v>38.0</v>
      </c>
      <c r="E136" s="1241">
        <f>SUM(D136:D139)</f>
        <v>3373.83</v>
      </c>
      <c r="F136" s="1219"/>
      <c r="G136" s="1220"/>
      <c r="K136" s="1221"/>
    </row>
    <row r="137">
      <c r="C137" s="1236" t="s">
        <v>832</v>
      </c>
      <c r="D137" s="1237">
        <v>298.0</v>
      </c>
      <c r="E137" s="1219"/>
      <c r="F137" s="1219"/>
      <c r="G137" s="1220"/>
      <c r="K137" s="1221"/>
    </row>
    <row r="138">
      <c r="C138" s="1236" t="s">
        <v>833</v>
      </c>
      <c r="D138" s="1237">
        <v>206.16</v>
      </c>
      <c r="E138" s="1219"/>
      <c r="F138" s="1219"/>
      <c r="G138" s="1220"/>
      <c r="K138" s="1221"/>
    </row>
    <row r="139">
      <c r="C139" s="1239" t="s">
        <v>834</v>
      </c>
      <c r="D139" s="1240">
        <v>2831.67</v>
      </c>
      <c r="E139" s="1226"/>
      <c r="F139" s="1226"/>
      <c r="G139" s="1227"/>
      <c r="H139" s="1228"/>
      <c r="I139" s="1228"/>
      <c r="J139" s="1228"/>
      <c r="K139" s="1229"/>
    </row>
    <row r="140">
      <c r="C140" s="1230" t="s">
        <v>835</v>
      </c>
      <c r="D140" s="1231">
        <v>21079.15</v>
      </c>
      <c r="E140" s="1232"/>
    </row>
    <row r="141">
      <c r="C141" s="1242" t="s">
        <v>836</v>
      </c>
      <c r="D141" s="1243">
        <v>1819.46</v>
      </c>
      <c r="E141" s="1244">
        <f>SUM(D141:D143)</f>
        <v>22640.14</v>
      </c>
      <c r="F141" s="1245" t="s">
        <v>837</v>
      </c>
      <c r="G141" s="812"/>
      <c r="H141" s="812"/>
      <c r="I141" s="812"/>
      <c r="J141" s="1215"/>
      <c r="K141" s="1215"/>
      <c r="L141" s="1215"/>
      <c r="M141" s="1216"/>
    </row>
    <row r="142">
      <c r="C142" s="1246" t="s">
        <v>838</v>
      </c>
      <c r="D142" s="1247">
        <v>19669.68</v>
      </c>
      <c r="E142" s="1219"/>
      <c r="F142" s="1248" t="s">
        <v>839</v>
      </c>
      <c r="I142" s="1249"/>
      <c r="J142" s="1250" t="s">
        <v>840</v>
      </c>
      <c r="M142" s="610"/>
    </row>
    <row r="143">
      <c r="C143" s="1251" t="s">
        <v>841</v>
      </c>
      <c r="D143" s="1252">
        <v>1151.0</v>
      </c>
      <c r="E143" s="1226"/>
      <c r="F143" s="1253" t="s">
        <v>842</v>
      </c>
      <c r="G143" s="815"/>
      <c r="H143" s="815"/>
      <c r="I143" s="1254"/>
      <c r="J143" s="1254"/>
      <c r="K143" s="1254"/>
      <c r="L143" s="1254"/>
      <c r="M143" s="1229"/>
    </row>
    <row r="144">
      <c r="C144" s="1255" t="s">
        <v>843</v>
      </c>
      <c r="D144" s="1256">
        <v>21.0</v>
      </c>
      <c r="E144" s="1257">
        <f>SUM(D144:D149)</f>
        <v>1538.51</v>
      </c>
    </row>
    <row r="145">
      <c r="C145" s="1258" t="s">
        <v>844</v>
      </c>
      <c r="D145" s="1259">
        <v>269.5</v>
      </c>
      <c r="E145" s="1219"/>
    </row>
    <row r="146">
      <c r="C146" s="1258" t="s">
        <v>845</v>
      </c>
      <c r="D146" s="1259">
        <v>631.89</v>
      </c>
      <c r="E146" s="1219"/>
    </row>
    <row r="147">
      <c r="C147" s="1258" t="s">
        <v>846</v>
      </c>
      <c r="D147" s="1259">
        <v>63.0</v>
      </c>
      <c r="E147" s="1219"/>
    </row>
    <row r="148">
      <c r="C148" s="1258" t="s">
        <v>847</v>
      </c>
      <c r="D148" s="1259">
        <v>308.68</v>
      </c>
      <c r="E148" s="1219"/>
    </row>
    <row r="149">
      <c r="C149" s="1260" t="s">
        <v>848</v>
      </c>
      <c r="D149" s="1261">
        <v>244.44</v>
      </c>
      <c r="E149" s="1226"/>
    </row>
    <row r="150">
      <c r="C150" s="1262"/>
      <c r="D150" s="1263">
        <v>71874.96</v>
      </c>
    </row>
    <row r="155">
      <c r="C155" s="1208">
        <v>45597.0</v>
      </c>
    </row>
    <row r="156">
      <c r="C156" s="1209" t="s">
        <v>811</v>
      </c>
      <c r="D156" s="1210" t="s">
        <v>682</v>
      </c>
      <c r="E156" s="1264"/>
      <c r="F156" s="1264"/>
    </row>
    <row r="157">
      <c r="C157" s="1211" t="s">
        <v>812</v>
      </c>
      <c r="D157" s="1265">
        <v>102.0</v>
      </c>
      <c r="E157" s="1213">
        <f>SUM(D157:D162)</f>
        <v>9009.8</v>
      </c>
      <c r="F157" s="1266">
        <f>SUM(E157:E165)</f>
        <v>20166.5</v>
      </c>
      <c r="G157" s="1214" t="s">
        <v>813</v>
      </c>
      <c r="H157" s="1215"/>
      <c r="I157" s="1215"/>
      <c r="J157" s="1215"/>
      <c r="K157" s="1215"/>
      <c r="L157" s="1216"/>
    </row>
    <row r="158">
      <c r="C158" s="1217" t="s">
        <v>814</v>
      </c>
      <c r="D158" s="1267">
        <v>191.0</v>
      </c>
      <c r="E158" s="1219"/>
      <c r="F158" s="1219"/>
      <c r="G158" s="1220"/>
      <c r="L158" s="1221"/>
    </row>
    <row r="159">
      <c r="C159" s="1217" t="s">
        <v>815</v>
      </c>
      <c r="D159" s="1267">
        <v>516.48</v>
      </c>
      <c r="E159" s="1219"/>
      <c r="F159" s="1219"/>
      <c r="G159" s="1220"/>
      <c r="L159" s="1221"/>
    </row>
    <row r="160">
      <c r="C160" s="1217" t="s">
        <v>816</v>
      </c>
      <c r="D160" s="1267">
        <v>481.0</v>
      </c>
      <c r="E160" s="1219"/>
      <c r="F160" s="1219"/>
      <c r="G160" s="1220"/>
      <c r="L160" s="1221"/>
    </row>
    <row r="161">
      <c r="C161" s="1217" t="s">
        <v>817</v>
      </c>
      <c r="D161" s="1267">
        <v>3321.38</v>
      </c>
      <c r="E161" s="1219"/>
      <c r="F161" s="1219"/>
      <c r="G161" s="1220"/>
      <c r="L161" s="1221"/>
    </row>
    <row r="162">
      <c r="C162" s="1217" t="s">
        <v>818</v>
      </c>
      <c r="D162" s="1267">
        <v>4397.94</v>
      </c>
      <c r="E162" s="1226"/>
      <c r="F162" s="1219"/>
      <c r="G162" s="1220"/>
      <c r="L162" s="1221"/>
    </row>
    <row r="163">
      <c r="C163" s="1217" t="s">
        <v>820</v>
      </c>
      <c r="D163" s="1267">
        <v>1134.84</v>
      </c>
      <c r="E163" s="1266">
        <f>SUM(D163:D165)</f>
        <v>11156.7</v>
      </c>
      <c r="F163" s="1219"/>
      <c r="G163" s="1220"/>
      <c r="L163" s="1221"/>
    </row>
    <row r="164">
      <c r="C164" s="1217" t="s">
        <v>821</v>
      </c>
      <c r="D164" s="1267">
        <v>2047.98</v>
      </c>
      <c r="E164" s="1219"/>
      <c r="F164" s="1219"/>
      <c r="G164" s="1220"/>
      <c r="L164" s="1221"/>
    </row>
    <row r="165">
      <c r="C165" s="1224" t="s">
        <v>822</v>
      </c>
      <c r="D165" s="1268">
        <v>7973.88</v>
      </c>
      <c r="E165" s="1226"/>
      <c r="F165" s="1226"/>
      <c r="G165" s="1227"/>
      <c r="H165" s="1228"/>
      <c r="I165" s="1228"/>
      <c r="J165" s="1228"/>
      <c r="K165" s="1228"/>
      <c r="L165" s="1229"/>
    </row>
    <row r="166">
      <c r="C166" s="1230" t="s">
        <v>823</v>
      </c>
      <c r="D166" s="1231">
        <v>344.53</v>
      </c>
      <c r="E166" s="1269"/>
    </row>
    <row r="167">
      <c r="C167" s="1233" t="s">
        <v>824</v>
      </c>
      <c r="D167" s="1270">
        <v>45.5</v>
      </c>
      <c r="E167" s="1235">
        <f>SUM(D167:D170)</f>
        <v>2674.28</v>
      </c>
      <c r="F167" s="1235">
        <f>SUM(E167:E174)</f>
        <v>5423.28</v>
      </c>
      <c r="G167" s="1214" t="s">
        <v>849</v>
      </c>
      <c r="H167" s="1215"/>
      <c r="I167" s="1215"/>
      <c r="J167" s="1215"/>
      <c r="K167" s="1216"/>
    </row>
    <row r="168">
      <c r="C168" s="1236" t="s">
        <v>826</v>
      </c>
      <c r="D168" s="1271">
        <v>62.5</v>
      </c>
      <c r="E168" s="1219"/>
      <c r="F168" s="1219"/>
      <c r="G168" s="1238" t="s">
        <v>827</v>
      </c>
      <c r="K168" s="1221"/>
    </row>
    <row r="169">
      <c r="C169" s="1236" t="s">
        <v>828</v>
      </c>
      <c r="D169" s="1271">
        <v>1251.8</v>
      </c>
      <c r="E169" s="1219"/>
      <c r="F169" s="1219"/>
      <c r="G169" s="1220"/>
      <c r="K169" s="1221"/>
    </row>
    <row r="170">
      <c r="C170" s="1236" t="s">
        <v>830</v>
      </c>
      <c r="D170" s="1271">
        <v>1314.48</v>
      </c>
      <c r="E170" s="1226"/>
      <c r="F170" s="1219"/>
      <c r="G170" s="1220"/>
      <c r="K170" s="1221"/>
    </row>
    <row r="171">
      <c r="C171" s="1236" t="s">
        <v>832</v>
      </c>
      <c r="D171" s="1272">
        <v>214.0</v>
      </c>
      <c r="E171" s="1235">
        <f>SUM(D171:D173)</f>
        <v>2749</v>
      </c>
      <c r="F171" s="1219"/>
      <c r="G171" s="1220"/>
      <c r="K171" s="1221"/>
    </row>
    <row r="172">
      <c r="C172" s="1236" t="s">
        <v>833</v>
      </c>
      <c r="D172" s="1272">
        <v>56.0</v>
      </c>
      <c r="E172" s="1219"/>
      <c r="F172" s="1219"/>
      <c r="G172" s="1220"/>
      <c r="K172" s="1221"/>
    </row>
    <row r="173">
      <c r="C173" s="1239" t="s">
        <v>834</v>
      </c>
      <c r="D173" s="1273">
        <v>2479.0</v>
      </c>
      <c r="E173" s="1226"/>
      <c r="F173" s="1226"/>
      <c r="G173" s="1227"/>
      <c r="H173" s="1228"/>
      <c r="I173" s="1228"/>
      <c r="J173" s="1228"/>
      <c r="K173" s="1229"/>
    </row>
    <row r="174">
      <c r="C174" s="1230" t="s">
        <v>835</v>
      </c>
      <c r="D174" s="1274">
        <v>17816.28</v>
      </c>
      <c r="E174" s="1275"/>
      <c r="F174" s="1275"/>
    </row>
    <row r="175">
      <c r="C175" s="1242" t="s">
        <v>836</v>
      </c>
      <c r="D175" s="1276">
        <v>1097.04</v>
      </c>
      <c r="E175" s="1244">
        <f>SUM(D175:D177)</f>
        <v>20257.82</v>
      </c>
      <c r="F175" s="1245" t="s">
        <v>850</v>
      </c>
      <c r="G175" s="812"/>
      <c r="H175" s="812"/>
      <c r="I175" s="812"/>
      <c r="J175" s="1215"/>
      <c r="K175" s="1215"/>
      <c r="L175" s="1215"/>
      <c r="M175" s="1216"/>
    </row>
    <row r="176">
      <c r="C176" s="1246" t="s">
        <v>838</v>
      </c>
      <c r="D176" s="1277">
        <v>17621.28</v>
      </c>
      <c r="E176" s="1219"/>
      <c r="F176" s="1248" t="s">
        <v>851</v>
      </c>
      <c r="I176" s="1249"/>
      <c r="J176" s="1250" t="s">
        <v>840</v>
      </c>
      <c r="M176" s="610"/>
    </row>
    <row r="177">
      <c r="C177" s="1251" t="s">
        <v>841</v>
      </c>
      <c r="D177" s="1278">
        <v>1539.5</v>
      </c>
      <c r="E177" s="1226"/>
      <c r="F177" s="1253" t="s">
        <v>842</v>
      </c>
      <c r="G177" s="815"/>
      <c r="H177" s="815"/>
      <c r="I177" s="1254"/>
      <c r="J177" s="1254"/>
      <c r="K177" s="1254"/>
      <c r="L177" s="1254"/>
      <c r="M177" s="1229"/>
    </row>
    <row r="178">
      <c r="C178" s="1255" t="s">
        <v>852</v>
      </c>
      <c r="D178" s="1279">
        <v>65.0</v>
      </c>
      <c r="E178" s="1280">
        <f>SUM(D178:D184)</f>
        <v>1258.32</v>
      </c>
    </row>
    <row r="179">
      <c r="C179" s="1258" t="s">
        <v>843</v>
      </c>
      <c r="D179" s="1281">
        <v>40.0</v>
      </c>
      <c r="E179" s="610"/>
    </row>
    <row r="180">
      <c r="C180" s="1258" t="s">
        <v>844</v>
      </c>
      <c r="D180" s="1281">
        <v>180.85</v>
      </c>
      <c r="E180" s="610"/>
    </row>
    <row r="181">
      <c r="C181" s="1258" t="s">
        <v>845</v>
      </c>
      <c r="D181" s="1281">
        <v>615.97</v>
      </c>
      <c r="E181" s="610"/>
    </row>
    <row r="182">
      <c r="C182" s="1258" t="s">
        <v>846</v>
      </c>
      <c r="D182" s="1281">
        <v>108.0</v>
      </c>
      <c r="E182" s="610"/>
    </row>
    <row r="183">
      <c r="C183" s="1258" t="s">
        <v>847</v>
      </c>
      <c r="D183" s="1281">
        <v>164.5</v>
      </c>
      <c r="E183" s="610"/>
    </row>
    <row r="184">
      <c r="C184" s="1260" t="s">
        <v>848</v>
      </c>
      <c r="D184" s="1282">
        <v>84.0</v>
      </c>
      <c r="E184" s="1283"/>
    </row>
    <row r="185">
      <c r="C185" s="1262"/>
      <c r="D185" s="1263">
        <v>65266.73</v>
      </c>
      <c r="E185" s="1269"/>
    </row>
    <row r="186">
      <c r="D186" s="1284"/>
    </row>
    <row r="190">
      <c r="C190" s="1208">
        <v>45627.0</v>
      </c>
    </row>
    <row r="191">
      <c r="C191" s="1209" t="s">
        <v>811</v>
      </c>
      <c r="D191" s="1210" t="s">
        <v>682</v>
      </c>
    </row>
    <row r="192">
      <c r="C192" s="1211" t="s">
        <v>812</v>
      </c>
      <c r="D192" s="1285">
        <v>64.0</v>
      </c>
      <c r="E192" s="1213">
        <f>SUM(D192:D197)</f>
        <v>6564.56</v>
      </c>
      <c r="F192" s="1213">
        <f>SUM(E192:E201)</f>
        <v>15851.8</v>
      </c>
      <c r="G192" s="1214" t="s">
        <v>813</v>
      </c>
      <c r="H192" s="1215"/>
      <c r="I192" s="1215"/>
      <c r="J192" s="1215"/>
      <c r="K192" s="1215"/>
      <c r="L192" s="1216"/>
    </row>
    <row r="193">
      <c r="C193" s="1217" t="s">
        <v>814</v>
      </c>
      <c r="D193" s="1286">
        <v>284.0</v>
      </c>
      <c r="E193" s="1219"/>
      <c r="F193" s="1219"/>
      <c r="G193" s="1220"/>
      <c r="L193" s="1221"/>
    </row>
    <row r="194">
      <c r="C194" s="1217" t="s">
        <v>815</v>
      </c>
      <c r="D194" s="1286">
        <v>261.99</v>
      </c>
      <c r="E194" s="1219"/>
      <c r="F194" s="1219"/>
      <c r="G194" s="1220"/>
      <c r="L194" s="1221"/>
    </row>
    <row r="195">
      <c r="C195" s="1217" t="s">
        <v>816</v>
      </c>
      <c r="D195" s="1286">
        <v>319.0</v>
      </c>
      <c r="E195" s="1219"/>
      <c r="F195" s="1219"/>
      <c r="G195" s="1220"/>
      <c r="L195" s="1221"/>
    </row>
    <row r="196">
      <c r="C196" s="1217" t="s">
        <v>817</v>
      </c>
      <c r="D196" s="1286">
        <v>2461.9</v>
      </c>
      <c r="E196" s="1219"/>
      <c r="F196" s="1219"/>
      <c r="G196" s="1220"/>
      <c r="L196" s="1221"/>
    </row>
    <row r="197">
      <c r="C197" s="1217" t="s">
        <v>818</v>
      </c>
      <c r="D197" s="1286">
        <v>3173.67</v>
      </c>
      <c r="E197" s="1219"/>
      <c r="F197" s="1219"/>
      <c r="G197" s="1220"/>
      <c r="L197" s="1221"/>
    </row>
    <row r="198">
      <c r="C198" s="1217" t="s">
        <v>819</v>
      </c>
      <c r="D198" s="1286">
        <v>101.0</v>
      </c>
      <c r="E198" s="1213">
        <f>SUM(D198:D201)</f>
        <v>9287.24</v>
      </c>
      <c r="F198" s="1219"/>
      <c r="G198" s="1220"/>
      <c r="L198" s="1221"/>
    </row>
    <row r="199">
      <c r="C199" s="1217" t="s">
        <v>820</v>
      </c>
      <c r="D199" s="1286">
        <v>700.0</v>
      </c>
      <c r="E199" s="1219"/>
      <c r="F199" s="1219"/>
      <c r="G199" s="1220"/>
      <c r="L199" s="1221"/>
    </row>
    <row r="200">
      <c r="C200" s="1217" t="s">
        <v>821</v>
      </c>
      <c r="D200" s="1286">
        <v>1744.92</v>
      </c>
      <c r="E200" s="1219"/>
      <c r="F200" s="1219"/>
      <c r="G200" s="1220"/>
      <c r="L200" s="1221"/>
    </row>
    <row r="201">
      <c r="C201" s="1224" t="s">
        <v>822</v>
      </c>
      <c r="D201" s="1287">
        <v>6741.32</v>
      </c>
      <c r="E201" s="1226"/>
      <c r="F201" s="1226"/>
      <c r="G201" s="1227"/>
      <c r="H201" s="1228"/>
      <c r="I201" s="1228"/>
      <c r="J201" s="1228"/>
      <c r="K201" s="1228"/>
      <c r="L201" s="1229"/>
    </row>
    <row r="202">
      <c r="C202" s="1230" t="s">
        <v>823</v>
      </c>
      <c r="D202" s="1231">
        <v>221.66</v>
      </c>
      <c r="E202" s="1232"/>
    </row>
    <row r="203">
      <c r="C203" s="1288" t="s">
        <v>853</v>
      </c>
      <c r="D203" s="1289">
        <v>50.0</v>
      </c>
      <c r="E203" s="1235">
        <f>SUM(D203:D206)</f>
        <v>3089.96</v>
      </c>
      <c r="F203" s="1235">
        <f>SUM(E203:E210)</f>
        <v>6812.48</v>
      </c>
      <c r="G203" s="1214" t="s">
        <v>849</v>
      </c>
      <c r="H203" s="1215"/>
      <c r="I203" s="1215"/>
      <c r="J203" s="1215"/>
      <c r="K203" s="1216"/>
    </row>
    <row r="204">
      <c r="C204" s="1290" t="s">
        <v>826</v>
      </c>
      <c r="D204" s="1291">
        <v>48.0</v>
      </c>
      <c r="E204" s="1219"/>
      <c r="F204" s="1219"/>
      <c r="G204" s="1238" t="s">
        <v>827</v>
      </c>
      <c r="K204" s="1221"/>
    </row>
    <row r="205">
      <c r="C205" s="1290" t="s">
        <v>828</v>
      </c>
      <c r="D205" s="1291">
        <v>1397.42</v>
      </c>
      <c r="E205" s="1219"/>
      <c r="F205" s="1219"/>
      <c r="G205" s="1220"/>
      <c r="K205" s="1221"/>
    </row>
    <row r="206">
      <c r="C206" s="1290" t="s">
        <v>830</v>
      </c>
      <c r="D206" s="1291">
        <v>1594.54</v>
      </c>
      <c r="E206" s="1226"/>
      <c r="F206" s="1219"/>
      <c r="G206" s="1220"/>
      <c r="K206" s="1221"/>
    </row>
    <row r="207">
      <c r="C207" s="1290" t="s">
        <v>831</v>
      </c>
      <c r="D207" s="1291">
        <v>5.0</v>
      </c>
      <c r="E207" s="1241">
        <f>SUM(D207:D210)</f>
        <v>3722.52</v>
      </c>
      <c r="F207" s="1219"/>
      <c r="G207" s="1220"/>
      <c r="K207" s="1221"/>
    </row>
    <row r="208">
      <c r="C208" s="1290" t="s">
        <v>832</v>
      </c>
      <c r="D208" s="1291">
        <v>199.5</v>
      </c>
      <c r="E208" s="1219"/>
      <c r="F208" s="1219"/>
      <c r="G208" s="1220"/>
      <c r="K208" s="1221"/>
    </row>
    <row r="209">
      <c r="C209" s="1290" t="s">
        <v>833</v>
      </c>
      <c r="D209" s="1291">
        <v>495.0</v>
      </c>
      <c r="E209" s="1219"/>
      <c r="F209" s="1219"/>
      <c r="G209" s="1220"/>
      <c r="K209" s="1221"/>
    </row>
    <row r="210">
      <c r="C210" s="1292" t="s">
        <v>834</v>
      </c>
      <c r="D210" s="1293">
        <v>3023.02</v>
      </c>
      <c r="E210" s="1226"/>
      <c r="F210" s="1226"/>
      <c r="G210" s="1227"/>
      <c r="H210" s="1228"/>
      <c r="I210" s="1228"/>
      <c r="J210" s="1228"/>
      <c r="K210" s="1229"/>
    </row>
    <row r="211">
      <c r="C211" s="1230" t="s">
        <v>835</v>
      </c>
      <c r="D211" s="1231">
        <v>17705.3</v>
      </c>
      <c r="E211" s="1232"/>
    </row>
    <row r="212">
      <c r="C212" s="1242" t="s">
        <v>836</v>
      </c>
      <c r="D212" s="1294">
        <v>1572.48</v>
      </c>
      <c r="E212" s="1295">
        <f>SUM(D212:D214)</f>
        <v>22821.49</v>
      </c>
      <c r="F212" s="1245" t="s">
        <v>850</v>
      </c>
      <c r="G212" s="812"/>
      <c r="H212" s="812"/>
      <c r="I212" s="812"/>
      <c r="J212" s="1215"/>
      <c r="K212" s="1215"/>
      <c r="L212" s="1215"/>
      <c r="M212" s="1216"/>
    </row>
    <row r="213">
      <c r="C213" s="1246" t="s">
        <v>838</v>
      </c>
      <c r="D213" s="1296">
        <v>20109.39</v>
      </c>
      <c r="E213" s="610"/>
      <c r="F213" s="1248" t="s">
        <v>851</v>
      </c>
      <c r="I213" s="1249"/>
      <c r="J213" s="1250" t="s">
        <v>840</v>
      </c>
      <c r="M213" s="610"/>
    </row>
    <row r="214">
      <c r="C214" s="1251" t="s">
        <v>841</v>
      </c>
      <c r="D214" s="1297">
        <v>1139.62</v>
      </c>
      <c r="E214" s="1283"/>
      <c r="F214" s="1253" t="s">
        <v>842</v>
      </c>
      <c r="G214" s="815"/>
      <c r="H214" s="815"/>
      <c r="I214" s="1254"/>
      <c r="J214" s="1254"/>
      <c r="K214" s="1254"/>
      <c r="L214" s="1254"/>
      <c r="M214" s="1229"/>
    </row>
    <row r="215">
      <c r="C215" s="1255" t="s">
        <v>843</v>
      </c>
      <c r="D215" s="1279">
        <v>43.5</v>
      </c>
      <c r="E215" s="1280">
        <f>SUM(D215:D220)</f>
        <v>1348.16</v>
      </c>
    </row>
    <row r="216">
      <c r="C216" s="1258" t="s">
        <v>844</v>
      </c>
      <c r="D216" s="1281">
        <v>252.5</v>
      </c>
      <c r="E216" s="610"/>
    </row>
    <row r="217">
      <c r="C217" s="1258" t="s">
        <v>845</v>
      </c>
      <c r="D217" s="1281">
        <v>597.16</v>
      </c>
      <c r="E217" s="610"/>
    </row>
    <row r="218">
      <c r="C218" s="1258" t="s">
        <v>846</v>
      </c>
      <c r="D218" s="1281">
        <v>242.0</v>
      </c>
      <c r="E218" s="610"/>
    </row>
    <row r="219">
      <c r="C219" s="1258" t="s">
        <v>847</v>
      </c>
      <c r="D219" s="1281">
        <v>98.0</v>
      </c>
      <c r="E219" s="610"/>
    </row>
    <row r="220">
      <c r="C220" s="1260" t="s">
        <v>848</v>
      </c>
      <c r="D220" s="1282">
        <v>115.0</v>
      </c>
      <c r="E220" s="1283"/>
    </row>
    <row r="221">
      <c r="C221" s="1262"/>
      <c r="D221" s="1263">
        <v>64760.89</v>
      </c>
    </row>
  </sheetData>
  <mergeCells count="47">
    <mergeCell ref="F2:H2"/>
    <mergeCell ref="Q4:R4"/>
    <mergeCell ref="T4:V4"/>
    <mergeCell ref="T22:V22"/>
    <mergeCell ref="F35:M35"/>
    <mergeCell ref="C61:M62"/>
    <mergeCell ref="Q64:R64"/>
    <mergeCell ref="F141:I141"/>
    <mergeCell ref="F142:H142"/>
    <mergeCell ref="J142:M142"/>
    <mergeCell ref="F143:H143"/>
    <mergeCell ref="F95:M95"/>
    <mergeCell ref="C119:D119"/>
    <mergeCell ref="E121:E126"/>
    <mergeCell ref="F121:F130"/>
    <mergeCell ref="E127:E130"/>
    <mergeCell ref="E132:E135"/>
    <mergeCell ref="F132:F139"/>
    <mergeCell ref="F157:F165"/>
    <mergeCell ref="F167:F173"/>
    <mergeCell ref="E178:E184"/>
    <mergeCell ref="E171:E173"/>
    <mergeCell ref="E175:E177"/>
    <mergeCell ref="F175:I175"/>
    <mergeCell ref="F176:H176"/>
    <mergeCell ref="J176:M176"/>
    <mergeCell ref="F177:H177"/>
    <mergeCell ref="E136:E139"/>
    <mergeCell ref="E141:E143"/>
    <mergeCell ref="E144:E149"/>
    <mergeCell ref="C155:D155"/>
    <mergeCell ref="E157:E162"/>
    <mergeCell ref="E163:E165"/>
    <mergeCell ref="E167:E170"/>
    <mergeCell ref="E212:E214"/>
    <mergeCell ref="F212:I212"/>
    <mergeCell ref="F213:H213"/>
    <mergeCell ref="J213:M213"/>
    <mergeCell ref="F214:H214"/>
    <mergeCell ref="C190:D190"/>
    <mergeCell ref="E192:E197"/>
    <mergeCell ref="F192:F201"/>
    <mergeCell ref="E198:E201"/>
    <mergeCell ref="E203:E206"/>
    <mergeCell ref="F203:F210"/>
    <mergeCell ref="E207:E210"/>
    <mergeCell ref="E215:E220"/>
  </mergeCells>
  <hyperlinks>
    <hyperlink r:id="rId1" ref="P44"/>
    <hyperlink r:id="rId2" ref="P45"/>
    <hyperlink r:id="rId3" ref="P104"/>
    <hyperlink r:id="rId4" ref="P105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11" max="11" width="5.5"/>
    <col hidden="1" min="12" max="14" width="12.63"/>
    <col customWidth="1" min="28" max="28" width="4.13"/>
  </cols>
  <sheetData>
    <row r="1">
      <c r="A1" s="1298"/>
      <c r="B1" s="1299"/>
      <c r="C1" s="1299"/>
      <c r="D1" s="1299"/>
      <c r="E1" s="1299"/>
      <c r="F1" s="1299"/>
      <c r="G1" s="1299"/>
      <c r="H1" s="1299"/>
      <c r="I1" s="1299"/>
      <c r="J1" s="1299"/>
      <c r="K1" s="1299"/>
      <c r="L1" s="1299"/>
      <c r="M1" s="1299"/>
      <c r="N1" s="1299"/>
      <c r="O1" s="1299"/>
      <c r="P1" s="1299"/>
      <c r="Q1" s="1299"/>
      <c r="R1" s="1299"/>
      <c r="S1" s="1299"/>
      <c r="T1" s="1299"/>
      <c r="U1" s="1299"/>
      <c r="V1" s="1299"/>
      <c r="W1" s="1299"/>
      <c r="X1" s="1299"/>
      <c r="Y1" s="1299"/>
      <c r="Z1" s="1299"/>
      <c r="AA1" s="1299"/>
      <c r="AB1" s="1300"/>
    </row>
    <row r="2">
      <c r="A2" s="1185"/>
      <c r="B2" s="1301" t="s">
        <v>854</v>
      </c>
      <c r="C2" s="1302"/>
      <c r="D2" s="1302"/>
      <c r="E2" s="1302"/>
      <c r="F2" s="1302"/>
      <c r="G2" s="1302"/>
      <c r="H2" s="1302"/>
      <c r="I2" s="1302"/>
      <c r="J2" s="1303"/>
      <c r="K2" s="1082"/>
      <c r="L2" s="1082"/>
      <c r="M2" s="1082"/>
      <c r="N2" s="1082"/>
      <c r="O2" s="1304" t="s">
        <v>855</v>
      </c>
      <c r="P2" s="593"/>
      <c r="Q2" s="593"/>
      <c r="R2" s="593"/>
      <c r="S2" s="593"/>
      <c r="T2" s="593"/>
      <c r="U2" s="593"/>
      <c r="V2" s="594"/>
      <c r="W2" s="1298"/>
      <c r="X2" s="812"/>
      <c r="Y2" s="812"/>
      <c r="Z2" s="812"/>
      <c r="AA2" s="818"/>
      <c r="AB2" s="1186"/>
    </row>
    <row r="3">
      <c r="A3" s="1185"/>
      <c r="B3" s="1305" t="s">
        <v>856</v>
      </c>
      <c r="C3" s="1306"/>
      <c r="D3" s="1307">
        <v>30.0</v>
      </c>
      <c r="E3" s="1308"/>
      <c r="F3" s="1308"/>
      <c r="G3" s="1308"/>
      <c r="H3" s="1308"/>
      <c r="I3" s="1308"/>
      <c r="J3" s="1309"/>
      <c r="K3" s="1082"/>
      <c r="L3" s="1082"/>
      <c r="M3" s="1082"/>
      <c r="N3" s="1082"/>
      <c r="O3" s="1310" t="s">
        <v>857</v>
      </c>
      <c r="P3" s="1311">
        <f t="shared" ref="P3:P4" si="1">D3</f>
        <v>30</v>
      </c>
      <c r="Q3" s="1312"/>
      <c r="R3" s="1313" t="s">
        <v>858</v>
      </c>
      <c r="S3" s="1312"/>
      <c r="T3" s="1311" t="str">
        <f>D5</f>
        <v>Almoços</v>
      </c>
      <c r="U3" s="1314"/>
      <c r="V3" s="1315"/>
      <c r="W3" s="866"/>
      <c r="AA3" s="610"/>
      <c r="AB3" s="1186"/>
    </row>
    <row r="4">
      <c r="A4" s="1316"/>
      <c r="B4" s="1317" t="s">
        <v>859</v>
      </c>
      <c r="C4" s="1306"/>
      <c r="D4" s="1318" t="s">
        <v>860</v>
      </c>
      <c r="E4" s="1308"/>
      <c r="F4" s="1308"/>
      <c r="G4" s="1308"/>
      <c r="H4" s="1308"/>
      <c r="I4" s="1308"/>
      <c r="J4" s="1309"/>
      <c r="K4" s="1087"/>
      <c r="L4" s="1087"/>
      <c r="M4" s="1087"/>
      <c r="N4" s="1087"/>
      <c r="O4" s="1319" t="s">
        <v>861</v>
      </c>
      <c r="P4" s="1320" t="str">
        <f t="shared" si="1"/>
        <v>Almoço sem Proteina</v>
      </c>
      <c r="V4" s="610"/>
      <c r="W4" s="866"/>
      <c r="AA4" s="610"/>
      <c r="AB4" s="1186"/>
    </row>
    <row r="5">
      <c r="A5" s="1185"/>
      <c r="B5" s="1305" t="s">
        <v>862</v>
      </c>
      <c r="C5" s="1306"/>
      <c r="D5" s="1307" t="s">
        <v>863</v>
      </c>
      <c r="E5" s="1308"/>
      <c r="F5" s="1308"/>
      <c r="G5" s="1308"/>
      <c r="H5" s="1308"/>
      <c r="I5" s="1308"/>
      <c r="J5" s="1309"/>
      <c r="K5" s="1082"/>
      <c r="L5" s="1082"/>
      <c r="M5" s="1082"/>
      <c r="N5" s="1082"/>
      <c r="O5" s="1321"/>
      <c r="V5" s="610"/>
      <c r="W5" s="866"/>
      <c r="AA5" s="610"/>
      <c r="AB5" s="1186"/>
    </row>
    <row r="6">
      <c r="A6" s="1185"/>
      <c r="B6" s="1305" t="s">
        <v>864</v>
      </c>
      <c r="C6" s="1306"/>
      <c r="D6" s="1322">
        <v>1.0</v>
      </c>
      <c r="E6" s="1323" t="s">
        <v>865</v>
      </c>
      <c r="F6" s="1324"/>
      <c r="G6" s="1325"/>
      <c r="H6" s="1308"/>
      <c r="I6" s="1308"/>
      <c r="J6" s="1309"/>
      <c r="K6" s="1082"/>
      <c r="L6" s="1082"/>
      <c r="M6" s="1082"/>
      <c r="N6" s="1082"/>
      <c r="O6" s="1326" t="s">
        <v>866</v>
      </c>
      <c r="P6" s="1327">
        <f t="shared" ref="P6:P7" si="2">D6</f>
        <v>1</v>
      </c>
      <c r="Q6" s="1328"/>
      <c r="R6" s="1329" t="s">
        <v>867</v>
      </c>
      <c r="S6" s="1330"/>
      <c r="T6" s="1331"/>
      <c r="U6" s="1332"/>
      <c r="V6" s="1333"/>
      <c r="W6" s="866"/>
      <c r="AA6" s="610"/>
      <c r="AB6" s="1186"/>
    </row>
    <row r="7">
      <c r="A7" s="1185"/>
      <c r="B7" s="1334" t="s">
        <v>868</v>
      </c>
      <c r="C7" s="1335"/>
      <c r="D7" s="1336"/>
      <c r="E7" s="1337"/>
      <c r="F7" s="1335"/>
      <c r="G7" s="1338" t="s">
        <v>869</v>
      </c>
      <c r="H7" s="1337"/>
      <c r="I7" s="1337"/>
      <c r="J7" s="1339"/>
      <c r="K7" s="1082"/>
      <c r="L7" s="1082"/>
      <c r="M7" s="1082"/>
      <c r="N7" s="1082"/>
      <c r="O7" s="1340" t="s">
        <v>870</v>
      </c>
      <c r="P7" s="1341" t="str">
        <f t="shared" si="2"/>
        <v/>
      </c>
      <c r="Q7" s="1342"/>
      <c r="R7" s="1343" t="s">
        <v>871</v>
      </c>
      <c r="S7" s="1344"/>
      <c r="T7" s="1342"/>
      <c r="U7" s="1345"/>
      <c r="V7" s="1346"/>
      <c r="W7" s="866"/>
      <c r="AA7" s="610"/>
      <c r="AB7" s="1186"/>
    </row>
    <row r="8">
      <c r="A8" s="1185"/>
      <c r="B8" s="1082"/>
      <c r="C8" s="1082"/>
      <c r="D8" s="1082"/>
      <c r="E8" s="1082"/>
      <c r="F8" s="1082"/>
      <c r="G8" s="1082"/>
      <c r="H8" s="1082"/>
      <c r="I8" s="1082"/>
      <c r="J8" s="1082"/>
      <c r="K8" s="1082"/>
      <c r="L8" s="1082"/>
      <c r="M8" s="1082"/>
      <c r="N8" s="1082"/>
      <c r="O8" s="1347" t="s">
        <v>872</v>
      </c>
      <c r="P8" s="1345"/>
      <c r="Q8" s="1344"/>
      <c r="R8" s="1344"/>
      <c r="S8" s="1344"/>
      <c r="T8" s="1344"/>
      <c r="U8" s="1344"/>
      <c r="V8" s="1346"/>
      <c r="W8" s="866"/>
      <c r="AA8" s="610"/>
      <c r="AB8" s="1186"/>
    </row>
    <row r="9">
      <c r="A9" s="1316"/>
      <c r="B9" s="1348" t="s">
        <v>873</v>
      </c>
      <c r="C9" s="1349" t="s">
        <v>874</v>
      </c>
      <c r="D9" s="1350" t="s">
        <v>875</v>
      </c>
      <c r="E9" s="1351" t="s">
        <v>876</v>
      </c>
      <c r="F9" s="1350" t="s">
        <v>877</v>
      </c>
      <c r="G9" s="1350" t="s">
        <v>878</v>
      </c>
      <c r="H9" s="1351" t="s">
        <v>879</v>
      </c>
      <c r="I9" s="1351" t="s">
        <v>880</v>
      </c>
      <c r="J9" s="1352" t="s">
        <v>881</v>
      </c>
      <c r="K9" s="1087"/>
      <c r="L9" s="1087"/>
      <c r="M9" s="1087"/>
      <c r="N9" s="1087"/>
      <c r="O9" s="1353"/>
      <c r="P9" s="815"/>
      <c r="Q9" s="815"/>
      <c r="R9" s="815"/>
      <c r="S9" s="815"/>
      <c r="T9" s="815"/>
      <c r="U9" s="815"/>
      <c r="V9" s="1283"/>
      <c r="W9" s="1354"/>
      <c r="X9" s="815"/>
      <c r="Y9" s="815"/>
      <c r="Z9" s="815"/>
      <c r="AA9" s="1283"/>
      <c r="AB9" s="1186"/>
    </row>
    <row r="10">
      <c r="A10" s="1185"/>
      <c r="B10" s="1355">
        <v>131.0</v>
      </c>
      <c r="C10" s="1356" t="str">
        <f t="shared" ref="C10:C38" si="3">IF(B10="","",VLOOKUP(B10,dados,2,0))</f>
        <v>#NAME?</v>
      </c>
      <c r="D10" s="1324"/>
      <c r="E10" s="1357" t="str">
        <f t="shared" ref="E10:E38" si="4">IF(B10="","",VLOOKUP(B10,dados,6,0))</f>
        <v>#NAME?</v>
      </c>
      <c r="F10" s="1358">
        <v>1.0</v>
      </c>
      <c r="G10" s="1358">
        <v>1.0</v>
      </c>
      <c r="H10" s="1359">
        <f t="shared" ref="H10:H38" si="5">IFERROR(F10/G10,"-")</f>
        <v>1</v>
      </c>
      <c r="I10" s="1360" t="str">
        <f t="shared" ref="I10:I38" si="6">IF(B10="","",VLOOKUP(B10,dados,7,0))</f>
        <v>#NAME?</v>
      </c>
      <c r="J10" s="1361" t="str">
        <f t="shared" ref="J10:J38" si="7">IF(F10="","",F10*I10)</f>
        <v>#NAME?</v>
      </c>
      <c r="K10" s="1082"/>
      <c r="L10" s="1082"/>
      <c r="M10" s="1082"/>
      <c r="N10" s="1082"/>
      <c r="O10" s="1082"/>
      <c r="P10" s="1082"/>
      <c r="Q10" s="1082"/>
      <c r="R10" s="1082"/>
      <c r="S10" s="1082"/>
      <c r="T10" s="1082"/>
      <c r="U10" s="1082"/>
      <c r="V10" s="1082"/>
      <c r="W10" s="1082"/>
      <c r="X10" s="1082"/>
      <c r="Y10" s="1082"/>
      <c r="Z10" s="1082"/>
      <c r="AA10" s="1082"/>
      <c r="AB10" s="1186"/>
    </row>
    <row r="11">
      <c r="A11" s="1185"/>
      <c r="B11" s="1355">
        <v>132.0</v>
      </c>
      <c r="C11" s="1356" t="str">
        <f t="shared" si="3"/>
        <v>#NAME?</v>
      </c>
      <c r="D11" s="1324"/>
      <c r="E11" s="1357" t="str">
        <f t="shared" si="4"/>
        <v>#NAME?</v>
      </c>
      <c r="F11" s="1358">
        <v>1.0</v>
      </c>
      <c r="G11" s="1358">
        <v>1.0</v>
      </c>
      <c r="H11" s="1359">
        <f t="shared" si="5"/>
        <v>1</v>
      </c>
      <c r="I11" s="1360" t="str">
        <f t="shared" si="6"/>
        <v>#NAME?</v>
      </c>
      <c r="J11" s="1361" t="str">
        <f t="shared" si="7"/>
        <v>#NAME?</v>
      </c>
      <c r="K11" s="1082"/>
      <c r="L11" s="1082"/>
      <c r="M11" s="1082"/>
      <c r="N11" s="1082"/>
      <c r="O11" s="1362" t="s">
        <v>882</v>
      </c>
      <c r="P11" s="1363"/>
      <c r="Q11" s="1364" t="s">
        <v>883</v>
      </c>
      <c r="R11" s="1364" t="s">
        <v>884</v>
      </c>
      <c r="S11" s="1365"/>
      <c r="T11" s="1366" t="s">
        <v>885</v>
      </c>
      <c r="U11" s="593"/>
      <c r="V11" s="593"/>
      <c r="W11" s="593"/>
      <c r="X11" s="593"/>
      <c r="Y11" s="593"/>
      <c r="Z11" s="593"/>
      <c r="AA11" s="594"/>
      <c r="AB11" s="1367"/>
    </row>
    <row r="12">
      <c r="A12" s="1185"/>
      <c r="B12" s="1355">
        <v>133.0</v>
      </c>
      <c r="C12" s="1356" t="str">
        <f t="shared" si="3"/>
        <v>#NAME?</v>
      </c>
      <c r="D12" s="1324"/>
      <c r="E12" s="1357" t="str">
        <f t="shared" si="4"/>
        <v>#NAME?</v>
      </c>
      <c r="F12" s="1358">
        <v>1.0</v>
      </c>
      <c r="G12" s="1358">
        <v>1.0</v>
      </c>
      <c r="H12" s="1359">
        <f t="shared" si="5"/>
        <v>1</v>
      </c>
      <c r="I12" s="1360" t="str">
        <f t="shared" si="6"/>
        <v>#NAME?</v>
      </c>
      <c r="J12" s="1361" t="str">
        <f t="shared" si="7"/>
        <v>#NAME?</v>
      </c>
      <c r="K12" s="1082"/>
      <c r="L12" s="1082"/>
      <c r="M12" s="1082"/>
      <c r="N12" s="1082"/>
      <c r="O12" s="1368" t="str">
        <f t="shared" ref="O12:O21" si="8">C10</f>
        <v>#NAME?</v>
      </c>
      <c r="P12" s="1369"/>
      <c r="Q12" s="1370" t="str">
        <f t="shared" ref="Q12:Q30" si="9">E10</f>
        <v>#NAME?</v>
      </c>
      <c r="R12" s="1371">
        <f t="shared" ref="R12:R30" si="10">G10</f>
        <v>1</v>
      </c>
      <c r="S12" s="1372"/>
      <c r="T12" s="1345"/>
      <c r="U12" s="1344"/>
      <c r="V12" s="1344"/>
      <c r="W12" s="1344"/>
      <c r="X12" s="1344"/>
      <c r="Y12" s="1344"/>
      <c r="Z12" s="1344"/>
      <c r="AA12" s="1346"/>
      <c r="AB12" s="1373"/>
    </row>
    <row r="13">
      <c r="A13" s="1185"/>
      <c r="B13" s="1355">
        <v>134.0</v>
      </c>
      <c r="C13" s="1356" t="str">
        <f t="shared" si="3"/>
        <v>#NAME?</v>
      </c>
      <c r="D13" s="1324"/>
      <c r="E13" s="1357" t="str">
        <f t="shared" si="4"/>
        <v>#NAME?</v>
      </c>
      <c r="F13" s="1358">
        <v>1.0</v>
      </c>
      <c r="G13" s="1358">
        <v>1.0</v>
      </c>
      <c r="H13" s="1359">
        <f t="shared" si="5"/>
        <v>1</v>
      </c>
      <c r="I13" s="1360" t="str">
        <f t="shared" si="6"/>
        <v>#NAME?</v>
      </c>
      <c r="J13" s="1361" t="str">
        <f t="shared" si="7"/>
        <v>#NAME?</v>
      </c>
      <c r="K13" s="1082"/>
      <c r="L13" s="1082"/>
      <c r="M13" s="1082"/>
      <c r="N13" s="1082"/>
      <c r="O13" s="1368" t="str">
        <f t="shared" si="8"/>
        <v>#NAME?</v>
      </c>
      <c r="P13" s="1369"/>
      <c r="Q13" s="1370" t="str">
        <f t="shared" si="9"/>
        <v>#NAME?</v>
      </c>
      <c r="R13" s="1371">
        <f t="shared" si="10"/>
        <v>1</v>
      </c>
      <c r="S13" s="1372"/>
      <c r="T13" s="1345"/>
      <c r="U13" s="1344"/>
      <c r="V13" s="1344"/>
      <c r="W13" s="1344"/>
      <c r="X13" s="1344"/>
      <c r="Y13" s="1344"/>
      <c r="Z13" s="1344"/>
      <c r="AA13" s="1346"/>
      <c r="AB13" s="1373"/>
    </row>
    <row r="14">
      <c r="A14" s="1185"/>
      <c r="B14" s="1355">
        <v>135.0</v>
      </c>
      <c r="C14" s="1356" t="str">
        <f t="shared" si="3"/>
        <v>#NAME?</v>
      </c>
      <c r="D14" s="1324"/>
      <c r="E14" s="1357" t="str">
        <f t="shared" si="4"/>
        <v>#NAME?</v>
      </c>
      <c r="F14" s="1358">
        <v>1.0</v>
      </c>
      <c r="G14" s="1358">
        <v>1.0</v>
      </c>
      <c r="H14" s="1359">
        <f t="shared" si="5"/>
        <v>1</v>
      </c>
      <c r="I14" s="1360" t="str">
        <f t="shared" si="6"/>
        <v>#NAME?</v>
      </c>
      <c r="J14" s="1361" t="str">
        <f t="shared" si="7"/>
        <v>#NAME?</v>
      </c>
      <c r="K14" s="1082"/>
      <c r="L14" s="1082"/>
      <c r="M14" s="1082"/>
      <c r="N14" s="1082"/>
      <c r="O14" s="1368" t="str">
        <f t="shared" si="8"/>
        <v>#NAME?</v>
      </c>
      <c r="P14" s="1369"/>
      <c r="Q14" s="1370" t="str">
        <f t="shared" si="9"/>
        <v>#NAME?</v>
      </c>
      <c r="R14" s="1371">
        <f t="shared" si="10"/>
        <v>1</v>
      </c>
      <c r="S14" s="1372"/>
      <c r="T14" s="1345"/>
      <c r="U14" s="1344"/>
      <c r="V14" s="1344"/>
      <c r="W14" s="1344"/>
      <c r="X14" s="1344"/>
      <c r="Y14" s="1344"/>
      <c r="Z14" s="1344"/>
      <c r="AA14" s="1346"/>
      <c r="AB14" s="1373"/>
    </row>
    <row r="15">
      <c r="A15" s="1185"/>
      <c r="B15" s="1355">
        <v>136.0</v>
      </c>
      <c r="C15" s="1356" t="str">
        <f t="shared" si="3"/>
        <v>#NAME?</v>
      </c>
      <c r="D15" s="1324"/>
      <c r="E15" s="1357" t="str">
        <f t="shared" si="4"/>
        <v>#NAME?</v>
      </c>
      <c r="F15" s="1358">
        <v>1.0</v>
      </c>
      <c r="G15" s="1358">
        <v>1.0</v>
      </c>
      <c r="H15" s="1359">
        <f t="shared" si="5"/>
        <v>1</v>
      </c>
      <c r="I15" s="1360" t="str">
        <f t="shared" si="6"/>
        <v>#NAME?</v>
      </c>
      <c r="J15" s="1361" t="str">
        <f t="shared" si="7"/>
        <v>#NAME?</v>
      </c>
      <c r="K15" s="1082"/>
      <c r="L15" s="1082"/>
      <c r="M15" s="1082"/>
      <c r="N15" s="1082"/>
      <c r="O15" s="1368" t="str">
        <f t="shared" si="8"/>
        <v>#NAME?</v>
      </c>
      <c r="P15" s="1369"/>
      <c r="Q15" s="1370" t="str">
        <f t="shared" si="9"/>
        <v>#NAME?</v>
      </c>
      <c r="R15" s="1371">
        <f t="shared" si="10"/>
        <v>1</v>
      </c>
      <c r="S15" s="1372"/>
      <c r="T15" s="1345"/>
      <c r="U15" s="1344"/>
      <c r="V15" s="1344"/>
      <c r="W15" s="1344"/>
      <c r="X15" s="1344"/>
      <c r="Y15" s="1344"/>
      <c r="Z15" s="1344"/>
      <c r="AA15" s="1346"/>
      <c r="AB15" s="1373"/>
    </row>
    <row r="16">
      <c r="A16" s="1185"/>
      <c r="B16" s="1355">
        <v>137.0</v>
      </c>
      <c r="C16" s="1356" t="str">
        <f t="shared" si="3"/>
        <v>#NAME?</v>
      </c>
      <c r="D16" s="1324"/>
      <c r="E16" s="1357" t="str">
        <f t="shared" si="4"/>
        <v>#NAME?</v>
      </c>
      <c r="F16" s="1358">
        <v>1.0</v>
      </c>
      <c r="G16" s="1358">
        <v>1.0</v>
      </c>
      <c r="H16" s="1359">
        <f t="shared" si="5"/>
        <v>1</v>
      </c>
      <c r="I16" s="1360" t="str">
        <f t="shared" si="6"/>
        <v>#NAME?</v>
      </c>
      <c r="J16" s="1361" t="str">
        <f t="shared" si="7"/>
        <v>#NAME?</v>
      </c>
      <c r="K16" s="1082"/>
      <c r="L16" s="1082"/>
      <c r="M16" s="1082"/>
      <c r="N16" s="1082"/>
      <c r="O16" s="1368" t="str">
        <f t="shared" si="8"/>
        <v>#NAME?</v>
      </c>
      <c r="P16" s="1369"/>
      <c r="Q16" s="1370" t="str">
        <f t="shared" si="9"/>
        <v>#NAME?</v>
      </c>
      <c r="R16" s="1371">
        <f t="shared" si="10"/>
        <v>1</v>
      </c>
      <c r="S16" s="1372"/>
      <c r="T16" s="1345"/>
      <c r="U16" s="1344"/>
      <c r="V16" s="1344"/>
      <c r="W16" s="1344"/>
      <c r="X16" s="1344"/>
      <c r="Y16" s="1344"/>
      <c r="Z16" s="1344"/>
      <c r="AA16" s="1346"/>
      <c r="AB16" s="1373"/>
    </row>
    <row r="17">
      <c r="A17" s="1185"/>
      <c r="B17" s="1374"/>
      <c r="C17" s="1375" t="str">
        <f t="shared" si="3"/>
        <v/>
      </c>
      <c r="D17" s="1324"/>
      <c r="E17" s="1376" t="str">
        <f t="shared" si="4"/>
        <v/>
      </c>
      <c r="F17" s="1377"/>
      <c r="G17" s="1377"/>
      <c r="H17" s="1359" t="str">
        <f t="shared" si="5"/>
        <v>-</v>
      </c>
      <c r="I17" s="1378" t="str">
        <f t="shared" si="6"/>
        <v/>
      </c>
      <c r="J17" s="1379" t="str">
        <f t="shared" si="7"/>
        <v/>
      </c>
      <c r="K17" s="1082"/>
      <c r="L17" s="1082"/>
      <c r="M17" s="1082"/>
      <c r="N17" s="1082"/>
      <c r="O17" s="1368" t="str">
        <f t="shared" si="8"/>
        <v>#NAME?</v>
      </c>
      <c r="P17" s="1369"/>
      <c r="Q17" s="1370" t="str">
        <f t="shared" si="9"/>
        <v>#NAME?</v>
      </c>
      <c r="R17" s="1371">
        <f t="shared" si="10"/>
        <v>1</v>
      </c>
      <c r="S17" s="1372"/>
      <c r="T17" s="1345"/>
      <c r="U17" s="1344"/>
      <c r="V17" s="1344"/>
      <c r="W17" s="1344"/>
      <c r="X17" s="1344"/>
      <c r="Y17" s="1344"/>
      <c r="Z17" s="1344"/>
      <c r="AA17" s="1346"/>
      <c r="AB17" s="1373"/>
    </row>
    <row r="18">
      <c r="A18" s="1185"/>
      <c r="B18" s="1374"/>
      <c r="C18" s="1375" t="str">
        <f t="shared" si="3"/>
        <v/>
      </c>
      <c r="D18" s="1324"/>
      <c r="E18" s="1376" t="str">
        <f t="shared" si="4"/>
        <v/>
      </c>
      <c r="F18" s="1377"/>
      <c r="G18" s="1377"/>
      <c r="H18" s="1359" t="str">
        <f t="shared" si="5"/>
        <v>-</v>
      </c>
      <c r="I18" s="1378" t="str">
        <f t="shared" si="6"/>
        <v/>
      </c>
      <c r="J18" s="1379" t="str">
        <f t="shared" si="7"/>
        <v/>
      </c>
      <c r="K18" s="1082"/>
      <c r="L18" s="1082"/>
      <c r="M18" s="1082"/>
      <c r="N18" s="1082"/>
      <c r="O18" s="1368" t="str">
        <f t="shared" si="8"/>
        <v>#NAME?</v>
      </c>
      <c r="P18" s="1369"/>
      <c r="Q18" s="1370" t="str">
        <f t="shared" si="9"/>
        <v>#NAME?</v>
      </c>
      <c r="R18" s="1371">
        <f t="shared" si="10"/>
        <v>1</v>
      </c>
      <c r="S18" s="1372"/>
      <c r="T18" s="1345"/>
      <c r="U18" s="1344"/>
      <c r="V18" s="1344"/>
      <c r="W18" s="1344"/>
      <c r="X18" s="1344"/>
      <c r="Y18" s="1344"/>
      <c r="Z18" s="1344"/>
      <c r="AA18" s="1346"/>
      <c r="AB18" s="1373"/>
    </row>
    <row r="19">
      <c r="A19" s="1185"/>
      <c r="B19" s="1374"/>
      <c r="C19" s="1375" t="str">
        <f t="shared" si="3"/>
        <v/>
      </c>
      <c r="D19" s="1324"/>
      <c r="E19" s="1376" t="str">
        <f t="shared" si="4"/>
        <v/>
      </c>
      <c r="F19" s="1377"/>
      <c r="G19" s="1377"/>
      <c r="H19" s="1359" t="str">
        <f t="shared" si="5"/>
        <v>-</v>
      </c>
      <c r="I19" s="1378" t="str">
        <f t="shared" si="6"/>
        <v/>
      </c>
      <c r="J19" s="1379" t="str">
        <f t="shared" si="7"/>
        <v/>
      </c>
      <c r="K19" s="1082"/>
      <c r="L19" s="1082"/>
      <c r="M19" s="1082"/>
      <c r="N19" s="1082"/>
      <c r="O19" s="1380" t="str">
        <f t="shared" si="8"/>
        <v/>
      </c>
      <c r="P19" s="1369"/>
      <c r="Q19" s="1345" t="str">
        <f t="shared" si="9"/>
        <v/>
      </c>
      <c r="R19" s="1381" t="str">
        <f t="shared" si="10"/>
        <v/>
      </c>
      <c r="S19" s="1372"/>
      <c r="T19" s="1345"/>
      <c r="U19" s="1344"/>
      <c r="V19" s="1344"/>
      <c r="W19" s="1344"/>
      <c r="X19" s="1344"/>
      <c r="Y19" s="1344"/>
      <c r="Z19" s="1344"/>
      <c r="AA19" s="1346"/>
      <c r="AB19" s="1373"/>
    </row>
    <row r="20">
      <c r="A20" s="1185"/>
      <c r="B20" s="1374"/>
      <c r="C20" s="1375" t="str">
        <f t="shared" si="3"/>
        <v/>
      </c>
      <c r="D20" s="1324"/>
      <c r="E20" s="1376" t="str">
        <f t="shared" si="4"/>
        <v/>
      </c>
      <c r="F20" s="1377"/>
      <c r="G20" s="1377"/>
      <c r="H20" s="1359" t="str">
        <f t="shared" si="5"/>
        <v>-</v>
      </c>
      <c r="I20" s="1378" t="str">
        <f t="shared" si="6"/>
        <v/>
      </c>
      <c r="J20" s="1379" t="str">
        <f t="shared" si="7"/>
        <v/>
      </c>
      <c r="K20" s="1082"/>
      <c r="L20" s="1082"/>
      <c r="M20" s="1082"/>
      <c r="N20" s="1082"/>
      <c r="O20" s="1380" t="str">
        <f t="shared" si="8"/>
        <v/>
      </c>
      <c r="P20" s="1369"/>
      <c r="Q20" s="1345" t="str">
        <f t="shared" si="9"/>
        <v/>
      </c>
      <c r="R20" s="1381" t="str">
        <f t="shared" si="10"/>
        <v/>
      </c>
      <c r="S20" s="1372"/>
      <c r="T20" s="1345"/>
      <c r="U20" s="1344"/>
      <c r="V20" s="1344"/>
      <c r="W20" s="1344"/>
      <c r="X20" s="1344"/>
      <c r="Y20" s="1344"/>
      <c r="Z20" s="1344"/>
      <c r="AA20" s="1346"/>
      <c r="AB20" s="1373"/>
    </row>
    <row r="21">
      <c r="A21" s="1185"/>
      <c r="B21" s="1374"/>
      <c r="C21" s="1375" t="str">
        <f t="shared" si="3"/>
        <v/>
      </c>
      <c r="D21" s="1324"/>
      <c r="E21" s="1376" t="str">
        <f t="shared" si="4"/>
        <v/>
      </c>
      <c r="F21" s="1377"/>
      <c r="G21" s="1377"/>
      <c r="H21" s="1359" t="str">
        <f t="shared" si="5"/>
        <v>-</v>
      </c>
      <c r="I21" s="1378" t="str">
        <f t="shared" si="6"/>
        <v/>
      </c>
      <c r="J21" s="1379" t="str">
        <f t="shared" si="7"/>
        <v/>
      </c>
      <c r="K21" s="1082"/>
      <c r="L21" s="1082"/>
      <c r="M21" s="1082"/>
      <c r="N21" s="1082"/>
      <c r="O21" s="1380" t="str">
        <f t="shared" si="8"/>
        <v/>
      </c>
      <c r="P21" s="1369"/>
      <c r="Q21" s="1345" t="str">
        <f t="shared" si="9"/>
        <v/>
      </c>
      <c r="R21" s="1381" t="str">
        <f t="shared" si="10"/>
        <v/>
      </c>
      <c r="S21" s="1372"/>
      <c r="T21" s="1345"/>
      <c r="U21" s="1344"/>
      <c r="V21" s="1344"/>
      <c r="W21" s="1344"/>
      <c r="X21" s="1344"/>
      <c r="Y21" s="1344"/>
      <c r="Z21" s="1344"/>
      <c r="AA21" s="1346"/>
      <c r="AB21" s="1373"/>
    </row>
    <row r="22">
      <c r="A22" s="1185"/>
      <c r="B22" s="1374"/>
      <c r="C22" s="1375" t="str">
        <f t="shared" si="3"/>
        <v/>
      </c>
      <c r="D22" s="1324"/>
      <c r="E22" s="1376" t="str">
        <f t="shared" si="4"/>
        <v/>
      </c>
      <c r="F22" s="1377"/>
      <c r="G22" s="1377"/>
      <c r="H22" s="1359" t="str">
        <f t="shared" si="5"/>
        <v>-</v>
      </c>
      <c r="I22" s="1378" t="str">
        <f t="shared" si="6"/>
        <v/>
      </c>
      <c r="J22" s="1379" t="str">
        <f t="shared" si="7"/>
        <v/>
      </c>
      <c r="K22" s="1082"/>
      <c r="L22" s="1082"/>
      <c r="M22" s="1082"/>
      <c r="N22" s="1082"/>
      <c r="O22" s="1380"/>
      <c r="P22" s="1369"/>
      <c r="Q22" s="1345" t="str">
        <f t="shared" si="9"/>
        <v/>
      </c>
      <c r="R22" s="1381" t="str">
        <f t="shared" si="10"/>
        <v/>
      </c>
      <c r="S22" s="1372"/>
      <c r="T22" s="1345"/>
      <c r="U22" s="1344"/>
      <c r="V22" s="1344"/>
      <c r="W22" s="1344"/>
      <c r="X22" s="1344"/>
      <c r="Y22" s="1344"/>
      <c r="Z22" s="1344"/>
      <c r="AA22" s="1346"/>
      <c r="AB22" s="1373"/>
    </row>
    <row r="23">
      <c r="A23" s="1185"/>
      <c r="B23" s="1374"/>
      <c r="C23" s="1375" t="str">
        <f t="shared" si="3"/>
        <v/>
      </c>
      <c r="D23" s="1324"/>
      <c r="E23" s="1376" t="str">
        <f t="shared" si="4"/>
        <v/>
      </c>
      <c r="F23" s="1377"/>
      <c r="G23" s="1377"/>
      <c r="H23" s="1359" t="str">
        <f t="shared" si="5"/>
        <v>-</v>
      </c>
      <c r="I23" s="1378" t="str">
        <f t="shared" si="6"/>
        <v/>
      </c>
      <c r="J23" s="1379" t="str">
        <f t="shared" si="7"/>
        <v/>
      </c>
      <c r="K23" s="1082"/>
      <c r="L23" s="1082"/>
      <c r="M23" s="1082"/>
      <c r="N23" s="1082"/>
      <c r="O23" s="1380" t="str">
        <f t="shared" ref="O23:O30" si="11">C21</f>
        <v/>
      </c>
      <c r="P23" s="1369"/>
      <c r="Q23" s="1345" t="str">
        <f t="shared" si="9"/>
        <v/>
      </c>
      <c r="R23" s="1381" t="str">
        <f t="shared" si="10"/>
        <v/>
      </c>
      <c r="S23" s="1372"/>
      <c r="T23" s="1345"/>
      <c r="U23" s="1344"/>
      <c r="V23" s="1344"/>
      <c r="W23" s="1344"/>
      <c r="X23" s="1344"/>
      <c r="Y23" s="1344"/>
      <c r="Z23" s="1344"/>
      <c r="AA23" s="1346"/>
      <c r="AB23" s="1373"/>
    </row>
    <row r="24">
      <c r="A24" s="1185"/>
      <c r="B24" s="1374"/>
      <c r="C24" s="1375" t="str">
        <f t="shared" si="3"/>
        <v/>
      </c>
      <c r="D24" s="1324"/>
      <c r="E24" s="1376" t="str">
        <f t="shared" si="4"/>
        <v/>
      </c>
      <c r="F24" s="1377"/>
      <c r="G24" s="1377"/>
      <c r="H24" s="1359" t="str">
        <f t="shared" si="5"/>
        <v>-</v>
      </c>
      <c r="I24" s="1378" t="str">
        <f t="shared" si="6"/>
        <v/>
      </c>
      <c r="J24" s="1379" t="str">
        <f t="shared" si="7"/>
        <v/>
      </c>
      <c r="K24" s="1082"/>
      <c r="L24" s="1082"/>
      <c r="M24" s="1082"/>
      <c r="N24" s="1082"/>
      <c r="O24" s="1380" t="str">
        <f t="shared" si="11"/>
        <v/>
      </c>
      <c r="P24" s="1369"/>
      <c r="Q24" s="1345" t="str">
        <f t="shared" si="9"/>
        <v/>
      </c>
      <c r="R24" s="1381" t="str">
        <f t="shared" si="10"/>
        <v/>
      </c>
      <c r="S24" s="1372"/>
      <c r="T24" s="1345"/>
      <c r="U24" s="1344"/>
      <c r="V24" s="1344"/>
      <c r="W24" s="1344"/>
      <c r="X24" s="1344"/>
      <c r="Y24" s="1344"/>
      <c r="Z24" s="1344"/>
      <c r="AA24" s="1346"/>
      <c r="AB24" s="1373"/>
    </row>
    <row r="25">
      <c r="A25" s="1185"/>
      <c r="B25" s="1374"/>
      <c r="C25" s="1375" t="str">
        <f t="shared" si="3"/>
        <v/>
      </c>
      <c r="D25" s="1324"/>
      <c r="E25" s="1376" t="str">
        <f t="shared" si="4"/>
        <v/>
      </c>
      <c r="F25" s="1377"/>
      <c r="G25" s="1377"/>
      <c r="H25" s="1359" t="str">
        <f t="shared" si="5"/>
        <v>-</v>
      </c>
      <c r="I25" s="1378" t="str">
        <f t="shared" si="6"/>
        <v/>
      </c>
      <c r="J25" s="1379" t="str">
        <f t="shared" si="7"/>
        <v/>
      </c>
      <c r="K25" s="1082"/>
      <c r="L25" s="1082"/>
      <c r="M25" s="1082"/>
      <c r="N25" s="1082"/>
      <c r="O25" s="1380" t="str">
        <f t="shared" si="11"/>
        <v/>
      </c>
      <c r="P25" s="1369"/>
      <c r="Q25" s="1345" t="str">
        <f t="shared" si="9"/>
        <v/>
      </c>
      <c r="R25" s="1381" t="str">
        <f t="shared" si="10"/>
        <v/>
      </c>
      <c r="S25" s="1372"/>
      <c r="T25" s="1345"/>
      <c r="U25" s="1344"/>
      <c r="V25" s="1344"/>
      <c r="W25" s="1344"/>
      <c r="X25" s="1344"/>
      <c r="Y25" s="1344"/>
      <c r="Z25" s="1344"/>
      <c r="AA25" s="1346"/>
      <c r="AB25" s="1373"/>
    </row>
    <row r="26">
      <c r="A26" s="1185"/>
      <c r="B26" s="1374"/>
      <c r="C26" s="1375" t="str">
        <f t="shared" si="3"/>
        <v/>
      </c>
      <c r="D26" s="1324"/>
      <c r="E26" s="1376" t="str">
        <f t="shared" si="4"/>
        <v/>
      </c>
      <c r="F26" s="1377"/>
      <c r="G26" s="1377"/>
      <c r="H26" s="1359" t="str">
        <f t="shared" si="5"/>
        <v>-</v>
      </c>
      <c r="I26" s="1378" t="str">
        <f t="shared" si="6"/>
        <v/>
      </c>
      <c r="J26" s="1379" t="str">
        <f t="shared" si="7"/>
        <v/>
      </c>
      <c r="K26" s="1082"/>
      <c r="L26" s="1082"/>
      <c r="M26" s="1082"/>
      <c r="N26" s="1082"/>
      <c r="O26" s="1380" t="str">
        <f t="shared" si="11"/>
        <v/>
      </c>
      <c r="P26" s="1369"/>
      <c r="Q26" s="1345" t="str">
        <f t="shared" si="9"/>
        <v/>
      </c>
      <c r="R26" s="1381" t="str">
        <f t="shared" si="10"/>
        <v/>
      </c>
      <c r="S26" s="1372"/>
      <c r="T26" s="1345"/>
      <c r="U26" s="1344"/>
      <c r="V26" s="1344"/>
      <c r="W26" s="1344"/>
      <c r="X26" s="1344"/>
      <c r="Y26" s="1344"/>
      <c r="Z26" s="1344"/>
      <c r="AA26" s="1346"/>
      <c r="AB26" s="1373"/>
    </row>
    <row r="27">
      <c r="A27" s="1185"/>
      <c r="B27" s="1374"/>
      <c r="C27" s="1375" t="str">
        <f t="shared" si="3"/>
        <v/>
      </c>
      <c r="D27" s="1324"/>
      <c r="E27" s="1376" t="str">
        <f t="shared" si="4"/>
        <v/>
      </c>
      <c r="F27" s="1377"/>
      <c r="G27" s="1377"/>
      <c r="H27" s="1359" t="str">
        <f t="shared" si="5"/>
        <v>-</v>
      </c>
      <c r="I27" s="1378" t="str">
        <f t="shared" si="6"/>
        <v/>
      </c>
      <c r="J27" s="1379" t="str">
        <f t="shared" si="7"/>
        <v/>
      </c>
      <c r="K27" s="1082"/>
      <c r="L27" s="1082"/>
      <c r="M27" s="1082"/>
      <c r="N27" s="1082"/>
      <c r="O27" s="1380" t="str">
        <f t="shared" si="11"/>
        <v/>
      </c>
      <c r="P27" s="1369"/>
      <c r="Q27" s="1345" t="str">
        <f t="shared" si="9"/>
        <v/>
      </c>
      <c r="R27" s="1381" t="str">
        <f t="shared" si="10"/>
        <v/>
      </c>
      <c r="S27" s="1372"/>
      <c r="T27" s="1345"/>
      <c r="U27" s="1344"/>
      <c r="V27" s="1344"/>
      <c r="W27" s="1344"/>
      <c r="X27" s="1344"/>
      <c r="Y27" s="1344"/>
      <c r="Z27" s="1344"/>
      <c r="AA27" s="1346"/>
      <c r="AB27" s="1373"/>
    </row>
    <row r="28">
      <c r="A28" s="1185"/>
      <c r="B28" s="1374"/>
      <c r="C28" s="1375" t="str">
        <f t="shared" si="3"/>
        <v/>
      </c>
      <c r="D28" s="1324"/>
      <c r="E28" s="1376" t="str">
        <f t="shared" si="4"/>
        <v/>
      </c>
      <c r="F28" s="1377"/>
      <c r="G28" s="1377"/>
      <c r="H28" s="1359" t="str">
        <f t="shared" si="5"/>
        <v>-</v>
      </c>
      <c r="I28" s="1378" t="str">
        <f t="shared" si="6"/>
        <v/>
      </c>
      <c r="J28" s="1379" t="str">
        <f t="shared" si="7"/>
        <v/>
      </c>
      <c r="K28" s="1082"/>
      <c r="L28" s="1082"/>
      <c r="M28" s="1082"/>
      <c r="N28" s="1082"/>
      <c r="O28" s="1380" t="str">
        <f t="shared" si="11"/>
        <v/>
      </c>
      <c r="P28" s="1369"/>
      <c r="Q28" s="1345" t="str">
        <f t="shared" si="9"/>
        <v/>
      </c>
      <c r="R28" s="1381" t="str">
        <f t="shared" si="10"/>
        <v/>
      </c>
      <c r="S28" s="1372"/>
      <c r="T28" s="1345"/>
      <c r="U28" s="1344"/>
      <c r="V28" s="1344"/>
      <c r="W28" s="1344"/>
      <c r="X28" s="1344"/>
      <c r="Y28" s="1344"/>
      <c r="Z28" s="1344"/>
      <c r="AA28" s="1346"/>
      <c r="AB28" s="1373"/>
    </row>
    <row r="29">
      <c r="A29" s="1185"/>
      <c r="B29" s="1374"/>
      <c r="C29" s="1375" t="str">
        <f t="shared" si="3"/>
        <v/>
      </c>
      <c r="D29" s="1324"/>
      <c r="E29" s="1376" t="str">
        <f t="shared" si="4"/>
        <v/>
      </c>
      <c r="F29" s="1377"/>
      <c r="G29" s="1377"/>
      <c r="H29" s="1359" t="str">
        <f t="shared" si="5"/>
        <v>-</v>
      </c>
      <c r="I29" s="1378" t="str">
        <f t="shared" si="6"/>
        <v/>
      </c>
      <c r="J29" s="1379" t="str">
        <f t="shared" si="7"/>
        <v/>
      </c>
      <c r="K29" s="1082"/>
      <c r="L29" s="1082"/>
      <c r="M29" s="1082"/>
      <c r="N29" s="1082"/>
      <c r="O29" s="1380" t="str">
        <f t="shared" si="11"/>
        <v/>
      </c>
      <c r="P29" s="1369"/>
      <c r="Q29" s="1345" t="str">
        <f t="shared" si="9"/>
        <v/>
      </c>
      <c r="R29" s="1381" t="str">
        <f t="shared" si="10"/>
        <v/>
      </c>
      <c r="S29" s="1372"/>
      <c r="T29" s="1345"/>
      <c r="U29" s="1344"/>
      <c r="V29" s="1344"/>
      <c r="W29" s="1344"/>
      <c r="X29" s="1344"/>
      <c r="Y29" s="1344"/>
      <c r="Z29" s="1344"/>
      <c r="AA29" s="1346"/>
      <c r="AB29" s="1373"/>
    </row>
    <row r="30">
      <c r="A30" s="1185"/>
      <c r="B30" s="1374"/>
      <c r="C30" s="1375" t="str">
        <f t="shared" si="3"/>
        <v/>
      </c>
      <c r="D30" s="1324"/>
      <c r="E30" s="1376" t="str">
        <f t="shared" si="4"/>
        <v/>
      </c>
      <c r="F30" s="1377"/>
      <c r="G30" s="1377"/>
      <c r="H30" s="1359" t="str">
        <f t="shared" si="5"/>
        <v>-</v>
      </c>
      <c r="I30" s="1378" t="str">
        <f t="shared" si="6"/>
        <v/>
      </c>
      <c r="J30" s="1379" t="str">
        <f t="shared" si="7"/>
        <v/>
      </c>
      <c r="K30" s="1082"/>
      <c r="L30" s="1082"/>
      <c r="M30" s="1082"/>
      <c r="N30" s="1082"/>
      <c r="O30" s="1353" t="str">
        <f t="shared" si="11"/>
        <v/>
      </c>
      <c r="P30" s="1382"/>
      <c r="Q30" s="1383" t="str">
        <f t="shared" si="9"/>
        <v/>
      </c>
      <c r="R30" s="1384" t="str">
        <f t="shared" si="10"/>
        <v/>
      </c>
      <c r="S30" s="1385"/>
      <c r="T30" s="1383"/>
      <c r="U30" s="815"/>
      <c r="V30" s="815"/>
      <c r="W30" s="815"/>
      <c r="X30" s="815"/>
      <c r="Y30" s="815"/>
      <c r="Z30" s="815"/>
      <c r="AA30" s="1283"/>
      <c r="AB30" s="1373"/>
    </row>
    <row r="31">
      <c r="A31" s="1185"/>
      <c r="B31" s="1374"/>
      <c r="C31" s="1375" t="str">
        <f t="shared" si="3"/>
        <v/>
      </c>
      <c r="D31" s="1324"/>
      <c r="E31" s="1376" t="str">
        <f t="shared" si="4"/>
        <v/>
      </c>
      <c r="F31" s="1377"/>
      <c r="G31" s="1377"/>
      <c r="H31" s="1359" t="str">
        <f t="shared" si="5"/>
        <v>-</v>
      </c>
      <c r="I31" s="1378" t="str">
        <f t="shared" si="6"/>
        <v/>
      </c>
      <c r="J31" s="1379" t="str">
        <f t="shared" si="7"/>
        <v/>
      </c>
      <c r="K31" s="1082"/>
      <c r="L31" s="1082"/>
      <c r="M31" s="1082"/>
      <c r="N31" s="1082"/>
      <c r="O31" s="1082"/>
      <c r="P31" s="1082"/>
      <c r="Q31" s="1082"/>
      <c r="R31" s="1082"/>
      <c r="S31" s="1082"/>
      <c r="T31" s="1082"/>
      <c r="U31" s="1082"/>
      <c r="V31" s="1082"/>
      <c r="W31" s="1082"/>
      <c r="X31" s="1082"/>
      <c r="Y31" s="1082"/>
      <c r="Z31" s="1082"/>
      <c r="AA31" s="1082"/>
      <c r="AB31" s="1186"/>
    </row>
    <row r="32">
      <c r="A32" s="1185"/>
      <c r="B32" s="1374"/>
      <c r="C32" s="1375" t="str">
        <f t="shared" si="3"/>
        <v/>
      </c>
      <c r="D32" s="1324"/>
      <c r="E32" s="1376" t="str">
        <f t="shared" si="4"/>
        <v/>
      </c>
      <c r="F32" s="1377"/>
      <c r="G32" s="1377"/>
      <c r="H32" s="1359" t="str">
        <f t="shared" si="5"/>
        <v>-</v>
      </c>
      <c r="I32" s="1378" t="str">
        <f t="shared" si="6"/>
        <v/>
      </c>
      <c r="J32" s="1379" t="str">
        <f t="shared" si="7"/>
        <v/>
      </c>
      <c r="K32" s="1082"/>
      <c r="L32" s="1082"/>
      <c r="M32" s="1082"/>
      <c r="N32" s="1082"/>
      <c r="O32" s="1082"/>
      <c r="P32" s="1082"/>
      <c r="Q32" s="1082"/>
      <c r="R32" s="1082"/>
      <c r="S32" s="1082"/>
      <c r="T32" s="1082"/>
      <c r="U32" s="1082"/>
      <c r="V32" s="1082"/>
      <c r="W32" s="1082"/>
      <c r="X32" s="1082"/>
      <c r="Y32" s="1082"/>
      <c r="Z32" s="1082"/>
      <c r="AA32" s="1082"/>
      <c r="AB32" s="1186"/>
    </row>
    <row r="33">
      <c r="A33" s="1185"/>
      <c r="B33" s="1374"/>
      <c r="C33" s="1375" t="str">
        <f t="shared" si="3"/>
        <v/>
      </c>
      <c r="D33" s="1324"/>
      <c r="E33" s="1376" t="str">
        <f t="shared" si="4"/>
        <v/>
      </c>
      <c r="F33" s="1377"/>
      <c r="G33" s="1377"/>
      <c r="H33" s="1359" t="str">
        <f t="shared" si="5"/>
        <v>-</v>
      </c>
      <c r="I33" s="1378" t="str">
        <f t="shared" si="6"/>
        <v/>
      </c>
      <c r="J33" s="1379" t="str">
        <f t="shared" si="7"/>
        <v/>
      </c>
      <c r="K33" s="1082"/>
      <c r="L33" s="1082"/>
      <c r="M33" s="1082"/>
      <c r="N33" s="1082"/>
      <c r="O33" s="1082"/>
      <c r="P33" s="1082"/>
      <c r="Q33" s="1082"/>
      <c r="R33" s="1082"/>
      <c r="S33" s="1082"/>
      <c r="T33" s="1082"/>
      <c r="U33" s="1082"/>
      <c r="V33" s="1082"/>
      <c r="W33" s="1082"/>
      <c r="X33" s="1082"/>
      <c r="Y33" s="1082"/>
      <c r="Z33" s="1082"/>
      <c r="AA33" s="1082"/>
      <c r="AB33" s="1186"/>
    </row>
    <row r="34">
      <c r="A34" s="1185"/>
      <c r="B34" s="1374"/>
      <c r="C34" s="1375" t="str">
        <f t="shared" si="3"/>
        <v/>
      </c>
      <c r="D34" s="1324"/>
      <c r="E34" s="1376" t="str">
        <f t="shared" si="4"/>
        <v/>
      </c>
      <c r="F34" s="1377"/>
      <c r="G34" s="1377"/>
      <c r="H34" s="1359" t="str">
        <f t="shared" si="5"/>
        <v>-</v>
      </c>
      <c r="I34" s="1378" t="str">
        <f t="shared" si="6"/>
        <v/>
      </c>
      <c r="J34" s="1379" t="str">
        <f t="shared" si="7"/>
        <v/>
      </c>
      <c r="K34" s="1082"/>
      <c r="L34" s="1082"/>
      <c r="M34" s="1082"/>
      <c r="N34" s="1082"/>
      <c r="O34" s="1082"/>
      <c r="P34" s="1082"/>
      <c r="Q34" s="1082"/>
      <c r="R34" s="1082"/>
      <c r="S34" s="1082"/>
      <c r="T34" s="1082"/>
      <c r="U34" s="1082"/>
      <c r="V34" s="1082"/>
      <c r="W34" s="1082"/>
      <c r="X34" s="1082"/>
      <c r="Y34" s="1082"/>
      <c r="Z34" s="1082"/>
      <c r="AA34" s="1082"/>
      <c r="AB34" s="1186"/>
    </row>
    <row r="35">
      <c r="A35" s="1185"/>
      <c r="B35" s="1374"/>
      <c r="C35" s="1375" t="str">
        <f t="shared" si="3"/>
        <v/>
      </c>
      <c r="D35" s="1324"/>
      <c r="E35" s="1376" t="str">
        <f t="shared" si="4"/>
        <v/>
      </c>
      <c r="F35" s="1377"/>
      <c r="G35" s="1377"/>
      <c r="H35" s="1359" t="str">
        <f t="shared" si="5"/>
        <v>-</v>
      </c>
      <c r="I35" s="1378" t="str">
        <f t="shared" si="6"/>
        <v/>
      </c>
      <c r="J35" s="1379" t="str">
        <f t="shared" si="7"/>
        <v/>
      </c>
      <c r="K35" s="1082"/>
      <c r="L35" s="1082"/>
      <c r="M35" s="1082"/>
      <c r="N35" s="1082"/>
      <c r="O35" s="1082"/>
      <c r="P35" s="1082"/>
      <c r="Q35" s="1082"/>
      <c r="R35" s="1082"/>
      <c r="S35" s="1082"/>
      <c r="T35" s="1082"/>
      <c r="U35" s="1082"/>
      <c r="V35" s="1082"/>
      <c r="W35" s="1082"/>
      <c r="X35" s="1082"/>
      <c r="Y35" s="1082"/>
      <c r="Z35" s="1082"/>
      <c r="AA35" s="1082"/>
      <c r="AB35" s="1186"/>
    </row>
    <row r="36">
      <c r="A36" s="1185"/>
      <c r="B36" s="1374"/>
      <c r="C36" s="1375" t="str">
        <f t="shared" si="3"/>
        <v/>
      </c>
      <c r="D36" s="1324"/>
      <c r="E36" s="1376" t="str">
        <f t="shared" si="4"/>
        <v/>
      </c>
      <c r="F36" s="1377"/>
      <c r="G36" s="1377"/>
      <c r="H36" s="1359" t="str">
        <f t="shared" si="5"/>
        <v>-</v>
      </c>
      <c r="I36" s="1378" t="str">
        <f t="shared" si="6"/>
        <v/>
      </c>
      <c r="J36" s="1379" t="str">
        <f t="shared" si="7"/>
        <v/>
      </c>
      <c r="K36" s="1082"/>
      <c r="L36" s="1082"/>
      <c r="M36" s="1082"/>
      <c r="N36" s="1082"/>
      <c r="O36" s="1386" t="str">
        <f>'Almoço A la Carte'!J42</f>
        <v>#REF!</v>
      </c>
      <c r="P36" s="1082"/>
      <c r="Q36" s="1082"/>
      <c r="R36" s="1082"/>
      <c r="S36" s="1082"/>
      <c r="T36" s="1082"/>
      <c r="U36" s="1082"/>
      <c r="V36" s="1082"/>
      <c r="W36" s="1082"/>
      <c r="X36" s="1082"/>
      <c r="Y36" s="1082"/>
      <c r="Z36" s="1082"/>
      <c r="AA36" s="1082"/>
      <c r="AB36" s="1186"/>
    </row>
    <row r="37">
      <c r="A37" s="1185"/>
      <c r="B37" s="1374"/>
      <c r="C37" s="1375" t="str">
        <f t="shared" si="3"/>
        <v/>
      </c>
      <c r="D37" s="1324"/>
      <c r="E37" s="1376" t="str">
        <f t="shared" si="4"/>
        <v/>
      </c>
      <c r="F37" s="1377"/>
      <c r="G37" s="1377"/>
      <c r="H37" s="1359" t="str">
        <f t="shared" si="5"/>
        <v>-</v>
      </c>
      <c r="I37" s="1378" t="str">
        <f t="shared" si="6"/>
        <v/>
      </c>
      <c r="J37" s="1379" t="str">
        <f t="shared" si="7"/>
        <v/>
      </c>
      <c r="K37" s="1082"/>
      <c r="L37" s="1082"/>
      <c r="M37" s="1082"/>
      <c r="N37" s="1082"/>
      <c r="O37" s="1082"/>
      <c r="P37" s="1082"/>
      <c r="Q37" s="1082"/>
      <c r="R37" s="1082"/>
      <c r="S37" s="1082"/>
      <c r="T37" s="1082"/>
      <c r="U37" s="1082"/>
      <c r="V37" s="1082"/>
      <c r="W37" s="1082"/>
      <c r="X37" s="1082"/>
      <c r="Y37" s="1082"/>
      <c r="Z37" s="1082"/>
      <c r="AA37" s="1082"/>
      <c r="AB37" s="1186"/>
    </row>
    <row r="38">
      <c r="A38" s="1185"/>
      <c r="B38" s="1387"/>
      <c r="C38" s="1388" t="str">
        <f t="shared" si="3"/>
        <v/>
      </c>
      <c r="D38" s="1389"/>
      <c r="E38" s="1390" t="str">
        <f t="shared" si="4"/>
        <v/>
      </c>
      <c r="F38" s="1391"/>
      <c r="G38" s="1391"/>
      <c r="H38" s="1392" t="str">
        <f t="shared" si="5"/>
        <v>-</v>
      </c>
      <c r="I38" s="1393" t="str">
        <f t="shared" si="6"/>
        <v/>
      </c>
      <c r="J38" s="1394" t="str">
        <f t="shared" si="7"/>
        <v/>
      </c>
      <c r="K38" s="1082"/>
      <c r="L38" s="1082"/>
      <c r="M38" s="1082"/>
      <c r="N38" s="1082"/>
      <c r="O38" s="1082"/>
      <c r="P38" s="1082"/>
      <c r="Q38" s="1082"/>
      <c r="R38" s="1082"/>
      <c r="S38" s="1082"/>
      <c r="T38" s="1082"/>
      <c r="U38" s="1082"/>
      <c r="V38" s="1082"/>
      <c r="W38" s="1082"/>
      <c r="X38" s="1082"/>
      <c r="Y38" s="1082"/>
      <c r="Z38" s="1082"/>
      <c r="AA38" s="1082"/>
      <c r="AB38" s="1186"/>
    </row>
    <row r="39">
      <c r="A39" s="1185"/>
      <c r="B39" s="1082"/>
      <c r="C39" s="1082"/>
      <c r="D39" s="1082"/>
      <c r="E39" s="1082"/>
      <c r="F39" s="1395"/>
      <c r="G39" s="1395"/>
      <c r="H39" s="1395"/>
      <c r="I39" s="1082"/>
      <c r="J39" s="1082"/>
      <c r="K39" s="1082"/>
      <c r="L39" s="1082"/>
      <c r="M39" s="1082"/>
      <c r="N39" s="1082"/>
      <c r="O39" s="1396" t="str">
        <f>J40</f>
        <v>#NAME?</v>
      </c>
      <c r="P39" s="1082"/>
      <c r="Q39" s="1082"/>
      <c r="R39" s="1082"/>
      <c r="S39" s="1082"/>
      <c r="T39" s="1082"/>
      <c r="U39" s="1082"/>
      <c r="V39" s="1082"/>
      <c r="W39" s="1082"/>
      <c r="X39" s="1082"/>
      <c r="Y39" s="1082"/>
      <c r="Z39" s="1082"/>
      <c r="AA39" s="1082"/>
      <c r="AB39" s="1186"/>
    </row>
    <row r="40">
      <c r="A40" s="1185"/>
      <c r="B40" s="1397" t="s">
        <v>886</v>
      </c>
      <c r="C40" s="1398"/>
      <c r="D40" s="1399" t="str">
        <f>IFERROR($J$42/Despesas!K6,"")</f>
        <v/>
      </c>
      <c r="E40" s="1400"/>
      <c r="F40" s="1082"/>
      <c r="G40" s="1401" t="s">
        <v>887</v>
      </c>
      <c r="H40" s="1402"/>
      <c r="I40" s="1402"/>
      <c r="J40" s="1403" t="str">
        <f>SUM(J10:J38)</f>
        <v>#NAME?</v>
      </c>
      <c r="K40" s="1082"/>
      <c r="L40" s="1082"/>
      <c r="M40" s="1082"/>
      <c r="N40" s="1082"/>
      <c r="O40" s="1082"/>
      <c r="P40" s="1082"/>
      <c r="Q40" s="1082"/>
      <c r="R40" s="1082"/>
      <c r="S40" s="1082"/>
      <c r="T40" s="1082"/>
      <c r="U40" s="1082"/>
      <c r="V40" s="1082"/>
      <c r="W40" s="1082"/>
      <c r="X40" s="1082"/>
      <c r="Y40" s="1082"/>
      <c r="Z40" s="1082"/>
      <c r="AA40" s="1082"/>
      <c r="AB40" s="1186"/>
    </row>
    <row r="41">
      <c r="A41" s="1185"/>
      <c r="B41" s="1404" t="s">
        <v>888</v>
      </c>
      <c r="C41" s="17"/>
      <c r="D41" s="1405">
        <v>10.0</v>
      </c>
      <c r="E41" s="1406">
        <v>1.0</v>
      </c>
      <c r="F41" s="1082"/>
      <c r="G41" s="1401" t="s">
        <v>889</v>
      </c>
      <c r="H41" s="1402"/>
      <c r="I41" s="1402"/>
      <c r="J41" s="1403" t="str">
        <f>IFERROR(($J$40*10%)+$J$40,"")</f>
        <v/>
      </c>
      <c r="K41" s="1082"/>
      <c r="L41" s="1082"/>
      <c r="M41" s="1082"/>
      <c r="N41" s="1082"/>
      <c r="O41" s="1082"/>
      <c r="P41" s="1082"/>
      <c r="Q41" s="1082"/>
      <c r="R41" s="1082"/>
      <c r="S41" s="1082"/>
      <c r="T41" s="1082"/>
      <c r="U41" s="1082"/>
      <c r="V41" s="1082"/>
      <c r="W41" s="1082"/>
      <c r="X41" s="1082"/>
      <c r="Y41" s="1082"/>
      <c r="Z41" s="1082"/>
      <c r="AA41" s="1082"/>
      <c r="AB41" s="1186"/>
    </row>
    <row r="42">
      <c r="A42" s="1185"/>
      <c r="B42" s="1407" t="s">
        <v>890</v>
      </c>
      <c r="C42" s="17"/>
      <c r="D42" s="1408">
        <f>$J$42</f>
        <v>0</v>
      </c>
      <c r="E42" s="1409">
        <f>IFERROR((D42*E41)/D41,"")</f>
        <v>0</v>
      </c>
      <c r="F42" s="1082"/>
      <c r="G42" s="1410" t="s">
        <v>891</v>
      </c>
      <c r="H42" s="1411"/>
      <c r="I42" s="1411"/>
      <c r="J42" s="1412">
        <f>IFERROR($J$41/$D$6,"")</f>
        <v>0</v>
      </c>
      <c r="K42" s="1082"/>
      <c r="L42" s="1082"/>
      <c r="M42" s="1082"/>
      <c r="N42" s="1082"/>
      <c r="O42" s="1082"/>
      <c r="P42" s="1082"/>
      <c r="Q42" s="1082"/>
      <c r="R42" s="1082"/>
      <c r="S42" s="1082"/>
      <c r="T42" s="1082"/>
      <c r="U42" s="1082"/>
      <c r="V42" s="1082"/>
      <c r="W42" s="1082"/>
      <c r="X42" s="1082"/>
      <c r="Y42" s="1082"/>
      <c r="Z42" s="1082"/>
      <c r="AA42" s="1082"/>
      <c r="AB42" s="1186"/>
    </row>
    <row r="43">
      <c r="A43" s="1185"/>
      <c r="B43" s="1407" t="s">
        <v>745</v>
      </c>
      <c r="C43" s="17"/>
      <c r="D43" s="1408">
        <f>IFERROR((E43*D41)/E41,"")</f>
        <v>0</v>
      </c>
      <c r="E43" s="1409" t="str">
        <f t="shared" ref="E43:E44" si="12">IFERROR(Despesas!K4,"")</f>
        <v/>
      </c>
      <c r="F43" s="1082"/>
      <c r="G43" s="1413"/>
      <c r="H43" s="1413"/>
      <c r="I43" s="1413"/>
      <c r="J43" s="1414"/>
      <c r="K43" s="1082"/>
      <c r="L43" s="1082"/>
      <c r="M43" s="1082"/>
      <c r="N43" s="1082"/>
      <c r="O43" s="1082"/>
      <c r="P43" s="1082"/>
      <c r="Q43" s="1395"/>
      <c r="R43" s="1082"/>
      <c r="S43" s="1082"/>
      <c r="T43" s="1082"/>
      <c r="U43" s="1082"/>
      <c r="V43" s="1082"/>
      <c r="W43" s="1082"/>
      <c r="X43" s="1082"/>
      <c r="Y43" s="1082"/>
      <c r="Z43" s="1082"/>
      <c r="AA43" s="1082"/>
      <c r="AB43" s="1186"/>
    </row>
    <row r="44">
      <c r="A44" s="1185"/>
      <c r="B44" s="1407" t="s">
        <v>746</v>
      </c>
      <c r="C44" s="17"/>
      <c r="D44" s="1415">
        <f>IF(D41="","",(E44*D41)/E41)</f>
        <v>0</v>
      </c>
      <c r="E44" s="1409" t="str">
        <f t="shared" si="12"/>
        <v/>
      </c>
      <c r="F44" s="1082"/>
      <c r="G44" s="1082"/>
      <c r="H44" s="1082"/>
      <c r="I44" s="1082"/>
      <c r="J44" s="1082"/>
      <c r="K44" s="1082"/>
      <c r="L44" s="1082"/>
      <c r="M44" s="1082"/>
      <c r="N44" s="1082"/>
      <c r="O44" s="1082"/>
      <c r="P44" s="1082"/>
      <c r="Q44" s="1395"/>
      <c r="R44" s="1082"/>
      <c r="S44" s="1082"/>
      <c r="T44" s="1082"/>
      <c r="U44" s="1082"/>
      <c r="V44" s="1082"/>
      <c r="W44" s="1082"/>
      <c r="X44" s="1082"/>
      <c r="Y44" s="1082"/>
      <c r="Z44" s="1082"/>
      <c r="AA44" s="1082"/>
      <c r="AB44" s="1186"/>
    </row>
    <row r="45">
      <c r="A45" s="1185"/>
      <c r="B45" s="1416" t="s">
        <v>523</v>
      </c>
      <c r="C45" s="1417"/>
      <c r="D45" s="1418">
        <f>IFERROR((E45*D41)/E41,"")</f>
        <v>10</v>
      </c>
      <c r="E45" s="1419">
        <f>IFERROR(E41-(E42+E43+E44),"")</f>
        <v>1</v>
      </c>
      <c r="F45" s="1082"/>
      <c r="G45" s="1082"/>
      <c r="H45" s="1420"/>
      <c r="K45" s="1082"/>
      <c r="L45" s="1082"/>
      <c r="M45" s="1082"/>
      <c r="N45" s="1082"/>
      <c r="O45" s="1082"/>
      <c r="P45" s="1082"/>
      <c r="Q45" s="1082"/>
      <c r="R45" s="1082"/>
      <c r="S45" s="1082"/>
      <c r="T45" s="1082"/>
      <c r="U45" s="1082"/>
      <c r="V45" s="1082"/>
      <c r="W45" s="1082"/>
      <c r="X45" s="1082"/>
      <c r="Y45" s="1082"/>
      <c r="Z45" s="1082"/>
      <c r="AA45" s="1082"/>
      <c r="AB45" s="1186"/>
    </row>
    <row r="46">
      <c r="A46" s="1185"/>
      <c r="B46" s="1416" t="s">
        <v>892</v>
      </c>
      <c r="C46" s="1417"/>
      <c r="D46" s="1421">
        <f>D41-(D42)</f>
        <v>10</v>
      </c>
      <c r="E46" s="1422"/>
      <c r="F46" s="1082"/>
      <c r="G46" s="1082"/>
      <c r="H46" s="1420"/>
      <c r="K46" s="1082"/>
      <c r="L46" s="1082"/>
      <c r="M46" s="1082"/>
      <c r="N46" s="1082"/>
      <c r="O46" s="1082"/>
      <c r="P46" s="1082"/>
      <c r="Q46" s="1082"/>
      <c r="R46" s="1082"/>
      <c r="S46" s="1082"/>
      <c r="T46" s="1082"/>
      <c r="U46" s="1082"/>
      <c r="V46" s="1082"/>
      <c r="W46" s="1082"/>
      <c r="X46" s="1082"/>
      <c r="Y46" s="1082"/>
      <c r="Z46" s="1082"/>
      <c r="AA46" s="1082"/>
      <c r="AB46" s="1186"/>
    </row>
    <row r="47">
      <c r="A47" s="1194"/>
      <c r="B47" s="1423"/>
      <c r="C47" s="1423"/>
      <c r="D47" s="1423"/>
      <c r="E47" s="1423"/>
      <c r="F47" s="1423"/>
      <c r="G47" s="1423"/>
      <c r="H47" s="1423"/>
      <c r="I47" s="1423"/>
      <c r="J47" s="1423"/>
      <c r="K47" s="1423"/>
      <c r="L47" s="1423"/>
      <c r="M47" s="1423"/>
      <c r="N47" s="1423"/>
      <c r="O47" s="1423"/>
      <c r="P47" s="1423"/>
      <c r="Q47" s="1423"/>
      <c r="R47" s="1423"/>
      <c r="S47" s="1423"/>
      <c r="T47" s="1423"/>
      <c r="U47" s="1423"/>
      <c r="V47" s="1423"/>
      <c r="W47" s="1423"/>
      <c r="X47" s="1423"/>
      <c r="Y47" s="1423"/>
      <c r="Z47" s="1423"/>
      <c r="AA47" s="1423"/>
      <c r="AB47" s="1195"/>
    </row>
    <row r="48">
      <c r="A48" s="1082"/>
      <c r="B48" s="1082"/>
      <c r="C48" s="1082"/>
      <c r="D48" s="1082"/>
      <c r="E48" s="1082"/>
      <c r="F48" s="1082"/>
      <c r="G48" s="1082"/>
      <c r="H48" s="1082"/>
      <c r="I48" s="1082"/>
      <c r="J48" s="1082"/>
      <c r="K48" s="1082"/>
      <c r="L48" s="1082"/>
      <c r="M48" s="1082"/>
      <c r="N48" s="1082"/>
      <c r="O48" s="1082"/>
      <c r="P48" s="1082"/>
      <c r="Q48" s="1082"/>
      <c r="R48" s="1082"/>
      <c r="S48" s="1082"/>
      <c r="T48" s="1082"/>
      <c r="U48" s="1082"/>
      <c r="V48" s="1082"/>
      <c r="W48" s="1082"/>
      <c r="X48" s="1082"/>
      <c r="Y48" s="1082"/>
      <c r="Z48" s="1082"/>
      <c r="AA48" s="1082"/>
      <c r="AB48" s="1082"/>
    </row>
    <row r="49">
      <c r="A49" s="1298"/>
      <c r="B49" s="1299"/>
      <c r="C49" s="1299"/>
      <c r="D49" s="1299"/>
      <c r="E49" s="1299"/>
      <c r="F49" s="1299"/>
      <c r="G49" s="1299"/>
      <c r="H49" s="1299"/>
      <c r="I49" s="1299"/>
      <c r="J49" s="1299"/>
      <c r="K49" s="1299"/>
      <c r="L49" s="1299"/>
      <c r="M49" s="1299"/>
      <c r="N49" s="1299"/>
      <c r="O49" s="1299"/>
      <c r="P49" s="1299"/>
      <c r="Q49" s="1299"/>
      <c r="R49" s="1299"/>
      <c r="S49" s="1299"/>
      <c r="T49" s="1299"/>
      <c r="U49" s="1299"/>
      <c r="V49" s="1299"/>
      <c r="W49" s="1299"/>
      <c r="X49" s="1299"/>
      <c r="Y49" s="1299"/>
      <c r="Z49" s="1299"/>
      <c r="AA49" s="1299"/>
      <c r="AB49" s="1300"/>
    </row>
    <row r="50">
      <c r="A50" s="1185"/>
      <c r="B50" s="1301" t="s">
        <v>854</v>
      </c>
      <c r="C50" s="1302"/>
      <c r="D50" s="1302"/>
      <c r="E50" s="1302"/>
      <c r="F50" s="1302"/>
      <c r="G50" s="1302"/>
      <c r="H50" s="1302"/>
      <c r="I50" s="1302"/>
      <c r="J50" s="1303"/>
      <c r="K50" s="1082"/>
      <c r="L50" s="1082"/>
      <c r="M50" s="1082"/>
      <c r="N50" s="1082"/>
      <c r="O50" s="1304" t="s">
        <v>855</v>
      </c>
      <c r="P50" s="593"/>
      <c r="Q50" s="593"/>
      <c r="R50" s="593"/>
      <c r="S50" s="593"/>
      <c r="T50" s="593"/>
      <c r="U50" s="593"/>
      <c r="V50" s="594"/>
      <c r="W50" s="1298"/>
      <c r="X50" s="812"/>
      <c r="Y50" s="812"/>
      <c r="Z50" s="812"/>
      <c r="AA50" s="818"/>
      <c r="AB50" s="1186"/>
    </row>
    <row r="51">
      <c r="A51" s="1185"/>
      <c r="B51" s="1305" t="s">
        <v>856</v>
      </c>
      <c r="C51" s="1306"/>
      <c r="D51" s="1307">
        <v>30.0</v>
      </c>
      <c r="E51" s="1308"/>
      <c r="F51" s="1308"/>
      <c r="G51" s="1308"/>
      <c r="H51" s="1308"/>
      <c r="I51" s="1308"/>
      <c r="J51" s="1309"/>
      <c r="K51" s="1082"/>
      <c r="L51" s="1082"/>
      <c r="M51" s="1082"/>
      <c r="N51" s="1082"/>
      <c r="O51" s="1310" t="s">
        <v>857</v>
      </c>
      <c r="P51" s="1311">
        <f t="shared" ref="P51:P52" si="13">D51</f>
        <v>30</v>
      </c>
      <c r="Q51" s="1312"/>
      <c r="R51" s="1313" t="s">
        <v>858</v>
      </c>
      <c r="S51" s="1312"/>
      <c r="T51" s="1311" t="str">
        <f>D53</f>
        <v>Almoços</v>
      </c>
      <c r="U51" s="1314"/>
      <c r="V51" s="1315"/>
      <c r="W51" s="866"/>
      <c r="AA51" s="610"/>
      <c r="AB51" s="1186"/>
    </row>
    <row r="52">
      <c r="A52" s="1316"/>
      <c r="B52" s="1317" t="s">
        <v>859</v>
      </c>
      <c r="C52" s="1306"/>
      <c r="D52" s="1318" t="s">
        <v>860</v>
      </c>
      <c r="E52" s="1308"/>
      <c r="F52" s="1308"/>
      <c r="G52" s="1308"/>
      <c r="H52" s="1308"/>
      <c r="I52" s="1308"/>
      <c r="J52" s="1309"/>
      <c r="K52" s="1087"/>
      <c r="L52" s="1087"/>
      <c r="M52" s="1087"/>
      <c r="N52" s="1087"/>
      <c r="O52" s="1319" t="s">
        <v>861</v>
      </c>
      <c r="P52" s="1320" t="str">
        <f t="shared" si="13"/>
        <v>Almoço sem Proteina</v>
      </c>
      <c r="V52" s="610"/>
      <c r="W52" s="866"/>
      <c r="AA52" s="610"/>
      <c r="AB52" s="1186"/>
    </row>
    <row r="53">
      <c r="A53" s="1185"/>
      <c r="B53" s="1305" t="s">
        <v>862</v>
      </c>
      <c r="C53" s="1306"/>
      <c r="D53" s="1307" t="s">
        <v>863</v>
      </c>
      <c r="E53" s="1308"/>
      <c r="F53" s="1308"/>
      <c r="G53" s="1308"/>
      <c r="H53" s="1308"/>
      <c r="I53" s="1308"/>
      <c r="J53" s="1309"/>
      <c r="K53" s="1082"/>
      <c r="L53" s="1082"/>
      <c r="M53" s="1082"/>
      <c r="N53" s="1082"/>
      <c r="O53" s="1321"/>
      <c r="V53" s="610"/>
      <c r="W53" s="866"/>
      <c r="AA53" s="610"/>
      <c r="AB53" s="1186"/>
    </row>
    <row r="54">
      <c r="A54" s="1185"/>
      <c r="B54" s="1305" t="s">
        <v>864</v>
      </c>
      <c r="C54" s="1306"/>
      <c r="D54" s="1322">
        <v>1.0</v>
      </c>
      <c r="E54" s="1323" t="s">
        <v>865</v>
      </c>
      <c r="F54" s="1324"/>
      <c r="G54" s="1325"/>
      <c r="H54" s="1308"/>
      <c r="I54" s="1308"/>
      <c r="J54" s="1309"/>
      <c r="K54" s="1082"/>
      <c r="L54" s="1082"/>
      <c r="M54" s="1082"/>
      <c r="N54" s="1082"/>
      <c r="O54" s="1326" t="s">
        <v>866</v>
      </c>
      <c r="P54" s="1327">
        <f t="shared" ref="P54:P55" si="14">D54</f>
        <v>1</v>
      </c>
      <c r="Q54" s="1328"/>
      <c r="R54" s="1329" t="s">
        <v>867</v>
      </c>
      <c r="S54" s="1330"/>
      <c r="T54" s="1331"/>
      <c r="U54" s="1332"/>
      <c r="V54" s="1333"/>
      <c r="W54" s="866"/>
      <c r="AA54" s="610"/>
      <c r="AB54" s="1186"/>
    </row>
    <row r="55">
      <c r="A55" s="1185"/>
      <c r="B55" s="1334" t="s">
        <v>868</v>
      </c>
      <c r="C55" s="1335"/>
      <c r="D55" s="1336"/>
      <c r="E55" s="1337"/>
      <c r="F55" s="1335"/>
      <c r="G55" s="1338" t="s">
        <v>869</v>
      </c>
      <c r="H55" s="1337"/>
      <c r="I55" s="1337"/>
      <c r="J55" s="1339"/>
      <c r="K55" s="1082"/>
      <c r="L55" s="1082"/>
      <c r="M55" s="1082"/>
      <c r="N55" s="1082"/>
      <c r="O55" s="1340" t="s">
        <v>870</v>
      </c>
      <c r="P55" s="1341" t="str">
        <f t="shared" si="14"/>
        <v/>
      </c>
      <c r="Q55" s="1342"/>
      <c r="R55" s="1343" t="s">
        <v>871</v>
      </c>
      <c r="S55" s="1344"/>
      <c r="T55" s="1342"/>
      <c r="U55" s="1345"/>
      <c r="V55" s="1346"/>
      <c r="W55" s="866"/>
      <c r="AA55" s="610"/>
      <c r="AB55" s="1186"/>
    </row>
    <row r="56">
      <c r="A56" s="1185"/>
      <c r="B56" s="1082"/>
      <c r="C56" s="1082"/>
      <c r="D56" s="1082"/>
      <c r="E56" s="1082"/>
      <c r="F56" s="1082"/>
      <c r="G56" s="1082"/>
      <c r="H56" s="1082"/>
      <c r="I56" s="1082"/>
      <c r="J56" s="1082"/>
      <c r="K56" s="1082"/>
      <c r="L56" s="1082"/>
      <c r="M56" s="1082"/>
      <c r="N56" s="1082"/>
      <c r="O56" s="1347" t="s">
        <v>872</v>
      </c>
      <c r="P56" s="1345"/>
      <c r="Q56" s="1344"/>
      <c r="R56" s="1344"/>
      <c r="S56" s="1344"/>
      <c r="T56" s="1344"/>
      <c r="U56" s="1344"/>
      <c r="V56" s="1346"/>
      <c r="W56" s="866"/>
      <c r="AA56" s="610"/>
      <c r="AB56" s="1186"/>
    </row>
    <row r="57">
      <c r="A57" s="1316"/>
      <c r="B57" s="1348" t="s">
        <v>873</v>
      </c>
      <c r="C57" s="1349" t="s">
        <v>874</v>
      </c>
      <c r="D57" s="1350" t="s">
        <v>875</v>
      </c>
      <c r="E57" s="1351" t="s">
        <v>876</v>
      </c>
      <c r="F57" s="1350" t="s">
        <v>877</v>
      </c>
      <c r="G57" s="1350" t="s">
        <v>878</v>
      </c>
      <c r="H57" s="1351" t="s">
        <v>879</v>
      </c>
      <c r="I57" s="1351" t="s">
        <v>880</v>
      </c>
      <c r="J57" s="1352" t="s">
        <v>881</v>
      </c>
      <c r="K57" s="1087"/>
      <c r="L57" s="1087"/>
      <c r="M57" s="1087"/>
      <c r="N57" s="1087"/>
      <c r="O57" s="1353"/>
      <c r="P57" s="815"/>
      <c r="Q57" s="815"/>
      <c r="R57" s="815"/>
      <c r="S57" s="815"/>
      <c r="T57" s="815"/>
      <c r="U57" s="815"/>
      <c r="V57" s="1283"/>
      <c r="W57" s="1354"/>
      <c r="X57" s="815"/>
      <c r="Y57" s="815"/>
      <c r="Z57" s="815"/>
      <c r="AA57" s="1283"/>
      <c r="AB57" s="1186"/>
    </row>
    <row r="58">
      <c r="A58" s="1185"/>
      <c r="B58" s="1355">
        <v>131.0</v>
      </c>
      <c r="C58" s="1356" t="str">
        <f t="shared" ref="C58:C86" si="15">IF(B58="","",VLOOKUP(B58,dados,2,0))</f>
        <v>#NAME?</v>
      </c>
      <c r="D58" s="1324"/>
      <c r="E58" s="1357" t="str">
        <f t="shared" ref="E58:E86" si="16">IF(B58="","",VLOOKUP(B58,dados,6,0))</f>
        <v>#NAME?</v>
      </c>
      <c r="F58" s="1358">
        <v>1.0</v>
      </c>
      <c r="G58" s="1358">
        <v>1.0</v>
      </c>
      <c r="H58" s="1359">
        <f t="shared" ref="H58:H86" si="17">IFERROR(F58/G58,"-")</f>
        <v>1</v>
      </c>
      <c r="I58" s="1360" t="str">
        <f t="shared" ref="I58:I86" si="18">IF(B58="","",VLOOKUP(B58,dados,7,0))</f>
        <v>#NAME?</v>
      </c>
      <c r="J58" s="1361" t="str">
        <f t="shared" ref="J58:J86" si="19">IF(F58="","",F58*I58)</f>
        <v>#NAME?</v>
      </c>
      <c r="K58" s="1082"/>
      <c r="L58" s="1082"/>
      <c r="M58" s="1082"/>
      <c r="N58" s="1082"/>
      <c r="O58" s="1082"/>
      <c r="P58" s="1082"/>
      <c r="Q58" s="1082"/>
      <c r="R58" s="1082"/>
      <c r="S58" s="1082"/>
      <c r="T58" s="1082"/>
      <c r="U58" s="1082"/>
      <c r="V58" s="1082"/>
      <c r="W58" s="1082"/>
      <c r="X58" s="1082"/>
      <c r="Y58" s="1082"/>
      <c r="Z58" s="1082"/>
      <c r="AA58" s="1082"/>
      <c r="AB58" s="1186"/>
    </row>
    <row r="59">
      <c r="A59" s="1185"/>
      <c r="B59" s="1355">
        <v>132.0</v>
      </c>
      <c r="C59" s="1356" t="str">
        <f t="shared" si="15"/>
        <v>#NAME?</v>
      </c>
      <c r="D59" s="1324"/>
      <c r="E59" s="1357" t="str">
        <f t="shared" si="16"/>
        <v>#NAME?</v>
      </c>
      <c r="F59" s="1358">
        <v>1.0</v>
      </c>
      <c r="G59" s="1358">
        <v>1.0</v>
      </c>
      <c r="H59" s="1359">
        <f t="shared" si="17"/>
        <v>1</v>
      </c>
      <c r="I59" s="1360" t="str">
        <f t="shared" si="18"/>
        <v>#NAME?</v>
      </c>
      <c r="J59" s="1361" t="str">
        <f t="shared" si="19"/>
        <v>#NAME?</v>
      </c>
      <c r="K59" s="1082"/>
      <c r="L59" s="1082"/>
      <c r="M59" s="1082"/>
      <c r="N59" s="1082"/>
      <c r="O59" s="1362" t="s">
        <v>882</v>
      </c>
      <c r="P59" s="1363"/>
      <c r="Q59" s="1364" t="s">
        <v>883</v>
      </c>
      <c r="R59" s="1364" t="s">
        <v>884</v>
      </c>
      <c r="S59" s="1365"/>
      <c r="T59" s="1366" t="s">
        <v>885</v>
      </c>
      <c r="U59" s="593"/>
      <c r="V59" s="593"/>
      <c r="W59" s="593"/>
      <c r="X59" s="593"/>
      <c r="Y59" s="593"/>
      <c r="Z59" s="593"/>
      <c r="AA59" s="594"/>
      <c r="AB59" s="1367"/>
    </row>
    <row r="60">
      <c r="A60" s="1185"/>
      <c r="B60" s="1355">
        <v>133.0</v>
      </c>
      <c r="C60" s="1356" t="str">
        <f t="shared" si="15"/>
        <v>#NAME?</v>
      </c>
      <c r="D60" s="1324"/>
      <c r="E60" s="1357" t="str">
        <f t="shared" si="16"/>
        <v>#NAME?</v>
      </c>
      <c r="F60" s="1358">
        <v>1.0</v>
      </c>
      <c r="G60" s="1358">
        <v>1.0</v>
      </c>
      <c r="H60" s="1359">
        <f t="shared" si="17"/>
        <v>1</v>
      </c>
      <c r="I60" s="1360" t="str">
        <f t="shared" si="18"/>
        <v>#NAME?</v>
      </c>
      <c r="J60" s="1361" t="str">
        <f t="shared" si="19"/>
        <v>#NAME?</v>
      </c>
      <c r="K60" s="1082"/>
      <c r="L60" s="1082"/>
      <c r="M60" s="1082"/>
      <c r="N60" s="1082"/>
      <c r="O60" s="1368" t="str">
        <f t="shared" ref="O60:O69" si="20">C58</f>
        <v>#NAME?</v>
      </c>
      <c r="P60" s="1369"/>
      <c r="Q60" s="1370" t="str">
        <f t="shared" ref="Q60:Q78" si="21">E58</f>
        <v>#NAME?</v>
      </c>
      <c r="R60" s="1371">
        <f t="shared" ref="R60:R78" si="22">G58</f>
        <v>1</v>
      </c>
      <c r="S60" s="1372"/>
      <c r="T60" s="1345"/>
      <c r="U60" s="1344"/>
      <c r="V60" s="1344"/>
      <c r="W60" s="1344"/>
      <c r="X60" s="1344"/>
      <c r="Y60" s="1344"/>
      <c r="Z60" s="1344"/>
      <c r="AA60" s="1346"/>
      <c r="AB60" s="1373"/>
    </row>
    <row r="61">
      <c r="A61" s="1185"/>
      <c r="B61" s="1355">
        <v>134.0</v>
      </c>
      <c r="C61" s="1356" t="str">
        <f t="shared" si="15"/>
        <v>#NAME?</v>
      </c>
      <c r="D61" s="1324"/>
      <c r="E61" s="1357" t="str">
        <f t="shared" si="16"/>
        <v>#NAME?</v>
      </c>
      <c r="F61" s="1358">
        <v>1.0</v>
      </c>
      <c r="G61" s="1358">
        <v>1.0</v>
      </c>
      <c r="H61" s="1359">
        <f t="shared" si="17"/>
        <v>1</v>
      </c>
      <c r="I61" s="1360" t="str">
        <f t="shared" si="18"/>
        <v>#NAME?</v>
      </c>
      <c r="J61" s="1361" t="str">
        <f t="shared" si="19"/>
        <v>#NAME?</v>
      </c>
      <c r="K61" s="1082"/>
      <c r="L61" s="1082"/>
      <c r="M61" s="1082"/>
      <c r="N61" s="1082"/>
      <c r="O61" s="1368" t="str">
        <f t="shared" si="20"/>
        <v>#NAME?</v>
      </c>
      <c r="P61" s="1369"/>
      <c r="Q61" s="1370" t="str">
        <f t="shared" si="21"/>
        <v>#NAME?</v>
      </c>
      <c r="R61" s="1371">
        <f t="shared" si="22"/>
        <v>1</v>
      </c>
      <c r="S61" s="1372"/>
      <c r="T61" s="1345"/>
      <c r="U61" s="1344"/>
      <c r="V61" s="1344"/>
      <c r="W61" s="1344"/>
      <c r="X61" s="1344"/>
      <c r="Y61" s="1344"/>
      <c r="Z61" s="1344"/>
      <c r="AA61" s="1346"/>
      <c r="AB61" s="1373"/>
    </row>
    <row r="62">
      <c r="A62" s="1185"/>
      <c r="B62" s="1355">
        <v>135.0</v>
      </c>
      <c r="C62" s="1356" t="str">
        <f t="shared" si="15"/>
        <v>#NAME?</v>
      </c>
      <c r="D62" s="1324"/>
      <c r="E62" s="1357" t="str">
        <f t="shared" si="16"/>
        <v>#NAME?</v>
      </c>
      <c r="F62" s="1358">
        <v>1.0</v>
      </c>
      <c r="G62" s="1358">
        <v>1.0</v>
      </c>
      <c r="H62" s="1359">
        <f t="shared" si="17"/>
        <v>1</v>
      </c>
      <c r="I62" s="1360" t="str">
        <f t="shared" si="18"/>
        <v>#NAME?</v>
      </c>
      <c r="J62" s="1361" t="str">
        <f t="shared" si="19"/>
        <v>#NAME?</v>
      </c>
      <c r="K62" s="1082"/>
      <c r="L62" s="1082"/>
      <c r="M62" s="1082"/>
      <c r="N62" s="1082"/>
      <c r="O62" s="1368" t="str">
        <f t="shared" si="20"/>
        <v>#NAME?</v>
      </c>
      <c r="P62" s="1369"/>
      <c r="Q62" s="1370" t="str">
        <f t="shared" si="21"/>
        <v>#NAME?</v>
      </c>
      <c r="R62" s="1371">
        <f t="shared" si="22"/>
        <v>1</v>
      </c>
      <c r="S62" s="1372"/>
      <c r="T62" s="1345"/>
      <c r="U62" s="1344"/>
      <c r="V62" s="1344"/>
      <c r="W62" s="1344"/>
      <c r="X62" s="1344"/>
      <c r="Y62" s="1344"/>
      <c r="Z62" s="1344"/>
      <c r="AA62" s="1346"/>
      <c r="AB62" s="1373"/>
    </row>
    <row r="63">
      <c r="A63" s="1185"/>
      <c r="B63" s="1355">
        <v>136.0</v>
      </c>
      <c r="C63" s="1356" t="str">
        <f t="shared" si="15"/>
        <v>#NAME?</v>
      </c>
      <c r="D63" s="1324"/>
      <c r="E63" s="1357" t="str">
        <f t="shared" si="16"/>
        <v>#NAME?</v>
      </c>
      <c r="F63" s="1358">
        <v>1.0</v>
      </c>
      <c r="G63" s="1358">
        <v>1.0</v>
      </c>
      <c r="H63" s="1359">
        <f t="shared" si="17"/>
        <v>1</v>
      </c>
      <c r="I63" s="1360" t="str">
        <f t="shared" si="18"/>
        <v>#NAME?</v>
      </c>
      <c r="J63" s="1361" t="str">
        <f t="shared" si="19"/>
        <v>#NAME?</v>
      </c>
      <c r="K63" s="1082"/>
      <c r="L63" s="1082"/>
      <c r="M63" s="1082"/>
      <c r="N63" s="1082"/>
      <c r="O63" s="1368" t="str">
        <f t="shared" si="20"/>
        <v>#NAME?</v>
      </c>
      <c r="P63" s="1369"/>
      <c r="Q63" s="1370" t="str">
        <f t="shared" si="21"/>
        <v>#NAME?</v>
      </c>
      <c r="R63" s="1371">
        <f t="shared" si="22"/>
        <v>1</v>
      </c>
      <c r="S63" s="1372"/>
      <c r="T63" s="1345"/>
      <c r="U63" s="1344"/>
      <c r="V63" s="1344"/>
      <c r="W63" s="1344"/>
      <c r="X63" s="1344"/>
      <c r="Y63" s="1344"/>
      <c r="Z63" s="1344"/>
      <c r="AA63" s="1346"/>
      <c r="AB63" s="1373"/>
    </row>
    <row r="64">
      <c r="A64" s="1185"/>
      <c r="B64" s="1355">
        <v>137.0</v>
      </c>
      <c r="C64" s="1356" t="str">
        <f t="shared" si="15"/>
        <v>#NAME?</v>
      </c>
      <c r="D64" s="1324"/>
      <c r="E64" s="1357" t="str">
        <f t="shared" si="16"/>
        <v>#NAME?</v>
      </c>
      <c r="F64" s="1358">
        <v>1.0</v>
      </c>
      <c r="G64" s="1358">
        <v>1.0</v>
      </c>
      <c r="H64" s="1359">
        <f t="shared" si="17"/>
        <v>1</v>
      </c>
      <c r="I64" s="1360" t="str">
        <f t="shared" si="18"/>
        <v>#NAME?</v>
      </c>
      <c r="J64" s="1361" t="str">
        <f t="shared" si="19"/>
        <v>#NAME?</v>
      </c>
      <c r="K64" s="1082"/>
      <c r="L64" s="1082"/>
      <c r="M64" s="1082"/>
      <c r="N64" s="1082"/>
      <c r="O64" s="1368" t="str">
        <f t="shared" si="20"/>
        <v>#NAME?</v>
      </c>
      <c r="P64" s="1369"/>
      <c r="Q64" s="1370" t="str">
        <f t="shared" si="21"/>
        <v>#NAME?</v>
      </c>
      <c r="R64" s="1371">
        <f t="shared" si="22"/>
        <v>1</v>
      </c>
      <c r="S64" s="1372"/>
      <c r="T64" s="1345"/>
      <c r="U64" s="1344"/>
      <c r="V64" s="1344"/>
      <c r="W64" s="1344"/>
      <c r="X64" s="1344"/>
      <c r="Y64" s="1344"/>
      <c r="Z64" s="1344"/>
      <c r="AA64" s="1346"/>
      <c r="AB64" s="1373"/>
    </row>
    <row r="65">
      <c r="A65" s="1185"/>
      <c r="B65" s="1374"/>
      <c r="C65" s="1375" t="str">
        <f t="shared" si="15"/>
        <v/>
      </c>
      <c r="D65" s="1324"/>
      <c r="E65" s="1376" t="str">
        <f t="shared" si="16"/>
        <v/>
      </c>
      <c r="F65" s="1377"/>
      <c r="G65" s="1377"/>
      <c r="H65" s="1359" t="str">
        <f t="shared" si="17"/>
        <v>-</v>
      </c>
      <c r="I65" s="1378" t="str">
        <f t="shared" si="18"/>
        <v/>
      </c>
      <c r="J65" s="1379" t="str">
        <f t="shared" si="19"/>
        <v/>
      </c>
      <c r="K65" s="1082"/>
      <c r="L65" s="1082"/>
      <c r="M65" s="1082"/>
      <c r="N65" s="1082"/>
      <c r="O65" s="1368" t="str">
        <f t="shared" si="20"/>
        <v>#NAME?</v>
      </c>
      <c r="P65" s="1369"/>
      <c r="Q65" s="1370" t="str">
        <f t="shared" si="21"/>
        <v>#NAME?</v>
      </c>
      <c r="R65" s="1371">
        <f t="shared" si="22"/>
        <v>1</v>
      </c>
      <c r="S65" s="1372"/>
      <c r="T65" s="1345"/>
      <c r="U65" s="1344"/>
      <c r="V65" s="1344"/>
      <c r="W65" s="1344"/>
      <c r="X65" s="1344"/>
      <c r="Y65" s="1344"/>
      <c r="Z65" s="1344"/>
      <c r="AA65" s="1346"/>
      <c r="AB65" s="1373"/>
    </row>
    <row r="66">
      <c r="A66" s="1185"/>
      <c r="B66" s="1374"/>
      <c r="C66" s="1375" t="str">
        <f t="shared" si="15"/>
        <v/>
      </c>
      <c r="D66" s="1324"/>
      <c r="E66" s="1376" t="str">
        <f t="shared" si="16"/>
        <v/>
      </c>
      <c r="F66" s="1377"/>
      <c r="G66" s="1377"/>
      <c r="H66" s="1359" t="str">
        <f t="shared" si="17"/>
        <v>-</v>
      </c>
      <c r="I66" s="1378" t="str">
        <f t="shared" si="18"/>
        <v/>
      </c>
      <c r="J66" s="1379" t="str">
        <f t="shared" si="19"/>
        <v/>
      </c>
      <c r="K66" s="1082"/>
      <c r="L66" s="1082"/>
      <c r="M66" s="1082"/>
      <c r="N66" s="1082"/>
      <c r="O66" s="1368" t="str">
        <f t="shared" si="20"/>
        <v>#NAME?</v>
      </c>
      <c r="P66" s="1369"/>
      <c r="Q66" s="1370" t="str">
        <f t="shared" si="21"/>
        <v>#NAME?</v>
      </c>
      <c r="R66" s="1371">
        <f t="shared" si="22"/>
        <v>1</v>
      </c>
      <c r="S66" s="1372"/>
      <c r="T66" s="1345"/>
      <c r="U66" s="1344"/>
      <c r="V66" s="1344"/>
      <c r="W66" s="1344"/>
      <c r="X66" s="1344"/>
      <c r="Y66" s="1344"/>
      <c r="Z66" s="1344"/>
      <c r="AA66" s="1346"/>
      <c r="AB66" s="1373"/>
    </row>
    <row r="67">
      <c r="A67" s="1185"/>
      <c r="B67" s="1374"/>
      <c r="C67" s="1375" t="str">
        <f t="shared" si="15"/>
        <v/>
      </c>
      <c r="D67" s="1324"/>
      <c r="E67" s="1376" t="str">
        <f t="shared" si="16"/>
        <v/>
      </c>
      <c r="F67" s="1377"/>
      <c r="G67" s="1377"/>
      <c r="H67" s="1359" t="str">
        <f t="shared" si="17"/>
        <v>-</v>
      </c>
      <c r="I67" s="1378" t="str">
        <f t="shared" si="18"/>
        <v/>
      </c>
      <c r="J67" s="1379" t="str">
        <f t="shared" si="19"/>
        <v/>
      </c>
      <c r="K67" s="1082"/>
      <c r="L67" s="1082"/>
      <c r="M67" s="1082"/>
      <c r="N67" s="1082"/>
      <c r="O67" s="1380" t="str">
        <f t="shared" si="20"/>
        <v/>
      </c>
      <c r="P67" s="1369"/>
      <c r="Q67" s="1345" t="str">
        <f t="shared" si="21"/>
        <v/>
      </c>
      <c r="R67" s="1381" t="str">
        <f t="shared" si="22"/>
        <v/>
      </c>
      <c r="S67" s="1372"/>
      <c r="T67" s="1345"/>
      <c r="U67" s="1344"/>
      <c r="V67" s="1344"/>
      <c r="W67" s="1344"/>
      <c r="X67" s="1344"/>
      <c r="Y67" s="1344"/>
      <c r="Z67" s="1344"/>
      <c r="AA67" s="1346"/>
      <c r="AB67" s="1373"/>
    </row>
    <row r="68">
      <c r="A68" s="1185"/>
      <c r="B68" s="1374"/>
      <c r="C68" s="1375" t="str">
        <f t="shared" si="15"/>
        <v/>
      </c>
      <c r="D68" s="1324"/>
      <c r="E68" s="1376" t="str">
        <f t="shared" si="16"/>
        <v/>
      </c>
      <c r="F68" s="1377"/>
      <c r="G68" s="1377"/>
      <c r="H68" s="1359" t="str">
        <f t="shared" si="17"/>
        <v>-</v>
      </c>
      <c r="I68" s="1378" t="str">
        <f t="shared" si="18"/>
        <v/>
      </c>
      <c r="J68" s="1379" t="str">
        <f t="shared" si="19"/>
        <v/>
      </c>
      <c r="K68" s="1082"/>
      <c r="L68" s="1082"/>
      <c r="M68" s="1082"/>
      <c r="N68" s="1082"/>
      <c r="O68" s="1380" t="str">
        <f t="shared" si="20"/>
        <v/>
      </c>
      <c r="P68" s="1369"/>
      <c r="Q68" s="1345" t="str">
        <f t="shared" si="21"/>
        <v/>
      </c>
      <c r="R68" s="1381" t="str">
        <f t="shared" si="22"/>
        <v/>
      </c>
      <c r="S68" s="1372"/>
      <c r="T68" s="1345"/>
      <c r="U68" s="1344"/>
      <c r="V68" s="1344"/>
      <c r="W68" s="1344"/>
      <c r="X68" s="1344"/>
      <c r="Y68" s="1344"/>
      <c r="Z68" s="1344"/>
      <c r="AA68" s="1346"/>
      <c r="AB68" s="1373"/>
    </row>
    <row r="69">
      <c r="A69" s="1185"/>
      <c r="B69" s="1374"/>
      <c r="C69" s="1375" t="str">
        <f t="shared" si="15"/>
        <v/>
      </c>
      <c r="D69" s="1324"/>
      <c r="E69" s="1376" t="str">
        <f t="shared" si="16"/>
        <v/>
      </c>
      <c r="F69" s="1377"/>
      <c r="G69" s="1377"/>
      <c r="H69" s="1359" t="str">
        <f t="shared" si="17"/>
        <v>-</v>
      </c>
      <c r="I69" s="1378" t="str">
        <f t="shared" si="18"/>
        <v/>
      </c>
      <c r="J69" s="1379" t="str">
        <f t="shared" si="19"/>
        <v/>
      </c>
      <c r="K69" s="1082"/>
      <c r="L69" s="1082"/>
      <c r="M69" s="1082"/>
      <c r="N69" s="1082"/>
      <c r="O69" s="1380" t="str">
        <f t="shared" si="20"/>
        <v/>
      </c>
      <c r="P69" s="1369"/>
      <c r="Q69" s="1345" t="str">
        <f t="shared" si="21"/>
        <v/>
      </c>
      <c r="R69" s="1381" t="str">
        <f t="shared" si="22"/>
        <v/>
      </c>
      <c r="S69" s="1372"/>
      <c r="T69" s="1345"/>
      <c r="U69" s="1344"/>
      <c r="V69" s="1344"/>
      <c r="W69" s="1344"/>
      <c r="X69" s="1344"/>
      <c r="Y69" s="1344"/>
      <c r="Z69" s="1344"/>
      <c r="AA69" s="1346"/>
      <c r="AB69" s="1373"/>
    </row>
    <row r="70">
      <c r="A70" s="1185"/>
      <c r="B70" s="1374"/>
      <c r="C70" s="1375" t="str">
        <f t="shared" si="15"/>
        <v/>
      </c>
      <c r="D70" s="1324"/>
      <c r="E70" s="1376" t="str">
        <f t="shared" si="16"/>
        <v/>
      </c>
      <c r="F70" s="1377"/>
      <c r="G70" s="1377"/>
      <c r="H70" s="1359" t="str">
        <f t="shared" si="17"/>
        <v>-</v>
      </c>
      <c r="I70" s="1378" t="str">
        <f t="shared" si="18"/>
        <v/>
      </c>
      <c r="J70" s="1379" t="str">
        <f t="shared" si="19"/>
        <v/>
      </c>
      <c r="K70" s="1082"/>
      <c r="L70" s="1082"/>
      <c r="M70" s="1082"/>
      <c r="N70" s="1082"/>
      <c r="O70" s="1380"/>
      <c r="P70" s="1369"/>
      <c r="Q70" s="1345" t="str">
        <f t="shared" si="21"/>
        <v/>
      </c>
      <c r="R70" s="1381" t="str">
        <f t="shared" si="22"/>
        <v/>
      </c>
      <c r="S70" s="1372"/>
      <c r="T70" s="1345"/>
      <c r="U70" s="1344"/>
      <c r="V70" s="1344"/>
      <c r="W70" s="1344"/>
      <c r="X70" s="1344"/>
      <c r="Y70" s="1344"/>
      <c r="Z70" s="1344"/>
      <c r="AA70" s="1346"/>
      <c r="AB70" s="1373"/>
    </row>
    <row r="71">
      <c r="A71" s="1185"/>
      <c r="B71" s="1374"/>
      <c r="C71" s="1375" t="str">
        <f t="shared" si="15"/>
        <v/>
      </c>
      <c r="D71" s="1324"/>
      <c r="E71" s="1376" t="str">
        <f t="shared" si="16"/>
        <v/>
      </c>
      <c r="F71" s="1377"/>
      <c r="G71" s="1377"/>
      <c r="H71" s="1359" t="str">
        <f t="shared" si="17"/>
        <v>-</v>
      </c>
      <c r="I71" s="1378" t="str">
        <f t="shared" si="18"/>
        <v/>
      </c>
      <c r="J71" s="1379" t="str">
        <f t="shared" si="19"/>
        <v/>
      </c>
      <c r="K71" s="1082"/>
      <c r="L71" s="1082"/>
      <c r="M71" s="1082"/>
      <c r="N71" s="1082"/>
      <c r="O71" s="1380" t="str">
        <f t="shared" ref="O71:O78" si="23">C69</f>
        <v/>
      </c>
      <c r="P71" s="1369"/>
      <c r="Q71" s="1345" t="str">
        <f t="shared" si="21"/>
        <v/>
      </c>
      <c r="R71" s="1381" t="str">
        <f t="shared" si="22"/>
        <v/>
      </c>
      <c r="S71" s="1372"/>
      <c r="T71" s="1345"/>
      <c r="U71" s="1344"/>
      <c r="V71" s="1344"/>
      <c r="W71" s="1344"/>
      <c r="X71" s="1344"/>
      <c r="Y71" s="1344"/>
      <c r="Z71" s="1344"/>
      <c r="AA71" s="1346"/>
      <c r="AB71" s="1373"/>
    </row>
    <row r="72">
      <c r="A72" s="1185"/>
      <c r="B72" s="1374"/>
      <c r="C72" s="1375" t="str">
        <f t="shared" si="15"/>
        <v/>
      </c>
      <c r="D72" s="1324"/>
      <c r="E72" s="1376" t="str">
        <f t="shared" si="16"/>
        <v/>
      </c>
      <c r="F72" s="1377"/>
      <c r="G72" s="1377"/>
      <c r="H72" s="1359" t="str">
        <f t="shared" si="17"/>
        <v>-</v>
      </c>
      <c r="I72" s="1378" t="str">
        <f t="shared" si="18"/>
        <v/>
      </c>
      <c r="J72" s="1379" t="str">
        <f t="shared" si="19"/>
        <v/>
      </c>
      <c r="K72" s="1082"/>
      <c r="L72" s="1082"/>
      <c r="M72" s="1082"/>
      <c r="N72" s="1082"/>
      <c r="O72" s="1380" t="str">
        <f t="shared" si="23"/>
        <v/>
      </c>
      <c r="P72" s="1369"/>
      <c r="Q72" s="1345" t="str">
        <f t="shared" si="21"/>
        <v/>
      </c>
      <c r="R72" s="1381" t="str">
        <f t="shared" si="22"/>
        <v/>
      </c>
      <c r="S72" s="1372"/>
      <c r="T72" s="1345"/>
      <c r="U72" s="1344"/>
      <c r="V72" s="1344"/>
      <c r="W72" s="1344"/>
      <c r="X72" s="1344"/>
      <c r="Y72" s="1344"/>
      <c r="Z72" s="1344"/>
      <c r="AA72" s="1346"/>
      <c r="AB72" s="1373"/>
    </row>
    <row r="73">
      <c r="A73" s="1185"/>
      <c r="B73" s="1374"/>
      <c r="C73" s="1375" t="str">
        <f t="shared" si="15"/>
        <v/>
      </c>
      <c r="D73" s="1324"/>
      <c r="E73" s="1376" t="str">
        <f t="shared" si="16"/>
        <v/>
      </c>
      <c r="F73" s="1377"/>
      <c r="G73" s="1377"/>
      <c r="H73" s="1359" t="str">
        <f t="shared" si="17"/>
        <v>-</v>
      </c>
      <c r="I73" s="1378" t="str">
        <f t="shared" si="18"/>
        <v/>
      </c>
      <c r="J73" s="1379" t="str">
        <f t="shared" si="19"/>
        <v/>
      </c>
      <c r="K73" s="1082"/>
      <c r="L73" s="1082"/>
      <c r="M73" s="1082"/>
      <c r="N73" s="1082"/>
      <c r="O73" s="1380" t="str">
        <f t="shared" si="23"/>
        <v/>
      </c>
      <c r="P73" s="1369"/>
      <c r="Q73" s="1345" t="str">
        <f t="shared" si="21"/>
        <v/>
      </c>
      <c r="R73" s="1381" t="str">
        <f t="shared" si="22"/>
        <v/>
      </c>
      <c r="S73" s="1372"/>
      <c r="T73" s="1345"/>
      <c r="U73" s="1344"/>
      <c r="V73" s="1344"/>
      <c r="W73" s="1344"/>
      <c r="X73" s="1344"/>
      <c r="Y73" s="1344"/>
      <c r="Z73" s="1344"/>
      <c r="AA73" s="1346"/>
      <c r="AB73" s="1373"/>
    </row>
    <row r="74">
      <c r="A74" s="1185"/>
      <c r="B74" s="1374"/>
      <c r="C74" s="1375" t="str">
        <f t="shared" si="15"/>
        <v/>
      </c>
      <c r="D74" s="1324"/>
      <c r="E74" s="1376" t="str">
        <f t="shared" si="16"/>
        <v/>
      </c>
      <c r="F74" s="1377"/>
      <c r="G74" s="1377"/>
      <c r="H74" s="1359" t="str">
        <f t="shared" si="17"/>
        <v>-</v>
      </c>
      <c r="I74" s="1378" t="str">
        <f t="shared" si="18"/>
        <v/>
      </c>
      <c r="J74" s="1379" t="str">
        <f t="shared" si="19"/>
        <v/>
      </c>
      <c r="K74" s="1082"/>
      <c r="L74" s="1082"/>
      <c r="M74" s="1082"/>
      <c r="N74" s="1082"/>
      <c r="O74" s="1380" t="str">
        <f t="shared" si="23"/>
        <v/>
      </c>
      <c r="P74" s="1369"/>
      <c r="Q74" s="1345" t="str">
        <f t="shared" si="21"/>
        <v/>
      </c>
      <c r="R74" s="1381" t="str">
        <f t="shared" si="22"/>
        <v/>
      </c>
      <c r="S74" s="1372"/>
      <c r="T74" s="1345"/>
      <c r="U74" s="1344"/>
      <c r="V74" s="1344"/>
      <c r="W74" s="1344"/>
      <c r="X74" s="1344"/>
      <c r="Y74" s="1344"/>
      <c r="Z74" s="1344"/>
      <c r="AA74" s="1346"/>
      <c r="AB74" s="1373"/>
    </row>
    <row r="75">
      <c r="A75" s="1185"/>
      <c r="B75" s="1374"/>
      <c r="C75" s="1375" t="str">
        <f t="shared" si="15"/>
        <v/>
      </c>
      <c r="D75" s="1324"/>
      <c r="E75" s="1376" t="str">
        <f t="shared" si="16"/>
        <v/>
      </c>
      <c r="F75" s="1377"/>
      <c r="G75" s="1377"/>
      <c r="H75" s="1359" t="str">
        <f t="shared" si="17"/>
        <v>-</v>
      </c>
      <c r="I75" s="1378" t="str">
        <f t="shared" si="18"/>
        <v/>
      </c>
      <c r="J75" s="1379" t="str">
        <f t="shared" si="19"/>
        <v/>
      </c>
      <c r="K75" s="1082"/>
      <c r="L75" s="1082"/>
      <c r="M75" s="1082"/>
      <c r="N75" s="1082"/>
      <c r="O75" s="1380" t="str">
        <f t="shared" si="23"/>
        <v/>
      </c>
      <c r="P75" s="1369"/>
      <c r="Q75" s="1345" t="str">
        <f t="shared" si="21"/>
        <v/>
      </c>
      <c r="R75" s="1381" t="str">
        <f t="shared" si="22"/>
        <v/>
      </c>
      <c r="S75" s="1372"/>
      <c r="T75" s="1345"/>
      <c r="U75" s="1344"/>
      <c r="V75" s="1344"/>
      <c r="W75" s="1344"/>
      <c r="X75" s="1344"/>
      <c r="Y75" s="1344"/>
      <c r="Z75" s="1344"/>
      <c r="AA75" s="1346"/>
      <c r="AB75" s="1373"/>
    </row>
    <row r="76">
      <c r="A76" s="1185"/>
      <c r="B76" s="1374"/>
      <c r="C76" s="1375" t="str">
        <f t="shared" si="15"/>
        <v/>
      </c>
      <c r="D76" s="1324"/>
      <c r="E76" s="1376" t="str">
        <f t="shared" si="16"/>
        <v/>
      </c>
      <c r="F76" s="1377"/>
      <c r="G76" s="1377"/>
      <c r="H76" s="1359" t="str">
        <f t="shared" si="17"/>
        <v>-</v>
      </c>
      <c r="I76" s="1378" t="str">
        <f t="shared" si="18"/>
        <v/>
      </c>
      <c r="J76" s="1379" t="str">
        <f t="shared" si="19"/>
        <v/>
      </c>
      <c r="K76" s="1082"/>
      <c r="L76" s="1082"/>
      <c r="M76" s="1082"/>
      <c r="N76" s="1082"/>
      <c r="O76" s="1380" t="str">
        <f t="shared" si="23"/>
        <v/>
      </c>
      <c r="P76" s="1369"/>
      <c r="Q76" s="1345" t="str">
        <f t="shared" si="21"/>
        <v/>
      </c>
      <c r="R76" s="1381" t="str">
        <f t="shared" si="22"/>
        <v/>
      </c>
      <c r="S76" s="1372"/>
      <c r="T76" s="1345"/>
      <c r="U76" s="1344"/>
      <c r="V76" s="1344"/>
      <c r="W76" s="1344"/>
      <c r="X76" s="1344"/>
      <c r="Y76" s="1344"/>
      <c r="Z76" s="1344"/>
      <c r="AA76" s="1346"/>
      <c r="AB76" s="1373"/>
    </row>
    <row r="77">
      <c r="A77" s="1185"/>
      <c r="B77" s="1374"/>
      <c r="C77" s="1375" t="str">
        <f t="shared" si="15"/>
        <v/>
      </c>
      <c r="D77" s="1324"/>
      <c r="E77" s="1376" t="str">
        <f t="shared" si="16"/>
        <v/>
      </c>
      <c r="F77" s="1377"/>
      <c r="G77" s="1377"/>
      <c r="H77" s="1359" t="str">
        <f t="shared" si="17"/>
        <v>-</v>
      </c>
      <c r="I77" s="1378" t="str">
        <f t="shared" si="18"/>
        <v/>
      </c>
      <c r="J77" s="1379" t="str">
        <f t="shared" si="19"/>
        <v/>
      </c>
      <c r="K77" s="1082"/>
      <c r="L77" s="1082"/>
      <c r="M77" s="1082"/>
      <c r="N77" s="1082"/>
      <c r="O77" s="1380" t="str">
        <f t="shared" si="23"/>
        <v/>
      </c>
      <c r="P77" s="1369"/>
      <c r="Q77" s="1345" t="str">
        <f t="shared" si="21"/>
        <v/>
      </c>
      <c r="R77" s="1381" t="str">
        <f t="shared" si="22"/>
        <v/>
      </c>
      <c r="S77" s="1372"/>
      <c r="T77" s="1345"/>
      <c r="U77" s="1344"/>
      <c r="V77" s="1344"/>
      <c r="W77" s="1344"/>
      <c r="X77" s="1344"/>
      <c r="Y77" s="1344"/>
      <c r="Z77" s="1344"/>
      <c r="AA77" s="1346"/>
      <c r="AB77" s="1373"/>
    </row>
    <row r="78">
      <c r="A78" s="1185"/>
      <c r="B78" s="1374"/>
      <c r="C78" s="1375" t="str">
        <f t="shared" si="15"/>
        <v/>
      </c>
      <c r="D78" s="1324"/>
      <c r="E78" s="1376" t="str">
        <f t="shared" si="16"/>
        <v/>
      </c>
      <c r="F78" s="1377"/>
      <c r="G78" s="1377"/>
      <c r="H78" s="1359" t="str">
        <f t="shared" si="17"/>
        <v>-</v>
      </c>
      <c r="I78" s="1378" t="str">
        <f t="shared" si="18"/>
        <v/>
      </c>
      <c r="J78" s="1379" t="str">
        <f t="shared" si="19"/>
        <v/>
      </c>
      <c r="K78" s="1082"/>
      <c r="L78" s="1082"/>
      <c r="M78" s="1082"/>
      <c r="N78" s="1082"/>
      <c r="O78" s="1353" t="str">
        <f t="shared" si="23"/>
        <v/>
      </c>
      <c r="P78" s="1382"/>
      <c r="Q78" s="1383" t="str">
        <f t="shared" si="21"/>
        <v/>
      </c>
      <c r="R78" s="1384" t="str">
        <f t="shared" si="22"/>
        <v/>
      </c>
      <c r="S78" s="1385"/>
      <c r="T78" s="1383"/>
      <c r="U78" s="815"/>
      <c r="V78" s="815"/>
      <c r="W78" s="815"/>
      <c r="X78" s="815"/>
      <c r="Y78" s="815"/>
      <c r="Z78" s="815"/>
      <c r="AA78" s="1283"/>
      <c r="AB78" s="1373"/>
    </row>
    <row r="79">
      <c r="A79" s="1185"/>
      <c r="B79" s="1374"/>
      <c r="C79" s="1375" t="str">
        <f t="shared" si="15"/>
        <v/>
      </c>
      <c r="D79" s="1324"/>
      <c r="E79" s="1376" t="str">
        <f t="shared" si="16"/>
        <v/>
      </c>
      <c r="F79" s="1377"/>
      <c r="G79" s="1377"/>
      <c r="H79" s="1359" t="str">
        <f t="shared" si="17"/>
        <v>-</v>
      </c>
      <c r="I79" s="1378" t="str">
        <f t="shared" si="18"/>
        <v/>
      </c>
      <c r="J79" s="1379" t="str">
        <f t="shared" si="19"/>
        <v/>
      </c>
      <c r="K79" s="1082"/>
      <c r="L79" s="1082"/>
      <c r="M79" s="1082"/>
      <c r="N79" s="1082"/>
      <c r="O79" s="1082"/>
      <c r="P79" s="1082"/>
      <c r="Q79" s="1082"/>
      <c r="R79" s="1082"/>
      <c r="S79" s="1082"/>
      <c r="T79" s="1082"/>
      <c r="U79" s="1082"/>
      <c r="V79" s="1082"/>
      <c r="W79" s="1082"/>
      <c r="X79" s="1082"/>
      <c r="Y79" s="1082"/>
      <c r="Z79" s="1082"/>
      <c r="AA79" s="1082"/>
      <c r="AB79" s="1186"/>
    </row>
    <row r="80">
      <c r="A80" s="1185"/>
      <c r="B80" s="1374"/>
      <c r="C80" s="1375" t="str">
        <f t="shared" si="15"/>
        <v/>
      </c>
      <c r="D80" s="1324"/>
      <c r="E80" s="1376" t="str">
        <f t="shared" si="16"/>
        <v/>
      </c>
      <c r="F80" s="1377"/>
      <c r="G80" s="1377"/>
      <c r="H80" s="1359" t="str">
        <f t="shared" si="17"/>
        <v>-</v>
      </c>
      <c r="I80" s="1378" t="str">
        <f t="shared" si="18"/>
        <v/>
      </c>
      <c r="J80" s="1379" t="str">
        <f t="shared" si="19"/>
        <v/>
      </c>
      <c r="K80" s="1082"/>
      <c r="L80" s="1082"/>
      <c r="M80" s="1082"/>
      <c r="N80" s="1082"/>
      <c r="O80" s="1082"/>
      <c r="P80" s="1082"/>
      <c r="Q80" s="1082"/>
      <c r="R80" s="1082"/>
      <c r="S80" s="1082"/>
      <c r="T80" s="1082"/>
      <c r="U80" s="1082"/>
      <c r="V80" s="1082"/>
      <c r="W80" s="1082"/>
      <c r="X80" s="1082"/>
      <c r="Y80" s="1082"/>
      <c r="Z80" s="1082"/>
      <c r="AA80" s="1082"/>
      <c r="AB80" s="1186"/>
    </row>
    <row r="81">
      <c r="A81" s="1185"/>
      <c r="B81" s="1374"/>
      <c r="C81" s="1375" t="str">
        <f t="shared" si="15"/>
        <v/>
      </c>
      <c r="D81" s="1324"/>
      <c r="E81" s="1376" t="str">
        <f t="shared" si="16"/>
        <v/>
      </c>
      <c r="F81" s="1377"/>
      <c r="G81" s="1377"/>
      <c r="H81" s="1359" t="str">
        <f t="shared" si="17"/>
        <v>-</v>
      </c>
      <c r="I81" s="1378" t="str">
        <f t="shared" si="18"/>
        <v/>
      </c>
      <c r="J81" s="1379" t="str">
        <f t="shared" si="19"/>
        <v/>
      </c>
      <c r="K81" s="1082"/>
      <c r="L81" s="1082"/>
      <c r="M81" s="1082"/>
      <c r="N81" s="1082"/>
      <c r="O81" s="1082"/>
      <c r="P81" s="1082"/>
      <c r="Q81" s="1082"/>
      <c r="R81" s="1082"/>
      <c r="S81" s="1082"/>
      <c r="T81" s="1082"/>
      <c r="U81" s="1082"/>
      <c r="V81" s="1082"/>
      <c r="W81" s="1082"/>
      <c r="X81" s="1082"/>
      <c r="Y81" s="1082"/>
      <c r="Z81" s="1082"/>
      <c r="AA81" s="1082"/>
      <c r="AB81" s="1186"/>
    </row>
    <row r="82">
      <c r="A82" s="1185"/>
      <c r="B82" s="1374"/>
      <c r="C82" s="1375" t="str">
        <f t="shared" si="15"/>
        <v/>
      </c>
      <c r="D82" s="1324"/>
      <c r="E82" s="1376" t="str">
        <f t="shared" si="16"/>
        <v/>
      </c>
      <c r="F82" s="1377"/>
      <c r="G82" s="1377"/>
      <c r="H82" s="1359" t="str">
        <f t="shared" si="17"/>
        <v>-</v>
      </c>
      <c r="I82" s="1378" t="str">
        <f t="shared" si="18"/>
        <v/>
      </c>
      <c r="J82" s="1379" t="str">
        <f t="shared" si="19"/>
        <v/>
      </c>
      <c r="K82" s="1082"/>
      <c r="L82" s="1082"/>
      <c r="M82" s="1082"/>
      <c r="N82" s="1082"/>
      <c r="O82" s="1082"/>
      <c r="P82" s="1082"/>
      <c r="Q82" s="1082"/>
      <c r="R82" s="1082"/>
      <c r="S82" s="1082"/>
      <c r="T82" s="1082"/>
      <c r="U82" s="1082"/>
      <c r="V82" s="1082"/>
      <c r="W82" s="1082"/>
      <c r="X82" s="1082"/>
      <c r="Y82" s="1082"/>
      <c r="Z82" s="1082"/>
      <c r="AA82" s="1082"/>
      <c r="AB82" s="1186"/>
    </row>
    <row r="83">
      <c r="A83" s="1185"/>
      <c r="B83" s="1374"/>
      <c r="C83" s="1375" t="str">
        <f t="shared" si="15"/>
        <v/>
      </c>
      <c r="D83" s="1324"/>
      <c r="E83" s="1376" t="str">
        <f t="shared" si="16"/>
        <v/>
      </c>
      <c r="F83" s="1377"/>
      <c r="G83" s="1377"/>
      <c r="H83" s="1359" t="str">
        <f t="shared" si="17"/>
        <v>-</v>
      </c>
      <c r="I83" s="1378" t="str">
        <f t="shared" si="18"/>
        <v/>
      </c>
      <c r="J83" s="1379" t="str">
        <f t="shared" si="19"/>
        <v/>
      </c>
      <c r="K83" s="1082"/>
      <c r="L83" s="1082"/>
      <c r="M83" s="1082"/>
      <c r="N83" s="1082"/>
      <c r="O83" s="1082"/>
      <c r="P83" s="1082"/>
      <c r="Q83" s="1082"/>
      <c r="R83" s="1082"/>
      <c r="S83" s="1082"/>
      <c r="T83" s="1082"/>
      <c r="U83" s="1082"/>
      <c r="V83" s="1082"/>
      <c r="W83" s="1082"/>
      <c r="X83" s="1082"/>
      <c r="Y83" s="1082"/>
      <c r="Z83" s="1082"/>
      <c r="AA83" s="1082"/>
      <c r="AB83" s="1186"/>
    </row>
    <row r="84">
      <c r="A84" s="1185"/>
      <c r="B84" s="1374"/>
      <c r="C84" s="1375" t="str">
        <f t="shared" si="15"/>
        <v/>
      </c>
      <c r="D84" s="1324"/>
      <c r="E84" s="1376" t="str">
        <f t="shared" si="16"/>
        <v/>
      </c>
      <c r="F84" s="1377"/>
      <c r="G84" s="1377"/>
      <c r="H84" s="1359" t="str">
        <f t="shared" si="17"/>
        <v>-</v>
      </c>
      <c r="I84" s="1378" t="str">
        <f t="shared" si="18"/>
        <v/>
      </c>
      <c r="J84" s="1379" t="str">
        <f t="shared" si="19"/>
        <v/>
      </c>
      <c r="K84" s="1082"/>
      <c r="L84" s="1082"/>
      <c r="M84" s="1082"/>
      <c r="N84" s="1082"/>
      <c r="O84" s="1386" t="str">
        <f>'Almoço A la Carte'!J90</f>
        <v>#REF!</v>
      </c>
      <c r="P84" s="1082"/>
      <c r="Q84" s="1082"/>
      <c r="R84" s="1082"/>
      <c r="S84" s="1082"/>
      <c r="T84" s="1082"/>
      <c r="U84" s="1082"/>
      <c r="V84" s="1082"/>
      <c r="W84" s="1082"/>
      <c r="X84" s="1082"/>
      <c r="Y84" s="1082"/>
      <c r="Z84" s="1082"/>
      <c r="AA84" s="1082"/>
      <c r="AB84" s="1186"/>
    </row>
    <row r="85">
      <c r="A85" s="1185"/>
      <c r="B85" s="1374"/>
      <c r="C85" s="1375" t="str">
        <f t="shared" si="15"/>
        <v/>
      </c>
      <c r="D85" s="1324"/>
      <c r="E85" s="1376" t="str">
        <f t="shared" si="16"/>
        <v/>
      </c>
      <c r="F85" s="1377"/>
      <c r="G85" s="1377"/>
      <c r="H85" s="1359" t="str">
        <f t="shared" si="17"/>
        <v>-</v>
      </c>
      <c r="I85" s="1378" t="str">
        <f t="shared" si="18"/>
        <v/>
      </c>
      <c r="J85" s="1379" t="str">
        <f t="shared" si="19"/>
        <v/>
      </c>
      <c r="K85" s="1082"/>
      <c r="L85" s="1082"/>
      <c r="M85" s="1082"/>
      <c r="N85" s="1082"/>
      <c r="O85" s="1082"/>
      <c r="P85" s="1082"/>
      <c r="Q85" s="1082"/>
      <c r="R85" s="1082"/>
      <c r="S85" s="1082"/>
      <c r="T85" s="1082"/>
      <c r="U85" s="1082"/>
      <c r="V85" s="1082"/>
      <c r="W85" s="1082"/>
      <c r="X85" s="1082"/>
      <c r="Y85" s="1082"/>
      <c r="Z85" s="1082"/>
      <c r="AA85" s="1082"/>
      <c r="AB85" s="1186"/>
    </row>
    <row r="86">
      <c r="A86" s="1185"/>
      <c r="B86" s="1387"/>
      <c r="C86" s="1388" t="str">
        <f t="shared" si="15"/>
        <v/>
      </c>
      <c r="D86" s="1389"/>
      <c r="E86" s="1390" t="str">
        <f t="shared" si="16"/>
        <v/>
      </c>
      <c r="F86" s="1391"/>
      <c r="G86" s="1391"/>
      <c r="H86" s="1392" t="str">
        <f t="shared" si="17"/>
        <v>-</v>
      </c>
      <c r="I86" s="1393" t="str">
        <f t="shared" si="18"/>
        <v/>
      </c>
      <c r="J86" s="1394" t="str">
        <f t="shared" si="19"/>
        <v/>
      </c>
      <c r="K86" s="1082"/>
      <c r="L86" s="1082"/>
      <c r="M86" s="1082"/>
      <c r="N86" s="1082"/>
      <c r="O86" s="1082"/>
      <c r="P86" s="1082"/>
      <c r="Q86" s="1082"/>
      <c r="R86" s="1082"/>
      <c r="S86" s="1082"/>
      <c r="T86" s="1082"/>
      <c r="U86" s="1082"/>
      <c r="V86" s="1082"/>
      <c r="W86" s="1082"/>
      <c r="X86" s="1082"/>
      <c r="Y86" s="1082"/>
      <c r="Z86" s="1082"/>
      <c r="AA86" s="1082"/>
      <c r="AB86" s="1186"/>
    </row>
    <row r="87">
      <c r="A87" s="1185"/>
      <c r="B87" s="1082"/>
      <c r="C87" s="1082"/>
      <c r="D87" s="1082"/>
      <c r="E87" s="1082"/>
      <c r="F87" s="1395"/>
      <c r="G87" s="1395"/>
      <c r="H87" s="1395"/>
      <c r="I87" s="1082"/>
      <c r="J87" s="1082"/>
      <c r="K87" s="1082"/>
      <c r="L87" s="1082"/>
      <c r="M87" s="1082"/>
      <c r="N87" s="1082"/>
      <c r="O87" s="1396" t="str">
        <f>J88</f>
        <v>#NAME?</v>
      </c>
      <c r="P87" s="1082"/>
      <c r="Q87" s="1082"/>
      <c r="R87" s="1082"/>
      <c r="S87" s="1082"/>
      <c r="T87" s="1082"/>
      <c r="U87" s="1082"/>
      <c r="V87" s="1082"/>
      <c r="W87" s="1082"/>
      <c r="X87" s="1082"/>
      <c r="Y87" s="1082"/>
      <c r="Z87" s="1082"/>
      <c r="AA87" s="1082"/>
      <c r="AB87" s="1186"/>
    </row>
    <row r="88">
      <c r="A88" s="1185"/>
      <c r="B88" s="1397" t="s">
        <v>886</v>
      </c>
      <c r="C88" s="1398"/>
      <c r="D88" s="1399" t="str">
        <f>IFERROR($J$42/Despesas!K54,"")</f>
        <v/>
      </c>
      <c r="E88" s="1400"/>
      <c r="F88" s="1082"/>
      <c r="G88" s="1401" t="s">
        <v>887</v>
      </c>
      <c r="H88" s="1402"/>
      <c r="I88" s="1402"/>
      <c r="J88" s="1403" t="str">
        <f>SUM(J58:J86)</f>
        <v>#NAME?</v>
      </c>
      <c r="K88" s="1082"/>
      <c r="L88" s="1082"/>
      <c r="M88" s="1082"/>
      <c r="N88" s="1082"/>
      <c r="O88" s="1082"/>
      <c r="P88" s="1082"/>
      <c r="Q88" s="1082"/>
      <c r="R88" s="1082"/>
      <c r="S88" s="1082"/>
      <c r="T88" s="1082"/>
      <c r="U88" s="1082"/>
      <c r="V88" s="1082"/>
      <c r="W88" s="1082"/>
      <c r="X88" s="1082"/>
      <c r="Y88" s="1082"/>
      <c r="Z88" s="1082"/>
      <c r="AA88" s="1082"/>
      <c r="AB88" s="1186"/>
    </row>
    <row r="89">
      <c r="A89" s="1185"/>
      <c r="B89" s="1404" t="s">
        <v>888</v>
      </c>
      <c r="C89" s="17"/>
      <c r="D89" s="1405">
        <v>10.0</v>
      </c>
      <c r="E89" s="1406">
        <v>1.0</v>
      </c>
      <c r="F89" s="1082"/>
      <c r="G89" s="1401" t="s">
        <v>889</v>
      </c>
      <c r="H89" s="1402"/>
      <c r="I89" s="1402"/>
      <c r="J89" s="1403" t="str">
        <f>IFERROR(($J$40*10%)+$J$40,"")</f>
        <v/>
      </c>
      <c r="K89" s="1082"/>
      <c r="L89" s="1082"/>
      <c r="M89" s="1082"/>
      <c r="N89" s="1082"/>
      <c r="O89" s="1082"/>
      <c r="P89" s="1082"/>
      <c r="Q89" s="1082"/>
      <c r="R89" s="1082"/>
      <c r="S89" s="1082"/>
      <c r="T89" s="1082"/>
      <c r="U89" s="1082"/>
      <c r="V89" s="1082"/>
      <c r="W89" s="1082"/>
      <c r="X89" s="1082"/>
      <c r="Y89" s="1082"/>
      <c r="Z89" s="1082"/>
      <c r="AA89" s="1082"/>
      <c r="AB89" s="1186"/>
    </row>
    <row r="90">
      <c r="A90" s="1185"/>
      <c r="B90" s="1407" t="s">
        <v>890</v>
      </c>
      <c r="C90" s="17"/>
      <c r="D90" s="1408">
        <f>$J$42</f>
        <v>0</v>
      </c>
      <c r="E90" s="1409">
        <f>IFERROR((D90*E89)/D89,"")</f>
        <v>0</v>
      </c>
      <c r="F90" s="1082"/>
      <c r="G90" s="1410" t="s">
        <v>891</v>
      </c>
      <c r="H90" s="1411"/>
      <c r="I90" s="1411"/>
      <c r="J90" s="1412">
        <f>IFERROR($J$41/$D$6,"")</f>
        <v>0</v>
      </c>
      <c r="K90" s="1082"/>
      <c r="L90" s="1082"/>
      <c r="M90" s="1082"/>
      <c r="N90" s="1082"/>
      <c r="O90" s="1082"/>
      <c r="P90" s="1082"/>
      <c r="Q90" s="1082"/>
      <c r="R90" s="1082"/>
      <c r="S90" s="1082"/>
      <c r="T90" s="1082"/>
      <c r="U90" s="1082"/>
      <c r="V90" s="1082"/>
      <c r="W90" s="1082"/>
      <c r="X90" s="1082"/>
      <c r="Y90" s="1082"/>
      <c r="Z90" s="1082"/>
      <c r="AA90" s="1082"/>
      <c r="AB90" s="1186"/>
    </row>
    <row r="91">
      <c r="A91" s="1185"/>
      <c r="B91" s="1407" t="s">
        <v>745</v>
      </c>
      <c r="C91" s="17"/>
      <c r="D91" s="1408">
        <f>IFERROR((E91*D89)/E89,"")</f>
        <v>0</v>
      </c>
      <c r="E91" s="1409" t="str">
        <f t="shared" ref="E91:E92" si="24">IFERROR(Despesas!K52,"")</f>
        <v/>
      </c>
      <c r="F91" s="1082"/>
      <c r="G91" s="1413"/>
      <c r="H91" s="1413"/>
      <c r="I91" s="1413"/>
      <c r="J91" s="1414"/>
      <c r="K91" s="1082"/>
      <c r="L91" s="1082"/>
      <c r="M91" s="1082"/>
      <c r="N91" s="1082"/>
      <c r="O91" s="1082"/>
      <c r="P91" s="1082"/>
      <c r="Q91" s="1395"/>
      <c r="R91" s="1082"/>
      <c r="S91" s="1082"/>
      <c r="T91" s="1082"/>
      <c r="U91" s="1082"/>
      <c r="V91" s="1082"/>
      <c r="W91" s="1082"/>
      <c r="X91" s="1082"/>
      <c r="Y91" s="1082"/>
      <c r="Z91" s="1082"/>
      <c r="AA91" s="1082"/>
      <c r="AB91" s="1186"/>
    </row>
    <row r="92">
      <c r="A92" s="1185"/>
      <c r="B92" s="1407" t="s">
        <v>746</v>
      </c>
      <c r="C92" s="17"/>
      <c r="D92" s="1415">
        <f>IF(D89="","",(E92*D89)/E89)</f>
        <v>0</v>
      </c>
      <c r="E92" s="1409" t="str">
        <f t="shared" si="24"/>
        <v/>
      </c>
      <c r="F92" s="1082"/>
      <c r="G92" s="1082"/>
      <c r="H92" s="1082"/>
      <c r="I92" s="1082"/>
      <c r="J92" s="1082"/>
      <c r="K92" s="1082"/>
      <c r="L92" s="1082"/>
      <c r="M92" s="1082"/>
      <c r="N92" s="1082"/>
      <c r="O92" s="1082"/>
      <c r="P92" s="1082"/>
      <c r="Q92" s="1395"/>
      <c r="R92" s="1082"/>
      <c r="S92" s="1082"/>
      <c r="T92" s="1082"/>
      <c r="U92" s="1082"/>
      <c r="V92" s="1082"/>
      <c r="W92" s="1082"/>
      <c r="X92" s="1082"/>
      <c r="Y92" s="1082"/>
      <c r="Z92" s="1082"/>
      <c r="AA92" s="1082"/>
      <c r="AB92" s="1186"/>
    </row>
    <row r="93">
      <c r="A93" s="1185"/>
      <c r="B93" s="1416" t="s">
        <v>523</v>
      </c>
      <c r="C93" s="1417"/>
      <c r="D93" s="1418">
        <f>IFERROR((E93*D89)/E89,"")</f>
        <v>10</v>
      </c>
      <c r="E93" s="1419">
        <f>IFERROR(E89-(E90+E91+E92),"")</f>
        <v>1</v>
      </c>
      <c r="F93" s="1082"/>
      <c r="G93" s="1082"/>
      <c r="H93" s="1420"/>
      <c r="K93" s="1082"/>
      <c r="L93" s="1082"/>
      <c r="M93" s="1082"/>
      <c r="N93" s="1082"/>
      <c r="O93" s="1082"/>
      <c r="P93" s="1082"/>
      <c r="Q93" s="1082"/>
      <c r="R93" s="1082"/>
      <c r="S93" s="1082"/>
      <c r="T93" s="1082"/>
      <c r="U93" s="1082"/>
      <c r="V93" s="1082"/>
      <c r="W93" s="1082"/>
      <c r="X93" s="1082"/>
      <c r="Y93" s="1082"/>
      <c r="Z93" s="1082"/>
      <c r="AA93" s="1082"/>
      <c r="AB93" s="1186"/>
    </row>
    <row r="94">
      <c r="A94" s="1185"/>
      <c r="B94" s="1416" t="s">
        <v>892</v>
      </c>
      <c r="C94" s="1417"/>
      <c r="D94" s="1421">
        <f>D89-(D90)</f>
        <v>10</v>
      </c>
      <c r="E94" s="1422"/>
      <c r="F94" s="1082"/>
      <c r="G94" s="1082"/>
      <c r="H94" s="1420"/>
      <c r="K94" s="1082"/>
      <c r="L94" s="1082"/>
      <c r="M94" s="1082"/>
      <c r="N94" s="1082"/>
      <c r="O94" s="1082"/>
      <c r="P94" s="1082"/>
      <c r="Q94" s="1082"/>
      <c r="R94" s="1082"/>
      <c r="S94" s="1082"/>
      <c r="T94" s="1082"/>
      <c r="U94" s="1082"/>
      <c r="V94" s="1082"/>
      <c r="W94" s="1082"/>
      <c r="X94" s="1082"/>
      <c r="Y94" s="1082"/>
      <c r="Z94" s="1082"/>
      <c r="AA94" s="1082"/>
      <c r="AB94" s="1186"/>
    </row>
    <row r="95">
      <c r="A95" s="1194"/>
      <c r="B95" s="1423"/>
      <c r="C95" s="1423"/>
      <c r="D95" s="1423"/>
      <c r="E95" s="1423"/>
      <c r="F95" s="1423"/>
      <c r="G95" s="1423"/>
      <c r="H95" s="1423"/>
      <c r="I95" s="1423"/>
      <c r="J95" s="1423"/>
      <c r="K95" s="1423"/>
      <c r="L95" s="1423"/>
      <c r="M95" s="1423"/>
      <c r="N95" s="1423"/>
      <c r="O95" s="1423"/>
      <c r="P95" s="1423"/>
      <c r="Q95" s="1423"/>
      <c r="R95" s="1423"/>
      <c r="S95" s="1423"/>
      <c r="T95" s="1423"/>
      <c r="U95" s="1423"/>
      <c r="V95" s="1423"/>
      <c r="W95" s="1423"/>
      <c r="X95" s="1423"/>
      <c r="Y95" s="1423"/>
      <c r="Z95" s="1423"/>
      <c r="AA95" s="1423"/>
      <c r="AB95" s="1195"/>
    </row>
  </sheetData>
  <mergeCells count="192">
    <mergeCell ref="B3:C3"/>
    <mergeCell ref="B4:C4"/>
    <mergeCell ref="P3:Q3"/>
    <mergeCell ref="O4:O5"/>
    <mergeCell ref="D4:J4"/>
    <mergeCell ref="B5:C5"/>
    <mergeCell ref="D5:J5"/>
    <mergeCell ref="B6:C6"/>
    <mergeCell ref="G6:J6"/>
    <mergeCell ref="P6:Q6"/>
    <mergeCell ref="R6:T6"/>
    <mergeCell ref="P7:Q7"/>
    <mergeCell ref="R7:T7"/>
    <mergeCell ref="U7:V7"/>
    <mergeCell ref="P8:V8"/>
    <mergeCell ref="O23:P23"/>
    <mergeCell ref="O24:P24"/>
    <mergeCell ref="O25:P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21:P21"/>
    <mergeCell ref="O22:P22"/>
    <mergeCell ref="T27:AA27"/>
    <mergeCell ref="T28:AA28"/>
    <mergeCell ref="T20:AA20"/>
    <mergeCell ref="T21:AA21"/>
    <mergeCell ref="T22:AA22"/>
    <mergeCell ref="T23:AA23"/>
    <mergeCell ref="T24:AA24"/>
    <mergeCell ref="T25:AA25"/>
    <mergeCell ref="T26:AA26"/>
    <mergeCell ref="D3:J3"/>
    <mergeCell ref="B7:C7"/>
    <mergeCell ref="D7:F7"/>
    <mergeCell ref="G7:I7"/>
    <mergeCell ref="B2:J2"/>
    <mergeCell ref="O2:V2"/>
    <mergeCell ref="W2:AA9"/>
    <mergeCell ref="R3:S3"/>
    <mergeCell ref="T3:V3"/>
    <mergeCell ref="P4:V5"/>
    <mergeCell ref="U6:V6"/>
    <mergeCell ref="O9:V9"/>
    <mergeCell ref="O11:P11"/>
    <mergeCell ref="R11:S11"/>
    <mergeCell ref="T11:AA11"/>
    <mergeCell ref="O12:P12"/>
    <mergeCell ref="T12:AA12"/>
    <mergeCell ref="O13:P13"/>
    <mergeCell ref="R12:S12"/>
    <mergeCell ref="R13:S13"/>
    <mergeCell ref="O14:P14"/>
    <mergeCell ref="R14:S14"/>
    <mergeCell ref="O15:P15"/>
    <mergeCell ref="R15:S15"/>
    <mergeCell ref="R16:S16"/>
    <mergeCell ref="T13:AA13"/>
    <mergeCell ref="T14:AA14"/>
    <mergeCell ref="T15:AA15"/>
    <mergeCell ref="T16:AA16"/>
    <mergeCell ref="T17:AA17"/>
    <mergeCell ref="T18:AA18"/>
    <mergeCell ref="T19:AA19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T29:AA29"/>
    <mergeCell ref="R30:S30"/>
    <mergeCell ref="T30:AA30"/>
    <mergeCell ref="B40:C40"/>
    <mergeCell ref="B41:C41"/>
    <mergeCell ref="B42:C42"/>
    <mergeCell ref="B43:C43"/>
    <mergeCell ref="B44:C44"/>
    <mergeCell ref="B51:C51"/>
    <mergeCell ref="D51:J51"/>
    <mergeCell ref="P51:Q51"/>
    <mergeCell ref="R51:S51"/>
    <mergeCell ref="B46:C46"/>
    <mergeCell ref="B52:C52"/>
    <mergeCell ref="B45:C45"/>
    <mergeCell ref="B53:C53"/>
    <mergeCell ref="B54:C54"/>
    <mergeCell ref="G54:J54"/>
    <mergeCell ref="P54:Q54"/>
    <mergeCell ref="R54:T54"/>
    <mergeCell ref="R63:S63"/>
    <mergeCell ref="R64:S64"/>
    <mergeCell ref="O60:P60"/>
    <mergeCell ref="O61:P61"/>
    <mergeCell ref="R61:S61"/>
    <mergeCell ref="O62:P62"/>
    <mergeCell ref="R62:S62"/>
    <mergeCell ref="O63:P63"/>
    <mergeCell ref="O64:P64"/>
    <mergeCell ref="R71:S71"/>
    <mergeCell ref="R72:S72"/>
    <mergeCell ref="R73:S73"/>
    <mergeCell ref="R74:S74"/>
    <mergeCell ref="R75:S75"/>
    <mergeCell ref="R76:S76"/>
    <mergeCell ref="R77:S77"/>
    <mergeCell ref="R78:S78"/>
    <mergeCell ref="O67:P67"/>
    <mergeCell ref="R67:S67"/>
    <mergeCell ref="O68:P68"/>
    <mergeCell ref="R68:S68"/>
    <mergeCell ref="O69:P69"/>
    <mergeCell ref="R69:S69"/>
    <mergeCell ref="R70:S70"/>
    <mergeCell ref="O77:P77"/>
    <mergeCell ref="O78:P78"/>
    <mergeCell ref="O70:P70"/>
    <mergeCell ref="O71:P71"/>
    <mergeCell ref="O72:P72"/>
    <mergeCell ref="O73:P73"/>
    <mergeCell ref="O74:P74"/>
    <mergeCell ref="O75:P75"/>
    <mergeCell ref="O76:P76"/>
    <mergeCell ref="O66:P66"/>
    <mergeCell ref="R66:S66"/>
    <mergeCell ref="T66:AA66"/>
    <mergeCell ref="T67:AA67"/>
    <mergeCell ref="T68:AA68"/>
    <mergeCell ref="T69:AA69"/>
    <mergeCell ref="T70:AA70"/>
    <mergeCell ref="T71:AA71"/>
    <mergeCell ref="T72:AA72"/>
    <mergeCell ref="T73:AA73"/>
    <mergeCell ref="T74:AA74"/>
    <mergeCell ref="T75:AA75"/>
    <mergeCell ref="T76:AA76"/>
    <mergeCell ref="T77:AA77"/>
    <mergeCell ref="D52:J52"/>
    <mergeCell ref="O52:O53"/>
    <mergeCell ref="D53:J53"/>
    <mergeCell ref="U54:V54"/>
    <mergeCell ref="B55:C55"/>
    <mergeCell ref="D55:F55"/>
    <mergeCell ref="G55:I55"/>
    <mergeCell ref="P55:Q55"/>
    <mergeCell ref="R55:T55"/>
    <mergeCell ref="U55:V55"/>
    <mergeCell ref="H45:J45"/>
    <mergeCell ref="H46:J46"/>
    <mergeCell ref="B50:J50"/>
    <mergeCell ref="O50:V50"/>
    <mergeCell ref="W50:AA57"/>
    <mergeCell ref="T51:V51"/>
    <mergeCell ref="P52:V53"/>
    <mergeCell ref="T61:AA61"/>
    <mergeCell ref="T62:AA62"/>
    <mergeCell ref="T63:AA63"/>
    <mergeCell ref="T64:AA64"/>
    <mergeCell ref="P56:V56"/>
    <mergeCell ref="O57:V57"/>
    <mergeCell ref="O59:P59"/>
    <mergeCell ref="R59:S59"/>
    <mergeCell ref="T59:AA59"/>
    <mergeCell ref="R60:S60"/>
    <mergeCell ref="T60:AA60"/>
    <mergeCell ref="O65:P65"/>
    <mergeCell ref="R65:S65"/>
    <mergeCell ref="T65:AA65"/>
    <mergeCell ref="B93:C93"/>
    <mergeCell ref="B94:C94"/>
    <mergeCell ref="H94:J94"/>
    <mergeCell ref="T78:AA78"/>
    <mergeCell ref="B88:C88"/>
    <mergeCell ref="B89:C89"/>
    <mergeCell ref="B90:C90"/>
    <mergeCell ref="B91:C91"/>
    <mergeCell ref="B92:C92"/>
    <mergeCell ref="H93:J93"/>
  </mergeCells>
  <hyperlinks>
    <hyperlink display="IR PARA BASE DE DADOS" location="null!B2:H2" ref="G7"/>
    <hyperlink display="IR PARA BASE DE DADOS" location="null!B2:H2" ref="G55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9.38"/>
    <col customWidth="1" min="9" max="9" width="13.88"/>
  </cols>
  <sheetData>
    <row r="2">
      <c r="B2" s="1424" t="s">
        <v>893</v>
      </c>
      <c r="C2" s="1424" t="s">
        <v>894</v>
      </c>
      <c r="D2" s="1424" t="s">
        <v>895</v>
      </c>
      <c r="E2" s="1424" t="s">
        <v>896</v>
      </c>
      <c r="F2" s="1424" t="s">
        <v>897</v>
      </c>
      <c r="G2" s="1424" t="s">
        <v>898</v>
      </c>
      <c r="H2" s="1424" t="s">
        <v>899</v>
      </c>
      <c r="I2" s="1424" t="s">
        <v>900</v>
      </c>
      <c r="J2" s="1424" t="s">
        <v>901</v>
      </c>
    </row>
    <row r="3">
      <c r="B3" s="1425" t="s">
        <v>902</v>
      </c>
      <c r="C3" s="1426"/>
      <c r="D3" s="1427"/>
      <c r="E3" s="1427"/>
      <c r="F3" s="1428" t="s">
        <v>903</v>
      </c>
      <c r="G3" s="1429">
        <v>1412.0</v>
      </c>
      <c r="H3" s="1430">
        <v>43252.0</v>
      </c>
      <c r="I3" s="1431"/>
      <c r="J3" s="1431"/>
    </row>
    <row r="4">
      <c r="B4" s="1432" t="s">
        <v>904</v>
      </c>
      <c r="C4" s="1433"/>
      <c r="D4" s="1434"/>
      <c r="E4" s="1434"/>
      <c r="F4" s="1435" t="s">
        <v>903</v>
      </c>
      <c r="G4" s="1436">
        <v>1412.0</v>
      </c>
      <c r="H4" s="1437">
        <v>43252.0</v>
      </c>
      <c r="I4" s="1438"/>
      <c r="J4" s="1438"/>
    </row>
    <row r="5">
      <c r="B5" s="1432" t="s">
        <v>905</v>
      </c>
      <c r="C5" s="1433"/>
      <c r="D5" s="1434"/>
      <c r="E5" s="1434"/>
      <c r="F5" s="1435" t="s">
        <v>906</v>
      </c>
      <c r="G5" s="1436">
        <v>1512.0</v>
      </c>
      <c r="H5" s="1437">
        <v>44348.0</v>
      </c>
      <c r="I5" s="1438"/>
      <c r="J5" s="1438"/>
    </row>
    <row r="6">
      <c r="B6" s="1432" t="s">
        <v>678</v>
      </c>
      <c r="C6" s="1433"/>
      <c r="D6" s="1434"/>
      <c r="E6" s="1434"/>
      <c r="F6" s="1435" t="s">
        <v>907</v>
      </c>
      <c r="G6" s="1439"/>
      <c r="H6" s="1437">
        <v>45334.0</v>
      </c>
      <c r="I6" s="1438"/>
      <c r="J6" s="1438"/>
    </row>
    <row r="7">
      <c r="B7" s="1432" t="s">
        <v>908</v>
      </c>
      <c r="C7" s="1433"/>
      <c r="D7" s="1434"/>
      <c r="E7" s="1434"/>
      <c r="F7" s="1435" t="s">
        <v>907</v>
      </c>
      <c r="G7" s="1439"/>
      <c r="H7" s="1437">
        <v>45558.0</v>
      </c>
      <c r="I7" s="1438"/>
      <c r="J7" s="1438"/>
    </row>
    <row r="8">
      <c r="B8" s="1432" t="s">
        <v>909</v>
      </c>
      <c r="C8" s="1433"/>
      <c r="D8" s="1434"/>
      <c r="E8" s="1434"/>
      <c r="F8" s="1435" t="s">
        <v>907</v>
      </c>
      <c r="G8" s="1439"/>
      <c r="H8" s="1437">
        <v>45551.0</v>
      </c>
      <c r="I8" s="1438"/>
      <c r="J8" s="1438"/>
    </row>
    <row r="9">
      <c r="B9" s="1440"/>
      <c r="C9" s="1433"/>
      <c r="D9" s="1434"/>
      <c r="E9" s="1434"/>
      <c r="F9" s="1434"/>
      <c r="G9" s="1439"/>
      <c r="H9" s="1441"/>
      <c r="I9" s="1438"/>
      <c r="J9" s="1438"/>
    </row>
    <row r="10">
      <c r="B10" s="1442"/>
      <c r="C10" s="1443"/>
      <c r="D10" s="1444"/>
      <c r="E10" s="1444"/>
      <c r="F10" s="1444"/>
      <c r="G10" s="1445"/>
      <c r="H10" s="1446"/>
      <c r="I10" s="1447"/>
      <c r="J10" s="1447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.25"/>
    <col customWidth="1" min="3" max="3" width="13.88"/>
    <col customWidth="1" min="5" max="5" width="2.88"/>
    <col customWidth="1" min="7" max="7" width="1.38"/>
    <col customWidth="1" min="8" max="8" width="14.88"/>
  </cols>
  <sheetData>
    <row r="1">
      <c r="A1" s="1448" t="s">
        <v>910</v>
      </c>
      <c r="B1" s="1269"/>
      <c r="C1" s="1449" t="s">
        <v>911</v>
      </c>
      <c r="D1" s="1450">
        <v>45626.0</v>
      </c>
      <c r="E1" s="1450">
        <v>45654.0</v>
      </c>
      <c r="F1" s="1450">
        <v>45689.0</v>
      </c>
      <c r="G1" s="1450">
        <v>45717.0</v>
      </c>
      <c r="H1" s="1450">
        <v>45745.0</v>
      </c>
      <c r="I1" s="1450">
        <v>45773.0</v>
      </c>
      <c r="J1" s="1450">
        <v>45808.0</v>
      </c>
      <c r="K1" s="1450">
        <v>45836.0</v>
      </c>
      <c r="L1" s="1450">
        <v>45864.0</v>
      </c>
      <c r="M1" s="1450">
        <v>45899.0</v>
      </c>
      <c r="N1" s="1450">
        <v>45927.0</v>
      </c>
      <c r="O1" s="1450">
        <v>45931.0</v>
      </c>
      <c r="P1" s="1450">
        <v>45990.0</v>
      </c>
      <c r="Q1" s="1450">
        <v>46018.0</v>
      </c>
    </row>
    <row r="2" ht="6.75" customHeight="1">
      <c r="A2" s="1451"/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</row>
    <row r="3" ht="42.0" customHeight="1">
      <c r="A3" s="1452" t="s">
        <v>912</v>
      </c>
      <c r="B3" s="1453"/>
      <c r="C3" s="1434"/>
      <c r="D3" s="1434"/>
      <c r="E3" s="1434"/>
      <c r="F3" s="1434"/>
      <c r="G3" s="1434"/>
      <c r="H3" s="1434"/>
      <c r="I3" s="1434"/>
      <c r="J3" s="1434"/>
      <c r="K3" s="1434"/>
      <c r="L3" s="1434"/>
      <c r="M3" s="1434"/>
      <c r="N3" s="1434"/>
      <c r="O3" s="1434"/>
      <c r="P3" s="1434"/>
      <c r="Q3" s="1434"/>
      <c r="R3" s="1454"/>
      <c r="S3" s="1454"/>
      <c r="T3" s="1454"/>
      <c r="U3" s="1454"/>
      <c r="V3" s="1454"/>
      <c r="W3" s="1454"/>
      <c r="X3" s="1454"/>
      <c r="Y3" s="1454"/>
      <c r="Z3" s="1454"/>
    </row>
    <row r="4" ht="42.0" customHeight="1">
      <c r="A4" s="1452" t="s">
        <v>913</v>
      </c>
      <c r="B4" s="1453"/>
      <c r="C4" s="1434"/>
      <c r="D4" s="1434"/>
      <c r="E4" s="1434"/>
      <c r="F4" s="1434"/>
      <c r="G4" s="1434"/>
      <c r="H4" s="1434"/>
      <c r="I4" s="1434"/>
      <c r="J4" s="1434"/>
      <c r="K4" s="1434"/>
      <c r="L4" s="1434"/>
      <c r="M4" s="1434"/>
      <c r="N4" s="1434"/>
      <c r="O4" s="1434"/>
      <c r="P4" s="1434"/>
      <c r="Q4" s="1434"/>
      <c r="R4" s="1454"/>
      <c r="S4" s="1454"/>
      <c r="T4" s="1454"/>
      <c r="U4" s="1454"/>
      <c r="V4" s="1454"/>
      <c r="W4" s="1454"/>
      <c r="X4" s="1454"/>
      <c r="Y4" s="1454"/>
      <c r="Z4" s="1454"/>
    </row>
    <row r="5" ht="42.0" customHeight="1">
      <c r="A5" s="1452" t="s">
        <v>914</v>
      </c>
      <c r="B5" s="1453"/>
      <c r="C5" s="1434"/>
      <c r="D5" s="1434"/>
      <c r="E5" s="1434"/>
      <c r="F5" s="1434"/>
      <c r="G5" s="1434"/>
      <c r="H5" s="1434"/>
      <c r="I5" s="1434"/>
      <c r="J5" s="1434"/>
      <c r="K5" s="1434"/>
      <c r="L5" s="1434"/>
      <c r="M5" s="1434"/>
      <c r="N5" s="1434"/>
      <c r="O5" s="1434"/>
      <c r="P5" s="1434"/>
      <c r="Q5" s="1434"/>
      <c r="R5" s="1454"/>
      <c r="S5" s="1454"/>
      <c r="T5" s="1454"/>
      <c r="U5" s="1454"/>
      <c r="V5" s="1454"/>
      <c r="W5" s="1454"/>
      <c r="X5" s="1454"/>
      <c r="Y5" s="1454"/>
      <c r="Z5" s="1454"/>
    </row>
    <row r="6" ht="42.0" customHeight="1">
      <c r="A6" s="1452" t="s">
        <v>915</v>
      </c>
      <c r="B6" s="1453"/>
      <c r="C6" s="1434"/>
      <c r="D6" s="1434"/>
      <c r="E6" s="1434"/>
      <c r="F6" s="1434"/>
      <c r="G6" s="1434"/>
      <c r="H6" s="1434"/>
      <c r="I6" s="1434"/>
      <c r="J6" s="1434"/>
      <c r="K6" s="1434"/>
      <c r="L6" s="1434"/>
      <c r="M6" s="1434"/>
      <c r="N6" s="1434"/>
      <c r="O6" s="1434"/>
      <c r="P6" s="1434"/>
      <c r="Q6" s="1434"/>
      <c r="R6" s="1454"/>
      <c r="S6" s="1454"/>
      <c r="T6" s="1454"/>
      <c r="U6" s="1454"/>
      <c r="V6" s="1454"/>
      <c r="W6" s="1454"/>
      <c r="X6" s="1454"/>
      <c r="Y6" s="1454"/>
      <c r="Z6" s="1454"/>
    </row>
    <row r="7" ht="42.0" customHeight="1">
      <c r="A7" s="1452" t="s">
        <v>916</v>
      </c>
      <c r="B7" s="1453"/>
      <c r="C7" s="1434"/>
      <c r="D7" s="1434"/>
      <c r="E7" s="1434"/>
      <c r="F7" s="1434"/>
      <c r="G7" s="1434"/>
      <c r="H7" s="1434"/>
      <c r="I7" s="1434"/>
      <c r="J7" s="1434"/>
      <c r="K7" s="1434"/>
      <c r="L7" s="1434"/>
      <c r="M7" s="1434"/>
      <c r="N7" s="1434"/>
      <c r="O7" s="1434"/>
      <c r="P7" s="1434"/>
      <c r="Q7" s="1434"/>
      <c r="R7" s="1454"/>
      <c r="S7" s="1454"/>
      <c r="T7" s="1454"/>
      <c r="U7" s="1454"/>
      <c r="V7" s="1454"/>
      <c r="W7" s="1454"/>
      <c r="X7" s="1454"/>
      <c r="Y7" s="1454"/>
      <c r="Z7" s="1454"/>
    </row>
    <row r="8" ht="42.0" customHeight="1">
      <c r="A8" s="1452" t="s">
        <v>917</v>
      </c>
      <c r="B8" s="1453"/>
      <c r="C8" s="1434"/>
      <c r="D8" s="1434"/>
      <c r="E8" s="1434"/>
      <c r="F8" s="1434"/>
      <c r="G8" s="1434"/>
      <c r="H8" s="1434"/>
      <c r="I8" s="1434"/>
      <c r="J8" s="1434"/>
      <c r="K8" s="1434"/>
      <c r="L8" s="1434"/>
      <c r="M8" s="1434"/>
      <c r="N8" s="1434"/>
      <c r="O8" s="1434"/>
      <c r="P8" s="1434"/>
      <c r="Q8" s="1434"/>
      <c r="R8" s="1454"/>
      <c r="S8" s="1454"/>
      <c r="T8" s="1454"/>
      <c r="U8" s="1454"/>
      <c r="V8" s="1454"/>
      <c r="W8" s="1454"/>
      <c r="X8" s="1454"/>
      <c r="Y8" s="1454"/>
      <c r="Z8" s="1454"/>
    </row>
    <row r="9" ht="42.0" customHeight="1">
      <c r="A9" s="1452" t="s">
        <v>918</v>
      </c>
      <c r="B9" s="1453"/>
      <c r="C9" s="1434"/>
      <c r="D9" s="1434"/>
      <c r="E9" s="1434"/>
      <c r="F9" s="1434"/>
      <c r="G9" s="1434"/>
      <c r="H9" s="1434"/>
      <c r="I9" s="1434"/>
      <c r="J9" s="1434"/>
      <c r="K9" s="1434"/>
      <c r="L9" s="1434"/>
      <c r="M9" s="1434"/>
      <c r="N9" s="1434"/>
      <c r="O9" s="1434"/>
      <c r="P9" s="1434"/>
      <c r="Q9" s="1434"/>
      <c r="R9" s="1454"/>
      <c r="S9" s="1454"/>
      <c r="T9" s="1454"/>
      <c r="U9" s="1454"/>
      <c r="V9" s="1454"/>
      <c r="W9" s="1454"/>
      <c r="X9" s="1454"/>
      <c r="Y9" s="1454"/>
      <c r="Z9" s="1454"/>
    </row>
    <row r="10" ht="42.0" customHeight="1">
      <c r="A10" s="1452" t="s">
        <v>919</v>
      </c>
      <c r="B10" s="1453"/>
      <c r="C10" s="1434"/>
      <c r="D10" s="1434"/>
      <c r="E10" s="1434"/>
      <c r="F10" s="1434"/>
      <c r="G10" s="1434"/>
      <c r="H10" s="1434"/>
      <c r="I10" s="1434"/>
      <c r="J10" s="1434"/>
      <c r="K10" s="1434"/>
      <c r="L10" s="1434"/>
      <c r="M10" s="1434"/>
      <c r="N10" s="1434"/>
      <c r="O10" s="1434"/>
      <c r="P10" s="1434"/>
      <c r="Q10" s="1434"/>
      <c r="R10" s="1454"/>
      <c r="S10" s="1454"/>
      <c r="T10" s="1454"/>
      <c r="U10" s="1454"/>
      <c r="V10" s="1454"/>
      <c r="W10" s="1454"/>
      <c r="X10" s="1454"/>
      <c r="Y10" s="1454"/>
      <c r="Z10" s="1454"/>
    </row>
    <row r="11" ht="42.0" customHeight="1">
      <c r="A11" s="1452" t="s">
        <v>920</v>
      </c>
      <c r="B11" s="1453"/>
      <c r="C11" s="1434"/>
      <c r="D11" s="1434"/>
      <c r="E11" s="1434"/>
      <c r="F11" s="1434"/>
      <c r="G11" s="1434"/>
      <c r="H11" s="1434"/>
      <c r="I11" s="1434"/>
      <c r="J11" s="1434"/>
      <c r="K11" s="1434"/>
      <c r="L11" s="1434"/>
      <c r="M11" s="1434"/>
      <c r="N11" s="1434"/>
      <c r="O11" s="1434"/>
      <c r="P11" s="1434"/>
      <c r="Q11" s="1434"/>
      <c r="R11" s="1454"/>
      <c r="S11" s="1454"/>
      <c r="T11" s="1454"/>
      <c r="U11" s="1454"/>
      <c r="V11" s="1454"/>
      <c r="W11" s="1454"/>
      <c r="X11" s="1454"/>
      <c r="Y11" s="1454"/>
      <c r="Z11" s="1454"/>
    </row>
    <row r="12" ht="42.0" customHeight="1">
      <c r="A12" s="1452" t="s">
        <v>921</v>
      </c>
      <c r="B12" s="1453"/>
      <c r="C12" s="1434"/>
      <c r="D12" s="1434"/>
      <c r="E12" s="1434"/>
      <c r="F12" s="1434"/>
      <c r="G12" s="1434"/>
      <c r="H12" s="1434"/>
      <c r="I12" s="1434"/>
      <c r="J12" s="1434"/>
      <c r="K12" s="1434"/>
      <c r="L12" s="1434"/>
      <c r="M12" s="1434"/>
      <c r="N12" s="1434"/>
      <c r="O12" s="1434"/>
      <c r="P12" s="1434"/>
      <c r="Q12" s="1434"/>
      <c r="R12" s="1454"/>
      <c r="S12" s="1454"/>
      <c r="T12" s="1454"/>
      <c r="U12" s="1454"/>
      <c r="V12" s="1454"/>
      <c r="W12" s="1454"/>
      <c r="X12" s="1454"/>
      <c r="Y12" s="1454"/>
      <c r="Z12" s="1454"/>
    </row>
    <row r="13" ht="42.0" customHeight="1">
      <c r="A13" s="1452" t="s">
        <v>922</v>
      </c>
      <c r="B13" s="1453"/>
      <c r="C13" s="1434"/>
      <c r="D13" s="1434"/>
      <c r="E13" s="1434"/>
      <c r="F13" s="1434"/>
      <c r="G13" s="1434"/>
      <c r="H13" s="1434"/>
      <c r="I13" s="1434"/>
      <c r="J13" s="1434"/>
      <c r="K13" s="1434"/>
      <c r="L13" s="1434"/>
      <c r="M13" s="1434"/>
      <c r="N13" s="1434"/>
      <c r="O13" s="1434"/>
      <c r="P13" s="1434"/>
      <c r="Q13" s="1434"/>
      <c r="R13" s="1454"/>
      <c r="S13" s="1454"/>
      <c r="T13" s="1454"/>
      <c r="U13" s="1454"/>
      <c r="V13" s="1454"/>
      <c r="W13" s="1454"/>
      <c r="X13" s="1454"/>
      <c r="Y13" s="1454"/>
      <c r="Z13" s="1454"/>
    </row>
    <row r="14" ht="42.0" customHeight="1">
      <c r="A14" s="1452" t="s">
        <v>923</v>
      </c>
      <c r="B14" s="1453"/>
      <c r="C14" s="1434"/>
      <c r="D14" s="1434"/>
      <c r="E14" s="1434"/>
      <c r="F14" s="1434"/>
      <c r="G14" s="1434"/>
      <c r="H14" s="1434"/>
      <c r="I14" s="1434"/>
      <c r="J14" s="1434"/>
      <c r="K14" s="1434"/>
      <c r="L14" s="1434"/>
      <c r="M14" s="1434"/>
      <c r="N14" s="1434"/>
      <c r="O14" s="1434"/>
      <c r="P14" s="1434"/>
      <c r="Q14" s="1434"/>
      <c r="R14" s="1454"/>
      <c r="S14" s="1454"/>
      <c r="T14" s="1454"/>
      <c r="U14" s="1454"/>
      <c r="V14" s="1454"/>
      <c r="W14" s="1454"/>
      <c r="X14" s="1454"/>
      <c r="Y14" s="1454"/>
      <c r="Z14" s="1454"/>
    </row>
    <row r="15" ht="42.0" customHeight="1">
      <c r="A15" s="1452" t="s">
        <v>924</v>
      </c>
      <c r="B15" s="1453"/>
      <c r="C15" s="1434"/>
      <c r="D15" s="1434"/>
      <c r="E15" s="1434"/>
      <c r="F15" s="1434"/>
      <c r="G15" s="1434"/>
      <c r="H15" s="1434"/>
      <c r="I15" s="1434"/>
      <c r="J15" s="1434"/>
      <c r="K15" s="1434"/>
      <c r="L15" s="1434"/>
      <c r="M15" s="1434"/>
      <c r="N15" s="1434"/>
      <c r="O15" s="1434"/>
      <c r="P15" s="1434"/>
      <c r="Q15" s="1434"/>
      <c r="R15" s="1454"/>
      <c r="S15" s="1454"/>
      <c r="T15" s="1454"/>
      <c r="U15" s="1454"/>
      <c r="V15" s="1454"/>
      <c r="W15" s="1454"/>
      <c r="X15" s="1454"/>
      <c r="Y15" s="1454"/>
      <c r="Z15" s="1454"/>
    </row>
    <row r="16" ht="42.0" customHeight="1">
      <c r="A16" s="1452" t="s">
        <v>925</v>
      </c>
      <c r="B16" s="1453"/>
      <c r="C16" s="1434"/>
      <c r="D16" s="1434"/>
      <c r="E16" s="1434"/>
      <c r="F16" s="1434"/>
      <c r="G16" s="1434"/>
      <c r="H16" s="1434"/>
      <c r="I16" s="1434"/>
      <c r="J16" s="1434"/>
      <c r="K16" s="1434"/>
      <c r="L16" s="1434"/>
      <c r="M16" s="1434"/>
      <c r="N16" s="1434"/>
      <c r="O16" s="1434"/>
      <c r="P16" s="1434"/>
      <c r="Q16" s="1434"/>
      <c r="R16" s="1454"/>
      <c r="S16" s="1454"/>
      <c r="T16" s="1454"/>
      <c r="U16" s="1454"/>
      <c r="V16" s="1454"/>
      <c r="W16" s="1454"/>
      <c r="X16" s="1454"/>
      <c r="Y16" s="1454"/>
      <c r="Z16" s="1454"/>
    </row>
    <row r="17" ht="42.0" customHeight="1">
      <c r="A17" s="1452" t="s">
        <v>926</v>
      </c>
      <c r="B17" s="1453"/>
      <c r="C17" s="1434"/>
      <c r="D17" s="1434"/>
      <c r="E17" s="1434"/>
      <c r="F17" s="1434"/>
      <c r="G17" s="1434"/>
      <c r="H17" s="1434"/>
      <c r="I17" s="1434"/>
      <c r="J17" s="1434"/>
      <c r="K17" s="1434"/>
      <c r="L17" s="1434"/>
      <c r="M17" s="1434"/>
      <c r="N17" s="1434"/>
      <c r="O17" s="1434"/>
      <c r="P17" s="1434"/>
      <c r="Q17" s="1434"/>
      <c r="R17" s="1454"/>
      <c r="S17" s="1454"/>
      <c r="T17" s="1454"/>
      <c r="U17" s="1454"/>
      <c r="V17" s="1454"/>
      <c r="W17" s="1454"/>
      <c r="X17" s="1454"/>
      <c r="Y17" s="1454"/>
      <c r="Z17" s="1454"/>
    </row>
    <row r="18" ht="42.0" customHeight="1">
      <c r="A18" s="1452" t="s">
        <v>927</v>
      </c>
      <c r="B18" s="1453"/>
      <c r="C18" s="1434"/>
      <c r="D18" s="1434"/>
      <c r="E18" s="1434"/>
      <c r="F18" s="1434"/>
      <c r="G18" s="1434"/>
      <c r="H18" s="1434"/>
      <c r="I18" s="1434"/>
      <c r="J18" s="1434"/>
      <c r="K18" s="1434"/>
      <c r="L18" s="1434"/>
      <c r="M18" s="1434"/>
      <c r="N18" s="1434"/>
      <c r="O18" s="1434"/>
      <c r="P18" s="1434"/>
      <c r="Q18" s="1434"/>
      <c r="R18" s="1454"/>
      <c r="S18" s="1454"/>
      <c r="T18" s="1454"/>
      <c r="U18" s="1454"/>
      <c r="V18" s="1454"/>
      <c r="W18" s="1454"/>
      <c r="X18" s="1454"/>
      <c r="Y18" s="1454"/>
      <c r="Z18" s="1454"/>
    </row>
    <row r="19" ht="42.0" customHeight="1">
      <c r="A19" s="1452" t="s">
        <v>928</v>
      </c>
      <c r="B19" s="1453"/>
      <c r="C19" s="1434"/>
      <c r="D19" s="1434"/>
      <c r="E19" s="1434"/>
      <c r="F19" s="1434"/>
      <c r="G19" s="1434"/>
      <c r="H19" s="1434"/>
      <c r="I19" s="1434"/>
      <c r="J19" s="1434"/>
      <c r="K19" s="1434"/>
      <c r="L19" s="1434"/>
      <c r="M19" s="1434"/>
      <c r="N19" s="1434"/>
      <c r="O19" s="1434"/>
      <c r="P19" s="1434"/>
      <c r="Q19" s="1434"/>
      <c r="R19" s="1454"/>
      <c r="S19" s="1454"/>
      <c r="T19" s="1454"/>
      <c r="U19" s="1454"/>
      <c r="V19" s="1454"/>
      <c r="W19" s="1454"/>
      <c r="X19" s="1454"/>
      <c r="Y19" s="1454"/>
      <c r="Z19" s="1454"/>
    </row>
    <row r="20" ht="42.0" customHeight="1">
      <c r="A20" s="1452" t="s">
        <v>929</v>
      </c>
      <c r="B20" s="1453"/>
      <c r="C20" s="1434"/>
      <c r="D20" s="1434"/>
      <c r="E20" s="1434"/>
      <c r="F20" s="1434"/>
      <c r="G20" s="1434"/>
      <c r="H20" s="1434"/>
      <c r="I20" s="1434"/>
      <c r="J20" s="1434"/>
      <c r="K20" s="1434"/>
      <c r="L20" s="1434"/>
      <c r="M20" s="1434"/>
      <c r="N20" s="1434"/>
      <c r="O20" s="1434"/>
      <c r="P20" s="1434"/>
      <c r="Q20" s="1434"/>
      <c r="R20" s="1454"/>
      <c r="S20" s="1454"/>
      <c r="T20" s="1454"/>
      <c r="U20" s="1454"/>
      <c r="V20" s="1454"/>
      <c r="W20" s="1454"/>
      <c r="X20" s="1454"/>
      <c r="Y20" s="1454"/>
      <c r="Z20" s="1454"/>
    </row>
    <row r="21" ht="42.0" customHeight="1">
      <c r="A21" s="1452" t="s">
        <v>930</v>
      </c>
      <c r="B21" s="1453"/>
      <c r="C21" s="1434"/>
      <c r="D21" s="1434"/>
      <c r="E21" s="1434"/>
      <c r="F21" s="1434"/>
      <c r="G21" s="1434"/>
      <c r="H21" s="1434"/>
      <c r="I21" s="1434"/>
      <c r="J21" s="1434"/>
      <c r="K21" s="1434"/>
      <c r="L21" s="1434"/>
      <c r="M21" s="1434"/>
      <c r="N21" s="1434"/>
      <c r="O21" s="1434"/>
      <c r="P21" s="1434"/>
      <c r="Q21" s="1434"/>
      <c r="R21" s="1454"/>
      <c r="S21" s="1454"/>
      <c r="T21" s="1454"/>
      <c r="U21" s="1454"/>
      <c r="V21" s="1454"/>
      <c r="W21" s="1454"/>
      <c r="X21" s="1454"/>
      <c r="Y21" s="1454"/>
      <c r="Z21" s="1454"/>
    </row>
    <row r="22" ht="42.0" customHeight="1">
      <c r="A22" s="1452" t="s">
        <v>931</v>
      </c>
      <c r="B22" s="1453"/>
      <c r="C22" s="1434"/>
      <c r="D22" s="1434"/>
      <c r="E22" s="1434"/>
      <c r="F22" s="1434"/>
      <c r="G22" s="1434"/>
      <c r="H22" s="1434"/>
      <c r="I22" s="1434"/>
      <c r="J22" s="1434"/>
      <c r="K22" s="1434"/>
      <c r="L22" s="1434"/>
      <c r="M22" s="1434"/>
      <c r="N22" s="1434"/>
      <c r="O22" s="1434"/>
      <c r="P22" s="1434"/>
      <c r="Q22" s="1434"/>
      <c r="R22" s="1454"/>
      <c r="S22" s="1454"/>
      <c r="T22" s="1454"/>
      <c r="U22" s="1454"/>
      <c r="V22" s="1454"/>
      <c r="W22" s="1454"/>
      <c r="X22" s="1454"/>
      <c r="Y22" s="1454"/>
      <c r="Z22" s="1454"/>
    </row>
    <row r="23" ht="42.0" customHeight="1">
      <c r="A23" s="1452" t="s">
        <v>932</v>
      </c>
      <c r="B23" s="1453"/>
      <c r="C23" s="1434"/>
      <c r="D23" s="1434"/>
      <c r="E23" s="1434"/>
      <c r="F23" s="1434"/>
      <c r="G23" s="1434"/>
      <c r="H23" s="1434"/>
      <c r="I23" s="1434"/>
      <c r="J23" s="1434"/>
      <c r="K23" s="1434"/>
      <c r="L23" s="1434"/>
      <c r="M23" s="1434"/>
      <c r="N23" s="1434"/>
      <c r="O23" s="1434"/>
      <c r="P23" s="1434"/>
      <c r="Q23" s="1434"/>
      <c r="R23" s="1454"/>
      <c r="S23" s="1454"/>
      <c r="T23" s="1454"/>
      <c r="U23" s="1454"/>
      <c r="V23" s="1454"/>
      <c r="W23" s="1454"/>
      <c r="X23" s="1454"/>
      <c r="Y23" s="1454"/>
      <c r="Z23" s="1454"/>
    </row>
    <row r="24" ht="42.0" customHeight="1">
      <c r="A24" s="1452" t="s">
        <v>933</v>
      </c>
      <c r="B24" s="1453"/>
      <c r="C24" s="1434"/>
      <c r="D24" s="1434"/>
      <c r="E24" s="1434"/>
      <c r="F24" s="1434"/>
      <c r="G24" s="1434"/>
      <c r="H24" s="1434"/>
      <c r="I24" s="1434"/>
      <c r="J24" s="1434"/>
      <c r="K24" s="1434"/>
      <c r="L24" s="1434"/>
      <c r="M24" s="1434"/>
      <c r="N24" s="1434"/>
      <c r="O24" s="1434"/>
      <c r="P24" s="1434"/>
      <c r="Q24" s="1434"/>
      <c r="R24" s="1454"/>
      <c r="S24" s="1454"/>
      <c r="T24" s="1454"/>
      <c r="U24" s="1454"/>
      <c r="V24" s="1454"/>
      <c r="W24" s="1454"/>
      <c r="X24" s="1454"/>
      <c r="Y24" s="1454"/>
      <c r="Z24" s="1454"/>
    </row>
    <row r="25" ht="42.0" customHeight="1">
      <c r="A25" s="1452" t="s">
        <v>934</v>
      </c>
      <c r="B25" s="1453"/>
      <c r="C25" s="1434"/>
      <c r="D25" s="1434"/>
      <c r="E25" s="1434"/>
      <c r="F25" s="1434"/>
      <c r="G25" s="1434"/>
      <c r="H25" s="1434"/>
      <c r="I25" s="1434"/>
      <c r="J25" s="1434"/>
      <c r="K25" s="1434"/>
      <c r="L25" s="1434"/>
      <c r="M25" s="1434"/>
      <c r="N25" s="1434"/>
      <c r="O25" s="1434"/>
      <c r="P25" s="1434"/>
      <c r="Q25" s="1434"/>
      <c r="R25" s="1454"/>
      <c r="S25" s="1454"/>
      <c r="T25" s="1454"/>
      <c r="U25" s="1454"/>
      <c r="V25" s="1454"/>
      <c r="W25" s="1454"/>
      <c r="X25" s="1454"/>
      <c r="Y25" s="1454"/>
      <c r="Z25" s="1454"/>
    </row>
    <row r="26" ht="42.0" customHeight="1">
      <c r="A26" s="1452" t="s">
        <v>935</v>
      </c>
      <c r="B26" s="1453"/>
      <c r="C26" s="1434"/>
      <c r="D26" s="1434"/>
      <c r="E26" s="1434"/>
      <c r="F26" s="1434"/>
      <c r="G26" s="1434"/>
      <c r="H26" s="1434"/>
      <c r="I26" s="1434"/>
      <c r="J26" s="1434"/>
      <c r="K26" s="1434"/>
      <c r="L26" s="1434"/>
      <c r="M26" s="1434"/>
      <c r="N26" s="1434"/>
      <c r="O26" s="1434"/>
      <c r="P26" s="1434"/>
      <c r="Q26" s="1434"/>
      <c r="R26" s="1454"/>
      <c r="S26" s="1454"/>
      <c r="T26" s="1454"/>
      <c r="U26" s="1454"/>
      <c r="V26" s="1454"/>
      <c r="W26" s="1454"/>
      <c r="X26" s="1454"/>
      <c r="Y26" s="1454"/>
      <c r="Z26" s="1454"/>
    </row>
    <row r="27" ht="42.0" customHeight="1">
      <c r="A27" s="1452" t="s">
        <v>936</v>
      </c>
      <c r="B27" s="1453"/>
      <c r="C27" s="1434"/>
      <c r="D27" s="1434"/>
      <c r="E27" s="1434"/>
      <c r="F27" s="1434"/>
      <c r="G27" s="1434"/>
      <c r="H27" s="1434"/>
      <c r="I27" s="1434"/>
      <c r="J27" s="1434"/>
      <c r="K27" s="1434"/>
      <c r="L27" s="1434"/>
      <c r="M27" s="1434"/>
      <c r="N27" s="1434"/>
      <c r="O27" s="1434"/>
      <c r="P27" s="1434"/>
      <c r="Q27" s="1434"/>
      <c r="R27" s="1454"/>
      <c r="S27" s="1454"/>
      <c r="T27" s="1454"/>
      <c r="U27" s="1454"/>
      <c r="V27" s="1454"/>
      <c r="W27" s="1454"/>
      <c r="X27" s="1454"/>
      <c r="Y27" s="1454"/>
      <c r="Z27" s="1454"/>
    </row>
    <row r="28" ht="42.0" customHeight="1">
      <c r="A28" s="1452" t="s">
        <v>937</v>
      </c>
      <c r="B28" s="1453"/>
      <c r="C28" s="1434"/>
      <c r="D28" s="1434"/>
      <c r="E28" s="1434"/>
      <c r="F28" s="1434"/>
      <c r="G28" s="1434"/>
      <c r="H28" s="1434"/>
      <c r="I28" s="1434"/>
      <c r="J28" s="1434"/>
      <c r="K28" s="1434"/>
      <c r="L28" s="1434"/>
      <c r="M28" s="1434"/>
      <c r="N28" s="1434"/>
      <c r="O28" s="1434"/>
      <c r="P28" s="1434"/>
      <c r="Q28" s="1434"/>
      <c r="R28" s="1454"/>
      <c r="S28" s="1454"/>
      <c r="T28" s="1454"/>
      <c r="U28" s="1454"/>
      <c r="V28" s="1454"/>
      <c r="W28" s="1454"/>
      <c r="X28" s="1454"/>
      <c r="Y28" s="1454"/>
      <c r="Z28" s="1454"/>
    </row>
    <row r="29" ht="42.0" customHeight="1">
      <c r="A29" s="1452" t="s">
        <v>938</v>
      </c>
      <c r="B29" s="1453"/>
      <c r="C29" s="1434"/>
      <c r="D29" s="1434"/>
      <c r="E29" s="1434"/>
      <c r="F29" s="1434"/>
      <c r="G29" s="1434"/>
      <c r="H29" s="1434"/>
      <c r="I29" s="1434"/>
      <c r="J29" s="1434"/>
      <c r="K29" s="1434"/>
      <c r="L29" s="1434"/>
      <c r="M29" s="1434"/>
      <c r="N29" s="1434"/>
      <c r="O29" s="1434"/>
      <c r="P29" s="1434"/>
      <c r="Q29" s="1434"/>
      <c r="R29" s="1454"/>
      <c r="S29" s="1454"/>
      <c r="T29" s="1454"/>
      <c r="U29" s="1454"/>
      <c r="V29" s="1454"/>
      <c r="W29" s="1454"/>
      <c r="X29" s="1454"/>
      <c r="Y29" s="1454"/>
      <c r="Z29" s="1454"/>
    </row>
    <row r="30" ht="42.0" customHeight="1">
      <c r="A30" s="1452" t="s">
        <v>939</v>
      </c>
      <c r="B30" s="1453"/>
      <c r="C30" s="1434"/>
      <c r="D30" s="1434"/>
      <c r="E30" s="1434"/>
      <c r="F30" s="1434"/>
      <c r="G30" s="1434"/>
      <c r="H30" s="1434"/>
      <c r="I30" s="1434"/>
      <c r="J30" s="1434"/>
      <c r="K30" s="1434"/>
      <c r="L30" s="1434"/>
      <c r="M30" s="1434"/>
      <c r="N30" s="1434"/>
      <c r="O30" s="1434"/>
      <c r="P30" s="1434"/>
      <c r="Q30" s="1434"/>
      <c r="R30" s="1454"/>
      <c r="S30" s="1454"/>
      <c r="T30" s="1454"/>
      <c r="U30" s="1454"/>
      <c r="V30" s="1454"/>
      <c r="W30" s="1454"/>
      <c r="X30" s="1454"/>
      <c r="Y30" s="1454"/>
      <c r="Z30" s="1454"/>
    </row>
    <row r="31" ht="42.0" customHeight="1">
      <c r="A31" s="1452" t="s">
        <v>940</v>
      </c>
      <c r="B31" s="1453"/>
      <c r="C31" s="1434"/>
      <c r="D31" s="1434"/>
      <c r="E31" s="1434"/>
      <c r="F31" s="1434"/>
      <c r="G31" s="1434"/>
      <c r="H31" s="1434"/>
      <c r="I31" s="1434"/>
      <c r="J31" s="1434"/>
      <c r="K31" s="1434"/>
      <c r="L31" s="1434"/>
      <c r="M31" s="1434"/>
      <c r="N31" s="1434"/>
      <c r="O31" s="1434"/>
      <c r="P31" s="1434"/>
      <c r="Q31" s="1434"/>
      <c r="R31" s="1454"/>
      <c r="S31" s="1454"/>
      <c r="T31" s="1454"/>
      <c r="U31" s="1454"/>
      <c r="V31" s="1454"/>
      <c r="W31" s="1454"/>
      <c r="X31" s="1454"/>
      <c r="Y31" s="1454"/>
      <c r="Z31" s="1454"/>
    </row>
    <row r="32" ht="42.0" customHeight="1">
      <c r="A32" s="1452" t="s">
        <v>941</v>
      </c>
      <c r="B32" s="1453"/>
      <c r="C32" s="1434"/>
      <c r="D32" s="1434"/>
      <c r="E32" s="1434"/>
      <c r="F32" s="1434"/>
      <c r="G32" s="1434"/>
      <c r="H32" s="1434"/>
      <c r="I32" s="1434"/>
      <c r="J32" s="1434"/>
      <c r="K32" s="1434"/>
      <c r="L32" s="1434"/>
      <c r="M32" s="1434"/>
      <c r="N32" s="1434"/>
      <c r="O32" s="1434"/>
      <c r="P32" s="1434"/>
      <c r="Q32" s="1434"/>
      <c r="R32" s="1454"/>
      <c r="S32" s="1454"/>
      <c r="T32" s="1454"/>
      <c r="U32" s="1454"/>
      <c r="V32" s="1454"/>
      <c r="W32" s="1454"/>
      <c r="X32" s="1454"/>
      <c r="Y32" s="1454"/>
      <c r="Z32" s="1454"/>
    </row>
    <row r="33" ht="42.0" customHeight="1">
      <c r="A33" s="1452" t="s">
        <v>942</v>
      </c>
      <c r="B33" s="1453"/>
      <c r="C33" s="1434"/>
      <c r="D33" s="1434"/>
      <c r="E33" s="1434"/>
      <c r="F33" s="1434"/>
      <c r="G33" s="1434"/>
      <c r="H33" s="1434"/>
      <c r="I33" s="1434"/>
      <c r="J33" s="1434"/>
      <c r="K33" s="1434"/>
      <c r="L33" s="1434"/>
      <c r="M33" s="1434"/>
      <c r="N33" s="1434"/>
      <c r="O33" s="1434"/>
      <c r="P33" s="1434"/>
      <c r="Q33" s="1434"/>
      <c r="R33" s="1454"/>
      <c r="S33" s="1454"/>
      <c r="T33" s="1454"/>
      <c r="U33" s="1454"/>
      <c r="V33" s="1454"/>
      <c r="W33" s="1454"/>
      <c r="X33" s="1454"/>
      <c r="Y33" s="1454"/>
      <c r="Z33" s="1454"/>
    </row>
    <row r="34" ht="42.0" customHeight="1">
      <c r="A34" s="1452" t="s">
        <v>943</v>
      </c>
      <c r="B34" s="1453"/>
      <c r="C34" s="1434"/>
      <c r="D34" s="1434"/>
      <c r="E34" s="1434"/>
      <c r="F34" s="1434"/>
      <c r="G34" s="1434"/>
      <c r="H34" s="1434"/>
      <c r="I34" s="1434"/>
      <c r="J34" s="1434"/>
      <c r="K34" s="1434"/>
      <c r="L34" s="1434"/>
      <c r="M34" s="1434"/>
      <c r="N34" s="1434"/>
      <c r="O34" s="1434"/>
      <c r="P34" s="1434"/>
      <c r="Q34" s="1434"/>
      <c r="R34" s="1454"/>
      <c r="S34" s="1454"/>
      <c r="T34" s="1454"/>
      <c r="U34" s="1454"/>
      <c r="V34" s="1454"/>
      <c r="W34" s="1454"/>
      <c r="X34" s="1454"/>
      <c r="Y34" s="1454"/>
      <c r="Z34" s="1454"/>
    </row>
    <row r="35" ht="42.0" customHeight="1">
      <c r="A35" s="1452" t="s">
        <v>944</v>
      </c>
      <c r="B35" s="1453"/>
      <c r="C35" s="1434"/>
      <c r="D35" s="1434"/>
      <c r="E35" s="1434"/>
      <c r="F35" s="1434"/>
      <c r="G35" s="1434"/>
      <c r="H35" s="1434"/>
      <c r="I35" s="1434"/>
      <c r="J35" s="1434"/>
      <c r="K35" s="1434"/>
      <c r="L35" s="1434"/>
      <c r="M35" s="1434"/>
      <c r="N35" s="1434"/>
      <c r="O35" s="1434"/>
      <c r="P35" s="1434"/>
      <c r="Q35" s="1434"/>
      <c r="R35" s="1454"/>
      <c r="S35" s="1454"/>
      <c r="T35" s="1454"/>
      <c r="U35" s="1454"/>
      <c r="V35" s="1454"/>
      <c r="W35" s="1454"/>
      <c r="X35" s="1454"/>
      <c r="Y35" s="1454"/>
      <c r="Z35" s="1454"/>
    </row>
    <row r="36" ht="42.0" customHeight="1">
      <c r="A36" s="1452" t="s">
        <v>945</v>
      </c>
      <c r="B36" s="1453"/>
      <c r="C36" s="1434"/>
      <c r="D36" s="1434"/>
      <c r="E36" s="1434"/>
      <c r="F36" s="1434"/>
      <c r="G36" s="1434"/>
      <c r="H36" s="1434"/>
      <c r="I36" s="1434"/>
      <c r="J36" s="1434"/>
      <c r="K36" s="1434"/>
      <c r="L36" s="1434"/>
      <c r="M36" s="1434"/>
      <c r="N36" s="1434"/>
      <c r="O36" s="1434"/>
      <c r="P36" s="1434"/>
      <c r="Q36" s="1434"/>
      <c r="R36" s="1454"/>
      <c r="S36" s="1454"/>
      <c r="T36" s="1454"/>
      <c r="U36" s="1454"/>
      <c r="V36" s="1454"/>
      <c r="W36" s="1454"/>
      <c r="X36" s="1454"/>
      <c r="Y36" s="1454"/>
      <c r="Z36" s="1454"/>
    </row>
    <row r="37" ht="42.0" customHeight="1">
      <c r="A37" s="1452" t="s">
        <v>946</v>
      </c>
      <c r="B37" s="1453"/>
      <c r="C37" s="1434"/>
      <c r="D37" s="1434"/>
      <c r="E37" s="1434"/>
      <c r="F37" s="1434"/>
      <c r="G37" s="1434"/>
      <c r="H37" s="1434"/>
      <c r="I37" s="1434"/>
      <c r="J37" s="1434"/>
      <c r="K37" s="1434"/>
      <c r="L37" s="1434"/>
      <c r="M37" s="1434"/>
      <c r="N37" s="1434"/>
      <c r="O37" s="1434"/>
      <c r="P37" s="1434"/>
      <c r="Q37" s="1434"/>
      <c r="R37" s="1454"/>
      <c r="S37" s="1454"/>
      <c r="T37" s="1454"/>
      <c r="U37" s="1454"/>
      <c r="V37" s="1454"/>
      <c r="W37" s="1454"/>
      <c r="X37" s="1454"/>
      <c r="Y37" s="1454"/>
      <c r="Z37" s="1454"/>
    </row>
    <row r="38" ht="42.0" customHeight="1">
      <c r="A38" s="1452" t="s">
        <v>947</v>
      </c>
      <c r="B38" s="1453"/>
      <c r="C38" s="1434"/>
      <c r="D38" s="1434"/>
      <c r="E38" s="1434"/>
      <c r="F38" s="1434"/>
      <c r="G38" s="1434"/>
      <c r="H38" s="1434"/>
      <c r="I38" s="1434"/>
      <c r="J38" s="1434"/>
      <c r="K38" s="1434"/>
      <c r="L38" s="1434"/>
      <c r="M38" s="1434"/>
      <c r="N38" s="1434"/>
      <c r="O38" s="1434"/>
      <c r="P38" s="1434"/>
      <c r="Q38" s="1434"/>
      <c r="R38" s="1454"/>
      <c r="S38" s="1454"/>
      <c r="T38" s="1454"/>
      <c r="U38" s="1454"/>
      <c r="V38" s="1454"/>
      <c r="W38" s="1454"/>
      <c r="X38" s="1454"/>
      <c r="Y38" s="1454"/>
      <c r="Z38" s="1454"/>
    </row>
    <row r="39" ht="42.0" customHeight="1">
      <c r="A39" s="1452" t="s">
        <v>948</v>
      </c>
      <c r="B39" s="1453"/>
      <c r="C39" s="1434"/>
      <c r="D39" s="1434"/>
      <c r="E39" s="1434"/>
      <c r="F39" s="1434"/>
      <c r="G39" s="1434"/>
      <c r="H39" s="1434"/>
      <c r="I39" s="1434"/>
      <c r="J39" s="1434"/>
      <c r="K39" s="1434"/>
      <c r="L39" s="1434"/>
      <c r="M39" s="1434"/>
      <c r="N39" s="1434"/>
      <c r="O39" s="1434"/>
      <c r="P39" s="1434"/>
      <c r="Q39" s="1434"/>
      <c r="R39" s="1454"/>
      <c r="S39" s="1454"/>
      <c r="T39" s="1454"/>
      <c r="U39" s="1454"/>
      <c r="V39" s="1454"/>
      <c r="W39" s="1454"/>
      <c r="X39" s="1454"/>
      <c r="Y39" s="1454"/>
      <c r="Z39" s="1454"/>
    </row>
    <row r="40" ht="42.0" customHeight="1">
      <c r="A40" s="1452" t="s">
        <v>949</v>
      </c>
      <c r="B40" s="1453"/>
      <c r="C40" s="1434"/>
      <c r="D40" s="1434"/>
      <c r="E40" s="1434"/>
      <c r="F40" s="1434"/>
      <c r="G40" s="1434"/>
      <c r="H40" s="1434"/>
      <c r="I40" s="1434"/>
      <c r="J40" s="1434"/>
      <c r="K40" s="1434"/>
      <c r="L40" s="1434"/>
      <c r="M40" s="1434"/>
      <c r="N40" s="1434"/>
      <c r="O40" s="1434"/>
      <c r="P40" s="1434"/>
      <c r="Q40" s="1434"/>
      <c r="R40" s="1454"/>
      <c r="S40" s="1454"/>
      <c r="T40" s="1454"/>
      <c r="U40" s="1454"/>
      <c r="V40" s="1454"/>
      <c r="W40" s="1454"/>
      <c r="X40" s="1454"/>
      <c r="Y40" s="1454"/>
      <c r="Z40" s="1454"/>
    </row>
    <row r="41" ht="42.0" customHeight="1">
      <c r="A41" s="1452" t="s">
        <v>950</v>
      </c>
      <c r="B41" s="1453"/>
      <c r="C41" s="1434"/>
      <c r="D41" s="1434"/>
      <c r="E41" s="1434"/>
      <c r="F41" s="1434"/>
      <c r="G41" s="1434"/>
      <c r="H41" s="1434"/>
      <c r="I41" s="1434"/>
      <c r="J41" s="1434"/>
      <c r="K41" s="1434"/>
      <c r="L41" s="1434"/>
      <c r="M41" s="1434"/>
      <c r="N41" s="1434"/>
      <c r="O41" s="1434"/>
      <c r="P41" s="1434"/>
      <c r="Q41" s="1434"/>
      <c r="R41" s="1454"/>
      <c r="S41" s="1454"/>
      <c r="T41" s="1454"/>
      <c r="U41" s="1454"/>
      <c r="V41" s="1454"/>
      <c r="W41" s="1454"/>
      <c r="X41" s="1454"/>
      <c r="Y41" s="1454"/>
      <c r="Z41" s="1454"/>
    </row>
    <row r="42" ht="42.0" customHeight="1">
      <c r="A42" s="1452" t="s">
        <v>951</v>
      </c>
      <c r="B42" s="1453"/>
      <c r="C42" s="1434"/>
      <c r="D42" s="1434"/>
      <c r="E42" s="1434"/>
      <c r="F42" s="1434"/>
      <c r="G42" s="1434"/>
      <c r="H42" s="1434"/>
      <c r="I42" s="1434"/>
      <c r="J42" s="1434"/>
      <c r="K42" s="1434"/>
      <c r="L42" s="1434"/>
      <c r="M42" s="1434"/>
      <c r="N42" s="1434"/>
      <c r="O42" s="1434"/>
      <c r="P42" s="1434"/>
      <c r="Q42" s="1434"/>
      <c r="R42" s="1454"/>
      <c r="S42" s="1454"/>
      <c r="T42" s="1454"/>
      <c r="U42" s="1454"/>
      <c r="V42" s="1454"/>
      <c r="W42" s="1454"/>
      <c r="X42" s="1454"/>
      <c r="Y42" s="1454"/>
      <c r="Z42" s="1454"/>
    </row>
    <row r="43" ht="42.0" customHeight="1">
      <c r="A43" s="1452" t="s">
        <v>952</v>
      </c>
      <c r="B43" s="1453"/>
      <c r="C43" s="1434"/>
      <c r="D43" s="1434"/>
      <c r="E43" s="1434"/>
      <c r="F43" s="1434"/>
      <c r="G43" s="1434"/>
      <c r="H43" s="1434"/>
      <c r="I43" s="1434"/>
      <c r="J43" s="1434"/>
      <c r="K43" s="1434"/>
      <c r="L43" s="1434"/>
      <c r="M43" s="1434"/>
      <c r="N43" s="1434"/>
      <c r="O43" s="1434"/>
      <c r="P43" s="1434"/>
      <c r="Q43" s="1434"/>
      <c r="R43" s="1454"/>
      <c r="S43" s="1454"/>
      <c r="T43" s="1454"/>
      <c r="U43" s="1454"/>
      <c r="V43" s="1454"/>
      <c r="W43" s="1454"/>
      <c r="X43" s="1454"/>
      <c r="Y43" s="1454"/>
      <c r="Z43" s="1454"/>
    </row>
    <row r="44" ht="42.0" customHeight="1">
      <c r="A44" s="1452" t="s">
        <v>953</v>
      </c>
      <c r="B44" s="1453"/>
      <c r="C44" s="1434"/>
      <c r="D44" s="1434"/>
      <c r="E44" s="1434"/>
      <c r="F44" s="1434"/>
      <c r="G44" s="1434"/>
      <c r="H44" s="1434"/>
      <c r="I44" s="1434"/>
      <c r="J44" s="1434"/>
      <c r="K44" s="1434"/>
      <c r="L44" s="1434"/>
      <c r="M44" s="1434"/>
      <c r="N44" s="1434"/>
      <c r="O44" s="1434"/>
      <c r="P44" s="1434"/>
      <c r="Q44" s="1434"/>
      <c r="R44" s="1454"/>
      <c r="S44" s="1454"/>
      <c r="T44" s="1454"/>
      <c r="U44" s="1454"/>
      <c r="V44" s="1454"/>
      <c r="W44" s="1454"/>
      <c r="X44" s="1454"/>
      <c r="Y44" s="1454"/>
      <c r="Z44" s="1454"/>
    </row>
    <row r="45" ht="42.0" customHeight="1">
      <c r="A45" s="1452" t="s">
        <v>954</v>
      </c>
      <c r="B45" s="1453"/>
      <c r="C45" s="1434"/>
      <c r="D45" s="1434"/>
      <c r="E45" s="1434"/>
      <c r="F45" s="1434"/>
      <c r="G45" s="1434"/>
      <c r="H45" s="1434"/>
      <c r="I45" s="1434"/>
      <c r="J45" s="1434"/>
      <c r="K45" s="1434"/>
      <c r="L45" s="1434"/>
      <c r="M45" s="1434"/>
      <c r="N45" s="1434"/>
      <c r="O45" s="1434"/>
      <c r="P45" s="1434"/>
      <c r="Q45" s="1434"/>
      <c r="R45" s="1454"/>
      <c r="S45" s="1454"/>
      <c r="T45" s="1454"/>
      <c r="U45" s="1454"/>
      <c r="V45" s="1454"/>
      <c r="W45" s="1454"/>
      <c r="X45" s="1454"/>
      <c r="Y45" s="1454"/>
      <c r="Z45" s="1454"/>
    </row>
    <row r="46" ht="42.0" customHeight="1">
      <c r="A46" s="1452" t="s">
        <v>955</v>
      </c>
      <c r="B46" s="1453"/>
      <c r="C46" s="1434"/>
      <c r="D46" s="1434"/>
      <c r="E46" s="1434"/>
      <c r="F46" s="1434"/>
      <c r="G46" s="1434"/>
      <c r="H46" s="1434"/>
      <c r="I46" s="1434"/>
      <c r="J46" s="1434"/>
      <c r="K46" s="1434"/>
      <c r="L46" s="1434"/>
      <c r="M46" s="1434"/>
      <c r="N46" s="1434"/>
      <c r="O46" s="1434"/>
      <c r="P46" s="1434"/>
      <c r="Q46" s="1434"/>
      <c r="R46" s="1454"/>
      <c r="S46" s="1454"/>
      <c r="T46" s="1454"/>
      <c r="U46" s="1454"/>
      <c r="V46" s="1454"/>
      <c r="W46" s="1454"/>
      <c r="X46" s="1454"/>
      <c r="Y46" s="1454"/>
      <c r="Z46" s="1454"/>
    </row>
    <row r="47" ht="42.0" customHeight="1">
      <c r="A47" s="1452" t="s">
        <v>956</v>
      </c>
      <c r="B47" s="1453"/>
      <c r="C47" s="1434"/>
      <c r="D47" s="1434"/>
      <c r="E47" s="1434"/>
      <c r="F47" s="1434"/>
      <c r="G47" s="1434"/>
      <c r="H47" s="1434"/>
      <c r="I47" s="1434"/>
      <c r="J47" s="1434"/>
      <c r="K47" s="1434"/>
      <c r="L47" s="1434"/>
      <c r="M47" s="1434"/>
      <c r="N47" s="1434"/>
      <c r="O47" s="1434"/>
      <c r="P47" s="1434"/>
      <c r="Q47" s="1434"/>
      <c r="R47" s="1454"/>
      <c r="S47" s="1454"/>
      <c r="T47" s="1454"/>
      <c r="U47" s="1454"/>
      <c r="V47" s="1454"/>
      <c r="W47" s="1454"/>
      <c r="X47" s="1454"/>
      <c r="Y47" s="1454"/>
      <c r="Z47" s="1454"/>
    </row>
    <row r="48" ht="42.0" customHeight="1">
      <c r="A48" s="1452" t="s">
        <v>957</v>
      </c>
      <c r="B48" s="1453"/>
      <c r="C48" s="1434"/>
      <c r="D48" s="1434"/>
      <c r="E48" s="1434"/>
      <c r="F48" s="1434"/>
      <c r="G48" s="1434"/>
      <c r="H48" s="1434"/>
      <c r="I48" s="1434"/>
      <c r="J48" s="1434"/>
      <c r="K48" s="1434"/>
      <c r="L48" s="1434"/>
      <c r="M48" s="1434"/>
      <c r="N48" s="1434"/>
      <c r="O48" s="1434"/>
      <c r="P48" s="1434"/>
      <c r="Q48" s="1434"/>
      <c r="R48" s="1454"/>
      <c r="S48" s="1454"/>
      <c r="T48" s="1454"/>
      <c r="U48" s="1454"/>
      <c r="V48" s="1454"/>
      <c r="W48" s="1454"/>
      <c r="X48" s="1454"/>
      <c r="Y48" s="1454"/>
      <c r="Z48" s="1454"/>
    </row>
    <row r="49" ht="42.0" customHeight="1">
      <c r="A49" s="1452" t="s">
        <v>958</v>
      </c>
      <c r="B49" s="1453"/>
      <c r="C49" s="1434"/>
      <c r="D49" s="1434"/>
      <c r="E49" s="1434"/>
      <c r="F49" s="1434"/>
      <c r="G49" s="1434"/>
      <c r="H49" s="1434"/>
      <c r="I49" s="1434"/>
      <c r="J49" s="1434"/>
      <c r="K49" s="1434"/>
      <c r="L49" s="1434"/>
      <c r="M49" s="1434"/>
      <c r="N49" s="1434"/>
      <c r="O49" s="1434"/>
      <c r="P49" s="1434"/>
      <c r="Q49" s="1434"/>
      <c r="R49" s="1454"/>
      <c r="S49" s="1454"/>
      <c r="T49" s="1454"/>
      <c r="U49" s="1454"/>
      <c r="V49" s="1454"/>
      <c r="W49" s="1454"/>
      <c r="X49" s="1454"/>
      <c r="Y49" s="1454"/>
      <c r="Z49" s="1454"/>
    </row>
    <row r="50" ht="42.0" customHeight="1">
      <c r="A50" s="1452" t="s">
        <v>959</v>
      </c>
      <c r="B50" s="1453"/>
      <c r="C50" s="1434"/>
      <c r="D50" s="1434"/>
      <c r="E50" s="1434"/>
      <c r="F50" s="1434"/>
      <c r="G50" s="1434"/>
      <c r="H50" s="1434"/>
      <c r="I50" s="1434"/>
      <c r="J50" s="1434"/>
      <c r="K50" s="1434"/>
      <c r="L50" s="1434"/>
      <c r="M50" s="1434"/>
      <c r="N50" s="1434"/>
      <c r="O50" s="1434"/>
      <c r="P50" s="1434"/>
      <c r="Q50" s="1434"/>
      <c r="R50" s="1454"/>
      <c r="S50" s="1454"/>
      <c r="T50" s="1454"/>
      <c r="U50" s="1454"/>
      <c r="V50" s="1454"/>
      <c r="W50" s="1454"/>
      <c r="X50" s="1454"/>
      <c r="Y50" s="1454"/>
      <c r="Z50" s="1454"/>
    </row>
    <row r="51" ht="42.0" customHeight="1">
      <c r="A51" s="1452" t="s">
        <v>960</v>
      </c>
      <c r="B51" s="1453"/>
      <c r="C51" s="1434"/>
      <c r="D51" s="1434"/>
      <c r="E51" s="1434"/>
      <c r="F51" s="1434"/>
      <c r="G51" s="1434"/>
      <c r="H51" s="1434"/>
      <c r="I51" s="1434"/>
      <c r="J51" s="1434"/>
      <c r="K51" s="1434"/>
      <c r="L51" s="1434"/>
      <c r="M51" s="1434"/>
      <c r="N51" s="1434"/>
      <c r="O51" s="1434"/>
      <c r="P51" s="1434"/>
      <c r="Q51" s="1434"/>
      <c r="R51" s="1454"/>
      <c r="S51" s="1454"/>
      <c r="T51" s="1454"/>
      <c r="U51" s="1454"/>
      <c r="V51" s="1454"/>
      <c r="W51" s="1454"/>
      <c r="X51" s="1454"/>
      <c r="Y51" s="1454"/>
      <c r="Z51" s="1454"/>
    </row>
    <row r="52" ht="42.0" customHeight="1">
      <c r="A52" s="1452" t="s">
        <v>961</v>
      </c>
      <c r="B52" s="1453"/>
      <c r="C52" s="1434"/>
      <c r="D52" s="1434"/>
      <c r="E52" s="1434"/>
      <c r="F52" s="1434"/>
      <c r="G52" s="1434"/>
      <c r="H52" s="1434"/>
      <c r="I52" s="1434"/>
      <c r="J52" s="1434"/>
      <c r="K52" s="1434"/>
      <c r="L52" s="1434"/>
      <c r="M52" s="1434"/>
      <c r="N52" s="1434"/>
      <c r="O52" s="1434"/>
      <c r="P52" s="1434"/>
      <c r="Q52" s="1434"/>
      <c r="R52" s="1454"/>
      <c r="S52" s="1454"/>
      <c r="T52" s="1454"/>
      <c r="U52" s="1454"/>
      <c r="V52" s="1454"/>
      <c r="W52" s="1454"/>
      <c r="X52" s="1454"/>
      <c r="Y52" s="1454"/>
      <c r="Z52" s="1454"/>
    </row>
    <row r="53" ht="42.0" customHeight="1">
      <c r="A53" s="1452" t="s">
        <v>962</v>
      </c>
      <c r="B53" s="1453"/>
      <c r="C53" s="1434"/>
      <c r="D53" s="1434"/>
      <c r="E53" s="1434"/>
      <c r="F53" s="1434"/>
      <c r="G53" s="1434"/>
      <c r="H53" s="1434"/>
      <c r="I53" s="1434"/>
      <c r="J53" s="1434"/>
      <c r="K53" s="1434"/>
      <c r="L53" s="1434"/>
      <c r="M53" s="1434"/>
      <c r="N53" s="1434"/>
      <c r="O53" s="1434"/>
      <c r="P53" s="1434"/>
      <c r="Q53" s="1434"/>
      <c r="R53" s="1454"/>
      <c r="S53" s="1454"/>
      <c r="T53" s="1454"/>
      <c r="U53" s="1454"/>
      <c r="V53" s="1454"/>
      <c r="W53" s="1454"/>
      <c r="X53" s="1454"/>
      <c r="Y53" s="1454"/>
      <c r="Z53" s="1454"/>
    </row>
    <row r="54" ht="42.0" customHeight="1">
      <c r="A54" s="1452" t="s">
        <v>963</v>
      </c>
      <c r="B54" s="1453"/>
      <c r="C54" s="1434"/>
      <c r="D54" s="1434"/>
      <c r="E54" s="1434"/>
      <c r="F54" s="1434"/>
      <c r="G54" s="1434"/>
      <c r="H54" s="1434"/>
      <c r="I54" s="1434"/>
      <c r="J54" s="1434"/>
      <c r="K54" s="1434"/>
      <c r="L54" s="1434"/>
      <c r="M54" s="1434"/>
      <c r="N54" s="1434"/>
      <c r="O54" s="1434"/>
      <c r="P54" s="1434"/>
      <c r="Q54" s="1434"/>
      <c r="R54" s="1454"/>
      <c r="S54" s="1454"/>
      <c r="T54" s="1454"/>
      <c r="U54" s="1454"/>
      <c r="V54" s="1454"/>
      <c r="W54" s="1454"/>
      <c r="X54" s="1454"/>
      <c r="Y54" s="1454"/>
      <c r="Z54" s="1454"/>
    </row>
    <row r="55" ht="42.0" customHeight="1">
      <c r="A55" s="1452" t="s">
        <v>964</v>
      </c>
      <c r="B55" s="1453"/>
      <c r="C55" s="1434"/>
      <c r="D55" s="1434"/>
      <c r="E55" s="1434"/>
      <c r="F55" s="1434"/>
      <c r="G55" s="1434"/>
      <c r="H55" s="1434"/>
      <c r="I55" s="1434"/>
      <c r="J55" s="1434"/>
      <c r="K55" s="1434"/>
      <c r="L55" s="1434"/>
      <c r="M55" s="1434"/>
      <c r="N55" s="1434"/>
      <c r="O55" s="1434"/>
      <c r="P55" s="1434"/>
      <c r="Q55" s="1434"/>
      <c r="R55" s="1454"/>
      <c r="S55" s="1454"/>
      <c r="T55" s="1454"/>
      <c r="U55" s="1454"/>
      <c r="V55" s="1454"/>
      <c r="W55" s="1454"/>
      <c r="X55" s="1454"/>
      <c r="Y55" s="1454"/>
      <c r="Z55" s="1454"/>
    </row>
    <row r="56" ht="42.0" customHeight="1">
      <c r="A56" s="1452" t="s">
        <v>965</v>
      </c>
      <c r="B56" s="1453"/>
      <c r="C56" s="1434"/>
      <c r="D56" s="1434"/>
      <c r="E56" s="1434"/>
      <c r="F56" s="1434"/>
      <c r="G56" s="1434"/>
      <c r="H56" s="1434"/>
      <c r="I56" s="1434"/>
      <c r="J56" s="1434"/>
      <c r="K56" s="1434"/>
      <c r="L56" s="1434"/>
      <c r="M56" s="1434"/>
      <c r="N56" s="1434"/>
      <c r="O56" s="1434"/>
      <c r="P56" s="1434"/>
      <c r="Q56" s="1434"/>
      <c r="R56" s="1454"/>
      <c r="S56" s="1454"/>
      <c r="T56" s="1454"/>
      <c r="U56" s="1454"/>
      <c r="V56" s="1454"/>
      <c r="W56" s="1454"/>
      <c r="X56" s="1454"/>
      <c r="Y56" s="1454"/>
      <c r="Z56" s="1454"/>
    </row>
    <row r="57" ht="42.0" customHeight="1">
      <c r="A57" s="1452" t="s">
        <v>966</v>
      </c>
      <c r="B57" s="1453"/>
      <c r="C57" s="1434"/>
      <c r="D57" s="1434"/>
      <c r="E57" s="1434"/>
      <c r="F57" s="1434"/>
      <c r="G57" s="1434"/>
      <c r="H57" s="1434"/>
      <c r="I57" s="1434"/>
      <c r="J57" s="1434"/>
      <c r="K57" s="1434"/>
      <c r="L57" s="1434"/>
      <c r="M57" s="1434"/>
      <c r="N57" s="1434"/>
      <c r="O57" s="1434"/>
      <c r="P57" s="1434"/>
      <c r="Q57" s="1434"/>
      <c r="R57" s="1454"/>
      <c r="S57" s="1454"/>
      <c r="T57" s="1454"/>
      <c r="U57" s="1454"/>
      <c r="V57" s="1454"/>
      <c r="W57" s="1454"/>
      <c r="X57" s="1454"/>
      <c r="Y57" s="1454"/>
      <c r="Z57" s="1454"/>
    </row>
    <row r="58" ht="42.0" customHeight="1">
      <c r="A58" s="1452" t="s">
        <v>967</v>
      </c>
      <c r="B58" s="1453"/>
      <c r="C58" s="1434"/>
      <c r="D58" s="1434"/>
      <c r="E58" s="1434"/>
      <c r="F58" s="1434"/>
      <c r="G58" s="1434"/>
      <c r="H58" s="1434"/>
      <c r="I58" s="1434"/>
      <c r="J58" s="1434"/>
      <c r="K58" s="1434"/>
      <c r="L58" s="1434"/>
      <c r="M58" s="1434"/>
      <c r="N58" s="1434"/>
      <c r="O58" s="1434"/>
      <c r="P58" s="1434"/>
      <c r="Q58" s="1434"/>
      <c r="R58" s="1454"/>
      <c r="S58" s="1454"/>
      <c r="T58" s="1454"/>
      <c r="U58" s="1454"/>
      <c r="V58" s="1454"/>
      <c r="W58" s="1454"/>
      <c r="X58" s="1454"/>
      <c r="Y58" s="1454"/>
      <c r="Z58" s="1454"/>
    </row>
    <row r="59" ht="42.0" customHeight="1">
      <c r="A59" s="1452" t="s">
        <v>968</v>
      </c>
      <c r="B59" s="1453"/>
      <c r="C59" s="1434"/>
      <c r="D59" s="1434"/>
      <c r="E59" s="1434"/>
      <c r="F59" s="1434"/>
      <c r="G59" s="1434"/>
      <c r="H59" s="1434"/>
      <c r="I59" s="1434"/>
      <c r="J59" s="1434"/>
      <c r="K59" s="1434"/>
      <c r="L59" s="1434"/>
      <c r="M59" s="1434"/>
      <c r="N59" s="1434"/>
      <c r="O59" s="1434"/>
      <c r="P59" s="1434"/>
      <c r="Q59" s="1434"/>
      <c r="R59" s="1454"/>
      <c r="S59" s="1454"/>
      <c r="T59" s="1454"/>
      <c r="U59" s="1454"/>
      <c r="V59" s="1454"/>
      <c r="W59" s="1454"/>
      <c r="X59" s="1454"/>
      <c r="Y59" s="1454"/>
      <c r="Z59" s="1454"/>
    </row>
    <row r="60" ht="42.0" customHeight="1">
      <c r="A60" s="1452" t="s">
        <v>969</v>
      </c>
      <c r="B60" s="1453"/>
      <c r="C60" s="1434"/>
      <c r="D60" s="1434"/>
      <c r="E60" s="1434"/>
      <c r="F60" s="1434"/>
      <c r="G60" s="1434"/>
      <c r="H60" s="1434"/>
      <c r="I60" s="1434"/>
      <c r="J60" s="1434"/>
      <c r="K60" s="1434"/>
      <c r="L60" s="1434"/>
      <c r="M60" s="1434"/>
      <c r="N60" s="1434"/>
      <c r="O60" s="1434"/>
      <c r="P60" s="1434"/>
      <c r="Q60" s="1434"/>
      <c r="R60" s="1454"/>
      <c r="S60" s="1454"/>
      <c r="T60" s="1454"/>
      <c r="U60" s="1454"/>
      <c r="V60" s="1454"/>
      <c r="W60" s="1454"/>
      <c r="X60" s="1454"/>
      <c r="Y60" s="1454"/>
      <c r="Z60" s="1454"/>
    </row>
    <row r="61" ht="42.0" customHeight="1">
      <c r="A61" s="1452" t="s">
        <v>970</v>
      </c>
      <c r="B61" s="1453"/>
      <c r="C61" s="1434"/>
      <c r="D61" s="1434"/>
      <c r="E61" s="1434"/>
      <c r="F61" s="1434"/>
      <c r="G61" s="1434"/>
      <c r="H61" s="1434"/>
      <c r="I61" s="1434"/>
      <c r="J61" s="1434"/>
      <c r="K61" s="1434"/>
      <c r="L61" s="1434"/>
      <c r="M61" s="1434"/>
      <c r="N61" s="1434"/>
      <c r="O61" s="1434"/>
      <c r="P61" s="1434"/>
      <c r="Q61" s="1434"/>
      <c r="R61" s="1454"/>
      <c r="S61" s="1454"/>
      <c r="T61" s="1454"/>
      <c r="U61" s="1454"/>
      <c r="V61" s="1454"/>
      <c r="W61" s="1454"/>
      <c r="X61" s="1454"/>
      <c r="Y61" s="1454"/>
      <c r="Z61" s="1454"/>
    </row>
    <row r="62" ht="42.0" customHeight="1">
      <c r="A62" s="1452" t="s">
        <v>971</v>
      </c>
      <c r="B62" s="1453"/>
      <c r="C62" s="1434"/>
      <c r="D62" s="1434"/>
      <c r="E62" s="1434"/>
      <c r="F62" s="1434"/>
      <c r="G62" s="1434"/>
      <c r="H62" s="1434"/>
      <c r="I62" s="1434"/>
      <c r="J62" s="1434"/>
      <c r="K62" s="1434"/>
      <c r="L62" s="1434"/>
      <c r="M62" s="1434"/>
      <c r="N62" s="1434"/>
      <c r="O62" s="1434"/>
      <c r="P62" s="1434"/>
      <c r="Q62" s="1434"/>
      <c r="R62" s="1454"/>
      <c r="S62" s="1454"/>
      <c r="T62" s="1454"/>
      <c r="U62" s="1454"/>
      <c r="V62" s="1454"/>
      <c r="W62" s="1454"/>
      <c r="X62" s="1454"/>
      <c r="Y62" s="1454"/>
      <c r="Z62" s="1454"/>
    </row>
    <row r="63" ht="42.0" customHeight="1">
      <c r="A63" s="1452" t="s">
        <v>972</v>
      </c>
      <c r="B63" s="1453"/>
      <c r="C63" s="1434"/>
      <c r="D63" s="1434"/>
      <c r="E63" s="1434"/>
      <c r="F63" s="1434"/>
      <c r="G63" s="1434"/>
      <c r="H63" s="1434"/>
      <c r="I63" s="1434"/>
      <c r="J63" s="1434"/>
      <c r="K63" s="1434"/>
      <c r="L63" s="1434"/>
      <c r="M63" s="1434"/>
      <c r="N63" s="1434"/>
      <c r="O63" s="1434"/>
      <c r="P63" s="1434"/>
      <c r="Q63" s="1434"/>
      <c r="R63" s="1454"/>
      <c r="S63" s="1454"/>
      <c r="T63" s="1454"/>
      <c r="U63" s="1454"/>
      <c r="V63" s="1454"/>
      <c r="W63" s="1454"/>
      <c r="X63" s="1454"/>
      <c r="Y63" s="1454"/>
      <c r="Z63" s="1454"/>
    </row>
    <row r="64" ht="42.0" customHeight="1">
      <c r="A64" s="1452" t="s">
        <v>973</v>
      </c>
      <c r="B64" s="1453"/>
      <c r="C64" s="1434"/>
      <c r="D64" s="1434"/>
      <c r="E64" s="1434"/>
      <c r="F64" s="1434"/>
      <c r="G64" s="1434"/>
      <c r="H64" s="1434"/>
      <c r="I64" s="1434"/>
      <c r="J64" s="1434"/>
      <c r="K64" s="1434"/>
      <c r="L64" s="1434"/>
      <c r="M64" s="1434"/>
      <c r="N64" s="1434"/>
      <c r="O64" s="1434"/>
      <c r="P64" s="1434"/>
      <c r="Q64" s="1434"/>
      <c r="R64" s="1454"/>
      <c r="S64" s="1454"/>
      <c r="T64" s="1454"/>
      <c r="U64" s="1454"/>
      <c r="V64" s="1454"/>
      <c r="W64" s="1454"/>
      <c r="X64" s="1454"/>
      <c r="Y64" s="1454"/>
      <c r="Z64" s="1454"/>
    </row>
    <row r="65" ht="42.0" customHeight="1">
      <c r="A65" s="1452" t="s">
        <v>974</v>
      </c>
      <c r="B65" s="1453"/>
      <c r="C65" s="1434"/>
      <c r="D65" s="1434"/>
      <c r="E65" s="1434"/>
      <c r="F65" s="1434"/>
      <c r="G65" s="1434"/>
      <c r="H65" s="1434"/>
      <c r="I65" s="1434"/>
      <c r="J65" s="1434"/>
      <c r="K65" s="1434"/>
      <c r="L65" s="1434"/>
      <c r="M65" s="1434"/>
      <c r="N65" s="1434"/>
      <c r="O65" s="1434"/>
      <c r="P65" s="1434"/>
      <c r="Q65" s="1434"/>
      <c r="R65" s="1454"/>
      <c r="S65" s="1454"/>
      <c r="T65" s="1454"/>
      <c r="U65" s="1454"/>
      <c r="V65" s="1454"/>
      <c r="W65" s="1454"/>
      <c r="X65" s="1454"/>
      <c r="Y65" s="1454"/>
      <c r="Z65" s="1454"/>
    </row>
    <row r="66" ht="42.0" customHeight="1">
      <c r="A66" s="1452" t="s">
        <v>975</v>
      </c>
      <c r="B66" s="1453"/>
      <c r="C66" s="1434"/>
      <c r="D66" s="1434"/>
      <c r="E66" s="1434"/>
      <c r="F66" s="1434"/>
      <c r="G66" s="1434"/>
      <c r="H66" s="1434"/>
      <c r="I66" s="1434"/>
      <c r="J66" s="1434"/>
      <c r="K66" s="1434"/>
      <c r="L66" s="1434"/>
      <c r="M66" s="1434"/>
      <c r="N66" s="1434"/>
      <c r="O66" s="1434"/>
      <c r="P66" s="1434"/>
      <c r="Q66" s="1434"/>
      <c r="R66" s="1454"/>
      <c r="S66" s="1454"/>
      <c r="T66" s="1454"/>
      <c r="U66" s="1454"/>
      <c r="V66" s="1454"/>
      <c r="W66" s="1454"/>
      <c r="X66" s="1454"/>
      <c r="Y66" s="1454"/>
      <c r="Z66" s="1454"/>
    </row>
    <row r="67" ht="42.0" customHeight="1">
      <c r="A67" s="1452" t="s">
        <v>976</v>
      </c>
      <c r="B67" s="1453"/>
      <c r="C67" s="1434"/>
      <c r="D67" s="1434"/>
      <c r="E67" s="1434"/>
      <c r="F67" s="1434"/>
      <c r="G67" s="1434"/>
      <c r="H67" s="1434"/>
      <c r="I67" s="1434"/>
      <c r="J67" s="1434"/>
      <c r="K67" s="1434"/>
      <c r="L67" s="1434"/>
      <c r="M67" s="1434"/>
      <c r="N67" s="1434"/>
      <c r="O67" s="1434"/>
      <c r="P67" s="1434"/>
      <c r="Q67" s="1434"/>
      <c r="R67" s="1454"/>
      <c r="S67" s="1454"/>
      <c r="T67" s="1454"/>
      <c r="U67" s="1454"/>
      <c r="V67" s="1454"/>
      <c r="W67" s="1454"/>
      <c r="X67" s="1454"/>
      <c r="Y67" s="1454"/>
      <c r="Z67" s="1454"/>
    </row>
    <row r="68" ht="42.0" customHeight="1">
      <c r="A68" s="1452" t="s">
        <v>977</v>
      </c>
      <c r="B68" s="1453"/>
      <c r="C68" s="1434"/>
      <c r="D68" s="1434"/>
      <c r="E68" s="1434"/>
      <c r="F68" s="1434"/>
      <c r="G68" s="1434"/>
      <c r="H68" s="1434"/>
      <c r="I68" s="1434"/>
      <c r="J68" s="1434"/>
      <c r="K68" s="1434"/>
      <c r="L68" s="1434"/>
      <c r="M68" s="1434"/>
      <c r="N68" s="1434"/>
      <c r="O68" s="1434"/>
      <c r="P68" s="1434"/>
      <c r="Q68" s="1434"/>
      <c r="R68" s="1454"/>
      <c r="S68" s="1454"/>
      <c r="T68" s="1454"/>
      <c r="U68" s="1454"/>
      <c r="V68" s="1454"/>
      <c r="W68" s="1454"/>
      <c r="X68" s="1454"/>
      <c r="Y68" s="1454"/>
      <c r="Z68" s="1454"/>
    </row>
    <row r="69" ht="42.0" customHeight="1">
      <c r="A69" s="1452" t="s">
        <v>978</v>
      </c>
      <c r="B69" s="1453"/>
      <c r="C69" s="1434"/>
      <c r="D69" s="1434"/>
      <c r="E69" s="1434"/>
      <c r="F69" s="1434"/>
      <c r="G69" s="1434"/>
      <c r="H69" s="1434"/>
      <c r="I69" s="1434"/>
      <c r="J69" s="1434"/>
      <c r="K69" s="1434"/>
      <c r="L69" s="1434"/>
      <c r="M69" s="1434"/>
      <c r="N69" s="1434"/>
      <c r="O69" s="1434"/>
      <c r="P69" s="1434"/>
      <c r="Q69" s="1434"/>
      <c r="R69" s="1454"/>
      <c r="S69" s="1454"/>
      <c r="T69" s="1454"/>
      <c r="U69" s="1454"/>
      <c r="V69" s="1454"/>
      <c r="W69" s="1454"/>
      <c r="X69" s="1454"/>
      <c r="Y69" s="1454"/>
      <c r="Z69" s="1454"/>
    </row>
    <row r="70" ht="42.0" customHeight="1">
      <c r="A70" s="1452" t="s">
        <v>979</v>
      </c>
      <c r="B70" s="1453"/>
      <c r="C70" s="1434"/>
      <c r="D70" s="1434"/>
      <c r="E70" s="1434"/>
      <c r="F70" s="1434"/>
      <c r="G70" s="1434"/>
      <c r="H70" s="1434"/>
      <c r="I70" s="1434"/>
      <c r="J70" s="1434"/>
      <c r="K70" s="1434"/>
      <c r="L70" s="1434"/>
      <c r="M70" s="1434"/>
      <c r="N70" s="1434"/>
      <c r="O70" s="1434"/>
      <c r="P70" s="1434"/>
      <c r="Q70" s="1434"/>
      <c r="R70" s="1454"/>
      <c r="S70" s="1454"/>
      <c r="T70" s="1454"/>
      <c r="U70" s="1454"/>
      <c r="V70" s="1454"/>
      <c r="W70" s="1454"/>
      <c r="X70" s="1454"/>
      <c r="Y70" s="1454"/>
      <c r="Z70" s="1454"/>
    </row>
    <row r="71" ht="42.0" customHeight="1">
      <c r="A71" s="1452" t="s">
        <v>980</v>
      </c>
      <c r="B71" s="1453"/>
      <c r="C71" s="1434"/>
      <c r="D71" s="1434"/>
      <c r="E71" s="1434"/>
      <c r="F71" s="1434"/>
      <c r="G71" s="1434"/>
      <c r="H71" s="1434"/>
      <c r="I71" s="1434"/>
      <c r="J71" s="1434"/>
      <c r="K71" s="1434"/>
      <c r="L71" s="1434"/>
      <c r="M71" s="1434"/>
      <c r="N71" s="1434"/>
      <c r="O71" s="1434"/>
      <c r="P71" s="1434"/>
      <c r="Q71" s="1434"/>
      <c r="R71" s="1454"/>
      <c r="S71" s="1454"/>
      <c r="T71" s="1454"/>
      <c r="U71" s="1454"/>
      <c r="V71" s="1454"/>
      <c r="W71" s="1454"/>
      <c r="X71" s="1454"/>
      <c r="Y71" s="1454"/>
      <c r="Z71" s="1454"/>
    </row>
    <row r="72" ht="42.0" customHeight="1">
      <c r="A72" s="1452" t="s">
        <v>981</v>
      </c>
      <c r="B72" s="1453"/>
      <c r="C72" s="1434"/>
      <c r="D72" s="1434"/>
      <c r="E72" s="1434"/>
      <c r="F72" s="1434"/>
      <c r="G72" s="1434"/>
      <c r="H72" s="1434"/>
      <c r="I72" s="1434"/>
      <c r="J72" s="1434"/>
      <c r="K72" s="1434"/>
      <c r="L72" s="1434"/>
      <c r="M72" s="1434"/>
      <c r="N72" s="1434"/>
      <c r="O72" s="1434"/>
      <c r="P72" s="1434"/>
      <c r="Q72" s="1434"/>
      <c r="R72" s="1454"/>
      <c r="S72" s="1454"/>
      <c r="T72" s="1454"/>
      <c r="U72" s="1454"/>
      <c r="V72" s="1454"/>
      <c r="W72" s="1454"/>
      <c r="X72" s="1454"/>
      <c r="Y72" s="1454"/>
      <c r="Z72" s="1454"/>
    </row>
    <row r="73" ht="42.0" customHeight="1">
      <c r="A73" s="1452" t="s">
        <v>982</v>
      </c>
      <c r="B73" s="1453"/>
      <c r="C73" s="1434"/>
      <c r="D73" s="1434"/>
      <c r="E73" s="1434"/>
      <c r="F73" s="1434"/>
      <c r="G73" s="1434"/>
      <c r="H73" s="1434"/>
      <c r="I73" s="1434"/>
      <c r="J73" s="1434"/>
      <c r="K73" s="1434"/>
      <c r="L73" s="1434"/>
      <c r="M73" s="1434"/>
      <c r="N73" s="1434"/>
      <c r="O73" s="1434"/>
      <c r="P73" s="1434"/>
      <c r="Q73" s="1434"/>
      <c r="R73" s="1454"/>
      <c r="S73" s="1454"/>
      <c r="T73" s="1454"/>
      <c r="U73" s="1454"/>
      <c r="V73" s="1454"/>
      <c r="W73" s="1454"/>
      <c r="X73" s="1454"/>
      <c r="Y73" s="1454"/>
      <c r="Z73" s="1454"/>
    </row>
    <row r="74" ht="42.0" customHeight="1">
      <c r="A74" s="1452" t="s">
        <v>983</v>
      </c>
      <c r="B74" s="1453"/>
      <c r="C74" s="1434"/>
      <c r="D74" s="1434"/>
      <c r="E74" s="1434"/>
      <c r="F74" s="1434"/>
      <c r="G74" s="1434"/>
      <c r="H74" s="1434"/>
      <c r="I74" s="1434"/>
      <c r="J74" s="1434"/>
      <c r="K74" s="1434"/>
      <c r="L74" s="1434"/>
      <c r="M74" s="1434"/>
      <c r="N74" s="1434"/>
      <c r="O74" s="1434"/>
      <c r="P74" s="1434"/>
      <c r="Q74" s="1434"/>
      <c r="R74" s="1454"/>
      <c r="S74" s="1454"/>
      <c r="T74" s="1454"/>
      <c r="U74" s="1454"/>
      <c r="V74" s="1454"/>
      <c r="W74" s="1454"/>
      <c r="X74" s="1454"/>
      <c r="Y74" s="1454"/>
      <c r="Z74" s="1454"/>
    </row>
    <row r="75" ht="42.0" customHeight="1">
      <c r="A75" s="1452" t="s">
        <v>984</v>
      </c>
      <c r="B75" s="1453"/>
      <c r="C75" s="1434"/>
      <c r="D75" s="1434"/>
      <c r="E75" s="1434"/>
      <c r="F75" s="1434"/>
      <c r="G75" s="1434"/>
      <c r="H75" s="1434"/>
      <c r="I75" s="1434"/>
      <c r="J75" s="1434"/>
      <c r="K75" s="1434"/>
      <c r="L75" s="1434"/>
      <c r="M75" s="1434"/>
      <c r="N75" s="1434"/>
      <c r="O75" s="1434"/>
      <c r="P75" s="1434"/>
      <c r="Q75" s="1434"/>
      <c r="R75" s="1454"/>
      <c r="S75" s="1454"/>
      <c r="T75" s="1454"/>
      <c r="U75" s="1454"/>
      <c r="V75" s="1454"/>
      <c r="W75" s="1454"/>
      <c r="X75" s="1454"/>
      <c r="Y75" s="1454"/>
      <c r="Z75" s="1454"/>
    </row>
    <row r="76" ht="42.0" customHeight="1">
      <c r="A76" s="1452" t="s">
        <v>985</v>
      </c>
      <c r="B76" s="1453"/>
      <c r="C76" s="1434"/>
      <c r="D76" s="1434"/>
      <c r="E76" s="1434"/>
      <c r="F76" s="1434"/>
      <c r="G76" s="1434"/>
      <c r="H76" s="1434"/>
      <c r="I76" s="1434"/>
      <c r="J76" s="1434"/>
      <c r="K76" s="1434"/>
      <c r="L76" s="1434"/>
      <c r="M76" s="1434"/>
      <c r="N76" s="1434"/>
      <c r="O76" s="1434"/>
      <c r="P76" s="1434"/>
      <c r="Q76" s="1434"/>
      <c r="R76" s="1454"/>
      <c r="S76" s="1454"/>
      <c r="T76" s="1454"/>
      <c r="U76" s="1454"/>
      <c r="V76" s="1454"/>
      <c r="W76" s="1454"/>
      <c r="X76" s="1454"/>
      <c r="Y76" s="1454"/>
      <c r="Z76" s="1454"/>
    </row>
    <row r="77" ht="42.0" customHeight="1">
      <c r="A77" s="1452" t="s">
        <v>986</v>
      </c>
      <c r="B77" s="1453"/>
      <c r="C77" s="1434"/>
      <c r="D77" s="1434"/>
      <c r="E77" s="1434"/>
      <c r="F77" s="1434"/>
      <c r="G77" s="1434"/>
      <c r="H77" s="1434"/>
      <c r="I77" s="1434"/>
      <c r="J77" s="1434"/>
      <c r="K77" s="1434"/>
      <c r="L77" s="1434"/>
      <c r="M77" s="1434"/>
      <c r="N77" s="1434"/>
      <c r="O77" s="1434"/>
      <c r="P77" s="1434"/>
      <c r="Q77" s="1434"/>
      <c r="R77" s="1454"/>
      <c r="S77" s="1454"/>
      <c r="T77" s="1454"/>
      <c r="U77" s="1454"/>
      <c r="V77" s="1454"/>
      <c r="W77" s="1454"/>
      <c r="X77" s="1454"/>
      <c r="Y77" s="1454"/>
      <c r="Z77" s="1454"/>
    </row>
    <row r="78" ht="42.0" customHeight="1">
      <c r="A78" s="1452" t="s">
        <v>987</v>
      </c>
      <c r="B78" s="1453"/>
      <c r="C78" s="1434"/>
      <c r="D78" s="1434"/>
      <c r="E78" s="1434"/>
      <c r="F78" s="1434"/>
      <c r="G78" s="1434"/>
      <c r="H78" s="1434"/>
      <c r="I78" s="1434"/>
      <c r="J78" s="1434"/>
      <c r="K78" s="1434"/>
      <c r="L78" s="1434"/>
      <c r="M78" s="1434"/>
      <c r="N78" s="1434"/>
      <c r="O78" s="1434"/>
      <c r="P78" s="1434"/>
      <c r="Q78" s="1434"/>
      <c r="R78" s="1454"/>
      <c r="S78" s="1454"/>
      <c r="T78" s="1454"/>
      <c r="U78" s="1454"/>
      <c r="V78" s="1454"/>
      <c r="W78" s="1454"/>
      <c r="X78" s="1454"/>
      <c r="Y78" s="1454"/>
      <c r="Z78" s="1454"/>
    </row>
    <row r="79" ht="42.0" customHeight="1">
      <c r="A79" s="1452" t="s">
        <v>988</v>
      </c>
      <c r="B79" s="1453"/>
      <c r="C79" s="1434"/>
      <c r="D79" s="1434"/>
      <c r="E79" s="1434"/>
      <c r="F79" s="1434"/>
      <c r="G79" s="1434"/>
      <c r="H79" s="1434"/>
      <c r="I79" s="1434"/>
      <c r="J79" s="1434"/>
      <c r="K79" s="1434"/>
      <c r="L79" s="1434"/>
      <c r="M79" s="1434"/>
      <c r="N79" s="1434"/>
      <c r="O79" s="1434"/>
      <c r="P79" s="1434"/>
      <c r="Q79" s="1434"/>
      <c r="R79" s="1454"/>
      <c r="S79" s="1454"/>
      <c r="T79" s="1454"/>
      <c r="U79" s="1454"/>
      <c r="V79" s="1454"/>
      <c r="W79" s="1454"/>
      <c r="X79" s="1454"/>
      <c r="Y79" s="1454"/>
      <c r="Z79" s="1454"/>
    </row>
    <row r="80" ht="42.0" customHeight="1">
      <c r="A80" s="1452" t="s">
        <v>989</v>
      </c>
      <c r="B80" s="1453"/>
      <c r="C80" s="1434"/>
      <c r="D80" s="1434"/>
      <c r="E80" s="1434"/>
      <c r="F80" s="1434"/>
      <c r="G80" s="1434"/>
      <c r="H80" s="1434"/>
      <c r="I80" s="1434"/>
      <c r="J80" s="1434"/>
      <c r="K80" s="1434"/>
      <c r="L80" s="1434"/>
      <c r="M80" s="1434"/>
      <c r="N80" s="1434"/>
      <c r="O80" s="1434"/>
      <c r="P80" s="1434"/>
      <c r="Q80" s="1434"/>
      <c r="R80" s="1454"/>
      <c r="S80" s="1454"/>
      <c r="T80" s="1454"/>
      <c r="U80" s="1454"/>
      <c r="V80" s="1454"/>
      <c r="W80" s="1454"/>
      <c r="X80" s="1454"/>
      <c r="Y80" s="1454"/>
      <c r="Z80" s="1454"/>
    </row>
    <row r="81" ht="42.0" customHeight="1">
      <c r="A81" s="1452" t="s">
        <v>990</v>
      </c>
      <c r="B81" s="1453"/>
      <c r="C81" s="1434"/>
      <c r="D81" s="1434"/>
      <c r="E81" s="1434"/>
      <c r="F81" s="1434"/>
      <c r="G81" s="1434"/>
      <c r="H81" s="1434"/>
      <c r="I81" s="1434"/>
      <c r="J81" s="1434"/>
      <c r="K81" s="1434"/>
      <c r="L81" s="1434"/>
      <c r="M81" s="1434"/>
      <c r="N81" s="1434"/>
      <c r="O81" s="1434"/>
      <c r="P81" s="1434"/>
      <c r="Q81" s="1434"/>
      <c r="R81" s="1454"/>
      <c r="S81" s="1454"/>
      <c r="T81" s="1454"/>
      <c r="U81" s="1454"/>
      <c r="V81" s="1454"/>
      <c r="W81" s="1454"/>
      <c r="X81" s="1454"/>
      <c r="Y81" s="1454"/>
      <c r="Z81" s="1454"/>
    </row>
    <row r="82" ht="42.0" customHeight="1">
      <c r="A82" s="1452" t="s">
        <v>991</v>
      </c>
      <c r="B82" s="1453"/>
      <c r="C82" s="1434"/>
      <c r="D82" s="1434"/>
      <c r="E82" s="1434"/>
      <c r="F82" s="1434"/>
      <c r="G82" s="1434"/>
      <c r="H82" s="1434"/>
      <c r="I82" s="1434"/>
      <c r="J82" s="1434"/>
      <c r="K82" s="1434"/>
      <c r="L82" s="1434"/>
      <c r="M82" s="1434"/>
      <c r="N82" s="1434"/>
      <c r="O82" s="1434"/>
      <c r="P82" s="1434"/>
      <c r="Q82" s="1434"/>
      <c r="R82" s="1454"/>
      <c r="S82" s="1454"/>
      <c r="T82" s="1454"/>
      <c r="U82" s="1454"/>
      <c r="V82" s="1454"/>
      <c r="W82" s="1454"/>
      <c r="X82" s="1454"/>
      <c r="Y82" s="1454"/>
      <c r="Z82" s="1454"/>
    </row>
    <row r="83" ht="42.0" customHeight="1">
      <c r="A83" s="1452" t="s">
        <v>992</v>
      </c>
      <c r="B83" s="1453"/>
      <c r="C83" s="1434"/>
      <c r="D83" s="1434"/>
      <c r="E83" s="1434"/>
      <c r="F83" s="1434"/>
      <c r="G83" s="1434"/>
      <c r="H83" s="1434"/>
      <c r="I83" s="1434"/>
      <c r="J83" s="1434"/>
      <c r="K83" s="1434"/>
      <c r="L83" s="1434"/>
      <c r="M83" s="1434"/>
      <c r="N83" s="1434"/>
      <c r="O83" s="1434"/>
      <c r="P83" s="1434"/>
      <c r="Q83" s="1434"/>
      <c r="R83" s="1454"/>
      <c r="S83" s="1454"/>
      <c r="T83" s="1454"/>
      <c r="U83" s="1454"/>
      <c r="V83" s="1454"/>
      <c r="W83" s="1454"/>
      <c r="X83" s="1454"/>
      <c r="Y83" s="1454"/>
      <c r="Z83" s="1454"/>
    </row>
    <row r="84" ht="42.0" customHeight="1">
      <c r="A84" s="1452" t="s">
        <v>993</v>
      </c>
      <c r="B84" s="1453"/>
      <c r="C84" s="1434"/>
      <c r="D84" s="1434"/>
      <c r="E84" s="1434"/>
      <c r="F84" s="1434"/>
      <c r="G84" s="1434"/>
      <c r="H84" s="1434"/>
      <c r="I84" s="1434"/>
      <c r="J84" s="1434"/>
      <c r="K84" s="1434"/>
      <c r="L84" s="1434"/>
      <c r="M84" s="1434"/>
      <c r="N84" s="1434"/>
      <c r="O84" s="1434"/>
      <c r="P84" s="1434"/>
      <c r="Q84" s="1434"/>
      <c r="R84" s="1454"/>
      <c r="S84" s="1454"/>
      <c r="T84" s="1454"/>
      <c r="U84" s="1454"/>
      <c r="V84" s="1454"/>
      <c r="W84" s="1454"/>
      <c r="X84" s="1454"/>
      <c r="Y84" s="1454"/>
      <c r="Z84" s="1454"/>
    </row>
    <row r="85" ht="42.0" customHeight="1">
      <c r="A85" s="1452" t="s">
        <v>994</v>
      </c>
      <c r="B85" s="1453"/>
      <c r="C85" s="1434"/>
      <c r="D85" s="1434"/>
      <c r="E85" s="1434"/>
      <c r="F85" s="1434"/>
      <c r="G85" s="1434"/>
      <c r="H85" s="1434"/>
      <c r="I85" s="1434"/>
      <c r="J85" s="1434"/>
      <c r="K85" s="1434"/>
      <c r="L85" s="1434"/>
      <c r="M85" s="1434"/>
      <c r="N85" s="1434"/>
      <c r="O85" s="1434"/>
      <c r="P85" s="1434"/>
      <c r="Q85" s="1434"/>
      <c r="R85" s="1454"/>
      <c r="S85" s="1454"/>
      <c r="T85" s="1454"/>
      <c r="U85" s="1454"/>
      <c r="V85" s="1454"/>
      <c r="W85" s="1454"/>
      <c r="X85" s="1454"/>
      <c r="Y85" s="1454"/>
      <c r="Z85" s="1454"/>
    </row>
    <row r="86" ht="42.0" customHeight="1">
      <c r="A86" s="1452" t="s">
        <v>995</v>
      </c>
      <c r="B86" s="1453"/>
      <c r="C86" s="1434"/>
      <c r="D86" s="1434"/>
      <c r="E86" s="1434"/>
      <c r="F86" s="1434"/>
      <c r="G86" s="1434"/>
      <c r="H86" s="1434"/>
      <c r="I86" s="1434"/>
      <c r="J86" s="1434"/>
      <c r="K86" s="1434"/>
      <c r="L86" s="1434"/>
      <c r="M86" s="1434"/>
      <c r="N86" s="1434"/>
      <c r="O86" s="1434"/>
      <c r="P86" s="1434"/>
      <c r="Q86" s="1434"/>
      <c r="R86" s="1454"/>
      <c r="S86" s="1454"/>
      <c r="T86" s="1454"/>
      <c r="U86" s="1454"/>
      <c r="V86" s="1454"/>
      <c r="W86" s="1454"/>
      <c r="X86" s="1454"/>
      <c r="Y86" s="1454"/>
      <c r="Z86" s="1454"/>
    </row>
    <row r="87" ht="42.0" customHeight="1">
      <c r="A87" s="1452" t="s">
        <v>996</v>
      </c>
      <c r="B87" s="1453"/>
      <c r="C87" s="1434"/>
      <c r="D87" s="1434"/>
      <c r="E87" s="1434"/>
      <c r="F87" s="1434"/>
      <c r="G87" s="1434"/>
      <c r="H87" s="1434"/>
      <c r="I87" s="1434"/>
      <c r="J87" s="1434"/>
      <c r="K87" s="1434"/>
      <c r="L87" s="1434"/>
      <c r="M87" s="1434"/>
      <c r="N87" s="1434"/>
      <c r="O87" s="1434"/>
      <c r="P87" s="1434"/>
      <c r="Q87" s="1434"/>
      <c r="R87" s="1454"/>
      <c r="S87" s="1454"/>
      <c r="T87" s="1454"/>
      <c r="U87" s="1454"/>
      <c r="V87" s="1454"/>
      <c r="W87" s="1454"/>
      <c r="X87" s="1454"/>
      <c r="Y87" s="1454"/>
      <c r="Z87" s="1454"/>
    </row>
    <row r="88" ht="42.0" customHeight="1">
      <c r="A88" s="1452" t="s">
        <v>997</v>
      </c>
      <c r="B88" s="1453"/>
      <c r="C88" s="1434"/>
      <c r="D88" s="1434"/>
      <c r="E88" s="1434"/>
      <c r="F88" s="1434"/>
      <c r="G88" s="1434"/>
      <c r="H88" s="1434"/>
      <c r="I88" s="1434"/>
      <c r="J88" s="1434"/>
      <c r="K88" s="1434"/>
      <c r="L88" s="1434"/>
      <c r="M88" s="1434"/>
      <c r="N88" s="1434"/>
      <c r="O88" s="1434"/>
      <c r="P88" s="1434"/>
      <c r="Q88" s="1434"/>
      <c r="R88" s="1454"/>
      <c r="S88" s="1454"/>
      <c r="T88" s="1454"/>
      <c r="U88" s="1454"/>
      <c r="V88" s="1454"/>
      <c r="W88" s="1454"/>
      <c r="X88" s="1454"/>
      <c r="Y88" s="1454"/>
      <c r="Z88" s="1454"/>
    </row>
    <row r="89" ht="42.0" customHeight="1">
      <c r="A89" s="1452" t="s">
        <v>998</v>
      </c>
      <c r="B89" s="1453"/>
      <c r="C89" s="1434"/>
      <c r="D89" s="1434"/>
      <c r="E89" s="1434"/>
      <c r="F89" s="1434"/>
      <c r="G89" s="1434"/>
      <c r="H89" s="1434"/>
      <c r="I89" s="1434"/>
      <c r="J89" s="1434"/>
      <c r="K89" s="1434"/>
      <c r="L89" s="1434"/>
      <c r="M89" s="1434"/>
      <c r="N89" s="1434"/>
      <c r="O89" s="1434"/>
      <c r="P89" s="1434"/>
      <c r="Q89" s="1434"/>
      <c r="R89" s="1454"/>
      <c r="S89" s="1454"/>
      <c r="T89" s="1454"/>
      <c r="U89" s="1454"/>
      <c r="V89" s="1454"/>
      <c r="W89" s="1454"/>
      <c r="X89" s="1454"/>
      <c r="Y89" s="1454"/>
      <c r="Z89" s="1454"/>
    </row>
    <row r="90" ht="42.0" customHeight="1">
      <c r="A90" s="1452" t="s">
        <v>999</v>
      </c>
      <c r="B90" s="1453"/>
      <c r="C90" s="1434"/>
      <c r="D90" s="1434"/>
      <c r="E90" s="1434"/>
      <c r="F90" s="1434"/>
      <c r="G90" s="1434"/>
      <c r="H90" s="1434"/>
      <c r="I90" s="1434"/>
      <c r="J90" s="1434"/>
      <c r="K90" s="1434"/>
      <c r="L90" s="1434"/>
      <c r="M90" s="1434"/>
      <c r="N90" s="1434"/>
      <c r="O90" s="1434"/>
      <c r="P90" s="1434"/>
      <c r="Q90" s="1434"/>
      <c r="R90" s="1454"/>
      <c r="S90" s="1454"/>
      <c r="T90" s="1454"/>
      <c r="U90" s="1454"/>
      <c r="V90" s="1454"/>
      <c r="W90" s="1454"/>
      <c r="X90" s="1454"/>
      <c r="Y90" s="1454"/>
      <c r="Z90" s="1454"/>
    </row>
    <row r="91" ht="42.0" customHeight="1">
      <c r="A91" s="1452" t="s">
        <v>1000</v>
      </c>
      <c r="B91" s="1453"/>
      <c r="C91" s="1434"/>
      <c r="D91" s="1434"/>
      <c r="E91" s="1434"/>
      <c r="F91" s="1434"/>
      <c r="G91" s="1434"/>
      <c r="H91" s="1434"/>
      <c r="I91" s="1434"/>
      <c r="J91" s="1434"/>
      <c r="K91" s="1434"/>
      <c r="L91" s="1434"/>
      <c r="M91" s="1434"/>
      <c r="N91" s="1434"/>
      <c r="O91" s="1434"/>
      <c r="P91" s="1434"/>
      <c r="Q91" s="1434"/>
      <c r="R91" s="1454"/>
      <c r="S91" s="1454"/>
      <c r="T91" s="1454"/>
      <c r="U91" s="1454"/>
      <c r="V91" s="1454"/>
      <c r="W91" s="1454"/>
      <c r="X91" s="1454"/>
      <c r="Y91" s="1454"/>
      <c r="Z91" s="1454"/>
    </row>
    <row r="92" ht="42.0" customHeight="1">
      <c r="A92" s="1452" t="s">
        <v>1001</v>
      </c>
      <c r="B92" s="1453"/>
      <c r="C92" s="1434"/>
      <c r="D92" s="1434"/>
      <c r="E92" s="1434"/>
      <c r="F92" s="1434"/>
      <c r="G92" s="1434"/>
      <c r="H92" s="1434"/>
      <c r="I92" s="1434"/>
      <c r="J92" s="1434"/>
      <c r="K92" s="1434"/>
      <c r="L92" s="1434"/>
      <c r="M92" s="1434"/>
      <c r="N92" s="1434"/>
      <c r="O92" s="1434"/>
      <c r="P92" s="1434"/>
      <c r="Q92" s="1434"/>
      <c r="R92" s="1454"/>
      <c r="S92" s="1454"/>
      <c r="T92" s="1454"/>
      <c r="U92" s="1454"/>
      <c r="V92" s="1454"/>
      <c r="W92" s="1454"/>
      <c r="X92" s="1454"/>
      <c r="Y92" s="1454"/>
      <c r="Z92" s="1454"/>
    </row>
    <row r="93" ht="42.0" customHeight="1">
      <c r="A93" s="1452" t="s">
        <v>1002</v>
      </c>
      <c r="B93" s="1453"/>
      <c r="C93" s="1434"/>
      <c r="D93" s="1434"/>
      <c r="E93" s="1434"/>
      <c r="F93" s="1434"/>
      <c r="G93" s="1434"/>
      <c r="H93" s="1434"/>
      <c r="I93" s="1434"/>
      <c r="J93" s="1434"/>
      <c r="K93" s="1434"/>
      <c r="L93" s="1434"/>
      <c r="M93" s="1434"/>
      <c r="N93" s="1434"/>
      <c r="O93" s="1434"/>
      <c r="P93" s="1434"/>
      <c r="Q93" s="1434"/>
      <c r="R93" s="1454"/>
      <c r="S93" s="1454"/>
      <c r="T93" s="1454"/>
      <c r="U93" s="1454"/>
      <c r="V93" s="1454"/>
      <c r="W93" s="1454"/>
      <c r="X93" s="1454"/>
      <c r="Y93" s="1454"/>
      <c r="Z93" s="1454"/>
    </row>
    <row r="94" ht="42.0" customHeight="1">
      <c r="A94" s="1452" t="s">
        <v>1003</v>
      </c>
      <c r="B94" s="1453"/>
      <c r="C94" s="1434"/>
      <c r="D94" s="1434"/>
      <c r="E94" s="1434"/>
      <c r="F94" s="1434"/>
      <c r="G94" s="1434"/>
      <c r="H94" s="1434"/>
      <c r="I94" s="1434"/>
      <c r="J94" s="1434"/>
      <c r="K94" s="1434"/>
      <c r="L94" s="1434"/>
      <c r="M94" s="1434"/>
      <c r="N94" s="1434"/>
      <c r="O94" s="1434"/>
      <c r="P94" s="1434"/>
      <c r="Q94" s="1434"/>
      <c r="R94" s="1454"/>
      <c r="S94" s="1454"/>
      <c r="T94" s="1454"/>
      <c r="U94" s="1454"/>
      <c r="V94" s="1454"/>
      <c r="W94" s="1454"/>
      <c r="X94" s="1454"/>
      <c r="Y94" s="1454"/>
      <c r="Z94" s="1454"/>
    </row>
    <row r="95" ht="42.0" customHeight="1">
      <c r="A95" s="1452" t="s">
        <v>1004</v>
      </c>
      <c r="B95" s="1453"/>
      <c r="C95" s="1434"/>
      <c r="D95" s="1434"/>
      <c r="E95" s="1434"/>
      <c r="F95" s="1434"/>
      <c r="G95" s="1434"/>
      <c r="H95" s="1434"/>
      <c r="I95" s="1434"/>
      <c r="J95" s="1434"/>
      <c r="K95" s="1434"/>
      <c r="L95" s="1434"/>
      <c r="M95" s="1434"/>
      <c r="N95" s="1434"/>
      <c r="O95" s="1434"/>
      <c r="P95" s="1434"/>
      <c r="Q95" s="1434"/>
      <c r="R95" s="1454"/>
      <c r="S95" s="1454"/>
      <c r="T95" s="1454"/>
      <c r="U95" s="1454"/>
      <c r="V95" s="1454"/>
      <c r="W95" s="1454"/>
      <c r="X95" s="1454"/>
      <c r="Y95" s="1454"/>
      <c r="Z95" s="1454"/>
    </row>
    <row r="96" ht="42.0" customHeight="1">
      <c r="A96" s="1452" t="s">
        <v>1005</v>
      </c>
      <c r="B96" s="1453"/>
      <c r="C96" s="1434"/>
      <c r="D96" s="1434"/>
      <c r="E96" s="1434"/>
      <c r="F96" s="1434"/>
      <c r="G96" s="1434"/>
      <c r="H96" s="1434"/>
      <c r="I96" s="1434"/>
      <c r="J96" s="1434"/>
      <c r="K96" s="1434"/>
      <c r="L96" s="1434"/>
      <c r="M96" s="1434"/>
      <c r="N96" s="1434"/>
      <c r="O96" s="1434"/>
      <c r="P96" s="1434"/>
      <c r="Q96" s="1434"/>
      <c r="R96" s="1454"/>
      <c r="S96" s="1454"/>
      <c r="T96" s="1454"/>
      <c r="U96" s="1454"/>
      <c r="V96" s="1454"/>
      <c r="W96" s="1454"/>
      <c r="X96" s="1454"/>
      <c r="Y96" s="1454"/>
      <c r="Z96" s="1454"/>
    </row>
    <row r="97" ht="42.0" customHeight="1">
      <c r="A97" s="1452" t="s">
        <v>1006</v>
      </c>
      <c r="B97" s="1453"/>
      <c r="C97" s="1434"/>
      <c r="D97" s="1434"/>
      <c r="E97" s="1434"/>
      <c r="F97" s="1434"/>
      <c r="G97" s="1434"/>
      <c r="H97" s="1434"/>
      <c r="I97" s="1434"/>
      <c r="J97" s="1434"/>
      <c r="K97" s="1434"/>
      <c r="L97" s="1434"/>
      <c r="M97" s="1434"/>
      <c r="N97" s="1434"/>
      <c r="O97" s="1434"/>
      <c r="P97" s="1434"/>
      <c r="Q97" s="1434"/>
      <c r="R97" s="1454"/>
      <c r="S97" s="1454"/>
      <c r="T97" s="1454"/>
      <c r="U97" s="1454"/>
      <c r="V97" s="1454"/>
      <c r="W97" s="1454"/>
      <c r="X97" s="1454"/>
      <c r="Y97" s="1454"/>
      <c r="Z97" s="1454"/>
    </row>
    <row r="98" ht="42.0" customHeight="1">
      <c r="A98" s="1452" t="s">
        <v>1007</v>
      </c>
      <c r="B98" s="1453"/>
      <c r="C98" s="1434"/>
      <c r="D98" s="1434"/>
      <c r="E98" s="1434"/>
      <c r="F98" s="1434"/>
      <c r="G98" s="1434"/>
      <c r="H98" s="1434"/>
      <c r="I98" s="1434"/>
      <c r="J98" s="1434"/>
      <c r="K98" s="1434"/>
      <c r="L98" s="1434"/>
      <c r="M98" s="1434"/>
      <c r="N98" s="1434"/>
      <c r="O98" s="1434"/>
      <c r="P98" s="1434"/>
      <c r="Q98" s="1434"/>
      <c r="R98" s="1454"/>
      <c r="S98" s="1454"/>
      <c r="T98" s="1454"/>
      <c r="U98" s="1454"/>
      <c r="V98" s="1454"/>
      <c r="W98" s="1454"/>
      <c r="X98" s="1454"/>
      <c r="Y98" s="1454"/>
      <c r="Z98" s="1454"/>
    </row>
    <row r="99" ht="42.0" customHeight="1">
      <c r="A99" s="1452" t="s">
        <v>1008</v>
      </c>
      <c r="B99" s="1453"/>
      <c r="C99" s="1434"/>
      <c r="D99" s="1434"/>
      <c r="E99" s="1434"/>
      <c r="F99" s="1434"/>
      <c r="G99" s="1434"/>
      <c r="H99" s="1434"/>
      <c r="I99" s="1434"/>
      <c r="J99" s="1434"/>
      <c r="K99" s="1434"/>
      <c r="L99" s="1434"/>
      <c r="M99" s="1434"/>
      <c r="N99" s="1434"/>
      <c r="O99" s="1434"/>
      <c r="P99" s="1434"/>
      <c r="Q99" s="1434"/>
      <c r="R99" s="1454"/>
      <c r="S99" s="1454"/>
      <c r="T99" s="1454"/>
      <c r="U99" s="1454"/>
      <c r="V99" s="1454"/>
      <c r="W99" s="1454"/>
      <c r="X99" s="1454"/>
      <c r="Y99" s="1454"/>
      <c r="Z99" s="1454"/>
    </row>
    <row r="100" ht="42.0" customHeight="1">
      <c r="A100" s="1452" t="s">
        <v>1009</v>
      </c>
      <c r="B100" s="1453"/>
      <c r="C100" s="1434"/>
      <c r="D100" s="1434"/>
      <c r="E100" s="1434"/>
      <c r="F100" s="1434"/>
      <c r="G100" s="1434"/>
      <c r="H100" s="1434"/>
      <c r="I100" s="1434"/>
      <c r="J100" s="1434"/>
      <c r="K100" s="1434"/>
      <c r="L100" s="1434"/>
      <c r="M100" s="1434"/>
      <c r="N100" s="1434"/>
      <c r="O100" s="1434"/>
      <c r="P100" s="1434"/>
      <c r="Q100" s="1434"/>
      <c r="R100" s="1454"/>
      <c r="S100" s="1454"/>
      <c r="T100" s="1454"/>
      <c r="U100" s="1454"/>
      <c r="V100" s="1454"/>
      <c r="W100" s="1454"/>
      <c r="X100" s="1454"/>
      <c r="Y100" s="1454"/>
      <c r="Z100" s="1454"/>
    </row>
    <row r="101" ht="42.0" customHeight="1">
      <c r="A101" s="1452" t="s">
        <v>1010</v>
      </c>
      <c r="B101" s="1453"/>
      <c r="C101" s="1434"/>
      <c r="D101" s="1434"/>
      <c r="E101" s="1434"/>
      <c r="F101" s="1434"/>
      <c r="G101" s="1434"/>
      <c r="H101" s="1434"/>
      <c r="I101" s="1434"/>
      <c r="J101" s="1434"/>
      <c r="K101" s="1434"/>
      <c r="L101" s="1434"/>
      <c r="M101" s="1434"/>
      <c r="N101" s="1434"/>
      <c r="O101" s="1434"/>
      <c r="P101" s="1434"/>
      <c r="Q101" s="1434"/>
      <c r="R101" s="1454"/>
      <c r="S101" s="1454"/>
      <c r="T101" s="1454"/>
      <c r="U101" s="1454"/>
      <c r="V101" s="1454"/>
      <c r="W101" s="1454"/>
      <c r="X101" s="1454"/>
      <c r="Y101" s="1454"/>
      <c r="Z101" s="1454"/>
    </row>
    <row r="102" ht="42.0" customHeight="1">
      <c r="A102" s="1452" t="s">
        <v>1011</v>
      </c>
      <c r="B102" s="1453"/>
      <c r="C102" s="1434"/>
      <c r="D102" s="1434"/>
      <c r="E102" s="1434"/>
      <c r="F102" s="1434"/>
      <c r="G102" s="1434"/>
      <c r="H102" s="1434"/>
      <c r="I102" s="1434"/>
      <c r="J102" s="1434"/>
      <c r="K102" s="1434"/>
      <c r="L102" s="1434"/>
      <c r="M102" s="1434"/>
      <c r="N102" s="1434"/>
      <c r="O102" s="1434"/>
      <c r="P102" s="1434"/>
      <c r="Q102" s="1434"/>
      <c r="R102" s="1454"/>
      <c r="S102" s="1454"/>
      <c r="T102" s="1454"/>
      <c r="U102" s="1454"/>
      <c r="V102" s="1454"/>
      <c r="W102" s="1454"/>
      <c r="X102" s="1454"/>
      <c r="Y102" s="1454"/>
      <c r="Z102" s="1454"/>
    </row>
    <row r="103" ht="42.0" customHeight="1">
      <c r="A103" s="1452" t="s">
        <v>1012</v>
      </c>
      <c r="B103" s="1453"/>
      <c r="C103" s="1434"/>
      <c r="D103" s="1434"/>
      <c r="E103" s="1434"/>
      <c r="F103" s="1434"/>
      <c r="G103" s="1434"/>
      <c r="H103" s="1434"/>
      <c r="I103" s="1434"/>
      <c r="J103" s="1434"/>
      <c r="K103" s="1434"/>
      <c r="L103" s="1434"/>
      <c r="M103" s="1434"/>
      <c r="N103" s="1434"/>
      <c r="O103" s="1434"/>
      <c r="P103" s="1434"/>
      <c r="Q103" s="1434"/>
      <c r="R103" s="1454"/>
      <c r="S103" s="1454"/>
      <c r="T103" s="1454"/>
      <c r="U103" s="1454"/>
      <c r="V103" s="1454"/>
      <c r="W103" s="1454"/>
      <c r="X103" s="1454"/>
      <c r="Y103" s="1454"/>
      <c r="Z103" s="1454"/>
    </row>
    <row r="104" ht="42.0" customHeight="1">
      <c r="A104" s="1452" t="s">
        <v>1013</v>
      </c>
      <c r="B104" s="1453"/>
      <c r="C104" s="1434"/>
      <c r="D104" s="1434"/>
      <c r="E104" s="1434"/>
      <c r="F104" s="1434"/>
      <c r="G104" s="1434"/>
      <c r="H104" s="1434"/>
      <c r="I104" s="1434"/>
      <c r="J104" s="1434"/>
      <c r="K104" s="1434"/>
      <c r="L104" s="1434"/>
      <c r="M104" s="1434"/>
      <c r="N104" s="1434"/>
      <c r="O104" s="1434"/>
      <c r="P104" s="1434"/>
      <c r="Q104" s="1434"/>
      <c r="R104" s="1454"/>
      <c r="S104" s="1454"/>
      <c r="T104" s="1454"/>
      <c r="U104" s="1454"/>
      <c r="V104" s="1454"/>
      <c r="W104" s="1454"/>
      <c r="X104" s="1454"/>
      <c r="Y104" s="1454"/>
      <c r="Z104" s="1454"/>
    </row>
    <row r="105" ht="42.0" customHeight="1">
      <c r="A105" s="1452" t="s">
        <v>1014</v>
      </c>
      <c r="B105" s="1453"/>
      <c r="C105" s="1434"/>
      <c r="D105" s="1434"/>
      <c r="E105" s="1434"/>
      <c r="F105" s="1434"/>
      <c r="G105" s="1434"/>
      <c r="H105" s="1434"/>
      <c r="I105" s="1434"/>
      <c r="J105" s="1434"/>
      <c r="K105" s="1434"/>
      <c r="L105" s="1434"/>
      <c r="M105" s="1434"/>
      <c r="N105" s="1434"/>
      <c r="O105" s="1434"/>
      <c r="P105" s="1434"/>
      <c r="Q105" s="1434"/>
      <c r="R105" s="1454"/>
      <c r="S105" s="1454"/>
      <c r="T105" s="1454"/>
      <c r="U105" s="1454"/>
      <c r="V105" s="1454"/>
      <c r="W105" s="1454"/>
      <c r="X105" s="1454"/>
      <c r="Y105" s="1454"/>
      <c r="Z105" s="1454"/>
    </row>
    <row r="106" ht="42.0" customHeight="1">
      <c r="A106" s="1452" t="s">
        <v>1015</v>
      </c>
      <c r="B106" s="1453"/>
      <c r="C106" s="1434"/>
      <c r="D106" s="1434"/>
      <c r="E106" s="1434"/>
      <c r="F106" s="1434"/>
      <c r="G106" s="1434"/>
      <c r="H106" s="1434"/>
      <c r="I106" s="1434"/>
      <c r="J106" s="1434"/>
      <c r="K106" s="1434"/>
      <c r="L106" s="1434"/>
      <c r="M106" s="1434"/>
      <c r="N106" s="1434"/>
      <c r="O106" s="1434"/>
      <c r="P106" s="1434"/>
      <c r="Q106" s="1434"/>
      <c r="R106" s="1454"/>
      <c r="S106" s="1454"/>
      <c r="T106" s="1454"/>
      <c r="U106" s="1454"/>
      <c r="V106" s="1454"/>
      <c r="W106" s="1454"/>
      <c r="X106" s="1454"/>
      <c r="Y106" s="1454"/>
      <c r="Z106" s="1454"/>
    </row>
    <row r="107" ht="42.0" customHeight="1">
      <c r="A107" s="1452" t="s">
        <v>1016</v>
      </c>
      <c r="B107" s="1453"/>
      <c r="C107" s="1434"/>
      <c r="D107" s="1434"/>
      <c r="E107" s="1434"/>
      <c r="F107" s="1434"/>
      <c r="G107" s="1434"/>
      <c r="H107" s="1434"/>
      <c r="I107" s="1434"/>
      <c r="J107" s="1434"/>
      <c r="K107" s="1434"/>
      <c r="L107" s="1434"/>
      <c r="M107" s="1434"/>
      <c r="N107" s="1434"/>
      <c r="O107" s="1434"/>
      <c r="P107" s="1434"/>
      <c r="Q107" s="1434"/>
      <c r="R107" s="1454"/>
      <c r="S107" s="1454"/>
      <c r="T107" s="1454"/>
      <c r="U107" s="1454"/>
      <c r="V107" s="1454"/>
      <c r="W107" s="1454"/>
      <c r="X107" s="1454"/>
      <c r="Y107" s="1454"/>
      <c r="Z107" s="1454"/>
    </row>
    <row r="108" ht="42.0" customHeight="1">
      <c r="A108" s="1452" t="s">
        <v>1017</v>
      </c>
      <c r="B108" s="1453"/>
      <c r="C108" s="1434"/>
      <c r="D108" s="1434"/>
      <c r="E108" s="1434"/>
      <c r="F108" s="1434"/>
      <c r="G108" s="1434"/>
      <c r="H108" s="1434"/>
      <c r="I108" s="1434"/>
      <c r="J108" s="1434"/>
      <c r="K108" s="1434"/>
      <c r="L108" s="1434"/>
      <c r="M108" s="1434"/>
      <c r="N108" s="1434"/>
      <c r="O108" s="1434"/>
      <c r="P108" s="1434"/>
      <c r="Q108" s="1434"/>
      <c r="R108" s="1454"/>
      <c r="S108" s="1454"/>
      <c r="T108" s="1454"/>
      <c r="U108" s="1454"/>
      <c r="V108" s="1454"/>
      <c r="W108" s="1454"/>
      <c r="X108" s="1454"/>
      <c r="Y108" s="1454"/>
      <c r="Z108" s="1454"/>
    </row>
    <row r="109" ht="42.0" customHeight="1">
      <c r="A109" s="1452" t="s">
        <v>1018</v>
      </c>
      <c r="B109" s="1453"/>
      <c r="C109" s="1434"/>
      <c r="D109" s="1434"/>
      <c r="E109" s="1434"/>
      <c r="F109" s="1434"/>
      <c r="G109" s="1434"/>
      <c r="H109" s="1434"/>
      <c r="I109" s="1434"/>
      <c r="J109" s="1434"/>
      <c r="K109" s="1434"/>
      <c r="L109" s="1434"/>
      <c r="M109" s="1434"/>
      <c r="N109" s="1434"/>
      <c r="O109" s="1434"/>
      <c r="P109" s="1434"/>
      <c r="Q109" s="1434"/>
      <c r="R109" s="1454"/>
      <c r="S109" s="1454"/>
      <c r="T109" s="1454"/>
      <c r="U109" s="1454"/>
      <c r="V109" s="1454"/>
      <c r="W109" s="1454"/>
      <c r="X109" s="1454"/>
      <c r="Y109" s="1454"/>
      <c r="Z109" s="1454"/>
    </row>
    <row r="110" ht="42.0" customHeight="1">
      <c r="A110" s="1452" t="s">
        <v>1019</v>
      </c>
      <c r="B110" s="1453"/>
      <c r="C110" s="1434"/>
      <c r="D110" s="1434"/>
      <c r="E110" s="1434"/>
      <c r="F110" s="1434"/>
      <c r="G110" s="1434"/>
      <c r="H110" s="1434"/>
      <c r="I110" s="1434"/>
      <c r="J110" s="1434"/>
      <c r="K110" s="1434"/>
      <c r="L110" s="1434"/>
      <c r="M110" s="1434"/>
      <c r="N110" s="1434"/>
      <c r="O110" s="1434"/>
      <c r="P110" s="1434"/>
      <c r="Q110" s="1434"/>
      <c r="R110" s="1454"/>
      <c r="S110" s="1454"/>
      <c r="T110" s="1454"/>
      <c r="U110" s="1454"/>
      <c r="V110" s="1454"/>
      <c r="W110" s="1454"/>
      <c r="X110" s="1454"/>
      <c r="Y110" s="1454"/>
      <c r="Z110" s="1454"/>
    </row>
    <row r="111" ht="42.0" customHeight="1">
      <c r="A111" s="1452" t="s">
        <v>1020</v>
      </c>
      <c r="B111" s="1453"/>
      <c r="C111" s="1434"/>
      <c r="D111" s="1434"/>
      <c r="E111" s="1434"/>
      <c r="F111" s="1434"/>
      <c r="G111" s="1434"/>
      <c r="H111" s="1434"/>
      <c r="I111" s="1434"/>
      <c r="J111" s="1434"/>
      <c r="K111" s="1434"/>
      <c r="L111" s="1434"/>
      <c r="M111" s="1434"/>
      <c r="N111" s="1434"/>
      <c r="O111" s="1434"/>
      <c r="P111" s="1434"/>
      <c r="Q111" s="1434"/>
      <c r="R111" s="1454"/>
      <c r="S111" s="1454"/>
      <c r="T111" s="1454"/>
      <c r="U111" s="1454"/>
      <c r="V111" s="1454"/>
      <c r="W111" s="1454"/>
      <c r="X111" s="1454"/>
      <c r="Y111" s="1454"/>
      <c r="Z111" s="1454"/>
    </row>
    <row r="112" ht="42.0" customHeight="1">
      <c r="A112" s="1452" t="s">
        <v>1021</v>
      </c>
      <c r="B112" s="1453"/>
      <c r="C112" s="1434"/>
      <c r="D112" s="1434"/>
      <c r="E112" s="1434"/>
      <c r="F112" s="1434"/>
      <c r="G112" s="1434"/>
      <c r="H112" s="1434"/>
      <c r="I112" s="1434"/>
      <c r="J112" s="1434"/>
      <c r="K112" s="1434"/>
      <c r="L112" s="1434"/>
      <c r="M112" s="1434"/>
      <c r="N112" s="1434"/>
      <c r="O112" s="1434"/>
      <c r="P112" s="1434"/>
      <c r="Q112" s="1434"/>
      <c r="R112" s="1454"/>
      <c r="S112" s="1454"/>
      <c r="T112" s="1454"/>
      <c r="U112" s="1454"/>
      <c r="V112" s="1454"/>
      <c r="W112" s="1454"/>
      <c r="X112" s="1454"/>
      <c r="Y112" s="1454"/>
      <c r="Z112" s="1454"/>
    </row>
    <row r="113" ht="42.0" customHeight="1">
      <c r="A113" s="1452" t="s">
        <v>1022</v>
      </c>
      <c r="B113" s="1453"/>
      <c r="C113" s="1434"/>
      <c r="D113" s="1434"/>
      <c r="E113" s="1434"/>
      <c r="F113" s="1434"/>
      <c r="G113" s="1434"/>
      <c r="H113" s="1434"/>
      <c r="I113" s="1434"/>
      <c r="J113" s="1434"/>
      <c r="K113" s="1434"/>
      <c r="L113" s="1434"/>
      <c r="M113" s="1434"/>
      <c r="N113" s="1434"/>
      <c r="O113" s="1434"/>
      <c r="P113" s="1434"/>
      <c r="Q113" s="1434"/>
      <c r="R113" s="1454"/>
      <c r="S113" s="1454"/>
      <c r="T113" s="1454"/>
      <c r="U113" s="1454"/>
      <c r="V113" s="1454"/>
      <c r="W113" s="1454"/>
      <c r="X113" s="1454"/>
      <c r="Y113" s="1454"/>
      <c r="Z113" s="1454"/>
    </row>
    <row r="114" ht="42.0" customHeight="1">
      <c r="A114" s="1452" t="s">
        <v>1023</v>
      </c>
      <c r="B114" s="1453"/>
      <c r="C114" s="1434"/>
      <c r="D114" s="1434"/>
      <c r="E114" s="1434"/>
      <c r="F114" s="1434"/>
      <c r="G114" s="1434"/>
      <c r="H114" s="1434"/>
      <c r="I114" s="1434"/>
      <c r="J114" s="1434"/>
      <c r="K114" s="1434"/>
      <c r="L114" s="1434"/>
      <c r="M114" s="1434"/>
      <c r="N114" s="1434"/>
      <c r="O114" s="1434"/>
      <c r="P114" s="1434"/>
      <c r="Q114" s="1434"/>
      <c r="R114" s="1454"/>
      <c r="S114" s="1454"/>
      <c r="T114" s="1454"/>
      <c r="U114" s="1454"/>
      <c r="V114" s="1454"/>
      <c r="W114" s="1454"/>
      <c r="X114" s="1454"/>
      <c r="Y114" s="1454"/>
      <c r="Z114" s="1454"/>
    </row>
    <row r="115" ht="42.0" customHeight="1">
      <c r="A115" s="1452" t="s">
        <v>1024</v>
      </c>
      <c r="B115" s="1453"/>
      <c r="C115" s="1434"/>
      <c r="D115" s="1434"/>
      <c r="E115" s="1434"/>
      <c r="F115" s="1434"/>
      <c r="G115" s="1434"/>
      <c r="H115" s="1434"/>
      <c r="I115" s="1434"/>
      <c r="J115" s="1434"/>
      <c r="K115" s="1434"/>
      <c r="L115" s="1434"/>
      <c r="M115" s="1434"/>
      <c r="N115" s="1434"/>
      <c r="O115" s="1434"/>
      <c r="P115" s="1434"/>
      <c r="Q115" s="1434"/>
      <c r="R115" s="1454"/>
      <c r="S115" s="1454"/>
      <c r="T115" s="1454"/>
      <c r="U115" s="1454"/>
      <c r="V115" s="1454"/>
      <c r="W115" s="1454"/>
      <c r="X115" s="1454"/>
      <c r="Y115" s="1454"/>
      <c r="Z115" s="1454"/>
    </row>
    <row r="116" ht="42.0" customHeight="1">
      <c r="A116" s="1452" t="s">
        <v>1025</v>
      </c>
      <c r="B116" s="1453"/>
      <c r="C116" s="1434"/>
      <c r="D116" s="1434"/>
      <c r="E116" s="1434"/>
      <c r="F116" s="1434"/>
      <c r="G116" s="1434"/>
      <c r="H116" s="1434"/>
      <c r="I116" s="1434"/>
      <c r="J116" s="1434"/>
      <c r="K116" s="1434"/>
      <c r="L116" s="1434"/>
      <c r="M116" s="1434"/>
      <c r="N116" s="1434"/>
      <c r="O116" s="1434"/>
      <c r="P116" s="1434"/>
      <c r="Q116" s="1434"/>
      <c r="R116" s="1454"/>
      <c r="S116" s="1454"/>
      <c r="T116" s="1454"/>
      <c r="U116" s="1454"/>
      <c r="V116" s="1454"/>
      <c r="W116" s="1454"/>
      <c r="X116" s="1454"/>
      <c r="Y116" s="1454"/>
      <c r="Z116" s="1454"/>
    </row>
    <row r="117" ht="42.0" customHeight="1">
      <c r="A117" s="1452" t="s">
        <v>1026</v>
      </c>
      <c r="B117" s="1453"/>
      <c r="C117" s="1434"/>
      <c r="D117" s="1434"/>
      <c r="E117" s="1434"/>
      <c r="F117" s="1434"/>
      <c r="G117" s="1434"/>
      <c r="H117" s="1434"/>
      <c r="I117" s="1434"/>
      <c r="J117" s="1434"/>
      <c r="K117" s="1434"/>
      <c r="L117" s="1434"/>
      <c r="M117" s="1434"/>
      <c r="N117" s="1434"/>
      <c r="O117" s="1434"/>
      <c r="P117" s="1434"/>
      <c r="Q117" s="1434"/>
      <c r="R117" s="1454"/>
      <c r="S117" s="1454"/>
      <c r="T117" s="1454"/>
      <c r="U117" s="1454"/>
      <c r="V117" s="1454"/>
      <c r="W117" s="1454"/>
      <c r="X117" s="1454"/>
      <c r="Y117" s="1454"/>
      <c r="Z117" s="1454"/>
    </row>
    <row r="118" ht="42.0" customHeight="1">
      <c r="A118" s="1452" t="s">
        <v>1027</v>
      </c>
      <c r="B118" s="1453"/>
      <c r="C118" s="1434"/>
      <c r="D118" s="1434"/>
      <c r="E118" s="1434"/>
      <c r="F118" s="1434"/>
      <c r="G118" s="1434"/>
      <c r="H118" s="1434"/>
      <c r="I118" s="1434"/>
      <c r="J118" s="1434"/>
      <c r="K118" s="1434"/>
      <c r="L118" s="1434"/>
      <c r="M118" s="1434"/>
      <c r="N118" s="1434"/>
      <c r="O118" s="1434"/>
      <c r="P118" s="1434"/>
      <c r="Q118" s="1434"/>
      <c r="R118" s="1454"/>
      <c r="S118" s="1454"/>
      <c r="T118" s="1454"/>
      <c r="U118" s="1454"/>
      <c r="V118" s="1454"/>
      <c r="W118" s="1454"/>
      <c r="X118" s="1454"/>
      <c r="Y118" s="1454"/>
      <c r="Z118" s="1454"/>
    </row>
    <row r="119" ht="42.0" customHeight="1">
      <c r="A119" s="1452" t="s">
        <v>1028</v>
      </c>
      <c r="B119" s="1453"/>
      <c r="C119" s="1434"/>
      <c r="D119" s="1434"/>
      <c r="E119" s="1434"/>
      <c r="F119" s="1434"/>
      <c r="G119" s="1434"/>
      <c r="H119" s="1434"/>
      <c r="I119" s="1434"/>
      <c r="J119" s="1434"/>
      <c r="K119" s="1434"/>
      <c r="L119" s="1434"/>
      <c r="M119" s="1434"/>
      <c r="N119" s="1434"/>
      <c r="O119" s="1434"/>
      <c r="P119" s="1434"/>
      <c r="Q119" s="1434"/>
      <c r="R119" s="1454"/>
      <c r="S119" s="1454"/>
      <c r="T119" s="1454"/>
      <c r="U119" s="1454"/>
      <c r="V119" s="1454"/>
      <c r="W119" s="1454"/>
      <c r="X119" s="1454"/>
      <c r="Y119" s="1454"/>
      <c r="Z119" s="1454"/>
    </row>
    <row r="120" ht="42.0" customHeight="1">
      <c r="A120" s="1452" t="s">
        <v>1029</v>
      </c>
      <c r="B120" s="1453"/>
      <c r="C120" s="1434"/>
      <c r="D120" s="1434"/>
      <c r="E120" s="1434"/>
      <c r="F120" s="1434"/>
      <c r="G120" s="1434"/>
      <c r="H120" s="1434"/>
      <c r="I120" s="1434"/>
      <c r="J120" s="1434"/>
      <c r="K120" s="1434"/>
      <c r="L120" s="1434"/>
      <c r="M120" s="1434"/>
      <c r="N120" s="1434"/>
      <c r="O120" s="1434"/>
      <c r="P120" s="1434"/>
      <c r="Q120" s="1434"/>
      <c r="R120" s="1454"/>
      <c r="S120" s="1454"/>
      <c r="T120" s="1454"/>
      <c r="U120" s="1454"/>
      <c r="V120" s="1454"/>
      <c r="W120" s="1454"/>
      <c r="X120" s="1454"/>
      <c r="Y120" s="1454"/>
      <c r="Z120" s="1454"/>
    </row>
    <row r="121" ht="42.0" customHeight="1">
      <c r="A121" s="1452" t="s">
        <v>1030</v>
      </c>
      <c r="B121" s="1453"/>
      <c r="C121" s="1434"/>
      <c r="D121" s="1434"/>
      <c r="E121" s="1434"/>
      <c r="F121" s="1434"/>
      <c r="G121" s="1434"/>
      <c r="H121" s="1434"/>
      <c r="I121" s="1434"/>
      <c r="J121" s="1434"/>
      <c r="K121" s="1434"/>
      <c r="L121" s="1434"/>
      <c r="M121" s="1434"/>
      <c r="N121" s="1434"/>
      <c r="O121" s="1434"/>
      <c r="P121" s="1434"/>
      <c r="Q121" s="1434"/>
      <c r="R121" s="1454"/>
      <c r="S121" s="1454"/>
      <c r="T121" s="1454"/>
      <c r="U121" s="1454"/>
      <c r="V121" s="1454"/>
      <c r="W121" s="1454"/>
      <c r="X121" s="1454"/>
      <c r="Y121" s="1454"/>
      <c r="Z121" s="1454"/>
    </row>
    <row r="122" ht="42.0" customHeight="1">
      <c r="A122" s="1452" t="s">
        <v>1031</v>
      </c>
      <c r="B122" s="1453"/>
      <c r="C122" s="1434"/>
      <c r="D122" s="1434"/>
      <c r="E122" s="1434"/>
      <c r="F122" s="1434"/>
      <c r="G122" s="1434"/>
      <c r="H122" s="1434"/>
      <c r="I122" s="1434"/>
      <c r="J122" s="1434"/>
      <c r="K122" s="1434"/>
      <c r="L122" s="1434"/>
      <c r="M122" s="1434"/>
      <c r="N122" s="1434"/>
      <c r="O122" s="1434"/>
      <c r="P122" s="1434"/>
      <c r="Q122" s="1434"/>
      <c r="R122" s="1454"/>
      <c r="S122" s="1454"/>
      <c r="T122" s="1454"/>
      <c r="U122" s="1454"/>
      <c r="V122" s="1454"/>
      <c r="W122" s="1454"/>
      <c r="X122" s="1454"/>
      <c r="Y122" s="1454"/>
      <c r="Z122" s="1454"/>
    </row>
    <row r="123" ht="42.0" customHeight="1">
      <c r="A123" s="1452" t="s">
        <v>1032</v>
      </c>
      <c r="B123" s="1453"/>
      <c r="C123" s="1434"/>
      <c r="D123" s="1434"/>
      <c r="E123" s="1434"/>
      <c r="F123" s="1434"/>
      <c r="G123" s="1434"/>
      <c r="H123" s="1434"/>
      <c r="I123" s="1434"/>
      <c r="J123" s="1434"/>
      <c r="K123" s="1434"/>
      <c r="L123" s="1434"/>
      <c r="M123" s="1434"/>
      <c r="N123" s="1434"/>
      <c r="O123" s="1434"/>
      <c r="P123" s="1434"/>
      <c r="Q123" s="1434"/>
      <c r="R123" s="1454"/>
      <c r="S123" s="1454"/>
      <c r="T123" s="1454"/>
      <c r="U123" s="1454"/>
      <c r="V123" s="1454"/>
      <c r="W123" s="1454"/>
      <c r="X123" s="1454"/>
      <c r="Y123" s="1454"/>
      <c r="Z123" s="1454"/>
    </row>
    <row r="124" ht="42.0" customHeight="1">
      <c r="A124" s="1452" t="s">
        <v>1033</v>
      </c>
      <c r="B124" s="1453"/>
      <c r="C124" s="1434"/>
      <c r="D124" s="1434"/>
      <c r="E124" s="1434"/>
      <c r="F124" s="1434"/>
      <c r="G124" s="1434"/>
      <c r="H124" s="1434"/>
      <c r="I124" s="1434"/>
      <c r="J124" s="1434"/>
      <c r="K124" s="1434"/>
      <c r="L124" s="1434"/>
      <c r="M124" s="1434"/>
      <c r="N124" s="1434"/>
      <c r="O124" s="1434"/>
      <c r="P124" s="1434"/>
      <c r="Q124" s="1434"/>
      <c r="R124" s="1454"/>
      <c r="S124" s="1454"/>
      <c r="T124" s="1454"/>
      <c r="U124" s="1454"/>
      <c r="V124" s="1454"/>
      <c r="W124" s="1454"/>
      <c r="X124" s="1454"/>
      <c r="Y124" s="1454"/>
      <c r="Z124" s="1454"/>
    </row>
    <row r="125" ht="42.0" customHeight="1">
      <c r="A125" s="1452" t="s">
        <v>1034</v>
      </c>
      <c r="B125" s="1453"/>
      <c r="C125" s="1434"/>
      <c r="D125" s="1434"/>
      <c r="E125" s="1434"/>
      <c r="F125" s="1434"/>
      <c r="G125" s="1434"/>
      <c r="H125" s="1434"/>
      <c r="I125" s="1434"/>
      <c r="J125" s="1434"/>
      <c r="K125" s="1434"/>
      <c r="L125" s="1434"/>
      <c r="M125" s="1434"/>
      <c r="N125" s="1434"/>
      <c r="O125" s="1434"/>
      <c r="P125" s="1434"/>
      <c r="Q125" s="1434"/>
      <c r="R125" s="1454"/>
      <c r="S125" s="1454"/>
      <c r="T125" s="1454"/>
      <c r="U125" s="1454"/>
      <c r="V125" s="1454"/>
      <c r="W125" s="1454"/>
      <c r="X125" s="1454"/>
      <c r="Y125" s="1454"/>
      <c r="Z125" s="1454"/>
    </row>
    <row r="126" ht="42.0" customHeight="1">
      <c r="A126" s="1452" t="s">
        <v>1035</v>
      </c>
      <c r="B126" s="1453"/>
      <c r="C126" s="1434"/>
      <c r="D126" s="1434"/>
      <c r="E126" s="1434"/>
      <c r="F126" s="1434"/>
      <c r="G126" s="1434"/>
      <c r="H126" s="1434"/>
      <c r="I126" s="1434"/>
      <c r="J126" s="1434"/>
      <c r="K126" s="1434"/>
      <c r="L126" s="1434"/>
      <c r="M126" s="1434"/>
      <c r="N126" s="1434"/>
      <c r="O126" s="1434"/>
      <c r="P126" s="1434"/>
      <c r="Q126" s="1434"/>
      <c r="R126" s="1454"/>
      <c r="S126" s="1454"/>
      <c r="T126" s="1454"/>
      <c r="U126" s="1454"/>
      <c r="V126" s="1454"/>
      <c r="W126" s="1454"/>
      <c r="X126" s="1454"/>
      <c r="Y126" s="1454"/>
      <c r="Z126" s="1454"/>
    </row>
    <row r="127" ht="42.0" customHeight="1">
      <c r="A127" s="1452" t="s">
        <v>1036</v>
      </c>
      <c r="B127" s="1453"/>
      <c r="C127" s="1434"/>
      <c r="D127" s="1434"/>
      <c r="E127" s="1434"/>
      <c r="F127" s="1434"/>
      <c r="G127" s="1434"/>
      <c r="H127" s="1434"/>
      <c r="I127" s="1434"/>
      <c r="J127" s="1434"/>
      <c r="K127" s="1434"/>
      <c r="L127" s="1434"/>
      <c r="M127" s="1434"/>
      <c r="N127" s="1434"/>
      <c r="O127" s="1434"/>
      <c r="P127" s="1434"/>
      <c r="Q127" s="1434"/>
      <c r="R127" s="1454"/>
      <c r="S127" s="1454"/>
      <c r="T127" s="1454"/>
      <c r="U127" s="1454"/>
      <c r="V127" s="1454"/>
      <c r="W127" s="1454"/>
      <c r="X127" s="1454"/>
      <c r="Y127" s="1454"/>
      <c r="Z127" s="1454"/>
    </row>
    <row r="128" ht="42.0" customHeight="1">
      <c r="A128" s="1452" t="s">
        <v>1037</v>
      </c>
      <c r="B128" s="1453"/>
      <c r="C128" s="1434"/>
      <c r="D128" s="1434"/>
      <c r="E128" s="1434"/>
      <c r="F128" s="1434"/>
      <c r="G128" s="1434"/>
      <c r="H128" s="1434"/>
      <c r="I128" s="1434"/>
      <c r="J128" s="1434"/>
      <c r="K128" s="1434"/>
      <c r="L128" s="1434"/>
      <c r="M128" s="1434"/>
      <c r="N128" s="1434"/>
      <c r="O128" s="1434"/>
      <c r="P128" s="1434"/>
      <c r="Q128" s="1434"/>
      <c r="R128" s="1454"/>
      <c r="S128" s="1454"/>
      <c r="T128" s="1454"/>
      <c r="U128" s="1454"/>
      <c r="V128" s="1454"/>
      <c r="W128" s="1454"/>
      <c r="X128" s="1454"/>
      <c r="Y128" s="1454"/>
      <c r="Z128" s="1454"/>
    </row>
    <row r="129" ht="42.0" customHeight="1">
      <c r="A129" s="1452" t="s">
        <v>1038</v>
      </c>
      <c r="B129" s="1453"/>
      <c r="C129" s="1434"/>
      <c r="D129" s="1434"/>
      <c r="E129" s="1434"/>
      <c r="F129" s="1434"/>
      <c r="G129" s="1434"/>
      <c r="H129" s="1434"/>
      <c r="I129" s="1434"/>
      <c r="J129" s="1434"/>
      <c r="K129" s="1434"/>
      <c r="L129" s="1434"/>
      <c r="M129" s="1434"/>
      <c r="N129" s="1434"/>
      <c r="O129" s="1434"/>
      <c r="P129" s="1434"/>
      <c r="Q129" s="1434"/>
      <c r="R129" s="1454"/>
      <c r="S129" s="1454"/>
      <c r="T129" s="1454"/>
      <c r="U129" s="1454"/>
      <c r="V129" s="1454"/>
      <c r="W129" s="1454"/>
      <c r="X129" s="1454"/>
      <c r="Y129" s="1454"/>
      <c r="Z129" s="1454"/>
    </row>
    <row r="130" ht="42.0" customHeight="1">
      <c r="A130" s="1452" t="s">
        <v>1039</v>
      </c>
      <c r="B130" s="1453"/>
      <c r="C130" s="1434"/>
      <c r="D130" s="1434"/>
      <c r="E130" s="1434"/>
      <c r="F130" s="1434"/>
      <c r="G130" s="1434"/>
      <c r="H130" s="1434"/>
      <c r="I130" s="1434"/>
      <c r="J130" s="1434"/>
      <c r="K130" s="1434"/>
      <c r="L130" s="1434"/>
      <c r="M130" s="1434"/>
      <c r="N130" s="1434"/>
      <c r="O130" s="1434"/>
      <c r="P130" s="1434"/>
      <c r="Q130" s="1434"/>
      <c r="R130" s="1454"/>
      <c r="S130" s="1454"/>
      <c r="T130" s="1454"/>
      <c r="U130" s="1454"/>
      <c r="V130" s="1454"/>
      <c r="W130" s="1454"/>
      <c r="X130" s="1454"/>
      <c r="Y130" s="1454"/>
      <c r="Z130" s="1454"/>
    </row>
    <row r="131" ht="42.0" customHeight="1">
      <c r="A131" s="1452" t="s">
        <v>1040</v>
      </c>
      <c r="B131" s="1453"/>
      <c r="C131" s="1434"/>
      <c r="D131" s="1434"/>
      <c r="E131" s="1434"/>
      <c r="F131" s="1434"/>
      <c r="G131" s="1434"/>
      <c r="H131" s="1434"/>
      <c r="I131" s="1434"/>
      <c r="J131" s="1434"/>
      <c r="K131" s="1434"/>
      <c r="L131" s="1434"/>
      <c r="M131" s="1434"/>
      <c r="N131" s="1434"/>
      <c r="O131" s="1434"/>
      <c r="P131" s="1434"/>
      <c r="Q131" s="1434"/>
      <c r="R131" s="1454"/>
      <c r="S131" s="1454"/>
      <c r="T131" s="1454"/>
      <c r="U131" s="1454"/>
      <c r="V131" s="1454"/>
      <c r="W131" s="1454"/>
      <c r="X131" s="1454"/>
      <c r="Y131" s="1454"/>
      <c r="Z131" s="1454"/>
    </row>
    <row r="132" ht="42.0" customHeight="1">
      <c r="A132" s="1452" t="s">
        <v>1027</v>
      </c>
      <c r="B132" s="1453"/>
      <c r="C132" s="1434"/>
      <c r="D132" s="1434"/>
      <c r="E132" s="1434"/>
      <c r="F132" s="1434"/>
      <c r="G132" s="1434"/>
      <c r="H132" s="1434"/>
      <c r="I132" s="1434"/>
      <c r="J132" s="1434"/>
      <c r="K132" s="1434"/>
      <c r="L132" s="1434"/>
      <c r="M132" s="1434"/>
      <c r="N132" s="1434"/>
      <c r="O132" s="1434"/>
      <c r="P132" s="1434"/>
      <c r="Q132" s="1434"/>
      <c r="R132" s="1454"/>
      <c r="S132" s="1454"/>
      <c r="T132" s="1454"/>
      <c r="U132" s="1454"/>
      <c r="V132" s="1454"/>
      <c r="W132" s="1454"/>
      <c r="X132" s="1454"/>
      <c r="Y132" s="1454"/>
      <c r="Z132" s="1454"/>
    </row>
    <row r="133" ht="42.0" customHeight="1">
      <c r="A133" s="1452" t="s">
        <v>1041</v>
      </c>
      <c r="B133" s="1453"/>
      <c r="C133" s="1434"/>
      <c r="D133" s="1434"/>
      <c r="E133" s="1434"/>
      <c r="F133" s="1434"/>
      <c r="G133" s="1434"/>
      <c r="H133" s="1434"/>
      <c r="I133" s="1434"/>
      <c r="J133" s="1434"/>
      <c r="K133" s="1434"/>
      <c r="L133" s="1434"/>
      <c r="M133" s="1434"/>
      <c r="N133" s="1434"/>
      <c r="O133" s="1434"/>
      <c r="P133" s="1434"/>
      <c r="Q133" s="1434"/>
      <c r="R133" s="1454"/>
      <c r="S133" s="1454"/>
      <c r="T133" s="1454"/>
      <c r="U133" s="1454"/>
      <c r="V133" s="1454"/>
      <c r="W133" s="1454"/>
      <c r="X133" s="1454"/>
      <c r="Y133" s="1454"/>
      <c r="Z133" s="1454"/>
    </row>
    <row r="134" ht="42.0" customHeight="1">
      <c r="A134" s="1452" t="s">
        <v>1042</v>
      </c>
      <c r="B134" s="1453"/>
      <c r="C134" s="1434"/>
      <c r="D134" s="1434"/>
      <c r="E134" s="1434"/>
      <c r="F134" s="1434"/>
      <c r="G134" s="1434"/>
      <c r="H134" s="1434"/>
      <c r="I134" s="1434"/>
      <c r="J134" s="1434"/>
      <c r="K134" s="1434"/>
      <c r="L134" s="1434"/>
      <c r="M134" s="1434"/>
      <c r="N134" s="1434"/>
      <c r="O134" s="1434"/>
      <c r="P134" s="1434"/>
      <c r="Q134" s="1434"/>
      <c r="R134" s="1454"/>
      <c r="S134" s="1454"/>
      <c r="T134" s="1454"/>
      <c r="U134" s="1454"/>
      <c r="V134" s="1454"/>
      <c r="W134" s="1454"/>
      <c r="X134" s="1454"/>
      <c r="Y134" s="1454"/>
      <c r="Z134" s="1454"/>
    </row>
    <row r="135" ht="42.0" customHeight="1">
      <c r="A135" s="1452" t="s">
        <v>1043</v>
      </c>
      <c r="B135" s="1453"/>
      <c r="C135" s="1434"/>
      <c r="D135" s="1434"/>
      <c r="E135" s="1434"/>
      <c r="F135" s="1434"/>
      <c r="G135" s="1434"/>
      <c r="H135" s="1434"/>
      <c r="I135" s="1434"/>
      <c r="J135" s="1434"/>
      <c r="K135" s="1434"/>
      <c r="L135" s="1434"/>
      <c r="M135" s="1434"/>
      <c r="N135" s="1434"/>
      <c r="O135" s="1434"/>
      <c r="P135" s="1434"/>
      <c r="Q135" s="1434"/>
      <c r="R135" s="1454"/>
      <c r="S135" s="1454"/>
      <c r="T135" s="1454"/>
      <c r="U135" s="1454"/>
      <c r="V135" s="1454"/>
      <c r="W135" s="1454"/>
      <c r="X135" s="1454"/>
      <c r="Y135" s="1454"/>
      <c r="Z135" s="1454"/>
    </row>
    <row r="136" ht="42.0" customHeight="1">
      <c r="A136" s="1452" t="s">
        <v>1044</v>
      </c>
      <c r="B136" s="1453"/>
      <c r="C136" s="1434"/>
      <c r="D136" s="1434"/>
      <c r="E136" s="1434"/>
      <c r="F136" s="1434"/>
      <c r="G136" s="1434"/>
      <c r="H136" s="1434"/>
      <c r="I136" s="1434"/>
      <c r="J136" s="1434"/>
      <c r="K136" s="1434"/>
      <c r="L136" s="1434"/>
      <c r="M136" s="1434"/>
      <c r="N136" s="1434"/>
      <c r="O136" s="1434"/>
      <c r="P136" s="1434"/>
      <c r="Q136" s="1434"/>
      <c r="R136" s="1454"/>
      <c r="S136" s="1454"/>
      <c r="T136" s="1454"/>
      <c r="U136" s="1454"/>
      <c r="V136" s="1454"/>
      <c r="W136" s="1454"/>
      <c r="X136" s="1454"/>
      <c r="Y136" s="1454"/>
      <c r="Z136" s="1454"/>
    </row>
    <row r="137" ht="42.0" customHeight="1">
      <c r="A137" s="1452" t="s">
        <v>1045</v>
      </c>
      <c r="B137" s="1453"/>
      <c r="C137" s="1434"/>
      <c r="D137" s="1434"/>
      <c r="E137" s="1434"/>
      <c r="F137" s="1434"/>
      <c r="G137" s="1434"/>
      <c r="H137" s="1434"/>
      <c r="I137" s="1434"/>
      <c r="J137" s="1434"/>
      <c r="K137" s="1434"/>
      <c r="L137" s="1434"/>
      <c r="M137" s="1434"/>
      <c r="N137" s="1434"/>
      <c r="O137" s="1434"/>
      <c r="P137" s="1434"/>
      <c r="Q137" s="1434"/>
      <c r="R137" s="1454"/>
      <c r="S137" s="1454"/>
      <c r="T137" s="1454"/>
      <c r="U137" s="1454"/>
      <c r="V137" s="1454"/>
      <c r="W137" s="1454"/>
      <c r="X137" s="1454"/>
      <c r="Y137" s="1454"/>
      <c r="Z137" s="1454"/>
    </row>
    <row r="138" ht="42.0" customHeight="1">
      <c r="A138" s="1452" t="s">
        <v>1046</v>
      </c>
      <c r="B138" s="1453"/>
      <c r="C138" s="1434"/>
      <c r="D138" s="1434"/>
      <c r="E138" s="1434"/>
      <c r="F138" s="1434"/>
      <c r="G138" s="1434"/>
      <c r="H138" s="1434"/>
      <c r="I138" s="1434"/>
      <c r="J138" s="1434"/>
      <c r="K138" s="1434"/>
      <c r="L138" s="1434"/>
      <c r="M138" s="1434"/>
      <c r="N138" s="1434"/>
      <c r="O138" s="1434"/>
      <c r="P138" s="1434"/>
      <c r="Q138" s="1434"/>
      <c r="R138" s="1454"/>
      <c r="S138" s="1454"/>
      <c r="T138" s="1454"/>
      <c r="U138" s="1454"/>
      <c r="V138" s="1454"/>
      <c r="W138" s="1454"/>
      <c r="X138" s="1454"/>
      <c r="Y138" s="1454"/>
      <c r="Z138" s="1454"/>
    </row>
    <row r="139" ht="42.0" customHeight="1">
      <c r="A139" s="1452" t="s">
        <v>1047</v>
      </c>
      <c r="B139" s="1453"/>
      <c r="C139" s="1434"/>
      <c r="D139" s="1434"/>
      <c r="E139" s="1434"/>
      <c r="F139" s="1434"/>
      <c r="G139" s="1434"/>
      <c r="H139" s="1434"/>
      <c r="I139" s="1434"/>
      <c r="J139" s="1434"/>
      <c r="K139" s="1434"/>
      <c r="L139" s="1434"/>
      <c r="M139" s="1434"/>
      <c r="N139" s="1434"/>
      <c r="O139" s="1434"/>
      <c r="P139" s="1434"/>
      <c r="Q139" s="1434"/>
      <c r="R139" s="1454"/>
      <c r="S139" s="1454"/>
      <c r="T139" s="1454"/>
      <c r="U139" s="1454"/>
      <c r="V139" s="1454"/>
      <c r="W139" s="1454"/>
      <c r="X139" s="1454"/>
      <c r="Y139" s="1454"/>
      <c r="Z139" s="1454"/>
    </row>
    <row r="140" ht="42.0" customHeight="1">
      <c r="A140" s="1452" t="s">
        <v>932</v>
      </c>
      <c r="B140" s="1453"/>
      <c r="C140" s="1434"/>
      <c r="D140" s="1434"/>
      <c r="E140" s="1434"/>
      <c r="F140" s="1434"/>
      <c r="G140" s="1434"/>
      <c r="H140" s="1434"/>
      <c r="I140" s="1434"/>
      <c r="J140" s="1434"/>
      <c r="K140" s="1434"/>
      <c r="L140" s="1434"/>
      <c r="M140" s="1434"/>
      <c r="N140" s="1434"/>
      <c r="O140" s="1434"/>
      <c r="P140" s="1434"/>
      <c r="Q140" s="1434"/>
      <c r="R140" s="1454"/>
      <c r="S140" s="1454"/>
      <c r="T140" s="1454"/>
      <c r="U140" s="1454"/>
      <c r="V140" s="1454"/>
      <c r="W140" s="1454"/>
      <c r="X140" s="1454"/>
      <c r="Y140" s="1454"/>
      <c r="Z140" s="1454"/>
    </row>
    <row r="141" ht="42.0" customHeight="1">
      <c r="A141" s="1452" t="s">
        <v>1048</v>
      </c>
      <c r="B141" s="1453"/>
      <c r="C141" s="1434"/>
      <c r="D141" s="1434"/>
      <c r="E141" s="1434"/>
      <c r="F141" s="1434"/>
      <c r="G141" s="1434"/>
      <c r="H141" s="1434"/>
      <c r="I141" s="1434"/>
      <c r="J141" s="1434"/>
      <c r="K141" s="1434"/>
      <c r="L141" s="1434"/>
      <c r="M141" s="1434"/>
      <c r="N141" s="1434"/>
      <c r="O141" s="1434"/>
      <c r="P141" s="1434"/>
      <c r="Q141" s="1434"/>
      <c r="R141" s="1454"/>
      <c r="S141" s="1454"/>
      <c r="T141" s="1454"/>
      <c r="U141" s="1454"/>
      <c r="V141" s="1454"/>
      <c r="W141" s="1454"/>
      <c r="X141" s="1454"/>
      <c r="Y141" s="1454"/>
      <c r="Z141" s="1454"/>
    </row>
    <row r="142" ht="16.5" customHeight="1">
      <c r="A142" s="1451"/>
      <c r="B142" s="532"/>
      <c r="C142" s="532"/>
      <c r="D142" s="532"/>
      <c r="E142" s="532"/>
      <c r="F142" s="532"/>
      <c r="G142" s="532"/>
      <c r="H142" s="532"/>
      <c r="I142" s="532"/>
      <c r="J142" s="532"/>
      <c r="K142" s="532"/>
      <c r="L142" s="532"/>
      <c r="M142" s="532"/>
      <c r="N142" s="532"/>
      <c r="O142" s="532"/>
      <c r="P142" s="532"/>
      <c r="Q142" s="532"/>
    </row>
    <row r="143">
      <c r="A143" s="1455" t="s">
        <v>1049</v>
      </c>
      <c r="K143" s="532"/>
      <c r="L143" s="532"/>
      <c r="M143" s="532"/>
      <c r="N143" s="532"/>
      <c r="O143" s="532"/>
      <c r="P143" s="532"/>
      <c r="Q143" s="532"/>
    </row>
    <row r="144">
      <c r="K144" s="532"/>
      <c r="L144" s="532"/>
      <c r="M144" s="532"/>
      <c r="N144" s="532"/>
      <c r="O144" s="532"/>
      <c r="P144" s="532"/>
      <c r="Q144" s="532"/>
    </row>
    <row r="145">
      <c r="A145" s="1451"/>
      <c r="B145" s="532"/>
      <c r="C145" s="532"/>
      <c r="D145" s="532"/>
      <c r="E145" s="532"/>
      <c r="F145" s="532"/>
      <c r="G145" s="532"/>
      <c r="H145" s="532"/>
      <c r="I145" s="532"/>
      <c r="J145" s="532"/>
      <c r="K145" s="532"/>
      <c r="L145" s="532"/>
      <c r="M145" s="532"/>
      <c r="N145" s="532"/>
      <c r="O145" s="532"/>
      <c r="P145" s="532"/>
      <c r="Q145" s="532"/>
    </row>
    <row r="146">
      <c r="A146" s="1448" t="s">
        <v>910</v>
      </c>
      <c r="B146" s="1269"/>
      <c r="C146" s="1450">
        <v>45626.0</v>
      </c>
      <c r="D146" s="1450">
        <v>45654.0</v>
      </c>
      <c r="E146" s="532"/>
      <c r="F146" s="1448" t="s">
        <v>910</v>
      </c>
      <c r="G146" s="1269"/>
      <c r="H146" s="1450">
        <v>45626.0</v>
      </c>
      <c r="I146" s="1450">
        <v>45654.0</v>
      </c>
      <c r="J146" s="532"/>
      <c r="K146" s="532"/>
      <c r="L146" s="532"/>
      <c r="M146" s="532"/>
      <c r="N146" s="532"/>
      <c r="O146" s="532"/>
      <c r="P146" s="532"/>
      <c r="Q146" s="532"/>
    </row>
    <row r="147" ht="8.25" customHeight="1">
      <c r="A147" s="1451"/>
      <c r="B147" s="532"/>
      <c r="C147" s="532"/>
      <c r="D147" s="532"/>
      <c r="E147" s="532"/>
      <c r="F147" s="532"/>
      <c r="G147" s="532"/>
      <c r="H147" s="532"/>
      <c r="I147" s="532"/>
      <c r="J147" s="532"/>
      <c r="K147" s="532"/>
      <c r="L147" s="532"/>
      <c r="M147" s="532"/>
      <c r="N147" s="532"/>
      <c r="O147" s="532"/>
      <c r="P147" s="532"/>
      <c r="Q147" s="532"/>
    </row>
    <row r="148" ht="41.25" customHeight="1">
      <c r="A148" s="1456" t="s">
        <v>912</v>
      </c>
      <c r="B148" s="532"/>
      <c r="C148" s="1457"/>
      <c r="D148" s="1457"/>
      <c r="E148" s="532"/>
      <c r="F148" s="1452" t="s">
        <v>929</v>
      </c>
      <c r="G148" s="1453"/>
      <c r="H148" s="1434"/>
      <c r="I148" s="1434"/>
      <c r="J148" s="532"/>
      <c r="K148" s="532"/>
      <c r="L148" s="532"/>
      <c r="M148" s="532"/>
      <c r="N148" s="532"/>
      <c r="O148" s="532"/>
      <c r="P148" s="532"/>
      <c r="Q148" s="532"/>
    </row>
    <row r="149" ht="41.25" customHeight="1">
      <c r="A149" s="1456" t="s">
        <v>913</v>
      </c>
      <c r="B149" s="532"/>
      <c r="C149" s="1457"/>
      <c r="D149" s="1457"/>
      <c r="E149" s="532"/>
      <c r="F149" s="1452" t="s">
        <v>930</v>
      </c>
      <c r="G149" s="1453"/>
      <c r="H149" s="1434"/>
      <c r="I149" s="1434"/>
      <c r="J149" s="532"/>
      <c r="K149" s="532"/>
      <c r="L149" s="532"/>
      <c r="M149" s="532"/>
      <c r="N149" s="532"/>
      <c r="O149" s="532"/>
      <c r="P149" s="532"/>
      <c r="Q149" s="532"/>
    </row>
    <row r="150" ht="41.25" customHeight="1">
      <c r="A150" s="1456" t="s">
        <v>914</v>
      </c>
      <c r="B150" s="532"/>
      <c r="C150" s="1457"/>
      <c r="D150" s="1457"/>
      <c r="E150" s="532"/>
      <c r="F150" s="1452" t="s">
        <v>931</v>
      </c>
      <c r="G150" s="1453"/>
      <c r="H150" s="1434"/>
      <c r="I150" s="1434"/>
      <c r="J150" s="532"/>
      <c r="K150" s="532"/>
      <c r="L150" s="532"/>
      <c r="M150" s="532"/>
      <c r="N150" s="532"/>
      <c r="O150" s="532"/>
      <c r="P150" s="532"/>
      <c r="Q150" s="532"/>
    </row>
    <row r="151" ht="41.25" customHeight="1">
      <c r="A151" s="1456" t="s">
        <v>915</v>
      </c>
      <c r="B151" s="532"/>
      <c r="C151" s="1457"/>
      <c r="D151" s="1457"/>
      <c r="E151" s="532"/>
      <c r="F151" s="1452" t="s">
        <v>932</v>
      </c>
      <c r="G151" s="1453"/>
      <c r="H151" s="1434"/>
      <c r="I151" s="1434"/>
      <c r="J151" s="532"/>
      <c r="K151" s="532"/>
      <c r="L151" s="532"/>
      <c r="M151" s="532"/>
      <c r="N151" s="532"/>
      <c r="O151" s="532"/>
      <c r="P151" s="532"/>
      <c r="Q151" s="532"/>
    </row>
    <row r="152" ht="41.25" customHeight="1">
      <c r="A152" s="1456" t="s">
        <v>916</v>
      </c>
      <c r="B152" s="532"/>
      <c r="C152" s="1457"/>
      <c r="D152" s="1457"/>
      <c r="E152" s="532"/>
      <c r="F152" s="1452" t="s">
        <v>933</v>
      </c>
      <c r="G152" s="1453"/>
      <c r="H152" s="1434"/>
      <c r="I152" s="1434"/>
      <c r="J152" s="532"/>
      <c r="K152" s="532"/>
      <c r="L152" s="532"/>
      <c r="M152" s="532"/>
      <c r="N152" s="532"/>
      <c r="O152" s="532"/>
      <c r="P152" s="532"/>
      <c r="Q152" s="532"/>
    </row>
    <row r="153" ht="41.25" customHeight="1">
      <c r="A153" s="1456" t="s">
        <v>917</v>
      </c>
      <c r="B153" s="532"/>
      <c r="C153" s="1457"/>
      <c r="D153" s="1457"/>
      <c r="E153" s="532"/>
      <c r="F153" s="1452" t="s">
        <v>934</v>
      </c>
      <c r="G153" s="1453"/>
      <c r="H153" s="1434"/>
      <c r="I153" s="1434"/>
      <c r="J153" s="532"/>
      <c r="K153" s="532"/>
      <c r="L153" s="532"/>
      <c r="M153" s="532"/>
      <c r="N153" s="532"/>
      <c r="O153" s="532"/>
      <c r="P153" s="532"/>
      <c r="Q153" s="532"/>
    </row>
    <row r="154" ht="41.25" customHeight="1">
      <c r="A154" s="1456" t="s">
        <v>918</v>
      </c>
      <c r="B154" s="532"/>
      <c r="C154" s="1457"/>
      <c r="D154" s="1457"/>
      <c r="E154" s="532"/>
      <c r="F154" s="1452" t="s">
        <v>935</v>
      </c>
      <c r="G154" s="1453"/>
      <c r="H154" s="1434"/>
      <c r="I154" s="1434"/>
      <c r="J154" s="532"/>
      <c r="K154" s="532"/>
      <c r="L154" s="532"/>
      <c r="M154" s="532"/>
      <c r="N154" s="532"/>
      <c r="O154" s="532"/>
      <c r="P154" s="532"/>
      <c r="Q154" s="532"/>
    </row>
    <row r="155" ht="41.25" customHeight="1">
      <c r="A155" s="1456" t="s">
        <v>919</v>
      </c>
      <c r="B155" s="532"/>
      <c r="C155" s="1457"/>
      <c r="D155" s="1457"/>
      <c r="E155" s="532"/>
      <c r="F155" s="1452" t="s">
        <v>936</v>
      </c>
      <c r="G155" s="1453"/>
      <c r="H155" s="1434"/>
      <c r="I155" s="1434"/>
      <c r="J155" s="532"/>
      <c r="K155" s="532"/>
      <c r="L155" s="532"/>
      <c r="M155" s="532"/>
      <c r="N155" s="532"/>
      <c r="O155" s="532"/>
      <c r="P155" s="532"/>
      <c r="Q155" s="532"/>
    </row>
    <row r="156" ht="41.25" customHeight="1">
      <c r="A156" s="1456" t="s">
        <v>920</v>
      </c>
      <c r="B156" s="532"/>
      <c r="C156" s="1457"/>
      <c r="D156" s="1457"/>
      <c r="E156" s="532"/>
      <c r="F156" s="1452" t="s">
        <v>937</v>
      </c>
      <c r="G156" s="1453"/>
      <c r="H156" s="1434"/>
      <c r="I156" s="1434"/>
      <c r="J156" s="532"/>
      <c r="K156" s="532"/>
      <c r="L156" s="532"/>
      <c r="M156" s="532"/>
      <c r="N156" s="532"/>
      <c r="O156" s="532"/>
      <c r="P156" s="532"/>
      <c r="Q156" s="532"/>
    </row>
    <row r="157" ht="41.25" customHeight="1">
      <c r="A157" s="1456" t="s">
        <v>921</v>
      </c>
      <c r="B157" s="532"/>
      <c r="C157" s="1457"/>
      <c r="D157" s="1457"/>
      <c r="E157" s="532"/>
      <c r="F157" s="1452" t="s">
        <v>938</v>
      </c>
      <c r="G157" s="1453"/>
      <c r="H157" s="1434"/>
      <c r="I157" s="1434"/>
      <c r="J157" s="532"/>
      <c r="K157" s="532"/>
      <c r="L157" s="532"/>
      <c r="M157" s="532"/>
      <c r="N157" s="532"/>
      <c r="O157" s="532"/>
      <c r="P157" s="532"/>
      <c r="Q157" s="532"/>
    </row>
    <row r="158" ht="41.25" customHeight="1">
      <c r="A158" s="1456" t="s">
        <v>922</v>
      </c>
      <c r="B158" s="532"/>
      <c r="C158" s="1457"/>
      <c r="D158" s="1457"/>
      <c r="E158" s="532"/>
      <c r="F158" s="1452" t="s">
        <v>939</v>
      </c>
      <c r="G158" s="1453"/>
      <c r="H158" s="1434"/>
      <c r="I158" s="1434"/>
      <c r="J158" s="532"/>
      <c r="K158" s="532"/>
      <c r="L158" s="532"/>
      <c r="M158" s="532"/>
      <c r="N158" s="532"/>
      <c r="O158" s="532"/>
      <c r="P158" s="532"/>
      <c r="Q158" s="532"/>
    </row>
    <row r="159" ht="41.25" customHeight="1">
      <c r="A159" s="1456" t="s">
        <v>923</v>
      </c>
      <c r="B159" s="532"/>
      <c r="C159" s="1457"/>
      <c r="D159" s="1457"/>
      <c r="E159" s="532"/>
      <c r="F159" s="1452" t="s">
        <v>940</v>
      </c>
      <c r="G159" s="1453"/>
      <c r="H159" s="1434"/>
      <c r="I159" s="1434"/>
      <c r="J159" s="532"/>
      <c r="K159" s="532"/>
      <c r="L159" s="532"/>
      <c r="M159" s="532"/>
      <c r="N159" s="532"/>
      <c r="O159" s="532"/>
      <c r="P159" s="532"/>
      <c r="Q159" s="532"/>
    </row>
    <row r="160" ht="41.25" customHeight="1">
      <c r="A160" s="1456" t="s">
        <v>924</v>
      </c>
      <c r="B160" s="532"/>
      <c r="C160" s="1457"/>
      <c r="D160" s="1457"/>
      <c r="E160" s="532"/>
      <c r="F160" s="1452" t="s">
        <v>941</v>
      </c>
      <c r="G160" s="1453"/>
      <c r="H160" s="1434"/>
      <c r="I160" s="1434"/>
      <c r="J160" s="532"/>
      <c r="K160" s="532"/>
      <c r="L160" s="532"/>
      <c r="M160" s="532"/>
      <c r="N160" s="532"/>
      <c r="O160" s="532"/>
      <c r="P160" s="532"/>
      <c r="Q160" s="532"/>
    </row>
    <row r="161" ht="41.25" customHeight="1">
      <c r="A161" s="1456" t="s">
        <v>925</v>
      </c>
      <c r="B161" s="532"/>
      <c r="C161" s="1457"/>
      <c r="D161" s="1457"/>
      <c r="E161" s="532"/>
      <c r="F161" s="1452" t="s">
        <v>942</v>
      </c>
      <c r="G161" s="1453"/>
      <c r="H161" s="1434"/>
      <c r="I161" s="1434"/>
      <c r="J161" s="532"/>
      <c r="K161" s="532"/>
      <c r="L161" s="532"/>
      <c r="M161" s="532"/>
      <c r="N161" s="532"/>
      <c r="O161" s="532"/>
      <c r="P161" s="532"/>
      <c r="Q161" s="532"/>
    </row>
    <row r="162" ht="41.25" customHeight="1">
      <c r="A162" s="1456" t="s">
        <v>926</v>
      </c>
      <c r="B162" s="532"/>
      <c r="C162" s="1457"/>
      <c r="D162" s="1457"/>
      <c r="E162" s="532"/>
      <c r="F162" s="1452" t="s">
        <v>943</v>
      </c>
      <c r="G162" s="1453"/>
      <c r="H162" s="1434"/>
      <c r="I162" s="1434"/>
      <c r="J162" s="532"/>
      <c r="K162" s="532"/>
      <c r="L162" s="532"/>
      <c r="M162" s="532"/>
      <c r="N162" s="532"/>
      <c r="O162" s="532"/>
      <c r="P162" s="532"/>
      <c r="Q162" s="532"/>
    </row>
    <row r="163" ht="41.25" customHeight="1">
      <c r="A163" s="1456" t="s">
        <v>927</v>
      </c>
      <c r="B163" s="532"/>
      <c r="C163" s="1457"/>
      <c r="D163" s="1457"/>
      <c r="E163" s="532"/>
      <c r="F163" s="1452" t="s">
        <v>944</v>
      </c>
      <c r="G163" s="1453"/>
      <c r="H163" s="1434"/>
      <c r="I163" s="1434"/>
      <c r="J163" s="532"/>
      <c r="K163" s="532"/>
      <c r="L163" s="532"/>
      <c r="M163" s="532"/>
      <c r="N163" s="532"/>
      <c r="O163" s="532"/>
      <c r="P163" s="532"/>
      <c r="Q163" s="532"/>
    </row>
    <row r="164" ht="41.25" customHeight="1">
      <c r="A164" s="1456" t="s">
        <v>928</v>
      </c>
      <c r="B164" s="532"/>
      <c r="C164" s="1457"/>
      <c r="D164" s="1457"/>
      <c r="E164" s="532"/>
      <c r="F164" s="1452" t="s">
        <v>963</v>
      </c>
      <c r="G164" s="1453"/>
      <c r="H164" s="1434"/>
      <c r="I164" s="1434"/>
      <c r="J164" s="532"/>
      <c r="K164" s="532"/>
      <c r="L164" s="532"/>
      <c r="M164" s="532"/>
      <c r="N164" s="532"/>
      <c r="O164" s="532"/>
      <c r="P164" s="532"/>
      <c r="Q164" s="532"/>
    </row>
    <row r="165" ht="41.25" customHeight="1">
      <c r="A165" s="1456" t="s">
        <v>945</v>
      </c>
      <c r="B165" s="532"/>
      <c r="C165" s="1457"/>
      <c r="D165" s="1457"/>
      <c r="E165" s="532"/>
      <c r="F165" s="1452" t="s">
        <v>964</v>
      </c>
      <c r="G165" s="1453"/>
      <c r="H165" s="1434"/>
      <c r="I165" s="1434"/>
      <c r="J165" s="532"/>
      <c r="K165" s="532"/>
      <c r="L165" s="532"/>
      <c r="M165" s="532"/>
      <c r="N165" s="532"/>
      <c r="O165" s="532"/>
      <c r="P165" s="532"/>
      <c r="Q165" s="532"/>
    </row>
    <row r="166" ht="41.25" customHeight="1">
      <c r="A166" s="1456" t="s">
        <v>946</v>
      </c>
      <c r="B166" s="532"/>
      <c r="C166" s="1457"/>
      <c r="D166" s="1457"/>
      <c r="E166" s="532"/>
      <c r="F166" s="1452" t="s">
        <v>965</v>
      </c>
      <c r="G166" s="1453"/>
      <c r="H166" s="1434"/>
      <c r="I166" s="1434"/>
      <c r="J166" s="532"/>
      <c r="K166" s="532"/>
      <c r="L166" s="532"/>
      <c r="M166" s="532"/>
      <c r="N166" s="532"/>
      <c r="O166" s="532"/>
      <c r="P166" s="532"/>
      <c r="Q166" s="532"/>
    </row>
    <row r="167" ht="41.25" customHeight="1">
      <c r="A167" s="1456" t="s">
        <v>947</v>
      </c>
      <c r="B167" s="532"/>
      <c r="C167" s="1457"/>
      <c r="D167" s="1457"/>
      <c r="E167" s="532"/>
      <c r="F167" s="1452" t="s">
        <v>966</v>
      </c>
      <c r="G167" s="1453"/>
      <c r="H167" s="1434"/>
      <c r="I167" s="1434"/>
      <c r="J167" s="532"/>
      <c r="K167" s="532"/>
      <c r="L167" s="532"/>
      <c r="M167" s="532"/>
      <c r="N167" s="532"/>
      <c r="O167" s="532"/>
      <c r="P167" s="532"/>
      <c r="Q167" s="532"/>
    </row>
    <row r="168" ht="41.25" customHeight="1">
      <c r="A168" s="1456" t="s">
        <v>948</v>
      </c>
      <c r="B168" s="532"/>
      <c r="C168" s="1457"/>
      <c r="D168" s="1457"/>
      <c r="E168" s="532"/>
      <c r="F168" s="1452" t="s">
        <v>967</v>
      </c>
      <c r="G168" s="1453"/>
      <c r="H168" s="1434"/>
      <c r="I168" s="1434"/>
      <c r="J168" s="532"/>
      <c r="K168" s="532"/>
      <c r="L168" s="532"/>
      <c r="M168" s="532"/>
      <c r="N168" s="532"/>
      <c r="O168" s="532"/>
      <c r="P168" s="532"/>
      <c r="Q168" s="532"/>
    </row>
    <row r="169" ht="41.25" customHeight="1">
      <c r="A169" s="1456" t="s">
        <v>949</v>
      </c>
      <c r="B169" s="532"/>
      <c r="C169" s="1457"/>
      <c r="D169" s="1457"/>
      <c r="E169" s="532"/>
      <c r="F169" s="1452" t="s">
        <v>968</v>
      </c>
      <c r="G169" s="1453"/>
      <c r="H169" s="1434"/>
      <c r="I169" s="1434"/>
      <c r="J169" s="532"/>
      <c r="K169" s="532"/>
      <c r="L169" s="532"/>
      <c r="M169" s="532"/>
      <c r="N169" s="532"/>
      <c r="O169" s="532"/>
      <c r="P169" s="532"/>
      <c r="Q169" s="532"/>
    </row>
    <row r="170" ht="41.25" customHeight="1">
      <c r="A170" s="1456" t="s">
        <v>950</v>
      </c>
      <c r="B170" s="532"/>
      <c r="C170" s="1457"/>
      <c r="D170" s="1457"/>
      <c r="E170" s="532"/>
      <c r="F170" s="1452" t="s">
        <v>969</v>
      </c>
      <c r="G170" s="1453"/>
      <c r="H170" s="1434"/>
      <c r="I170" s="1434"/>
      <c r="J170" s="532"/>
      <c r="K170" s="532"/>
      <c r="L170" s="532"/>
      <c r="M170" s="532"/>
      <c r="N170" s="532"/>
      <c r="O170" s="532"/>
      <c r="P170" s="532"/>
      <c r="Q170" s="532"/>
    </row>
    <row r="171" ht="41.25" customHeight="1">
      <c r="A171" s="1456" t="s">
        <v>951</v>
      </c>
      <c r="B171" s="532"/>
      <c r="C171" s="1457"/>
      <c r="D171" s="1457"/>
      <c r="E171" s="532"/>
      <c r="F171" s="1452" t="s">
        <v>970</v>
      </c>
      <c r="G171" s="1453"/>
      <c r="H171" s="1434"/>
      <c r="I171" s="1434"/>
      <c r="J171" s="532"/>
      <c r="K171" s="532"/>
      <c r="L171" s="532"/>
      <c r="M171" s="532"/>
      <c r="N171" s="532"/>
      <c r="O171" s="532"/>
      <c r="P171" s="532"/>
      <c r="Q171" s="532"/>
    </row>
    <row r="172" ht="41.25" customHeight="1">
      <c r="A172" s="1456" t="s">
        <v>952</v>
      </c>
      <c r="B172" s="532"/>
      <c r="C172" s="1457"/>
      <c r="D172" s="1457"/>
      <c r="E172" s="532"/>
      <c r="F172" s="1452" t="s">
        <v>971</v>
      </c>
      <c r="G172" s="1453"/>
      <c r="H172" s="1434"/>
      <c r="I172" s="1434"/>
      <c r="J172" s="532"/>
      <c r="K172" s="532"/>
      <c r="L172" s="532"/>
      <c r="M172" s="532"/>
      <c r="N172" s="532"/>
      <c r="O172" s="532"/>
      <c r="P172" s="532"/>
      <c r="Q172" s="532"/>
    </row>
    <row r="173" ht="41.25" customHeight="1">
      <c r="A173" s="1456" t="s">
        <v>953</v>
      </c>
      <c r="B173" s="532"/>
      <c r="C173" s="1457"/>
      <c r="D173" s="1457"/>
      <c r="E173" s="532"/>
      <c r="F173" s="1452" t="s">
        <v>972</v>
      </c>
      <c r="G173" s="1453"/>
      <c r="H173" s="1434"/>
      <c r="I173" s="1434"/>
      <c r="J173" s="532"/>
      <c r="K173" s="532"/>
      <c r="L173" s="532"/>
      <c r="M173" s="532"/>
      <c r="N173" s="532"/>
      <c r="O173" s="532"/>
      <c r="P173" s="532"/>
      <c r="Q173" s="532"/>
    </row>
    <row r="174" ht="41.25" customHeight="1">
      <c r="A174" s="1456" t="s">
        <v>954</v>
      </c>
      <c r="B174" s="532"/>
      <c r="C174" s="1457"/>
      <c r="D174" s="1457"/>
      <c r="E174" s="532"/>
      <c r="F174" s="1452" t="s">
        <v>973</v>
      </c>
      <c r="G174" s="1453"/>
      <c r="H174" s="1434"/>
      <c r="I174" s="1434"/>
      <c r="J174" s="532"/>
      <c r="K174" s="532"/>
      <c r="L174" s="532"/>
      <c r="M174" s="532"/>
      <c r="N174" s="532"/>
      <c r="O174" s="532"/>
      <c r="P174" s="532"/>
      <c r="Q174" s="532"/>
    </row>
    <row r="175" ht="41.25" customHeight="1">
      <c r="A175" s="1456" t="s">
        <v>955</v>
      </c>
      <c r="B175" s="532"/>
      <c r="C175" s="1457"/>
      <c r="D175" s="1457"/>
      <c r="E175" s="532"/>
      <c r="F175" s="1452" t="s">
        <v>974</v>
      </c>
      <c r="G175" s="1453"/>
      <c r="H175" s="1434"/>
      <c r="I175" s="1434"/>
      <c r="J175" s="532"/>
      <c r="K175" s="532"/>
      <c r="L175" s="532"/>
      <c r="M175" s="532"/>
      <c r="N175" s="532"/>
      <c r="O175" s="532"/>
      <c r="P175" s="532"/>
      <c r="Q175" s="532"/>
    </row>
    <row r="176" ht="41.25" customHeight="1">
      <c r="A176" s="1456" t="s">
        <v>956</v>
      </c>
      <c r="B176" s="532"/>
      <c r="C176" s="1457"/>
      <c r="D176" s="1457"/>
      <c r="E176" s="532"/>
      <c r="F176" s="1452" t="s">
        <v>975</v>
      </c>
      <c r="G176" s="1453"/>
      <c r="H176" s="1434"/>
      <c r="I176" s="1434"/>
      <c r="J176" s="532"/>
      <c r="K176" s="532"/>
      <c r="L176" s="532"/>
      <c r="M176" s="532"/>
      <c r="N176" s="532"/>
      <c r="O176" s="532"/>
      <c r="P176" s="532"/>
      <c r="Q176" s="532"/>
    </row>
    <row r="177" ht="41.25" customHeight="1">
      <c r="A177" s="1456" t="s">
        <v>957</v>
      </c>
      <c r="B177" s="532"/>
      <c r="C177" s="1457"/>
      <c r="D177" s="1457"/>
      <c r="E177" s="532"/>
      <c r="F177" s="1452" t="s">
        <v>976</v>
      </c>
      <c r="G177" s="1453"/>
      <c r="H177" s="1434"/>
      <c r="I177" s="1434"/>
      <c r="J177" s="532"/>
      <c r="K177" s="532"/>
      <c r="L177" s="532"/>
      <c r="M177" s="532"/>
      <c r="N177" s="532"/>
      <c r="O177" s="532"/>
      <c r="P177" s="532"/>
      <c r="Q177" s="532"/>
    </row>
    <row r="178" ht="41.25" customHeight="1">
      <c r="A178" s="1456" t="s">
        <v>958</v>
      </c>
      <c r="B178" s="532"/>
      <c r="C178" s="1457"/>
      <c r="D178" s="1457"/>
      <c r="E178" s="532"/>
      <c r="F178" s="1452" t="s">
        <v>977</v>
      </c>
      <c r="G178" s="1453"/>
      <c r="H178" s="1434"/>
      <c r="I178" s="1434"/>
      <c r="J178" s="532"/>
      <c r="K178" s="532"/>
      <c r="L178" s="532"/>
      <c r="M178" s="532"/>
      <c r="N178" s="532"/>
      <c r="O178" s="532"/>
      <c r="P178" s="532"/>
      <c r="Q178" s="532"/>
    </row>
    <row r="179" ht="41.25" customHeight="1">
      <c r="A179" s="1456" t="s">
        <v>959</v>
      </c>
      <c r="B179" s="532"/>
      <c r="C179" s="1457"/>
      <c r="D179" s="1457"/>
      <c r="E179" s="532"/>
      <c r="F179" s="1452" t="s">
        <v>978</v>
      </c>
      <c r="G179" s="1453"/>
      <c r="H179" s="1434"/>
      <c r="I179" s="1434"/>
      <c r="J179" s="532"/>
      <c r="K179" s="532"/>
      <c r="L179" s="532"/>
      <c r="M179" s="532"/>
      <c r="N179" s="532"/>
      <c r="O179" s="532"/>
      <c r="P179" s="532"/>
      <c r="Q179" s="532"/>
    </row>
    <row r="180" ht="41.25" customHeight="1">
      <c r="A180" s="1456" t="s">
        <v>960</v>
      </c>
      <c r="B180" s="532"/>
      <c r="C180" s="1457"/>
      <c r="D180" s="1457"/>
      <c r="E180" s="532"/>
      <c r="F180" s="1452" t="s">
        <v>996</v>
      </c>
      <c r="G180" s="1453"/>
      <c r="H180" s="1434"/>
      <c r="I180" s="1434"/>
      <c r="J180" s="532"/>
      <c r="K180" s="532"/>
      <c r="L180" s="532"/>
      <c r="M180" s="532"/>
      <c r="N180" s="532"/>
      <c r="O180" s="532"/>
      <c r="P180" s="532"/>
      <c r="Q180" s="532"/>
    </row>
    <row r="181" ht="41.25" customHeight="1">
      <c r="A181" s="1456" t="s">
        <v>961</v>
      </c>
      <c r="B181" s="532"/>
      <c r="C181" s="1457"/>
      <c r="D181" s="1457"/>
      <c r="E181" s="532"/>
      <c r="F181" s="1452" t="s">
        <v>997</v>
      </c>
      <c r="G181" s="1453"/>
      <c r="H181" s="1434"/>
      <c r="I181" s="1434"/>
      <c r="J181" s="532"/>
      <c r="K181" s="532"/>
      <c r="L181" s="532"/>
      <c r="M181" s="532"/>
      <c r="N181" s="532"/>
      <c r="O181" s="532"/>
      <c r="P181" s="532"/>
      <c r="Q181" s="532"/>
    </row>
    <row r="182" ht="41.25" customHeight="1">
      <c r="A182" s="1456" t="s">
        <v>962</v>
      </c>
      <c r="B182" s="532"/>
      <c r="C182" s="1457"/>
      <c r="D182" s="1457"/>
      <c r="F182" s="1452" t="s">
        <v>998</v>
      </c>
      <c r="G182" s="1453"/>
      <c r="H182" s="1434"/>
      <c r="I182" s="1434"/>
      <c r="J182" s="532"/>
      <c r="K182" s="532"/>
      <c r="L182" s="532"/>
      <c r="M182" s="532"/>
      <c r="N182" s="532"/>
      <c r="O182" s="532"/>
      <c r="P182" s="532"/>
      <c r="Q182" s="532"/>
    </row>
    <row r="183" ht="41.25" customHeight="1">
      <c r="A183" s="1456" t="s">
        <v>979</v>
      </c>
      <c r="B183" s="532"/>
      <c r="C183" s="1457"/>
      <c r="D183" s="1457"/>
      <c r="E183" s="532"/>
      <c r="F183" s="1452" t="s">
        <v>999</v>
      </c>
      <c r="G183" s="1453"/>
      <c r="H183" s="1434"/>
      <c r="I183" s="1434"/>
      <c r="J183" s="532"/>
      <c r="K183" s="532"/>
      <c r="L183" s="532"/>
      <c r="M183" s="532"/>
      <c r="N183" s="532"/>
      <c r="O183" s="532"/>
      <c r="P183" s="532"/>
      <c r="Q183" s="532"/>
    </row>
    <row r="184" ht="41.25" customHeight="1">
      <c r="A184" s="1456" t="s">
        <v>980</v>
      </c>
      <c r="B184" s="532"/>
      <c r="C184" s="1457"/>
      <c r="D184" s="1457"/>
      <c r="E184" s="532"/>
      <c r="F184" s="1452" t="s">
        <v>1000</v>
      </c>
      <c r="G184" s="1453"/>
      <c r="H184" s="1434"/>
      <c r="I184" s="1434"/>
      <c r="J184" s="532"/>
      <c r="K184" s="532"/>
      <c r="L184" s="532"/>
      <c r="M184" s="532"/>
      <c r="N184" s="532"/>
      <c r="O184" s="532"/>
      <c r="P184" s="532"/>
      <c r="Q184" s="532"/>
    </row>
    <row r="185" ht="41.25" customHeight="1">
      <c r="A185" s="1456" t="s">
        <v>981</v>
      </c>
      <c r="B185" s="532"/>
      <c r="C185" s="1457"/>
      <c r="D185" s="1457"/>
      <c r="E185" s="532"/>
      <c r="F185" s="1452" t="s">
        <v>1001</v>
      </c>
      <c r="G185" s="1453"/>
      <c r="H185" s="1434"/>
      <c r="I185" s="1434"/>
      <c r="J185" s="532"/>
      <c r="K185" s="532"/>
      <c r="L185" s="532"/>
      <c r="M185" s="532"/>
      <c r="N185" s="532"/>
      <c r="O185" s="532"/>
      <c r="P185" s="532"/>
      <c r="Q185" s="532"/>
    </row>
    <row r="186" ht="41.25" customHeight="1">
      <c r="A186" s="1456" t="s">
        <v>982</v>
      </c>
      <c r="B186" s="532"/>
      <c r="C186" s="1457"/>
      <c r="D186" s="1457"/>
      <c r="E186" s="532"/>
      <c r="F186" s="1452" t="s">
        <v>1002</v>
      </c>
      <c r="G186" s="1453"/>
      <c r="H186" s="1434"/>
      <c r="I186" s="1434"/>
      <c r="J186" s="532"/>
      <c r="K186" s="532"/>
      <c r="L186" s="532"/>
      <c r="M186" s="532"/>
      <c r="N186" s="532"/>
      <c r="O186" s="532"/>
      <c r="P186" s="532"/>
      <c r="Q186" s="532"/>
    </row>
    <row r="187" ht="41.25" customHeight="1">
      <c r="A187" s="1456" t="s">
        <v>983</v>
      </c>
      <c r="B187" s="532"/>
      <c r="C187" s="1457"/>
      <c r="D187" s="1457"/>
      <c r="E187" s="532"/>
      <c r="F187" s="1452" t="s">
        <v>1003</v>
      </c>
      <c r="G187" s="1453"/>
      <c r="H187" s="1434"/>
      <c r="I187" s="1434"/>
      <c r="J187" s="532"/>
      <c r="K187" s="532"/>
      <c r="L187" s="532"/>
      <c r="M187" s="532"/>
      <c r="N187" s="532"/>
      <c r="O187" s="532"/>
      <c r="P187" s="532"/>
      <c r="Q187" s="532"/>
    </row>
    <row r="188" ht="41.25" customHeight="1">
      <c r="A188" s="1456" t="s">
        <v>984</v>
      </c>
      <c r="B188" s="532"/>
      <c r="C188" s="1457"/>
      <c r="D188" s="1457"/>
      <c r="E188" s="532"/>
      <c r="F188" s="1452" t="s">
        <v>1004</v>
      </c>
      <c r="G188" s="1453"/>
      <c r="H188" s="1434"/>
      <c r="I188" s="1434"/>
      <c r="J188" s="532"/>
      <c r="K188" s="532"/>
      <c r="L188" s="532"/>
      <c r="M188" s="532"/>
      <c r="N188" s="532"/>
      <c r="O188" s="532"/>
      <c r="P188" s="532"/>
      <c r="Q188" s="532"/>
    </row>
    <row r="189" ht="41.25" customHeight="1">
      <c r="A189" s="1456" t="s">
        <v>985</v>
      </c>
      <c r="B189" s="532"/>
      <c r="C189" s="1457"/>
      <c r="D189" s="1457"/>
      <c r="E189" s="532"/>
      <c r="F189" s="1452" t="s">
        <v>1005</v>
      </c>
      <c r="G189" s="1453"/>
      <c r="H189" s="1434"/>
      <c r="I189" s="1434"/>
      <c r="J189" s="532"/>
      <c r="K189" s="532"/>
      <c r="L189" s="532"/>
      <c r="M189" s="532"/>
      <c r="N189" s="532"/>
      <c r="O189" s="532"/>
      <c r="P189" s="532"/>
      <c r="Q189" s="532"/>
    </row>
    <row r="190" ht="41.25" customHeight="1">
      <c r="A190" s="1456" t="s">
        <v>986</v>
      </c>
      <c r="B190" s="532"/>
      <c r="C190" s="1457"/>
      <c r="D190" s="1457"/>
      <c r="E190" s="532"/>
      <c r="F190" s="1452" t="s">
        <v>1006</v>
      </c>
      <c r="G190" s="1453"/>
      <c r="H190" s="1434"/>
      <c r="I190" s="1434"/>
      <c r="J190" s="532"/>
      <c r="K190" s="532"/>
      <c r="L190" s="532"/>
      <c r="M190" s="532"/>
      <c r="N190" s="532"/>
      <c r="O190" s="532"/>
      <c r="P190" s="532"/>
      <c r="Q190" s="532"/>
    </row>
    <row r="191" ht="41.25" customHeight="1">
      <c r="A191" s="1456" t="s">
        <v>987</v>
      </c>
      <c r="B191" s="532"/>
      <c r="C191" s="1457"/>
      <c r="D191" s="1457"/>
      <c r="E191" s="532"/>
      <c r="F191" s="1452" t="s">
        <v>1007</v>
      </c>
      <c r="G191" s="1453"/>
      <c r="H191" s="1434"/>
      <c r="I191" s="1434"/>
      <c r="J191" s="532"/>
      <c r="K191" s="532"/>
      <c r="L191" s="532"/>
      <c r="M191" s="532"/>
      <c r="N191" s="532"/>
      <c r="O191" s="532"/>
      <c r="P191" s="532"/>
      <c r="Q191" s="532"/>
    </row>
    <row r="192" ht="41.25" customHeight="1">
      <c r="A192" s="1456" t="s">
        <v>988</v>
      </c>
      <c r="B192" s="532"/>
      <c r="C192" s="1457"/>
      <c r="D192" s="1457"/>
      <c r="E192" s="532"/>
      <c r="F192" s="1452" t="s">
        <v>1008</v>
      </c>
      <c r="G192" s="1453"/>
      <c r="H192" s="1434"/>
      <c r="I192" s="1434"/>
      <c r="J192" s="532"/>
      <c r="K192" s="532"/>
      <c r="L192" s="532"/>
      <c r="M192" s="532"/>
      <c r="N192" s="532"/>
      <c r="O192" s="532"/>
      <c r="P192" s="532"/>
      <c r="Q192" s="532"/>
    </row>
    <row r="193" ht="41.25" customHeight="1">
      <c r="A193" s="1456" t="s">
        <v>989</v>
      </c>
      <c r="B193" s="532"/>
      <c r="C193" s="1457"/>
      <c r="D193" s="1457"/>
      <c r="E193" s="532"/>
      <c r="F193" s="1452" t="s">
        <v>1009</v>
      </c>
      <c r="G193" s="1453"/>
      <c r="H193" s="1434"/>
      <c r="I193" s="1434"/>
      <c r="J193" s="532"/>
      <c r="K193" s="532"/>
      <c r="L193" s="532"/>
      <c r="M193" s="532"/>
      <c r="N193" s="532"/>
      <c r="O193" s="532"/>
      <c r="P193" s="532"/>
      <c r="Q193" s="532"/>
    </row>
    <row r="194" ht="41.25" customHeight="1">
      <c r="A194" s="1456" t="s">
        <v>990</v>
      </c>
      <c r="B194" s="532"/>
      <c r="C194" s="1457"/>
      <c r="D194" s="1457"/>
      <c r="E194" s="532"/>
      <c r="F194" s="1452" t="s">
        <v>1010</v>
      </c>
      <c r="G194" s="1453"/>
      <c r="H194" s="1434"/>
      <c r="I194" s="1434"/>
      <c r="J194" s="532"/>
      <c r="K194" s="532"/>
      <c r="L194" s="532"/>
      <c r="M194" s="532"/>
      <c r="N194" s="532"/>
      <c r="O194" s="532"/>
      <c r="P194" s="532"/>
      <c r="Q194" s="532"/>
    </row>
    <row r="195" ht="41.25" customHeight="1">
      <c r="A195" s="1456" t="s">
        <v>991</v>
      </c>
      <c r="B195" s="532"/>
      <c r="C195" s="1457"/>
      <c r="D195" s="1457"/>
      <c r="E195" s="532"/>
      <c r="F195" s="1452" t="s">
        <v>1011</v>
      </c>
      <c r="G195" s="1453"/>
      <c r="H195" s="1434"/>
      <c r="I195" s="1434"/>
      <c r="J195" s="532"/>
      <c r="K195" s="532"/>
      <c r="L195" s="532"/>
      <c r="M195" s="532"/>
      <c r="N195" s="532"/>
      <c r="O195" s="532"/>
      <c r="P195" s="532"/>
      <c r="Q195" s="532"/>
    </row>
    <row r="196" ht="41.25" customHeight="1">
      <c r="A196" s="1456" t="s">
        <v>992</v>
      </c>
      <c r="B196" s="532"/>
      <c r="C196" s="1457"/>
      <c r="D196" s="1457"/>
      <c r="E196" s="532"/>
      <c r="F196" s="1452" t="s">
        <v>1012</v>
      </c>
      <c r="G196" s="1453"/>
      <c r="H196" s="1434"/>
      <c r="I196" s="1434"/>
      <c r="J196" s="532"/>
      <c r="K196" s="532"/>
      <c r="L196" s="532"/>
      <c r="M196" s="532"/>
      <c r="N196" s="532"/>
      <c r="O196" s="532"/>
      <c r="P196" s="532"/>
      <c r="Q196" s="532"/>
    </row>
    <row r="197" ht="41.25" customHeight="1">
      <c r="A197" s="1456" t="s">
        <v>993</v>
      </c>
      <c r="B197" s="532"/>
      <c r="C197" s="1457"/>
      <c r="D197" s="1457"/>
      <c r="E197" s="532"/>
      <c r="F197" s="1452" t="s">
        <v>1030</v>
      </c>
      <c r="G197" s="1453"/>
      <c r="H197" s="1434"/>
      <c r="I197" s="1434"/>
      <c r="J197" s="532"/>
      <c r="K197" s="532"/>
      <c r="L197" s="532"/>
      <c r="M197" s="532"/>
      <c r="N197" s="532"/>
      <c r="O197" s="532"/>
      <c r="P197" s="532"/>
      <c r="Q197" s="532"/>
    </row>
    <row r="198" ht="41.25" customHeight="1">
      <c r="A198" s="1456" t="s">
        <v>994</v>
      </c>
      <c r="B198" s="532"/>
      <c r="C198" s="1457"/>
      <c r="D198" s="1457"/>
      <c r="E198" s="532"/>
      <c r="F198" s="1452" t="s">
        <v>1031</v>
      </c>
      <c r="G198" s="1453"/>
      <c r="H198" s="1434"/>
      <c r="I198" s="1434"/>
      <c r="J198" s="532"/>
      <c r="K198" s="532"/>
      <c r="L198" s="532"/>
      <c r="M198" s="532"/>
      <c r="N198" s="532"/>
      <c r="O198" s="532"/>
      <c r="P198" s="532"/>
      <c r="Q198" s="532"/>
    </row>
    <row r="199" ht="41.25" customHeight="1">
      <c r="A199" s="1456" t="s">
        <v>995</v>
      </c>
      <c r="B199" s="532"/>
      <c r="C199" s="1457"/>
      <c r="D199" s="1457"/>
      <c r="E199" s="532"/>
      <c r="F199" s="1452" t="s">
        <v>1032</v>
      </c>
      <c r="G199" s="1453"/>
      <c r="H199" s="1434"/>
      <c r="I199" s="1434"/>
      <c r="J199" s="532"/>
      <c r="K199" s="532"/>
      <c r="L199" s="532"/>
      <c r="M199" s="532"/>
      <c r="N199" s="532"/>
      <c r="O199" s="532"/>
      <c r="P199" s="532"/>
      <c r="Q199" s="532"/>
    </row>
    <row r="200" ht="41.25" customHeight="1">
      <c r="A200" s="1456" t="s">
        <v>1013</v>
      </c>
      <c r="B200" s="532"/>
      <c r="C200" s="1457"/>
      <c r="D200" s="1457"/>
      <c r="E200" s="532"/>
      <c r="F200" s="1452" t="s">
        <v>1033</v>
      </c>
      <c r="G200" s="1453"/>
      <c r="H200" s="1434"/>
      <c r="I200" s="1434"/>
      <c r="J200" s="532"/>
      <c r="K200" s="532"/>
      <c r="L200" s="532"/>
      <c r="M200" s="532"/>
      <c r="N200" s="532"/>
      <c r="O200" s="532"/>
      <c r="P200" s="532"/>
      <c r="Q200" s="532"/>
    </row>
    <row r="201" ht="41.25" customHeight="1">
      <c r="A201" s="1456" t="s">
        <v>1014</v>
      </c>
      <c r="B201" s="532"/>
      <c r="C201" s="1457"/>
      <c r="D201" s="1457"/>
      <c r="E201" s="532"/>
      <c r="F201" s="1452" t="s">
        <v>1034</v>
      </c>
      <c r="G201" s="1453"/>
      <c r="H201" s="1434"/>
      <c r="I201" s="1434"/>
      <c r="J201" s="532"/>
      <c r="K201" s="532"/>
      <c r="L201" s="532"/>
      <c r="M201" s="532"/>
      <c r="N201" s="532"/>
      <c r="O201" s="532"/>
      <c r="P201" s="532"/>
      <c r="Q201" s="532"/>
    </row>
    <row r="202" ht="41.25" customHeight="1">
      <c r="A202" s="1456" t="s">
        <v>1015</v>
      </c>
      <c r="B202" s="532"/>
      <c r="C202" s="1457"/>
      <c r="D202" s="1457"/>
      <c r="E202" s="532"/>
      <c r="F202" s="1452" t="s">
        <v>1035</v>
      </c>
      <c r="G202" s="1453"/>
      <c r="H202" s="1434"/>
      <c r="I202" s="1434"/>
      <c r="J202" s="532"/>
      <c r="K202" s="532"/>
      <c r="L202" s="532"/>
      <c r="M202" s="532"/>
      <c r="N202" s="532"/>
      <c r="O202" s="532"/>
      <c r="P202" s="532"/>
      <c r="Q202" s="532"/>
    </row>
    <row r="203" ht="41.25" customHeight="1">
      <c r="A203" s="1456" t="s">
        <v>1016</v>
      </c>
      <c r="B203" s="532"/>
      <c r="C203" s="1457"/>
      <c r="D203" s="1457"/>
      <c r="E203" s="532"/>
      <c r="F203" s="1452" t="s">
        <v>1036</v>
      </c>
      <c r="G203" s="1453"/>
      <c r="H203" s="1434"/>
      <c r="I203" s="1434"/>
      <c r="J203" s="532"/>
      <c r="K203" s="532"/>
      <c r="L203" s="532"/>
      <c r="M203" s="532"/>
      <c r="N203" s="532"/>
      <c r="O203" s="532"/>
      <c r="P203" s="532"/>
      <c r="Q203" s="532"/>
    </row>
    <row r="204" ht="41.25" customHeight="1">
      <c r="A204" s="1456" t="s">
        <v>1017</v>
      </c>
      <c r="B204" s="532"/>
      <c r="C204" s="1457"/>
      <c r="D204" s="1457"/>
      <c r="E204" s="532"/>
      <c r="F204" s="1452" t="s">
        <v>1037</v>
      </c>
      <c r="G204" s="1453"/>
      <c r="H204" s="1434"/>
      <c r="I204" s="1434"/>
      <c r="J204" s="532"/>
      <c r="K204" s="532"/>
      <c r="L204" s="532"/>
      <c r="M204" s="532"/>
      <c r="N204" s="532"/>
      <c r="O204" s="532"/>
      <c r="P204" s="532"/>
      <c r="Q204" s="532"/>
    </row>
    <row r="205" ht="41.25" customHeight="1">
      <c r="A205" s="1456" t="s">
        <v>1018</v>
      </c>
      <c r="B205" s="532"/>
      <c r="C205" s="1457"/>
      <c r="D205" s="1457"/>
      <c r="E205" s="532"/>
      <c r="F205" s="1452" t="s">
        <v>1038</v>
      </c>
      <c r="G205" s="1453"/>
      <c r="H205" s="1434"/>
      <c r="I205" s="1434"/>
      <c r="J205" s="532"/>
      <c r="K205" s="532"/>
      <c r="L205" s="532"/>
      <c r="M205" s="532"/>
      <c r="N205" s="532"/>
      <c r="O205" s="532"/>
      <c r="P205" s="532"/>
      <c r="Q205" s="532"/>
    </row>
    <row r="206" ht="41.25" customHeight="1">
      <c r="A206" s="1456" t="s">
        <v>1019</v>
      </c>
      <c r="B206" s="532"/>
      <c r="C206" s="1457"/>
      <c r="D206" s="1457"/>
      <c r="E206" s="532"/>
      <c r="F206" s="1452" t="s">
        <v>1039</v>
      </c>
      <c r="G206" s="1453"/>
      <c r="H206" s="1434"/>
      <c r="I206" s="1434"/>
      <c r="J206" s="532"/>
      <c r="K206" s="532"/>
      <c r="L206" s="532"/>
      <c r="M206" s="532"/>
      <c r="N206" s="532"/>
      <c r="O206" s="532"/>
      <c r="P206" s="532"/>
      <c r="Q206" s="532"/>
    </row>
    <row r="207" ht="41.25" customHeight="1">
      <c r="A207" s="1456" t="s">
        <v>1020</v>
      </c>
      <c r="B207" s="532"/>
      <c r="C207" s="1457"/>
      <c r="D207" s="1457"/>
      <c r="E207" s="532"/>
      <c r="F207" s="1452" t="s">
        <v>1040</v>
      </c>
      <c r="G207" s="1453"/>
      <c r="H207" s="1434"/>
      <c r="I207" s="1434"/>
      <c r="J207" s="532"/>
      <c r="K207" s="532"/>
      <c r="L207" s="532"/>
      <c r="M207" s="532"/>
      <c r="N207" s="532"/>
      <c r="O207" s="532"/>
      <c r="P207" s="532"/>
      <c r="Q207" s="532"/>
    </row>
    <row r="208" ht="41.25" customHeight="1">
      <c r="A208" s="1456" t="s">
        <v>1021</v>
      </c>
      <c r="B208" s="532"/>
      <c r="C208" s="1457"/>
      <c r="D208" s="1457"/>
      <c r="E208" s="532"/>
      <c r="F208" s="1452" t="s">
        <v>1027</v>
      </c>
      <c r="G208" s="1453"/>
      <c r="H208" s="1434"/>
      <c r="I208" s="1434"/>
      <c r="J208" s="532"/>
      <c r="K208" s="532"/>
      <c r="L208" s="532"/>
      <c r="M208" s="532"/>
      <c r="N208" s="532"/>
      <c r="O208" s="532"/>
      <c r="P208" s="532"/>
      <c r="Q208" s="532"/>
    </row>
    <row r="209" ht="41.25" customHeight="1">
      <c r="A209" s="1456" t="s">
        <v>1022</v>
      </c>
      <c r="B209" s="532"/>
      <c r="C209" s="1457"/>
      <c r="D209" s="1457"/>
      <c r="E209" s="532"/>
      <c r="F209" s="1452" t="s">
        <v>1041</v>
      </c>
      <c r="G209" s="1453"/>
      <c r="H209" s="1434"/>
      <c r="I209" s="1434"/>
      <c r="J209" s="532"/>
      <c r="K209" s="532"/>
      <c r="L209" s="532"/>
      <c r="M209" s="532"/>
      <c r="N209" s="532"/>
      <c r="O209" s="532"/>
      <c r="P209" s="532"/>
      <c r="Q209" s="532"/>
    </row>
    <row r="210" ht="41.25" customHeight="1">
      <c r="A210" s="1456" t="s">
        <v>1023</v>
      </c>
      <c r="B210" s="532"/>
      <c r="C210" s="1457"/>
      <c r="D210" s="1457"/>
      <c r="E210" s="532"/>
      <c r="F210" s="1452" t="s">
        <v>1042</v>
      </c>
      <c r="G210" s="1453"/>
      <c r="H210" s="1434"/>
      <c r="I210" s="1434"/>
      <c r="J210" s="532"/>
      <c r="K210" s="532"/>
      <c r="L210" s="532"/>
      <c r="M210" s="532"/>
      <c r="N210" s="532"/>
      <c r="O210" s="532"/>
      <c r="P210" s="532"/>
      <c r="Q210" s="532"/>
    </row>
    <row r="211" ht="41.25" customHeight="1">
      <c r="A211" s="1456" t="s">
        <v>1024</v>
      </c>
      <c r="B211" s="532"/>
      <c r="C211" s="1457"/>
      <c r="D211" s="1457"/>
      <c r="E211" s="532"/>
      <c r="F211" s="1452" t="s">
        <v>1043</v>
      </c>
      <c r="G211" s="1453"/>
      <c r="H211" s="1434"/>
      <c r="I211" s="1434"/>
      <c r="J211" s="532"/>
      <c r="K211" s="532"/>
      <c r="L211" s="532"/>
      <c r="M211" s="532"/>
      <c r="N211" s="532"/>
      <c r="O211" s="532"/>
      <c r="P211" s="532"/>
      <c r="Q211" s="532"/>
    </row>
    <row r="212" ht="41.25" customHeight="1">
      <c r="A212" s="1456" t="s">
        <v>1025</v>
      </c>
      <c r="B212" s="532"/>
      <c r="C212" s="1457"/>
      <c r="D212" s="1457"/>
      <c r="E212" s="532"/>
      <c r="F212" s="1452" t="s">
        <v>1044</v>
      </c>
      <c r="G212" s="1453"/>
      <c r="H212" s="1434"/>
      <c r="I212" s="1434"/>
      <c r="J212" s="532"/>
      <c r="K212" s="532"/>
      <c r="L212" s="532"/>
      <c r="M212" s="532"/>
      <c r="N212" s="532"/>
      <c r="O212" s="532"/>
      <c r="P212" s="532"/>
      <c r="Q212" s="532"/>
    </row>
    <row r="213" ht="41.25" customHeight="1">
      <c r="A213" s="1456" t="s">
        <v>1026</v>
      </c>
      <c r="B213" s="532"/>
      <c r="C213" s="1457"/>
      <c r="D213" s="1457"/>
      <c r="E213" s="532"/>
      <c r="F213" s="1452" t="s">
        <v>1045</v>
      </c>
      <c r="G213" s="1453"/>
      <c r="H213" s="1434"/>
      <c r="I213" s="1434"/>
      <c r="J213" s="532"/>
      <c r="K213" s="532"/>
      <c r="L213" s="532"/>
      <c r="M213" s="532"/>
      <c r="N213" s="532"/>
      <c r="O213" s="532"/>
      <c r="P213" s="532"/>
      <c r="Q213" s="532"/>
    </row>
    <row r="214" ht="41.25" customHeight="1">
      <c r="A214" s="1456" t="s">
        <v>1027</v>
      </c>
      <c r="B214" s="532"/>
      <c r="C214" s="1457"/>
      <c r="D214" s="1457"/>
      <c r="E214" s="532"/>
      <c r="F214" s="1452" t="s">
        <v>1046</v>
      </c>
      <c r="G214" s="1453"/>
      <c r="H214" s="1434"/>
      <c r="I214" s="1434"/>
      <c r="J214" s="532"/>
      <c r="K214" s="532"/>
      <c r="L214" s="532"/>
      <c r="M214" s="532"/>
      <c r="N214" s="532"/>
      <c r="O214" s="532"/>
      <c r="P214" s="532"/>
      <c r="Q214" s="532"/>
    </row>
    <row r="215" ht="41.25" customHeight="1">
      <c r="A215" s="1456" t="s">
        <v>1028</v>
      </c>
      <c r="B215" s="532"/>
      <c r="C215" s="1457"/>
      <c r="D215" s="1457"/>
      <c r="E215" s="532"/>
      <c r="F215" s="1452" t="s">
        <v>1047</v>
      </c>
      <c r="G215" s="1453"/>
      <c r="H215" s="1434"/>
      <c r="I215" s="1434"/>
      <c r="J215" s="532"/>
      <c r="K215" s="532"/>
      <c r="L215" s="532"/>
      <c r="M215" s="532"/>
      <c r="N215" s="532"/>
      <c r="O215" s="532"/>
      <c r="P215" s="532"/>
      <c r="Q215" s="532"/>
    </row>
    <row r="216" ht="41.25" customHeight="1">
      <c r="A216" s="1456" t="s">
        <v>1029</v>
      </c>
      <c r="B216" s="532"/>
      <c r="C216" s="1457"/>
      <c r="D216" s="1457"/>
      <c r="E216" s="532"/>
      <c r="F216" s="1452" t="s">
        <v>932</v>
      </c>
      <c r="G216" s="1453"/>
      <c r="H216" s="1434"/>
      <c r="I216" s="1434"/>
      <c r="J216" s="532"/>
      <c r="K216" s="532"/>
      <c r="L216" s="532"/>
      <c r="M216" s="532"/>
      <c r="N216" s="532"/>
      <c r="O216" s="532"/>
      <c r="P216" s="532"/>
      <c r="Q216" s="532"/>
    </row>
    <row r="217" ht="41.25" customHeight="1">
      <c r="F217" s="1452" t="s">
        <v>1048</v>
      </c>
      <c r="G217" s="1453"/>
      <c r="H217" s="1434"/>
      <c r="I217" s="1434"/>
      <c r="J217" s="532"/>
      <c r="K217" s="532"/>
      <c r="L217" s="532"/>
      <c r="M217" s="532"/>
      <c r="N217" s="532"/>
      <c r="O217" s="532"/>
      <c r="P217" s="532"/>
      <c r="Q217" s="532"/>
    </row>
    <row r="218" ht="41.25" customHeight="1">
      <c r="J218" s="532"/>
      <c r="K218" s="532"/>
      <c r="L218" s="532"/>
      <c r="M218" s="532"/>
      <c r="N218" s="532"/>
      <c r="O218" s="532"/>
      <c r="P218" s="532"/>
      <c r="Q218" s="532"/>
    </row>
    <row r="219" ht="41.25" customHeight="1">
      <c r="J219" s="532"/>
      <c r="K219" s="532"/>
      <c r="L219" s="532"/>
      <c r="M219" s="532"/>
      <c r="N219" s="532"/>
      <c r="O219" s="532"/>
      <c r="P219" s="532"/>
      <c r="Q219" s="532"/>
    </row>
    <row r="220" ht="41.25" customHeight="1">
      <c r="J220" s="532"/>
      <c r="K220" s="532"/>
      <c r="L220" s="532"/>
      <c r="M220" s="532"/>
      <c r="N220" s="532"/>
      <c r="O220" s="532"/>
      <c r="P220" s="532"/>
      <c r="Q220" s="532"/>
    </row>
    <row r="221" ht="41.25" customHeight="1">
      <c r="J221" s="532"/>
      <c r="K221" s="532"/>
      <c r="L221" s="532"/>
      <c r="M221" s="532"/>
      <c r="N221" s="532"/>
      <c r="O221" s="532"/>
      <c r="P221" s="532"/>
      <c r="Q221" s="532"/>
    </row>
    <row r="222" ht="41.25" customHeight="1">
      <c r="J222" s="532"/>
      <c r="K222" s="532"/>
      <c r="L222" s="532"/>
      <c r="M222" s="532"/>
      <c r="N222" s="532"/>
      <c r="O222" s="532"/>
      <c r="P222" s="532"/>
      <c r="Q222" s="532"/>
    </row>
    <row r="223" ht="41.25" customHeight="1">
      <c r="J223" s="532"/>
      <c r="K223" s="532"/>
      <c r="L223" s="532"/>
      <c r="M223" s="532"/>
      <c r="N223" s="532"/>
      <c r="O223" s="532"/>
      <c r="P223" s="532"/>
      <c r="Q223" s="532"/>
    </row>
    <row r="224" ht="41.25" customHeight="1">
      <c r="J224" s="532"/>
      <c r="K224" s="532"/>
      <c r="L224" s="532"/>
      <c r="M224" s="532"/>
      <c r="N224" s="532"/>
      <c r="O224" s="532"/>
      <c r="P224" s="532"/>
      <c r="Q224" s="532"/>
    </row>
    <row r="225" ht="41.25" customHeight="1">
      <c r="J225" s="532"/>
      <c r="K225" s="532"/>
      <c r="L225" s="532"/>
      <c r="M225" s="532"/>
      <c r="N225" s="532"/>
      <c r="O225" s="532"/>
      <c r="P225" s="532"/>
      <c r="Q225" s="532"/>
    </row>
    <row r="226" ht="41.25" customHeight="1">
      <c r="J226" s="532"/>
      <c r="K226" s="532"/>
      <c r="L226" s="532"/>
      <c r="M226" s="532"/>
      <c r="N226" s="532"/>
      <c r="O226" s="532"/>
      <c r="P226" s="532"/>
      <c r="Q226" s="532"/>
    </row>
    <row r="227" ht="41.25" customHeight="1">
      <c r="J227" s="532"/>
      <c r="K227" s="532"/>
      <c r="L227" s="532"/>
      <c r="M227" s="532"/>
      <c r="N227" s="532"/>
      <c r="O227" s="532"/>
      <c r="P227" s="532"/>
      <c r="Q227" s="532"/>
    </row>
    <row r="228" ht="41.25" customHeight="1">
      <c r="J228" s="532"/>
      <c r="K228" s="532"/>
      <c r="L228" s="532"/>
      <c r="M228" s="532"/>
      <c r="N228" s="532"/>
      <c r="O228" s="532"/>
      <c r="P228" s="532"/>
      <c r="Q228" s="532"/>
    </row>
    <row r="229" ht="41.25" customHeight="1">
      <c r="J229" s="532"/>
      <c r="K229" s="532"/>
      <c r="L229" s="532"/>
      <c r="M229" s="532"/>
      <c r="N229" s="532"/>
      <c r="O229" s="532"/>
      <c r="P229" s="532"/>
      <c r="Q229" s="532"/>
    </row>
    <row r="230" ht="41.25" customHeight="1">
      <c r="J230" s="532"/>
      <c r="K230" s="532"/>
      <c r="L230" s="532"/>
      <c r="M230" s="532"/>
      <c r="N230" s="532"/>
      <c r="O230" s="532"/>
      <c r="P230" s="532"/>
      <c r="Q230" s="532"/>
    </row>
    <row r="231" ht="41.25" customHeight="1">
      <c r="J231" s="532"/>
      <c r="K231" s="532"/>
      <c r="L231" s="532"/>
      <c r="M231" s="532"/>
      <c r="N231" s="532"/>
      <c r="O231" s="532"/>
      <c r="P231" s="532"/>
      <c r="Q231" s="532"/>
    </row>
    <row r="232" ht="41.25" customHeight="1">
      <c r="E232" s="532"/>
      <c r="F232" s="532"/>
      <c r="G232" s="532"/>
      <c r="H232" s="532"/>
      <c r="I232" s="532"/>
      <c r="J232" s="532"/>
      <c r="K232" s="532"/>
      <c r="L232" s="532"/>
      <c r="M232" s="532"/>
      <c r="N232" s="532"/>
      <c r="O232" s="532"/>
      <c r="P232" s="532"/>
      <c r="Q232" s="532"/>
    </row>
    <row r="233" ht="41.25" customHeight="1">
      <c r="E233" s="532"/>
      <c r="F233" s="532"/>
      <c r="G233" s="532"/>
      <c r="H233" s="532"/>
      <c r="I233" s="532"/>
      <c r="J233" s="532"/>
      <c r="K233" s="532"/>
      <c r="L233" s="532"/>
      <c r="M233" s="532"/>
      <c r="N233" s="532"/>
      <c r="O233" s="532"/>
      <c r="P233" s="532"/>
      <c r="Q233" s="532"/>
    </row>
    <row r="234" ht="41.25" customHeight="1">
      <c r="E234" s="532"/>
      <c r="F234" s="532"/>
      <c r="G234" s="532"/>
      <c r="H234" s="532"/>
      <c r="I234" s="532"/>
      <c r="J234" s="532"/>
      <c r="K234" s="532"/>
      <c r="L234" s="532"/>
      <c r="M234" s="532"/>
      <c r="N234" s="532"/>
      <c r="O234" s="532"/>
      <c r="P234" s="532"/>
      <c r="Q234" s="532"/>
    </row>
    <row r="235" ht="41.25" customHeight="1">
      <c r="E235" s="532"/>
      <c r="F235" s="532"/>
      <c r="G235" s="532"/>
      <c r="H235" s="532"/>
      <c r="I235" s="532"/>
      <c r="J235" s="532"/>
      <c r="K235" s="532"/>
      <c r="L235" s="532"/>
      <c r="M235" s="532"/>
      <c r="N235" s="532"/>
      <c r="O235" s="532"/>
      <c r="P235" s="532"/>
      <c r="Q235" s="532"/>
    </row>
    <row r="236" ht="41.25" customHeight="1">
      <c r="E236" s="532"/>
      <c r="F236" s="532"/>
      <c r="G236" s="532"/>
      <c r="H236" s="532"/>
      <c r="I236" s="532"/>
      <c r="J236" s="532"/>
      <c r="K236" s="532"/>
      <c r="L236" s="532"/>
      <c r="M236" s="532"/>
      <c r="N236" s="532"/>
      <c r="O236" s="532"/>
      <c r="P236" s="532"/>
      <c r="Q236" s="532"/>
    </row>
    <row r="237" ht="41.25" customHeight="1">
      <c r="E237" s="532"/>
      <c r="F237" s="532"/>
      <c r="G237" s="532"/>
      <c r="H237" s="532"/>
      <c r="I237" s="532"/>
      <c r="J237" s="532"/>
      <c r="K237" s="532"/>
      <c r="L237" s="532"/>
      <c r="M237" s="532"/>
      <c r="N237" s="532"/>
      <c r="O237" s="532"/>
      <c r="P237" s="532"/>
      <c r="Q237" s="532"/>
    </row>
    <row r="238" ht="41.25" customHeight="1">
      <c r="E238" s="532"/>
      <c r="F238" s="532"/>
      <c r="G238" s="532"/>
      <c r="H238" s="532"/>
      <c r="I238" s="532"/>
      <c r="J238" s="532"/>
      <c r="K238" s="532"/>
      <c r="L238" s="532"/>
      <c r="M238" s="532"/>
      <c r="N238" s="532"/>
      <c r="O238" s="532"/>
      <c r="P238" s="532"/>
      <c r="Q238" s="532"/>
    </row>
    <row r="239" ht="41.25" customHeight="1">
      <c r="E239" s="532"/>
      <c r="F239" s="532"/>
      <c r="G239" s="532"/>
      <c r="H239" s="532"/>
      <c r="I239" s="532"/>
      <c r="J239" s="532"/>
      <c r="K239" s="532"/>
      <c r="L239" s="532"/>
      <c r="M239" s="532"/>
      <c r="N239" s="532"/>
      <c r="O239" s="532"/>
      <c r="P239" s="532"/>
      <c r="Q239" s="532"/>
    </row>
    <row r="240" ht="41.25" customHeight="1">
      <c r="E240" s="532"/>
      <c r="F240" s="532"/>
      <c r="G240" s="532"/>
      <c r="H240" s="532"/>
      <c r="I240" s="532"/>
      <c r="J240" s="532"/>
      <c r="K240" s="532"/>
      <c r="L240" s="532"/>
      <c r="M240" s="532"/>
      <c r="N240" s="532"/>
      <c r="O240" s="532"/>
      <c r="P240" s="532"/>
      <c r="Q240" s="532"/>
    </row>
    <row r="241" ht="41.25" customHeight="1">
      <c r="E241" s="532"/>
      <c r="F241" s="532"/>
      <c r="G241" s="532"/>
      <c r="H241" s="532"/>
      <c r="I241" s="532"/>
      <c r="J241" s="532"/>
      <c r="K241" s="532"/>
      <c r="L241" s="532"/>
      <c r="M241" s="532"/>
      <c r="N241" s="532"/>
      <c r="O241" s="532"/>
      <c r="P241" s="532"/>
      <c r="Q241" s="532"/>
    </row>
    <row r="242" ht="41.25" customHeight="1">
      <c r="E242" s="532"/>
      <c r="F242" s="532"/>
      <c r="G242" s="532"/>
      <c r="H242" s="532"/>
      <c r="I242" s="532"/>
      <c r="J242" s="532"/>
      <c r="K242" s="532"/>
      <c r="L242" s="532"/>
      <c r="M242" s="532"/>
      <c r="N242" s="532"/>
      <c r="O242" s="532"/>
      <c r="P242" s="532"/>
      <c r="Q242" s="532"/>
    </row>
    <row r="243" ht="41.25" customHeight="1">
      <c r="E243" s="532"/>
      <c r="F243" s="532"/>
      <c r="G243" s="532"/>
      <c r="H243" s="532"/>
      <c r="I243" s="532"/>
      <c r="J243" s="532"/>
      <c r="K243" s="532"/>
      <c r="L243" s="532"/>
      <c r="M243" s="532"/>
      <c r="N243" s="532"/>
      <c r="O243" s="532"/>
      <c r="P243" s="532"/>
      <c r="Q243" s="532"/>
    </row>
    <row r="244" ht="41.25" customHeight="1">
      <c r="E244" s="532"/>
      <c r="F244" s="532"/>
      <c r="G244" s="532"/>
      <c r="H244" s="532"/>
      <c r="I244" s="532"/>
      <c r="J244" s="532"/>
      <c r="K244" s="532"/>
      <c r="L244" s="532"/>
      <c r="M244" s="532"/>
      <c r="N244" s="532"/>
      <c r="O244" s="532"/>
      <c r="P244" s="532"/>
      <c r="Q244" s="532"/>
    </row>
    <row r="245" ht="41.25" customHeight="1">
      <c r="E245" s="532"/>
      <c r="F245" s="532"/>
      <c r="G245" s="532"/>
      <c r="H245" s="532"/>
      <c r="I245" s="532"/>
      <c r="J245" s="532"/>
      <c r="K245" s="532"/>
      <c r="L245" s="532"/>
      <c r="M245" s="532"/>
      <c r="N245" s="532"/>
      <c r="O245" s="532"/>
      <c r="P245" s="532"/>
      <c r="Q245" s="532"/>
    </row>
    <row r="246" ht="41.25" customHeight="1">
      <c r="E246" s="532"/>
      <c r="F246" s="532"/>
      <c r="G246" s="532"/>
      <c r="H246" s="532"/>
      <c r="I246" s="532"/>
      <c r="J246" s="532"/>
      <c r="K246" s="532"/>
      <c r="L246" s="532"/>
      <c r="M246" s="532"/>
      <c r="N246" s="532"/>
      <c r="O246" s="532"/>
      <c r="P246" s="532"/>
      <c r="Q246" s="532"/>
    </row>
    <row r="247" ht="41.25" customHeight="1">
      <c r="E247" s="532"/>
      <c r="F247" s="532"/>
      <c r="G247" s="532"/>
      <c r="H247" s="532"/>
      <c r="I247" s="532"/>
      <c r="J247" s="532"/>
      <c r="K247" s="532"/>
      <c r="L247" s="532"/>
      <c r="M247" s="532"/>
      <c r="N247" s="532"/>
      <c r="O247" s="532"/>
      <c r="P247" s="532"/>
      <c r="Q247" s="532"/>
    </row>
    <row r="248" ht="41.25" customHeight="1">
      <c r="E248" s="532"/>
      <c r="F248" s="532"/>
      <c r="G248" s="532"/>
      <c r="H248" s="532"/>
      <c r="I248" s="532"/>
      <c r="J248" s="532"/>
      <c r="K248" s="532"/>
      <c r="L248" s="532"/>
      <c r="M248" s="532"/>
      <c r="N248" s="532"/>
      <c r="O248" s="532"/>
      <c r="P248" s="532"/>
      <c r="Q248" s="532"/>
    </row>
    <row r="249" ht="41.25" customHeight="1">
      <c r="J249" s="532"/>
      <c r="K249" s="532"/>
      <c r="L249" s="532"/>
      <c r="M249" s="532"/>
      <c r="N249" s="532"/>
      <c r="O249" s="532"/>
      <c r="P249" s="532"/>
      <c r="Q249" s="532"/>
    </row>
    <row r="250" ht="41.25" customHeight="1">
      <c r="J250" s="532"/>
      <c r="K250" s="532"/>
      <c r="L250" s="532"/>
      <c r="M250" s="532"/>
      <c r="N250" s="532"/>
      <c r="O250" s="532"/>
      <c r="P250" s="532"/>
      <c r="Q250" s="532"/>
    </row>
    <row r="251" ht="41.25" customHeight="1">
      <c r="J251" s="532"/>
      <c r="K251" s="532"/>
      <c r="L251" s="532"/>
      <c r="M251" s="532"/>
      <c r="N251" s="532"/>
      <c r="O251" s="532"/>
      <c r="P251" s="532"/>
      <c r="Q251" s="532"/>
    </row>
    <row r="252" ht="41.25" customHeight="1">
      <c r="J252" s="532"/>
      <c r="K252" s="532"/>
      <c r="L252" s="532"/>
      <c r="M252" s="532"/>
      <c r="N252" s="532"/>
      <c r="O252" s="532"/>
      <c r="P252" s="532"/>
      <c r="Q252" s="532"/>
    </row>
    <row r="253" ht="41.25" customHeight="1">
      <c r="J253" s="532"/>
      <c r="K253" s="532"/>
      <c r="L253" s="532"/>
      <c r="M253" s="532"/>
      <c r="N253" s="532"/>
      <c r="O253" s="532"/>
      <c r="P253" s="532"/>
      <c r="Q253" s="532"/>
    </row>
    <row r="254" ht="41.25" customHeight="1">
      <c r="J254" s="532"/>
      <c r="K254" s="532"/>
      <c r="L254" s="532"/>
      <c r="M254" s="532"/>
      <c r="N254" s="532"/>
      <c r="O254" s="532"/>
      <c r="P254" s="532"/>
      <c r="Q254" s="532"/>
    </row>
    <row r="255" ht="41.25" customHeight="1">
      <c r="J255" s="532"/>
      <c r="K255" s="532"/>
      <c r="L255" s="532"/>
      <c r="M255" s="532"/>
      <c r="N255" s="532"/>
      <c r="O255" s="532"/>
      <c r="P255" s="532"/>
      <c r="Q255" s="532"/>
    </row>
    <row r="256" ht="41.25" customHeight="1">
      <c r="J256" s="532"/>
      <c r="K256" s="532"/>
      <c r="L256" s="532"/>
      <c r="M256" s="532"/>
      <c r="N256" s="532"/>
      <c r="O256" s="532"/>
      <c r="P256" s="532"/>
      <c r="Q256" s="532"/>
    </row>
    <row r="257" ht="41.25" customHeight="1">
      <c r="J257" s="532"/>
      <c r="K257" s="532"/>
      <c r="L257" s="532"/>
      <c r="M257" s="532"/>
      <c r="N257" s="532"/>
      <c r="O257" s="532"/>
      <c r="P257" s="532"/>
      <c r="Q257" s="532"/>
    </row>
    <row r="258" ht="41.25" customHeight="1">
      <c r="J258" s="532"/>
      <c r="K258" s="532"/>
      <c r="L258" s="532"/>
      <c r="M258" s="532"/>
      <c r="N258" s="532"/>
      <c r="O258" s="532"/>
      <c r="P258" s="532"/>
      <c r="Q258" s="532"/>
    </row>
    <row r="259" ht="41.25" customHeight="1">
      <c r="J259" s="532"/>
      <c r="K259" s="532"/>
      <c r="L259" s="532"/>
      <c r="M259" s="532"/>
      <c r="N259" s="532"/>
      <c r="O259" s="532"/>
      <c r="P259" s="532"/>
      <c r="Q259" s="532"/>
    </row>
    <row r="260" ht="41.25" customHeight="1">
      <c r="J260" s="532"/>
      <c r="K260" s="532"/>
      <c r="L260" s="532"/>
      <c r="M260" s="532"/>
      <c r="N260" s="532"/>
      <c r="O260" s="532"/>
      <c r="P260" s="532"/>
      <c r="Q260" s="532"/>
    </row>
    <row r="261" ht="41.25" customHeight="1">
      <c r="J261" s="532"/>
      <c r="K261" s="532"/>
      <c r="L261" s="532"/>
      <c r="M261" s="532"/>
      <c r="N261" s="532"/>
      <c r="O261" s="532"/>
      <c r="P261" s="532"/>
      <c r="Q261" s="532"/>
    </row>
    <row r="262" ht="41.25" customHeight="1">
      <c r="J262" s="532"/>
      <c r="K262" s="532"/>
      <c r="L262" s="532"/>
      <c r="M262" s="532"/>
      <c r="N262" s="532"/>
      <c r="O262" s="532"/>
      <c r="P262" s="532"/>
      <c r="Q262" s="532"/>
    </row>
    <row r="263" ht="41.25" customHeight="1">
      <c r="J263" s="532"/>
      <c r="K263" s="532"/>
      <c r="L263" s="532"/>
      <c r="M263" s="532"/>
      <c r="N263" s="532"/>
      <c r="O263" s="532"/>
      <c r="P263" s="532"/>
      <c r="Q263" s="532"/>
    </row>
    <row r="264" ht="41.25" customHeight="1">
      <c r="J264" s="532"/>
      <c r="K264" s="532"/>
      <c r="L264" s="532"/>
      <c r="M264" s="532"/>
      <c r="N264" s="532"/>
      <c r="O264" s="532"/>
      <c r="P264" s="532"/>
      <c r="Q264" s="532"/>
    </row>
    <row r="265" ht="41.25" customHeight="1">
      <c r="J265" s="532"/>
      <c r="K265" s="532"/>
      <c r="L265" s="532"/>
      <c r="M265" s="532"/>
      <c r="N265" s="532"/>
      <c r="O265" s="532"/>
      <c r="P265" s="532"/>
      <c r="Q265" s="532"/>
    </row>
    <row r="266" ht="41.25" customHeight="1">
      <c r="E266" s="532"/>
      <c r="F266" s="532"/>
      <c r="G266" s="532"/>
      <c r="H266" s="532"/>
      <c r="I266" s="532"/>
      <c r="J266" s="532"/>
      <c r="K266" s="532"/>
      <c r="L266" s="532"/>
      <c r="M266" s="532"/>
      <c r="N266" s="532"/>
      <c r="O266" s="532"/>
      <c r="P266" s="532"/>
      <c r="Q266" s="532"/>
    </row>
    <row r="267" ht="41.25" customHeight="1">
      <c r="E267" s="532"/>
      <c r="F267" s="532"/>
      <c r="G267" s="532"/>
      <c r="H267" s="532"/>
      <c r="I267" s="532"/>
      <c r="J267" s="532"/>
      <c r="K267" s="532"/>
      <c r="L267" s="532"/>
      <c r="M267" s="532"/>
      <c r="N267" s="532"/>
      <c r="O267" s="532"/>
      <c r="P267" s="532"/>
      <c r="Q267" s="532"/>
    </row>
    <row r="268" ht="41.25" customHeight="1">
      <c r="E268" s="532"/>
      <c r="F268" s="532"/>
      <c r="G268" s="532"/>
      <c r="H268" s="532"/>
      <c r="I268" s="532"/>
      <c r="J268" s="532"/>
      <c r="K268" s="532"/>
      <c r="L268" s="532"/>
      <c r="M268" s="532"/>
      <c r="N268" s="532"/>
      <c r="O268" s="532"/>
      <c r="P268" s="532"/>
      <c r="Q268" s="532"/>
    </row>
    <row r="269" ht="41.25" customHeight="1">
      <c r="E269" s="532"/>
      <c r="F269" s="532"/>
      <c r="G269" s="532"/>
      <c r="H269" s="532"/>
      <c r="I269" s="532"/>
      <c r="J269" s="532"/>
      <c r="K269" s="532"/>
      <c r="L269" s="532"/>
      <c r="M269" s="532"/>
      <c r="N269" s="532"/>
      <c r="O269" s="532"/>
      <c r="P269" s="532"/>
      <c r="Q269" s="532"/>
    </row>
    <row r="270" ht="41.25" customHeight="1">
      <c r="E270" s="532"/>
      <c r="F270" s="532"/>
      <c r="G270" s="532"/>
      <c r="H270" s="532"/>
      <c r="I270" s="532"/>
      <c r="J270" s="532"/>
      <c r="K270" s="532"/>
      <c r="L270" s="532"/>
      <c r="M270" s="532"/>
      <c r="N270" s="532"/>
      <c r="O270" s="532"/>
      <c r="P270" s="532"/>
      <c r="Q270" s="532"/>
    </row>
    <row r="271" ht="41.25" customHeight="1">
      <c r="E271" s="532"/>
      <c r="F271" s="532"/>
      <c r="G271" s="532"/>
      <c r="H271" s="532"/>
      <c r="I271" s="532"/>
      <c r="J271" s="532"/>
      <c r="K271" s="532"/>
      <c r="L271" s="532"/>
      <c r="M271" s="532"/>
      <c r="N271" s="532"/>
      <c r="O271" s="532"/>
      <c r="P271" s="532"/>
      <c r="Q271" s="532"/>
    </row>
    <row r="272" ht="41.25" customHeight="1">
      <c r="E272" s="532"/>
      <c r="F272" s="532"/>
      <c r="G272" s="532"/>
      <c r="H272" s="532"/>
      <c r="I272" s="532"/>
      <c r="J272" s="532"/>
      <c r="K272" s="532"/>
      <c r="L272" s="532"/>
      <c r="M272" s="532"/>
      <c r="N272" s="532"/>
      <c r="O272" s="532"/>
      <c r="P272" s="532"/>
      <c r="Q272" s="532"/>
    </row>
    <row r="273" ht="41.25" customHeight="1">
      <c r="E273" s="532"/>
      <c r="F273" s="532"/>
      <c r="G273" s="532"/>
      <c r="H273" s="532"/>
      <c r="I273" s="532"/>
      <c r="J273" s="532"/>
      <c r="K273" s="532"/>
      <c r="L273" s="532"/>
      <c r="M273" s="532"/>
      <c r="N273" s="532"/>
      <c r="O273" s="532"/>
      <c r="P273" s="532"/>
      <c r="Q273" s="532"/>
    </row>
    <row r="274" ht="41.25" customHeight="1">
      <c r="E274" s="532"/>
      <c r="F274" s="532"/>
      <c r="G274" s="532"/>
      <c r="H274" s="532"/>
      <c r="I274" s="532"/>
      <c r="J274" s="532"/>
      <c r="K274" s="532"/>
      <c r="L274" s="532"/>
      <c r="M274" s="532"/>
      <c r="N274" s="532"/>
      <c r="O274" s="532"/>
      <c r="P274" s="532"/>
      <c r="Q274" s="532"/>
    </row>
    <row r="275" ht="41.25" customHeight="1">
      <c r="E275" s="532"/>
      <c r="F275" s="532"/>
      <c r="G275" s="532"/>
      <c r="H275" s="532"/>
      <c r="I275" s="532"/>
      <c r="J275" s="532"/>
      <c r="K275" s="532"/>
      <c r="L275" s="532"/>
      <c r="M275" s="532"/>
      <c r="N275" s="532"/>
      <c r="O275" s="532"/>
      <c r="P275" s="532"/>
      <c r="Q275" s="532"/>
    </row>
    <row r="276" ht="41.25" customHeight="1">
      <c r="E276" s="532"/>
      <c r="F276" s="532"/>
      <c r="G276" s="532"/>
      <c r="H276" s="532"/>
      <c r="I276" s="532"/>
      <c r="J276" s="532"/>
      <c r="K276" s="532"/>
      <c r="L276" s="532"/>
      <c r="M276" s="532"/>
      <c r="N276" s="532"/>
      <c r="O276" s="532"/>
      <c r="P276" s="532"/>
      <c r="Q276" s="532"/>
    </row>
    <row r="277" ht="41.25" customHeight="1">
      <c r="E277" s="532"/>
      <c r="F277" s="532"/>
      <c r="G277" s="532"/>
      <c r="H277" s="532"/>
      <c r="I277" s="532"/>
      <c r="J277" s="532"/>
      <c r="K277" s="532"/>
      <c r="L277" s="532"/>
      <c r="M277" s="532"/>
      <c r="N277" s="532"/>
      <c r="O277" s="532"/>
      <c r="P277" s="532"/>
      <c r="Q277" s="532"/>
    </row>
    <row r="278" ht="41.25" customHeight="1">
      <c r="E278" s="532"/>
      <c r="F278" s="532"/>
      <c r="G278" s="532"/>
      <c r="H278" s="532"/>
      <c r="I278" s="532"/>
      <c r="J278" s="532"/>
      <c r="K278" s="532"/>
      <c r="L278" s="532"/>
      <c r="M278" s="532"/>
      <c r="N278" s="532"/>
      <c r="O278" s="532"/>
      <c r="P278" s="532"/>
      <c r="Q278" s="532"/>
    </row>
    <row r="279" ht="41.25" customHeight="1">
      <c r="E279" s="532"/>
      <c r="F279" s="532"/>
      <c r="G279" s="532"/>
      <c r="H279" s="532"/>
      <c r="I279" s="532"/>
      <c r="J279" s="532"/>
      <c r="K279" s="532"/>
      <c r="L279" s="532"/>
      <c r="M279" s="532"/>
      <c r="N279" s="532"/>
      <c r="O279" s="532"/>
      <c r="P279" s="532"/>
      <c r="Q279" s="532"/>
    </row>
    <row r="280" ht="41.25" customHeight="1">
      <c r="E280" s="532"/>
      <c r="F280" s="532"/>
      <c r="G280" s="532"/>
      <c r="H280" s="532"/>
      <c r="I280" s="532"/>
      <c r="J280" s="532"/>
      <c r="K280" s="532"/>
      <c r="L280" s="532"/>
      <c r="M280" s="532"/>
      <c r="N280" s="532"/>
      <c r="O280" s="532"/>
      <c r="P280" s="532"/>
      <c r="Q280" s="532"/>
    </row>
    <row r="281" ht="41.25" customHeight="1">
      <c r="E281" s="532"/>
      <c r="F281" s="532"/>
      <c r="G281" s="532"/>
      <c r="H281" s="532"/>
      <c r="I281" s="532"/>
      <c r="J281" s="532"/>
      <c r="K281" s="532"/>
      <c r="L281" s="532"/>
      <c r="M281" s="532"/>
      <c r="N281" s="532"/>
      <c r="O281" s="532"/>
      <c r="P281" s="532"/>
      <c r="Q281" s="532"/>
    </row>
    <row r="282" ht="41.25" customHeight="1">
      <c r="E282" s="532"/>
      <c r="F282" s="532"/>
      <c r="G282" s="532"/>
      <c r="H282" s="532"/>
      <c r="I282" s="532"/>
      <c r="J282" s="532"/>
      <c r="K282" s="532"/>
      <c r="L282" s="532"/>
      <c r="M282" s="532"/>
      <c r="N282" s="532"/>
      <c r="O282" s="532"/>
      <c r="P282" s="532"/>
      <c r="Q282" s="532"/>
    </row>
    <row r="283" ht="41.25" customHeight="1">
      <c r="E283" s="532"/>
      <c r="F283" s="532"/>
      <c r="G283" s="532"/>
      <c r="H283" s="532"/>
      <c r="I283" s="532"/>
      <c r="J283" s="532"/>
      <c r="K283" s="532"/>
      <c r="L283" s="532"/>
      <c r="M283" s="532"/>
      <c r="N283" s="532"/>
      <c r="O283" s="532"/>
      <c r="P283" s="532"/>
      <c r="Q283" s="532"/>
    </row>
    <row r="284" ht="41.25" customHeight="1">
      <c r="E284" s="532"/>
      <c r="F284" s="532"/>
      <c r="G284" s="532"/>
      <c r="H284" s="532"/>
      <c r="I284" s="532"/>
      <c r="J284" s="532"/>
      <c r="K284" s="532"/>
      <c r="L284" s="532"/>
      <c r="M284" s="532"/>
      <c r="N284" s="532"/>
      <c r="O284" s="532"/>
      <c r="P284" s="532"/>
      <c r="Q284" s="532"/>
    </row>
    <row r="285" ht="41.25" customHeight="1">
      <c r="E285" s="532"/>
      <c r="F285" s="532"/>
      <c r="G285" s="532"/>
      <c r="H285" s="532"/>
      <c r="I285" s="532"/>
      <c r="J285" s="532"/>
      <c r="K285" s="532"/>
      <c r="L285" s="532"/>
      <c r="M285" s="532"/>
      <c r="N285" s="532"/>
      <c r="O285" s="532"/>
      <c r="P285" s="532"/>
      <c r="Q285" s="532"/>
    </row>
    <row r="286" ht="41.25" customHeight="1">
      <c r="E286" s="532"/>
      <c r="F286" s="532"/>
      <c r="G286" s="532"/>
      <c r="H286" s="532"/>
      <c r="I286" s="532"/>
      <c r="J286" s="532"/>
      <c r="K286" s="532"/>
      <c r="L286" s="532"/>
      <c r="M286" s="532"/>
      <c r="N286" s="532"/>
      <c r="O286" s="532"/>
      <c r="P286" s="532"/>
      <c r="Q286" s="532"/>
    </row>
    <row r="287">
      <c r="A287" s="1451"/>
      <c r="B287" s="532"/>
      <c r="C287" s="532"/>
      <c r="D287" s="532"/>
      <c r="E287" s="532"/>
      <c r="F287" s="532"/>
      <c r="G287" s="532"/>
      <c r="H287" s="532"/>
      <c r="I287" s="532"/>
      <c r="J287" s="532"/>
      <c r="K287" s="532"/>
      <c r="L287" s="532"/>
      <c r="M287" s="532"/>
      <c r="N287" s="532"/>
      <c r="O287" s="532"/>
      <c r="P287" s="532"/>
      <c r="Q287" s="532"/>
    </row>
    <row r="288">
      <c r="A288" s="1451"/>
      <c r="B288" s="532"/>
      <c r="C288" s="532"/>
      <c r="D288" s="532"/>
      <c r="E288" s="532"/>
      <c r="F288" s="532"/>
      <c r="G288" s="532"/>
      <c r="H288" s="532"/>
      <c r="I288" s="532"/>
      <c r="J288" s="532"/>
      <c r="K288" s="532"/>
      <c r="L288" s="532"/>
      <c r="M288" s="532"/>
      <c r="N288" s="532"/>
      <c r="O288" s="532"/>
      <c r="P288" s="532"/>
      <c r="Q288" s="532"/>
    </row>
    <row r="289">
      <c r="A289" s="1451"/>
      <c r="B289" s="532"/>
      <c r="C289" s="532"/>
      <c r="D289" s="532"/>
      <c r="E289" s="532"/>
      <c r="F289" s="532"/>
      <c r="G289" s="532"/>
      <c r="H289" s="532"/>
      <c r="I289" s="532"/>
      <c r="J289" s="532"/>
      <c r="K289" s="532"/>
      <c r="L289" s="532"/>
      <c r="M289" s="532"/>
      <c r="N289" s="532"/>
      <c r="O289" s="532"/>
      <c r="P289" s="532"/>
      <c r="Q289" s="532"/>
    </row>
    <row r="290">
      <c r="A290" s="1451"/>
      <c r="B290" s="532"/>
      <c r="C290" s="532"/>
      <c r="D290" s="532"/>
      <c r="E290" s="532"/>
      <c r="F290" s="532"/>
      <c r="G290" s="532"/>
      <c r="H290" s="532"/>
      <c r="I290" s="532"/>
      <c r="J290" s="532"/>
      <c r="K290" s="532"/>
      <c r="L290" s="532"/>
      <c r="M290" s="532"/>
      <c r="N290" s="532"/>
      <c r="O290" s="532"/>
      <c r="P290" s="532"/>
      <c r="Q290" s="532"/>
    </row>
    <row r="291">
      <c r="A291" s="1451"/>
      <c r="B291" s="532"/>
      <c r="C291" s="532"/>
      <c r="D291" s="532"/>
      <c r="E291" s="532"/>
      <c r="F291" s="532"/>
      <c r="G291" s="532"/>
      <c r="H291" s="532"/>
      <c r="I291" s="532"/>
      <c r="J291" s="532"/>
      <c r="K291" s="532"/>
      <c r="L291" s="532"/>
      <c r="M291" s="532"/>
      <c r="N291" s="532"/>
      <c r="O291" s="532"/>
      <c r="P291" s="532"/>
      <c r="Q291" s="532"/>
    </row>
    <row r="292">
      <c r="A292" s="1451"/>
      <c r="B292" s="532"/>
      <c r="C292" s="532"/>
      <c r="D292" s="532"/>
      <c r="E292" s="532"/>
      <c r="F292" s="532"/>
      <c r="G292" s="532"/>
      <c r="H292" s="532"/>
      <c r="I292" s="532"/>
      <c r="J292" s="532"/>
      <c r="K292" s="532"/>
      <c r="L292" s="532"/>
      <c r="M292" s="532"/>
      <c r="N292" s="532"/>
      <c r="O292" s="532"/>
      <c r="P292" s="532"/>
      <c r="Q292" s="532"/>
    </row>
    <row r="293">
      <c r="A293" s="1451"/>
      <c r="B293" s="532"/>
      <c r="C293" s="532"/>
      <c r="D293" s="532"/>
      <c r="E293" s="532"/>
      <c r="F293" s="532"/>
      <c r="G293" s="532"/>
      <c r="H293" s="532"/>
      <c r="I293" s="532"/>
      <c r="J293" s="532"/>
      <c r="K293" s="532"/>
      <c r="L293" s="532"/>
      <c r="M293" s="532"/>
      <c r="N293" s="532"/>
      <c r="O293" s="532"/>
      <c r="P293" s="532"/>
      <c r="Q293" s="532"/>
    </row>
    <row r="294">
      <c r="A294" s="1451"/>
      <c r="B294" s="532"/>
      <c r="C294" s="532"/>
      <c r="D294" s="532"/>
      <c r="E294" s="532"/>
      <c r="F294" s="532"/>
      <c r="G294" s="532"/>
      <c r="H294" s="532"/>
      <c r="I294" s="532"/>
      <c r="J294" s="532"/>
      <c r="K294" s="532"/>
      <c r="L294" s="532"/>
      <c r="M294" s="532"/>
      <c r="N294" s="532"/>
      <c r="O294" s="532"/>
      <c r="P294" s="532"/>
      <c r="Q294" s="532"/>
    </row>
    <row r="295">
      <c r="A295" s="1451"/>
      <c r="B295" s="532"/>
      <c r="C295" s="532"/>
      <c r="D295" s="532"/>
      <c r="E295" s="532"/>
      <c r="F295" s="532"/>
      <c r="G295" s="532"/>
      <c r="H295" s="532"/>
      <c r="I295" s="532"/>
      <c r="J295" s="532"/>
      <c r="K295" s="532"/>
      <c r="L295" s="532"/>
      <c r="M295" s="532"/>
      <c r="N295" s="532"/>
      <c r="O295" s="532"/>
      <c r="P295" s="532"/>
      <c r="Q295" s="532"/>
    </row>
    <row r="296">
      <c r="A296" s="1451"/>
      <c r="B296" s="532"/>
      <c r="C296" s="532"/>
      <c r="D296" s="532"/>
      <c r="E296" s="532"/>
      <c r="F296" s="532"/>
      <c r="G296" s="532"/>
      <c r="H296" s="532"/>
      <c r="I296" s="532"/>
      <c r="J296" s="532"/>
      <c r="K296" s="532"/>
      <c r="L296" s="532"/>
      <c r="M296" s="532"/>
      <c r="N296" s="532"/>
      <c r="O296" s="532"/>
      <c r="P296" s="532"/>
      <c r="Q296" s="532"/>
    </row>
    <row r="297">
      <c r="A297" s="1451"/>
      <c r="B297" s="532"/>
      <c r="C297" s="532"/>
      <c r="D297" s="532"/>
      <c r="E297" s="532"/>
      <c r="F297" s="532"/>
      <c r="G297" s="532"/>
      <c r="H297" s="532"/>
      <c r="I297" s="532"/>
      <c r="J297" s="532"/>
      <c r="K297" s="532"/>
      <c r="L297" s="532"/>
      <c r="M297" s="532"/>
      <c r="N297" s="532"/>
      <c r="O297" s="532"/>
      <c r="P297" s="532"/>
      <c r="Q297" s="532"/>
    </row>
    <row r="298">
      <c r="A298" s="1451"/>
      <c r="B298" s="532"/>
      <c r="C298" s="532"/>
      <c r="D298" s="532"/>
      <c r="E298" s="532"/>
      <c r="F298" s="532"/>
      <c r="G298" s="532"/>
      <c r="H298" s="532"/>
      <c r="I298" s="532"/>
      <c r="J298" s="532"/>
      <c r="K298" s="532"/>
      <c r="L298" s="532"/>
      <c r="M298" s="532"/>
      <c r="N298" s="532"/>
      <c r="O298" s="532"/>
      <c r="P298" s="532"/>
      <c r="Q298" s="532"/>
    </row>
    <row r="299">
      <c r="A299" s="1451"/>
      <c r="B299" s="532"/>
      <c r="C299" s="532"/>
      <c r="D299" s="532"/>
      <c r="E299" s="532"/>
      <c r="F299" s="532"/>
      <c r="G299" s="532"/>
      <c r="H299" s="532"/>
      <c r="I299" s="532"/>
      <c r="J299" s="532"/>
      <c r="K299" s="532"/>
      <c r="L299" s="532"/>
      <c r="M299" s="532"/>
      <c r="N299" s="532"/>
      <c r="O299" s="532"/>
      <c r="P299" s="532"/>
      <c r="Q299" s="532"/>
    </row>
    <row r="300">
      <c r="A300" s="1451"/>
      <c r="B300" s="532"/>
      <c r="C300" s="532"/>
      <c r="D300" s="532"/>
      <c r="E300" s="532"/>
      <c r="F300" s="532"/>
      <c r="G300" s="532"/>
      <c r="H300" s="532"/>
      <c r="I300" s="532"/>
      <c r="J300" s="532"/>
      <c r="K300" s="532"/>
      <c r="L300" s="532"/>
      <c r="M300" s="532"/>
      <c r="N300" s="532"/>
      <c r="O300" s="532"/>
      <c r="P300" s="532"/>
      <c r="Q300" s="532"/>
    </row>
    <row r="301">
      <c r="A301" s="1451"/>
      <c r="B301" s="532"/>
      <c r="C301" s="532"/>
      <c r="D301" s="532"/>
      <c r="E301" s="532"/>
      <c r="F301" s="532"/>
      <c r="G301" s="532"/>
      <c r="H301" s="532"/>
      <c r="I301" s="532"/>
      <c r="J301" s="532"/>
      <c r="K301" s="532"/>
      <c r="L301" s="532"/>
      <c r="M301" s="532"/>
      <c r="N301" s="532"/>
      <c r="O301" s="532"/>
      <c r="P301" s="532"/>
      <c r="Q301" s="532"/>
    </row>
    <row r="302">
      <c r="A302" s="1451"/>
      <c r="B302" s="532"/>
      <c r="C302" s="532"/>
      <c r="D302" s="532"/>
      <c r="E302" s="532"/>
      <c r="F302" s="532"/>
      <c r="G302" s="532"/>
      <c r="H302" s="532"/>
      <c r="I302" s="532"/>
      <c r="J302" s="532"/>
      <c r="K302" s="532"/>
      <c r="L302" s="532"/>
      <c r="M302" s="532"/>
      <c r="N302" s="532"/>
      <c r="O302" s="532"/>
      <c r="P302" s="532"/>
      <c r="Q302" s="532"/>
    </row>
    <row r="303">
      <c r="A303" s="1451"/>
      <c r="B303" s="532"/>
      <c r="C303" s="532"/>
      <c r="D303" s="532"/>
      <c r="E303" s="532"/>
      <c r="F303" s="532"/>
      <c r="G303" s="532"/>
      <c r="H303" s="532"/>
      <c r="I303" s="532"/>
      <c r="J303" s="532"/>
      <c r="K303" s="532"/>
      <c r="L303" s="532"/>
      <c r="M303" s="532"/>
      <c r="N303" s="532"/>
      <c r="O303" s="532"/>
      <c r="P303" s="532"/>
      <c r="Q303" s="532"/>
    </row>
    <row r="304">
      <c r="A304" s="1451"/>
      <c r="B304" s="532"/>
      <c r="C304" s="532"/>
      <c r="D304" s="532"/>
      <c r="E304" s="532"/>
      <c r="F304" s="532"/>
      <c r="G304" s="532"/>
      <c r="H304" s="532"/>
      <c r="I304" s="532"/>
      <c r="J304" s="532"/>
      <c r="K304" s="532"/>
      <c r="L304" s="532"/>
      <c r="M304" s="532"/>
      <c r="N304" s="532"/>
      <c r="O304" s="532"/>
      <c r="P304" s="532"/>
      <c r="Q304" s="532"/>
    </row>
    <row r="305">
      <c r="A305" s="1451"/>
      <c r="B305" s="532"/>
      <c r="C305" s="532"/>
      <c r="D305" s="532"/>
      <c r="E305" s="532"/>
      <c r="F305" s="532"/>
      <c r="G305" s="532"/>
      <c r="H305" s="532"/>
      <c r="I305" s="532"/>
      <c r="J305" s="532"/>
      <c r="K305" s="532"/>
      <c r="L305" s="532"/>
      <c r="M305" s="532"/>
      <c r="N305" s="532"/>
      <c r="O305" s="532"/>
      <c r="P305" s="532"/>
      <c r="Q305" s="532"/>
    </row>
    <row r="306">
      <c r="A306" s="1451"/>
      <c r="B306" s="532"/>
      <c r="C306" s="532"/>
      <c r="D306" s="532"/>
      <c r="E306" s="532"/>
      <c r="F306" s="532"/>
      <c r="G306" s="532"/>
      <c r="H306" s="532"/>
      <c r="I306" s="532"/>
      <c r="J306" s="532"/>
      <c r="K306" s="532"/>
      <c r="L306" s="532"/>
      <c r="M306" s="532"/>
      <c r="N306" s="532"/>
      <c r="O306" s="532"/>
      <c r="P306" s="532"/>
      <c r="Q306" s="532"/>
    </row>
    <row r="307">
      <c r="A307" s="1451"/>
      <c r="B307" s="532"/>
      <c r="C307" s="532"/>
      <c r="D307" s="532"/>
      <c r="E307" s="532"/>
      <c r="F307" s="532"/>
      <c r="G307" s="532"/>
      <c r="H307" s="532"/>
      <c r="I307" s="532"/>
      <c r="J307" s="532"/>
      <c r="K307" s="532"/>
      <c r="L307" s="532"/>
      <c r="M307" s="532"/>
      <c r="N307" s="532"/>
      <c r="O307" s="532"/>
      <c r="P307" s="532"/>
      <c r="Q307" s="532"/>
    </row>
    <row r="308">
      <c r="A308" s="1451"/>
      <c r="B308" s="532"/>
      <c r="C308" s="532"/>
      <c r="D308" s="532"/>
      <c r="E308" s="532"/>
      <c r="F308" s="532"/>
      <c r="G308" s="532"/>
      <c r="H308" s="532"/>
      <c r="I308" s="532"/>
      <c r="J308" s="532"/>
      <c r="K308" s="532"/>
      <c r="L308" s="532"/>
      <c r="M308" s="532"/>
      <c r="N308" s="532"/>
      <c r="O308" s="532"/>
      <c r="P308" s="532"/>
      <c r="Q308" s="532"/>
    </row>
    <row r="309">
      <c r="A309" s="1451"/>
      <c r="B309" s="532"/>
      <c r="C309" s="532"/>
      <c r="D309" s="532"/>
      <c r="E309" s="532"/>
      <c r="F309" s="532"/>
      <c r="G309" s="532"/>
      <c r="H309" s="532"/>
      <c r="I309" s="532"/>
      <c r="J309" s="532"/>
      <c r="K309" s="532"/>
      <c r="L309" s="532"/>
      <c r="M309" s="532"/>
      <c r="N309" s="532"/>
      <c r="O309" s="532"/>
      <c r="P309" s="532"/>
      <c r="Q309" s="532"/>
    </row>
    <row r="310">
      <c r="A310" s="1451"/>
      <c r="B310" s="532"/>
      <c r="C310" s="532"/>
      <c r="D310" s="532"/>
      <c r="E310" s="532"/>
      <c r="F310" s="532"/>
      <c r="G310" s="532"/>
      <c r="H310" s="532"/>
      <c r="I310" s="532"/>
      <c r="J310" s="532"/>
      <c r="K310" s="532"/>
      <c r="L310" s="532"/>
      <c r="M310" s="532"/>
      <c r="N310" s="532"/>
      <c r="O310" s="532"/>
      <c r="P310" s="532"/>
      <c r="Q310" s="532"/>
    </row>
    <row r="311">
      <c r="A311" s="1451"/>
      <c r="B311" s="532"/>
      <c r="C311" s="532"/>
      <c r="D311" s="532"/>
      <c r="E311" s="532"/>
      <c r="F311" s="532"/>
      <c r="G311" s="532"/>
      <c r="H311" s="532"/>
      <c r="I311" s="532"/>
      <c r="J311" s="532"/>
      <c r="K311" s="532"/>
      <c r="L311" s="532"/>
      <c r="M311" s="532"/>
      <c r="N311" s="532"/>
      <c r="O311" s="532"/>
      <c r="P311" s="532"/>
      <c r="Q311" s="532"/>
    </row>
    <row r="312">
      <c r="A312" s="1451"/>
      <c r="B312" s="532"/>
      <c r="C312" s="532"/>
      <c r="D312" s="532"/>
      <c r="E312" s="532"/>
      <c r="F312" s="532"/>
      <c r="G312" s="532"/>
      <c r="H312" s="532"/>
      <c r="I312" s="532"/>
      <c r="J312" s="532"/>
      <c r="K312" s="532"/>
      <c r="L312" s="532"/>
      <c r="M312" s="532"/>
      <c r="N312" s="532"/>
      <c r="O312" s="532"/>
      <c r="P312" s="532"/>
      <c r="Q312" s="532"/>
    </row>
    <row r="313">
      <c r="A313" s="1451"/>
      <c r="B313" s="532"/>
      <c r="C313" s="532"/>
      <c r="D313" s="532"/>
      <c r="E313" s="532"/>
      <c r="F313" s="532"/>
      <c r="G313" s="532"/>
      <c r="H313" s="532"/>
      <c r="I313" s="532"/>
      <c r="J313" s="532"/>
      <c r="K313" s="532"/>
      <c r="L313" s="532"/>
      <c r="M313" s="532"/>
      <c r="N313" s="532"/>
      <c r="O313" s="532"/>
      <c r="P313" s="532"/>
      <c r="Q313" s="532"/>
    </row>
    <row r="314">
      <c r="A314" s="1451"/>
      <c r="B314" s="532"/>
      <c r="C314" s="532"/>
      <c r="D314" s="532"/>
      <c r="E314" s="532"/>
      <c r="F314" s="532"/>
      <c r="G314" s="532"/>
      <c r="H314" s="532"/>
      <c r="I314" s="532"/>
      <c r="J314" s="532"/>
      <c r="K314" s="532"/>
      <c r="L314" s="532"/>
      <c r="M314" s="532"/>
      <c r="N314" s="532"/>
      <c r="O314" s="532"/>
      <c r="P314" s="532"/>
      <c r="Q314" s="532"/>
    </row>
    <row r="315">
      <c r="A315" s="1451"/>
      <c r="B315" s="532"/>
      <c r="C315" s="532"/>
      <c r="D315" s="532"/>
      <c r="E315" s="532"/>
      <c r="F315" s="532"/>
      <c r="G315" s="532"/>
      <c r="H315" s="532"/>
      <c r="I315" s="532"/>
      <c r="J315" s="532"/>
      <c r="K315" s="532"/>
      <c r="L315" s="532"/>
      <c r="M315" s="532"/>
      <c r="N315" s="532"/>
      <c r="O315" s="532"/>
      <c r="P315" s="532"/>
      <c r="Q315" s="532"/>
    </row>
    <row r="316">
      <c r="A316" s="1451"/>
      <c r="B316" s="532"/>
      <c r="C316" s="532"/>
      <c r="D316" s="532"/>
      <c r="E316" s="532"/>
      <c r="F316" s="532"/>
      <c r="G316" s="532"/>
      <c r="H316" s="532"/>
      <c r="I316" s="532"/>
      <c r="J316" s="532"/>
      <c r="K316" s="532"/>
      <c r="L316" s="532"/>
      <c r="M316" s="532"/>
      <c r="N316" s="532"/>
      <c r="O316" s="532"/>
      <c r="P316" s="532"/>
      <c r="Q316" s="532"/>
    </row>
    <row r="317">
      <c r="A317" s="1451"/>
      <c r="B317" s="532"/>
      <c r="C317" s="532"/>
      <c r="D317" s="532"/>
      <c r="E317" s="532"/>
      <c r="F317" s="532"/>
      <c r="G317" s="532"/>
      <c r="H317" s="532"/>
      <c r="I317" s="532"/>
      <c r="J317" s="532"/>
      <c r="K317" s="532"/>
      <c r="L317" s="532"/>
      <c r="M317" s="532"/>
      <c r="N317" s="532"/>
      <c r="O317" s="532"/>
      <c r="P317" s="532"/>
      <c r="Q317" s="532"/>
    </row>
    <row r="318">
      <c r="A318" s="1451"/>
      <c r="B318" s="532"/>
      <c r="C318" s="532"/>
      <c r="D318" s="532"/>
      <c r="E318" s="532"/>
      <c r="F318" s="532"/>
      <c r="G318" s="532"/>
      <c r="H318" s="532"/>
      <c r="I318" s="532"/>
      <c r="J318" s="532"/>
      <c r="K318" s="532"/>
      <c r="L318" s="532"/>
      <c r="M318" s="532"/>
      <c r="N318" s="532"/>
      <c r="O318" s="532"/>
      <c r="P318" s="532"/>
      <c r="Q318" s="532"/>
    </row>
    <row r="319">
      <c r="A319" s="1451"/>
      <c r="B319" s="532"/>
      <c r="C319" s="532"/>
      <c r="D319" s="532"/>
      <c r="E319" s="532"/>
      <c r="F319" s="532"/>
      <c r="G319" s="532"/>
      <c r="H319" s="532"/>
      <c r="I319" s="532"/>
      <c r="J319" s="532"/>
      <c r="K319" s="532"/>
      <c r="L319" s="532"/>
      <c r="M319" s="532"/>
      <c r="N319" s="532"/>
      <c r="O319" s="532"/>
      <c r="P319" s="532"/>
      <c r="Q319" s="532"/>
    </row>
    <row r="320">
      <c r="A320" s="1451"/>
      <c r="B320" s="532"/>
      <c r="C320" s="532"/>
      <c r="D320" s="532"/>
      <c r="E320" s="532"/>
      <c r="F320" s="532"/>
      <c r="G320" s="532"/>
      <c r="H320" s="532"/>
      <c r="I320" s="532"/>
      <c r="J320" s="532"/>
      <c r="K320" s="532"/>
      <c r="L320" s="532"/>
      <c r="M320" s="532"/>
      <c r="N320" s="532"/>
      <c r="O320" s="532"/>
      <c r="P320" s="532"/>
      <c r="Q320" s="532"/>
    </row>
    <row r="321">
      <c r="A321" s="1451"/>
      <c r="B321" s="532"/>
      <c r="C321" s="532"/>
      <c r="D321" s="532"/>
      <c r="E321" s="532"/>
      <c r="F321" s="532"/>
      <c r="G321" s="532"/>
      <c r="H321" s="532"/>
      <c r="I321" s="532"/>
      <c r="J321" s="532"/>
      <c r="K321" s="532"/>
      <c r="L321" s="532"/>
      <c r="M321" s="532"/>
      <c r="N321" s="532"/>
      <c r="O321" s="532"/>
      <c r="P321" s="532"/>
      <c r="Q321" s="532"/>
    </row>
    <row r="322">
      <c r="A322" s="1451"/>
      <c r="B322" s="532"/>
      <c r="C322" s="532"/>
      <c r="D322" s="532"/>
      <c r="E322" s="532"/>
      <c r="F322" s="532"/>
      <c r="G322" s="532"/>
      <c r="H322" s="532"/>
      <c r="I322" s="532"/>
      <c r="J322" s="532"/>
      <c r="K322" s="532"/>
      <c r="L322" s="532"/>
      <c r="M322" s="532"/>
      <c r="N322" s="532"/>
      <c r="O322" s="532"/>
      <c r="P322" s="532"/>
      <c r="Q322" s="532"/>
    </row>
    <row r="323">
      <c r="A323" s="1451"/>
      <c r="B323" s="532"/>
      <c r="C323" s="532"/>
      <c r="D323" s="532"/>
      <c r="E323" s="532"/>
      <c r="F323" s="532"/>
      <c r="G323" s="532"/>
      <c r="H323" s="532"/>
      <c r="I323" s="532"/>
      <c r="J323" s="532"/>
      <c r="K323" s="532"/>
      <c r="L323" s="532"/>
      <c r="M323" s="532"/>
      <c r="N323" s="532"/>
      <c r="O323" s="532"/>
      <c r="P323" s="532"/>
      <c r="Q323" s="532"/>
    </row>
    <row r="324">
      <c r="A324" s="1451"/>
      <c r="B324" s="532"/>
      <c r="C324" s="532"/>
      <c r="D324" s="532"/>
      <c r="E324" s="532"/>
      <c r="F324" s="532"/>
      <c r="G324" s="532"/>
      <c r="H324" s="532"/>
      <c r="I324" s="532"/>
      <c r="J324" s="532"/>
      <c r="K324" s="532"/>
      <c r="L324" s="532"/>
      <c r="M324" s="532"/>
      <c r="N324" s="532"/>
      <c r="O324" s="532"/>
      <c r="P324" s="532"/>
      <c r="Q324" s="532"/>
    </row>
    <row r="325">
      <c r="A325" s="1451"/>
      <c r="B325" s="532"/>
      <c r="C325" s="532"/>
      <c r="D325" s="532"/>
      <c r="E325" s="532"/>
      <c r="F325" s="532"/>
      <c r="G325" s="532"/>
      <c r="H325" s="532"/>
      <c r="I325" s="532"/>
      <c r="J325" s="532"/>
      <c r="K325" s="532"/>
      <c r="L325" s="532"/>
      <c r="M325" s="532"/>
      <c r="N325" s="532"/>
      <c r="O325" s="532"/>
      <c r="P325" s="532"/>
      <c r="Q325" s="532"/>
    </row>
    <row r="326">
      <c r="A326" s="1451"/>
      <c r="B326" s="532"/>
      <c r="C326" s="532"/>
      <c r="D326" s="532"/>
      <c r="E326" s="532"/>
      <c r="F326" s="532"/>
      <c r="G326" s="532"/>
      <c r="H326" s="532"/>
      <c r="I326" s="532"/>
      <c r="J326" s="532"/>
      <c r="K326" s="532"/>
      <c r="L326" s="532"/>
      <c r="M326" s="532"/>
      <c r="N326" s="532"/>
      <c r="O326" s="532"/>
      <c r="P326" s="532"/>
      <c r="Q326" s="532"/>
    </row>
    <row r="327">
      <c r="A327" s="1451"/>
      <c r="B327" s="532"/>
      <c r="C327" s="532"/>
      <c r="D327" s="532"/>
      <c r="E327" s="532"/>
      <c r="F327" s="532"/>
      <c r="G327" s="532"/>
      <c r="H327" s="532"/>
      <c r="I327" s="532"/>
      <c r="J327" s="532"/>
      <c r="K327" s="532"/>
      <c r="L327" s="532"/>
      <c r="M327" s="532"/>
      <c r="N327" s="532"/>
      <c r="O327" s="532"/>
      <c r="P327" s="532"/>
      <c r="Q327" s="532"/>
    </row>
    <row r="328">
      <c r="A328" s="1451"/>
      <c r="B328" s="532"/>
      <c r="C328" s="532"/>
      <c r="D328" s="532"/>
      <c r="E328" s="532"/>
      <c r="F328" s="532"/>
      <c r="G328" s="532"/>
      <c r="H328" s="532"/>
      <c r="I328" s="532"/>
      <c r="J328" s="532"/>
      <c r="K328" s="532"/>
      <c r="L328" s="532"/>
      <c r="M328" s="532"/>
      <c r="N328" s="532"/>
      <c r="O328" s="532"/>
      <c r="P328" s="532"/>
      <c r="Q328" s="532"/>
    </row>
    <row r="329">
      <c r="A329" s="1451"/>
      <c r="B329" s="532"/>
      <c r="C329" s="532"/>
      <c r="D329" s="532"/>
      <c r="E329" s="532"/>
      <c r="F329" s="532"/>
      <c r="G329" s="532"/>
      <c r="H329" s="532"/>
      <c r="I329" s="532"/>
      <c r="J329" s="532"/>
      <c r="K329" s="532"/>
      <c r="L329" s="532"/>
      <c r="M329" s="532"/>
      <c r="N329" s="532"/>
      <c r="O329" s="532"/>
      <c r="P329" s="532"/>
      <c r="Q329" s="532"/>
    </row>
    <row r="330">
      <c r="A330" s="1451"/>
      <c r="B330" s="532"/>
      <c r="C330" s="532"/>
      <c r="D330" s="532"/>
      <c r="E330" s="532"/>
      <c r="F330" s="532"/>
      <c r="G330" s="532"/>
      <c r="H330" s="532"/>
      <c r="I330" s="532"/>
      <c r="J330" s="532"/>
      <c r="K330" s="532"/>
      <c r="L330" s="532"/>
      <c r="M330" s="532"/>
      <c r="N330" s="532"/>
      <c r="O330" s="532"/>
      <c r="P330" s="532"/>
      <c r="Q330" s="532"/>
    </row>
    <row r="331">
      <c r="A331" s="1451"/>
      <c r="B331" s="532"/>
      <c r="C331" s="532"/>
      <c r="D331" s="532"/>
      <c r="E331" s="532"/>
      <c r="F331" s="532"/>
      <c r="G331" s="532"/>
      <c r="H331" s="532"/>
      <c r="I331" s="532"/>
      <c r="J331" s="532"/>
      <c r="K331" s="532"/>
      <c r="L331" s="532"/>
      <c r="M331" s="532"/>
      <c r="N331" s="532"/>
      <c r="O331" s="532"/>
      <c r="P331" s="532"/>
      <c r="Q331" s="532"/>
    </row>
    <row r="332">
      <c r="A332" s="1451"/>
      <c r="B332" s="532"/>
      <c r="C332" s="532"/>
      <c r="D332" s="532"/>
      <c r="E332" s="532"/>
      <c r="F332" s="532"/>
      <c r="G332" s="532"/>
      <c r="H332" s="532"/>
      <c r="I332" s="532"/>
      <c r="J332" s="532"/>
      <c r="K332" s="532"/>
      <c r="L332" s="532"/>
      <c r="M332" s="532"/>
      <c r="N332" s="532"/>
      <c r="O332" s="532"/>
      <c r="P332" s="532"/>
      <c r="Q332" s="532"/>
    </row>
    <row r="333">
      <c r="A333" s="1451"/>
      <c r="B333" s="532"/>
      <c r="C333" s="532"/>
      <c r="D333" s="532"/>
      <c r="E333" s="532"/>
      <c r="F333" s="532"/>
      <c r="G333" s="532"/>
      <c r="H333" s="532"/>
      <c r="I333" s="532"/>
      <c r="J333" s="532"/>
      <c r="K333" s="532"/>
      <c r="L333" s="532"/>
      <c r="M333" s="532"/>
      <c r="N333" s="532"/>
      <c r="O333" s="532"/>
      <c r="P333" s="532"/>
      <c r="Q333" s="532"/>
    </row>
    <row r="334">
      <c r="A334" s="1451"/>
      <c r="B334" s="532"/>
      <c r="C334" s="532"/>
      <c r="D334" s="532"/>
      <c r="E334" s="532"/>
      <c r="F334" s="532"/>
      <c r="G334" s="532"/>
      <c r="H334" s="532"/>
      <c r="I334" s="532"/>
      <c r="J334" s="532"/>
      <c r="K334" s="532"/>
      <c r="L334" s="532"/>
      <c r="M334" s="532"/>
      <c r="N334" s="532"/>
      <c r="O334" s="532"/>
      <c r="P334" s="532"/>
      <c r="Q334" s="532"/>
    </row>
    <row r="335">
      <c r="A335" s="1451"/>
      <c r="B335" s="532"/>
      <c r="C335" s="532"/>
      <c r="D335" s="532"/>
      <c r="E335" s="532"/>
      <c r="F335" s="532"/>
      <c r="G335" s="532"/>
      <c r="H335" s="532"/>
      <c r="I335" s="532"/>
      <c r="J335" s="532"/>
      <c r="K335" s="532"/>
      <c r="L335" s="532"/>
      <c r="M335" s="532"/>
      <c r="N335" s="532"/>
      <c r="O335" s="532"/>
      <c r="P335" s="532"/>
      <c r="Q335" s="532"/>
    </row>
    <row r="336">
      <c r="A336" s="1451"/>
      <c r="B336" s="532"/>
      <c r="C336" s="532"/>
      <c r="D336" s="532"/>
      <c r="E336" s="532"/>
      <c r="F336" s="532"/>
      <c r="G336" s="532"/>
      <c r="H336" s="532"/>
      <c r="I336" s="532"/>
      <c r="J336" s="532"/>
      <c r="K336" s="532"/>
      <c r="L336" s="532"/>
      <c r="M336" s="532"/>
      <c r="N336" s="532"/>
      <c r="O336" s="532"/>
      <c r="P336" s="532"/>
      <c r="Q336" s="532"/>
    </row>
    <row r="337">
      <c r="A337" s="1451"/>
      <c r="B337" s="532"/>
      <c r="C337" s="532"/>
      <c r="D337" s="532"/>
      <c r="E337" s="532"/>
      <c r="F337" s="532"/>
      <c r="G337" s="532"/>
      <c r="H337" s="532"/>
      <c r="I337" s="532"/>
      <c r="J337" s="532"/>
      <c r="K337" s="532"/>
      <c r="L337" s="532"/>
      <c r="M337" s="532"/>
      <c r="N337" s="532"/>
      <c r="O337" s="532"/>
      <c r="P337" s="532"/>
      <c r="Q337" s="532"/>
    </row>
    <row r="338">
      <c r="A338" s="1451"/>
      <c r="B338" s="532"/>
      <c r="C338" s="532"/>
      <c r="D338" s="532"/>
      <c r="E338" s="532"/>
      <c r="F338" s="532"/>
      <c r="G338" s="532"/>
      <c r="H338" s="532"/>
      <c r="I338" s="532"/>
      <c r="J338" s="532"/>
      <c r="K338" s="532"/>
      <c r="L338" s="532"/>
      <c r="M338" s="532"/>
      <c r="N338" s="532"/>
      <c r="O338" s="532"/>
      <c r="P338" s="532"/>
      <c r="Q338" s="532"/>
    </row>
    <row r="339">
      <c r="A339" s="1451"/>
      <c r="B339" s="532"/>
      <c r="C339" s="532"/>
      <c r="D339" s="532"/>
      <c r="E339" s="532"/>
      <c r="F339" s="532"/>
      <c r="G339" s="532"/>
      <c r="H339" s="532"/>
      <c r="I339" s="532"/>
      <c r="J339" s="532"/>
      <c r="K339" s="532"/>
      <c r="L339" s="532"/>
      <c r="M339" s="532"/>
      <c r="N339" s="532"/>
      <c r="O339" s="532"/>
      <c r="P339" s="532"/>
      <c r="Q339" s="532"/>
    </row>
    <row r="340">
      <c r="A340" s="1451"/>
      <c r="B340" s="532"/>
      <c r="C340" s="532"/>
      <c r="D340" s="532"/>
      <c r="E340" s="532"/>
      <c r="F340" s="532"/>
      <c r="G340" s="532"/>
      <c r="H340" s="532"/>
      <c r="I340" s="532"/>
      <c r="J340" s="532"/>
      <c r="K340" s="532"/>
      <c r="L340" s="532"/>
      <c r="M340" s="532"/>
      <c r="N340" s="532"/>
      <c r="O340" s="532"/>
      <c r="P340" s="532"/>
      <c r="Q340" s="532"/>
    </row>
    <row r="341">
      <c r="A341" s="1451"/>
      <c r="B341" s="532"/>
      <c r="C341" s="532"/>
      <c r="D341" s="532"/>
      <c r="E341" s="532"/>
      <c r="F341" s="532"/>
      <c r="G341" s="532"/>
      <c r="H341" s="532"/>
      <c r="I341" s="532"/>
      <c r="J341" s="532"/>
      <c r="K341" s="532"/>
      <c r="L341" s="532"/>
      <c r="M341" s="532"/>
      <c r="N341" s="532"/>
      <c r="O341" s="532"/>
      <c r="P341" s="532"/>
      <c r="Q341" s="532"/>
    </row>
    <row r="342">
      <c r="A342" s="1451"/>
      <c r="B342" s="532"/>
      <c r="C342" s="532"/>
      <c r="D342" s="532"/>
      <c r="E342" s="532"/>
      <c r="F342" s="532"/>
      <c r="G342" s="532"/>
      <c r="H342" s="532"/>
      <c r="I342" s="532"/>
      <c r="J342" s="532"/>
      <c r="K342" s="532"/>
      <c r="L342" s="532"/>
      <c r="M342" s="532"/>
      <c r="N342" s="532"/>
      <c r="O342" s="532"/>
      <c r="P342" s="532"/>
      <c r="Q342" s="532"/>
    </row>
    <row r="343">
      <c r="A343" s="1451"/>
      <c r="B343" s="532"/>
      <c r="C343" s="532"/>
      <c r="D343" s="532"/>
      <c r="E343" s="532"/>
      <c r="F343" s="532"/>
      <c r="G343" s="532"/>
      <c r="H343" s="532"/>
      <c r="I343" s="532"/>
      <c r="J343" s="532"/>
      <c r="K343" s="532"/>
      <c r="L343" s="532"/>
      <c r="M343" s="532"/>
      <c r="N343" s="532"/>
      <c r="O343" s="532"/>
      <c r="P343" s="532"/>
      <c r="Q343" s="532"/>
    </row>
    <row r="344">
      <c r="A344" s="1451"/>
      <c r="B344" s="532"/>
      <c r="C344" s="532"/>
      <c r="D344" s="532"/>
      <c r="E344" s="532"/>
      <c r="F344" s="532"/>
      <c r="G344" s="532"/>
      <c r="H344" s="532"/>
      <c r="I344" s="532"/>
      <c r="J344" s="532"/>
      <c r="K344" s="532"/>
      <c r="L344" s="532"/>
      <c r="M344" s="532"/>
      <c r="N344" s="532"/>
      <c r="O344" s="532"/>
      <c r="P344" s="532"/>
      <c r="Q344" s="532"/>
    </row>
    <row r="345">
      <c r="A345" s="1451"/>
      <c r="B345" s="532"/>
      <c r="C345" s="532"/>
      <c r="D345" s="532"/>
      <c r="E345" s="532"/>
      <c r="F345" s="532"/>
      <c r="G345" s="532"/>
      <c r="H345" s="532"/>
      <c r="I345" s="532"/>
      <c r="J345" s="532"/>
      <c r="K345" s="532"/>
      <c r="L345" s="532"/>
      <c r="M345" s="532"/>
      <c r="N345" s="532"/>
      <c r="O345" s="532"/>
      <c r="P345" s="532"/>
      <c r="Q345" s="532"/>
    </row>
    <row r="346">
      <c r="A346" s="1451"/>
      <c r="B346" s="532"/>
      <c r="C346" s="532"/>
      <c r="D346" s="532"/>
      <c r="E346" s="532"/>
      <c r="F346" s="532"/>
      <c r="G346" s="532"/>
      <c r="H346" s="532"/>
      <c r="I346" s="532"/>
      <c r="J346" s="532"/>
      <c r="K346" s="532"/>
      <c r="L346" s="532"/>
      <c r="M346" s="532"/>
      <c r="N346" s="532"/>
      <c r="O346" s="532"/>
      <c r="P346" s="532"/>
      <c r="Q346" s="532"/>
    </row>
    <row r="347">
      <c r="A347" s="1451"/>
      <c r="B347" s="532"/>
      <c r="C347" s="532"/>
      <c r="D347" s="532"/>
      <c r="E347" s="532"/>
      <c r="F347" s="532"/>
      <c r="G347" s="532"/>
      <c r="H347" s="532"/>
      <c r="I347" s="532"/>
      <c r="J347" s="532"/>
      <c r="K347" s="532"/>
      <c r="L347" s="532"/>
      <c r="M347" s="532"/>
      <c r="N347" s="532"/>
      <c r="O347" s="532"/>
      <c r="P347" s="532"/>
      <c r="Q347" s="532"/>
    </row>
    <row r="348">
      <c r="A348" s="1451"/>
      <c r="B348" s="532"/>
      <c r="C348" s="532"/>
      <c r="D348" s="532"/>
      <c r="E348" s="532"/>
      <c r="F348" s="532"/>
      <c r="G348" s="532"/>
      <c r="H348" s="532"/>
      <c r="I348" s="532"/>
      <c r="J348" s="532"/>
      <c r="K348" s="532"/>
      <c r="L348" s="532"/>
      <c r="M348" s="532"/>
      <c r="N348" s="532"/>
      <c r="O348" s="532"/>
      <c r="P348" s="532"/>
      <c r="Q348" s="532"/>
    </row>
    <row r="349">
      <c r="A349" s="1451"/>
      <c r="B349" s="532"/>
      <c r="C349" s="532"/>
      <c r="D349" s="532"/>
      <c r="E349" s="532"/>
      <c r="F349" s="532"/>
      <c r="G349" s="532"/>
      <c r="H349" s="532"/>
      <c r="I349" s="532"/>
      <c r="J349" s="532"/>
      <c r="K349" s="532"/>
      <c r="L349" s="532"/>
      <c r="M349" s="532"/>
      <c r="N349" s="532"/>
      <c r="O349" s="532"/>
      <c r="P349" s="532"/>
      <c r="Q349" s="532"/>
    </row>
    <row r="350">
      <c r="A350" s="1451"/>
      <c r="B350" s="532"/>
      <c r="C350" s="532"/>
      <c r="D350" s="532"/>
      <c r="E350" s="532"/>
      <c r="F350" s="532"/>
      <c r="G350" s="532"/>
      <c r="H350" s="532"/>
      <c r="I350" s="532"/>
      <c r="J350" s="532"/>
      <c r="K350" s="532"/>
      <c r="L350" s="532"/>
      <c r="M350" s="532"/>
      <c r="N350" s="532"/>
      <c r="O350" s="532"/>
      <c r="P350" s="532"/>
      <c r="Q350" s="532"/>
    </row>
    <row r="351">
      <c r="A351" s="1451"/>
      <c r="B351" s="532"/>
      <c r="C351" s="532"/>
      <c r="D351" s="532"/>
      <c r="E351" s="532"/>
      <c r="F351" s="532"/>
      <c r="G351" s="532"/>
      <c r="H351" s="532"/>
      <c r="I351" s="532"/>
      <c r="J351" s="532"/>
      <c r="K351" s="532"/>
      <c r="L351" s="532"/>
      <c r="M351" s="532"/>
      <c r="N351" s="532"/>
      <c r="O351" s="532"/>
      <c r="P351" s="532"/>
      <c r="Q351" s="532"/>
    </row>
    <row r="352">
      <c r="A352" s="1451"/>
      <c r="B352" s="532"/>
      <c r="C352" s="532"/>
      <c r="D352" s="532"/>
      <c r="E352" s="532"/>
      <c r="F352" s="532"/>
      <c r="G352" s="532"/>
      <c r="H352" s="532"/>
      <c r="I352" s="532"/>
      <c r="J352" s="532"/>
      <c r="K352" s="532"/>
      <c r="L352" s="532"/>
      <c r="M352" s="532"/>
      <c r="N352" s="532"/>
      <c r="O352" s="532"/>
      <c r="P352" s="532"/>
      <c r="Q352" s="532"/>
    </row>
    <row r="353">
      <c r="A353" s="1451"/>
      <c r="B353" s="532"/>
      <c r="C353" s="532"/>
      <c r="D353" s="532"/>
      <c r="E353" s="532"/>
      <c r="F353" s="532"/>
      <c r="G353" s="532"/>
      <c r="H353" s="532"/>
      <c r="I353" s="532"/>
      <c r="J353" s="532"/>
      <c r="K353" s="532"/>
      <c r="L353" s="532"/>
      <c r="M353" s="532"/>
      <c r="N353" s="532"/>
      <c r="O353" s="532"/>
      <c r="P353" s="532"/>
      <c r="Q353" s="532"/>
    </row>
    <row r="354">
      <c r="A354" s="1451"/>
      <c r="B354" s="532"/>
      <c r="C354" s="532"/>
      <c r="D354" s="532"/>
      <c r="E354" s="532"/>
      <c r="F354" s="532"/>
      <c r="G354" s="532"/>
      <c r="H354" s="532"/>
      <c r="I354" s="532"/>
      <c r="J354" s="532"/>
      <c r="K354" s="532"/>
      <c r="L354" s="532"/>
      <c r="M354" s="532"/>
      <c r="N354" s="532"/>
      <c r="O354" s="532"/>
      <c r="P354" s="532"/>
      <c r="Q354" s="532"/>
    </row>
    <row r="355">
      <c r="A355" s="1451"/>
      <c r="B355" s="532"/>
      <c r="C355" s="532"/>
      <c r="D355" s="532"/>
      <c r="E355" s="532"/>
      <c r="F355" s="532"/>
      <c r="G355" s="532"/>
      <c r="H355" s="532"/>
      <c r="I355" s="532"/>
      <c r="J355" s="532"/>
      <c r="K355" s="532"/>
      <c r="L355" s="532"/>
      <c r="M355" s="532"/>
      <c r="N355" s="532"/>
      <c r="O355" s="532"/>
      <c r="P355" s="532"/>
      <c r="Q355" s="532"/>
    </row>
    <row r="356">
      <c r="A356" s="1451"/>
      <c r="B356" s="532"/>
      <c r="C356" s="532"/>
      <c r="D356" s="532"/>
      <c r="E356" s="532"/>
      <c r="F356" s="532"/>
      <c r="G356" s="532"/>
      <c r="H356" s="532"/>
      <c r="I356" s="532"/>
      <c r="J356" s="532"/>
      <c r="K356" s="532"/>
      <c r="L356" s="532"/>
      <c r="M356" s="532"/>
      <c r="N356" s="532"/>
      <c r="O356" s="532"/>
      <c r="P356" s="532"/>
      <c r="Q356" s="532"/>
    </row>
    <row r="357">
      <c r="A357" s="1451"/>
      <c r="B357" s="532"/>
      <c r="C357" s="532"/>
      <c r="D357" s="532"/>
      <c r="E357" s="532"/>
      <c r="F357" s="532"/>
      <c r="G357" s="532"/>
      <c r="H357" s="532"/>
      <c r="I357" s="532"/>
      <c r="J357" s="532"/>
      <c r="K357" s="532"/>
      <c r="L357" s="532"/>
      <c r="M357" s="532"/>
      <c r="N357" s="532"/>
      <c r="O357" s="532"/>
      <c r="P357" s="532"/>
      <c r="Q357" s="532"/>
    </row>
    <row r="358">
      <c r="A358" s="1451"/>
      <c r="B358" s="532"/>
      <c r="C358" s="532"/>
      <c r="D358" s="532"/>
      <c r="E358" s="532"/>
      <c r="F358" s="532"/>
      <c r="G358" s="532"/>
      <c r="H358" s="532"/>
      <c r="I358" s="532"/>
      <c r="J358" s="532"/>
      <c r="K358" s="532"/>
      <c r="L358" s="532"/>
      <c r="M358" s="532"/>
      <c r="N358" s="532"/>
      <c r="O358" s="532"/>
      <c r="P358" s="532"/>
      <c r="Q358" s="532"/>
    </row>
    <row r="359">
      <c r="A359" s="1451"/>
      <c r="B359" s="532"/>
      <c r="C359" s="532"/>
      <c r="D359" s="532"/>
      <c r="E359" s="532"/>
      <c r="F359" s="532"/>
      <c r="G359" s="532"/>
      <c r="H359" s="532"/>
      <c r="I359" s="532"/>
      <c r="J359" s="532"/>
      <c r="K359" s="532"/>
      <c r="L359" s="532"/>
      <c r="M359" s="532"/>
      <c r="N359" s="532"/>
      <c r="O359" s="532"/>
      <c r="P359" s="532"/>
      <c r="Q359" s="532"/>
    </row>
    <row r="360">
      <c r="A360" s="1451"/>
      <c r="B360" s="532"/>
      <c r="C360" s="532"/>
      <c r="D360" s="532"/>
      <c r="E360" s="532"/>
      <c r="F360" s="532"/>
      <c r="G360" s="532"/>
      <c r="H360" s="532"/>
      <c r="I360" s="532"/>
      <c r="J360" s="532"/>
      <c r="K360" s="532"/>
      <c r="L360" s="532"/>
      <c r="M360" s="532"/>
      <c r="N360" s="532"/>
      <c r="O360" s="532"/>
      <c r="P360" s="532"/>
      <c r="Q360" s="532"/>
    </row>
    <row r="361">
      <c r="A361" s="1451"/>
      <c r="B361" s="532"/>
      <c r="C361" s="532"/>
      <c r="D361" s="532"/>
      <c r="E361" s="532"/>
      <c r="F361" s="532"/>
      <c r="G361" s="532"/>
      <c r="H361" s="532"/>
      <c r="I361" s="532"/>
      <c r="J361" s="532"/>
      <c r="K361" s="532"/>
      <c r="L361" s="532"/>
      <c r="M361" s="532"/>
      <c r="N361" s="532"/>
      <c r="O361" s="532"/>
      <c r="P361" s="532"/>
      <c r="Q361" s="532"/>
    </row>
    <row r="362">
      <c r="A362" s="1451"/>
      <c r="B362" s="532"/>
      <c r="C362" s="532"/>
      <c r="D362" s="532"/>
      <c r="E362" s="532"/>
      <c r="F362" s="532"/>
      <c r="G362" s="532"/>
      <c r="H362" s="532"/>
      <c r="I362" s="532"/>
      <c r="J362" s="532"/>
      <c r="K362" s="532"/>
      <c r="L362" s="532"/>
      <c r="M362" s="532"/>
      <c r="N362" s="532"/>
      <c r="O362" s="532"/>
      <c r="P362" s="532"/>
      <c r="Q362" s="532"/>
    </row>
    <row r="363">
      <c r="A363" s="1451"/>
      <c r="B363" s="532"/>
      <c r="C363" s="532"/>
      <c r="D363" s="532"/>
      <c r="E363" s="532"/>
      <c r="F363" s="532"/>
      <c r="G363" s="532"/>
      <c r="H363" s="532"/>
      <c r="I363" s="532"/>
      <c r="J363" s="532"/>
      <c r="K363" s="532"/>
      <c r="L363" s="532"/>
      <c r="M363" s="532"/>
      <c r="N363" s="532"/>
      <c r="O363" s="532"/>
      <c r="P363" s="532"/>
      <c r="Q363" s="532"/>
    </row>
    <row r="364">
      <c r="A364" s="1451"/>
      <c r="B364" s="532"/>
      <c r="C364" s="532"/>
      <c r="D364" s="532"/>
      <c r="E364" s="532"/>
      <c r="F364" s="532"/>
      <c r="G364" s="532"/>
      <c r="H364" s="532"/>
      <c r="I364" s="532"/>
      <c r="J364" s="532"/>
      <c r="K364" s="532"/>
      <c r="L364" s="532"/>
      <c r="M364" s="532"/>
      <c r="N364" s="532"/>
      <c r="O364" s="532"/>
      <c r="P364" s="532"/>
      <c r="Q364" s="532"/>
    </row>
    <row r="365">
      <c r="A365" s="1451"/>
      <c r="B365" s="532"/>
      <c r="C365" s="532"/>
      <c r="D365" s="532"/>
      <c r="E365" s="532"/>
      <c r="F365" s="532"/>
      <c r="G365" s="532"/>
      <c r="H365" s="532"/>
      <c r="I365" s="532"/>
      <c r="J365" s="532"/>
      <c r="K365" s="532"/>
      <c r="L365" s="532"/>
      <c r="M365" s="532"/>
      <c r="N365" s="532"/>
      <c r="O365" s="532"/>
      <c r="P365" s="532"/>
      <c r="Q365" s="532"/>
    </row>
    <row r="366">
      <c r="A366" s="1451"/>
      <c r="B366" s="532"/>
      <c r="C366" s="532"/>
      <c r="D366" s="532"/>
      <c r="E366" s="532"/>
      <c r="F366" s="532"/>
      <c r="G366" s="532"/>
      <c r="H366" s="532"/>
      <c r="I366" s="532"/>
      <c r="J366" s="532"/>
      <c r="K366" s="532"/>
      <c r="L366" s="532"/>
      <c r="M366" s="532"/>
      <c r="N366" s="532"/>
      <c r="O366" s="532"/>
      <c r="P366" s="532"/>
      <c r="Q366" s="532"/>
    </row>
    <row r="367">
      <c r="A367" s="1451"/>
      <c r="B367" s="532"/>
      <c r="C367" s="532"/>
      <c r="D367" s="532"/>
      <c r="E367" s="532"/>
      <c r="F367" s="532"/>
      <c r="G367" s="532"/>
      <c r="H367" s="532"/>
      <c r="I367" s="532"/>
      <c r="J367" s="532"/>
      <c r="K367" s="532"/>
      <c r="L367" s="532"/>
      <c r="M367" s="532"/>
      <c r="N367" s="532"/>
      <c r="O367" s="532"/>
      <c r="P367" s="532"/>
      <c r="Q367" s="532"/>
    </row>
    <row r="368">
      <c r="A368" s="1451"/>
      <c r="B368" s="532"/>
      <c r="C368" s="532"/>
      <c r="D368" s="532"/>
      <c r="E368" s="532"/>
      <c r="F368" s="532"/>
      <c r="G368" s="532"/>
      <c r="H368" s="532"/>
      <c r="I368" s="532"/>
      <c r="J368" s="532"/>
      <c r="K368" s="532"/>
      <c r="L368" s="532"/>
      <c r="M368" s="532"/>
      <c r="N368" s="532"/>
      <c r="O368" s="532"/>
      <c r="P368" s="532"/>
      <c r="Q368" s="532"/>
    </row>
    <row r="369">
      <c r="A369" s="1451"/>
      <c r="B369" s="532"/>
      <c r="C369" s="532"/>
      <c r="D369" s="532"/>
      <c r="E369" s="532"/>
      <c r="F369" s="532"/>
      <c r="G369" s="532"/>
      <c r="H369" s="532"/>
      <c r="I369" s="532"/>
      <c r="J369" s="532"/>
      <c r="K369" s="532"/>
      <c r="L369" s="532"/>
      <c r="M369" s="532"/>
      <c r="N369" s="532"/>
      <c r="O369" s="532"/>
      <c r="P369" s="532"/>
      <c r="Q369" s="532"/>
    </row>
    <row r="370">
      <c r="A370" s="1451"/>
      <c r="B370" s="532"/>
      <c r="C370" s="532"/>
      <c r="D370" s="532"/>
      <c r="E370" s="532"/>
      <c r="F370" s="532"/>
      <c r="G370" s="532"/>
      <c r="H370" s="532"/>
      <c r="I370" s="532"/>
      <c r="J370" s="532"/>
      <c r="K370" s="532"/>
      <c r="L370" s="532"/>
      <c r="M370" s="532"/>
      <c r="N370" s="532"/>
      <c r="O370" s="532"/>
      <c r="P370" s="532"/>
      <c r="Q370" s="532"/>
    </row>
    <row r="371">
      <c r="A371" s="1451"/>
      <c r="B371" s="532"/>
      <c r="C371" s="532"/>
      <c r="D371" s="532"/>
      <c r="E371" s="532"/>
      <c r="F371" s="532"/>
      <c r="G371" s="532"/>
      <c r="H371" s="532"/>
      <c r="I371" s="532"/>
      <c r="J371" s="532"/>
      <c r="K371" s="532"/>
      <c r="L371" s="532"/>
      <c r="M371" s="532"/>
      <c r="N371" s="532"/>
      <c r="O371" s="532"/>
      <c r="P371" s="532"/>
      <c r="Q371" s="532"/>
    </row>
    <row r="372">
      <c r="A372" s="1451"/>
      <c r="B372" s="532"/>
      <c r="C372" s="532"/>
      <c r="D372" s="532"/>
      <c r="E372" s="532"/>
      <c r="F372" s="532"/>
      <c r="G372" s="532"/>
      <c r="H372" s="532"/>
      <c r="I372" s="532"/>
      <c r="J372" s="532"/>
      <c r="K372" s="532"/>
      <c r="L372" s="532"/>
      <c r="M372" s="532"/>
      <c r="N372" s="532"/>
      <c r="O372" s="532"/>
      <c r="P372" s="532"/>
      <c r="Q372" s="532"/>
    </row>
    <row r="373">
      <c r="A373" s="1451"/>
      <c r="B373" s="532"/>
      <c r="C373" s="532"/>
      <c r="D373" s="532"/>
      <c r="E373" s="532"/>
      <c r="F373" s="532"/>
      <c r="G373" s="532"/>
      <c r="H373" s="532"/>
      <c r="I373" s="532"/>
      <c r="J373" s="532"/>
      <c r="K373" s="532"/>
      <c r="L373" s="532"/>
      <c r="M373" s="532"/>
      <c r="N373" s="532"/>
      <c r="O373" s="532"/>
      <c r="P373" s="532"/>
      <c r="Q373" s="532"/>
    </row>
    <row r="374">
      <c r="A374" s="1451"/>
      <c r="B374" s="532"/>
      <c r="C374" s="532"/>
      <c r="D374" s="532"/>
      <c r="E374" s="532"/>
      <c r="F374" s="532"/>
      <c r="G374" s="532"/>
      <c r="H374" s="532"/>
      <c r="I374" s="532"/>
      <c r="J374" s="532"/>
      <c r="K374" s="532"/>
      <c r="L374" s="532"/>
      <c r="M374" s="532"/>
      <c r="N374" s="532"/>
      <c r="O374" s="532"/>
      <c r="P374" s="532"/>
      <c r="Q374" s="532"/>
    </row>
    <row r="375">
      <c r="A375" s="1451"/>
      <c r="B375" s="532"/>
      <c r="C375" s="532"/>
      <c r="D375" s="532"/>
      <c r="E375" s="532"/>
      <c r="F375" s="532"/>
      <c r="G375" s="532"/>
      <c r="H375" s="532"/>
      <c r="I375" s="532"/>
      <c r="J375" s="532"/>
      <c r="K375" s="532"/>
      <c r="L375" s="532"/>
      <c r="M375" s="532"/>
      <c r="N375" s="532"/>
      <c r="O375" s="532"/>
      <c r="P375" s="532"/>
      <c r="Q375" s="532"/>
    </row>
    <row r="376">
      <c r="A376" s="1451"/>
      <c r="B376" s="532"/>
      <c r="C376" s="532"/>
      <c r="D376" s="532"/>
      <c r="E376" s="532"/>
      <c r="F376" s="532"/>
      <c r="G376" s="532"/>
      <c r="H376" s="532"/>
      <c r="I376" s="532"/>
      <c r="J376" s="532"/>
      <c r="K376" s="532"/>
      <c r="L376" s="532"/>
      <c r="M376" s="532"/>
      <c r="N376" s="532"/>
      <c r="O376" s="532"/>
      <c r="P376" s="532"/>
      <c r="Q376" s="532"/>
    </row>
    <row r="377">
      <c r="A377" s="1451"/>
      <c r="B377" s="532"/>
      <c r="C377" s="532"/>
      <c r="D377" s="532"/>
      <c r="E377" s="532"/>
      <c r="F377" s="532"/>
      <c r="G377" s="532"/>
      <c r="H377" s="532"/>
      <c r="I377" s="532"/>
      <c r="J377" s="532"/>
      <c r="K377" s="532"/>
      <c r="L377" s="532"/>
      <c r="M377" s="532"/>
      <c r="N377" s="532"/>
      <c r="O377" s="532"/>
      <c r="P377" s="532"/>
      <c r="Q377" s="532"/>
    </row>
    <row r="378">
      <c r="A378" s="1451"/>
      <c r="B378" s="532"/>
      <c r="C378" s="532"/>
      <c r="D378" s="532"/>
      <c r="E378" s="532"/>
      <c r="F378" s="532"/>
      <c r="G378" s="532"/>
      <c r="H378" s="532"/>
      <c r="I378" s="532"/>
      <c r="J378" s="532"/>
      <c r="K378" s="532"/>
      <c r="L378" s="532"/>
      <c r="M378" s="532"/>
      <c r="N378" s="532"/>
      <c r="O378" s="532"/>
      <c r="P378" s="532"/>
      <c r="Q378" s="532"/>
    </row>
    <row r="379">
      <c r="A379" s="1451"/>
      <c r="B379" s="532"/>
      <c r="C379" s="532"/>
      <c r="D379" s="532"/>
      <c r="E379" s="532"/>
      <c r="F379" s="532"/>
      <c r="G379" s="532"/>
      <c r="H379" s="532"/>
      <c r="I379" s="532"/>
      <c r="J379" s="532"/>
      <c r="K379" s="532"/>
      <c r="L379" s="532"/>
      <c r="M379" s="532"/>
      <c r="N379" s="532"/>
      <c r="O379" s="532"/>
      <c r="P379" s="532"/>
      <c r="Q379" s="532"/>
    </row>
    <row r="380">
      <c r="A380" s="1451"/>
      <c r="B380" s="532"/>
      <c r="C380" s="532"/>
      <c r="D380" s="532"/>
      <c r="E380" s="532"/>
      <c r="F380" s="532"/>
      <c r="G380" s="532"/>
      <c r="H380" s="532"/>
      <c r="I380" s="532"/>
      <c r="J380" s="532"/>
      <c r="K380" s="532"/>
      <c r="L380" s="532"/>
      <c r="M380" s="532"/>
      <c r="N380" s="532"/>
      <c r="O380" s="532"/>
      <c r="P380" s="532"/>
      <c r="Q380" s="532"/>
    </row>
    <row r="381">
      <c r="A381" s="1451"/>
      <c r="B381" s="532"/>
      <c r="C381" s="532"/>
      <c r="D381" s="532"/>
      <c r="E381" s="532"/>
      <c r="F381" s="532"/>
      <c r="G381" s="532"/>
      <c r="H381" s="532"/>
      <c r="I381" s="532"/>
      <c r="J381" s="532"/>
      <c r="K381" s="532"/>
      <c r="L381" s="532"/>
      <c r="M381" s="532"/>
      <c r="N381" s="532"/>
      <c r="O381" s="532"/>
      <c r="P381" s="532"/>
      <c r="Q381" s="532"/>
    </row>
    <row r="382">
      <c r="A382" s="1451"/>
      <c r="B382" s="532"/>
      <c r="C382" s="532"/>
      <c r="D382" s="532"/>
      <c r="E382" s="532"/>
      <c r="F382" s="532"/>
      <c r="G382" s="532"/>
      <c r="H382" s="532"/>
      <c r="I382" s="532"/>
      <c r="J382" s="532"/>
      <c r="K382" s="532"/>
      <c r="L382" s="532"/>
      <c r="M382" s="532"/>
      <c r="N382" s="532"/>
      <c r="O382" s="532"/>
      <c r="P382" s="532"/>
      <c r="Q382" s="532"/>
    </row>
    <row r="383">
      <c r="A383" s="1451"/>
      <c r="B383" s="532"/>
      <c r="C383" s="532"/>
      <c r="D383" s="532"/>
      <c r="E383" s="532"/>
      <c r="F383" s="532"/>
      <c r="G383" s="532"/>
      <c r="H383" s="532"/>
      <c r="I383" s="532"/>
      <c r="J383" s="532"/>
      <c r="K383" s="532"/>
      <c r="L383" s="532"/>
      <c r="M383" s="532"/>
      <c r="N383" s="532"/>
      <c r="O383" s="532"/>
      <c r="P383" s="532"/>
      <c r="Q383" s="532"/>
    </row>
    <row r="384">
      <c r="A384" s="1451"/>
      <c r="B384" s="532"/>
      <c r="C384" s="532"/>
      <c r="D384" s="532"/>
      <c r="E384" s="532"/>
      <c r="F384" s="532"/>
      <c r="G384" s="532"/>
      <c r="H384" s="532"/>
      <c r="I384" s="532"/>
      <c r="J384" s="532"/>
      <c r="K384" s="532"/>
      <c r="L384" s="532"/>
      <c r="M384" s="532"/>
      <c r="N384" s="532"/>
      <c r="O384" s="532"/>
      <c r="P384" s="532"/>
      <c r="Q384" s="532"/>
    </row>
    <row r="385">
      <c r="A385" s="1451"/>
      <c r="B385" s="532"/>
      <c r="C385" s="532"/>
      <c r="D385" s="532"/>
      <c r="E385" s="532"/>
      <c r="F385" s="532"/>
      <c r="G385" s="532"/>
      <c r="H385" s="532"/>
      <c r="I385" s="532"/>
      <c r="J385" s="532"/>
      <c r="K385" s="532"/>
      <c r="L385" s="532"/>
      <c r="M385" s="532"/>
      <c r="N385" s="532"/>
      <c r="O385" s="532"/>
      <c r="P385" s="532"/>
      <c r="Q385" s="532"/>
    </row>
    <row r="386">
      <c r="A386" s="1451"/>
      <c r="B386" s="532"/>
      <c r="C386" s="532"/>
      <c r="D386" s="532"/>
      <c r="E386" s="532"/>
      <c r="F386" s="532"/>
      <c r="G386" s="532"/>
      <c r="H386" s="532"/>
      <c r="I386" s="532"/>
      <c r="J386" s="532"/>
      <c r="K386" s="532"/>
      <c r="L386" s="532"/>
      <c r="M386" s="532"/>
      <c r="N386" s="532"/>
      <c r="O386" s="532"/>
      <c r="P386" s="532"/>
      <c r="Q386" s="532"/>
    </row>
    <row r="387">
      <c r="A387" s="1451"/>
      <c r="B387" s="532"/>
      <c r="C387" s="532"/>
      <c r="D387" s="532"/>
      <c r="E387" s="532"/>
      <c r="F387" s="532"/>
      <c r="G387" s="532"/>
      <c r="H387" s="532"/>
      <c r="I387" s="532"/>
      <c r="J387" s="532"/>
      <c r="K387" s="532"/>
      <c r="L387" s="532"/>
      <c r="M387" s="532"/>
      <c r="N387" s="532"/>
      <c r="O387" s="532"/>
      <c r="P387" s="532"/>
      <c r="Q387" s="532"/>
    </row>
    <row r="388">
      <c r="A388" s="1451"/>
      <c r="B388" s="532"/>
      <c r="C388" s="532"/>
      <c r="D388" s="532"/>
      <c r="E388" s="532"/>
      <c r="F388" s="532"/>
      <c r="G388" s="532"/>
      <c r="H388" s="532"/>
      <c r="I388" s="532"/>
      <c r="J388" s="532"/>
      <c r="K388" s="532"/>
      <c r="L388" s="532"/>
      <c r="M388" s="532"/>
      <c r="N388" s="532"/>
      <c r="O388" s="532"/>
      <c r="P388" s="532"/>
      <c r="Q388" s="532"/>
    </row>
    <row r="389">
      <c r="A389" s="1451"/>
      <c r="B389" s="532"/>
      <c r="C389" s="532"/>
      <c r="D389" s="532"/>
      <c r="E389" s="532"/>
      <c r="F389" s="532"/>
      <c r="G389" s="532"/>
      <c r="H389" s="532"/>
      <c r="I389" s="532"/>
      <c r="J389" s="532"/>
      <c r="K389" s="532"/>
      <c r="L389" s="532"/>
      <c r="M389" s="532"/>
      <c r="N389" s="532"/>
      <c r="O389" s="532"/>
      <c r="P389" s="532"/>
      <c r="Q389" s="532"/>
    </row>
    <row r="390">
      <c r="A390" s="1451"/>
      <c r="B390" s="532"/>
      <c r="C390" s="532"/>
      <c r="D390" s="532"/>
      <c r="E390" s="532"/>
      <c r="F390" s="532"/>
      <c r="G390" s="532"/>
      <c r="H390" s="532"/>
      <c r="I390" s="532"/>
      <c r="J390" s="532"/>
      <c r="K390" s="532"/>
      <c r="L390" s="532"/>
      <c r="M390" s="532"/>
      <c r="N390" s="532"/>
      <c r="O390" s="532"/>
      <c r="P390" s="532"/>
      <c r="Q390" s="532"/>
    </row>
    <row r="391">
      <c r="A391" s="1451"/>
      <c r="B391" s="532"/>
      <c r="C391" s="532"/>
      <c r="D391" s="532"/>
      <c r="E391" s="532"/>
      <c r="F391" s="532"/>
      <c r="G391" s="532"/>
      <c r="H391" s="532"/>
      <c r="I391" s="532"/>
      <c r="J391" s="532"/>
      <c r="K391" s="532"/>
      <c r="L391" s="532"/>
      <c r="M391" s="532"/>
      <c r="N391" s="532"/>
      <c r="O391" s="532"/>
      <c r="P391" s="532"/>
      <c r="Q391" s="532"/>
    </row>
    <row r="392">
      <c r="A392" s="1451"/>
      <c r="B392" s="532"/>
      <c r="C392" s="532"/>
      <c r="D392" s="532"/>
      <c r="E392" s="532"/>
      <c r="F392" s="532"/>
      <c r="G392" s="532"/>
      <c r="H392" s="532"/>
      <c r="I392" s="532"/>
      <c r="J392" s="532"/>
      <c r="K392" s="532"/>
      <c r="L392" s="532"/>
      <c r="M392" s="532"/>
      <c r="N392" s="532"/>
      <c r="O392" s="532"/>
      <c r="P392" s="532"/>
      <c r="Q392" s="532"/>
    </row>
    <row r="393">
      <c r="A393" s="1451"/>
      <c r="B393" s="532"/>
      <c r="C393" s="532"/>
      <c r="D393" s="532"/>
      <c r="E393" s="532"/>
      <c r="F393" s="532"/>
      <c r="G393" s="532"/>
      <c r="H393" s="532"/>
      <c r="I393" s="532"/>
      <c r="J393" s="532"/>
      <c r="K393" s="532"/>
      <c r="L393" s="532"/>
      <c r="M393" s="532"/>
      <c r="N393" s="532"/>
      <c r="O393" s="532"/>
      <c r="P393" s="532"/>
      <c r="Q393" s="532"/>
    </row>
    <row r="394">
      <c r="A394" s="1451"/>
      <c r="B394" s="532"/>
      <c r="C394" s="532"/>
      <c r="D394" s="532"/>
      <c r="E394" s="532"/>
      <c r="F394" s="532"/>
      <c r="G394" s="532"/>
      <c r="H394" s="532"/>
      <c r="I394" s="532"/>
      <c r="J394" s="532"/>
      <c r="K394" s="532"/>
      <c r="L394" s="532"/>
      <c r="M394" s="532"/>
      <c r="N394" s="532"/>
      <c r="O394" s="532"/>
      <c r="P394" s="532"/>
      <c r="Q394" s="532"/>
    </row>
    <row r="395">
      <c r="A395" s="1451"/>
      <c r="B395" s="532"/>
      <c r="C395" s="532"/>
      <c r="D395" s="532"/>
      <c r="E395" s="532"/>
      <c r="F395" s="532"/>
      <c r="G395" s="532"/>
      <c r="H395" s="532"/>
      <c r="I395" s="532"/>
      <c r="J395" s="532"/>
      <c r="K395" s="532"/>
      <c r="L395" s="532"/>
      <c r="M395" s="532"/>
      <c r="N395" s="532"/>
      <c r="O395" s="532"/>
      <c r="P395" s="532"/>
      <c r="Q395" s="532"/>
    </row>
    <row r="396">
      <c r="A396" s="1451"/>
      <c r="B396" s="532"/>
      <c r="C396" s="532"/>
      <c r="D396" s="532"/>
      <c r="E396" s="532"/>
      <c r="F396" s="532"/>
      <c r="G396" s="532"/>
      <c r="H396" s="532"/>
      <c r="I396" s="532"/>
      <c r="J396" s="532"/>
      <c r="K396" s="532"/>
      <c r="L396" s="532"/>
      <c r="M396" s="532"/>
      <c r="N396" s="532"/>
      <c r="O396" s="532"/>
      <c r="P396" s="532"/>
      <c r="Q396" s="532"/>
    </row>
    <row r="397">
      <c r="A397" s="1451"/>
      <c r="B397" s="532"/>
      <c r="C397" s="532"/>
      <c r="D397" s="532"/>
      <c r="E397" s="532"/>
      <c r="F397" s="532"/>
      <c r="G397" s="532"/>
      <c r="H397" s="532"/>
      <c r="I397" s="532"/>
      <c r="J397" s="532"/>
      <c r="K397" s="532"/>
      <c r="L397" s="532"/>
      <c r="M397" s="532"/>
      <c r="N397" s="532"/>
      <c r="O397" s="532"/>
      <c r="P397" s="532"/>
      <c r="Q397" s="532"/>
    </row>
    <row r="398">
      <c r="A398" s="1451"/>
      <c r="B398" s="532"/>
      <c r="C398" s="532"/>
      <c r="D398" s="532"/>
      <c r="E398" s="532"/>
      <c r="F398" s="532"/>
      <c r="G398" s="532"/>
      <c r="H398" s="532"/>
      <c r="I398" s="532"/>
      <c r="J398" s="532"/>
      <c r="K398" s="532"/>
      <c r="L398" s="532"/>
      <c r="M398" s="532"/>
      <c r="N398" s="532"/>
      <c r="O398" s="532"/>
      <c r="P398" s="532"/>
      <c r="Q398" s="532"/>
    </row>
    <row r="399">
      <c r="A399" s="1451"/>
      <c r="B399" s="532"/>
      <c r="C399" s="532"/>
      <c r="D399" s="532"/>
      <c r="E399" s="532"/>
      <c r="F399" s="532"/>
      <c r="G399" s="532"/>
      <c r="H399" s="532"/>
      <c r="I399" s="532"/>
      <c r="J399" s="532"/>
      <c r="K399" s="532"/>
      <c r="L399" s="532"/>
      <c r="M399" s="532"/>
      <c r="N399" s="532"/>
      <c r="O399" s="532"/>
      <c r="P399" s="532"/>
      <c r="Q399" s="532"/>
    </row>
    <row r="400">
      <c r="A400" s="1451"/>
      <c r="B400" s="532"/>
      <c r="C400" s="532"/>
      <c r="D400" s="532"/>
      <c r="E400" s="532"/>
      <c r="F400" s="532"/>
      <c r="G400" s="532"/>
      <c r="H400" s="532"/>
      <c r="I400" s="532"/>
      <c r="J400" s="532"/>
      <c r="K400" s="532"/>
      <c r="L400" s="532"/>
      <c r="M400" s="532"/>
      <c r="N400" s="532"/>
      <c r="O400" s="532"/>
      <c r="P400" s="532"/>
      <c r="Q400" s="532"/>
    </row>
    <row r="401">
      <c r="A401" s="1451"/>
      <c r="B401" s="532"/>
      <c r="C401" s="532"/>
      <c r="D401" s="532"/>
      <c r="E401" s="532"/>
      <c r="F401" s="532"/>
      <c r="G401" s="532"/>
      <c r="H401" s="532"/>
      <c r="I401" s="532"/>
      <c r="J401" s="532"/>
      <c r="K401" s="532"/>
      <c r="L401" s="532"/>
      <c r="M401" s="532"/>
      <c r="N401" s="532"/>
      <c r="O401" s="532"/>
      <c r="P401" s="532"/>
      <c r="Q401" s="532"/>
    </row>
    <row r="402">
      <c r="A402" s="1451"/>
      <c r="B402" s="532"/>
      <c r="C402" s="532"/>
      <c r="D402" s="532"/>
      <c r="E402" s="532"/>
      <c r="F402" s="532"/>
      <c r="G402" s="532"/>
      <c r="H402" s="532"/>
      <c r="I402" s="532"/>
      <c r="J402" s="532"/>
      <c r="K402" s="532"/>
      <c r="L402" s="532"/>
      <c r="M402" s="532"/>
      <c r="N402" s="532"/>
      <c r="O402" s="532"/>
      <c r="P402" s="532"/>
      <c r="Q402" s="532"/>
    </row>
    <row r="403">
      <c r="A403" s="1451"/>
      <c r="B403" s="532"/>
      <c r="C403" s="532"/>
      <c r="D403" s="532"/>
      <c r="E403" s="532"/>
      <c r="F403" s="532"/>
      <c r="G403" s="532"/>
      <c r="H403" s="532"/>
      <c r="I403" s="532"/>
      <c r="J403" s="532"/>
      <c r="K403" s="532"/>
      <c r="L403" s="532"/>
      <c r="M403" s="532"/>
      <c r="N403" s="532"/>
      <c r="O403" s="532"/>
      <c r="P403" s="532"/>
      <c r="Q403" s="532"/>
    </row>
    <row r="404">
      <c r="A404" s="1451"/>
      <c r="B404" s="532"/>
      <c r="C404" s="532"/>
      <c r="D404" s="532"/>
      <c r="E404" s="532"/>
      <c r="F404" s="532"/>
      <c r="G404" s="532"/>
      <c r="H404" s="532"/>
      <c r="I404" s="532"/>
      <c r="J404" s="532"/>
      <c r="K404" s="532"/>
      <c r="L404" s="532"/>
      <c r="M404" s="532"/>
      <c r="N404" s="532"/>
      <c r="O404" s="532"/>
      <c r="P404" s="532"/>
      <c r="Q404" s="532"/>
    </row>
    <row r="405">
      <c r="A405" s="1451"/>
      <c r="B405" s="532"/>
      <c r="C405" s="532"/>
      <c r="D405" s="532"/>
      <c r="E405" s="532"/>
      <c r="F405" s="532"/>
      <c r="G405" s="532"/>
      <c r="H405" s="532"/>
      <c r="I405" s="532"/>
      <c r="J405" s="532"/>
      <c r="K405" s="532"/>
      <c r="L405" s="532"/>
      <c r="M405" s="532"/>
      <c r="N405" s="532"/>
      <c r="O405" s="532"/>
      <c r="P405" s="532"/>
      <c r="Q405" s="532"/>
    </row>
    <row r="406">
      <c r="A406" s="1451"/>
      <c r="B406" s="532"/>
      <c r="C406" s="532"/>
      <c r="D406" s="532"/>
      <c r="E406" s="532"/>
      <c r="F406" s="532"/>
      <c r="G406" s="532"/>
      <c r="H406" s="532"/>
      <c r="I406" s="532"/>
      <c r="J406" s="532"/>
      <c r="K406" s="532"/>
      <c r="L406" s="532"/>
      <c r="M406" s="532"/>
      <c r="N406" s="532"/>
      <c r="O406" s="532"/>
      <c r="P406" s="532"/>
      <c r="Q406" s="532"/>
    </row>
    <row r="407">
      <c r="A407" s="1451"/>
      <c r="B407" s="532"/>
      <c r="C407" s="532"/>
      <c r="D407" s="532"/>
      <c r="E407" s="532"/>
      <c r="F407" s="532"/>
      <c r="G407" s="532"/>
      <c r="H407" s="532"/>
      <c r="I407" s="532"/>
      <c r="J407" s="532"/>
      <c r="K407" s="532"/>
      <c r="L407" s="532"/>
      <c r="M407" s="532"/>
      <c r="N407" s="532"/>
      <c r="O407" s="532"/>
      <c r="P407" s="532"/>
      <c r="Q407" s="532"/>
    </row>
    <row r="408">
      <c r="A408" s="1451"/>
      <c r="B408" s="532"/>
      <c r="C408" s="532"/>
      <c r="D408" s="532"/>
      <c r="E408" s="532"/>
      <c r="F408" s="532"/>
      <c r="G408" s="532"/>
      <c r="H408" s="532"/>
      <c r="I408" s="532"/>
      <c r="J408" s="532"/>
      <c r="K408" s="532"/>
      <c r="L408" s="532"/>
      <c r="M408" s="532"/>
      <c r="N408" s="532"/>
      <c r="O408" s="532"/>
      <c r="P408" s="532"/>
      <c r="Q408" s="532"/>
    </row>
    <row r="409">
      <c r="A409" s="1451"/>
      <c r="B409" s="532"/>
      <c r="C409" s="532"/>
      <c r="D409" s="532"/>
      <c r="E409" s="532"/>
      <c r="F409" s="532"/>
      <c r="G409" s="532"/>
      <c r="H409" s="532"/>
      <c r="I409" s="532"/>
      <c r="J409" s="532"/>
      <c r="K409" s="532"/>
      <c r="L409" s="532"/>
      <c r="M409" s="532"/>
      <c r="N409" s="532"/>
      <c r="O409" s="532"/>
      <c r="P409" s="532"/>
      <c r="Q409" s="532"/>
    </row>
    <row r="410">
      <c r="A410" s="1451"/>
      <c r="B410" s="532"/>
      <c r="C410" s="532"/>
      <c r="D410" s="532"/>
      <c r="E410" s="532"/>
      <c r="F410" s="532"/>
      <c r="G410" s="532"/>
      <c r="H410" s="532"/>
      <c r="I410" s="532"/>
      <c r="J410" s="532"/>
      <c r="K410" s="532"/>
      <c r="L410" s="532"/>
      <c r="M410" s="532"/>
      <c r="N410" s="532"/>
      <c r="O410" s="532"/>
      <c r="P410" s="532"/>
      <c r="Q410" s="532"/>
    </row>
    <row r="411">
      <c r="A411" s="1451"/>
      <c r="B411" s="532"/>
      <c r="C411" s="532"/>
      <c r="D411" s="532"/>
      <c r="E411" s="532"/>
      <c r="F411" s="532"/>
      <c r="G411" s="532"/>
      <c r="H411" s="532"/>
      <c r="I411" s="532"/>
      <c r="J411" s="532"/>
      <c r="K411" s="532"/>
      <c r="L411" s="532"/>
      <c r="M411" s="532"/>
      <c r="N411" s="532"/>
      <c r="O411" s="532"/>
      <c r="P411" s="532"/>
      <c r="Q411" s="532"/>
    </row>
    <row r="412">
      <c r="A412" s="1451"/>
      <c r="B412" s="532"/>
      <c r="C412" s="532"/>
      <c r="D412" s="532"/>
      <c r="E412" s="532"/>
      <c r="F412" s="532"/>
      <c r="G412" s="532"/>
      <c r="H412" s="532"/>
      <c r="I412" s="532"/>
      <c r="J412" s="532"/>
      <c r="K412" s="532"/>
      <c r="L412" s="532"/>
      <c r="M412" s="532"/>
      <c r="N412" s="532"/>
      <c r="O412" s="532"/>
      <c r="P412" s="532"/>
      <c r="Q412" s="532"/>
    </row>
    <row r="413">
      <c r="A413" s="1451"/>
      <c r="B413" s="532"/>
      <c r="C413" s="532"/>
      <c r="D413" s="532"/>
      <c r="E413" s="532"/>
      <c r="F413" s="532"/>
      <c r="G413" s="532"/>
      <c r="H413" s="532"/>
      <c r="I413" s="532"/>
      <c r="J413" s="532"/>
      <c r="K413" s="532"/>
      <c r="L413" s="532"/>
      <c r="M413" s="532"/>
      <c r="N413" s="532"/>
      <c r="O413" s="532"/>
      <c r="P413" s="532"/>
      <c r="Q413" s="532"/>
    </row>
    <row r="414">
      <c r="A414" s="1451"/>
      <c r="B414" s="532"/>
      <c r="C414" s="532"/>
      <c r="D414" s="532"/>
      <c r="E414" s="532"/>
      <c r="F414" s="532"/>
      <c r="G414" s="532"/>
      <c r="H414" s="532"/>
      <c r="I414" s="532"/>
      <c r="J414" s="532"/>
      <c r="K414" s="532"/>
      <c r="L414" s="532"/>
      <c r="M414" s="532"/>
      <c r="N414" s="532"/>
      <c r="O414" s="532"/>
      <c r="P414" s="532"/>
      <c r="Q414" s="532"/>
    </row>
    <row r="415">
      <c r="A415" s="1451"/>
      <c r="B415" s="532"/>
      <c r="C415" s="532"/>
      <c r="D415" s="532"/>
      <c r="E415" s="532"/>
      <c r="F415" s="532"/>
      <c r="G415" s="532"/>
      <c r="H415" s="532"/>
      <c r="I415" s="532"/>
      <c r="J415" s="532"/>
      <c r="K415" s="532"/>
      <c r="L415" s="532"/>
      <c r="M415" s="532"/>
      <c r="N415" s="532"/>
      <c r="O415" s="532"/>
      <c r="P415" s="532"/>
      <c r="Q415" s="532"/>
    </row>
    <row r="416">
      <c r="A416" s="1451"/>
      <c r="B416" s="532"/>
      <c r="C416" s="532"/>
      <c r="D416" s="532"/>
      <c r="E416" s="532"/>
      <c r="F416" s="532"/>
      <c r="G416" s="532"/>
      <c r="H416" s="532"/>
      <c r="I416" s="532"/>
      <c r="J416" s="532"/>
      <c r="K416" s="532"/>
      <c r="L416" s="532"/>
      <c r="M416" s="532"/>
      <c r="N416" s="532"/>
      <c r="O416" s="532"/>
      <c r="P416" s="532"/>
      <c r="Q416" s="532"/>
    </row>
    <row r="417">
      <c r="A417" s="1451"/>
      <c r="B417" s="532"/>
      <c r="C417" s="532"/>
      <c r="D417" s="532"/>
      <c r="E417" s="532"/>
      <c r="F417" s="532"/>
      <c r="G417" s="532"/>
      <c r="H417" s="532"/>
      <c r="I417" s="532"/>
      <c r="J417" s="532"/>
      <c r="K417" s="532"/>
      <c r="L417" s="532"/>
      <c r="M417" s="532"/>
      <c r="N417" s="532"/>
      <c r="O417" s="532"/>
      <c r="P417" s="532"/>
      <c r="Q417" s="532"/>
    </row>
    <row r="418">
      <c r="A418" s="1451"/>
      <c r="B418" s="532"/>
      <c r="C418" s="532"/>
      <c r="D418" s="532"/>
      <c r="E418" s="532"/>
      <c r="F418" s="532"/>
      <c r="G418" s="532"/>
      <c r="H418" s="532"/>
      <c r="I418" s="532"/>
      <c r="J418" s="532"/>
      <c r="K418" s="532"/>
      <c r="L418" s="532"/>
      <c r="M418" s="532"/>
      <c r="N418" s="532"/>
      <c r="O418" s="532"/>
      <c r="P418" s="532"/>
      <c r="Q418" s="532"/>
    </row>
    <row r="419">
      <c r="A419" s="1451"/>
      <c r="B419" s="532"/>
      <c r="C419" s="532"/>
      <c r="D419" s="532"/>
      <c r="E419" s="532"/>
      <c r="F419" s="532"/>
      <c r="G419" s="532"/>
      <c r="H419" s="532"/>
      <c r="I419" s="532"/>
      <c r="J419" s="532"/>
      <c r="K419" s="532"/>
      <c r="L419" s="532"/>
      <c r="M419" s="532"/>
      <c r="N419" s="532"/>
      <c r="O419" s="532"/>
      <c r="P419" s="532"/>
      <c r="Q419" s="532"/>
    </row>
    <row r="420">
      <c r="A420" s="1451"/>
      <c r="B420" s="532"/>
      <c r="C420" s="532"/>
      <c r="D420" s="532"/>
      <c r="E420" s="532"/>
      <c r="F420" s="532"/>
      <c r="G420" s="532"/>
      <c r="H420" s="532"/>
      <c r="I420" s="532"/>
      <c r="J420" s="532"/>
      <c r="K420" s="532"/>
      <c r="L420" s="532"/>
      <c r="M420" s="532"/>
      <c r="N420" s="532"/>
      <c r="O420" s="532"/>
      <c r="P420" s="532"/>
      <c r="Q420" s="532"/>
    </row>
    <row r="421">
      <c r="A421" s="1451"/>
      <c r="B421" s="532"/>
      <c r="C421" s="532"/>
      <c r="D421" s="532"/>
      <c r="E421" s="532"/>
      <c r="F421" s="532"/>
      <c r="G421" s="532"/>
      <c r="H421" s="532"/>
      <c r="I421" s="532"/>
      <c r="J421" s="532"/>
      <c r="K421" s="532"/>
      <c r="L421" s="532"/>
      <c r="M421" s="532"/>
      <c r="N421" s="532"/>
      <c r="O421" s="532"/>
      <c r="P421" s="532"/>
      <c r="Q421" s="532"/>
    </row>
    <row r="422">
      <c r="A422" s="1451"/>
      <c r="B422" s="532"/>
      <c r="C422" s="532"/>
      <c r="D422" s="532"/>
      <c r="E422" s="532"/>
      <c r="F422" s="532"/>
      <c r="G422" s="532"/>
      <c r="H422" s="532"/>
      <c r="I422" s="532"/>
      <c r="J422" s="532"/>
      <c r="K422" s="532"/>
      <c r="L422" s="532"/>
      <c r="M422" s="532"/>
      <c r="N422" s="532"/>
      <c r="O422" s="532"/>
      <c r="P422" s="532"/>
      <c r="Q422" s="532"/>
    </row>
    <row r="423">
      <c r="A423" s="1451"/>
      <c r="B423" s="532"/>
      <c r="C423" s="532"/>
      <c r="D423" s="532"/>
      <c r="E423" s="532"/>
      <c r="F423" s="532"/>
      <c r="G423" s="532"/>
      <c r="H423" s="532"/>
      <c r="I423" s="532"/>
      <c r="J423" s="532"/>
      <c r="K423" s="532"/>
      <c r="L423" s="532"/>
      <c r="M423" s="532"/>
      <c r="N423" s="532"/>
      <c r="O423" s="532"/>
      <c r="P423" s="532"/>
      <c r="Q423" s="532"/>
    </row>
    <row r="424">
      <c r="A424" s="1451"/>
      <c r="B424" s="532"/>
      <c r="C424" s="532"/>
      <c r="D424" s="532"/>
      <c r="E424" s="532"/>
      <c r="F424" s="532"/>
      <c r="G424" s="532"/>
      <c r="H424" s="532"/>
      <c r="I424" s="532"/>
      <c r="J424" s="532"/>
      <c r="K424" s="532"/>
      <c r="L424" s="532"/>
      <c r="M424" s="532"/>
      <c r="N424" s="532"/>
      <c r="O424" s="532"/>
      <c r="P424" s="532"/>
      <c r="Q424" s="532"/>
    </row>
    <row r="425">
      <c r="A425" s="1451"/>
      <c r="B425" s="532"/>
      <c r="C425" s="532"/>
      <c r="D425" s="532"/>
      <c r="E425" s="532"/>
      <c r="F425" s="532"/>
      <c r="G425" s="532"/>
      <c r="H425" s="532"/>
      <c r="I425" s="532"/>
      <c r="J425" s="532"/>
      <c r="K425" s="532"/>
      <c r="L425" s="532"/>
      <c r="M425" s="532"/>
      <c r="N425" s="532"/>
      <c r="O425" s="532"/>
      <c r="P425" s="532"/>
      <c r="Q425" s="532"/>
    </row>
    <row r="426">
      <c r="A426" s="1451"/>
      <c r="B426" s="532"/>
      <c r="C426" s="532"/>
      <c r="D426" s="532"/>
      <c r="E426" s="532"/>
      <c r="F426" s="532"/>
      <c r="G426" s="532"/>
      <c r="H426" s="532"/>
      <c r="I426" s="532"/>
      <c r="J426" s="532"/>
      <c r="K426" s="532"/>
      <c r="L426" s="532"/>
      <c r="M426" s="532"/>
      <c r="N426" s="532"/>
      <c r="O426" s="532"/>
      <c r="P426" s="532"/>
      <c r="Q426" s="532"/>
    </row>
    <row r="427">
      <c r="A427" s="1451"/>
      <c r="B427" s="532"/>
      <c r="C427" s="532"/>
      <c r="D427" s="532"/>
      <c r="E427" s="532"/>
      <c r="F427" s="532"/>
      <c r="G427" s="532"/>
      <c r="H427" s="532"/>
      <c r="I427" s="532"/>
      <c r="J427" s="532"/>
      <c r="K427" s="532"/>
      <c r="L427" s="532"/>
      <c r="M427" s="532"/>
      <c r="N427" s="532"/>
      <c r="O427" s="532"/>
      <c r="P427" s="532"/>
      <c r="Q427" s="532"/>
    </row>
    <row r="428">
      <c r="A428" s="1451"/>
      <c r="B428" s="532"/>
      <c r="C428" s="532"/>
      <c r="D428" s="532"/>
      <c r="E428" s="532"/>
      <c r="F428" s="532"/>
      <c r="G428" s="532"/>
      <c r="H428" s="532"/>
      <c r="I428" s="532"/>
      <c r="J428" s="532"/>
      <c r="K428" s="532"/>
      <c r="L428" s="532"/>
      <c r="M428" s="532"/>
      <c r="N428" s="532"/>
      <c r="O428" s="532"/>
      <c r="P428" s="532"/>
      <c r="Q428" s="532"/>
    </row>
    <row r="429">
      <c r="A429" s="1451"/>
      <c r="B429" s="532"/>
      <c r="C429" s="532"/>
      <c r="D429" s="532"/>
      <c r="E429" s="532"/>
      <c r="F429" s="532"/>
      <c r="G429" s="532"/>
      <c r="H429" s="532"/>
      <c r="I429" s="532"/>
      <c r="J429" s="532"/>
      <c r="K429" s="532"/>
      <c r="L429" s="532"/>
      <c r="M429" s="532"/>
      <c r="N429" s="532"/>
      <c r="O429" s="532"/>
      <c r="P429" s="532"/>
      <c r="Q429" s="532"/>
    </row>
    <row r="430">
      <c r="A430" s="1451"/>
      <c r="B430" s="532"/>
      <c r="C430" s="532"/>
      <c r="D430" s="532"/>
      <c r="E430" s="532"/>
      <c r="F430" s="532"/>
      <c r="G430" s="532"/>
      <c r="H430" s="532"/>
      <c r="I430" s="532"/>
      <c r="J430" s="532"/>
      <c r="K430" s="532"/>
      <c r="L430" s="532"/>
      <c r="M430" s="532"/>
      <c r="N430" s="532"/>
      <c r="O430" s="532"/>
      <c r="P430" s="532"/>
      <c r="Q430" s="532"/>
    </row>
    <row r="431">
      <c r="A431" s="1451"/>
      <c r="B431" s="532"/>
      <c r="C431" s="532"/>
      <c r="D431" s="532"/>
      <c r="E431" s="532"/>
      <c r="F431" s="532"/>
      <c r="G431" s="532"/>
      <c r="H431" s="532"/>
      <c r="I431" s="532"/>
      <c r="J431" s="532"/>
      <c r="K431" s="532"/>
      <c r="L431" s="532"/>
      <c r="M431" s="532"/>
      <c r="N431" s="532"/>
      <c r="O431" s="532"/>
      <c r="P431" s="532"/>
      <c r="Q431" s="532"/>
    </row>
    <row r="432">
      <c r="A432" s="1451"/>
      <c r="B432" s="532"/>
      <c r="C432" s="532"/>
      <c r="D432" s="532"/>
      <c r="E432" s="532"/>
      <c r="F432" s="532"/>
      <c r="G432" s="532"/>
      <c r="H432" s="532"/>
      <c r="I432" s="532"/>
      <c r="J432" s="532"/>
      <c r="K432" s="532"/>
      <c r="L432" s="532"/>
      <c r="M432" s="532"/>
      <c r="N432" s="532"/>
      <c r="O432" s="532"/>
      <c r="P432" s="532"/>
      <c r="Q432" s="532"/>
    </row>
    <row r="433">
      <c r="A433" s="1451"/>
      <c r="B433" s="532"/>
      <c r="C433" s="532"/>
      <c r="D433" s="532"/>
      <c r="E433" s="532"/>
      <c r="F433" s="532"/>
      <c r="G433" s="532"/>
      <c r="H433" s="532"/>
      <c r="I433" s="532"/>
      <c r="J433" s="532"/>
      <c r="K433" s="532"/>
      <c r="L433" s="532"/>
      <c r="M433" s="532"/>
      <c r="N433" s="532"/>
      <c r="O433" s="532"/>
      <c r="P433" s="532"/>
      <c r="Q433" s="532"/>
    </row>
    <row r="434">
      <c r="A434" s="1451"/>
      <c r="B434" s="532"/>
      <c r="C434" s="532"/>
      <c r="D434" s="532"/>
      <c r="E434" s="532"/>
      <c r="F434" s="532"/>
      <c r="G434" s="532"/>
      <c r="H434" s="532"/>
      <c r="I434" s="532"/>
      <c r="J434" s="532"/>
      <c r="K434" s="532"/>
      <c r="L434" s="532"/>
      <c r="M434" s="532"/>
      <c r="N434" s="532"/>
      <c r="O434" s="532"/>
      <c r="P434" s="532"/>
      <c r="Q434" s="532"/>
    </row>
    <row r="435">
      <c r="A435" s="1451"/>
      <c r="B435" s="532"/>
      <c r="C435" s="532"/>
      <c r="D435" s="532"/>
      <c r="E435" s="532"/>
      <c r="F435" s="532"/>
      <c r="G435" s="532"/>
      <c r="H435" s="532"/>
      <c r="I435" s="532"/>
      <c r="J435" s="532"/>
      <c r="K435" s="532"/>
      <c r="L435" s="532"/>
      <c r="M435" s="532"/>
      <c r="N435" s="532"/>
      <c r="O435" s="532"/>
      <c r="P435" s="532"/>
      <c r="Q435" s="532"/>
    </row>
    <row r="436">
      <c r="A436" s="1451"/>
      <c r="B436" s="532"/>
      <c r="C436" s="532"/>
      <c r="D436" s="532"/>
      <c r="E436" s="532"/>
      <c r="F436" s="532"/>
      <c r="G436" s="532"/>
      <c r="H436" s="532"/>
      <c r="I436" s="532"/>
      <c r="J436" s="532"/>
      <c r="K436" s="532"/>
      <c r="L436" s="532"/>
      <c r="M436" s="532"/>
      <c r="N436" s="532"/>
      <c r="O436" s="532"/>
      <c r="P436" s="532"/>
      <c r="Q436" s="532"/>
    </row>
    <row r="437">
      <c r="A437" s="1451"/>
      <c r="B437" s="532"/>
      <c r="C437" s="532"/>
      <c r="D437" s="532"/>
      <c r="E437" s="532"/>
      <c r="F437" s="532"/>
      <c r="G437" s="532"/>
      <c r="H437" s="532"/>
      <c r="I437" s="532"/>
      <c r="J437" s="532"/>
      <c r="K437" s="532"/>
      <c r="L437" s="532"/>
      <c r="M437" s="532"/>
      <c r="N437" s="532"/>
      <c r="O437" s="532"/>
      <c r="P437" s="532"/>
      <c r="Q437" s="532"/>
    </row>
    <row r="438">
      <c r="A438" s="1451"/>
      <c r="B438" s="532"/>
      <c r="C438" s="532"/>
      <c r="D438" s="532"/>
      <c r="E438" s="532"/>
      <c r="F438" s="532"/>
      <c r="G438" s="532"/>
      <c r="H438" s="532"/>
      <c r="I438" s="532"/>
      <c r="J438" s="532"/>
      <c r="K438" s="532"/>
      <c r="L438" s="532"/>
      <c r="M438" s="532"/>
      <c r="N438" s="532"/>
      <c r="O438" s="532"/>
      <c r="P438" s="532"/>
      <c r="Q438" s="532"/>
    </row>
    <row r="439">
      <c r="A439" s="1451"/>
      <c r="B439" s="532"/>
      <c r="C439" s="532"/>
      <c r="D439" s="532"/>
      <c r="E439" s="532"/>
      <c r="F439" s="532"/>
      <c r="G439" s="532"/>
      <c r="H439" s="532"/>
      <c r="I439" s="532"/>
      <c r="J439" s="532"/>
      <c r="K439" s="532"/>
      <c r="L439" s="532"/>
      <c r="M439" s="532"/>
      <c r="N439" s="532"/>
      <c r="O439" s="532"/>
      <c r="P439" s="532"/>
      <c r="Q439" s="532"/>
    </row>
    <row r="440">
      <c r="A440" s="1451"/>
      <c r="B440" s="532"/>
      <c r="C440" s="532"/>
      <c r="D440" s="532"/>
      <c r="E440" s="532"/>
      <c r="F440" s="532"/>
      <c r="G440" s="532"/>
      <c r="H440" s="532"/>
      <c r="I440" s="532"/>
      <c r="J440" s="532"/>
      <c r="K440" s="532"/>
      <c r="L440" s="532"/>
      <c r="M440" s="532"/>
      <c r="N440" s="532"/>
      <c r="O440" s="532"/>
      <c r="P440" s="532"/>
      <c r="Q440" s="532"/>
    </row>
    <row r="441">
      <c r="A441" s="1451"/>
      <c r="B441" s="532"/>
      <c r="C441" s="532"/>
      <c r="D441" s="532"/>
      <c r="E441" s="532"/>
      <c r="F441" s="532"/>
      <c r="G441" s="532"/>
      <c r="H441" s="532"/>
      <c r="I441" s="532"/>
      <c r="J441" s="532"/>
      <c r="K441" s="532"/>
      <c r="L441" s="532"/>
      <c r="M441" s="532"/>
      <c r="N441" s="532"/>
      <c r="O441" s="532"/>
      <c r="P441" s="532"/>
      <c r="Q441" s="532"/>
    </row>
    <row r="442">
      <c r="A442" s="1451"/>
      <c r="B442" s="532"/>
      <c r="C442" s="532"/>
      <c r="D442" s="532"/>
      <c r="E442" s="532"/>
      <c r="F442" s="532"/>
      <c r="G442" s="532"/>
      <c r="H442" s="532"/>
      <c r="I442" s="532"/>
      <c r="J442" s="532"/>
      <c r="K442" s="532"/>
      <c r="L442" s="532"/>
      <c r="M442" s="532"/>
      <c r="N442" s="532"/>
      <c r="O442" s="532"/>
      <c r="P442" s="532"/>
      <c r="Q442" s="532"/>
    </row>
    <row r="443">
      <c r="A443" s="1451"/>
      <c r="B443" s="532"/>
      <c r="C443" s="532"/>
      <c r="D443" s="532"/>
      <c r="E443" s="532"/>
      <c r="F443" s="532"/>
      <c r="G443" s="532"/>
      <c r="H443" s="532"/>
      <c r="I443" s="532"/>
      <c r="J443" s="532"/>
      <c r="K443" s="532"/>
      <c r="L443" s="532"/>
      <c r="M443" s="532"/>
      <c r="N443" s="532"/>
      <c r="O443" s="532"/>
      <c r="P443" s="532"/>
      <c r="Q443" s="532"/>
    </row>
    <row r="444">
      <c r="A444" s="1451"/>
      <c r="B444" s="532"/>
      <c r="C444" s="532"/>
      <c r="D444" s="532"/>
      <c r="E444" s="532"/>
      <c r="F444" s="532"/>
      <c r="G444" s="532"/>
      <c r="H444" s="532"/>
      <c r="I444" s="532"/>
      <c r="J444" s="532"/>
      <c r="K444" s="532"/>
      <c r="L444" s="532"/>
      <c r="M444" s="532"/>
      <c r="N444" s="532"/>
      <c r="O444" s="532"/>
      <c r="P444" s="532"/>
      <c r="Q444" s="532"/>
    </row>
    <row r="445">
      <c r="A445" s="1451"/>
      <c r="B445" s="532"/>
      <c r="C445" s="532"/>
      <c r="D445" s="532"/>
      <c r="E445" s="532"/>
      <c r="F445" s="532"/>
      <c r="G445" s="532"/>
      <c r="H445" s="532"/>
      <c r="I445" s="532"/>
      <c r="J445" s="532"/>
      <c r="K445" s="532"/>
      <c r="L445" s="532"/>
      <c r="M445" s="532"/>
      <c r="N445" s="532"/>
      <c r="O445" s="532"/>
      <c r="P445" s="532"/>
      <c r="Q445" s="532"/>
    </row>
    <row r="446">
      <c r="A446" s="1451"/>
      <c r="B446" s="532"/>
      <c r="C446" s="532"/>
      <c r="D446" s="532"/>
      <c r="E446" s="532"/>
      <c r="F446" s="532"/>
      <c r="G446" s="532"/>
      <c r="H446" s="532"/>
      <c r="I446" s="532"/>
      <c r="J446" s="532"/>
      <c r="K446" s="532"/>
      <c r="L446" s="532"/>
      <c r="M446" s="532"/>
      <c r="N446" s="532"/>
      <c r="O446" s="532"/>
      <c r="P446" s="532"/>
      <c r="Q446" s="532"/>
    </row>
    <row r="447">
      <c r="A447" s="1451"/>
      <c r="B447" s="532"/>
      <c r="C447" s="532"/>
      <c r="D447" s="532"/>
      <c r="E447" s="532"/>
      <c r="F447" s="532"/>
      <c r="G447" s="532"/>
      <c r="H447" s="532"/>
      <c r="I447" s="532"/>
      <c r="J447" s="532"/>
      <c r="K447" s="532"/>
      <c r="L447" s="532"/>
      <c r="M447" s="532"/>
      <c r="N447" s="532"/>
      <c r="O447" s="532"/>
      <c r="P447" s="532"/>
      <c r="Q447" s="532"/>
    </row>
    <row r="448">
      <c r="A448" s="1451"/>
      <c r="B448" s="532"/>
      <c r="C448" s="532"/>
      <c r="D448" s="532"/>
      <c r="E448" s="532"/>
      <c r="F448" s="532"/>
      <c r="G448" s="532"/>
      <c r="H448" s="532"/>
      <c r="I448" s="532"/>
      <c r="J448" s="532"/>
      <c r="K448" s="532"/>
      <c r="L448" s="532"/>
      <c r="M448" s="532"/>
      <c r="N448" s="532"/>
      <c r="O448" s="532"/>
      <c r="P448" s="532"/>
      <c r="Q448" s="532"/>
    </row>
    <row r="449">
      <c r="A449" s="1451"/>
      <c r="B449" s="532"/>
      <c r="C449" s="532"/>
      <c r="D449" s="532"/>
      <c r="E449" s="532"/>
      <c r="F449" s="532"/>
      <c r="G449" s="532"/>
      <c r="H449" s="532"/>
      <c r="I449" s="532"/>
      <c r="J449" s="532"/>
      <c r="K449" s="532"/>
      <c r="L449" s="532"/>
      <c r="M449" s="532"/>
      <c r="N449" s="532"/>
      <c r="O449" s="532"/>
      <c r="P449" s="532"/>
      <c r="Q449" s="532"/>
    </row>
    <row r="450">
      <c r="A450" s="1451"/>
      <c r="B450" s="532"/>
      <c r="C450" s="532"/>
      <c r="D450" s="532"/>
      <c r="E450" s="532"/>
      <c r="F450" s="532"/>
      <c r="G450" s="532"/>
      <c r="H450" s="532"/>
      <c r="I450" s="532"/>
      <c r="J450" s="532"/>
      <c r="K450" s="532"/>
      <c r="L450" s="532"/>
      <c r="M450" s="532"/>
      <c r="N450" s="532"/>
      <c r="O450" s="532"/>
      <c r="P450" s="532"/>
      <c r="Q450" s="532"/>
    </row>
    <row r="451">
      <c r="A451" s="1451"/>
      <c r="B451" s="532"/>
      <c r="C451" s="532"/>
      <c r="D451" s="532"/>
      <c r="E451" s="532"/>
      <c r="F451" s="532"/>
      <c r="G451" s="532"/>
      <c r="H451" s="532"/>
      <c r="I451" s="532"/>
      <c r="J451" s="532"/>
      <c r="K451" s="532"/>
      <c r="L451" s="532"/>
      <c r="M451" s="532"/>
      <c r="N451" s="532"/>
      <c r="O451" s="532"/>
      <c r="P451" s="532"/>
      <c r="Q451" s="532"/>
    </row>
    <row r="452">
      <c r="A452" s="1451"/>
      <c r="B452" s="532"/>
      <c r="C452" s="532"/>
      <c r="D452" s="532"/>
      <c r="E452" s="532"/>
      <c r="F452" s="532"/>
      <c r="G452" s="532"/>
      <c r="H452" s="532"/>
      <c r="I452" s="532"/>
      <c r="J452" s="532"/>
      <c r="K452" s="532"/>
      <c r="L452" s="532"/>
      <c r="M452" s="532"/>
      <c r="N452" s="532"/>
      <c r="O452" s="532"/>
      <c r="P452" s="532"/>
      <c r="Q452" s="532"/>
    </row>
    <row r="453">
      <c r="A453" s="1451"/>
      <c r="B453" s="532"/>
      <c r="C453" s="532"/>
      <c r="D453" s="532"/>
      <c r="E453" s="532"/>
      <c r="F453" s="532"/>
      <c r="G453" s="532"/>
      <c r="H453" s="532"/>
      <c r="I453" s="532"/>
      <c r="J453" s="532"/>
      <c r="K453" s="532"/>
      <c r="L453" s="532"/>
      <c r="M453" s="532"/>
      <c r="N453" s="532"/>
      <c r="O453" s="532"/>
      <c r="P453" s="532"/>
      <c r="Q453" s="532"/>
    </row>
    <row r="454">
      <c r="A454" s="1451"/>
      <c r="B454" s="532"/>
      <c r="C454" s="532"/>
      <c r="D454" s="532"/>
      <c r="E454" s="532"/>
      <c r="F454" s="532"/>
      <c r="G454" s="532"/>
      <c r="H454" s="532"/>
      <c r="I454" s="532"/>
      <c r="J454" s="532"/>
      <c r="K454" s="532"/>
      <c r="L454" s="532"/>
      <c r="M454" s="532"/>
      <c r="N454" s="532"/>
      <c r="O454" s="532"/>
      <c r="P454" s="532"/>
      <c r="Q454" s="532"/>
    </row>
    <row r="455">
      <c r="A455" s="1451"/>
      <c r="B455" s="532"/>
      <c r="C455" s="532"/>
      <c r="D455" s="532"/>
      <c r="E455" s="532"/>
      <c r="F455" s="532"/>
      <c r="G455" s="532"/>
      <c r="H455" s="532"/>
      <c r="I455" s="532"/>
      <c r="J455" s="532"/>
      <c r="K455" s="532"/>
      <c r="L455" s="532"/>
      <c r="M455" s="532"/>
      <c r="N455" s="532"/>
      <c r="O455" s="532"/>
      <c r="P455" s="532"/>
      <c r="Q455" s="532"/>
    </row>
    <row r="456">
      <c r="A456" s="1451"/>
      <c r="B456" s="532"/>
      <c r="C456" s="532"/>
      <c r="D456" s="532"/>
      <c r="E456" s="532"/>
      <c r="F456" s="532"/>
      <c r="G456" s="532"/>
      <c r="H456" s="532"/>
      <c r="I456" s="532"/>
      <c r="J456" s="532"/>
      <c r="K456" s="532"/>
      <c r="L456" s="532"/>
      <c r="M456" s="532"/>
      <c r="N456" s="532"/>
      <c r="O456" s="532"/>
      <c r="P456" s="532"/>
      <c r="Q456" s="532"/>
    </row>
    <row r="457">
      <c r="A457" s="1451"/>
      <c r="B457" s="532"/>
      <c r="C457" s="532"/>
      <c r="D457" s="532"/>
      <c r="E457" s="532"/>
      <c r="F457" s="532"/>
      <c r="G457" s="532"/>
      <c r="H457" s="532"/>
      <c r="I457" s="532"/>
      <c r="J457" s="532"/>
      <c r="K457" s="532"/>
      <c r="L457" s="532"/>
      <c r="M457" s="532"/>
      <c r="N457" s="532"/>
      <c r="O457" s="532"/>
      <c r="P457" s="532"/>
      <c r="Q457" s="532"/>
    </row>
    <row r="458">
      <c r="A458" s="1451"/>
      <c r="B458" s="532"/>
      <c r="C458" s="532"/>
      <c r="D458" s="532"/>
      <c r="E458" s="532"/>
      <c r="F458" s="532"/>
      <c r="G458" s="532"/>
      <c r="H458" s="532"/>
      <c r="I458" s="532"/>
      <c r="J458" s="532"/>
      <c r="K458" s="532"/>
      <c r="L458" s="532"/>
      <c r="M458" s="532"/>
      <c r="N458" s="532"/>
      <c r="O458" s="532"/>
      <c r="P458" s="532"/>
      <c r="Q458" s="532"/>
    </row>
    <row r="459">
      <c r="A459" s="1451"/>
      <c r="B459" s="532"/>
      <c r="C459" s="532"/>
      <c r="D459" s="532"/>
      <c r="E459" s="532"/>
      <c r="F459" s="532"/>
      <c r="G459" s="532"/>
      <c r="H459" s="532"/>
      <c r="I459" s="532"/>
      <c r="J459" s="532"/>
      <c r="K459" s="532"/>
      <c r="L459" s="532"/>
      <c r="M459" s="532"/>
      <c r="N459" s="532"/>
      <c r="O459" s="532"/>
      <c r="P459" s="532"/>
      <c r="Q459" s="532"/>
    </row>
    <row r="460">
      <c r="A460" s="1451"/>
      <c r="B460" s="532"/>
      <c r="C460" s="532"/>
      <c r="D460" s="532"/>
      <c r="E460" s="532"/>
      <c r="F460" s="532"/>
      <c r="G460" s="532"/>
      <c r="H460" s="532"/>
      <c r="I460" s="532"/>
      <c r="J460" s="532"/>
      <c r="K460" s="532"/>
      <c r="L460" s="532"/>
      <c r="M460" s="532"/>
      <c r="N460" s="532"/>
      <c r="O460" s="532"/>
      <c r="P460" s="532"/>
      <c r="Q460" s="532"/>
    </row>
    <row r="461">
      <c r="A461" s="1451"/>
      <c r="B461" s="532"/>
      <c r="C461" s="532"/>
      <c r="D461" s="532"/>
      <c r="E461" s="532"/>
      <c r="F461" s="532"/>
      <c r="G461" s="532"/>
      <c r="H461" s="532"/>
      <c r="I461" s="532"/>
      <c r="J461" s="532"/>
      <c r="K461" s="532"/>
      <c r="L461" s="532"/>
      <c r="M461" s="532"/>
      <c r="N461" s="532"/>
      <c r="O461" s="532"/>
      <c r="P461" s="532"/>
      <c r="Q461" s="532"/>
    </row>
    <row r="462">
      <c r="A462" s="1451"/>
      <c r="B462" s="532"/>
      <c r="C462" s="532"/>
      <c r="D462" s="532"/>
      <c r="E462" s="532"/>
      <c r="F462" s="532"/>
      <c r="G462" s="532"/>
      <c r="H462" s="532"/>
      <c r="I462" s="532"/>
      <c r="J462" s="532"/>
      <c r="K462" s="532"/>
      <c r="L462" s="532"/>
      <c r="M462" s="532"/>
      <c r="N462" s="532"/>
      <c r="O462" s="532"/>
      <c r="P462" s="532"/>
      <c r="Q462" s="532"/>
    </row>
    <row r="463">
      <c r="A463" s="1451"/>
      <c r="B463" s="532"/>
      <c r="C463" s="532"/>
      <c r="D463" s="532"/>
      <c r="E463" s="532"/>
      <c r="F463" s="532"/>
      <c r="G463" s="532"/>
      <c r="H463" s="532"/>
      <c r="I463" s="532"/>
      <c r="J463" s="532"/>
      <c r="K463" s="532"/>
      <c r="L463" s="532"/>
      <c r="M463" s="532"/>
      <c r="N463" s="532"/>
      <c r="O463" s="532"/>
      <c r="P463" s="532"/>
      <c r="Q463" s="532"/>
    </row>
    <row r="464">
      <c r="A464" s="1451"/>
      <c r="B464" s="532"/>
      <c r="C464" s="532"/>
      <c r="D464" s="532"/>
      <c r="E464" s="532"/>
      <c r="F464" s="532"/>
      <c r="G464" s="532"/>
      <c r="H464" s="532"/>
      <c r="I464" s="532"/>
      <c r="J464" s="532"/>
      <c r="K464" s="532"/>
      <c r="L464" s="532"/>
      <c r="M464" s="532"/>
      <c r="N464" s="532"/>
      <c r="O464" s="532"/>
      <c r="P464" s="532"/>
      <c r="Q464" s="532"/>
    </row>
    <row r="465">
      <c r="A465" s="1451"/>
      <c r="B465" s="532"/>
      <c r="C465" s="532"/>
      <c r="D465" s="532"/>
      <c r="E465" s="532"/>
      <c r="F465" s="532"/>
      <c r="G465" s="532"/>
      <c r="H465" s="532"/>
      <c r="I465" s="532"/>
      <c r="J465" s="532"/>
      <c r="K465" s="532"/>
      <c r="L465" s="532"/>
      <c r="M465" s="532"/>
      <c r="N465" s="532"/>
      <c r="O465" s="532"/>
      <c r="P465" s="532"/>
      <c r="Q465" s="532"/>
    </row>
    <row r="466">
      <c r="A466" s="1451"/>
      <c r="B466" s="532"/>
      <c r="C466" s="532"/>
      <c r="D466" s="532"/>
      <c r="E466" s="532"/>
      <c r="F466" s="532"/>
      <c r="G466" s="532"/>
      <c r="H466" s="532"/>
      <c r="I466" s="532"/>
      <c r="J466" s="532"/>
      <c r="K466" s="532"/>
      <c r="L466" s="532"/>
      <c r="M466" s="532"/>
      <c r="N466" s="532"/>
      <c r="O466" s="532"/>
      <c r="P466" s="532"/>
      <c r="Q466" s="532"/>
    </row>
    <row r="467">
      <c r="A467" s="1451"/>
      <c r="B467" s="532"/>
      <c r="C467" s="532"/>
      <c r="D467" s="532"/>
      <c r="E467" s="532"/>
      <c r="F467" s="532"/>
      <c r="G467" s="532"/>
      <c r="H467" s="532"/>
      <c r="I467" s="532"/>
      <c r="J467" s="532"/>
      <c r="K467" s="532"/>
      <c r="L467" s="532"/>
      <c r="M467" s="532"/>
      <c r="N467" s="532"/>
      <c r="O467" s="532"/>
      <c r="P467" s="532"/>
      <c r="Q467" s="532"/>
    </row>
    <row r="468">
      <c r="A468" s="1451"/>
      <c r="B468" s="532"/>
      <c r="C468" s="532"/>
      <c r="D468" s="532"/>
      <c r="E468" s="532"/>
      <c r="F468" s="532"/>
      <c r="G468" s="532"/>
      <c r="H468" s="532"/>
      <c r="I468" s="532"/>
      <c r="J468" s="532"/>
      <c r="K468" s="532"/>
      <c r="L468" s="532"/>
      <c r="M468" s="532"/>
      <c r="N468" s="532"/>
      <c r="O468" s="532"/>
      <c r="P468" s="532"/>
      <c r="Q468" s="532"/>
    </row>
    <row r="469">
      <c r="A469" s="1451"/>
      <c r="B469" s="532"/>
      <c r="C469" s="532"/>
      <c r="D469" s="532"/>
      <c r="E469" s="532"/>
      <c r="F469" s="532"/>
      <c r="G469" s="532"/>
      <c r="H469" s="532"/>
      <c r="I469" s="532"/>
      <c r="J469" s="532"/>
      <c r="K469" s="532"/>
      <c r="L469" s="532"/>
      <c r="M469" s="532"/>
      <c r="N469" s="532"/>
      <c r="O469" s="532"/>
      <c r="P469" s="532"/>
      <c r="Q469" s="532"/>
    </row>
    <row r="470">
      <c r="A470" s="1451"/>
      <c r="B470" s="532"/>
      <c r="C470" s="532"/>
      <c r="D470" s="532"/>
      <c r="E470" s="532"/>
      <c r="F470" s="532"/>
      <c r="G470" s="532"/>
      <c r="H470" s="532"/>
      <c r="I470" s="532"/>
      <c r="J470" s="532"/>
      <c r="K470" s="532"/>
      <c r="L470" s="532"/>
      <c r="M470" s="532"/>
      <c r="N470" s="532"/>
      <c r="O470" s="532"/>
      <c r="P470" s="532"/>
      <c r="Q470" s="532"/>
    </row>
    <row r="471">
      <c r="A471" s="1451"/>
      <c r="B471" s="532"/>
      <c r="C471" s="532"/>
      <c r="D471" s="532"/>
      <c r="E471" s="532"/>
      <c r="F471" s="532"/>
      <c r="G471" s="532"/>
      <c r="H471" s="532"/>
      <c r="I471" s="532"/>
      <c r="J471" s="532"/>
      <c r="K471" s="532"/>
      <c r="L471" s="532"/>
      <c r="M471" s="532"/>
      <c r="N471" s="532"/>
      <c r="O471" s="532"/>
      <c r="P471" s="532"/>
      <c r="Q471" s="532"/>
    </row>
    <row r="472">
      <c r="A472" s="1451"/>
      <c r="B472" s="532"/>
      <c r="C472" s="532"/>
      <c r="D472" s="532"/>
      <c r="E472" s="532"/>
      <c r="F472" s="532"/>
      <c r="G472" s="532"/>
      <c r="H472" s="532"/>
      <c r="I472" s="532"/>
      <c r="J472" s="532"/>
      <c r="K472" s="532"/>
      <c r="L472" s="532"/>
      <c r="M472" s="532"/>
      <c r="N472" s="532"/>
      <c r="O472" s="532"/>
      <c r="P472" s="532"/>
      <c r="Q472" s="532"/>
    </row>
    <row r="473">
      <c r="A473" s="1451"/>
      <c r="B473" s="532"/>
      <c r="C473" s="532"/>
      <c r="D473" s="532"/>
      <c r="E473" s="532"/>
      <c r="F473" s="532"/>
      <c r="G473" s="532"/>
      <c r="H473" s="532"/>
      <c r="I473" s="532"/>
      <c r="J473" s="532"/>
      <c r="K473" s="532"/>
      <c r="L473" s="532"/>
      <c r="M473" s="532"/>
      <c r="N473" s="532"/>
      <c r="O473" s="532"/>
      <c r="P473" s="532"/>
      <c r="Q473" s="532"/>
    </row>
    <row r="474">
      <c r="A474" s="1451"/>
      <c r="B474" s="532"/>
      <c r="C474" s="532"/>
      <c r="D474" s="532"/>
      <c r="E474" s="532"/>
      <c r="F474" s="532"/>
      <c r="G474" s="532"/>
      <c r="H474" s="532"/>
      <c r="I474" s="532"/>
      <c r="J474" s="532"/>
      <c r="K474" s="532"/>
      <c r="L474" s="532"/>
      <c r="M474" s="532"/>
      <c r="N474" s="532"/>
      <c r="O474" s="532"/>
      <c r="P474" s="532"/>
      <c r="Q474" s="532"/>
    </row>
    <row r="475">
      <c r="A475" s="1451"/>
      <c r="B475" s="532"/>
      <c r="C475" s="532"/>
      <c r="D475" s="532"/>
      <c r="E475" s="532"/>
      <c r="F475" s="532"/>
      <c r="G475" s="532"/>
      <c r="H475" s="532"/>
      <c r="I475" s="532"/>
      <c r="J475" s="532"/>
      <c r="K475" s="532"/>
      <c r="L475" s="532"/>
      <c r="M475" s="532"/>
      <c r="N475" s="532"/>
      <c r="O475" s="532"/>
      <c r="P475" s="532"/>
      <c r="Q475" s="532"/>
    </row>
    <row r="476">
      <c r="A476" s="1451"/>
      <c r="B476" s="532"/>
      <c r="C476" s="532"/>
      <c r="D476" s="532"/>
      <c r="E476" s="532"/>
      <c r="F476" s="532"/>
      <c r="G476" s="532"/>
      <c r="H476" s="532"/>
      <c r="I476" s="532"/>
      <c r="J476" s="532"/>
      <c r="K476" s="532"/>
      <c r="L476" s="532"/>
      <c r="M476" s="532"/>
      <c r="N476" s="532"/>
      <c r="O476" s="532"/>
      <c r="P476" s="532"/>
      <c r="Q476" s="532"/>
    </row>
    <row r="477">
      <c r="A477" s="1451"/>
      <c r="B477" s="532"/>
      <c r="C477" s="532"/>
      <c r="D477" s="532"/>
      <c r="E477" s="532"/>
      <c r="F477" s="532"/>
      <c r="G477" s="532"/>
      <c r="H477" s="532"/>
      <c r="I477" s="532"/>
      <c r="J477" s="532"/>
      <c r="K477" s="532"/>
      <c r="L477" s="532"/>
      <c r="M477" s="532"/>
      <c r="N477" s="532"/>
      <c r="O477" s="532"/>
      <c r="P477" s="532"/>
      <c r="Q477" s="532"/>
    </row>
    <row r="478">
      <c r="A478" s="1451"/>
      <c r="B478" s="532"/>
      <c r="C478" s="532"/>
      <c r="D478" s="532"/>
      <c r="E478" s="532"/>
      <c r="F478" s="532"/>
      <c r="G478" s="532"/>
      <c r="H478" s="532"/>
      <c r="I478" s="532"/>
      <c r="J478" s="532"/>
      <c r="K478" s="532"/>
      <c r="L478" s="532"/>
      <c r="M478" s="532"/>
      <c r="N478" s="532"/>
      <c r="O478" s="532"/>
      <c r="P478" s="532"/>
      <c r="Q478" s="532"/>
    </row>
    <row r="479">
      <c r="A479" s="1451"/>
      <c r="B479" s="532"/>
      <c r="C479" s="532"/>
      <c r="D479" s="532"/>
      <c r="E479" s="532"/>
      <c r="F479" s="532"/>
      <c r="G479" s="532"/>
      <c r="H479" s="532"/>
      <c r="I479" s="532"/>
      <c r="J479" s="532"/>
      <c r="K479" s="532"/>
      <c r="L479" s="532"/>
      <c r="M479" s="532"/>
      <c r="N479" s="532"/>
      <c r="O479" s="532"/>
      <c r="P479" s="532"/>
      <c r="Q479" s="532"/>
    </row>
    <row r="480">
      <c r="A480" s="1451"/>
      <c r="B480" s="532"/>
      <c r="C480" s="532"/>
      <c r="D480" s="532"/>
      <c r="E480" s="532"/>
      <c r="F480" s="532"/>
      <c r="G480" s="532"/>
      <c r="H480" s="532"/>
      <c r="I480" s="532"/>
      <c r="J480" s="532"/>
      <c r="K480" s="532"/>
      <c r="L480" s="532"/>
      <c r="M480" s="532"/>
      <c r="N480" s="532"/>
      <c r="O480" s="532"/>
      <c r="P480" s="532"/>
      <c r="Q480" s="532"/>
    </row>
    <row r="481">
      <c r="A481" s="1451"/>
      <c r="B481" s="532"/>
      <c r="C481" s="532"/>
      <c r="D481" s="532"/>
      <c r="E481" s="532"/>
      <c r="F481" s="532"/>
      <c r="G481" s="532"/>
      <c r="H481" s="532"/>
      <c r="I481" s="532"/>
      <c r="J481" s="532"/>
      <c r="K481" s="532"/>
      <c r="L481" s="532"/>
      <c r="M481" s="532"/>
      <c r="N481" s="532"/>
      <c r="O481" s="532"/>
      <c r="P481" s="532"/>
      <c r="Q481" s="532"/>
    </row>
    <row r="482">
      <c r="A482" s="1451"/>
      <c r="B482" s="532"/>
      <c r="C482" s="532"/>
      <c r="D482" s="532"/>
      <c r="E482" s="532"/>
      <c r="F482" s="532"/>
      <c r="G482" s="532"/>
      <c r="H482" s="532"/>
      <c r="I482" s="532"/>
      <c r="J482" s="532"/>
      <c r="K482" s="532"/>
      <c r="L482" s="532"/>
      <c r="M482" s="532"/>
      <c r="N482" s="532"/>
      <c r="O482" s="532"/>
      <c r="P482" s="532"/>
      <c r="Q482" s="532"/>
    </row>
    <row r="483">
      <c r="A483" s="1451"/>
      <c r="B483" s="532"/>
      <c r="C483" s="532"/>
      <c r="D483" s="532"/>
      <c r="E483" s="532"/>
      <c r="F483" s="532"/>
      <c r="G483" s="532"/>
      <c r="H483" s="532"/>
      <c r="I483" s="532"/>
      <c r="J483" s="532"/>
      <c r="K483" s="532"/>
      <c r="L483" s="532"/>
      <c r="M483" s="532"/>
      <c r="N483" s="532"/>
      <c r="O483" s="532"/>
      <c r="P483" s="532"/>
      <c r="Q483" s="532"/>
    </row>
    <row r="484">
      <c r="A484" s="1451"/>
      <c r="B484" s="532"/>
      <c r="C484" s="532"/>
      <c r="D484" s="532"/>
      <c r="E484" s="532"/>
      <c r="F484" s="532"/>
      <c r="G484" s="532"/>
      <c r="H484" s="532"/>
      <c r="I484" s="532"/>
      <c r="J484" s="532"/>
      <c r="K484" s="532"/>
      <c r="L484" s="532"/>
      <c r="M484" s="532"/>
      <c r="N484" s="532"/>
      <c r="O484" s="532"/>
      <c r="P484" s="532"/>
      <c r="Q484" s="532"/>
    </row>
    <row r="485">
      <c r="A485" s="1451"/>
      <c r="B485" s="532"/>
      <c r="C485" s="532"/>
      <c r="D485" s="532"/>
      <c r="E485" s="532"/>
      <c r="F485" s="532"/>
      <c r="G485" s="532"/>
      <c r="H485" s="532"/>
      <c r="I485" s="532"/>
      <c r="J485" s="532"/>
      <c r="K485" s="532"/>
      <c r="L485" s="532"/>
      <c r="M485" s="532"/>
      <c r="N485" s="532"/>
      <c r="O485" s="532"/>
      <c r="P485" s="532"/>
      <c r="Q485" s="532"/>
    </row>
    <row r="486">
      <c r="A486" s="1451"/>
      <c r="B486" s="532"/>
      <c r="C486" s="532"/>
      <c r="D486" s="532"/>
      <c r="E486" s="532"/>
      <c r="F486" s="532"/>
      <c r="G486" s="532"/>
      <c r="H486" s="532"/>
      <c r="I486" s="532"/>
      <c r="J486" s="532"/>
      <c r="K486" s="532"/>
      <c r="L486" s="532"/>
      <c r="M486" s="532"/>
      <c r="N486" s="532"/>
      <c r="O486" s="532"/>
      <c r="P486" s="532"/>
      <c r="Q486" s="532"/>
    </row>
    <row r="487">
      <c r="A487" s="1451"/>
      <c r="B487" s="532"/>
      <c r="C487" s="532"/>
      <c r="D487" s="532"/>
      <c r="E487" s="532"/>
      <c r="F487" s="532"/>
      <c r="G487" s="532"/>
      <c r="H487" s="532"/>
      <c r="I487" s="532"/>
      <c r="J487" s="532"/>
      <c r="K487" s="532"/>
      <c r="L487" s="532"/>
      <c r="M487" s="532"/>
      <c r="N487" s="532"/>
      <c r="O487" s="532"/>
      <c r="P487" s="532"/>
      <c r="Q487" s="532"/>
    </row>
    <row r="488">
      <c r="A488" s="1451"/>
      <c r="B488" s="532"/>
      <c r="C488" s="532"/>
      <c r="D488" s="532"/>
      <c r="E488" s="532"/>
      <c r="F488" s="532"/>
      <c r="G488" s="532"/>
      <c r="H488" s="532"/>
      <c r="I488" s="532"/>
      <c r="J488" s="532"/>
      <c r="K488" s="532"/>
      <c r="L488" s="532"/>
      <c r="M488" s="532"/>
      <c r="N488" s="532"/>
      <c r="O488" s="532"/>
      <c r="P488" s="532"/>
      <c r="Q488" s="532"/>
    </row>
    <row r="489">
      <c r="A489" s="1451"/>
      <c r="B489" s="532"/>
      <c r="C489" s="532"/>
      <c r="D489" s="532"/>
      <c r="E489" s="532"/>
      <c r="F489" s="532"/>
      <c r="G489" s="532"/>
      <c r="H489" s="532"/>
      <c r="I489" s="532"/>
      <c r="J489" s="532"/>
      <c r="K489" s="532"/>
      <c r="L489" s="532"/>
      <c r="M489" s="532"/>
      <c r="N489" s="532"/>
      <c r="O489" s="532"/>
      <c r="P489" s="532"/>
      <c r="Q489" s="532"/>
    </row>
    <row r="490">
      <c r="A490" s="1451"/>
      <c r="B490" s="532"/>
      <c r="C490" s="532"/>
      <c r="D490" s="532"/>
      <c r="E490" s="532"/>
      <c r="F490" s="532"/>
      <c r="G490" s="532"/>
      <c r="H490" s="532"/>
      <c r="I490" s="532"/>
      <c r="J490" s="532"/>
      <c r="K490" s="532"/>
      <c r="L490" s="532"/>
      <c r="M490" s="532"/>
      <c r="N490" s="532"/>
      <c r="O490" s="532"/>
      <c r="P490" s="532"/>
      <c r="Q490" s="532"/>
    </row>
    <row r="491">
      <c r="A491" s="1451"/>
      <c r="B491" s="532"/>
      <c r="C491" s="532"/>
      <c r="D491" s="532"/>
      <c r="E491" s="532"/>
      <c r="F491" s="532"/>
      <c r="G491" s="532"/>
      <c r="H491" s="532"/>
      <c r="I491" s="532"/>
      <c r="J491" s="532"/>
      <c r="K491" s="532"/>
      <c r="L491" s="532"/>
      <c r="M491" s="532"/>
      <c r="N491" s="532"/>
      <c r="O491" s="532"/>
      <c r="P491" s="532"/>
      <c r="Q491" s="532"/>
    </row>
    <row r="492">
      <c r="A492" s="1451"/>
      <c r="B492" s="532"/>
      <c r="C492" s="532"/>
      <c r="D492" s="532"/>
      <c r="E492" s="532"/>
      <c r="F492" s="532"/>
      <c r="G492" s="532"/>
      <c r="H492" s="532"/>
      <c r="I492" s="532"/>
      <c r="J492" s="532"/>
      <c r="K492" s="532"/>
      <c r="L492" s="532"/>
      <c r="M492" s="532"/>
      <c r="N492" s="532"/>
      <c r="O492" s="532"/>
      <c r="P492" s="532"/>
      <c r="Q492" s="532"/>
    </row>
    <row r="493">
      <c r="A493" s="1451"/>
      <c r="B493" s="532"/>
      <c r="C493" s="532"/>
      <c r="D493" s="532"/>
      <c r="E493" s="532"/>
      <c r="F493" s="532"/>
      <c r="G493" s="532"/>
      <c r="H493" s="532"/>
      <c r="I493" s="532"/>
      <c r="J493" s="532"/>
      <c r="K493" s="532"/>
      <c r="L493" s="532"/>
      <c r="M493" s="532"/>
      <c r="N493" s="532"/>
      <c r="O493" s="532"/>
      <c r="P493" s="532"/>
      <c r="Q493" s="532"/>
    </row>
    <row r="494">
      <c r="A494" s="1451"/>
      <c r="B494" s="532"/>
      <c r="C494" s="532"/>
      <c r="D494" s="532"/>
      <c r="E494" s="532"/>
      <c r="F494" s="532"/>
      <c r="G494" s="532"/>
      <c r="H494" s="532"/>
      <c r="I494" s="532"/>
      <c r="J494" s="532"/>
      <c r="K494" s="532"/>
      <c r="L494" s="532"/>
      <c r="M494" s="532"/>
      <c r="N494" s="532"/>
      <c r="O494" s="532"/>
      <c r="P494" s="532"/>
      <c r="Q494" s="532"/>
    </row>
    <row r="495">
      <c r="A495" s="1451"/>
      <c r="B495" s="532"/>
      <c r="C495" s="532"/>
      <c r="D495" s="532"/>
      <c r="E495" s="532"/>
      <c r="F495" s="532"/>
      <c r="G495" s="532"/>
      <c r="H495" s="532"/>
      <c r="I495" s="532"/>
      <c r="J495" s="532"/>
      <c r="K495" s="532"/>
      <c r="L495" s="532"/>
      <c r="M495" s="532"/>
      <c r="N495" s="532"/>
      <c r="O495" s="532"/>
      <c r="P495" s="532"/>
      <c r="Q495" s="532"/>
    </row>
    <row r="496">
      <c r="A496" s="1451"/>
      <c r="B496" s="532"/>
      <c r="C496" s="532"/>
      <c r="D496" s="532"/>
      <c r="E496" s="532"/>
      <c r="F496" s="532"/>
      <c r="G496" s="532"/>
      <c r="H496" s="532"/>
      <c r="I496" s="532"/>
      <c r="J496" s="532"/>
      <c r="K496" s="532"/>
      <c r="L496" s="532"/>
      <c r="M496" s="532"/>
      <c r="N496" s="532"/>
      <c r="O496" s="532"/>
      <c r="P496" s="532"/>
      <c r="Q496" s="532"/>
    </row>
    <row r="497">
      <c r="A497" s="1451"/>
      <c r="B497" s="532"/>
      <c r="C497" s="532"/>
      <c r="D497" s="532"/>
      <c r="E497" s="532"/>
      <c r="F497" s="532"/>
      <c r="G497" s="532"/>
      <c r="H497" s="532"/>
      <c r="I497" s="532"/>
      <c r="J497" s="532"/>
      <c r="K497" s="532"/>
      <c r="L497" s="532"/>
      <c r="M497" s="532"/>
      <c r="N497" s="532"/>
      <c r="O497" s="532"/>
      <c r="P497" s="532"/>
      <c r="Q497" s="532"/>
    </row>
    <row r="498">
      <c r="A498" s="1451"/>
      <c r="B498" s="532"/>
      <c r="C498" s="532"/>
      <c r="D498" s="532"/>
      <c r="E498" s="532"/>
      <c r="F498" s="532"/>
      <c r="G498" s="532"/>
      <c r="H498" s="532"/>
      <c r="I498" s="532"/>
      <c r="J498" s="532"/>
      <c r="K498" s="532"/>
      <c r="L498" s="532"/>
      <c r="M498" s="532"/>
      <c r="N498" s="532"/>
      <c r="O498" s="532"/>
      <c r="P498" s="532"/>
      <c r="Q498" s="532"/>
    </row>
    <row r="499">
      <c r="A499" s="1451"/>
      <c r="B499" s="532"/>
      <c r="C499" s="532"/>
      <c r="D499" s="532"/>
      <c r="E499" s="532"/>
      <c r="F499" s="532"/>
      <c r="G499" s="532"/>
      <c r="H499" s="532"/>
      <c r="I499" s="532"/>
      <c r="J499" s="532"/>
      <c r="K499" s="532"/>
      <c r="L499" s="532"/>
      <c r="M499" s="532"/>
      <c r="N499" s="532"/>
      <c r="O499" s="532"/>
      <c r="P499" s="532"/>
      <c r="Q499" s="532"/>
    </row>
    <row r="500">
      <c r="A500" s="1451"/>
      <c r="B500" s="532"/>
      <c r="C500" s="532"/>
      <c r="D500" s="532"/>
      <c r="E500" s="532"/>
      <c r="F500" s="532"/>
      <c r="G500" s="532"/>
      <c r="H500" s="532"/>
      <c r="I500" s="532"/>
      <c r="J500" s="532"/>
      <c r="K500" s="532"/>
      <c r="L500" s="532"/>
      <c r="M500" s="532"/>
      <c r="N500" s="532"/>
      <c r="O500" s="532"/>
      <c r="P500" s="532"/>
      <c r="Q500" s="532"/>
    </row>
    <row r="501">
      <c r="A501" s="1451"/>
      <c r="B501" s="532"/>
      <c r="C501" s="532"/>
      <c r="D501" s="532"/>
      <c r="E501" s="532"/>
      <c r="F501" s="532"/>
      <c r="G501" s="532"/>
      <c r="H501" s="532"/>
      <c r="I501" s="532"/>
      <c r="J501" s="532"/>
      <c r="K501" s="532"/>
      <c r="L501" s="532"/>
      <c r="M501" s="532"/>
      <c r="N501" s="532"/>
      <c r="O501" s="532"/>
      <c r="P501" s="532"/>
      <c r="Q501" s="532"/>
    </row>
    <row r="502">
      <c r="A502" s="1451"/>
      <c r="B502" s="532"/>
      <c r="C502" s="532"/>
      <c r="D502" s="532"/>
      <c r="E502" s="532"/>
      <c r="F502" s="532"/>
      <c r="G502" s="532"/>
      <c r="H502" s="532"/>
      <c r="I502" s="532"/>
      <c r="J502" s="532"/>
      <c r="K502" s="532"/>
      <c r="L502" s="532"/>
      <c r="M502" s="532"/>
      <c r="N502" s="532"/>
      <c r="O502" s="532"/>
      <c r="P502" s="532"/>
      <c r="Q502" s="532"/>
    </row>
    <row r="503">
      <c r="A503" s="1451"/>
      <c r="B503" s="532"/>
      <c r="C503" s="532"/>
      <c r="D503" s="532"/>
      <c r="E503" s="532"/>
      <c r="F503" s="532"/>
      <c r="G503" s="532"/>
      <c r="H503" s="532"/>
      <c r="I503" s="532"/>
      <c r="J503" s="532"/>
      <c r="K503" s="532"/>
      <c r="L503" s="532"/>
      <c r="M503" s="532"/>
      <c r="N503" s="532"/>
      <c r="O503" s="532"/>
      <c r="P503" s="532"/>
      <c r="Q503" s="532"/>
    </row>
    <row r="504">
      <c r="A504" s="1451"/>
      <c r="B504" s="532"/>
      <c r="C504" s="532"/>
      <c r="D504" s="532"/>
      <c r="E504" s="532"/>
      <c r="F504" s="532"/>
      <c r="G504" s="532"/>
      <c r="H504" s="532"/>
      <c r="I504" s="532"/>
      <c r="J504" s="532"/>
      <c r="K504" s="532"/>
      <c r="L504" s="532"/>
      <c r="M504" s="532"/>
      <c r="N504" s="532"/>
      <c r="O504" s="532"/>
      <c r="P504" s="532"/>
      <c r="Q504" s="532"/>
    </row>
    <row r="505">
      <c r="A505" s="1451"/>
      <c r="B505" s="532"/>
      <c r="C505" s="532"/>
      <c r="D505" s="532"/>
      <c r="E505" s="532"/>
      <c r="F505" s="532"/>
      <c r="G505" s="532"/>
      <c r="H505" s="532"/>
      <c r="I505" s="532"/>
      <c r="J505" s="532"/>
      <c r="K505" s="532"/>
      <c r="L505" s="532"/>
      <c r="M505" s="532"/>
      <c r="N505" s="532"/>
      <c r="O505" s="532"/>
      <c r="P505" s="532"/>
      <c r="Q505" s="532"/>
    </row>
    <row r="506">
      <c r="A506" s="1451"/>
      <c r="B506" s="532"/>
      <c r="C506" s="532"/>
      <c r="D506" s="532"/>
      <c r="E506" s="532"/>
      <c r="F506" s="532"/>
      <c r="G506" s="532"/>
      <c r="H506" s="532"/>
      <c r="I506" s="532"/>
      <c r="J506" s="532"/>
      <c r="K506" s="532"/>
      <c r="L506" s="532"/>
      <c r="M506" s="532"/>
      <c r="N506" s="532"/>
      <c r="O506" s="532"/>
      <c r="P506" s="532"/>
      <c r="Q506" s="532"/>
    </row>
    <row r="507">
      <c r="A507" s="1451"/>
      <c r="B507" s="532"/>
      <c r="C507" s="532"/>
      <c r="D507" s="532"/>
      <c r="E507" s="532"/>
      <c r="F507" s="532"/>
      <c r="G507" s="532"/>
      <c r="H507" s="532"/>
      <c r="I507" s="532"/>
      <c r="J507" s="532"/>
      <c r="K507" s="532"/>
      <c r="L507" s="532"/>
      <c r="M507" s="532"/>
      <c r="N507" s="532"/>
      <c r="O507" s="532"/>
      <c r="P507" s="532"/>
      <c r="Q507" s="532"/>
    </row>
    <row r="508">
      <c r="A508" s="1451"/>
      <c r="B508" s="532"/>
      <c r="C508" s="532"/>
      <c r="D508" s="532"/>
      <c r="E508" s="532"/>
      <c r="F508" s="532"/>
      <c r="G508" s="532"/>
      <c r="H508" s="532"/>
      <c r="I508" s="532"/>
      <c r="J508" s="532"/>
      <c r="K508" s="532"/>
      <c r="L508" s="532"/>
      <c r="M508" s="532"/>
      <c r="N508" s="532"/>
      <c r="O508" s="532"/>
      <c r="P508" s="532"/>
      <c r="Q508" s="532"/>
    </row>
    <row r="509">
      <c r="A509" s="1451"/>
      <c r="B509" s="532"/>
      <c r="C509" s="532"/>
      <c r="D509" s="532"/>
      <c r="E509" s="532"/>
      <c r="F509" s="532"/>
      <c r="G509" s="532"/>
      <c r="H509" s="532"/>
      <c r="I509" s="532"/>
      <c r="J509" s="532"/>
      <c r="K509" s="532"/>
      <c r="L509" s="532"/>
      <c r="M509" s="532"/>
      <c r="N509" s="532"/>
      <c r="O509" s="532"/>
      <c r="P509" s="532"/>
      <c r="Q509" s="532"/>
    </row>
    <row r="510">
      <c r="A510" s="1451"/>
      <c r="B510" s="532"/>
      <c r="C510" s="532"/>
      <c r="D510" s="532"/>
      <c r="E510" s="532"/>
      <c r="F510" s="532"/>
      <c r="G510" s="532"/>
      <c r="H510" s="532"/>
      <c r="I510" s="532"/>
      <c r="J510" s="532"/>
      <c r="K510" s="532"/>
      <c r="L510" s="532"/>
      <c r="M510" s="532"/>
      <c r="N510" s="532"/>
      <c r="O510" s="532"/>
      <c r="P510" s="532"/>
      <c r="Q510" s="532"/>
    </row>
    <row r="511">
      <c r="A511" s="1451"/>
      <c r="B511" s="532"/>
      <c r="C511" s="532"/>
      <c r="D511" s="532"/>
      <c r="E511" s="532"/>
      <c r="F511" s="532"/>
      <c r="G511" s="532"/>
      <c r="H511" s="532"/>
      <c r="I511" s="532"/>
      <c r="J511" s="532"/>
      <c r="K511" s="532"/>
      <c r="L511" s="532"/>
      <c r="M511" s="532"/>
      <c r="N511" s="532"/>
      <c r="O511" s="532"/>
      <c r="P511" s="532"/>
      <c r="Q511" s="532"/>
    </row>
    <row r="512">
      <c r="A512" s="1451"/>
      <c r="B512" s="532"/>
      <c r="C512" s="532"/>
      <c r="D512" s="532"/>
      <c r="E512" s="532"/>
      <c r="F512" s="532"/>
      <c r="G512" s="532"/>
      <c r="H512" s="532"/>
      <c r="I512" s="532"/>
      <c r="J512" s="532"/>
      <c r="K512" s="532"/>
      <c r="L512" s="532"/>
      <c r="M512" s="532"/>
      <c r="N512" s="532"/>
      <c r="O512" s="532"/>
      <c r="P512" s="532"/>
      <c r="Q512" s="532"/>
    </row>
    <row r="513">
      <c r="A513" s="1451"/>
      <c r="B513" s="532"/>
      <c r="C513" s="532"/>
      <c r="D513" s="532"/>
      <c r="E513" s="532"/>
      <c r="F513" s="532"/>
      <c r="G513" s="532"/>
      <c r="H513" s="532"/>
      <c r="I513" s="532"/>
      <c r="J513" s="532"/>
      <c r="K513" s="532"/>
      <c r="L513" s="532"/>
      <c r="M513" s="532"/>
      <c r="N513" s="532"/>
      <c r="O513" s="532"/>
      <c r="P513" s="532"/>
      <c r="Q513" s="532"/>
    </row>
    <row r="514">
      <c r="A514" s="1451"/>
      <c r="B514" s="532"/>
      <c r="C514" s="532"/>
      <c r="D514" s="532"/>
      <c r="E514" s="532"/>
      <c r="F514" s="532"/>
      <c r="G514" s="532"/>
      <c r="H514" s="532"/>
      <c r="I514" s="532"/>
      <c r="J514" s="532"/>
      <c r="K514" s="532"/>
      <c r="L514" s="532"/>
      <c r="M514" s="532"/>
      <c r="N514" s="532"/>
      <c r="O514" s="532"/>
      <c r="P514" s="532"/>
      <c r="Q514" s="532"/>
    </row>
    <row r="515">
      <c r="A515" s="1451"/>
      <c r="B515" s="532"/>
      <c r="C515" s="532"/>
      <c r="D515" s="532"/>
      <c r="E515" s="532"/>
      <c r="F515" s="532"/>
      <c r="G515" s="532"/>
      <c r="H515" s="532"/>
      <c r="I515" s="532"/>
      <c r="J515" s="532"/>
      <c r="K515" s="532"/>
      <c r="L515" s="532"/>
      <c r="M515" s="532"/>
      <c r="N515" s="532"/>
      <c r="O515" s="532"/>
      <c r="P515" s="532"/>
      <c r="Q515" s="532"/>
    </row>
    <row r="516">
      <c r="A516" s="1451"/>
      <c r="B516" s="532"/>
      <c r="C516" s="532"/>
      <c r="D516" s="532"/>
      <c r="E516" s="532"/>
      <c r="F516" s="532"/>
      <c r="G516" s="532"/>
      <c r="H516" s="532"/>
      <c r="I516" s="532"/>
      <c r="J516" s="532"/>
      <c r="K516" s="532"/>
      <c r="L516" s="532"/>
      <c r="M516" s="532"/>
      <c r="N516" s="532"/>
      <c r="O516" s="532"/>
      <c r="P516" s="532"/>
      <c r="Q516" s="532"/>
    </row>
    <row r="517">
      <c r="A517" s="1451"/>
      <c r="B517" s="532"/>
      <c r="C517" s="532"/>
      <c r="D517" s="532"/>
      <c r="E517" s="532"/>
      <c r="F517" s="532"/>
      <c r="G517" s="532"/>
      <c r="H517" s="532"/>
      <c r="I517" s="532"/>
      <c r="J517" s="532"/>
      <c r="K517" s="532"/>
      <c r="L517" s="532"/>
      <c r="M517" s="532"/>
      <c r="N517" s="532"/>
      <c r="O517" s="532"/>
      <c r="P517" s="532"/>
      <c r="Q517" s="532"/>
    </row>
    <row r="518">
      <c r="A518" s="1451"/>
      <c r="B518" s="532"/>
      <c r="C518" s="532"/>
      <c r="D518" s="532"/>
      <c r="E518" s="532"/>
      <c r="F518" s="532"/>
      <c r="G518" s="532"/>
      <c r="H518" s="532"/>
      <c r="I518" s="532"/>
      <c r="J518" s="532"/>
      <c r="K518" s="532"/>
      <c r="L518" s="532"/>
      <c r="M518" s="532"/>
      <c r="N518" s="532"/>
      <c r="O518" s="532"/>
      <c r="P518" s="532"/>
      <c r="Q518" s="532"/>
    </row>
    <row r="519">
      <c r="A519" s="1451"/>
      <c r="B519" s="532"/>
      <c r="C519" s="532"/>
      <c r="D519" s="532"/>
      <c r="E519" s="532"/>
      <c r="F519" s="532"/>
      <c r="G519" s="532"/>
      <c r="H519" s="532"/>
      <c r="I519" s="532"/>
      <c r="J519" s="532"/>
      <c r="K519" s="532"/>
      <c r="L519" s="532"/>
      <c r="M519" s="532"/>
      <c r="N519" s="532"/>
      <c r="O519" s="532"/>
      <c r="P519" s="532"/>
      <c r="Q519" s="532"/>
    </row>
    <row r="520">
      <c r="A520" s="1451"/>
      <c r="B520" s="532"/>
      <c r="C520" s="532"/>
      <c r="D520" s="532"/>
      <c r="E520" s="532"/>
      <c r="F520" s="532"/>
      <c r="G520" s="532"/>
      <c r="H520" s="532"/>
      <c r="I520" s="532"/>
      <c r="J520" s="532"/>
      <c r="K520" s="532"/>
      <c r="L520" s="532"/>
      <c r="M520" s="532"/>
      <c r="N520" s="532"/>
      <c r="O520" s="532"/>
      <c r="P520" s="532"/>
      <c r="Q520" s="532"/>
    </row>
    <row r="521">
      <c r="A521" s="1451"/>
      <c r="B521" s="532"/>
      <c r="C521" s="532"/>
      <c r="D521" s="532"/>
      <c r="E521" s="532"/>
      <c r="F521" s="532"/>
      <c r="G521" s="532"/>
      <c r="H521" s="532"/>
      <c r="I521" s="532"/>
      <c r="J521" s="532"/>
      <c r="K521" s="532"/>
      <c r="L521" s="532"/>
      <c r="M521" s="532"/>
      <c r="N521" s="532"/>
      <c r="O521" s="532"/>
      <c r="P521" s="532"/>
      <c r="Q521" s="532"/>
    </row>
    <row r="522">
      <c r="A522" s="1451"/>
      <c r="B522" s="532"/>
      <c r="C522" s="532"/>
      <c r="D522" s="532"/>
      <c r="E522" s="532"/>
      <c r="F522" s="532"/>
      <c r="G522" s="532"/>
      <c r="H522" s="532"/>
      <c r="I522" s="532"/>
      <c r="J522" s="532"/>
      <c r="K522" s="532"/>
      <c r="L522" s="532"/>
      <c r="M522" s="532"/>
      <c r="N522" s="532"/>
      <c r="O522" s="532"/>
      <c r="P522" s="532"/>
      <c r="Q522" s="532"/>
    </row>
    <row r="523">
      <c r="A523" s="1451"/>
      <c r="B523" s="532"/>
      <c r="C523" s="532"/>
      <c r="D523" s="532"/>
      <c r="E523" s="532"/>
      <c r="F523" s="532"/>
      <c r="G523" s="532"/>
      <c r="H523" s="532"/>
      <c r="I523" s="532"/>
      <c r="J523" s="532"/>
      <c r="K523" s="532"/>
      <c r="L523" s="532"/>
      <c r="M523" s="532"/>
      <c r="N523" s="532"/>
      <c r="O523" s="532"/>
      <c r="P523" s="532"/>
      <c r="Q523" s="532"/>
    </row>
    <row r="524">
      <c r="A524" s="1451"/>
      <c r="B524" s="532"/>
      <c r="C524" s="532"/>
      <c r="D524" s="532"/>
      <c r="E524" s="532"/>
      <c r="F524" s="532"/>
      <c r="G524" s="532"/>
      <c r="H524" s="532"/>
      <c r="I524" s="532"/>
      <c r="J524" s="532"/>
      <c r="K524" s="532"/>
      <c r="L524" s="532"/>
      <c r="M524" s="532"/>
      <c r="N524" s="532"/>
      <c r="O524" s="532"/>
      <c r="P524" s="532"/>
      <c r="Q524" s="532"/>
    </row>
    <row r="525">
      <c r="A525" s="1451"/>
      <c r="B525" s="532"/>
      <c r="C525" s="532"/>
      <c r="D525" s="532"/>
      <c r="E525" s="532"/>
      <c r="F525" s="532"/>
      <c r="G525" s="532"/>
      <c r="H525" s="532"/>
      <c r="I525" s="532"/>
      <c r="J525" s="532"/>
      <c r="K525" s="532"/>
      <c r="L525" s="532"/>
      <c r="M525" s="532"/>
      <c r="N525" s="532"/>
      <c r="O525" s="532"/>
      <c r="P525" s="532"/>
      <c r="Q525" s="532"/>
    </row>
    <row r="526">
      <c r="A526" s="1451"/>
      <c r="B526" s="532"/>
      <c r="C526" s="532"/>
      <c r="D526" s="532"/>
      <c r="E526" s="532"/>
      <c r="F526" s="532"/>
      <c r="G526" s="532"/>
      <c r="H526" s="532"/>
      <c r="I526" s="532"/>
      <c r="J526" s="532"/>
      <c r="K526" s="532"/>
      <c r="L526" s="532"/>
      <c r="M526" s="532"/>
      <c r="N526" s="532"/>
      <c r="O526" s="532"/>
      <c r="P526" s="532"/>
      <c r="Q526" s="532"/>
    </row>
    <row r="527">
      <c r="A527" s="1451"/>
      <c r="B527" s="532"/>
      <c r="C527" s="532"/>
      <c r="D527" s="532"/>
      <c r="E527" s="532"/>
      <c r="F527" s="532"/>
      <c r="G527" s="532"/>
      <c r="H527" s="532"/>
      <c r="I527" s="532"/>
      <c r="J527" s="532"/>
      <c r="K527" s="532"/>
      <c r="L527" s="532"/>
      <c r="M527" s="532"/>
      <c r="N527" s="532"/>
      <c r="O527" s="532"/>
      <c r="P527" s="532"/>
      <c r="Q527" s="532"/>
    </row>
    <row r="528">
      <c r="A528" s="1451"/>
      <c r="B528" s="532"/>
      <c r="C528" s="532"/>
      <c r="D528" s="532"/>
      <c r="E528" s="532"/>
      <c r="F528" s="532"/>
      <c r="G528" s="532"/>
      <c r="H528" s="532"/>
      <c r="I528" s="532"/>
      <c r="J528" s="532"/>
      <c r="K528" s="532"/>
      <c r="L528" s="532"/>
      <c r="M528" s="532"/>
      <c r="N528" s="532"/>
      <c r="O528" s="532"/>
      <c r="P528" s="532"/>
      <c r="Q528" s="532"/>
    </row>
    <row r="529">
      <c r="A529" s="1451"/>
      <c r="B529" s="532"/>
      <c r="C529" s="532"/>
      <c r="D529" s="532"/>
      <c r="E529" s="532"/>
      <c r="F529" s="532"/>
      <c r="G529" s="532"/>
      <c r="H529" s="532"/>
      <c r="I529" s="532"/>
      <c r="J529" s="532"/>
      <c r="K529" s="532"/>
      <c r="L529" s="532"/>
      <c r="M529" s="532"/>
      <c r="N529" s="532"/>
      <c r="O529" s="532"/>
      <c r="P529" s="532"/>
      <c r="Q529" s="532"/>
    </row>
    <row r="530">
      <c r="A530" s="1451"/>
      <c r="B530" s="532"/>
      <c r="C530" s="532"/>
      <c r="D530" s="532"/>
      <c r="E530" s="532"/>
      <c r="F530" s="532"/>
      <c r="G530" s="532"/>
      <c r="H530" s="532"/>
      <c r="I530" s="532"/>
      <c r="J530" s="532"/>
      <c r="K530" s="532"/>
      <c r="L530" s="532"/>
      <c r="M530" s="532"/>
      <c r="N530" s="532"/>
      <c r="O530" s="532"/>
      <c r="P530" s="532"/>
      <c r="Q530" s="532"/>
    </row>
    <row r="531">
      <c r="A531" s="1451"/>
      <c r="B531" s="532"/>
      <c r="C531" s="532"/>
      <c r="D531" s="532"/>
      <c r="E531" s="532"/>
      <c r="F531" s="532"/>
      <c r="G531" s="532"/>
      <c r="H531" s="532"/>
      <c r="I531" s="532"/>
      <c r="J531" s="532"/>
      <c r="K531" s="532"/>
      <c r="L531" s="532"/>
      <c r="M531" s="532"/>
      <c r="N531" s="532"/>
      <c r="O531" s="532"/>
      <c r="P531" s="532"/>
      <c r="Q531" s="532"/>
    </row>
    <row r="532">
      <c r="A532" s="1451"/>
      <c r="B532" s="532"/>
      <c r="C532" s="532"/>
      <c r="D532" s="532"/>
      <c r="E532" s="532"/>
      <c r="F532" s="532"/>
      <c r="G532" s="532"/>
      <c r="H532" s="532"/>
      <c r="I532" s="532"/>
      <c r="J532" s="532"/>
      <c r="K532" s="532"/>
      <c r="L532" s="532"/>
      <c r="M532" s="532"/>
      <c r="N532" s="532"/>
      <c r="O532" s="532"/>
      <c r="P532" s="532"/>
      <c r="Q532" s="532"/>
    </row>
    <row r="533">
      <c r="A533" s="1451"/>
      <c r="B533" s="532"/>
      <c r="C533" s="532"/>
      <c r="D533" s="532"/>
      <c r="E533" s="532"/>
      <c r="F533" s="532"/>
      <c r="G533" s="532"/>
      <c r="H533" s="532"/>
      <c r="I533" s="532"/>
      <c r="J533" s="532"/>
      <c r="K533" s="532"/>
      <c r="L533" s="532"/>
      <c r="M533" s="532"/>
      <c r="N533" s="532"/>
      <c r="O533" s="532"/>
      <c r="P533" s="532"/>
      <c r="Q533" s="532"/>
    </row>
    <row r="534">
      <c r="A534" s="1451"/>
      <c r="B534" s="532"/>
      <c r="C534" s="532"/>
      <c r="D534" s="532"/>
      <c r="E534" s="532"/>
      <c r="F534" s="532"/>
      <c r="G534" s="532"/>
      <c r="H534" s="532"/>
      <c r="I534" s="532"/>
      <c r="J534" s="532"/>
      <c r="K534" s="532"/>
      <c r="L534" s="532"/>
      <c r="M534" s="532"/>
      <c r="N534" s="532"/>
      <c r="O534" s="532"/>
      <c r="P534" s="532"/>
      <c r="Q534" s="532"/>
    </row>
    <row r="535">
      <c r="A535" s="1451"/>
      <c r="B535" s="532"/>
      <c r="C535" s="532"/>
      <c r="D535" s="532"/>
      <c r="E535" s="532"/>
      <c r="F535" s="532"/>
      <c r="G535" s="532"/>
      <c r="H535" s="532"/>
      <c r="I535" s="532"/>
      <c r="J535" s="532"/>
      <c r="K535" s="532"/>
      <c r="L535" s="532"/>
      <c r="M535" s="532"/>
      <c r="N535" s="532"/>
      <c r="O535" s="532"/>
      <c r="P535" s="532"/>
      <c r="Q535" s="532"/>
    </row>
    <row r="536">
      <c r="A536" s="1451"/>
      <c r="B536" s="532"/>
      <c r="C536" s="532"/>
      <c r="D536" s="532"/>
      <c r="E536" s="532"/>
      <c r="F536" s="532"/>
      <c r="G536" s="532"/>
      <c r="H536" s="532"/>
      <c r="I536" s="532"/>
      <c r="J536" s="532"/>
      <c r="K536" s="532"/>
      <c r="L536" s="532"/>
      <c r="M536" s="532"/>
      <c r="N536" s="532"/>
      <c r="O536" s="532"/>
      <c r="P536" s="532"/>
      <c r="Q536" s="532"/>
    </row>
    <row r="537">
      <c r="A537" s="1451"/>
      <c r="B537" s="532"/>
      <c r="C537" s="532"/>
      <c r="D537" s="532"/>
      <c r="E537" s="532"/>
      <c r="F537" s="532"/>
      <c r="G537" s="532"/>
      <c r="H537" s="532"/>
      <c r="I537" s="532"/>
      <c r="J537" s="532"/>
      <c r="K537" s="532"/>
      <c r="L537" s="532"/>
      <c r="M537" s="532"/>
      <c r="N537" s="532"/>
      <c r="O537" s="532"/>
      <c r="P537" s="532"/>
      <c r="Q537" s="532"/>
    </row>
    <row r="538">
      <c r="A538" s="1451"/>
      <c r="B538" s="532"/>
      <c r="C538" s="532"/>
      <c r="D538" s="532"/>
      <c r="E538" s="532"/>
      <c r="F538" s="532"/>
      <c r="G538" s="532"/>
      <c r="H538" s="532"/>
      <c r="I538" s="532"/>
      <c r="J538" s="532"/>
      <c r="K538" s="532"/>
      <c r="L538" s="532"/>
      <c r="M538" s="532"/>
      <c r="N538" s="532"/>
      <c r="O538" s="532"/>
      <c r="P538" s="532"/>
      <c r="Q538" s="532"/>
    </row>
    <row r="539">
      <c r="A539" s="1451"/>
      <c r="B539" s="532"/>
      <c r="C539" s="532"/>
      <c r="D539" s="532"/>
      <c r="E539" s="532"/>
      <c r="F539" s="532"/>
      <c r="G539" s="532"/>
      <c r="H539" s="532"/>
      <c r="I539" s="532"/>
      <c r="J539" s="532"/>
      <c r="K539" s="532"/>
      <c r="L539" s="532"/>
      <c r="M539" s="532"/>
      <c r="N539" s="532"/>
      <c r="O539" s="532"/>
      <c r="P539" s="532"/>
      <c r="Q539" s="532"/>
    </row>
    <row r="540">
      <c r="A540" s="1451"/>
      <c r="B540" s="532"/>
      <c r="C540" s="532"/>
      <c r="D540" s="532"/>
      <c r="E540" s="532"/>
      <c r="F540" s="532"/>
      <c r="G540" s="532"/>
      <c r="H540" s="532"/>
      <c r="I540" s="532"/>
      <c r="J540" s="532"/>
      <c r="K540" s="532"/>
      <c r="L540" s="532"/>
      <c r="M540" s="532"/>
      <c r="N540" s="532"/>
      <c r="O540" s="532"/>
      <c r="P540" s="532"/>
      <c r="Q540" s="532"/>
    </row>
    <row r="541">
      <c r="A541" s="1451"/>
      <c r="B541" s="532"/>
      <c r="C541" s="532"/>
      <c r="D541" s="532"/>
      <c r="E541" s="532"/>
      <c r="F541" s="532"/>
      <c r="G541" s="532"/>
      <c r="H541" s="532"/>
      <c r="I541" s="532"/>
      <c r="J541" s="532"/>
      <c r="K541" s="532"/>
      <c r="L541" s="532"/>
      <c r="M541" s="532"/>
      <c r="N541" s="532"/>
      <c r="O541" s="532"/>
      <c r="P541" s="532"/>
      <c r="Q541" s="532"/>
    </row>
    <row r="542">
      <c r="A542" s="1451"/>
      <c r="B542" s="532"/>
      <c r="C542" s="532"/>
      <c r="D542" s="532"/>
      <c r="E542" s="532"/>
      <c r="F542" s="532"/>
      <c r="G542" s="532"/>
      <c r="H542" s="532"/>
      <c r="I542" s="532"/>
      <c r="J542" s="532"/>
      <c r="K542" s="532"/>
      <c r="L542" s="532"/>
      <c r="M542" s="532"/>
      <c r="N542" s="532"/>
      <c r="O542" s="532"/>
      <c r="P542" s="532"/>
      <c r="Q542" s="532"/>
    </row>
    <row r="543">
      <c r="A543" s="1451"/>
      <c r="B543" s="532"/>
      <c r="C543" s="532"/>
      <c r="D543" s="532"/>
      <c r="E543" s="532"/>
      <c r="F543" s="532"/>
      <c r="G543" s="532"/>
      <c r="H543" s="532"/>
      <c r="I543" s="532"/>
      <c r="J543" s="532"/>
      <c r="K543" s="532"/>
      <c r="L543" s="532"/>
      <c r="M543" s="532"/>
      <c r="N543" s="532"/>
      <c r="O543" s="532"/>
      <c r="P543" s="532"/>
      <c r="Q543" s="532"/>
    </row>
    <row r="544">
      <c r="A544" s="1451"/>
      <c r="B544" s="532"/>
      <c r="C544" s="532"/>
      <c r="D544" s="532"/>
      <c r="E544" s="532"/>
      <c r="F544" s="532"/>
      <c r="G544" s="532"/>
      <c r="H544" s="532"/>
      <c r="I544" s="532"/>
      <c r="J544" s="532"/>
      <c r="K544" s="532"/>
      <c r="L544" s="532"/>
      <c r="M544" s="532"/>
      <c r="N544" s="532"/>
      <c r="O544" s="532"/>
      <c r="P544" s="532"/>
      <c r="Q544" s="532"/>
    </row>
    <row r="545">
      <c r="A545" s="1451"/>
      <c r="B545" s="532"/>
      <c r="C545" s="532"/>
      <c r="D545" s="532"/>
      <c r="E545" s="532"/>
      <c r="F545" s="532"/>
      <c r="G545" s="532"/>
      <c r="H545" s="532"/>
      <c r="I545" s="532"/>
      <c r="J545" s="532"/>
      <c r="K545" s="532"/>
      <c r="L545" s="532"/>
      <c r="M545" s="532"/>
      <c r="N545" s="532"/>
      <c r="O545" s="532"/>
      <c r="P545" s="532"/>
      <c r="Q545" s="532"/>
    </row>
    <row r="546">
      <c r="A546" s="1451"/>
      <c r="B546" s="532"/>
      <c r="C546" s="532"/>
      <c r="D546" s="532"/>
      <c r="E546" s="532"/>
      <c r="F546" s="532"/>
      <c r="G546" s="532"/>
      <c r="H546" s="532"/>
      <c r="I546" s="532"/>
      <c r="J546" s="532"/>
      <c r="K546" s="532"/>
      <c r="L546" s="532"/>
      <c r="M546" s="532"/>
      <c r="N546" s="532"/>
      <c r="O546" s="532"/>
      <c r="P546" s="532"/>
      <c r="Q546" s="532"/>
    </row>
    <row r="547">
      <c r="A547" s="1451"/>
      <c r="B547" s="532"/>
      <c r="C547" s="532"/>
      <c r="D547" s="532"/>
      <c r="E547" s="532"/>
      <c r="F547" s="532"/>
      <c r="G547" s="532"/>
      <c r="H547" s="532"/>
      <c r="I547" s="532"/>
      <c r="J547" s="532"/>
      <c r="K547" s="532"/>
      <c r="L547" s="532"/>
      <c r="M547" s="532"/>
      <c r="N547" s="532"/>
      <c r="O547" s="532"/>
      <c r="P547" s="532"/>
      <c r="Q547" s="532"/>
    </row>
    <row r="548">
      <c r="A548" s="1451"/>
      <c r="B548" s="532"/>
      <c r="C548" s="532"/>
      <c r="D548" s="532"/>
      <c r="E548" s="532"/>
      <c r="F548" s="532"/>
      <c r="G548" s="532"/>
      <c r="H548" s="532"/>
      <c r="I548" s="532"/>
      <c r="J548" s="532"/>
      <c r="K548" s="532"/>
      <c r="L548" s="532"/>
      <c r="M548" s="532"/>
      <c r="N548" s="532"/>
      <c r="O548" s="532"/>
      <c r="P548" s="532"/>
      <c r="Q548" s="532"/>
    </row>
    <row r="549">
      <c r="A549" s="1451"/>
      <c r="B549" s="532"/>
      <c r="C549" s="532"/>
      <c r="D549" s="532"/>
      <c r="E549" s="532"/>
      <c r="F549" s="532"/>
      <c r="G549" s="532"/>
      <c r="H549" s="532"/>
      <c r="I549" s="532"/>
      <c r="J549" s="532"/>
      <c r="K549" s="532"/>
      <c r="L549" s="532"/>
      <c r="M549" s="532"/>
      <c r="N549" s="532"/>
      <c r="O549" s="532"/>
      <c r="P549" s="532"/>
      <c r="Q549" s="532"/>
    </row>
    <row r="550">
      <c r="A550" s="1451"/>
      <c r="B550" s="532"/>
      <c r="C550" s="532"/>
      <c r="D550" s="532"/>
      <c r="E550" s="532"/>
      <c r="F550" s="532"/>
      <c r="G550" s="532"/>
      <c r="H550" s="532"/>
      <c r="I550" s="532"/>
      <c r="J550" s="532"/>
      <c r="K550" s="532"/>
      <c r="L550" s="532"/>
      <c r="M550" s="532"/>
      <c r="N550" s="532"/>
      <c r="O550" s="532"/>
      <c r="P550" s="532"/>
      <c r="Q550" s="532"/>
    </row>
    <row r="551">
      <c r="A551" s="1451"/>
      <c r="B551" s="532"/>
      <c r="C551" s="532"/>
      <c r="D551" s="532"/>
      <c r="E551" s="532"/>
      <c r="F551" s="532"/>
      <c r="G551" s="532"/>
      <c r="H551" s="532"/>
      <c r="I551" s="532"/>
      <c r="J551" s="532"/>
      <c r="K551" s="532"/>
      <c r="L551" s="532"/>
      <c r="M551" s="532"/>
      <c r="N551" s="532"/>
      <c r="O551" s="532"/>
      <c r="P551" s="532"/>
      <c r="Q551" s="532"/>
    </row>
    <row r="552">
      <c r="A552" s="1451"/>
      <c r="B552" s="532"/>
      <c r="C552" s="532"/>
      <c r="D552" s="532"/>
      <c r="E552" s="532"/>
      <c r="F552" s="532"/>
      <c r="G552" s="532"/>
      <c r="H552" s="532"/>
      <c r="I552" s="532"/>
      <c r="J552" s="532"/>
      <c r="K552" s="532"/>
      <c r="L552" s="532"/>
      <c r="M552" s="532"/>
      <c r="N552" s="532"/>
      <c r="O552" s="532"/>
      <c r="P552" s="532"/>
      <c r="Q552" s="532"/>
    </row>
    <row r="553">
      <c r="A553" s="1451"/>
      <c r="B553" s="532"/>
      <c r="C553" s="532"/>
      <c r="D553" s="532"/>
      <c r="E553" s="532"/>
      <c r="F553" s="532"/>
      <c r="G553" s="532"/>
      <c r="H553" s="532"/>
      <c r="I553" s="532"/>
      <c r="J553" s="532"/>
      <c r="K553" s="532"/>
      <c r="L553" s="532"/>
      <c r="M553" s="532"/>
      <c r="N553" s="532"/>
      <c r="O553" s="532"/>
      <c r="P553" s="532"/>
      <c r="Q553" s="532"/>
    </row>
    <row r="554">
      <c r="A554" s="1451"/>
      <c r="B554" s="532"/>
      <c r="C554" s="532"/>
      <c r="D554" s="532"/>
      <c r="E554" s="532"/>
      <c r="F554" s="532"/>
      <c r="G554" s="532"/>
      <c r="H554" s="532"/>
      <c r="I554" s="532"/>
      <c r="J554" s="532"/>
      <c r="K554" s="532"/>
      <c r="L554" s="532"/>
      <c r="M554" s="532"/>
      <c r="N554" s="532"/>
      <c r="O554" s="532"/>
      <c r="P554" s="532"/>
      <c r="Q554" s="532"/>
    </row>
    <row r="555">
      <c r="A555" s="1451"/>
      <c r="B555" s="532"/>
      <c r="C555" s="532"/>
      <c r="D555" s="532"/>
      <c r="E555" s="532"/>
      <c r="F555" s="532"/>
      <c r="G555" s="532"/>
      <c r="H555" s="532"/>
      <c r="I555" s="532"/>
      <c r="J555" s="532"/>
      <c r="K555" s="532"/>
      <c r="L555" s="532"/>
      <c r="M555" s="532"/>
      <c r="N555" s="532"/>
      <c r="O555" s="532"/>
      <c r="P555" s="532"/>
      <c r="Q555" s="532"/>
    </row>
    <row r="556">
      <c r="A556" s="1451"/>
      <c r="B556" s="532"/>
      <c r="C556" s="532"/>
      <c r="D556" s="532"/>
      <c r="E556" s="532"/>
      <c r="F556" s="532"/>
      <c r="G556" s="532"/>
      <c r="H556" s="532"/>
      <c r="I556" s="532"/>
      <c r="J556" s="532"/>
      <c r="K556" s="532"/>
      <c r="L556" s="532"/>
      <c r="M556" s="532"/>
      <c r="N556" s="532"/>
      <c r="O556" s="532"/>
      <c r="P556" s="532"/>
      <c r="Q556" s="532"/>
    </row>
    <row r="557">
      <c r="A557" s="1451"/>
      <c r="B557" s="532"/>
      <c r="C557" s="532"/>
      <c r="D557" s="532"/>
      <c r="E557" s="532"/>
      <c r="F557" s="532"/>
      <c r="G557" s="532"/>
      <c r="H557" s="532"/>
      <c r="I557" s="532"/>
      <c r="J557" s="532"/>
      <c r="K557" s="532"/>
      <c r="L557" s="532"/>
      <c r="M557" s="532"/>
      <c r="N557" s="532"/>
      <c r="O557" s="532"/>
      <c r="P557" s="532"/>
      <c r="Q557" s="532"/>
    </row>
    <row r="558">
      <c r="A558" s="1451"/>
      <c r="B558" s="532"/>
      <c r="C558" s="532"/>
      <c r="D558" s="532"/>
      <c r="E558" s="532"/>
      <c r="F558" s="532"/>
      <c r="G558" s="532"/>
      <c r="H558" s="532"/>
      <c r="I558" s="532"/>
      <c r="J558" s="532"/>
      <c r="K558" s="532"/>
      <c r="L558" s="532"/>
      <c r="M558" s="532"/>
      <c r="N558" s="532"/>
      <c r="O558" s="532"/>
      <c r="P558" s="532"/>
      <c r="Q558" s="532"/>
    </row>
    <row r="559">
      <c r="A559" s="1451"/>
      <c r="B559" s="532"/>
      <c r="C559" s="532"/>
      <c r="D559" s="532"/>
      <c r="E559" s="532"/>
      <c r="F559" s="532"/>
      <c r="G559" s="532"/>
      <c r="H559" s="532"/>
      <c r="I559" s="532"/>
      <c r="J559" s="532"/>
      <c r="K559" s="532"/>
      <c r="L559" s="532"/>
      <c r="M559" s="532"/>
      <c r="N559" s="532"/>
      <c r="O559" s="532"/>
      <c r="P559" s="532"/>
      <c r="Q559" s="532"/>
    </row>
    <row r="560">
      <c r="A560" s="1451"/>
      <c r="B560" s="532"/>
      <c r="C560" s="532"/>
      <c r="D560" s="532"/>
      <c r="E560" s="532"/>
      <c r="F560" s="532"/>
      <c r="G560" s="532"/>
      <c r="H560" s="532"/>
      <c r="I560" s="532"/>
      <c r="J560" s="532"/>
      <c r="K560" s="532"/>
      <c r="L560" s="532"/>
      <c r="M560" s="532"/>
      <c r="N560" s="532"/>
      <c r="O560" s="532"/>
      <c r="P560" s="532"/>
      <c r="Q560" s="532"/>
    </row>
    <row r="561">
      <c r="A561" s="1451"/>
      <c r="B561" s="532"/>
      <c r="C561" s="532"/>
      <c r="D561" s="532"/>
      <c r="E561" s="532"/>
      <c r="F561" s="532"/>
      <c r="G561" s="532"/>
      <c r="H561" s="532"/>
      <c r="I561" s="532"/>
      <c r="J561" s="532"/>
      <c r="K561" s="532"/>
      <c r="L561" s="532"/>
      <c r="M561" s="532"/>
      <c r="N561" s="532"/>
      <c r="O561" s="532"/>
      <c r="P561" s="532"/>
      <c r="Q561" s="532"/>
    </row>
    <row r="562">
      <c r="A562" s="1451"/>
      <c r="B562" s="532"/>
      <c r="C562" s="532"/>
      <c r="D562" s="532"/>
      <c r="E562" s="532"/>
      <c r="F562" s="532"/>
      <c r="G562" s="532"/>
      <c r="H562" s="532"/>
      <c r="I562" s="532"/>
      <c r="J562" s="532"/>
      <c r="K562" s="532"/>
      <c r="L562" s="532"/>
      <c r="M562" s="532"/>
      <c r="N562" s="532"/>
      <c r="O562" s="532"/>
      <c r="P562" s="532"/>
      <c r="Q562" s="532"/>
    </row>
    <row r="563">
      <c r="A563" s="1451"/>
      <c r="B563" s="532"/>
      <c r="C563" s="532"/>
      <c r="D563" s="532"/>
      <c r="E563" s="532"/>
      <c r="F563" s="532"/>
      <c r="G563" s="532"/>
      <c r="H563" s="532"/>
      <c r="I563" s="532"/>
      <c r="J563" s="532"/>
      <c r="K563" s="532"/>
      <c r="L563" s="532"/>
      <c r="M563" s="532"/>
      <c r="N563" s="532"/>
      <c r="O563" s="532"/>
      <c r="P563" s="532"/>
      <c r="Q563" s="532"/>
    </row>
    <row r="564">
      <c r="A564" s="1451"/>
      <c r="B564" s="532"/>
      <c r="C564" s="532"/>
      <c r="D564" s="532"/>
      <c r="E564" s="532"/>
      <c r="F564" s="532"/>
      <c r="G564" s="532"/>
      <c r="H564" s="532"/>
      <c r="I564" s="532"/>
      <c r="J564" s="532"/>
      <c r="K564" s="532"/>
      <c r="L564" s="532"/>
      <c r="M564" s="532"/>
      <c r="N564" s="532"/>
      <c r="O564" s="532"/>
      <c r="P564" s="532"/>
      <c r="Q564" s="532"/>
    </row>
    <row r="565">
      <c r="A565" s="1451"/>
      <c r="B565" s="532"/>
      <c r="C565" s="532"/>
      <c r="D565" s="532"/>
      <c r="E565" s="532"/>
      <c r="F565" s="532"/>
      <c r="G565" s="532"/>
      <c r="H565" s="532"/>
      <c r="I565" s="532"/>
      <c r="J565" s="532"/>
      <c r="K565" s="532"/>
      <c r="L565" s="532"/>
      <c r="M565" s="532"/>
      <c r="N565" s="532"/>
      <c r="O565" s="532"/>
      <c r="P565" s="532"/>
      <c r="Q565" s="532"/>
    </row>
    <row r="566">
      <c r="A566" s="1451"/>
      <c r="B566" s="532"/>
      <c r="C566" s="532"/>
      <c r="D566" s="532"/>
      <c r="E566" s="532"/>
      <c r="F566" s="532"/>
      <c r="G566" s="532"/>
      <c r="H566" s="532"/>
      <c r="I566" s="532"/>
      <c r="J566" s="532"/>
      <c r="K566" s="532"/>
      <c r="L566" s="532"/>
      <c r="M566" s="532"/>
      <c r="N566" s="532"/>
      <c r="O566" s="532"/>
      <c r="P566" s="532"/>
      <c r="Q566" s="532"/>
    </row>
    <row r="567">
      <c r="A567" s="1451"/>
      <c r="B567" s="532"/>
      <c r="C567" s="532"/>
      <c r="D567" s="532"/>
      <c r="E567" s="532"/>
      <c r="F567" s="532"/>
      <c r="G567" s="532"/>
      <c r="H567" s="532"/>
      <c r="I567" s="532"/>
      <c r="J567" s="532"/>
      <c r="K567" s="532"/>
      <c r="L567" s="532"/>
      <c r="M567" s="532"/>
      <c r="N567" s="532"/>
      <c r="O567" s="532"/>
      <c r="P567" s="532"/>
      <c r="Q567" s="532"/>
    </row>
    <row r="568">
      <c r="A568" s="1451"/>
      <c r="B568" s="532"/>
      <c r="C568" s="532"/>
      <c r="D568" s="532"/>
      <c r="E568" s="532"/>
      <c r="F568" s="532"/>
      <c r="G568" s="532"/>
      <c r="H568" s="532"/>
      <c r="I568" s="532"/>
      <c r="J568" s="532"/>
      <c r="K568" s="532"/>
      <c r="L568" s="532"/>
      <c r="M568" s="532"/>
      <c r="N568" s="532"/>
      <c r="O568" s="532"/>
      <c r="P568" s="532"/>
      <c r="Q568" s="532"/>
    </row>
    <row r="569">
      <c r="A569" s="1451"/>
      <c r="B569" s="532"/>
      <c r="C569" s="532"/>
      <c r="D569" s="532"/>
      <c r="E569" s="532"/>
      <c r="F569" s="532"/>
      <c r="G569" s="532"/>
      <c r="H569" s="532"/>
      <c r="I569" s="532"/>
      <c r="J569" s="532"/>
      <c r="K569" s="532"/>
      <c r="L569" s="532"/>
      <c r="M569" s="532"/>
      <c r="N569" s="532"/>
      <c r="O569" s="532"/>
      <c r="P569" s="532"/>
      <c r="Q569" s="532"/>
    </row>
    <row r="570">
      <c r="A570" s="1451"/>
      <c r="B570" s="532"/>
      <c r="C570" s="532"/>
      <c r="D570" s="532"/>
      <c r="E570" s="532"/>
      <c r="F570" s="532"/>
      <c r="G570" s="532"/>
      <c r="H570" s="532"/>
      <c r="I570" s="532"/>
      <c r="J570" s="532"/>
      <c r="K570" s="532"/>
      <c r="L570" s="532"/>
      <c r="M570" s="532"/>
      <c r="N570" s="532"/>
      <c r="O570" s="532"/>
      <c r="P570" s="532"/>
      <c r="Q570" s="532"/>
    </row>
    <row r="571">
      <c r="A571" s="1451"/>
      <c r="B571" s="532"/>
      <c r="C571" s="532"/>
      <c r="D571" s="532"/>
      <c r="E571" s="532"/>
      <c r="F571" s="532"/>
      <c r="G571" s="532"/>
      <c r="H571" s="532"/>
      <c r="I571" s="532"/>
      <c r="J571" s="532"/>
      <c r="K571" s="532"/>
      <c r="L571" s="532"/>
      <c r="M571" s="532"/>
      <c r="N571" s="532"/>
      <c r="O571" s="532"/>
      <c r="P571" s="532"/>
      <c r="Q571" s="532"/>
    </row>
    <row r="572">
      <c r="A572" s="1451"/>
      <c r="B572" s="532"/>
      <c r="C572" s="532"/>
      <c r="D572" s="532"/>
      <c r="E572" s="532"/>
      <c r="F572" s="532"/>
      <c r="G572" s="532"/>
      <c r="H572" s="532"/>
      <c r="I572" s="532"/>
      <c r="J572" s="532"/>
      <c r="K572" s="532"/>
      <c r="L572" s="532"/>
      <c r="M572" s="532"/>
      <c r="N572" s="532"/>
      <c r="O572" s="532"/>
      <c r="P572" s="532"/>
      <c r="Q572" s="532"/>
    </row>
    <row r="573">
      <c r="A573" s="1451"/>
      <c r="B573" s="532"/>
      <c r="C573" s="532"/>
      <c r="D573" s="532"/>
      <c r="E573" s="532"/>
      <c r="F573" s="532"/>
      <c r="G573" s="532"/>
      <c r="H573" s="532"/>
      <c r="I573" s="532"/>
      <c r="J573" s="532"/>
      <c r="K573" s="532"/>
      <c r="L573" s="532"/>
      <c r="M573" s="532"/>
      <c r="N573" s="532"/>
      <c r="O573" s="532"/>
      <c r="P573" s="532"/>
      <c r="Q573" s="532"/>
    </row>
    <row r="574">
      <c r="A574" s="1451"/>
      <c r="B574" s="532"/>
      <c r="C574" s="532"/>
      <c r="D574" s="532"/>
      <c r="E574" s="532"/>
      <c r="F574" s="532"/>
      <c r="G574" s="532"/>
      <c r="H574" s="532"/>
      <c r="I574" s="532"/>
      <c r="J574" s="532"/>
      <c r="K574" s="532"/>
      <c r="L574" s="532"/>
      <c r="M574" s="532"/>
      <c r="N574" s="532"/>
      <c r="O574" s="532"/>
      <c r="P574" s="532"/>
      <c r="Q574" s="532"/>
    </row>
    <row r="575">
      <c r="A575" s="1451"/>
      <c r="B575" s="532"/>
      <c r="C575" s="532"/>
      <c r="D575" s="532"/>
      <c r="E575" s="532"/>
      <c r="F575" s="532"/>
      <c r="G575" s="532"/>
      <c r="H575" s="532"/>
      <c r="I575" s="532"/>
      <c r="J575" s="532"/>
      <c r="K575" s="532"/>
      <c r="L575" s="532"/>
      <c r="M575" s="532"/>
      <c r="N575" s="532"/>
      <c r="O575" s="532"/>
      <c r="P575" s="532"/>
      <c r="Q575" s="532"/>
    </row>
    <row r="576">
      <c r="A576" s="1451"/>
      <c r="B576" s="532"/>
      <c r="C576" s="532"/>
      <c r="D576" s="532"/>
      <c r="E576" s="532"/>
      <c r="F576" s="532"/>
      <c r="G576" s="532"/>
      <c r="H576" s="532"/>
      <c r="I576" s="532"/>
      <c r="J576" s="532"/>
      <c r="K576" s="532"/>
      <c r="L576" s="532"/>
      <c r="M576" s="532"/>
      <c r="N576" s="532"/>
      <c r="O576" s="532"/>
      <c r="P576" s="532"/>
      <c r="Q576" s="532"/>
    </row>
    <row r="577">
      <c r="A577" s="1451"/>
      <c r="B577" s="532"/>
      <c r="C577" s="532"/>
      <c r="D577" s="532"/>
      <c r="E577" s="532"/>
      <c r="F577" s="532"/>
      <c r="G577" s="532"/>
      <c r="H577" s="532"/>
      <c r="I577" s="532"/>
      <c r="J577" s="532"/>
      <c r="K577" s="532"/>
      <c r="L577" s="532"/>
      <c r="M577" s="532"/>
      <c r="N577" s="532"/>
      <c r="O577" s="532"/>
      <c r="P577" s="532"/>
      <c r="Q577" s="532"/>
    </row>
    <row r="578">
      <c r="A578" s="1451"/>
      <c r="B578" s="532"/>
      <c r="C578" s="532"/>
      <c r="D578" s="532"/>
      <c r="E578" s="532"/>
      <c r="F578" s="532"/>
      <c r="G578" s="532"/>
      <c r="H578" s="532"/>
      <c r="I578" s="532"/>
      <c r="J578" s="532"/>
      <c r="K578" s="532"/>
      <c r="L578" s="532"/>
      <c r="M578" s="532"/>
      <c r="N578" s="532"/>
      <c r="O578" s="532"/>
      <c r="P578" s="532"/>
      <c r="Q578" s="532"/>
    </row>
    <row r="579">
      <c r="A579" s="1451"/>
      <c r="B579" s="532"/>
      <c r="C579" s="532"/>
      <c r="D579" s="532"/>
      <c r="E579" s="532"/>
      <c r="F579" s="532"/>
      <c r="G579" s="532"/>
      <c r="H579" s="532"/>
      <c r="I579" s="532"/>
      <c r="J579" s="532"/>
      <c r="K579" s="532"/>
      <c r="L579" s="532"/>
      <c r="M579" s="532"/>
      <c r="N579" s="532"/>
      <c r="O579" s="532"/>
      <c r="P579" s="532"/>
      <c r="Q579" s="532"/>
    </row>
    <row r="580">
      <c r="A580" s="1451"/>
      <c r="B580" s="532"/>
      <c r="C580" s="532"/>
      <c r="D580" s="532"/>
      <c r="E580" s="532"/>
      <c r="F580" s="532"/>
      <c r="G580" s="532"/>
      <c r="H580" s="532"/>
      <c r="I580" s="532"/>
      <c r="J580" s="532"/>
      <c r="K580" s="532"/>
      <c r="L580" s="532"/>
      <c r="M580" s="532"/>
      <c r="N580" s="532"/>
      <c r="O580" s="532"/>
      <c r="P580" s="532"/>
      <c r="Q580" s="532"/>
    </row>
    <row r="581">
      <c r="A581" s="1451"/>
      <c r="B581" s="532"/>
      <c r="C581" s="532"/>
      <c r="D581" s="532"/>
      <c r="E581" s="532"/>
      <c r="F581" s="532"/>
      <c r="G581" s="532"/>
      <c r="H581" s="532"/>
      <c r="I581" s="532"/>
      <c r="J581" s="532"/>
      <c r="K581" s="532"/>
      <c r="L581" s="532"/>
      <c r="M581" s="532"/>
      <c r="N581" s="532"/>
      <c r="O581" s="532"/>
      <c r="P581" s="532"/>
      <c r="Q581" s="532"/>
    </row>
    <row r="582">
      <c r="A582" s="1451"/>
      <c r="B582" s="532"/>
      <c r="C582" s="532"/>
      <c r="D582" s="532"/>
      <c r="E582" s="532"/>
      <c r="F582" s="532"/>
      <c r="G582" s="532"/>
      <c r="H582" s="532"/>
      <c r="I582" s="532"/>
      <c r="J582" s="532"/>
      <c r="K582" s="532"/>
      <c r="L582" s="532"/>
      <c r="M582" s="532"/>
      <c r="N582" s="532"/>
      <c r="O582" s="532"/>
      <c r="P582" s="532"/>
      <c r="Q582" s="532"/>
    </row>
    <row r="583">
      <c r="A583" s="1451"/>
      <c r="B583" s="532"/>
      <c r="C583" s="532"/>
      <c r="D583" s="532"/>
      <c r="E583" s="532"/>
      <c r="F583" s="532"/>
      <c r="G583" s="532"/>
      <c r="H583" s="532"/>
      <c r="I583" s="532"/>
      <c r="J583" s="532"/>
      <c r="K583" s="532"/>
      <c r="L583" s="532"/>
      <c r="M583" s="532"/>
      <c r="N583" s="532"/>
      <c r="O583" s="532"/>
      <c r="P583" s="532"/>
      <c r="Q583" s="532"/>
    </row>
    <row r="584">
      <c r="A584" s="1451"/>
      <c r="B584" s="532"/>
      <c r="C584" s="532"/>
      <c r="D584" s="532"/>
      <c r="E584" s="532"/>
      <c r="F584" s="532"/>
      <c r="G584" s="532"/>
      <c r="H584" s="532"/>
      <c r="I584" s="532"/>
      <c r="J584" s="532"/>
      <c r="K584" s="532"/>
      <c r="L584" s="532"/>
      <c r="M584" s="532"/>
      <c r="N584" s="532"/>
      <c r="O584" s="532"/>
      <c r="P584" s="532"/>
      <c r="Q584" s="532"/>
    </row>
    <row r="585">
      <c r="A585" s="1451"/>
      <c r="B585" s="532"/>
      <c r="C585" s="532"/>
      <c r="D585" s="532"/>
      <c r="E585" s="532"/>
      <c r="F585" s="532"/>
      <c r="G585" s="532"/>
      <c r="H585" s="532"/>
      <c r="I585" s="532"/>
      <c r="J585" s="532"/>
      <c r="K585" s="532"/>
      <c r="L585" s="532"/>
      <c r="M585" s="532"/>
      <c r="N585" s="532"/>
      <c r="O585" s="532"/>
      <c r="P585" s="532"/>
      <c r="Q585" s="532"/>
    </row>
    <row r="586">
      <c r="A586" s="1451"/>
      <c r="B586" s="532"/>
      <c r="C586" s="532"/>
      <c r="D586" s="532"/>
      <c r="E586" s="532"/>
      <c r="F586" s="532"/>
      <c r="G586" s="532"/>
      <c r="H586" s="532"/>
      <c r="I586" s="532"/>
      <c r="J586" s="532"/>
      <c r="K586" s="532"/>
      <c r="L586" s="532"/>
      <c r="M586" s="532"/>
      <c r="N586" s="532"/>
      <c r="O586" s="532"/>
      <c r="P586" s="532"/>
      <c r="Q586" s="532"/>
    </row>
    <row r="587">
      <c r="A587" s="1451"/>
      <c r="B587" s="532"/>
      <c r="C587" s="532"/>
      <c r="D587" s="532"/>
      <c r="E587" s="532"/>
      <c r="F587" s="532"/>
      <c r="G587" s="532"/>
      <c r="H587" s="532"/>
      <c r="I587" s="532"/>
      <c r="J587" s="532"/>
      <c r="K587" s="532"/>
      <c r="L587" s="532"/>
      <c r="M587" s="532"/>
      <c r="N587" s="532"/>
      <c r="O587" s="532"/>
      <c r="P587" s="532"/>
      <c r="Q587" s="532"/>
    </row>
    <row r="588">
      <c r="A588" s="1451"/>
      <c r="B588" s="532"/>
      <c r="C588" s="532"/>
      <c r="D588" s="532"/>
      <c r="E588" s="532"/>
      <c r="F588" s="532"/>
      <c r="G588" s="532"/>
      <c r="H588" s="532"/>
      <c r="I588" s="532"/>
      <c r="J588" s="532"/>
      <c r="K588" s="532"/>
      <c r="L588" s="532"/>
      <c r="M588" s="532"/>
      <c r="N588" s="532"/>
      <c r="O588" s="532"/>
      <c r="P588" s="532"/>
      <c r="Q588" s="532"/>
    </row>
    <row r="589">
      <c r="A589" s="1451"/>
      <c r="B589" s="532"/>
      <c r="C589" s="532"/>
      <c r="D589" s="532"/>
      <c r="E589" s="532"/>
      <c r="F589" s="532"/>
      <c r="G589" s="532"/>
      <c r="H589" s="532"/>
      <c r="I589" s="532"/>
      <c r="J589" s="532"/>
      <c r="K589" s="532"/>
      <c r="L589" s="532"/>
      <c r="M589" s="532"/>
      <c r="N589" s="532"/>
      <c r="O589" s="532"/>
      <c r="P589" s="532"/>
      <c r="Q589" s="532"/>
    </row>
    <row r="590">
      <c r="A590" s="1451"/>
      <c r="B590" s="532"/>
      <c r="C590" s="532"/>
      <c r="D590" s="532"/>
      <c r="E590" s="532"/>
      <c r="F590" s="532"/>
      <c r="G590" s="532"/>
      <c r="H590" s="532"/>
      <c r="I590" s="532"/>
      <c r="J590" s="532"/>
      <c r="K590" s="532"/>
      <c r="L590" s="532"/>
      <c r="M590" s="532"/>
      <c r="N590" s="532"/>
      <c r="O590" s="532"/>
      <c r="P590" s="532"/>
      <c r="Q590" s="532"/>
    </row>
    <row r="591">
      <c r="A591" s="1451"/>
      <c r="B591" s="532"/>
      <c r="C591" s="532"/>
      <c r="D591" s="532"/>
      <c r="E591" s="532"/>
      <c r="F591" s="532"/>
      <c r="G591" s="532"/>
      <c r="H591" s="532"/>
      <c r="I591" s="532"/>
      <c r="J591" s="532"/>
      <c r="K591" s="532"/>
      <c r="L591" s="532"/>
      <c r="M591" s="532"/>
      <c r="N591" s="532"/>
      <c r="O591" s="532"/>
      <c r="P591" s="532"/>
      <c r="Q591" s="532"/>
    </row>
    <row r="592">
      <c r="A592" s="1451"/>
      <c r="B592" s="532"/>
      <c r="C592" s="532"/>
      <c r="D592" s="532"/>
      <c r="E592" s="532"/>
      <c r="F592" s="532"/>
      <c r="G592" s="532"/>
      <c r="H592" s="532"/>
      <c r="I592" s="532"/>
      <c r="J592" s="532"/>
      <c r="K592" s="532"/>
      <c r="L592" s="532"/>
      <c r="M592" s="532"/>
      <c r="N592" s="532"/>
      <c r="O592" s="532"/>
      <c r="P592" s="532"/>
      <c r="Q592" s="532"/>
    </row>
    <row r="593">
      <c r="A593" s="1451"/>
      <c r="B593" s="532"/>
      <c r="C593" s="532"/>
      <c r="D593" s="532"/>
      <c r="E593" s="532"/>
      <c r="F593" s="532"/>
      <c r="G593" s="532"/>
      <c r="H593" s="532"/>
      <c r="I593" s="532"/>
      <c r="J593" s="532"/>
      <c r="K593" s="532"/>
      <c r="L593" s="532"/>
      <c r="M593" s="532"/>
      <c r="N593" s="532"/>
      <c r="O593" s="532"/>
      <c r="P593" s="532"/>
      <c r="Q593" s="532"/>
    </row>
    <row r="594">
      <c r="A594" s="1451"/>
      <c r="B594" s="532"/>
      <c r="C594" s="532"/>
      <c r="D594" s="532"/>
      <c r="E594" s="532"/>
      <c r="F594" s="532"/>
      <c r="G594" s="532"/>
      <c r="H594" s="532"/>
      <c r="I594" s="532"/>
      <c r="J594" s="532"/>
      <c r="K594" s="532"/>
      <c r="L594" s="532"/>
      <c r="M594" s="532"/>
      <c r="N594" s="532"/>
      <c r="O594" s="532"/>
      <c r="P594" s="532"/>
      <c r="Q594" s="532"/>
    </row>
    <row r="595">
      <c r="A595" s="1451"/>
      <c r="B595" s="532"/>
      <c r="C595" s="532"/>
      <c r="D595" s="532"/>
      <c r="E595" s="532"/>
      <c r="F595" s="532"/>
      <c r="G595" s="532"/>
      <c r="H595" s="532"/>
      <c r="I595" s="532"/>
      <c r="J595" s="532"/>
      <c r="K595" s="532"/>
      <c r="L595" s="532"/>
      <c r="M595" s="532"/>
      <c r="N595" s="532"/>
      <c r="O595" s="532"/>
      <c r="P595" s="532"/>
      <c r="Q595" s="532"/>
    </row>
    <row r="596">
      <c r="A596" s="1451"/>
      <c r="B596" s="532"/>
      <c r="C596" s="532"/>
      <c r="D596" s="532"/>
      <c r="E596" s="532"/>
      <c r="F596" s="532"/>
      <c r="G596" s="532"/>
      <c r="H596" s="532"/>
      <c r="I596" s="532"/>
      <c r="J596" s="532"/>
      <c r="K596" s="532"/>
      <c r="L596" s="532"/>
      <c r="M596" s="532"/>
      <c r="N596" s="532"/>
      <c r="O596" s="532"/>
      <c r="P596" s="532"/>
      <c r="Q596" s="532"/>
    </row>
    <row r="597">
      <c r="A597" s="1451"/>
      <c r="B597" s="532"/>
      <c r="C597" s="532"/>
      <c r="D597" s="532"/>
      <c r="E597" s="532"/>
      <c r="F597" s="532"/>
      <c r="G597" s="532"/>
      <c r="H597" s="532"/>
      <c r="I597" s="532"/>
      <c r="J597" s="532"/>
      <c r="K597" s="532"/>
      <c r="L597" s="532"/>
      <c r="M597" s="532"/>
      <c r="N597" s="532"/>
      <c r="O597" s="532"/>
      <c r="P597" s="532"/>
      <c r="Q597" s="532"/>
    </row>
    <row r="598">
      <c r="A598" s="1451"/>
      <c r="B598" s="532"/>
      <c r="C598" s="532"/>
      <c r="D598" s="532"/>
      <c r="E598" s="532"/>
      <c r="F598" s="532"/>
      <c r="G598" s="532"/>
      <c r="H598" s="532"/>
      <c r="I598" s="532"/>
      <c r="J598" s="532"/>
      <c r="K598" s="532"/>
      <c r="L598" s="532"/>
      <c r="M598" s="532"/>
      <c r="N598" s="532"/>
      <c r="O598" s="532"/>
      <c r="P598" s="532"/>
      <c r="Q598" s="532"/>
    </row>
    <row r="599">
      <c r="A599" s="1451"/>
      <c r="B599" s="532"/>
      <c r="C599" s="532"/>
      <c r="D599" s="532"/>
      <c r="E599" s="532"/>
      <c r="F599" s="532"/>
      <c r="G599" s="532"/>
      <c r="H599" s="532"/>
      <c r="I599" s="532"/>
      <c r="J599" s="532"/>
      <c r="K599" s="532"/>
      <c r="L599" s="532"/>
      <c r="M599" s="532"/>
      <c r="N599" s="532"/>
      <c r="O599" s="532"/>
      <c r="P599" s="532"/>
      <c r="Q599" s="532"/>
    </row>
    <row r="600">
      <c r="A600" s="1451"/>
      <c r="B600" s="532"/>
      <c r="C600" s="532"/>
      <c r="D600" s="532"/>
      <c r="E600" s="532"/>
      <c r="F600" s="532"/>
      <c r="G600" s="532"/>
      <c r="H600" s="532"/>
      <c r="I600" s="532"/>
      <c r="J600" s="532"/>
      <c r="K600" s="532"/>
      <c r="L600" s="532"/>
      <c r="M600" s="532"/>
      <c r="N600" s="532"/>
      <c r="O600" s="532"/>
      <c r="P600" s="532"/>
      <c r="Q600" s="532"/>
    </row>
    <row r="601">
      <c r="A601" s="1451"/>
      <c r="B601" s="532"/>
      <c r="C601" s="532"/>
      <c r="D601" s="532"/>
      <c r="E601" s="532"/>
      <c r="F601" s="532"/>
      <c r="G601" s="532"/>
      <c r="H601" s="532"/>
      <c r="I601" s="532"/>
      <c r="J601" s="532"/>
      <c r="K601" s="532"/>
      <c r="L601" s="532"/>
      <c r="M601" s="532"/>
      <c r="N601" s="532"/>
      <c r="O601" s="532"/>
      <c r="P601" s="532"/>
      <c r="Q601" s="532"/>
    </row>
    <row r="602">
      <c r="A602" s="1451"/>
      <c r="B602" s="532"/>
      <c r="C602" s="532"/>
      <c r="D602" s="532"/>
      <c r="E602" s="532"/>
      <c r="F602" s="532"/>
      <c r="G602" s="532"/>
      <c r="H602" s="532"/>
      <c r="I602" s="532"/>
      <c r="J602" s="532"/>
      <c r="K602" s="532"/>
      <c r="L602" s="532"/>
      <c r="M602" s="532"/>
      <c r="N602" s="532"/>
      <c r="O602" s="532"/>
      <c r="P602" s="532"/>
      <c r="Q602" s="532"/>
    </row>
    <row r="603">
      <c r="A603" s="1451"/>
      <c r="B603" s="532"/>
      <c r="C603" s="532"/>
      <c r="D603" s="532"/>
      <c r="E603" s="532"/>
      <c r="F603" s="532"/>
      <c r="G603" s="532"/>
      <c r="H603" s="532"/>
      <c r="I603" s="532"/>
      <c r="J603" s="532"/>
      <c r="K603" s="532"/>
      <c r="L603" s="532"/>
      <c r="M603" s="532"/>
      <c r="N603" s="532"/>
      <c r="O603" s="532"/>
      <c r="P603" s="532"/>
      <c r="Q603" s="532"/>
    </row>
    <row r="604">
      <c r="A604" s="1451"/>
      <c r="B604" s="532"/>
      <c r="C604" s="532"/>
      <c r="D604" s="532"/>
      <c r="E604" s="532"/>
      <c r="F604" s="532"/>
      <c r="G604" s="532"/>
      <c r="H604" s="532"/>
      <c r="I604" s="532"/>
      <c r="J604" s="532"/>
      <c r="K604" s="532"/>
      <c r="L604" s="532"/>
      <c r="M604" s="532"/>
      <c r="N604" s="532"/>
      <c r="O604" s="532"/>
      <c r="P604" s="532"/>
      <c r="Q604" s="532"/>
    </row>
    <row r="605">
      <c r="A605" s="1451"/>
      <c r="B605" s="532"/>
      <c r="C605" s="532"/>
      <c r="D605" s="532"/>
      <c r="E605" s="532"/>
      <c r="F605" s="532"/>
      <c r="G605" s="532"/>
      <c r="H605" s="532"/>
      <c r="I605" s="532"/>
      <c r="J605" s="532"/>
      <c r="K605" s="532"/>
      <c r="L605" s="532"/>
      <c r="M605" s="532"/>
      <c r="N605" s="532"/>
      <c r="O605" s="532"/>
      <c r="P605" s="532"/>
      <c r="Q605" s="532"/>
    </row>
    <row r="606">
      <c r="A606" s="1451"/>
      <c r="B606" s="532"/>
      <c r="C606" s="532"/>
      <c r="D606" s="532"/>
      <c r="E606" s="532"/>
      <c r="F606" s="532"/>
      <c r="G606" s="532"/>
      <c r="H606" s="532"/>
      <c r="I606" s="532"/>
      <c r="J606" s="532"/>
      <c r="K606" s="532"/>
      <c r="L606" s="532"/>
      <c r="M606" s="532"/>
      <c r="N606" s="532"/>
      <c r="O606" s="532"/>
      <c r="P606" s="532"/>
      <c r="Q606" s="532"/>
    </row>
    <row r="607">
      <c r="A607" s="1451"/>
      <c r="B607" s="532"/>
      <c r="C607" s="532"/>
      <c r="D607" s="532"/>
      <c r="E607" s="532"/>
      <c r="F607" s="532"/>
      <c r="G607" s="532"/>
      <c r="H607" s="532"/>
      <c r="I607" s="532"/>
      <c r="J607" s="532"/>
      <c r="K607" s="532"/>
      <c r="L607" s="532"/>
      <c r="M607" s="532"/>
      <c r="N607" s="532"/>
      <c r="O607" s="532"/>
      <c r="P607" s="532"/>
      <c r="Q607" s="532"/>
    </row>
    <row r="608">
      <c r="A608" s="1451"/>
      <c r="B608" s="532"/>
      <c r="C608" s="532"/>
      <c r="D608" s="532"/>
      <c r="E608" s="532"/>
      <c r="F608" s="532"/>
      <c r="G608" s="532"/>
      <c r="H608" s="532"/>
      <c r="I608" s="532"/>
      <c r="J608" s="532"/>
      <c r="K608" s="532"/>
      <c r="L608" s="532"/>
      <c r="M608" s="532"/>
      <c r="N608" s="532"/>
      <c r="O608" s="532"/>
      <c r="P608" s="532"/>
      <c r="Q608" s="532"/>
    </row>
    <row r="609">
      <c r="A609" s="1451"/>
      <c r="B609" s="532"/>
      <c r="C609" s="532"/>
      <c r="D609" s="532"/>
      <c r="E609" s="532"/>
      <c r="F609" s="532"/>
      <c r="G609" s="532"/>
      <c r="H609" s="532"/>
      <c r="I609" s="532"/>
      <c r="J609" s="532"/>
      <c r="K609" s="532"/>
      <c r="L609" s="532"/>
      <c r="M609" s="532"/>
      <c r="N609" s="532"/>
      <c r="O609" s="532"/>
      <c r="P609" s="532"/>
      <c r="Q609" s="532"/>
    </row>
    <row r="610">
      <c r="A610" s="1451"/>
      <c r="B610" s="532"/>
      <c r="C610" s="532"/>
      <c r="D610" s="532"/>
      <c r="E610" s="532"/>
      <c r="F610" s="532"/>
      <c r="G610" s="532"/>
      <c r="H610" s="532"/>
      <c r="I610" s="532"/>
      <c r="J610" s="532"/>
      <c r="K610" s="532"/>
      <c r="L610" s="532"/>
      <c r="M610" s="532"/>
      <c r="N610" s="532"/>
      <c r="O610" s="532"/>
      <c r="P610" s="532"/>
      <c r="Q610" s="532"/>
    </row>
    <row r="611">
      <c r="A611" s="1451"/>
      <c r="B611" s="532"/>
      <c r="C611" s="532"/>
      <c r="D611" s="532"/>
      <c r="E611" s="532"/>
      <c r="F611" s="532"/>
      <c r="G611" s="532"/>
      <c r="H611" s="532"/>
      <c r="I611" s="532"/>
      <c r="J611" s="532"/>
      <c r="K611" s="532"/>
      <c r="L611" s="532"/>
      <c r="M611" s="532"/>
      <c r="N611" s="532"/>
      <c r="O611" s="532"/>
      <c r="P611" s="532"/>
      <c r="Q611" s="532"/>
    </row>
    <row r="612">
      <c r="A612" s="1451"/>
      <c r="B612" s="532"/>
      <c r="C612" s="532"/>
      <c r="D612" s="532"/>
      <c r="E612" s="532"/>
      <c r="F612" s="532"/>
      <c r="G612" s="532"/>
      <c r="H612" s="532"/>
      <c r="I612" s="532"/>
      <c r="J612" s="532"/>
      <c r="K612" s="532"/>
      <c r="L612" s="532"/>
      <c r="M612" s="532"/>
      <c r="N612" s="532"/>
      <c r="O612" s="532"/>
      <c r="P612" s="532"/>
      <c r="Q612" s="532"/>
    </row>
    <row r="613">
      <c r="A613" s="1451"/>
      <c r="B613" s="532"/>
      <c r="C613" s="532"/>
      <c r="D613" s="532"/>
      <c r="E613" s="532"/>
      <c r="F613" s="532"/>
      <c r="G613" s="532"/>
      <c r="H613" s="532"/>
      <c r="I613" s="532"/>
      <c r="J613" s="532"/>
      <c r="K613" s="532"/>
      <c r="L613" s="532"/>
      <c r="M613" s="532"/>
      <c r="N613" s="532"/>
      <c r="O613" s="532"/>
      <c r="P613" s="532"/>
      <c r="Q613" s="532"/>
    </row>
    <row r="614">
      <c r="A614" s="1451"/>
      <c r="B614" s="532"/>
      <c r="C614" s="532"/>
      <c r="D614" s="532"/>
      <c r="E614" s="532"/>
      <c r="F614" s="532"/>
      <c r="G614" s="532"/>
      <c r="H614" s="532"/>
      <c r="I614" s="532"/>
      <c r="J614" s="532"/>
      <c r="K614" s="532"/>
      <c r="L614" s="532"/>
      <c r="M614" s="532"/>
      <c r="N614" s="532"/>
      <c r="O614" s="532"/>
      <c r="P614" s="532"/>
      <c r="Q614" s="532"/>
    </row>
    <row r="615">
      <c r="A615" s="1451"/>
      <c r="B615" s="532"/>
      <c r="C615" s="532"/>
      <c r="D615" s="532"/>
      <c r="E615" s="532"/>
      <c r="F615" s="532"/>
      <c r="G615" s="532"/>
      <c r="H615" s="532"/>
      <c r="I615" s="532"/>
      <c r="J615" s="532"/>
      <c r="K615" s="532"/>
      <c r="L615" s="532"/>
      <c r="M615" s="532"/>
      <c r="N615" s="532"/>
      <c r="O615" s="532"/>
      <c r="P615" s="532"/>
      <c r="Q615" s="532"/>
    </row>
    <row r="616">
      <c r="A616" s="1451"/>
      <c r="B616" s="532"/>
      <c r="C616" s="532"/>
      <c r="D616" s="532"/>
      <c r="E616" s="532"/>
      <c r="F616" s="532"/>
      <c r="G616" s="532"/>
      <c r="H616" s="532"/>
      <c r="I616" s="532"/>
      <c r="J616" s="532"/>
      <c r="K616" s="532"/>
      <c r="L616" s="532"/>
      <c r="M616" s="532"/>
      <c r="N616" s="532"/>
      <c r="O616" s="532"/>
      <c r="P616" s="532"/>
      <c r="Q616" s="532"/>
    </row>
    <row r="617">
      <c r="A617" s="1451"/>
      <c r="B617" s="532"/>
      <c r="C617" s="532"/>
      <c r="D617" s="532"/>
      <c r="E617" s="532"/>
      <c r="F617" s="532"/>
      <c r="G617" s="532"/>
      <c r="H617" s="532"/>
      <c r="I617" s="532"/>
      <c r="J617" s="532"/>
      <c r="K617" s="532"/>
      <c r="L617" s="532"/>
      <c r="M617" s="532"/>
      <c r="N617" s="532"/>
      <c r="O617" s="532"/>
      <c r="P617" s="532"/>
      <c r="Q617" s="532"/>
    </row>
    <row r="618">
      <c r="A618" s="1451"/>
      <c r="B618" s="532"/>
      <c r="C618" s="532"/>
      <c r="D618" s="532"/>
      <c r="E618" s="532"/>
      <c r="F618" s="532"/>
      <c r="G618" s="532"/>
      <c r="H618" s="532"/>
      <c r="I618" s="532"/>
      <c r="J618" s="532"/>
      <c r="K618" s="532"/>
      <c r="L618" s="532"/>
      <c r="M618" s="532"/>
      <c r="N618" s="532"/>
      <c r="O618" s="532"/>
      <c r="P618" s="532"/>
      <c r="Q618" s="532"/>
    </row>
    <row r="619">
      <c r="A619" s="1451"/>
      <c r="B619" s="532"/>
      <c r="C619" s="532"/>
      <c r="D619" s="532"/>
      <c r="E619" s="532"/>
      <c r="F619" s="532"/>
      <c r="G619" s="532"/>
      <c r="H619" s="532"/>
      <c r="I619" s="532"/>
      <c r="J619" s="532"/>
      <c r="K619" s="532"/>
      <c r="L619" s="532"/>
      <c r="M619" s="532"/>
      <c r="N619" s="532"/>
      <c r="O619" s="532"/>
      <c r="P619" s="532"/>
      <c r="Q619" s="532"/>
    </row>
    <row r="620">
      <c r="A620" s="1451"/>
      <c r="B620" s="532"/>
      <c r="C620" s="532"/>
      <c r="D620" s="532"/>
      <c r="E620" s="532"/>
      <c r="F620" s="532"/>
      <c r="G620" s="532"/>
      <c r="H620" s="532"/>
      <c r="I620" s="532"/>
      <c r="J620" s="532"/>
      <c r="K620" s="532"/>
      <c r="L620" s="532"/>
      <c r="M620" s="532"/>
      <c r="N620" s="532"/>
      <c r="O620" s="532"/>
      <c r="P620" s="532"/>
      <c r="Q620" s="532"/>
    </row>
    <row r="621">
      <c r="A621" s="1451"/>
      <c r="B621" s="532"/>
      <c r="C621" s="532"/>
      <c r="D621" s="532"/>
      <c r="E621" s="532"/>
      <c r="F621" s="532"/>
      <c r="G621" s="532"/>
      <c r="H621" s="532"/>
      <c r="I621" s="532"/>
      <c r="J621" s="532"/>
      <c r="K621" s="532"/>
      <c r="L621" s="532"/>
      <c r="M621" s="532"/>
      <c r="N621" s="532"/>
      <c r="O621" s="532"/>
      <c r="P621" s="532"/>
      <c r="Q621" s="532"/>
    </row>
    <row r="622">
      <c r="A622" s="1451"/>
      <c r="B622" s="532"/>
      <c r="C622" s="532"/>
      <c r="D622" s="532"/>
      <c r="E622" s="532"/>
      <c r="F622" s="532"/>
      <c r="G622" s="532"/>
      <c r="H622" s="532"/>
      <c r="I622" s="532"/>
      <c r="J622" s="532"/>
      <c r="K622" s="532"/>
      <c r="L622" s="532"/>
      <c r="M622" s="532"/>
      <c r="N622" s="532"/>
      <c r="O622" s="532"/>
      <c r="P622" s="532"/>
      <c r="Q622" s="532"/>
    </row>
    <row r="623">
      <c r="A623" s="1451"/>
      <c r="B623" s="532"/>
      <c r="C623" s="532"/>
      <c r="D623" s="532"/>
      <c r="E623" s="532"/>
      <c r="F623" s="532"/>
      <c r="G623" s="532"/>
      <c r="H623" s="532"/>
      <c r="I623" s="532"/>
      <c r="J623" s="532"/>
      <c r="K623" s="532"/>
      <c r="L623" s="532"/>
      <c r="M623" s="532"/>
      <c r="N623" s="532"/>
      <c r="O623" s="532"/>
      <c r="P623" s="532"/>
      <c r="Q623" s="532"/>
    </row>
    <row r="624">
      <c r="A624" s="1451"/>
      <c r="B624" s="532"/>
      <c r="C624" s="532"/>
      <c r="D624" s="532"/>
      <c r="E624" s="532"/>
      <c r="F624" s="532"/>
      <c r="G624" s="532"/>
      <c r="H624" s="532"/>
      <c r="I624" s="532"/>
      <c r="J624" s="532"/>
      <c r="K624" s="532"/>
      <c r="L624" s="532"/>
      <c r="M624" s="532"/>
      <c r="N624" s="532"/>
      <c r="O624" s="532"/>
      <c r="P624" s="532"/>
      <c r="Q624" s="532"/>
    </row>
    <row r="625">
      <c r="A625" s="1451"/>
      <c r="B625" s="532"/>
      <c r="C625" s="532"/>
      <c r="D625" s="532"/>
      <c r="E625" s="532"/>
      <c r="F625" s="532"/>
      <c r="G625" s="532"/>
      <c r="H625" s="532"/>
      <c r="I625" s="532"/>
      <c r="J625" s="532"/>
      <c r="K625" s="532"/>
      <c r="L625" s="532"/>
      <c r="M625" s="532"/>
      <c r="N625" s="532"/>
      <c r="O625" s="532"/>
      <c r="P625" s="532"/>
      <c r="Q625" s="532"/>
    </row>
    <row r="626">
      <c r="A626" s="1451"/>
      <c r="B626" s="532"/>
      <c r="C626" s="532"/>
      <c r="D626" s="532"/>
      <c r="E626" s="532"/>
      <c r="F626" s="532"/>
      <c r="G626" s="532"/>
      <c r="H626" s="532"/>
      <c r="I626" s="532"/>
      <c r="J626" s="532"/>
      <c r="K626" s="532"/>
      <c r="L626" s="532"/>
      <c r="M626" s="532"/>
      <c r="N626" s="532"/>
      <c r="O626" s="532"/>
      <c r="P626" s="532"/>
      <c r="Q626" s="532"/>
    </row>
    <row r="627">
      <c r="A627" s="1451"/>
      <c r="B627" s="532"/>
      <c r="C627" s="532"/>
      <c r="D627" s="532"/>
      <c r="E627" s="532"/>
      <c r="F627" s="532"/>
      <c r="G627" s="532"/>
      <c r="H627" s="532"/>
      <c r="I627" s="532"/>
      <c r="J627" s="532"/>
      <c r="K627" s="532"/>
      <c r="L627" s="532"/>
      <c r="M627" s="532"/>
      <c r="N627" s="532"/>
      <c r="O627" s="532"/>
      <c r="P627" s="532"/>
      <c r="Q627" s="532"/>
    </row>
    <row r="628">
      <c r="A628" s="1451"/>
      <c r="B628" s="532"/>
      <c r="C628" s="532"/>
      <c r="D628" s="532"/>
      <c r="E628" s="532"/>
      <c r="F628" s="532"/>
      <c r="G628" s="532"/>
      <c r="H628" s="532"/>
      <c r="I628" s="532"/>
      <c r="J628" s="532"/>
      <c r="K628" s="532"/>
      <c r="L628" s="532"/>
      <c r="M628" s="532"/>
      <c r="N628" s="532"/>
      <c r="O628" s="532"/>
      <c r="P628" s="532"/>
      <c r="Q628" s="532"/>
    </row>
    <row r="629">
      <c r="A629" s="1451"/>
      <c r="B629" s="532"/>
      <c r="C629" s="532"/>
      <c r="D629" s="532"/>
      <c r="E629" s="532"/>
      <c r="F629" s="532"/>
      <c r="G629" s="532"/>
      <c r="H629" s="532"/>
      <c r="I629" s="532"/>
      <c r="J629" s="532"/>
      <c r="K629" s="532"/>
      <c r="L629" s="532"/>
      <c r="M629" s="532"/>
      <c r="N629" s="532"/>
      <c r="O629" s="532"/>
      <c r="P629" s="532"/>
      <c r="Q629" s="532"/>
    </row>
    <row r="630">
      <c r="A630" s="1451"/>
      <c r="B630" s="532"/>
      <c r="C630" s="532"/>
      <c r="D630" s="532"/>
      <c r="E630" s="532"/>
      <c r="F630" s="532"/>
      <c r="G630" s="532"/>
      <c r="H630" s="532"/>
      <c r="I630" s="532"/>
      <c r="J630" s="532"/>
      <c r="K630" s="532"/>
      <c r="L630" s="532"/>
      <c r="M630" s="532"/>
      <c r="N630" s="532"/>
      <c r="O630" s="532"/>
      <c r="P630" s="532"/>
      <c r="Q630" s="532"/>
    </row>
    <row r="631">
      <c r="A631" s="1451"/>
      <c r="B631" s="532"/>
      <c r="C631" s="532"/>
      <c r="D631" s="532"/>
      <c r="E631" s="532"/>
      <c r="F631" s="532"/>
      <c r="G631" s="532"/>
      <c r="H631" s="532"/>
      <c r="I631" s="532"/>
      <c r="J631" s="532"/>
      <c r="K631" s="532"/>
      <c r="L631" s="532"/>
      <c r="M631" s="532"/>
      <c r="N631" s="532"/>
      <c r="O631" s="532"/>
      <c r="P631" s="532"/>
      <c r="Q631" s="532"/>
    </row>
    <row r="632">
      <c r="A632" s="1451"/>
      <c r="B632" s="532"/>
      <c r="C632" s="532"/>
      <c r="D632" s="532"/>
      <c r="E632" s="532"/>
      <c r="F632" s="532"/>
      <c r="G632" s="532"/>
      <c r="H632" s="532"/>
      <c r="I632" s="532"/>
      <c r="J632" s="532"/>
      <c r="K632" s="532"/>
      <c r="L632" s="532"/>
      <c r="M632" s="532"/>
      <c r="N632" s="532"/>
      <c r="O632" s="532"/>
      <c r="P632" s="532"/>
      <c r="Q632" s="532"/>
    </row>
    <row r="633">
      <c r="A633" s="1451"/>
      <c r="B633" s="532"/>
      <c r="C633" s="532"/>
      <c r="D633" s="532"/>
      <c r="E633" s="532"/>
      <c r="F633" s="532"/>
      <c r="G633" s="532"/>
      <c r="H633" s="532"/>
      <c r="I633" s="532"/>
      <c r="J633" s="532"/>
      <c r="K633" s="532"/>
      <c r="L633" s="532"/>
      <c r="M633" s="532"/>
      <c r="N633" s="532"/>
      <c r="O633" s="532"/>
      <c r="P633" s="532"/>
      <c r="Q633" s="532"/>
    </row>
    <row r="634">
      <c r="A634" s="1451"/>
      <c r="B634" s="532"/>
      <c r="C634" s="532"/>
      <c r="D634" s="532"/>
      <c r="E634" s="532"/>
      <c r="F634" s="532"/>
      <c r="G634" s="532"/>
      <c r="H634" s="532"/>
      <c r="I634" s="532"/>
      <c r="J634" s="532"/>
      <c r="K634" s="532"/>
      <c r="L634" s="532"/>
      <c r="M634" s="532"/>
      <c r="N634" s="532"/>
      <c r="O634" s="532"/>
      <c r="P634" s="532"/>
      <c r="Q634" s="532"/>
    </row>
    <row r="635">
      <c r="A635" s="1451"/>
      <c r="B635" s="532"/>
      <c r="C635" s="532"/>
      <c r="D635" s="532"/>
      <c r="E635" s="532"/>
      <c r="F635" s="532"/>
      <c r="G635" s="532"/>
      <c r="H635" s="532"/>
      <c r="I635" s="532"/>
      <c r="J635" s="532"/>
      <c r="K635" s="532"/>
      <c r="L635" s="532"/>
      <c r="M635" s="532"/>
      <c r="N635" s="532"/>
      <c r="O635" s="532"/>
      <c r="P635" s="532"/>
      <c r="Q635" s="532"/>
    </row>
    <row r="636">
      <c r="A636" s="1451"/>
      <c r="B636" s="532"/>
      <c r="C636" s="532"/>
      <c r="D636" s="532"/>
      <c r="E636" s="532"/>
      <c r="F636" s="532"/>
      <c r="G636" s="532"/>
      <c r="H636" s="532"/>
      <c r="I636" s="532"/>
      <c r="J636" s="532"/>
      <c r="K636" s="532"/>
      <c r="L636" s="532"/>
      <c r="M636" s="532"/>
      <c r="N636" s="532"/>
      <c r="O636" s="532"/>
      <c r="P636" s="532"/>
      <c r="Q636" s="532"/>
    </row>
    <row r="637">
      <c r="A637" s="1451"/>
      <c r="B637" s="532"/>
      <c r="C637" s="532"/>
      <c r="D637" s="532"/>
      <c r="E637" s="532"/>
      <c r="F637" s="532"/>
      <c r="G637" s="532"/>
      <c r="H637" s="532"/>
      <c r="I637" s="532"/>
      <c r="J637" s="532"/>
      <c r="K637" s="532"/>
      <c r="L637" s="532"/>
      <c r="M637" s="532"/>
      <c r="N637" s="532"/>
      <c r="O637" s="532"/>
      <c r="P637" s="532"/>
      <c r="Q637" s="532"/>
    </row>
    <row r="638">
      <c r="A638" s="1451"/>
      <c r="B638" s="532"/>
      <c r="C638" s="532"/>
      <c r="D638" s="532"/>
      <c r="E638" s="532"/>
      <c r="F638" s="532"/>
      <c r="G638" s="532"/>
      <c r="H638" s="532"/>
      <c r="I638" s="532"/>
      <c r="J638" s="532"/>
      <c r="K638" s="532"/>
      <c r="L638" s="532"/>
      <c r="M638" s="532"/>
      <c r="N638" s="532"/>
      <c r="O638" s="532"/>
      <c r="P638" s="532"/>
      <c r="Q638" s="532"/>
    </row>
    <row r="639">
      <c r="A639" s="1451"/>
      <c r="B639" s="532"/>
      <c r="C639" s="532"/>
      <c r="D639" s="532"/>
      <c r="E639" s="532"/>
      <c r="F639" s="532"/>
      <c r="G639" s="532"/>
      <c r="H639" s="532"/>
      <c r="I639" s="532"/>
      <c r="J639" s="532"/>
      <c r="K639" s="532"/>
      <c r="L639" s="532"/>
      <c r="M639" s="532"/>
      <c r="N639" s="532"/>
      <c r="O639" s="532"/>
      <c r="P639" s="532"/>
      <c r="Q639" s="532"/>
    </row>
    <row r="640">
      <c r="A640" s="1451"/>
      <c r="B640" s="532"/>
      <c r="C640" s="532"/>
      <c r="D640" s="532"/>
      <c r="E640" s="532"/>
      <c r="F640" s="532"/>
      <c r="G640" s="532"/>
      <c r="H640" s="532"/>
      <c r="I640" s="532"/>
      <c r="J640" s="532"/>
      <c r="K640" s="532"/>
      <c r="L640" s="532"/>
      <c r="M640" s="532"/>
      <c r="N640" s="532"/>
      <c r="O640" s="532"/>
      <c r="P640" s="532"/>
      <c r="Q640" s="532"/>
    </row>
    <row r="641">
      <c r="A641" s="1451"/>
      <c r="B641" s="532"/>
      <c r="C641" s="532"/>
      <c r="D641" s="532"/>
      <c r="E641" s="532"/>
      <c r="F641" s="532"/>
      <c r="G641" s="532"/>
      <c r="H641" s="532"/>
      <c r="I641" s="532"/>
      <c r="J641" s="532"/>
      <c r="K641" s="532"/>
      <c r="L641" s="532"/>
      <c r="M641" s="532"/>
      <c r="N641" s="532"/>
      <c r="O641" s="532"/>
      <c r="P641" s="532"/>
      <c r="Q641" s="532"/>
    </row>
    <row r="642">
      <c r="A642" s="1451"/>
      <c r="B642" s="532"/>
      <c r="C642" s="532"/>
      <c r="D642" s="532"/>
      <c r="E642" s="532"/>
      <c r="F642" s="532"/>
      <c r="G642" s="532"/>
      <c r="H642" s="532"/>
      <c r="I642" s="532"/>
      <c r="J642" s="532"/>
      <c r="K642" s="532"/>
      <c r="L642" s="532"/>
      <c r="M642" s="532"/>
      <c r="N642" s="532"/>
      <c r="O642" s="532"/>
      <c r="P642" s="532"/>
      <c r="Q642" s="532"/>
    </row>
    <row r="643">
      <c r="A643" s="1451"/>
      <c r="B643" s="532"/>
      <c r="C643" s="532"/>
      <c r="D643" s="532"/>
      <c r="E643" s="532"/>
      <c r="F643" s="532"/>
      <c r="G643" s="532"/>
      <c r="H643" s="532"/>
      <c r="I643" s="532"/>
      <c r="J643" s="532"/>
      <c r="K643" s="532"/>
      <c r="L643" s="532"/>
      <c r="M643" s="532"/>
      <c r="N643" s="532"/>
      <c r="O643" s="532"/>
      <c r="P643" s="532"/>
      <c r="Q643" s="532"/>
    </row>
    <row r="644">
      <c r="A644" s="1451"/>
      <c r="B644" s="532"/>
      <c r="C644" s="532"/>
      <c r="D644" s="532"/>
      <c r="E644" s="532"/>
      <c r="F644" s="532"/>
      <c r="G644" s="532"/>
      <c r="H644" s="532"/>
      <c r="I644" s="532"/>
      <c r="J644" s="532"/>
      <c r="K644" s="532"/>
      <c r="L644" s="532"/>
      <c r="M644" s="532"/>
      <c r="N644" s="532"/>
      <c r="O644" s="532"/>
      <c r="P644" s="532"/>
      <c r="Q644" s="532"/>
    </row>
    <row r="645">
      <c r="A645" s="1451"/>
      <c r="B645" s="532"/>
      <c r="C645" s="532"/>
      <c r="D645" s="532"/>
      <c r="E645" s="532"/>
      <c r="F645" s="532"/>
      <c r="G645" s="532"/>
      <c r="H645" s="532"/>
      <c r="I645" s="532"/>
      <c r="J645" s="532"/>
      <c r="K645" s="532"/>
      <c r="L645" s="532"/>
      <c r="M645" s="532"/>
      <c r="N645" s="532"/>
      <c r="O645" s="532"/>
      <c r="P645" s="532"/>
      <c r="Q645" s="532"/>
    </row>
    <row r="646">
      <c r="A646" s="1451"/>
      <c r="B646" s="532"/>
      <c r="C646" s="532"/>
      <c r="D646" s="532"/>
      <c r="E646" s="532"/>
      <c r="F646" s="532"/>
      <c r="G646" s="532"/>
      <c r="H646" s="532"/>
      <c r="I646" s="532"/>
      <c r="J646" s="532"/>
      <c r="K646" s="532"/>
      <c r="L646" s="532"/>
      <c r="M646" s="532"/>
      <c r="N646" s="532"/>
      <c r="O646" s="532"/>
      <c r="P646" s="532"/>
      <c r="Q646" s="532"/>
    </row>
    <row r="647">
      <c r="A647" s="1451"/>
      <c r="B647" s="532"/>
      <c r="C647" s="532"/>
      <c r="D647" s="532"/>
      <c r="E647" s="532"/>
      <c r="F647" s="532"/>
      <c r="G647" s="532"/>
      <c r="H647" s="532"/>
      <c r="I647" s="532"/>
      <c r="J647" s="532"/>
      <c r="K647" s="532"/>
      <c r="L647" s="532"/>
      <c r="M647" s="532"/>
      <c r="N647" s="532"/>
      <c r="O647" s="532"/>
      <c r="P647" s="532"/>
      <c r="Q647" s="532"/>
    </row>
    <row r="648">
      <c r="A648" s="1451"/>
      <c r="B648" s="532"/>
      <c r="C648" s="532"/>
      <c r="D648" s="532"/>
      <c r="E648" s="532"/>
      <c r="F648" s="532"/>
      <c r="G648" s="532"/>
      <c r="H648" s="532"/>
      <c r="I648" s="532"/>
      <c r="J648" s="532"/>
      <c r="K648" s="532"/>
      <c r="L648" s="532"/>
      <c r="M648" s="532"/>
      <c r="N648" s="532"/>
      <c r="O648" s="532"/>
      <c r="P648" s="532"/>
      <c r="Q648" s="532"/>
    </row>
    <row r="649">
      <c r="A649" s="1451"/>
      <c r="B649" s="532"/>
      <c r="C649" s="532"/>
      <c r="D649" s="532"/>
      <c r="E649" s="532"/>
      <c r="F649" s="532"/>
      <c r="G649" s="532"/>
      <c r="H649" s="532"/>
      <c r="I649" s="532"/>
      <c r="J649" s="532"/>
      <c r="K649" s="532"/>
      <c r="L649" s="532"/>
      <c r="M649" s="532"/>
      <c r="N649" s="532"/>
      <c r="O649" s="532"/>
      <c r="P649" s="532"/>
      <c r="Q649" s="532"/>
    </row>
    <row r="650">
      <c r="A650" s="1451"/>
      <c r="B650" s="532"/>
      <c r="C650" s="532"/>
      <c r="D650" s="532"/>
      <c r="E650" s="532"/>
      <c r="F650" s="532"/>
      <c r="G650" s="532"/>
      <c r="H650" s="532"/>
      <c r="I650" s="532"/>
      <c r="J650" s="532"/>
      <c r="K650" s="532"/>
      <c r="L650" s="532"/>
      <c r="M650" s="532"/>
      <c r="N650" s="532"/>
      <c r="O650" s="532"/>
      <c r="P650" s="532"/>
      <c r="Q650" s="532"/>
    </row>
    <row r="651">
      <c r="A651" s="1451"/>
      <c r="B651" s="532"/>
      <c r="C651" s="532"/>
      <c r="D651" s="532"/>
      <c r="E651" s="532"/>
      <c r="F651" s="532"/>
      <c r="G651" s="532"/>
      <c r="H651" s="532"/>
      <c r="I651" s="532"/>
      <c r="J651" s="532"/>
      <c r="K651" s="532"/>
      <c r="L651" s="532"/>
      <c r="M651" s="532"/>
      <c r="N651" s="532"/>
      <c r="O651" s="532"/>
      <c r="P651" s="532"/>
      <c r="Q651" s="532"/>
    </row>
    <row r="652">
      <c r="A652" s="1451"/>
      <c r="B652" s="532"/>
      <c r="C652" s="532"/>
      <c r="D652" s="532"/>
      <c r="E652" s="532"/>
      <c r="F652" s="532"/>
      <c r="G652" s="532"/>
      <c r="H652" s="532"/>
      <c r="I652" s="532"/>
      <c r="J652" s="532"/>
      <c r="K652" s="532"/>
      <c r="L652" s="532"/>
      <c r="M652" s="532"/>
      <c r="N652" s="532"/>
      <c r="O652" s="532"/>
      <c r="P652" s="532"/>
      <c r="Q652" s="532"/>
    </row>
    <row r="653">
      <c r="A653" s="1451"/>
      <c r="B653" s="532"/>
      <c r="C653" s="532"/>
      <c r="D653" s="532"/>
      <c r="E653" s="532"/>
      <c r="F653" s="532"/>
      <c r="G653" s="532"/>
      <c r="H653" s="532"/>
      <c r="I653" s="532"/>
      <c r="J653" s="532"/>
      <c r="K653" s="532"/>
      <c r="L653" s="532"/>
      <c r="M653" s="532"/>
      <c r="N653" s="532"/>
      <c r="O653" s="532"/>
      <c r="P653" s="532"/>
      <c r="Q653" s="532"/>
    </row>
    <row r="654">
      <c r="A654" s="1451"/>
      <c r="B654" s="532"/>
      <c r="C654" s="532"/>
      <c r="D654" s="532"/>
      <c r="E654" s="532"/>
      <c r="F654" s="532"/>
      <c r="G654" s="532"/>
      <c r="H654" s="532"/>
      <c r="I654" s="532"/>
      <c r="J654" s="532"/>
      <c r="K654" s="532"/>
      <c r="L654" s="532"/>
      <c r="M654" s="532"/>
      <c r="N654" s="532"/>
      <c r="O654" s="532"/>
      <c r="P654" s="532"/>
      <c r="Q654" s="532"/>
    </row>
    <row r="655">
      <c r="A655" s="1451"/>
      <c r="B655" s="532"/>
      <c r="C655" s="532"/>
      <c r="D655" s="532"/>
      <c r="E655" s="532"/>
      <c r="F655" s="532"/>
      <c r="G655" s="532"/>
      <c r="H655" s="532"/>
      <c r="I655" s="532"/>
      <c r="J655" s="532"/>
      <c r="K655" s="532"/>
      <c r="L655" s="532"/>
      <c r="M655" s="532"/>
      <c r="N655" s="532"/>
      <c r="O655" s="532"/>
      <c r="P655" s="532"/>
      <c r="Q655" s="532"/>
    </row>
    <row r="656">
      <c r="A656" s="1451"/>
      <c r="B656" s="532"/>
      <c r="C656" s="532"/>
      <c r="D656" s="532"/>
      <c r="E656" s="532"/>
      <c r="F656" s="532"/>
      <c r="G656" s="532"/>
      <c r="H656" s="532"/>
      <c r="I656" s="532"/>
      <c r="J656" s="532"/>
      <c r="K656" s="532"/>
      <c r="L656" s="532"/>
      <c r="M656" s="532"/>
      <c r="N656" s="532"/>
      <c r="O656" s="532"/>
      <c r="P656" s="532"/>
      <c r="Q656" s="532"/>
    </row>
    <row r="657">
      <c r="A657" s="1451"/>
      <c r="B657" s="532"/>
      <c r="C657" s="532"/>
      <c r="D657" s="532"/>
      <c r="E657" s="532"/>
      <c r="F657" s="532"/>
      <c r="G657" s="532"/>
      <c r="H657" s="532"/>
      <c r="I657" s="532"/>
      <c r="J657" s="532"/>
      <c r="K657" s="532"/>
      <c r="L657" s="532"/>
      <c r="M657" s="532"/>
      <c r="N657" s="532"/>
      <c r="O657" s="532"/>
      <c r="P657" s="532"/>
      <c r="Q657" s="532"/>
    </row>
    <row r="658">
      <c r="A658" s="1451"/>
      <c r="B658" s="532"/>
      <c r="C658" s="532"/>
      <c r="D658" s="532"/>
      <c r="E658" s="532"/>
      <c r="F658" s="532"/>
      <c r="G658" s="532"/>
      <c r="H658" s="532"/>
      <c r="I658" s="532"/>
      <c r="J658" s="532"/>
      <c r="K658" s="532"/>
      <c r="L658" s="532"/>
      <c r="M658" s="532"/>
      <c r="N658" s="532"/>
      <c r="O658" s="532"/>
      <c r="P658" s="532"/>
      <c r="Q658" s="532"/>
    </row>
    <row r="659">
      <c r="A659" s="1451"/>
      <c r="B659" s="532"/>
      <c r="C659" s="532"/>
      <c r="D659" s="532"/>
      <c r="E659" s="532"/>
      <c r="F659" s="532"/>
      <c r="G659" s="532"/>
      <c r="H659" s="532"/>
      <c r="I659" s="532"/>
      <c r="J659" s="532"/>
      <c r="K659" s="532"/>
      <c r="L659" s="532"/>
      <c r="M659" s="532"/>
      <c r="N659" s="532"/>
      <c r="O659" s="532"/>
      <c r="P659" s="532"/>
      <c r="Q659" s="532"/>
    </row>
    <row r="660">
      <c r="A660" s="1451"/>
      <c r="B660" s="532"/>
      <c r="C660" s="532"/>
      <c r="D660" s="532"/>
      <c r="E660" s="532"/>
      <c r="F660" s="532"/>
      <c r="G660" s="532"/>
      <c r="H660" s="532"/>
      <c r="I660" s="532"/>
      <c r="J660" s="532"/>
      <c r="K660" s="532"/>
      <c r="L660" s="532"/>
      <c r="M660" s="532"/>
      <c r="N660" s="532"/>
      <c r="O660" s="532"/>
      <c r="P660" s="532"/>
      <c r="Q660" s="532"/>
    </row>
    <row r="661">
      <c r="A661" s="1451"/>
      <c r="B661" s="532"/>
      <c r="C661" s="532"/>
      <c r="D661" s="532"/>
      <c r="E661" s="532"/>
      <c r="F661" s="532"/>
      <c r="G661" s="532"/>
      <c r="H661" s="532"/>
      <c r="I661" s="532"/>
      <c r="J661" s="532"/>
      <c r="K661" s="532"/>
      <c r="L661" s="532"/>
      <c r="M661" s="532"/>
      <c r="N661" s="532"/>
      <c r="O661" s="532"/>
      <c r="P661" s="532"/>
      <c r="Q661" s="532"/>
    </row>
    <row r="662">
      <c r="A662" s="1451"/>
      <c r="B662" s="532"/>
      <c r="C662" s="532"/>
      <c r="D662" s="532"/>
      <c r="E662" s="532"/>
      <c r="F662" s="532"/>
      <c r="G662" s="532"/>
      <c r="H662" s="532"/>
      <c r="I662" s="532"/>
      <c r="J662" s="532"/>
      <c r="K662" s="532"/>
      <c r="L662" s="532"/>
      <c r="M662" s="532"/>
      <c r="N662" s="532"/>
      <c r="O662" s="532"/>
      <c r="P662" s="532"/>
      <c r="Q662" s="532"/>
    </row>
    <row r="663">
      <c r="A663" s="1451"/>
      <c r="B663" s="532"/>
      <c r="C663" s="532"/>
      <c r="D663" s="532"/>
      <c r="E663" s="532"/>
      <c r="F663" s="532"/>
      <c r="G663" s="532"/>
      <c r="H663" s="532"/>
      <c r="I663" s="532"/>
      <c r="J663" s="532"/>
      <c r="K663" s="532"/>
      <c r="L663" s="532"/>
      <c r="M663" s="532"/>
      <c r="N663" s="532"/>
      <c r="O663" s="532"/>
      <c r="P663" s="532"/>
      <c r="Q663" s="532"/>
    </row>
    <row r="664">
      <c r="A664" s="1451"/>
      <c r="B664" s="532"/>
      <c r="C664" s="532"/>
      <c r="D664" s="532"/>
      <c r="E664" s="532"/>
      <c r="F664" s="532"/>
      <c r="G664" s="532"/>
      <c r="H664" s="532"/>
      <c r="I664" s="532"/>
      <c r="J664" s="532"/>
      <c r="K664" s="532"/>
      <c r="L664" s="532"/>
      <c r="M664" s="532"/>
      <c r="N664" s="532"/>
      <c r="O664" s="532"/>
      <c r="P664" s="532"/>
      <c r="Q664" s="532"/>
    </row>
    <row r="665">
      <c r="A665" s="1451"/>
      <c r="B665" s="532"/>
      <c r="C665" s="532"/>
      <c r="D665" s="532"/>
      <c r="E665" s="532"/>
      <c r="F665" s="532"/>
      <c r="G665" s="532"/>
      <c r="H665" s="532"/>
      <c r="I665" s="532"/>
      <c r="J665" s="532"/>
      <c r="K665" s="532"/>
      <c r="L665" s="532"/>
      <c r="M665" s="532"/>
      <c r="N665" s="532"/>
      <c r="O665" s="532"/>
      <c r="P665" s="532"/>
      <c r="Q665" s="532"/>
    </row>
    <row r="666">
      <c r="A666" s="1451"/>
      <c r="B666" s="532"/>
      <c r="C666" s="532"/>
      <c r="D666" s="532"/>
      <c r="E666" s="532"/>
      <c r="F666" s="532"/>
      <c r="G666" s="532"/>
      <c r="H666" s="532"/>
      <c r="I666" s="532"/>
      <c r="J666" s="532"/>
      <c r="K666" s="532"/>
      <c r="L666" s="532"/>
      <c r="M666" s="532"/>
      <c r="N666" s="532"/>
      <c r="O666" s="532"/>
      <c r="P666" s="532"/>
      <c r="Q666" s="532"/>
    </row>
    <row r="667">
      <c r="A667" s="1451"/>
      <c r="B667" s="532"/>
      <c r="C667" s="532"/>
      <c r="D667" s="532"/>
      <c r="E667" s="532"/>
      <c r="F667" s="532"/>
      <c r="G667" s="532"/>
      <c r="H667" s="532"/>
      <c r="I667" s="532"/>
      <c r="J667" s="532"/>
      <c r="K667" s="532"/>
      <c r="L667" s="532"/>
      <c r="M667" s="532"/>
      <c r="N667" s="532"/>
      <c r="O667" s="532"/>
      <c r="P667" s="532"/>
      <c r="Q667" s="532"/>
    </row>
    <row r="668">
      <c r="A668" s="1451"/>
      <c r="B668" s="532"/>
      <c r="C668" s="532"/>
      <c r="D668" s="532"/>
      <c r="E668" s="532"/>
      <c r="F668" s="532"/>
      <c r="G668" s="532"/>
      <c r="H668" s="532"/>
      <c r="I668" s="532"/>
      <c r="J668" s="532"/>
      <c r="K668" s="532"/>
      <c r="L668" s="532"/>
      <c r="M668" s="532"/>
      <c r="N668" s="532"/>
      <c r="O668" s="532"/>
      <c r="P668" s="532"/>
      <c r="Q668" s="532"/>
    </row>
    <row r="669">
      <c r="A669" s="1451"/>
      <c r="B669" s="532"/>
      <c r="C669" s="532"/>
      <c r="D669" s="532"/>
      <c r="E669" s="532"/>
      <c r="F669" s="532"/>
      <c r="G669" s="532"/>
      <c r="H669" s="532"/>
      <c r="I669" s="532"/>
      <c r="J669" s="532"/>
      <c r="K669" s="532"/>
      <c r="L669" s="532"/>
      <c r="M669" s="532"/>
      <c r="N669" s="532"/>
      <c r="O669" s="532"/>
      <c r="P669" s="532"/>
      <c r="Q669" s="532"/>
    </row>
    <row r="670">
      <c r="A670" s="1451"/>
      <c r="B670" s="532"/>
      <c r="C670" s="532"/>
      <c r="D670" s="532"/>
      <c r="E670" s="532"/>
      <c r="F670" s="532"/>
      <c r="G670" s="532"/>
      <c r="H670" s="532"/>
      <c r="I670" s="532"/>
      <c r="J670" s="532"/>
      <c r="K670" s="532"/>
      <c r="L670" s="532"/>
      <c r="M670" s="532"/>
      <c r="N670" s="532"/>
      <c r="O670" s="532"/>
      <c r="P670" s="532"/>
      <c r="Q670" s="532"/>
    </row>
    <row r="671">
      <c r="A671" s="1451"/>
      <c r="B671" s="532"/>
      <c r="C671" s="532"/>
      <c r="D671" s="532"/>
      <c r="E671" s="532"/>
      <c r="F671" s="532"/>
      <c r="G671" s="532"/>
      <c r="H671" s="532"/>
      <c r="I671" s="532"/>
      <c r="J671" s="532"/>
      <c r="K671" s="532"/>
      <c r="L671" s="532"/>
      <c r="M671" s="532"/>
      <c r="N671" s="532"/>
      <c r="O671" s="532"/>
      <c r="P671" s="532"/>
      <c r="Q671" s="532"/>
    </row>
    <row r="672">
      <c r="A672" s="1451"/>
      <c r="B672" s="532"/>
      <c r="C672" s="532"/>
      <c r="D672" s="532"/>
      <c r="E672" s="532"/>
      <c r="F672" s="532"/>
      <c r="G672" s="532"/>
      <c r="H672" s="532"/>
      <c r="I672" s="532"/>
      <c r="J672" s="532"/>
      <c r="K672" s="532"/>
      <c r="L672" s="532"/>
      <c r="M672" s="532"/>
      <c r="N672" s="532"/>
      <c r="O672" s="532"/>
      <c r="P672" s="532"/>
      <c r="Q672" s="532"/>
    </row>
    <row r="673">
      <c r="A673" s="1451"/>
      <c r="B673" s="532"/>
      <c r="C673" s="532"/>
      <c r="D673" s="532"/>
      <c r="E673" s="532"/>
      <c r="F673" s="532"/>
      <c r="G673" s="532"/>
      <c r="H673" s="532"/>
      <c r="I673" s="532"/>
      <c r="J673" s="532"/>
      <c r="K673" s="532"/>
      <c r="L673" s="532"/>
      <c r="M673" s="532"/>
      <c r="N673" s="532"/>
      <c r="O673" s="532"/>
      <c r="P673" s="532"/>
      <c r="Q673" s="532"/>
    </row>
    <row r="674">
      <c r="A674" s="1451"/>
      <c r="B674" s="532"/>
      <c r="C674" s="532"/>
      <c r="D674" s="532"/>
      <c r="E674" s="532"/>
      <c r="F674" s="532"/>
      <c r="G674" s="532"/>
      <c r="H674" s="532"/>
      <c r="I674" s="532"/>
      <c r="J674" s="532"/>
      <c r="K674" s="532"/>
      <c r="L674" s="532"/>
      <c r="M674" s="532"/>
      <c r="N674" s="532"/>
      <c r="O674" s="532"/>
      <c r="P674" s="532"/>
      <c r="Q674" s="532"/>
    </row>
    <row r="675">
      <c r="A675" s="1451"/>
      <c r="B675" s="532"/>
      <c r="C675" s="532"/>
      <c r="D675" s="532"/>
      <c r="E675" s="532"/>
      <c r="F675" s="532"/>
      <c r="G675" s="532"/>
      <c r="H675" s="532"/>
      <c r="I675" s="532"/>
      <c r="J675" s="532"/>
      <c r="K675" s="532"/>
      <c r="L675" s="532"/>
      <c r="M675" s="532"/>
      <c r="N675" s="532"/>
      <c r="O675" s="532"/>
      <c r="P675" s="532"/>
      <c r="Q675" s="532"/>
    </row>
    <row r="676">
      <c r="A676" s="1451"/>
      <c r="B676" s="532"/>
      <c r="C676" s="532"/>
      <c r="D676" s="532"/>
      <c r="E676" s="532"/>
      <c r="F676" s="532"/>
      <c r="G676" s="532"/>
      <c r="H676" s="532"/>
      <c r="I676" s="532"/>
      <c r="J676" s="532"/>
      <c r="K676" s="532"/>
      <c r="L676" s="532"/>
      <c r="M676" s="532"/>
      <c r="N676" s="532"/>
      <c r="O676" s="532"/>
      <c r="P676" s="532"/>
      <c r="Q676" s="532"/>
    </row>
    <row r="677">
      <c r="A677" s="1451"/>
      <c r="B677" s="532"/>
      <c r="C677" s="532"/>
      <c r="D677" s="532"/>
      <c r="E677" s="532"/>
      <c r="F677" s="532"/>
      <c r="G677" s="532"/>
      <c r="H677" s="532"/>
      <c r="I677" s="532"/>
      <c r="J677" s="532"/>
      <c r="K677" s="532"/>
      <c r="L677" s="532"/>
      <c r="M677" s="532"/>
      <c r="N677" s="532"/>
      <c r="O677" s="532"/>
      <c r="P677" s="532"/>
      <c r="Q677" s="532"/>
    </row>
    <row r="678">
      <c r="A678" s="1451"/>
      <c r="B678" s="532"/>
      <c r="C678" s="532"/>
      <c r="D678" s="532"/>
      <c r="E678" s="532"/>
      <c r="F678" s="532"/>
      <c r="G678" s="532"/>
      <c r="H678" s="532"/>
      <c r="I678" s="532"/>
      <c r="J678" s="532"/>
      <c r="K678" s="532"/>
      <c r="L678" s="532"/>
      <c r="M678" s="532"/>
      <c r="N678" s="532"/>
      <c r="O678" s="532"/>
      <c r="P678" s="532"/>
      <c r="Q678" s="532"/>
    </row>
    <row r="679">
      <c r="A679" s="1451"/>
      <c r="B679" s="532"/>
      <c r="C679" s="532"/>
      <c r="D679" s="532"/>
      <c r="E679" s="532"/>
      <c r="F679" s="532"/>
      <c r="G679" s="532"/>
      <c r="H679" s="532"/>
      <c r="I679" s="532"/>
      <c r="J679" s="532"/>
      <c r="K679" s="532"/>
      <c r="L679" s="532"/>
      <c r="M679" s="532"/>
      <c r="N679" s="532"/>
      <c r="O679" s="532"/>
      <c r="P679" s="532"/>
      <c r="Q679" s="532"/>
    </row>
    <row r="680">
      <c r="A680" s="1451"/>
      <c r="B680" s="532"/>
      <c r="C680" s="532"/>
      <c r="D680" s="532"/>
      <c r="E680" s="532"/>
      <c r="F680" s="532"/>
      <c r="G680" s="532"/>
      <c r="H680" s="532"/>
      <c r="I680" s="532"/>
      <c r="J680" s="532"/>
      <c r="K680" s="532"/>
      <c r="L680" s="532"/>
      <c r="M680" s="532"/>
      <c r="N680" s="532"/>
      <c r="O680" s="532"/>
      <c r="P680" s="532"/>
      <c r="Q680" s="532"/>
    </row>
    <row r="681">
      <c r="A681" s="1451"/>
      <c r="B681" s="532"/>
      <c r="C681" s="532"/>
      <c r="D681" s="532"/>
      <c r="E681" s="532"/>
      <c r="F681" s="532"/>
      <c r="G681" s="532"/>
      <c r="H681" s="532"/>
      <c r="I681" s="532"/>
      <c r="J681" s="532"/>
      <c r="K681" s="532"/>
      <c r="L681" s="532"/>
      <c r="M681" s="532"/>
      <c r="N681" s="532"/>
      <c r="O681" s="532"/>
      <c r="P681" s="532"/>
      <c r="Q681" s="532"/>
    </row>
    <row r="682">
      <c r="A682" s="1451"/>
      <c r="B682" s="532"/>
      <c r="C682" s="532"/>
      <c r="D682" s="532"/>
      <c r="E682" s="532"/>
      <c r="F682" s="532"/>
      <c r="G682" s="532"/>
      <c r="H682" s="532"/>
      <c r="I682" s="532"/>
      <c r="J682" s="532"/>
      <c r="K682" s="532"/>
      <c r="L682" s="532"/>
      <c r="M682" s="532"/>
      <c r="N682" s="532"/>
      <c r="O682" s="532"/>
      <c r="P682" s="532"/>
      <c r="Q682" s="532"/>
    </row>
    <row r="683">
      <c r="A683" s="1451"/>
      <c r="B683" s="532"/>
      <c r="C683" s="532"/>
      <c r="D683" s="532"/>
      <c r="E683" s="532"/>
      <c r="F683" s="532"/>
      <c r="G683" s="532"/>
      <c r="H683" s="532"/>
      <c r="I683" s="532"/>
      <c r="J683" s="532"/>
      <c r="K683" s="532"/>
      <c r="L683" s="532"/>
      <c r="M683" s="532"/>
      <c r="N683" s="532"/>
      <c r="O683" s="532"/>
      <c r="P683" s="532"/>
      <c r="Q683" s="532"/>
    </row>
    <row r="684">
      <c r="A684" s="1451"/>
      <c r="B684" s="532"/>
      <c r="C684" s="532"/>
      <c r="D684" s="532"/>
      <c r="E684" s="532"/>
      <c r="F684" s="532"/>
      <c r="G684" s="532"/>
      <c r="H684" s="532"/>
      <c r="I684" s="532"/>
      <c r="J684" s="532"/>
      <c r="K684" s="532"/>
      <c r="L684" s="532"/>
      <c r="M684" s="532"/>
      <c r="N684" s="532"/>
      <c r="O684" s="532"/>
      <c r="P684" s="532"/>
      <c r="Q684" s="532"/>
    </row>
    <row r="685">
      <c r="A685" s="1451"/>
      <c r="B685" s="532"/>
      <c r="C685" s="532"/>
      <c r="D685" s="532"/>
      <c r="E685" s="532"/>
      <c r="F685" s="532"/>
      <c r="G685" s="532"/>
      <c r="H685" s="532"/>
      <c r="I685" s="532"/>
      <c r="J685" s="532"/>
      <c r="K685" s="532"/>
      <c r="L685" s="532"/>
      <c r="M685" s="532"/>
      <c r="N685" s="532"/>
      <c r="O685" s="532"/>
      <c r="P685" s="532"/>
      <c r="Q685" s="532"/>
    </row>
    <row r="686">
      <c r="A686" s="1451"/>
      <c r="B686" s="532"/>
      <c r="C686" s="532"/>
      <c r="D686" s="532"/>
      <c r="E686" s="532"/>
      <c r="F686" s="532"/>
      <c r="G686" s="532"/>
      <c r="H686" s="532"/>
      <c r="I686" s="532"/>
      <c r="J686" s="532"/>
      <c r="K686" s="532"/>
      <c r="L686" s="532"/>
      <c r="M686" s="532"/>
      <c r="N686" s="532"/>
      <c r="O686" s="532"/>
      <c r="P686" s="532"/>
      <c r="Q686" s="532"/>
    </row>
    <row r="687">
      <c r="A687" s="1451"/>
      <c r="B687" s="532"/>
      <c r="C687" s="532"/>
      <c r="D687" s="532"/>
      <c r="E687" s="532"/>
      <c r="F687" s="532"/>
      <c r="G687" s="532"/>
      <c r="H687" s="532"/>
      <c r="I687" s="532"/>
      <c r="J687" s="532"/>
      <c r="K687" s="532"/>
      <c r="L687" s="532"/>
      <c r="M687" s="532"/>
      <c r="N687" s="532"/>
      <c r="O687" s="532"/>
      <c r="P687" s="532"/>
      <c r="Q687" s="532"/>
    </row>
    <row r="688">
      <c r="A688" s="1451"/>
      <c r="B688" s="532"/>
      <c r="C688" s="532"/>
      <c r="D688" s="532"/>
      <c r="E688" s="532"/>
      <c r="F688" s="532"/>
      <c r="G688" s="532"/>
      <c r="H688" s="532"/>
      <c r="I688" s="532"/>
      <c r="J688" s="532"/>
      <c r="K688" s="532"/>
      <c r="L688" s="532"/>
      <c r="M688" s="532"/>
      <c r="N688" s="532"/>
      <c r="O688" s="532"/>
      <c r="P688" s="532"/>
      <c r="Q688" s="532"/>
    </row>
    <row r="689">
      <c r="A689" s="1451"/>
      <c r="B689" s="532"/>
      <c r="C689" s="532"/>
      <c r="D689" s="532"/>
      <c r="E689" s="532"/>
      <c r="F689" s="532"/>
      <c r="G689" s="532"/>
      <c r="H689" s="532"/>
      <c r="I689" s="532"/>
      <c r="J689" s="532"/>
      <c r="K689" s="532"/>
      <c r="L689" s="532"/>
      <c r="M689" s="532"/>
      <c r="N689" s="532"/>
      <c r="O689" s="532"/>
      <c r="P689" s="532"/>
      <c r="Q689" s="532"/>
    </row>
    <row r="690">
      <c r="A690" s="1451"/>
      <c r="B690" s="532"/>
      <c r="C690" s="532"/>
      <c r="D690" s="532"/>
      <c r="E690" s="532"/>
      <c r="F690" s="532"/>
      <c r="G690" s="532"/>
      <c r="H690" s="532"/>
      <c r="I690" s="532"/>
      <c r="J690" s="532"/>
      <c r="K690" s="532"/>
      <c r="L690" s="532"/>
      <c r="M690" s="532"/>
      <c r="N690" s="532"/>
      <c r="O690" s="532"/>
      <c r="P690" s="532"/>
      <c r="Q690" s="532"/>
    </row>
    <row r="691">
      <c r="A691" s="1451"/>
      <c r="B691" s="532"/>
      <c r="C691" s="532"/>
      <c r="D691" s="532"/>
      <c r="E691" s="532"/>
      <c r="F691" s="532"/>
      <c r="G691" s="532"/>
      <c r="H691" s="532"/>
      <c r="I691" s="532"/>
      <c r="J691" s="532"/>
      <c r="K691" s="532"/>
      <c r="L691" s="532"/>
      <c r="M691" s="532"/>
      <c r="N691" s="532"/>
      <c r="O691" s="532"/>
      <c r="P691" s="532"/>
      <c r="Q691" s="532"/>
    </row>
    <row r="692">
      <c r="A692" s="1451"/>
      <c r="B692" s="532"/>
      <c r="C692" s="532"/>
      <c r="D692" s="532"/>
      <c r="E692" s="532"/>
      <c r="F692" s="532"/>
      <c r="G692" s="532"/>
      <c r="H692" s="532"/>
      <c r="I692" s="532"/>
      <c r="J692" s="532"/>
      <c r="K692" s="532"/>
      <c r="L692" s="532"/>
      <c r="M692" s="532"/>
      <c r="N692" s="532"/>
      <c r="O692" s="532"/>
      <c r="P692" s="532"/>
      <c r="Q692" s="532"/>
    </row>
    <row r="693">
      <c r="A693" s="1451"/>
      <c r="B693" s="532"/>
      <c r="C693" s="532"/>
      <c r="D693" s="532"/>
      <c r="E693" s="532"/>
      <c r="F693" s="532"/>
      <c r="G693" s="532"/>
      <c r="H693" s="532"/>
      <c r="I693" s="532"/>
      <c r="J693" s="532"/>
      <c r="K693" s="532"/>
      <c r="L693" s="532"/>
      <c r="M693" s="532"/>
      <c r="N693" s="532"/>
      <c r="O693" s="532"/>
      <c r="P693" s="532"/>
      <c r="Q693" s="532"/>
    </row>
    <row r="694">
      <c r="A694" s="1451"/>
      <c r="B694" s="532"/>
      <c r="C694" s="532"/>
      <c r="D694" s="532"/>
      <c r="E694" s="532"/>
      <c r="F694" s="532"/>
      <c r="G694" s="532"/>
      <c r="H694" s="532"/>
      <c r="I694" s="532"/>
      <c r="J694" s="532"/>
      <c r="K694" s="532"/>
      <c r="L694" s="532"/>
      <c r="M694" s="532"/>
      <c r="N694" s="532"/>
      <c r="O694" s="532"/>
      <c r="P694" s="532"/>
      <c r="Q694" s="532"/>
    </row>
    <row r="695">
      <c r="A695" s="1451"/>
      <c r="B695" s="532"/>
      <c r="C695" s="532"/>
      <c r="D695" s="532"/>
      <c r="E695" s="532"/>
      <c r="F695" s="532"/>
      <c r="G695" s="532"/>
      <c r="H695" s="532"/>
      <c r="I695" s="532"/>
      <c r="J695" s="532"/>
      <c r="K695" s="532"/>
      <c r="L695" s="532"/>
      <c r="M695" s="532"/>
      <c r="N695" s="532"/>
      <c r="O695" s="532"/>
      <c r="P695" s="532"/>
      <c r="Q695" s="532"/>
    </row>
    <row r="696">
      <c r="A696" s="1451"/>
      <c r="B696" s="532"/>
      <c r="C696" s="532"/>
      <c r="D696" s="532"/>
      <c r="E696" s="532"/>
      <c r="F696" s="532"/>
      <c r="G696" s="532"/>
      <c r="H696" s="532"/>
      <c r="I696" s="532"/>
      <c r="J696" s="532"/>
      <c r="K696" s="532"/>
      <c r="L696" s="532"/>
      <c r="M696" s="532"/>
      <c r="N696" s="532"/>
      <c r="O696" s="532"/>
      <c r="P696" s="532"/>
      <c r="Q696" s="532"/>
    </row>
    <row r="697">
      <c r="A697" s="1451"/>
      <c r="B697" s="532"/>
      <c r="C697" s="532"/>
      <c r="D697" s="532"/>
      <c r="E697" s="532"/>
      <c r="F697" s="532"/>
      <c r="G697" s="532"/>
      <c r="H697" s="532"/>
      <c r="I697" s="532"/>
      <c r="J697" s="532"/>
      <c r="K697" s="532"/>
      <c r="L697" s="532"/>
      <c r="M697" s="532"/>
      <c r="N697" s="532"/>
      <c r="O697" s="532"/>
      <c r="P697" s="532"/>
      <c r="Q697" s="532"/>
    </row>
    <row r="698">
      <c r="A698" s="1451"/>
      <c r="B698" s="532"/>
      <c r="C698" s="532"/>
      <c r="D698" s="532"/>
      <c r="E698" s="532"/>
      <c r="F698" s="532"/>
      <c r="G698" s="532"/>
      <c r="H698" s="532"/>
      <c r="I698" s="532"/>
      <c r="J698" s="532"/>
      <c r="K698" s="532"/>
      <c r="L698" s="532"/>
      <c r="M698" s="532"/>
      <c r="N698" s="532"/>
      <c r="O698" s="532"/>
      <c r="P698" s="532"/>
      <c r="Q698" s="532"/>
    </row>
    <row r="699">
      <c r="A699" s="1451"/>
      <c r="B699" s="532"/>
      <c r="C699" s="532"/>
      <c r="D699" s="532"/>
      <c r="E699" s="532"/>
      <c r="F699" s="532"/>
      <c r="G699" s="532"/>
      <c r="H699" s="532"/>
      <c r="I699" s="532"/>
      <c r="J699" s="532"/>
      <c r="K699" s="532"/>
      <c r="L699" s="532"/>
      <c r="M699" s="532"/>
      <c r="N699" s="532"/>
      <c r="O699" s="532"/>
      <c r="P699" s="532"/>
      <c r="Q699" s="532"/>
    </row>
    <row r="700">
      <c r="A700" s="1451"/>
      <c r="B700" s="532"/>
      <c r="C700" s="532"/>
      <c r="D700" s="532"/>
      <c r="E700" s="532"/>
      <c r="F700" s="532"/>
      <c r="G700" s="532"/>
      <c r="H700" s="532"/>
      <c r="I700" s="532"/>
      <c r="J700" s="532"/>
      <c r="K700" s="532"/>
      <c r="L700" s="532"/>
      <c r="M700" s="532"/>
      <c r="N700" s="532"/>
      <c r="O700" s="532"/>
      <c r="P700" s="532"/>
      <c r="Q700" s="532"/>
    </row>
    <row r="701">
      <c r="A701" s="1451"/>
      <c r="B701" s="532"/>
      <c r="C701" s="532"/>
      <c r="D701" s="532"/>
      <c r="E701" s="532"/>
      <c r="F701" s="532"/>
      <c r="G701" s="532"/>
      <c r="H701" s="532"/>
      <c r="I701" s="532"/>
      <c r="J701" s="532"/>
      <c r="K701" s="532"/>
      <c r="L701" s="532"/>
      <c r="M701" s="532"/>
      <c r="N701" s="532"/>
      <c r="O701" s="532"/>
      <c r="P701" s="532"/>
      <c r="Q701" s="532"/>
    </row>
    <row r="702">
      <c r="A702" s="1451"/>
      <c r="B702" s="532"/>
      <c r="C702" s="532"/>
      <c r="D702" s="532"/>
      <c r="E702" s="532"/>
      <c r="F702" s="532"/>
      <c r="G702" s="532"/>
      <c r="H702" s="532"/>
      <c r="I702" s="532"/>
      <c r="J702" s="532"/>
      <c r="K702" s="532"/>
      <c r="L702" s="532"/>
      <c r="M702" s="532"/>
      <c r="N702" s="532"/>
      <c r="O702" s="532"/>
      <c r="P702" s="532"/>
      <c r="Q702" s="532"/>
    </row>
    <row r="703">
      <c r="A703" s="1451"/>
      <c r="B703" s="532"/>
      <c r="C703" s="532"/>
      <c r="D703" s="532"/>
      <c r="E703" s="532"/>
      <c r="F703" s="532"/>
      <c r="G703" s="532"/>
      <c r="H703" s="532"/>
      <c r="I703" s="532"/>
      <c r="J703" s="532"/>
      <c r="K703" s="532"/>
      <c r="L703" s="532"/>
      <c r="M703" s="532"/>
      <c r="N703" s="532"/>
      <c r="O703" s="532"/>
      <c r="P703" s="532"/>
      <c r="Q703" s="532"/>
    </row>
    <row r="704">
      <c r="A704" s="1451"/>
      <c r="B704" s="532"/>
      <c r="C704" s="532"/>
      <c r="D704" s="532"/>
      <c r="E704" s="532"/>
      <c r="F704" s="532"/>
      <c r="G704" s="532"/>
      <c r="H704" s="532"/>
      <c r="I704" s="532"/>
      <c r="J704" s="532"/>
      <c r="K704" s="532"/>
      <c r="L704" s="532"/>
      <c r="M704" s="532"/>
      <c r="N704" s="532"/>
      <c r="O704" s="532"/>
      <c r="P704" s="532"/>
      <c r="Q704" s="532"/>
    </row>
    <row r="705">
      <c r="A705" s="1451"/>
      <c r="B705" s="532"/>
      <c r="C705" s="532"/>
      <c r="D705" s="532"/>
      <c r="E705" s="532"/>
      <c r="F705" s="532"/>
      <c r="G705" s="532"/>
      <c r="H705" s="532"/>
      <c r="I705" s="532"/>
      <c r="J705" s="532"/>
      <c r="K705" s="532"/>
      <c r="L705" s="532"/>
      <c r="M705" s="532"/>
      <c r="N705" s="532"/>
      <c r="O705" s="532"/>
      <c r="P705" s="532"/>
      <c r="Q705" s="532"/>
    </row>
    <row r="706">
      <c r="A706" s="1451"/>
      <c r="B706" s="532"/>
      <c r="C706" s="532"/>
      <c r="D706" s="532"/>
      <c r="E706" s="532"/>
      <c r="F706" s="532"/>
      <c r="G706" s="532"/>
      <c r="H706" s="532"/>
      <c r="I706" s="532"/>
      <c r="J706" s="532"/>
      <c r="K706" s="532"/>
      <c r="L706" s="532"/>
      <c r="M706" s="532"/>
      <c r="N706" s="532"/>
      <c r="O706" s="532"/>
      <c r="P706" s="532"/>
      <c r="Q706" s="532"/>
    </row>
    <row r="707">
      <c r="A707" s="1451"/>
      <c r="B707" s="532"/>
      <c r="C707" s="532"/>
      <c r="D707" s="532"/>
      <c r="E707" s="532"/>
      <c r="F707" s="532"/>
      <c r="G707" s="532"/>
      <c r="H707" s="532"/>
      <c r="I707" s="532"/>
      <c r="J707" s="532"/>
      <c r="K707" s="532"/>
      <c r="L707" s="532"/>
      <c r="M707" s="532"/>
      <c r="N707" s="532"/>
      <c r="O707" s="532"/>
      <c r="P707" s="532"/>
      <c r="Q707" s="532"/>
    </row>
    <row r="708">
      <c r="A708" s="1451"/>
      <c r="B708" s="532"/>
      <c r="C708" s="532"/>
      <c r="D708" s="532"/>
      <c r="E708" s="532"/>
      <c r="F708" s="532"/>
      <c r="G708" s="532"/>
      <c r="H708" s="532"/>
      <c r="I708" s="532"/>
      <c r="J708" s="532"/>
      <c r="K708" s="532"/>
      <c r="L708" s="532"/>
      <c r="M708" s="532"/>
      <c r="N708" s="532"/>
      <c r="O708" s="532"/>
      <c r="P708" s="532"/>
      <c r="Q708" s="532"/>
    </row>
    <row r="709">
      <c r="A709" s="1451"/>
      <c r="B709" s="532"/>
      <c r="C709" s="532"/>
      <c r="D709" s="532"/>
      <c r="E709" s="532"/>
      <c r="F709" s="532"/>
      <c r="G709" s="532"/>
      <c r="H709" s="532"/>
      <c r="I709" s="532"/>
      <c r="J709" s="532"/>
      <c r="K709" s="532"/>
      <c r="L709" s="532"/>
      <c r="M709" s="532"/>
      <c r="N709" s="532"/>
      <c r="O709" s="532"/>
      <c r="P709" s="532"/>
      <c r="Q709" s="532"/>
    </row>
    <row r="710">
      <c r="A710" s="1451"/>
      <c r="B710" s="532"/>
      <c r="C710" s="532"/>
      <c r="D710" s="532"/>
      <c r="E710" s="532"/>
      <c r="F710" s="532"/>
      <c r="G710" s="532"/>
      <c r="H710" s="532"/>
      <c r="I710" s="532"/>
      <c r="J710" s="532"/>
      <c r="K710" s="532"/>
      <c r="L710" s="532"/>
      <c r="M710" s="532"/>
      <c r="N710" s="532"/>
      <c r="O710" s="532"/>
      <c r="P710" s="532"/>
      <c r="Q710" s="532"/>
    </row>
    <row r="711">
      <c r="A711" s="1451"/>
      <c r="B711" s="532"/>
      <c r="C711" s="532"/>
      <c r="D711" s="532"/>
      <c r="E711" s="532"/>
      <c r="F711" s="532"/>
      <c r="G711" s="532"/>
      <c r="H711" s="532"/>
      <c r="I711" s="532"/>
      <c r="J711" s="532"/>
      <c r="K711" s="532"/>
      <c r="L711" s="532"/>
      <c r="M711" s="532"/>
      <c r="N711" s="532"/>
      <c r="O711" s="532"/>
      <c r="P711" s="532"/>
      <c r="Q711" s="532"/>
    </row>
    <row r="712">
      <c r="A712" s="1451"/>
      <c r="B712" s="532"/>
      <c r="C712" s="532"/>
      <c r="D712" s="532"/>
      <c r="E712" s="532"/>
      <c r="F712" s="532"/>
      <c r="G712" s="532"/>
      <c r="H712" s="532"/>
      <c r="I712" s="532"/>
      <c r="J712" s="532"/>
      <c r="K712" s="532"/>
      <c r="L712" s="532"/>
      <c r="M712" s="532"/>
      <c r="N712" s="532"/>
      <c r="O712" s="532"/>
      <c r="P712" s="532"/>
      <c r="Q712" s="532"/>
    </row>
    <row r="713">
      <c r="A713" s="1451"/>
      <c r="B713" s="532"/>
      <c r="C713" s="532"/>
      <c r="D713" s="532"/>
      <c r="E713" s="532"/>
      <c r="F713" s="532"/>
      <c r="G713" s="532"/>
      <c r="H713" s="532"/>
      <c r="I713" s="532"/>
      <c r="J713" s="532"/>
      <c r="K713" s="532"/>
      <c r="L713" s="532"/>
      <c r="M713" s="532"/>
      <c r="N713" s="532"/>
      <c r="O713" s="532"/>
      <c r="P713" s="532"/>
      <c r="Q713" s="532"/>
    </row>
    <row r="714">
      <c r="A714" s="1451"/>
      <c r="B714" s="532"/>
      <c r="C714" s="532"/>
      <c r="D714" s="532"/>
      <c r="E714" s="532"/>
      <c r="F714" s="532"/>
      <c r="G714" s="532"/>
      <c r="H714" s="532"/>
      <c r="I714" s="532"/>
      <c r="J714" s="532"/>
      <c r="K714" s="532"/>
      <c r="L714" s="532"/>
      <c r="M714" s="532"/>
      <c r="N714" s="532"/>
      <c r="O714" s="532"/>
      <c r="P714" s="532"/>
      <c r="Q714" s="532"/>
    </row>
    <row r="715">
      <c r="A715" s="1451"/>
      <c r="B715" s="532"/>
      <c r="C715" s="532"/>
      <c r="D715" s="532"/>
      <c r="E715" s="532"/>
      <c r="F715" s="532"/>
      <c r="G715" s="532"/>
      <c r="H715" s="532"/>
      <c r="I715" s="532"/>
      <c r="J715" s="532"/>
      <c r="K715" s="532"/>
      <c r="L715" s="532"/>
      <c r="M715" s="532"/>
      <c r="N715" s="532"/>
      <c r="O715" s="532"/>
      <c r="P715" s="532"/>
      <c r="Q715" s="532"/>
    </row>
    <row r="716">
      <c r="A716" s="1451"/>
      <c r="B716" s="532"/>
      <c r="C716" s="532"/>
      <c r="D716" s="532"/>
      <c r="E716" s="532"/>
      <c r="F716" s="532"/>
      <c r="G716" s="532"/>
      <c r="H716" s="532"/>
      <c r="I716" s="532"/>
      <c r="J716" s="532"/>
      <c r="K716" s="532"/>
      <c r="L716" s="532"/>
      <c r="M716" s="532"/>
      <c r="N716" s="532"/>
      <c r="O716" s="532"/>
      <c r="P716" s="532"/>
      <c r="Q716" s="532"/>
    </row>
    <row r="717">
      <c r="A717" s="1451"/>
      <c r="B717" s="532"/>
      <c r="C717" s="532"/>
      <c r="D717" s="532"/>
      <c r="E717" s="532"/>
      <c r="F717" s="532"/>
      <c r="G717" s="532"/>
      <c r="H717" s="532"/>
      <c r="I717" s="532"/>
      <c r="J717" s="532"/>
      <c r="K717" s="532"/>
      <c r="L717" s="532"/>
      <c r="M717" s="532"/>
      <c r="N717" s="532"/>
      <c r="O717" s="532"/>
      <c r="P717" s="532"/>
      <c r="Q717" s="532"/>
    </row>
    <row r="718">
      <c r="A718" s="1451"/>
      <c r="B718" s="532"/>
      <c r="C718" s="532"/>
      <c r="D718" s="532"/>
      <c r="E718" s="532"/>
      <c r="F718" s="532"/>
      <c r="G718" s="532"/>
      <c r="H718" s="532"/>
      <c r="I718" s="532"/>
      <c r="J718" s="532"/>
      <c r="K718" s="532"/>
      <c r="L718" s="532"/>
      <c r="M718" s="532"/>
      <c r="N718" s="532"/>
      <c r="O718" s="532"/>
      <c r="P718" s="532"/>
      <c r="Q718" s="532"/>
    </row>
    <row r="719">
      <c r="A719" s="1451"/>
      <c r="B719" s="532"/>
      <c r="C719" s="532"/>
      <c r="D719" s="532"/>
      <c r="E719" s="532"/>
      <c r="F719" s="532"/>
      <c r="G719" s="532"/>
      <c r="H719" s="532"/>
      <c r="I719" s="532"/>
      <c r="J719" s="532"/>
      <c r="K719" s="532"/>
      <c r="L719" s="532"/>
      <c r="M719" s="532"/>
      <c r="N719" s="532"/>
      <c r="O719" s="532"/>
      <c r="P719" s="532"/>
      <c r="Q719" s="532"/>
    </row>
    <row r="720">
      <c r="A720" s="1451"/>
      <c r="B720" s="532"/>
      <c r="C720" s="532"/>
      <c r="D720" s="532"/>
      <c r="E720" s="532"/>
      <c r="F720" s="532"/>
      <c r="G720" s="532"/>
      <c r="H720" s="532"/>
      <c r="I720" s="532"/>
      <c r="J720" s="532"/>
      <c r="K720" s="532"/>
      <c r="L720" s="532"/>
      <c r="M720" s="532"/>
      <c r="N720" s="532"/>
      <c r="O720" s="532"/>
      <c r="P720" s="532"/>
      <c r="Q720" s="532"/>
    </row>
    <row r="721">
      <c r="A721" s="1451"/>
      <c r="B721" s="532"/>
      <c r="C721" s="532"/>
      <c r="D721" s="532"/>
      <c r="E721" s="532"/>
      <c r="F721" s="532"/>
      <c r="G721" s="532"/>
      <c r="H721" s="532"/>
      <c r="I721" s="532"/>
      <c r="J721" s="532"/>
      <c r="K721" s="532"/>
      <c r="L721" s="532"/>
      <c r="M721" s="532"/>
      <c r="N721" s="532"/>
      <c r="O721" s="532"/>
      <c r="P721" s="532"/>
      <c r="Q721" s="532"/>
    </row>
    <row r="722">
      <c r="A722" s="1451"/>
      <c r="B722" s="532"/>
      <c r="C722" s="532"/>
      <c r="D722" s="532"/>
      <c r="E722" s="532"/>
      <c r="F722" s="532"/>
      <c r="G722" s="532"/>
      <c r="H722" s="532"/>
      <c r="I722" s="532"/>
      <c r="J722" s="532"/>
      <c r="K722" s="532"/>
      <c r="L722" s="532"/>
      <c r="M722" s="532"/>
      <c r="N722" s="532"/>
      <c r="O722" s="532"/>
      <c r="P722" s="532"/>
      <c r="Q722" s="532"/>
    </row>
    <row r="723">
      <c r="A723" s="1451"/>
      <c r="B723" s="532"/>
      <c r="C723" s="532"/>
      <c r="D723" s="532"/>
      <c r="E723" s="532"/>
      <c r="F723" s="532"/>
      <c r="G723" s="532"/>
      <c r="H723" s="532"/>
      <c r="I723" s="532"/>
      <c r="J723" s="532"/>
      <c r="K723" s="532"/>
      <c r="L723" s="532"/>
      <c r="M723" s="532"/>
      <c r="N723" s="532"/>
      <c r="O723" s="532"/>
      <c r="P723" s="532"/>
      <c r="Q723" s="532"/>
    </row>
    <row r="724">
      <c r="A724" s="1451"/>
      <c r="B724" s="532"/>
      <c r="C724" s="532"/>
      <c r="D724" s="532"/>
      <c r="E724" s="532"/>
      <c r="F724" s="532"/>
      <c r="G724" s="532"/>
      <c r="H724" s="532"/>
      <c r="I724" s="532"/>
      <c r="J724" s="532"/>
      <c r="K724" s="532"/>
      <c r="L724" s="532"/>
      <c r="M724" s="532"/>
      <c r="N724" s="532"/>
      <c r="O724" s="532"/>
      <c r="P724" s="532"/>
      <c r="Q724" s="532"/>
    </row>
    <row r="725">
      <c r="A725" s="1451"/>
      <c r="B725" s="532"/>
      <c r="C725" s="532"/>
      <c r="D725" s="532"/>
      <c r="E725" s="532"/>
      <c r="F725" s="532"/>
      <c r="G725" s="532"/>
      <c r="H725" s="532"/>
      <c r="I725" s="532"/>
      <c r="J725" s="532"/>
      <c r="K725" s="532"/>
      <c r="L725" s="532"/>
      <c r="M725" s="532"/>
      <c r="N725" s="532"/>
      <c r="O725" s="532"/>
      <c r="P725" s="532"/>
      <c r="Q725" s="532"/>
    </row>
    <row r="726">
      <c r="A726" s="1451"/>
      <c r="B726" s="532"/>
      <c r="C726" s="532"/>
      <c r="D726" s="532"/>
      <c r="E726" s="532"/>
      <c r="F726" s="532"/>
      <c r="G726" s="532"/>
      <c r="H726" s="532"/>
      <c r="I726" s="532"/>
      <c r="J726" s="532"/>
      <c r="K726" s="532"/>
      <c r="L726" s="532"/>
      <c r="M726" s="532"/>
      <c r="N726" s="532"/>
      <c r="O726" s="532"/>
      <c r="P726" s="532"/>
      <c r="Q726" s="532"/>
    </row>
    <row r="727">
      <c r="A727" s="1451"/>
      <c r="B727" s="532"/>
      <c r="C727" s="532"/>
      <c r="D727" s="532"/>
      <c r="E727" s="532"/>
      <c r="F727" s="532"/>
      <c r="G727" s="532"/>
      <c r="H727" s="532"/>
      <c r="I727" s="532"/>
      <c r="J727" s="532"/>
      <c r="K727" s="532"/>
      <c r="L727" s="532"/>
      <c r="M727" s="532"/>
      <c r="N727" s="532"/>
      <c r="O727" s="532"/>
      <c r="P727" s="532"/>
      <c r="Q727" s="532"/>
    </row>
    <row r="728">
      <c r="A728" s="1451"/>
      <c r="B728" s="532"/>
      <c r="C728" s="532"/>
      <c r="D728" s="532"/>
      <c r="E728" s="532"/>
      <c r="F728" s="532"/>
      <c r="G728" s="532"/>
      <c r="H728" s="532"/>
      <c r="I728" s="532"/>
      <c r="J728" s="532"/>
      <c r="K728" s="532"/>
      <c r="L728" s="532"/>
      <c r="M728" s="532"/>
      <c r="N728" s="532"/>
      <c r="O728" s="532"/>
      <c r="P728" s="532"/>
      <c r="Q728" s="532"/>
    </row>
    <row r="729">
      <c r="A729" s="1451"/>
      <c r="B729" s="532"/>
      <c r="C729" s="532"/>
      <c r="D729" s="532"/>
      <c r="E729" s="532"/>
      <c r="F729" s="532"/>
      <c r="G729" s="532"/>
      <c r="H729" s="532"/>
      <c r="I729" s="532"/>
      <c r="J729" s="532"/>
      <c r="K729" s="532"/>
      <c r="L729" s="532"/>
      <c r="M729" s="532"/>
      <c r="N729" s="532"/>
      <c r="O729" s="532"/>
      <c r="P729" s="532"/>
      <c r="Q729" s="532"/>
    </row>
    <row r="730">
      <c r="A730" s="1451"/>
      <c r="B730" s="532"/>
      <c r="C730" s="532"/>
      <c r="D730" s="532"/>
      <c r="E730" s="532"/>
      <c r="F730" s="532"/>
      <c r="G730" s="532"/>
      <c r="H730" s="532"/>
      <c r="I730" s="532"/>
      <c r="J730" s="532"/>
      <c r="K730" s="532"/>
      <c r="L730" s="532"/>
      <c r="M730" s="532"/>
      <c r="N730" s="532"/>
      <c r="O730" s="532"/>
      <c r="P730" s="532"/>
      <c r="Q730" s="532"/>
    </row>
    <row r="731">
      <c r="A731" s="1451"/>
      <c r="B731" s="532"/>
      <c r="C731" s="532"/>
      <c r="D731" s="532"/>
      <c r="E731" s="532"/>
      <c r="F731" s="532"/>
      <c r="G731" s="532"/>
      <c r="H731" s="532"/>
      <c r="I731" s="532"/>
      <c r="J731" s="532"/>
      <c r="K731" s="532"/>
      <c r="L731" s="532"/>
      <c r="M731" s="532"/>
      <c r="N731" s="532"/>
      <c r="O731" s="532"/>
      <c r="P731" s="532"/>
      <c r="Q731" s="532"/>
    </row>
    <row r="732">
      <c r="A732" s="1451"/>
      <c r="B732" s="532"/>
      <c r="C732" s="532"/>
      <c r="D732" s="532"/>
      <c r="E732" s="532"/>
      <c r="F732" s="532"/>
      <c r="G732" s="532"/>
      <c r="H732" s="532"/>
      <c r="I732" s="532"/>
      <c r="J732" s="532"/>
      <c r="K732" s="532"/>
      <c r="L732" s="532"/>
      <c r="M732" s="532"/>
      <c r="N732" s="532"/>
      <c r="O732" s="532"/>
      <c r="P732" s="532"/>
      <c r="Q732" s="532"/>
    </row>
    <row r="733">
      <c r="A733" s="1451"/>
      <c r="B733" s="532"/>
      <c r="C733" s="532"/>
      <c r="D733" s="532"/>
      <c r="E733" s="532"/>
      <c r="F733" s="532"/>
      <c r="G733" s="532"/>
      <c r="H733" s="532"/>
      <c r="I733" s="532"/>
      <c r="J733" s="532"/>
      <c r="K733" s="532"/>
      <c r="L733" s="532"/>
      <c r="M733" s="532"/>
      <c r="N733" s="532"/>
      <c r="O733" s="532"/>
      <c r="P733" s="532"/>
      <c r="Q733" s="532"/>
    </row>
    <row r="734">
      <c r="A734" s="1451"/>
      <c r="B734" s="532"/>
      <c r="C734" s="532"/>
      <c r="D734" s="532"/>
      <c r="E734" s="532"/>
      <c r="F734" s="532"/>
      <c r="G734" s="532"/>
      <c r="H734" s="532"/>
      <c r="I734" s="532"/>
      <c r="J734" s="532"/>
      <c r="K734" s="532"/>
      <c r="L734" s="532"/>
      <c r="M734" s="532"/>
      <c r="N734" s="532"/>
      <c r="O734" s="532"/>
      <c r="P734" s="532"/>
      <c r="Q734" s="532"/>
    </row>
    <row r="735">
      <c r="A735" s="1451"/>
      <c r="B735" s="532"/>
      <c r="C735" s="532"/>
      <c r="D735" s="532"/>
      <c r="E735" s="532"/>
      <c r="F735" s="532"/>
      <c r="G735" s="532"/>
      <c r="H735" s="532"/>
      <c r="I735" s="532"/>
      <c r="J735" s="532"/>
      <c r="K735" s="532"/>
      <c r="L735" s="532"/>
      <c r="M735" s="532"/>
      <c r="N735" s="532"/>
      <c r="O735" s="532"/>
      <c r="P735" s="532"/>
      <c r="Q735" s="532"/>
    </row>
    <row r="736">
      <c r="A736" s="1451"/>
      <c r="B736" s="532"/>
      <c r="C736" s="532"/>
      <c r="D736" s="532"/>
      <c r="E736" s="532"/>
      <c r="F736" s="532"/>
      <c r="G736" s="532"/>
      <c r="H736" s="532"/>
      <c r="I736" s="532"/>
      <c r="J736" s="532"/>
      <c r="K736" s="532"/>
      <c r="L736" s="532"/>
      <c r="M736" s="532"/>
      <c r="N736" s="532"/>
      <c r="O736" s="532"/>
      <c r="P736" s="532"/>
      <c r="Q736" s="532"/>
    </row>
    <row r="737">
      <c r="A737" s="1451"/>
      <c r="B737" s="532"/>
      <c r="C737" s="532"/>
      <c r="D737" s="532"/>
      <c r="E737" s="532"/>
      <c r="F737" s="532"/>
      <c r="G737" s="532"/>
      <c r="H737" s="532"/>
      <c r="I737" s="532"/>
      <c r="J737" s="532"/>
      <c r="K737" s="532"/>
      <c r="L737" s="532"/>
      <c r="M737" s="532"/>
      <c r="N737" s="532"/>
      <c r="O737" s="532"/>
      <c r="P737" s="532"/>
      <c r="Q737" s="532"/>
    </row>
    <row r="738">
      <c r="A738" s="1451"/>
      <c r="B738" s="532"/>
      <c r="C738" s="532"/>
      <c r="D738" s="532"/>
      <c r="E738" s="532"/>
      <c r="F738" s="532"/>
      <c r="G738" s="532"/>
      <c r="H738" s="532"/>
      <c r="I738" s="532"/>
      <c r="J738" s="532"/>
      <c r="K738" s="532"/>
      <c r="L738" s="532"/>
      <c r="M738" s="532"/>
      <c r="N738" s="532"/>
      <c r="O738" s="532"/>
      <c r="P738" s="532"/>
      <c r="Q738" s="532"/>
    </row>
    <row r="739">
      <c r="A739" s="1451"/>
      <c r="B739" s="532"/>
      <c r="C739" s="532"/>
      <c r="D739" s="532"/>
      <c r="E739" s="532"/>
      <c r="F739" s="532"/>
      <c r="G739" s="532"/>
      <c r="H739" s="532"/>
      <c r="I739" s="532"/>
      <c r="J739" s="532"/>
      <c r="K739" s="532"/>
      <c r="L739" s="532"/>
      <c r="M739" s="532"/>
      <c r="N739" s="532"/>
      <c r="O739" s="532"/>
      <c r="P739" s="532"/>
      <c r="Q739" s="532"/>
    </row>
    <row r="740">
      <c r="A740" s="1451"/>
      <c r="B740" s="532"/>
      <c r="C740" s="532"/>
      <c r="D740" s="532"/>
      <c r="E740" s="532"/>
      <c r="F740" s="532"/>
      <c r="G740" s="532"/>
      <c r="H740" s="532"/>
      <c r="I740" s="532"/>
      <c r="J740" s="532"/>
      <c r="K740" s="532"/>
      <c r="L740" s="532"/>
      <c r="M740" s="532"/>
      <c r="N740" s="532"/>
      <c r="O740" s="532"/>
      <c r="P740" s="532"/>
      <c r="Q740" s="532"/>
    </row>
    <row r="741">
      <c r="A741" s="1451"/>
      <c r="B741" s="532"/>
      <c r="C741" s="532"/>
      <c r="D741" s="532"/>
      <c r="E741" s="532"/>
      <c r="F741" s="532"/>
      <c r="G741" s="532"/>
      <c r="H741" s="532"/>
      <c r="I741" s="532"/>
      <c r="J741" s="532"/>
      <c r="K741" s="532"/>
      <c r="L741" s="532"/>
      <c r="M741" s="532"/>
      <c r="N741" s="532"/>
      <c r="O741" s="532"/>
      <c r="P741" s="532"/>
      <c r="Q741" s="532"/>
    </row>
    <row r="742">
      <c r="A742" s="1451"/>
      <c r="B742" s="532"/>
      <c r="C742" s="532"/>
      <c r="D742" s="532"/>
      <c r="E742" s="532"/>
      <c r="F742" s="532"/>
      <c r="G742" s="532"/>
      <c r="H742" s="532"/>
      <c r="I742" s="532"/>
      <c r="J742" s="532"/>
      <c r="K742" s="532"/>
      <c r="L742" s="532"/>
      <c r="M742" s="532"/>
      <c r="N742" s="532"/>
      <c r="O742" s="532"/>
      <c r="P742" s="532"/>
      <c r="Q742" s="532"/>
    </row>
    <row r="743">
      <c r="A743" s="1451"/>
      <c r="B743" s="532"/>
      <c r="C743" s="532"/>
      <c r="D743" s="532"/>
      <c r="E743" s="532"/>
      <c r="F743" s="532"/>
      <c r="G743" s="532"/>
      <c r="H743" s="532"/>
      <c r="I743" s="532"/>
      <c r="J743" s="532"/>
      <c r="K743" s="532"/>
      <c r="L743" s="532"/>
      <c r="M743" s="532"/>
      <c r="N743" s="532"/>
      <c r="O743" s="532"/>
      <c r="P743" s="532"/>
      <c r="Q743" s="532"/>
    </row>
    <row r="744">
      <c r="A744" s="1451"/>
      <c r="B744" s="532"/>
      <c r="C744" s="532"/>
      <c r="D744" s="532"/>
      <c r="E744" s="532"/>
      <c r="F744" s="532"/>
      <c r="G744" s="532"/>
      <c r="H744" s="532"/>
      <c r="I744" s="532"/>
      <c r="J744" s="532"/>
      <c r="K744" s="532"/>
      <c r="L744" s="532"/>
      <c r="M744" s="532"/>
      <c r="N744" s="532"/>
      <c r="O744" s="532"/>
      <c r="P744" s="532"/>
      <c r="Q744" s="532"/>
    </row>
    <row r="745">
      <c r="A745" s="1451"/>
      <c r="B745" s="532"/>
      <c r="C745" s="532"/>
      <c r="D745" s="532"/>
      <c r="E745" s="532"/>
      <c r="F745" s="532"/>
      <c r="G745" s="532"/>
      <c r="H745" s="532"/>
      <c r="I745" s="532"/>
      <c r="J745" s="532"/>
      <c r="K745" s="532"/>
      <c r="L745" s="532"/>
      <c r="M745" s="532"/>
      <c r="N745" s="532"/>
      <c r="O745" s="532"/>
      <c r="P745" s="532"/>
      <c r="Q745" s="532"/>
    </row>
    <row r="746">
      <c r="A746" s="1451"/>
      <c r="B746" s="532"/>
      <c r="C746" s="532"/>
      <c r="D746" s="532"/>
      <c r="E746" s="532"/>
      <c r="F746" s="532"/>
      <c r="G746" s="532"/>
      <c r="H746" s="532"/>
      <c r="I746" s="532"/>
      <c r="J746" s="532"/>
      <c r="K746" s="532"/>
      <c r="L746" s="532"/>
      <c r="M746" s="532"/>
      <c r="N746" s="532"/>
      <c r="O746" s="532"/>
      <c r="P746" s="532"/>
      <c r="Q746" s="532"/>
    </row>
    <row r="747">
      <c r="A747" s="1451"/>
      <c r="B747" s="532"/>
      <c r="C747" s="532"/>
      <c r="D747" s="532"/>
      <c r="E747" s="532"/>
      <c r="F747" s="532"/>
      <c r="G747" s="532"/>
      <c r="H747" s="532"/>
      <c r="I747" s="532"/>
      <c r="J747" s="532"/>
      <c r="K747" s="532"/>
      <c r="L747" s="532"/>
      <c r="M747" s="532"/>
      <c r="N747" s="532"/>
      <c r="O747" s="532"/>
      <c r="P747" s="532"/>
      <c r="Q747" s="532"/>
    </row>
    <row r="748">
      <c r="A748" s="1451"/>
      <c r="B748" s="532"/>
      <c r="C748" s="532"/>
      <c r="D748" s="532"/>
      <c r="E748" s="532"/>
      <c r="F748" s="532"/>
      <c r="G748" s="532"/>
      <c r="H748" s="532"/>
      <c r="I748" s="532"/>
      <c r="J748" s="532"/>
      <c r="K748" s="532"/>
      <c r="L748" s="532"/>
      <c r="M748" s="532"/>
      <c r="N748" s="532"/>
      <c r="O748" s="532"/>
      <c r="P748" s="532"/>
      <c r="Q748" s="532"/>
    </row>
    <row r="749">
      <c r="A749" s="1451"/>
      <c r="B749" s="532"/>
      <c r="C749" s="532"/>
      <c r="D749" s="532"/>
      <c r="E749" s="532"/>
      <c r="F749" s="532"/>
      <c r="G749" s="532"/>
      <c r="H749" s="532"/>
      <c r="I749" s="532"/>
      <c r="J749" s="532"/>
      <c r="K749" s="532"/>
      <c r="L749" s="532"/>
      <c r="M749" s="532"/>
      <c r="N749" s="532"/>
      <c r="O749" s="532"/>
      <c r="P749" s="532"/>
      <c r="Q749" s="532"/>
    </row>
    <row r="750">
      <c r="A750" s="1451"/>
      <c r="B750" s="532"/>
      <c r="C750" s="532"/>
      <c r="D750" s="532"/>
      <c r="E750" s="532"/>
      <c r="F750" s="532"/>
      <c r="G750" s="532"/>
      <c r="H750" s="532"/>
      <c r="I750" s="532"/>
      <c r="J750" s="532"/>
      <c r="K750" s="532"/>
      <c r="L750" s="532"/>
      <c r="M750" s="532"/>
      <c r="N750" s="532"/>
      <c r="O750" s="532"/>
      <c r="P750" s="532"/>
      <c r="Q750" s="532"/>
    </row>
    <row r="751">
      <c r="A751" s="1451"/>
      <c r="B751" s="532"/>
      <c r="C751" s="532"/>
      <c r="D751" s="532"/>
      <c r="E751" s="532"/>
      <c r="F751" s="532"/>
      <c r="G751" s="532"/>
      <c r="H751" s="532"/>
      <c r="I751" s="532"/>
      <c r="J751" s="532"/>
      <c r="K751" s="532"/>
      <c r="L751" s="532"/>
      <c r="M751" s="532"/>
      <c r="N751" s="532"/>
      <c r="O751" s="532"/>
      <c r="P751" s="532"/>
      <c r="Q751" s="532"/>
    </row>
    <row r="752">
      <c r="A752" s="1451"/>
      <c r="B752" s="532"/>
      <c r="C752" s="532"/>
      <c r="D752" s="532"/>
      <c r="E752" s="532"/>
      <c r="F752" s="532"/>
      <c r="G752" s="532"/>
      <c r="H752" s="532"/>
      <c r="I752" s="532"/>
      <c r="J752" s="532"/>
      <c r="K752" s="532"/>
      <c r="L752" s="532"/>
      <c r="M752" s="532"/>
      <c r="N752" s="532"/>
      <c r="O752" s="532"/>
      <c r="P752" s="532"/>
      <c r="Q752" s="532"/>
    </row>
    <row r="753">
      <c r="A753" s="1451"/>
      <c r="B753" s="532"/>
      <c r="C753" s="532"/>
      <c r="D753" s="532"/>
      <c r="E753" s="532"/>
      <c r="F753" s="532"/>
      <c r="G753" s="532"/>
      <c r="H753" s="532"/>
      <c r="I753" s="532"/>
      <c r="J753" s="532"/>
      <c r="K753" s="532"/>
      <c r="L753" s="532"/>
      <c r="M753" s="532"/>
      <c r="N753" s="532"/>
      <c r="O753" s="532"/>
      <c r="P753" s="532"/>
      <c r="Q753" s="532"/>
    </row>
    <row r="754">
      <c r="A754" s="1451"/>
      <c r="B754" s="532"/>
      <c r="C754" s="532"/>
      <c r="D754" s="532"/>
      <c r="E754" s="532"/>
      <c r="F754" s="532"/>
      <c r="G754" s="532"/>
      <c r="H754" s="532"/>
      <c r="I754" s="532"/>
      <c r="J754" s="532"/>
      <c r="K754" s="532"/>
      <c r="L754" s="532"/>
      <c r="M754" s="532"/>
      <c r="N754" s="532"/>
      <c r="O754" s="532"/>
      <c r="P754" s="532"/>
      <c r="Q754" s="532"/>
    </row>
    <row r="755">
      <c r="A755" s="1451"/>
      <c r="B755" s="532"/>
      <c r="C755" s="532"/>
      <c r="D755" s="532"/>
      <c r="E755" s="532"/>
      <c r="F755" s="532"/>
      <c r="G755" s="532"/>
      <c r="H755" s="532"/>
      <c r="I755" s="532"/>
      <c r="J755" s="532"/>
      <c r="K755" s="532"/>
      <c r="L755" s="532"/>
      <c r="M755" s="532"/>
      <c r="N755" s="532"/>
      <c r="O755" s="532"/>
      <c r="P755" s="532"/>
      <c r="Q755" s="532"/>
    </row>
    <row r="756">
      <c r="A756" s="1451"/>
      <c r="B756" s="532"/>
      <c r="C756" s="532"/>
      <c r="D756" s="532"/>
      <c r="E756" s="532"/>
      <c r="F756" s="532"/>
      <c r="G756" s="532"/>
      <c r="H756" s="532"/>
      <c r="I756" s="532"/>
      <c r="J756" s="532"/>
      <c r="K756" s="532"/>
      <c r="L756" s="532"/>
      <c r="M756" s="532"/>
      <c r="N756" s="532"/>
      <c r="O756" s="532"/>
      <c r="P756" s="532"/>
      <c r="Q756" s="532"/>
    </row>
    <row r="757">
      <c r="A757" s="1451"/>
      <c r="B757" s="532"/>
      <c r="C757" s="532"/>
      <c r="D757" s="532"/>
      <c r="E757" s="532"/>
      <c r="F757" s="532"/>
      <c r="G757" s="532"/>
      <c r="H757" s="532"/>
      <c r="I757" s="532"/>
      <c r="J757" s="532"/>
      <c r="K757" s="532"/>
      <c r="L757" s="532"/>
      <c r="M757" s="532"/>
      <c r="N757" s="532"/>
      <c r="O757" s="532"/>
      <c r="P757" s="532"/>
      <c r="Q757" s="532"/>
    </row>
    <row r="758">
      <c r="A758" s="1451"/>
      <c r="B758" s="532"/>
      <c r="C758" s="532"/>
      <c r="D758" s="532"/>
      <c r="E758" s="532"/>
      <c r="F758" s="532"/>
      <c r="G758" s="532"/>
      <c r="H758" s="532"/>
      <c r="I758" s="532"/>
      <c r="J758" s="532"/>
      <c r="K758" s="532"/>
      <c r="L758" s="532"/>
      <c r="M758" s="532"/>
      <c r="N758" s="532"/>
      <c r="O758" s="532"/>
      <c r="P758" s="532"/>
      <c r="Q758" s="532"/>
    </row>
    <row r="759">
      <c r="A759" s="1451"/>
      <c r="B759" s="532"/>
      <c r="C759" s="532"/>
      <c r="D759" s="532"/>
      <c r="E759" s="532"/>
      <c r="F759" s="532"/>
      <c r="G759" s="532"/>
      <c r="H759" s="532"/>
      <c r="I759" s="532"/>
      <c r="J759" s="532"/>
      <c r="K759" s="532"/>
      <c r="L759" s="532"/>
      <c r="M759" s="532"/>
      <c r="N759" s="532"/>
      <c r="O759" s="532"/>
      <c r="P759" s="532"/>
      <c r="Q759" s="532"/>
    </row>
    <row r="760">
      <c r="A760" s="1451"/>
      <c r="B760" s="532"/>
      <c r="C760" s="532"/>
      <c r="D760" s="532"/>
      <c r="E760" s="532"/>
      <c r="F760" s="532"/>
      <c r="G760" s="532"/>
      <c r="H760" s="532"/>
      <c r="I760" s="532"/>
      <c r="J760" s="532"/>
      <c r="K760" s="532"/>
      <c r="L760" s="532"/>
      <c r="M760" s="532"/>
      <c r="N760" s="532"/>
      <c r="O760" s="532"/>
      <c r="P760" s="532"/>
      <c r="Q760" s="532"/>
    </row>
    <row r="761">
      <c r="A761" s="1451"/>
      <c r="B761" s="532"/>
      <c r="C761" s="532"/>
      <c r="D761" s="532"/>
      <c r="E761" s="532"/>
      <c r="F761" s="532"/>
      <c r="G761" s="532"/>
      <c r="H761" s="532"/>
      <c r="I761" s="532"/>
      <c r="J761" s="532"/>
      <c r="K761" s="532"/>
      <c r="L761" s="532"/>
      <c r="M761" s="532"/>
      <c r="N761" s="532"/>
      <c r="O761" s="532"/>
      <c r="P761" s="532"/>
      <c r="Q761" s="532"/>
    </row>
    <row r="762">
      <c r="A762" s="1451"/>
      <c r="B762" s="532"/>
      <c r="C762" s="532"/>
      <c r="D762" s="532"/>
      <c r="E762" s="532"/>
      <c r="F762" s="532"/>
      <c r="G762" s="532"/>
      <c r="H762" s="532"/>
      <c r="I762" s="532"/>
      <c r="J762" s="532"/>
      <c r="K762" s="532"/>
      <c r="L762" s="532"/>
      <c r="M762" s="532"/>
      <c r="N762" s="532"/>
      <c r="O762" s="532"/>
      <c r="P762" s="532"/>
      <c r="Q762" s="532"/>
    </row>
    <row r="763">
      <c r="A763" s="1451"/>
      <c r="B763" s="532"/>
      <c r="C763" s="532"/>
      <c r="D763" s="532"/>
      <c r="E763" s="532"/>
      <c r="F763" s="532"/>
      <c r="G763" s="532"/>
      <c r="H763" s="532"/>
      <c r="I763" s="532"/>
      <c r="J763" s="532"/>
      <c r="K763" s="532"/>
      <c r="L763" s="532"/>
      <c r="M763" s="532"/>
      <c r="N763" s="532"/>
      <c r="O763" s="532"/>
      <c r="P763" s="532"/>
      <c r="Q763" s="532"/>
    </row>
    <row r="764">
      <c r="A764" s="1451"/>
      <c r="B764" s="532"/>
      <c r="C764" s="532"/>
      <c r="D764" s="532"/>
      <c r="E764" s="532"/>
      <c r="F764" s="532"/>
      <c r="G764" s="532"/>
      <c r="H764" s="532"/>
      <c r="I764" s="532"/>
      <c r="J764" s="532"/>
      <c r="K764" s="532"/>
      <c r="L764" s="532"/>
      <c r="M764" s="532"/>
      <c r="N764" s="532"/>
      <c r="O764" s="532"/>
      <c r="P764" s="532"/>
      <c r="Q764" s="532"/>
    </row>
    <row r="765">
      <c r="A765" s="1451"/>
      <c r="B765" s="532"/>
      <c r="C765" s="532"/>
      <c r="D765" s="532"/>
      <c r="E765" s="532"/>
      <c r="F765" s="532"/>
      <c r="G765" s="532"/>
      <c r="H765" s="532"/>
      <c r="I765" s="532"/>
      <c r="J765" s="532"/>
      <c r="K765" s="532"/>
      <c r="L765" s="532"/>
      <c r="M765" s="532"/>
      <c r="N765" s="532"/>
      <c r="O765" s="532"/>
      <c r="P765" s="532"/>
      <c r="Q765" s="532"/>
    </row>
    <row r="766">
      <c r="A766" s="1451"/>
      <c r="B766" s="532"/>
      <c r="C766" s="532"/>
      <c r="D766" s="532"/>
      <c r="E766" s="532"/>
      <c r="F766" s="532"/>
      <c r="G766" s="532"/>
      <c r="H766" s="532"/>
      <c r="I766" s="532"/>
      <c r="J766" s="532"/>
      <c r="K766" s="532"/>
      <c r="L766" s="532"/>
      <c r="M766" s="532"/>
      <c r="N766" s="532"/>
      <c r="O766" s="532"/>
      <c r="P766" s="532"/>
      <c r="Q766" s="532"/>
    </row>
    <row r="767">
      <c r="A767" s="1451"/>
      <c r="B767" s="532"/>
      <c r="C767" s="532"/>
      <c r="D767" s="532"/>
      <c r="E767" s="532"/>
      <c r="F767" s="532"/>
      <c r="G767" s="532"/>
      <c r="H767" s="532"/>
      <c r="I767" s="532"/>
      <c r="J767" s="532"/>
      <c r="K767" s="532"/>
      <c r="L767" s="532"/>
      <c r="M767" s="532"/>
      <c r="N767" s="532"/>
      <c r="O767" s="532"/>
      <c r="P767" s="532"/>
      <c r="Q767" s="532"/>
    </row>
    <row r="768">
      <c r="A768" s="1451"/>
      <c r="B768" s="532"/>
      <c r="C768" s="532"/>
      <c r="D768" s="532"/>
      <c r="E768" s="532"/>
      <c r="F768" s="532"/>
      <c r="G768" s="532"/>
      <c r="H768" s="532"/>
      <c r="I768" s="532"/>
      <c r="J768" s="532"/>
      <c r="K768" s="532"/>
      <c r="L768" s="532"/>
      <c r="M768" s="532"/>
      <c r="N768" s="532"/>
      <c r="O768" s="532"/>
      <c r="P768" s="532"/>
      <c r="Q768" s="532"/>
    </row>
    <row r="769">
      <c r="A769" s="1451"/>
      <c r="B769" s="532"/>
      <c r="C769" s="532"/>
      <c r="D769" s="532"/>
      <c r="E769" s="532"/>
      <c r="F769" s="532"/>
      <c r="G769" s="532"/>
      <c r="H769" s="532"/>
      <c r="I769" s="532"/>
      <c r="J769" s="532"/>
      <c r="K769" s="532"/>
      <c r="L769" s="532"/>
      <c r="M769" s="532"/>
      <c r="N769" s="532"/>
      <c r="O769" s="532"/>
      <c r="P769" s="532"/>
      <c r="Q769" s="532"/>
    </row>
    <row r="770">
      <c r="A770" s="1451"/>
      <c r="B770" s="532"/>
      <c r="C770" s="532"/>
      <c r="D770" s="532"/>
      <c r="E770" s="532"/>
      <c r="F770" s="532"/>
      <c r="G770" s="532"/>
      <c r="H770" s="532"/>
      <c r="I770" s="532"/>
      <c r="J770" s="532"/>
      <c r="K770" s="532"/>
      <c r="L770" s="532"/>
      <c r="M770" s="532"/>
      <c r="N770" s="532"/>
      <c r="O770" s="532"/>
      <c r="P770" s="532"/>
      <c r="Q770" s="532"/>
    </row>
    <row r="771">
      <c r="A771" s="1451"/>
      <c r="B771" s="532"/>
      <c r="C771" s="532"/>
      <c r="D771" s="532"/>
      <c r="E771" s="532"/>
      <c r="F771" s="532"/>
      <c r="G771" s="532"/>
      <c r="H771" s="532"/>
      <c r="I771" s="532"/>
      <c r="J771" s="532"/>
      <c r="K771" s="532"/>
      <c r="L771" s="532"/>
      <c r="M771" s="532"/>
      <c r="N771" s="532"/>
      <c r="O771" s="532"/>
      <c r="P771" s="532"/>
      <c r="Q771" s="532"/>
    </row>
    <row r="772">
      <c r="A772" s="1451"/>
      <c r="B772" s="532"/>
      <c r="C772" s="532"/>
      <c r="D772" s="532"/>
      <c r="E772" s="532"/>
      <c r="F772" s="532"/>
      <c r="G772" s="532"/>
      <c r="H772" s="532"/>
      <c r="I772" s="532"/>
      <c r="J772" s="532"/>
      <c r="K772" s="532"/>
      <c r="L772" s="532"/>
      <c r="M772" s="532"/>
      <c r="N772" s="532"/>
      <c r="O772" s="532"/>
      <c r="P772" s="532"/>
      <c r="Q772" s="532"/>
    </row>
    <row r="773">
      <c r="A773" s="1451"/>
      <c r="B773" s="532"/>
      <c r="C773" s="532"/>
      <c r="D773" s="532"/>
      <c r="E773" s="532"/>
      <c r="F773" s="532"/>
      <c r="G773" s="532"/>
      <c r="H773" s="532"/>
      <c r="I773" s="532"/>
      <c r="J773" s="532"/>
      <c r="K773" s="532"/>
      <c r="L773" s="532"/>
      <c r="M773" s="532"/>
      <c r="N773" s="532"/>
      <c r="O773" s="532"/>
      <c r="P773" s="532"/>
      <c r="Q773" s="532"/>
    </row>
    <row r="774">
      <c r="A774" s="1451"/>
      <c r="B774" s="532"/>
      <c r="C774" s="532"/>
      <c r="D774" s="532"/>
      <c r="E774" s="532"/>
      <c r="F774" s="532"/>
      <c r="G774" s="532"/>
      <c r="H774" s="532"/>
      <c r="I774" s="532"/>
      <c r="J774" s="532"/>
      <c r="K774" s="532"/>
      <c r="L774" s="532"/>
      <c r="M774" s="532"/>
      <c r="N774" s="532"/>
      <c r="O774" s="532"/>
      <c r="P774" s="532"/>
      <c r="Q774" s="532"/>
    </row>
    <row r="775">
      <c r="A775" s="1451"/>
      <c r="B775" s="532"/>
      <c r="C775" s="532"/>
      <c r="D775" s="532"/>
      <c r="E775" s="532"/>
      <c r="F775" s="532"/>
      <c r="G775" s="532"/>
      <c r="H775" s="532"/>
      <c r="I775" s="532"/>
      <c r="J775" s="532"/>
      <c r="K775" s="532"/>
      <c r="L775" s="532"/>
      <c r="M775" s="532"/>
      <c r="N775" s="532"/>
      <c r="O775" s="532"/>
      <c r="P775" s="532"/>
      <c r="Q775" s="532"/>
    </row>
    <row r="776">
      <c r="A776" s="1451"/>
      <c r="B776" s="532"/>
      <c r="C776" s="532"/>
      <c r="D776" s="532"/>
      <c r="E776" s="532"/>
      <c r="F776" s="532"/>
      <c r="G776" s="532"/>
      <c r="H776" s="532"/>
      <c r="I776" s="532"/>
      <c r="J776" s="532"/>
      <c r="K776" s="532"/>
      <c r="L776" s="532"/>
      <c r="M776" s="532"/>
      <c r="N776" s="532"/>
      <c r="O776" s="532"/>
      <c r="P776" s="532"/>
      <c r="Q776" s="532"/>
    </row>
    <row r="777">
      <c r="A777" s="1451"/>
      <c r="B777" s="532"/>
      <c r="C777" s="532"/>
      <c r="D777" s="532"/>
      <c r="E777" s="532"/>
      <c r="F777" s="532"/>
      <c r="G777" s="532"/>
      <c r="H777" s="532"/>
      <c r="I777" s="532"/>
      <c r="J777" s="532"/>
      <c r="K777" s="532"/>
      <c r="L777" s="532"/>
      <c r="M777" s="532"/>
      <c r="N777" s="532"/>
      <c r="O777" s="532"/>
      <c r="P777" s="532"/>
      <c r="Q777" s="532"/>
    </row>
    <row r="778">
      <c r="A778" s="1451"/>
      <c r="B778" s="532"/>
      <c r="C778" s="532"/>
      <c r="D778" s="532"/>
      <c r="E778" s="532"/>
      <c r="F778" s="532"/>
      <c r="G778" s="532"/>
      <c r="H778" s="532"/>
      <c r="I778" s="532"/>
      <c r="J778" s="532"/>
      <c r="K778" s="532"/>
      <c r="L778" s="532"/>
      <c r="M778" s="532"/>
      <c r="N778" s="532"/>
      <c r="O778" s="532"/>
      <c r="P778" s="532"/>
      <c r="Q778" s="532"/>
    </row>
    <row r="779">
      <c r="A779" s="1451"/>
      <c r="B779" s="532"/>
      <c r="C779" s="532"/>
      <c r="D779" s="532"/>
      <c r="E779" s="532"/>
      <c r="F779" s="532"/>
      <c r="G779" s="532"/>
      <c r="H779" s="532"/>
      <c r="I779" s="532"/>
      <c r="J779" s="532"/>
      <c r="K779" s="532"/>
      <c r="L779" s="532"/>
      <c r="M779" s="532"/>
      <c r="N779" s="532"/>
      <c r="O779" s="532"/>
      <c r="P779" s="532"/>
      <c r="Q779" s="532"/>
    </row>
    <row r="780">
      <c r="A780" s="1451"/>
      <c r="B780" s="532"/>
      <c r="C780" s="532"/>
      <c r="D780" s="532"/>
      <c r="E780" s="532"/>
      <c r="F780" s="532"/>
      <c r="G780" s="532"/>
      <c r="H780" s="532"/>
      <c r="I780" s="532"/>
      <c r="J780" s="532"/>
      <c r="K780" s="532"/>
      <c r="L780" s="532"/>
      <c r="M780" s="532"/>
      <c r="N780" s="532"/>
      <c r="O780" s="532"/>
      <c r="P780" s="532"/>
      <c r="Q780" s="532"/>
    </row>
    <row r="781">
      <c r="A781" s="1451"/>
      <c r="B781" s="532"/>
      <c r="C781" s="532"/>
      <c r="D781" s="532"/>
      <c r="E781" s="532"/>
      <c r="F781" s="532"/>
      <c r="G781" s="532"/>
      <c r="H781" s="532"/>
      <c r="I781" s="532"/>
      <c r="J781" s="532"/>
      <c r="K781" s="532"/>
      <c r="L781" s="532"/>
      <c r="M781" s="532"/>
      <c r="N781" s="532"/>
      <c r="O781" s="532"/>
      <c r="P781" s="532"/>
      <c r="Q781" s="532"/>
    </row>
    <row r="782">
      <c r="A782" s="1451"/>
      <c r="B782" s="532"/>
      <c r="C782" s="532"/>
      <c r="D782" s="532"/>
      <c r="E782" s="532"/>
      <c r="F782" s="532"/>
      <c r="G782" s="532"/>
      <c r="H782" s="532"/>
      <c r="I782" s="532"/>
      <c r="J782" s="532"/>
      <c r="K782" s="532"/>
      <c r="L782" s="532"/>
      <c r="M782" s="532"/>
      <c r="N782" s="532"/>
      <c r="O782" s="532"/>
      <c r="P782" s="532"/>
      <c r="Q782" s="532"/>
    </row>
    <row r="783">
      <c r="A783" s="1451"/>
      <c r="B783" s="532"/>
      <c r="C783" s="532"/>
      <c r="D783" s="532"/>
      <c r="E783" s="532"/>
      <c r="F783" s="532"/>
      <c r="G783" s="532"/>
      <c r="H783" s="532"/>
      <c r="I783" s="532"/>
      <c r="J783" s="532"/>
      <c r="K783" s="532"/>
      <c r="L783" s="532"/>
      <c r="M783" s="532"/>
      <c r="N783" s="532"/>
      <c r="O783" s="532"/>
      <c r="P783" s="532"/>
      <c r="Q783" s="532"/>
    </row>
    <row r="784">
      <c r="A784" s="1451"/>
      <c r="B784" s="532"/>
      <c r="C784" s="532"/>
      <c r="D784" s="532"/>
      <c r="E784" s="532"/>
      <c r="F784" s="532"/>
      <c r="G784" s="532"/>
      <c r="H784" s="532"/>
      <c r="I784" s="532"/>
      <c r="J784" s="532"/>
      <c r="K784" s="532"/>
      <c r="L784" s="532"/>
      <c r="M784" s="532"/>
      <c r="N784" s="532"/>
      <c r="O784" s="532"/>
      <c r="P784" s="532"/>
      <c r="Q784" s="532"/>
    </row>
    <row r="785">
      <c r="A785" s="1451"/>
      <c r="B785" s="532"/>
      <c r="C785" s="532"/>
      <c r="D785" s="532"/>
      <c r="E785" s="532"/>
      <c r="F785" s="532"/>
      <c r="G785" s="532"/>
      <c r="H785" s="532"/>
      <c r="I785" s="532"/>
      <c r="J785" s="532"/>
      <c r="K785" s="532"/>
      <c r="L785" s="532"/>
      <c r="M785" s="532"/>
      <c r="N785" s="532"/>
      <c r="O785" s="532"/>
      <c r="P785" s="532"/>
      <c r="Q785" s="532"/>
    </row>
    <row r="786">
      <c r="A786" s="1451"/>
      <c r="B786" s="532"/>
      <c r="C786" s="532"/>
      <c r="D786" s="532"/>
      <c r="E786" s="532"/>
      <c r="F786" s="532"/>
      <c r="G786" s="532"/>
      <c r="H786" s="532"/>
      <c r="I786" s="532"/>
      <c r="J786" s="532"/>
      <c r="K786" s="532"/>
      <c r="L786" s="532"/>
      <c r="M786" s="532"/>
      <c r="N786" s="532"/>
      <c r="O786" s="532"/>
      <c r="P786" s="532"/>
      <c r="Q786" s="532"/>
    </row>
    <row r="787">
      <c r="A787" s="1451"/>
      <c r="B787" s="532"/>
      <c r="C787" s="532"/>
      <c r="D787" s="532"/>
      <c r="E787" s="532"/>
      <c r="F787" s="532"/>
      <c r="G787" s="532"/>
      <c r="H787" s="532"/>
      <c r="I787" s="532"/>
      <c r="J787" s="532"/>
      <c r="K787" s="532"/>
      <c r="L787" s="532"/>
      <c r="M787" s="532"/>
      <c r="N787" s="532"/>
      <c r="O787" s="532"/>
      <c r="P787" s="532"/>
      <c r="Q787" s="532"/>
    </row>
    <row r="788">
      <c r="A788" s="1451"/>
      <c r="B788" s="532"/>
      <c r="C788" s="532"/>
      <c r="D788" s="532"/>
      <c r="E788" s="532"/>
      <c r="F788" s="532"/>
      <c r="G788" s="532"/>
      <c r="H788" s="532"/>
      <c r="I788" s="532"/>
      <c r="J788" s="532"/>
      <c r="K788" s="532"/>
      <c r="L788" s="532"/>
      <c r="M788" s="532"/>
      <c r="N788" s="532"/>
      <c r="O788" s="532"/>
      <c r="P788" s="532"/>
      <c r="Q788" s="532"/>
    </row>
    <row r="789">
      <c r="A789" s="1451"/>
      <c r="B789" s="532"/>
      <c r="C789" s="532"/>
      <c r="D789" s="532"/>
      <c r="E789" s="532"/>
      <c r="F789" s="532"/>
      <c r="G789" s="532"/>
      <c r="H789" s="532"/>
      <c r="I789" s="532"/>
      <c r="J789" s="532"/>
      <c r="K789" s="532"/>
      <c r="L789" s="532"/>
      <c r="M789" s="532"/>
      <c r="N789" s="532"/>
      <c r="O789" s="532"/>
      <c r="P789" s="532"/>
      <c r="Q789" s="532"/>
    </row>
    <row r="790">
      <c r="A790" s="1451"/>
      <c r="B790" s="532"/>
      <c r="C790" s="532"/>
      <c r="D790" s="532"/>
      <c r="E790" s="532"/>
      <c r="F790" s="532"/>
      <c r="G790" s="532"/>
      <c r="H790" s="532"/>
      <c r="I790" s="532"/>
      <c r="J790" s="532"/>
      <c r="K790" s="532"/>
      <c r="L790" s="532"/>
      <c r="M790" s="532"/>
      <c r="N790" s="532"/>
      <c r="O790" s="532"/>
      <c r="P790" s="532"/>
      <c r="Q790" s="532"/>
    </row>
    <row r="791">
      <c r="A791" s="1451"/>
      <c r="B791" s="532"/>
      <c r="C791" s="532"/>
      <c r="D791" s="532"/>
      <c r="E791" s="532"/>
      <c r="F791" s="532"/>
      <c r="G791" s="532"/>
      <c r="H791" s="532"/>
      <c r="I791" s="532"/>
      <c r="J791" s="532"/>
      <c r="K791" s="532"/>
      <c r="L791" s="532"/>
      <c r="M791" s="532"/>
      <c r="N791" s="532"/>
      <c r="O791" s="532"/>
      <c r="P791" s="532"/>
      <c r="Q791" s="532"/>
    </row>
    <row r="792">
      <c r="A792" s="1451"/>
      <c r="B792" s="532"/>
      <c r="C792" s="532"/>
      <c r="D792" s="532"/>
      <c r="E792" s="532"/>
      <c r="F792" s="532"/>
      <c r="G792" s="532"/>
      <c r="H792" s="532"/>
      <c r="I792" s="532"/>
      <c r="J792" s="532"/>
      <c r="K792" s="532"/>
      <c r="L792" s="532"/>
      <c r="M792" s="532"/>
      <c r="N792" s="532"/>
      <c r="O792" s="532"/>
      <c r="P792" s="532"/>
      <c r="Q792" s="532"/>
    </row>
    <row r="793">
      <c r="A793" s="1451"/>
      <c r="B793" s="532"/>
      <c r="C793" s="532"/>
      <c r="D793" s="532"/>
      <c r="E793" s="532"/>
      <c r="F793" s="532"/>
      <c r="G793" s="532"/>
      <c r="H793" s="532"/>
      <c r="I793" s="532"/>
      <c r="J793" s="532"/>
      <c r="K793" s="532"/>
      <c r="L793" s="532"/>
      <c r="M793" s="532"/>
      <c r="N793" s="532"/>
      <c r="O793" s="532"/>
      <c r="P793" s="532"/>
      <c r="Q793" s="532"/>
    </row>
    <row r="794">
      <c r="A794" s="1451"/>
      <c r="B794" s="532"/>
      <c r="C794" s="532"/>
      <c r="D794" s="532"/>
      <c r="E794" s="532"/>
      <c r="F794" s="532"/>
      <c r="G794" s="532"/>
      <c r="H794" s="532"/>
      <c r="I794" s="532"/>
      <c r="J794" s="532"/>
      <c r="K794" s="532"/>
      <c r="L794" s="532"/>
      <c r="M794" s="532"/>
      <c r="N794" s="532"/>
      <c r="O794" s="532"/>
      <c r="P794" s="532"/>
      <c r="Q794" s="532"/>
    </row>
    <row r="795">
      <c r="A795" s="1451"/>
      <c r="B795" s="532"/>
      <c r="C795" s="532"/>
      <c r="D795" s="532"/>
      <c r="E795" s="532"/>
      <c r="F795" s="532"/>
      <c r="G795" s="532"/>
      <c r="H795" s="532"/>
      <c r="I795" s="532"/>
      <c r="J795" s="532"/>
      <c r="K795" s="532"/>
      <c r="L795" s="532"/>
      <c r="M795" s="532"/>
      <c r="N795" s="532"/>
      <c r="O795" s="532"/>
      <c r="P795" s="532"/>
      <c r="Q795" s="532"/>
    </row>
    <row r="796">
      <c r="A796" s="1451"/>
      <c r="B796" s="532"/>
      <c r="C796" s="532"/>
      <c r="D796" s="532"/>
      <c r="E796" s="532"/>
      <c r="F796" s="532"/>
      <c r="G796" s="532"/>
      <c r="H796" s="532"/>
      <c r="I796" s="532"/>
      <c r="J796" s="532"/>
      <c r="K796" s="532"/>
      <c r="L796" s="532"/>
      <c r="M796" s="532"/>
      <c r="N796" s="532"/>
      <c r="O796" s="532"/>
      <c r="P796" s="532"/>
      <c r="Q796" s="532"/>
    </row>
    <row r="797">
      <c r="A797" s="1451"/>
      <c r="B797" s="532"/>
      <c r="C797" s="532"/>
      <c r="D797" s="532"/>
      <c r="E797" s="532"/>
      <c r="F797" s="532"/>
      <c r="G797" s="532"/>
      <c r="H797" s="532"/>
      <c r="I797" s="532"/>
      <c r="J797" s="532"/>
      <c r="K797" s="532"/>
      <c r="L797" s="532"/>
      <c r="M797" s="532"/>
      <c r="N797" s="532"/>
      <c r="O797" s="532"/>
      <c r="P797" s="532"/>
      <c r="Q797" s="532"/>
    </row>
    <row r="798">
      <c r="A798" s="1451"/>
      <c r="B798" s="532"/>
      <c r="C798" s="532"/>
      <c r="D798" s="532"/>
      <c r="E798" s="532"/>
      <c r="F798" s="532"/>
      <c r="G798" s="532"/>
      <c r="H798" s="532"/>
      <c r="I798" s="532"/>
      <c r="J798" s="532"/>
      <c r="K798" s="532"/>
      <c r="L798" s="532"/>
      <c r="M798" s="532"/>
      <c r="N798" s="532"/>
      <c r="O798" s="532"/>
      <c r="P798" s="532"/>
      <c r="Q798" s="532"/>
    </row>
    <row r="799">
      <c r="A799" s="1451"/>
      <c r="B799" s="532"/>
      <c r="C799" s="532"/>
      <c r="D799" s="532"/>
      <c r="E799" s="532"/>
      <c r="F799" s="532"/>
      <c r="G799" s="532"/>
      <c r="H799" s="532"/>
      <c r="I799" s="532"/>
      <c r="J799" s="532"/>
      <c r="K799" s="532"/>
      <c r="L799" s="532"/>
      <c r="M799" s="532"/>
      <c r="N799" s="532"/>
      <c r="O799" s="532"/>
      <c r="P799" s="532"/>
      <c r="Q799" s="532"/>
    </row>
    <row r="800">
      <c r="A800" s="1451"/>
      <c r="B800" s="532"/>
      <c r="C800" s="532"/>
      <c r="D800" s="532"/>
      <c r="E800" s="532"/>
      <c r="F800" s="532"/>
      <c r="G800" s="532"/>
      <c r="H800" s="532"/>
      <c r="I800" s="532"/>
      <c r="J800" s="532"/>
      <c r="K800" s="532"/>
      <c r="L800" s="532"/>
      <c r="M800" s="532"/>
      <c r="N800" s="532"/>
      <c r="O800" s="532"/>
      <c r="P800" s="532"/>
      <c r="Q800" s="532"/>
    </row>
    <row r="801">
      <c r="A801" s="1451"/>
      <c r="B801" s="532"/>
      <c r="C801" s="532"/>
      <c r="D801" s="532"/>
      <c r="E801" s="532"/>
      <c r="F801" s="532"/>
      <c r="G801" s="532"/>
      <c r="H801" s="532"/>
      <c r="I801" s="532"/>
      <c r="J801" s="532"/>
      <c r="K801" s="532"/>
      <c r="L801" s="532"/>
      <c r="M801" s="532"/>
      <c r="N801" s="532"/>
      <c r="O801" s="532"/>
      <c r="P801" s="532"/>
      <c r="Q801" s="532"/>
    </row>
    <row r="802">
      <c r="A802" s="1451"/>
      <c r="B802" s="532"/>
      <c r="C802" s="532"/>
      <c r="D802" s="532"/>
      <c r="E802" s="532"/>
      <c r="F802" s="532"/>
      <c r="G802" s="532"/>
      <c r="H802" s="532"/>
      <c r="I802" s="532"/>
      <c r="J802" s="532"/>
      <c r="K802" s="532"/>
      <c r="L802" s="532"/>
      <c r="M802" s="532"/>
      <c r="N802" s="532"/>
      <c r="O802" s="532"/>
      <c r="P802" s="532"/>
      <c r="Q802" s="532"/>
    </row>
    <row r="803">
      <c r="A803" s="1451"/>
      <c r="B803" s="532"/>
      <c r="C803" s="532"/>
      <c r="D803" s="532"/>
      <c r="E803" s="532"/>
      <c r="F803" s="532"/>
      <c r="G803" s="532"/>
      <c r="H803" s="532"/>
      <c r="I803" s="532"/>
      <c r="J803" s="532"/>
      <c r="K803" s="532"/>
      <c r="L803" s="532"/>
      <c r="M803" s="532"/>
      <c r="N803" s="532"/>
      <c r="O803" s="532"/>
      <c r="P803" s="532"/>
      <c r="Q803" s="532"/>
    </row>
    <row r="804">
      <c r="A804" s="1451"/>
      <c r="B804" s="532"/>
      <c r="C804" s="532"/>
      <c r="D804" s="532"/>
      <c r="E804" s="532"/>
      <c r="F804" s="532"/>
      <c r="G804" s="532"/>
      <c r="H804" s="532"/>
      <c r="I804" s="532"/>
      <c r="J804" s="532"/>
      <c r="K804" s="532"/>
      <c r="L804" s="532"/>
      <c r="M804" s="532"/>
      <c r="N804" s="532"/>
      <c r="O804" s="532"/>
      <c r="P804" s="532"/>
      <c r="Q804" s="532"/>
    </row>
    <row r="805">
      <c r="A805" s="1451"/>
      <c r="B805" s="532"/>
      <c r="C805" s="532"/>
      <c r="D805" s="532"/>
      <c r="E805" s="532"/>
      <c r="F805" s="532"/>
      <c r="G805" s="532"/>
      <c r="H805" s="532"/>
      <c r="I805" s="532"/>
      <c r="J805" s="532"/>
      <c r="K805" s="532"/>
      <c r="L805" s="532"/>
      <c r="M805" s="532"/>
      <c r="N805" s="532"/>
      <c r="O805" s="532"/>
      <c r="P805" s="532"/>
      <c r="Q805" s="532"/>
    </row>
    <row r="806">
      <c r="A806" s="1451"/>
      <c r="B806" s="532"/>
      <c r="C806" s="532"/>
      <c r="D806" s="532"/>
      <c r="E806" s="532"/>
      <c r="F806" s="532"/>
      <c r="G806" s="532"/>
      <c r="H806" s="532"/>
      <c r="I806" s="532"/>
      <c r="J806" s="532"/>
      <c r="K806" s="532"/>
      <c r="L806" s="532"/>
      <c r="M806" s="532"/>
      <c r="N806" s="532"/>
      <c r="O806" s="532"/>
      <c r="P806" s="532"/>
      <c r="Q806" s="532"/>
    </row>
    <row r="807">
      <c r="A807" s="1451"/>
      <c r="B807" s="532"/>
      <c r="C807" s="532"/>
      <c r="D807" s="532"/>
      <c r="E807" s="532"/>
      <c r="F807" s="532"/>
      <c r="G807" s="532"/>
      <c r="H807" s="532"/>
      <c r="I807" s="532"/>
      <c r="J807" s="532"/>
      <c r="K807" s="532"/>
      <c r="L807" s="532"/>
      <c r="M807" s="532"/>
      <c r="N807" s="532"/>
      <c r="O807" s="532"/>
      <c r="P807" s="532"/>
      <c r="Q807" s="532"/>
    </row>
    <row r="808">
      <c r="A808" s="1451"/>
      <c r="B808" s="532"/>
      <c r="C808" s="532"/>
      <c r="D808" s="532"/>
      <c r="E808" s="532"/>
      <c r="F808" s="532"/>
      <c r="G808" s="532"/>
      <c r="H808" s="532"/>
      <c r="I808" s="532"/>
      <c r="J808" s="532"/>
      <c r="K808" s="532"/>
      <c r="L808" s="532"/>
      <c r="M808" s="532"/>
      <c r="N808" s="532"/>
      <c r="O808" s="532"/>
      <c r="P808" s="532"/>
      <c r="Q808" s="532"/>
    </row>
    <row r="809">
      <c r="A809" s="1451"/>
      <c r="B809" s="532"/>
      <c r="C809" s="532"/>
      <c r="D809" s="532"/>
      <c r="E809" s="532"/>
      <c r="F809" s="532"/>
      <c r="G809" s="532"/>
      <c r="H809" s="532"/>
      <c r="I809" s="532"/>
      <c r="J809" s="532"/>
      <c r="K809" s="532"/>
      <c r="L809" s="532"/>
      <c r="M809" s="532"/>
      <c r="N809" s="532"/>
      <c r="O809" s="532"/>
      <c r="P809" s="532"/>
      <c r="Q809" s="532"/>
    </row>
    <row r="810">
      <c r="A810" s="1451"/>
      <c r="B810" s="532"/>
      <c r="C810" s="532"/>
      <c r="D810" s="532"/>
      <c r="E810" s="532"/>
      <c r="F810" s="532"/>
      <c r="G810" s="532"/>
      <c r="H810" s="532"/>
      <c r="I810" s="532"/>
      <c r="J810" s="532"/>
      <c r="K810" s="532"/>
      <c r="L810" s="532"/>
      <c r="M810" s="532"/>
      <c r="N810" s="532"/>
      <c r="O810" s="532"/>
      <c r="P810" s="532"/>
      <c r="Q810" s="532"/>
    </row>
    <row r="811">
      <c r="A811" s="1451"/>
      <c r="B811" s="532"/>
      <c r="C811" s="532"/>
      <c r="D811" s="532"/>
      <c r="E811" s="532"/>
      <c r="F811" s="532"/>
      <c r="G811" s="532"/>
      <c r="H811" s="532"/>
      <c r="I811" s="532"/>
      <c r="J811" s="532"/>
      <c r="K811" s="532"/>
      <c r="L811" s="532"/>
      <c r="M811" s="532"/>
      <c r="N811" s="532"/>
      <c r="O811" s="532"/>
      <c r="P811" s="532"/>
      <c r="Q811" s="532"/>
    </row>
    <row r="812">
      <c r="A812" s="1451"/>
      <c r="B812" s="532"/>
      <c r="C812" s="532"/>
      <c r="D812" s="532"/>
      <c r="E812" s="532"/>
      <c r="F812" s="532"/>
      <c r="G812" s="532"/>
      <c r="H812" s="532"/>
      <c r="I812" s="532"/>
      <c r="J812" s="532"/>
      <c r="K812" s="532"/>
      <c r="L812" s="532"/>
      <c r="M812" s="532"/>
      <c r="N812" s="532"/>
      <c r="O812" s="532"/>
      <c r="P812" s="532"/>
      <c r="Q812" s="532"/>
    </row>
    <row r="813">
      <c r="A813" s="1451"/>
      <c r="B813" s="532"/>
      <c r="C813" s="532"/>
      <c r="D813" s="532"/>
      <c r="E813" s="532"/>
      <c r="F813" s="532"/>
      <c r="G813" s="532"/>
      <c r="H813" s="532"/>
      <c r="I813" s="532"/>
      <c r="J813" s="532"/>
      <c r="K813" s="532"/>
      <c r="L813" s="532"/>
      <c r="M813" s="532"/>
      <c r="N813" s="532"/>
      <c r="O813" s="532"/>
      <c r="P813" s="532"/>
      <c r="Q813" s="532"/>
    </row>
    <row r="814">
      <c r="A814" s="1451"/>
      <c r="B814" s="532"/>
      <c r="C814" s="532"/>
      <c r="D814" s="532"/>
      <c r="E814" s="532"/>
      <c r="F814" s="532"/>
      <c r="G814" s="532"/>
      <c r="H814" s="532"/>
      <c r="I814" s="532"/>
      <c r="J814" s="532"/>
      <c r="K814" s="532"/>
      <c r="L814" s="532"/>
      <c r="M814" s="532"/>
      <c r="N814" s="532"/>
      <c r="O814" s="532"/>
      <c r="P814" s="532"/>
      <c r="Q814" s="532"/>
    </row>
    <row r="815">
      <c r="A815" s="1451"/>
      <c r="B815" s="532"/>
      <c r="C815" s="532"/>
      <c r="D815" s="532"/>
      <c r="E815" s="532"/>
      <c r="F815" s="532"/>
      <c r="G815" s="532"/>
      <c r="H815" s="532"/>
      <c r="I815" s="532"/>
      <c r="J815" s="532"/>
      <c r="K815" s="532"/>
      <c r="L815" s="532"/>
      <c r="M815" s="532"/>
      <c r="N815" s="532"/>
      <c r="O815" s="532"/>
      <c r="P815" s="532"/>
      <c r="Q815" s="532"/>
    </row>
    <row r="816">
      <c r="A816" s="1451"/>
      <c r="B816" s="532"/>
      <c r="C816" s="532"/>
      <c r="D816" s="532"/>
      <c r="E816" s="532"/>
      <c r="F816" s="532"/>
      <c r="G816" s="532"/>
      <c r="H816" s="532"/>
      <c r="I816" s="532"/>
      <c r="J816" s="532"/>
      <c r="K816" s="532"/>
      <c r="L816" s="532"/>
      <c r="M816" s="532"/>
      <c r="N816" s="532"/>
      <c r="O816" s="532"/>
      <c r="P816" s="532"/>
      <c r="Q816" s="532"/>
    </row>
    <row r="817">
      <c r="A817" s="1451"/>
      <c r="B817" s="532"/>
      <c r="C817" s="532"/>
      <c r="D817" s="532"/>
      <c r="E817" s="532"/>
      <c r="F817" s="532"/>
      <c r="G817" s="532"/>
      <c r="H817" s="532"/>
      <c r="I817" s="532"/>
      <c r="J817" s="532"/>
      <c r="K817" s="532"/>
      <c r="L817" s="532"/>
      <c r="M817" s="532"/>
      <c r="N817" s="532"/>
      <c r="O817" s="532"/>
      <c r="P817" s="532"/>
      <c r="Q817" s="532"/>
    </row>
    <row r="818">
      <c r="A818" s="1451"/>
      <c r="B818" s="532"/>
      <c r="C818" s="532"/>
      <c r="D818" s="532"/>
      <c r="E818" s="532"/>
      <c r="F818" s="532"/>
      <c r="G818" s="532"/>
      <c r="H818" s="532"/>
      <c r="I818" s="532"/>
      <c r="J818" s="532"/>
      <c r="K818" s="532"/>
      <c r="L818" s="532"/>
      <c r="M818" s="532"/>
      <c r="N818" s="532"/>
      <c r="O818" s="532"/>
      <c r="P818" s="532"/>
      <c r="Q818" s="532"/>
    </row>
    <row r="819">
      <c r="A819" s="1451"/>
      <c r="B819" s="532"/>
      <c r="C819" s="532"/>
      <c r="D819" s="532"/>
      <c r="E819" s="532"/>
      <c r="F819" s="532"/>
      <c r="G819" s="532"/>
      <c r="H819" s="532"/>
      <c r="I819" s="532"/>
      <c r="J819" s="532"/>
      <c r="K819" s="532"/>
      <c r="L819" s="532"/>
      <c r="M819" s="532"/>
      <c r="N819" s="532"/>
      <c r="O819" s="532"/>
      <c r="P819" s="532"/>
      <c r="Q819" s="532"/>
    </row>
    <row r="820">
      <c r="A820" s="1451"/>
      <c r="B820" s="532"/>
      <c r="C820" s="532"/>
      <c r="D820" s="532"/>
      <c r="E820" s="532"/>
      <c r="F820" s="532"/>
      <c r="G820" s="532"/>
      <c r="H820" s="532"/>
      <c r="I820" s="532"/>
      <c r="J820" s="532"/>
      <c r="K820" s="532"/>
      <c r="L820" s="532"/>
      <c r="M820" s="532"/>
      <c r="N820" s="532"/>
      <c r="O820" s="532"/>
      <c r="P820" s="532"/>
      <c r="Q820" s="532"/>
    </row>
    <row r="821">
      <c r="A821" s="1451"/>
      <c r="B821" s="532"/>
      <c r="C821" s="532"/>
      <c r="D821" s="532"/>
      <c r="E821" s="532"/>
      <c r="F821" s="532"/>
      <c r="G821" s="532"/>
      <c r="H821" s="532"/>
      <c r="I821" s="532"/>
      <c r="J821" s="532"/>
      <c r="K821" s="532"/>
      <c r="L821" s="532"/>
      <c r="M821" s="532"/>
      <c r="N821" s="532"/>
      <c r="O821" s="532"/>
      <c r="P821" s="532"/>
      <c r="Q821" s="532"/>
    </row>
    <row r="822">
      <c r="A822" s="1451"/>
      <c r="B822" s="532"/>
      <c r="C822" s="532"/>
      <c r="D822" s="532"/>
      <c r="E822" s="532"/>
      <c r="F822" s="532"/>
      <c r="G822" s="532"/>
      <c r="H822" s="532"/>
      <c r="I822" s="532"/>
      <c r="J822" s="532"/>
      <c r="K822" s="532"/>
      <c r="L822" s="532"/>
      <c r="M822" s="532"/>
      <c r="N822" s="532"/>
      <c r="O822" s="532"/>
      <c r="P822" s="532"/>
      <c r="Q822" s="532"/>
    </row>
    <row r="823">
      <c r="A823" s="1451"/>
      <c r="B823" s="532"/>
      <c r="C823" s="532"/>
      <c r="D823" s="532"/>
      <c r="E823" s="532"/>
      <c r="F823" s="532"/>
      <c r="G823" s="532"/>
      <c r="H823" s="532"/>
      <c r="I823" s="532"/>
      <c r="J823" s="532"/>
      <c r="K823" s="532"/>
      <c r="L823" s="532"/>
      <c r="M823" s="532"/>
      <c r="N823" s="532"/>
      <c r="O823" s="532"/>
      <c r="P823" s="532"/>
      <c r="Q823" s="532"/>
    </row>
    <row r="824">
      <c r="A824" s="1451"/>
      <c r="B824" s="532"/>
      <c r="C824" s="532"/>
      <c r="D824" s="532"/>
      <c r="E824" s="532"/>
      <c r="F824" s="532"/>
      <c r="G824" s="532"/>
      <c r="H824" s="532"/>
      <c r="I824" s="532"/>
      <c r="J824" s="532"/>
      <c r="K824" s="532"/>
      <c r="L824" s="532"/>
      <c r="M824" s="532"/>
      <c r="N824" s="532"/>
      <c r="O824" s="532"/>
      <c r="P824" s="532"/>
      <c r="Q824" s="532"/>
    </row>
    <row r="825">
      <c r="A825" s="1451"/>
      <c r="B825" s="532"/>
      <c r="C825" s="532"/>
      <c r="D825" s="532"/>
      <c r="E825" s="532"/>
      <c r="F825" s="532"/>
      <c r="G825" s="532"/>
      <c r="H825" s="532"/>
      <c r="I825" s="532"/>
      <c r="J825" s="532"/>
      <c r="K825" s="532"/>
      <c r="L825" s="532"/>
      <c r="M825" s="532"/>
      <c r="N825" s="532"/>
      <c r="O825" s="532"/>
      <c r="P825" s="532"/>
      <c r="Q825" s="532"/>
    </row>
    <row r="826">
      <c r="A826" s="1451"/>
      <c r="B826" s="532"/>
      <c r="C826" s="532"/>
      <c r="D826" s="532"/>
      <c r="E826" s="532"/>
      <c r="F826" s="532"/>
      <c r="G826" s="532"/>
      <c r="H826" s="532"/>
      <c r="I826" s="532"/>
      <c r="J826" s="532"/>
      <c r="K826" s="532"/>
      <c r="L826" s="532"/>
      <c r="M826" s="532"/>
      <c r="N826" s="532"/>
      <c r="O826" s="532"/>
      <c r="P826" s="532"/>
      <c r="Q826" s="532"/>
    </row>
    <row r="827">
      <c r="A827" s="1451"/>
      <c r="B827" s="532"/>
      <c r="C827" s="532"/>
      <c r="D827" s="532"/>
      <c r="E827" s="532"/>
      <c r="F827" s="532"/>
      <c r="G827" s="532"/>
      <c r="H827" s="532"/>
      <c r="I827" s="532"/>
      <c r="J827" s="532"/>
      <c r="K827" s="532"/>
      <c r="L827" s="532"/>
      <c r="M827" s="532"/>
      <c r="N827" s="532"/>
      <c r="O827" s="532"/>
      <c r="P827" s="532"/>
      <c r="Q827" s="532"/>
    </row>
    <row r="828">
      <c r="A828" s="1451"/>
      <c r="B828" s="532"/>
      <c r="C828" s="532"/>
      <c r="D828" s="532"/>
      <c r="E828" s="532"/>
      <c r="F828" s="532"/>
      <c r="G828" s="532"/>
      <c r="H828" s="532"/>
      <c r="I828" s="532"/>
      <c r="J828" s="532"/>
      <c r="K828" s="532"/>
      <c r="L828" s="532"/>
      <c r="M828" s="532"/>
      <c r="N828" s="532"/>
      <c r="O828" s="532"/>
      <c r="P828" s="532"/>
      <c r="Q828" s="532"/>
    </row>
    <row r="829">
      <c r="A829" s="1451"/>
      <c r="B829" s="532"/>
      <c r="C829" s="532"/>
      <c r="D829" s="532"/>
      <c r="E829" s="532"/>
      <c r="F829" s="532"/>
      <c r="G829" s="532"/>
      <c r="H829" s="532"/>
      <c r="I829" s="532"/>
      <c r="J829" s="532"/>
      <c r="K829" s="532"/>
      <c r="L829" s="532"/>
      <c r="M829" s="532"/>
      <c r="N829" s="532"/>
      <c r="O829" s="532"/>
      <c r="P829" s="532"/>
      <c r="Q829" s="532"/>
    </row>
    <row r="830">
      <c r="A830" s="1451"/>
      <c r="B830" s="532"/>
      <c r="C830" s="532"/>
      <c r="D830" s="532"/>
      <c r="E830" s="532"/>
      <c r="F830" s="532"/>
      <c r="G830" s="532"/>
      <c r="H830" s="532"/>
      <c r="I830" s="532"/>
      <c r="J830" s="532"/>
      <c r="K830" s="532"/>
      <c r="L830" s="532"/>
      <c r="M830" s="532"/>
      <c r="N830" s="532"/>
      <c r="O830" s="532"/>
      <c r="P830" s="532"/>
      <c r="Q830" s="532"/>
    </row>
    <row r="831">
      <c r="A831" s="1451"/>
      <c r="B831" s="532"/>
      <c r="C831" s="532"/>
      <c r="D831" s="532"/>
      <c r="E831" s="532"/>
      <c r="F831" s="532"/>
      <c r="G831" s="532"/>
      <c r="H831" s="532"/>
      <c r="I831" s="532"/>
      <c r="J831" s="532"/>
      <c r="K831" s="532"/>
      <c r="L831" s="532"/>
      <c r="M831" s="532"/>
      <c r="N831" s="532"/>
      <c r="O831" s="532"/>
      <c r="P831" s="532"/>
      <c r="Q831" s="532"/>
    </row>
    <row r="832">
      <c r="A832" s="1451"/>
      <c r="B832" s="532"/>
      <c r="C832" s="532"/>
      <c r="D832" s="532"/>
      <c r="E832" s="532"/>
      <c r="F832" s="532"/>
      <c r="G832" s="532"/>
      <c r="H832" s="532"/>
      <c r="I832" s="532"/>
      <c r="J832" s="532"/>
      <c r="K832" s="532"/>
      <c r="L832" s="532"/>
      <c r="M832" s="532"/>
      <c r="N832" s="532"/>
      <c r="O832" s="532"/>
      <c r="P832" s="532"/>
      <c r="Q832" s="532"/>
    </row>
    <row r="833">
      <c r="A833" s="1451"/>
      <c r="B833" s="532"/>
      <c r="C833" s="532"/>
      <c r="D833" s="532"/>
      <c r="E833" s="532"/>
      <c r="F833" s="532"/>
      <c r="G833" s="532"/>
      <c r="H833" s="532"/>
      <c r="I833" s="532"/>
      <c r="J833" s="532"/>
      <c r="K833" s="532"/>
      <c r="L833" s="532"/>
      <c r="M833" s="532"/>
      <c r="N833" s="532"/>
      <c r="O833" s="532"/>
      <c r="P833" s="532"/>
      <c r="Q833" s="532"/>
    </row>
    <row r="834">
      <c r="A834" s="1451"/>
      <c r="B834" s="532"/>
      <c r="C834" s="532"/>
      <c r="D834" s="532"/>
      <c r="E834" s="532"/>
      <c r="F834" s="532"/>
      <c r="G834" s="532"/>
      <c r="H834" s="532"/>
      <c r="I834" s="532"/>
      <c r="J834" s="532"/>
      <c r="K834" s="532"/>
      <c r="L834" s="532"/>
      <c r="M834" s="532"/>
      <c r="N834" s="532"/>
      <c r="O834" s="532"/>
      <c r="P834" s="532"/>
      <c r="Q834" s="532"/>
    </row>
    <row r="835">
      <c r="A835" s="1451"/>
      <c r="B835" s="532"/>
      <c r="C835" s="532"/>
      <c r="D835" s="532"/>
      <c r="E835" s="532"/>
      <c r="F835" s="532"/>
      <c r="G835" s="532"/>
      <c r="H835" s="532"/>
      <c r="I835" s="532"/>
      <c r="J835" s="532"/>
      <c r="K835" s="532"/>
      <c r="L835" s="532"/>
      <c r="M835" s="532"/>
      <c r="N835" s="532"/>
      <c r="O835" s="532"/>
      <c r="P835" s="532"/>
      <c r="Q835" s="532"/>
    </row>
    <row r="836">
      <c r="A836" s="1451"/>
      <c r="B836" s="532"/>
      <c r="C836" s="532"/>
      <c r="D836" s="532"/>
      <c r="E836" s="532"/>
      <c r="F836" s="532"/>
      <c r="G836" s="532"/>
      <c r="H836" s="532"/>
      <c r="I836" s="532"/>
      <c r="J836" s="532"/>
      <c r="K836" s="532"/>
      <c r="L836" s="532"/>
      <c r="M836" s="532"/>
      <c r="N836" s="532"/>
      <c r="O836" s="532"/>
      <c r="P836" s="532"/>
      <c r="Q836" s="532"/>
    </row>
    <row r="837">
      <c r="A837" s="1451"/>
      <c r="B837" s="532"/>
      <c r="C837" s="532"/>
      <c r="D837" s="532"/>
      <c r="E837" s="532"/>
      <c r="F837" s="532"/>
      <c r="G837" s="532"/>
      <c r="H837" s="532"/>
      <c r="I837" s="532"/>
      <c r="J837" s="532"/>
      <c r="K837" s="532"/>
      <c r="L837" s="532"/>
      <c r="M837" s="532"/>
      <c r="N837" s="532"/>
      <c r="O837" s="532"/>
      <c r="P837" s="532"/>
      <c r="Q837" s="532"/>
    </row>
    <row r="838">
      <c r="A838" s="1451"/>
      <c r="B838" s="532"/>
      <c r="C838" s="532"/>
      <c r="D838" s="532"/>
      <c r="E838" s="532"/>
      <c r="F838" s="532"/>
      <c r="G838" s="532"/>
      <c r="H838" s="532"/>
      <c r="I838" s="532"/>
      <c r="J838" s="532"/>
      <c r="K838" s="532"/>
      <c r="L838" s="532"/>
      <c r="M838" s="532"/>
      <c r="N838" s="532"/>
      <c r="O838" s="532"/>
      <c r="P838" s="532"/>
      <c r="Q838" s="532"/>
    </row>
    <row r="839">
      <c r="A839" s="1451"/>
      <c r="B839" s="532"/>
      <c r="C839" s="532"/>
      <c r="D839" s="532"/>
      <c r="E839" s="532"/>
      <c r="F839" s="532"/>
      <c r="G839" s="532"/>
      <c r="H839" s="532"/>
      <c r="I839" s="532"/>
      <c r="J839" s="532"/>
      <c r="K839" s="532"/>
      <c r="L839" s="532"/>
      <c r="M839" s="532"/>
      <c r="N839" s="532"/>
      <c r="O839" s="532"/>
      <c r="P839" s="532"/>
      <c r="Q839" s="532"/>
    </row>
    <row r="840">
      <c r="A840" s="1451"/>
      <c r="B840" s="532"/>
      <c r="C840" s="532"/>
      <c r="D840" s="532"/>
      <c r="E840" s="532"/>
      <c r="F840" s="532"/>
      <c r="G840" s="532"/>
      <c r="H840" s="532"/>
      <c r="I840" s="532"/>
      <c r="J840" s="532"/>
      <c r="K840" s="532"/>
      <c r="L840" s="532"/>
      <c r="M840" s="532"/>
      <c r="N840" s="532"/>
      <c r="O840" s="532"/>
      <c r="P840" s="532"/>
      <c r="Q840" s="532"/>
    </row>
    <row r="841">
      <c r="A841" s="1451"/>
      <c r="B841" s="532"/>
      <c r="C841" s="532"/>
      <c r="D841" s="532"/>
      <c r="E841" s="532"/>
      <c r="F841" s="532"/>
      <c r="G841" s="532"/>
      <c r="H841" s="532"/>
      <c r="I841" s="532"/>
      <c r="J841" s="532"/>
      <c r="K841" s="532"/>
      <c r="L841" s="532"/>
      <c r="M841" s="532"/>
      <c r="N841" s="532"/>
      <c r="O841" s="532"/>
      <c r="P841" s="532"/>
      <c r="Q841" s="532"/>
    </row>
    <row r="842">
      <c r="A842" s="1451"/>
      <c r="B842" s="532"/>
      <c r="C842" s="532"/>
      <c r="D842" s="532"/>
      <c r="E842" s="532"/>
      <c r="F842" s="532"/>
      <c r="G842" s="532"/>
      <c r="H842" s="532"/>
      <c r="I842" s="532"/>
      <c r="J842" s="532"/>
      <c r="K842" s="532"/>
      <c r="L842" s="532"/>
      <c r="M842" s="532"/>
      <c r="N842" s="532"/>
      <c r="O842" s="532"/>
      <c r="P842" s="532"/>
      <c r="Q842" s="532"/>
    </row>
    <row r="843">
      <c r="A843" s="1451"/>
      <c r="B843" s="532"/>
      <c r="C843" s="532"/>
      <c r="D843" s="532"/>
      <c r="E843" s="532"/>
      <c r="F843" s="532"/>
      <c r="G843" s="532"/>
      <c r="H843" s="532"/>
      <c r="I843" s="532"/>
      <c r="J843" s="532"/>
      <c r="K843" s="532"/>
      <c r="L843" s="532"/>
      <c r="M843" s="532"/>
      <c r="N843" s="532"/>
      <c r="O843" s="532"/>
      <c r="P843" s="532"/>
      <c r="Q843" s="532"/>
    </row>
    <row r="844">
      <c r="A844" s="1451"/>
      <c r="B844" s="532"/>
      <c r="C844" s="532"/>
      <c r="D844" s="532"/>
      <c r="E844" s="532"/>
      <c r="F844" s="532"/>
      <c r="G844" s="532"/>
      <c r="H844" s="532"/>
      <c r="I844" s="532"/>
      <c r="J844" s="532"/>
      <c r="K844" s="532"/>
      <c r="L844" s="532"/>
      <c r="M844" s="532"/>
      <c r="N844" s="532"/>
      <c r="O844" s="532"/>
      <c r="P844" s="532"/>
      <c r="Q844" s="532"/>
    </row>
    <row r="845">
      <c r="A845" s="1451"/>
      <c r="B845" s="532"/>
      <c r="C845" s="532"/>
      <c r="D845" s="532"/>
      <c r="E845" s="532"/>
      <c r="F845" s="532"/>
      <c r="G845" s="532"/>
      <c r="H845" s="532"/>
      <c r="I845" s="532"/>
      <c r="J845" s="532"/>
      <c r="K845" s="532"/>
      <c r="L845" s="532"/>
      <c r="M845" s="532"/>
      <c r="N845" s="532"/>
      <c r="O845" s="532"/>
      <c r="P845" s="532"/>
      <c r="Q845" s="532"/>
    </row>
    <row r="846">
      <c r="A846" s="1451"/>
      <c r="B846" s="532"/>
      <c r="C846" s="532"/>
      <c r="D846" s="532"/>
      <c r="E846" s="532"/>
      <c r="F846" s="532"/>
      <c r="G846" s="532"/>
      <c r="H846" s="532"/>
      <c r="I846" s="532"/>
      <c r="J846" s="532"/>
      <c r="K846" s="532"/>
      <c r="L846" s="532"/>
      <c r="M846" s="532"/>
      <c r="N846" s="532"/>
      <c r="O846" s="532"/>
      <c r="P846" s="532"/>
      <c r="Q846" s="532"/>
    </row>
    <row r="847">
      <c r="A847" s="1451"/>
      <c r="B847" s="532"/>
      <c r="C847" s="532"/>
      <c r="D847" s="532"/>
      <c r="E847" s="532"/>
      <c r="F847" s="532"/>
      <c r="G847" s="532"/>
      <c r="H847" s="532"/>
      <c r="I847" s="532"/>
      <c r="J847" s="532"/>
      <c r="K847" s="532"/>
      <c r="L847" s="532"/>
      <c r="M847" s="532"/>
      <c r="N847" s="532"/>
      <c r="O847" s="532"/>
      <c r="P847" s="532"/>
      <c r="Q847" s="532"/>
    </row>
    <row r="848">
      <c r="A848" s="1451"/>
      <c r="B848" s="532"/>
      <c r="C848" s="532"/>
      <c r="D848" s="532"/>
      <c r="E848" s="532"/>
      <c r="F848" s="532"/>
      <c r="G848" s="532"/>
      <c r="H848" s="532"/>
      <c r="I848" s="532"/>
      <c r="J848" s="532"/>
      <c r="K848" s="532"/>
      <c r="L848" s="532"/>
      <c r="M848" s="532"/>
      <c r="N848" s="532"/>
      <c r="O848" s="532"/>
      <c r="P848" s="532"/>
      <c r="Q848" s="532"/>
    </row>
    <row r="849">
      <c r="A849" s="1451"/>
      <c r="B849" s="532"/>
      <c r="C849" s="532"/>
      <c r="D849" s="532"/>
      <c r="E849" s="532"/>
      <c r="F849" s="532"/>
      <c r="G849" s="532"/>
      <c r="H849" s="532"/>
      <c r="I849" s="532"/>
      <c r="J849" s="532"/>
      <c r="K849" s="532"/>
      <c r="L849" s="532"/>
      <c r="M849" s="532"/>
      <c r="N849" s="532"/>
      <c r="O849" s="532"/>
      <c r="P849" s="532"/>
      <c r="Q849" s="532"/>
    </row>
    <row r="850">
      <c r="A850" s="1451"/>
      <c r="B850" s="532"/>
      <c r="C850" s="532"/>
      <c r="D850" s="532"/>
      <c r="E850" s="532"/>
      <c r="F850" s="532"/>
      <c r="G850" s="532"/>
      <c r="H850" s="532"/>
      <c r="I850" s="532"/>
      <c r="J850" s="532"/>
      <c r="K850" s="532"/>
      <c r="L850" s="532"/>
      <c r="M850" s="532"/>
      <c r="N850" s="532"/>
      <c r="O850" s="532"/>
      <c r="P850" s="532"/>
      <c r="Q850" s="532"/>
    </row>
    <row r="851">
      <c r="A851" s="1451"/>
      <c r="B851" s="532"/>
      <c r="C851" s="532"/>
      <c r="D851" s="532"/>
      <c r="E851" s="532"/>
      <c r="F851" s="532"/>
      <c r="G851" s="532"/>
      <c r="H851" s="532"/>
      <c r="I851" s="532"/>
      <c r="J851" s="532"/>
      <c r="K851" s="532"/>
      <c r="L851" s="532"/>
      <c r="M851" s="532"/>
      <c r="N851" s="532"/>
      <c r="O851" s="532"/>
      <c r="P851" s="532"/>
      <c r="Q851" s="532"/>
    </row>
    <row r="852">
      <c r="A852" s="1451"/>
      <c r="B852" s="532"/>
      <c r="C852" s="532"/>
      <c r="D852" s="532"/>
      <c r="E852" s="532"/>
      <c r="F852" s="532"/>
      <c r="G852" s="532"/>
      <c r="H852" s="532"/>
      <c r="I852" s="532"/>
      <c r="J852" s="532"/>
      <c r="K852" s="532"/>
      <c r="L852" s="532"/>
      <c r="M852" s="532"/>
      <c r="N852" s="532"/>
      <c r="O852" s="532"/>
      <c r="P852" s="532"/>
      <c r="Q852" s="532"/>
    </row>
    <row r="853">
      <c r="A853" s="1451"/>
      <c r="B853" s="532"/>
      <c r="C853" s="532"/>
      <c r="D853" s="532"/>
      <c r="E853" s="532"/>
      <c r="F853" s="532"/>
      <c r="G853" s="532"/>
      <c r="H853" s="532"/>
      <c r="I853" s="532"/>
      <c r="J853" s="532"/>
      <c r="K853" s="532"/>
      <c r="L853" s="532"/>
      <c r="M853" s="532"/>
      <c r="N853" s="532"/>
      <c r="O853" s="532"/>
      <c r="P853" s="532"/>
      <c r="Q853" s="532"/>
    </row>
    <row r="854">
      <c r="A854" s="1451"/>
      <c r="B854" s="532"/>
      <c r="C854" s="532"/>
      <c r="D854" s="532"/>
      <c r="E854" s="532"/>
      <c r="F854" s="532"/>
      <c r="G854" s="532"/>
      <c r="H854" s="532"/>
      <c r="I854" s="532"/>
      <c r="J854" s="532"/>
      <c r="K854" s="532"/>
      <c r="L854" s="532"/>
      <c r="M854" s="532"/>
      <c r="N854" s="532"/>
      <c r="O854" s="532"/>
      <c r="P854" s="532"/>
      <c r="Q854" s="532"/>
    </row>
    <row r="855">
      <c r="A855" s="1451"/>
      <c r="B855" s="532"/>
      <c r="C855" s="532"/>
      <c r="D855" s="532"/>
      <c r="E855" s="532"/>
      <c r="F855" s="532"/>
      <c r="G855" s="532"/>
      <c r="H855" s="532"/>
      <c r="I855" s="532"/>
      <c r="J855" s="532"/>
      <c r="K855" s="532"/>
      <c r="L855" s="532"/>
      <c r="M855" s="532"/>
      <c r="N855" s="532"/>
      <c r="O855" s="532"/>
      <c r="P855" s="532"/>
      <c r="Q855" s="532"/>
    </row>
    <row r="856">
      <c r="A856" s="1451"/>
      <c r="B856" s="532"/>
      <c r="C856" s="532"/>
      <c r="D856" s="532"/>
      <c r="E856" s="532"/>
      <c r="F856" s="532"/>
      <c r="G856" s="532"/>
      <c r="H856" s="532"/>
      <c r="I856" s="532"/>
      <c r="J856" s="532"/>
      <c r="K856" s="532"/>
      <c r="L856" s="532"/>
      <c r="M856" s="532"/>
      <c r="N856" s="532"/>
      <c r="O856" s="532"/>
      <c r="P856" s="532"/>
      <c r="Q856" s="532"/>
    </row>
    <row r="857">
      <c r="A857" s="1451"/>
      <c r="B857" s="532"/>
      <c r="C857" s="532"/>
      <c r="D857" s="532"/>
      <c r="E857" s="532"/>
      <c r="F857" s="532"/>
      <c r="G857" s="532"/>
      <c r="H857" s="532"/>
      <c r="I857" s="532"/>
      <c r="J857" s="532"/>
      <c r="K857" s="532"/>
      <c r="L857" s="532"/>
      <c r="M857" s="532"/>
      <c r="N857" s="532"/>
      <c r="O857" s="532"/>
      <c r="P857" s="532"/>
      <c r="Q857" s="532"/>
    </row>
    <row r="858">
      <c r="A858" s="1451"/>
      <c r="B858" s="532"/>
      <c r="C858" s="532"/>
      <c r="D858" s="532"/>
      <c r="E858" s="532"/>
      <c r="F858" s="532"/>
      <c r="G858" s="532"/>
      <c r="H858" s="532"/>
      <c r="I858" s="532"/>
      <c r="J858" s="532"/>
      <c r="K858" s="532"/>
      <c r="L858" s="532"/>
      <c r="M858" s="532"/>
      <c r="N858" s="532"/>
      <c r="O858" s="532"/>
      <c r="P858" s="532"/>
      <c r="Q858" s="532"/>
    </row>
    <row r="859">
      <c r="A859" s="1451"/>
      <c r="B859" s="532"/>
      <c r="C859" s="532"/>
      <c r="D859" s="532"/>
      <c r="E859" s="532"/>
      <c r="F859" s="532"/>
      <c r="G859" s="532"/>
      <c r="H859" s="532"/>
      <c r="I859" s="532"/>
      <c r="J859" s="532"/>
      <c r="K859" s="532"/>
      <c r="L859" s="532"/>
      <c r="M859" s="532"/>
      <c r="N859" s="532"/>
      <c r="O859" s="532"/>
      <c r="P859" s="532"/>
      <c r="Q859" s="532"/>
    </row>
    <row r="860">
      <c r="A860" s="1451"/>
      <c r="B860" s="532"/>
      <c r="C860" s="532"/>
      <c r="D860" s="532"/>
      <c r="E860" s="532"/>
      <c r="F860" s="532"/>
      <c r="G860" s="532"/>
      <c r="H860" s="532"/>
      <c r="I860" s="532"/>
      <c r="J860" s="532"/>
      <c r="K860" s="532"/>
      <c r="L860" s="532"/>
      <c r="M860" s="532"/>
      <c r="N860" s="532"/>
      <c r="O860" s="532"/>
      <c r="P860" s="532"/>
      <c r="Q860" s="532"/>
    </row>
    <row r="861">
      <c r="A861" s="1451"/>
      <c r="B861" s="532"/>
      <c r="C861" s="532"/>
      <c r="D861" s="532"/>
      <c r="E861" s="532"/>
      <c r="F861" s="532"/>
      <c r="G861" s="532"/>
      <c r="H861" s="532"/>
      <c r="I861" s="532"/>
      <c r="J861" s="532"/>
      <c r="K861" s="532"/>
      <c r="L861" s="532"/>
      <c r="M861" s="532"/>
      <c r="N861" s="532"/>
      <c r="O861" s="532"/>
      <c r="P861" s="532"/>
      <c r="Q861" s="532"/>
    </row>
    <row r="862">
      <c r="A862" s="1451"/>
      <c r="B862" s="532"/>
      <c r="C862" s="532"/>
      <c r="D862" s="532"/>
      <c r="E862" s="532"/>
      <c r="F862" s="532"/>
      <c r="G862" s="532"/>
      <c r="H862" s="532"/>
      <c r="I862" s="532"/>
      <c r="J862" s="532"/>
      <c r="K862" s="532"/>
      <c r="L862" s="532"/>
      <c r="M862" s="532"/>
      <c r="N862" s="532"/>
      <c r="O862" s="532"/>
      <c r="P862" s="532"/>
      <c r="Q862" s="532"/>
    </row>
    <row r="863">
      <c r="A863" s="1451"/>
      <c r="B863" s="532"/>
      <c r="C863" s="532"/>
      <c r="D863" s="532"/>
      <c r="E863" s="532"/>
      <c r="F863" s="532"/>
      <c r="G863" s="532"/>
      <c r="H863" s="532"/>
      <c r="I863" s="532"/>
      <c r="J863" s="532"/>
      <c r="K863" s="532"/>
      <c r="L863" s="532"/>
      <c r="M863" s="532"/>
      <c r="N863" s="532"/>
      <c r="O863" s="532"/>
      <c r="P863" s="532"/>
      <c r="Q863" s="532"/>
    </row>
    <row r="864">
      <c r="A864" s="1451"/>
      <c r="B864" s="532"/>
      <c r="C864" s="532"/>
      <c r="D864" s="532"/>
      <c r="E864" s="532"/>
      <c r="F864" s="532"/>
      <c r="G864" s="532"/>
      <c r="H864" s="532"/>
      <c r="I864" s="532"/>
      <c r="J864" s="532"/>
      <c r="K864" s="532"/>
      <c r="L864" s="532"/>
      <c r="M864" s="532"/>
      <c r="N864" s="532"/>
      <c r="O864" s="532"/>
      <c r="P864" s="532"/>
      <c r="Q864" s="532"/>
    </row>
    <row r="865">
      <c r="A865" s="1451"/>
      <c r="B865" s="532"/>
      <c r="C865" s="532"/>
      <c r="D865" s="532"/>
      <c r="E865" s="532"/>
      <c r="F865" s="532"/>
      <c r="G865" s="532"/>
      <c r="H865" s="532"/>
      <c r="I865" s="532"/>
      <c r="J865" s="532"/>
      <c r="K865" s="532"/>
      <c r="L865" s="532"/>
      <c r="M865" s="532"/>
      <c r="N865" s="532"/>
      <c r="O865" s="532"/>
      <c r="P865" s="532"/>
      <c r="Q865" s="532"/>
    </row>
    <row r="866">
      <c r="A866" s="1451"/>
      <c r="B866" s="532"/>
      <c r="C866" s="532"/>
      <c r="D866" s="532"/>
      <c r="E866" s="532"/>
      <c r="F866" s="532"/>
      <c r="G866" s="532"/>
      <c r="H866" s="532"/>
      <c r="I866" s="532"/>
      <c r="J866" s="532"/>
      <c r="K866" s="532"/>
      <c r="L866" s="532"/>
      <c r="M866" s="532"/>
      <c r="N866" s="532"/>
      <c r="O866" s="532"/>
      <c r="P866" s="532"/>
      <c r="Q866" s="532"/>
    </row>
    <row r="867">
      <c r="A867" s="1451"/>
      <c r="B867" s="532"/>
      <c r="C867" s="532"/>
      <c r="D867" s="532"/>
      <c r="E867" s="532"/>
      <c r="F867" s="532"/>
      <c r="G867" s="532"/>
      <c r="H867" s="532"/>
      <c r="I867" s="532"/>
      <c r="J867" s="532"/>
      <c r="K867" s="532"/>
      <c r="L867" s="532"/>
      <c r="M867" s="532"/>
      <c r="N867" s="532"/>
      <c r="O867" s="532"/>
      <c r="P867" s="532"/>
      <c r="Q867" s="532"/>
    </row>
    <row r="868">
      <c r="A868" s="1451"/>
      <c r="B868" s="532"/>
      <c r="C868" s="532"/>
      <c r="D868" s="532"/>
      <c r="E868" s="532"/>
      <c r="F868" s="532"/>
      <c r="G868" s="532"/>
      <c r="H868" s="532"/>
      <c r="I868" s="532"/>
      <c r="J868" s="532"/>
      <c r="K868" s="532"/>
      <c r="L868" s="532"/>
      <c r="M868" s="532"/>
      <c r="N868" s="532"/>
      <c r="O868" s="532"/>
      <c r="P868" s="532"/>
      <c r="Q868" s="532"/>
    </row>
    <row r="869">
      <c r="A869" s="1451"/>
      <c r="B869" s="532"/>
      <c r="C869" s="532"/>
      <c r="D869" s="532"/>
      <c r="E869" s="532"/>
      <c r="F869" s="532"/>
      <c r="G869" s="532"/>
      <c r="H869" s="532"/>
      <c r="I869" s="532"/>
      <c r="J869" s="532"/>
      <c r="K869" s="532"/>
      <c r="L869" s="532"/>
      <c r="M869" s="532"/>
      <c r="N869" s="532"/>
      <c r="O869" s="532"/>
      <c r="P869" s="532"/>
      <c r="Q869" s="532"/>
    </row>
    <row r="870">
      <c r="A870" s="1451"/>
      <c r="B870" s="532"/>
      <c r="C870" s="532"/>
      <c r="D870" s="532"/>
      <c r="E870" s="532"/>
      <c r="F870" s="532"/>
      <c r="G870" s="532"/>
      <c r="H870" s="532"/>
      <c r="I870" s="532"/>
      <c r="J870" s="532"/>
      <c r="K870" s="532"/>
      <c r="L870" s="532"/>
      <c r="M870" s="532"/>
      <c r="N870" s="532"/>
      <c r="O870" s="532"/>
      <c r="P870" s="532"/>
      <c r="Q870" s="532"/>
    </row>
    <row r="871">
      <c r="A871" s="1451"/>
      <c r="B871" s="532"/>
      <c r="C871" s="532"/>
      <c r="D871" s="532"/>
      <c r="E871" s="532"/>
      <c r="F871" s="532"/>
      <c r="G871" s="532"/>
      <c r="H871" s="532"/>
      <c r="I871" s="532"/>
      <c r="J871" s="532"/>
      <c r="K871" s="532"/>
      <c r="L871" s="532"/>
      <c r="M871" s="532"/>
      <c r="N871" s="532"/>
      <c r="O871" s="532"/>
      <c r="P871" s="532"/>
      <c r="Q871" s="532"/>
    </row>
    <row r="872">
      <c r="A872" s="1451"/>
      <c r="B872" s="532"/>
      <c r="C872" s="532"/>
      <c r="D872" s="532"/>
      <c r="E872" s="532"/>
      <c r="F872" s="532"/>
      <c r="G872" s="532"/>
      <c r="H872" s="532"/>
      <c r="I872" s="532"/>
      <c r="J872" s="532"/>
      <c r="K872" s="532"/>
      <c r="L872" s="532"/>
      <c r="M872" s="532"/>
      <c r="N872" s="532"/>
      <c r="O872" s="532"/>
      <c r="P872" s="532"/>
      <c r="Q872" s="532"/>
    </row>
    <row r="873">
      <c r="A873" s="1451"/>
      <c r="B873" s="532"/>
      <c r="C873" s="532"/>
      <c r="D873" s="532"/>
      <c r="E873" s="532"/>
      <c r="F873" s="532"/>
      <c r="G873" s="532"/>
      <c r="H873" s="532"/>
      <c r="I873" s="532"/>
      <c r="J873" s="532"/>
      <c r="K873" s="532"/>
      <c r="L873" s="532"/>
      <c r="M873" s="532"/>
      <c r="N873" s="532"/>
      <c r="O873" s="532"/>
      <c r="P873" s="532"/>
      <c r="Q873" s="532"/>
    </row>
    <row r="874">
      <c r="A874" s="1451"/>
      <c r="B874" s="532"/>
      <c r="C874" s="532"/>
      <c r="D874" s="532"/>
      <c r="E874" s="532"/>
      <c r="F874" s="532"/>
      <c r="G874" s="532"/>
      <c r="H874" s="532"/>
      <c r="I874" s="532"/>
      <c r="J874" s="532"/>
      <c r="K874" s="532"/>
      <c r="L874" s="532"/>
      <c r="M874" s="532"/>
      <c r="N874" s="532"/>
      <c r="O874" s="532"/>
      <c r="P874" s="532"/>
      <c r="Q874" s="532"/>
    </row>
    <row r="875">
      <c r="A875" s="1451"/>
      <c r="B875" s="532"/>
      <c r="C875" s="532"/>
      <c r="D875" s="532"/>
      <c r="E875" s="532"/>
      <c r="F875" s="532"/>
      <c r="G875" s="532"/>
      <c r="H875" s="532"/>
      <c r="I875" s="532"/>
      <c r="J875" s="532"/>
      <c r="K875" s="532"/>
      <c r="L875" s="532"/>
      <c r="M875" s="532"/>
      <c r="N875" s="532"/>
      <c r="O875" s="532"/>
      <c r="P875" s="532"/>
      <c r="Q875" s="532"/>
    </row>
    <row r="876">
      <c r="A876" s="1451"/>
      <c r="B876" s="532"/>
      <c r="C876" s="532"/>
      <c r="D876" s="532"/>
      <c r="E876" s="532"/>
      <c r="F876" s="532"/>
      <c r="G876" s="532"/>
      <c r="H876" s="532"/>
      <c r="I876" s="532"/>
      <c r="J876" s="532"/>
      <c r="K876" s="532"/>
      <c r="L876" s="532"/>
      <c r="M876" s="532"/>
      <c r="N876" s="532"/>
      <c r="O876" s="532"/>
      <c r="P876" s="532"/>
      <c r="Q876" s="532"/>
    </row>
    <row r="877">
      <c r="A877" s="1451"/>
      <c r="B877" s="532"/>
      <c r="C877" s="532"/>
      <c r="D877" s="532"/>
      <c r="E877" s="532"/>
      <c r="F877" s="532"/>
      <c r="G877" s="532"/>
      <c r="H877" s="532"/>
      <c r="I877" s="532"/>
      <c r="J877" s="532"/>
      <c r="K877" s="532"/>
      <c r="L877" s="532"/>
      <c r="M877" s="532"/>
      <c r="N877" s="532"/>
      <c r="O877" s="532"/>
      <c r="P877" s="532"/>
      <c r="Q877" s="532"/>
    </row>
    <row r="878">
      <c r="A878" s="1451"/>
      <c r="B878" s="532"/>
      <c r="C878" s="532"/>
      <c r="D878" s="532"/>
      <c r="E878" s="532"/>
      <c r="F878" s="532"/>
      <c r="G878" s="532"/>
      <c r="H878" s="532"/>
      <c r="I878" s="532"/>
      <c r="J878" s="532"/>
      <c r="K878" s="532"/>
      <c r="L878" s="532"/>
      <c r="M878" s="532"/>
      <c r="N878" s="532"/>
      <c r="O878" s="532"/>
      <c r="P878" s="532"/>
      <c r="Q878" s="532"/>
    </row>
    <row r="879">
      <c r="A879" s="1451"/>
      <c r="B879" s="532"/>
      <c r="C879" s="532"/>
      <c r="D879" s="532"/>
      <c r="E879" s="532"/>
      <c r="F879" s="532"/>
      <c r="G879" s="532"/>
      <c r="H879" s="532"/>
      <c r="I879" s="532"/>
      <c r="J879" s="532"/>
      <c r="K879" s="532"/>
      <c r="L879" s="532"/>
      <c r="M879" s="532"/>
      <c r="N879" s="532"/>
      <c r="O879" s="532"/>
      <c r="P879" s="532"/>
      <c r="Q879" s="532"/>
    </row>
    <row r="880">
      <c r="A880" s="1451"/>
      <c r="B880" s="532"/>
      <c r="C880" s="532"/>
      <c r="D880" s="532"/>
      <c r="E880" s="532"/>
      <c r="F880" s="532"/>
      <c r="G880" s="532"/>
      <c r="H880" s="532"/>
      <c r="I880" s="532"/>
      <c r="J880" s="532"/>
      <c r="K880" s="532"/>
      <c r="L880" s="532"/>
      <c r="M880" s="532"/>
      <c r="N880" s="532"/>
      <c r="O880" s="532"/>
      <c r="P880" s="532"/>
      <c r="Q880" s="532"/>
    </row>
    <row r="881">
      <c r="A881" s="1451"/>
      <c r="B881" s="532"/>
      <c r="C881" s="532"/>
      <c r="D881" s="532"/>
      <c r="E881" s="532"/>
      <c r="F881" s="532"/>
      <c r="G881" s="532"/>
      <c r="H881" s="532"/>
      <c r="I881" s="532"/>
      <c r="J881" s="532"/>
      <c r="K881" s="532"/>
      <c r="L881" s="532"/>
      <c r="M881" s="532"/>
      <c r="N881" s="532"/>
      <c r="O881" s="532"/>
      <c r="P881" s="532"/>
      <c r="Q881" s="532"/>
    </row>
    <row r="882">
      <c r="A882" s="1451"/>
      <c r="B882" s="532"/>
      <c r="C882" s="532"/>
      <c r="D882" s="532"/>
      <c r="E882" s="532"/>
      <c r="F882" s="532"/>
      <c r="G882" s="532"/>
      <c r="H882" s="532"/>
      <c r="I882" s="532"/>
      <c r="J882" s="532"/>
      <c r="K882" s="532"/>
      <c r="L882" s="532"/>
      <c r="M882" s="532"/>
      <c r="N882" s="532"/>
      <c r="O882" s="532"/>
      <c r="P882" s="532"/>
      <c r="Q882" s="532"/>
    </row>
    <row r="883">
      <c r="A883" s="1451"/>
      <c r="B883" s="532"/>
      <c r="C883" s="532"/>
      <c r="D883" s="532"/>
      <c r="E883" s="532"/>
      <c r="F883" s="532"/>
      <c r="G883" s="532"/>
      <c r="H883" s="532"/>
      <c r="I883" s="532"/>
      <c r="J883" s="532"/>
      <c r="K883" s="532"/>
      <c r="L883" s="532"/>
      <c r="M883" s="532"/>
      <c r="N883" s="532"/>
      <c r="O883" s="532"/>
      <c r="P883" s="532"/>
      <c r="Q883" s="532"/>
    </row>
    <row r="884">
      <c r="A884" s="1451"/>
      <c r="B884" s="532"/>
      <c r="C884" s="532"/>
      <c r="D884" s="532"/>
      <c r="E884" s="532"/>
      <c r="F884" s="532"/>
      <c r="G884" s="532"/>
      <c r="H884" s="532"/>
      <c r="I884" s="532"/>
      <c r="J884" s="532"/>
      <c r="K884" s="532"/>
      <c r="L884" s="532"/>
      <c r="M884" s="532"/>
      <c r="N884" s="532"/>
      <c r="O884" s="532"/>
      <c r="P884" s="532"/>
      <c r="Q884" s="532"/>
    </row>
    <row r="885">
      <c r="A885" s="1451"/>
      <c r="B885" s="532"/>
      <c r="C885" s="532"/>
      <c r="D885" s="532"/>
      <c r="E885" s="532"/>
      <c r="F885" s="532"/>
      <c r="G885" s="532"/>
      <c r="H885" s="532"/>
      <c r="I885" s="532"/>
      <c r="J885" s="532"/>
      <c r="K885" s="532"/>
      <c r="L885" s="532"/>
      <c r="M885" s="532"/>
      <c r="N885" s="532"/>
      <c r="O885" s="532"/>
      <c r="P885" s="532"/>
      <c r="Q885" s="532"/>
    </row>
    <row r="886">
      <c r="A886" s="1451"/>
      <c r="B886" s="532"/>
      <c r="C886" s="532"/>
      <c r="D886" s="532"/>
      <c r="E886" s="532"/>
      <c r="F886" s="532"/>
      <c r="G886" s="532"/>
      <c r="H886" s="532"/>
      <c r="I886" s="532"/>
      <c r="J886" s="532"/>
      <c r="K886" s="532"/>
      <c r="L886" s="532"/>
      <c r="M886" s="532"/>
      <c r="N886" s="532"/>
      <c r="O886" s="532"/>
      <c r="P886" s="532"/>
      <c r="Q886" s="532"/>
    </row>
    <row r="887">
      <c r="A887" s="1451"/>
      <c r="B887" s="532"/>
      <c r="C887" s="532"/>
      <c r="D887" s="532"/>
      <c r="E887" s="532"/>
      <c r="F887" s="532"/>
      <c r="G887" s="532"/>
      <c r="H887" s="532"/>
      <c r="I887" s="532"/>
      <c r="J887" s="532"/>
      <c r="K887" s="532"/>
      <c r="L887" s="532"/>
      <c r="M887" s="532"/>
      <c r="N887" s="532"/>
      <c r="O887" s="532"/>
      <c r="P887" s="532"/>
      <c r="Q887" s="532"/>
    </row>
    <row r="888">
      <c r="A888" s="1451"/>
      <c r="B888" s="532"/>
      <c r="C888" s="532"/>
      <c r="D888" s="532"/>
      <c r="E888" s="532"/>
      <c r="F888" s="532"/>
      <c r="G888" s="532"/>
      <c r="H888" s="532"/>
      <c r="I888" s="532"/>
      <c r="J888" s="532"/>
      <c r="K888" s="532"/>
      <c r="L888" s="532"/>
      <c r="M888" s="532"/>
      <c r="N888" s="532"/>
      <c r="O888" s="532"/>
      <c r="P888" s="532"/>
      <c r="Q888" s="532"/>
    </row>
    <row r="889">
      <c r="A889" s="1451"/>
      <c r="B889" s="532"/>
      <c r="C889" s="532"/>
      <c r="D889" s="532"/>
      <c r="E889" s="532"/>
      <c r="F889" s="532"/>
      <c r="G889" s="532"/>
      <c r="H889" s="532"/>
      <c r="I889" s="532"/>
      <c r="J889" s="532"/>
      <c r="K889" s="532"/>
      <c r="L889" s="532"/>
      <c r="M889" s="532"/>
      <c r="N889" s="532"/>
      <c r="O889" s="532"/>
      <c r="P889" s="532"/>
      <c r="Q889" s="532"/>
    </row>
    <row r="890">
      <c r="A890" s="1451"/>
      <c r="B890" s="532"/>
      <c r="C890" s="532"/>
      <c r="D890" s="532"/>
      <c r="E890" s="532"/>
      <c r="F890" s="532"/>
      <c r="G890" s="532"/>
      <c r="H890" s="532"/>
      <c r="I890" s="532"/>
      <c r="J890" s="532"/>
      <c r="K890" s="532"/>
      <c r="L890" s="532"/>
      <c r="M890" s="532"/>
      <c r="N890" s="532"/>
      <c r="O890" s="532"/>
      <c r="P890" s="532"/>
      <c r="Q890" s="532"/>
    </row>
    <row r="891">
      <c r="A891" s="1451"/>
      <c r="B891" s="532"/>
      <c r="C891" s="532"/>
      <c r="D891" s="532"/>
      <c r="E891" s="532"/>
      <c r="F891" s="532"/>
      <c r="G891" s="532"/>
      <c r="H891" s="532"/>
      <c r="I891" s="532"/>
      <c r="J891" s="532"/>
      <c r="K891" s="532"/>
      <c r="L891" s="532"/>
      <c r="M891" s="532"/>
      <c r="N891" s="532"/>
      <c r="O891" s="532"/>
      <c r="P891" s="532"/>
      <c r="Q891" s="532"/>
    </row>
    <row r="892">
      <c r="A892" s="1451"/>
      <c r="B892" s="532"/>
      <c r="C892" s="532"/>
      <c r="D892" s="532"/>
      <c r="E892" s="532"/>
      <c r="F892" s="532"/>
      <c r="G892" s="532"/>
      <c r="H892" s="532"/>
      <c r="I892" s="532"/>
      <c r="J892" s="532"/>
      <c r="K892" s="532"/>
      <c r="L892" s="532"/>
      <c r="M892" s="532"/>
      <c r="N892" s="532"/>
      <c r="O892" s="532"/>
      <c r="P892" s="532"/>
      <c r="Q892" s="532"/>
    </row>
    <row r="893">
      <c r="A893" s="1451"/>
      <c r="B893" s="532"/>
      <c r="C893" s="532"/>
      <c r="D893" s="532"/>
      <c r="E893" s="532"/>
      <c r="F893" s="532"/>
      <c r="G893" s="532"/>
      <c r="H893" s="532"/>
      <c r="I893" s="532"/>
      <c r="J893" s="532"/>
      <c r="K893" s="532"/>
      <c r="L893" s="532"/>
      <c r="M893" s="532"/>
      <c r="N893" s="532"/>
      <c r="O893" s="532"/>
      <c r="P893" s="532"/>
      <c r="Q893" s="532"/>
    </row>
    <row r="894">
      <c r="A894" s="1451"/>
      <c r="B894" s="532"/>
      <c r="C894" s="532"/>
      <c r="D894" s="532"/>
      <c r="E894" s="532"/>
      <c r="F894" s="532"/>
      <c r="G894" s="532"/>
      <c r="H894" s="532"/>
      <c r="I894" s="532"/>
      <c r="J894" s="532"/>
      <c r="K894" s="532"/>
      <c r="L894" s="532"/>
      <c r="M894" s="532"/>
      <c r="N894" s="532"/>
      <c r="O894" s="532"/>
      <c r="P894" s="532"/>
      <c r="Q894" s="532"/>
    </row>
    <row r="895">
      <c r="A895" s="1451"/>
      <c r="B895" s="532"/>
      <c r="C895" s="532"/>
      <c r="D895" s="532"/>
      <c r="E895" s="532"/>
      <c r="F895" s="532"/>
      <c r="G895" s="532"/>
      <c r="H895" s="532"/>
      <c r="I895" s="532"/>
      <c r="J895" s="532"/>
      <c r="K895" s="532"/>
      <c r="L895" s="532"/>
      <c r="M895" s="532"/>
      <c r="N895" s="532"/>
      <c r="O895" s="532"/>
      <c r="P895" s="532"/>
      <c r="Q895" s="532"/>
    </row>
    <row r="896">
      <c r="A896" s="1451"/>
      <c r="B896" s="532"/>
      <c r="C896" s="532"/>
      <c r="D896" s="532"/>
      <c r="E896" s="532"/>
      <c r="F896" s="532"/>
      <c r="G896" s="532"/>
      <c r="H896" s="532"/>
      <c r="I896" s="532"/>
      <c r="J896" s="532"/>
      <c r="K896" s="532"/>
      <c r="L896" s="532"/>
      <c r="M896" s="532"/>
      <c r="N896" s="532"/>
      <c r="O896" s="532"/>
      <c r="P896" s="532"/>
      <c r="Q896" s="532"/>
    </row>
    <row r="897">
      <c r="A897" s="1451"/>
      <c r="B897" s="532"/>
      <c r="C897" s="532"/>
      <c r="D897" s="532"/>
      <c r="E897" s="532"/>
      <c r="F897" s="532"/>
      <c r="G897" s="532"/>
      <c r="H897" s="532"/>
      <c r="I897" s="532"/>
      <c r="J897" s="532"/>
      <c r="K897" s="532"/>
      <c r="L897" s="532"/>
      <c r="M897" s="532"/>
      <c r="N897" s="532"/>
      <c r="O897" s="532"/>
      <c r="P897" s="532"/>
      <c r="Q897" s="532"/>
    </row>
    <row r="898">
      <c r="A898" s="1451"/>
      <c r="B898" s="532"/>
      <c r="C898" s="532"/>
      <c r="D898" s="532"/>
      <c r="E898" s="532"/>
      <c r="F898" s="532"/>
      <c r="G898" s="532"/>
      <c r="H898" s="532"/>
      <c r="I898" s="532"/>
      <c r="J898" s="532"/>
      <c r="K898" s="532"/>
      <c r="L898" s="532"/>
      <c r="M898" s="532"/>
      <c r="N898" s="532"/>
      <c r="O898" s="532"/>
      <c r="P898" s="532"/>
      <c r="Q898" s="532"/>
    </row>
    <row r="899">
      <c r="A899" s="1451"/>
      <c r="B899" s="532"/>
      <c r="C899" s="532"/>
      <c r="D899" s="532"/>
      <c r="E899" s="532"/>
      <c r="F899" s="532"/>
      <c r="G899" s="532"/>
      <c r="H899" s="532"/>
      <c r="I899" s="532"/>
      <c r="J899" s="532"/>
      <c r="K899" s="532"/>
      <c r="L899" s="532"/>
      <c r="M899" s="532"/>
      <c r="N899" s="532"/>
      <c r="O899" s="532"/>
      <c r="P899" s="532"/>
      <c r="Q899" s="532"/>
    </row>
    <row r="900">
      <c r="A900" s="1451"/>
      <c r="B900" s="532"/>
      <c r="C900" s="532"/>
      <c r="D900" s="532"/>
      <c r="E900" s="532"/>
      <c r="F900" s="532"/>
      <c r="G900" s="532"/>
      <c r="H900" s="532"/>
      <c r="I900" s="532"/>
      <c r="J900" s="532"/>
      <c r="K900" s="532"/>
      <c r="L900" s="532"/>
      <c r="M900" s="532"/>
      <c r="N900" s="532"/>
      <c r="O900" s="532"/>
      <c r="P900" s="532"/>
      <c r="Q900" s="532"/>
    </row>
    <row r="901">
      <c r="A901" s="1451"/>
      <c r="B901" s="532"/>
      <c r="C901" s="532"/>
      <c r="D901" s="532"/>
      <c r="E901" s="532"/>
      <c r="F901" s="532"/>
      <c r="G901" s="532"/>
      <c r="H901" s="532"/>
      <c r="I901" s="532"/>
      <c r="J901" s="532"/>
      <c r="K901" s="532"/>
      <c r="L901" s="532"/>
      <c r="M901" s="532"/>
      <c r="N901" s="532"/>
      <c r="O901" s="532"/>
      <c r="P901" s="532"/>
      <c r="Q901" s="532"/>
    </row>
    <row r="902">
      <c r="A902" s="1451"/>
      <c r="B902" s="532"/>
      <c r="C902" s="532"/>
      <c r="D902" s="532"/>
      <c r="E902" s="532"/>
      <c r="F902" s="532"/>
      <c r="G902" s="532"/>
      <c r="H902" s="532"/>
      <c r="I902" s="532"/>
      <c r="J902" s="532"/>
      <c r="K902" s="532"/>
      <c r="L902" s="532"/>
      <c r="M902" s="532"/>
      <c r="N902" s="532"/>
      <c r="O902" s="532"/>
      <c r="P902" s="532"/>
      <c r="Q902" s="532"/>
    </row>
    <row r="903">
      <c r="A903" s="1451"/>
      <c r="B903" s="532"/>
      <c r="C903" s="532"/>
      <c r="D903" s="532"/>
      <c r="E903" s="532"/>
      <c r="F903" s="532"/>
      <c r="G903" s="532"/>
      <c r="H903" s="532"/>
      <c r="I903" s="532"/>
      <c r="J903" s="532"/>
      <c r="K903" s="532"/>
      <c r="L903" s="532"/>
      <c r="M903" s="532"/>
      <c r="N903" s="532"/>
      <c r="O903" s="532"/>
      <c r="P903" s="532"/>
      <c r="Q903" s="532"/>
    </row>
    <row r="904">
      <c r="A904" s="1451"/>
      <c r="B904" s="532"/>
      <c r="C904" s="532"/>
      <c r="D904" s="532"/>
      <c r="E904" s="532"/>
      <c r="F904" s="532"/>
      <c r="G904" s="532"/>
      <c r="H904" s="532"/>
      <c r="I904" s="532"/>
      <c r="J904" s="532"/>
      <c r="K904" s="532"/>
      <c r="L904" s="532"/>
      <c r="M904" s="532"/>
      <c r="N904" s="532"/>
      <c r="O904" s="532"/>
      <c r="P904" s="532"/>
      <c r="Q904" s="532"/>
    </row>
    <row r="905">
      <c r="A905" s="1451"/>
      <c r="B905" s="532"/>
      <c r="C905" s="532"/>
      <c r="D905" s="532"/>
      <c r="E905" s="532"/>
      <c r="F905" s="532"/>
      <c r="G905" s="532"/>
      <c r="H905" s="532"/>
      <c r="I905" s="532"/>
      <c r="J905" s="532"/>
      <c r="K905" s="532"/>
      <c r="L905" s="532"/>
      <c r="M905" s="532"/>
      <c r="N905" s="532"/>
      <c r="O905" s="532"/>
      <c r="P905" s="532"/>
      <c r="Q905" s="532"/>
    </row>
    <row r="906">
      <c r="A906" s="1451"/>
      <c r="B906" s="532"/>
      <c r="C906" s="532"/>
      <c r="D906" s="532"/>
      <c r="E906" s="532"/>
      <c r="F906" s="532"/>
      <c r="G906" s="532"/>
      <c r="H906" s="532"/>
      <c r="I906" s="532"/>
      <c r="J906" s="532"/>
      <c r="K906" s="532"/>
      <c r="L906" s="532"/>
      <c r="M906" s="532"/>
      <c r="N906" s="532"/>
      <c r="O906" s="532"/>
      <c r="P906" s="532"/>
      <c r="Q906" s="532"/>
    </row>
    <row r="907">
      <c r="A907" s="1451"/>
      <c r="B907" s="532"/>
      <c r="C907" s="532"/>
      <c r="D907" s="532"/>
      <c r="E907" s="532"/>
      <c r="F907" s="532"/>
      <c r="G907" s="532"/>
      <c r="H907" s="532"/>
      <c r="I907" s="532"/>
      <c r="J907" s="532"/>
      <c r="K907" s="532"/>
      <c r="L907" s="532"/>
      <c r="M907" s="532"/>
      <c r="N907" s="532"/>
      <c r="O907" s="532"/>
      <c r="P907" s="532"/>
      <c r="Q907" s="532"/>
    </row>
    <row r="908">
      <c r="A908" s="1451"/>
      <c r="B908" s="532"/>
      <c r="C908" s="532"/>
      <c r="D908" s="532"/>
      <c r="E908" s="532"/>
      <c r="F908" s="532"/>
      <c r="G908" s="532"/>
      <c r="H908" s="532"/>
      <c r="I908" s="532"/>
      <c r="J908" s="532"/>
      <c r="K908" s="532"/>
      <c r="L908" s="532"/>
      <c r="M908" s="532"/>
      <c r="N908" s="532"/>
      <c r="O908" s="532"/>
      <c r="P908" s="532"/>
      <c r="Q908" s="532"/>
    </row>
    <row r="909">
      <c r="A909" s="1451"/>
      <c r="B909" s="532"/>
      <c r="C909" s="532"/>
      <c r="D909" s="532"/>
      <c r="E909" s="532"/>
      <c r="F909" s="532"/>
      <c r="G909" s="532"/>
      <c r="H909" s="532"/>
      <c r="I909" s="532"/>
      <c r="J909" s="532"/>
      <c r="K909" s="532"/>
      <c r="L909" s="532"/>
      <c r="M909" s="532"/>
      <c r="N909" s="532"/>
      <c r="O909" s="532"/>
      <c r="P909" s="532"/>
      <c r="Q909" s="532"/>
    </row>
    <row r="910">
      <c r="A910" s="1451"/>
      <c r="B910" s="532"/>
      <c r="C910" s="532"/>
      <c r="D910" s="532"/>
      <c r="E910" s="532"/>
      <c r="F910" s="532"/>
      <c r="G910" s="532"/>
      <c r="H910" s="532"/>
      <c r="I910" s="532"/>
      <c r="J910" s="532"/>
      <c r="K910" s="532"/>
      <c r="L910" s="532"/>
      <c r="M910" s="532"/>
      <c r="N910" s="532"/>
      <c r="O910" s="532"/>
      <c r="P910" s="532"/>
      <c r="Q910" s="532"/>
    </row>
    <row r="911">
      <c r="A911" s="1451"/>
      <c r="B911" s="532"/>
      <c r="C911" s="532"/>
      <c r="D911" s="532"/>
      <c r="E911" s="532"/>
      <c r="F911" s="532"/>
      <c r="G911" s="532"/>
      <c r="H911" s="532"/>
      <c r="I911" s="532"/>
      <c r="J911" s="532"/>
      <c r="K911" s="532"/>
      <c r="L911" s="532"/>
      <c r="M911" s="532"/>
      <c r="N911" s="532"/>
      <c r="O911" s="532"/>
      <c r="P911" s="532"/>
      <c r="Q911" s="532"/>
    </row>
    <row r="912">
      <c r="A912" s="1451"/>
      <c r="B912" s="532"/>
      <c r="C912" s="532"/>
      <c r="D912" s="532"/>
      <c r="E912" s="532"/>
      <c r="F912" s="532"/>
      <c r="G912" s="532"/>
      <c r="H912" s="532"/>
      <c r="I912" s="532"/>
      <c r="J912" s="532"/>
      <c r="K912" s="532"/>
      <c r="L912" s="532"/>
      <c r="M912" s="532"/>
      <c r="N912" s="532"/>
      <c r="O912" s="532"/>
      <c r="P912" s="532"/>
      <c r="Q912" s="532"/>
    </row>
    <row r="913">
      <c r="A913" s="1451"/>
      <c r="B913" s="532"/>
      <c r="C913" s="532"/>
      <c r="D913" s="532"/>
      <c r="E913" s="532"/>
      <c r="F913" s="532"/>
      <c r="G913" s="532"/>
      <c r="H913" s="532"/>
      <c r="I913" s="532"/>
      <c r="J913" s="532"/>
      <c r="K913" s="532"/>
      <c r="L913" s="532"/>
      <c r="M913" s="532"/>
      <c r="N913" s="532"/>
      <c r="O913" s="532"/>
      <c r="P913" s="532"/>
      <c r="Q913" s="532"/>
    </row>
    <row r="914">
      <c r="A914" s="1451"/>
      <c r="B914" s="532"/>
      <c r="C914" s="532"/>
      <c r="D914" s="532"/>
      <c r="E914" s="532"/>
      <c r="F914" s="532"/>
      <c r="G914" s="532"/>
      <c r="H914" s="532"/>
      <c r="I914" s="532"/>
      <c r="J914" s="532"/>
      <c r="K914" s="532"/>
      <c r="L914" s="532"/>
      <c r="M914" s="532"/>
      <c r="N914" s="532"/>
      <c r="O914" s="532"/>
      <c r="P914" s="532"/>
      <c r="Q914" s="532"/>
    </row>
    <row r="915">
      <c r="A915" s="1451"/>
      <c r="B915" s="532"/>
      <c r="C915" s="532"/>
      <c r="D915" s="532"/>
      <c r="E915" s="532"/>
      <c r="F915" s="532"/>
      <c r="G915" s="532"/>
      <c r="H915" s="532"/>
      <c r="I915" s="532"/>
      <c r="J915" s="532"/>
      <c r="K915" s="532"/>
      <c r="L915" s="532"/>
      <c r="M915" s="532"/>
      <c r="N915" s="532"/>
      <c r="O915" s="532"/>
      <c r="P915" s="532"/>
      <c r="Q915" s="532"/>
    </row>
    <row r="916">
      <c r="A916" s="1451"/>
      <c r="B916" s="532"/>
      <c r="C916" s="532"/>
      <c r="D916" s="532"/>
      <c r="E916" s="532"/>
      <c r="F916" s="532"/>
      <c r="G916" s="532"/>
      <c r="H916" s="532"/>
      <c r="I916" s="532"/>
      <c r="J916" s="532"/>
      <c r="K916" s="532"/>
      <c r="L916" s="532"/>
      <c r="M916" s="532"/>
      <c r="N916" s="532"/>
      <c r="O916" s="532"/>
      <c r="P916" s="532"/>
      <c r="Q916" s="532"/>
    </row>
    <row r="917">
      <c r="A917" s="1451"/>
      <c r="B917" s="532"/>
      <c r="C917" s="532"/>
      <c r="D917" s="532"/>
      <c r="E917" s="532"/>
      <c r="F917" s="532"/>
      <c r="G917" s="532"/>
      <c r="H917" s="532"/>
      <c r="I917" s="532"/>
      <c r="J917" s="532"/>
      <c r="K917" s="532"/>
      <c r="L917" s="532"/>
      <c r="M917" s="532"/>
      <c r="N917" s="532"/>
      <c r="O917" s="532"/>
      <c r="P917" s="532"/>
      <c r="Q917" s="532"/>
    </row>
    <row r="918">
      <c r="A918" s="1451"/>
      <c r="B918" s="532"/>
      <c r="C918" s="532"/>
      <c r="D918" s="532"/>
      <c r="E918" s="532"/>
      <c r="F918" s="532"/>
      <c r="G918" s="532"/>
      <c r="H918" s="532"/>
      <c r="I918" s="532"/>
      <c r="J918" s="532"/>
      <c r="K918" s="532"/>
      <c r="L918" s="532"/>
      <c r="M918" s="532"/>
      <c r="N918" s="532"/>
      <c r="O918" s="532"/>
      <c r="P918" s="532"/>
      <c r="Q918" s="532"/>
    </row>
    <row r="919">
      <c r="A919" s="1451"/>
      <c r="B919" s="532"/>
      <c r="C919" s="532"/>
      <c r="D919" s="532"/>
      <c r="E919" s="532"/>
      <c r="F919" s="532"/>
      <c r="G919" s="532"/>
      <c r="H919" s="532"/>
      <c r="I919" s="532"/>
      <c r="J919" s="532"/>
      <c r="K919" s="532"/>
      <c r="L919" s="532"/>
      <c r="M919" s="532"/>
      <c r="N919" s="532"/>
      <c r="O919" s="532"/>
      <c r="P919" s="532"/>
      <c r="Q919" s="532"/>
    </row>
    <row r="920">
      <c r="A920" s="1451"/>
      <c r="B920" s="532"/>
      <c r="C920" s="532"/>
      <c r="D920" s="532"/>
      <c r="E920" s="532"/>
      <c r="F920" s="532"/>
      <c r="G920" s="532"/>
      <c r="H920" s="532"/>
      <c r="I920" s="532"/>
      <c r="J920" s="532"/>
      <c r="K920" s="532"/>
      <c r="L920" s="532"/>
      <c r="M920" s="532"/>
      <c r="N920" s="532"/>
      <c r="O920" s="532"/>
      <c r="P920" s="532"/>
      <c r="Q920" s="532"/>
    </row>
    <row r="921">
      <c r="A921" s="1451"/>
      <c r="B921" s="532"/>
      <c r="C921" s="532"/>
      <c r="D921" s="532"/>
      <c r="E921" s="532"/>
      <c r="F921" s="532"/>
      <c r="G921" s="532"/>
      <c r="H921" s="532"/>
      <c r="I921" s="532"/>
      <c r="J921" s="532"/>
      <c r="K921" s="532"/>
      <c r="L921" s="532"/>
      <c r="M921" s="532"/>
      <c r="N921" s="532"/>
      <c r="O921" s="532"/>
      <c r="P921" s="532"/>
      <c r="Q921" s="532"/>
    </row>
    <row r="922">
      <c r="A922" s="1451"/>
      <c r="B922" s="532"/>
      <c r="C922" s="532"/>
      <c r="D922" s="532"/>
      <c r="E922" s="532"/>
      <c r="F922" s="532"/>
      <c r="G922" s="532"/>
      <c r="H922" s="532"/>
      <c r="I922" s="532"/>
      <c r="J922" s="532"/>
      <c r="K922" s="532"/>
      <c r="L922" s="532"/>
      <c r="M922" s="532"/>
      <c r="N922" s="532"/>
      <c r="O922" s="532"/>
      <c r="P922" s="532"/>
      <c r="Q922" s="532"/>
    </row>
    <row r="923">
      <c r="A923" s="1451"/>
      <c r="B923" s="532"/>
      <c r="C923" s="532"/>
      <c r="D923" s="532"/>
      <c r="E923" s="532"/>
      <c r="F923" s="532"/>
      <c r="G923" s="532"/>
      <c r="H923" s="532"/>
      <c r="I923" s="532"/>
      <c r="J923" s="532"/>
      <c r="K923" s="532"/>
      <c r="L923" s="532"/>
      <c r="M923" s="532"/>
      <c r="N923" s="532"/>
      <c r="O923" s="532"/>
      <c r="P923" s="532"/>
      <c r="Q923" s="532"/>
    </row>
    <row r="924">
      <c r="A924" s="1451"/>
      <c r="B924" s="532"/>
      <c r="C924" s="532"/>
      <c r="D924" s="532"/>
      <c r="E924" s="532"/>
      <c r="F924" s="532"/>
      <c r="G924" s="532"/>
      <c r="H924" s="532"/>
      <c r="I924" s="532"/>
      <c r="J924" s="532"/>
      <c r="K924" s="532"/>
      <c r="L924" s="532"/>
      <c r="M924" s="532"/>
      <c r="N924" s="532"/>
      <c r="O924" s="532"/>
      <c r="P924" s="532"/>
      <c r="Q924" s="532"/>
    </row>
    <row r="925">
      <c r="A925" s="1451"/>
      <c r="B925" s="532"/>
      <c r="C925" s="532"/>
      <c r="D925" s="532"/>
      <c r="E925" s="532"/>
      <c r="F925" s="532"/>
      <c r="G925" s="532"/>
      <c r="H925" s="532"/>
      <c r="I925" s="532"/>
      <c r="J925" s="532"/>
      <c r="K925" s="532"/>
      <c r="L925" s="532"/>
      <c r="M925" s="532"/>
      <c r="N925" s="532"/>
      <c r="O925" s="532"/>
      <c r="P925" s="532"/>
      <c r="Q925" s="532"/>
    </row>
    <row r="926">
      <c r="A926" s="1451"/>
      <c r="B926" s="532"/>
      <c r="C926" s="532"/>
      <c r="D926" s="532"/>
      <c r="E926" s="532"/>
      <c r="F926" s="532"/>
      <c r="G926" s="532"/>
      <c r="H926" s="532"/>
      <c r="I926" s="532"/>
      <c r="J926" s="532"/>
      <c r="K926" s="532"/>
      <c r="L926" s="532"/>
      <c r="M926" s="532"/>
      <c r="N926" s="532"/>
      <c r="O926" s="532"/>
      <c r="P926" s="532"/>
      <c r="Q926" s="532"/>
    </row>
    <row r="927">
      <c r="A927" s="1451"/>
      <c r="B927" s="532"/>
      <c r="C927" s="532"/>
      <c r="D927" s="532"/>
      <c r="E927" s="532"/>
      <c r="F927" s="532"/>
      <c r="G927" s="532"/>
      <c r="H927" s="532"/>
      <c r="I927" s="532"/>
      <c r="J927" s="532"/>
      <c r="K927" s="532"/>
      <c r="L927" s="532"/>
      <c r="M927" s="532"/>
      <c r="N927" s="532"/>
      <c r="O927" s="532"/>
      <c r="P927" s="532"/>
      <c r="Q927" s="532"/>
    </row>
    <row r="928">
      <c r="A928" s="1451"/>
      <c r="B928" s="532"/>
      <c r="C928" s="532"/>
      <c r="D928" s="532"/>
      <c r="E928" s="532"/>
      <c r="F928" s="532"/>
      <c r="G928" s="532"/>
      <c r="H928" s="532"/>
      <c r="I928" s="532"/>
      <c r="J928" s="532"/>
      <c r="K928" s="532"/>
      <c r="L928" s="532"/>
      <c r="M928" s="532"/>
      <c r="N928" s="532"/>
      <c r="O928" s="532"/>
      <c r="P928" s="532"/>
      <c r="Q928" s="532"/>
    </row>
    <row r="929">
      <c r="A929" s="1451"/>
      <c r="B929" s="532"/>
      <c r="C929" s="532"/>
      <c r="D929" s="532"/>
      <c r="E929" s="532"/>
      <c r="F929" s="532"/>
      <c r="G929" s="532"/>
      <c r="H929" s="532"/>
      <c r="I929" s="532"/>
      <c r="J929" s="532"/>
      <c r="K929" s="532"/>
      <c r="L929" s="532"/>
      <c r="M929" s="532"/>
      <c r="N929" s="532"/>
      <c r="O929" s="532"/>
      <c r="P929" s="532"/>
      <c r="Q929" s="532"/>
    </row>
    <row r="930">
      <c r="A930" s="1451"/>
      <c r="B930" s="532"/>
      <c r="C930" s="532"/>
      <c r="D930" s="532"/>
      <c r="E930" s="532"/>
      <c r="F930" s="532"/>
      <c r="G930" s="532"/>
      <c r="H930" s="532"/>
      <c r="I930" s="532"/>
      <c r="J930" s="532"/>
      <c r="K930" s="532"/>
      <c r="L930" s="532"/>
      <c r="M930" s="532"/>
      <c r="N930" s="532"/>
      <c r="O930" s="532"/>
      <c r="P930" s="532"/>
      <c r="Q930" s="532"/>
    </row>
    <row r="931">
      <c r="A931" s="1451"/>
      <c r="B931" s="532"/>
      <c r="C931" s="532"/>
      <c r="D931" s="532"/>
      <c r="E931" s="532"/>
      <c r="F931" s="532"/>
      <c r="G931" s="532"/>
      <c r="H931" s="532"/>
      <c r="I931" s="532"/>
      <c r="J931" s="532"/>
      <c r="K931" s="532"/>
      <c r="L931" s="532"/>
      <c r="M931" s="532"/>
      <c r="N931" s="532"/>
      <c r="O931" s="532"/>
      <c r="P931" s="532"/>
      <c r="Q931" s="532"/>
    </row>
    <row r="932">
      <c r="A932" s="1451"/>
      <c r="B932" s="532"/>
      <c r="C932" s="532"/>
      <c r="D932" s="532"/>
      <c r="E932" s="532"/>
      <c r="F932" s="532"/>
      <c r="G932" s="532"/>
      <c r="H932" s="532"/>
      <c r="I932" s="532"/>
      <c r="J932" s="532"/>
      <c r="K932" s="532"/>
      <c r="L932" s="532"/>
      <c r="M932" s="532"/>
      <c r="N932" s="532"/>
      <c r="O932" s="532"/>
      <c r="P932" s="532"/>
      <c r="Q932" s="532"/>
    </row>
    <row r="933">
      <c r="A933" s="1451"/>
      <c r="B933" s="532"/>
      <c r="C933" s="532"/>
      <c r="D933" s="532"/>
      <c r="E933" s="532"/>
      <c r="F933" s="532"/>
      <c r="G933" s="532"/>
      <c r="H933" s="532"/>
      <c r="I933" s="532"/>
      <c r="J933" s="532"/>
      <c r="K933" s="532"/>
      <c r="L933" s="532"/>
      <c r="M933" s="532"/>
      <c r="N933" s="532"/>
      <c r="O933" s="532"/>
      <c r="P933" s="532"/>
      <c r="Q933" s="532"/>
    </row>
    <row r="934">
      <c r="A934" s="1451"/>
      <c r="B934" s="532"/>
      <c r="C934" s="532"/>
      <c r="D934" s="532"/>
      <c r="E934" s="532"/>
      <c r="F934" s="532"/>
      <c r="G934" s="532"/>
      <c r="H934" s="532"/>
      <c r="I934" s="532"/>
      <c r="J934" s="532"/>
      <c r="K934" s="532"/>
      <c r="L934" s="532"/>
      <c r="M934" s="532"/>
      <c r="N934" s="532"/>
      <c r="O934" s="532"/>
      <c r="P934" s="532"/>
      <c r="Q934" s="532"/>
    </row>
    <row r="935">
      <c r="A935" s="1451"/>
      <c r="B935" s="532"/>
      <c r="C935" s="532"/>
      <c r="D935" s="532"/>
      <c r="E935" s="532"/>
      <c r="F935" s="532"/>
      <c r="G935" s="532"/>
      <c r="H935" s="532"/>
      <c r="I935" s="532"/>
      <c r="J935" s="532"/>
      <c r="K935" s="532"/>
      <c r="L935" s="532"/>
      <c r="M935" s="532"/>
      <c r="N935" s="532"/>
      <c r="O935" s="532"/>
      <c r="P935" s="532"/>
      <c r="Q935" s="532"/>
    </row>
    <row r="936">
      <c r="A936" s="1451"/>
      <c r="B936" s="532"/>
      <c r="C936" s="532"/>
      <c r="D936" s="532"/>
      <c r="E936" s="532"/>
      <c r="F936" s="532"/>
      <c r="G936" s="532"/>
      <c r="H936" s="532"/>
      <c r="I936" s="532"/>
      <c r="J936" s="532"/>
      <c r="K936" s="532"/>
      <c r="L936" s="532"/>
      <c r="M936" s="532"/>
      <c r="N936" s="532"/>
      <c r="O936" s="532"/>
      <c r="P936" s="532"/>
      <c r="Q936" s="532"/>
    </row>
    <row r="937">
      <c r="A937" s="1451"/>
      <c r="B937" s="532"/>
      <c r="C937" s="532"/>
      <c r="D937" s="532"/>
      <c r="E937" s="532"/>
      <c r="F937" s="532"/>
      <c r="G937" s="532"/>
      <c r="H937" s="532"/>
      <c r="I937" s="532"/>
      <c r="J937" s="532"/>
      <c r="K937" s="532"/>
      <c r="L937" s="532"/>
      <c r="M937" s="532"/>
      <c r="N937" s="532"/>
      <c r="O937" s="532"/>
      <c r="P937" s="532"/>
      <c r="Q937" s="532"/>
    </row>
    <row r="938">
      <c r="A938" s="1451"/>
      <c r="B938" s="532"/>
      <c r="C938" s="532"/>
      <c r="D938" s="532"/>
      <c r="E938" s="532"/>
      <c r="F938" s="532"/>
      <c r="G938" s="532"/>
      <c r="H938" s="532"/>
      <c r="I938" s="532"/>
      <c r="J938" s="532"/>
      <c r="K938" s="532"/>
      <c r="L938" s="532"/>
      <c r="M938" s="532"/>
      <c r="N938" s="532"/>
      <c r="O938" s="532"/>
      <c r="P938" s="532"/>
      <c r="Q938" s="532"/>
    </row>
    <row r="939">
      <c r="A939" s="1451"/>
      <c r="B939" s="532"/>
      <c r="C939" s="532"/>
      <c r="D939" s="532"/>
      <c r="E939" s="532"/>
      <c r="F939" s="532"/>
      <c r="G939" s="532"/>
      <c r="H939" s="532"/>
      <c r="I939" s="532"/>
      <c r="J939" s="532"/>
      <c r="K939" s="532"/>
      <c r="L939" s="532"/>
      <c r="M939" s="532"/>
      <c r="N939" s="532"/>
      <c r="O939" s="532"/>
      <c r="P939" s="532"/>
      <c r="Q939" s="532"/>
    </row>
    <row r="940">
      <c r="A940" s="1451"/>
      <c r="B940" s="532"/>
      <c r="C940" s="532"/>
      <c r="D940" s="532"/>
      <c r="E940" s="532"/>
      <c r="F940" s="532"/>
      <c r="G940" s="532"/>
      <c r="H940" s="532"/>
      <c r="I940" s="532"/>
      <c r="J940" s="532"/>
      <c r="K940" s="532"/>
      <c r="L940" s="532"/>
      <c r="M940" s="532"/>
      <c r="N940" s="532"/>
      <c r="O940" s="532"/>
      <c r="P940" s="532"/>
      <c r="Q940" s="532"/>
    </row>
    <row r="941">
      <c r="A941" s="1451"/>
      <c r="B941" s="532"/>
      <c r="C941" s="532"/>
      <c r="D941" s="532"/>
      <c r="E941" s="532"/>
      <c r="F941" s="532"/>
      <c r="G941" s="532"/>
      <c r="H941" s="532"/>
      <c r="I941" s="532"/>
      <c r="J941" s="532"/>
      <c r="K941" s="532"/>
      <c r="L941" s="532"/>
      <c r="M941" s="532"/>
      <c r="N941" s="532"/>
      <c r="O941" s="532"/>
      <c r="P941" s="532"/>
      <c r="Q941" s="532"/>
    </row>
    <row r="942">
      <c r="A942" s="1451"/>
      <c r="B942" s="532"/>
      <c r="C942" s="532"/>
      <c r="D942" s="532"/>
      <c r="E942" s="532"/>
      <c r="F942" s="532"/>
      <c r="G942" s="532"/>
      <c r="H942" s="532"/>
      <c r="I942" s="532"/>
      <c r="J942" s="532"/>
      <c r="K942" s="532"/>
      <c r="L942" s="532"/>
      <c r="M942" s="532"/>
      <c r="N942" s="532"/>
      <c r="O942" s="532"/>
      <c r="P942" s="532"/>
      <c r="Q942" s="532"/>
    </row>
    <row r="943">
      <c r="A943" s="1451"/>
      <c r="B943" s="532"/>
      <c r="C943" s="532"/>
      <c r="D943" s="532"/>
      <c r="E943" s="532"/>
      <c r="F943" s="532"/>
      <c r="G943" s="532"/>
      <c r="H943" s="532"/>
      <c r="I943" s="532"/>
      <c r="J943" s="532"/>
      <c r="K943" s="532"/>
      <c r="L943" s="532"/>
      <c r="M943" s="532"/>
      <c r="N943" s="532"/>
      <c r="O943" s="532"/>
      <c r="P943" s="532"/>
      <c r="Q943" s="532"/>
    </row>
    <row r="944">
      <c r="A944" s="1451"/>
      <c r="B944" s="532"/>
      <c r="C944" s="532"/>
      <c r="D944" s="532"/>
      <c r="E944" s="532"/>
      <c r="F944" s="532"/>
      <c r="G944" s="532"/>
      <c r="H944" s="532"/>
      <c r="I944" s="532"/>
      <c r="J944" s="532"/>
      <c r="K944" s="532"/>
      <c r="L944" s="532"/>
      <c r="M944" s="532"/>
      <c r="N944" s="532"/>
      <c r="O944" s="532"/>
      <c r="P944" s="532"/>
      <c r="Q944" s="532"/>
    </row>
    <row r="945">
      <c r="A945" s="1451"/>
      <c r="B945" s="532"/>
      <c r="C945" s="532"/>
      <c r="D945" s="532"/>
      <c r="E945" s="532"/>
      <c r="F945" s="532"/>
      <c r="G945" s="532"/>
      <c r="H945" s="532"/>
      <c r="I945" s="532"/>
      <c r="J945" s="532"/>
      <c r="K945" s="532"/>
      <c r="L945" s="532"/>
      <c r="M945" s="532"/>
      <c r="N945" s="532"/>
      <c r="O945" s="532"/>
      <c r="P945" s="532"/>
      <c r="Q945" s="532"/>
    </row>
    <row r="946">
      <c r="A946" s="1451"/>
      <c r="B946" s="532"/>
      <c r="C946" s="532"/>
      <c r="D946" s="532"/>
      <c r="E946" s="532"/>
      <c r="F946" s="532"/>
      <c r="G946" s="532"/>
      <c r="H946" s="532"/>
      <c r="I946" s="532"/>
      <c r="J946" s="532"/>
      <c r="K946" s="532"/>
      <c r="L946" s="532"/>
      <c r="M946" s="532"/>
      <c r="N946" s="532"/>
      <c r="O946" s="532"/>
      <c r="P946" s="532"/>
      <c r="Q946" s="532"/>
    </row>
    <row r="947">
      <c r="A947" s="1451"/>
      <c r="B947" s="532"/>
      <c r="C947" s="532"/>
      <c r="D947" s="532"/>
      <c r="E947" s="532"/>
      <c r="F947" s="532"/>
      <c r="G947" s="532"/>
      <c r="H947" s="532"/>
      <c r="I947" s="532"/>
      <c r="J947" s="532"/>
      <c r="K947" s="532"/>
      <c r="L947" s="532"/>
      <c r="M947" s="532"/>
      <c r="N947" s="532"/>
      <c r="O947" s="532"/>
      <c r="P947" s="532"/>
      <c r="Q947" s="532"/>
    </row>
    <row r="948">
      <c r="A948" s="1451"/>
      <c r="B948" s="532"/>
      <c r="C948" s="532"/>
      <c r="D948" s="532"/>
      <c r="E948" s="532"/>
      <c r="F948" s="532"/>
      <c r="G948" s="532"/>
      <c r="H948" s="532"/>
      <c r="I948" s="532"/>
      <c r="J948" s="532"/>
      <c r="K948" s="532"/>
      <c r="L948" s="532"/>
      <c r="M948" s="532"/>
      <c r="N948" s="532"/>
      <c r="O948" s="532"/>
      <c r="P948" s="532"/>
      <c r="Q948" s="532"/>
    </row>
    <row r="949">
      <c r="A949" s="1451"/>
      <c r="B949" s="532"/>
      <c r="C949" s="532"/>
      <c r="D949" s="532"/>
      <c r="E949" s="532"/>
      <c r="F949" s="532"/>
      <c r="G949" s="532"/>
      <c r="H949" s="532"/>
      <c r="I949" s="532"/>
      <c r="J949" s="532"/>
      <c r="K949" s="532"/>
      <c r="L949" s="532"/>
      <c r="M949" s="532"/>
      <c r="N949" s="532"/>
      <c r="O949" s="532"/>
      <c r="P949" s="532"/>
      <c r="Q949" s="532"/>
    </row>
    <row r="950">
      <c r="A950" s="1451"/>
      <c r="B950" s="532"/>
      <c r="C950" s="532"/>
      <c r="D950" s="532"/>
      <c r="E950" s="532"/>
      <c r="F950" s="532"/>
      <c r="G950" s="532"/>
      <c r="H950" s="532"/>
      <c r="I950" s="532"/>
      <c r="J950" s="532"/>
      <c r="K950" s="532"/>
      <c r="L950" s="532"/>
      <c r="M950" s="532"/>
      <c r="N950" s="532"/>
      <c r="O950" s="532"/>
      <c r="P950" s="532"/>
      <c r="Q950" s="532"/>
    </row>
    <row r="951">
      <c r="A951" s="1451"/>
      <c r="B951" s="532"/>
      <c r="C951" s="532"/>
      <c r="D951" s="532"/>
      <c r="E951" s="532"/>
      <c r="F951" s="532"/>
      <c r="G951" s="532"/>
      <c r="H951" s="532"/>
      <c r="I951" s="532"/>
      <c r="J951" s="532"/>
      <c r="K951" s="532"/>
      <c r="L951" s="532"/>
      <c r="M951" s="532"/>
      <c r="N951" s="532"/>
      <c r="O951" s="532"/>
      <c r="P951" s="532"/>
      <c r="Q951" s="532"/>
    </row>
    <row r="952">
      <c r="A952" s="1451"/>
      <c r="B952" s="532"/>
      <c r="C952" s="532"/>
      <c r="D952" s="532"/>
      <c r="E952" s="532"/>
      <c r="F952" s="532"/>
      <c r="G952" s="532"/>
      <c r="H952" s="532"/>
      <c r="I952" s="532"/>
      <c r="J952" s="532"/>
      <c r="K952" s="532"/>
      <c r="L952" s="532"/>
      <c r="M952" s="532"/>
      <c r="N952" s="532"/>
      <c r="O952" s="532"/>
      <c r="P952" s="532"/>
      <c r="Q952" s="532"/>
    </row>
    <row r="953">
      <c r="A953" s="1451"/>
      <c r="B953" s="532"/>
      <c r="C953" s="532"/>
      <c r="D953" s="532"/>
      <c r="E953" s="532"/>
      <c r="F953" s="532"/>
      <c r="G953" s="532"/>
      <c r="H953" s="532"/>
      <c r="I953" s="532"/>
      <c r="J953" s="532"/>
      <c r="K953" s="532"/>
      <c r="L953" s="532"/>
      <c r="M953" s="532"/>
      <c r="N953" s="532"/>
      <c r="O953" s="532"/>
      <c r="P953" s="532"/>
      <c r="Q953" s="532"/>
    </row>
    <row r="954">
      <c r="A954" s="1451"/>
      <c r="B954" s="532"/>
      <c r="C954" s="532"/>
      <c r="D954" s="532"/>
      <c r="E954" s="532"/>
      <c r="F954" s="532"/>
      <c r="G954" s="532"/>
      <c r="H954" s="532"/>
      <c r="I954" s="532"/>
      <c r="J954" s="532"/>
      <c r="K954" s="532"/>
      <c r="L954" s="532"/>
      <c r="M954" s="532"/>
      <c r="N954" s="532"/>
      <c r="O954" s="532"/>
      <c r="P954" s="532"/>
      <c r="Q954" s="532"/>
    </row>
    <row r="955">
      <c r="A955" s="1451"/>
      <c r="B955" s="532"/>
      <c r="C955" s="532"/>
      <c r="D955" s="532"/>
      <c r="E955" s="532"/>
      <c r="F955" s="532"/>
      <c r="G955" s="532"/>
      <c r="H955" s="532"/>
      <c r="I955" s="532"/>
      <c r="J955" s="532"/>
      <c r="K955" s="532"/>
      <c r="L955" s="532"/>
      <c r="M955" s="532"/>
      <c r="N955" s="532"/>
      <c r="O955" s="532"/>
      <c r="P955" s="532"/>
      <c r="Q955" s="532"/>
    </row>
    <row r="956">
      <c r="A956" s="1451"/>
      <c r="B956" s="532"/>
      <c r="C956" s="532"/>
      <c r="D956" s="532"/>
      <c r="E956" s="532"/>
      <c r="F956" s="532"/>
      <c r="G956" s="532"/>
      <c r="H956" s="532"/>
      <c r="I956" s="532"/>
      <c r="J956" s="532"/>
      <c r="K956" s="532"/>
      <c r="L956" s="532"/>
      <c r="M956" s="532"/>
      <c r="N956" s="532"/>
      <c r="O956" s="532"/>
      <c r="P956" s="532"/>
      <c r="Q956" s="532"/>
    </row>
    <row r="957">
      <c r="A957" s="1451"/>
      <c r="B957" s="532"/>
      <c r="C957" s="532"/>
      <c r="D957" s="532"/>
      <c r="E957" s="532"/>
      <c r="F957" s="532"/>
      <c r="G957" s="532"/>
      <c r="H957" s="532"/>
      <c r="I957" s="532"/>
      <c r="J957" s="532"/>
      <c r="K957" s="532"/>
      <c r="L957" s="532"/>
      <c r="M957" s="532"/>
      <c r="N957" s="532"/>
      <c r="O957" s="532"/>
      <c r="P957" s="532"/>
      <c r="Q957" s="532"/>
    </row>
    <row r="958">
      <c r="A958" s="1451"/>
      <c r="B958" s="532"/>
      <c r="C958" s="532"/>
      <c r="D958" s="532"/>
      <c r="E958" s="532"/>
      <c r="F958" s="532"/>
      <c r="G958" s="532"/>
      <c r="H958" s="532"/>
      <c r="I958" s="532"/>
      <c r="J958" s="532"/>
      <c r="K958" s="532"/>
      <c r="L958" s="532"/>
      <c r="M958" s="532"/>
      <c r="N958" s="532"/>
      <c r="O958" s="532"/>
      <c r="P958" s="532"/>
      <c r="Q958" s="532"/>
    </row>
    <row r="959">
      <c r="A959" s="1451"/>
      <c r="B959" s="532"/>
      <c r="C959" s="532"/>
      <c r="D959" s="532"/>
      <c r="E959" s="532"/>
      <c r="F959" s="532"/>
      <c r="G959" s="532"/>
      <c r="H959" s="532"/>
      <c r="I959" s="532"/>
      <c r="J959" s="532"/>
      <c r="K959" s="532"/>
      <c r="L959" s="532"/>
      <c r="M959" s="532"/>
      <c r="N959" s="532"/>
      <c r="O959" s="532"/>
      <c r="P959" s="532"/>
      <c r="Q959" s="532"/>
    </row>
    <row r="960">
      <c r="A960" s="1451"/>
      <c r="B960" s="532"/>
      <c r="C960" s="532"/>
      <c r="D960" s="532"/>
      <c r="E960" s="532"/>
      <c r="F960" s="532"/>
      <c r="G960" s="532"/>
      <c r="H960" s="532"/>
      <c r="I960" s="532"/>
      <c r="J960" s="532"/>
      <c r="K960" s="532"/>
      <c r="L960" s="532"/>
      <c r="M960" s="532"/>
      <c r="N960" s="532"/>
      <c r="O960" s="532"/>
      <c r="P960" s="532"/>
      <c r="Q960" s="532"/>
    </row>
    <row r="961">
      <c r="A961" s="1451"/>
      <c r="B961" s="532"/>
      <c r="C961" s="532"/>
      <c r="D961" s="532"/>
      <c r="E961" s="532"/>
      <c r="F961" s="532"/>
      <c r="G961" s="532"/>
      <c r="H961" s="532"/>
      <c r="I961" s="532"/>
      <c r="J961" s="532"/>
      <c r="K961" s="532"/>
      <c r="L961" s="532"/>
      <c r="M961" s="532"/>
      <c r="N961" s="532"/>
      <c r="O961" s="532"/>
      <c r="P961" s="532"/>
      <c r="Q961" s="532"/>
    </row>
    <row r="962">
      <c r="A962" s="1451"/>
      <c r="B962" s="532"/>
      <c r="C962" s="532"/>
      <c r="D962" s="532"/>
      <c r="E962" s="532"/>
      <c r="F962" s="532"/>
      <c r="G962" s="532"/>
      <c r="H962" s="532"/>
      <c r="I962" s="532"/>
      <c r="J962" s="532"/>
      <c r="K962" s="532"/>
      <c r="L962" s="532"/>
      <c r="M962" s="532"/>
      <c r="N962" s="532"/>
      <c r="O962" s="532"/>
      <c r="P962" s="532"/>
      <c r="Q962" s="532"/>
    </row>
    <row r="963">
      <c r="A963" s="1451"/>
      <c r="B963" s="532"/>
      <c r="C963" s="532"/>
      <c r="D963" s="532"/>
      <c r="E963" s="532"/>
      <c r="F963" s="532"/>
      <c r="G963" s="532"/>
      <c r="H963" s="532"/>
      <c r="I963" s="532"/>
      <c r="J963" s="532"/>
      <c r="K963" s="532"/>
      <c r="L963" s="532"/>
      <c r="M963" s="532"/>
      <c r="N963" s="532"/>
      <c r="O963" s="532"/>
      <c r="P963" s="532"/>
      <c r="Q963" s="532"/>
    </row>
    <row r="964">
      <c r="A964" s="1451"/>
      <c r="B964" s="532"/>
      <c r="C964" s="532"/>
      <c r="D964" s="532"/>
      <c r="E964" s="532"/>
      <c r="F964" s="532"/>
      <c r="G964" s="532"/>
      <c r="H964" s="532"/>
      <c r="I964" s="532"/>
      <c r="J964" s="532"/>
      <c r="K964" s="532"/>
      <c r="L964" s="532"/>
      <c r="M964" s="532"/>
      <c r="N964" s="532"/>
      <c r="O964" s="532"/>
      <c r="P964" s="532"/>
      <c r="Q964" s="532"/>
    </row>
    <row r="965">
      <c r="A965" s="1451"/>
      <c r="B965" s="532"/>
      <c r="C965" s="532"/>
      <c r="D965" s="532"/>
      <c r="E965" s="532"/>
      <c r="F965" s="532"/>
      <c r="G965" s="532"/>
      <c r="H965" s="532"/>
      <c r="I965" s="532"/>
      <c r="J965" s="532"/>
      <c r="K965" s="532"/>
      <c r="L965" s="532"/>
      <c r="M965" s="532"/>
      <c r="N965" s="532"/>
      <c r="O965" s="532"/>
      <c r="P965" s="532"/>
      <c r="Q965" s="532"/>
    </row>
    <row r="966">
      <c r="A966" s="1451"/>
      <c r="B966" s="532"/>
      <c r="C966" s="532"/>
      <c r="D966" s="532"/>
      <c r="E966" s="532"/>
      <c r="F966" s="532"/>
      <c r="G966" s="532"/>
      <c r="H966" s="532"/>
      <c r="I966" s="532"/>
      <c r="J966" s="532"/>
      <c r="K966" s="532"/>
      <c r="L966" s="532"/>
      <c r="M966" s="532"/>
      <c r="N966" s="532"/>
      <c r="O966" s="532"/>
      <c r="P966" s="532"/>
      <c r="Q966" s="532"/>
    </row>
    <row r="967">
      <c r="A967" s="1451"/>
      <c r="B967" s="532"/>
      <c r="C967" s="532"/>
      <c r="D967" s="532"/>
      <c r="E967" s="532"/>
      <c r="F967" s="532"/>
      <c r="G967" s="532"/>
      <c r="H967" s="532"/>
      <c r="I967" s="532"/>
      <c r="J967" s="532"/>
      <c r="K967" s="532"/>
      <c r="L967" s="532"/>
      <c r="M967" s="532"/>
      <c r="N967" s="532"/>
      <c r="O967" s="532"/>
      <c r="P967" s="532"/>
      <c r="Q967" s="532"/>
    </row>
    <row r="968">
      <c r="A968" s="1451"/>
      <c r="B968" s="532"/>
      <c r="C968" s="532"/>
      <c r="D968" s="532"/>
      <c r="E968" s="532"/>
      <c r="F968" s="532"/>
      <c r="G968" s="532"/>
      <c r="H968" s="532"/>
      <c r="I968" s="532"/>
      <c r="J968" s="532"/>
      <c r="K968" s="532"/>
      <c r="L968" s="532"/>
      <c r="M968" s="532"/>
      <c r="N968" s="532"/>
      <c r="O968" s="532"/>
      <c r="P968" s="532"/>
      <c r="Q968" s="532"/>
    </row>
    <row r="969">
      <c r="A969" s="1451"/>
      <c r="B969" s="532"/>
      <c r="C969" s="532"/>
      <c r="D969" s="532"/>
      <c r="E969" s="532"/>
      <c r="F969" s="532"/>
      <c r="G969" s="532"/>
      <c r="H969" s="532"/>
      <c r="I969" s="532"/>
      <c r="J969" s="532"/>
      <c r="K969" s="532"/>
      <c r="L969" s="532"/>
      <c r="M969" s="532"/>
      <c r="N969" s="532"/>
      <c r="O969" s="532"/>
      <c r="P969" s="532"/>
      <c r="Q969" s="532"/>
    </row>
    <row r="970">
      <c r="A970" s="1451"/>
      <c r="B970" s="532"/>
      <c r="C970" s="532"/>
      <c r="D970" s="532"/>
      <c r="E970" s="532"/>
      <c r="F970" s="532"/>
      <c r="G970" s="532"/>
      <c r="H970" s="532"/>
      <c r="I970" s="532"/>
      <c r="J970" s="532"/>
      <c r="K970" s="532"/>
      <c r="L970" s="532"/>
      <c r="M970" s="532"/>
      <c r="N970" s="532"/>
      <c r="O970" s="532"/>
      <c r="P970" s="532"/>
      <c r="Q970" s="532"/>
    </row>
    <row r="971">
      <c r="A971" s="1451"/>
      <c r="B971" s="532"/>
      <c r="C971" s="532"/>
      <c r="D971" s="532"/>
      <c r="E971" s="532"/>
      <c r="F971" s="532"/>
      <c r="G971" s="532"/>
      <c r="H971" s="532"/>
      <c r="I971" s="532"/>
      <c r="J971" s="532"/>
      <c r="K971" s="532"/>
      <c r="L971" s="532"/>
      <c r="M971" s="532"/>
      <c r="N971" s="532"/>
      <c r="O971" s="532"/>
      <c r="P971" s="532"/>
      <c r="Q971" s="532"/>
    </row>
    <row r="972">
      <c r="A972" s="1451"/>
      <c r="B972" s="532"/>
      <c r="C972" s="532"/>
      <c r="D972" s="532"/>
      <c r="E972" s="532"/>
      <c r="F972" s="532"/>
      <c r="G972" s="532"/>
      <c r="H972" s="532"/>
      <c r="I972" s="532"/>
      <c r="J972" s="532"/>
      <c r="K972" s="532"/>
      <c r="L972" s="532"/>
      <c r="M972" s="532"/>
      <c r="N972" s="532"/>
      <c r="O972" s="532"/>
      <c r="P972" s="532"/>
      <c r="Q972" s="532"/>
    </row>
    <row r="973">
      <c r="A973" s="1451"/>
      <c r="B973" s="532"/>
      <c r="C973" s="532"/>
      <c r="D973" s="532"/>
      <c r="E973" s="532"/>
      <c r="F973" s="532"/>
      <c r="G973" s="532"/>
      <c r="H973" s="532"/>
      <c r="I973" s="532"/>
      <c r="J973" s="532"/>
      <c r="K973" s="532"/>
      <c r="L973" s="532"/>
      <c r="M973" s="532"/>
      <c r="N973" s="532"/>
      <c r="O973" s="532"/>
      <c r="P973" s="532"/>
      <c r="Q973" s="532"/>
    </row>
    <row r="974">
      <c r="A974" s="1451"/>
      <c r="B974" s="532"/>
      <c r="C974" s="532"/>
      <c r="D974" s="532"/>
      <c r="E974" s="532"/>
      <c r="F974" s="532"/>
      <c r="G974" s="532"/>
      <c r="H974" s="532"/>
      <c r="I974" s="532"/>
      <c r="J974" s="532"/>
      <c r="K974" s="532"/>
      <c r="L974" s="532"/>
      <c r="M974" s="532"/>
      <c r="N974" s="532"/>
      <c r="O974" s="532"/>
      <c r="P974" s="532"/>
      <c r="Q974" s="532"/>
    </row>
    <row r="975">
      <c r="A975" s="1451"/>
      <c r="B975" s="532"/>
      <c r="C975" s="532"/>
      <c r="D975" s="532"/>
      <c r="E975" s="532"/>
      <c r="F975" s="532"/>
      <c r="G975" s="532"/>
      <c r="H975" s="532"/>
      <c r="I975" s="532"/>
      <c r="J975" s="532"/>
      <c r="K975" s="532"/>
      <c r="L975" s="532"/>
      <c r="M975" s="532"/>
      <c r="N975" s="532"/>
      <c r="O975" s="532"/>
      <c r="P975" s="532"/>
      <c r="Q975" s="532"/>
    </row>
    <row r="976">
      <c r="A976" s="1451"/>
      <c r="B976" s="532"/>
      <c r="C976" s="532"/>
      <c r="D976" s="532"/>
      <c r="E976" s="532"/>
      <c r="F976" s="532"/>
      <c r="G976" s="532"/>
      <c r="H976" s="532"/>
      <c r="I976" s="532"/>
      <c r="J976" s="532"/>
      <c r="K976" s="532"/>
      <c r="L976" s="532"/>
      <c r="M976" s="532"/>
      <c r="N976" s="532"/>
      <c r="O976" s="532"/>
      <c r="P976" s="532"/>
      <c r="Q976" s="532"/>
    </row>
    <row r="977">
      <c r="A977" s="1451"/>
      <c r="B977" s="532"/>
      <c r="C977" s="532"/>
      <c r="D977" s="532"/>
      <c r="E977" s="532"/>
      <c r="F977" s="532"/>
      <c r="G977" s="532"/>
      <c r="H977" s="532"/>
      <c r="I977" s="532"/>
      <c r="J977" s="532"/>
      <c r="K977" s="532"/>
      <c r="L977" s="532"/>
      <c r="M977" s="532"/>
      <c r="N977" s="532"/>
      <c r="O977" s="532"/>
      <c r="P977" s="532"/>
      <c r="Q977" s="532"/>
    </row>
    <row r="978">
      <c r="A978" s="1451"/>
      <c r="B978" s="532"/>
      <c r="C978" s="532"/>
      <c r="D978" s="532"/>
      <c r="E978" s="532"/>
      <c r="F978" s="532"/>
      <c r="G978" s="532"/>
      <c r="H978" s="532"/>
      <c r="I978" s="532"/>
      <c r="J978" s="532"/>
      <c r="K978" s="532"/>
      <c r="L978" s="532"/>
      <c r="M978" s="532"/>
      <c r="N978" s="532"/>
      <c r="O978" s="532"/>
      <c r="P978" s="532"/>
      <c r="Q978" s="532"/>
    </row>
    <row r="979">
      <c r="A979" s="1451"/>
      <c r="B979" s="532"/>
      <c r="C979" s="532"/>
      <c r="D979" s="532"/>
      <c r="E979" s="532"/>
      <c r="F979" s="532"/>
      <c r="G979" s="532"/>
      <c r="H979" s="532"/>
      <c r="I979" s="532"/>
      <c r="J979" s="532"/>
      <c r="K979" s="532"/>
      <c r="L979" s="532"/>
      <c r="M979" s="532"/>
      <c r="N979" s="532"/>
      <c r="O979" s="532"/>
      <c r="P979" s="532"/>
      <c r="Q979" s="532"/>
    </row>
    <row r="980">
      <c r="A980" s="1451"/>
      <c r="B980" s="532"/>
      <c r="C980" s="532"/>
      <c r="D980" s="532"/>
      <c r="E980" s="532"/>
      <c r="F980" s="532"/>
      <c r="G980" s="532"/>
      <c r="H980" s="532"/>
      <c r="I980" s="532"/>
      <c r="J980" s="532"/>
      <c r="K980" s="532"/>
      <c r="L980" s="532"/>
      <c r="M980" s="532"/>
      <c r="N980" s="532"/>
      <c r="O980" s="532"/>
      <c r="P980" s="532"/>
      <c r="Q980" s="532"/>
    </row>
    <row r="981">
      <c r="A981" s="1451"/>
      <c r="B981" s="532"/>
      <c r="C981" s="532"/>
      <c r="D981" s="532"/>
      <c r="E981" s="532"/>
      <c r="F981" s="532"/>
      <c r="G981" s="532"/>
      <c r="H981" s="532"/>
      <c r="I981" s="532"/>
      <c r="J981" s="532"/>
      <c r="K981" s="532"/>
      <c r="L981" s="532"/>
      <c r="M981" s="532"/>
      <c r="N981" s="532"/>
      <c r="O981" s="532"/>
      <c r="P981" s="532"/>
      <c r="Q981" s="532"/>
    </row>
    <row r="982">
      <c r="A982" s="1451"/>
      <c r="B982" s="532"/>
      <c r="C982" s="532"/>
      <c r="D982" s="532"/>
      <c r="E982" s="532"/>
      <c r="F982" s="532"/>
      <c r="G982" s="532"/>
      <c r="H982" s="532"/>
      <c r="I982" s="532"/>
      <c r="J982" s="532"/>
      <c r="K982" s="532"/>
      <c r="L982" s="532"/>
      <c r="M982" s="532"/>
      <c r="N982" s="532"/>
      <c r="O982" s="532"/>
      <c r="P982" s="532"/>
      <c r="Q982" s="532"/>
    </row>
    <row r="983">
      <c r="A983" s="1451"/>
      <c r="B983" s="532"/>
      <c r="C983" s="532"/>
      <c r="D983" s="532"/>
      <c r="E983" s="532"/>
      <c r="F983" s="532"/>
      <c r="G983" s="532"/>
      <c r="H983" s="532"/>
      <c r="I983" s="532"/>
      <c r="J983" s="532"/>
      <c r="K983" s="532"/>
      <c r="L983" s="532"/>
      <c r="M983" s="532"/>
      <c r="N983" s="532"/>
      <c r="O983" s="532"/>
      <c r="P983" s="532"/>
      <c r="Q983" s="532"/>
    </row>
    <row r="984">
      <c r="A984" s="1451"/>
      <c r="B984" s="532"/>
      <c r="C984" s="532"/>
      <c r="D984" s="532"/>
      <c r="E984" s="532"/>
      <c r="F984" s="532"/>
      <c r="G984" s="532"/>
      <c r="H984" s="532"/>
      <c r="I984" s="532"/>
      <c r="J984" s="532"/>
      <c r="K984" s="532"/>
      <c r="L984" s="532"/>
      <c r="M984" s="532"/>
      <c r="N984" s="532"/>
      <c r="O984" s="532"/>
      <c r="P984" s="532"/>
      <c r="Q984" s="532"/>
    </row>
    <row r="985">
      <c r="A985" s="1451"/>
      <c r="B985" s="532"/>
      <c r="C985" s="532"/>
      <c r="D985" s="532"/>
      <c r="E985" s="532"/>
      <c r="F985" s="532"/>
      <c r="G985" s="532"/>
      <c r="H985" s="532"/>
      <c r="I985" s="532"/>
      <c r="J985" s="532"/>
      <c r="K985" s="532"/>
      <c r="L985" s="532"/>
      <c r="M985" s="532"/>
      <c r="N985" s="532"/>
      <c r="O985" s="532"/>
      <c r="P985" s="532"/>
      <c r="Q985" s="532"/>
    </row>
    <row r="986">
      <c r="A986" s="1451"/>
      <c r="B986" s="532"/>
      <c r="C986" s="532"/>
      <c r="D986" s="532"/>
      <c r="E986" s="532"/>
      <c r="F986" s="532"/>
      <c r="G986" s="532"/>
      <c r="H986" s="532"/>
      <c r="I986" s="532"/>
      <c r="J986" s="532"/>
      <c r="K986" s="532"/>
      <c r="L986" s="532"/>
      <c r="M986" s="532"/>
      <c r="N986" s="532"/>
      <c r="O986" s="532"/>
      <c r="P986" s="532"/>
      <c r="Q986" s="532"/>
    </row>
    <row r="987">
      <c r="A987" s="1451"/>
      <c r="B987" s="532"/>
      <c r="C987" s="532"/>
      <c r="D987" s="532"/>
      <c r="E987" s="532"/>
      <c r="F987" s="532"/>
      <c r="G987" s="532"/>
      <c r="H987" s="532"/>
      <c r="I987" s="532"/>
      <c r="J987" s="532"/>
      <c r="K987" s="532"/>
      <c r="L987" s="532"/>
      <c r="M987" s="532"/>
      <c r="N987" s="532"/>
      <c r="O987" s="532"/>
      <c r="P987" s="532"/>
      <c r="Q987" s="532"/>
    </row>
    <row r="988">
      <c r="A988" s="1451"/>
      <c r="B988" s="532"/>
      <c r="C988" s="532"/>
      <c r="D988" s="532"/>
      <c r="E988" s="532"/>
      <c r="F988" s="532"/>
      <c r="G988" s="532"/>
      <c r="H988" s="532"/>
      <c r="I988" s="532"/>
      <c r="J988" s="532"/>
      <c r="K988" s="532"/>
      <c r="L988" s="532"/>
      <c r="M988" s="532"/>
      <c r="N988" s="532"/>
      <c r="O988" s="532"/>
      <c r="P988" s="532"/>
      <c r="Q988" s="532"/>
    </row>
    <row r="989">
      <c r="A989" s="1451"/>
      <c r="B989" s="532"/>
      <c r="C989" s="532"/>
      <c r="D989" s="532"/>
      <c r="E989" s="532"/>
      <c r="F989" s="532"/>
      <c r="G989" s="532"/>
      <c r="H989" s="532"/>
      <c r="I989" s="532"/>
      <c r="J989" s="532"/>
      <c r="K989" s="532"/>
      <c r="L989" s="532"/>
      <c r="M989" s="532"/>
      <c r="N989" s="532"/>
      <c r="O989" s="532"/>
      <c r="P989" s="532"/>
      <c r="Q989" s="532"/>
    </row>
    <row r="990">
      <c r="A990" s="1451"/>
      <c r="B990" s="532"/>
      <c r="C990" s="532"/>
      <c r="D990" s="532"/>
      <c r="E990" s="532"/>
      <c r="F990" s="532"/>
      <c r="G990" s="532"/>
      <c r="H990" s="532"/>
      <c r="I990" s="532"/>
      <c r="J990" s="532"/>
      <c r="K990" s="532"/>
      <c r="L990" s="532"/>
      <c r="M990" s="532"/>
      <c r="N990" s="532"/>
      <c r="O990" s="532"/>
      <c r="P990" s="532"/>
      <c r="Q990" s="532"/>
    </row>
    <row r="991">
      <c r="A991" s="1451"/>
      <c r="B991" s="532"/>
      <c r="C991" s="532"/>
      <c r="D991" s="532"/>
      <c r="E991" s="532"/>
      <c r="F991" s="532"/>
      <c r="G991" s="532"/>
      <c r="H991" s="532"/>
      <c r="I991" s="532"/>
      <c r="J991" s="532"/>
      <c r="K991" s="532"/>
      <c r="L991" s="532"/>
      <c r="M991" s="532"/>
      <c r="N991" s="532"/>
      <c r="O991" s="532"/>
      <c r="P991" s="532"/>
      <c r="Q991" s="532"/>
    </row>
    <row r="992">
      <c r="A992" s="1451"/>
      <c r="B992" s="532"/>
      <c r="C992" s="532"/>
      <c r="D992" s="532"/>
      <c r="E992" s="532"/>
      <c r="F992" s="532"/>
      <c r="G992" s="532"/>
      <c r="H992" s="532"/>
      <c r="I992" s="532"/>
      <c r="J992" s="532"/>
      <c r="K992" s="532"/>
      <c r="L992" s="532"/>
      <c r="M992" s="532"/>
      <c r="N992" s="532"/>
      <c r="O992" s="532"/>
      <c r="P992" s="532"/>
      <c r="Q992" s="532"/>
    </row>
    <row r="993">
      <c r="A993" s="1451"/>
      <c r="B993" s="532"/>
      <c r="C993" s="532"/>
      <c r="D993" s="532"/>
      <c r="E993" s="532"/>
      <c r="F993" s="532"/>
      <c r="G993" s="532"/>
      <c r="H993" s="532"/>
      <c r="I993" s="532"/>
      <c r="J993" s="532"/>
      <c r="K993" s="532"/>
      <c r="L993" s="532"/>
      <c r="M993" s="532"/>
      <c r="N993" s="532"/>
      <c r="O993" s="532"/>
      <c r="P993" s="532"/>
      <c r="Q993" s="532"/>
    </row>
    <row r="994">
      <c r="A994" s="1451"/>
      <c r="B994" s="532"/>
      <c r="C994" s="532"/>
      <c r="D994" s="532"/>
      <c r="E994" s="532"/>
      <c r="F994" s="532"/>
      <c r="G994" s="532"/>
      <c r="H994" s="532"/>
      <c r="I994" s="532"/>
      <c r="J994" s="532"/>
      <c r="K994" s="532"/>
      <c r="L994" s="532"/>
      <c r="M994" s="532"/>
      <c r="N994" s="532"/>
      <c r="O994" s="532"/>
      <c r="P994" s="532"/>
      <c r="Q994" s="532"/>
    </row>
    <row r="995">
      <c r="A995" s="1451"/>
      <c r="B995" s="532"/>
      <c r="C995" s="532"/>
      <c r="D995" s="532"/>
      <c r="E995" s="532"/>
      <c r="F995" s="532"/>
      <c r="G995" s="532"/>
      <c r="H995" s="532"/>
      <c r="I995" s="532"/>
      <c r="J995" s="532"/>
      <c r="K995" s="532"/>
      <c r="L995" s="532"/>
      <c r="M995" s="532"/>
      <c r="N995" s="532"/>
      <c r="O995" s="532"/>
      <c r="P995" s="532"/>
      <c r="Q995" s="532"/>
    </row>
    <row r="996">
      <c r="A996" s="1451"/>
      <c r="B996" s="532"/>
      <c r="C996" s="532"/>
      <c r="D996" s="532"/>
      <c r="E996" s="532"/>
      <c r="F996" s="532"/>
      <c r="G996" s="532"/>
      <c r="H996" s="532"/>
      <c r="I996" s="532"/>
      <c r="J996" s="532"/>
      <c r="K996" s="532"/>
      <c r="L996" s="532"/>
      <c r="M996" s="532"/>
      <c r="N996" s="532"/>
      <c r="O996" s="532"/>
      <c r="P996" s="532"/>
      <c r="Q996" s="532"/>
    </row>
    <row r="997">
      <c r="A997" s="1451"/>
      <c r="B997" s="532"/>
      <c r="C997" s="532"/>
      <c r="D997" s="532"/>
      <c r="E997" s="532"/>
      <c r="F997" s="532"/>
      <c r="G997" s="532"/>
      <c r="H997" s="532"/>
      <c r="I997" s="532"/>
      <c r="J997" s="532"/>
      <c r="K997" s="532"/>
      <c r="L997" s="532"/>
      <c r="M997" s="532"/>
      <c r="N997" s="532"/>
      <c r="O997" s="532"/>
      <c r="P997" s="532"/>
      <c r="Q997" s="532"/>
    </row>
    <row r="998">
      <c r="A998" s="1451"/>
      <c r="B998" s="532"/>
      <c r="C998" s="532"/>
      <c r="D998" s="532"/>
      <c r="E998" s="532"/>
      <c r="F998" s="532"/>
      <c r="G998" s="532"/>
      <c r="H998" s="532"/>
      <c r="I998" s="532"/>
      <c r="J998" s="532"/>
      <c r="K998" s="532"/>
      <c r="L998" s="532"/>
      <c r="M998" s="532"/>
      <c r="N998" s="532"/>
      <c r="O998" s="532"/>
      <c r="P998" s="532"/>
      <c r="Q998" s="532"/>
    </row>
    <row r="999">
      <c r="A999" s="1451"/>
      <c r="B999" s="532"/>
      <c r="C999" s="532"/>
      <c r="D999" s="532"/>
      <c r="E999" s="532"/>
      <c r="F999" s="532"/>
      <c r="G999" s="532"/>
      <c r="H999" s="532"/>
      <c r="I999" s="532"/>
      <c r="J999" s="532"/>
      <c r="K999" s="532"/>
      <c r="L999" s="532"/>
      <c r="M999" s="532"/>
      <c r="N999" s="532"/>
      <c r="O999" s="532"/>
      <c r="P999" s="532"/>
      <c r="Q999" s="532"/>
    </row>
    <row r="1000">
      <c r="A1000" s="1451"/>
      <c r="B1000" s="532"/>
      <c r="C1000" s="532"/>
      <c r="D1000" s="532"/>
      <c r="E1000" s="532"/>
      <c r="F1000" s="532"/>
      <c r="G1000" s="532"/>
      <c r="H1000" s="532"/>
      <c r="I1000" s="532"/>
      <c r="J1000" s="532"/>
      <c r="K1000" s="532"/>
      <c r="L1000" s="532"/>
      <c r="M1000" s="532"/>
      <c r="N1000" s="532"/>
      <c r="O1000" s="532"/>
      <c r="P1000" s="532"/>
      <c r="Q1000" s="532"/>
    </row>
  </sheetData>
  <mergeCells count="1">
    <mergeCell ref="A143:J14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